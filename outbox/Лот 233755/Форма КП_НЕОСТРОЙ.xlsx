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hidden" minimized="0" showHorizontalScroll="1" showVerticalScroll="1" showSheetTabs="1" xWindow="0" yWindow="0" windowWidth="28800" windowHeight="12435" tabRatio="773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Calibri"/>
      <charset val="204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rgb="FF006100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theme="1"/>
      <sz val="12"/>
    </font>
    <font>
      <name val="Arial Cyr"/>
      <charset val="204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2" borderId="0"/>
    <xf numFmtId="0" fontId="8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4" fontId="9" fillId="0" borderId="1" applyAlignment="1" pivotButton="0" quotePrefix="0" xfId="3">
      <alignment horizontal="center" vertical="center" wrapText="1"/>
    </xf>
    <xf numFmtId="4" fontId="10" fillId="0" borderId="6" applyAlignment="1" pivotButton="0" quotePrefix="0" xfId="3">
      <alignment horizontal="center" vertical="center" wrapText="1"/>
    </xf>
    <xf numFmtId="4" fontId="10" fillId="0" borderId="5" applyAlignment="1" pivotButton="0" quotePrefix="0" xfId="3">
      <alignment horizontal="center" vertic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3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7" fillId="0" borderId="2" applyAlignment="1" pivotButton="0" quotePrefix="0" xfId="1">
      <alignment horizontal="left" vertical="center" wrapText="1"/>
    </xf>
    <xf numFmtId="0" fontId="7" fillId="0" borderId="4" applyAlignment="1" pivotButton="0" quotePrefix="0" xfId="1">
      <alignment horizontal="left" vertical="center" wrapText="1"/>
    </xf>
    <xf numFmtId="4" fontId="7" fillId="0" borderId="1" applyAlignment="1" pivotButton="0" quotePrefix="0" xfId="1">
      <alignment horizontal="center" vertical="center"/>
    </xf>
    <xf numFmtId="0" fontId="9" fillId="0" borderId="2" applyAlignment="1" pivotButton="0" quotePrefix="0" xfId="3">
      <alignment horizontal="left" vertical="center" wrapText="1"/>
    </xf>
    <xf numFmtId="0" fontId="9" fillId="0" borderId="4" applyAlignment="1" pivotButton="0" quotePrefix="0" xfId="3">
      <alignment horizontal="left" vertical="center" wrapText="1"/>
    </xf>
    <xf numFmtId="0" fontId="9" fillId="0" borderId="2" applyAlignment="1" pivotButton="0" quotePrefix="0" xfId="3">
      <alignment horizontal="left" vertical="top" wrapText="1"/>
    </xf>
    <xf numFmtId="0" fontId="9" fillId="0" borderId="4" applyAlignment="1" pivotButton="0" quotePrefix="0" xfId="3">
      <alignment horizontal="left" vertical="top" wrapText="1"/>
    </xf>
    <xf numFmtId="0" fontId="4" fillId="3" borderId="1" applyAlignment="1" pivotButton="0" quotePrefix="0" xfId="0">
      <alignment horizontal="center" wrapText="1"/>
    </xf>
    <xf numFmtId="49" fontId="3" fillId="0" borderId="1" applyAlignment="1" pivotButton="0" quotePrefix="0" xfId="0">
      <alignment horizontal="left" vertical="center" wrapText="1"/>
    </xf>
    <xf numFmtId="0" fontId="4" fillId="0" borderId="3" applyAlignment="1" pivotButton="0" quotePrefix="0" xfId="1">
      <alignment horizontal="left" vertical="center" wrapText="1"/>
    </xf>
    <xf numFmtId="0" fontId="11" fillId="0" borderId="3" applyAlignment="1" pivotButton="0" quotePrefix="0" xfId="3">
      <alignment horizontal="left" vertical="center" wrapText="1"/>
    </xf>
    <xf numFmtId="0" fontId="11" fillId="0" borderId="3" applyAlignment="1" pivotButton="0" quotePrefix="0" xfId="3">
      <alignment horizontal="left" vertical="top" wrapText="1"/>
    </xf>
    <xf numFmtId="0" fontId="3" fillId="0" borderId="1" applyAlignment="1" pivotButton="0" quotePrefix="0" xfId="0">
      <alignment horizontal="center" vertical="center" wrapText="1" shrinkToFit="1"/>
    </xf>
    <xf numFmtId="49" fontId="3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1">
      <alignment horizontal="left" vertical="center" wrapText="1"/>
    </xf>
    <xf numFmtId="0" fontId="11" fillId="0" borderId="2" applyAlignment="1" pivotButton="0" quotePrefix="0" xfId="3">
      <alignment horizontal="left" vertical="center" wrapText="1"/>
    </xf>
    <xf numFmtId="0" fontId="11" fillId="0" borderId="2" applyAlignment="1" pivotButton="0" quotePrefix="0" xfId="3">
      <alignment horizontal="left" vertical="top" wrapText="1"/>
    </xf>
    <xf numFmtId="0" fontId="3" fillId="0" borderId="1" applyAlignment="1" pivotButton="0" quotePrefix="0" xfId="0">
      <alignment horizontal="justify" vertical="top" wrapText="1"/>
    </xf>
    <xf numFmtId="0" fontId="5" fillId="0" borderId="1" pivotButton="0" quotePrefix="0" xfId="0"/>
    <xf numFmtId="0" fontId="3" fillId="0" borderId="5" applyAlignment="1" pivotButton="0" quotePrefix="0" xfId="0">
      <alignment horizontal="left" wrapText="1"/>
    </xf>
    <xf numFmtId="0" fontId="3" fillId="0" borderId="5" applyAlignment="1" pivotButton="0" quotePrefix="0" xfId="0">
      <alignment horizontal="center" wrapText="1"/>
    </xf>
    <xf numFmtId="0" fontId="4" fillId="0" borderId="1" applyAlignment="1" pivotButton="0" quotePrefix="0" xfId="1">
      <alignment vertical="center"/>
    </xf>
    <xf numFmtId="4" fontId="10" fillId="0" borderId="1" applyAlignment="1" pivotButton="0" quotePrefix="0" xfId="3">
      <alignment horizontal="center" vertical="center" wrapText="1"/>
    </xf>
    <xf numFmtId="0" fontId="3" fillId="0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 shrinkToFit="1"/>
    </xf>
    <xf numFmtId="49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9" fontId="3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wrapText="1"/>
    </xf>
    <xf numFmtId="164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 shrinkToFit="1"/>
    </xf>
    <xf numFmtId="4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wrapText="1"/>
    </xf>
    <xf numFmtId="4" fontId="10" fillId="3" borderId="1" applyAlignment="1" pivotButton="0" quotePrefix="0" xfId="3">
      <alignment horizontal="center" vertical="center" wrapText="1"/>
    </xf>
    <xf numFmtId="0" fontId="3" fillId="3" borderId="1" applyAlignment="1" pivotButton="0" quotePrefix="0" xfId="0">
      <alignment horizontal="justify" vertical="center" wrapText="1"/>
    </xf>
    <xf numFmtId="0" fontId="3" fillId="3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left" vertical="top" wrapText="1"/>
    </xf>
    <xf numFmtId="164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justify" vertical="center" wrapText="1"/>
    </xf>
    <xf numFmtId="0" fontId="7" fillId="0" borderId="1" applyAlignment="1" pivotButton="0" quotePrefix="0" xfId="1">
      <alignment horizontal="center" vertical="center"/>
    </xf>
    <xf numFmtId="0" fontId="11" fillId="0" borderId="1" applyAlignment="1" pivotButton="0" quotePrefix="0" xfId="3">
      <alignment horizontal="center" vertical="center" wrapText="1"/>
    </xf>
    <xf numFmtId="4" fontId="9" fillId="0" borderId="1" applyAlignment="1" pivotButton="0" quotePrefix="0" xfId="3">
      <alignment horizontal="center" vertical="center" wrapText="1"/>
    </xf>
    <xf numFmtId="0" fontId="9" fillId="0" borderId="3" applyAlignment="1" pivotButton="0" quotePrefix="0" xfId="3">
      <alignment horizontal="left" vertical="center" wrapText="1"/>
    </xf>
    <xf numFmtId="0" fontId="9" fillId="0" borderId="2" applyAlignment="1" pivotButton="0" quotePrefix="0" xfId="3">
      <alignment horizontal="left" vertical="center" wrapText="1"/>
    </xf>
    <xf numFmtId="0" fontId="9" fillId="0" borderId="4" applyAlignment="1" pivotButton="0" quotePrefix="0" xfId="3">
      <alignment horizontal="left" vertical="center" wrapText="1"/>
    </xf>
    <xf numFmtId="0" fontId="11" fillId="3" borderId="3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4" fontId="3" fillId="0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3">
      <alignment horizontal="left" vertical="center" wrapText="1"/>
    </xf>
  </cellXfs>
  <cellStyles count="4">
    <cellStyle name="Обычный" xfId="0" builtinId="0"/>
    <cellStyle name="Обычный 2" xfId="1"/>
    <cellStyle name="Хороший 2" xfId="2"/>
    <cellStyle name="Обычный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4"/>
  <sheetViews>
    <sheetView tabSelected="1" topLeftCell="A685" zoomScaleNormal="100" workbookViewId="0">
      <selection activeCell="K709" sqref="K709"/>
    </sheetView>
  </sheetViews>
  <sheetFormatPr baseColWidth="8" defaultColWidth="9.140625" defaultRowHeight="15"/>
  <cols>
    <col width="9.140625" customWidth="1" style="9" min="1" max="1"/>
    <col width="67.140625" customWidth="1" style="8" min="2" max="2"/>
    <col width="14.5703125" customWidth="1" style="8" min="3" max="3"/>
    <col width="12.85546875" customWidth="1" style="9" min="4" max="4"/>
    <col width="16" customWidth="1" style="9" min="5" max="5"/>
    <col width="14.85546875" customWidth="1" style="10" min="6" max="6"/>
    <col width="16" customWidth="1" style="1" min="7" max="7"/>
    <col width="14.85546875" customWidth="1" style="1" min="8" max="9"/>
    <col width="9.140625" customWidth="1" style="1" min="10" max="16384"/>
  </cols>
  <sheetData>
    <row r="1" ht="67.5" customHeight="1">
      <c r="B1" s="90" t="inlineStr">
        <is>
          <t xml:space="preserve">Форма ценового предложения
 ПАО «МТС» по адресу:  г. Москва, Проспект Андропова д18 корпус 9. Модернизация мужского и Женского туалета </t>
        </is>
      </c>
      <c r="C1" s="91" t="n"/>
      <c r="D1" s="91" t="n"/>
      <c r="E1" s="91" t="n"/>
      <c r="F1" s="92" t="n"/>
    </row>
    <row r="2" ht="29.25" customFormat="1" customHeight="1" s="2">
      <c r="A2" s="81" t="inlineStr">
        <is>
          <t>№ п/п</t>
        </is>
      </c>
      <c r="B2" s="82" t="inlineStr">
        <is>
          <t>Наименование</t>
        </is>
      </c>
      <c r="C2" s="82" t="inlineStr">
        <is>
          <t>Ед. изм.</t>
        </is>
      </c>
      <c r="D2" s="82" t="inlineStr">
        <is>
          <t>Кол-во по проекту</t>
        </is>
      </c>
      <c r="E2" s="83" t="inlineStr">
        <is>
          <t>Стоимость материалов, руб. без НДС</t>
        </is>
      </c>
      <c r="F2" s="92" t="n"/>
      <c r="G2" s="83" t="inlineStr">
        <is>
          <t>Заработная плата, руб.                без НДС</t>
        </is>
      </c>
      <c r="H2" s="92" t="n"/>
      <c r="I2" s="83" t="inlineStr">
        <is>
          <t>Итого</t>
        </is>
      </c>
    </row>
    <row r="3" ht="16.5" customFormat="1" customHeight="1" s="3">
      <c r="A3" s="93" t="n"/>
      <c r="B3" s="93" t="n"/>
      <c r="C3" s="93" t="n"/>
      <c r="D3" s="93" t="n"/>
      <c r="E3" s="83" t="inlineStr">
        <is>
          <t>За единицу</t>
        </is>
      </c>
      <c r="F3" s="83" t="inlineStr">
        <is>
          <t>Итого</t>
        </is>
      </c>
      <c r="G3" s="83" t="inlineStr">
        <is>
          <t>За единицу</t>
        </is>
      </c>
      <c r="H3" s="83" t="inlineStr">
        <is>
          <t>Итого</t>
        </is>
      </c>
      <c r="I3" s="93" t="n"/>
    </row>
    <row r="4" ht="19.5" customHeight="1">
      <c r="A4" s="21" t="n"/>
      <c r="B4" s="37" t="inlineStr">
        <is>
          <t>Санузел "М/Ж" 1го этажа</t>
        </is>
      </c>
      <c r="C4" s="21" t="n"/>
      <c r="D4" s="21" t="n"/>
      <c r="E4" s="15" t="n"/>
      <c r="F4" s="22" t="n"/>
      <c r="G4" s="13" t="n"/>
      <c r="H4" s="13" t="n"/>
      <c r="I4" s="13" t="n"/>
    </row>
    <row r="5" ht="18.75" customHeight="1">
      <c r="A5" s="15" t="n"/>
      <c r="B5" s="51" t="inlineStr">
        <is>
          <t>Раздел 1. Демонтажные работы (общие)</t>
        </is>
      </c>
      <c r="C5" s="15" t="n"/>
      <c r="D5" s="15" t="n"/>
      <c r="E5" s="15" t="n"/>
      <c r="F5" s="17" t="n"/>
      <c r="G5" s="13" t="n"/>
      <c r="H5" s="13" t="n"/>
      <c r="I5" s="13" t="n"/>
    </row>
    <row r="6" ht="18.75" customHeight="1">
      <c r="A6" s="15" t="n">
        <v>1</v>
      </c>
      <c r="B6" s="54" t="inlineStr">
        <is>
          <t>Разборка цементной стяжки h=200мм</t>
        </is>
      </c>
      <c r="C6" s="55" t="inlineStr">
        <is>
          <t>м2</t>
        </is>
      </c>
      <c r="D6" s="94" t="n">
        <v>20.2</v>
      </c>
      <c r="E6" s="52" t="n">
        <v>0</v>
      </c>
      <c r="F6" s="52">
        <f>ROUND(D6*E6,2)</f>
        <v/>
      </c>
      <c r="G6" s="52" t="n">
        <v>2406.537955785568</v>
      </c>
      <c r="H6" s="52">
        <f>ROUND(D6*G6,2)</f>
        <v/>
      </c>
      <c r="I6" s="52">
        <f>ROUND(SUM(F6,H6),2)</f>
        <v/>
      </c>
    </row>
    <row r="7" ht="30" customHeight="1">
      <c r="A7" s="15" t="n">
        <v>2</v>
      </c>
      <c r="B7" s="54" t="inlineStr">
        <is>
          <t>Подвесной потолок Armstrong перфорированный,
потолочные плиты 600х600 мм</t>
        </is>
      </c>
      <c r="C7" s="55" t="inlineStr">
        <is>
          <t>м2</t>
        </is>
      </c>
      <c r="D7" s="94" t="n">
        <v>20.2</v>
      </c>
      <c r="E7" s="52" t="n">
        <v>0</v>
      </c>
      <c r="F7" s="52">
        <f>ROUND(D7*E7,2)</f>
        <v/>
      </c>
      <c r="G7" s="52" t="n">
        <v>248.8169092563968</v>
      </c>
      <c r="H7" s="52">
        <f>ROUND(D7*G7,2)</f>
        <v/>
      </c>
      <c r="I7" s="52">
        <f>ROUND(SUM(F7,H7),2)</f>
        <v/>
      </c>
    </row>
    <row r="8" ht="15.75" customHeight="1">
      <c r="A8" s="15" t="n">
        <v>3</v>
      </c>
      <c r="B8" s="54" t="inlineStr">
        <is>
          <t>Демонтаж напольного покрытия</t>
        </is>
      </c>
      <c r="C8" s="55" t="inlineStr">
        <is>
          <t>м2</t>
        </is>
      </c>
      <c r="D8" s="94" t="n">
        <v>20.2</v>
      </c>
      <c r="E8" s="52" t="n">
        <v>0</v>
      </c>
      <c r="F8" s="52">
        <f>ROUND(D8*E8,2)</f>
        <v/>
      </c>
      <c r="G8" s="52" t="n">
        <v>503.1152762397645</v>
      </c>
      <c r="H8" s="52">
        <f>ROUND(D8*G8,2)</f>
        <v/>
      </c>
      <c r="I8" s="52">
        <f>ROUND(SUM(F8,H8),2)</f>
        <v/>
      </c>
    </row>
    <row r="9" ht="15.75" customHeight="1">
      <c r="A9" s="15" t="n">
        <v>4</v>
      </c>
      <c r="B9" s="54" t="inlineStr">
        <is>
          <t>Демонтаж настенной плитки</t>
        </is>
      </c>
      <c r="C9" s="56" t="inlineStr">
        <is>
          <t>м2</t>
        </is>
      </c>
      <c r="D9" s="94" t="n">
        <v>110.06</v>
      </c>
      <c r="E9" s="52" t="n">
        <v>0</v>
      </c>
      <c r="F9" s="52">
        <f>ROUND(D9*E9,2)</f>
        <v/>
      </c>
      <c r="G9" s="52" t="n">
        <v>456.4854730631076</v>
      </c>
      <c r="H9" s="52">
        <f>ROUND(D9*G9,2)</f>
        <v/>
      </c>
      <c r="I9" s="52">
        <f>ROUND(SUM(F9,H9),2)</f>
        <v/>
      </c>
    </row>
    <row r="10" ht="30" customHeight="1">
      <c r="A10" s="15" t="n">
        <v>5</v>
      </c>
      <c r="B10" s="54" t="inlineStr">
        <is>
          <t>Существующие санузловые перегородки из ЛДСП по
металлокаркасу</t>
        </is>
      </c>
      <c r="C10" s="56" t="inlineStr">
        <is>
          <t>м2</t>
        </is>
      </c>
      <c r="D10" s="94" t="n">
        <v>18.57</v>
      </c>
      <c r="E10" s="52" t="n">
        <v>0</v>
      </c>
      <c r="F10" s="52">
        <f>ROUND(D10*E10,2)</f>
        <v/>
      </c>
      <c r="G10" s="52" t="n">
        <v>463.1152762397645</v>
      </c>
      <c r="H10" s="52">
        <f>ROUND(D10*G10,2)</f>
        <v/>
      </c>
      <c r="I10" s="52">
        <f>ROUND(SUM(F10,H10),2)</f>
        <v/>
      </c>
    </row>
    <row r="11" ht="15.75" customHeight="1">
      <c r="A11" s="15" t="n">
        <v>6</v>
      </c>
      <c r="B11" s="58" t="inlineStr">
        <is>
          <t>Разборка канализационного трубопровода, d=50мм</t>
        </is>
      </c>
      <c r="C11" s="56" t="inlineStr">
        <is>
          <t>м</t>
        </is>
      </c>
      <c r="D11" s="95" t="n">
        <v>30</v>
      </c>
      <c r="E11" s="52" t="n">
        <v>0</v>
      </c>
      <c r="F11" s="52">
        <f>ROUND(D11*E11,2)</f>
        <v/>
      </c>
      <c r="G11" s="52" t="n">
        <v>230.5660693980355</v>
      </c>
      <c r="H11" s="52">
        <f>ROUND(D11*G11,2)</f>
        <v/>
      </c>
      <c r="I11" s="52">
        <f>ROUND(SUM(F11,H11),2)</f>
        <v/>
      </c>
    </row>
    <row r="12" ht="15.75" customHeight="1">
      <c r="A12" s="15" t="n">
        <v>7</v>
      </c>
      <c r="B12" s="58" t="inlineStr">
        <is>
          <t>Разборка канализационного трубопровода, d=110мм</t>
        </is>
      </c>
      <c r="C12" s="56" t="inlineStr">
        <is>
          <t>м</t>
        </is>
      </c>
      <c r="D12" s="95" t="n">
        <v>26</v>
      </c>
      <c r="E12" s="52" t="n">
        <v>0</v>
      </c>
      <c r="F12" s="52">
        <f>ROUND(D12*E12,2)</f>
        <v/>
      </c>
      <c r="G12" s="52" t="n">
        <v>230.5660693980355</v>
      </c>
      <c r="H12" s="52">
        <f>ROUND(D12*G12,2)</f>
        <v/>
      </c>
      <c r="I12" s="52">
        <f>ROUND(SUM(F12,H12),2)</f>
        <v/>
      </c>
    </row>
    <row r="13" ht="16.5" customHeight="1">
      <c r="A13" s="15" t="n">
        <v>8</v>
      </c>
      <c r="B13" s="54" t="inlineStr">
        <is>
          <t>Демонтаж существующих унитазов</t>
        </is>
      </c>
      <c r="C13" s="56" t="inlineStr">
        <is>
          <t>шт.</t>
        </is>
      </c>
      <c r="D13" s="94" t="n">
        <v>6</v>
      </c>
      <c r="E13" s="52" t="n">
        <v>0</v>
      </c>
      <c r="F13" s="52">
        <f>ROUND(D13*E13,2)</f>
        <v/>
      </c>
      <c r="G13" s="52" t="n">
        <v>1230.373498133161</v>
      </c>
      <c r="H13" s="52">
        <f>ROUND(D13*G13,2)</f>
        <v/>
      </c>
      <c r="I13" s="52">
        <f>ROUND(SUM(F13,H13),2)</f>
        <v/>
      </c>
    </row>
    <row r="14" ht="15.75" customHeight="1">
      <c r="A14" s="15" t="n">
        <v>9</v>
      </c>
      <c r="B14" s="54" t="inlineStr">
        <is>
          <t>Демонтаж существующих  писсуаров настенных без сенсора</t>
        </is>
      </c>
      <c r="C14" s="56" t="inlineStr">
        <is>
          <t>шт.</t>
        </is>
      </c>
      <c r="D14" s="56" t="n">
        <v>3</v>
      </c>
      <c r="E14" s="52" t="n">
        <v>0</v>
      </c>
      <c r="F14" s="52">
        <f>ROUND(D14*E14,2)</f>
        <v/>
      </c>
      <c r="G14" s="52" t="n">
        <v>1230.373498133161</v>
      </c>
      <c r="H14" s="52">
        <f>ROUND(D14*G14,2)</f>
        <v/>
      </c>
      <c r="I14" s="52">
        <f>ROUND(SUM(F14,H14),2)</f>
        <v/>
      </c>
    </row>
    <row r="15" ht="15.75" customHeight="1">
      <c r="A15" s="15" t="n">
        <v>10</v>
      </c>
      <c r="B15" s="54" t="inlineStr">
        <is>
          <t xml:space="preserve">Демонтаж существующих раковин </t>
        </is>
      </c>
      <c r="C15" s="56" t="inlineStr">
        <is>
          <t>шт.</t>
        </is>
      </c>
      <c r="D15" s="94" t="n">
        <v>6</v>
      </c>
      <c r="E15" s="52" t="n">
        <v>0</v>
      </c>
      <c r="F15" s="52">
        <f>ROUND(D15*E15,2)</f>
        <v/>
      </c>
      <c r="G15" s="52" t="n">
        <v>922.7801235998708</v>
      </c>
      <c r="H15" s="52">
        <f>ROUND(D15*G15,2)</f>
        <v/>
      </c>
      <c r="I15" s="52">
        <f>ROUND(SUM(F15,H15),2)</f>
        <v/>
      </c>
    </row>
    <row r="16" ht="15.75" customHeight="1">
      <c r="A16" s="15" t="n">
        <v>11</v>
      </c>
      <c r="B16" s="54" t="inlineStr">
        <is>
          <t>Демонтаж существующих сушилок для рук</t>
        </is>
      </c>
      <c r="C16" s="56" t="inlineStr">
        <is>
          <t>шт.</t>
        </is>
      </c>
      <c r="D16" s="94" t="n">
        <v>4</v>
      </c>
      <c r="E16" s="52" t="n">
        <v>0</v>
      </c>
      <c r="F16" s="52">
        <f>ROUND(D16*E16,2)</f>
        <v/>
      </c>
      <c r="G16" s="52" t="n">
        <v>525.4268038637409</v>
      </c>
      <c r="H16" s="52">
        <f>ROUND(D16*G16,2)</f>
        <v/>
      </c>
      <c r="I16" s="52">
        <f>ROUND(SUM(F16,H16),2)</f>
        <v/>
      </c>
    </row>
    <row r="17" ht="15.75" customHeight="1">
      <c r="A17" s="15" t="n">
        <v>12</v>
      </c>
      <c r="B17" s="54" t="inlineStr">
        <is>
          <t>Демонтаж осветительных приборов 600х600</t>
        </is>
      </c>
      <c r="C17" s="56" t="inlineStr">
        <is>
          <t>шт.</t>
        </is>
      </c>
      <c r="D17" s="94" t="n">
        <v>8</v>
      </c>
      <c r="E17" s="52" t="n">
        <v>0</v>
      </c>
      <c r="F17" s="52">
        <f>ROUND(D17*E17,2)</f>
        <v/>
      </c>
      <c r="G17" s="52" t="n">
        <v>387.7157557149181</v>
      </c>
      <c r="H17" s="52">
        <f>ROUND(D17*G17,2)</f>
        <v/>
      </c>
      <c r="I17" s="52">
        <f>ROUND(SUM(F17,H17),2)</f>
        <v/>
      </c>
    </row>
    <row r="18" ht="35.25" customHeight="1">
      <c r="A18" s="15" t="n">
        <v>13</v>
      </c>
      <c r="B18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18" s="56" t="inlineStr">
        <is>
          <t>м</t>
        </is>
      </c>
      <c r="D18" s="94" t="n">
        <v>80</v>
      </c>
      <c r="E18" s="52" t="n">
        <v>0</v>
      </c>
      <c r="F18" s="52">
        <f>ROUND(D18*E18,2)</f>
        <v/>
      </c>
      <c r="G18" s="52" t="n">
        <v>92.31692015457689</v>
      </c>
      <c r="H18" s="52">
        <f>ROUND(D18*G18,2)</f>
        <v/>
      </c>
      <c r="I18" s="52">
        <f>ROUND(SUM(F18,H18),2)</f>
        <v/>
      </c>
    </row>
    <row r="19" ht="15.75" customHeight="1">
      <c r="A19" s="15" t="n">
        <v>14</v>
      </c>
      <c r="B19" s="54" t="inlineStr">
        <is>
          <t>Демонтаж распаечных коробок</t>
        </is>
      </c>
      <c r="C19" s="56" t="inlineStr">
        <is>
          <t>шт.</t>
        </is>
      </c>
      <c r="D19" s="94" t="n">
        <v>16</v>
      </c>
      <c r="E19" s="52" t="n">
        <v>0</v>
      </c>
      <c r="F19" s="52">
        <f>ROUND(D19*E19,2)</f>
        <v/>
      </c>
      <c r="G19" s="52" t="n">
        <v>230.5660693980355</v>
      </c>
      <c r="H19" s="52">
        <f>ROUND(D19*G19,2)</f>
        <v/>
      </c>
      <c r="I19" s="52">
        <f>ROUND(SUM(F19,H19),2)</f>
        <v/>
      </c>
    </row>
    <row r="20" ht="15.75" customHeight="1">
      <c r="A20" s="15" t="n">
        <v>15</v>
      </c>
      <c r="B20" s="54" t="inlineStr">
        <is>
          <t>Демонтаж динамиков оповещения</t>
        </is>
      </c>
      <c r="C20" s="56" t="inlineStr">
        <is>
          <t>шт.</t>
        </is>
      </c>
      <c r="D20" s="94" t="n">
        <v>2</v>
      </c>
      <c r="E20" s="52" t="n">
        <v>0</v>
      </c>
      <c r="F20" s="52">
        <f>ROUND(D20*E20,2)</f>
        <v/>
      </c>
      <c r="G20" s="52" t="n">
        <v>823.5785123795987</v>
      </c>
      <c r="H20" s="52">
        <f>ROUND(D20*G20,2)</f>
        <v/>
      </c>
      <c r="I20" s="52">
        <f>ROUND(SUM(F20,H20),2)</f>
        <v/>
      </c>
    </row>
    <row r="21" ht="15" customHeight="1">
      <c r="A21" s="15" t="n">
        <v>16</v>
      </c>
      <c r="B21" s="54" t="inlineStr">
        <is>
          <t>Демонтаж  освежителей воздуха со стен</t>
        </is>
      </c>
      <c r="C21" s="56" t="inlineStr">
        <is>
          <t>шт.</t>
        </is>
      </c>
      <c r="D21" s="94" t="n">
        <v>2</v>
      </c>
      <c r="E21" s="52" t="n">
        <v>0</v>
      </c>
      <c r="F21" s="52">
        <f>ROUND(D21*E21,2)</f>
        <v/>
      </c>
      <c r="G21" s="52" t="n">
        <v>262.7134019318705</v>
      </c>
      <c r="H21" s="52">
        <f>ROUND(D21*G21,2)</f>
        <v/>
      </c>
      <c r="I21" s="52">
        <f>ROUND(SUM(F21,H21),2)</f>
        <v/>
      </c>
    </row>
    <row r="22" ht="17.25" customHeight="1">
      <c r="A22" s="15" t="n">
        <v>17</v>
      </c>
      <c r="B22" s="54" t="inlineStr">
        <is>
          <t>Демонтаж существующих водяных бойлеров</t>
        </is>
      </c>
      <c r="C22" s="56" t="inlineStr">
        <is>
          <t>шт.</t>
        </is>
      </c>
      <c r="D22" s="94" t="n">
        <v>2</v>
      </c>
      <c r="E22" s="52" t="n">
        <v>0</v>
      </c>
      <c r="F22" s="52">
        <f>ROUND(D22*E22,2)</f>
        <v/>
      </c>
      <c r="G22" s="52" t="n">
        <v>2353.081463941711</v>
      </c>
      <c r="H22" s="52">
        <f>ROUND(D22*G22,2)</f>
        <v/>
      </c>
      <c r="I22" s="52">
        <f>ROUND(SUM(F22,H22),2)</f>
        <v/>
      </c>
    </row>
    <row r="23" ht="17.25" customHeight="1">
      <c r="A23" s="15" t="n">
        <v>18</v>
      </c>
      <c r="B23" s="54" t="inlineStr">
        <is>
          <t>Демонтаж существующих бумагодержателей</t>
        </is>
      </c>
      <c r="C23" s="56" t="inlineStr">
        <is>
          <t>шт.</t>
        </is>
      </c>
      <c r="D23" s="94" t="n">
        <v>6</v>
      </c>
      <c r="E23" s="52" t="n">
        <v>0</v>
      </c>
      <c r="F23" s="52">
        <f>ROUND(D23*E23,2)</f>
        <v/>
      </c>
      <c r="G23" s="52" t="n">
        <v>262.7134019318705</v>
      </c>
      <c r="H23" s="52">
        <f>ROUND(D23*G23,2)</f>
        <v/>
      </c>
      <c r="I23" s="52">
        <f>ROUND(SUM(F23,H23),2)</f>
        <v/>
      </c>
    </row>
    <row r="24" ht="15.75" customHeight="1">
      <c r="A24" s="15" t="n">
        <v>19</v>
      </c>
      <c r="B24" s="54" t="inlineStr">
        <is>
          <t>Демонтаж существующих существующих настенных зеркал</t>
        </is>
      </c>
      <c r="C24" s="56" t="inlineStr">
        <is>
          <t>шт.</t>
        </is>
      </c>
      <c r="D24" s="94" t="n">
        <v>3</v>
      </c>
      <c r="E24" s="52" t="n">
        <v>0</v>
      </c>
      <c r="F24" s="52">
        <f>ROUND(D24*E24,2)</f>
        <v/>
      </c>
      <c r="G24" s="52" t="n">
        <v>459.7484533807733</v>
      </c>
      <c r="H24" s="52">
        <f>ROUND(D24*G24,2)</f>
        <v/>
      </c>
      <c r="I24" s="52">
        <f>ROUND(SUM(F24,H24),2)</f>
        <v/>
      </c>
    </row>
    <row r="25" ht="17.25" customHeight="1">
      <c r="A25" s="15" t="n">
        <v>20</v>
      </c>
      <c r="B25" s="54" t="inlineStr">
        <is>
          <t>Демонтаж существующих туалетных полочек</t>
        </is>
      </c>
      <c r="C25" s="56" t="inlineStr">
        <is>
          <t>шт.</t>
        </is>
      </c>
      <c r="D25" s="94" t="n">
        <v>6</v>
      </c>
      <c r="E25" s="52" t="n">
        <v>0</v>
      </c>
      <c r="F25" s="52">
        <f>ROUND(D25*E25,2)</f>
        <v/>
      </c>
      <c r="G25" s="52" t="n">
        <v>262.7134019318705</v>
      </c>
      <c r="H25" s="52">
        <f>ROUND(D25*G25,2)</f>
        <v/>
      </c>
      <c r="I25" s="52">
        <f>ROUND(SUM(F25,H25),2)</f>
        <v/>
      </c>
    </row>
    <row r="26" ht="17.25" customHeight="1">
      <c r="A26" s="15" t="n">
        <v>21</v>
      </c>
      <c r="B26" s="57" t="inlineStr">
        <is>
          <t>Демонтаж существующего люка в женском сан. Узле</t>
        </is>
      </c>
      <c r="C26" s="61" t="inlineStr">
        <is>
          <t>шт.</t>
        </is>
      </c>
      <c r="D26" s="96" t="n">
        <v>4</v>
      </c>
      <c r="E26" s="52" t="n">
        <v>0</v>
      </c>
      <c r="F26" s="52">
        <f>ROUND(D26*E26,2)</f>
        <v/>
      </c>
      <c r="G26" s="52" t="n">
        <v>1166.643896813129</v>
      </c>
      <c r="H26" s="52">
        <f>ROUND(D26*G26,2)</f>
        <v/>
      </c>
      <c r="I26" s="52">
        <f>ROUND(SUM(F26,H26),2)</f>
        <v/>
      </c>
    </row>
    <row r="27" ht="17.25" customHeight="1">
      <c r="A27" s="15" t="n">
        <v>22</v>
      </c>
      <c r="B27" s="54" t="inlineStr">
        <is>
          <t>Демонтаж дверей</t>
        </is>
      </c>
      <c r="C27" s="61" t="inlineStr">
        <is>
          <t>шт.</t>
        </is>
      </c>
      <c r="D27" s="94" t="n">
        <v>3</v>
      </c>
      <c r="E27" s="52" t="n">
        <v>0</v>
      </c>
      <c r="F27" s="52">
        <f>ROUND(D27*E27,2)</f>
        <v/>
      </c>
      <c r="G27" s="52" t="n">
        <v>1346.709277613933</v>
      </c>
      <c r="H27" s="52">
        <f>ROUND(D27*G27,2)</f>
        <v/>
      </c>
      <c r="I27" s="52">
        <f>ROUND(SUM(F27,H27),2)</f>
        <v/>
      </c>
    </row>
    <row r="28" ht="45" customHeight="1">
      <c r="A28" s="15" t="n">
        <v>23</v>
      </c>
      <c r="B28" s="54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28" s="55" t="inlineStr">
        <is>
          <t>м2</t>
        </is>
      </c>
      <c r="D28" s="94" t="n">
        <v>30.15</v>
      </c>
      <c r="E28" s="52" t="n">
        <v>0</v>
      </c>
      <c r="F28" s="52">
        <f>ROUND(D28*E28,2)</f>
        <v/>
      </c>
      <c r="G28" s="52" t="n">
        <v>463.1152762397646</v>
      </c>
      <c r="H28" s="52">
        <f>ROUND(D28*G28,2)</f>
        <v/>
      </c>
      <c r="I28" s="52">
        <f>ROUND(SUM(F28,H28),2)</f>
        <v/>
      </c>
    </row>
    <row r="29" ht="18.75" customHeight="1">
      <c r="A29" s="15" t="n">
        <v>24</v>
      </c>
      <c r="B29" s="28" t="inlineStr">
        <is>
          <t>Раздел 2. Монтажные работы.</t>
        </is>
      </c>
      <c r="C29" s="15" t="n"/>
      <c r="D29" s="60" t="n"/>
      <c r="E29" s="52" t="n">
        <v>0</v>
      </c>
      <c r="F29" s="52">
        <f>ROUND(D29*E29,2)</f>
        <v/>
      </c>
      <c r="G29" s="52" t="n">
        <v>0</v>
      </c>
      <c r="H29" s="52">
        <f>ROUND(D29*G29,2)</f>
        <v/>
      </c>
      <c r="I29" s="52">
        <f>ROUND(SUM(F29,H29),2)</f>
        <v/>
      </c>
    </row>
    <row r="30" ht="15" customHeight="1">
      <c r="A30" s="15" t="n">
        <v>25</v>
      </c>
      <c r="B30" s="57" t="inlineStr">
        <is>
          <t>Устройство стяжки пола h=200мм</t>
        </is>
      </c>
      <c r="C30" s="15" t="inlineStr">
        <is>
          <t>м2</t>
        </is>
      </c>
      <c r="D30" s="94" t="n">
        <v>20.2</v>
      </c>
      <c r="E30" s="52" t="n">
        <v>3650.754138191594</v>
      </c>
      <c r="F30" s="52">
        <f>ROUND(D30*E30,2)</f>
        <v/>
      </c>
      <c r="G30" s="52" t="n">
        <v>3763.099275236907</v>
      </c>
      <c r="H30" s="52">
        <f>ROUND(D30*G30,2)</f>
        <v/>
      </c>
      <c r="I30" s="52">
        <f>ROUND(SUM(F30,H30),2)</f>
        <v/>
      </c>
    </row>
    <row r="31" ht="45" customHeight="1">
      <c r="A31" s="15" t="n">
        <v>26</v>
      </c>
      <c r="B31" s="27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31" s="55" t="inlineStr">
        <is>
          <t>м2</t>
        </is>
      </c>
      <c r="D31" s="55" t="n">
        <v>209.658</v>
      </c>
      <c r="E31" s="52" t="n">
        <v>1361.032094494925</v>
      </c>
      <c r="F31" s="52">
        <f>ROUND(D31*E31,2)</f>
        <v/>
      </c>
      <c r="G31" s="52" t="n">
        <v>2607.601033258546</v>
      </c>
      <c r="H31" s="52">
        <f>ROUND(D31*G31,2)</f>
        <v/>
      </c>
      <c r="I31" s="52">
        <f>ROUND(SUM(F31,H31),2)</f>
        <v/>
      </c>
    </row>
    <row r="32" ht="15" customHeight="1">
      <c r="A32" s="15" t="n">
        <v>27</v>
      </c>
      <c r="B32" s="57" t="inlineStr">
        <is>
          <t>Востановление стены после демонтажа люков 30х50см</t>
        </is>
      </c>
      <c r="C32" s="61" t="inlineStr">
        <is>
          <t>шт.</t>
        </is>
      </c>
      <c r="D32" s="61" t="n">
        <v>2</v>
      </c>
      <c r="E32" s="52" t="n">
        <v>0</v>
      </c>
      <c r="F32" s="52">
        <f>ROUND(D32*E32,2)</f>
        <v/>
      </c>
      <c r="G32" s="52" t="n">
        <v>2916.609742032823</v>
      </c>
      <c r="H32" s="52">
        <f>ROUND(D32*G32,2)</f>
        <v/>
      </c>
      <c r="I32" s="52">
        <f>ROUND(SUM(F32,H32),2)</f>
        <v/>
      </c>
    </row>
    <row r="33" ht="15" customHeight="1">
      <c r="A33" s="15" t="n">
        <v>28</v>
      </c>
      <c r="B33" s="57" t="inlineStr">
        <is>
          <t>Перенос и монтаж люка под плитку 1000х1000мм</t>
        </is>
      </c>
      <c r="C33" s="61" t="inlineStr">
        <is>
          <t>шт.</t>
        </is>
      </c>
      <c r="D33" s="61" t="n">
        <v>2</v>
      </c>
      <c r="E33" s="52" t="n">
        <v>11488.721342112</v>
      </c>
      <c r="F33" s="52">
        <f>ROUND(D33*E33,2)</f>
        <v/>
      </c>
      <c r="G33" s="52" t="n">
        <v>3807.926912457425</v>
      </c>
      <c r="H33" s="52">
        <f>ROUND(D33*G33,2)</f>
        <v/>
      </c>
      <c r="I33" s="52">
        <f>ROUND(SUM(F33,H33),2)</f>
        <v/>
      </c>
    </row>
    <row r="34" ht="15" customHeight="1">
      <c r="A34" s="15" t="n">
        <v>29</v>
      </c>
      <c r="B34" s="57" t="inlineStr">
        <is>
          <t>Устройство гидроизоляции</t>
        </is>
      </c>
      <c r="C34" s="15" t="inlineStr">
        <is>
          <t>м2</t>
        </is>
      </c>
      <c r="D34" s="15" t="n">
        <v>59</v>
      </c>
      <c r="E34" s="52" t="n">
        <v>442.3156016076</v>
      </c>
      <c r="F34" s="52">
        <f>ROUND(D34*E34,2)</f>
        <v/>
      </c>
      <c r="G34" s="52" t="n">
        <v>706.1086389192636</v>
      </c>
      <c r="H34" s="52">
        <f>ROUND(D34*G34,2)</f>
        <v/>
      </c>
      <c r="I34" s="52">
        <f>ROUND(SUM(F34,H34),2)</f>
        <v/>
      </c>
    </row>
    <row r="35" ht="15" customHeight="1">
      <c r="A35" s="15" t="n">
        <v>30</v>
      </c>
      <c r="B35" s="57" t="inlineStr">
        <is>
          <t>Чернение потолка и коммуникаций RAL 7026</t>
        </is>
      </c>
      <c r="C35" s="15" t="inlineStr">
        <is>
          <t>м2</t>
        </is>
      </c>
      <c r="D35" s="94" t="n">
        <v>20.2</v>
      </c>
      <c r="E35" s="52" t="n">
        <v>184.96839823686</v>
      </c>
      <c r="F35" s="52">
        <f>ROUND(D35*E35,2)</f>
        <v/>
      </c>
      <c r="G35" s="52" t="n">
        <v>377.3398992589209</v>
      </c>
      <c r="H35" s="52">
        <f>ROUND(D35*G35,2)</f>
        <v/>
      </c>
      <c r="I35" s="52">
        <f>ROUND(SUM(F35,H35),2)</f>
        <v/>
      </c>
    </row>
    <row r="36" ht="45" customHeight="1">
      <c r="A36" s="15" t="n">
        <v>31</v>
      </c>
      <c r="B36" s="57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36" s="15" t="inlineStr">
        <is>
          <t>м2</t>
        </is>
      </c>
      <c r="D36" s="94" t="n">
        <v>20.2</v>
      </c>
      <c r="E36" s="52" t="n">
        <v>1196.7213</v>
      </c>
      <c r="F36" s="52">
        <f>ROUND(D36*E36,2)</f>
        <v/>
      </c>
      <c r="G36" s="52" t="n">
        <v>1239.587057393498</v>
      </c>
      <c r="H36" s="52">
        <f>ROUND(D36*G36,2)</f>
        <v/>
      </c>
      <c r="I36" s="52">
        <f>ROUND(SUM(F36,H36),2)</f>
        <v/>
      </c>
    </row>
    <row r="37" ht="15" customHeight="1">
      <c r="A37" s="15" t="n">
        <v>32</v>
      </c>
      <c r="B37" s="57" t="inlineStr">
        <is>
          <t>Окраска фриза RAL 7026</t>
        </is>
      </c>
      <c r="C37" s="15" t="inlineStr">
        <is>
          <t>м2</t>
        </is>
      </c>
      <c r="D37" s="15" t="n">
        <v>67.64</v>
      </c>
      <c r="E37" s="52" t="n">
        <v>160.84208489013</v>
      </c>
      <c r="F37" s="52">
        <f>ROUND(D37*E37,2)</f>
        <v/>
      </c>
      <c r="G37" s="52" t="n">
        <v>451.0086387490006</v>
      </c>
      <c r="H37" s="52">
        <f>ROUND(D37*G37,2)</f>
        <v/>
      </c>
      <c r="I37" s="52">
        <f>ROUND(SUM(F37,H37),2)</f>
        <v/>
      </c>
    </row>
    <row r="38" ht="28.9" customHeight="1">
      <c r="A38" s="15" t="n">
        <v>33</v>
      </c>
      <c r="B38" s="57" t="inlineStr">
        <is>
          <t>Устройство напольного покрытия Керамогранит светло-серый 60х60 Матовый Карвинг 59,50x59,50</t>
        </is>
      </c>
      <c r="C38" s="15" t="inlineStr">
        <is>
          <t>м2</t>
        </is>
      </c>
      <c r="D38" s="94" t="n">
        <v>20.2</v>
      </c>
      <c r="E38" s="52" t="n">
        <v>2213.23820148465</v>
      </c>
      <c r="F38" s="52">
        <f>ROUND(D38*E38,2)</f>
        <v/>
      </c>
      <c r="G38" s="52" t="n">
        <v>3051.150486403696</v>
      </c>
      <c r="H38" s="52">
        <f>ROUND(D38*G38,2)</f>
        <v/>
      </c>
      <c r="I38" s="52">
        <f>ROUND(SUM(F38,H38),2)</f>
        <v/>
      </c>
    </row>
    <row r="39" ht="28.5" customHeight="1">
      <c r="A39" s="15" t="n">
        <v>34</v>
      </c>
      <c r="B39" s="57" t="inlineStr">
        <is>
          <t>Облицовка стен керамогранитом светло-серый 59,5х119,01, Матовый Карвинг 59,5х119,01 Evolution Smoke</t>
        </is>
      </c>
      <c r="C39" s="15" t="inlineStr">
        <is>
          <t>м2</t>
        </is>
      </c>
      <c r="D39" s="18" t="n">
        <v>110.06</v>
      </c>
      <c r="E39" s="52" t="n">
        <v>2222.661196699863</v>
      </c>
      <c r="F39" s="52">
        <f>ROUND(D39*E39,2)</f>
        <v/>
      </c>
      <c r="G39" s="52" t="n">
        <v>3180.984833770257</v>
      </c>
      <c r="H39" s="52">
        <f>ROUND(D39*G39,2)</f>
        <v/>
      </c>
      <c r="I39" s="52">
        <f>ROUND(SUM(F39,H39),2)</f>
        <v/>
      </c>
    </row>
    <row r="40" ht="27" customHeight="1">
      <c r="A40" s="15" t="n">
        <v>35</v>
      </c>
      <c r="B40" s="57" t="inlineStr">
        <is>
          <t>Облицовка стен керамогранитом светло-серый 59,5х119,01, Матовый Карвинг 59,5х119,01Nord Gris</t>
        </is>
      </c>
      <c r="C40" s="15" t="inlineStr">
        <is>
          <t>м2</t>
        </is>
      </c>
      <c r="D40" s="18" t="n">
        <v>25.99</v>
      </c>
      <c r="E40" s="52" t="n">
        <v>2222.661196699863</v>
      </c>
      <c r="F40" s="52">
        <f>ROUND(D40*E40,2)</f>
        <v/>
      </c>
      <c r="G40" s="52" t="n">
        <v>3180.984833770257</v>
      </c>
      <c r="H40" s="52">
        <f>ROUND(D40*G40,2)</f>
        <v/>
      </c>
      <c r="I40" s="52">
        <f>ROUND(SUM(F40,H40),2)</f>
        <v/>
      </c>
    </row>
    <row r="41" ht="30" customHeight="1">
      <c r="A41" s="15" t="n">
        <v>36</v>
      </c>
      <c r="B41" s="57" t="inlineStr">
        <is>
          <t>Монтаж светильника подвесного SP-POLO-R85-2-15W Day White 40deg теплый белый 3000К, (Black, Black Ring) (Arlight, IP20), 230D</t>
        </is>
      </c>
      <c r="C41" s="15" t="inlineStr">
        <is>
          <t>шт</t>
        </is>
      </c>
      <c r="D41" s="94" t="n">
        <v>27</v>
      </c>
      <c r="E41" s="52" t="n">
        <v>7913.8934</v>
      </c>
      <c r="F41" s="52">
        <f>ROUND(D41*E41,2)</f>
        <v/>
      </c>
      <c r="G41" s="52" t="n">
        <v>3609.000970777563</v>
      </c>
      <c r="H41" s="52">
        <f>ROUND(D41*G41,2)</f>
        <v/>
      </c>
      <c r="I41" s="52">
        <f>ROUND(SUM(F41,H41),2)</f>
        <v/>
      </c>
    </row>
    <row r="42" ht="45" customHeight="1">
      <c r="A42" s="15" t="n">
        <v>37</v>
      </c>
      <c r="B42" s="57" t="inlineStr">
        <is>
          <t>Монтаж встраиваемого светодиодного светильника OKKO IP54/IP20 13 WH Светильник SP-JEDI-HANG-R18-6W Warm3000 (BK, 360 deg, 230V) (Arlight, IP20 Пластик</t>
        </is>
      </c>
      <c r="C42" s="15" t="inlineStr">
        <is>
          <t>шт</t>
        </is>
      </c>
      <c r="D42" s="94" t="n">
        <v>10</v>
      </c>
      <c r="E42" s="52" t="n">
        <v>7453.721229457388</v>
      </c>
      <c r="F42" s="52">
        <f>ROUND(D42*E42,2)</f>
        <v/>
      </c>
      <c r="G42" s="52" t="n">
        <v>3214.625726855305</v>
      </c>
      <c r="H42" s="52">
        <f>ROUND(D42*G42,2)</f>
        <v/>
      </c>
      <c r="I42" s="52">
        <f>ROUND(SUM(F42,H42),2)</f>
        <v/>
      </c>
    </row>
    <row r="43" ht="15.75" customHeight="1">
      <c r="A43" s="15" t="n">
        <v>38</v>
      </c>
      <c r="B43" s="57" t="inlineStr">
        <is>
          <t>Монтаж существующей музыкальной колонки</t>
        </is>
      </c>
      <c r="C43" s="15" t="inlineStr">
        <is>
          <t>шт</t>
        </is>
      </c>
      <c r="D43" s="60" t="n">
        <v>2</v>
      </c>
      <c r="E43" s="52" t="n">
        <v>0</v>
      </c>
      <c r="F43" s="52">
        <f>ROUND(D43*E43,2)</f>
        <v/>
      </c>
      <c r="G43" s="52" t="n">
        <v>1411.848878365026</v>
      </c>
      <c r="H43" s="52">
        <f>ROUND(D43*G43,2)</f>
        <v/>
      </c>
      <c r="I43" s="52">
        <f>ROUND(SUM(F43,H43),2)</f>
        <v/>
      </c>
    </row>
    <row r="44" ht="15.75" customHeight="1">
      <c r="A44" s="15" t="n">
        <v>39</v>
      </c>
      <c r="B44" s="57" t="inlineStr">
        <is>
          <t>Монтаж диффузоров</t>
        </is>
      </c>
      <c r="C44" s="15" t="inlineStr">
        <is>
          <t>шт</t>
        </is>
      </c>
      <c r="D44" s="18" t="n">
        <v>6</v>
      </c>
      <c r="E44" s="52" t="n">
        <v>1238.627820067312</v>
      </c>
      <c r="F44" s="52">
        <f>ROUND(D44*E44,2)</f>
        <v/>
      </c>
      <c r="G44" s="52" t="n">
        <v>1200.283269440882</v>
      </c>
      <c r="H44" s="52">
        <f>ROUND(D44*G44,2)</f>
        <v/>
      </c>
      <c r="I44" s="52">
        <f>ROUND(SUM(F44,H44),2)</f>
        <v/>
      </c>
    </row>
    <row r="45" ht="45" customHeight="1">
      <c r="A45" s="15" t="n">
        <v>40</v>
      </c>
      <c r="B45" s="65" t="inlineStr">
        <is>
          <t>Монтаж дверных блоков 2Л 2000х700.
Монтаж деревянных дверей  из ЛДСП в телескопической алюминиевой коробке в проем, замок WC Свободно/занято</t>
        </is>
      </c>
      <c r="C45" s="15" t="inlineStr">
        <is>
          <t>шт</t>
        </is>
      </c>
      <c r="D45" s="18" t="n">
        <v>2</v>
      </c>
      <c r="E45" s="52" t="n">
        <v>14360.90167764</v>
      </c>
      <c r="F45" s="52">
        <f>ROUND(D45*E45,2)</f>
        <v/>
      </c>
      <c r="G45" s="52" t="n">
        <v>9911.798466495968</v>
      </c>
      <c r="H45" s="52">
        <f>ROUND(D45*G45,2)</f>
        <v/>
      </c>
      <c r="I45" s="52">
        <f>ROUND(SUM(F45,H45),2)</f>
        <v/>
      </c>
    </row>
    <row r="46" ht="45" customHeight="1">
      <c r="A46" s="15" t="n">
        <v>41</v>
      </c>
      <c r="B46" s="65" t="inlineStr">
        <is>
          <t>Монтаж дверные блоков 2П 2000х700.
Монтаж деревянных дверей  из ЛДСП в телескопической алюминиевой коробке в проем,  замок WC Свободно/занято</t>
        </is>
      </c>
      <c r="C46" s="15" t="inlineStr">
        <is>
          <t>шт</t>
        </is>
      </c>
      <c r="D46" s="18" t="n">
        <v>4</v>
      </c>
      <c r="E46" s="52" t="n">
        <v>14360.90167764</v>
      </c>
      <c r="F46" s="52">
        <f>ROUND(D46*E46,2)</f>
        <v/>
      </c>
      <c r="G46" s="52" t="n">
        <v>9911.798466495968</v>
      </c>
      <c r="H46" s="52">
        <f>ROUND(D46*G46,2)</f>
        <v/>
      </c>
      <c r="I46" s="52">
        <f>ROUND(SUM(F46,H46),2)</f>
        <v/>
      </c>
    </row>
    <row r="47" ht="60" customHeight="1">
      <c r="A47" s="15" t="n">
        <v>42</v>
      </c>
      <c r="B47" s="65" t="inlineStr">
        <is>
          <t>Монтаж дверных блоков 1Л 2000х800.
Монтаж деревянных дверей  из ЛДСП, в телескопической алюминиевой коробке в проем, доводчик для автоматического закрывания.</t>
        </is>
      </c>
      <c r="C47" s="15" t="inlineStr">
        <is>
          <t>шт</t>
        </is>
      </c>
      <c r="D47" s="18" t="n">
        <v>2</v>
      </c>
      <c r="E47" s="52" t="n">
        <v>16467.167264814</v>
      </c>
      <c r="F47" s="52">
        <f>ROUND(D47*E47,2)</f>
        <v/>
      </c>
      <c r="G47" s="52" t="n">
        <v>10387.33623538618</v>
      </c>
      <c r="H47" s="52">
        <f>ROUND(D47*G47,2)</f>
        <v/>
      </c>
      <c r="I47" s="52">
        <f>ROUND(SUM(F47,H47),2)</f>
        <v/>
      </c>
    </row>
    <row r="48" ht="45" customHeight="1">
      <c r="A48" s="15" t="n">
        <v>43</v>
      </c>
      <c r="B48" s="57" t="inlineStr">
        <is>
          <t>Устройство  столешниц Иск. камень,
LG Hi-macs G503 NIGHT STELLA, - 20 мм
Мет. труба, - 40 мм</t>
        </is>
      </c>
      <c r="C48" s="15" t="inlineStr">
        <is>
          <t>шт</t>
        </is>
      </c>
      <c r="D48" s="18" t="n">
        <v>3</v>
      </c>
      <c r="E48" s="52" t="n">
        <v>33508.77050329201</v>
      </c>
      <c r="F48" s="52">
        <f>ROUND(D48*E48,2)</f>
        <v/>
      </c>
      <c r="G48" s="52" t="n">
        <v>16145.48096511602</v>
      </c>
      <c r="H48" s="52">
        <f>ROUND(D48*G48,2)</f>
        <v/>
      </c>
      <c r="I48" s="52">
        <f>ROUND(SUM(F48,H48),2)</f>
        <v/>
      </c>
    </row>
    <row r="49" ht="15.75" customHeight="1">
      <c r="A49" s="15" t="n">
        <v>44</v>
      </c>
      <c r="B49" s="57" t="inlineStr">
        <is>
          <t xml:space="preserve">Монтаж подвесных писуаров </t>
        </is>
      </c>
      <c r="C49" s="15" t="inlineStr">
        <is>
          <t>шт</t>
        </is>
      </c>
      <c r="D49" s="18" t="n">
        <v>3</v>
      </c>
      <c r="E49" s="52" t="n">
        <v>13585.41290295</v>
      </c>
      <c r="F49" s="52">
        <f>ROUND(D49*E49,2)</f>
        <v/>
      </c>
      <c r="G49" s="52" t="n">
        <v>6401.837371901934</v>
      </c>
      <c r="H49" s="52">
        <f>ROUND(D49*G49,2)</f>
        <v/>
      </c>
      <c r="I49" s="52">
        <f>ROUND(SUM(F49,H49),2)</f>
        <v/>
      </c>
    </row>
    <row r="50" ht="39.75" customHeight="1">
      <c r="A50" s="15" t="n">
        <v>45</v>
      </c>
      <c r="B50" s="57" t="inlineStr">
        <is>
          <t>Унитаз-компакт AM.PM Crave Flash Clean универсальный выпуск, двойной слив. Сиденье с микролифтом</t>
        </is>
      </c>
      <c r="C50" s="15" t="inlineStr">
        <is>
          <t>шт</t>
        </is>
      </c>
      <c r="D50" s="18" t="n">
        <v>6</v>
      </c>
      <c r="E50" s="52" t="n">
        <v>18956.390167764</v>
      </c>
      <c r="F50" s="52">
        <f>ROUND(D50*E50,2)</f>
        <v/>
      </c>
      <c r="G50" s="52" t="n">
        <v>8014.654209354573</v>
      </c>
      <c r="H50" s="52">
        <f>ROUND(D50*G50,2)</f>
        <v/>
      </c>
      <c r="I50" s="52">
        <f>ROUND(SUM(F50,H50),2)</f>
        <v/>
      </c>
    </row>
    <row r="51" ht="15.75" customHeight="1">
      <c r="A51" s="15" t="n">
        <v>46</v>
      </c>
      <c r="B51" s="57" t="inlineStr">
        <is>
          <t>Раковина Cersanit Moduo 40 Ring с подстольем 40 см</t>
        </is>
      </c>
      <c r="C51" s="15" t="inlineStr">
        <is>
          <t>комп</t>
        </is>
      </c>
      <c r="D51" s="18" t="n">
        <v>6</v>
      </c>
      <c r="E51" s="52" t="n">
        <v>7295.338103634</v>
      </c>
      <c r="F51" s="52">
        <f>ROUND(D51*E51,2)</f>
        <v/>
      </c>
      <c r="G51" s="52" t="n">
        <v>4048.005128082581</v>
      </c>
      <c r="H51" s="52">
        <f>ROUND(D51*G51,2)</f>
        <v/>
      </c>
      <c r="I51" s="52">
        <f>ROUND(SUM(F51,H51),2)</f>
        <v/>
      </c>
    </row>
    <row r="52" ht="15.75" customHeight="1">
      <c r="A52" s="15" t="n">
        <v>47</v>
      </c>
      <c r="B52" s="57" t="inlineStr">
        <is>
          <t>Покраска стены</t>
        </is>
      </c>
      <c r="C52" s="15" t="inlineStr">
        <is>
          <t>м2</t>
        </is>
      </c>
      <c r="D52" s="18" t="n">
        <v>15.76</v>
      </c>
      <c r="E52" s="52" t="n">
        <v>160.84208489013</v>
      </c>
      <c r="F52" s="52">
        <f>ROUND(D52*E52,2)</f>
        <v/>
      </c>
      <c r="G52" s="52" t="n">
        <v>451.0086387490006</v>
      </c>
      <c r="H52" s="52">
        <f>ROUND(D52*G52,2)</f>
        <v/>
      </c>
      <c r="I52" s="52">
        <f>ROUND(SUM(F52,H52),2)</f>
        <v/>
      </c>
    </row>
    <row r="53" ht="30" customHeight="1">
      <c r="A53" s="15" t="n">
        <v>48</v>
      </c>
      <c r="B53" s="57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53" s="15" t="inlineStr">
        <is>
          <t>шт</t>
        </is>
      </c>
      <c r="D53" s="18" t="n">
        <v>6</v>
      </c>
      <c r="E53" s="52" t="n">
        <v>7471.881327158641</v>
      </c>
      <c r="F53" s="52">
        <f>ROUND(D53*E53,2)</f>
        <v/>
      </c>
      <c r="G53" s="52" t="n">
        <v>3287.730687613305</v>
      </c>
      <c r="H53" s="52">
        <f>ROUND(D53*G53,2)</f>
        <v/>
      </c>
      <c r="I53" s="52">
        <f>ROUND(SUM(F53,H53),2)</f>
        <v/>
      </c>
    </row>
    <row r="54" ht="15.75" customHeight="1">
      <c r="A54" s="15" t="n">
        <v>49</v>
      </c>
      <c r="B54" s="57" t="inlineStr">
        <is>
          <t>Гигиенический душ Olive'S Balear 13141BLB со смесителем</t>
        </is>
      </c>
      <c r="C54" s="15" t="inlineStr">
        <is>
          <t>шт</t>
        </is>
      </c>
      <c r="D54" s="18" t="n">
        <v>5</v>
      </c>
      <c r="E54" s="52" t="n">
        <v>5256.09</v>
      </c>
      <c r="F54" s="52">
        <f>ROUND(D54*E54,2)</f>
        <v/>
      </c>
      <c r="G54" s="52" t="n">
        <v>3187.402570491844</v>
      </c>
      <c r="H54" s="52">
        <f>ROUND(D54*G54,2)</f>
        <v/>
      </c>
      <c r="I54" s="52">
        <f>ROUND(SUM(F54,H54),2)</f>
        <v/>
      </c>
    </row>
    <row r="55" ht="15.75" customHeight="1">
      <c r="A55" s="15" t="n">
        <v>50</v>
      </c>
      <c r="B55" s="7" t="inlineStr">
        <is>
          <t>Монтаж сантехнических аксессуаров:</t>
        </is>
      </c>
      <c r="C55" s="15" t="inlineStr">
        <is>
          <t>комп</t>
        </is>
      </c>
      <c r="D55" s="18" t="n"/>
      <c r="E55" s="52" t="n">
        <v>0</v>
      </c>
      <c r="F55" s="52">
        <f>ROUND(D55*E55,2)</f>
        <v/>
      </c>
      <c r="G55" s="52" t="n">
        <v>0</v>
      </c>
      <c r="H55" s="52">
        <f>ROUND(D55*G55,2)</f>
        <v/>
      </c>
      <c r="I55" s="52">
        <f>ROUND(SUM(F55,H55),2)</f>
        <v/>
      </c>
    </row>
    <row r="56" ht="15.75" customHeight="1">
      <c r="A56" s="15" t="n">
        <v>51</v>
      </c>
      <c r="B56" s="7" t="inlineStr">
        <is>
          <t xml:space="preserve">Зеркало с подсветкой с прозрачным кантом </t>
        </is>
      </c>
      <c r="C56" s="15" t="inlineStr">
        <is>
          <t>шт</t>
        </is>
      </c>
      <c r="D56" s="18" t="n">
        <v>6</v>
      </c>
      <c r="E56" s="52" t="n">
        <v>5048.3607</v>
      </c>
      <c r="F56" s="52">
        <f>ROUND(D56*E56,2)</f>
        <v/>
      </c>
      <c r="G56" s="52" t="n">
        <v>2303.492849906005</v>
      </c>
      <c r="H56" s="52">
        <f>ROUND(D56*G56,2)</f>
        <v/>
      </c>
      <c r="I56" s="52">
        <f>ROUND(SUM(F56,H56),2)</f>
        <v/>
      </c>
    </row>
    <row r="57" ht="45" customHeight="1">
      <c r="A57" s="15" t="n">
        <v>52</v>
      </c>
      <c r="B57" s="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57" s="15" t="inlineStr">
        <is>
          <t>м</t>
        </is>
      </c>
      <c r="D57" s="18" t="n">
        <v>60</v>
      </c>
      <c r="E57" s="52" t="n">
        <v>92.02159603728001</v>
      </c>
      <c r="F57" s="52">
        <f>ROUND(D57*E57,2)</f>
        <v/>
      </c>
      <c r="G57" s="52" t="n">
        <v>334.1070507051873</v>
      </c>
      <c r="H57" s="52">
        <f>ROUND(D57*G57,2)</f>
        <v/>
      </c>
      <c r="I57" s="52">
        <f>ROUND(SUM(F57,H57),2)</f>
        <v/>
      </c>
    </row>
    <row r="58" ht="32.25" customHeight="1">
      <c r="A58" s="15" t="n">
        <v>53</v>
      </c>
      <c r="B58" s="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58" s="15" t="inlineStr">
        <is>
          <t>м</t>
        </is>
      </c>
      <c r="D58" s="18" t="n">
        <v>20</v>
      </c>
      <c r="E58" s="52" t="n">
        <v>112.12685511552</v>
      </c>
      <c r="F58" s="52">
        <f>ROUND(D58*E58,2)</f>
        <v/>
      </c>
      <c r="G58" s="52" t="n">
        <v>970.3651152701751</v>
      </c>
      <c r="H58" s="52">
        <f>ROUND(D58*G58,2)</f>
        <v/>
      </c>
      <c r="I58" s="52">
        <f>ROUND(SUM(F58,H58),2)</f>
        <v/>
      </c>
    </row>
    <row r="59" ht="15.75" customHeight="1">
      <c r="A59" s="15" t="n">
        <v>54</v>
      </c>
      <c r="B59" s="7" t="inlineStr">
        <is>
          <t>Монтаж КУП</t>
        </is>
      </c>
      <c r="C59" s="15" t="inlineStr">
        <is>
          <t>шт.</t>
        </is>
      </c>
      <c r="D59" s="18" t="n">
        <v>2</v>
      </c>
      <c r="E59" s="52" t="n">
        <v>918.6189791877001</v>
      </c>
      <c r="F59" s="52">
        <f>ROUND(D59*E59,2)</f>
        <v/>
      </c>
      <c r="G59" s="52" t="n">
        <v>614.1423662764341</v>
      </c>
      <c r="H59" s="52">
        <f>ROUND(D59*G59,2)</f>
        <v/>
      </c>
      <c r="I59" s="52">
        <f>ROUND(SUM(F59,H59),2)</f>
        <v/>
      </c>
    </row>
    <row r="60" ht="15.75" customHeight="1">
      <c r="A60" s="15" t="n">
        <v>55</v>
      </c>
      <c r="B60" s="13" t="inlineStr">
        <is>
          <t>Прокладка провода ПуГПнг(А)-HF 1х6 мм.кв.</t>
        </is>
      </c>
      <c r="C60" s="15" t="inlineStr">
        <is>
          <t>м</t>
        </is>
      </c>
      <c r="D60" s="18" t="n">
        <v>20</v>
      </c>
      <c r="E60" s="52" t="n">
        <v>84.63354249168002</v>
      </c>
      <c r="F60" s="52">
        <f>ROUND(D60*E60,2)</f>
        <v/>
      </c>
      <c r="G60" s="52" t="n">
        <v>320.3756441224579</v>
      </c>
      <c r="H60" s="52">
        <f>ROUND(D60*G60,2)</f>
        <v/>
      </c>
      <c r="I60" s="52">
        <f>ROUND(SUM(F60,H60),2)</f>
        <v/>
      </c>
    </row>
    <row r="61" ht="30" customHeight="1">
      <c r="A61" s="15" t="n">
        <v>56</v>
      </c>
      <c r="B61" s="14" t="inlineStr">
        <is>
          <t>Присоединение к зажимам жил проводов или кабелей сечением до 2,5 мм²</t>
        </is>
      </c>
      <c r="C61" s="15" t="inlineStr">
        <is>
          <t>шт.</t>
        </is>
      </c>
      <c r="D61" s="18" t="n">
        <v>100</v>
      </c>
      <c r="E61" s="52" t="n">
        <v>0</v>
      </c>
      <c r="F61" s="52">
        <f>ROUND(D61*E61,2)</f>
        <v/>
      </c>
      <c r="G61" s="52" t="n">
        <v>80.83276616230575</v>
      </c>
      <c r="H61" s="52">
        <f>ROUND(D61*G61,2)</f>
        <v/>
      </c>
      <c r="I61" s="52">
        <f>ROUND(SUM(F61,H61),2)</f>
        <v/>
      </c>
    </row>
    <row r="62" ht="15" customHeight="1">
      <c r="A62" s="15" t="n">
        <v>57</v>
      </c>
      <c r="B62" s="14" t="inlineStr">
        <is>
          <t>Присоединение к зажимам жил проводов или кабелей сечением до 6 мм²</t>
        </is>
      </c>
      <c r="C62" s="15" t="inlineStr">
        <is>
          <t>шт.</t>
        </is>
      </c>
      <c r="D62" s="18" t="n">
        <v>100</v>
      </c>
      <c r="E62" s="52" t="n">
        <v>0</v>
      </c>
      <c r="F62" s="52">
        <f>ROUND(D62*E62,2)</f>
        <v/>
      </c>
      <c r="G62" s="52" t="n">
        <v>109.9595342241365</v>
      </c>
      <c r="H62" s="52">
        <f>ROUND(D62*G62,2)</f>
        <v/>
      </c>
      <c r="I62" s="52">
        <f>ROUND(SUM(F62,H62),2)</f>
        <v/>
      </c>
    </row>
    <row r="63" ht="15.75" customHeight="1">
      <c r="A63" s="15" t="n">
        <v>58</v>
      </c>
      <c r="B63" s="13" t="inlineStr">
        <is>
          <t>Пусконаладочные работы</t>
        </is>
      </c>
      <c r="C63" s="15" t="inlineStr">
        <is>
          <t>компл.</t>
        </is>
      </c>
      <c r="D63" s="18" t="n">
        <v>1</v>
      </c>
      <c r="E63" s="52" t="n">
        <v>0</v>
      </c>
      <c r="F63" s="52">
        <f>ROUND(D63*E63,2)</f>
        <v/>
      </c>
      <c r="G63" s="52" t="n">
        <v>15036.25001159667</v>
      </c>
      <c r="H63" s="52">
        <f>ROUND(D63*G63,2)</f>
        <v/>
      </c>
      <c r="I63" s="52">
        <f>ROUND(SUM(F63,H63),2)</f>
        <v/>
      </c>
    </row>
    <row r="64" ht="15.75" customHeight="1">
      <c r="A64" s="15" t="n">
        <v>59</v>
      </c>
      <c r="B64" s="13" t="inlineStr">
        <is>
          <t>Монтаж распаечных коробок</t>
        </is>
      </c>
      <c r="C64" s="15" t="inlineStr">
        <is>
          <t>шт</t>
        </is>
      </c>
      <c r="D64" s="18" t="n">
        <v>38</v>
      </c>
      <c r="E64" s="52" t="n">
        <v>53.18324441640001</v>
      </c>
      <c r="F64" s="52">
        <f>ROUND(D64*E64,2)</f>
        <v/>
      </c>
      <c r="G64" s="52" t="n">
        <v>641.1219285959296</v>
      </c>
      <c r="H64" s="52">
        <f>ROUND(D64*G64,2)</f>
        <v/>
      </c>
      <c r="I64" s="52">
        <f>ROUND(SUM(F64,H64),2)</f>
        <v/>
      </c>
    </row>
    <row r="65" ht="15.75" customHeight="1">
      <c r="A65" s="15" t="n">
        <v>60</v>
      </c>
      <c r="B65" s="48" t="inlineStr">
        <is>
          <t>Выключатель двухклавишный</t>
        </is>
      </c>
      <c r="C65" s="15" t="inlineStr">
        <is>
          <t>шт</t>
        </is>
      </c>
      <c r="D65" s="18" t="n">
        <v>1</v>
      </c>
      <c r="E65" s="52" t="n">
        <v>338.43852781704</v>
      </c>
      <c r="F65" s="52">
        <f>ROUND(D65*E65,2)</f>
        <v/>
      </c>
      <c r="G65" s="52" t="n">
        <v>656.3663918054848</v>
      </c>
      <c r="H65" s="52">
        <f>ROUND(D65*G65,2)</f>
        <v/>
      </c>
      <c r="I65" s="52">
        <f>ROUND(SUM(F65,H65),2)</f>
        <v/>
      </c>
    </row>
    <row r="66">
      <c r="A66" s="15" t="n">
        <v>61</v>
      </c>
      <c r="B66" s="29" t="inlineStr">
        <is>
          <t>Раздел 3. Сантехнические работы</t>
        </is>
      </c>
      <c r="C66" s="53" t="n"/>
      <c r="D66" s="15" t="n"/>
      <c r="E66" s="15" t="n"/>
      <c r="F66" s="17" t="n"/>
      <c r="G66" s="13" t="n"/>
      <c r="H66" s="13" t="n"/>
      <c r="I66" s="13" t="n"/>
    </row>
    <row r="67" ht="15.75" customHeight="1">
      <c r="A67" s="15" t="n">
        <v>62</v>
      </c>
      <c r="B67" s="58" t="inlineStr">
        <is>
          <t>Прокладка канализационного трубопровода, d=50мм</t>
        </is>
      </c>
      <c r="C67" s="15" t="inlineStr">
        <is>
          <t>м</t>
        </is>
      </c>
      <c r="D67" s="67" t="n">
        <v>30</v>
      </c>
      <c r="E67" s="52" t="n">
        <v>207.10334552544</v>
      </c>
      <c r="F67" s="52">
        <f>ROUND(D67*E67,2)</f>
        <v/>
      </c>
      <c r="G67" s="52" t="n">
        <v>647.5516149375146</v>
      </c>
      <c r="H67" s="52">
        <f>ROUND(D67*G67,2)</f>
        <v/>
      </c>
      <c r="I67" s="52">
        <f>ROUND(SUM(F67,H67),2)</f>
        <v/>
      </c>
    </row>
    <row r="68" ht="15.75" customHeight="1">
      <c r="A68" s="15" t="n">
        <v>63</v>
      </c>
      <c r="B68" s="58" t="inlineStr">
        <is>
          <t>Покладка канализационного трубопровода, d=110мм</t>
        </is>
      </c>
      <c r="C68" s="15" t="inlineStr">
        <is>
          <t>м</t>
        </is>
      </c>
      <c r="D68" s="67" t="n">
        <v>26</v>
      </c>
      <c r="E68" s="52" t="n">
        <v>491.8704152544</v>
      </c>
      <c r="F68" s="52">
        <f>ROUND(D68*E68,2)</f>
        <v/>
      </c>
      <c r="G68" s="52" t="n">
        <v>911.442074203041</v>
      </c>
      <c r="H68" s="52">
        <f>ROUND(D68*G68,2)</f>
        <v/>
      </c>
      <c r="I68" s="52">
        <f>ROUND(SUM(F68,H68),2)</f>
        <v/>
      </c>
    </row>
    <row r="69" ht="30" customHeight="1">
      <c r="A69" s="15" t="n">
        <v>64</v>
      </c>
      <c r="B69" s="53" t="inlineStr">
        <is>
          <t>Монтаж трубопровода ХВС и ГВС для Гигиенического душа с креплением к несущим конструкциям 1/2'</t>
        </is>
      </c>
      <c r="C69" s="15" t="inlineStr">
        <is>
          <t>м</t>
        </is>
      </c>
      <c r="D69" s="15" t="n">
        <v>30</v>
      </c>
      <c r="E69" s="52" t="n">
        <v>124.4611276272</v>
      </c>
      <c r="F69" s="52">
        <f>ROUND(D69*E69,2)</f>
        <v/>
      </c>
      <c r="G69" s="52" t="n">
        <v>494.5807053620796</v>
      </c>
      <c r="H69" s="52">
        <f>ROUND(D69*G69,2)</f>
        <v/>
      </c>
      <c r="I69" s="52">
        <f>ROUND(SUM(F69,H69),2)</f>
        <v/>
      </c>
    </row>
    <row r="70" ht="15.75" customHeight="1">
      <c r="A70" s="15" t="n">
        <v>65</v>
      </c>
      <c r="B70" s="53" t="inlineStr">
        <is>
          <t>Теплоизоляция трубопровода для Гигиенического душа</t>
        </is>
      </c>
      <c r="C70" s="15" t="inlineStr">
        <is>
          <t>м</t>
        </is>
      </c>
      <c r="D70" s="15" t="n">
        <v>30</v>
      </c>
      <c r="E70" s="52" t="n">
        <v>44.80595735616</v>
      </c>
      <c r="F70" s="52">
        <f>ROUND(D70*E70,2)</f>
        <v/>
      </c>
      <c r="G70" s="52" t="n">
        <v>209.7137340258199</v>
      </c>
      <c r="H70" s="52">
        <f>ROUND(D70*G70,2)</f>
        <v/>
      </c>
      <c r="I70" s="52">
        <f>ROUND(SUM(F70,H70),2)</f>
        <v/>
      </c>
    </row>
    <row r="71" ht="15.75" customHeight="1">
      <c r="A71" s="15" t="n">
        <v>66</v>
      </c>
      <c r="B71" s="53" t="inlineStr">
        <is>
          <t>Установка запорной арматуры на линию Гигиенического душа</t>
        </is>
      </c>
      <c r="C71" s="15" t="inlineStr">
        <is>
          <t>шт</t>
        </is>
      </c>
      <c r="D71" s="15" t="n">
        <v>2</v>
      </c>
      <c r="E71" s="52" t="n">
        <v>448.060180932</v>
      </c>
      <c r="F71" s="52">
        <f>ROUND(D71*E71,2)</f>
        <v/>
      </c>
      <c r="G71" s="52" t="n">
        <v>1301.746431732025</v>
      </c>
      <c r="H71" s="52">
        <f>ROUND(D71*G71,2)</f>
        <v/>
      </c>
      <c r="I71" s="52">
        <f>ROUND(SUM(F71,H71),2)</f>
        <v/>
      </c>
    </row>
    <row r="72" ht="15.75" customHeight="1">
      <c r="A72" s="15" t="n">
        <v>67</v>
      </c>
      <c r="B72" s="53" t="inlineStr">
        <is>
          <t>Установка обратных клапанов на линию Гигиенического душа</t>
        </is>
      </c>
      <c r="C72" s="15" t="inlineStr">
        <is>
          <t>шт</t>
        </is>
      </c>
      <c r="D72" s="15" t="n">
        <v>2</v>
      </c>
      <c r="E72" s="52" t="n">
        <v>378.36187657632</v>
      </c>
      <c r="F72" s="52">
        <f>ROUND(D72*E72,2)</f>
        <v/>
      </c>
      <c r="G72" s="52" t="n">
        <v>1286.010440814944</v>
      </c>
      <c r="H72" s="52">
        <f>ROUND(D72*G72,2)</f>
        <v/>
      </c>
      <c r="I72" s="52">
        <f>ROUND(SUM(F72,H72),2)</f>
        <v/>
      </c>
    </row>
    <row r="73" ht="30" customHeight="1">
      <c r="A73" s="15" t="n">
        <v>68</v>
      </c>
      <c r="B73" s="53" t="inlineStr">
        <is>
          <t>Установка лючков 300х300 под плитку для доступа к подключению Гигиенического душа</t>
        </is>
      </c>
      <c r="C73" s="15" t="inlineStr">
        <is>
          <t>шт</t>
        </is>
      </c>
      <c r="D73" s="15" t="n">
        <v>5</v>
      </c>
      <c r="E73" s="52" t="n">
        <v>2106.265587174</v>
      </c>
      <c r="F73" s="52">
        <f>ROUND(D73*E73,2)</f>
        <v/>
      </c>
      <c r="G73" s="52" t="n">
        <v>1689.622315172197</v>
      </c>
      <c r="H73" s="52">
        <f>ROUND(D73*G73,2)</f>
        <v/>
      </c>
      <c r="I73" s="52">
        <f>ROUND(SUM(F73,H73),2)</f>
        <v/>
      </c>
    </row>
    <row r="74" ht="15.75" customHeight="1">
      <c r="A74" s="15" t="n">
        <v>69</v>
      </c>
      <c r="B74" s="53" t="inlineStr">
        <is>
          <t>Замена напольных трапов 100х100мм HL 510 N-3000</t>
        </is>
      </c>
      <c r="C74" s="15" t="inlineStr">
        <is>
          <t>шт</t>
        </is>
      </c>
      <c r="D74" s="15" t="n">
        <v>2</v>
      </c>
      <c r="E74" s="52" t="n">
        <v>5700.8197</v>
      </c>
      <c r="F74" s="52">
        <f>ROUND(D74*E74,2)</f>
        <v/>
      </c>
      <c r="G74" s="52" t="n">
        <v>4837.966600955877</v>
      </c>
      <c r="H74" s="52">
        <f>ROUND(D74*G74,2)</f>
        <v/>
      </c>
      <c r="I74" s="52">
        <f>ROUND(SUM(F74,H74),2)</f>
        <v/>
      </c>
    </row>
    <row r="75" ht="30" customHeight="1">
      <c r="A75" s="15" t="n">
        <v>70</v>
      </c>
      <c r="B75" s="53" t="inlineStr">
        <is>
          <t>Опрессовка смонтированного или реконструированного трубопровода ХВС/ГВС</t>
        </is>
      </c>
      <c r="C75" s="15" t="inlineStr">
        <is>
          <t>компл.</t>
        </is>
      </c>
      <c r="D75" s="18" t="n">
        <v>1</v>
      </c>
      <c r="E75" s="52" t="n">
        <v>0</v>
      </c>
      <c r="F75" s="52">
        <f>ROUND(D75*E75,2)</f>
        <v/>
      </c>
      <c r="G75" s="52" t="n">
        <v>4706.162927883422</v>
      </c>
      <c r="H75" s="52">
        <f>ROUND(D75*G75,2)</f>
        <v/>
      </c>
      <c r="I75" s="52">
        <f>ROUND(SUM(F75,H75),2)</f>
        <v/>
      </c>
    </row>
    <row r="76">
      <c r="A76" s="15" t="n">
        <v>71</v>
      </c>
      <c r="B76" s="53" t="inlineStr">
        <is>
          <t>Навесные элементы в санузлы</t>
        </is>
      </c>
      <c r="C76" s="53" t="n"/>
      <c r="D76" s="18" t="n"/>
      <c r="E76" s="15" t="n"/>
      <c r="F76" s="17" t="n"/>
      <c r="G76" s="13" t="n"/>
      <c r="H76" s="13" t="n"/>
      <c r="I76" s="13" t="n"/>
    </row>
    <row r="77" ht="15.75" customHeight="1">
      <c r="A77" s="15" t="n">
        <v>72</v>
      </c>
      <c r="B77" s="53" t="inlineStr">
        <is>
          <t>Диспенсер под туалетную бумагу</t>
        </is>
      </c>
      <c r="C77" s="20" t="inlineStr">
        <is>
          <t>шт</t>
        </is>
      </c>
      <c r="D77" s="20" t="n">
        <v>6</v>
      </c>
      <c r="E77" s="52" t="n">
        <v>1723.308154596</v>
      </c>
      <c r="F77" s="52">
        <f>ROUND(D77*E77,2)</f>
        <v/>
      </c>
      <c r="G77" s="52" t="n">
        <v>977.3467103634516</v>
      </c>
      <c r="H77" s="52">
        <f>ROUND(D77*G77,2)</f>
        <v/>
      </c>
      <c r="I77" s="52">
        <f>ROUND(SUM(F77,H77),2)</f>
        <v/>
      </c>
    </row>
    <row r="78" ht="15.75" customHeight="1">
      <c r="A78" s="15" t="n">
        <v>73</v>
      </c>
      <c r="B78" s="53" t="inlineStr">
        <is>
          <t>Диспенсер для накладок</t>
        </is>
      </c>
      <c r="C78" s="20" t="inlineStr">
        <is>
          <t>шт</t>
        </is>
      </c>
      <c r="D78" s="20" t="n">
        <v>6</v>
      </c>
      <c r="E78" s="52" t="n">
        <v>2393.483574006</v>
      </c>
      <c r="F78" s="52">
        <f>ROUND(D78*E78,2)</f>
        <v/>
      </c>
      <c r="G78" s="52" t="n">
        <v>1128.654183481734</v>
      </c>
      <c r="H78" s="52">
        <f>ROUND(D78*G78,2)</f>
        <v/>
      </c>
      <c r="I78" s="52">
        <f>ROUND(SUM(F78,H78),2)</f>
        <v/>
      </c>
    </row>
    <row r="79" ht="15.75" customHeight="1">
      <c r="A79" s="15" t="n">
        <v>74</v>
      </c>
      <c r="B79" s="53" t="inlineStr">
        <is>
          <t>Держательдля освежителя воздуха</t>
        </is>
      </c>
      <c r="C79" s="20" t="inlineStr">
        <is>
          <t>шт</t>
        </is>
      </c>
      <c r="D79" s="20" t="n">
        <v>6</v>
      </c>
      <c r="E79" s="52" t="n">
        <v>1436.090167764</v>
      </c>
      <c r="F79" s="52">
        <f>ROUND(D79*E79,2)</f>
        <v/>
      </c>
      <c r="G79" s="52" t="n">
        <v>912.500661757358</v>
      </c>
      <c r="H79" s="52">
        <f>ROUND(D79*G79,2)</f>
        <v/>
      </c>
      <c r="I79" s="52">
        <f>ROUND(SUM(F79,H79),2)</f>
        <v/>
      </c>
    </row>
    <row r="80" ht="15.75" customHeight="1">
      <c r="A80" s="15" t="n">
        <v>75</v>
      </c>
      <c r="B80" s="53" t="inlineStr">
        <is>
          <t>Полка под личные принадлежности</t>
        </is>
      </c>
      <c r="C80" s="20" t="inlineStr">
        <is>
          <t>шт</t>
        </is>
      </c>
      <c r="D80" s="20" t="n">
        <v>6</v>
      </c>
      <c r="E80" s="52" t="n">
        <v>861.6540772980001</v>
      </c>
      <c r="F80" s="52">
        <f>ROUND(D80*E80,2)</f>
        <v/>
      </c>
      <c r="G80" s="52" t="n">
        <v>782.8085381744397</v>
      </c>
      <c r="H80" s="52">
        <f>ROUND(D80*G80,2)</f>
        <v/>
      </c>
      <c r="I80" s="52">
        <f>ROUND(SUM(F80,H80),2)</f>
        <v/>
      </c>
    </row>
    <row r="81" ht="15.75" customHeight="1">
      <c r="A81" s="15" t="n">
        <v>76</v>
      </c>
      <c r="B81" s="53" t="inlineStr">
        <is>
          <t>Диспенсор под жидкое мыло</t>
        </is>
      </c>
      <c r="C81" s="20" t="inlineStr">
        <is>
          <t>шт</t>
        </is>
      </c>
      <c r="D81" s="20" t="n">
        <v>6</v>
      </c>
      <c r="E81" s="52" t="n">
        <v>2106.265587174</v>
      </c>
      <c r="F81" s="52">
        <f>ROUND(D81*E81,2)</f>
        <v/>
      </c>
      <c r="G81" s="52" t="n">
        <v>1181.462208072726</v>
      </c>
      <c r="H81" s="52">
        <f>ROUND(D81*G81,2)</f>
        <v/>
      </c>
      <c r="I81" s="52">
        <f>ROUND(SUM(F81,H81),2)</f>
        <v/>
      </c>
    </row>
    <row r="82" ht="15.75" customHeight="1">
      <c r="A82" s="15" t="n">
        <v>77</v>
      </c>
      <c r="B82" s="53" t="inlineStr">
        <is>
          <t>Диспенсер для бумажных полотенец</t>
        </is>
      </c>
      <c r="C82" s="20" t="inlineStr">
        <is>
          <t>шт</t>
        </is>
      </c>
      <c r="D82" s="20" t="n">
        <v>4</v>
      </c>
      <c r="E82" s="52" t="n">
        <v>3350.87709705</v>
      </c>
      <c r="F82" s="52">
        <f>ROUND(D82*E82,2)</f>
        <v/>
      </c>
      <c r="G82" s="52" t="n">
        <v>1462.461804773927</v>
      </c>
      <c r="H82" s="52">
        <f>ROUND(D82*G82,2)</f>
        <v/>
      </c>
      <c r="I82" s="52">
        <f>ROUND(SUM(F82,H82),2)</f>
        <v/>
      </c>
    </row>
    <row r="83">
      <c r="A83" s="15" t="n">
        <v>78</v>
      </c>
      <c r="B83" s="37" t="inlineStr">
        <is>
          <t>Санузел "М/Ж" 2го этажа</t>
        </is>
      </c>
      <c r="C83" s="53" t="n"/>
      <c r="D83" s="18" t="n"/>
      <c r="E83" s="15" t="n"/>
      <c r="F83" s="17" t="n"/>
      <c r="G83" s="13" t="n"/>
      <c r="H83" s="13" t="n"/>
      <c r="I83" s="13" t="n"/>
    </row>
    <row r="84">
      <c r="A84" s="15" t="n">
        <v>79</v>
      </c>
      <c r="B84" s="51" t="inlineStr">
        <is>
          <t xml:space="preserve">Раздел 1. Демонтажные работы </t>
        </is>
      </c>
      <c r="C84" s="15" t="n"/>
      <c r="D84" s="15" t="n"/>
      <c r="E84" s="15" t="n"/>
      <c r="F84" s="17" t="n"/>
      <c r="G84" s="13" t="n"/>
      <c r="H84" s="13" t="n"/>
      <c r="I84" s="13" t="n"/>
    </row>
    <row r="85" ht="15.75" customHeight="1">
      <c r="A85" s="15" t="n">
        <v>80</v>
      </c>
      <c r="B85" s="54" t="inlineStr">
        <is>
          <t>Разборка цементной стяжки h=200мм</t>
        </is>
      </c>
      <c r="C85" s="55" t="inlineStr">
        <is>
          <t>м2</t>
        </is>
      </c>
      <c r="D85" s="94" t="n">
        <v>23.7</v>
      </c>
      <c r="E85" s="52" t="n">
        <v>0</v>
      </c>
      <c r="F85" s="52">
        <f>ROUND(D85*E85,2)</f>
        <v/>
      </c>
      <c r="G85" s="52" t="n">
        <v>2406.537955785568</v>
      </c>
      <c r="H85" s="52">
        <f>ROUND(D85*G85,2)</f>
        <v/>
      </c>
      <c r="I85" s="52">
        <f>ROUND(SUM(F85,H85),2)</f>
        <v/>
      </c>
    </row>
    <row r="86" ht="30" customHeight="1">
      <c r="A86" s="15" t="n">
        <v>81</v>
      </c>
      <c r="B86" s="7" t="inlineStr">
        <is>
          <t>Подвесной потолок Armstrong перфорированный,
потолочные плиты 600х600 мм</t>
        </is>
      </c>
      <c r="C86" s="55" t="inlineStr">
        <is>
          <t>м2</t>
        </is>
      </c>
      <c r="D86" s="94" t="n">
        <v>23.7</v>
      </c>
      <c r="E86" s="52" t="n">
        <v>0</v>
      </c>
      <c r="F86" s="52">
        <f>ROUND(D86*E86,2)</f>
        <v/>
      </c>
      <c r="G86" s="52" t="n">
        <v>248.8169092563968</v>
      </c>
      <c r="H86" s="52">
        <f>ROUND(D86*G86,2)</f>
        <v/>
      </c>
      <c r="I86" s="52">
        <f>ROUND(SUM(F86,H86),2)</f>
        <v/>
      </c>
    </row>
    <row r="87" ht="15.75" customHeight="1">
      <c r="A87" s="15" t="n">
        <v>82</v>
      </c>
      <c r="B87" s="7" t="inlineStr">
        <is>
          <t>Демонтаж напольного покрытия</t>
        </is>
      </c>
      <c r="C87" s="55" t="inlineStr">
        <is>
          <t>м2</t>
        </is>
      </c>
      <c r="D87" s="94" t="n">
        <v>23.7</v>
      </c>
      <c r="E87" s="52" t="n">
        <v>0</v>
      </c>
      <c r="F87" s="52">
        <f>ROUND(D87*E87,2)</f>
        <v/>
      </c>
      <c r="G87" s="52" t="n">
        <v>503.1152762397645</v>
      </c>
      <c r="H87" s="52">
        <f>ROUND(D87*G87,2)</f>
        <v/>
      </c>
      <c r="I87" s="52">
        <f>ROUND(SUM(F87,H87),2)</f>
        <v/>
      </c>
    </row>
    <row r="88" ht="15.75" customHeight="1">
      <c r="A88" s="15" t="n">
        <v>83</v>
      </c>
      <c r="B88" s="7" t="inlineStr">
        <is>
          <t>Демонтаж настенной плитки</t>
        </is>
      </c>
      <c r="C88" s="56" t="inlineStr">
        <is>
          <t>м2</t>
        </is>
      </c>
      <c r="D88" s="94" t="n">
        <v>103.32</v>
      </c>
      <c r="E88" s="52" t="n">
        <v>0</v>
      </c>
      <c r="F88" s="52">
        <f>ROUND(D88*E88,2)</f>
        <v/>
      </c>
      <c r="G88" s="52" t="n">
        <v>456.4854730631076</v>
      </c>
      <c r="H88" s="52">
        <f>ROUND(D88*G88,2)</f>
        <v/>
      </c>
      <c r="I88" s="52">
        <f>ROUND(SUM(F88,H88),2)</f>
        <v/>
      </c>
    </row>
    <row r="89" ht="30" customHeight="1">
      <c r="A89" s="15" t="n">
        <v>84</v>
      </c>
      <c r="B89" s="54" t="inlineStr">
        <is>
          <t>Существующие санузловые перегородки из ЛДСП по
металлокаркасу</t>
        </is>
      </c>
      <c r="C89" s="56" t="inlineStr">
        <is>
          <t>м2</t>
        </is>
      </c>
      <c r="D89" s="94" t="n">
        <v>18.57</v>
      </c>
      <c r="E89" s="52" t="n">
        <v>0</v>
      </c>
      <c r="F89" s="52">
        <f>ROUND(D89*E89,2)</f>
        <v/>
      </c>
      <c r="G89" s="52" t="n">
        <v>463.1152762397645</v>
      </c>
      <c r="H89" s="52">
        <f>ROUND(D89*G89,2)</f>
        <v/>
      </c>
      <c r="I89" s="52">
        <f>ROUND(SUM(F89,H89),2)</f>
        <v/>
      </c>
    </row>
    <row r="90" ht="15.75" customHeight="1">
      <c r="A90" s="15" t="n">
        <v>85</v>
      </c>
      <c r="B90" s="58" t="inlineStr">
        <is>
          <t>Разборка канализационного трубопровода, d=50мм</t>
        </is>
      </c>
      <c r="C90" s="56" t="inlineStr">
        <is>
          <t>м</t>
        </is>
      </c>
      <c r="D90" s="95" t="n">
        <v>30</v>
      </c>
      <c r="E90" s="52" t="n">
        <v>0</v>
      </c>
      <c r="F90" s="52">
        <f>ROUND(D90*E90,2)</f>
        <v/>
      </c>
      <c r="G90" s="52" t="n">
        <v>230.5660693980355</v>
      </c>
      <c r="H90" s="52">
        <f>ROUND(D90*G90,2)</f>
        <v/>
      </c>
      <c r="I90" s="52">
        <f>ROUND(SUM(F90,H90),2)</f>
        <v/>
      </c>
    </row>
    <row r="91" ht="15.75" customHeight="1">
      <c r="A91" s="15" t="n">
        <v>86</v>
      </c>
      <c r="B91" s="58" t="inlineStr">
        <is>
          <t>Разборка канализационного трубопровода, d=110мм</t>
        </is>
      </c>
      <c r="C91" s="56" t="inlineStr">
        <is>
          <t>м</t>
        </is>
      </c>
      <c r="D91" s="95" t="n">
        <v>26</v>
      </c>
      <c r="E91" s="52" t="n">
        <v>0</v>
      </c>
      <c r="F91" s="52">
        <f>ROUND(D91*E91,2)</f>
        <v/>
      </c>
      <c r="G91" s="52" t="n">
        <v>230.5660693980355</v>
      </c>
      <c r="H91" s="52">
        <f>ROUND(D91*G91,2)</f>
        <v/>
      </c>
      <c r="I91" s="52">
        <f>ROUND(SUM(F91,H91),2)</f>
        <v/>
      </c>
    </row>
    <row r="92" ht="15.75" customHeight="1">
      <c r="A92" s="15" t="n">
        <v>87</v>
      </c>
      <c r="B92" s="54" t="inlineStr">
        <is>
          <t>Демонтаж существующих унитазов</t>
        </is>
      </c>
      <c r="C92" s="56" t="inlineStr">
        <is>
          <t>шт.</t>
        </is>
      </c>
      <c r="D92" s="94" t="n">
        <v>6</v>
      </c>
      <c r="E92" s="52" t="n">
        <v>0</v>
      </c>
      <c r="F92" s="52">
        <f>ROUND(D92*E92,2)</f>
        <v/>
      </c>
      <c r="G92" s="52" t="n">
        <v>1230.373498133161</v>
      </c>
      <c r="H92" s="52">
        <f>ROUND(D92*G92,2)</f>
        <v/>
      </c>
      <c r="I92" s="52">
        <f>ROUND(SUM(F92,H92),2)</f>
        <v/>
      </c>
    </row>
    <row r="93" ht="15.75" customHeight="1">
      <c r="A93" s="15" t="n">
        <v>88</v>
      </c>
      <c r="B93" s="54" t="inlineStr">
        <is>
          <t>Демонтаж существующих  писсуаров настенных без сенсора</t>
        </is>
      </c>
      <c r="C93" s="56" t="inlineStr">
        <is>
          <t>шт.</t>
        </is>
      </c>
      <c r="D93" s="56" t="n">
        <v>3</v>
      </c>
      <c r="E93" s="52" t="n">
        <v>0</v>
      </c>
      <c r="F93" s="52">
        <f>ROUND(D93*E93,2)</f>
        <v/>
      </c>
      <c r="G93" s="52" t="n">
        <v>1230.373498133161</v>
      </c>
      <c r="H93" s="52">
        <f>ROUND(D93*G93,2)</f>
        <v/>
      </c>
      <c r="I93" s="52">
        <f>ROUND(SUM(F93,H93),2)</f>
        <v/>
      </c>
    </row>
    <row r="94" ht="15.75" customHeight="1">
      <c r="A94" s="15" t="n">
        <v>89</v>
      </c>
      <c r="B94" s="54" t="inlineStr">
        <is>
          <t xml:space="preserve">Демонтаж существующих раковин </t>
        </is>
      </c>
      <c r="C94" s="56" t="inlineStr">
        <is>
          <t>шт.</t>
        </is>
      </c>
      <c r="D94" s="94" t="n">
        <v>8</v>
      </c>
      <c r="E94" s="52" t="n">
        <v>0</v>
      </c>
      <c r="F94" s="52">
        <f>ROUND(D94*E94,2)</f>
        <v/>
      </c>
      <c r="G94" s="52" t="n">
        <v>922.7801235998708</v>
      </c>
      <c r="H94" s="52">
        <f>ROUND(D94*G94,2)</f>
        <v/>
      </c>
      <c r="I94" s="52">
        <f>ROUND(SUM(F94,H94),2)</f>
        <v/>
      </c>
    </row>
    <row r="95" ht="15.75" customHeight="1">
      <c r="A95" s="15" t="n">
        <v>90</v>
      </c>
      <c r="B95" s="54" t="inlineStr">
        <is>
          <t>Демонтаж существующих сушилок для рук</t>
        </is>
      </c>
      <c r="C95" s="56" t="inlineStr">
        <is>
          <t>шт.</t>
        </is>
      </c>
      <c r="D95" s="94" t="n">
        <v>4</v>
      </c>
      <c r="E95" s="52" t="n">
        <v>0</v>
      </c>
      <c r="F95" s="52">
        <f>ROUND(D95*E95,2)</f>
        <v/>
      </c>
      <c r="G95" s="52" t="n">
        <v>525.4268038637409</v>
      </c>
      <c r="H95" s="52">
        <f>ROUND(D95*G95,2)</f>
        <v/>
      </c>
      <c r="I95" s="52">
        <f>ROUND(SUM(F95,H95),2)</f>
        <v/>
      </c>
    </row>
    <row r="96" ht="15.75" customHeight="1">
      <c r="A96" s="15" t="n">
        <v>91</v>
      </c>
      <c r="B96" s="54" t="inlineStr">
        <is>
          <t>Демонтаж осветительных приборов</t>
        </is>
      </c>
      <c r="C96" s="56" t="inlineStr">
        <is>
          <t>шт.</t>
        </is>
      </c>
      <c r="D96" s="94" t="n">
        <v>16</v>
      </c>
      <c r="E96" s="52" t="n">
        <v>0</v>
      </c>
      <c r="F96" s="52">
        <f>ROUND(D96*E96,2)</f>
        <v/>
      </c>
      <c r="G96" s="52" t="n">
        <v>461.3900617999354</v>
      </c>
      <c r="H96" s="52">
        <f>ROUND(D96*G96,2)</f>
        <v/>
      </c>
      <c r="I96" s="52">
        <f>ROUND(SUM(F96,H96),2)</f>
        <v/>
      </c>
    </row>
    <row r="97" ht="32.25" customHeight="1">
      <c r="A97" s="15" t="n">
        <v>92</v>
      </c>
      <c r="B97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97" s="56" t="inlineStr">
        <is>
          <t>м</t>
        </is>
      </c>
      <c r="D97" s="94" t="n">
        <v>80</v>
      </c>
      <c r="E97" s="52" t="n">
        <v>0</v>
      </c>
      <c r="F97" s="52">
        <f>ROUND(D97*E97,2)</f>
        <v/>
      </c>
      <c r="G97" s="52" t="n">
        <v>92.31692015457689</v>
      </c>
      <c r="H97" s="52">
        <f>ROUND(D97*G97,2)</f>
        <v/>
      </c>
      <c r="I97" s="52">
        <f>ROUND(SUM(F97,H97),2)</f>
        <v/>
      </c>
    </row>
    <row r="98" ht="15.75" customHeight="1">
      <c r="A98" s="15" t="n">
        <v>93</v>
      </c>
      <c r="B98" s="54" t="inlineStr">
        <is>
          <t>Демонтаж распаечных коробок</t>
        </is>
      </c>
      <c r="C98" s="56" t="inlineStr">
        <is>
          <t>шт.</t>
        </is>
      </c>
      <c r="D98" s="94" t="n">
        <v>16</v>
      </c>
      <c r="E98" s="52" t="n">
        <v>0</v>
      </c>
      <c r="F98" s="52">
        <f>ROUND(D98*E98,2)</f>
        <v/>
      </c>
      <c r="G98" s="52" t="n">
        <v>230.5660693980355</v>
      </c>
      <c r="H98" s="52">
        <f>ROUND(D98*G98,2)</f>
        <v/>
      </c>
      <c r="I98" s="52">
        <f>ROUND(SUM(F98,H98),2)</f>
        <v/>
      </c>
    </row>
    <row r="99" ht="15.75" customHeight="1">
      <c r="A99" s="15" t="n">
        <v>94</v>
      </c>
      <c r="B99" s="54" t="inlineStr">
        <is>
          <t>Демонтаж динамиков оповещения</t>
        </is>
      </c>
      <c r="C99" s="56" t="inlineStr">
        <is>
          <t>шт.</t>
        </is>
      </c>
      <c r="D99" s="94" t="n">
        <v>2</v>
      </c>
      <c r="E99" s="52" t="n">
        <v>0</v>
      </c>
      <c r="F99" s="52">
        <f>ROUND(D99*E99,2)</f>
        <v/>
      </c>
      <c r="G99" s="52" t="n">
        <v>823.5785123795987</v>
      </c>
      <c r="H99" s="52">
        <f>ROUND(D99*G99,2)</f>
        <v/>
      </c>
      <c r="I99" s="52">
        <f>ROUND(SUM(F99,H99),2)</f>
        <v/>
      </c>
    </row>
    <row r="100" ht="15.75" customHeight="1">
      <c r="A100" s="15" t="n">
        <v>95</v>
      </c>
      <c r="B100" s="54" t="inlineStr">
        <is>
          <t>Демонтаж  освежителей воздуха со стен</t>
        </is>
      </c>
      <c r="C100" s="56" t="inlineStr">
        <is>
          <t>шт.</t>
        </is>
      </c>
      <c r="D100" s="94" t="n">
        <v>2</v>
      </c>
      <c r="E100" s="52" t="n">
        <v>0</v>
      </c>
      <c r="F100" s="52">
        <f>ROUND(D100*E100,2)</f>
        <v/>
      </c>
      <c r="G100" s="52" t="n">
        <v>262.7134019318705</v>
      </c>
      <c r="H100" s="52">
        <f>ROUND(D100*G100,2)</f>
        <v/>
      </c>
      <c r="I100" s="52">
        <f>ROUND(SUM(F100,H100),2)</f>
        <v/>
      </c>
    </row>
    <row r="101" ht="15.75" customHeight="1">
      <c r="A101" s="15" t="n">
        <v>96</v>
      </c>
      <c r="B101" s="54" t="inlineStr">
        <is>
          <t>Демонтаж существующих водяных бойлеров</t>
        </is>
      </c>
      <c r="C101" s="56" t="inlineStr">
        <is>
          <t>шт.</t>
        </is>
      </c>
      <c r="D101" s="94" t="n">
        <v>2</v>
      </c>
      <c r="E101" s="52" t="n">
        <v>0</v>
      </c>
      <c r="F101" s="52">
        <f>ROUND(D101*E101,2)</f>
        <v/>
      </c>
      <c r="G101" s="52" t="n">
        <v>2353.081463941711</v>
      </c>
      <c r="H101" s="52">
        <f>ROUND(D101*G101,2)</f>
        <v/>
      </c>
      <c r="I101" s="52">
        <f>ROUND(SUM(F101,H101),2)</f>
        <v/>
      </c>
    </row>
    <row r="102" ht="15.75" customHeight="1">
      <c r="A102" s="15" t="n">
        <v>97</v>
      </c>
      <c r="B102" s="54" t="inlineStr">
        <is>
          <t>Демонтаж существующих бумагодержателей</t>
        </is>
      </c>
      <c r="C102" s="56" t="inlineStr">
        <is>
          <t>шт.</t>
        </is>
      </c>
      <c r="D102" s="94" t="n">
        <v>6</v>
      </c>
      <c r="E102" s="52" t="n">
        <v>0</v>
      </c>
      <c r="F102" s="52">
        <f>ROUND(D102*E102,2)</f>
        <v/>
      </c>
      <c r="G102" s="52" t="n">
        <v>262.7134019318705</v>
      </c>
      <c r="H102" s="52">
        <f>ROUND(D102*G102,2)</f>
        <v/>
      </c>
      <c r="I102" s="52">
        <f>ROUND(SUM(F102,H102),2)</f>
        <v/>
      </c>
    </row>
    <row r="103" ht="15.75" customHeight="1">
      <c r="A103" s="15" t="n">
        <v>98</v>
      </c>
      <c r="B103" s="54" t="inlineStr">
        <is>
          <t>Демонтаж существующих существующих настенных зеркал</t>
        </is>
      </c>
      <c r="C103" s="56" t="inlineStr">
        <is>
          <t>шт.</t>
        </is>
      </c>
      <c r="D103" s="94" t="n">
        <v>4</v>
      </c>
      <c r="E103" s="52" t="n">
        <v>0</v>
      </c>
      <c r="F103" s="52">
        <f>ROUND(D103*E103,2)</f>
        <v/>
      </c>
      <c r="G103" s="52" t="n">
        <v>459.7484533807733</v>
      </c>
      <c r="H103" s="52">
        <f>ROUND(D103*G103,2)</f>
        <v/>
      </c>
      <c r="I103" s="52">
        <f>ROUND(SUM(F103,H103),2)</f>
        <v/>
      </c>
    </row>
    <row r="104" ht="15.75" customHeight="1">
      <c r="A104" s="15" t="n">
        <v>99</v>
      </c>
      <c r="B104" s="54" t="inlineStr">
        <is>
          <t>Демонтаж существующих туалетных полочек</t>
        </is>
      </c>
      <c r="C104" s="56" t="inlineStr">
        <is>
          <t>шт.</t>
        </is>
      </c>
      <c r="D104" s="94" t="n">
        <v>6</v>
      </c>
      <c r="E104" s="52" t="n">
        <v>0</v>
      </c>
      <c r="F104" s="52">
        <f>ROUND(D104*E104,2)</f>
        <v/>
      </c>
      <c r="G104" s="52" t="n">
        <v>262.7134019318705</v>
      </c>
      <c r="H104" s="52">
        <f>ROUND(D104*G104,2)</f>
        <v/>
      </c>
      <c r="I104" s="52">
        <f>ROUND(SUM(F104,H104),2)</f>
        <v/>
      </c>
    </row>
    <row r="105" ht="15.75" customHeight="1">
      <c r="A105" s="15" t="n">
        <v>100</v>
      </c>
      <c r="B105" s="57" t="inlineStr">
        <is>
          <t>Демонтаж существующего люка в женском сан. Узле</t>
        </is>
      </c>
      <c r="C105" s="61" t="inlineStr">
        <is>
          <t>шт.</t>
        </is>
      </c>
      <c r="D105" s="96" t="n">
        <v>4</v>
      </c>
      <c r="E105" s="52" t="n">
        <v>0</v>
      </c>
      <c r="F105" s="52">
        <f>ROUND(D105*E105,2)</f>
        <v/>
      </c>
      <c r="G105" s="52" t="n">
        <v>1166.643896813129</v>
      </c>
      <c r="H105" s="52">
        <f>ROUND(D105*G105,2)</f>
        <v/>
      </c>
      <c r="I105" s="52">
        <f>ROUND(SUM(F105,H105),2)</f>
        <v/>
      </c>
    </row>
    <row r="106" ht="15.75" customHeight="1">
      <c r="A106" s="15" t="n">
        <v>101</v>
      </c>
      <c r="B106" s="54" t="inlineStr">
        <is>
          <t>Демонтаж алюминиевых телескопических дверей</t>
        </is>
      </c>
      <c r="C106" s="61" t="inlineStr">
        <is>
          <t>шт.</t>
        </is>
      </c>
      <c r="D106" s="94" t="n">
        <v>4</v>
      </c>
      <c r="E106" s="52" t="n">
        <v>0</v>
      </c>
      <c r="F106" s="52">
        <f>ROUND(D106*E106,2)</f>
        <v/>
      </c>
      <c r="G106" s="52" t="n">
        <v>1346.709277613933</v>
      </c>
      <c r="H106" s="52">
        <f>ROUND(D106*G106,2)</f>
        <v/>
      </c>
      <c r="I106" s="52">
        <f>ROUND(SUM(F106,H106),2)</f>
        <v/>
      </c>
    </row>
    <row r="107" ht="45" customHeight="1">
      <c r="A107" s="15" t="n">
        <v>102</v>
      </c>
      <c r="B107" s="54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107" s="55" t="inlineStr">
        <is>
          <t>м2</t>
        </is>
      </c>
      <c r="D107" s="94" t="n">
        <v>30.15</v>
      </c>
      <c r="E107" s="52" t="n">
        <v>0</v>
      </c>
      <c r="F107" s="52">
        <f>ROUND(D107*E107,2)</f>
        <v/>
      </c>
      <c r="G107" s="52" t="n">
        <v>463.1152762397646</v>
      </c>
      <c r="H107" s="52">
        <f>ROUND(D107*G107,2)</f>
        <v/>
      </c>
      <c r="I107" s="52">
        <f>ROUND(SUM(F107,H107),2)</f>
        <v/>
      </c>
    </row>
    <row r="108">
      <c r="A108" s="15" t="n">
        <v>103</v>
      </c>
      <c r="B108" s="29" t="inlineStr">
        <is>
          <t>Раздел 2. Монтажные работы.</t>
        </is>
      </c>
      <c r="C108" s="15" t="n"/>
      <c r="D108" s="60" t="n"/>
      <c r="E108" s="15" t="n"/>
      <c r="F108" s="17" t="n"/>
      <c r="G108" s="13" t="n"/>
      <c r="H108" s="13" t="n"/>
      <c r="I108" s="13" t="n"/>
    </row>
    <row r="109" ht="15.75" customHeight="1">
      <c r="A109" s="15" t="n">
        <v>104</v>
      </c>
      <c r="B109" s="57" t="inlineStr">
        <is>
          <t>Устройство стяжки пола h=200мм</t>
        </is>
      </c>
      <c r="C109" s="15" t="inlineStr">
        <is>
          <t>м2</t>
        </is>
      </c>
      <c r="D109" s="15" t="n">
        <v>23.7</v>
      </c>
      <c r="E109" s="52" t="n">
        <v>3650.754138191594</v>
      </c>
      <c r="F109" s="52">
        <f>ROUND(D109*E109,2)</f>
        <v/>
      </c>
      <c r="G109" s="52" t="n">
        <v>3763.099275236907</v>
      </c>
      <c r="H109" s="52">
        <f>ROUND(D109*G109,2)</f>
        <v/>
      </c>
      <c r="I109" s="52">
        <f>ROUND(SUM(F109,H109),2)</f>
        <v/>
      </c>
    </row>
    <row r="110" ht="45" customHeight="1">
      <c r="A110" s="15" t="n">
        <v>105</v>
      </c>
      <c r="B110" s="27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110" s="55" t="inlineStr">
        <is>
          <t>м2</t>
        </is>
      </c>
      <c r="D110" s="55" t="n">
        <v>209.658</v>
      </c>
      <c r="E110" s="52" t="n">
        <v>1361.032094494925</v>
      </c>
      <c r="F110" s="52">
        <f>ROUND(D110*E110,2)</f>
        <v/>
      </c>
      <c r="G110" s="52" t="n">
        <v>2607.601033258546</v>
      </c>
      <c r="H110" s="52">
        <f>ROUND(D110*G110,2)</f>
        <v/>
      </c>
      <c r="I110" s="52">
        <f>ROUND(SUM(F110,H110),2)</f>
        <v/>
      </c>
    </row>
    <row r="111" ht="15.75" customHeight="1">
      <c r="A111" s="15" t="n">
        <v>106</v>
      </c>
      <c r="B111" s="57" t="inlineStr">
        <is>
          <t>Востановление стены после демонтажа люков 30х50см</t>
        </is>
      </c>
      <c r="C111" s="61" t="inlineStr">
        <is>
          <t>шт.</t>
        </is>
      </c>
      <c r="D111" s="61" t="n">
        <v>2</v>
      </c>
      <c r="E111" s="52" t="n">
        <v>0</v>
      </c>
      <c r="F111" s="52">
        <f>ROUND(D111*E111,2)</f>
        <v/>
      </c>
      <c r="G111" s="52" t="n">
        <v>2916.609742032823</v>
      </c>
      <c r="H111" s="52">
        <f>ROUND(D111*G111,2)</f>
        <v/>
      </c>
      <c r="I111" s="52">
        <f>ROUND(SUM(F111,H111),2)</f>
        <v/>
      </c>
    </row>
    <row r="112" ht="15.75" customHeight="1">
      <c r="A112" s="15" t="n">
        <v>107</v>
      </c>
      <c r="B112" s="57" t="inlineStr">
        <is>
          <t>Перенос и монтаж люка под плитку 1000х1000мм</t>
        </is>
      </c>
      <c r="C112" s="61" t="inlineStr">
        <is>
          <t>шт.</t>
        </is>
      </c>
      <c r="D112" s="61" t="n">
        <v>2</v>
      </c>
      <c r="E112" s="52" t="n">
        <v>11488.721342112</v>
      </c>
      <c r="F112" s="52">
        <f>ROUND(D112*E112,2)</f>
        <v/>
      </c>
      <c r="G112" s="52" t="n">
        <v>3807.926912457425</v>
      </c>
      <c r="H112" s="52">
        <f>ROUND(D112*G112,2)</f>
        <v/>
      </c>
      <c r="I112" s="52">
        <f>ROUND(SUM(F112,H112),2)</f>
        <v/>
      </c>
    </row>
    <row r="113" ht="15.75" customHeight="1">
      <c r="A113" s="15" t="n">
        <v>108</v>
      </c>
      <c r="B113" s="57" t="inlineStr">
        <is>
          <t>Устройство гидроизоляции</t>
        </is>
      </c>
      <c r="C113" s="15" t="inlineStr">
        <is>
          <t>м2</t>
        </is>
      </c>
      <c r="D113" s="15" t="n">
        <v>59</v>
      </c>
      <c r="E113" s="52" t="n">
        <v>442.3156016076</v>
      </c>
      <c r="F113" s="52">
        <f>ROUND(D113*E113,2)</f>
        <v/>
      </c>
      <c r="G113" s="52" t="n">
        <v>706.1086389192636</v>
      </c>
      <c r="H113" s="52">
        <f>ROUND(D113*G113,2)</f>
        <v/>
      </c>
      <c r="I113" s="52">
        <f>ROUND(SUM(F113,H113),2)</f>
        <v/>
      </c>
    </row>
    <row r="114" ht="15.75" customHeight="1">
      <c r="A114" s="15" t="n">
        <v>109</v>
      </c>
      <c r="B114" s="57" t="inlineStr">
        <is>
          <t>Чернение потолка и коммуникаций RAL 7026</t>
        </is>
      </c>
      <c r="C114" s="15" t="inlineStr">
        <is>
          <t>м2</t>
        </is>
      </c>
      <c r="D114" s="15" t="n">
        <v>25.93</v>
      </c>
      <c r="E114" s="52" t="n">
        <v>184.96839823686</v>
      </c>
      <c r="F114" s="52">
        <f>ROUND(D114*E114,2)</f>
        <v/>
      </c>
      <c r="G114" s="52" t="n">
        <v>377.3398992589209</v>
      </c>
      <c r="H114" s="52">
        <f>ROUND(D114*G114,2)</f>
        <v/>
      </c>
      <c r="I114" s="52">
        <f>ROUND(SUM(F114,H114),2)</f>
        <v/>
      </c>
    </row>
    <row r="115" ht="45" customHeight="1">
      <c r="A115" s="15" t="n">
        <v>110</v>
      </c>
      <c r="B115" s="57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115" s="15" t="inlineStr">
        <is>
          <t>м2</t>
        </is>
      </c>
      <c r="D115" s="15" t="n">
        <v>25.93</v>
      </c>
      <c r="E115" s="52" t="n">
        <v>1196.7213</v>
      </c>
      <c r="F115" s="52">
        <f>ROUND(D115*E115,2)</f>
        <v/>
      </c>
      <c r="G115" s="52" t="n">
        <v>1239.587057393498</v>
      </c>
      <c r="H115" s="52">
        <f>ROUND(D115*G115,2)</f>
        <v/>
      </c>
      <c r="I115" s="52">
        <f>ROUND(SUM(F115,H115),2)</f>
        <v/>
      </c>
    </row>
    <row r="116" ht="15.75" customHeight="1">
      <c r="A116" s="15" t="n">
        <v>111</v>
      </c>
      <c r="B116" s="57" t="inlineStr">
        <is>
          <t>Окраска фриза RAL 7026</t>
        </is>
      </c>
      <c r="C116" s="15" t="inlineStr">
        <is>
          <t>м2</t>
        </is>
      </c>
      <c r="D116" s="15" t="n">
        <v>25.82</v>
      </c>
      <c r="E116" s="52" t="n">
        <v>160.84208489013</v>
      </c>
      <c r="F116" s="52">
        <f>ROUND(D116*E116,2)</f>
        <v/>
      </c>
      <c r="G116" s="52" t="n">
        <v>451.0086387490006</v>
      </c>
      <c r="H116" s="52">
        <f>ROUND(D116*G116,2)</f>
        <v/>
      </c>
      <c r="I116" s="52">
        <f>ROUND(SUM(F116,H116),2)</f>
        <v/>
      </c>
    </row>
    <row r="117" ht="30" customHeight="1">
      <c r="A117" s="15" t="n">
        <v>112</v>
      </c>
      <c r="B117" s="57" t="inlineStr">
        <is>
          <t>Устройство напольного покрытия Керамогранит светло-серый 60х60 Матовый Карвинг 59,50x59,50</t>
        </is>
      </c>
      <c r="C117" s="15" t="inlineStr">
        <is>
          <t>м2</t>
        </is>
      </c>
      <c r="D117" s="15" t="n">
        <v>23.7</v>
      </c>
      <c r="E117" s="52" t="n">
        <v>2213.23820148465</v>
      </c>
      <c r="F117" s="52">
        <f>ROUND(D117*E117,2)</f>
        <v/>
      </c>
      <c r="G117" s="52" t="n">
        <v>3051.150486403696</v>
      </c>
      <c r="H117" s="52">
        <f>ROUND(D117*G117,2)</f>
        <v/>
      </c>
      <c r="I117" s="52">
        <f>ROUND(SUM(F117,H117),2)</f>
        <v/>
      </c>
    </row>
    <row r="118" ht="30" customHeight="1">
      <c r="A118" s="15" t="n">
        <v>113</v>
      </c>
      <c r="B118" s="57" t="inlineStr">
        <is>
          <t>Облицовка стен керамогранитом светло-серый 59,5х119,01, Матовый Карвинг 59,5х119,01 Evolution Smoke</t>
        </is>
      </c>
      <c r="C118" s="15" t="inlineStr">
        <is>
          <t>м2</t>
        </is>
      </c>
      <c r="D118" s="18" t="n">
        <v>103.32</v>
      </c>
      <c r="E118" s="52" t="n">
        <v>2222.661196699863</v>
      </c>
      <c r="F118" s="52">
        <f>ROUND(D118*E118,2)</f>
        <v/>
      </c>
      <c r="G118" s="52" t="n">
        <v>3180.984833770257</v>
      </c>
      <c r="H118" s="52">
        <f>ROUND(D118*G118,2)</f>
        <v/>
      </c>
      <c r="I118" s="52">
        <f>ROUND(SUM(F118,H118),2)</f>
        <v/>
      </c>
    </row>
    <row r="119" ht="30" customHeight="1">
      <c r="A119" s="15" t="n">
        <v>114</v>
      </c>
      <c r="B119" s="57" t="inlineStr">
        <is>
          <t>Облицовка стен керамогранитом светло-серый 59,5х119,01, Матовый Карвинг 59,5х119,01Nord Gris</t>
        </is>
      </c>
      <c r="C119" s="15" t="inlineStr">
        <is>
          <t>м2</t>
        </is>
      </c>
      <c r="D119" s="18" t="n">
        <v>25.99</v>
      </c>
      <c r="E119" s="52" t="n">
        <v>2222.661196699863</v>
      </c>
      <c r="F119" s="52">
        <f>ROUND(D119*E119,2)</f>
        <v/>
      </c>
      <c r="G119" s="52" t="n">
        <v>3180.984833770257</v>
      </c>
      <c r="H119" s="52">
        <f>ROUND(D119*G119,2)</f>
        <v/>
      </c>
      <c r="I119" s="52">
        <f>ROUND(SUM(F119,H119),2)</f>
        <v/>
      </c>
    </row>
    <row r="120" ht="30" customHeight="1">
      <c r="A120" s="15" t="n">
        <v>115</v>
      </c>
      <c r="B120" s="57" t="inlineStr">
        <is>
          <t>Монтаж светильника подвесного SP-POLO-R85-2-15W Day White 40deg теплый белый 3000К, (Black, Black Ring) (Arlight, IP20), 230D</t>
        </is>
      </c>
      <c r="C120" s="15" t="inlineStr">
        <is>
          <t>шт</t>
        </is>
      </c>
      <c r="D120" s="94" t="n">
        <v>27</v>
      </c>
      <c r="E120" s="52" t="n">
        <v>7913.8934</v>
      </c>
      <c r="F120" s="52">
        <f>ROUND(D120*E120,2)</f>
        <v/>
      </c>
      <c r="G120" s="52" t="n">
        <v>3609.000970777563</v>
      </c>
      <c r="H120" s="52">
        <f>ROUND(D120*G120,2)</f>
        <v/>
      </c>
      <c r="I120" s="52">
        <f>ROUND(SUM(F120,H120),2)</f>
        <v/>
      </c>
    </row>
    <row r="121" ht="60" customHeight="1">
      <c r="A121" s="15" t="n">
        <v>116</v>
      </c>
      <c r="B121" s="57" t="inlineStr">
        <is>
          <t>Монтаж встраиваемого светодиодного светильника OKKO IP54/IP20 13 WH
Светильник SP-JEDI-HANG-R18-6W Warm3000 (BK, 360 deg, 230V)
(Arlight, IP20 Пластик</t>
        </is>
      </c>
      <c r="C121" s="15" t="inlineStr">
        <is>
          <t>шт</t>
        </is>
      </c>
      <c r="D121" s="94" t="n">
        <v>12</v>
      </c>
      <c r="E121" s="52" t="n">
        <v>7453.721229457388</v>
      </c>
      <c r="F121" s="52">
        <f>ROUND(D121*E121,2)</f>
        <v/>
      </c>
      <c r="G121" s="52" t="n">
        <v>3214.625726855305</v>
      </c>
      <c r="H121" s="52">
        <f>ROUND(D121*G121,2)</f>
        <v/>
      </c>
      <c r="I121" s="52">
        <f>ROUND(SUM(F121,H121),2)</f>
        <v/>
      </c>
    </row>
    <row r="122" ht="15.75" customHeight="1">
      <c r="A122" s="15" t="n">
        <v>117</v>
      </c>
      <c r="B122" s="57" t="inlineStr">
        <is>
          <t>Монтаж существующей музыкальной колонки</t>
        </is>
      </c>
      <c r="C122" s="15" t="inlineStr">
        <is>
          <t>шт</t>
        </is>
      </c>
      <c r="D122" s="60" t="n">
        <v>2</v>
      </c>
      <c r="E122" s="52" t="n">
        <v>0</v>
      </c>
      <c r="F122" s="52">
        <f>ROUND(D122*E122,2)</f>
        <v/>
      </c>
      <c r="G122" s="52" t="n">
        <v>1411.848878365026</v>
      </c>
      <c r="H122" s="52">
        <f>ROUND(D122*G122,2)</f>
        <v/>
      </c>
      <c r="I122" s="52">
        <f>ROUND(SUM(F122,H122),2)</f>
        <v/>
      </c>
    </row>
    <row r="123" ht="15.75" customHeight="1">
      <c r="A123" s="15" t="n">
        <v>118</v>
      </c>
      <c r="B123" s="57" t="inlineStr">
        <is>
          <t>Монтаж диффузоров</t>
        </is>
      </c>
      <c r="C123" s="15" t="inlineStr">
        <is>
          <t>шт</t>
        </is>
      </c>
      <c r="D123" s="18" t="n">
        <v>6</v>
      </c>
      <c r="E123" s="52" t="n">
        <v>1238.627820067312</v>
      </c>
      <c r="F123" s="52">
        <f>ROUND(D123*E123,2)</f>
        <v/>
      </c>
      <c r="G123" s="52" t="n">
        <v>1200.283269440882</v>
      </c>
      <c r="H123" s="52">
        <f>ROUND(D123*G123,2)</f>
        <v/>
      </c>
      <c r="I123" s="52">
        <f>ROUND(SUM(F123,H123),2)</f>
        <v/>
      </c>
    </row>
    <row r="124" ht="45" customHeight="1">
      <c r="A124" s="15" t="n">
        <v>119</v>
      </c>
      <c r="B124" s="65" t="inlineStr">
        <is>
          <t>Монтаж дверных блоков 2Л 2000х700.
Монтаж деревянных дверей  из ЛДСП в телескопической алюминиевой коробке в проем, замок WC Свободно/занято</t>
        </is>
      </c>
      <c r="C124" s="15" t="inlineStr">
        <is>
          <t>шт</t>
        </is>
      </c>
      <c r="D124" s="18" t="n">
        <v>2</v>
      </c>
      <c r="E124" s="52" t="n">
        <v>14360.90167764</v>
      </c>
      <c r="F124" s="52">
        <f>ROUND(D124*E124,2)</f>
        <v/>
      </c>
      <c r="G124" s="52" t="n">
        <v>9911.798466495968</v>
      </c>
      <c r="H124" s="52">
        <f>ROUND(D124*G124,2)</f>
        <v/>
      </c>
      <c r="I124" s="52">
        <f>ROUND(SUM(F124,H124),2)</f>
        <v/>
      </c>
    </row>
    <row r="125" ht="45" customHeight="1">
      <c r="A125" s="15" t="n">
        <v>120</v>
      </c>
      <c r="B125" s="65" t="inlineStr">
        <is>
          <t>Монтаж дверные блоков 2П 2000х700.
Монтаж деревянных дверей  из ЛДСП в телескопической алюминиевой коробке в проем,  замок WC Свободно/занято</t>
        </is>
      </c>
      <c r="C125" s="15" t="inlineStr">
        <is>
          <t>шт</t>
        </is>
      </c>
      <c r="D125" s="60" t="n">
        <v>4</v>
      </c>
      <c r="E125" s="52" t="n">
        <v>14360.90167764</v>
      </c>
      <c r="F125" s="52">
        <f>ROUND(D125*E125,2)</f>
        <v/>
      </c>
      <c r="G125" s="52" t="n">
        <v>9911.798466495968</v>
      </c>
      <c r="H125" s="52">
        <f>ROUND(D125*G125,2)</f>
        <v/>
      </c>
      <c r="I125" s="52">
        <f>ROUND(SUM(F125,H125),2)</f>
        <v/>
      </c>
    </row>
    <row r="126" ht="60" customHeight="1">
      <c r="A126" s="15" t="n">
        <v>121</v>
      </c>
      <c r="B126" s="65" t="inlineStr">
        <is>
          <t>Монтаж дверных блоков 1Л 2000х800.
Монтаж деревянных дверей  из ЛДСП, в телескопической алюминиевой коробке в проем, доводчик для автоматического закрывания.</t>
        </is>
      </c>
      <c r="C126" s="15" t="inlineStr">
        <is>
          <t>шт</t>
        </is>
      </c>
      <c r="D126" s="18" t="n">
        <v>2</v>
      </c>
      <c r="E126" s="52" t="n">
        <v>16467.167264814</v>
      </c>
      <c r="F126" s="52">
        <f>ROUND(D126*E126,2)</f>
        <v/>
      </c>
      <c r="G126" s="52" t="n">
        <v>10387.33623538618</v>
      </c>
      <c r="H126" s="52">
        <f>ROUND(D126*G126,2)</f>
        <v/>
      </c>
      <c r="I126" s="52">
        <f>ROUND(SUM(F126,H126),2)</f>
        <v/>
      </c>
    </row>
    <row r="127" ht="45" customHeight="1">
      <c r="A127" s="15" t="n">
        <v>122</v>
      </c>
      <c r="B127" s="27" t="inlineStr">
        <is>
          <t>Устройство  столешниц Иск. камень,
LG Hi-macs G503 NIGHT STELLA, - 20 мм
Мет. труба, - 40 мм</t>
        </is>
      </c>
      <c r="C127" s="15" t="inlineStr">
        <is>
          <t>шт</t>
        </is>
      </c>
      <c r="D127" s="18" t="n">
        <v>2</v>
      </c>
      <c r="E127" s="52" t="n">
        <v>33508.77050329201</v>
      </c>
      <c r="F127" s="52">
        <f>ROUND(D127*E127,2)</f>
        <v/>
      </c>
      <c r="G127" s="52" t="n">
        <v>16145.48096511602</v>
      </c>
      <c r="H127" s="52">
        <f>ROUND(D127*G127,2)</f>
        <v/>
      </c>
      <c r="I127" s="52">
        <f>ROUND(SUM(F127,H127),2)</f>
        <v/>
      </c>
    </row>
    <row r="128" ht="15.75" customHeight="1">
      <c r="A128" s="15" t="n">
        <v>123</v>
      </c>
      <c r="B128" s="27" t="inlineStr">
        <is>
          <t xml:space="preserve">Монтаж подвесных писуаров </t>
        </is>
      </c>
      <c r="C128" s="15" t="inlineStr">
        <is>
          <t>шт</t>
        </is>
      </c>
      <c r="D128" s="18" t="n">
        <v>3</v>
      </c>
      <c r="E128" s="52" t="n">
        <v>13585.41290295</v>
      </c>
      <c r="F128" s="52">
        <f>ROUND(D128*E128,2)</f>
        <v/>
      </c>
      <c r="G128" s="52" t="n">
        <v>6401.837371901934</v>
      </c>
      <c r="H128" s="52">
        <f>ROUND(D128*G128,2)</f>
        <v/>
      </c>
      <c r="I128" s="52">
        <f>ROUND(SUM(F128,H128),2)</f>
        <v/>
      </c>
    </row>
    <row r="129" ht="30" customHeight="1">
      <c r="A129" s="15" t="n">
        <v>124</v>
      </c>
      <c r="B129" s="27" t="inlineStr">
        <is>
          <t>Унитаз-компакт AM.PM Crave Flash Clean универсальный выпуск
двойной слив. Сиденье с микролифтом</t>
        </is>
      </c>
      <c r="C129" s="15" t="inlineStr">
        <is>
          <t>шт</t>
        </is>
      </c>
      <c r="D129" s="18" t="n">
        <v>6</v>
      </c>
      <c r="E129" s="52" t="n">
        <v>18956.390167764</v>
      </c>
      <c r="F129" s="52">
        <f>ROUND(D129*E129,2)</f>
        <v/>
      </c>
      <c r="G129" s="52" t="n">
        <v>8014.654209354573</v>
      </c>
      <c r="H129" s="52">
        <f>ROUND(D129*G129,2)</f>
        <v/>
      </c>
      <c r="I129" s="52">
        <f>ROUND(SUM(F129,H129),2)</f>
        <v/>
      </c>
    </row>
    <row r="130" ht="15.75" customHeight="1">
      <c r="A130" s="15" t="n">
        <v>125</v>
      </c>
      <c r="B130" s="27" t="inlineStr">
        <is>
          <t>Раковина Cersanit Moduo 40 Ring с подстольем 40 см</t>
        </is>
      </c>
      <c r="C130" s="15" t="inlineStr">
        <is>
          <t>комп</t>
        </is>
      </c>
      <c r="D130" s="18" t="n">
        <v>4</v>
      </c>
      <c r="E130" s="52" t="n">
        <v>7295.338103634</v>
      </c>
      <c r="F130" s="52">
        <f>ROUND(D130*E130,2)</f>
        <v/>
      </c>
      <c r="G130" s="52" t="n">
        <v>4048.005128082581</v>
      </c>
      <c r="H130" s="52">
        <f>ROUND(D130*G130,2)</f>
        <v/>
      </c>
      <c r="I130" s="52">
        <f>ROUND(SUM(F130,H130),2)</f>
        <v/>
      </c>
    </row>
    <row r="131" ht="15.75" customHeight="1">
      <c r="A131" s="15" t="n">
        <v>126</v>
      </c>
      <c r="B131" s="27" t="inlineStr">
        <is>
          <t>Напольная раковина CeruttiSpa Dorris CT7830 430x360x830</t>
        </is>
      </c>
      <c r="C131" s="15" t="inlineStr">
        <is>
          <t>шт</t>
        </is>
      </c>
      <c r="D131" s="18" t="n">
        <v>4</v>
      </c>
      <c r="E131" s="52" t="n">
        <v>18094.736090466</v>
      </c>
      <c r="F131" s="52">
        <f>ROUND(D131*E131,2)</f>
        <v/>
      </c>
      <c r="G131" s="52" t="n">
        <v>6486.216935410227</v>
      </c>
      <c r="H131" s="52">
        <f>ROUND(D131*G131,2)</f>
        <v/>
      </c>
      <c r="I131" s="52">
        <f>ROUND(SUM(F131,H131),2)</f>
        <v/>
      </c>
    </row>
    <row r="132" ht="30" customHeight="1">
      <c r="A132" s="15" t="n">
        <v>127</v>
      </c>
      <c r="B132" s="72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132" s="15" t="inlineStr">
        <is>
          <t>шт</t>
        </is>
      </c>
      <c r="D132" s="18" t="n">
        <v>4</v>
      </c>
      <c r="E132" s="52" t="n">
        <v>7471.881327158641</v>
      </c>
      <c r="F132" s="52">
        <f>ROUND(D132*E132,2)</f>
        <v/>
      </c>
      <c r="G132" s="52" t="n">
        <v>3287.730687613305</v>
      </c>
      <c r="H132" s="52">
        <f>ROUND(D132*G132,2)</f>
        <v/>
      </c>
      <c r="I132" s="52">
        <f>ROUND(SUM(F132,H132),2)</f>
        <v/>
      </c>
    </row>
    <row r="133" ht="45" customHeight="1">
      <c r="A133" s="15" t="n">
        <v>128</v>
      </c>
      <c r="B133" s="72" t="inlineStr">
        <is>
          <t>Смеситель для раковины Cersanit Brasko 63024 однорычажный
высокий цвет хром, предусмотреть установку обратных клапанов на ГВС и ХВС.</t>
        </is>
      </c>
      <c r="C133" s="15" t="inlineStr">
        <is>
          <t>шт</t>
        </is>
      </c>
      <c r="D133" s="18" t="n">
        <v>4</v>
      </c>
      <c r="E133" s="52" t="n">
        <v>9082.13355315264</v>
      </c>
      <c r="F133" s="52">
        <f>ROUND(D133*E133,2)</f>
        <v/>
      </c>
      <c r="G133" s="52" t="n">
        <v>3747.273105231152</v>
      </c>
      <c r="H133" s="52">
        <f>ROUND(D133*G133,2)</f>
        <v/>
      </c>
      <c r="I133" s="52">
        <f>ROUND(SUM(F133,H133),2)</f>
        <v/>
      </c>
    </row>
    <row r="134" ht="15.75" customHeight="1">
      <c r="A134" s="15" t="n">
        <v>129</v>
      </c>
      <c r="B134" s="27" t="inlineStr">
        <is>
          <t>Гигиенический душ Olive'S Balear 13141BLB со смесителем</t>
        </is>
      </c>
      <c r="C134" s="15" t="inlineStr">
        <is>
          <t>шт</t>
        </is>
      </c>
      <c r="D134" s="18" t="n">
        <v>5</v>
      </c>
      <c r="E134" s="52" t="n">
        <v>5256.09</v>
      </c>
      <c r="F134" s="52">
        <f>ROUND(D134*E134,2)</f>
        <v/>
      </c>
      <c r="G134" s="52" t="n">
        <v>3187.402570491844</v>
      </c>
      <c r="H134" s="52">
        <f>ROUND(D134*G134,2)</f>
        <v/>
      </c>
      <c r="I134" s="52">
        <f>ROUND(SUM(F134,H134),2)</f>
        <v/>
      </c>
    </row>
    <row r="135" ht="15.75" customHeight="1">
      <c r="A135" s="15" t="n">
        <v>130</v>
      </c>
      <c r="B135" s="7" t="inlineStr">
        <is>
          <t>Монтаж сантехнических аксессуаров:</t>
        </is>
      </c>
      <c r="C135" s="15" t="inlineStr">
        <is>
          <t>комп</t>
        </is>
      </c>
      <c r="D135" s="18" t="n"/>
      <c r="E135" s="52" t="n">
        <v>0</v>
      </c>
      <c r="F135" s="52">
        <f>ROUND(D135*E135,2)</f>
        <v/>
      </c>
      <c r="G135" s="52" t="n">
        <v>0</v>
      </c>
      <c r="H135" s="52">
        <f>ROUND(D135*G135,2)</f>
        <v/>
      </c>
      <c r="I135" s="52">
        <f>ROUND(SUM(F135,H135),2)</f>
        <v/>
      </c>
    </row>
    <row r="136" ht="15.75" customHeight="1">
      <c r="A136" s="15" t="n">
        <v>131</v>
      </c>
      <c r="B136" s="7" t="inlineStr">
        <is>
          <t xml:space="preserve">Зеркало с подсветкой с прозрачным кантом </t>
        </is>
      </c>
      <c r="C136" s="15" t="inlineStr">
        <is>
          <t>шт</t>
        </is>
      </c>
      <c r="D136" s="18" t="n">
        <v>8</v>
      </c>
      <c r="E136" s="52" t="n">
        <v>5048.3607</v>
      </c>
      <c r="F136" s="52">
        <f>ROUND(D136*E136,2)</f>
        <v/>
      </c>
      <c r="G136" s="52" t="n">
        <v>2303.492849906005</v>
      </c>
      <c r="H136" s="52">
        <f>ROUND(D136*G136,2)</f>
        <v/>
      </c>
      <c r="I136" s="52">
        <f>ROUND(SUM(F136,H136),2)</f>
        <v/>
      </c>
    </row>
    <row r="137" ht="45" customHeight="1">
      <c r="A137" s="15" t="n">
        <v>132</v>
      </c>
      <c r="B137" s="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137" s="15" t="inlineStr">
        <is>
          <t>м</t>
        </is>
      </c>
      <c r="D137" s="18" t="n">
        <v>60</v>
      </c>
      <c r="E137" s="52" t="n">
        <v>92.02159603728001</v>
      </c>
      <c r="F137" s="52">
        <f>ROUND(D137*E137,2)</f>
        <v/>
      </c>
      <c r="G137" s="52" t="n">
        <v>334.1070507051873</v>
      </c>
      <c r="H137" s="52">
        <f>ROUND(D137*G137,2)</f>
        <v/>
      </c>
      <c r="I137" s="52">
        <f>ROUND(SUM(F137,H137),2)</f>
        <v/>
      </c>
    </row>
    <row r="138" ht="31.5" customHeight="1">
      <c r="A138" s="15" t="n">
        <v>133</v>
      </c>
      <c r="B138" s="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138" s="15" t="inlineStr">
        <is>
          <t>м</t>
        </is>
      </c>
      <c r="D138" s="18" t="n">
        <v>20</v>
      </c>
      <c r="E138" s="52" t="n">
        <v>112.12685511552</v>
      </c>
      <c r="F138" s="52">
        <f>ROUND(D138*E138,2)</f>
        <v/>
      </c>
      <c r="G138" s="52" t="n">
        <v>970.3651152701751</v>
      </c>
      <c r="H138" s="52">
        <f>ROUND(D138*G138,2)</f>
        <v/>
      </c>
      <c r="I138" s="52">
        <f>ROUND(SUM(F138,H138),2)</f>
        <v/>
      </c>
    </row>
    <row r="139" ht="15.75" customHeight="1">
      <c r="A139" s="15" t="n">
        <v>134</v>
      </c>
      <c r="B139" s="7" t="inlineStr">
        <is>
          <t>Монтаж КУП</t>
        </is>
      </c>
      <c r="C139" s="15" t="inlineStr">
        <is>
          <t>шт.</t>
        </is>
      </c>
      <c r="D139" s="18" t="n">
        <v>2</v>
      </c>
      <c r="E139" s="52" t="n">
        <v>918.6189791877001</v>
      </c>
      <c r="F139" s="52">
        <f>ROUND(D139*E139,2)</f>
        <v/>
      </c>
      <c r="G139" s="52" t="n">
        <v>614.1423662764341</v>
      </c>
      <c r="H139" s="52">
        <f>ROUND(D139*G139,2)</f>
        <v/>
      </c>
      <c r="I139" s="52">
        <f>ROUND(SUM(F139,H139),2)</f>
        <v/>
      </c>
    </row>
    <row r="140" ht="15.75" customHeight="1">
      <c r="A140" s="15" t="n">
        <v>135</v>
      </c>
      <c r="B140" s="13" t="inlineStr">
        <is>
          <t>Прокладка провода ПуГПнг(А)-HF 1х6 мм.кв.</t>
        </is>
      </c>
      <c r="C140" s="15" t="inlineStr">
        <is>
          <t>м</t>
        </is>
      </c>
      <c r="D140" s="18" t="n">
        <v>20</v>
      </c>
      <c r="E140" s="52" t="n">
        <v>84.63354249168002</v>
      </c>
      <c r="F140" s="52">
        <f>ROUND(D140*E140,2)</f>
        <v/>
      </c>
      <c r="G140" s="52" t="n">
        <v>320.3756441224579</v>
      </c>
      <c r="H140" s="52">
        <f>ROUND(D140*G140,2)</f>
        <v/>
      </c>
      <c r="I140" s="52">
        <f>ROUND(SUM(F140,H140),2)</f>
        <v/>
      </c>
    </row>
    <row r="141" ht="30" customHeight="1">
      <c r="A141" s="15" t="n">
        <v>136</v>
      </c>
      <c r="B141" s="14" t="inlineStr">
        <is>
          <t>Присоединение к зажимам жил проводов или кабелей сечением до 2,5 мм²</t>
        </is>
      </c>
      <c r="C141" s="15" t="inlineStr">
        <is>
          <t>шт.</t>
        </is>
      </c>
      <c r="D141" s="18" t="n">
        <v>100</v>
      </c>
      <c r="E141" s="52" t="n">
        <v>0</v>
      </c>
      <c r="F141" s="52">
        <f>ROUND(D141*E141,2)</f>
        <v/>
      </c>
      <c r="G141" s="52" t="n">
        <v>80.83276616230575</v>
      </c>
      <c r="H141" s="52">
        <f>ROUND(D141*G141,2)</f>
        <v/>
      </c>
      <c r="I141" s="52">
        <f>ROUND(SUM(F141,H141),2)</f>
        <v/>
      </c>
    </row>
    <row r="142" ht="18" customHeight="1">
      <c r="A142" s="15" t="n">
        <v>137</v>
      </c>
      <c r="B142" s="14" t="inlineStr">
        <is>
          <t>Присоединение к зажимам жил проводов или кабелей сечением до 6 мм²</t>
        </is>
      </c>
      <c r="C142" s="15" t="inlineStr">
        <is>
          <t>шт.</t>
        </is>
      </c>
      <c r="D142" s="18" t="n">
        <v>100</v>
      </c>
      <c r="E142" s="52" t="n">
        <v>0</v>
      </c>
      <c r="F142" s="52">
        <f>ROUND(D142*E142,2)</f>
        <v/>
      </c>
      <c r="G142" s="52" t="n">
        <v>109.9595342241365</v>
      </c>
      <c r="H142" s="52">
        <f>ROUND(D142*G142,2)</f>
        <v/>
      </c>
      <c r="I142" s="52">
        <f>ROUND(SUM(F142,H142),2)</f>
        <v/>
      </c>
    </row>
    <row r="143" ht="15.75" customHeight="1">
      <c r="A143" s="15" t="n">
        <v>138</v>
      </c>
      <c r="B143" s="13" t="inlineStr">
        <is>
          <t>Пусконаладочные работы</t>
        </is>
      </c>
      <c r="C143" s="15" t="inlineStr">
        <is>
          <t>компл.</t>
        </is>
      </c>
      <c r="D143" s="18" t="n">
        <v>1</v>
      </c>
      <c r="E143" s="52" t="n">
        <v>0</v>
      </c>
      <c r="F143" s="52">
        <f>ROUND(D143*E143,2)</f>
        <v/>
      </c>
      <c r="G143" s="52" t="n">
        <v>15036.25001159667</v>
      </c>
      <c r="H143" s="52">
        <f>ROUND(D143*G143,2)</f>
        <v/>
      </c>
      <c r="I143" s="52">
        <f>ROUND(SUM(F143,H143),2)</f>
        <v/>
      </c>
    </row>
    <row r="144" ht="15.75" customHeight="1">
      <c r="A144" s="15" t="n">
        <v>139</v>
      </c>
      <c r="B144" s="13" t="inlineStr">
        <is>
          <t>Монтаж распаечных коробок</t>
        </is>
      </c>
      <c r="C144" s="15" t="inlineStr">
        <is>
          <t>шт</t>
        </is>
      </c>
      <c r="D144" s="18" t="n">
        <v>38</v>
      </c>
      <c r="E144" s="52" t="n">
        <v>53.18324441640001</v>
      </c>
      <c r="F144" s="52">
        <f>ROUND(D144*E144,2)</f>
        <v/>
      </c>
      <c r="G144" s="52" t="n">
        <v>641.1219285959296</v>
      </c>
      <c r="H144" s="52">
        <f>ROUND(D144*G144,2)</f>
        <v/>
      </c>
      <c r="I144" s="52">
        <f>ROUND(SUM(F144,H144),2)</f>
        <v/>
      </c>
    </row>
    <row r="145" ht="15.75" customHeight="1">
      <c r="A145" s="15" t="n">
        <v>140</v>
      </c>
      <c r="B145" s="13" t="inlineStr">
        <is>
          <t>Покраска стены после домонтажа Алюм. Телескоп дверей</t>
        </is>
      </c>
      <c r="C145" s="15" t="inlineStr">
        <is>
          <t>м2</t>
        </is>
      </c>
      <c r="D145" s="18" t="n">
        <v>18.53</v>
      </c>
      <c r="E145" s="52" t="n">
        <v>160.84208489013</v>
      </c>
      <c r="F145" s="52">
        <f>ROUND(D145*E145,2)</f>
        <v/>
      </c>
      <c r="G145" s="52" t="n">
        <v>451.0086387490006</v>
      </c>
      <c r="H145" s="52">
        <f>ROUND(D145*G145,2)</f>
        <v/>
      </c>
      <c r="I145" s="52">
        <f>ROUND(SUM(F145,H145),2)</f>
        <v/>
      </c>
    </row>
    <row r="146" ht="15.75" customHeight="1">
      <c r="A146" s="15" t="n">
        <v>141</v>
      </c>
      <c r="B146" s="48" t="inlineStr">
        <is>
          <t>Выключатель двухклавишный</t>
        </is>
      </c>
      <c r="C146" s="15" t="inlineStr">
        <is>
          <t>шт</t>
        </is>
      </c>
      <c r="D146" s="18" t="n">
        <v>1</v>
      </c>
      <c r="E146" s="52" t="n">
        <v>338.43852781704</v>
      </c>
      <c r="F146" s="52">
        <f>ROUND(D146*E146,2)</f>
        <v/>
      </c>
      <c r="G146" s="52" t="n">
        <v>656.3663918054848</v>
      </c>
      <c r="H146" s="52">
        <f>ROUND(D146*G146,2)</f>
        <v/>
      </c>
      <c r="I146" s="52">
        <f>ROUND(SUM(F146,H146),2)</f>
        <v/>
      </c>
    </row>
    <row r="147">
      <c r="A147" s="15" t="n">
        <v>142</v>
      </c>
      <c r="B147" s="29" t="inlineStr">
        <is>
          <t>Раздел 3. Сантехнические работы</t>
        </is>
      </c>
      <c r="C147" s="15" t="n"/>
      <c r="D147" s="15" t="n"/>
      <c r="E147" s="15" t="n"/>
      <c r="F147" s="17" t="n"/>
      <c r="G147" s="13" t="n"/>
      <c r="H147" s="13" t="n"/>
      <c r="I147" s="13" t="n"/>
    </row>
    <row r="148" ht="15.75" customHeight="1">
      <c r="A148" s="15" t="n">
        <v>143</v>
      </c>
      <c r="B148" s="58" t="inlineStr">
        <is>
          <t>Прокладка канализационного трубопровода, d=50мм</t>
        </is>
      </c>
      <c r="C148" s="15" t="inlineStr">
        <is>
          <t>м</t>
        </is>
      </c>
      <c r="D148" s="67" t="n">
        <v>30</v>
      </c>
      <c r="E148" s="52" t="n">
        <v>207.10334552544</v>
      </c>
      <c r="F148" s="52">
        <f>ROUND(D148*E148,2)</f>
        <v/>
      </c>
      <c r="G148" s="52" t="n">
        <v>647.5516149375146</v>
      </c>
      <c r="H148" s="52">
        <f>ROUND(D148*G148,2)</f>
        <v/>
      </c>
      <c r="I148" s="52">
        <f>ROUND(SUM(F148,H148),2)</f>
        <v/>
      </c>
    </row>
    <row r="149" ht="15.75" customHeight="1">
      <c r="A149" s="15" t="n">
        <v>144</v>
      </c>
      <c r="B149" s="58" t="inlineStr">
        <is>
          <t>Покладка канализационного трубопровода, d=110мм</t>
        </is>
      </c>
      <c r="C149" s="15" t="inlineStr">
        <is>
          <t>м</t>
        </is>
      </c>
      <c r="D149" s="67" t="n">
        <v>26</v>
      </c>
      <c r="E149" s="52" t="n">
        <v>491.8704152544</v>
      </c>
      <c r="F149" s="52">
        <f>ROUND(D149*E149,2)</f>
        <v/>
      </c>
      <c r="G149" s="52" t="n">
        <v>911.442074203041</v>
      </c>
      <c r="H149" s="52">
        <f>ROUND(D149*G149,2)</f>
        <v/>
      </c>
      <c r="I149" s="52">
        <f>ROUND(SUM(F149,H149),2)</f>
        <v/>
      </c>
    </row>
    <row r="150" ht="30" customHeight="1">
      <c r="A150" s="15" t="n">
        <v>145</v>
      </c>
      <c r="B150" s="53" t="inlineStr">
        <is>
          <t>Монтаж трубопровода ХВС и ГВС для Гигиенического душа с креплением к несущим конструкциям 1/2'</t>
        </is>
      </c>
      <c r="C150" s="15" t="inlineStr">
        <is>
          <t>м</t>
        </is>
      </c>
      <c r="D150" s="15" t="n">
        <v>30</v>
      </c>
      <c r="E150" s="52" t="n">
        <v>124.4611276272</v>
      </c>
      <c r="F150" s="52">
        <f>ROUND(D150*E150,2)</f>
        <v/>
      </c>
      <c r="G150" s="52" t="n">
        <v>494.5807053620796</v>
      </c>
      <c r="H150" s="52">
        <f>ROUND(D150*G150,2)</f>
        <v/>
      </c>
      <c r="I150" s="52">
        <f>ROUND(SUM(F150,H150),2)</f>
        <v/>
      </c>
    </row>
    <row r="151" ht="15.75" customHeight="1">
      <c r="A151" s="15" t="n">
        <v>146</v>
      </c>
      <c r="B151" s="53" t="inlineStr">
        <is>
          <t>Теплоизоляция трубопровода для Гигиенического душа</t>
        </is>
      </c>
      <c r="C151" s="15" t="inlineStr">
        <is>
          <t>м</t>
        </is>
      </c>
      <c r="D151" s="15" t="n">
        <v>30</v>
      </c>
      <c r="E151" s="52" t="n">
        <v>44.80595735616</v>
      </c>
      <c r="F151" s="52">
        <f>ROUND(D151*E151,2)</f>
        <v/>
      </c>
      <c r="G151" s="52" t="n">
        <v>209.7137340258199</v>
      </c>
      <c r="H151" s="52">
        <f>ROUND(D151*G151,2)</f>
        <v/>
      </c>
      <c r="I151" s="52">
        <f>ROUND(SUM(F151,H151),2)</f>
        <v/>
      </c>
    </row>
    <row r="152" ht="15.75" customHeight="1">
      <c r="A152" s="15" t="n">
        <v>147</v>
      </c>
      <c r="B152" s="53" t="inlineStr">
        <is>
          <t>Установка запорной арматуры на линию Гигиенического душа</t>
        </is>
      </c>
      <c r="C152" s="15" t="inlineStr">
        <is>
          <t>шт</t>
        </is>
      </c>
      <c r="D152" s="15" t="n">
        <v>2</v>
      </c>
      <c r="E152" s="52" t="n">
        <v>448.060180932</v>
      </c>
      <c r="F152" s="52">
        <f>ROUND(D152*E152,2)</f>
        <v/>
      </c>
      <c r="G152" s="52" t="n">
        <v>1301.746431732025</v>
      </c>
      <c r="H152" s="52">
        <f>ROUND(D152*G152,2)</f>
        <v/>
      </c>
      <c r="I152" s="52">
        <f>ROUND(SUM(F152,H152),2)</f>
        <v/>
      </c>
    </row>
    <row r="153" ht="15.75" customHeight="1">
      <c r="A153" s="15" t="n">
        <v>148</v>
      </c>
      <c r="B153" s="53" t="inlineStr">
        <is>
          <t>Установка обратных клапанов на линию Гигиенического душа</t>
        </is>
      </c>
      <c r="C153" s="15" t="inlineStr">
        <is>
          <t>шт</t>
        </is>
      </c>
      <c r="D153" s="15" t="n">
        <v>2</v>
      </c>
      <c r="E153" s="52" t="n">
        <v>378.36187657632</v>
      </c>
      <c r="F153" s="52">
        <f>ROUND(D153*E153,2)</f>
        <v/>
      </c>
      <c r="G153" s="52" t="n">
        <v>1286.010440814944</v>
      </c>
      <c r="H153" s="52">
        <f>ROUND(D153*G153,2)</f>
        <v/>
      </c>
      <c r="I153" s="52">
        <f>ROUND(SUM(F153,H153),2)</f>
        <v/>
      </c>
    </row>
    <row r="154" ht="30" customHeight="1">
      <c r="A154" s="15" t="n">
        <v>149</v>
      </c>
      <c r="B154" s="53" t="inlineStr">
        <is>
          <t>Установка лючков 300х300 под плитку для доступа к подключению Гигиенического душа</t>
        </is>
      </c>
      <c r="C154" s="15" t="inlineStr">
        <is>
          <t>шт</t>
        </is>
      </c>
      <c r="D154" s="15" t="n">
        <v>5</v>
      </c>
      <c r="E154" s="52" t="n">
        <v>2106.265587174</v>
      </c>
      <c r="F154" s="52">
        <f>ROUND(D154*E154,2)</f>
        <v/>
      </c>
      <c r="G154" s="52" t="n">
        <v>1689.622315172197</v>
      </c>
      <c r="H154" s="52">
        <f>ROUND(D154*G154,2)</f>
        <v/>
      </c>
      <c r="I154" s="52">
        <f>ROUND(SUM(F154,H154),2)</f>
        <v/>
      </c>
    </row>
    <row r="155" ht="15.75" customHeight="1">
      <c r="A155" s="15" t="n">
        <v>150</v>
      </c>
      <c r="B155" s="53" t="inlineStr">
        <is>
          <t>Замена напольных трапов 100х100мм HL 510 N-3000</t>
        </is>
      </c>
      <c r="C155" s="15" t="inlineStr">
        <is>
          <t>шт</t>
        </is>
      </c>
      <c r="D155" s="15" t="n">
        <v>2</v>
      </c>
      <c r="E155" s="52" t="n">
        <v>5700.8197</v>
      </c>
      <c r="F155" s="52">
        <f>ROUND(D155*E155,2)</f>
        <v/>
      </c>
      <c r="G155" s="52" t="n">
        <v>4837.966600955877</v>
      </c>
      <c r="H155" s="52">
        <f>ROUND(D155*G155,2)</f>
        <v/>
      </c>
      <c r="I155" s="52">
        <f>ROUND(SUM(F155,H155),2)</f>
        <v/>
      </c>
    </row>
    <row r="156" ht="30" customHeight="1">
      <c r="A156" s="15" t="n">
        <v>151</v>
      </c>
      <c r="B156" s="53" t="inlineStr">
        <is>
          <t>Опрессовка смонтированного или реконструированного трубопровода ХВС/ГВС</t>
        </is>
      </c>
      <c r="C156" s="15" t="inlineStr">
        <is>
          <t>компл.</t>
        </is>
      </c>
      <c r="D156" s="18" t="n">
        <v>1</v>
      </c>
      <c r="E156" s="52" t="n">
        <v>0</v>
      </c>
      <c r="F156" s="52">
        <f>ROUND(D156*E156,2)</f>
        <v/>
      </c>
      <c r="G156" s="52" t="n">
        <v>4706.162927883422</v>
      </c>
      <c r="H156" s="52">
        <f>ROUND(D156*G156,2)</f>
        <v/>
      </c>
      <c r="I156" s="52">
        <f>ROUND(SUM(F156,H156),2)</f>
        <v/>
      </c>
    </row>
    <row r="157">
      <c r="A157" s="15" t="n">
        <v>152</v>
      </c>
      <c r="B157" s="53" t="inlineStr">
        <is>
          <t>Навесные элементы в санузлы</t>
        </is>
      </c>
      <c r="C157" s="15" t="n"/>
      <c r="D157" s="18" t="n"/>
      <c r="E157" s="15" t="n"/>
      <c r="F157" s="17" t="n"/>
      <c r="G157" s="13" t="n"/>
      <c r="H157" s="13" t="n"/>
      <c r="I157" s="13" t="n"/>
    </row>
    <row r="158" ht="15.75" customHeight="1">
      <c r="A158" s="15" t="n">
        <v>153</v>
      </c>
      <c r="B158" s="53" t="inlineStr">
        <is>
          <t>Диспенсер под туалетную бумагу</t>
        </is>
      </c>
      <c r="C158" s="20" t="inlineStr">
        <is>
          <t>шт</t>
        </is>
      </c>
      <c r="D158" s="20" t="n">
        <v>6</v>
      </c>
      <c r="E158" s="52" t="n">
        <v>1723.308154596</v>
      </c>
      <c r="F158" s="52">
        <f>ROUND(D158*E158,2)</f>
        <v/>
      </c>
      <c r="G158" s="52" t="n">
        <v>977.3467103634516</v>
      </c>
      <c r="H158" s="52">
        <f>ROUND(D158*G158,2)</f>
        <v/>
      </c>
      <c r="I158" s="52">
        <f>ROUND(SUM(F158,H158),2)</f>
        <v/>
      </c>
    </row>
    <row r="159" ht="15.75" customHeight="1">
      <c r="A159" s="15" t="n">
        <v>154</v>
      </c>
      <c r="B159" s="53" t="inlineStr">
        <is>
          <t>Диспенсер для накладок</t>
        </is>
      </c>
      <c r="C159" s="20" t="inlineStr">
        <is>
          <t>шт</t>
        </is>
      </c>
      <c r="D159" s="20" t="n">
        <v>6</v>
      </c>
      <c r="E159" s="52" t="n">
        <v>2393.483574006</v>
      </c>
      <c r="F159" s="52">
        <f>ROUND(D159*E159,2)</f>
        <v/>
      </c>
      <c r="G159" s="52" t="n">
        <v>1128.654183481734</v>
      </c>
      <c r="H159" s="52">
        <f>ROUND(D159*G159,2)</f>
        <v/>
      </c>
      <c r="I159" s="52">
        <f>ROUND(SUM(F159,H159),2)</f>
        <v/>
      </c>
    </row>
    <row r="160" ht="15.75" customHeight="1">
      <c r="A160" s="15" t="n">
        <v>155</v>
      </c>
      <c r="B160" s="53" t="inlineStr">
        <is>
          <t>Держательдля освежителя воздуха</t>
        </is>
      </c>
      <c r="C160" s="20" t="inlineStr">
        <is>
          <t>шт</t>
        </is>
      </c>
      <c r="D160" s="20" t="n">
        <v>6</v>
      </c>
      <c r="E160" s="52" t="n">
        <v>1436.090167764</v>
      </c>
      <c r="F160" s="52">
        <f>ROUND(D160*E160,2)</f>
        <v/>
      </c>
      <c r="G160" s="52" t="n">
        <v>912.500661757358</v>
      </c>
      <c r="H160" s="52">
        <f>ROUND(D160*G160,2)</f>
        <v/>
      </c>
      <c r="I160" s="52">
        <f>ROUND(SUM(F160,H160),2)</f>
        <v/>
      </c>
    </row>
    <row r="161" ht="15.75" customHeight="1">
      <c r="A161" s="15" t="n">
        <v>156</v>
      </c>
      <c r="B161" s="53" t="inlineStr">
        <is>
          <t>Полка под личные принадлежности</t>
        </is>
      </c>
      <c r="C161" s="20" t="inlineStr">
        <is>
          <t>шт</t>
        </is>
      </c>
      <c r="D161" s="20" t="n">
        <v>6</v>
      </c>
      <c r="E161" s="52" t="n">
        <v>861.6540772980001</v>
      </c>
      <c r="F161" s="52">
        <f>ROUND(D161*E161,2)</f>
        <v/>
      </c>
      <c r="G161" s="52" t="n">
        <v>782.8085381744397</v>
      </c>
      <c r="H161" s="52">
        <f>ROUND(D161*G161,2)</f>
        <v/>
      </c>
      <c r="I161" s="52">
        <f>ROUND(SUM(F161,H161),2)</f>
        <v/>
      </c>
    </row>
    <row r="162" ht="15.75" customHeight="1">
      <c r="A162" s="15" t="n">
        <v>157</v>
      </c>
      <c r="B162" s="53" t="inlineStr">
        <is>
          <t>Диспенсор под жидкое мыло</t>
        </is>
      </c>
      <c r="C162" s="20" t="inlineStr">
        <is>
          <t>шт</t>
        </is>
      </c>
      <c r="D162" s="20" t="n">
        <v>8</v>
      </c>
      <c r="E162" s="52" t="n">
        <v>2106.265587174</v>
      </c>
      <c r="F162" s="52">
        <f>ROUND(D162*E162,2)</f>
        <v/>
      </c>
      <c r="G162" s="52" t="n">
        <v>1181.462208072726</v>
      </c>
      <c r="H162" s="52">
        <f>ROUND(D162*G162,2)</f>
        <v/>
      </c>
      <c r="I162" s="52">
        <f>ROUND(SUM(F162,H162),2)</f>
        <v/>
      </c>
    </row>
    <row r="163" ht="15.75" customHeight="1">
      <c r="A163" s="15" t="n">
        <v>158</v>
      </c>
      <c r="B163" s="53" t="inlineStr">
        <is>
          <t>Диспенсер для бумажных полотенец</t>
        </is>
      </c>
      <c r="C163" s="20" t="inlineStr">
        <is>
          <t>шт</t>
        </is>
      </c>
      <c r="D163" s="20" t="n">
        <v>4</v>
      </c>
      <c r="E163" s="52" t="n">
        <v>3350.87709705</v>
      </c>
      <c r="F163" s="52">
        <f>ROUND(D163*E163,2)</f>
        <v/>
      </c>
      <c r="G163" s="52" t="n">
        <v>1462.461804773927</v>
      </c>
      <c r="H163" s="52">
        <f>ROUND(D163*G163,2)</f>
        <v/>
      </c>
      <c r="I163" s="52">
        <f>ROUND(SUM(F163,H163),2)</f>
        <v/>
      </c>
    </row>
    <row r="164">
      <c r="A164" s="15" t="n">
        <v>159</v>
      </c>
      <c r="B164" s="37" t="inlineStr">
        <is>
          <t>Санузел "М/Ж" 3го этажа</t>
        </is>
      </c>
      <c r="C164" s="53" t="n"/>
      <c r="D164" s="15" t="n"/>
      <c r="E164" s="15" t="n"/>
      <c r="F164" s="17" t="n"/>
      <c r="G164" s="13" t="n"/>
      <c r="H164" s="13" t="n"/>
      <c r="I164" s="13" t="n"/>
    </row>
    <row r="165">
      <c r="A165" s="15" t="n">
        <v>160</v>
      </c>
      <c r="B165" s="51" t="inlineStr">
        <is>
          <t xml:space="preserve">Раздел 1. Демонтажные работы </t>
        </is>
      </c>
      <c r="C165" s="53" t="n"/>
      <c r="D165" s="15" t="n"/>
      <c r="E165" s="15" t="n"/>
      <c r="F165" s="17" t="n"/>
      <c r="G165" s="13" t="n"/>
      <c r="H165" s="13" t="n"/>
      <c r="I165" s="13" t="n"/>
    </row>
    <row r="166" ht="15.75" customHeight="1">
      <c r="A166" s="15" t="n">
        <v>161</v>
      </c>
      <c r="B166" s="54" t="inlineStr">
        <is>
          <t>Разборка цементной стяжки h=200мм</t>
        </is>
      </c>
      <c r="C166" s="55" t="inlineStr">
        <is>
          <t>м2</t>
        </is>
      </c>
      <c r="D166" s="94" t="n">
        <v>22.96</v>
      </c>
      <c r="E166" s="52" t="n">
        <v>0</v>
      </c>
      <c r="F166" s="52">
        <f>ROUND(D166*E166,2)</f>
        <v/>
      </c>
      <c r="G166" s="52" t="n">
        <v>2406.537955785568</v>
      </c>
      <c r="H166" s="52">
        <f>ROUND(D166*G166,2)</f>
        <v/>
      </c>
      <c r="I166" s="52">
        <f>ROUND(SUM(F166,H166),2)</f>
        <v/>
      </c>
    </row>
    <row r="167" ht="30" customHeight="1">
      <c r="A167" s="15" t="n">
        <v>162</v>
      </c>
      <c r="B167" s="7" t="inlineStr">
        <is>
          <t>Подвесной потолок Armstrong перфорированный,
потолочные плиты 600х600 мм</t>
        </is>
      </c>
      <c r="C167" s="55" t="inlineStr">
        <is>
          <t>м2</t>
        </is>
      </c>
      <c r="D167" s="94" t="n">
        <v>22.96</v>
      </c>
      <c r="E167" s="52" t="n">
        <v>0</v>
      </c>
      <c r="F167" s="52">
        <f>ROUND(D167*E167,2)</f>
        <v/>
      </c>
      <c r="G167" s="52" t="n">
        <v>248.8169092563968</v>
      </c>
      <c r="H167" s="52">
        <f>ROUND(D167*G167,2)</f>
        <v/>
      </c>
      <c r="I167" s="52">
        <f>ROUND(SUM(F167,H167),2)</f>
        <v/>
      </c>
    </row>
    <row r="168" ht="15.75" customHeight="1">
      <c r="A168" s="15" t="n">
        <v>163</v>
      </c>
      <c r="B168" s="7" t="inlineStr">
        <is>
          <t>Демонтаж напольного покрытия</t>
        </is>
      </c>
      <c r="C168" s="55" t="inlineStr">
        <is>
          <t>м2</t>
        </is>
      </c>
      <c r="D168" s="94" t="n">
        <v>22.96</v>
      </c>
      <c r="E168" s="52" t="n">
        <v>0</v>
      </c>
      <c r="F168" s="52">
        <f>ROUND(D168*E168,2)</f>
        <v/>
      </c>
      <c r="G168" s="52" t="n">
        <v>503.1152762397645</v>
      </c>
      <c r="H168" s="52">
        <f>ROUND(D168*G168,2)</f>
        <v/>
      </c>
      <c r="I168" s="52">
        <f>ROUND(SUM(F168,H168),2)</f>
        <v/>
      </c>
    </row>
    <row r="169" ht="15.75" customHeight="1">
      <c r="A169" s="15" t="n">
        <v>164</v>
      </c>
      <c r="B169" s="7" t="inlineStr">
        <is>
          <t>Демонтаж настенной плитки</t>
        </is>
      </c>
      <c r="C169" s="56" t="inlineStr">
        <is>
          <t>м2</t>
        </is>
      </c>
      <c r="D169" s="94" t="n">
        <v>105.54</v>
      </c>
      <c r="E169" s="52" t="n">
        <v>0</v>
      </c>
      <c r="F169" s="52">
        <f>ROUND(D169*E169,2)</f>
        <v/>
      </c>
      <c r="G169" s="52" t="n">
        <v>456.4854730631076</v>
      </c>
      <c r="H169" s="52">
        <f>ROUND(D169*G169,2)</f>
        <v/>
      </c>
      <c r="I169" s="52">
        <f>ROUND(SUM(F169,H169),2)</f>
        <v/>
      </c>
    </row>
    <row r="170" ht="30" customHeight="1">
      <c r="A170" s="15" t="n">
        <v>165</v>
      </c>
      <c r="B170" s="54" t="inlineStr">
        <is>
          <t>Существующие санузловые перегородки из ЛДСП по
металлокаркасу</t>
        </is>
      </c>
      <c r="C170" s="56" t="inlineStr">
        <is>
          <t>м2</t>
        </is>
      </c>
      <c r="D170" s="94" t="n">
        <v>18.57</v>
      </c>
      <c r="E170" s="52" t="n">
        <v>0</v>
      </c>
      <c r="F170" s="52">
        <f>ROUND(D170*E170,2)</f>
        <v/>
      </c>
      <c r="G170" s="52" t="n">
        <v>463.1152762397645</v>
      </c>
      <c r="H170" s="52">
        <f>ROUND(D170*G170,2)</f>
        <v/>
      </c>
      <c r="I170" s="52">
        <f>ROUND(SUM(F170,H170),2)</f>
        <v/>
      </c>
    </row>
    <row r="171" ht="15.75" customHeight="1">
      <c r="A171" s="15" t="n">
        <v>166</v>
      </c>
      <c r="B171" s="58" t="inlineStr">
        <is>
          <t>Разборка канализационного трубопровода, d=50мм</t>
        </is>
      </c>
      <c r="C171" s="56" t="inlineStr">
        <is>
          <t>м</t>
        </is>
      </c>
      <c r="D171" s="95" t="n">
        <v>30</v>
      </c>
      <c r="E171" s="52" t="n">
        <v>0</v>
      </c>
      <c r="F171" s="52">
        <f>ROUND(D171*E171,2)</f>
        <v/>
      </c>
      <c r="G171" s="52" t="n">
        <v>230.5660693980355</v>
      </c>
      <c r="H171" s="52">
        <f>ROUND(D171*G171,2)</f>
        <v/>
      </c>
      <c r="I171" s="52">
        <f>ROUND(SUM(F171,H171),2)</f>
        <v/>
      </c>
    </row>
    <row r="172" ht="15.75" customHeight="1">
      <c r="A172" s="15" t="n">
        <v>167</v>
      </c>
      <c r="B172" s="58" t="inlineStr">
        <is>
          <t>Разборка канализационного трубопровода, d=110мм</t>
        </is>
      </c>
      <c r="C172" s="56" t="inlineStr">
        <is>
          <t>м</t>
        </is>
      </c>
      <c r="D172" s="95" t="n">
        <v>26</v>
      </c>
      <c r="E172" s="52" t="n">
        <v>0</v>
      </c>
      <c r="F172" s="52">
        <f>ROUND(D172*E172,2)</f>
        <v/>
      </c>
      <c r="G172" s="52" t="n">
        <v>230.5660693980355</v>
      </c>
      <c r="H172" s="52">
        <f>ROUND(D172*G172,2)</f>
        <v/>
      </c>
      <c r="I172" s="52">
        <f>ROUND(SUM(F172,H172),2)</f>
        <v/>
      </c>
    </row>
    <row r="173" ht="15.75" customHeight="1">
      <c r="A173" s="15" t="n">
        <v>168</v>
      </c>
      <c r="B173" s="54" t="inlineStr">
        <is>
          <t>Демонтаж существующих унитазов</t>
        </is>
      </c>
      <c r="C173" s="56" t="inlineStr">
        <is>
          <t>шт.</t>
        </is>
      </c>
      <c r="D173" s="94" t="n">
        <v>6</v>
      </c>
      <c r="E173" s="52" t="n">
        <v>0</v>
      </c>
      <c r="F173" s="52">
        <f>ROUND(D173*E173,2)</f>
        <v/>
      </c>
      <c r="G173" s="52" t="n">
        <v>1230.373498133161</v>
      </c>
      <c r="H173" s="52">
        <f>ROUND(D173*G173,2)</f>
        <v/>
      </c>
      <c r="I173" s="52">
        <f>ROUND(SUM(F173,H173),2)</f>
        <v/>
      </c>
    </row>
    <row r="174" ht="15.75" customHeight="1">
      <c r="A174" s="15" t="n">
        <v>169</v>
      </c>
      <c r="B174" s="54" t="inlineStr">
        <is>
          <t>Демонтаж существующих  писсуаров настенных без сенсора</t>
        </is>
      </c>
      <c r="C174" s="56" t="inlineStr">
        <is>
          <t>шт.</t>
        </is>
      </c>
      <c r="D174" s="56" t="n">
        <v>3</v>
      </c>
      <c r="E174" s="52" t="n">
        <v>0</v>
      </c>
      <c r="F174" s="52">
        <f>ROUND(D174*E174,2)</f>
        <v/>
      </c>
      <c r="G174" s="52" t="n">
        <v>1230.373498133161</v>
      </c>
      <c r="H174" s="52">
        <f>ROUND(D174*G174,2)</f>
        <v/>
      </c>
      <c r="I174" s="52">
        <f>ROUND(SUM(F174,H174),2)</f>
        <v/>
      </c>
    </row>
    <row r="175" ht="15.75" customHeight="1">
      <c r="A175" s="15" t="n">
        <v>170</v>
      </c>
      <c r="B175" s="54" t="inlineStr">
        <is>
          <t xml:space="preserve">Демонтаж существующих раковин </t>
        </is>
      </c>
      <c r="C175" s="56" t="inlineStr">
        <is>
          <t>шт.</t>
        </is>
      </c>
      <c r="D175" s="94" t="n">
        <v>8</v>
      </c>
      <c r="E175" s="52" t="n">
        <v>0</v>
      </c>
      <c r="F175" s="52">
        <f>ROUND(D175*E175,2)</f>
        <v/>
      </c>
      <c r="G175" s="52" t="n">
        <v>922.7801235998708</v>
      </c>
      <c r="H175" s="52">
        <f>ROUND(D175*G175,2)</f>
        <v/>
      </c>
      <c r="I175" s="52">
        <f>ROUND(SUM(F175,H175),2)</f>
        <v/>
      </c>
    </row>
    <row r="176" ht="15.75" customHeight="1">
      <c r="A176" s="15" t="n">
        <v>171</v>
      </c>
      <c r="B176" s="54" t="inlineStr">
        <is>
          <t>Демонтаж существующих сушилок для рук</t>
        </is>
      </c>
      <c r="C176" s="56" t="inlineStr">
        <is>
          <t>шт.</t>
        </is>
      </c>
      <c r="D176" s="94" t="n">
        <v>4</v>
      </c>
      <c r="E176" s="52" t="n">
        <v>0</v>
      </c>
      <c r="F176" s="52">
        <f>ROUND(D176*E176,2)</f>
        <v/>
      </c>
      <c r="G176" s="52" t="n">
        <v>525.4268038637409</v>
      </c>
      <c r="H176" s="52">
        <f>ROUND(D176*G176,2)</f>
        <v/>
      </c>
      <c r="I176" s="52">
        <f>ROUND(SUM(F176,H176),2)</f>
        <v/>
      </c>
    </row>
    <row r="177" ht="15.75" customHeight="1">
      <c r="A177" s="15" t="n">
        <v>172</v>
      </c>
      <c r="B177" s="54" t="inlineStr">
        <is>
          <t>Демонтаж осветительных приборов</t>
        </is>
      </c>
      <c r="C177" s="56" t="inlineStr">
        <is>
          <t>шт.</t>
        </is>
      </c>
      <c r="D177" s="94" t="n">
        <v>16</v>
      </c>
      <c r="E177" s="52" t="n">
        <v>0</v>
      </c>
      <c r="F177" s="52">
        <f>ROUND(D177*E177,2)</f>
        <v/>
      </c>
      <c r="G177" s="52" t="n">
        <v>461.3900617999354</v>
      </c>
      <c r="H177" s="52">
        <f>ROUND(D177*G177,2)</f>
        <v/>
      </c>
      <c r="I177" s="52">
        <f>ROUND(SUM(F177,H177),2)</f>
        <v/>
      </c>
    </row>
    <row r="178" ht="33.75" customHeight="1">
      <c r="A178" s="15" t="n">
        <v>173</v>
      </c>
      <c r="B178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178" s="56" t="inlineStr">
        <is>
          <t>м</t>
        </is>
      </c>
      <c r="D178" s="94" t="n">
        <v>80</v>
      </c>
      <c r="E178" s="52" t="n">
        <v>0</v>
      </c>
      <c r="F178" s="52">
        <f>ROUND(D178*E178,2)</f>
        <v/>
      </c>
      <c r="G178" s="52" t="n">
        <v>92.31692015457689</v>
      </c>
      <c r="H178" s="52">
        <f>ROUND(D178*G178,2)</f>
        <v/>
      </c>
      <c r="I178" s="52">
        <f>ROUND(SUM(F178,H178),2)</f>
        <v/>
      </c>
    </row>
    <row r="179" ht="15.75" customHeight="1">
      <c r="A179" s="15" t="n">
        <v>174</v>
      </c>
      <c r="B179" s="54" t="inlineStr">
        <is>
          <t>Демонтаж распаечных коробок</t>
        </is>
      </c>
      <c r="C179" s="56" t="inlineStr">
        <is>
          <t>шт.</t>
        </is>
      </c>
      <c r="D179" s="94" t="n">
        <v>16</v>
      </c>
      <c r="E179" s="52" t="n">
        <v>0</v>
      </c>
      <c r="F179" s="52">
        <f>ROUND(D179*E179,2)</f>
        <v/>
      </c>
      <c r="G179" s="52" t="n">
        <v>230.5660693980355</v>
      </c>
      <c r="H179" s="52">
        <f>ROUND(D179*G179,2)</f>
        <v/>
      </c>
      <c r="I179" s="52">
        <f>ROUND(SUM(F179,H179),2)</f>
        <v/>
      </c>
    </row>
    <row r="180" ht="15.75" customHeight="1">
      <c r="A180" s="15" t="n">
        <v>175</v>
      </c>
      <c r="B180" s="54" t="inlineStr">
        <is>
          <t>Демонтаж динамиков оповещения</t>
        </is>
      </c>
      <c r="C180" s="56" t="inlineStr">
        <is>
          <t>шт.</t>
        </is>
      </c>
      <c r="D180" s="94" t="n">
        <v>2</v>
      </c>
      <c r="E180" s="52" t="n">
        <v>0</v>
      </c>
      <c r="F180" s="52">
        <f>ROUND(D180*E180,2)</f>
        <v/>
      </c>
      <c r="G180" s="52" t="n">
        <v>823.5785123795987</v>
      </c>
      <c r="H180" s="52">
        <f>ROUND(D180*G180,2)</f>
        <v/>
      </c>
      <c r="I180" s="52">
        <f>ROUND(SUM(F180,H180),2)</f>
        <v/>
      </c>
    </row>
    <row r="181" ht="15.75" customHeight="1">
      <c r="A181" s="15" t="n">
        <v>176</v>
      </c>
      <c r="B181" s="54" t="inlineStr">
        <is>
          <t>Демонтаж  освежителей воздуха со стен</t>
        </is>
      </c>
      <c r="C181" s="56" t="inlineStr">
        <is>
          <t>шт.</t>
        </is>
      </c>
      <c r="D181" s="94" t="n">
        <v>2</v>
      </c>
      <c r="E181" s="52" t="n">
        <v>0</v>
      </c>
      <c r="F181" s="52">
        <f>ROUND(D181*E181,2)</f>
        <v/>
      </c>
      <c r="G181" s="52" t="n">
        <v>262.7134019318705</v>
      </c>
      <c r="H181" s="52">
        <f>ROUND(D181*G181,2)</f>
        <v/>
      </c>
      <c r="I181" s="52">
        <f>ROUND(SUM(F181,H181),2)</f>
        <v/>
      </c>
    </row>
    <row r="182" ht="15.75" customHeight="1">
      <c r="A182" s="15" t="n">
        <v>177</v>
      </c>
      <c r="B182" s="54" t="inlineStr">
        <is>
          <t>Демонтаж существующих водяных бойлеров</t>
        </is>
      </c>
      <c r="C182" s="56" t="inlineStr">
        <is>
          <t>шт.</t>
        </is>
      </c>
      <c r="D182" s="94" t="n">
        <v>2</v>
      </c>
      <c r="E182" s="52" t="n">
        <v>0</v>
      </c>
      <c r="F182" s="52">
        <f>ROUND(D182*E182,2)</f>
        <v/>
      </c>
      <c r="G182" s="52" t="n">
        <v>2353.081463941711</v>
      </c>
      <c r="H182" s="52">
        <f>ROUND(D182*G182,2)</f>
        <v/>
      </c>
      <c r="I182" s="52">
        <f>ROUND(SUM(F182,H182),2)</f>
        <v/>
      </c>
    </row>
    <row r="183" ht="15.75" customHeight="1">
      <c r="A183" s="15" t="n">
        <v>178</v>
      </c>
      <c r="B183" s="54" t="inlineStr">
        <is>
          <t>Демонтаж существующих бумагодержателей</t>
        </is>
      </c>
      <c r="C183" s="56" t="inlineStr">
        <is>
          <t>шт.</t>
        </is>
      </c>
      <c r="D183" s="94" t="n">
        <v>6</v>
      </c>
      <c r="E183" s="52" t="n">
        <v>0</v>
      </c>
      <c r="F183" s="52">
        <f>ROUND(D183*E183,2)</f>
        <v/>
      </c>
      <c r="G183" s="52" t="n">
        <v>262.7134019318705</v>
      </c>
      <c r="H183" s="52">
        <f>ROUND(D183*G183,2)</f>
        <v/>
      </c>
      <c r="I183" s="52">
        <f>ROUND(SUM(F183,H183),2)</f>
        <v/>
      </c>
    </row>
    <row r="184" ht="15.75" customHeight="1">
      <c r="A184" s="15" t="n">
        <v>179</v>
      </c>
      <c r="B184" s="54" t="inlineStr">
        <is>
          <t>Демонтаж существующих существующих настенных зеркал</t>
        </is>
      </c>
      <c r="C184" s="56" t="inlineStr">
        <is>
          <t>шт.</t>
        </is>
      </c>
      <c r="D184" s="94" t="n">
        <v>4</v>
      </c>
      <c r="E184" s="52" t="n">
        <v>0</v>
      </c>
      <c r="F184" s="52">
        <f>ROUND(D184*E184,2)</f>
        <v/>
      </c>
      <c r="G184" s="52" t="n">
        <v>459.7484533807733</v>
      </c>
      <c r="H184" s="52">
        <f>ROUND(D184*G184,2)</f>
        <v/>
      </c>
      <c r="I184" s="52">
        <f>ROUND(SUM(F184,H184),2)</f>
        <v/>
      </c>
    </row>
    <row r="185" ht="15.75" customHeight="1">
      <c r="A185" s="15" t="n">
        <v>180</v>
      </c>
      <c r="B185" s="54" t="inlineStr">
        <is>
          <t>Демонтаж существующих туалетных полочек</t>
        </is>
      </c>
      <c r="C185" s="56" t="inlineStr">
        <is>
          <t>шт.</t>
        </is>
      </c>
      <c r="D185" s="94" t="n">
        <v>6</v>
      </c>
      <c r="E185" s="52" t="n">
        <v>0</v>
      </c>
      <c r="F185" s="52">
        <f>ROUND(D185*E185,2)</f>
        <v/>
      </c>
      <c r="G185" s="52" t="n">
        <v>262.7134019318705</v>
      </c>
      <c r="H185" s="52">
        <f>ROUND(D185*G185,2)</f>
        <v/>
      </c>
      <c r="I185" s="52">
        <f>ROUND(SUM(F185,H185),2)</f>
        <v/>
      </c>
    </row>
    <row r="186" ht="15.75" customHeight="1">
      <c r="A186" s="15" t="n">
        <v>181</v>
      </c>
      <c r="B186" s="57" t="inlineStr">
        <is>
          <t>Демонтаж существующего люка в женском сан. Узле</t>
        </is>
      </c>
      <c r="C186" s="61" t="inlineStr">
        <is>
          <t>шт.</t>
        </is>
      </c>
      <c r="D186" s="96" t="n">
        <v>4</v>
      </c>
      <c r="E186" s="52" t="n">
        <v>0</v>
      </c>
      <c r="F186" s="52">
        <f>ROUND(D186*E186,2)</f>
        <v/>
      </c>
      <c r="G186" s="52" t="n">
        <v>1166.643896813129</v>
      </c>
      <c r="H186" s="52">
        <f>ROUND(D186*G186,2)</f>
        <v/>
      </c>
      <c r="I186" s="52">
        <f>ROUND(SUM(F186,H186),2)</f>
        <v/>
      </c>
    </row>
    <row r="187" ht="15.75" customHeight="1">
      <c r="A187" s="15" t="n">
        <v>182</v>
      </c>
      <c r="B187" s="54" t="inlineStr">
        <is>
          <t>Демонтаж телескопических Алюминиевых двере</t>
        </is>
      </c>
      <c r="C187" s="61" t="inlineStr">
        <is>
          <t>шт.</t>
        </is>
      </c>
      <c r="D187" s="94" t="n">
        <v>4</v>
      </c>
      <c r="E187" s="52" t="n">
        <v>0</v>
      </c>
      <c r="F187" s="52">
        <f>ROUND(D187*E187,2)</f>
        <v/>
      </c>
      <c r="G187" s="52" t="n">
        <v>1346.709277613933</v>
      </c>
      <c r="H187" s="52">
        <f>ROUND(D187*G187,2)</f>
        <v/>
      </c>
      <c r="I187" s="52">
        <f>ROUND(SUM(F187,H187),2)</f>
        <v/>
      </c>
    </row>
    <row r="188" ht="45" customHeight="1">
      <c r="A188" s="15" t="n">
        <v>183</v>
      </c>
      <c r="B188" s="58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188" s="62" t="inlineStr">
        <is>
          <t>м2</t>
        </is>
      </c>
      <c r="D188" s="95" t="n">
        <v>30.15</v>
      </c>
      <c r="E188" s="52" t="n">
        <v>0</v>
      </c>
      <c r="F188" s="52">
        <f>ROUND(D188*E188,2)</f>
        <v/>
      </c>
      <c r="G188" s="52" t="n">
        <v>463.1152762397646</v>
      </c>
      <c r="H188" s="52">
        <f>ROUND(D188*G188,2)</f>
        <v/>
      </c>
      <c r="I188" s="52">
        <f>ROUND(SUM(F188,H188),2)</f>
        <v/>
      </c>
    </row>
    <row r="189">
      <c r="A189" s="15" t="n">
        <v>184</v>
      </c>
      <c r="B189" s="28" t="inlineStr">
        <is>
          <t>Раздел 2. Монтажные работы.</t>
        </is>
      </c>
      <c r="C189" s="15" t="n"/>
      <c r="D189" s="60" t="n"/>
      <c r="E189" s="15" t="n"/>
      <c r="F189" s="17" t="n"/>
      <c r="G189" s="13" t="n"/>
      <c r="H189" s="13" t="n"/>
      <c r="I189" s="13" t="n"/>
    </row>
    <row r="190" ht="15.75" customHeight="1">
      <c r="A190" s="15" t="n">
        <v>185</v>
      </c>
      <c r="B190" s="57" t="inlineStr">
        <is>
          <t>Устройство стяжки пола h=200мм</t>
        </is>
      </c>
      <c r="C190" s="15" t="inlineStr">
        <is>
          <t>м2</t>
        </is>
      </c>
      <c r="D190" s="15" t="n">
        <v>22.96</v>
      </c>
      <c r="E190" s="52" t="n">
        <v>3650.754138191594</v>
      </c>
      <c r="F190" s="52">
        <f>ROUND(D190*E190,2)</f>
        <v/>
      </c>
      <c r="G190" s="52" t="n">
        <v>3763.099275236907</v>
      </c>
      <c r="H190" s="52">
        <f>ROUND(D190*G190,2)</f>
        <v/>
      </c>
      <c r="I190" s="52">
        <f>ROUND(SUM(F190,H190),2)</f>
        <v/>
      </c>
    </row>
    <row r="191" ht="45" customHeight="1">
      <c r="A191" s="15" t="n">
        <v>186</v>
      </c>
      <c r="B191" s="64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191" s="62" t="inlineStr">
        <is>
          <t>м2</t>
        </is>
      </c>
      <c r="D191" s="62" t="n">
        <v>209.658</v>
      </c>
      <c r="E191" s="52" t="n">
        <v>1361.032094494925</v>
      </c>
      <c r="F191" s="52">
        <f>ROUND(D191*E191,2)</f>
        <v/>
      </c>
      <c r="G191" s="52" t="n">
        <v>2607.601033258546</v>
      </c>
      <c r="H191" s="52">
        <f>ROUND(D191*G191,2)</f>
        <v/>
      </c>
      <c r="I191" s="52">
        <f>ROUND(SUM(F191,H191),2)</f>
        <v/>
      </c>
    </row>
    <row r="192" ht="15.75" customHeight="1">
      <c r="A192" s="15" t="n">
        <v>187</v>
      </c>
      <c r="B192" s="65" t="inlineStr">
        <is>
          <t>Востановление стены после демонтажа люков 30х50см</t>
        </is>
      </c>
      <c r="C192" s="66" t="inlineStr">
        <is>
          <t>шт.</t>
        </is>
      </c>
      <c r="D192" s="66" t="n">
        <v>2</v>
      </c>
      <c r="E192" s="52" t="n">
        <v>0</v>
      </c>
      <c r="F192" s="52">
        <f>ROUND(D192*E192,2)</f>
        <v/>
      </c>
      <c r="G192" s="52" t="n">
        <v>2916.609742032823</v>
      </c>
      <c r="H192" s="52">
        <f>ROUND(D192*G192,2)</f>
        <v/>
      </c>
      <c r="I192" s="52">
        <f>ROUND(SUM(F192,H192),2)</f>
        <v/>
      </c>
    </row>
    <row r="193" ht="15.75" customHeight="1">
      <c r="A193" s="15" t="n">
        <v>188</v>
      </c>
      <c r="B193" s="65" t="inlineStr">
        <is>
          <t>Перенос и монтаж люка под плитку 1000х1000мм</t>
        </is>
      </c>
      <c r="C193" s="66" t="inlineStr">
        <is>
          <t>шт.</t>
        </is>
      </c>
      <c r="D193" s="66" t="n">
        <v>2</v>
      </c>
      <c r="E193" s="52" t="n">
        <v>11488.721342112</v>
      </c>
      <c r="F193" s="52">
        <f>ROUND(D193*E193,2)</f>
        <v/>
      </c>
      <c r="G193" s="52" t="n">
        <v>3807.926912457425</v>
      </c>
      <c r="H193" s="52">
        <f>ROUND(D193*G193,2)</f>
        <v/>
      </c>
      <c r="I193" s="52">
        <f>ROUND(SUM(F193,H193),2)</f>
        <v/>
      </c>
    </row>
    <row r="194" ht="15.75" customHeight="1">
      <c r="A194" s="15" t="n">
        <v>189</v>
      </c>
      <c r="B194" s="65" t="inlineStr">
        <is>
          <t>Устройство гидроизоляции</t>
        </is>
      </c>
      <c r="C194" s="67" t="inlineStr">
        <is>
          <t>м2</t>
        </is>
      </c>
      <c r="D194" s="67" t="n">
        <v>59</v>
      </c>
      <c r="E194" s="52" t="n">
        <v>442.3156016076</v>
      </c>
      <c r="F194" s="52">
        <f>ROUND(D194*E194,2)</f>
        <v/>
      </c>
      <c r="G194" s="52" t="n">
        <v>706.1086389192636</v>
      </c>
      <c r="H194" s="52">
        <f>ROUND(D194*G194,2)</f>
        <v/>
      </c>
      <c r="I194" s="52">
        <f>ROUND(SUM(F194,H194),2)</f>
        <v/>
      </c>
    </row>
    <row r="195" ht="15.75" customHeight="1">
      <c r="A195" s="15" t="n">
        <v>190</v>
      </c>
      <c r="B195" s="65" t="inlineStr">
        <is>
          <t>Чернение потолка и коммуникаций RAL 7026</t>
        </is>
      </c>
      <c r="C195" s="67" t="inlineStr">
        <is>
          <t>м2</t>
        </is>
      </c>
      <c r="D195" s="67" t="n">
        <v>24</v>
      </c>
      <c r="E195" s="52" t="n">
        <v>184.96839823686</v>
      </c>
      <c r="F195" s="52">
        <f>ROUND(D195*E195,2)</f>
        <v/>
      </c>
      <c r="G195" s="52" t="n">
        <v>377.3398992589209</v>
      </c>
      <c r="H195" s="52">
        <f>ROUND(D195*G195,2)</f>
        <v/>
      </c>
      <c r="I195" s="52">
        <f>ROUND(SUM(F195,H195),2)</f>
        <v/>
      </c>
    </row>
    <row r="196" ht="45" customHeight="1">
      <c r="A196" s="15" t="n">
        <v>191</v>
      </c>
      <c r="B196" s="65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196" s="67" t="inlineStr">
        <is>
          <t>м2</t>
        </is>
      </c>
      <c r="D196" s="67" t="n">
        <v>24</v>
      </c>
      <c r="E196" s="52" t="n">
        <v>1196.7213</v>
      </c>
      <c r="F196" s="52">
        <f>ROUND(D196*E196,2)</f>
        <v/>
      </c>
      <c r="G196" s="52" t="n">
        <v>1239.587057393498</v>
      </c>
      <c r="H196" s="52">
        <f>ROUND(D196*G196,2)</f>
        <v/>
      </c>
      <c r="I196" s="52">
        <f>ROUND(SUM(F196,H196),2)</f>
        <v/>
      </c>
    </row>
    <row r="197" ht="15.75" customHeight="1">
      <c r="A197" s="15" t="n">
        <v>192</v>
      </c>
      <c r="B197" s="57" t="inlineStr">
        <is>
          <t>Окраска фриза RAL 7026</t>
        </is>
      </c>
      <c r="C197" s="15" t="inlineStr">
        <is>
          <t>м2</t>
        </is>
      </c>
      <c r="D197" s="15" t="n">
        <v>33.82</v>
      </c>
      <c r="E197" s="52" t="n">
        <v>160.84208489013</v>
      </c>
      <c r="F197" s="52">
        <f>ROUND(D197*E197,2)</f>
        <v/>
      </c>
      <c r="G197" s="52" t="n">
        <v>451.0086387490006</v>
      </c>
      <c r="H197" s="52">
        <f>ROUND(D197*G197,2)</f>
        <v/>
      </c>
      <c r="I197" s="52">
        <f>ROUND(SUM(F197,H197),2)</f>
        <v/>
      </c>
    </row>
    <row r="198" ht="30" customHeight="1">
      <c r="A198" s="15" t="n">
        <v>193</v>
      </c>
      <c r="B198" s="57" t="inlineStr">
        <is>
          <t>Устройство напольного покрытия Керамогранит светло-серый 60х60 Матовый Карвинг 59,50x59,50</t>
        </is>
      </c>
      <c r="C198" s="15" t="inlineStr">
        <is>
          <t>м2</t>
        </is>
      </c>
      <c r="D198" s="15" t="n">
        <v>22.96</v>
      </c>
      <c r="E198" s="52" t="n">
        <v>2213.23820148465</v>
      </c>
      <c r="F198" s="52">
        <f>ROUND(D198*E198,2)</f>
        <v/>
      </c>
      <c r="G198" s="52" t="n">
        <v>3051.150486403696</v>
      </c>
      <c r="H198" s="52">
        <f>ROUND(D198*G198,2)</f>
        <v/>
      </c>
      <c r="I198" s="52">
        <f>ROUND(SUM(F198,H198),2)</f>
        <v/>
      </c>
    </row>
    <row r="199" ht="30" customHeight="1">
      <c r="A199" s="15" t="n">
        <v>194</v>
      </c>
      <c r="B199" s="57" t="inlineStr">
        <is>
          <t>Облицовка стен керамогранитом светло-серый 59,5х119,01, Матовый Карвинг 59,5х119,01 Evolution Smoke</t>
        </is>
      </c>
      <c r="C199" s="15" t="inlineStr">
        <is>
          <t>м2</t>
        </is>
      </c>
      <c r="D199" s="18" t="n">
        <v>106.32</v>
      </c>
      <c r="E199" s="52" t="n">
        <v>2222.661196699863</v>
      </c>
      <c r="F199" s="52">
        <f>ROUND(D199*E199,2)</f>
        <v/>
      </c>
      <c r="G199" s="52" t="n">
        <v>3180.984833770257</v>
      </c>
      <c r="H199" s="52">
        <f>ROUND(D199*G199,2)</f>
        <v/>
      </c>
      <c r="I199" s="52">
        <f>ROUND(SUM(F199,H199),2)</f>
        <v/>
      </c>
    </row>
    <row r="200" ht="30" customHeight="1">
      <c r="A200" s="15" t="n">
        <v>195</v>
      </c>
      <c r="B200" s="57" t="inlineStr">
        <is>
          <t>Облицовка стен керамогранитом светло-серый 59,5х119,01, Матовый Карвинг 59,5х119,01Nord Gris</t>
        </is>
      </c>
      <c r="C200" s="15" t="inlineStr">
        <is>
          <t>м2</t>
        </is>
      </c>
      <c r="D200" s="18" t="n">
        <v>25.99</v>
      </c>
      <c r="E200" s="52" t="n">
        <v>2222.661196699863</v>
      </c>
      <c r="F200" s="52">
        <f>ROUND(D200*E200,2)</f>
        <v/>
      </c>
      <c r="G200" s="52" t="n">
        <v>3180.984833770257</v>
      </c>
      <c r="H200" s="52">
        <f>ROUND(D200*G200,2)</f>
        <v/>
      </c>
      <c r="I200" s="52">
        <f>ROUND(SUM(F200,H200),2)</f>
        <v/>
      </c>
    </row>
    <row r="201" ht="30" customHeight="1">
      <c r="A201" s="15" t="n">
        <v>196</v>
      </c>
      <c r="B201" s="57" t="inlineStr">
        <is>
          <t>Монтаж светильника подвесного SP-POLO-R85-2-15W Day White 40deg теплый белый 3000К, (Black, Black Ring) (Arlight, IP20), 230D</t>
        </is>
      </c>
      <c r="C201" s="15" t="inlineStr">
        <is>
          <t>шт</t>
        </is>
      </c>
      <c r="D201" s="94" t="n">
        <v>27</v>
      </c>
      <c r="E201" s="52" t="n">
        <v>7913.8934</v>
      </c>
      <c r="F201" s="52">
        <f>ROUND(D201*E201,2)</f>
        <v/>
      </c>
      <c r="G201" s="52" t="n">
        <v>3609.000970777563</v>
      </c>
      <c r="H201" s="52">
        <f>ROUND(D201*G201,2)</f>
        <v/>
      </c>
      <c r="I201" s="52">
        <f>ROUND(SUM(F201,H201),2)</f>
        <v/>
      </c>
    </row>
    <row r="202" ht="60" customHeight="1">
      <c r="A202" s="15" t="n">
        <v>197</v>
      </c>
      <c r="B202" s="57" t="inlineStr">
        <is>
          <t>Монтаж встраиваемого светодиодного светильника OKKO IP54/IP20 13 WH
Светильник SP-JEDI-HANG-R18-6W Warm3000 (BK, 360 deg, 230V)
(Arlight, IP20 Пластик</t>
        </is>
      </c>
      <c r="C202" s="15" t="inlineStr">
        <is>
          <t>шт</t>
        </is>
      </c>
      <c r="D202" s="94" t="n">
        <v>12</v>
      </c>
      <c r="E202" s="52" t="n">
        <v>7453.721229457388</v>
      </c>
      <c r="F202" s="52">
        <f>ROUND(D202*E202,2)</f>
        <v/>
      </c>
      <c r="G202" s="52" t="n">
        <v>3214.625726855305</v>
      </c>
      <c r="H202" s="52">
        <f>ROUND(D202*G202,2)</f>
        <v/>
      </c>
      <c r="I202" s="52">
        <f>ROUND(SUM(F202,H202),2)</f>
        <v/>
      </c>
    </row>
    <row r="203" ht="15.75" customHeight="1">
      <c r="A203" s="15" t="n">
        <v>198</v>
      </c>
      <c r="B203" s="57" t="inlineStr">
        <is>
          <t>Монтаж существующей музыкальной колонки</t>
        </is>
      </c>
      <c r="C203" s="15" t="inlineStr">
        <is>
          <t>шт</t>
        </is>
      </c>
      <c r="D203" s="60" t="n">
        <v>2</v>
      </c>
      <c r="E203" s="52" t="n">
        <v>0</v>
      </c>
      <c r="F203" s="52">
        <f>ROUND(D203*E203,2)</f>
        <v/>
      </c>
      <c r="G203" s="52" t="n">
        <v>1411.848878365026</v>
      </c>
      <c r="H203" s="52">
        <f>ROUND(D203*G203,2)</f>
        <v/>
      </c>
      <c r="I203" s="52">
        <f>ROUND(SUM(F203,H203),2)</f>
        <v/>
      </c>
    </row>
    <row r="204" ht="15.75" customHeight="1">
      <c r="A204" s="15" t="n">
        <v>199</v>
      </c>
      <c r="B204" s="57" t="inlineStr">
        <is>
          <t>Монтаж диффузоров</t>
        </is>
      </c>
      <c r="C204" s="15" t="inlineStr">
        <is>
          <t>шт</t>
        </is>
      </c>
      <c r="D204" s="18" t="n">
        <v>6</v>
      </c>
      <c r="E204" s="52" t="n">
        <v>1238.627820067312</v>
      </c>
      <c r="F204" s="52">
        <f>ROUND(D204*E204,2)</f>
        <v/>
      </c>
      <c r="G204" s="52" t="n">
        <v>1200.283269440882</v>
      </c>
      <c r="H204" s="52">
        <f>ROUND(D204*G204,2)</f>
        <v/>
      </c>
      <c r="I204" s="52">
        <f>ROUND(SUM(F204,H204),2)</f>
        <v/>
      </c>
    </row>
    <row r="205" ht="45" customHeight="1">
      <c r="A205" s="15" t="n">
        <v>200</v>
      </c>
      <c r="B205" s="65" t="inlineStr">
        <is>
          <t>Монтаж дверных блоков 2Л 2000х700.
Монтаж деревянных дверей  из ЛДСП в телескопической алюминиевой коробке в проем, замок WC Свободно/занято</t>
        </is>
      </c>
      <c r="C205" s="67" t="inlineStr">
        <is>
          <t>шт</t>
        </is>
      </c>
      <c r="D205" s="68" t="n">
        <v>2</v>
      </c>
      <c r="E205" s="52" t="n">
        <v>14360.90167764</v>
      </c>
      <c r="F205" s="52">
        <f>ROUND(D205*E205,2)</f>
        <v/>
      </c>
      <c r="G205" s="52" t="n">
        <v>9911.798466495968</v>
      </c>
      <c r="H205" s="52">
        <f>ROUND(D205*G205,2)</f>
        <v/>
      </c>
      <c r="I205" s="52">
        <f>ROUND(SUM(F205,H205),2)</f>
        <v/>
      </c>
    </row>
    <row r="206" ht="45" customHeight="1">
      <c r="A206" s="15" t="n">
        <v>201</v>
      </c>
      <c r="B206" s="65" t="inlineStr">
        <is>
          <t>Монтаж дверные блоков 2П 2000х700.
Монтаж деревянных дверей  из ЛДСП в телескопической алюминиевой коробке в проем,  замок WC Свободно/занято</t>
        </is>
      </c>
      <c r="C206" s="67" t="inlineStr">
        <is>
          <t>шт</t>
        </is>
      </c>
      <c r="D206" s="68" t="n">
        <v>4</v>
      </c>
      <c r="E206" s="52" t="n">
        <v>14360.90167764</v>
      </c>
      <c r="F206" s="52">
        <f>ROUND(D206*E206,2)</f>
        <v/>
      </c>
      <c r="G206" s="52" t="n">
        <v>9911.798466495968</v>
      </c>
      <c r="H206" s="52">
        <f>ROUND(D206*G206,2)</f>
        <v/>
      </c>
      <c r="I206" s="52">
        <f>ROUND(SUM(F206,H206),2)</f>
        <v/>
      </c>
    </row>
    <row r="207" ht="60" customHeight="1">
      <c r="A207" s="15" t="n">
        <v>202</v>
      </c>
      <c r="B207" s="65" t="inlineStr">
        <is>
          <t>Монтаж дверных блоков 1Л 2000х800.
Монтаж деревянных дверей  из ЛДСП, в телескопической алюминиевой коробке в проем, доводчик для автоматического закрывания.</t>
        </is>
      </c>
      <c r="C207" s="67" t="inlineStr">
        <is>
          <t>шт</t>
        </is>
      </c>
      <c r="D207" s="68" t="n">
        <v>2</v>
      </c>
      <c r="E207" s="52" t="n">
        <v>16467.167264814</v>
      </c>
      <c r="F207" s="52">
        <f>ROUND(D207*E207,2)</f>
        <v/>
      </c>
      <c r="G207" s="52" t="n">
        <v>10387.33623538618</v>
      </c>
      <c r="H207" s="52">
        <f>ROUND(D207*G207,2)</f>
        <v/>
      </c>
      <c r="I207" s="52">
        <f>ROUND(SUM(F207,H207),2)</f>
        <v/>
      </c>
    </row>
    <row r="208" ht="45" customHeight="1">
      <c r="A208" s="15" t="n">
        <v>203</v>
      </c>
      <c r="B208" s="27" t="inlineStr">
        <is>
          <t>Устройство  столешниц Иск. камень,
LG Hi-macs G503 NIGHT STELLA, - 20 мм
Мет. труба, - 40 мм</t>
        </is>
      </c>
      <c r="C208" s="15" t="inlineStr">
        <is>
          <t>шт</t>
        </is>
      </c>
      <c r="D208" s="18" t="n">
        <v>2</v>
      </c>
      <c r="E208" s="52" t="n">
        <v>33508.77050329201</v>
      </c>
      <c r="F208" s="52">
        <f>ROUND(D208*E208,2)</f>
        <v/>
      </c>
      <c r="G208" s="52" t="n">
        <v>16145.48096511602</v>
      </c>
      <c r="H208" s="52">
        <f>ROUND(D208*G208,2)</f>
        <v/>
      </c>
      <c r="I208" s="52">
        <f>ROUND(SUM(F208,H208),2)</f>
        <v/>
      </c>
    </row>
    <row r="209" ht="15.75" customHeight="1">
      <c r="A209" s="15" t="n">
        <v>204</v>
      </c>
      <c r="B209" s="27" t="inlineStr">
        <is>
          <t xml:space="preserve">Монтаж подвесных писуаров </t>
        </is>
      </c>
      <c r="C209" s="15" t="inlineStr">
        <is>
          <t>шт</t>
        </is>
      </c>
      <c r="D209" s="18" t="n">
        <v>3</v>
      </c>
      <c r="E209" s="52" t="n">
        <v>13585.41290295</v>
      </c>
      <c r="F209" s="52">
        <f>ROUND(D209*E209,2)</f>
        <v/>
      </c>
      <c r="G209" s="52" t="n">
        <v>6401.837371901934</v>
      </c>
      <c r="H209" s="52">
        <f>ROUND(D209*G209,2)</f>
        <v/>
      </c>
      <c r="I209" s="52">
        <f>ROUND(SUM(F209,H209),2)</f>
        <v/>
      </c>
    </row>
    <row r="210" ht="30" customHeight="1">
      <c r="A210" s="15" t="n">
        <v>205</v>
      </c>
      <c r="B210" s="27" t="inlineStr">
        <is>
          <t>Унитаз-компакт AM.PM Crave Flash Clean универсальный выпуск
двойной слив. Сиденье с микролифтом</t>
        </is>
      </c>
      <c r="C210" s="15" t="inlineStr">
        <is>
          <t>шт</t>
        </is>
      </c>
      <c r="D210" s="18" t="n">
        <v>6</v>
      </c>
      <c r="E210" s="52" t="n">
        <v>18956.390167764</v>
      </c>
      <c r="F210" s="52">
        <f>ROUND(D210*E210,2)</f>
        <v/>
      </c>
      <c r="G210" s="52" t="n">
        <v>8014.654209354573</v>
      </c>
      <c r="H210" s="52">
        <f>ROUND(D210*G210,2)</f>
        <v/>
      </c>
      <c r="I210" s="52">
        <f>ROUND(SUM(F210,H210),2)</f>
        <v/>
      </c>
    </row>
    <row r="211" ht="15.75" customHeight="1">
      <c r="A211" s="15" t="n">
        <v>206</v>
      </c>
      <c r="B211" s="69" t="inlineStr">
        <is>
          <t>Раковина Cersanit Moduo 40 Ring с подстольем 40 см</t>
        </is>
      </c>
      <c r="C211" s="70" t="inlineStr">
        <is>
          <t>комп</t>
        </is>
      </c>
      <c r="D211" s="18" t="n">
        <v>4</v>
      </c>
      <c r="E211" s="52" t="n">
        <v>7295.338103634</v>
      </c>
      <c r="F211" s="52">
        <f>ROUND(D211*E211,2)</f>
        <v/>
      </c>
      <c r="G211" s="52" t="n">
        <v>4048.005128082581</v>
      </c>
      <c r="H211" s="52">
        <f>ROUND(D211*G211,2)</f>
        <v/>
      </c>
      <c r="I211" s="52">
        <f>ROUND(SUM(F211,H211),2)</f>
        <v/>
      </c>
    </row>
    <row r="212" ht="15.75" customHeight="1">
      <c r="A212" s="15" t="n">
        <v>207</v>
      </c>
      <c r="B212" s="69" t="inlineStr">
        <is>
          <t>Напольная раковина CeruttiSpa Dorris CT7830 430x360x830</t>
        </is>
      </c>
      <c r="C212" s="70" t="inlineStr">
        <is>
          <t>шт</t>
        </is>
      </c>
      <c r="D212" s="18" t="n">
        <v>4</v>
      </c>
      <c r="E212" s="52" t="n">
        <v>18094.736090466</v>
      </c>
      <c r="F212" s="52">
        <f>ROUND(D212*E212,2)</f>
        <v/>
      </c>
      <c r="G212" s="52" t="n">
        <v>6486.216935410227</v>
      </c>
      <c r="H212" s="52">
        <f>ROUND(D212*G212,2)</f>
        <v/>
      </c>
      <c r="I212" s="52">
        <f>ROUND(SUM(F212,H212),2)</f>
        <v/>
      </c>
    </row>
    <row r="213" ht="30" customHeight="1">
      <c r="A213" s="15" t="n">
        <v>208</v>
      </c>
      <c r="B213" s="69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213" s="70" t="inlineStr">
        <is>
          <t>шт</t>
        </is>
      </c>
      <c r="D213" s="18" t="n">
        <v>4</v>
      </c>
      <c r="E213" s="52" t="n">
        <v>7471.881327158641</v>
      </c>
      <c r="F213" s="52">
        <f>ROUND(D213*E213,2)</f>
        <v/>
      </c>
      <c r="G213" s="52" t="n">
        <v>3287.730687613305</v>
      </c>
      <c r="H213" s="52">
        <f>ROUND(D213*G213,2)</f>
        <v/>
      </c>
      <c r="I213" s="52">
        <f>ROUND(SUM(F213,H213),2)</f>
        <v/>
      </c>
    </row>
    <row r="214" ht="45" customHeight="1">
      <c r="A214" s="15" t="n">
        <v>209</v>
      </c>
      <c r="B214" s="69" t="inlineStr">
        <is>
          <t>Смеситель для раковины Cersanit Brasko 63024 однорычажный
высокий цвет хром, предусмотреть установку обратных клапанов на ГВС и ХВС.</t>
        </is>
      </c>
      <c r="C214" s="70" t="inlineStr">
        <is>
          <t>шт</t>
        </is>
      </c>
      <c r="D214" s="18" t="n">
        <v>4</v>
      </c>
      <c r="E214" s="52" t="n">
        <v>9082.13355315264</v>
      </c>
      <c r="F214" s="52">
        <f>ROUND(D214*E214,2)</f>
        <v/>
      </c>
      <c r="G214" s="52" t="n">
        <v>3747.273105231152</v>
      </c>
      <c r="H214" s="52">
        <f>ROUND(D214*G214,2)</f>
        <v/>
      </c>
      <c r="I214" s="52">
        <f>ROUND(SUM(F214,H214),2)</f>
        <v/>
      </c>
    </row>
    <row r="215" ht="15.75" customHeight="1">
      <c r="A215" s="15" t="n">
        <v>210</v>
      </c>
      <c r="B215" s="27" t="inlineStr">
        <is>
          <t>Гигиенический душ Olive'S Balear 13141BLB со смесителем</t>
        </is>
      </c>
      <c r="C215" s="15" t="inlineStr">
        <is>
          <t>шт</t>
        </is>
      </c>
      <c r="D215" s="18" t="n">
        <v>5</v>
      </c>
      <c r="E215" s="52" t="n">
        <v>5256.09</v>
      </c>
      <c r="F215" s="52">
        <f>ROUND(D215*E215,2)</f>
        <v/>
      </c>
      <c r="G215" s="52" t="n">
        <v>3187.402570491844</v>
      </c>
      <c r="H215" s="52">
        <f>ROUND(D215*G215,2)</f>
        <v/>
      </c>
      <c r="I215" s="52">
        <f>ROUND(SUM(F215,H215),2)</f>
        <v/>
      </c>
    </row>
    <row r="216" ht="15.75" customHeight="1">
      <c r="A216" s="15" t="n">
        <v>211</v>
      </c>
      <c r="B216" s="7" t="inlineStr">
        <is>
          <t>Монтаж сантехнических аксессуаров:</t>
        </is>
      </c>
      <c r="C216" s="15" t="inlineStr">
        <is>
          <t>комп</t>
        </is>
      </c>
      <c r="D216" s="18" t="n"/>
      <c r="E216" s="52" t="n">
        <v>0</v>
      </c>
      <c r="F216" s="52">
        <f>ROUND(D216*E216,2)</f>
        <v/>
      </c>
      <c r="G216" s="52" t="n">
        <v>0</v>
      </c>
      <c r="H216" s="52">
        <f>ROUND(D216*G216,2)</f>
        <v/>
      </c>
      <c r="I216" s="52">
        <f>ROUND(SUM(F216,H216),2)</f>
        <v/>
      </c>
    </row>
    <row r="217" ht="15.75" customHeight="1">
      <c r="A217" s="15" t="n">
        <v>212</v>
      </c>
      <c r="B217" s="7" t="inlineStr">
        <is>
          <t xml:space="preserve">Зеркало с подсветкой с прозрачным кантом </t>
        </is>
      </c>
      <c r="C217" s="15" t="inlineStr">
        <is>
          <t>шт</t>
        </is>
      </c>
      <c r="D217" s="18" t="n">
        <v>8</v>
      </c>
      <c r="E217" s="52" t="n">
        <v>5048.3607</v>
      </c>
      <c r="F217" s="52">
        <f>ROUND(D217*E217,2)</f>
        <v/>
      </c>
      <c r="G217" s="52" t="n">
        <v>2303.492849906005</v>
      </c>
      <c r="H217" s="52">
        <f>ROUND(D217*G217,2)</f>
        <v/>
      </c>
      <c r="I217" s="52">
        <f>ROUND(SUM(F217,H217),2)</f>
        <v/>
      </c>
    </row>
    <row r="218" ht="45" customHeight="1">
      <c r="A218" s="15" t="n">
        <v>213</v>
      </c>
      <c r="B218" s="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218" s="15" t="inlineStr">
        <is>
          <t>м</t>
        </is>
      </c>
      <c r="D218" s="18" t="n">
        <v>60</v>
      </c>
      <c r="E218" s="52" t="n">
        <v>92.02159603728001</v>
      </c>
      <c r="F218" s="52">
        <f>ROUND(D218*E218,2)</f>
        <v/>
      </c>
      <c r="G218" s="52" t="n">
        <v>334.1070507051873</v>
      </c>
      <c r="H218" s="52">
        <f>ROUND(D218*G218,2)</f>
        <v/>
      </c>
      <c r="I218" s="52">
        <f>ROUND(SUM(F218,H218),2)</f>
        <v/>
      </c>
    </row>
    <row r="219" ht="35.25" customHeight="1">
      <c r="A219" s="15" t="n">
        <v>214</v>
      </c>
      <c r="B219" s="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219" s="15" t="inlineStr">
        <is>
          <t>м</t>
        </is>
      </c>
      <c r="D219" s="18" t="n">
        <v>20</v>
      </c>
      <c r="E219" s="52" t="n">
        <v>112.12685511552</v>
      </c>
      <c r="F219" s="52">
        <f>ROUND(D219*E219,2)</f>
        <v/>
      </c>
      <c r="G219" s="52" t="n">
        <v>970.3651152701751</v>
      </c>
      <c r="H219" s="52">
        <f>ROUND(D219*G219,2)</f>
        <v/>
      </c>
      <c r="I219" s="52">
        <f>ROUND(SUM(F219,H219),2)</f>
        <v/>
      </c>
    </row>
    <row r="220" ht="15.75" customHeight="1">
      <c r="A220" s="15" t="n">
        <v>215</v>
      </c>
      <c r="B220" s="7" t="inlineStr">
        <is>
          <t>Монтаж КУП</t>
        </is>
      </c>
      <c r="C220" s="15" t="inlineStr">
        <is>
          <t>шт.</t>
        </is>
      </c>
      <c r="D220" s="18" t="n">
        <v>2</v>
      </c>
      <c r="E220" s="52" t="n">
        <v>918.6189791877001</v>
      </c>
      <c r="F220" s="52">
        <f>ROUND(D220*E220,2)</f>
        <v/>
      </c>
      <c r="G220" s="52" t="n">
        <v>614.1423662764341</v>
      </c>
      <c r="H220" s="52">
        <f>ROUND(D220*G220,2)</f>
        <v/>
      </c>
      <c r="I220" s="52">
        <f>ROUND(SUM(F220,H220),2)</f>
        <v/>
      </c>
    </row>
    <row r="221" ht="15.75" customHeight="1">
      <c r="A221" s="15" t="n">
        <v>216</v>
      </c>
      <c r="B221" s="13" t="inlineStr">
        <is>
          <t>Прокладка провода ПуГПнг(А)-HF 1х6 мм.кв.</t>
        </is>
      </c>
      <c r="C221" s="15" t="inlineStr">
        <is>
          <t>м</t>
        </is>
      </c>
      <c r="D221" s="18" t="n">
        <v>20</v>
      </c>
      <c r="E221" s="52" t="n">
        <v>84.63354249168002</v>
      </c>
      <c r="F221" s="52">
        <f>ROUND(D221*E221,2)</f>
        <v/>
      </c>
      <c r="G221" s="52" t="n">
        <v>320.3756441224579</v>
      </c>
      <c r="H221" s="52">
        <f>ROUND(D221*G221,2)</f>
        <v/>
      </c>
      <c r="I221" s="52">
        <f>ROUND(SUM(F221,H221),2)</f>
        <v/>
      </c>
    </row>
    <row r="222" ht="30" customHeight="1">
      <c r="A222" s="15" t="n">
        <v>217</v>
      </c>
      <c r="B222" s="14" t="inlineStr">
        <is>
          <t>Присоединение к зажимам жил проводов или кабелей сечением до 2,5 мм²</t>
        </is>
      </c>
      <c r="C222" s="15" t="inlineStr">
        <is>
          <t>шт.</t>
        </is>
      </c>
      <c r="D222" s="18" t="n">
        <v>100</v>
      </c>
      <c r="E222" s="52" t="n">
        <v>0</v>
      </c>
      <c r="F222" s="52">
        <f>ROUND(D222*E222,2)</f>
        <v/>
      </c>
      <c r="G222" s="52" t="n">
        <v>80.83276616230575</v>
      </c>
      <c r="H222" s="52">
        <f>ROUND(D222*G222,2)</f>
        <v/>
      </c>
      <c r="I222" s="52">
        <f>ROUND(SUM(F222,H222),2)</f>
        <v/>
      </c>
    </row>
    <row r="223" ht="14.25" customHeight="1">
      <c r="A223" s="15" t="n">
        <v>218</v>
      </c>
      <c r="B223" s="14" t="inlineStr">
        <is>
          <t>Присоединение к зажимам жил проводов или кабелей сечением до 6 мм²</t>
        </is>
      </c>
      <c r="C223" s="15" t="inlineStr">
        <is>
          <t>шт.</t>
        </is>
      </c>
      <c r="D223" s="18" t="n">
        <v>100</v>
      </c>
      <c r="E223" s="52" t="n">
        <v>0</v>
      </c>
      <c r="F223" s="52">
        <f>ROUND(D223*E223,2)</f>
        <v/>
      </c>
      <c r="G223" s="52" t="n">
        <v>109.9595342241365</v>
      </c>
      <c r="H223" s="52">
        <f>ROUND(D223*G223,2)</f>
        <v/>
      </c>
      <c r="I223" s="52">
        <f>ROUND(SUM(F223,H223),2)</f>
        <v/>
      </c>
    </row>
    <row r="224" ht="15.75" customHeight="1">
      <c r="A224" s="15" t="n">
        <v>219</v>
      </c>
      <c r="B224" s="13" t="inlineStr">
        <is>
          <t>Пусконаладочные работы</t>
        </is>
      </c>
      <c r="C224" s="15" t="inlineStr">
        <is>
          <t>компл.</t>
        </is>
      </c>
      <c r="D224" s="18" t="n">
        <v>1</v>
      </c>
      <c r="E224" s="52" t="n">
        <v>0</v>
      </c>
      <c r="F224" s="52">
        <f>ROUND(D224*E224,2)</f>
        <v/>
      </c>
      <c r="G224" s="52" t="n">
        <v>15036.25001159667</v>
      </c>
      <c r="H224" s="52">
        <f>ROUND(D224*G224,2)</f>
        <v/>
      </c>
      <c r="I224" s="52">
        <f>ROUND(SUM(F224,H224),2)</f>
        <v/>
      </c>
    </row>
    <row r="225" ht="15.75" customHeight="1">
      <c r="A225" s="15" t="n">
        <v>220</v>
      </c>
      <c r="B225" s="13" t="inlineStr">
        <is>
          <t>Монтаж распаечных коробок</t>
        </is>
      </c>
      <c r="C225" s="15" t="inlineStr">
        <is>
          <t>шт</t>
        </is>
      </c>
      <c r="D225" s="18" t="n">
        <v>38</v>
      </c>
      <c r="E225" s="52" t="n">
        <v>53.18324441640001</v>
      </c>
      <c r="F225" s="52">
        <f>ROUND(D225*E225,2)</f>
        <v/>
      </c>
      <c r="G225" s="52" t="n">
        <v>641.1219285959296</v>
      </c>
      <c r="H225" s="52">
        <f>ROUND(D225*G225,2)</f>
        <v/>
      </c>
      <c r="I225" s="52">
        <f>ROUND(SUM(F225,H225),2)</f>
        <v/>
      </c>
    </row>
    <row r="226" ht="15.75" customHeight="1">
      <c r="A226" s="15" t="n">
        <v>221</v>
      </c>
      <c r="B226" s="13" t="inlineStr">
        <is>
          <t>Покраска стены</t>
        </is>
      </c>
      <c r="C226" s="15" t="inlineStr">
        <is>
          <t>м2</t>
        </is>
      </c>
      <c r="D226" s="18" t="n">
        <v>18.2</v>
      </c>
      <c r="E226" s="52" t="n">
        <v>160.84208489013</v>
      </c>
      <c r="F226" s="52">
        <f>ROUND(D226*E226,2)</f>
        <v/>
      </c>
      <c r="G226" s="52" t="n">
        <v>451.0086387490006</v>
      </c>
      <c r="H226" s="52">
        <f>ROUND(D226*G226,2)</f>
        <v/>
      </c>
      <c r="I226" s="52">
        <f>ROUND(SUM(F226,H226),2)</f>
        <v/>
      </c>
    </row>
    <row r="227" ht="15.75" customHeight="1">
      <c r="A227" s="15" t="n">
        <v>222</v>
      </c>
      <c r="B227" s="48" t="inlineStr">
        <is>
          <t>Выключатель двухклавишный</t>
        </is>
      </c>
      <c r="C227" s="67" t="inlineStr">
        <is>
          <t>шт</t>
        </is>
      </c>
      <c r="D227" s="68" t="n">
        <v>1</v>
      </c>
      <c r="E227" s="52" t="n">
        <v>338.43852781704</v>
      </c>
      <c r="F227" s="52">
        <f>ROUND(D227*E227,2)</f>
        <v/>
      </c>
      <c r="G227" s="52" t="n">
        <v>656.3663918054848</v>
      </c>
      <c r="H227" s="52">
        <f>ROUND(D227*G227,2)</f>
        <v/>
      </c>
      <c r="I227" s="52">
        <f>ROUND(SUM(F227,H227),2)</f>
        <v/>
      </c>
    </row>
    <row r="228">
      <c r="A228" s="15" t="n">
        <v>223</v>
      </c>
      <c r="B228" s="29" t="inlineStr">
        <is>
          <t>Раздел 3. Сантехнические работы:</t>
        </is>
      </c>
      <c r="C228" s="15" t="n"/>
      <c r="D228" s="15" t="n"/>
      <c r="E228" s="15" t="n"/>
      <c r="F228" s="17" t="n"/>
      <c r="G228" s="13" t="n"/>
      <c r="H228" s="13" t="n"/>
      <c r="I228" s="13" t="n"/>
    </row>
    <row r="229" ht="15.75" customHeight="1">
      <c r="A229" s="15" t="n">
        <v>224</v>
      </c>
      <c r="B229" s="58" t="inlineStr">
        <is>
          <t>Прокладка канализационного трубопровода, d=50мм</t>
        </is>
      </c>
      <c r="C229" s="15" t="inlineStr">
        <is>
          <t>м</t>
        </is>
      </c>
      <c r="D229" s="67" t="n">
        <v>30</v>
      </c>
      <c r="E229" s="52" t="n">
        <v>207.10334552544</v>
      </c>
      <c r="F229" s="52">
        <f>ROUND(D229*E229,2)</f>
        <v/>
      </c>
      <c r="G229" s="52" t="n">
        <v>647.5516149375146</v>
      </c>
      <c r="H229" s="52">
        <f>ROUND(D229*G229,2)</f>
        <v/>
      </c>
      <c r="I229" s="52">
        <f>ROUND(SUM(F229,H229),2)</f>
        <v/>
      </c>
    </row>
    <row r="230" ht="15.75" customHeight="1">
      <c r="A230" s="15" t="n">
        <v>225</v>
      </c>
      <c r="B230" s="58" t="inlineStr">
        <is>
          <t>Покладка канализационного трубопровода, d=110мм</t>
        </is>
      </c>
      <c r="C230" s="15" t="inlineStr">
        <is>
          <t>м</t>
        </is>
      </c>
      <c r="D230" s="67" t="n">
        <v>26</v>
      </c>
      <c r="E230" s="52" t="n">
        <v>491.8704152544</v>
      </c>
      <c r="F230" s="52">
        <f>ROUND(D230*E230,2)</f>
        <v/>
      </c>
      <c r="G230" s="52" t="n">
        <v>911.442074203041</v>
      </c>
      <c r="H230" s="52">
        <f>ROUND(D230*G230,2)</f>
        <v/>
      </c>
      <c r="I230" s="52">
        <f>ROUND(SUM(F230,H230),2)</f>
        <v/>
      </c>
    </row>
    <row r="231" ht="30" customHeight="1">
      <c r="A231" s="15" t="n">
        <v>226</v>
      </c>
      <c r="B231" s="53" t="inlineStr">
        <is>
          <t>Монтаж трубопровода ХВС и ГВС для Гигиенического душа с креплением к несущим конструкциям 1/2'</t>
        </is>
      </c>
      <c r="C231" s="15" t="inlineStr">
        <is>
          <t>м</t>
        </is>
      </c>
      <c r="D231" s="15" t="n">
        <v>30</v>
      </c>
      <c r="E231" s="52" t="n">
        <v>124.4611276272</v>
      </c>
      <c r="F231" s="52">
        <f>ROUND(D231*E231,2)</f>
        <v/>
      </c>
      <c r="G231" s="52" t="n">
        <v>494.5807053620796</v>
      </c>
      <c r="H231" s="52">
        <f>ROUND(D231*G231,2)</f>
        <v/>
      </c>
      <c r="I231" s="52">
        <f>ROUND(SUM(F231,H231),2)</f>
        <v/>
      </c>
    </row>
    <row r="232" ht="15.75" customHeight="1">
      <c r="A232" s="15" t="n">
        <v>227</v>
      </c>
      <c r="B232" s="53" t="inlineStr">
        <is>
          <t>Теплоизоляция трубопровода для Гигиенического душа</t>
        </is>
      </c>
      <c r="C232" s="15" t="inlineStr">
        <is>
          <t>м</t>
        </is>
      </c>
      <c r="D232" s="15" t="n">
        <v>30</v>
      </c>
      <c r="E232" s="52" t="n">
        <v>44.80595735616</v>
      </c>
      <c r="F232" s="52">
        <f>ROUND(D232*E232,2)</f>
        <v/>
      </c>
      <c r="G232" s="52" t="n">
        <v>209.7137340258199</v>
      </c>
      <c r="H232" s="52">
        <f>ROUND(D232*G232,2)</f>
        <v/>
      </c>
      <c r="I232" s="52">
        <f>ROUND(SUM(F232,H232),2)</f>
        <v/>
      </c>
    </row>
    <row r="233" ht="15.75" customHeight="1">
      <c r="A233" s="15" t="n">
        <v>228</v>
      </c>
      <c r="B233" s="53" t="inlineStr">
        <is>
          <t>Установка запорной арматуры на линию Гигиенического душа</t>
        </is>
      </c>
      <c r="C233" s="15" t="inlineStr">
        <is>
          <t>шт</t>
        </is>
      </c>
      <c r="D233" s="15" t="n">
        <v>2</v>
      </c>
      <c r="E233" s="52" t="n">
        <v>448.060180932</v>
      </c>
      <c r="F233" s="52">
        <f>ROUND(D233*E233,2)</f>
        <v/>
      </c>
      <c r="G233" s="52" t="n">
        <v>1301.746431732025</v>
      </c>
      <c r="H233" s="52">
        <f>ROUND(D233*G233,2)</f>
        <v/>
      </c>
      <c r="I233" s="52">
        <f>ROUND(SUM(F233,H233),2)</f>
        <v/>
      </c>
    </row>
    <row r="234" ht="15.75" customHeight="1">
      <c r="A234" s="15" t="n">
        <v>229</v>
      </c>
      <c r="B234" s="53" t="inlineStr">
        <is>
          <t>Установка обратных клапанов на линию Гигиенического душа</t>
        </is>
      </c>
      <c r="C234" s="15" t="inlineStr">
        <is>
          <t>шт</t>
        </is>
      </c>
      <c r="D234" s="15" t="n">
        <v>2</v>
      </c>
      <c r="E234" s="52" t="n">
        <v>378.36187657632</v>
      </c>
      <c r="F234" s="52">
        <f>ROUND(D234*E234,2)</f>
        <v/>
      </c>
      <c r="G234" s="52" t="n">
        <v>1286.010440814944</v>
      </c>
      <c r="H234" s="52">
        <f>ROUND(D234*G234,2)</f>
        <v/>
      </c>
      <c r="I234" s="52">
        <f>ROUND(SUM(F234,H234),2)</f>
        <v/>
      </c>
    </row>
    <row r="235" ht="30" customHeight="1">
      <c r="A235" s="15" t="n">
        <v>230</v>
      </c>
      <c r="B235" s="53" t="inlineStr">
        <is>
          <t>Установка лючков 300х300 под плитку для доступа к подключению Гигиенического душа</t>
        </is>
      </c>
      <c r="C235" s="15" t="inlineStr">
        <is>
          <t>шт</t>
        </is>
      </c>
      <c r="D235" s="15" t="n">
        <v>5</v>
      </c>
      <c r="E235" s="52" t="n">
        <v>2106.265587174</v>
      </c>
      <c r="F235" s="52">
        <f>ROUND(D235*E235,2)</f>
        <v/>
      </c>
      <c r="G235" s="52" t="n">
        <v>1689.622315172197</v>
      </c>
      <c r="H235" s="52">
        <f>ROUND(D235*G235,2)</f>
        <v/>
      </c>
      <c r="I235" s="52">
        <f>ROUND(SUM(F235,H235),2)</f>
        <v/>
      </c>
    </row>
    <row r="236" ht="15.75" customHeight="1">
      <c r="A236" s="15" t="n">
        <v>231</v>
      </c>
      <c r="B236" s="53" t="inlineStr">
        <is>
          <t>Замена напольных трапов 100х100мм HL 510 N-3000</t>
        </is>
      </c>
      <c r="C236" s="15" t="inlineStr">
        <is>
          <t>шт</t>
        </is>
      </c>
      <c r="D236" s="15" t="n">
        <v>2</v>
      </c>
      <c r="E236" s="52" t="n">
        <v>5700.8197</v>
      </c>
      <c r="F236" s="52">
        <f>ROUND(D236*E236,2)</f>
        <v/>
      </c>
      <c r="G236" s="52" t="n">
        <v>4837.966600955877</v>
      </c>
      <c r="H236" s="52">
        <f>ROUND(D236*G236,2)</f>
        <v/>
      </c>
      <c r="I236" s="52">
        <f>ROUND(SUM(F236,H236),2)</f>
        <v/>
      </c>
    </row>
    <row r="237" ht="30" customHeight="1">
      <c r="A237" s="15" t="n">
        <v>232</v>
      </c>
      <c r="B237" s="53" t="inlineStr">
        <is>
          <t>Опрессовка смонтированного или реконструированного трубопровода ХВС/ГВС</t>
        </is>
      </c>
      <c r="C237" s="15" t="inlineStr">
        <is>
          <t>компл.</t>
        </is>
      </c>
      <c r="D237" s="18" t="n">
        <v>1</v>
      </c>
      <c r="E237" s="52" t="n">
        <v>0</v>
      </c>
      <c r="F237" s="52">
        <f>ROUND(D237*E237,2)</f>
        <v/>
      </c>
      <c r="G237" s="52" t="n">
        <v>4706.162927883422</v>
      </c>
      <c r="H237" s="52">
        <f>ROUND(D237*G237,2)</f>
        <v/>
      </c>
      <c r="I237" s="52">
        <f>ROUND(SUM(F237,H237),2)</f>
        <v/>
      </c>
    </row>
    <row r="238" ht="15.75" customHeight="1">
      <c r="A238" s="15" t="n">
        <v>233</v>
      </c>
      <c r="B238" s="53" t="inlineStr">
        <is>
          <t>Навесные элементы в санузлы</t>
        </is>
      </c>
      <c r="C238" s="15" t="n"/>
      <c r="D238" s="18" t="n"/>
      <c r="E238" s="52" t="n"/>
      <c r="F238" s="52" t="n"/>
      <c r="G238" s="52" t="n"/>
      <c r="H238" s="52" t="n"/>
      <c r="I238" s="52" t="n"/>
    </row>
    <row r="239" ht="15.75" customHeight="1">
      <c r="A239" s="15" t="n">
        <v>234</v>
      </c>
      <c r="B239" s="53" t="inlineStr">
        <is>
          <t>Диспенсер под туалетную бумагу</t>
        </is>
      </c>
      <c r="C239" s="20" t="inlineStr">
        <is>
          <t>шт</t>
        </is>
      </c>
      <c r="D239" s="20" t="n">
        <v>6</v>
      </c>
      <c r="E239" s="52" t="n">
        <v>1723.308154596</v>
      </c>
      <c r="F239" s="52">
        <f>ROUND(D239*E239,2)</f>
        <v/>
      </c>
      <c r="G239" s="52" t="n">
        <v>977.3467103634516</v>
      </c>
      <c r="H239" s="52">
        <f>ROUND(D239*G239,2)</f>
        <v/>
      </c>
      <c r="I239" s="52">
        <f>ROUND(SUM(F239,H239),2)</f>
        <v/>
      </c>
    </row>
    <row r="240" ht="15.75" customHeight="1">
      <c r="A240" s="15" t="n">
        <v>235</v>
      </c>
      <c r="B240" s="53" t="inlineStr">
        <is>
          <t>Диспенсер для накладок</t>
        </is>
      </c>
      <c r="C240" s="20" t="inlineStr">
        <is>
          <t>шт</t>
        </is>
      </c>
      <c r="D240" s="20" t="n">
        <v>6</v>
      </c>
      <c r="E240" s="52" t="n">
        <v>2393.483574006</v>
      </c>
      <c r="F240" s="52">
        <f>ROUND(D240*E240,2)</f>
        <v/>
      </c>
      <c r="G240" s="52" t="n">
        <v>1128.654183481734</v>
      </c>
      <c r="H240" s="52">
        <f>ROUND(D240*G240,2)</f>
        <v/>
      </c>
      <c r="I240" s="52">
        <f>ROUND(SUM(F240,H240),2)</f>
        <v/>
      </c>
    </row>
    <row r="241" ht="15.75" customHeight="1">
      <c r="A241" s="15" t="n">
        <v>236</v>
      </c>
      <c r="B241" s="53" t="inlineStr">
        <is>
          <t>Держательдля освежителя воздуха</t>
        </is>
      </c>
      <c r="C241" s="20" t="inlineStr">
        <is>
          <t>шт</t>
        </is>
      </c>
      <c r="D241" s="20" t="n">
        <v>6</v>
      </c>
      <c r="E241" s="52" t="n">
        <v>1436.090167764</v>
      </c>
      <c r="F241" s="52">
        <f>ROUND(D241*E241,2)</f>
        <v/>
      </c>
      <c r="G241" s="52" t="n">
        <v>912.500661757358</v>
      </c>
      <c r="H241" s="52">
        <f>ROUND(D241*G241,2)</f>
        <v/>
      </c>
      <c r="I241" s="52">
        <f>ROUND(SUM(F241,H241),2)</f>
        <v/>
      </c>
    </row>
    <row r="242" ht="15.75" customHeight="1">
      <c r="A242" s="15" t="n">
        <v>237</v>
      </c>
      <c r="B242" s="53" t="inlineStr">
        <is>
          <t>Полка под личные принадлежности</t>
        </is>
      </c>
      <c r="C242" s="20" t="inlineStr">
        <is>
          <t>шт</t>
        </is>
      </c>
      <c r="D242" s="20" t="n">
        <v>6</v>
      </c>
      <c r="E242" s="52" t="n">
        <v>861.6540772980001</v>
      </c>
      <c r="F242" s="52">
        <f>ROUND(D242*E242,2)</f>
        <v/>
      </c>
      <c r="G242" s="52" t="n">
        <v>782.8085381744397</v>
      </c>
      <c r="H242" s="52">
        <f>ROUND(D242*G242,2)</f>
        <v/>
      </c>
      <c r="I242" s="52">
        <f>ROUND(SUM(F242,H242),2)</f>
        <v/>
      </c>
    </row>
    <row r="243" ht="15.75" customHeight="1">
      <c r="A243" s="15" t="n">
        <v>238</v>
      </c>
      <c r="B243" s="53" t="inlineStr">
        <is>
          <t>Диспенсор под жидкое мыло</t>
        </is>
      </c>
      <c r="C243" s="20" t="inlineStr">
        <is>
          <t>шт</t>
        </is>
      </c>
      <c r="D243" s="20" t="n">
        <v>8</v>
      </c>
      <c r="E243" s="52" t="n">
        <v>2106.265587174</v>
      </c>
      <c r="F243" s="52">
        <f>ROUND(D243*E243,2)</f>
        <v/>
      </c>
      <c r="G243" s="52" t="n">
        <v>1181.462208072726</v>
      </c>
      <c r="H243" s="52">
        <f>ROUND(D243*G243,2)</f>
        <v/>
      </c>
      <c r="I243" s="52">
        <f>ROUND(SUM(F243,H243),2)</f>
        <v/>
      </c>
    </row>
    <row r="244" ht="15.75" customHeight="1">
      <c r="A244" s="15" t="n">
        <v>239</v>
      </c>
      <c r="B244" s="53" t="inlineStr">
        <is>
          <t>Диспенсер для бумажных полотенец</t>
        </is>
      </c>
      <c r="C244" s="20" t="inlineStr">
        <is>
          <t>шт</t>
        </is>
      </c>
      <c r="D244" s="20" t="n">
        <v>4</v>
      </c>
      <c r="E244" s="52" t="n">
        <v>3350.87709705</v>
      </c>
      <c r="F244" s="52">
        <f>ROUND(D244*E244,2)</f>
        <v/>
      </c>
      <c r="G244" s="52" t="n">
        <v>1462.461804773927</v>
      </c>
      <c r="H244" s="52">
        <f>ROUND(D244*G244,2)</f>
        <v/>
      </c>
      <c r="I244" s="52">
        <f>ROUND(SUM(F244,H244),2)</f>
        <v/>
      </c>
    </row>
    <row r="245">
      <c r="A245" s="15" t="n">
        <v>240</v>
      </c>
      <c r="B245" s="37" t="inlineStr">
        <is>
          <t>Санузел "М/Ж" 4го этажа</t>
        </is>
      </c>
      <c r="C245" s="53" t="n"/>
      <c r="D245" s="15" t="n"/>
      <c r="E245" s="15" t="n"/>
      <c r="F245" s="17" t="n"/>
      <c r="G245" s="13" t="n"/>
      <c r="H245" s="13" t="n"/>
      <c r="I245" s="13" t="n"/>
    </row>
    <row r="246">
      <c r="A246" s="15" t="n">
        <v>241</v>
      </c>
      <c r="B246" s="51" t="inlineStr">
        <is>
          <t xml:space="preserve">Раздел 1. Демонтажные работы </t>
        </is>
      </c>
      <c r="C246" s="53" t="n"/>
      <c r="D246" s="15" t="n"/>
      <c r="E246" s="15" t="n"/>
      <c r="F246" s="17" t="n"/>
      <c r="G246" s="13" t="n"/>
      <c r="H246" s="13" t="n"/>
      <c r="I246" s="13" t="n"/>
    </row>
    <row r="247" ht="15.75" customHeight="1">
      <c r="A247" s="15" t="n">
        <v>242</v>
      </c>
      <c r="B247" s="54" t="inlineStr">
        <is>
          <t>Разборка цементной стяжки h=200мм</t>
        </is>
      </c>
      <c r="C247" s="55" t="inlineStr">
        <is>
          <t>м2</t>
        </is>
      </c>
      <c r="D247" s="94" t="n">
        <v>23.18</v>
      </c>
      <c r="E247" s="52" t="n">
        <v>0</v>
      </c>
      <c r="F247" s="52">
        <f>ROUND(D247*E247,2)</f>
        <v/>
      </c>
      <c r="G247" s="52" t="n">
        <v>2406.537955785568</v>
      </c>
      <c r="H247" s="52">
        <f>ROUND(D247*G247,2)</f>
        <v/>
      </c>
      <c r="I247" s="52">
        <f>ROUND(SUM(F247,H247),2)</f>
        <v/>
      </c>
    </row>
    <row r="248" ht="30" customHeight="1">
      <c r="A248" s="15" t="n">
        <v>243</v>
      </c>
      <c r="B248" s="7" t="inlineStr">
        <is>
          <t>Подвесной потолок Armstrong перфорированный,
потолочные плиты 600х600 мм</t>
        </is>
      </c>
      <c r="C248" s="55" t="inlineStr">
        <is>
          <t>м2</t>
        </is>
      </c>
      <c r="D248" s="94" t="n">
        <v>23.18</v>
      </c>
      <c r="E248" s="52" t="n">
        <v>0</v>
      </c>
      <c r="F248" s="52">
        <f>ROUND(D248*E248,2)</f>
        <v/>
      </c>
      <c r="G248" s="52" t="n">
        <v>248.8169092563968</v>
      </c>
      <c r="H248" s="52">
        <f>ROUND(D248*G248,2)</f>
        <v/>
      </c>
      <c r="I248" s="52">
        <f>ROUND(SUM(F248,H248),2)</f>
        <v/>
      </c>
    </row>
    <row r="249" ht="15.75" customHeight="1">
      <c r="A249" s="15" t="n">
        <v>244</v>
      </c>
      <c r="B249" s="7" t="inlineStr">
        <is>
          <t>Демонтаж напольного покрытия</t>
        </is>
      </c>
      <c r="C249" s="55" t="inlineStr">
        <is>
          <t>м2</t>
        </is>
      </c>
      <c r="D249" s="94" t="n">
        <v>23.18</v>
      </c>
      <c r="E249" s="52" t="n">
        <v>0</v>
      </c>
      <c r="F249" s="52">
        <f>ROUND(D249*E249,2)</f>
        <v/>
      </c>
      <c r="G249" s="52" t="n">
        <v>503.1152762397645</v>
      </c>
      <c r="H249" s="52">
        <f>ROUND(D249*G249,2)</f>
        <v/>
      </c>
      <c r="I249" s="52">
        <f>ROUND(SUM(F249,H249),2)</f>
        <v/>
      </c>
    </row>
    <row r="250" ht="15.75" customHeight="1">
      <c r="A250" s="15" t="n">
        <v>245</v>
      </c>
      <c r="B250" s="7" t="inlineStr">
        <is>
          <t>Демонтаж настенной плитки</t>
        </is>
      </c>
      <c r="C250" s="56" t="inlineStr">
        <is>
          <t>м2</t>
        </is>
      </c>
      <c r="D250" s="94" t="n">
        <v>107.54</v>
      </c>
      <c r="E250" s="52" t="n">
        <v>0</v>
      </c>
      <c r="F250" s="52">
        <f>ROUND(D250*E250,2)</f>
        <v/>
      </c>
      <c r="G250" s="52" t="n">
        <v>456.4854730631076</v>
      </c>
      <c r="H250" s="52">
        <f>ROUND(D250*G250,2)</f>
        <v/>
      </c>
      <c r="I250" s="52">
        <f>ROUND(SUM(F250,H250),2)</f>
        <v/>
      </c>
    </row>
    <row r="251" ht="30" customHeight="1">
      <c r="A251" s="15" t="n">
        <v>246</v>
      </c>
      <c r="B251" s="54" t="inlineStr">
        <is>
          <t>Существующие санузловые перегородки из ЛДСП по
металлокаркасу</t>
        </is>
      </c>
      <c r="C251" s="56" t="inlineStr">
        <is>
          <t>м2</t>
        </is>
      </c>
      <c r="D251" s="94" t="n">
        <v>18.57</v>
      </c>
      <c r="E251" s="52" t="n">
        <v>0</v>
      </c>
      <c r="F251" s="52">
        <f>ROUND(D251*E251,2)</f>
        <v/>
      </c>
      <c r="G251" s="52" t="n">
        <v>463.1152762397645</v>
      </c>
      <c r="H251" s="52">
        <f>ROUND(D251*G251,2)</f>
        <v/>
      </c>
      <c r="I251" s="52">
        <f>ROUND(SUM(F251,H251),2)</f>
        <v/>
      </c>
    </row>
    <row r="252" ht="15.75" customHeight="1">
      <c r="A252" s="15" t="n">
        <v>247</v>
      </c>
      <c r="B252" s="58" t="inlineStr">
        <is>
          <t>Разборка канализационного трубопровода, d=50мм</t>
        </is>
      </c>
      <c r="C252" s="56" t="inlineStr">
        <is>
          <t>м</t>
        </is>
      </c>
      <c r="D252" s="95" t="n">
        <v>30</v>
      </c>
      <c r="E252" s="52" t="n">
        <v>0</v>
      </c>
      <c r="F252" s="52">
        <f>ROUND(D252*E252,2)</f>
        <v/>
      </c>
      <c r="G252" s="52" t="n">
        <v>230.5660693980355</v>
      </c>
      <c r="H252" s="52">
        <f>ROUND(D252*G252,2)</f>
        <v/>
      </c>
      <c r="I252" s="52">
        <f>ROUND(SUM(F252,H252),2)</f>
        <v/>
      </c>
    </row>
    <row r="253" ht="15.75" customHeight="1">
      <c r="A253" s="15" t="n">
        <v>248</v>
      </c>
      <c r="B253" s="58" t="inlineStr">
        <is>
          <t>Разборка канализационного трубопровода, d=110мм</t>
        </is>
      </c>
      <c r="C253" s="56" t="inlineStr">
        <is>
          <t>м</t>
        </is>
      </c>
      <c r="D253" s="95" t="n">
        <v>26</v>
      </c>
      <c r="E253" s="52" t="n">
        <v>0</v>
      </c>
      <c r="F253" s="52">
        <f>ROUND(D253*E253,2)</f>
        <v/>
      </c>
      <c r="G253" s="52" t="n">
        <v>230.5660693980355</v>
      </c>
      <c r="H253" s="52">
        <f>ROUND(D253*G253,2)</f>
        <v/>
      </c>
      <c r="I253" s="52">
        <f>ROUND(SUM(F253,H253),2)</f>
        <v/>
      </c>
    </row>
    <row r="254" ht="15.75" customHeight="1">
      <c r="A254" s="15" t="n">
        <v>249</v>
      </c>
      <c r="B254" s="54" t="inlineStr">
        <is>
          <t>Демонтаж существующих унитазов</t>
        </is>
      </c>
      <c r="C254" s="56" t="inlineStr">
        <is>
          <t>шт.</t>
        </is>
      </c>
      <c r="D254" s="94" t="n">
        <v>6</v>
      </c>
      <c r="E254" s="52" t="n">
        <v>0</v>
      </c>
      <c r="F254" s="52">
        <f>ROUND(D254*E254,2)</f>
        <v/>
      </c>
      <c r="G254" s="52" t="n">
        <v>1230.373498133161</v>
      </c>
      <c r="H254" s="52">
        <f>ROUND(D254*G254,2)</f>
        <v/>
      </c>
      <c r="I254" s="52">
        <f>ROUND(SUM(F254,H254),2)</f>
        <v/>
      </c>
    </row>
    <row r="255" ht="15.75" customHeight="1">
      <c r="A255" s="15" t="n">
        <v>250</v>
      </c>
      <c r="B255" s="54" t="inlineStr">
        <is>
          <t>Демонтаж существующих  писсуаров настенных без сенсора</t>
        </is>
      </c>
      <c r="C255" s="56" t="inlineStr">
        <is>
          <t>шт.</t>
        </is>
      </c>
      <c r="D255" s="56" t="n">
        <v>3</v>
      </c>
      <c r="E255" s="52" t="n">
        <v>0</v>
      </c>
      <c r="F255" s="52">
        <f>ROUND(D255*E255,2)</f>
        <v/>
      </c>
      <c r="G255" s="52" t="n">
        <v>1230.373498133161</v>
      </c>
      <c r="H255" s="52">
        <f>ROUND(D255*G255,2)</f>
        <v/>
      </c>
      <c r="I255" s="52">
        <f>ROUND(SUM(F255,H255),2)</f>
        <v/>
      </c>
    </row>
    <row r="256" ht="15.75" customHeight="1">
      <c r="A256" s="15" t="n">
        <v>251</v>
      </c>
      <c r="B256" s="54" t="inlineStr">
        <is>
          <t xml:space="preserve">Демонтаж существующих раковин </t>
        </is>
      </c>
      <c r="C256" s="56" t="inlineStr">
        <is>
          <t>шт.</t>
        </is>
      </c>
      <c r="D256" s="94" t="n">
        <v>8</v>
      </c>
      <c r="E256" s="52" t="n">
        <v>0</v>
      </c>
      <c r="F256" s="52">
        <f>ROUND(D256*E256,2)</f>
        <v/>
      </c>
      <c r="G256" s="52" t="n">
        <v>922.7801235998708</v>
      </c>
      <c r="H256" s="52">
        <f>ROUND(D256*G256,2)</f>
        <v/>
      </c>
      <c r="I256" s="52">
        <f>ROUND(SUM(F256,H256),2)</f>
        <v/>
      </c>
    </row>
    <row r="257" ht="15.75" customHeight="1">
      <c r="A257" s="15" t="n">
        <v>252</v>
      </c>
      <c r="B257" s="54" t="inlineStr">
        <is>
          <t>Демонтаж существующих сушилок для рук</t>
        </is>
      </c>
      <c r="C257" s="56" t="inlineStr">
        <is>
          <t>шт.</t>
        </is>
      </c>
      <c r="D257" s="94" t="n">
        <v>4</v>
      </c>
      <c r="E257" s="52" t="n">
        <v>0</v>
      </c>
      <c r="F257" s="52">
        <f>ROUND(D257*E257,2)</f>
        <v/>
      </c>
      <c r="G257" s="52" t="n">
        <v>525.4268038637409</v>
      </c>
      <c r="H257" s="52">
        <f>ROUND(D257*G257,2)</f>
        <v/>
      </c>
      <c r="I257" s="52">
        <f>ROUND(SUM(F257,H257),2)</f>
        <v/>
      </c>
    </row>
    <row r="258" ht="15.75" customHeight="1">
      <c r="A258" s="15" t="n">
        <v>253</v>
      </c>
      <c r="B258" s="54" t="inlineStr">
        <is>
          <t>Демонтаж осветительных приборов</t>
        </is>
      </c>
      <c r="C258" s="56" t="inlineStr">
        <is>
          <t>шт.</t>
        </is>
      </c>
      <c r="D258" s="94" t="n">
        <v>16</v>
      </c>
      <c r="E258" s="52" t="n">
        <v>0</v>
      </c>
      <c r="F258" s="52">
        <f>ROUND(D258*E258,2)</f>
        <v/>
      </c>
      <c r="G258" s="52" t="n">
        <v>461.3900617999354</v>
      </c>
      <c r="H258" s="52">
        <f>ROUND(D258*G258,2)</f>
        <v/>
      </c>
      <c r="I258" s="52">
        <f>ROUND(SUM(F258,H258),2)</f>
        <v/>
      </c>
    </row>
    <row r="259" ht="34.5" customHeight="1">
      <c r="A259" s="15" t="n">
        <v>254</v>
      </c>
      <c r="B259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259" s="56" t="inlineStr">
        <is>
          <t>м</t>
        </is>
      </c>
      <c r="D259" s="94" t="n">
        <v>80</v>
      </c>
      <c r="E259" s="52" t="n">
        <v>0</v>
      </c>
      <c r="F259" s="52">
        <f>ROUND(D259*E259,2)</f>
        <v/>
      </c>
      <c r="G259" s="52" t="n">
        <v>92.31692015457689</v>
      </c>
      <c r="H259" s="52">
        <f>ROUND(D259*G259,2)</f>
        <v/>
      </c>
      <c r="I259" s="52">
        <f>ROUND(SUM(F259,H259),2)</f>
        <v/>
      </c>
    </row>
    <row r="260" ht="15.75" customHeight="1">
      <c r="A260" s="15" t="n">
        <v>255</v>
      </c>
      <c r="B260" s="54" t="inlineStr">
        <is>
          <t>Демонтаж распаечных коробок</t>
        </is>
      </c>
      <c r="C260" s="56" t="inlineStr">
        <is>
          <t>шт.</t>
        </is>
      </c>
      <c r="D260" s="94" t="n">
        <v>16</v>
      </c>
      <c r="E260" s="52" t="n">
        <v>0</v>
      </c>
      <c r="F260" s="52">
        <f>ROUND(D260*E260,2)</f>
        <v/>
      </c>
      <c r="G260" s="52" t="n">
        <v>230.5660693980355</v>
      </c>
      <c r="H260" s="52">
        <f>ROUND(D260*G260,2)</f>
        <v/>
      </c>
      <c r="I260" s="52">
        <f>ROUND(SUM(F260,H260),2)</f>
        <v/>
      </c>
    </row>
    <row r="261" ht="15.75" customHeight="1">
      <c r="A261" s="15" t="n">
        <v>256</v>
      </c>
      <c r="B261" s="54" t="inlineStr">
        <is>
          <t>Демонтаж динамиков оповещения</t>
        </is>
      </c>
      <c r="C261" s="56" t="inlineStr">
        <is>
          <t>шт.</t>
        </is>
      </c>
      <c r="D261" s="94" t="n">
        <v>2</v>
      </c>
      <c r="E261" s="52" t="n">
        <v>0</v>
      </c>
      <c r="F261" s="52">
        <f>ROUND(D261*E261,2)</f>
        <v/>
      </c>
      <c r="G261" s="52" t="n">
        <v>823.5785123795987</v>
      </c>
      <c r="H261" s="52">
        <f>ROUND(D261*G261,2)</f>
        <v/>
      </c>
      <c r="I261" s="52">
        <f>ROUND(SUM(F261,H261),2)</f>
        <v/>
      </c>
    </row>
    <row r="262" ht="15.75" customHeight="1">
      <c r="A262" s="15" t="n">
        <v>257</v>
      </c>
      <c r="B262" s="54" t="inlineStr">
        <is>
          <t>Демонтаж  освежителей воздуха со стен</t>
        </is>
      </c>
      <c r="C262" s="56" t="inlineStr">
        <is>
          <t>шт.</t>
        </is>
      </c>
      <c r="D262" s="94" t="n">
        <v>2</v>
      </c>
      <c r="E262" s="52" t="n">
        <v>0</v>
      </c>
      <c r="F262" s="52">
        <f>ROUND(D262*E262,2)</f>
        <v/>
      </c>
      <c r="G262" s="52" t="n">
        <v>262.7134019318705</v>
      </c>
      <c r="H262" s="52">
        <f>ROUND(D262*G262,2)</f>
        <v/>
      </c>
      <c r="I262" s="52">
        <f>ROUND(SUM(F262,H262),2)</f>
        <v/>
      </c>
    </row>
    <row r="263" ht="15.75" customHeight="1">
      <c r="A263" s="15" t="n">
        <v>258</v>
      </c>
      <c r="B263" s="54" t="inlineStr">
        <is>
          <t>Демонтаж существующих водяных бойлеров</t>
        </is>
      </c>
      <c r="C263" s="56" t="inlineStr">
        <is>
          <t>шт.</t>
        </is>
      </c>
      <c r="D263" s="94" t="n">
        <v>2</v>
      </c>
      <c r="E263" s="52" t="n">
        <v>0</v>
      </c>
      <c r="F263" s="52">
        <f>ROUND(D263*E263,2)</f>
        <v/>
      </c>
      <c r="G263" s="52" t="n">
        <v>2353.081463941711</v>
      </c>
      <c r="H263" s="52">
        <f>ROUND(D263*G263,2)</f>
        <v/>
      </c>
      <c r="I263" s="52">
        <f>ROUND(SUM(F263,H263),2)</f>
        <v/>
      </c>
    </row>
    <row r="264" ht="15.75" customHeight="1">
      <c r="A264" s="15" t="n">
        <v>259</v>
      </c>
      <c r="B264" s="54" t="inlineStr">
        <is>
          <t>Демонтаж существующих бумагодержателей</t>
        </is>
      </c>
      <c r="C264" s="56" t="inlineStr">
        <is>
          <t>шт.</t>
        </is>
      </c>
      <c r="D264" s="94" t="n">
        <v>6</v>
      </c>
      <c r="E264" s="52" t="n">
        <v>0</v>
      </c>
      <c r="F264" s="52">
        <f>ROUND(D264*E264,2)</f>
        <v/>
      </c>
      <c r="G264" s="52" t="n">
        <v>262.7134019318705</v>
      </c>
      <c r="H264" s="52">
        <f>ROUND(D264*G264,2)</f>
        <v/>
      </c>
      <c r="I264" s="52">
        <f>ROUND(SUM(F264,H264),2)</f>
        <v/>
      </c>
    </row>
    <row r="265" ht="15.75" customHeight="1">
      <c r="A265" s="15" t="n">
        <v>260</v>
      </c>
      <c r="B265" s="54" t="inlineStr">
        <is>
          <t>Демонтаж существующих существующих настенных зеркал</t>
        </is>
      </c>
      <c r="C265" s="56" t="inlineStr">
        <is>
          <t>шт.</t>
        </is>
      </c>
      <c r="D265" s="94" t="n">
        <v>4</v>
      </c>
      <c r="E265" s="52" t="n">
        <v>0</v>
      </c>
      <c r="F265" s="52">
        <f>ROUND(D265*E265,2)</f>
        <v/>
      </c>
      <c r="G265" s="52" t="n">
        <v>459.7484533807733</v>
      </c>
      <c r="H265" s="52">
        <f>ROUND(D265*G265,2)</f>
        <v/>
      </c>
      <c r="I265" s="52">
        <f>ROUND(SUM(F265,H265),2)</f>
        <v/>
      </c>
    </row>
    <row r="266" ht="15.75" customHeight="1">
      <c r="A266" s="15" t="n">
        <v>261</v>
      </c>
      <c r="B266" s="54" t="inlineStr">
        <is>
          <t>Демонтаж существующих туалетных полочек</t>
        </is>
      </c>
      <c r="C266" s="56" t="inlineStr">
        <is>
          <t>шт.</t>
        </is>
      </c>
      <c r="D266" s="94" t="n">
        <v>6</v>
      </c>
      <c r="E266" s="52" t="n">
        <v>0</v>
      </c>
      <c r="F266" s="52">
        <f>ROUND(D266*E266,2)</f>
        <v/>
      </c>
      <c r="G266" s="52" t="n">
        <v>262.7134019318705</v>
      </c>
      <c r="H266" s="52">
        <f>ROUND(D266*G266,2)</f>
        <v/>
      </c>
      <c r="I266" s="52">
        <f>ROUND(SUM(F266,H266),2)</f>
        <v/>
      </c>
    </row>
    <row r="267" ht="15.75" customHeight="1">
      <c r="A267" s="15" t="n">
        <v>262</v>
      </c>
      <c r="B267" s="57" t="inlineStr">
        <is>
          <t>Демонтаж существующего люка в женском сан. Узле</t>
        </is>
      </c>
      <c r="C267" s="61" t="inlineStr">
        <is>
          <t>шт.</t>
        </is>
      </c>
      <c r="D267" s="96" t="n">
        <v>4</v>
      </c>
      <c r="E267" s="52" t="n">
        <v>0</v>
      </c>
      <c r="F267" s="52">
        <f>ROUND(D267*E267,2)</f>
        <v/>
      </c>
      <c r="G267" s="52" t="n">
        <v>1166.643896813129</v>
      </c>
      <c r="H267" s="52">
        <f>ROUND(D267*G267,2)</f>
        <v/>
      </c>
      <c r="I267" s="52">
        <f>ROUND(SUM(F267,H267),2)</f>
        <v/>
      </c>
    </row>
    <row r="268" ht="15.75" customHeight="1">
      <c r="A268" s="15" t="n">
        <v>263</v>
      </c>
      <c r="B268" s="54" t="inlineStr">
        <is>
          <t>Демонтаж телескопических алюм дверей</t>
        </is>
      </c>
      <c r="C268" s="61" t="inlineStr">
        <is>
          <t>шт.</t>
        </is>
      </c>
      <c r="D268" s="94" t="n">
        <v>4</v>
      </c>
      <c r="E268" s="52" t="n">
        <v>0</v>
      </c>
      <c r="F268" s="52">
        <f>ROUND(D268*E268,2)</f>
        <v/>
      </c>
      <c r="G268" s="52" t="n">
        <v>1346.709277613933</v>
      </c>
      <c r="H268" s="52">
        <f>ROUND(D268*G268,2)</f>
        <v/>
      </c>
      <c r="I268" s="52">
        <f>ROUND(SUM(F268,H268),2)</f>
        <v/>
      </c>
    </row>
    <row r="269" ht="45" customHeight="1">
      <c r="A269" s="15" t="n">
        <v>264</v>
      </c>
      <c r="B269" s="58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269" s="62" t="inlineStr">
        <is>
          <t>м2</t>
        </is>
      </c>
      <c r="D269" s="95" t="n">
        <v>30.15</v>
      </c>
      <c r="E269" s="52" t="n">
        <v>0</v>
      </c>
      <c r="F269" s="52">
        <f>ROUND(D269*E269,2)</f>
        <v/>
      </c>
      <c r="G269" s="52" t="n">
        <v>463.1152762397646</v>
      </c>
      <c r="H269" s="52">
        <f>ROUND(D269*G269,2)</f>
        <v/>
      </c>
      <c r="I269" s="52">
        <f>ROUND(SUM(F269,H269),2)</f>
        <v/>
      </c>
    </row>
    <row r="270">
      <c r="A270" s="15" t="n">
        <v>265</v>
      </c>
      <c r="B270" s="28" t="inlineStr">
        <is>
          <t>Раздел 2. Монтажные работы.</t>
        </is>
      </c>
      <c r="C270" s="67" t="n"/>
      <c r="D270" s="71" t="n"/>
      <c r="E270" s="15" t="n"/>
      <c r="F270" s="17" t="n"/>
      <c r="G270" s="13" t="n"/>
      <c r="H270" s="13" t="n"/>
      <c r="I270" s="13" t="n"/>
    </row>
    <row r="271" ht="15.75" customHeight="1">
      <c r="A271" s="15" t="n">
        <v>266</v>
      </c>
      <c r="B271" s="57" t="inlineStr">
        <is>
          <t>Устройство стяжки пола h=200мм</t>
        </is>
      </c>
      <c r="C271" s="67" t="inlineStr">
        <is>
          <t>м2</t>
        </is>
      </c>
      <c r="D271" s="67" t="n">
        <v>23.18</v>
      </c>
      <c r="E271" s="52" t="n">
        <v>3650.754138191594</v>
      </c>
      <c r="F271" s="52">
        <f>ROUND(D271*E271,2)</f>
        <v/>
      </c>
      <c r="G271" s="52" t="n">
        <v>3763.099275236907</v>
      </c>
      <c r="H271" s="52">
        <f>ROUND(D271*G271,2)</f>
        <v/>
      </c>
      <c r="I271" s="52">
        <f>ROUND(SUM(F271,H271),2)</f>
        <v/>
      </c>
    </row>
    <row r="272" ht="45" customHeight="1">
      <c r="A272" s="15" t="n">
        <v>267</v>
      </c>
      <c r="B272" s="64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272" s="62" t="inlineStr">
        <is>
          <t>м2</t>
        </is>
      </c>
      <c r="D272" s="62" t="n">
        <v>209.658</v>
      </c>
      <c r="E272" s="52" t="n">
        <v>1361.032094494925</v>
      </c>
      <c r="F272" s="52">
        <f>ROUND(D272*E272,2)</f>
        <v/>
      </c>
      <c r="G272" s="52" t="n">
        <v>2607.601033258546</v>
      </c>
      <c r="H272" s="52">
        <f>ROUND(D272*G272,2)</f>
        <v/>
      </c>
      <c r="I272" s="52">
        <f>ROUND(SUM(F272,H272),2)</f>
        <v/>
      </c>
    </row>
    <row r="273" ht="15.75" customHeight="1">
      <c r="A273" s="15" t="n">
        <v>268</v>
      </c>
      <c r="B273" s="65" t="inlineStr">
        <is>
          <t>Востановление стены после демонтажа люков 30х50см</t>
        </is>
      </c>
      <c r="C273" s="66" t="inlineStr">
        <is>
          <t>шт.</t>
        </is>
      </c>
      <c r="D273" s="66" t="n">
        <v>2</v>
      </c>
      <c r="E273" s="52" t="n">
        <v>0</v>
      </c>
      <c r="F273" s="52">
        <f>ROUND(D273*E273,2)</f>
        <v/>
      </c>
      <c r="G273" s="52" t="n">
        <v>2916.609742032823</v>
      </c>
      <c r="H273" s="52">
        <f>ROUND(D273*G273,2)</f>
        <v/>
      </c>
      <c r="I273" s="52">
        <f>ROUND(SUM(F273,H273),2)</f>
        <v/>
      </c>
    </row>
    <row r="274" ht="15.75" customHeight="1">
      <c r="A274" s="15" t="n">
        <v>269</v>
      </c>
      <c r="B274" s="65" t="inlineStr">
        <is>
          <t>Перенос и монтаж люка под плитку 1000х1000мм</t>
        </is>
      </c>
      <c r="C274" s="66" t="inlineStr">
        <is>
          <t>шт.</t>
        </is>
      </c>
      <c r="D274" s="66" t="n">
        <v>2</v>
      </c>
      <c r="E274" s="52" t="n">
        <v>11488.721342112</v>
      </c>
      <c r="F274" s="52">
        <f>ROUND(D274*E274,2)</f>
        <v/>
      </c>
      <c r="G274" s="52" t="n">
        <v>3807.926912457425</v>
      </c>
      <c r="H274" s="52">
        <f>ROUND(D274*G274,2)</f>
        <v/>
      </c>
      <c r="I274" s="52">
        <f>ROUND(SUM(F274,H274),2)</f>
        <v/>
      </c>
    </row>
    <row r="275" ht="15.75" customHeight="1">
      <c r="A275" s="15" t="n">
        <v>270</v>
      </c>
      <c r="B275" s="65" t="inlineStr">
        <is>
          <t>Устройство гидроизоляции</t>
        </is>
      </c>
      <c r="C275" s="67" t="inlineStr">
        <is>
          <t>м2</t>
        </is>
      </c>
      <c r="D275" s="67" t="n">
        <v>59</v>
      </c>
      <c r="E275" s="52" t="n">
        <v>442.3156016076</v>
      </c>
      <c r="F275" s="52">
        <f>ROUND(D275*E275,2)</f>
        <v/>
      </c>
      <c r="G275" s="52" t="n">
        <v>706.1086389192636</v>
      </c>
      <c r="H275" s="52">
        <f>ROUND(D275*G275,2)</f>
        <v/>
      </c>
      <c r="I275" s="52">
        <f>ROUND(SUM(F275,H275),2)</f>
        <v/>
      </c>
    </row>
    <row r="276" ht="15.75" customHeight="1">
      <c r="A276" s="15" t="n">
        <v>271</v>
      </c>
      <c r="B276" s="65" t="inlineStr">
        <is>
          <t>Чернение потолка и коммуникаций RAL 7026</t>
        </is>
      </c>
      <c r="C276" s="67" t="inlineStr">
        <is>
          <t>м2</t>
        </is>
      </c>
      <c r="D276" s="67" t="n">
        <v>24</v>
      </c>
      <c r="E276" s="52" t="n">
        <v>184.96839823686</v>
      </c>
      <c r="F276" s="52">
        <f>ROUND(D276*E276,2)</f>
        <v/>
      </c>
      <c r="G276" s="52" t="n">
        <v>377.3398992589209</v>
      </c>
      <c r="H276" s="52">
        <f>ROUND(D276*G276,2)</f>
        <v/>
      </c>
      <c r="I276" s="52">
        <f>ROUND(SUM(F276,H276),2)</f>
        <v/>
      </c>
    </row>
    <row r="277" ht="45" customHeight="1">
      <c r="A277" s="15" t="n">
        <v>272</v>
      </c>
      <c r="B277" s="65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277" s="67" t="inlineStr">
        <is>
          <t>м2</t>
        </is>
      </c>
      <c r="D277" s="67" t="n">
        <v>24</v>
      </c>
      <c r="E277" s="52" t="n">
        <v>1196.7213</v>
      </c>
      <c r="F277" s="52">
        <f>ROUND(D277*E277,2)</f>
        <v/>
      </c>
      <c r="G277" s="52" t="n">
        <v>1239.587057393498</v>
      </c>
      <c r="H277" s="52">
        <f>ROUND(D277*G277,2)</f>
        <v/>
      </c>
      <c r="I277" s="52">
        <f>ROUND(SUM(F277,H277),2)</f>
        <v/>
      </c>
    </row>
    <row r="278" ht="15.75" customHeight="1">
      <c r="A278" s="15" t="n">
        <v>273</v>
      </c>
      <c r="B278" s="57" t="inlineStr">
        <is>
          <t>Окраска фриза RAL 7026</t>
        </is>
      </c>
      <c r="C278" s="15" t="inlineStr">
        <is>
          <t>м2</t>
        </is>
      </c>
      <c r="D278" s="15" t="n">
        <v>33.82</v>
      </c>
      <c r="E278" s="52" t="n">
        <v>160.84208489013</v>
      </c>
      <c r="F278" s="52">
        <f>ROUND(D278*E278,2)</f>
        <v/>
      </c>
      <c r="G278" s="52" t="n">
        <v>451.0086387490006</v>
      </c>
      <c r="H278" s="52">
        <f>ROUND(D278*G278,2)</f>
        <v/>
      </c>
      <c r="I278" s="52">
        <f>ROUND(SUM(F278,H278),2)</f>
        <v/>
      </c>
    </row>
    <row r="279" ht="30" customHeight="1">
      <c r="A279" s="15" t="n">
        <v>274</v>
      </c>
      <c r="B279" s="57" t="inlineStr">
        <is>
          <t>Устройство напольного покрытия Керамогранит светло-серый 60х60 Матовый Карвинг 59,50x59,50</t>
        </is>
      </c>
      <c r="C279" s="15" t="inlineStr">
        <is>
          <t>м2</t>
        </is>
      </c>
      <c r="D279" s="15" t="n">
        <v>23.18</v>
      </c>
      <c r="E279" s="52" t="n">
        <v>2213.23820148465</v>
      </c>
      <c r="F279" s="52">
        <f>ROUND(D279*E279,2)</f>
        <v/>
      </c>
      <c r="G279" s="52" t="n">
        <v>3051.150486403696</v>
      </c>
      <c r="H279" s="52">
        <f>ROUND(D279*G279,2)</f>
        <v/>
      </c>
      <c r="I279" s="52">
        <f>ROUND(SUM(F279,H279),2)</f>
        <v/>
      </c>
    </row>
    <row r="280" ht="30" customHeight="1">
      <c r="A280" s="15" t="n">
        <v>275</v>
      </c>
      <c r="B280" s="57" t="inlineStr">
        <is>
          <t>Облицовка стен керамогранитом светло-серый 59,5х119,01, Матовый Карвинг 59,5х119,01 Evolution Smoke</t>
        </is>
      </c>
      <c r="C280" s="15" t="inlineStr">
        <is>
          <t>м2</t>
        </is>
      </c>
      <c r="D280" s="18" t="n">
        <v>107.56</v>
      </c>
      <c r="E280" s="52" t="n">
        <v>2222.661196699863</v>
      </c>
      <c r="F280" s="52">
        <f>ROUND(D280*E280,2)</f>
        <v/>
      </c>
      <c r="G280" s="52" t="n">
        <v>3180.984833770257</v>
      </c>
      <c r="H280" s="52">
        <f>ROUND(D280*G280,2)</f>
        <v/>
      </c>
      <c r="I280" s="52">
        <f>ROUND(SUM(F280,H280),2)</f>
        <v/>
      </c>
    </row>
    <row r="281" ht="30" customHeight="1">
      <c r="A281" s="15" t="n">
        <v>276</v>
      </c>
      <c r="B281" s="57" t="inlineStr">
        <is>
          <t>Облицовка стен керамогранитом светло-серый 59,5х119,01, Матовый Карвинг 59,5х119,01Nord Gris</t>
        </is>
      </c>
      <c r="C281" s="15" t="inlineStr">
        <is>
          <t>м2</t>
        </is>
      </c>
      <c r="D281" s="18" t="n">
        <v>25.99</v>
      </c>
      <c r="E281" s="52" t="n">
        <v>2222.661196699863</v>
      </c>
      <c r="F281" s="52">
        <f>ROUND(D281*E281,2)</f>
        <v/>
      </c>
      <c r="G281" s="52" t="n">
        <v>3180.984833770257</v>
      </c>
      <c r="H281" s="52">
        <f>ROUND(D281*G281,2)</f>
        <v/>
      </c>
      <c r="I281" s="52">
        <f>ROUND(SUM(F281,H281),2)</f>
        <v/>
      </c>
    </row>
    <row r="282" ht="30" customHeight="1">
      <c r="A282" s="15" t="n">
        <v>277</v>
      </c>
      <c r="B282" s="57" t="inlineStr">
        <is>
          <t>Монтаж светильника подвесного SP-POLO-R85-2-15W Day White 40deg теплый белый 3000К, (Black, Black Ring) (Arlight, IP20), 230D</t>
        </is>
      </c>
      <c r="C282" s="15" t="inlineStr">
        <is>
          <t>шт</t>
        </is>
      </c>
      <c r="D282" s="94" t="n">
        <v>27</v>
      </c>
      <c r="E282" s="52" t="n">
        <v>7913.8934</v>
      </c>
      <c r="F282" s="52">
        <f>ROUND(D282*E282,2)</f>
        <v/>
      </c>
      <c r="G282" s="52" t="n">
        <v>3609.000970777563</v>
      </c>
      <c r="H282" s="52">
        <f>ROUND(D282*G282,2)</f>
        <v/>
      </c>
      <c r="I282" s="52">
        <f>ROUND(SUM(F282,H282),2)</f>
        <v/>
      </c>
    </row>
    <row r="283" ht="60" customHeight="1">
      <c r="A283" s="15" t="n">
        <v>278</v>
      </c>
      <c r="B283" s="57" t="inlineStr">
        <is>
          <t>Монтаж встраиваемого светодиодного светильника OKKO IP54/IP20 13 WH
Светильник SP-JEDI-HANG-R18-6W Warm3000 (BK, 360 deg, 230V)
(Arlight, IP20 Пластик</t>
        </is>
      </c>
      <c r="C283" s="15" t="inlineStr">
        <is>
          <t>шт</t>
        </is>
      </c>
      <c r="D283" s="94" t="n">
        <v>12</v>
      </c>
      <c r="E283" s="52" t="n">
        <v>7453.721229457388</v>
      </c>
      <c r="F283" s="52">
        <f>ROUND(D283*E283,2)</f>
        <v/>
      </c>
      <c r="G283" s="52" t="n">
        <v>3214.625726855305</v>
      </c>
      <c r="H283" s="52">
        <f>ROUND(D283*G283,2)</f>
        <v/>
      </c>
      <c r="I283" s="52">
        <f>ROUND(SUM(F283,H283),2)</f>
        <v/>
      </c>
    </row>
    <row r="284" ht="15.75" customHeight="1">
      <c r="A284" s="15" t="n">
        <v>279</v>
      </c>
      <c r="B284" s="57" t="inlineStr">
        <is>
          <t>Монтаж существующей музыкальной колонки</t>
        </is>
      </c>
      <c r="C284" s="15" t="inlineStr">
        <is>
          <t>шт</t>
        </is>
      </c>
      <c r="D284" s="60" t="n">
        <v>2</v>
      </c>
      <c r="E284" s="52" t="n">
        <v>0</v>
      </c>
      <c r="F284" s="52">
        <f>ROUND(D284*E284,2)</f>
        <v/>
      </c>
      <c r="G284" s="52" t="n">
        <v>1411.848878365026</v>
      </c>
      <c r="H284" s="52">
        <f>ROUND(D284*G284,2)</f>
        <v/>
      </c>
      <c r="I284" s="52">
        <f>ROUND(SUM(F284,H284),2)</f>
        <v/>
      </c>
    </row>
    <row r="285" ht="15.75" customHeight="1">
      <c r="A285" s="15" t="n">
        <v>280</v>
      </c>
      <c r="B285" s="57" t="inlineStr">
        <is>
          <t>Монтаж диффузоров</t>
        </is>
      </c>
      <c r="C285" s="15" t="inlineStr">
        <is>
          <t>шт</t>
        </is>
      </c>
      <c r="D285" s="18" t="n">
        <v>6</v>
      </c>
      <c r="E285" s="52" t="n">
        <v>1238.627820067312</v>
      </c>
      <c r="F285" s="52">
        <f>ROUND(D285*E285,2)</f>
        <v/>
      </c>
      <c r="G285" s="52" t="n">
        <v>1200.283269440882</v>
      </c>
      <c r="H285" s="52">
        <f>ROUND(D285*G285,2)</f>
        <v/>
      </c>
      <c r="I285" s="52">
        <f>ROUND(SUM(F285,H285),2)</f>
        <v/>
      </c>
    </row>
    <row r="286" ht="45" customHeight="1">
      <c r="A286" s="15" t="n">
        <v>281</v>
      </c>
      <c r="B286" s="65" t="inlineStr">
        <is>
          <t>Монтаж дверных блоков 2Л 2000х700.
Монтаж деревянных дверей  из ЛДСП в телескопической алюминиевой коробке в проем, замок WC Свободно/занято</t>
        </is>
      </c>
      <c r="C286" s="67" t="inlineStr">
        <is>
          <t>шт</t>
        </is>
      </c>
      <c r="D286" s="68" t="n">
        <v>2</v>
      </c>
      <c r="E286" s="52" t="n">
        <v>14360.90167764</v>
      </c>
      <c r="F286" s="52">
        <f>ROUND(D286*E286,2)</f>
        <v/>
      </c>
      <c r="G286" s="52" t="n">
        <v>9911.798466495968</v>
      </c>
      <c r="H286" s="52">
        <f>ROUND(D286*G286,2)</f>
        <v/>
      </c>
      <c r="I286" s="52">
        <f>ROUND(SUM(F286,H286),2)</f>
        <v/>
      </c>
    </row>
    <row r="287" ht="45" customHeight="1">
      <c r="A287" s="15" t="n">
        <v>282</v>
      </c>
      <c r="B287" s="65" t="inlineStr">
        <is>
          <t>Монтаж дверные блоков 2П 2000х700.
Монтаж деревянных дверей  из ЛДСП в телескопической алюминиевой коробке в проем,  замок WC Свободно/занято</t>
        </is>
      </c>
      <c r="C287" s="67" t="inlineStr">
        <is>
          <t>шт</t>
        </is>
      </c>
      <c r="D287" s="68" t="n">
        <v>4</v>
      </c>
      <c r="E287" s="52" t="n">
        <v>14360.90167764</v>
      </c>
      <c r="F287" s="52">
        <f>ROUND(D287*E287,2)</f>
        <v/>
      </c>
      <c r="G287" s="52" t="n">
        <v>9911.798466495968</v>
      </c>
      <c r="H287" s="52">
        <f>ROUND(D287*G287,2)</f>
        <v/>
      </c>
      <c r="I287" s="52">
        <f>ROUND(SUM(F287,H287),2)</f>
        <v/>
      </c>
    </row>
    <row r="288" ht="60" customHeight="1">
      <c r="A288" s="15" t="n">
        <v>283</v>
      </c>
      <c r="B288" s="65" t="inlineStr">
        <is>
          <t>Монтаж дверных блоков 1Л 2000х800.
Монтаж деревянных дверей  из ЛДСП, в телескопической алюминиевой коробке в проем, доводчик для автоматического закрывания.</t>
        </is>
      </c>
      <c r="C288" s="67" t="inlineStr">
        <is>
          <t>шт</t>
        </is>
      </c>
      <c r="D288" s="68" t="n">
        <v>2</v>
      </c>
      <c r="E288" s="52" t="n">
        <v>16467.167264814</v>
      </c>
      <c r="F288" s="52">
        <f>ROUND(D288*E288,2)</f>
        <v/>
      </c>
      <c r="G288" s="52" t="n">
        <v>10387.33623538618</v>
      </c>
      <c r="H288" s="52">
        <f>ROUND(D288*G288,2)</f>
        <v/>
      </c>
      <c r="I288" s="52">
        <f>ROUND(SUM(F288,H288),2)</f>
        <v/>
      </c>
    </row>
    <row r="289" ht="45" customHeight="1">
      <c r="A289" s="15" t="n">
        <v>284</v>
      </c>
      <c r="B289" s="64" t="inlineStr">
        <is>
          <t>Устройство  столешниц Иск. камень,
LG Hi-macs G503 NIGHT STELLA, - 20 мм
Мет. труба, - 40 мм</t>
        </is>
      </c>
      <c r="C289" s="67" t="inlineStr">
        <is>
          <t>шт</t>
        </is>
      </c>
      <c r="D289" s="68" t="n">
        <v>2</v>
      </c>
      <c r="E289" s="52" t="n">
        <v>33508.77050329201</v>
      </c>
      <c r="F289" s="52">
        <f>ROUND(D289*E289,2)</f>
        <v/>
      </c>
      <c r="G289" s="52" t="n">
        <v>16145.48096511602</v>
      </c>
      <c r="H289" s="52">
        <f>ROUND(D289*G289,2)</f>
        <v/>
      </c>
      <c r="I289" s="52">
        <f>ROUND(SUM(F289,H289),2)</f>
        <v/>
      </c>
    </row>
    <row r="290" ht="15.75" customHeight="1">
      <c r="A290" s="15" t="n">
        <v>285</v>
      </c>
      <c r="B290" s="64" t="inlineStr">
        <is>
          <t xml:space="preserve">Монтаж подвесных писуаров </t>
        </is>
      </c>
      <c r="C290" s="67" t="inlineStr">
        <is>
          <t>шт</t>
        </is>
      </c>
      <c r="D290" s="68" t="n">
        <v>3</v>
      </c>
      <c r="E290" s="52" t="n">
        <v>13585.41290295</v>
      </c>
      <c r="F290" s="52">
        <f>ROUND(D290*E290,2)</f>
        <v/>
      </c>
      <c r="G290" s="52" t="n">
        <v>6401.837371901934</v>
      </c>
      <c r="H290" s="52">
        <f>ROUND(D290*G290,2)</f>
        <v/>
      </c>
      <c r="I290" s="52">
        <f>ROUND(SUM(F290,H290),2)</f>
        <v/>
      </c>
    </row>
    <row r="291" ht="30" customHeight="1">
      <c r="A291" s="15" t="n">
        <v>286</v>
      </c>
      <c r="B291" s="64" t="inlineStr">
        <is>
          <t>Унитаз-компакт AM.PM Crave Flash Clean универсальный выпуск
двойной слив. Сиденье с микролифтом</t>
        </is>
      </c>
      <c r="C291" s="67" t="inlineStr">
        <is>
          <t>шт</t>
        </is>
      </c>
      <c r="D291" s="68" t="n">
        <v>6</v>
      </c>
      <c r="E291" s="52" t="n">
        <v>18956.390167764</v>
      </c>
      <c r="F291" s="52">
        <f>ROUND(D291*E291,2)</f>
        <v/>
      </c>
      <c r="G291" s="52" t="n">
        <v>8014.654209354573</v>
      </c>
      <c r="H291" s="52">
        <f>ROUND(D291*G291,2)</f>
        <v/>
      </c>
      <c r="I291" s="52">
        <f>ROUND(SUM(F291,H291),2)</f>
        <v/>
      </c>
    </row>
    <row r="292" ht="15.75" customHeight="1">
      <c r="A292" s="15" t="n">
        <v>287</v>
      </c>
      <c r="B292" s="64" t="inlineStr">
        <is>
          <t>Раковина Cersanit Moduo 40 Ring с подстольем 40 см</t>
        </is>
      </c>
      <c r="C292" s="67" t="inlineStr">
        <is>
          <t>комп</t>
        </is>
      </c>
      <c r="D292" s="68" t="n">
        <v>4</v>
      </c>
      <c r="E292" s="52" t="n">
        <v>7295.338103634</v>
      </c>
      <c r="F292" s="52">
        <f>ROUND(D292*E292,2)</f>
        <v/>
      </c>
      <c r="G292" s="52" t="n">
        <v>4048.005128082581</v>
      </c>
      <c r="H292" s="52">
        <f>ROUND(D292*G292,2)</f>
        <v/>
      </c>
      <c r="I292" s="52">
        <f>ROUND(SUM(F292,H292),2)</f>
        <v/>
      </c>
    </row>
    <row r="293" ht="15.75" customHeight="1">
      <c r="A293" s="15" t="n">
        <v>288</v>
      </c>
      <c r="B293" s="64" t="inlineStr">
        <is>
          <t>Напольная раковина CeruttiSpa Dorris CT7830 430x360x830</t>
        </is>
      </c>
      <c r="C293" s="67" t="inlineStr">
        <is>
          <t>шт</t>
        </is>
      </c>
      <c r="D293" s="68" t="n">
        <v>4</v>
      </c>
      <c r="E293" s="52" t="n">
        <v>18094.736090466</v>
      </c>
      <c r="F293" s="52">
        <f>ROUND(D293*E293,2)</f>
        <v/>
      </c>
      <c r="G293" s="52" t="n">
        <v>6486.216935410227</v>
      </c>
      <c r="H293" s="52">
        <f>ROUND(D293*G293,2)</f>
        <v/>
      </c>
      <c r="I293" s="52">
        <f>ROUND(SUM(F293,H293),2)</f>
        <v/>
      </c>
    </row>
    <row r="294" ht="30" customHeight="1">
      <c r="A294" s="15" t="n">
        <v>289</v>
      </c>
      <c r="B294" s="72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294" s="15" t="inlineStr">
        <is>
          <t>шт</t>
        </is>
      </c>
      <c r="D294" s="18" t="n">
        <v>4</v>
      </c>
      <c r="E294" s="52" t="n">
        <v>7471.881327158641</v>
      </c>
      <c r="F294" s="52">
        <f>ROUND(D294*E294,2)</f>
        <v/>
      </c>
      <c r="G294" s="52" t="n">
        <v>3287.730687613305</v>
      </c>
      <c r="H294" s="52">
        <f>ROUND(D294*G294,2)</f>
        <v/>
      </c>
      <c r="I294" s="52">
        <f>ROUND(SUM(F294,H294),2)</f>
        <v/>
      </c>
    </row>
    <row r="295" ht="45" customHeight="1">
      <c r="A295" s="15" t="n">
        <v>290</v>
      </c>
      <c r="B295" s="72" t="inlineStr">
        <is>
          <t>Смеситель для раковины Cersanit Brasko 63024 однорычажный
высокий цвет хром, предусмотреть установку обратных клапанов на ГВС и ХВС.</t>
        </is>
      </c>
      <c r="C295" s="15" t="inlineStr">
        <is>
          <t>шт</t>
        </is>
      </c>
      <c r="D295" s="18" t="n">
        <v>4</v>
      </c>
      <c r="E295" s="52" t="n">
        <v>9082.13355315264</v>
      </c>
      <c r="F295" s="52">
        <f>ROUND(D295*E295,2)</f>
        <v/>
      </c>
      <c r="G295" s="52" t="n">
        <v>3747.273105231152</v>
      </c>
      <c r="H295" s="52">
        <f>ROUND(D295*G295,2)</f>
        <v/>
      </c>
      <c r="I295" s="52">
        <f>ROUND(SUM(F295,H295),2)</f>
        <v/>
      </c>
    </row>
    <row r="296" ht="15.75" customHeight="1">
      <c r="A296" s="15" t="n">
        <v>291</v>
      </c>
      <c r="B296" s="27" t="inlineStr">
        <is>
          <t>Гигиенический душ Olive'S Balear 13141BLB со смесителем</t>
        </is>
      </c>
      <c r="C296" s="15" t="inlineStr">
        <is>
          <t>шт</t>
        </is>
      </c>
      <c r="D296" s="18" t="n">
        <v>5</v>
      </c>
      <c r="E296" s="52" t="n">
        <v>5256.09</v>
      </c>
      <c r="F296" s="52">
        <f>ROUND(D296*E296,2)</f>
        <v/>
      </c>
      <c r="G296" s="52" t="n">
        <v>3187.402570491844</v>
      </c>
      <c r="H296" s="52">
        <f>ROUND(D296*G296,2)</f>
        <v/>
      </c>
      <c r="I296" s="52">
        <f>ROUND(SUM(F296,H296),2)</f>
        <v/>
      </c>
    </row>
    <row r="297" ht="15.75" customHeight="1">
      <c r="A297" s="15" t="n">
        <v>292</v>
      </c>
      <c r="B297" s="7" t="inlineStr">
        <is>
          <t>Монтаж сантехнических аксессуаров:</t>
        </is>
      </c>
      <c r="C297" s="15" t="inlineStr">
        <is>
          <t>комп</t>
        </is>
      </c>
      <c r="D297" s="18" t="n"/>
      <c r="E297" s="52" t="n">
        <v>0</v>
      </c>
      <c r="F297" s="52">
        <f>ROUND(D297*E297,2)</f>
        <v/>
      </c>
      <c r="G297" s="52" t="n">
        <v>0</v>
      </c>
      <c r="H297" s="52">
        <f>ROUND(D297*G297,2)</f>
        <v/>
      </c>
      <c r="I297" s="52">
        <f>ROUND(SUM(F297,H297),2)</f>
        <v/>
      </c>
    </row>
    <row r="298" ht="15.75" customHeight="1">
      <c r="A298" s="15" t="n">
        <v>293</v>
      </c>
      <c r="B298" s="7" t="inlineStr">
        <is>
          <t xml:space="preserve">Зеркало с подсветкой с прозрачным кантом </t>
        </is>
      </c>
      <c r="C298" s="15" t="inlineStr">
        <is>
          <t>шт</t>
        </is>
      </c>
      <c r="D298" s="18" t="n">
        <v>8</v>
      </c>
      <c r="E298" s="52" t="n">
        <v>5048.3607</v>
      </c>
      <c r="F298" s="52">
        <f>ROUND(D298*E298,2)</f>
        <v/>
      </c>
      <c r="G298" s="52" t="n">
        <v>2303.492849906005</v>
      </c>
      <c r="H298" s="52">
        <f>ROUND(D298*G298,2)</f>
        <v/>
      </c>
      <c r="I298" s="52">
        <f>ROUND(SUM(F298,H298),2)</f>
        <v/>
      </c>
    </row>
    <row r="299" ht="45" customHeight="1">
      <c r="A299" s="15" t="n">
        <v>294</v>
      </c>
      <c r="B299" s="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299" s="15" t="inlineStr">
        <is>
          <t>м</t>
        </is>
      </c>
      <c r="D299" s="18" t="n">
        <v>60</v>
      </c>
      <c r="E299" s="52" t="n">
        <v>92.02159603728001</v>
      </c>
      <c r="F299" s="52">
        <f>ROUND(D299*E299,2)</f>
        <v/>
      </c>
      <c r="G299" s="52" t="n">
        <v>334.1070507051873</v>
      </c>
      <c r="H299" s="52">
        <f>ROUND(D299*G299,2)</f>
        <v/>
      </c>
      <c r="I299" s="52">
        <f>ROUND(SUM(F299,H299),2)</f>
        <v/>
      </c>
    </row>
    <row r="300" ht="34.5" customHeight="1">
      <c r="A300" s="15" t="n">
        <v>295</v>
      </c>
      <c r="B300" s="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300" s="15" t="inlineStr">
        <is>
          <t>м</t>
        </is>
      </c>
      <c r="D300" s="18" t="n">
        <v>20</v>
      </c>
      <c r="E300" s="52" t="n">
        <v>112.12685511552</v>
      </c>
      <c r="F300" s="52">
        <f>ROUND(D300*E300,2)</f>
        <v/>
      </c>
      <c r="G300" s="52" t="n">
        <v>970.3651152701751</v>
      </c>
      <c r="H300" s="52">
        <f>ROUND(D300*G300,2)</f>
        <v/>
      </c>
      <c r="I300" s="52">
        <f>ROUND(SUM(F300,H300),2)</f>
        <v/>
      </c>
    </row>
    <row r="301" ht="15.75" customHeight="1">
      <c r="A301" s="15" t="n">
        <v>296</v>
      </c>
      <c r="B301" s="7" t="inlineStr">
        <is>
          <t>Монтаж КУП</t>
        </is>
      </c>
      <c r="C301" s="15" t="inlineStr">
        <is>
          <t>шт.</t>
        </is>
      </c>
      <c r="D301" s="18" t="n">
        <v>2</v>
      </c>
      <c r="E301" s="52" t="n">
        <v>918.6189791877001</v>
      </c>
      <c r="F301" s="52">
        <f>ROUND(D301*E301,2)</f>
        <v/>
      </c>
      <c r="G301" s="52" t="n">
        <v>614.1423662764341</v>
      </c>
      <c r="H301" s="52">
        <f>ROUND(D301*G301,2)</f>
        <v/>
      </c>
      <c r="I301" s="52">
        <f>ROUND(SUM(F301,H301),2)</f>
        <v/>
      </c>
    </row>
    <row r="302" ht="15.75" customHeight="1">
      <c r="A302" s="15" t="n">
        <v>297</v>
      </c>
      <c r="B302" s="13" t="inlineStr">
        <is>
          <t>Прокладка провода ПуГПнг(А)-HF 1х6 мм.кв.</t>
        </is>
      </c>
      <c r="C302" s="15" t="inlineStr">
        <is>
          <t>м</t>
        </is>
      </c>
      <c r="D302" s="18" t="n">
        <v>20</v>
      </c>
      <c r="E302" s="52" t="n">
        <v>84.63354249168002</v>
      </c>
      <c r="F302" s="52">
        <f>ROUND(D302*E302,2)</f>
        <v/>
      </c>
      <c r="G302" s="52" t="n">
        <v>320.3756441224579</v>
      </c>
      <c r="H302" s="52">
        <f>ROUND(D302*G302,2)</f>
        <v/>
      </c>
      <c r="I302" s="52">
        <f>ROUND(SUM(F302,H302),2)</f>
        <v/>
      </c>
    </row>
    <row r="303" ht="30" customHeight="1">
      <c r="A303" s="15" t="n">
        <v>298</v>
      </c>
      <c r="B303" s="14" t="inlineStr">
        <is>
          <t>Присоединение к зажимам жил проводов или кабелей сечением до 2,5 мм²</t>
        </is>
      </c>
      <c r="C303" s="15" t="inlineStr">
        <is>
          <t>шт.</t>
        </is>
      </c>
      <c r="D303" s="18" t="n">
        <v>100</v>
      </c>
      <c r="E303" s="52" t="n">
        <v>0</v>
      </c>
      <c r="F303" s="52">
        <f>ROUND(D303*E303,2)</f>
        <v/>
      </c>
      <c r="G303" s="52" t="n">
        <v>80.83276616230575</v>
      </c>
      <c r="H303" s="52">
        <f>ROUND(D303*G303,2)</f>
        <v/>
      </c>
      <c r="I303" s="52">
        <f>ROUND(SUM(F303,H303),2)</f>
        <v/>
      </c>
    </row>
    <row r="304" ht="17.25" customHeight="1">
      <c r="A304" s="15" t="n">
        <v>299</v>
      </c>
      <c r="B304" s="14" t="inlineStr">
        <is>
          <t>Присоединение к зажимам жил проводов или кабелей сечением до 6 мм²</t>
        </is>
      </c>
      <c r="C304" s="15" t="inlineStr">
        <is>
          <t>шт.</t>
        </is>
      </c>
      <c r="D304" s="18" t="n">
        <v>100</v>
      </c>
      <c r="E304" s="52" t="n">
        <v>0</v>
      </c>
      <c r="F304" s="52">
        <f>ROUND(D304*E304,2)</f>
        <v/>
      </c>
      <c r="G304" s="52" t="n">
        <v>109.9595342241365</v>
      </c>
      <c r="H304" s="52">
        <f>ROUND(D304*G304,2)</f>
        <v/>
      </c>
      <c r="I304" s="52">
        <f>ROUND(SUM(F304,H304),2)</f>
        <v/>
      </c>
    </row>
    <row r="305" ht="15.75" customHeight="1">
      <c r="A305" s="15" t="n">
        <v>300</v>
      </c>
      <c r="B305" s="13" t="inlineStr">
        <is>
          <t>Пусконаладочные работы</t>
        </is>
      </c>
      <c r="C305" s="15" t="inlineStr">
        <is>
          <t>компл.</t>
        </is>
      </c>
      <c r="D305" s="18" t="n">
        <v>1</v>
      </c>
      <c r="E305" s="52" t="n">
        <v>0</v>
      </c>
      <c r="F305" s="52">
        <f>ROUND(D305*E305,2)</f>
        <v/>
      </c>
      <c r="G305" s="52" t="n">
        <v>15036.25001159667</v>
      </c>
      <c r="H305" s="52">
        <f>ROUND(D305*G305,2)</f>
        <v/>
      </c>
      <c r="I305" s="52">
        <f>ROUND(SUM(F305,H305),2)</f>
        <v/>
      </c>
    </row>
    <row r="306" ht="15.75" customHeight="1">
      <c r="A306" s="15" t="n">
        <v>301</v>
      </c>
      <c r="B306" s="13" t="inlineStr">
        <is>
          <t>Монтаж распаечных коробок</t>
        </is>
      </c>
      <c r="C306" s="15" t="inlineStr">
        <is>
          <t>шт</t>
        </is>
      </c>
      <c r="D306" s="18" t="n">
        <v>38</v>
      </c>
      <c r="E306" s="52" t="n">
        <v>53.18324441640001</v>
      </c>
      <c r="F306" s="52">
        <f>ROUND(D306*E306,2)</f>
        <v/>
      </c>
      <c r="G306" s="52" t="n">
        <v>641.1219285959296</v>
      </c>
      <c r="H306" s="52">
        <f>ROUND(D306*G306,2)</f>
        <v/>
      </c>
      <c r="I306" s="52">
        <f>ROUND(SUM(F306,H306),2)</f>
        <v/>
      </c>
    </row>
    <row r="307" ht="15.75" customHeight="1">
      <c r="A307" s="15" t="n">
        <v>302</v>
      </c>
      <c r="B307" s="13" t="inlineStr">
        <is>
          <t>Покраска стены</t>
        </is>
      </c>
      <c r="C307" s="15" t="inlineStr">
        <is>
          <t>шт</t>
        </is>
      </c>
      <c r="D307" s="18" t="n">
        <v>17.98</v>
      </c>
      <c r="E307" s="52" t="n">
        <v>160.84208489013</v>
      </c>
      <c r="F307" s="52">
        <f>ROUND(D307*E307,2)</f>
        <v/>
      </c>
      <c r="G307" s="52" t="n">
        <v>451.0086387490006</v>
      </c>
      <c r="H307" s="52">
        <f>ROUND(D307*G307,2)</f>
        <v/>
      </c>
      <c r="I307" s="52">
        <f>ROUND(SUM(F307,H307),2)</f>
        <v/>
      </c>
    </row>
    <row r="308" ht="15.75" customHeight="1">
      <c r="A308" s="15" t="n">
        <v>303</v>
      </c>
      <c r="B308" s="48" t="inlineStr">
        <is>
          <t>Выключатель двухклавишный</t>
        </is>
      </c>
      <c r="C308" s="67" t="inlineStr">
        <is>
          <t>шт</t>
        </is>
      </c>
      <c r="D308" s="68" t="n">
        <v>1</v>
      </c>
      <c r="E308" s="52" t="n">
        <v>338.43852781704</v>
      </c>
      <c r="F308" s="52">
        <f>ROUND(D308*E308,2)</f>
        <v/>
      </c>
      <c r="G308" s="52" t="n">
        <v>656.3663918054848</v>
      </c>
      <c r="H308" s="52">
        <f>ROUND(D308*G308,2)</f>
        <v/>
      </c>
      <c r="I308" s="52">
        <f>ROUND(SUM(F308,H308),2)</f>
        <v/>
      </c>
    </row>
    <row r="309">
      <c r="A309" s="15" t="n">
        <v>304</v>
      </c>
      <c r="B309" s="53" t="inlineStr">
        <is>
          <t>Сантехнические работы:</t>
        </is>
      </c>
      <c r="C309" s="15" t="n"/>
      <c r="D309" s="15" t="n"/>
      <c r="E309" s="15" t="n"/>
      <c r="F309" s="17" t="n"/>
      <c r="G309" s="13" t="n"/>
      <c r="H309" s="13" t="n"/>
      <c r="I309" s="13" t="n"/>
    </row>
    <row r="310" ht="15.75" customHeight="1">
      <c r="A310" s="15" t="n">
        <v>305</v>
      </c>
      <c r="B310" s="58" t="inlineStr">
        <is>
          <t>Прокладка канализационного трубопровода, d=50мм</t>
        </is>
      </c>
      <c r="C310" s="15" t="inlineStr">
        <is>
          <t>м</t>
        </is>
      </c>
      <c r="D310" s="67" t="n">
        <v>30</v>
      </c>
      <c r="E310" s="52" t="n">
        <v>207.10334552544</v>
      </c>
      <c r="F310" s="52">
        <f>ROUND(D310*E310,2)</f>
        <v/>
      </c>
      <c r="G310" s="52" t="n">
        <v>647.5516149375146</v>
      </c>
      <c r="H310" s="52">
        <f>ROUND(D310*G310,2)</f>
        <v/>
      </c>
      <c r="I310" s="52">
        <f>ROUND(SUM(F310,H310),2)</f>
        <v/>
      </c>
    </row>
    <row r="311" ht="15.75" customHeight="1">
      <c r="A311" s="15" t="n">
        <v>306</v>
      </c>
      <c r="B311" s="58" t="inlineStr">
        <is>
          <t>Покладка канализационного трубопровода, d=110мм</t>
        </is>
      </c>
      <c r="C311" s="15" t="inlineStr">
        <is>
          <t>м</t>
        </is>
      </c>
      <c r="D311" s="67" t="n">
        <v>26</v>
      </c>
      <c r="E311" s="52" t="n">
        <v>491.8704152544</v>
      </c>
      <c r="F311" s="52">
        <f>ROUND(D311*E311,2)</f>
        <v/>
      </c>
      <c r="G311" s="52" t="n">
        <v>911.442074203041</v>
      </c>
      <c r="H311" s="52">
        <f>ROUND(D311*G311,2)</f>
        <v/>
      </c>
      <c r="I311" s="52">
        <f>ROUND(SUM(F311,H311),2)</f>
        <v/>
      </c>
    </row>
    <row r="312" ht="30" customHeight="1">
      <c r="A312" s="15" t="n">
        <v>307</v>
      </c>
      <c r="B312" s="53" t="inlineStr">
        <is>
          <t>Монтаж трубопровода ХВС и ГВС для Гигиенического душа с креплением к несущим конструкциям 1/2'</t>
        </is>
      </c>
      <c r="C312" s="15" t="inlineStr">
        <is>
          <t>м</t>
        </is>
      </c>
      <c r="D312" s="15" t="n">
        <v>30</v>
      </c>
      <c r="E312" s="52" t="n">
        <v>124.4611276272</v>
      </c>
      <c r="F312" s="52">
        <f>ROUND(D312*E312,2)</f>
        <v/>
      </c>
      <c r="G312" s="52" t="n">
        <v>494.5807053620796</v>
      </c>
      <c r="H312" s="52">
        <f>ROUND(D312*G312,2)</f>
        <v/>
      </c>
      <c r="I312" s="52">
        <f>ROUND(SUM(F312,H312),2)</f>
        <v/>
      </c>
    </row>
    <row r="313" ht="15.75" customHeight="1">
      <c r="A313" s="15" t="n">
        <v>308</v>
      </c>
      <c r="B313" s="53" t="inlineStr">
        <is>
          <t>Теплоизоляция трубопровода для Гигиенического душа</t>
        </is>
      </c>
      <c r="C313" s="15" t="inlineStr">
        <is>
          <t>м</t>
        </is>
      </c>
      <c r="D313" s="15" t="n">
        <v>30</v>
      </c>
      <c r="E313" s="52" t="n">
        <v>44.80595735616</v>
      </c>
      <c r="F313" s="52">
        <f>ROUND(D313*E313,2)</f>
        <v/>
      </c>
      <c r="G313" s="52" t="n">
        <v>209.7137340258199</v>
      </c>
      <c r="H313" s="52">
        <f>ROUND(D313*G313,2)</f>
        <v/>
      </c>
      <c r="I313" s="52">
        <f>ROUND(SUM(F313,H313),2)</f>
        <v/>
      </c>
    </row>
    <row r="314" ht="15.75" customHeight="1">
      <c r="A314" s="15" t="n">
        <v>309</v>
      </c>
      <c r="B314" s="53" t="inlineStr">
        <is>
          <t>Установка запорной арматуры на линию Гигиенического душа</t>
        </is>
      </c>
      <c r="C314" s="15" t="inlineStr">
        <is>
          <t>шт</t>
        </is>
      </c>
      <c r="D314" s="15" t="n">
        <v>2</v>
      </c>
      <c r="E314" s="52" t="n">
        <v>448.060180932</v>
      </c>
      <c r="F314" s="52">
        <f>ROUND(D314*E314,2)</f>
        <v/>
      </c>
      <c r="G314" s="52" t="n">
        <v>1301.746431732025</v>
      </c>
      <c r="H314" s="52">
        <f>ROUND(D314*G314,2)</f>
        <v/>
      </c>
      <c r="I314" s="52">
        <f>ROUND(SUM(F314,H314),2)</f>
        <v/>
      </c>
    </row>
    <row r="315" ht="15.75" customHeight="1">
      <c r="A315" s="15" t="n">
        <v>310</v>
      </c>
      <c r="B315" s="53" t="inlineStr">
        <is>
          <t>Установка обратных клапанов на линию Гигиенического душа</t>
        </is>
      </c>
      <c r="C315" s="15" t="inlineStr">
        <is>
          <t>шт</t>
        </is>
      </c>
      <c r="D315" s="15" t="n">
        <v>2</v>
      </c>
      <c r="E315" s="52" t="n">
        <v>378.36187657632</v>
      </c>
      <c r="F315" s="52">
        <f>ROUND(D315*E315,2)</f>
        <v/>
      </c>
      <c r="G315" s="52" t="n">
        <v>1286.010440814944</v>
      </c>
      <c r="H315" s="52">
        <f>ROUND(D315*G315,2)</f>
        <v/>
      </c>
      <c r="I315" s="52">
        <f>ROUND(SUM(F315,H315),2)</f>
        <v/>
      </c>
    </row>
    <row r="316" ht="30" customHeight="1">
      <c r="A316" s="15" t="n">
        <v>311</v>
      </c>
      <c r="B316" s="53" t="inlineStr">
        <is>
          <t>Установка лючков 300х300 под плитку для доступа к подключению Гигиенического душа</t>
        </is>
      </c>
      <c r="C316" s="15" t="inlineStr">
        <is>
          <t>шт</t>
        </is>
      </c>
      <c r="D316" s="15" t="n">
        <v>5</v>
      </c>
      <c r="E316" s="52" t="n">
        <v>2106.265587174</v>
      </c>
      <c r="F316" s="52">
        <f>ROUND(D316*E316,2)</f>
        <v/>
      </c>
      <c r="G316" s="52" t="n">
        <v>1689.622315172197</v>
      </c>
      <c r="H316" s="52">
        <f>ROUND(D316*G316,2)</f>
        <v/>
      </c>
      <c r="I316" s="52">
        <f>ROUND(SUM(F316,H316),2)</f>
        <v/>
      </c>
    </row>
    <row r="317" ht="15.75" customHeight="1">
      <c r="A317" s="15" t="n">
        <v>312</v>
      </c>
      <c r="B317" s="53" t="inlineStr">
        <is>
          <t>Замена напольных трапов 100х100мм HL 510 N-3000</t>
        </is>
      </c>
      <c r="C317" s="15" t="inlineStr">
        <is>
          <t>шт</t>
        </is>
      </c>
      <c r="D317" s="15" t="n">
        <v>2</v>
      </c>
      <c r="E317" s="52" t="n">
        <v>5700.8197</v>
      </c>
      <c r="F317" s="52">
        <f>ROUND(D317*E317,2)</f>
        <v/>
      </c>
      <c r="G317" s="52" t="n">
        <v>4837.966600955877</v>
      </c>
      <c r="H317" s="52">
        <f>ROUND(D317*G317,2)</f>
        <v/>
      </c>
      <c r="I317" s="52">
        <f>ROUND(SUM(F317,H317),2)</f>
        <v/>
      </c>
    </row>
    <row r="318" ht="30" customHeight="1">
      <c r="A318" s="15" t="n">
        <v>313</v>
      </c>
      <c r="B318" s="53" t="inlineStr">
        <is>
          <t>Опрессовка смонтированного или реконструированного трубопровода ХВС/ГВС</t>
        </is>
      </c>
      <c r="C318" s="15" t="inlineStr">
        <is>
          <t>компл.</t>
        </is>
      </c>
      <c r="D318" s="18" t="n">
        <v>1</v>
      </c>
      <c r="E318" s="52" t="n">
        <v>0</v>
      </c>
      <c r="F318" s="52">
        <f>ROUND(D318*E318,2)</f>
        <v/>
      </c>
      <c r="G318" s="52" t="n">
        <v>4706.162927883422</v>
      </c>
      <c r="H318" s="52">
        <f>ROUND(D318*G318,2)</f>
        <v/>
      </c>
      <c r="I318" s="52">
        <f>ROUND(SUM(F318,H318),2)</f>
        <v/>
      </c>
    </row>
    <row r="319">
      <c r="A319" s="15" t="n">
        <v>314</v>
      </c>
      <c r="B319" s="53" t="inlineStr">
        <is>
          <t>Навесные элементы в санузлы</t>
        </is>
      </c>
      <c r="C319" s="15" t="n"/>
      <c r="D319" s="18" t="n"/>
      <c r="E319" s="15" t="n"/>
      <c r="F319" s="17" t="n"/>
      <c r="G319" s="13" t="n"/>
      <c r="H319" s="13" t="n"/>
      <c r="I319" s="13" t="n"/>
    </row>
    <row r="320" ht="15.75" customHeight="1">
      <c r="A320" s="15" t="n">
        <v>315</v>
      </c>
      <c r="B320" s="53" t="inlineStr">
        <is>
          <t>Диспенсер под туалетную бумагу</t>
        </is>
      </c>
      <c r="C320" s="20" t="inlineStr">
        <is>
          <t>шт</t>
        </is>
      </c>
      <c r="D320" s="20" t="n">
        <v>6</v>
      </c>
      <c r="E320" s="52" t="n">
        <v>1723.308154596</v>
      </c>
      <c r="F320" s="52">
        <f>ROUND(D320*E320,2)</f>
        <v/>
      </c>
      <c r="G320" s="52" t="n">
        <v>977.3467103634516</v>
      </c>
      <c r="H320" s="52">
        <f>ROUND(D320*G320,2)</f>
        <v/>
      </c>
      <c r="I320" s="52">
        <f>ROUND(SUM(F320,H320),2)</f>
        <v/>
      </c>
    </row>
    <row r="321" ht="15.75" customHeight="1">
      <c r="A321" s="15" t="n">
        <v>316</v>
      </c>
      <c r="B321" s="53" t="inlineStr">
        <is>
          <t>Диспенсер для накладок</t>
        </is>
      </c>
      <c r="C321" s="20" t="inlineStr">
        <is>
          <t>шт</t>
        </is>
      </c>
      <c r="D321" s="20" t="n">
        <v>6</v>
      </c>
      <c r="E321" s="52" t="n">
        <v>2393.483574006</v>
      </c>
      <c r="F321" s="52">
        <f>ROUND(D321*E321,2)</f>
        <v/>
      </c>
      <c r="G321" s="52" t="n">
        <v>1128.654183481734</v>
      </c>
      <c r="H321" s="52">
        <f>ROUND(D321*G321,2)</f>
        <v/>
      </c>
      <c r="I321" s="52">
        <f>ROUND(SUM(F321,H321),2)</f>
        <v/>
      </c>
    </row>
    <row r="322" ht="15.75" customHeight="1">
      <c r="A322" s="15" t="n">
        <v>317</v>
      </c>
      <c r="B322" s="53" t="inlineStr">
        <is>
          <t>Держательдля освежителя воздуха</t>
        </is>
      </c>
      <c r="C322" s="20" t="inlineStr">
        <is>
          <t>шт</t>
        </is>
      </c>
      <c r="D322" s="20" t="n">
        <v>6</v>
      </c>
      <c r="E322" s="52" t="n">
        <v>1436.090167764</v>
      </c>
      <c r="F322" s="52">
        <f>ROUND(D322*E322,2)</f>
        <v/>
      </c>
      <c r="G322" s="52" t="n">
        <v>912.500661757358</v>
      </c>
      <c r="H322" s="52">
        <f>ROUND(D322*G322,2)</f>
        <v/>
      </c>
      <c r="I322" s="52">
        <f>ROUND(SUM(F322,H322),2)</f>
        <v/>
      </c>
    </row>
    <row r="323" ht="15.75" customHeight="1">
      <c r="A323" s="15" t="n">
        <v>318</v>
      </c>
      <c r="B323" s="53" t="inlineStr">
        <is>
          <t>Полка под личные принадлежности</t>
        </is>
      </c>
      <c r="C323" s="20" t="inlineStr">
        <is>
          <t>шт</t>
        </is>
      </c>
      <c r="D323" s="20" t="n">
        <v>6</v>
      </c>
      <c r="E323" s="52" t="n">
        <v>861.6540772980001</v>
      </c>
      <c r="F323" s="52">
        <f>ROUND(D323*E323,2)</f>
        <v/>
      </c>
      <c r="G323" s="52" t="n">
        <v>782.8085381744397</v>
      </c>
      <c r="H323" s="52">
        <f>ROUND(D323*G323,2)</f>
        <v/>
      </c>
      <c r="I323" s="52">
        <f>ROUND(SUM(F323,H323),2)</f>
        <v/>
      </c>
    </row>
    <row r="324" ht="15.75" customHeight="1">
      <c r="A324" s="15" t="n">
        <v>319</v>
      </c>
      <c r="B324" s="53" t="inlineStr">
        <is>
          <t>Диспенсор под жидкое мыло</t>
        </is>
      </c>
      <c r="C324" s="20" t="inlineStr">
        <is>
          <t>шт</t>
        </is>
      </c>
      <c r="D324" s="20" t="n">
        <v>8</v>
      </c>
      <c r="E324" s="52" t="n">
        <v>2106.265587174</v>
      </c>
      <c r="F324" s="52">
        <f>ROUND(D324*E324,2)</f>
        <v/>
      </c>
      <c r="G324" s="52" t="n">
        <v>1181.462208072726</v>
      </c>
      <c r="H324" s="52">
        <f>ROUND(D324*G324,2)</f>
        <v/>
      </c>
      <c r="I324" s="52">
        <f>ROUND(SUM(F324,H324),2)</f>
        <v/>
      </c>
    </row>
    <row r="325" ht="15.75" customHeight="1">
      <c r="A325" s="15" t="n">
        <v>320</v>
      </c>
      <c r="B325" s="53" t="inlineStr">
        <is>
          <t>Диспенсер для бумажных полотенец</t>
        </is>
      </c>
      <c r="C325" s="20" t="inlineStr">
        <is>
          <t>шт</t>
        </is>
      </c>
      <c r="D325" s="20" t="n">
        <v>4</v>
      </c>
      <c r="E325" s="52" t="n">
        <v>3350.87709705</v>
      </c>
      <c r="F325" s="52">
        <f>ROUND(D325*E325,2)</f>
        <v/>
      </c>
      <c r="G325" s="52" t="n">
        <v>1462.461804773927</v>
      </c>
      <c r="H325" s="52">
        <f>ROUND(D325*G325,2)</f>
        <v/>
      </c>
      <c r="I325" s="52">
        <f>ROUND(SUM(F325,H325),2)</f>
        <v/>
      </c>
    </row>
    <row r="326" ht="29.25" customHeight="1">
      <c r="A326" s="15" t="n">
        <v>321</v>
      </c>
      <c r="B326" s="28" t="inlineStr">
        <is>
          <t>Санузел "М/Ж" 5го этажа
Отдельная кабина</t>
        </is>
      </c>
      <c r="C326" s="53" t="n"/>
      <c r="D326" s="15" t="n"/>
      <c r="E326" s="15" t="n"/>
      <c r="F326" s="17" t="n"/>
      <c r="G326" s="13" t="n"/>
      <c r="H326" s="13" t="n"/>
      <c r="I326" s="13" t="n"/>
    </row>
    <row r="327">
      <c r="A327" s="15" t="n">
        <v>322</v>
      </c>
      <c r="B327" s="51" t="inlineStr">
        <is>
          <t xml:space="preserve">Раздел 1. Демонтажные работы </t>
        </is>
      </c>
      <c r="C327" s="53" t="n"/>
      <c r="D327" s="15" t="n"/>
      <c r="E327" s="15" t="n"/>
      <c r="F327" s="17" t="n"/>
      <c r="G327" s="13" t="n"/>
      <c r="H327" s="13" t="n"/>
      <c r="I327" s="13" t="n"/>
    </row>
    <row r="328" ht="15.75" customHeight="1">
      <c r="A328" s="15" t="n">
        <v>323</v>
      </c>
      <c r="B328" s="54" t="inlineStr">
        <is>
          <t>Разборка цементной стяжки h=200мм</t>
        </is>
      </c>
      <c r="C328" s="55" t="inlineStr">
        <is>
          <t>м2</t>
        </is>
      </c>
      <c r="D328" s="94" t="n">
        <v>2.38</v>
      </c>
      <c r="E328" s="52" t="n">
        <v>0</v>
      </c>
      <c r="F328" s="52">
        <f>ROUND(D328*E328,2)</f>
        <v/>
      </c>
      <c r="G328" s="52" t="n">
        <v>2406.537955785568</v>
      </c>
      <c r="H328" s="52">
        <f>ROUND(D328*G328,2)</f>
        <v/>
      </c>
      <c r="I328" s="52">
        <f>ROUND(SUM(F328,H328),2)</f>
        <v/>
      </c>
    </row>
    <row r="329" ht="30" customHeight="1">
      <c r="A329" s="15" t="n">
        <v>324</v>
      </c>
      <c r="B329" s="7" t="inlineStr">
        <is>
          <t>Подвесной потолок Armstrong перфорированный,
потолочные плиты 600х600 мм</t>
        </is>
      </c>
      <c r="C329" s="55" t="inlineStr">
        <is>
          <t>м2</t>
        </is>
      </c>
      <c r="D329" s="94" t="n">
        <v>2.38</v>
      </c>
      <c r="E329" s="52" t="n">
        <v>0</v>
      </c>
      <c r="F329" s="52">
        <f>ROUND(D329*E329,2)</f>
        <v/>
      </c>
      <c r="G329" s="52" t="n">
        <v>248.8169092563968</v>
      </c>
      <c r="H329" s="52">
        <f>ROUND(D329*G329,2)</f>
        <v/>
      </c>
      <c r="I329" s="52">
        <f>ROUND(SUM(F329,H329),2)</f>
        <v/>
      </c>
    </row>
    <row r="330" ht="15.75" customHeight="1">
      <c r="A330" s="15" t="n">
        <v>325</v>
      </c>
      <c r="B330" s="7" t="inlineStr">
        <is>
          <t>Демонтаж напольного покрытия</t>
        </is>
      </c>
      <c r="C330" s="55" t="inlineStr">
        <is>
          <t>м2</t>
        </is>
      </c>
      <c r="D330" s="94" t="n">
        <v>2.38</v>
      </c>
      <c r="E330" s="52" t="n">
        <v>0</v>
      </c>
      <c r="F330" s="52">
        <f>ROUND(D330*E330,2)</f>
        <v/>
      </c>
      <c r="G330" s="52" t="n">
        <v>503.1152762397645</v>
      </c>
      <c r="H330" s="52">
        <f>ROUND(D330*G330,2)</f>
        <v/>
      </c>
      <c r="I330" s="52">
        <f>ROUND(SUM(F330,H330),2)</f>
        <v/>
      </c>
    </row>
    <row r="331" ht="15.75" customHeight="1">
      <c r="A331" s="15" t="n">
        <v>326</v>
      </c>
      <c r="B331" s="7" t="inlineStr">
        <is>
          <t>Демонтаж настенной плитки</t>
        </is>
      </c>
      <c r="C331" s="56" t="inlineStr">
        <is>
          <t>м2</t>
        </is>
      </c>
      <c r="D331" s="94" t="n">
        <v>11.56</v>
      </c>
      <c r="E331" s="52" t="n">
        <v>0</v>
      </c>
      <c r="F331" s="52">
        <f>ROUND(D331*E331,2)</f>
        <v/>
      </c>
      <c r="G331" s="52" t="n">
        <v>456.4854730631076</v>
      </c>
      <c r="H331" s="52">
        <f>ROUND(D331*G331,2)</f>
        <v/>
      </c>
      <c r="I331" s="52">
        <f>ROUND(SUM(F331,H331),2)</f>
        <v/>
      </c>
    </row>
    <row r="332" ht="15.75" customHeight="1">
      <c r="A332" s="15" t="n">
        <v>327</v>
      </c>
      <c r="B332" s="58" t="inlineStr">
        <is>
          <t>Разборка канализационного трубопровода, d=50мм</t>
        </is>
      </c>
      <c r="C332" s="56" t="inlineStr">
        <is>
          <t>м</t>
        </is>
      </c>
      <c r="D332" s="95" t="n">
        <v>30</v>
      </c>
      <c r="E332" s="52" t="n">
        <v>0</v>
      </c>
      <c r="F332" s="52">
        <f>ROUND(D332*E332,2)</f>
        <v/>
      </c>
      <c r="G332" s="52" t="n">
        <v>230.5660693980355</v>
      </c>
      <c r="H332" s="52">
        <f>ROUND(D332*G332,2)</f>
        <v/>
      </c>
      <c r="I332" s="52">
        <f>ROUND(SUM(F332,H332),2)</f>
        <v/>
      </c>
    </row>
    <row r="333" ht="15.75" customHeight="1">
      <c r="A333" s="15" t="n">
        <v>328</v>
      </c>
      <c r="B333" s="58" t="inlineStr">
        <is>
          <t>Разборка канализационного трубопровода, d=110мм</t>
        </is>
      </c>
      <c r="C333" s="56" t="inlineStr">
        <is>
          <t>м</t>
        </is>
      </c>
      <c r="D333" s="95" t="n">
        <v>26</v>
      </c>
      <c r="E333" s="52" t="n">
        <v>0</v>
      </c>
      <c r="F333" s="52">
        <f>ROUND(D333*E333,2)</f>
        <v/>
      </c>
      <c r="G333" s="52" t="n">
        <v>230.5660693980355</v>
      </c>
      <c r="H333" s="52">
        <f>ROUND(D333*G333,2)</f>
        <v/>
      </c>
      <c r="I333" s="52">
        <f>ROUND(SUM(F333,H333),2)</f>
        <v/>
      </c>
    </row>
    <row r="334" ht="15.75" customHeight="1">
      <c r="A334" s="15" t="n">
        <v>329</v>
      </c>
      <c r="B334" s="54" t="inlineStr">
        <is>
          <t>Демонтаж существующих унитазов</t>
        </is>
      </c>
      <c r="C334" s="56" t="inlineStr">
        <is>
          <t>шт.</t>
        </is>
      </c>
      <c r="D334" s="94" t="n">
        <v>1</v>
      </c>
      <c r="E334" s="52" t="n">
        <v>0</v>
      </c>
      <c r="F334" s="52">
        <f>ROUND(D334*E334,2)</f>
        <v/>
      </c>
      <c r="G334" s="52" t="n">
        <v>1230.373498133161</v>
      </c>
      <c r="H334" s="52">
        <f>ROUND(D334*G334,2)</f>
        <v/>
      </c>
      <c r="I334" s="52">
        <f>ROUND(SUM(F334,H334),2)</f>
        <v/>
      </c>
    </row>
    <row r="335" ht="15.75" customHeight="1">
      <c r="A335" s="15" t="n">
        <v>330</v>
      </c>
      <c r="B335" s="54" t="inlineStr">
        <is>
          <t xml:space="preserve">Демонтаж существующих раковин </t>
        </is>
      </c>
      <c r="C335" s="56" t="inlineStr">
        <is>
          <t>шт.</t>
        </is>
      </c>
      <c r="D335" s="94" t="n">
        <v>1</v>
      </c>
      <c r="E335" s="52" t="n">
        <v>0</v>
      </c>
      <c r="F335" s="52">
        <f>ROUND(D335*E335,2)</f>
        <v/>
      </c>
      <c r="G335" s="52" t="n">
        <v>922.7801235998708</v>
      </c>
      <c r="H335" s="52">
        <f>ROUND(D335*G335,2)</f>
        <v/>
      </c>
      <c r="I335" s="52">
        <f>ROUND(SUM(F335,H335),2)</f>
        <v/>
      </c>
    </row>
    <row r="336" ht="15.75" customHeight="1">
      <c r="A336" s="15" t="n">
        <v>331</v>
      </c>
      <c r="B336" s="54" t="inlineStr">
        <is>
          <t>Демонтаж существующих сушилок для рук</t>
        </is>
      </c>
      <c r="C336" s="56" t="inlineStr">
        <is>
          <t>шт.</t>
        </is>
      </c>
      <c r="D336" s="94" t="n">
        <v>1</v>
      </c>
      <c r="E336" s="52" t="n">
        <v>0</v>
      </c>
      <c r="F336" s="52">
        <f>ROUND(D336*E336,2)</f>
        <v/>
      </c>
      <c r="G336" s="52" t="n">
        <v>525.4268038637409</v>
      </c>
      <c r="H336" s="52">
        <f>ROUND(D336*G336,2)</f>
        <v/>
      </c>
      <c r="I336" s="52">
        <f>ROUND(SUM(F336,H336),2)</f>
        <v/>
      </c>
    </row>
    <row r="337" ht="15.75" customHeight="1">
      <c r="A337" s="15" t="n">
        <v>332</v>
      </c>
      <c r="B337" s="54" t="inlineStr">
        <is>
          <t>Демонтаж осветительных приборов</t>
        </is>
      </c>
      <c r="C337" s="56" t="inlineStr">
        <is>
          <t>шт.</t>
        </is>
      </c>
      <c r="D337" s="94" t="n">
        <v>2</v>
      </c>
      <c r="E337" s="52" t="n">
        <v>0</v>
      </c>
      <c r="F337" s="52">
        <f>ROUND(D337*E337,2)</f>
        <v/>
      </c>
      <c r="G337" s="52" t="n">
        <v>461.3900617999354</v>
      </c>
      <c r="H337" s="52">
        <f>ROUND(D337*G337,2)</f>
        <v/>
      </c>
      <c r="I337" s="52">
        <f>ROUND(SUM(F337,H337),2)</f>
        <v/>
      </c>
    </row>
    <row r="338" ht="31.5" customHeight="1">
      <c r="A338" s="15" t="n">
        <v>333</v>
      </c>
      <c r="B338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338" s="56" t="inlineStr">
        <is>
          <t>м</t>
        </is>
      </c>
      <c r="D338" s="94" t="n">
        <v>80</v>
      </c>
      <c r="E338" s="52" t="n">
        <v>0</v>
      </c>
      <c r="F338" s="52">
        <f>ROUND(D338*E338,2)</f>
        <v/>
      </c>
      <c r="G338" s="52" t="n">
        <v>92.31692015457689</v>
      </c>
      <c r="H338" s="52">
        <f>ROUND(D338*G338,2)</f>
        <v/>
      </c>
      <c r="I338" s="52">
        <f>ROUND(SUM(F338,H338),2)</f>
        <v/>
      </c>
    </row>
    <row r="339" ht="15.75" customHeight="1">
      <c r="A339" s="15" t="n">
        <v>334</v>
      </c>
      <c r="B339" s="54" t="inlineStr">
        <is>
          <t>Демонтаж распаечных коробок</t>
        </is>
      </c>
      <c r="C339" s="56" t="inlineStr">
        <is>
          <t>шт.</t>
        </is>
      </c>
      <c r="D339" s="94" t="n">
        <v>2</v>
      </c>
      <c r="E339" s="52" t="n">
        <v>0</v>
      </c>
      <c r="F339" s="52">
        <f>ROUND(D339*E339,2)</f>
        <v/>
      </c>
      <c r="G339" s="52" t="n">
        <v>230.5660693980355</v>
      </c>
      <c r="H339" s="52">
        <f>ROUND(D339*G339,2)</f>
        <v/>
      </c>
      <c r="I339" s="52">
        <f>ROUND(SUM(F339,H339),2)</f>
        <v/>
      </c>
    </row>
    <row r="340" ht="15.75" customHeight="1">
      <c r="A340" s="15" t="n">
        <v>335</v>
      </c>
      <c r="B340" s="54" t="inlineStr">
        <is>
          <t>Демонтаж  освежителей воздуха со стен</t>
        </is>
      </c>
      <c r="C340" s="56" t="inlineStr">
        <is>
          <t>шт.</t>
        </is>
      </c>
      <c r="D340" s="94" t="n">
        <v>1</v>
      </c>
      <c r="E340" s="52" t="n">
        <v>0</v>
      </c>
      <c r="F340" s="52">
        <f>ROUND(D340*E340,2)</f>
        <v/>
      </c>
      <c r="G340" s="52" t="n">
        <v>262.7134019318705</v>
      </c>
      <c r="H340" s="52">
        <f>ROUND(D340*G340,2)</f>
        <v/>
      </c>
      <c r="I340" s="52">
        <f>ROUND(SUM(F340,H340),2)</f>
        <v/>
      </c>
    </row>
    <row r="341" ht="15.75" customHeight="1">
      <c r="A341" s="15" t="n">
        <v>336</v>
      </c>
      <c r="B341" s="54" t="inlineStr">
        <is>
          <t>Демонтаж существующих бумагодержателей</t>
        </is>
      </c>
      <c r="C341" s="56" t="inlineStr">
        <is>
          <t>шт.</t>
        </is>
      </c>
      <c r="D341" s="94" t="n">
        <v>1</v>
      </c>
      <c r="E341" s="52" t="n">
        <v>0</v>
      </c>
      <c r="F341" s="52">
        <f>ROUND(D341*E341,2)</f>
        <v/>
      </c>
      <c r="G341" s="52" t="n">
        <v>262.7134019318705</v>
      </c>
      <c r="H341" s="52">
        <f>ROUND(D341*G341,2)</f>
        <v/>
      </c>
      <c r="I341" s="52">
        <f>ROUND(SUM(F341,H341),2)</f>
        <v/>
      </c>
    </row>
    <row r="342" ht="15.75" customHeight="1">
      <c r="A342" s="15" t="n">
        <v>337</v>
      </c>
      <c r="B342" s="54" t="inlineStr">
        <is>
          <t>Демонтаж существующих туалетных полочек</t>
        </is>
      </c>
      <c r="C342" s="56" t="inlineStr">
        <is>
          <t>шт.</t>
        </is>
      </c>
      <c r="D342" s="94" t="n">
        <v>1</v>
      </c>
      <c r="E342" s="52" t="n">
        <v>0</v>
      </c>
      <c r="F342" s="52">
        <f>ROUND(D342*E342,2)</f>
        <v/>
      </c>
      <c r="G342" s="52" t="n">
        <v>262.7134019318705</v>
      </c>
      <c r="H342" s="52">
        <f>ROUND(D342*G342,2)</f>
        <v/>
      </c>
      <c r="I342" s="52">
        <f>ROUND(SUM(F342,H342),2)</f>
        <v/>
      </c>
    </row>
    <row r="343" ht="15.75" customHeight="1">
      <c r="A343" s="15" t="n">
        <v>338</v>
      </c>
      <c r="B343" s="57" t="inlineStr">
        <is>
          <t xml:space="preserve">Демонтаж существующего люка </t>
        </is>
      </c>
      <c r="C343" s="61" t="inlineStr">
        <is>
          <t>шт.</t>
        </is>
      </c>
      <c r="D343" s="61" t="n">
        <v>1</v>
      </c>
      <c r="E343" s="52" t="n">
        <v>0</v>
      </c>
      <c r="F343" s="52">
        <f>ROUND(D343*E343,2)</f>
        <v/>
      </c>
      <c r="G343" s="52" t="n">
        <v>1166.643896813129</v>
      </c>
      <c r="H343" s="52">
        <f>ROUND(D343*G343,2)</f>
        <v/>
      </c>
      <c r="I343" s="52">
        <f>ROUND(SUM(F343,H343),2)</f>
        <v/>
      </c>
    </row>
    <row r="344" ht="15.75" customHeight="1">
      <c r="A344" s="15" t="n">
        <v>339</v>
      </c>
      <c r="B344" s="54" t="inlineStr">
        <is>
          <t>Демонтаж телескопических алюм дверей</t>
        </is>
      </c>
      <c r="C344" s="61" t="inlineStr">
        <is>
          <t>шт.</t>
        </is>
      </c>
      <c r="D344" s="94" t="n">
        <v>1</v>
      </c>
      <c r="E344" s="52" t="n">
        <v>0</v>
      </c>
      <c r="F344" s="52">
        <f>ROUND(D344*E344,2)</f>
        <v/>
      </c>
      <c r="G344" s="52" t="n">
        <v>1346.709277613933</v>
      </c>
      <c r="H344" s="52">
        <f>ROUND(D344*G344,2)</f>
        <v/>
      </c>
      <c r="I344" s="52">
        <f>ROUND(SUM(F344,H344),2)</f>
        <v/>
      </c>
    </row>
    <row r="345" ht="45" customHeight="1">
      <c r="A345" s="15" t="n">
        <v>340</v>
      </c>
      <c r="B345" s="58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345" s="62" t="inlineStr">
        <is>
          <t>м2</t>
        </is>
      </c>
      <c r="D345" s="95" t="n">
        <v>30.15</v>
      </c>
      <c r="E345" s="73" t="n">
        <v>0</v>
      </c>
      <c r="F345" s="52">
        <f>ROUND(D345*E345,2)</f>
        <v/>
      </c>
      <c r="G345" s="52" t="n">
        <v>463.1152762397646</v>
      </c>
      <c r="H345" s="52">
        <f>ROUND(D345*G345,2)</f>
        <v/>
      </c>
      <c r="I345" s="52">
        <f>ROUND(SUM(F345,H345),2)</f>
        <v/>
      </c>
    </row>
    <row r="346">
      <c r="A346" s="15" t="n">
        <v>341</v>
      </c>
      <c r="B346" s="28" t="inlineStr">
        <is>
          <t>Раздел 2. Монтажные работы.</t>
        </is>
      </c>
      <c r="C346" s="67" t="n"/>
      <c r="D346" s="71" t="n"/>
      <c r="E346" s="67" t="n"/>
      <c r="F346" s="17" t="n"/>
      <c r="G346" s="13" t="n"/>
      <c r="H346" s="13" t="n"/>
      <c r="I346" s="13" t="n"/>
    </row>
    <row r="347" ht="15.75" customHeight="1">
      <c r="A347" s="15" t="n">
        <v>342</v>
      </c>
      <c r="B347" s="65" t="inlineStr">
        <is>
          <t>Устройство стяжки пола h=200мм</t>
        </is>
      </c>
      <c r="C347" s="67" t="inlineStr">
        <is>
          <t>м2</t>
        </is>
      </c>
      <c r="D347" s="67" t="n">
        <v>2.4</v>
      </c>
      <c r="E347" s="73" t="n">
        <v>3650.754138191594</v>
      </c>
      <c r="F347" s="52">
        <f>ROUND(D347*E347,2)</f>
        <v/>
      </c>
      <c r="G347" s="52" t="n">
        <v>3763.099275236907</v>
      </c>
      <c r="H347" s="52">
        <f>ROUND(D347*G347,2)</f>
        <v/>
      </c>
      <c r="I347" s="52">
        <f>ROUND(SUM(F347,H347),2)</f>
        <v/>
      </c>
    </row>
    <row r="348" ht="45" customHeight="1">
      <c r="A348" s="15" t="n">
        <v>343</v>
      </c>
      <c r="B348" s="64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348" s="62" t="inlineStr">
        <is>
          <t>м2</t>
        </is>
      </c>
      <c r="D348" s="62" t="n">
        <v>209.658</v>
      </c>
      <c r="E348" s="73" t="n">
        <v>1361.032094494925</v>
      </c>
      <c r="F348" s="52">
        <f>ROUND(D348*E348,2)</f>
        <v/>
      </c>
      <c r="G348" s="52" t="n">
        <v>2607.601033258546</v>
      </c>
      <c r="H348" s="52">
        <f>ROUND(D348*G348,2)</f>
        <v/>
      </c>
      <c r="I348" s="52">
        <f>ROUND(SUM(F348,H348),2)</f>
        <v/>
      </c>
    </row>
    <row r="349" ht="15.75" customHeight="1">
      <c r="A349" s="15" t="n">
        <v>344</v>
      </c>
      <c r="B349" s="65" t="inlineStr">
        <is>
          <t>Востановление стены после демонтажа люков 30х50см</t>
        </is>
      </c>
      <c r="C349" s="66" t="inlineStr">
        <is>
          <t>шт.</t>
        </is>
      </c>
      <c r="D349" s="66" t="n">
        <v>1</v>
      </c>
      <c r="E349" s="73" t="n">
        <v>0</v>
      </c>
      <c r="F349" s="52">
        <f>ROUND(D349*E349,2)</f>
        <v/>
      </c>
      <c r="G349" s="52" t="n">
        <v>2916.609742032823</v>
      </c>
      <c r="H349" s="52">
        <f>ROUND(D349*G349,2)</f>
        <v/>
      </c>
      <c r="I349" s="52">
        <f>ROUND(SUM(F349,H349),2)</f>
        <v/>
      </c>
    </row>
    <row r="350" ht="15.75" customHeight="1">
      <c r="A350" s="15" t="n">
        <v>345</v>
      </c>
      <c r="B350" s="65" t="inlineStr">
        <is>
          <t>Перенос и монтаж люка под плитку 1000х1000мм</t>
        </is>
      </c>
      <c r="C350" s="66" t="inlineStr">
        <is>
          <t>шт.</t>
        </is>
      </c>
      <c r="D350" s="66" t="n">
        <v>1</v>
      </c>
      <c r="E350" s="73" t="n">
        <v>11488.721342112</v>
      </c>
      <c r="F350" s="52">
        <f>ROUND(D350*E350,2)</f>
        <v/>
      </c>
      <c r="G350" s="52" t="n">
        <v>3807.926912457425</v>
      </c>
      <c r="H350" s="52">
        <f>ROUND(D350*G350,2)</f>
        <v/>
      </c>
      <c r="I350" s="52">
        <f>ROUND(SUM(F350,H350),2)</f>
        <v/>
      </c>
    </row>
    <row r="351" ht="15.75" customHeight="1">
      <c r="A351" s="15" t="n">
        <v>346</v>
      </c>
      <c r="B351" s="65" t="inlineStr">
        <is>
          <t>Устройство гидроизоляции</t>
        </is>
      </c>
      <c r="C351" s="67" t="inlineStr">
        <is>
          <t>м2</t>
        </is>
      </c>
      <c r="D351" s="67" t="n">
        <v>5.9</v>
      </c>
      <c r="E351" s="73" t="n">
        <v>442.3156016076</v>
      </c>
      <c r="F351" s="52">
        <f>ROUND(D351*E351,2)</f>
        <v/>
      </c>
      <c r="G351" s="52" t="n">
        <v>706.1086389192636</v>
      </c>
      <c r="H351" s="52">
        <f>ROUND(D351*G351,2)</f>
        <v/>
      </c>
      <c r="I351" s="52">
        <f>ROUND(SUM(F351,H351),2)</f>
        <v/>
      </c>
    </row>
    <row r="352" ht="15.75" customHeight="1">
      <c r="A352" s="15" t="n">
        <v>347</v>
      </c>
      <c r="B352" s="65" t="inlineStr">
        <is>
          <t>Чернение потолка и коммуникаций RAL 7026</t>
        </is>
      </c>
      <c r="C352" s="67" t="inlineStr">
        <is>
          <t>м2</t>
        </is>
      </c>
      <c r="D352" s="67" t="n">
        <v>3.4</v>
      </c>
      <c r="E352" s="73" t="n">
        <v>184.96839823686</v>
      </c>
      <c r="F352" s="52">
        <f>ROUND(D352*E352,2)</f>
        <v/>
      </c>
      <c r="G352" s="52" t="n">
        <v>377.3398992589209</v>
      </c>
      <c r="H352" s="52">
        <f>ROUND(D352*G352,2)</f>
        <v/>
      </c>
      <c r="I352" s="52">
        <f>ROUND(SUM(F352,H352),2)</f>
        <v/>
      </c>
    </row>
    <row r="353" ht="45" customHeight="1">
      <c r="A353" s="15" t="n">
        <v>348</v>
      </c>
      <c r="B353" s="65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353" s="67" t="inlineStr">
        <is>
          <t>м2</t>
        </is>
      </c>
      <c r="D353" s="67" t="n">
        <v>3.4</v>
      </c>
      <c r="E353" s="73" t="n">
        <v>1196.7213</v>
      </c>
      <c r="F353" s="52">
        <f>ROUND(D353*E353,2)</f>
        <v/>
      </c>
      <c r="G353" s="52" t="n">
        <v>1239.587057393498</v>
      </c>
      <c r="H353" s="52">
        <f>ROUND(D353*G353,2)</f>
        <v/>
      </c>
      <c r="I353" s="52">
        <f>ROUND(SUM(F353,H353),2)</f>
        <v/>
      </c>
    </row>
    <row r="354" ht="30" customHeight="1">
      <c r="A354" s="15" t="n">
        <v>349</v>
      </c>
      <c r="B354" s="65" t="inlineStr">
        <is>
          <t>Устройство напольного покрытия Керамогранит светло-серый 60х60 Матовый Карвинг 59,50x59,50</t>
        </is>
      </c>
      <c r="C354" s="67" t="inlineStr">
        <is>
          <t>м2</t>
        </is>
      </c>
      <c r="D354" s="67" t="n">
        <v>2.38</v>
      </c>
      <c r="E354" s="73" t="n">
        <v>2213.23820148465</v>
      </c>
      <c r="F354" s="52">
        <f>ROUND(D354*E354,2)</f>
        <v/>
      </c>
      <c r="G354" s="52" t="n">
        <v>3051.150486403696</v>
      </c>
      <c r="H354" s="52">
        <f>ROUND(D354*G354,2)</f>
        <v/>
      </c>
      <c r="I354" s="52">
        <f>ROUND(SUM(F354,H354),2)</f>
        <v/>
      </c>
    </row>
    <row r="355" ht="30" customHeight="1">
      <c r="A355" s="15" t="n">
        <v>350</v>
      </c>
      <c r="B355" s="57" t="inlineStr">
        <is>
          <t>Облицовка стен керамогранитом светло-серый 59,5х119,01, Матовый Карвинг 59,5х119,01 Evolution Smoke</t>
        </is>
      </c>
      <c r="C355" s="15" t="inlineStr">
        <is>
          <t>м2</t>
        </is>
      </c>
      <c r="D355" s="18" t="n">
        <v>11.56</v>
      </c>
      <c r="E355" s="52" t="n">
        <v>2222.661196699863</v>
      </c>
      <c r="F355" s="52">
        <f>ROUND(D355*E355,2)</f>
        <v/>
      </c>
      <c r="G355" s="52" t="n">
        <v>3180.984833770257</v>
      </c>
      <c r="H355" s="52">
        <f>ROUND(D355*G355,2)</f>
        <v/>
      </c>
      <c r="I355" s="52">
        <f>ROUND(SUM(F355,H355),2)</f>
        <v/>
      </c>
    </row>
    <row r="356" ht="30" customHeight="1">
      <c r="A356" s="15" t="n">
        <v>351</v>
      </c>
      <c r="B356" s="57" t="inlineStr">
        <is>
          <t>Облицовка стен керамогранитом светло-серый 59,5х119,01, Матовый Карвинг 59,5х119,01Nord Gris</t>
        </is>
      </c>
      <c r="C356" s="15" t="inlineStr">
        <is>
          <t>м2</t>
        </is>
      </c>
      <c r="D356" s="18" t="n">
        <v>2.5</v>
      </c>
      <c r="E356" s="52" t="n">
        <v>2222.661196699863</v>
      </c>
      <c r="F356" s="52">
        <f>ROUND(D356*E356,2)</f>
        <v/>
      </c>
      <c r="G356" s="52" t="n">
        <v>3180.984833770257</v>
      </c>
      <c r="H356" s="52">
        <f>ROUND(D356*G356,2)</f>
        <v/>
      </c>
      <c r="I356" s="52">
        <f>ROUND(SUM(F356,H356),2)</f>
        <v/>
      </c>
    </row>
    <row r="357" ht="30" customHeight="1">
      <c r="A357" s="15" t="n">
        <v>352</v>
      </c>
      <c r="B357" s="57" t="inlineStr">
        <is>
          <t>Монтаж светильника подвесного SP-POLO-R85-2-15W Day White 40deg теплый белый 3000К, (Black, Black Ring) (Arlight, IP20), 230D</t>
        </is>
      </c>
      <c r="C357" s="15" t="inlineStr">
        <is>
          <t>шт</t>
        </is>
      </c>
      <c r="D357" s="94" t="n">
        <v>4</v>
      </c>
      <c r="E357" s="52" t="n">
        <v>7913.8934</v>
      </c>
      <c r="F357" s="52">
        <f>ROUND(D357*E357,2)</f>
        <v/>
      </c>
      <c r="G357" s="52" t="n">
        <v>3609.000970777563</v>
      </c>
      <c r="H357" s="52">
        <f>ROUND(D357*G357,2)</f>
        <v/>
      </c>
      <c r="I357" s="52">
        <f>ROUND(SUM(F357,H357),2)</f>
        <v/>
      </c>
    </row>
    <row r="358" ht="60" customHeight="1">
      <c r="A358" s="15" t="n">
        <v>353</v>
      </c>
      <c r="B358" s="57" t="inlineStr">
        <is>
          <t>Монтаж встраиваемого светодиодного светильника OKKO IP54/IP20 13 WH
Светильник SP-JEDI-HANG-R18-6W Warm3000 (BK, 360 deg, 230V)
(Arlight, IP20 Пластик</t>
        </is>
      </c>
      <c r="C358" s="15" t="inlineStr">
        <is>
          <t>шт</t>
        </is>
      </c>
      <c r="D358" s="94" t="n">
        <v>1</v>
      </c>
      <c r="E358" s="52" t="n">
        <v>7453.721229457388</v>
      </c>
      <c r="F358" s="52">
        <f>ROUND(D358*E358,2)</f>
        <v/>
      </c>
      <c r="G358" s="52" t="n">
        <v>3214.625726855305</v>
      </c>
      <c r="H358" s="52">
        <f>ROUND(D358*G358,2)</f>
        <v/>
      </c>
      <c r="I358" s="52">
        <f>ROUND(SUM(F358,H358),2)</f>
        <v/>
      </c>
    </row>
    <row r="359" ht="15.75" customHeight="1">
      <c r="A359" s="15" t="n">
        <v>354</v>
      </c>
      <c r="B359" s="57" t="inlineStr">
        <is>
          <t>Монтаж музыкальной колонки</t>
        </is>
      </c>
      <c r="C359" s="15" t="inlineStr">
        <is>
          <t>шт</t>
        </is>
      </c>
      <c r="D359" s="60" t="n">
        <v>1</v>
      </c>
      <c r="E359" s="52" t="n">
        <v>0</v>
      </c>
      <c r="F359" s="52">
        <f>ROUND(D359*E359,2)</f>
        <v/>
      </c>
      <c r="G359" s="52" t="n">
        <v>1411.848878365026</v>
      </c>
      <c r="H359" s="52">
        <f>ROUND(D359*G359,2)</f>
        <v/>
      </c>
      <c r="I359" s="52">
        <f>ROUND(SUM(F359,H359),2)</f>
        <v/>
      </c>
    </row>
    <row r="360" ht="15.75" customHeight="1">
      <c r="A360" s="15" t="n">
        <v>355</v>
      </c>
      <c r="B360" s="57" t="inlineStr">
        <is>
          <t>Монтаж диффузоров</t>
        </is>
      </c>
      <c r="C360" s="15" t="inlineStr">
        <is>
          <t>шт</t>
        </is>
      </c>
      <c r="D360" s="18" t="n">
        <v>2</v>
      </c>
      <c r="E360" s="52" t="n">
        <v>1238.627820067312</v>
      </c>
      <c r="F360" s="52">
        <f>ROUND(D360*E360,2)</f>
        <v/>
      </c>
      <c r="G360" s="52" t="n">
        <v>1200.283269440882</v>
      </c>
      <c r="H360" s="52">
        <f>ROUND(D360*G360,2)</f>
        <v/>
      </c>
      <c r="I360" s="52">
        <f>ROUND(SUM(F360,H360),2)</f>
        <v/>
      </c>
    </row>
    <row r="361" ht="45" customHeight="1">
      <c r="A361" s="15" t="n">
        <v>356</v>
      </c>
      <c r="B361" s="57" t="inlineStr">
        <is>
          <t>Монтаж дверей Дверь деревянная из ЛДСП в
телескопической алюминиевой коробке в проем с замком WC Свободно/занято</t>
        </is>
      </c>
      <c r="C361" s="15" t="inlineStr">
        <is>
          <t>шт</t>
        </is>
      </c>
      <c r="D361" s="60" t="n">
        <v>1</v>
      </c>
      <c r="E361" s="52" t="n">
        <v>14360.90167764</v>
      </c>
      <c r="F361" s="52">
        <f>ROUND(D361*E361,2)</f>
        <v/>
      </c>
      <c r="G361" s="52" t="n">
        <v>9912.088466495967</v>
      </c>
      <c r="H361" s="52">
        <f>ROUND(D361*G361,2)</f>
        <v/>
      </c>
      <c r="I361" s="52">
        <f>ROUND(SUM(F361,H361),2)</f>
        <v/>
      </c>
    </row>
    <row r="362" ht="45" customHeight="1">
      <c r="A362" s="15" t="n">
        <v>357</v>
      </c>
      <c r="B362" s="27" t="inlineStr">
        <is>
          <t>Устройство  столешниц Иск. камень,
LG Hi-macs G503 NIGHT STELLA, - 20 мм
Мет. труба, - 40 мм</t>
        </is>
      </c>
      <c r="C362" s="15" t="inlineStr">
        <is>
          <t>шт</t>
        </is>
      </c>
      <c r="D362" s="18" t="n">
        <v>1</v>
      </c>
      <c r="E362" s="52" t="n">
        <v>33508.77050329201</v>
      </c>
      <c r="F362" s="52">
        <f>ROUND(D362*E362,2)</f>
        <v/>
      </c>
      <c r="G362" s="52" t="n">
        <v>16145.48096511602</v>
      </c>
      <c r="H362" s="52">
        <f>ROUND(D362*G362,2)</f>
        <v/>
      </c>
      <c r="I362" s="52">
        <f>ROUND(SUM(F362,H362),2)</f>
        <v/>
      </c>
    </row>
    <row r="363" ht="30" customHeight="1">
      <c r="A363" s="15" t="n">
        <v>358</v>
      </c>
      <c r="B363" s="27" t="inlineStr">
        <is>
          <t>Унитаз-компакт AM.PM Crave Flash Clean универсальный выпуск
двойной слив. Сиденье с микролифтом</t>
        </is>
      </c>
      <c r="C363" s="15" t="inlineStr">
        <is>
          <t>шт</t>
        </is>
      </c>
      <c r="D363" s="18" t="n">
        <v>1</v>
      </c>
      <c r="E363" s="52" t="n">
        <v>18956.390167764</v>
      </c>
      <c r="F363" s="52">
        <f>ROUND(D363*E363,2)</f>
        <v/>
      </c>
      <c r="G363" s="52" t="n">
        <v>8014.654209354573</v>
      </c>
      <c r="H363" s="52">
        <f>ROUND(D363*G363,2)</f>
        <v/>
      </c>
      <c r="I363" s="52">
        <f>ROUND(SUM(F363,H363),2)</f>
        <v/>
      </c>
    </row>
    <row r="364" ht="15.75" customHeight="1">
      <c r="A364" s="15" t="n">
        <v>359</v>
      </c>
      <c r="B364" s="69" t="inlineStr">
        <is>
          <t>Раковина Cersanit Moduo 40 Ring с подстольем 40 см</t>
        </is>
      </c>
      <c r="C364" s="15" t="inlineStr">
        <is>
          <t>комп</t>
        </is>
      </c>
      <c r="D364" s="18" t="n">
        <v>1</v>
      </c>
      <c r="E364" s="52" t="n">
        <v>7295.338103634</v>
      </c>
      <c r="F364" s="52">
        <f>ROUND(D364*E364,2)</f>
        <v/>
      </c>
      <c r="G364" s="52" t="n">
        <v>4048.005128082581</v>
      </c>
      <c r="H364" s="52">
        <f>ROUND(D364*G364,2)</f>
        <v/>
      </c>
      <c r="I364" s="52">
        <f>ROUND(SUM(F364,H364),2)</f>
        <v/>
      </c>
    </row>
    <row r="365" ht="30" customHeight="1">
      <c r="A365" s="15" t="n">
        <v>360</v>
      </c>
      <c r="B365" s="69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365" s="15" t="inlineStr">
        <is>
          <t>шт</t>
        </is>
      </c>
      <c r="D365" s="18" t="n">
        <v>1</v>
      </c>
      <c r="E365" s="52" t="n">
        <v>7471.881327158641</v>
      </c>
      <c r="F365" s="52">
        <f>ROUND(D365*E365,2)</f>
        <v/>
      </c>
      <c r="G365" s="52" t="n">
        <v>3287.730687613305</v>
      </c>
      <c r="H365" s="52">
        <f>ROUND(D365*G365,2)</f>
        <v/>
      </c>
      <c r="I365" s="52">
        <f>ROUND(SUM(F365,H365),2)</f>
        <v/>
      </c>
    </row>
    <row r="366" ht="15.75" customHeight="1">
      <c r="A366" s="15" t="n">
        <v>361</v>
      </c>
      <c r="B366" s="27" t="inlineStr">
        <is>
          <t>Гигиенический душ Olive'S Balear 13141BLB со смесителем</t>
        </is>
      </c>
      <c r="C366" s="15" t="inlineStr">
        <is>
          <t>шт</t>
        </is>
      </c>
      <c r="D366" s="18" t="n">
        <v>1</v>
      </c>
      <c r="E366" s="52" t="n">
        <v>5256.09</v>
      </c>
      <c r="F366" s="52">
        <f>ROUND(D366*E366,2)</f>
        <v/>
      </c>
      <c r="G366" s="52" t="n">
        <v>3187.402570491844</v>
      </c>
      <c r="H366" s="52">
        <f>ROUND(D366*G366,2)</f>
        <v/>
      </c>
      <c r="I366" s="52">
        <f>ROUND(SUM(F366,H366),2)</f>
        <v/>
      </c>
    </row>
    <row r="367">
      <c r="A367" s="15" t="n">
        <v>362</v>
      </c>
      <c r="B367" s="7" t="inlineStr">
        <is>
          <t>Монтаж сантехнических аксессуаров:</t>
        </is>
      </c>
      <c r="C367" s="15" t="inlineStr">
        <is>
          <t>комп</t>
        </is>
      </c>
      <c r="D367" s="18" t="n"/>
      <c r="E367" s="15" t="n"/>
      <c r="F367" s="17" t="n"/>
      <c r="G367" s="13" t="n"/>
      <c r="H367" s="13" t="n"/>
      <c r="I367" s="13" t="n"/>
    </row>
    <row r="368" ht="15.75" customHeight="1">
      <c r="A368" s="15" t="n">
        <v>363</v>
      </c>
      <c r="B368" s="7" t="inlineStr">
        <is>
          <t xml:space="preserve">Зеркало с подсветкой с прозрачным кантом </t>
        </is>
      </c>
      <c r="C368" s="15" t="inlineStr">
        <is>
          <t>шт</t>
        </is>
      </c>
      <c r="D368" s="18" t="n">
        <v>1</v>
      </c>
      <c r="E368" s="52" t="n">
        <v>5048.3607</v>
      </c>
      <c r="F368" s="52">
        <f>ROUND(D368*E368,2)</f>
        <v/>
      </c>
      <c r="G368" s="52" t="n">
        <v>2303.492849906005</v>
      </c>
      <c r="H368" s="52">
        <f>ROUND(D368*G368,2)</f>
        <v/>
      </c>
      <c r="I368" s="52">
        <f>ROUND(SUM(F368,H368),2)</f>
        <v/>
      </c>
    </row>
    <row r="369" ht="45" customHeight="1">
      <c r="A369" s="15" t="n">
        <v>364</v>
      </c>
      <c r="B369" s="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369" s="15" t="inlineStr">
        <is>
          <t>м</t>
        </is>
      </c>
      <c r="D369" s="18" t="n">
        <v>60</v>
      </c>
      <c r="E369" s="52" t="n">
        <v>92.02159603728001</v>
      </c>
      <c r="F369" s="52">
        <f>ROUND(D369*E369,2)</f>
        <v/>
      </c>
      <c r="G369" s="52" t="n">
        <v>334.1070507051873</v>
      </c>
      <c r="H369" s="52">
        <f>ROUND(D369*G369,2)</f>
        <v/>
      </c>
      <c r="I369" s="52">
        <f>ROUND(SUM(F369,H369),2)</f>
        <v/>
      </c>
    </row>
    <row r="370" ht="32.25" customHeight="1">
      <c r="A370" s="15" t="n">
        <v>365</v>
      </c>
      <c r="B370" s="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370" s="15" t="inlineStr">
        <is>
          <t>м</t>
        </is>
      </c>
      <c r="D370" s="18" t="n">
        <v>20</v>
      </c>
      <c r="E370" s="52" t="n">
        <v>112.12685511552</v>
      </c>
      <c r="F370" s="52">
        <f>ROUND(D370*E370,2)</f>
        <v/>
      </c>
      <c r="G370" s="52" t="n">
        <v>970.3651152701751</v>
      </c>
      <c r="H370" s="52">
        <f>ROUND(D370*G370,2)</f>
        <v/>
      </c>
      <c r="I370" s="52">
        <f>ROUND(SUM(F370,H370),2)</f>
        <v/>
      </c>
    </row>
    <row r="371" ht="15.75" customHeight="1">
      <c r="A371" s="15" t="n">
        <v>366</v>
      </c>
      <c r="B371" s="7" t="inlineStr">
        <is>
          <t>Монтаж КУП</t>
        </is>
      </c>
      <c r="C371" s="15" t="inlineStr">
        <is>
          <t>шт.</t>
        </is>
      </c>
      <c r="D371" s="18" t="n">
        <v>2</v>
      </c>
      <c r="E371" s="52" t="n">
        <v>918.6189791877001</v>
      </c>
      <c r="F371" s="52">
        <f>ROUND(D371*E371,2)</f>
        <v/>
      </c>
      <c r="G371" s="52" t="n">
        <v>614.1423662764341</v>
      </c>
      <c r="H371" s="52">
        <f>ROUND(D371*G371,2)</f>
        <v/>
      </c>
      <c r="I371" s="52">
        <f>ROUND(SUM(F371,H371),2)</f>
        <v/>
      </c>
    </row>
    <row r="372" ht="15.75" customHeight="1">
      <c r="A372" s="15" t="n">
        <v>367</v>
      </c>
      <c r="B372" s="13" t="inlineStr">
        <is>
          <t>Прокладка провода ПуГПнг(А)-HF 1х6 мм.кв.</t>
        </is>
      </c>
      <c r="C372" s="15" t="inlineStr">
        <is>
          <t>м</t>
        </is>
      </c>
      <c r="D372" s="18" t="n">
        <v>20</v>
      </c>
      <c r="E372" s="52" t="n">
        <v>84.63354249168002</v>
      </c>
      <c r="F372" s="52">
        <f>ROUND(D372*E372,2)</f>
        <v/>
      </c>
      <c r="G372" s="52" t="n">
        <v>320.3756441224579</v>
      </c>
      <c r="H372" s="52">
        <f>ROUND(D372*G372,2)</f>
        <v/>
      </c>
      <c r="I372" s="52">
        <f>ROUND(SUM(F372,H372),2)</f>
        <v/>
      </c>
    </row>
    <row r="373" ht="30" customHeight="1">
      <c r="A373" s="15" t="n">
        <v>368</v>
      </c>
      <c r="B373" s="14" t="inlineStr">
        <is>
          <t>Присоединение к зажимам жил проводов или кабелей сечением до 2,5 мм²</t>
        </is>
      </c>
      <c r="C373" s="15" t="inlineStr">
        <is>
          <t>шт.</t>
        </is>
      </c>
      <c r="D373" s="18" t="n">
        <v>20</v>
      </c>
      <c r="E373" s="52" t="n">
        <v>0</v>
      </c>
      <c r="F373" s="52">
        <f>ROUND(D373*E373,2)</f>
        <v/>
      </c>
      <c r="G373" s="52" t="n">
        <v>80.83276616230575</v>
      </c>
      <c r="H373" s="52">
        <f>ROUND(D373*G373,2)</f>
        <v/>
      </c>
      <c r="I373" s="52">
        <f>ROUND(SUM(F373,H373),2)</f>
        <v/>
      </c>
    </row>
    <row r="374" ht="14.25" customHeight="1">
      <c r="A374" s="15" t="n">
        <v>369</v>
      </c>
      <c r="B374" s="14" t="inlineStr">
        <is>
          <t>Присоединение к зажимам жил проводов или кабелей сечением до 6 мм²</t>
        </is>
      </c>
      <c r="C374" s="15" t="inlineStr">
        <is>
          <t>шт.</t>
        </is>
      </c>
      <c r="D374" s="18" t="n">
        <v>20</v>
      </c>
      <c r="E374" s="52" t="n">
        <v>0</v>
      </c>
      <c r="F374" s="52">
        <f>ROUND(D374*E374,2)</f>
        <v/>
      </c>
      <c r="G374" s="52" t="n">
        <v>109.9595342241365</v>
      </c>
      <c r="H374" s="52">
        <f>ROUND(D374*G374,2)</f>
        <v/>
      </c>
      <c r="I374" s="52">
        <f>ROUND(SUM(F374,H374),2)</f>
        <v/>
      </c>
    </row>
    <row r="375" ht="15.75" customHeight="1">
      <c r="A375" s="15" t="n">
        <v>370</v>
      </c>
      <c r="B375" s="13" t="inlineStr">
        <is>
          <t>Пусконаладочные работы</t>
        </is>
      </c>
      <c r="C375" s="15" t="inlineStr">
        <is>
          <t>компл.</t>
        </is>
      </c>
      <c r="D375" s="18" t="n">
        <v>1</v>
      </c>
      <c r="E375" s="52" t="n">
        <v>0</v>
      </c>
      <c r="F375" s="52">
        <f>ROUND(D375*E375,2)</f>
        <v/>
      </c>
      <c r="G375" s="52" t="n">
        <v>15036.25001159667</v>
      </c>
      <c r="H375" s="52">
        <f>ROUND(D375*G375,2)</f>
        <v/>
      </c>
      <c r="I375" s="52">
        <f>ROUND(SUM(F375,H375),2)</f>
        <v/>
      </c>
    </row>
    <row r="376" ht="15.75" customHeight="1">
      <c r="A376" s="15" t="n">
        <v>371</v>
      </c>
      <c r="B376" s="13" t="inlineStr">
        <is>
          <t>Монтаж распаечных коробок</t>
        </is>
      </c>
      <c r="C376" s="15" t="inlineStr">
        <is>
          <t>шт</t>
        </is>
      </c>
      <c r="D376" s="18" t="n">
        <v>6</v>
      </c>
      <c r="E376" s="52" t="n">
        <v>53.18324441640001</v>
      </c>
      <c r="F376" s="52">
        <f>ROUND(D376*E376,2)</f>
        <v/>
      </c>
      <c r="G376" s="52" t="n">
        <v>641.1219285959296</v>
      </c>
      <c r="H376" s="52">
        <f>ROUND(D376*G376,2)</f>
        <v/>
      </c>
      <c r="I376" s="52">
        <f>ROUND(SUM(F376,H376),2)</f>
        <v/>
      </c>
    </row>
    <row r="377" ht="15.75" customHeight="1">
      <c r="A377" s="15" t="n">
        <v>372</v>
      </c>
      <c r="B377" s="48" t="inlineStr">
        <is>
          <t>Выключатель двухклавишный</t>
        </is>
      </c>
      <c r="C377" s="15" t="inlineStr">
        <is>
          <t>шт</t>
        </is>
      </c>
      <c r="D377" s="18" t="n">
        <v>1</v>
      </c>
      <c r="E377" s="52" t="n">
        <v>338.43852781704</v>
      </c>
      <c r="F377" s="52">
        <f>ROUND(D377*E377,2)</f>
        <v/>
      </c>
      <c r="G377" s="52" t="n">
        <v>656.3663918054848</v>
      </c>
      <c r="H377" s="52">
        <f>ROUND(D377*G377,2)</f>
        <v/>
      </c>
      <c r="I377" s="52">
        <f>ROUND(SUM(F377,H377),2)</f>
        <v/>
      </c>
    </row>
    <row r="378">
      <c r="A378" s="15" t="n">
        <v>373</v>
      </c>
      <c r="B378" s="29" t="inlineStr">
        <is>
          <t>Раздел 3. Сантехнические работы</t>
        </is>
      </c>
      <c r="C378" s="15" t="n"/>
      <c r="D378" s="15" t="n"/>
      <c r="E378" s="15" t="n"/>
      <c r="F378" s="17" t="n"/>
      <c r="G378" s="13" t="n"/>
      <c r="H378" s="13" t="n"/>
      <c r="I378" s="13" t="n"/>
    </row>
    <row r="379" ht="15.75" customHeight="1">
      <c r="A379" s="15" t="n">
        <v>374</v>
      </c>
      <c r="B379" s="58" t="inlineStr">
        <is>
          <t>Прокладка канализационного трубопровода, d=50мм</t>
        </is>
      </c>
      <c r="C379" s="15" t="inlineStr">
        <is>
          <t>м</t>
        </is>
      </c>
      <c r="D379" s="67" t="n">
        <v>30</v>
      </c>
      <c r="E379" s="52" t="n">
        <v>207.10334552544</v>
      </c>
      <c r="F379" s="52">
        <f>ROUND(D379*E379,2)</f>
        <v/>
      </c>
      <c r="G379" s="52" t="n">
        <v>647.5516149375146</v>
      </c>
      <c r="H379" s="52">
        <f>ROUND(D379*G379,2)</f>
        <v/>
      </c>
      <c r="I379" s="52">
        <f>ROUND(SUM(F379,H379),2)</f>
        <v/>
      </c>
    </row>
    <row r="380" ht="15.75" customHeight="1">
      <c r="A380" s="15" t="n">
        <v>375</v>
      </c>
      <c r="B380" s="58" t="inlineStr">
        <is>
          <t>Покладка канализационного трубопровода, d=110мм</t>
        </is>
      </c>
      <c r="C380" s="15" t="inlineStr">
        <is>
          <t>м</t>
        </is>
      </c>
      <c r="D380" s="67" t="n">
        <v>26</v>
      </c>
      <c r="E380" s="52" t="n">
        <v>491.8704152544</v>
      </c>
      <c r="F380" s="52">
        <f>ROUND(D380*E380,2)</f>
        <v/>
      </c>
      <c r="G380" s="52" t="n">
        <v>911.442074203041</v>
      </c>
      <c r="H380" s="52">
        <f>ROUND(D380*G380,2)</f>
        <v/>
      </c>
      <c r="I380" s="52">
        <f>ROUND(SUM(F380,H380),2)</f>
        <v/>
      </c>
    </row>
    <row r="381" ht="30" customHeight="1">
      <c r="A381" s="15" t="n">
        <v>376</v>
      </c>
      <c r="B381" s="53" t="inlineStr">
        <is>
          <t>Монтаж трубопровода ХВС и ГВС для Гигиенического душа с креплением к несущим конструкциям 1/2'</t>
        </is>
      </c>
      <c r="C381" s="15" t="inlineStr">
        <is>
          <t>м</t>
        </is>
      </c>
      <c r="D381" s="15" t="n">
        <v>12</v>
      </c>
      <c r="E381" s="52" t="n">
        <v>124.4611276272</v>
      </c>
      <c r="F381" s="52">
        <f>ROUND(D381*E381,2)</f>
        <v/>
      </c>
      <c r="G381" s="52" t="n">
        <v>494.5807053620796</v>
      </c>
      <c r="H381" s="52">
        <f>ROUND(D381*G381,2)</f>
        <v/>
      </c>
      <c r="I381" s="52">
        <f>ROUND(SUM(F381,H381),2)</f>
        <v/>
      </c>
    </row>
    <row r="382" ht="15.75" customHeight="1">
      <c r="A382" s="15" t="n">
        <v>377</v>
      </c>
      <c r="B382" s="53" t="inlineStr">
        <is>
          <t>Теплоизоляция трубопровода для Гигиенического душа</t>
        </is>
      </c>
      <c r="C382" s="15" t="inlineStr">
        <is>
          <t>м</t>
        </is>
      </c>
      <c r="D382" s="15" t="n">
        <v>12</v>
      </c>
      <c r="E382" s="52" t="n">
        <v>44.80595735616</v>
      </c>
      <c r="F382" s="52">
        <f>ROUND(D382*E382,2)</f>
        <v/>
      </c>
      <c r="G382" s="52" t="n">
        <v>209.7137340258199</v>
      </c>
      <c r="H382" s="52">
        <f>ROUND(D382*G382,2)</f>
        <v/>
      </c>
      <c r="I382" s="52">
        <f>ROUND(SUM(F382,H382),2)</f>
        <v/>
      </c>
    </row>
    <row r="383" ht="15.75" customHeight="1">
      <c r="A383" s="15" t="n">
        <v>378</v>
      </c>
      <c r="B383" s="53" t="inlineStr">
        <is>
          <t>Установка запорной арматуры на линию Гигиенического душа</t>
        </is>
      </c>
      <c r="C383" s="15" t="inlineStr">
        <is>
          <t>шт</t>
        </is>
      </c>
      <c r="D383" s="15" t="n">
        <v>1</v>
      </c>
      <c r="E383" s="52" t="n">
        <v>448.060180932</v>
      </c>
      <c r="F383" s="52">
        <f>ROUND(D383*E383,2)</f>
        <v/>
      </c>
      <c r="G383" s="52" t="n">
        <v>1301.746431732025</v>
      </c>
      <c r="H383" s="52">
        <f>ROUND(D383*G383,2)</f>
        <v/>
      </c>
      <c r="I383" s="52">
        <f>ROUND(SUM(F383,H383),2)</f>
        <v/>
      </c>
    </row>
    <row r="384" ht="15.75" customHeight="1">
      <c r="A384" s="15" t="n">
        <v>379</v>
      </c>
      <c r="B384" s="53" t="inlineStr">
        <is>
          <t>Установка обратных клапанов на линию Гигиенического душа</t>
        </is>
      </c>
      <c r="C384" s="15" t="inlineStr">
        <is>
          <t>шт</t>
        </is>
      </c>
      <c r="D384" s="15" t="n">
        <v>1</v>
      </c>
      <c r="E384" s="52" t="n">
        <v>378.36187657632</v>
      </c>
      <c r="F384" s="52">
        <f>ROUND(D384*E384,2)</f>
        <v/>
      </c>
      <c r="G384" s="52" t="n">
        <v>1286.010440814944</v>
      </c>
      <c r="H384" s="52">
        <f>ROUND(D384*G384,2)</f>
        <v/>
      </c>
      <c r="I384" s="52">
        <f>ROUND(SUM(F384,H384),2)</f>
        <v/>
      </c>
    </row>
    <row r="385" ht="30" customHeight="1">
      <c r="A385" s="15" t="n">
        <v>380</v>
      </c>
      <c r="B385" s="53" t="inlineStr">
        <is>
          <t>Установка лючков 300х300 под плитку для доступа к подключению Гигиенического душа</t>
        </is>
      </c>
      <c r="C385" s="15" t="inlineStr">
        <is>
          <t>шт</t>
        </is>
      </c>
      <c r="D385" s="15" t="n">
        <v>1</v>
      </c>
      <c r="E385" s="52" t="n">
        <v>2106.265587174</v>
      </c>
      <c r="F385" s="52">
        <f>ROUND(D385*E385,2)</f>
        <v/>
      </c>
      <c r="G385" s="52" t="n">
        <v>1689.622315172197</v>
      </c>
      <c r="H385" s="52">
        <f>ROUND(D385*G385,2)</f>
        <v/>
      </c>
      <c r="I385" s="52">
        <f>ROUND(SUM(F385,H385),2)</f>
        <v/>
      </c>
    </row>
    <row r="386" ht="15.75" customHeight="1">
      <c r="A386" s="15" t="n">
        <v>381</v>
      </c>
      <c r="B386" s="53" t="inlineStr">
        <is>
          <t>Замена напольных трапов 100х100мм HL 510 N-3000</t>
        </is>
      </c>
      <c r="C386" s="15" t="inlineStr">
        <is>
          <t>шт</t>
        </is>
      </c>
      <c r="D386" s="15" t="n">
        <v>1</v>
      </c>
      <c r="E386" s="52" t="n">
        <v>5700.8197</v>
      </c>
      <c r="F386" s="52">
        <f>ROUND(D386*E386,2)</f>
        <v/>
      </c>
      <c r="G386" s="52" t="n">
        <v>4837.966600955877</v>
      </c>
      <c r="H386" s="52">
        <f>ROUND(D386*G386,2)</f>
        <v/>
      </c>
      <c r="I386" s="52">
        <f>ROUND(SUM(F386,H386),2)</f>
        <v/>
      </c>
    </row>
    <row r="387" ht="30" customHeight="1">
      <c r="A387" s="15" t="n">
        <v>382</v>
      </c>
      <c r="B387" s="53" t="inlineStr">
        <is>
          <t>Опрессовка смонтированного или реконструированного трубопровода ХВС/ГВС</t>
        </is>
      </c>
      <c r="C387" s="15" t="inlineStr">
        <is>
          <t>компл.</t>
        </is>
      </c>
      <c r="D387" s="18" t="n">
        <v>1</v>
      </c>
      <c r="E387" s="52" t="n">
        <v>0</v>
      </c>
      <c r="F387" s="52">
        <f>ROUND(D387*E387,2)</f>
        <v/>
      </c>
      <c r="G387" s="52" t="n">
        <v>4706.162927883422</v>
      </c>
      <c r="H387" s="52">
        <f>ROUND(D387*G387,2)</f>
        <v/>
      </c>
      <c r="I387" s="52">
        <f>ROUND(SUM(F387,H387),2)</f>
        <v/>
      </c>
    </row>
    <row r="388">
      <c r="A388" s="15" t="n">
        <v>383</v>
      </c>
      <c r="B388" s="53" t="inlineStr">
        <is>
          <t>Навесные элементы в санузлы</t>
        </is>
      </c>
      <c r="C388" s="15" t="n"/>
      <c r="D388" s="18" t="n"/>
      <c r="E388" s="15" t="n"/>
      <c r="F388" s="17" t="n"/>
      <c r="G388" s="13" t="n"/>
      <c r="H388" s="13" t="n"/>
      <c r="I388" s="13" t="n"/>
    </row>
    <row r="389" ht="15.75" customHeight="1">
      <c r="A389" s="15" t="n">
        <v>384</v>
      </c>
      <c r="B389" s="53" t="inlineStr">
        <is>
          <t>Диспенсер под туалетную бумагу</t>
        </is>
      </c>
      <c r="C389" s="20" t="inlineStr">
        <is>
          <t>шт</t>
        </is>
      </c>
      <c r="D389" s="20" t="n">
        <v>1</v>
      </c>
      <c r="E389" s="52" t="n">
        <v>1723.308154596</v>
      </c>
      <c r="F389" s="52">
        <f>ROUND(D389*E389,2)</f>
        <v/>
      </c>
      <c r="G389" s="52" t="n">
        <v>977.3467103634516</v>
      </c>
      <c r="H389" s="52">
        <f>ROUND(D389*G389,2)</f>
        <v/>
      </c>
      <c r="I389" s="52">
        <f>ROUND(SUM(F389,H389),2)</f>
        <v/>
      </c>
    </row>
    <row r="390" ht="15.75" customHeight="1">
      <c r="A390" s="15" t="n">
        <v>385</v>
      </c>
      <c r="B390" s="53" t="inlineStr">
        <is>
          <t>Диспенсер для накладок</t>
        </is>
      </c>
      <c r="C390" s="20" t="inlineStr">
        <is>
          <t>шт</t>
        </is>
      </c>
      <c r="D390" s="20" t="n">
        <v>1</v>
      </c>
      <c r="E390" s="52" t="n">
        <v>2393.483574006</v>
      </c>
      <c r="F390" s="52">
        <f>ROUND(D390*E390,2)</f>
        <v/>
      </c>
      <c r="G390" s="52" t="n">
        <v>1128.654183481734</v>
      </c>
      <c r="H390" s="52">
        <f>ROUND(D390*G390,2)</f>
        <v/>
      </c>
      <c r="I390" s="52">
        <f>ROUND(SUM(F390,H390),2)</f>
        <v/>
      </c>
    </row>
    <row r="391" ht="15.75" customHeight="1">
      <c r="A391" s="15" t="n">
        <v>386</v>
      </c>
      <c r="B391" s="53" t="inlineStr">
        <is>
          <t>Держательдля освежителя воздуха</t>
        </is>
      </c>
      <c r="C391" s="20" t="inlineStr">
        <is>
          <t>шт</t>
        </is>
      </c>
      <c r="D391" s="20" t="n">
        <v>1</v>
      </c>
      <c r="E391" s="52" t="n">
        <v>1436.090167764</v>
      </c>
      <c r="F391" s="52">
        <f>ROUND(D391*E391,2)</f>
        <v/>
      </c>
      <c r="G391" s="52" t="n">
        <v>912.500661757358</v>
      </c>
      <c r="H391" s="52">
        <f>ROUND(D391*G391,2)</f>
        <v/>
      </c>
      <c r="I391" s="52">
        <f>ROUND(SUM(F391,H391),2)</f>
        <v/>
      </c>
    </row>
    <row r="392" ht="15.75" customHeight="1">
      <c r="A392" s="15" t="n">
        <v>387</v>
      </c>
      <c r="B392" s="53" t="inlineStr">
        <is>
          <t>Полка под личные принадлежности</t>
        </is>
      </c>
      <c r="C392" s="20" t="inlineStr">
        <is>
          <t>шт</t>
        </is>
      </c>
      <c r="D392" s="20" t="n">
        <v>1</v>
      </c>
      <c r="E392" s="52" t="n">
        <v>861.6540772980001</v>
      </c>
      <c r="F392" s="52">
        <f>ROUND(D392*E392,2)</f>
        <v/>
      </c>
      <c r="G392" s="52" t="n">
        <v>782.8085381744397</v>
      </c>
      <c r="H392" s="52">
        <f>ROUND(D392*G392,2)</f>
        <v/>
      </c>
      <c r="I392" s="52">
        <f>ROUND(SUM(F392,H392),2)</f>
        <v/>
      </c>
    </row>
    <row r="393" ht="15.75" customHeight="1">
      <c r="A393" s="15" t="n">
        <v>388</v>
      </c>
      <c r="B393" s="53" t="inlineStr">
        <is>
          <t>Диспенсор под жидкое мыло</t>
        </is>
      </c>
      <c r="C393" s="20" t="inlineStr">
        <is>
          <t>шт</t>
        </is>
      </c>
      <c r="D393" s="20" t="n">
        <v>1</v>
      </c>
      <c r="E393" s="52" t="n">
        <v>2106.265587174</v>
      </c>
      <c r="F393" s="52">
        <f>ROUND(D393*E393,2)</f>
        <v/>
      </c>
      <c r="G393" s="52" t="n">
        <v>1181.462208072726</v>
      </c>
      <c r="H393" s="52">
        <f>ROUND(D393*G393,2)</f>
        <v/>
      </c>
      <c r="I393" s="52">
        <f>ROUND(SUM(F393,H393),2)</f>
        <v/>
      </c>
    </row>
    <row r="394" ht="15.75" customHeight="1">
      <c r="A394" s="15" t="n">
        <v>389</v>
      </c>
      <c r="B394" s="53" t="inlineStr">
        <is>
          <t>Диспенсер для бумажных полотенец</t>
        </is>
      </c>
      <c r="C394" s="20" t="inlineStr">
        <is>
          <t>шт</t>
        </is>
      </c>
      <c r="D394" s="20" t="n">
        <v>1</v>
      </c>
      <c r="E394" s="52" t="n">
        <v>3350.87709705</v>
      </c>
      <c r="F394" s="52">
        <f>ROUND(D394*E394,2)</f>
        <v/>
      </c>
      <c r="G394" s="52" t="n">
        <v>1462.461804773927</v>
      </c>
      <c r="H394" s="52">
        <f>ROUND(D394*G394,2)</f>
        <v/>
      </c>
      <c r="I394" s="52">
        <f>ROUND(SUM(F394,H394),2)</f>
        <v/>
      </c>
    </row>
    <row r="395">
      <c r="A395" s="15" t="n">
        <v>390</v>
      </c>
      <c r="B395" s="28" t="inlineStr">
        <is>
          <t>Санузел "М/Ж" 5го этажа</t>
        </is>
      </c>
      <c r="C395" s="53" t="n"/>
      <c r="D395" s="15" t="n"/>
      <c r="E395" s="15" t="n"/>
      <c r="F395" s="17" t="n"/>
      <c r="G395" s="13" t="n"/>
      <c r="H395" s="13" t="n"/>
      <c r="I395" s="13" t="n"/>
    </row>
    <row r="396">
      <c r="A396" s="15" t="n">
        <v>391</v>
      </c>
      <c r="B396" s="51" t="inlineStr">
        <is>
          <t xml:space="preserve">Раздел 1. Демонтажные работы </t>
        </is>
      </c>
      <c r="C396" s="53" t="n"/>
      <c r="D396" s="15" t="n"/>
      <c r="E396" s="15" t="n"/>
      <c r="F396" s="17" t="n"/>
      <c r="G396" s="13" t="n"/>
      <c r="H396" s="13" t="n"/>
      <c r="I396" s="13" t="n"/>
    </row>
    <row r="397" ht="15.75" customHeight="1">
      <c r="A397" s="15" t="n">
        <v>392</v>
      </c>
      <c r="B397" s="54" t="inlineStr">
        <is>
          <t>Разборка цементной стяжки h=200мм</t>
        </is>
      </c>
      <c r="C397" s="55" t="inlineStr">
        <is>
          <t>м2</t>
        </is>
      </c>
      <c r="D397" s="94" t="n">
        <v>22.84</v>
      </c>
      <c r="E397" s="52" t="n">
        <v>0</v>
      </c>
      <c r="F397" s="52">
        <f>ROUND(D397*E397,2)</f>
        <v/>
      </c>
      <c r="G397" s="52" t="n">
        <v>2406.537955785568</v>
      </c>
      <c r="H397" s="52">
        <f>ROUND(D397*G397,2)</f>
        <v/>
      </c>
      <c r="I397" s="52">
        <f>ROUND(SUM(F397,H397),2)</f>
        <v/>
      </c>
    </row>
    <row r="398" ht="30" customHeight="1">
      <c r="A398" s="15" t="n">
        <v>393</v>
      </c>
      <c r="B398" s="7" t="inlineStr">
        <is>
          <t>Подвесной потолок Armstrong перфорированный,
потолочные плиты 600х600 мм</t>
        </is>
      </c>
      <c r="C398" s="55" t="inlineStr">
        <is>
          <t>м2</t>
        </is>
      </c>
      <c r="D398" s="94" t="n">
        <v>22.84</v>
      </c>
      <c r="E398" s="52" t="n">
        <v>0</v>
      </c>
      <c r="F398" s="52">
        <f>ROUND(D398*E398,2)</f>
        <v/>
      </c>
      <c r="G398" s="52" t="n">
        <v>248.8169092563968</v>
      </c>
      <c r="H398" s="52">
        <f>ROUND(D398*G398,2)</f>
        <v/>
      </c>
      <c r="I398" s="52">
        <f>ROUND(SUM(F398,H398),2)</f>
        <v/>
      </c>
    </row>
    <row r="399" ht="15.75" customHeight="1">
      <c r="A399" s="15" t="n">
        <v>394</v>
      </c>
      <c r="B399" s="7" t="inlineStr">
        <is>
          <t>Демонтаж напольного покрытия</t>
        </is>
      </c>
      <c r="C399" s="55" t="inlineStr">
        <is>
          <t>м2</t>
        </is>
      </c>
      <c r="D399" s="94" t="n">
        <v>22.84</v>
      </c>
      <c r="E399" s="52" t="n">
        <v>0</v>
      </c>
      <c r="F399" s="52">
        <f>ROUND(D399*E399,2)</f>
        <v/>
      </c>
      <c r="G399" s="52" t="n">
        <v>503.1152762397645</v>
      </c>
      <c r="H399" s="52">
        <f>ROUND(D399*G399,2)</f>
        <v/>
      </c>
      <c r="I399" s="52">
        <f>ROUND(SUM(F399,H399),2)</f>
        <v/>
      </c>
    </row>
    <row r="400" ht="15.75" customHeight="1">
      <c r="A400" s="15" t="n">
        <v>395</v>
      </c>
      <c r="B400" s="7" t="inlineStr">
        <is>
          <t>Демонтаж настенной плитки</t>
        </is>
      </c>
      <c r="C400" s="56" t="inlineStr">
        <is>
          <t>м2</t>
        </is>
      </c>
      <c r="D400" s="94" t="n">
        <v>104.44</v>
      </c>
      <c r="E400" s="52" t="n">
        <v>0</v>
      </c>
      <c r="F400" s="52">
        <f>ROUND(D400*E400,2)</f>
        <v/>
      </c>
      <c r="G400" s="52" t="n">
        <v>456.4854730631076</v>
      </c>
      <c r="H400" s="52">
        <f>ROUND(D400*G400,2)</f>
        <v/>
      </c>
      <c r="I400" s="52">
        <f>ROUND(SUM(F400,H400),2)</f>
        <v/>
      </c>
    </row>
    <row r="401" ht="30" customHeight="1">
      <c r="A401" s="15" t="n">
        <v>396</v>
      </c>
      <c r="B401" s="54" t="inlineStr">
        <is>
          <t>Существующие санузловые перегородки из ЛДСП по
металлокаркасу</t>
        </is>
      </c>
      <c r="C401" s="56" t="inlineStr">
        <is>
          <t>м2</t>
        </is>
      </c>
      <c r="D401" s="94" t="n">
        <v>18.57</v>
      </c>
      <c r="E401" s="52" t="n">
        <v>0</v>
      </c>
      <c r="F401" s="52">
        <f>ROUND(D401*E401,2)</f>
        <v/>
      </c>
      <c r="G401" s="52" t="n">
        <v>463.1152762397645</v>
      </c>
      <c r="H401" s="52">
        <f>ROUND(D401*G401,2)</f>
        <v/>
      </c>
      <c r="I401" s="52">
        <f>ROUND(SUM(F401,H401),2)</f>
        <v/>
      </c>
    </row>
    <row r="402" ht="15.75" customHeight="1">
      <c r="A402" s="15" t="n">
        <v>397</v>
      </c>
      <c r="B402" s="58" t="inlineStr">
        <is>
          <t>Разборка канализационного трубопровода, d=50мм</t>
        </is>
      </c>
      <c r="C402" s="56" t="inlineStr">
        <is>
          <t>м</t>
        </is>
      </c>
      <c r="D402" s="95" t="n">
        <v>30</v>
      </c>
      <c r="E402" s="52" t="n">
        <v>0</v>
      </c>
      <c r="F402" s="52">
        <f>ROUND(D402*E402,2)</f>
        <v/>
      </c>
      <c r="G402" s="52" t="n">
        <v>230.5660693980355</v>
      </c>
      <c r="H402" s="52">
        <f>ROUND(D402*G402,2)</f>
        <v/>
      </c>
      <c r="I402" s="52">
        <f>ROUND(SUM(F402,H402),2)</f>
        <v/>
      </c>
    </row>
    <row r="403" ht="15.75" customHeight="1">
      <c r="A403" s="15" t="n">
        <v>398</v>
      </c>
      <c r="B403" s="58" t="inlineStr">
        <is>
          <t>Разборка канализационного трубопровода, d=110мм</t>
        </is>
      </c>
      <c r="C403" s="56" t="inlineStr">
        <is>
          <t>м</t>
        </is>
      </c>
      <c r="D403" s="95" t="n">
        <v>26</v>
      </c>
      <c r="E403" s="52" t="n">
        <v>0</v>
      </c>
      <c r="F403" s="52">
        <f>ROUND(D403*E403,2)</f>
        <v/>
      </c>
      <c r="G403" s="52" t="n">
        <v>230.5660693980355</v>
      </c>
      <c r="H403" s="52">
        <f>ROUND(D403*G403,2)</f>
        <v/>
      </c>
      <c r="I403" s="52">
        <f>ROUND(SUM(F403,H403),2)</f>
        <v/>
      </c>
    </row>
    <row r="404" ht="15.75" customHeight="1">
      <c r="A404" s="15" t="n">
        <v>399</v>
      </c>
      <c r="B404" s="54" t="inlineStr">
        <is>
          <t>Демонтаж существующих унитазов</t>
        </is>
      </c>
      <c r="C404" s="56" t="inlineStr">
        <is>
          <t>шт.</t>
        </is>
      </c>
      <c r="D404" s="94" t="n">
        <v>6</v>
      </c>
      <c r="E404" s="52" t="n">
        <v>0</v>
      </c>
      <c r="F404" s="52">
        <f>ROUND(D404*E404,2)</f>
        <v/>
      </c>
      <c r="G404" s="52" t="n">
        <v>1230.373498133161</v>
      </c>
      <c r="H404" s="52">
        <f>ROUND(D404*G404,2)</f>
        <v/>
      </c>
      <c r="I404" s="52">
        <f>ROUND(SUM(F404,H404),2)</f>
        <v/>
      </c>
    </row>
    <row r="405" ht="15.75" customHeight="1">
      <c r="A405" s="15" t="n">
        <v>400</v>
      </c>
      <c r="B405" s="54" t="inlineStr">
        <is>
          <t>Демонтаж существующих  писсуаров настенных без сенсора</t>
        </is>
      </c>
      <c r="C405" s="56" t="inlineStr">
        <is>
          <t>шт.</t>
        </is>
      </c>
      <c r="D405" s="56" t="n">
        <v>3</v>
      </c>
      <c r="E405" s="52" t="n">
        <v>0</v>
      </c>
      <c r="F405" s="52">
        <f>ROUND(D405*E405,2)</f>
        <v/>
      </c>
      <c r="G405" s="52" t="n">
        <v>1230.373498133161</v>
      </c>
      <c r="H405" s="52">
        <f>ROUND(D405*G405,2)</f>
        <v/>
      </c>
      <c r="I405" s="52">
        <f>ROUND(SUM(F405,H405),2)</f>
        <v/>
      </c>
    </row>
    <row r="406" ht="15.75" customHeight="1">
      <c r="A406" s="15" t="n">
        <v>401</v>
      </c>
      <c r="B406" s="54" t="inlineStr">
        <is>
          <t xml:space="preserve">Демонтаж существующих раковин </t>
        </is>
      </c>
      <c r="C406" s="56" t="inlineStr">
        <is>
          <t>шт.</t>
        </is>
      </c>
      <c r="D406" s="94" t="n">
        <v>8</v>
      </c>
      <c r="E406" s="52" t="n">
        <v>0</v>
      </c>
      <c r="F406" s="52">
        <f>ROUND(D406*E406,2)</f>
        <v/>
      </c>
      <c r="G406" s="52" t="n">
        <v>922.7801235998708</v>
      </c>
      <c r="H406" s="52">
        <f>ROUND(D406*G406,2)</f>
        <v/>
      </c>
      <c r="I406" s="52">
        <f>ROUND(SUM(F406,H406),2)</f>
        <v/>
      </c>
    </row>
    <row r="407" ht="15.75" customHeight="1">
      <c r="A407" s="15" t="n">
        <v>402</v>
      </c>
      <c r="B407" s="54" t="inlineStr">
        <is>
          <t>Демонтаж существующих сушилок для рук</t>
        </is>
      </c>
      <c r="C407" s="56" t="inlineStr">
        <is>
          <t>шт.</t>
        </is>
      </c>
      <c r="D407" s="94" t="n">
        <v>4</v>
      </c>
      <c r="E407" s="52" t="n">
        <v>0</v>
      </c>
      <c r="F407" s="52">
        <f>ROUND(D407*E407,2)</f>
        <v/>
      </c>
      <c r="G407" s="52" t="n">
        <v>525.4268038637409</v>
      </c>
      <c r="H407" s="52">
        <f>ROUND(D407*G407,2)</f>
        <v/>
      </c>
      <c r="I407" s="52">
        <f>ROUND(SUM(F407,H407),2)</f>
        <v/>
      </c>
    </row>
    <row r="408" ht="15.75" customHeight="1">
      <c r="A408" s="15" t="n">
        <v>403</v>
      </c>
      <c r="B408" s="54" t="inlineStr">
        <is>
          <t>Демонтаж осветительных приборов</t>
        </is>
      </c>
      <c r="C408" s="56" t="inlineStr">
        <is>
          <t>шт.</t>
        </is>
      </c>
      <c r="D408" s="94" t="n">
        <v>16</v>
      </c>
      <c r="E408" s="52" t="n">
        <v>0</v>
      </c>
      <c r="F408" s="52">
        <f>ROUND(D408*E408,2)</f>
        <v/>
      </c>
      <c r="G408" s="52" t="n">
        <v>461.3900617999354</v>
      </c>
      <c r="H408" s="52">
        <f>ROUND(D408*G408,2)</f>
        <v/>
      </c>
      <c r="I408" s="52">
        <f>ROUND(SUM(F408,H408),2)</f>
        <v/>
      </c>
    </row>
    <row r="409" ht="31.5" customHeight="1">
      <c r="A409" s="15" t="n">
        <v>404</v>
      </c>
      <c r="B409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409" s="56" t="inlineStr">
        <is>
          <t>м</t>
        </is>
      </c>
      <c r="D409" s="94" t="n">
        <v>80</v>
      </c>
      <c r="E409" s="52" t="n">
        <v>0</v>
      </c>
      <c r="F409" s="52">
        <f>ROUND(D409*E409,2)</f>
        <v/>
      </c>
      <c r="G409" s="52" t="n">
        <v>92.31692015457689</v>
      </c>
      <c r="H409" s="52">
        <f>ROUND(D409*G409,2)</f>
        <v/>
      </c>
      <c r="I409" s="52">
        <f>ROUND(SUM(F409,H409),2)</f>
        <v/>
      </c>
    </row>
    <row r="410" ht="15.75" customHeight="1">
      <c r="A410" s="15" t="n">
        <v>405</v>
      </c>
      <c r="B410" s="54" t="inlineStr">
        <is>
          <t>Демонтаж распаечных коробок</t>
        </is>
      </c>
      <c r="C410" s="56" t="inlineStr">
        <is>
          <t>шт.</t>
        </is>
      </c>
      <c r="D410" s="94" t="n">
        <v>16</v>
      </c>
      <c r="E410" s="52" t="n">
        <v>0</v>
      </c>
      <c r="F410" s="52">
        <f>ROUND(D410*E410,2)</f>
        <v/>
      </c>
      <c r="G410" s="52" t="n">
        <v>230.5660693980355</v>
      </c>
      <c r="H410" s="52">
        <f>ROUND(D410*G410,2)</f>
        <v/>
      </c>
      <c r="I410" s="52">
        <f>ROUND(SUM(F410,H410),2)</f>
        <v/>
      </c>
    </row>
    <row r="411" ht="15.75" customHeight="1">
      <c r="A411" s="15" t="n">
        <v>406</v>
      </c>
      <c r="B411" s="54" t="inlineStr">
        <is>
          <t>Демонтаж динамиков оповещения</t>
        </is>
      </c>
      <c r="C411" s="56" t="inlineStr">
        <is>
          <t>шт.</t>
        </is>
      </c>
      <c r="D411" s="94" t="n">
        <v>2</v>
      </c>
      <c r="E411" s="52" t="n">
        <v>0</v>
      </c>
      <c r="F411" s="52">
        <f>ROUND(D411*E411,2)</f>
        <v/>
      </c>
      <c r="G411" s="52" t="n">
        <v>823.5785123795987</v>
      </c>
      <c r="H411" s="52">
        <f>ROUND(D411*G411,2)</f>
        <v/>
      </c>
      <c r="I411" s="52">
        <f>ROUND(SUM(F411,H411),2)</f>
        <v/>
      </c>
    </row>
    <row r="412" ht="15.75" customHeight="1">
      <c r="A412" s="15" t="n">
        <v>407</v>
      </c>
      <c r="B412" s="54" t="inlineStr">
        <is>
          <t>Демонтаж  освежителей воздуха со стен</t>
        </is>
      </c>
      <c r="C412" s="56" t="inlineStr">
        <is>
          <t>шт.</t>
        </is>
      </c>
      <c r="D412" s="94" t="n">
        <v>2</v>
      </c>
      <c r="E412" s="52" t="n">
        <v>0</v>
      </c>
      <c r="F412" s="52">
        <f>ROUND(D412*E412,2)</f>
        <v/>
      </c>
      <c r="G412" s="52" t="n">
        <v>262.7134019318705</v>
      </c>
      <c r="H412" s="52">
        <f>ROUND(D412*G412,2)</f>
        <v/>
      </c>
      <c r="I412" s="52">
        <f>ROUND(SUM(F412,H412),2)</f>
        <v/>
      </c>
    </row>
    <row r="413" ht="15.75" customHeight="1">
      <c r="A413" s="15" t="n">
        <v>408</v>
      </c>
      <c r="B413" s="54" t="inlineStr">
        <is>
          <t>Демонтаж существующих водяных бойлеров</t>
        </is>
      </c>
      <c r="C413" s="56" t="inlineStr">
        <is>
          <t>шт.</t>
        </is>
      </c>
      <c r="D413" s="94" t="n">
        <v>2</v>
      </c>
      <c r="E413" s="52" t="n">
        <v>0</v>
      </c>
      <c r="F413" s="52">
        <f>ROUND(D413*E413,2)</f>
        <v/>
      </c>
      <c r="G413" s="52" t="n">
        <v>2353.081463941711</v>
      </c>
      <c r="H413" s="52">
        <f>ROUND(D413*G413,2)</f>
        <v/>
      </c>
      <c r="I413" s="52">
        <f>ROUND(SUM(F413,H413),2)</f>
        <v/>
      </c>
    </row>
    <row r="414" ht="15.75" customHeight="1">
      <c r="A414" s="15" t="n">
        <v>409</v>
      </c>
      <c r="B414" s="54" t="inlineStr">
        <is>
          <t>Демонтаж существующих бумагодержателей</t>
        </is>
      </c>
      <c r="C414" s="56" t="inlineStr">
        <is>
          <t>шт.</t>
        </is>
      </c>
      <c r="D414" s="94" t="n">
        <v>6</v>
      </c>
      <c r="E414" s="52" t="n">
        <v>0</v>
      </c>
      <c r="F414" s="52">
        <f>ROUND(D414*E414,2)</f>
        <v/>
      </c>
      <c r="G414" s="52" t="n">
        <v>262.7134019318705</v>
      </c>
      <c r="H414" s="52">
        <f>ROUND(D414*G414,2)</f>
        <v/>
      </c>
      <c r="I414" s="52">
        <f>ROUND(SUM(F414,H414),2)</f>
        <v/>
      </c>
    </row>
    <row r="415" ht="15.75" customHeight="1">
      <c r="A415" s="15" t="n">
        <v>410</v>
      </c>
      <c r="B415" s="54" t="inlineStr">
        <is>
          <t>Демонтаж существующих существующих настенных зеркал</t>
        </is>
      </c>
      <c r="C415" s="56" t="inlineStr">
        <is>
          <t>шт.</t>
        </is>
      </c>
      <c r="D415" s="94" t="n">
        <v>4</v>
      </c>
      <c r="E415" s="52" t="n">
        <v>0</v>
      </c>
      <c r="F415" s="52">
        <f>ROUND(D415*E415,2)</f>
        <v/>
      </c>
      <c r="G415" s="52" t="n">
        <v>459.7484533807733</v>
      </c>
      <c r="H415" s="52">
        <f>ROUND(D415*G415,2)</f>
        <v/>
      </c>
      <c r="I415" s="52">
        <f>ROUND(SUM(F415,H415),2)</f>
        <v/>
      </c>
    </row>
    <row r="416" ht="15.75" customHeight="1">
      <c r="A416" s="15" t="n">
        <v>411</v>
      </c>
      <c r="B416" s="58" t="inlineStr">
        <is>
          <t>Демонтаж существующих туалетных полочек</t>
        </is>
      </c>
      <c r="C416" s="63" t="inlineStr">
        <is>
          <t>шт.</t>
        </is>
      </c>
      <c r="D416" s="95" t="n">
        <v>6</v>
      </c>
      <c r="E416" s="52" t="n">
        <v>0</v>
      </c>
      <c r="F416" s="52">
        <f>ROUND(D416*E416,2)</f>
        <v/>
      </c>
      <c r="G416" s="52" t="n">
        <v>262.7134019318705</v>
      </c>
      <c r="H416" s="52">
        <f>ROUND(D416*G416,2)</f>
        <v/>
      </c>
      <c r="I416" s="52">
        <f>ROUND(SUM(F416,H416),2)</f>
        <v/>
      </c>
    </row>
    <row r="417" ht="15.75" customHeight="1">
      <c r="A417" s="15" t="n">
        <v>412</v>
      </c>
      <c r="B417" s="65" t="inlineStr">
        <is>
          <t>Демонтаж существующего люка в женском сан. Узле</t>
        </is>
      </c>
      <c r="C417" s="66" t="inlineStr">
        <is>
          <t>шт.</t>
        </is>
      </c>
      <c r="D417" s="97" t="n">
        <v>4</v>
      </c>
      <c r="E417" s="52" t="n">
        <v>0</v>
      </c>
      <c r="F417" s="52">
        <f>ROUND(D417*E417,2)</f>
        <v/>
      </c>
      <c r="G417" s="52" t="n">
        <v>1166.643896813129</v>
      </c>
      <c r="H417" s="52">
        <f>ROUND(D417*G417,2)</f>
        <v/>
      </c>
      <c r="I417" s="52">
        <f>ROUND(SUM(F417,H417),2)</f>
        <v/>
      </c>
    </row>
    <row r="418" ht="15.75" customHeight="1">
      <c r="A418" s="15" t="n">
        <v>413</v>
      </c>
      <c r="B418" s="58" t="inlineStr">
        <is>
          <t>Демонтаж телескопических алюм дверей</t>
        </is>
      </c>
      <c r="C418" s="66" t="inlineStr">
        <is>
          <t>шт.</t>
        </is>
      </c>
      <c r="D418" s="95" t="n">
        <v>4</v>
      </c>
      <c r="E418" s="52" t="n">
        <v>0</v>
      </c>
      <c r="F418" s="52">
        <f>ROUND(D418*E418,2)</f>
        <v/>
      </c>
      <c r="G418" s="52" t="n">
        <v>1346.709277613933</v>
      </c>
      <c r="H418" s="52">
        <f>ROUND(D418*G418,2)</f>
        <v/>
      </c>
      <c r="I418" s="52">
        <f>ROUND(SUM(F418,H418),2)</f>
        <v/>
      </c>
    </row>
    <row r="419" ht="45" customHeight="1">
      <c r="A419" s="15" t="n">
        <v>414</v>
      </c>
      <c r="B419" s="58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419" s="62" t="inlineStr">
        <is>
          <t>м2</t>
        </is>
      </c>
      <c r="D419" s="95" t="n">
        <v>30.15</v>
      </c>
      <c r="E419" s="52" t="n">
        <v>0</v>
      </c>
      <c r="F419" s="52">
        <f>ROUND(D419*E419,2)</f>
        <v/>
      </c>
      <c r="G419" s="52" t="n">
        <v>463.1152762397646</v>
      </c>
      <c r="H419" s="52">
        <f>ROUND(D419*G419,2)</f>
        <v/>
      </c>
      <c r="I419" s="52">
        <f>ROUND(SUM(F419,H419),2)</f>
        <v/>
      </c>
    </row>
    <row r="420">
      <c r="A420" s="15" t="n">
        <v>415</v>
      </c>
      <c r="B420" s="28" t="inlineStr">
        <is>
          <t>Раздел 2. Монтажные работы.</t>
        </is>
      </c>
      <c r="C420" s="67" t="n"/>
      <c r="D420" s="71" t="n"/>
      <c r="E420" s="15" t="n"/>
      <c r="F420" s="17" t="n"/>
      <c r="G420" s="13" t="n"/>
      <c r="H420" s="13" t="n"/>
      <c r="I420" s="13" t="n"/>
    </row>
    <row r="421" ht="15.75" customHeight="1">
      <c r="A421" s="15" t="n">
        <v>416</v>
      </c>
      <c r="B421" s="65" t="inlineStr">
        <is>
          <t>Устройство стяжки пола h=200мм</t>
        </is>
      </c>
      <c r="C421" s="67" t="inlineStr">
        <is>
          <t>м2</t>
        </is>
      </c>
      <c r="D421" s="67" t="n">
        <v>22.83</v>
      </c>
      <c r="E421" s="52" t="n">
        <v>3650.754138191594</v>
      </c>
      <c r="F421" s="52">
        <f>ROUND(D421*E421,2)</f>
        <v/>
      </c>
      <c r="G421" s="52" t="n">
        <v>3763.099275236907</v>
      </c>
      <c r="H421" s="52">
        <f>ROUND(D421*G421,2)</f>
        <v/>
      </c>
      <c r="I421" s="52">
        <f>ROUND(SUM(F421,H421),2)</f>
        <v/>
      </c>
    </row>
    <row r="422" ht="45" customHeight="1">
      <c r="A422" s="15" t="n">
        <v>417</v>
      </c>
      <c r="B422" s="64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422" s="62" t="inlineStr">
        <is>
          <t>м2</t>
        </is>
      </c>
      <c r="D422" s="62" t="n">
        <v>209.658</v>
      </c>
      <c r="E422" s="52" t="n">
        <v>1361.032094494925</v>
      </c>
      <c r="F422" s="52">
        <f>ROUND(D422*E422,2)</f>
        <v/>
      </c>
      <c r="G422" s="52" t="n">
        <v>2607.601033258546</v>
      </c>
      <c r="H422" s="52">
        <f>ROUND(D422*G422,2)</f>
        <v/>
      </c>
      <c r="I422" s="52">
        <f>ROUND(SUM(F422,H422),2)</f>
        <v/>
      </c>
    </row>
    <row r="423" ht="15.75" customHeight="1">
      <c r="A423" s="15" t="n">
        <v>418</v>
      </c>
      <c r="B423" s="65" t="inlineStr">
        <is>
          <t>Востановление стены после демонтажа люков 30х50см</t>
        </is>
      </c>
      <c r="C423" s="66" t="inlineStr">
        <is>
          <t>шт.</t>
        </is>
      </c>
      <c r="D423" s="66" t="n">
        <v>2</v>
      </c>
      <c r="E423" s="52" t="n">
        <v>0</v>
      </c>
      <c r="F423" s="52">
        <f>ROUND(D423*E423,2)</f>
        <v/>
      </c>
      <c r="G423" s="52" t="n">
        <v>2916.609742032823</v>
      </c>
      <c r="H423" s="52">
        <f>ROUND(D423*G423,2)</f>
        <v/>
      </c>
      <c r="I423" s="52">
        <f>ROUND(SUM(F423,H423),2)</f>
        <v/>
      </c>
    </row>
    <row r="424" ht="15.75" customHeight="1">
      <c r="A424" s="15" t="n">
        <v>419</v>
      </c>
      <c r="B424" s="65" t="inlineStr">
        <is>
          <t>Перенос и монтаж люка под плитку 1000х1000мм</t>
        </is>
      </c>
      <c r="C424" s="66" t="inlineStr">
        <is>
          <t>шт.</t>
        </is>
      </c>
      <c r="D424" s="66" t="n">
        <v>2</v>
      </c>
      <c r="E424" s="52" t="n">
        <v>11488.721342112</v>
      </c>
      <c r="F424" s="52">
        <f>ROUND(D424*E424,2)</f>
        <v/>
      </c>
      <c r="G424" s="52" t="n">
        <v>3807.926912457425</v>
      </c>
      <c r="H424" s="52">
        <f>ROUND(D424*G424,2)</f>
        <v/>
      </c>
      <c r="I424" s="52">
        <f>ROUND(SUM(F424,H424),2)</f>
        <v/>
      </c>
    </row>
    <row r="425" ht="15.75" customHeight="1">
      <c r="A425" s="15" t="n">
        <v>420</v>
      </c>
      <c r="B425" s="65" t="inlineStr">
        <is>
          <t>Устройство гидроизоляции</t>
        </is>
      </c>
      <c r="C425" s="67" t="inlineStr">
        <is>
          <t>м2</t>
        </is>
      </c>
      <c r="D425" s="67" t="n">
        <v>59</v>
      </c>
      <c r="E425" s="52" t="n">
        <v>442.3156016076</v>
      </c>
      <c r="F425" s="52">
        <f>ROUND(D425*E425,2)</f>
        <v/>
      </c>
      <c r="G425" s="52" t="n">
        <v>706.1086389192636</v>
      </c>
      <c r="H425" s="52">
        <f>ROUND(D425*G425,2)</f>
        <v/>
      </c>
      <c r="I425" s="52">
        <f>ROUND(SUM(F425,H425),2)</f>
        <v/>
      </c>
    </row>
    <row r="426" ht="45" customHeight="1">
      <c r="A426" s="15" t="n">
        <v>421</v>
      </c>
      <c r="B426" s="65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426" s="67" t="inlineStr">
        <is>
          <t>м2</t>
        </is>
      </c>
      <c r="D426" s="67" t="n">
        <v>24</v>
      </c>
      <c r="E426" s="52" t="n">
        <v>1196.7213</v>
      </c>
      <c r="F426" s="52">
        <f>ROUND(D426*E426,2)</f>
        <v/>
      </c>
      <c r="G426" s="52" t="n">
        <v>1239.587057393498</v>
      </c>
      <c r="H426" s="52">
        <f>ROUND(D426*G426,2)</f>
        <v/>
      </c>
      <c r="I426" s="52">
        <f>ROUND(SUM(F426,H426),2)</f>
        <v/>
      </c>
    </row>
    <row r="427" ht="15.75" customHeight="1">
      <c r="A427" s="15" t="n">
        <v>422</v>
      </c>
      <c r="B427" s="65" t="inlineStr">
        <is>
          <t>Чернение потолка и коммуникаций RAL 7026</t>
        </is>
      </c>
      <c r="C427" s="67" t="inlineStr">
        <is>
          <t>м2</t>
        </is>
      </c>
      <c r="D427" s="67" t="n">
        <v>24</v>
      </c>
      <c r="E427" s="52" t="n">
        <v>184.96839823686</v>
      </c>
      <c r="F427" s="52">
        <f>ROUND(D427*E427,2)</f>
        <v/>
      </c>
      <c r="G427" s="52" t="n">
        <v>377.3398992589209</v>
      </c>
      <c r="H427" s="52">
        <f>ROUND(D427*G427,2)</f>
        <v/>
      </c>
      <c r="I427" s="52">
        <f>ROUND(SUM(F427,H427),2)</f>
        <v/>
      </c>
    </row>
    <row r="428" ht="15.75" customHeight="1">
      <c r="A428" s="15" t="n">
        <v>423</v>
      </c>
      <c r="B428" s="57" t="inlineStr">
        <is>
          <t>Окраска фриза RAL 7026</t>
        </is>
      </c>
      <c r="C428" s="15" t="inlineStr">
        <is>
          <t>м2</t>
        </is>
      </c>
      <c r="D428" s="15" t="n">
        <v>33.82</v>
      </c>
      <c r="E428" s="52" t="n">
        <v>160.84208489013</v>
      </c>
      <c r="F428" s="52">
        <f>ROUND(D428*E428,2)</f>
        <v/>
      </c>
      <c r="G428" s="52" t="n">
        <v>451.0086387490006</v>
      </c>
      <c r="H428" s="52">
        <f>ROUND(D428*G428,2)</f>
        <v/>
      </c>
      <c r="I428" s="52">
        <f>ROUND(SUM(F428,H428),2)</f>
        <v/>
      </c>
    </row>
    <row r="429" ht="30" customHeight="1">
      <c r="A429" s="15" t="n">
        <v>424</v>
      </c>
      <c r="B429" s="57" t="inlineStr">
        <is>
          <t>Устройство напольного покрытия Керамогранит светло-серый 60х60 Матовый Карвинг 59,50x59,50</t>
        </is>
      </c>
      <c r="C429" s="15" t="inlineStr">
        <is>
          <t>м2</t>
        </is>
      </c>
      <c r="D429" s="15" t="n">
        <v>23.04</v>
      </c>
      <c r="E429" s="52" t="n">
        <v>2213.23820148465</v>
      </c>
      <c r="F429" s="52">
        <f>ROUND(D429*E429,2)</f>
        <v/>
      </c>
      <c r="G429" s="52" t="n">
        <v>3051.150486403696</v>
      </c>
      <c r="H429" s="52">
        <f>ROUND(D429*G429,2)</f>
        <v/>
      </c>
      <c r="I429" s="52">
        <f>ROUND(SUM(F429,H429),2)</f>
        <v/>
      </c>
    </row>
    <row r="430" ht="30" customHeight="1">
      <c r="A430" s="15" t="n">
        <v>425</v>
      </c>
      <c r="B430" s="57" t="inlineStr">
        <is>
          <t>Облицовка стен керамогранитом светло-серый 59,5х119,01, Матовый Карвинг 59,5х119,01 Evolution Smoke</t>
        </is>
      </c>
      <c r="C430" s="15" t="inlineStr">
        <is>
          <t>м2</t>
        </is>
      </c>
      <c r="D430" s="18" t="n">
        <v>104.44</v>
      </c>
      <c r="E430" s="52" t="n">
        <v>2222.661196699863</v>
      </c>
      <c r="F430" s="52">
        <f>ROUND(D430*E430,2)</f>
        <v/>
      </c>
      <c r="G430" s="52" t="n">
        <v>3180.984833770257</v>
      </c>
      <c r="H430" s="52">
        <f>ROUND(D430*G430,2)</f>
        <v/>
      </c>
      <c r="I430" s="52">
        <f>ROUND(SUM(F430,H430),2)</f>
        <v/>
      </c>
    </row>
    <row r="431" ht="30" customHeight="1">
      <c r="A431" s="15" t="n">
        <v>426</v>
      </c>
      <c r="B431" s="57" t="inlineStr">
        <is>
          <t>Облицовка стен керамогранитом светло-серый 59,5х119,01, Матовый Карвинг 59,5х119,01Nord Gris</t>
        </is>
      </c>
      <c r="C431" s="15" t="inlineStr">
        <is>
          <t>м2</t>
        </is>
      </c>
      <c r="D431" s="18" t="n">
        <v>25.99</v>
      </c>
      <c r="E431" s="52" t="n">
        <v>2222.661196699863</v>
      </c>
      <c r="F431" s="52">
        <f>ROUND(D431*E431,2)</f>
        <v/>
      </c>
      <c r="G431" s="52" t="n">
        <v>3180.984833770257</v>
      </c>
      <c r="H431" s="52">
        <f>ROUND(D431*G431,2)</f>
        <v/>
      </c>
      <c r="I431" s="52">
        <f>ROUND(SUM(F431,H431),2)</f>
        <v/>
      </c>
    </row>
    <row r="432" ht="30" customHeight="1">
      <c r="A432" s="15" t="n">
        <v>427</v>
      </c>
      <c r="B432" s="57" t="inlineStr">
        <is>
          <t>Монтаж светильника подвесного SP-POLO-R85-2-15W Day White 40deg теплый белый 3000К, (Black, Black Ring) (Arlight, IP20), 230D</t>
        </is>
      </c>
      <c r="C432" s="15" t="inlineStr">
        <is>
          <t>шт</t>
        </is>
      </c>
      <c r="D432" s="94" t="n">
        <v>27</v>
      </c>
      <c r="E432" s="52" t="n">
        <v>7913.8934</v>
      </c>
      <c r="F432" s="52">
        <f>ROUND(D432*E432,2)</f>
        <v/>
      </c>
      <c r="G432" s="52" t="n">
        <v>3609.000970777563</v>
      </c>
      <c r="H432" s="52">
        <f>ROUND(D432*G432,2)</f>
        <v/>
      </c>
      <c r="I432" s="52">
        <f>ROUND(SUM(F432,H432),2)</f>
        <v/>
      </c>
    </row>
    <row r="433" ht="60" customHeight="1">
      <c r="A433" s="15" t="n">
        <v>428</v>
      </c>
      <c r="B433" s="57" t="inlineStr">
        <is>
          <t>Монтаж встраиваемого светодиодного светильника OKKO IP54/IP20 13 WH
Светильник SP-JEDI-HANG-R18-6W Warm3000 (BK, 360 deg, 230V)
(Arlight, IP20 Пластик</t>
        </is>
      </c>
      <c r="C433" s="15" t="inlineStr">
        <is>
          <t>шт</t>
        </is>
      </c>
      <c r="D433" s="94" t="n">
        <v>12</v>
      </c>
      <c r="E433" s="52" t="n">
        <v>7453.721229457388</v>
      </c>
      <c r="F433" s="52">
        <f>ROUND(D433*E433,2)</f>
        <v/>
      </c>
      <c r="G433" s="52" t="n">
        <v>3214.625726855305</v>
      </c>
      <c r="H433" s="52">
        <f>ROUND(D433*G433,2)</f>
        <v/>
      </c>
      <c r="I433" s="52">
        <f>ROUND(SUM(F433,H433),2)</f>
        <v/>
      </c>
    </row>
    <row r="434" ht="15.75" customHeight="1">
      <c r="A434" s="15" t="n">
        <v>429</v>
      </c>
      <c r="B434" s="57" t="inlineStr">
        <is>
          <t>Монтаж существующей музыкальной колонки</t>
        </is>
      </c>
      <c r="C434" s="15" t="inlineStr">
        <is>
          <t>шт</t>
        </is>
      </c>
      <c r="D434" s="60" t="n">
        <v>2</v>
      </c>
      <c r="E434" s="52" t="n">
        <v>0</v>
      </c>
      <c r="F434" s="52">
        <f>ROUND(D434*E434,2)</f>
        <v/>
      </c>
      <c r="G434" s="52" t="n">
        <v>1411.848878365026</v>
      </c>
      <c r="H434" s="52">
        <f>ROUND(D434*G434,2)</f>
        <v/>
      </c>
      <c r="I434" s="52">
        <f>ROUND(SUM(F434,H434),2)</f>
        <v/>
      </c>
    </row>
    <row r="435" ht="15.75" customHeight="1">
      <c r="A435" s="15" t="n">
        <v>430</v>
      </c>
      <c r="B435" s="57" t="inlineStr">
        <is>
          <t>Монтаж диффузоров</t>
        </is>
      </c>
      <c r="C435" s="15" t="inlineStr">
        <is>
          <t>шт</t>
        </is>
      </c>
      <c r="D435" s="18" t="n">
        <v>6</v>
      </c>
      <c r="E435" s="52" t="n">
        <v>1238.627820067312</v>
      </c>
      <c r="F435" s="52">
        <f>ROUND(D435*E435,2)</f>
        <v/>
      </c>
      <c r="G435" s="52" t="n">
        <v>1200.283269440882</v>
      </c>
      <c r="H435" s="52">
        <f>ROUND(D435*G435,2)</f>
        <v/>
      </c>
      <c r="I435" s="52">
        <f>ROUND(SUM(F435,H435),2)</f>
        <v/>
      </c>
    </row>
    <row r="436" ht="45" customHeight="1">
      <c r="A436" s="15" t="n">
        <v>431</v>
      </c>
      <c r="B436" s="65" t="inlineStr">
        <is>
          <t>Монтаж дверных блоков 2Л 2000х700.
Монтаж деревянных дверей  из ЛДСП в телескопической алюминиевой коробке в проем, замок WC Свободно/занято</t>
        </is>
      </c>
      <c r="C436" s="67" t="inlineStr">
        <is>
          <t>шт</t>
        </is>
      </c>
      <c r="D436" s="68" t="n">
        <v>2</v>
      </c>
      <c r="E436" s="52" t="n">
        <v>14360.90167764</v>
      </c>
      <c r="F436" s="52">
        <f>ROUND(D436*E436,2)</f>
        <v/>
      </c>
      <c r="G436" s="52" t="n">
        <v>9911.798466495968</v>
      </c>
      <c r="H436" s="52">
        <f>ROUND(D436*G436,2)</f>
        <v/>
      </c>
      <c r="I436" s="52">
        <f>ROUND(SUM(F436,H436),2)</f>
        <v/>
      </c>
    </row>
    <row r="437" ht="45" customHeight="1">
      <c r="A437" s="15" t="n">
        <v>432</v>
      </c>
      <c r="B437" s="65" t="inlineStr">
        <is>
          <t>Монтаж дверные блоков 2П 2000х700.
Монтаж деревянных дверей  из ЛДСП в телескопической алюминиевой коробке в проем,  замок WC Свободно/занято</t>
        </is>
      </c>
      <c r="C437" s="67" t="inlineStr">
        <is>
          <t>шт</t>
        </is>
      </c>
      <c r="D437" s="68" t="n">
        <v>4</v>
      </c>
      <c r="E437" s="52" t="n">
        <v>14360.90167764</v>
      </c>
      <c r="F437" s="52">
        <f>ROUND(D437*E437,2)</f>
        <v/>
      </c>
      <c r="G437" s="52" t="n">
        <v>9911.798466495968</v>
      </c>
      <c r="H437" s="52">
        <f>ROUND(D437*G437,2)</f>
        <v/>
      </c>
      <c r="I437" s="52">
        <f>ROUND(SUM(F437,H437),2)</f>
        <v/>
      </c>
    </row>
    <row r="438" ht="60" customHeight="1">
      <c r="A438" s="15" t="n">
        <v>433</v>
      </c>
      <c r="B438" s="65" t="inlineStr">
        <is>
          <t>Монтаж дверных блоков 1Л 2000х800.
Монтаж деревянных дверей  из ЛДСП, в телескопической алюминиевой коробке в проем, доводчик для автоматического закрывания.</t>
        </is>
      </c>
      <c r="C438" s="67" t="inlineStr">
        <is>
          <t>шт</t>
        </is>
      </c>
      <c r="D438" s="68" t="n">
        <v>2</v>
      </c>
      <c r="E438" s="52" t="n">
        <v>16467.167264814</v>
      </c>
      <c r="F438" s="52">
        <f>ROUND(D438*E438,2)</f>
        <v/>
      </c>
      <c r="G438" s="52" t="n">
        <v>10387.33623538618</v>
      </c>
      <c r="H438" s="52">
        <f>ROUND(D438*G438,2)</f>
        <v/>
      </c>
      <c r="I438" s="52">
        <f>ROUND(SUM(F438,H438),2)</f>
        <v/>
      </c>
    </row>
    <row r="439" ht="45" customHeight="1">
      <c r="A439" s="15" t="n">
        <v>434</v>
      </c>
      <c r="B439" s="64" t="inlineStr">
        <is>
          <t>Устройство  столешниц Иск. камень,
LG Hi-macs G503 NIGHT STELLA, - 20 мм
Мет. труба, - 40 мм</t>
        </is>
      </c>
      <c r="C439" s="67" t="inlineStr">
        <is>
          <t>шт</t>
        </is>
      </c>
      <c r="D439" s="68" t="n">
        <v>2</v>
      </c>
      <c r="E439" s="52" t="n">
        <v>33508.77050329201</v>
      </c>
      <c r="F439" s="52">
        <f>ROUND(D439*E439,2)</f>
        <v/>
      </c>
      <c r="G439" s="52" t="n">
        <v>16145.48096511602</v>
      </c>
      <c r="H439" s="52">
        <f>ROUND(D439*G439,2)</f>
        <v/>
      </c>
      <c r="I439" s="52">
        <f>ROUND(SUM(F439,H439),2)</f>
        <v/>
      </c>
    </row>
    <row r="440" ht="15.75" customHeight="1">
      <c r="A440" s="15" t="n">
        <v>435</v>
      </c>
      <c r="B440" s="64" t="inlineStr">
        <is>
          <t xml:space="preserve">Монтаж подвесных писуаров </t>
        </is>
      </c>
      <c r="C440" s="67" t="inlineStr">
        <is>
          <t>шт</t>
        </is>
      </c>
      <c r="D440" s="68" t="n">
        <v>3</v>
      </c>
      <c r="E440" s="52" t="n">
        <v>13585.41290295</v>
      </c>
      <c r="F440" s="52">
        <f>ROUND(D440*E440,2)</f>
        <v/>
      </c>
      <c r="G440" s="52" t="n">
        <v>6401.837371901934</v>
      </c>
      <c r="H440" s="52">
        <f>ROUND(D440*G440,2)</f>
        <v/>
      </c>
      <c r="I440" s="52">
        <f>ROUND(SUM(F440,H440),2)</f>
        <v/>
      </c>
    </row>
    <row r="441" ht="30" customHeight="1">
      <c r="A441" s="15" t="n">
        <v>436</v>
      </c>
      <c r="B441" s="64" t="inlineStr">
        <is>
          <t>Унитаз-компакт AM.PM Crave Flash Clean универсальный выпуск
двойной слив. Сиденье с микролифтом</t>
        </is>
      </c>
      <c r="C441" s="67" t="inlineStr">
        <is>
          <t>шт</t>
        </is>
      </c>
      <c r="D441" s="68" t="n">
        <v>6</v>
      </c>
      <c r="E441" s="52" t="n">
        <v>18956.390167764</v>
      </c>
      <c r="F441" s="52">
        <f>ROUND(D441*E441,2)</f>
        <v/>
      </c>
      <c r="G441" s="52" t="n">
        <v>8014.654209354573</v>
      </c>
      <c r="H441" s="52">
        <f>ROUND(D441*G441,2)</f>
        <v/>
      </c>
      <c r="I441" s="52">
        <f>ROUND(SUM(F441,H441),2)</f>
        <v/>
      </c>
    </row>
    <row r="442" ht="15.75" customHeight="1">
      <c r="A442" s="15" t="n">
        <v>437</v>
      </c>
      <c r="B442" s="64" t="inlineStr">
        <is>
          <t>Раковина Cersanit Moduo 40 Ring с подстольем 40 см</t>
        </is>
      </c>
      <c r="C442" s="67" t="inlineStr">
        <is>
          <t>комп</t>
        </is>
      </c>
      <c r="D442" s="68" t="n">
        <v>4</v>
      </c>
      <c r="E442" s="52" t="n">
        <v>7295.338103634</v>
      </c>
      <c r="F442" s="52">
        <f>ROUND(D442*E442,2)</f>
        <v/>
      </c>
      <c r="G442" s="52" t="n">
        <v>4048.005128082581</v>
      </c>
      <c r="H442" s="52">
        <f>ROUND(D442*G442,2)</f>
        <v/>
      </c>
      <c r="I442" s="52">
        <f>ROUND(SUM(F442,H442),2)</f>
        <v/>
      </c>
    </row>
    <row r="443" ht="15.75" customHeight="1">
      <c r="A443" s="15" t="n">
        <v>438</v>
      </c>
      <c r="B443" s="72" t="inlineStr">
        <is>
          <t>Напольная раковина CeruttiSpa Dorris CT7830 430x360x830</t>
        </is>
      </c>
      <c r="C443" s="15" t="inlineStr">
        <is>
          <t>шт</t>
        </is>
      </c>
      <c r="D443" s="18" t="n">
        <v>4</v>
      </c>
      <c r="E443" s="52" t="n">
        <v>18094.736090466</v>
      </c>
      <c r="F443" s="52">
        <f>ROUND(D443*E443,2)</f>
        <v/>
      </c>
      <c r="G443" s="52" t="n">
        <v>6486.216935410227</v>
      </c>
      <c r="H443" s="52">
        <f>ROUND(D443*G443,2)</f>
        <v/>
      </c>
      <c r="I443" s="52">
        <f>ROUND(SUM(F443,H443),2)</f>
        <v/>
      </c>
    </row>
    <row r="444" ht="30" customHeight="1">
      <c r="A444" s="15" t="n">
        <v>439</v>
      </c>
      <c r="B444" s="72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444" s="15" t="inlineStr">
        <is>
          <t>шт</t>
        </is>
      </c>
      <c r="D444" s="18" t="n">
        <v>4</v>
      </c>
      <c r="E444" s="52" t="n">
        <v>7471.881327158641</v>
      </c>
      <c r="F444" s="52">
        <f>ROUND(D444*E444,2)</f>
        <v/>
      </c>
      <c r="G444" s="52" t="n">
        <v>3287.730687613305</v>
      </c>
      <c r="H444" s="52">
        <f>ROUND(D444*G444,2)</f>
        <v/>
      </c>
      <c r="I444" s="52">
        <f>ROUND(SUM(F444,H444),2)</f>
        <v/>
      </c>
    </row>
    <row r="445" ht="45" customHeight="1">
      <c r="A445" s="15" t="n">
        <v>440</v>
      </c>
      <c r="B445" s="72" t="inlineStr">
        <is>
          <t>Смеситель для раковины Cersanit Brasko 63024 однорычажный
высокий цвет хром, предусмотреть установку обратных клапанов на ГВС и ХВС.</t>
        </is>
      </c>
      <c r="C445" s="15" t="inlineStr">
        <is>
          <t>шт</t>
        </is>
      </c>
      <c r="D445" s="18" t="n">
        <v>4</v>
      </c>
      <c r="E445" s="52" t="n">
        <v>9082.13355315264</v>
      </c>
      <c r="F445" s="52">
        <f>ROUND(D445*E445,2)</f>
        <v/>
      </c>
      <c r="G445" s="52" t="n">
        <v>3747.273105231152</v>
      </c>
      <c r="H445" s="52">
        <f>ROUND(D445*G445,2)</f>
        <v/>
      </c>
      <c r="I445" s="52">
        <f>ROUND(SUM(F445,H445),2)</f>
        <v/>
      </c>
    </row>
    <row r="446" ht="15.75" customHeight="1">
      <c r="A446" s="15" t="n">
        <v>441</v>
      </c>
      <c r="B446" s="27" t="inlineStr">
        <is>
          <t>Гигиенический душ Olive'S Balear 13141BLB со смесителем</t>
        </is>
      </c>
      <c r="C446" s="15" t="inlineStr">
        <is>
          <t>шт</t>
        </is>
      </c>
      <c r="D446" s="18" t="n">
        <v>5</v>
      </c>
      <c r="E446" s="52" t="n">
        <v>5256.09</v>
      </c>
      <c r="F446" s="52">
        <f>ROUND(D446*E446,2)</f>
        <v/>
      </c>
      <c r="G446" s="52" t="n">
        <v>3187.402570491844</v>
      </c>
      <c r="H446" s="52">
        <f>ROUND(D446*G446,2)</f>
        <v/>
      </c>
      <c r="I446" s="52">
        <f>ROUND(SUM(F446,H446),2)</f>
        <v/>
      </c>
    </row>
    <row r="447" ht="15.75" customHeight="1">
      <c r="A447" s="15" t="n">
        <v>442</v>
      </c>
      <c r="B447" s="7" t="inlineStr">
        <is>
          <t>Монтаж сантехнических аксессуаров:</t>
        </is>
      </c>
      <c r="C447" s="15" t="inlineStr">
        <is>
          <t>комп</t>
        </is>
      </c>
      <c r="D447" s="18" t="n"/>
      <c r="E447" s="52" t="n"/>
      <c r="F447" s="52" t="n"/>
      <c r="G447" s="52" t="n"/>
      <c r="H447" s="52" t="n"/>
      <c r="I447" s="52" t="n"/>
    </row>
    <row r="448" ht="15.75" customHeight="1">
      <c r="A448" s="15" t="n">
        <v>443</v>
      </c>
      <c r="B448" s="7" t="inlineStr">
        <is>
          <t xml:space="preserve">Зеркало с подсветкой с прозрачным кантом </t>
        </is>
      </c>
      <c r="C448" s="15" t="inlineStr">
        <is>
          <t>шт</t>
        </is>
      </c>
      <c r="D448" s="18" t="n">
        <v>8</v>
      </c>
      <c r="E448" s="52" t="n">
        <v>5048.3607</v>
      </c>
      <c r="F448" s="52">
        <f>ROUND(D448*E448,2)</f>
        <v/>
      </c>
      <c r="G448" s="52" t="n">
        <v>2303.492849906005</v>
      </c>
      <c r="H448" s="52">
        <f>ROUND(D448*G448,2)</f>
        <v/>
      </c>
      <c r="I448" s="52">
        <f>ROUND(SUM(F448,H448),2)</f>
        <v/>
      </c>
    </row>
    <row r="449" ht="45" customHeight="1">
      <c r="A449" s="15" t="n">
        <v>444</v>
      </c>
      <c r="B449" s="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449" s="15" t="inlineStr">
        <is>
          <t>м</t>
        </is>
      </c>
      <c r="D449" s="18" t="n">
        <v>60</v>
      </c>
      <c r="E449" s="52" t="n">
        <v>92.02159603728001</v>
      </c>
      <c r="F449" s="52">
        <f>ROUND(D449*E449,2)</f>
        <v/>
      </c>
      <c r="G449" s="52" t="n">
        <v>334.1070507051873</v>
      </c>
      <c r="H449" s="52">
        <f>ROUND(D449*G449,2)</f>
        <v/>
      </c>
      <c r="I449" s="52">
        <f>ROUND(SUM(F449,H449),2)</f>
        <v/>
      </c>
    </row>
    <row r="450" ht="33" customHeight="1">
      <c r="A450" s="15" t="n">
        <v>445</v>
      </c>
      <c r="B450" s="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450" s="15" t="inlineStr">
        <is>
          <t>м</t>
        </is>
      </c>
      <c r="D450" s="18" t="n">
        <v>20</v>
      </c>
      <c r="E450" s="52" t="n">
        <v>112.12685511552</v>
      </c>
      <c r="F450" s="52">
        <f>ROUND(D450*E450,2)</f>
        <v/>
      </c>
      <c r="G450" s="52" t="n">
        <v>970.3651152701751</v>
      </c>
      <c r="H450" s="52">
        <f>ROUND(D450*G450,2)</f>
        <v/>
      </c>
      <c r="I450" s="52">
        <f>ROUND(SUM(F450,H450),2)</f>
        <v/>
      </c>
    </row>
    <row r="451" ht="15.75" customHeight="1">
      <c r="A451" s="15" t="n">
        <v>446</v>
      </c>
      <c r="B451" s="7" t="inlineStr">
        <is>
          <t>Монтаж КУП</t>
        </is>
      </c>
      <c r="C451" s="15" t="inlineStr">
        <is>
          <t>шт.</t>
        </is>
      </c>
      <c r="D451" s="18" t="n">
        <v>2</v>
      </c>
      <c r="E451" s="52" t="n">
        <v>918.6189791877001</v>
      </c>
      <c r="F451" s="52">
        <f>ROUND(D451*E451,2)</f>
        <v/>
      </c>
      <c r="G451" s="52" t="n">
        <v>614.1423662764341</v>
      </c>
      <c r="H451" s="52">
        <f>ROUND(D451*G451,2)</f>
        <v/>
      </c>
      <c r="I451" s="52">
        <f>ROUND(SUM(F451,H451),2)</f>
        <v/>
      </c>
    </row>
    <row r="452" ht="15.75" customHeight="1">
      <c r="A452" s="15" t="n">
        <v>447</v>
      </c>
      <c r="B452" s="13" t="inlineStr">
        <is>
          <t>Прокладка провода ПуГПнг(А)-HF 1х6 мм.кв.</t>
        </is>
      </c>
      <c r="C452" s="15" t="inlineStr">
        <is>
          <t>м</t>
        </is>
      </c>
      <c r="D452" s="18" t="n">
        <v>20</v>
      </c>
      <c r="E452" s="52" t="n">
        <v>84.63354249168002</v>
      </c>
      <c r="F452" s="52">
        <f>ROUND(D452*E452,2)</f>
        <v/>
      </c>
      <c r="G452" s="52" t="n">
        <v>320.3756441224579</v>
      </c>
      <c r="H452" s="52">
        <f>ROUND(D452*G452,2)</f>
        <v/>
      </c>
      <c r="I452" s="52">
        <f>ROUND(SUM(F452,H452),2)</f>
        <v/>
      </c>
    </row>
    <row r="453" ht="13.5" customHeight="1">
      <c r="A453" s="15" t="n">
        <v>448</v>
      </c>
      <c r="B453" s="14" t="inlineStr">
        <is>
          <t>Присоединение к зажимам жил проводов или кабелей сечением до 2,5 мм²</t>
        </is>
      </c>
      <c r="C453" s="15" t="inlineStr">
        <is>
          <t>шт.</t>
        </is>
      </c>
      <c r="D453" s="18" t="n">
        <v>100</v>
      </c>
      <c r="E453" s="52" t="n">
        <v>0</v>
      </c>
      <c r="F453" s="52">
        <f>ROUND(D453*E453,2)</f>
        <v/>
      </c>
      <c r="G453" s="52" t="n">
        <v>80.83276616230575</v>
      </c>
      <c r="H453" s="52">
        <f>ROUND(D453*G453,2)</f>
        <v/>
      </c>
      <c r="I453" s="52">
        <f>ROUND(SUM(F453,H453),2)</f>
        <v/>
      </c>
    </row>
    <row r="454" ht="11.25" customHeight="1">
      <c r="A454" s="15" t="n">
        <v>449</v>
      </c>
      <c r="B454" s="74" t="inlineStr">
        <is>
          <t>Присоединение к зажимам жил проводов или кабелей сечением до 6 мм²</t>
        </is>
      </c>
      <c r="C454" s="67" t="inlineStr">
        <is>
          <t>шт.</t>
        </is>
      </c>
      <c r="D454" s="68" t="n">
        <v>100</v>
      </c>
      <c r="E454" s="52" t="n">
        <v>0</v>
      </c>
      <c r="F454" s="52">
        <f>ROUND(D454*E454,2)</f>
        <v/>
      </c>
      <c r="G454" s="52" t="n">
        <v>109.9595342241365</v>
      </c>
      <c r="H454" s="52">
        <f>ROUND(D454*G454,2)</f>
        <v/>
      </c>
      <c r="I454" s="52">
        <f>ROUND(SUM(F454,H454),2)</f>
        <v/>
      </c>
    </row>
    <row r="455" ht="15.75" customHeight="1">
      <c r="A455" s="15" t="n">
        <v>450</v>
      </c>
      <c r="B455" s="75" t="inlineStr">
        <is>
          <t>Пусконаладочные работы</t>
        </is>
      </c>
      <c r="C455" s="67" t="inlineStr">
        <is>
          <t>компл.</t>
        </is>
      </c>
      <c r="D455" s="68" t="n">
        <v>1</v>
      </c>
      <c r="E455" s="52" t="n">
        <v>0</v>
      </c>
      <c r="F455" s="52">
        <f>ROUND(D455*E455,2)</f>
        <v/>
      </c>
      <c r="G455" s="52" t="n">
        <v>15036.25001159667</v>
      </c>
      <c r="H455" s="52">
        <f>ROUND(D455*G455,2)</f>
        <v/>
      </c>
      <c r="I455" s="52">
        <f>ROUND(SUM(F455,H455),2)</f>
        <v/>
      </c>
    </row>
    <row r="456" ht="15.75" customHeight="1">
      <c r="A456" s="15" t="n">
        <v>451</v>
      </c>
      <c r="B456" s="75" t="inlineStr">
        <is>
          <t>Монтаж распаечных коробок</t>
        </is>
      </c>
      <c r="C456" s="67" t="inlineStr">
        <is>
          <t>шт</t>
        </is>
      </c>
      <c r="D456" s="68" t="n">
        <v>38</v>
      </c>
      <c r="E456" s="52" t="n">
        <v>53.18324441640001</v>
      </c>
      <c r="F456" s="52">
        <f>ROUND(D456*E456,2)</f>
        <v/>
      </c>
      <c r="G456" s="52" t="n">
        <v>641.1219285959296</v>
      </c>
      <c r="H456" s="52">
        <f>ROUND(D456*G456,2)</f>
        <v/>
      </c>
      <c r="I456" s="52">
        <f>ROUND(SUM(F456,H456),2)</f>
        <v/>
      </c>
    </row>
    <row r="457" ht="15.75" customHeight="1">
      <c r="A457" s="15" t="n">
        <v>452</v>
      </c>
      <c r="B457" s="75" t="inlineStr">
        <is>
          <t>Покраска стены</t>
        </is>
      </c>
      <c r="C457" s="67" t="inlineStr">
        <is>
          <t>м2</t>
        </is>
      </c>
      <c r="D457" s="68" t="n">
        <v>18.62</v>
      </c>
      <c r="E457" s="52" t="n">
        <v>160.84208489013</v>
      </c>
      <c r="F457" s="52">
        <f>ROUND(D457*E457,2)</f>
        <v/>
      </c>
      <c r="G457" s="52" t="n">
        <v>451.0086387490006</v>
      </c>
      <c r="H457" s="52">
        <f>ROUND(D457*G457,2)</f>
        <v/>
      </c>
      <c r="I457" s="52">
        <f>ROUND(SUM(F457,H457),2)</f>
        <v/>
      </c>
    </row>
    <row r="458" ht="15.75" customHeight="1">
      <c r="A458" s="15" t="n">
        <v>453</v>
      </c>
      <c r="B458" s="76" t="inlineStr">
        <is>
          <t>Выключатель двухклавишный</t>
        </is>
      </c>
      <c r="C458" s="67" t="inlineStr">
        <is>
          <t>шт</t>
        </is>
      </c>
      <c r="D458" s="68" t="n">
        <v>1</v>
      </c>
      <c r="E458" s="52" t="n">
        <v>338.43852781704</v>
      </c>
      <c r="F458" s="52">
        <f>ROUND(D458*E458,2)</f>
        <v/>
      </c>
      <c r="G458" s="52" t="n">
        <v>656.3663918054848</v>
      </c>
      <c r="H458" s="52">
        <f>ROUND(D458*G458,2)</f>
        <v/>
      </c>
      <c r="I458" s="52">
        <f>ROUND(SUM(F458,H458),2)</f>
        <v/>
      </c>
    </row>
    <row r="459">
      <c r="A459" s="15" t="n">
        <v>454</v>
      </c>
      <c r="B459" s="29" t="inlineStr">
        <is>
          <t>Раздел 3. Сантехнические работы</t>
        </is>
      </c>
      <c r="C459" s="15" t="n"/>
      <c r="D459" s="15" t="n"/>
      <c r="E459" s="15" t="n"/>
      <c r="F459" s="17" t="n"/>
      <c r="G459" s="13" t="n"/>
      <c r="H459" s="13" t="n"/>
      <c r="I459" s="13" t="n"/>
    </row>
    <row r="460" ht="15.75" customHeight="1">
      <c r="A460" s="15" t="n">
        <v>455</v>
      </c>
      <c r="B460" s="58" t="inlineStr">
        <is>
          <t>Прокладка канализационного трубопровода, d=50мм</t>
        </is>
      </c>
      <c r="C460" s="15" t="inlineStr">
        <is>
          <t>м</t>
        </is>
      </c>
      <c r="D460" s="67" t="n">
        <v>30</v>
      </c>
      <c r="E460" s="52" t="n">
        <v>207.10334552544</v>
      </c>
      <c r="F460" s="52">
        <f>ROUND(D460*E460,2)</f>
        <v/>
      </c>
      <c r="G460" s="52" t="n">
        <v>647.5516149375146</v>
      </c>
      <c r="H460" s="52">
        <f>ROUND(D460*G460,2)</f>
        <v/>
      </c>
      <c r="I460" s="52">
        <f>ROUND(SUM(F460,H460),2)</f>
        <v/>
      </c>
    </row>
    <row r="461" ht="15.75" customHeight="1">
      <c r="A461" s="15" t="n">
        <v>456</v>
      </c>
      <c r="B461" s="58" t="inlineStr">
        <is>
          <t>Покладка канализационного трубопровода, d=110мм</t>
        </is>
      </c>
      <c r="C461" s="15" t="inlineStr">
        <is>
          <t>м</t>
        </is>
      </c>
      <c r="D461" s="67" t="n">
        <v>26</v>
      </c>
      <c r="E461" s="52" t="n">
        <v>491.8704152544</v>
      </c>
      <c r="F461" s="52">
        <f>ROUND(D461*E461,2)</f>
        <v/>
      </c>
      <c r="G461" s="52" t="n">
        <v>911.442074203041</v>
      </c>
      <c r="H461" s="52">
        <f>ROUND(D461*G461,2)</f>
        <v/>
      </c>
      <c r="I461" s="52">
        <f>ROUND(SUM(F461,H461),2)</f>
        <v/>
      </c>
    </row>
    <row r="462" ht="30" customHeight="1">
      <c r="A462" s="15" t="n">
        <v>457</v>
      </c>
      <c r="B462" s="53" t="inlineStr">
        <is>
          <t>Монтаж трубопровода ХВС и ГВС для Гигиенического душа с креплением к несущим конструкциям 1/2'</t>
        </is>
      </c>
      <c r="C462" s="15" t="inlineStr">
        <is>
          <t>м</t>
        </is>
      </c>
      <c r="D462" s="15" t="n">
        <v>30</v>
      </c>
      <c r="E462" s="52" t="n">
        <v>124.4611276272</v>
      </c>
      <c r="F462" s="52">
        <f>ROUND(D462*E462,2)</f>
        <v/>
      </c>
      <c r="G462" s="52" t="n">
        <v>494.5807053620796</v>
      </c>
      <c r="H462" s="52">
        <f>ROUND(D462*G462,2)</f>
        <v/>
      </c>
      <c r="I462" s="52">
        <f>ROUND(SUM(F462,H462),2)</f>
        <v/>
      </c>
    </row>
    <row r="463" ht="15.75" customHeight="1">
      <c r="A463" s="15" t="n">
        <v>458</v>
      </c>
      <c r="B463" s="53" t="inlineStr">
        <is>
          <t>Теплоизоляция трубопровода для Гигиенического душа</t>
        </is>
      </c>
      <c r="C463" s="15" t="inlineStr">
        <is>
          <t>м</t>
        </is>
      </c>
      <c r="D463" s="15" t="n">
        <v>30</v>
      </c>
      <c r="E463" s="52" t="n">
        <v>44.80595735616</v>
      </c>
      <c r="F463" s="52">
        <f>ROUND(D463*E463,2)</f>
        <v/>
      </c>
      <c r="G463" s="52" t="n">
        <v>209.7137340258199</v>
      </c>
      <c r="H463" s="52">
        <f>ROUND(D463*G463,2)</f>
        <v/>
      </c>
      <c r="I463" s="52">
        <f>ROUND(SUM(F463,H463),2)</f>
        <v/>
      </c>
    </row>
    <row r="464" ht="15.75" customHeight="1">
      <c r="A464" s="15" t="n">
        <v>459</v>
      </c>
      <c r="B464" s="53" t="inlineStr">
        <is>
          <t>Установка запорной арматуры на линию Гигиенического душа</t>
        </is>
      </c>
      <c r="C464" s="15" t="inlineStr">
        <is>
          <t>шт</t>
        </is>
      </c>
      <c r="D464" s="15" t="n">
        <v>2</v>
      </c>
      <c r="E464" s="52" t="n">
        <v>448.060180932</v>
      </c>
      <c r="F464" s="52">
        <f>ROUND(D464*E464,2)</f>
        <v/>
      </c>
      <c r="G464" s="52" t="n">
        <v>1301.746431732025</v>
      </c>
      <c r="H464" s="52">
        <f>ROUND(D464*G464,2)</f>
        <v/>
      </c>
      <c r="I464" s="52">
        <f>ROUND(SUM(F464,H464),2)</f>
        <v/>
      </c>
    </row>
    <row r="465" ht="15.75" customHeight="1">
      <c r="A465" s="15" t="n">
        <v>460</v>
      </c>
      <c r="B465" s="53" t="inlineStr">
        <is>
          <t>Установка обратных клапанов на линию Гигиенического душа</t>
        </is>
      </c>
      <c r="C465" s="15" t="inlineStr">
        <is>
          <t>шт</t>
        </is>
      </c>
      <c r="D465" s="15" t="n">
        <v>2</v>
      </c>
      <c r="E465" s="52" t="n">
        <v>378.36187657632</v>
      </c>
      <c r="F465" s="52">
        <f>ROUND(D465*E465,2)</f>
        <v/>
      </c>
      <c r="G465" s="52" t="n">
        <v>1286.010440814944</v>
      </c>
      <c r="H465" s="52">
        <f>ROUND(D465*G465,2)</f>
        <v/>
      </c>
      <c r="I465" s="52">
        <f>ROUND(SUM(F465,H465),2)</f>
        <v/>
      </c>
    </row>
    <row r="466" ht="30" customHeight="1">
      <c r="A466" s="15" t="n">
        <v>461</v>
      </c>
      <c r="B466" s="53" t="inlineStr">
        <is>
          <t>Установка лючков 300х300 под плитку для доступа к подключению Гигиенического душа</t>
        </is>
      </c>
      <c r="C466" s="15" t="inlineStr">
        <is>
          <t>шт</t>
        </is>
      </c>
      <c r="D466" s="15" t="n">
        <v>5</v>
      </c>
      <c r="E466" s="52" t="n">
        <v>2106.265587174</v>
      </c>
      <c r="F466" s="52">
        <f>ROUND(D466*E466,2)</f>
        <v/>
      </c>
      <c r="G466" s="52" t="n">
        <v>1689.622315172197</v>
      </c>
      <c r="H466" s="52">
        <f>ROUND(D466*G466,2)</f>
        <v/>
      </c>
      <c r="I466" s="52">
        <f>ROUND(SUM(F466,H466),2)</f>
        <v/>
      </c>
    </row>
    <row r="467" ht="15.75" customHeight="1">
      <c r="A467" s="15" t="n">
        <v>462</v>
      </c>
      <c r="B467" s="53" t="inlineStr">
        <is>
          <t>Замена напольных трапов 100х100мм HL 510 N-3000</t>
        </is>
      </c>
      <c r="C467" s="15" t="inlineStr">
        <is>
          <t>шт</t>
        </is>
      </c>
      <c r="D467" s="15" t="n">
        <v>2</v>
      </c>
      <c r="E467" s="52" t="n">
        <v>5700.8197</v>
      </c>
      <c r="F467" s="52">
        <f>ROUND(D467*E467,2)</f>
        <v/>
      </c>
      <c r="G467" s="52" t="n">
        <v>4837.966600955877</v>
      </c>
      <c r="H467" s="52">
        <f>ROUND(D467*G467,2)</f>
        <v/>
      </c>
      <c r="I467" s="52">
        <f>ROUND(SUM(F467,H467),2)</f>
        <v/>
      </c>
    </row>
    <row r="468" ht="30" customHeight="1">
      <c r="A468" s="15" t="n">
        <v>463</v>
      </c>
      <c r="B468" s="53" t="inlineStr">
        <is>
          <t>Опрессовка смонтированного или реконструированного трубопровода ХВС/ГВС</t>
        </is>
      </c>
      <c r="C468" s="15" t="inlineStr">
        <is>
          <t>компл.</t>
        </is>
      </c>
      <c r="D468" s="18" t="n">
        <v>1</v>
      </c>
      <c r="E468" s="52" t="n">
        <v>0</v>
      </c>
      <c r="F468" s="52">
        <f>ROUND(D468*E468,2)</f>
        <v/>
      </c>
      <c r="G468" s="52" t="n">
        <v>4706.162927883422</v>
      </c>
      <c r="H468" s="52">
        <f>ROUND(D468*G468,2)</f>
        <v/>
      </c>
      <c r="I468" s="52">
        <f>ROUND(SUM(F468,H468),2)</f>
        <v/>
      </c>
    </row>
    <row r="469">
      <c r="A469" s="15" t="n">
        <v>464</v>
      </c>
      <c r="B469" s="53" t="inlineStr">
        <is>
          <t>Навесные элементы в санузлы</t>
        </is>
      </c>
      <c r="C469" s="15" t="n"/>
      <c r="D469" s="18" t="n"/>
      <c r="E469" s="15" t="n"/>
      <c r="F469" s="17" t="n"/>
      <c r="G469" s="13" t="n"/>
      <c r="H469" s="13" t="n"/>
      <c r="I469" s="13" t="n"/>
    </row>
    <row r="470" ht="15.75" customHeight="1">
      <c r="A470" s="15" t="n">
        <v>465</v>
      </c>
      <c r="B470" s="53" t="inlineStr">
        <is>
          <t>Диспенсер под туалетную бумагу</t>
        </is>
      </c>
      <c r="C470" s="20" t="inlineStr">
        <is>
          <t>шт</t>
        </is>
      </c>
      <c r="D470" s="20" t="n">
        <v>6</v>
      </c>
      <c r="E470" s="52" t="n">
        <v>1723.308154596</v>
      </c>
      <c r="F470" s="52">
        <f>ROUND(D470*E470,2)</f>
        <v/>
      </c>
      <c r="G470" s="52" t="n">
        <v>977.3467103634516</v>
      </c>
      <c r="H470" s="52">
        <f>ROUND(D470*G470,2)</f>
        <v/>
      </c>
      <c r="I470" s="52">
        <f>ROUND(SUM(F470,H470),2)</f>
        <v/>
      </c>
    </row>
    <row r="471" ht="15.75" customHeight="1">
      <c r="A471" s="15" t="n">
        <v>466</v>
      </c>
      <c r="B471" s="53" t="inlineStr">
        <is>
          <t>Диспенсер для накладок</t>
        </is>
      </c>
      <c r="C471" s="20" t="inlineStr">
        <is>
          <t>шт</t>
        </is>
      </c>
      <c r="D471" s="20" t="n">
        <v>6</v>
      </c>
      <c r="E471" s="52" t="n">
        <v>2393.483574006</v>
      </c>
      <c r="F471" s="52">
        <f>ROUND(D471*E471,2)</f>
        <v/>
      </c>
      <c r="G471" s="52" t="n">
        <v>1128.654183481734</v>
      </c>
      <c r="H471" s="52">
        <f>ROUND(D471*G471,2)</f>
        <v/>
      </c>
      <c r="I471" s="52">
        <f>ROUND(SUM(F471,H471),2)</f>
        <v/>
      </c>
    </row>
    <row r="472" ht="15.75" customHeight="1">
      <c r="A472" s="15" t="n">
        <v>467</v>
      </c>
      <c r="B472" s="53" t="inlineStr">
        <is>
          <t>Держательдля освежителя воздуха</t>
        </is>
      </c>
      <c r="C472" s="20" t="inlineStr">
        <is>
          <t>шт</t>
        </is>
      </c>
      <c r="D472" s="20" t="n">
        <v>6</v>
      </c>
      <c r="E472" s="52" t="n">
        <v>1436.090167764</v>
      </c>
      <c r="F472" s="52">
        <f>ROUND(D472*E472,2)</f>
        <v/>
      </c>
      <c r="G472" s="52" t="n">
        <v>912.500661757358</v>
      </c>
      <c r="H472" s="52">
        <f>ROUND(D472*G472,2)</f>
        <v/>
      </c>
      <c r="I472" s="52">
        <f>ROUND(SUM(F472,H472),2)</f>
        <v/>
      </c>
    </row>
    <row r="473" ht="15.75" customHeight="1">
      <c r="A473" s="15" t="n">
        <v>468</v>
      </c>
      <c r="B473" s="53" t="inlineStr">
        <is>
          <t>Полка под личные принадлежности</t>
        </is>
      </c>
      <c r="C473" s="20" t="inlineStr">
        <is>
          <t>шт</t>
        </is>
      </c>
      <c r="D473" s="20" t="n">
        <v>6</v>
      </c>
      <c r="E473" s="52" t="n">
        <v>861.6540772980001</v>
      </c>
      <c r="F473" s="52">
        <f>ROUND(D473*E473,2)</f>
        <v/>
      </c>
      <c r="G473" s="52" t="n">
        <v>782.8085381744397</v>
      </c>
      <c r="H473" s="52">
        <f>ROUND(D473*G473,2)</f>
        <v/>
      </c>
      <c r="I473" s="52">
        <f>ROUND(SUM(F473,H473),2)</f>
        <v/>
      </c>
    </row>
    <row r="474" ht="15.75" customHeight="1">
      <c r="A474" s="15" t="n">
        <v>469</v>
      </c>
      <c r="B474" s="53" t="inlineStr">
        <is>
          <t>Диспенсор под жидкое мыло</t>
        </is>
      </c>
      <c r="C474" s="20" t="inlineStr">
        <is>
          <t>шт</t>
        </is>
      </c>
      <c r="D474" s="20" t="n">
        <v>8</v>
      </c>
      <c r="E474" s="52" t="n">
        <v>2106.265587174</v>
      </c>
      <c r="F474" s="52">
        <f>ROUND(D474*E474,2)</f>
        <v/>
      </c>
      <c r="G474" s="52" t="n">
        <v>1181.462208072726</v>
      </c>
      <c r="H474" s="52">
        <f>ROUND(D474*G474,2)</f>
        <v/>
      </c>
      <c r="I474" s="52">
        <f>ROUND(SUM(F474,H474),2)</f>
        <v/>
      </c>
    </row>
    <row r="475" ht="15.75" customHeight="1">
      <c r="A475" s="15" t="n">
        <v>470</v>
      </c>
      <c r="B475" s="53" t="inlineStr">
        <is>
          <t>Диспенсер для бумажных полотенец</t>
        </is>
      </c>
      <c r="C475" s="20" t="inlineStr">
        <is>
          <t>шт</t>
        </is>
      </c>
      <c r="D475" s="20" t="n">
        <v>4</v>
      </c>
      <c r="E475" s="52" t="n">
        <v>3350.87709705</v>
      </c>
      <c r="F475" s="52">
        <f>ROUND(D475*E475,2)</f>
        <v/>
      </c>
      <c r="G475" s="52" t="n">
        <v>1462.461804773927</v>
      </c>
      <c r="H475" s="52">
        <f>ROUND(D475*G475,2)</f>
        <v/>
      </c>
      <c r="I475" s="52">
        <f>ROUND(SUM(F475,H475),2)</f>
        <v/>
      </c>
    </row>
    <row r="476" ht="29.25" customHeight="1">
      <c r="A476" s="15" t="n">
        <v>471</v>
      </c>
      <c r="B476" s="28" t="inlineStr">
        <is>
          <t>Санузел "М/Ж" 6го этажа
Отдельная кабина</t>
        </is>
      </c>
      <c r="C476" s="53" t="n"/>
      <c r="D476" s="15" t="n"/>
      <c r="E476" s="15" t="n"/>
      <c r="F476" s="17" t="n"/>
      <c r="G476" s="13" t="n"/>
      <c r="H476" s="13" t="n"/>
      <c r="I476" s="13" t="n"/>
    </row>
    <row r="477">
      <c r="A477" s="15" t="n">
        <v>472</v>
      </c>
      <c r="B477" s="51" t="inlineStr">
        <is>
          <t xml:space="preserve">Раздел 1. Демонтажные работы </t>
        </is>
      </c>
      <c r="C477" s="53" t="n"/>
      <c r="D477" s="15" t="n"/>
      <c r="E477" s="15" t="n"/>
      <c r="F477" s="17" t="n"/>
      <c r="G477" s="13" t="n"/>
      <c r="H477" s="13" t="n"/>
      <c r="I477" s="13" t="n"/>
    </row>
    <row r="478" ht="15.75" customHeight="1">
      <c r="A478" s="15" t="n">
        <v>473</v>
      </c>
      <c r="B478" s="54" t="inlineStr">
        <is>
          <t>Разборка цементной стяжки h=200мм</t>
        </is>
      </c>
      <c r="C478" s="55" t="inlineStr">
        <is>
          <t>м2</t>
        </is>
      </c>
      <c r="D478" s="94" t="n">
        <v>2.4</v>
      </c>
      <c r="E478" s="52" t="n">
        <v>0</v>
      </c>
      <c r="F478" s="52">
        <f>ROUND(D478*E478,2)</f>
        <v/>
      </c>
      <c r="G478" s="52" t="n">
        <v>2406.537955785568</v>
      </c>
      <c r="H478" s="52">
        <f>ROUND(D478*G478,2)</f>
        <v/>
      </c>
      <c r="I478" s="52">
        <f>ROUND(SUM(F478,H478),2)</f>
        <v/>
      </c>
    </row>
    <row r="479" ht="30" customHeight="1">
      <c r="A479" s="15" t="n">
        <v>474</v>
      </c>
      <c r="B479" s="7" t="inlineStr">
        <is>
          <t>Подвесной потолок Armstrong перфорированный,
потолочные плиты 600х600 мм</t>
        </is>
      </c>
      <c r="C479" s="55" t="inlineStr">
        <is>
          <t>м2</t>
        </is>
      </c>
      <c r="D479" s="94" t="n">
        <v>2.4</v>
      </c>
      <c r="E479" s="52" t="n">
        <v>0</v>
      </c>
      <c r="F479" s="52">
        <f>ROUND(D479*E479,2)</f>
        <v/>
      </c>
      <c r="G479" s="52" t="n">
        <v>248.8169092563968</v>
      </c>
      <c r="H479" s="52">
        <f>ROUND(D479*G479,2)</f>
        <v/>
      </c>
      <c r="I479" s="52">
        <f>ROUND(SUM(F479,H479),2)</f>
        <v/>
      </c>
    </row>
    <row r="480" ht="15.75" customHeight="1">
      <c r="A480" s="15" t="n">
        <v>475</v>
      </c>
      <c r="B480" s="7" t="inlineStr">
        <is>
          <t>Демонтаж напольного покрытия</t>
        </is>
      </c>
      <c r="C480" s="55" t="inlineStr">
        <is>
          <t>м2</t>
        </is>
      </c>
      <c r="D480" s="94" t="n">
        <v>2.4</v>
      </c>
      <c r="E480" s="52" t="n">
        <v>0</v>
      </c>
      <c r="F480" s="52">
        <f>ROUND(D480*E480,2)</f>
        <v/>
      </c>
      <c r="G480" s="52" t="n">
        <v>503.1152762397645</v>
      </c>
      <c r="H480" s="52">
        <f>ROUND(D480*G480,2)</f>
        <v/>
      </c>
      <c r="I480" s="52">
        <f>ROUND(SUM(F480,H480),2)</f>
        <v/>
      </c>
    </row>
    <row r="481" ht="15.75" customHeight="1">
      <c r="A481" s="15" t="n">
        <v>476</v>
      </c>
      <c r="B481" s="7" t="inlineStr">
        <is>
          <t>Демонтаж настенной плитки</t>
        </is>
      </c>
      <c r="C481" s="56" t="inlineStr">
        <is>
          <t>м2</t>
        </is>
      </c>
      <c r="D481" s="94" t="n">
        <v>11.7</v>
      </c>
      <c r="E481" s="52" t="n">
        <v>0</v>
      </c>
      <c r="F481" s="52">
        <f>ROUND(D481*E481,2)</f>
        <v/>
      </c>
      <c r="G481" s="52" t="n">
        <v>456.4854730631076</v>
      </c>
      <c r="H481" s="52">
        <f>ROUND(D481*G481,2)</f>
        <v/>
      </c>
      <c r="I481" s="52">
        <f>ROUND(SUM(F481,H481),2)</f>
        <v/>
      </c>
    </row>
    <row r="482" ht="15.75" customHeight="1">
      <c r="A482" s="15" t="n">
        <v>477</v>
      </c>
      <c r="B482" s="58" t="inlineStr">
        <is>
          <t>Разборка канализационного трубопровода, d=50мм</t>
        </is>
      </c>
      <c r="C482" s="56" t="inlineStr">
        <is>
          <t>м</t>
        </is>
      </c>
      <c r="D482" s="95" t="n">
        <v>30</v>
      </c>
      <c r="E482" s="52" t="n">
        <v>0</v>
      </c>
      <c r="F482" s="52">
        <f>ROUND(D482*E482,2)</f>
        <v/>
      </c>
      <c r="G482" s="52" t="n">
        <v>230.5660693980355</v>
      </c>
      <c r="H482" s="52">
        <f>ROUND(D482*G482,2)</f>
        <v/>
      </c>
      <c r="I482" s="52">
        <f>ROUND(SUM(F482,H482),2)</f>
        <v/>
      </c>
    </row>
    <row r="483" ht="15.75" customHeight="1">
      <c r="A483" s="15" t="n">
        <v>478</v>
      </c>
      <c r="B483" s="58" t="inlineStr">
        <is>
          <t>Разборка канализационного трубопровода, d=110мм</t>
        </is>
      </c>
      <c r="C483" s="56" t="inlineStr">
        <is>
          <t>м</t>
        </is>
      </c>
      <c r="D483" s="95" t="n">
        <v>26</v>
      </c>
      <c r="E483" s="52" t="n">
        <v>0</v>
      </c>
      <c r="F483" s="52">
        <f>ROUND(D483*E483,2)</f>
        <v/>
      </c>
      <c r="G483" s="52" t="n">
        <v>230.5660693980355</v>
      </c>
      <c r="H483" s="52">
        <f>ROUND(D483*G483,2)</f>
        <v/>
      </c>
      <c r="I483" s="52">
        <f>ROUND(SUM(F483,H483),2)</f>
        <v/>
      </c>
    </row>
    <row r="484" ht="15.75" customHeight="1">
      <c r="A484" s="15" t="n">
        <v>479</v>
      </c>
      <c r="B484" s="54" t="inlineStr">
        <is>
          <t>Демонтаж существующих унитазов</t>
        </is>
      </c>
      <c r="C484" s="56" t="inlineStr">
        <is>
          <t>шт.</t>
        </is>
      </c>
      <c r="D484" s="94" t="n">
        <v>1</v>
      </c>
      <c r="E484" s="52" t="n">
        <v>0</v>
      </c>
      <c r="F484" s="52">
        <f>ROUND(D484*E484,2)</f>
        <v/>
      </c>
      <c r="G484" s="52" t="n">
        <v>1230.373498133161</v>
      </c>
      <c r="H484" s="52">
        <f>ROUND(D484*G484,2)</f>
        <v/>
      </c>
      <c r="I484" s="52">
        <f>ROUND(SUM(F484,H484),2)</f>
        <v/>
      </c>
    </row>
    <row r="485" ht="15.75" customHeight="1">
      <c r="A485" s="15" t="n">
        <v>480</v>
      </c>
      <c r="B485" s="54" t="inlineStr">
        <is>
          <t xml:space="preserve">Демонтаж существующих раковин </t>
        </is>
      </c>
      <c r="C485" s="56" t="inlineStr">
        <is>
          <t>шт.</t>
        </is>
      </c>
      <c r="D485" s="94" t="n">
        <v>1</v>
      </c>
      <c r="E485" s="52" t="n">
        <v>0</v>
      </c>
      <c r="F485" s="52">
        <f>ROUND(D485*E485,2)</f>
        <v/>
      </c>
      <c r="G485" s="52" t="n">
        <v>922.7801235998708</v>
      </c>
      <c r="H485" s="52">
        <f>ROUND(D485*G485,2)</f>
        <v/>
      </c>
      <c r="I485" s="52">
        <f>ROUND(SUM(F485,H485),2)</f>
        <v/>
      </c>
    </row>
    <row r="486" ht="15.75" customHeight="1">
      <c r="A486" s="15" t="n">
        <v>481</v>
      </c>
      <c r="B486" s="54" t="inlineStr">
        <is>
          <t>Демонтаж существующих сушилок для рук</t>
        </is>
      </c>
      <c r="C486" s="56" t="inlineStr">
        <is>
          <t>шт.</t>
        </is>
      </c>
      <c r="D486" s="94" t="n">
        <v>1</v>
      </c>
      <c r="E486" s="52" t="n">
        <v>0</v>
      </c>
      <c r="F486" s="52">
        <f>ROUND(D486*E486,2)</f>
        <v/>
      </c>
      <c r="G486" s="52" t="n">
        <v>525.4268038637409</v>
      </c>
      <c r="H486" s="52">
        <f>ROUND(D486*G486,2)</f>
        <v/>
      </c>
      <c r="I486" s="52">
        <f>ROUND(SUM(F486,H486),2)</f>
        <v/>
      </c>
    </row>
    <row r="487" ht="15.75" customHeight="1">
      <c r="A487" s="15" t="n">
        <v>482</v>
      </c>
      <c r="B487" s="54" t="inlineStr">
        <is>
          <t>Демонтаж осветительных приборов</t>
        </is>
      </c>
      <c r="C487" s="56" t="inlineStr">
        <is>
          <t>шт.</t>
        </is>
      </c>
      <c r="D487" s="94" t="n">
        <v>2</v>
      </c>
      <c r="E487" s="52" t="n">
        <v>0</v>
      </c>
      <c r="F487" s="52">
        <f>ROUND(D487*E487,2)</f>
        <v/>
      </c>
      <c r="G487" s="52" t="n">
        <v>461.3900617999354</v>
      </c>
      <c r="H487" s="52">
        <f>ROUND(D487*G487,2)</f>
        <v/>
      </c>
      <c r="I487" s="52">
        <f>ROUND(SUM(F487,H487),2)</f>
        <v/>
      </c>
    </row>
    <row r="488" ht="35.25" customHeight="1">
      <c r="A488" s="15" t="n">
        <v>483</v>
      </c>
      <c r="B488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488" s="56" t="inlineStr">
        <is>
          <t>м</t>
        </is>
      </c>
      <c r="D488" s="94" t="n">
        <v>80</v>
      </c>
      <c r="E488" s="52" t="n">
        <v>0</v>
      </c>
      <c r="F488" s="52">
        <f>ROUND(D488*E488,2)</f>
        <v/>
      </c>
      <c r="G488" s="52" t="n">
        <v>92.31692015457689</v>
      </c>
      <c r="H488" s="52">
        <f>ROUND(D488*G488,2)</f>
        <v/>
      </c>
      <c r="I488" s="52">
        <f>ROUND(SUM(F488,H488),2)</f>
        <v/>
      </c>
    </row>
    <row r="489" ht="15.75" customHeight="1">
      <c r="A489" s="15" t="n">
        <v>484</v>
      </c>
      <c r="B489" s="54" t="inlineStr">
        <is>
          <t>Демонтаж распаечных коробок</t>
        </is>
      </c>
      <c r="C489" s="56" t="inlineStr">
        <is>
          <t>шт.</t>
        </is>
      </c>
      <c r="D489" s="94" t="n">
        <v>2</v>
      </c>
      <c r="E489" s="52" t="n">
        <v>0</v>
      </c>
      <c r="F489" s="52">
        <f>ROUND(D489*E489,2)</f>
        <v/>
      </c>
      <c r="G489" s="52" t="n">
        <v>230.5660693980355</v>
      </c>
      <c r="H489" s="52">
        <f>ROUND(D489*G489,2)</f>
        <v/>
      </c>
      <c r="I489" s="52">
        <f>ROUND(SUM(F489,H489),2)</f>
        <v/>
      </c>
    </row>
    <row r="490" ht="15.75" customHeight="1">
      <c r="A490" s="15" t="n">
        <v>485</v>
      </c>
      <c r="B490" s="54" t="inlineStr">
        <is>
          <t>Демонтаж  освежителей воздуха со стен</t>
        </is>
      </c>
      <c r="C490" s="56" t="inlineStr">
        <is>
          <t>шт.</t>
        </is>
      </c>
      <c r="D490" s="94" t="n">
        <v>1</v>
      </c>
      <c r="E490" s="52" t="n">
        <v>0</v>
      </c>
      <c r="F490" s="52">
        <f>ROUND(D490*E490,2)</f>
        <v/>
      </c>
      <c r="G490" s="52" t="n">
        <v>262.7134019318705</v>
      </c>
      <c r="H490" s="52">
        <f>ROUND(D490*G490,2)</f>
        <v/>
      </c>
      <c r="I490" s="52">
        <f>ROUND(SUM(F490,H490),2)</f>
        <v/>
      </c>
    </row>
    <row r="491" ht="15.75" customHeight="1">
      <c r="A491" s="15" t="n">
        <v>486</v>
      </c>
      <c r="B491" s="54" t="inlineStr">
        <is>
          <t>Демонтаж существующих бумагодержателей</t>
        </is>
      </c>
      <c r="C491" s="56" t="inlineStr">
        <is>
          <t>шт.</t>
        </is>
      </c>
      <c r="D491" s="94" t="n">
        <v>1</v>
      </c>
      <c r="E491" s="52" t="n">
        <v>0</v>
      </c>
      <c r="F491" s="52">
        <f>ROUND(D491*E491,2)</f>
        <v/>
      </c>
      <c r="G491" s="52" t="n">
        <v>262.7134019318705</v>
      </c>
      <c r="H491" s="52">
        <f>ROUND(D491*G491,2)</f>
        <v/>
      </c>
      <c r="I491" s="52">
        <f>ROUND(SUM(F491,H491),2)</f>
        <v/>
      </c>
    </row>
    <row r="492" ht="15.75" customHeight="1">
      <c r="A492" s="15" t="n">
        <v>487</v>
      </c>
      <c r="B492" s="54" t="inlineStr">
        <is>
          <t>Демонтаж существующих туалетных полочек</t>
        </is>
      </c>
      <c r="C492" s="56" t="inlineStr">
        <is>
          <t>шт.</t>
        </is>
      </c>
      <c r="D492" s="94" t="n">
        <v>1</v>
      </c>
      <c r="E492" s="52" t="n">
        <v>0</v>
      </c>
      <c r="F492" s="52">
        <f>ROUND(D492*E492,2)</f>
        <v/>
      </c>
      <c r="G492" s="52" t="n">
        <v>262.7134019318705</v>
      </c>
      <c r="H492" s="52">
        <f>ROUND(D492*G492,2)</f>
        <v/>
      </c>
      <c r="I492" s="52">
        <f>ROUND(SUM(F492,H492),2)</f>
        <v/>
      </c>
    </row>
    <row r="493" ht="15.75" customHeight="1">
      <c r="A493" s="15" t="n">
        <v>488</v>
      </c>
      <c r="B493" s="57" t="inlineStr">
        <is>
          <t xml:space="preserve">Демонтаж существующего люка </t>
        </is>
      </c>
      <c r="C493" s="61" t="inlineStr">
        <is>
          <t>шт.</t>
        </is>
      </c>
      <c r="D493" s="61" t="n">
        <v>1</v>
      </c>
      <c r="E493" s="52" t="n">
        <v>0</v>
      </c>
      <c r="F493" s="52">
        <f>ROUND(D493*E493,2)</f>
        <v/>
      </c>
      <c r="G493" s="52" t="n">
        <v>1166.643896813129</v>
      </c>
      <c r="H493" s="52">
        <f>ROUND(D493*G493,2)</f>
        <v/>
      </c>
      <c r="I493" s="52">
        <f>ROUND(SUM(F493,H493),2)</f>
        <v/>
      </c>
    </row>
    <row r="494" ht="15.75" customHeight="1">
      <c r="A494" s="15" t="n">
        <v>489</v>
      </c>
      <c r="B494" s="54" t="inlineStr">
        <is>
          <t>Демонтаж телескопических алюм дверей</t>
        </is>
      </c>
      <c r="C494" s="61" t="inlineStr">
        <is>
          <t>шт.</t>
        </is>
      </c>
      <c r="D494" s="94" t="n">
        <v>1</v>
      </c>
      <c r="E494" s="52" t="n">
        <v>0</v>
      </c>
      <c r="F494" s="52">
        <f>ROUND(D494*E494,2)</f>
        <v/>
      </c>
      <c r="G494" s="52" t="n">
        <v>1346.709277613933</v>
      </c>
      <c r="H494" s="52">
        <f>ROUND(D494*G494,2)</f>
        <v/>
      </c>
      <c r="I494" s="52">
        <f>ROUND(SUM(F494,H494),2)</f>
        <v/>
      </c>
    </row>
    <row r="495" ht="45" customHeight="1">
      <c r="A495" s="15" t="n">
        <v>490</v>
      </c>
      <c r="B495" s="58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495" s="62" t="inlineStr">
        <is>
          <t>м2</t>
        </is>
      </c>
      <c r="D495" s="95" t="n">
        <v>30.15</v>
      </c>
      <c r="E495" s="52" t="n">
        <v>0</v>
      </c>
      <c r="F495" s="52">
        <f>ROUND(D495*E495,2)</f>
        <v/>
      </c>
      <c r="G495" s="52" t="n">
        <v>463.1152762397646</v>
      </c>
      <c r="H495" s="52">
        <f>ROUND(D495*G495,2)</f>
        <v/>
      </c>
      <c r="I495" s="52">
        <f>ROUND(SUM(F495,H495),2)</f>
        <v/>
      </c>
    </row>
    <row r="496">
      <c r="A496" s="15" t="n">
        <v>491</v>
      </c>
      <c r="B496" s="28" t="inlineStr">
        <is>
          <t>Раздел 2. Монтажные работы.</t>
        </is>
      </c>
      <c r="C496" s="67" t="n"/>
      <c r="D496" s="71" t="n"/>
      <c r="E496" s="15" t="n"/>
      <c r="F496" s="17" t="n"/>
      <c r="G496" s="13" t="n"/>
      <c r="H496" s="13" t="n"/>
      <c r="I496" s="13" t="n"/>
    </row>
    <row r="497" ht="15.75" customHeight="1">
      <c r="A497" s="15" t="n">
        <v>492</v>
      </c>
      <c r="B497" s="65" t="inlineStr">
        <is>
          <t>Устройство стяжки пола h=200мм</t>
        </is>
      </c>
      <c r="C497" s="67" t="inlineStr">
        <is>
          <t>м2</t>
        </is>
      </c>
      <c r="D497" s="67" t="n">
        <v>2.4</v>
      </c>
      <c r="E497" s="52" t="n">
        <v>3650.754138191594</v>
      </c>
      <c r="F497" s="52">
        <f>ROUND(D497*E497,2)</f>
        <v/>
      </c>
      <c r="G497" s="52" t="n">
        <v>3763.099275236907</v>
      </c>
      <c r="H497" s="52">
        <f>ROUND(D497*G497,2)</f>
        <v/>
      </c>
      <c r="I497" s="52">
        <f>ROUND(SUM(F497,H497),2)</f>
        <v/>
      </c>
    </row>
    <row r="498" ht="45" customHeight="1">
      <c r="A498" s="15" t="n">
        <v>493</v>
      </c>
      <c r="B498" s="64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498" s="62" t="inlineStr">
        <is>
          <t>м2</t>
        </is>
      </c>
      <c r="D498" s="67" t="n">
        <v>2.4</v>
      </c>
      <c r="E498" s="52" t="n">
        <v>1361.032094494925</v>
      </c>
      <c r="F498" s="52">
        <f>ROUND(D498*E498,2)</f>
        <v/>
      </c>
      <c r="G498" s="52" t="n">
        <v>2607.601033258546</v>
      </c>
      <c r="H498" s="52">
        <f>ROUND(D498*G498,2)</f>
        <v/>
      </c>
      <c r="I498" s="52">
        <f>ROUND(SUM(F498,H498),2)</f>
        <v/>
      </c>
    </row>
    <row r="499" ht="15.75" customHeight="1">
      <c r="A499" s="15" t="n">
        <v>494</v>
      </c>
      <c r="B499" s="65" t="inlineStr">
        <is>
          <t>Востановление стены после демонтажа люков 30х50см</t>
        </is>
      </c>
      <c r="C499" s="66" t="inlineStr">
        <is>
          <t>шт.</t>
        </is>
      </c>
      <c r="D499" s="66" t="n">
        <v>1</v>
      </c>
      <c r="E499" s="52" t="n">
        <v>0</v>
      </c>
      <c r="F499" s="52">
        <f>ROUND(D499*E499,2)</f>
        <v/>
      </c>
      <c r="G499" s="52" t="n">
        <v>2916.609742032823</v>
      </c>
      <c r="H499" s="52">
        <f>ROUND(D499*G499,2)</f>
        <v/>
      </c>
      <c r="I499" s="52">
        <f>ROUND(SUM(F499,H499),2)</f>
        <v/>
      </c>
    </row>
    <row r="500" ht="15.75" customHeight="1">
      <c r="A500" s="15" t="n">
        <v>495</v>
      </c>
      <c r="B500" s="65" t="inlineStr">
        <is>
          <t>Перенос и монтаж люка под плитку 1000х1000мм</t>
        </is>
      </c>
      <c r="C500" s="66" t="inlineStr">
        <is>
          <t>шт.</t>
        </is>
      </c>
      <c r="D500" s="66" t="n">
        <v>1</v>
      </c>
      <c r="E500" s="52" t="n">
        <v>11488.721342112</v>
      </c>
      <c r="F500" s="52">
        <f>ROUND(D500*E500,2)</f>
        <v/>
      </c>
      <c r="G500" s="52" t="n">
        <v>3807.926912457425</v>
      </c>
      <c r="H500" s="52">
        <f>ROUND(D500*G500,2)</f>
        <v/>
      </c>
      <c r="I500" s="52">
        <f>ROUND(SUM(F500,H500),2)</f>
        <v/>
      </c>
    </row>
    <row r="501" ht="15.75" customHeight="1">
      <c r="A501" s="15" t="n">
        <v>496</v>
      </c>
      <c r="B501" s="65" t="inlineStr">
        <is>
          <t>Устройство гидроизоляции</t>
        </is>
      </c>
      <c r="C501" s="67" t="inlineStr">
        <is>
          <t>м2</t>
        </is>
      </c>
      <c r="D501" s="67" t="n">
        <v>5.9</v>
      </c>
      <c r="E501" s="52" t="n">
        <v>442.3156016076</v>
      </c>
      <c r="F501" s="52">
        <f>ROUND(D501*E501,2)</f>
        <v/>
      </c>
      <c r="G501" s="52" t="n">
        <v>706.1086389192636</v>
      </c>
      <c r="H501" s="52">
        <f>ROUND(D501*G501,2)</f>
        <v/>
      </c>
      <c r="I501" s="52">
        <f>ROUND(SUM(F501,H501),2)</f>
        <v/>
      </c>
    </row>
    <row r="502" ht="15.75" customHeight="1">
      <c r="A502" s="15" t="n">
        <v>497</v>
      </c>
      <c r="B502" s="65" t="inlineStr">
        <is>
          <t>Чернение потолка и коммуникаций RAL 7026</t>
        </is>
      </c>
      <c r="C502" s="67" t="inlineStr">
        <is>
          <t>м2</t>
        </is>
      </c>
      <c r="D502" s="67" t="n">
        <v>3.4</v>
      </c>
      <c r="E502" s="52" t="n">
        <v>184.96839823686</v>
      </c>
      <c r="F502" s="52">
        <f>ROUND(D502*E502,2)</f>
        <v/>
      </c>
      <c r="G502" s="52" t="n">
        <v>377.3398992589209</v>
      </c>
      <c r="H502" s="52">
        <f>ROUND(D502*G502,2)</f>
        <v/>
      </c>
      <c r="I502" s="52">
        <f>ROUND(SUM(F502,H502),2)</f>
        <v/>
      </c>
    </row>
    <row r="503" ht="45" customHeight="1">
      <c r="A503" s="15" t="n">
        <v>498</v>
      </c>
      <c r="B503" s="65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503" s="67" t="inlineStr">
        <is>
          <t>м2</t>
        </is>
      </c>
      <c r="D503" s="67" t="n">
        <v>3.4</v>
      </c>
      <c r="E503" s="52" t="n">
        <v>1196.7213</v>
      </c>
      <c r="F503" s="52">
        <f>ROUND(D503*E503,2)</f>
        <v/>
      </c>
      <c r="G503" s="52" t="n">
        <v>1239.587057393498</v>
      </c>
      <c r="H503" s="52">
        <f>ROUND(D503*G503,2)</f>
        <v/>
      </c>
      <c r="I503" s="52">
        <f>ROUND(SUM(F503,H503),2)</f>
        <v/>
      </c>
    </row>
    <row r="504" ht="30" customHeight="1">
      <c r="A504" s="15" t="n">
        <v>499</v>
      </c>
      <c r="B504" s="65" t="inlineStr">
        <is>
          <t>Устройство напольного покрытия Керамогранит светло-серый 60х60 Матовый Карвинг 59,50x59,50</t>
        </is>
      </c>
      <c r="C504" s="67" t="inlineStr">
        <is>
          <t>м2</t>
        </is>
      </c>
      <c r="D504" s="67" t="n">
        <v>2.4</v>
      </c>
      <c r="E504" s="52" t="n">
        <v>2213.23820148465</v>
      </c>
      <c r="F504" s="52">
        <f>ROUND(D504*E504,2)</f>
        <v/>
      </c>
      <c r="G504" s="52" t="n">
        <v>3051.150486403696</v>
      </c>
      <c r="H504" s="52">
        <f>ROUND(D504*G504,2)</f>
        <v/>
      </c>
      <c r="I504" s="52">
        <f>ROUND(SUM(F504,H504),2)</f>
        <v/>
      </c>
    </row>
    <row r="505" ht="30" customHeight="1">
      <c r="A505" s="15" t="n">
        <v>500</v>
      </c>
      <c r="B505" s="65" t="inlineStr">
        <is>
          <t>Облицовка стен керамогранитом светло-серый 59,5х119,01, Матовый Карвинг 59,5х119,01 Evolution Smoke</t>
        </is>
      </c>
      <c r="C505" s="67" t="inlineStr">
        <is>
          <t>м2</t>
        </is>
      </c>
      <c r="D505" s="68" t="n">
        <v>11.7</v>
      </c>
      <c r="E505" s="52" t="n">
        <v>2222.661196699863</v>
      </c>
      <c r="F505" s="52">
        <f>ROUND(D505*E505,2)</f>
        <v/>
      </c>
      <c r="G505" s="52" t="n">
        <v>3180.984833770257</v>
      </c>
      <c r="H505" s="52">
        <f>ROUND(D505*G505,2)</f>
        <v/>
      </c>
      <c r="I505" s="52">
        <f>ROUND(SUM(F505,H505),2)</f>
        <v/>
      </c>
    </row>
    <row r="506" ht="30" customHeight="1">
      <c r="A506" s="15" t="n">
        <v>501</v>
      </c>
      <c r="B506" s="57" t="inlineStr">
        <is>
          <t>Облицовка стен керамогранитом светло-серый 59,5х119,01, Матовый Карвинг 59,5х119,01Nord Gris</t>
        </is>
      </c>
      <c r="C506" s="15" t="inlineStr">
        <is>
          <t>м2</t>
        </is>
      </c>
      <c r="D506" s="18" t="n">
        <v>2.5</v>
      </c>
      <c r="E506" s="52" t="n">
        <v>2222.661196699863</v>
      </c>
      <c r="F506" s="52">
        <f>ROUND(D506*E506,2)</f>
        <v/>
      </c>
      <c r="G506" s="52" t="n">
        <v>3180.984833770257</v>
      </c>
      <c r="H506" s="52">
        <f>ROUND(D506*G506,2)</f>
        <v/>
      </c>
      <c r="I506" s="52">
        <f>ROUND(SUM(F506,H506),2)</f>
        <v/>
      </c>
    </row>
    <row r="507" ht="30" customHeight="1">
      <c r="A507" s="15" t="n">
        <v>502</v>
      </c>
      <c r="B507" s="57" t="inlineStr">
        <is>
          <t>Монтаж светильника подвесного SP-POLO-R85-2-15W Day White 40deg теплый белый 3000К, (Black, Black Ring) (Arlight, IP20), 230D</t>
        </is>
      </c>
      <c r="C507" s="15" t="inlineStr">
        <is>
          <t>шт</t>
        </is>
      </c>
      <c r="D507" s="94" t="n">
        <v>4</v>
      </c>
      <c r="E507" s="52" t="n">
        <v>7913.8934</v>
      </c>
      <c r="F507" s="52">
        <f>ROUND(D507*E507,2)</f>
        <v/>
      </c>
      <c r="G507" s="52" t="n">
        <v>3609.000970777563</v>
      </c>
      <c r="H507" s="52">
        <f>ROUND(D507*G507,2)</f>
        <v/>
      </c>
      <c r="I507" s="52">
        <f>ROUND(SUM(F507,H507),2)</f>
        <v/>
      </c>
    </row>
    <row r="508" ht="60" customHeight="1">
      <c r="A508" s="15" t="n">
        <v>503</v>
      </c>
      <c r="B508" s="57" t="inlineStr">
        <is>
          <t>Монтаж встраиваемого светодиодного светильника OKKO IP54/IP20 13 WH
Светильник SP-JEDI-HANG-R18-6W Warm3000 (BK, 360 deg, 230V)
(Arlight, IP20 Пластик</t>
        </is>
      </c>
      <c r="C508" s="15" t="inlineStr">
        <is>
          <t>шт</t>
        </is>
      </c>
      <c r="D508" s="94" t="n">
        <v>1</v>
      </c>
      <c r="E508" s="52" t="n">
        <v>7453.721229457388</v>
      </c>
      <c r="F508" s="52">
        <f>ROUND(D508*E508,2)</f>
        <v/>
      </c>
      <c r="G508" s="52" t="n">
        <v>3214.625726855305</v>
      </c>
      <c r="H508" s="52">
        <f>ROUND(D508*G508,2)</f>
        <v/>
      </c>
      <c r="I508" s="52">
        <f>ROUND(SUM(F508,H508),2)</f>
        <v/>
      </c>
    </row>
    <row r="509" ht="15.75" customHeight="1">
      <c r="A509" s="15" t="n">
        <v>504</v>
      </c>
      <c r="B509" s="57" t="inlineStr">
        <is>
          <t>Монтаж музыкальной колонки</t>
        </is>
      </c>
      <c r="C509" s="15" t="inlineStr">
        <is>
          <t>шт</t>
        </is>
      </c>
      <c r="D509" s="60" t="n">
        <v>1</v>
      </c>
      <c r="E509" s="52" t="n">
        <v>0</v>
      </c>
      <c r="F509" s="52">
        <f>ROUND(D509*E509,2)</f>
        <v/>
      </c>
      <c r="G509" s="52" t="n">
        <v>1411.848878365026</v>
      </c>
      <c r="H509" s="52">
        <f>ROUND(D509*G509,2)</f>
        <v/>
      </c>
      <c r="I509" s="52">
        <f>ROUND(SUM(F509,H509),2)</f>
        <v/>
      </c>
    </row>
    <row r="510" ht="15.75" customHeight="1">
      <c r="A510" s="15" t="n">
        <v>505</v>
      </c>
      <c r="B510" s="57" t="inlineStr">
        <is>
          <t>Монтаж диффузоров</t>
        </is>
      </c>
      <c r="C510" s="15" t="inlineStr">
        <is>
          <t>шт</t>
        </is>
      </c>
      <c r="D510" s="18" t="n">
        <v>2</v>
      </c>
      <c r="E510" s="52" t="n">
        <v>1238.627820067312</v>
      </c>
      <c r="F510" s="52">
        <f>ROUND(D510*E510,2)</f>
        <v/>
      </c>
      <c r="G510" s="52" t="n">
        <v>1200.283269440882</v>
      </c>
      <c r="H510" s="52">
        <f>ROUND(D510*G510,2)</f>
        <v/>
      </c>
      <c r="I510" s="52">
        <f>ROUND(SUM(F510,H510),2)</f>
        <v/>
      </c>
    </row>
    <row r="511" ht="45" customHeight="1">
      <c r="A511" s="15" t="n">
        <v>506</v>
      </c>
      <c r="B511" s="65" t="inlineStr">
        <is>
          <t>Монтаж дверные блоков 2П 2000х700.
Монтаж деревянных дверей  из ЛДСП в телескопической алюминиевой коробке в проем,  замок WC Свободно/занято</t>
        </is>
      </c>
      <c r="C511" s="70" t="inlineStr">
        <is>
          <t>шт</t>
        </is>
      </c>
      <c r="D511" s="78" t="n">
        <v>1</v>
      </c>
      <c r="E511" s="52" t="n">
        <v>14360.90167764</v>
      </c>
      <c r="F511" s="52">
        <f>ROUND(D511*E511,2)</f>
        <v/>
      </c>
      <c r="G511" s="52" t="n">
        <v>9911.798466495968</v>
      </c>
      <c r="H511" s="52">
        <f>ROUND(D511*G511,2)</f>
        <v/>
      </c>
      <c r="I511" s="52">
        <f>ROUND(SUM(F511,H511),2)</f>
        <v/>
      </c>
    </row>
    <row r="512" ht="45" customHeight="1">
      <c r="A512" s="15" t="n">
        <v>507</v>
      </c>
      <c r="B512" s="69" t="inlineStr">
        <is>
          <t>Устройство  столешниц Иск. камень,
LG Hi-macs G503 NIGHT STELLA, - 20 мм
Мет. труба, - 40 мм</t>
        </is>
      </c>
      <c r="C512" s="70" t="inlineStr">
        <is>
          <t>шт</t>
        </is>
      </c>
      <c r="D512" s="79" t="n">
        <v>1</v>
      </c>
      <c r="E512" s="52" t="n">
        <v>33508.77050329201</v>
      </c>
      <c r="F512" s="52">
        <f>ROUND(D512*E512,2)</f>
        <v/>
      </c>
      <c r="G512" s="52" t="n">
        <v>16145.48096511602</v>
      </c>
      <c r="H512" s="52">
        <f>ROUND(D512*G512,2)</f>
        <v/>
      </c>
      <c r="I512" s="52">
        <f>ROUND(SUM(F512,H512),2)</f>
        <v/>
      </c>
    </row>
    <row r="513" ht="30" customHeight="1">
      <c r="A513" s="15" t="n">
        <v>508</v>
      </c>
      <c r="B513" s="69" t="inlineStr">
        <is>
          <t>Унитаз-компакт AM.PM Crave Flash Clean универсальный выпуск
двойной слив. Сиденье с микролифтом</t>
        </is>
      </c>
      <c r="C513" s="70" t="inlineStr">
        <is>
          <t>шт</t>
        </is>
      </c>
      <c r="D513" s="79" t="n">
        <v>1</v>
      </c>
      <c r="E513" s="52" t="n">
        <v>18956.390167764</v>
      </c>
      <c r="F513" s="52">
        <f>ROUND(D513*E513,2)</f>
        <v/>
      </c>
      <c r="G513" s="52" t="n">
        <v>8014.654209354573</v>
      </c>
      <c r="H513" s="52">
        <f>ROUND(D513*G513,2)</f>
        <v/>
      </c>
      <c r="I513" s="52">
        <f>ROUND(SUM(F513,H513),2)</f>
        <v/>
      </c>
    </row>
    <row r="514" ht="15.75" customHeight="1">
      <c r="A514" s="15" t="n">
        <v>509</v>
      </c>
      <c r="B514" s="69" t="inlineStr">
        <is>
          <t>Раковина Cersanit Moduo 40 Ring с подстольем 40 см</t>
        </is>
      </c>
      <c r="C514" s="70" t="inlineStr">
        <is>
          <t>комп</t>
        </is>
      </c>
      <c r="D514" s="79" t="n">
        <v>1</v>
      </c>
      <c r="E514" s="52" t="n">
        <v>7295.338103634</v>
      </c>
      <c r="F514" s="52">
        <f>ROUND(D514*E514,2)</f>
        <v/>
      </c>
      <c r="G514" s="52" t="n">
        <v>4048.005128082581</v>
      </c>
      <c r="H514" s="52">
        <f>ROUND(D514*G514,2)</f>
        <v/>
      </c>
      <c r="I514" s="52">
        <f>ROUND(SUM(F514,H514),2)</f>
        <v/>
      </c>
    </row>
    <row r="515" ht="30" customHeight="1">
      <c r="A515" s="15" t="n">
        <v>510</v>
      </c>
      <c r="B515" s="69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515" s="70" t="inlineStr">
        <is>
          <t>шт</t>
        </is>
      </c>
      <c r="D515" s="79" t="n">
        <v>1</v>
      </c>
      <c r="E515" s="52" t="n">
        <v>7471.881327158641</v>
      </c>
      <c r="F515" s="52">
        <f>ROUND(D515*E515,2)</f>
        <v/>
      </c>
      <c r="G515" s="52" t="n">
        <v>3287.730687613305</v>
      </c>
      <c r="H515" s="52">
        <f>ROUND(D515*G515,2)</f>
        <v/>
      </c>
      <c r="I515" s="52">
        <f>ROUND(SUM(F515,H515),2)</f>
        <v/>
      </c>
    </row>
    <row r="516" ht="15.75" customHeight="1">
      <c r="A516" s="15" t="n">
        <v>511</v>
      </c>
      <c r="B516" s="69" t="inlineStr">
        <is>
          <t>Гигиенический душ Olive'S Balear 13141BLB со смесителем</t>
        </is>
      </c>
      <c r="C516" s="70" t="inlineStr">
        <is>
          <t>шт</t>
        </is>
      </c>
      <c r="D516" s="79" t="n">
        <v>1</v>
      </c>
      <c r="E516" s="52" t="n">
        <v>5256.09</v>
      </c>
      <c r="F516" s="52">
        <f>ROUND(D516*E516,2)</f>
        <v/>
      </c>
      <c r="G516" s="52" t="n">
        <v>3187.402570491844</v>
      </c>
      <c r="H516" s="52">
        <f>ROUND(D516*G516,2)</f>
        <v/>
      </c>
      <c r="I516" s="52">
        <f>ROUND(SUM(F516,H516),2)</f>
        <v/>
      </c>
    </row>
    <row r="517" ht="15.75" customHeight="1">
      <c r="A517" s="15" t="n">
        <v>512</v>
      </c>
      <c r="B517" s="77" t="inlineStr">
        <is>
          <t>Монтаж сантехнических аксессуаров:</t>
        </is>
      </c>
      <c r="C517" s="70" t="inlineStr">
        <is>
          <t>комп</t>
        </is>
      </c>
      <c r="D517" s="79" t="n"/>
      <c r="E517" s="52" t="n">
        <v>0</v>
      </c>
      <c r="F517" s="52">
        <f>ROUND(D517*E517,2)</f>
        <v/>
      </c>
      <c r="G517" s="52" t="n">
        <v>0</v>
      </c>
      <c r="H517" s="52">
        <f>ROUND(D517*G517,2)</f>
        <v/>
      </c>
      <c r="I517" s="52">
        <f>ROUND(SUM(F517,H517),2)</f>
        <v/>
      </c>
    </row>
    <row r="518" ht="15.75" customHeight="1">
      <c r="A518" s="15" t="n">
        <v>513</v>
      </c>
      <c r="B518" s="77" t="inlineStr">
        <is>
          <t xml:space="preserve">Зеркало с подсветкой с прозрачным кантом </t>
        </is>
      </c>
      <c r="C518" s="70" t="inlineStr">
        <is>
          <t>шт</t>
        </is>
      </c>
      <c r="D518" s="79" t="n">
        <v>1</v>
      </c>
      <c r="E518" s="52" t="n">
        <v>5048.3607</v>
      </c>
      <c r="F518" s="52">
        <f>ROUND(D518*E518,2)</f>
        <v/>
      </c>
      <c r="G518" s="52" t="n">
        <v>2303.492849906005</v>
      </c>
      <c r="H518" s="52">
        <f>ROUND(D518*G518,2)</f>
        <v/>
      </c>
      <c r="I518" s="52">
        <f>ROUND(SUM(F518,H518),2)</f>
        <v/>
      </c>
    </row>
    <row r="519" ht="45" customHeight="1">
      <c r="A519" s="15" t="n">
        <v>514</v>
      </c>
      <c r="B519" s="7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519" s="70" t="inlineStr">
        <is>
          <t>м</t>
        </is>
      </c>
      <c r="D519" s="79" t="n">
        <v>60</v>
      </c>
      <c r="E519" s="52" t="n">
        <v>92.02159603728001</v>
      </c>
      <c r="F519" s="52">
        <f>ROUND(D519*E519,2)</f>
        <v/>
      </c>
      <c r="G519" s="52" t="n">
        <v>334.1070507051873</v>
      </c>
      <c r="H519" s="52">
        <f>ROUND(D519*G519,2)</f>
        <v/>
      </c>
      <c r="I519" s="52">
        <f>ROUND(SUM(F519,H519),2)</f>
        <v/>
      </c>
    </row>
    <row r="520" ht="32.25" customHeight="1">
      <c r="A520" s="15" t="n">
        <v>515</v>
      </c>
      <c r="B520" s="7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520" s="70" t="inlineStr">
        <is>
          <t>м</t>
        </is>
      </c>
      <c r="D520" s="79" t="n">
        <v>20</v>
      </c>
      <c r="E520" s="52" t="n">
        <v>112.12685511552</v>
      </c>
      <c r="F520" s="52">
        <f>ROUND(D520*E520,2)</f>
        <v/>
      </c>
      <c r="G520" s="52" t="n">
        <v>970.3651152701751</v>
      </c>
      <c r="H520" s="52">
        <f>ROUND(D520*G520,2)</f>
        <v/>
      </c>
      <c r="I520" s="52">
        <f>ROUND(SUM(F520,H520),2)</f>
        <v/>
      </c>
    </row>
    <row r="521" ht="15.75" customHeight="1">
      <c r="A521" s="15" t="n">
        <v>516</v>
      </c>
      <c r="B521" s="77" t="inlineStr">
        <is>
          <t>Монтаж КУП</t>
        </is>
      </c>
      <c r="C521" s="70" t="inlineStr">
        <is>
          <t>шт.</t>
        </is>
      </c>
      <c r="D521" s="79" t="n">
        <v>2</v>
      </c>
      <c r="E521" s="52" t="n">
        <v>918.6189791877001</v>
      </c>
      <c r="F521" s="52">
        <f>ROUND(D521*E521,2)</f>
        <v/>
      </c>
      <c r="G521" s="52" t="n">
        <v>614.1423662764341</v>
      </c>
      <c r="H521" s="52">
        <f>ROUND(D521*G521,2)</f>
        <v/>
      </c>
      <c r="I521" s="52">
        <f>ROUND(SUM(F521,H521),2)</f>
        <v/>
      </c>
    </row>
    <row r="522" ht="15.75" customHeight="1">
      <c r="A522" s="15" t="n">
        <v>517</v>
      </c>
      <c r="B522" s="76" t="inlineStr">
        <is>
          <t>Прокладка провода ПуГПнг(А)-HF 1х6 мм.кв.</t>
        </is>
      </c>
      <c r="C522" s="70" t="inlineStr">
        <is>
          <t>м</t>
        </is>
      </c>
      <c r="D522" s="79" t="n">
        <v>20</v>
      </c>
      <c r="E522" s="52" t="n">
        <v>84.63354249168002</v>
      </c>
      <c r="F522" s="52">
        <f>ROUND(D522*E522,2)</f>
        <v/>
      </c>
      <c r="G522" s="52" t="n">
        <v>320.3756441224579</v>
      </c>
      <c r="H522" s="52">
        <f>ROUND(D522*G522,2)</f>
        <v/>
      </c>
      <c r="I522" s="52">
        <f>ROUND(SUM(F522,H522),2)</f>
        <v/>
      </c>
    </row>
    <row r="523" ht="30" customHeight="1">
      <c r="A523" s="15" t="n">
        <v>518</v>
      </c>
      <c r="B523" s="80" t="inlineStr">
        <is>
          <t>Присоединение к зажимам жил проводов или кабелей сечением до 2,5 мм²</t>
        </is>
      </c>
      <c r="C523" s="70" t="inlineStr">
        <is>
          <t>шт.</t>
        </is>
      </c>
      <c r="D523" s="79" t="n">
        <v>20</v>
      </c>
      <c r="E523" s="52" t="n">
        <v>0</v>
      </c>
      <c r="F523" s="52">
        <f>ROUND(D523*E523,2)</f>
        <v/>
      </c>
      <c r="G523" s="52" t="n">
        <v>80.83276616230575</v>
      </c>
      <c r="H523" s="52">
        <f>ROUND(D523*G523,2)</f>
        <v/>
      </c>
      <c r="I523" s="52">
        <f>ROUND(SUM(F523,H523),2)</f>
        <v/>
      </c>
    </row>
    <row r="524" ht="15" customHeight="1">
      <c r="A524" s="15" t="n">
        <v>519</v>
      </c>
      <c r="B524" s="80" t="inlineStr">
        <is>
          <t>Присоединение к зажимам жил проводов или кабелей сечением до 6 мм²</t>
        </is>
      </c>
      <c r="C524" s="70" t="inlineStr">
        <is>
          <t>шт.</t>
        </is>
      </c>
      <c r="D524" s="79" t="n">
        <v>20</v>
      </c>
      <c r="E524" s="52" t="n">
        <v>0</v>
      </c>
      <c r="F524" s="52">
        <f>ROUND(D524*E524,2)</f>
        <v/>
      </c>
      <c r="G524" s="52" t="n">
        <v>109.9595342241365</v>
      </c>
      <c r="H524" s="52">
        <f>ROUND(D524*G524,2)</f>
        <v/>
      </c>
      <c r="I524" s="52">
        <f>ROUND(SUM(F524,H524),2)</f>
        <v/>
      </c>
    </row>
    <row r="525" ht="15.75" customHeight="1">
      <c r="A525" s="15" t="n">
        <v>520</v>
      </c>
      <c r="B525" s="76" t="inlineStr">
        <is>
          <t>Пусконаладочные работы</t>
        </is>
      </c>
      <c r="C525" s="70" t="inlineStr">
        <is>
          <t>компл.</t>
        </is>
      </c>
      <c r="D525" s="79" t="n">
        <v>1</v>
      </c>
      <c r="E525" s="52" t="n">
        <v>0</v>
      </c>
      <c r="F525" s="52">
        <f>ROUND(D525*E525,2)</f>
        <v/>
      </c>
      <c r="G525" s="52" t="n">
        <v>15036.25001159667</v>
      </c>
      <c r="H525" s="52">
        <f>ROUND(D525*G525,2)</f>
        <v/>
      </c>
      <c r="I525" s="52">
        <f>ROUND(SUM(F525,H525),2)</f>
        <v/>
      </c>
    </row>
    <row r="526" ht="15.75" customHeight="1">
      <c r="A526" s="15" t="n">
        <v>521</v>
      </c>
      <c r="B526" s="76" t="inlineStr">
        <is>
          <t>Монтаж распаечных коробок</t>
        </is>
      </c>
      <c r="C526" s="70" t="inlineStr">
        <is>
          <t>шт</t>
        </is>
      </c>
      <c r="D526" s="79" t="n">
        <v>6</v>
      </c>
      <c r="E526" s="52" t="n">
        <v>53.18324441640001</v>
      </c>
      <c r="F526" s="52">
        <f>ROUND(D526*E526,2)</f>
        <v/>
      </c>
      <c r="G526" s="52" t="n">
        <v>641.1219285959296</v>
      </c>
      <c r="H526" s="52">
        <f>ROUND(D526*G526,2)</f>
        <v/>
      </c>
      <c r="I526" s="52">
        <f>ROUND(SUM(F526,H526),2)</f>
        <v/>
      </c>
    </row>
    <row r="527" ht="15.75" customHeight="1">
      <c r="A527" s="15" t="n">
        <v>522</v>
      </c>
      <c r="B527" s="76" t="inlineStr">
        <is>
          <t>Выключатель двухклавишный</t>
        </is>
      </c>
      <c r="C527" s="70" t="inlineStr">
        <is>
          <t>шт</t>
        </is>
      </c>
      <c r="D527" s="79" t="n">
        <v>1</v>
      </c>
      <c r="E527" s="52" t="n">
        <v>338.43852781704</v>
      </c>
      <c r="F527" s="52">
        <f>ROUND(D527*E527,2)</f>
        <v/>
      </c>
      <c r="G527" s="52" t="n">
        <v>656.3663918054848</v>
      </c>
      <c r="H527" s="52">
        <f>ROUND(D527*G527,2)</f>
        <v/>
      </c>
      <c r="I527" s="52">
        <f>ROUND(SUM(F527,H527),2)</f>
        <v/>
      </c>
    </row>
    <row r="528">
      <c r="A528" s="15" t="n">
        <v>523</v>
      </c>
      <c r="B528" s="29" t="inlineStr">
        <is>
          <t>Раздел 3. Сантехнические работы</t>
        </is>
      </c>
      <c r="C528" s="15" t="n"/>
      <c r="D528" s="15" t="n"/>
      <c r="E528" s="15" t="n"/>
      <c r="F528" s="17" t="n"/>
      <c r="G528" s="13" t="n"/>
      <c r="H528" s="13" t="n"/>
      <c r="I528" s="13" t="n"/>
    </row>
    <row r="529" ht="15.75" customHeight="1">
      <c r="A529" s="15" t="n">
        <v>524</v>
      </c>
      <c r="B529" s="58" t="inlineStr">
        <is>
          <t>Прокладка канализационного трубопровода, d=50мм</t>
        </is>
      </c>
      <c r="C529" s="15" t="inlineStr">
        <is>
          <t>м</t>
        </is>
      </c>
      <c r="D529" s="67" t="n">
        <v>30</v>
      </c>
      <c r="E529" s="52" t="n">
        <v>207.10334552544</v>
      </c>
      <c r="F529" s="52">
        <f>ROUND(D529*E529,2)</f>
        <v/>
      </c>
      <c r="G529" s="52" t="n">
        <v>647.5516149375146</v>
      </c>
      <c r="H529" s="52">
        <f>ROUND(D529*G529,2)</f>
        <v/>
      </c>
      <c r="I529" s="52">
        <f>ROUND(SUM(F529,H529),2)</f>
        <v/>
      </c>
    </row>
    <row r="530" ht="15.75" customHeight="1">
      <c r="A530" s="15" t="n">
        <v>525</v>
      </c>
      <c r="B530" s="58" t="inlineStr">
        <is>
          <t>Покладка канализационного трубопровода, d=110мм</t>
        </is>
      </c>
      <c r="C530" s="15" t="inlineStr">
        <is>
          <t>м</t>
        </is>
      </c>
      <c r="D530" s="67" t="n">
        <v>26</v>
      </c>
      <c r="E530" s="52" t="n">
        <v>491.8704152544</v>
      </c>
      <c r="F530" s="52">
        <f>ROUND(D530*E530,2)</f>
        <v/>
      </c>
      <c r="G530" s="52" t="n">
        <v>911.442074203041</v>
      </c>
      <c r="H530" s="52">
        <f>ROUND(D530*G530,2)</f>
        <v/>
      </c>
      <c r="I530" s="52">
        <f>ROUND(SUM(F530,H530),2)</f>
        <v/>
      </c>
    </row>
    <row r="531" ht="30" customHeight="1">
      <c r="A531" s="15" t="n">
        <v>526</v>
      </c>
      <c r="B531" s="53" t="inlineStr">
        <is>
          <t>Монтаж трубопровода ХВС и ГВС для Гигиенического душа с креплением к несущим конструкциям 1/2'</t>
        </is>
      </c>
      <c r="C531" s="15" t="inlineStr">
        <is>
          <t>м</t>
        </is>
      </c>
      <c r="D531" s="15" t="n">
        <v>12</v>
      </c>
      <c r="E531" s="52" t="n">
        <v>124.4611276272</v>
      </c>
      <c r="F531" s="52">
        <f>ROUND(D531*E531,2)</f>
        <v/>
      </c>
      <c r="G531" s="52" t="n">
        <v>494.5807053620796</v>
      </c>
      <c r="H531" s="52">
        <f>ROUND(D531*G531,2)</f>
        <v/>
      </c>
      <c r="I531" s="52">
        <f>ROUND(SUM(F531,H531),2)</f>
        <v/>
      </c>
    </row>
    <row r="532" ht="15.75" customHeight="1">
      <c r="A532" s="15" t="n">
        <v>527</v>
      </c>
      <c r="B532" s="53" t="inlineStr">
        <is>
          <t>Теплоизоляция трубопровода для Гигиенического душа</t>
        </is>
      </c>
      <c r="C532" s="15" t="inlineStr">
        <is>
          <t>м</t>
        </is>
      </c>
      <c r="D532" s="15" t="n">
        <v>12</v>
      </c>
      <c r="E532" s="52" t="n">
        <v>44.80595735616</v>
      </c>
      <c r="F532" s="52">
        <f>ROUND(D532*E532,2)</f>
        <v/>
      </c>
      <c r="G532" s="52" t="n">
        <v>209.7137340258199</v>
      </c>
      <c r="H532" s="52">
        <f>ROUND(D532*G532,2)</f>
        <v/>
      </c>
      <c r="I532" s="52">
        <f>ROUND(SUM(F532,H532),2)</f>
        <v/>
      </c>
    </row>
    <row r="533" ht="15.75" customHeight="1">
      <c r="A533" s="15" t="n">
        <v>528</v>
      </c>
      <c r="B533" s="53" t="inlineStr">
        <is>
          <t>Установка запорной арматуры на линию Гигиенического душа</t>
        </is>
      </c>
      <c r="C533" s="15" t="inlineStr">
        <is>
          <t>шт</t>
        </is>
      </c>
      <c r="D533" s="18" t="n">
        <v>1</v>
      </c>
      <c r="E533" s="52" t="n">
        <v>448.060180932</v>
      </c>
      <c r="F533" s="52">
        <f>ROUND(D533*E533,2)</f>
        <v/>
      </c>
      <c r="G533" s="52" t="n">
        <v>1301.746431732025</v>
      </c>
      <c r="H533" s="52">
        <f>ROUND(D533*G533,2)</f>
        <v/>
      </c>
      <c r="I533" s="52">
        <f>ROUND(SUM(F533,H533),2)</f>
        <v/>
      </c>
    </row>
    <row r="534" ht="15.75" customHeight="1">
      <c r="A534" s="15" t="n">
        <v>529</v>
      </c>
      <c r="B534" s="53" t="inlineStr">
        <is>
          <t>Установка обратных клапанов на линию Гигиенического душа</t>
        </is>
      </c>
      <c r="C534" s="15" t="inlineStr">
        <is>
          <t>шт</t>
        </is>
      </c>
      <c r="D534" s="18" t="n">
        <v>1</v>
      </c>
      <c r="E534" s="52" t="n">
        <v>378.36187657632</v>
      </c>
      <c r="F534" s="52">
        <f>ROUND(D534*E534,2)</f>
        <v/>
      </c>
      <c r="G534" s="52" t="n">
        <v>1286.010440814944</v>
      </c>
      <c r="H534" s="52">
        <f>ROUND(D534*G534,2)</f>
        <v/>
      </c>
      <c r="I534" s="52">
        <f>ROUND(SUM(F534,H534),2)</f>
        <v/>
      </c>
    </row>
    <row r="535" ht="30" customHeight="1">
      <c r="A535" s="15" t="n">
        <v>530</v>
      </c>
      <c r="B535" s="53" t="inlineStr">
        <is>
          <t>Установка лючков 300х300 под плитку для доступа к подключению Гигиенического душа</t>
        </is>
      </c>
      <c r="C535" s="15" t="inlineStr">
        <is>
          <t>шт</t>
        </is>
      </c>
      <c r="D535" s="18" t="n">
        <v>1</v>
      </c>
      <c r="E535" s="52" t="n">
        <v>2106.265587174</v>
      </c>
      <c r="F535" s="52">
        <f>ROUND(D535*E535,2)</f>
        <v/>
      </c>
      <c r="G535" s="52" t="n">
        <v>1689.622315172197</v>
      </c>
      <c r="H535" s="52">
        <f>ROUND(D535*G535,2)</f>
        <v/>
      </c>
      <c r="I535" s="52">
        <f>ROUND(SUM(F535,H535),2)</f>
        <v/>
      </c>
    </row>
    <row r="536" ht="15.75" customHeight="1">
      <c r="A536" s="15" t="n">
        <v>531</v>
      </c>
      <c r="B536" s="53" t="inlineStr">
        <is>
          <t>Замена напольных трапов 100х100мм HL 510 N-3000</t>
        </is>
      </c>
      <c r="C536" s="15" t="inlineStr">
        <is>
          <t>шт</t>
        </is>
      </c>
      <c r="D536" s="18" t="n">
        <v>1</v>
      </c>
      <c r="E536" s="52" t="n">
        <v>5700.8197</v>
      </c>
      <c r="F536" s="52">
        <f>ROUND(D536*E536,2)</f>
        <v/>
      </c>
      <c r="G536" s="52" t="n">
        <v>4837.966600955877</v>
      </c>
      <c r="H536" s="52">
        <f>ROUND(D536*G536,2)</f>
        <v/>
      </c>
      <c r="I536" s="52">
        <f>ROUND(SUM(F536,H536),2)</f>
        <v/>
      </c>
    </row>
    <row r="537" ht="30" customHeight="1">
      <c r="A537" s="15" t="n">
        <v>532</v>
      </c>
      <c r="B537" s="53" t="inlineStr">
        <is>
          <t>Опрессовка смонтированного или реконструированного трубопровода ХВС/ГВС</t>
        </is>
      </c>
      <c r="C537" s="15" t="inlineStr">
        <is>
          <t>компл.</t>
        </is>
      </c>
      <c r="D537" s="18" t="n">
        <v>1</v>
      </c>
      <c r="E537" s="52" t="n">
        <v>0</v>
      </c>
      <c r="F537" s="52">
        <f>ROUND(D537*E537,2)</f>
        <v/>
      </c>
      <c r="G537" s="52" t="n">
        <v>4706.162927883422</v>
      </c>
      <c r="H537" s="52">
        <f>ROUND(D537*G537,2)</f>
        <v/>
      </c>
      <c r="I537" s="52">
        <f>ROUND(SUM(F537,H537),2)</f>
        <v/>
      </c>
    </row>
    <row r="538">
      <c r="A538" s="15" t="n">
        <v>533</v>
      </c>
      <c r="B538" s="53" t="inlineStr">
        <is>
          <t>Навесные элементы в санузлы</t>
        </is>
      </c>
      <c r="C538" s="15" t="n"/>
      <c r="D538" s="18" t="n"/>
      <c r="E538" s="15" t="n"/>
      <c r="F538" s="17" t="n"/>
      <c r="G538" s="13" t="n"/>
      <c r="H538" s="13" t="n"/>
      <c r="I538" s="13" t="n"/>
    </row>
    <row r="539" ht="15.75" customHeight="1">
      <c r="A539" s="15" t="n">
        <v>534</v>
      </c>
      <c r="B539" s="53" t="inlineStr">
        <is>
          <t>Диспенсер под туалетную бумагу</t>
        </is>
      </c>
      <c r="C539" s="20" t="inlineStr">
        <is>
          <t>шт</t>
        </is>
      </c>
      <c r="D539" s="20" t="n">
        <v>1</v>
      </c>
      <c r="E539" s="52" t="n">
        <v>1723.308154596</v>
      </c>
      <c r="F539" s="52">
        <f>ROUND(D539*E539,2)</f>
        <v/>
      </c>
      <c r="G539" s="52" t="n">
        <v>977.3467103634516</v>
      </c>
      <c r="H539" s="52">
        <f>ROUND(D539*G539,2)</f>
        <v/>
      </c>
      <c r="I539" s="52">
        <f>ROUND(SUM(F539,H539),2)</f>
        <v/>
      </c>
    </row>
    <row r="540" ht="15.75" customHeight="1">
      <c r="A540" s="15" t="n">
        <v>535</v>
      </c>
      <c r="B540" s="53" t="inlineStr">
        <is>
          <t>Диспенсер для накладок</t>
        </is>
      </c>
      <c r="C540" s="20" t="inlineStr">
        <is>
          <t>шт</t>
        </is>
      </c>
      <c r="D540" s="20" t="n">
        <v>1</v>
      </c>
      <c r="E540" s="52" t="n">
        <v>2393.483574006</v>
      </c>
      <c r="F540" s="52">
        <f>ROUND(D540*E540,2)</f>
        <v/>
      </c>
      <c r="G540" s="52" t="n">
        <v>1128.654183481734</v>
      </c>
      <c r="H540" s="52">
        <f>ROUND(D540*G540,2)</f>
        <v/>
      </c>
      <c r="I540" s="52">
        <f>ROUND(SUM(F540,H540),2)</f>
        <v/>
      </c>
    </row>
    <row r="541" ht="15.75" customHeight="1">
      <c r="A541" s="15" t="n">
        <v>536</v>
      </c>
      <c r="B541" s="53" t="inlineStr">
        <is>
          <t>Держательдля освежителя воздуха</t>
        </is>
      </c>
      <c r="C541" s="20" t="inlineStr">
        <is>
          <t>шт</t>
        </is>
      </c>
      <c r="D541" s="20" t="n">
        <v>1</v>
      </c>
      <c r="E541" s="52" t="n">
        <v>1436.090167764</v>
      </c>
      <c r="F541" s="52">
        <f>ROUND(D541*E541,2)</f>
        <v/>
      </c>
      <c r="G541" s="52" t="n">
        <v>912.500661757358</v>
      </c>
      <c r="H541" s="52">
        <f>ROUND(D541*G541,2)</f>
        <v/>
      </c>
      <c r="I541" s="52">
        <f>ROUND(SUM(F541,H541),2)</f>
        <v/>
      </c>
    </row>
    <row r="542" ht="15.75" customHeight="1">
      <c r="A542" s="15" t="n">
        <v>537</v>
      </c>
      <c r="B542" s="53" t="inlineStr">
        <is>
          <t>Полка под личные принадлежности</t>
        </is>
      </c>
      <c r="C542" s="20" t="inlineStr">
        <is>
          <t>шт</t>
        </is>
      </c>
      <c r="D542" s="20" t="n">
        <v>1</v>
      </c>
      <c r="E542" s="52" t="n">
        <v>861.6540772980001</v>
      </c>
      <c r="F542" s="52">
        <f>ROUND(D542*E542,2)</f>
        <v/>
      </c>
      <c r="G542" s="52" t="n">
        <v>782.8085381744397</v>
      </c>
      <c r="H542" s="52">
        <f>ROUND(D542*G542,2)</f>
        <v/>
      </c>
      <c r="I542" s="52">
        <f>ROUND(SUM(F542,H542),2)</f>
        <v/>
      </c>
    </row>
    <row r="543" ht="15.75" customHeight="1">
      <c r="A543" s="15" t="n">
        <v>538</v>
      </c>
      <c r="B543" s="53" t="inlineStr">
        <is>
          <t>Диспенсор под жидкое мыло</t>
        </is>
      </c>
      <c r="C543" s="20" t="inlineStr">
        <is>
          <t>шт</t>
        </is>
      </c>
      <c r="D543" s="20" t="n">
        <v>1</v>
      </c>
      <c r="E543" s="52" t="n">
        <v>2106.265587174</v>
      </c>
      <c r="F543" s="52">
        <f>ROUND(D543*E543,2)</f>
        <v/>
      </c>
      <c r="G543" s="52" t="n">
        <v>1181.462208072726</v>
      </c>
      <c r="H543" s="52">
        <f>ROUND(D543*G543,2)</f>
        <v/>
      </c>
      <c r="I543" s="52">
        <f>ROUND(SUM(F543,H543),2)</f>
        <v/>
      </c>
    </row>
    <row r="544" ht="15.75" customHeight="1">
      <c r="A544" s="15" t="n">
        <v>539</v>
      </c>
      <c r="B544" s="53" t="inlineStr">
        <is>
          <t>Диспенсер для бумажных полотенец</t>
        </is>
      </c>
      <c r="C544" s="20" t="inlineStr">
        <is>
          <t>шт</t>
        </is>
      </c>
      <c r="D544" s="20" t="n">
        <v>1</v>
      </c>
      <c r="E544" s="52" t="n">
        <v>3350.87709705</v>
      </c>
      <c r="F544" s="52">
        <f>ROUND(D544*E544,2)</f>
        <v/>
      </c>
      <c r="G544" s="52" t="n">
        <v>1462.461804773927</v>
      </c>
      <c r="H544" s="52">
        <f>ROUND(D544*G544,2)</f>
        <v/>
      </c>
      <c r="I544" s="52">
        <f>ROUND(SUM(F544,H544),2)</f>
        <v/>
      </c>
    </row>
    <row r="545">
      <c r="A545" s="15" t="n">
        <v>540</v>
      </c>
      <c r="B545" s="37" t="inlineStr">
        <is>
          <t>Санузел "М/Ж" 7го этажа</t>
        </is>
      </c>
      <c r="C545" s="53" t="n"/>
      <c r="D545" s="15" t="n"/>
      <c r="E545" s="15" t="n"/>
      <c r="F545" s="17" t="n"/>
      <c r="G545" s="13" t="n"/>
      <c r="H545" s="13" t="n"/>
      <c r="I545" s="13" t="n"/>
    </row>
    <row r="546">
      <c r="A546" s="15" t="n">
        <v>541</v>
      </c>
      <c r="B546" s="51" t="inlineStr">
        <is>
          <t xml:space="preserve">Раздел 1. Демонтажные работы </t>
        </is>
      </c>
      <c r="C546" s="53" t="n"/>
      <c r="D546" s="15" t="n"/>
      <c r="E546" s="15" t="n"/>
      <c r="F546" s="17" t="n"/>
      <c r="G546" s="13" t="n"/>
      <c r="H546" s="13" t="n"/>
      <c r="I546" s="13" t="n"/>
    </row>
    <row r="547" ht="15.75" customHeight="1">
      <c r="A547" s="15" t="n">
        <v>542</v>
      </c>
      <c r="B547" s="54" t="inlineStr">
        <is>
          <t>Разборка цементной стяжки h=200мм</t>
        </is>
      </c>
      <c r="C547" s="55" t="inlineStr">
        <is>
          <t>м2</t>
        </is>
      </c>
      <c r="D547" s="94" t="n">
        <v>22.64</v>
      </c>
      <c r="E547" s="52" t="n">
        <v>0</v>
      </c>
      <c r="F547" s="52">
        <f>ROUND(D547*E547,2)</f>
        <v/>
      </c>
      <c r="G547" s="52" t="n">
        <v>2406.537955785568</v>
      </c>
      <c r="H547" s="52">
        <f>ROUND(D547*G547,2)</f>
        <v/>
      </c>
      <c r="I547" s="52">
        <f>ROUND(SUM(F547,H547),2)</f>
        <v/>
      </c>
    </row>
    <row r="548" ht="30" customHeight="1">
      <c r="A548" s="15" t="n">
        <v>543</v>
      </c>
      <c r="B548" s="7" t="inlineStr">
        <is>
          <t>Подвесной потолок Armstrong перфорированный,
потолочные плиты 600х600 мм</t>
        </is>
      </c>
      <c r="C548" s="55" t="inlineStr">
        <is>
          <t>м2</t>
        </is>
      </c>
      <c r="D548" s="94" t="n">
        <v>22.64</v>
      </c>
      <c r="E548" s="52" t="n">
        <v>0</v>
      </c>
      <c r="F548" s="52">
        <f>ROUND(D548*E548,2)</f>
        <v/>
      </c>
      <c r="G548" s="52" t="n">
        <v>248.8169092563968</v>
      </c>
      <c r="H548" s="52">
        <f>ROUND(D548*G548,2)</f>
        <v/>
      </c>
      <c r="I548" s="52">
        <f>ROUND(SUM(F548,H548),2)</f>
        <v/>
      </c>
    </row>
    <row r="549" ht="15.75" customHeight="1">
      <c r="A549" s="15" t="n">
        <v>544</v>
      </c>
      <c r="B549" s="7" t="inlineStr">
        <is>
          <t>Демонтаж напольного покрытия</t>
        </is>
      </c>
      <c r="C549" s="55" t="inlineStr">
        <is>
          <t>м2</t>
        </is>
      </c>
      <c r="D549" s="94" t="n">
        <v>22.64</v>
      </c>
      <c r="E549" s="52" t="n">
        <v>0</v>
      </c>
      <c r="F549" s="52">
        <f>ROUND(D549*E549,2)</f>
        <v/>
      </c>
      <c r="G549" s="52" t="n">
        <v>503.1152762397645</v>
      </c>
      <c r="H549" s="52">
        <f>ROUND(D549*G549,2)</f>
        <v/>
      </c>
      <c r="I549" s="52">
        <f>ROUND(SUM(F549,H549),2)</f>
        <v/>
      </c>
    </row>
    <row r="550" ht="15.75" customHeight="1">
      <c r="A550" s="15" t="n">
        <v>545</v>
      </c>
      <c r="B550" s="7" t="inlineStr">
        <is>
          <t>Демонтаж настенной плитки</t>
        </is>
      </c>
      <c r="C550" s="56" t="inlineStr">
        <is>
          <t>м2</t>
        </is>
      </c>
      <c r="D550" s="94" t="n">
        <v>103.54</v>
      </c>
      <c r="E550" s="52" t="n">
        <v>0</v>
      </c>
      <c r="F550" s="52">
        <f>ROUND(D550*E550,2)</f>
        <v/>
      </c>
      <c r="G550" s="52" t="n">
        <v>456.4854730631076</v>
      </c>
      <c r="H550" s="52">
        <f>ROUND(D550*G550,2)</f>
        <v/>
      </c>
      <c r="I550" s="52">
        <f>ROUND(SUM(F550,H550),2)</f>
        <v/>
      </c>
    </row>
    <row r="551" ht="30" customHeight="1">
      <c r="A551" s="15" t="n">
        <v>546</v>
      </c>
      <c r="B551" s="54" t="inlineStr">
        <is>
          <t>Существующие санузловые перегородки из ЛДСП по
металлокаркасу</t>
        </is>
      </c>
      <c r="C551" s="56" t="inlineStr">
        <is>
          <t>м2</t>
        </is>
      </c>
      <c r="D551" s="94" t="n">
        <v>18.57</v>
      </c>
      <c r="E551" s="52" t="n">
        <v>0</v>
      </c>
      <c r="F551" s="52">
        <f>ROUND(D551*E551,2)</f>
        <v/>
      </c>
      <c r="G551" s="52" t="n">
        <v>463.1152762397645</v>
      </c>
      <c r="H551" s="52">
        <f>ROUND(D551*G551,2)</f>
        <v/>
      </c>
      <c r="I551" s="52">
        <f>ROUND(SUM(F551,H551),2)</f>
        <v/>
      </c>
    </row>
    <row r="552" ht="15.75" customHeight="1">
      <c r="A552" s="15" t="n">
        <v>547</v>
      </c>
      <c r="B552" s="58" t="inlineStr">
        <is>
          <t>Разборка канализационного трубопровода, d=50мм</t>
        </is>
      </c>
      <c r="C552" s="56" t="inlineStr">
        <is>
          <t>м</t>
        </is>
      </c>
      <c r="D552" s="95" t="n">
        <v>30</v>
      </c>
      <c r="E552" s="52" t="n">
        <v>0</v>
      </c>
      <c r="F552" s="52">
        <f>ROUND(D552*E552,2)</f>
        <v/>
      </c>
      <c r="G552" s="52" t="n">
        <v>230.5660693980355</v>
      </c>
      <c r="H552" s="52">
        <f>ROUND(D552*G552,2)</f>
        <v/>
      </c>
      <c r="I552" s="52">
        <f>ROUND(SUM(F552,H552),2)</f>
        <v/>
      </c>
    </row>
    <row r="553" ht="15.75" customHeight="1">
      <c r="A553" s="15" t="n">
        <v>548</v>
      </c>
      <c r="B553" s="58" t="inlineStr">
        <is>
          <t>Разборка канализационного трубопровода, d=110мм</t>
        </is>
      </c>
      <c r="C553" s="56" t="inlineStr">
        <is>
          <t>м</t>
        </is>
      </c>
      <c r="D553" s="95" t="n">
        <v>26</v>
      </c>
      <c r="E553" s="52" t="n">
        <v>0</v>
      </c>
      <c r="F553" s="52">
        <f>ROUND(D553*E553,2)</f>
        <v/>
      </c>
      <c r="G553" s="52" t="n">
        <v>230.5660693980355</v>
      </c>
      <c r="H553" s="52">
        <f>ROUND(D553*G553,2)</f>
        <v/>
      </c>
      <c r="I553" s="52">
        <f>ROUND(SUM(F553,H553),2)</f>
        <v/>
      </c>
    </row>
    <row r="554" ht="15.75" customHeight="1">
      <c r="A554" s="15" t="n">
        <v>549</v>
      </c>
      <c r="B554" s="54" t="inlineStr">
        <is>
          <t>Демонтаж существующих унитазов</t>
        </is>
      </c>
      <c r="C554" s="56" t="inlineStr">
        <is>
          <t>шт.</t>
        </is>
      </c>
      <c r="D554" s="94" t="n">
        <v>6</v>
      </c>
      <c r="E554" s="52" t="n">
        <v>0</v>
      </c>
      <c r="F554" s="52">
        <f>ROUND(D554*E554,2)</f>
        <v/>
      </c>
      <c r="G554" s="52" t="n">
        <v>1230.373498133161</v>
      </c>
      <c r="H554" s="52">
        <f>ROUND(D554*G554,2)</f>
        <v/>
      </c>
      <c r="I554" s="52">
        <f>ROUND(SUM(F554,H554),2)</f>
        <v/>
      </c>
    </row>
    <row r="555" ht="15.75" customHeight="1">
      <c r="A555" s="15" t="n">
        <v>550</v>
      </c>
      <c r="B555" s="54" t="inlineStr">
        <is>
          <t>Демонтаж существующих  писсуаров настенных без сенсора</t>
        </is>
      </c>
      <c r="C555" s="56" t="inlineStr">
        <is>
          <t>шт.</t>
        </is>
      </c>
      <c r="D555" s="56" t="n">
        <v>3</v>
      </c>
      <c r="E555" s="52" t="n">
        <v>0</v>
      </c>
      <c r="F555" s="52">
        <f>ROUND(D555*E555,2)</f>
        <v/>
      </c>
      <c r="G555" s="52" t="n">
        <v>1230.373498133161</v>
      </c>
      <c r="H555" s="52">
        <f>ROUND(D555*G555,2)</f>
        <v/>
      </c>
      <c r="I555" s="52">
        <f>ROUND(SUM(F555,H555),2)</f>
        <v/>
      </c>
    </row>
    <row r="556" ht="15.75" customHeight="1">
      <c r="A556" s="15" t="n">
        <v>551</v>
      </c>
      <c r="B556" s="54" t="inlineStr">
        <is>
          <t xml:space="preserve">Демонтаж существующих раковин </t>
        </is>
      </c>
      <c r="C556" s="56" t="inlineStr">
        <is>
          <t>шт.</t>
        </is>
      </c>
      <c r="D556" s="94" t="n">
        <v>8</v>
      </c>
      <c r="E556" s="52" t="n">
        <v>0</v>
      </c>
      <c r="F556" s="52">
        <f>ROUND(D556*E556,2)</f>
        <v/>
      </c>
      <c r="G556" s="52" t="n">
        <v>922.7801235998708</v>
      </c>
      <c r="H556" s="52">
        <f>ROUND(D556*G556,2)</f>
        <v/>
      </c>
      <c r="I556" s="52">
        <f>ROUND(SUM(F556,H556),2)</f>
        <v/>
      </c>
    </row>
    <row r="557" ht="15.75" customHeight="1">
      <c r="A557" s="15" t="n">
        <v>552</v>
      </c>
      <c r="B557" s="54" t="inlineStr">
        <is>
          <t>Демонтаж существующих сушилок для рук</t>
        </is>
      </c>
      <c r="C557" s="56" t="inlineStr">
        <is>
          <t>шт.</t>
        </is>
      </c>
      <c r="D557" s="94" t="n">
        <v>4</v>
      </c>
      <c r="E557" s="52" t="n">
        <v>0</v>
      </c>
      <c r="F557" s="52">
        <f>ROUND(D557*E557,2)</f>
        <v/>
      </c>
      <c r="G557" s="52" t="n">
        <v>525.4268038637409</v>
      </c>
      <c r="H557" s="52">
        <f>ROUND(D557*G557,2)</f>
        <v/>
      </c>
      <c r="I557" s="52">
        <f>ROUND(SUM(F557,H557),2)</f>
        <v/>
      </c>
    </row>
    <row r="558" ht="15.75" customHeight="1">
      <c r="A558" s="15" t="n">
        <v>553</v>
      </c>
      <c r="B558" s="54" t="inlineStr">
        <is>
          <t>Демонтаж осветительных приборов</t>
        </is>
      </c>
      <c r="C558" s="56" t="inlineStr">
        <is>
          <t>шт.</t>
        </is>
      </c>
      <c r="D558" s="94" t="n">
        <v>16</v>
      </c>
      <c r="E558" s="52" t="n">
        <v>0</v>
      </c>
      <c r="F558" s="52">
        <f>ROUND(D558*E558,2)</f>
        <v/>
      </c>
      <c r="G558" s="52" t="n">
        <v>461.3900617999354</v>
      </c>
      <c r="H558" s="52">
        <f>ROUND(D558*G558,2)</f>
        <v/>
      </c>
      <c r="I558" s="52">
        <f>ROUND(SUM(F558,H558),2)</f>
        <v/>
      </c>
    </row>
    <row r="559" ht="33" customHeight="1">
      <c r="A559" s="15" t="n">
        <v>554</v>
      </c>
      <c r="B559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559" s="56" t="inlineStr">
        <is>
          <t>м</t>
        </is>
      </c>
      <c r="D559" s="94" t="n">
        <v>80</v>
      </c>
      <c r="E559" s="52" t="n">
        <v>0</v>
      </c>
      <c r="F559" s="52">
        <f>ROUND(D559*E559,2)</f>
        <v/>
      </c>
      <c r="G559" s="52" t="n">
        <v>92.31692015457689</v>
      </c>
      <c r="H559" s="52">
        <f>ROUND(D559*G559,2)</f>
        <v/>
      </c>
      <c r="I559" s="52">
        <f>ROUND(SUM(F559,H559),2)</f>
        <v/>
      </c>
    </row>
    <row r="560" ht="15.75" customHeight="1">
      <c r="A560" s="15" t="n">
        <v>555</v>
      </c>
      <c r="B560" s="54" t="inlineStr">
        <is>
          <t>Демонтаж распаечных коробок</t>
        </is>
      </c>
      <c r="C560" s="56" t="inlineStr">
        <is>
          <t>шт.</t>
        </is>
      </c>
      <c r="D560" s="94" t="n">
        <v>16</v>
      </c>
      <c r="E560" s="52" t="n">
        <v>0</v>
      </c>
      <c r="F560" s="52">
        <f>ROUND(D560*E560,2)</f>
        <v/>
      </c>
      <c r="G560" s="52" t="n">
        <v>230.5660693980355</v>
      </c>
      <c r="H560" s="52">
        <f>ROUND(D560*G560,2)</f>
        <v/>
      </c>
      <c r="I560" s="52">
        <f>ROUND(SUM(F560,H560),2)</f>
        <v/>
      </c>
    </row>
    <row r="561" ht="15.75" customHeight="1">
      <c r="A561" s="15" t="n">
        <v>556</v>
      </c>
      <c r="B561" s="54" t="inlineStr">
        <is>
          <t>Демонтаж динамиков оповещения</t>
        </is>
      </c>
      <c r="C561" s="56" t="inlineStr">
        <is>
          <t>шт.</t>
        </is>
      </c>
      <c r="D561" s="94" t="n">
        <v>2</v>
      </c>
      <c r="E561" s="52" t="n">
        <v>0</v>
      </c>
      <c r="F561" s="52">
        <f>ROUND(D561*E561,2)</f>
        <v/>
      </c>
      <c r="G561" s="52" t="n">
        <v>823.5785123795987</v>
      </c>
      <c r="H561" s="52">
        <f>ROUND(D561*G561,2)</f>
        <v/>
      </c>
      <c r="I561" s="52">
        <f>ROUND(SUM(F561,H561),2)</f>
        <v/>
      </c>
    </row>
    <row r="562" ht="15.75" customHeight="1">
      <c r="A562" s="15" t="n">
        <v>557</v>
      </c>
      <c r="B562" s="54" t="inlineStr">
        <is>
          <t>Демонтаж  освежителей воздуха со стен</t>
        </is>
      </c>
      <c r="C562" s="56" t="inlineStr">
        <is>
          <t>шт.</t>
        </is>
      </c>
      <c r="D562" s="94" t="n">
        <v>2</v>
      </c>
      <c r="E562" s="52" t="n">
        <v>0</v>
      </c>
      <c r="F562" s="52">
        <f>ROUND(D562*E562,2)</f>
        <v/>
      </c>
      <c r="G562" s="52" t="n">
        <v>262.7134019318705</v>
      </c>
      <c r="H562" s="52">
        <f>ROUND(D562*G562,2)</f>
        <v/>
      </c>
      <c r="I562" s="52">
        <f>ROUND(SUM(F562,H562),2)</f>
        <v/>
      </c>
    </row>
    <row r="563" ht="15.75" customHeight="1">
      <c r="A563" s="15" t="n">
        <v>558</v>
      </c>
      <c r="B563" s="54" t="inlineStr">
        <is>
          <t>Демонтаж существующих водяных бойлеров</t>
        </is>
      </c>
      <c r="C563" s="56" t="inlineStr">
        <is>
          <t>шт.</t>
        </is>
      </c>
      <c r="D563" s="94" t="n">
        <v>2</v>
      </c>
      <c r="E563" s="52" t="n">
        <v>0</v>
      </c>
      <c r="F563" s="52">
        <f>ROUND(D563*E563,2)</f>
        <v/>
      </c>
      <c r="G563" s="52" t="n">
        <v>2353.081463941711</v>
      </c>
      <c r="H563" s="52">
        <f>ROUND(D563*G563,2)</f>
        <v/>
      </c>
      <c r="I563" s="52">
        <f>ROUND(SUM(F563,H563),2)</f>
        <v/>
      </c>
    </row>
    <row r="564" ht="15.75" customHeight="1">
      <c r="A564" s="15" t="n">
        <v>559</v>
      </c>
      <c r="B564" s="54" t="inlineStr">
        <is>
          <t>Демонтаж существующих бумагодержателей</t>
        </is>
      </c>
      <c r="C564" s="56" t="inlineStr">
        <is>
          <t>шт.</t>
        </is>
      </c>
      <c r="D564" s="94" t="n">
        <v>6</v>
      </c>
      <c r="E564" s="52" t="n">
        <v>0</v>
      </c>
      <c r="F564" s="52">
        <f>ROUND(D564*E564,2)</f>
        <v/>
      </c>
      <c r="G564" s="52" t="n">
        <v>262.7134019318705</v>
      </c>
      <c r="H564" s="52">
        <f>ROUND(D564*G564,2)</f>
        <v/>
      </c>
      <c r="I564" s="52">
        <f>ROUND(SUM(F564,H564),2)</f>
        <v/>
      </c>
    </row>
    <row r="565" ht="15.75" customHeight="1">
      <c r="A565" s="15" t="n">
        <v>560</v>
      </c>
      <c r="B565" s="54" t="inlineStr">
        <is>
          <t>Демонтаж существующих существующих настенных зеркал</t>
        </is>
      </c>
      <c r="C565" s="56" t="inlineStr">
        <is>
          <t>шт.</t>
        </is>
      </c>
      <c r="D565" s="94" t="n">
        <v>4</v>
      </c>
      <c r="E565" s="52" t="n">
        <v>0</v>
      </c>
      <c r="F565" s="52">
        <f>ROUND(D565*E565,2)</f>
        <v/>
      </c>
      <c r="G565" s="52" t="n">
        <v>459.7484533807733</v>
      </c>
      <c r="H565" s="52">
        <f>ROUND(D565*G565,2)</f>
        <v/>
      </c>
      <c r="I565" s="52">
        <f>ROUND(SUM(F565,H565),2)</f>
        <v/>
      </c>
    </row>
    <row r="566" ht="15.75" customHeight="1">
      <c r="A566" s="15" t="n">
        <v>561</v>
      </c>
      <c r="B566" s="54" t="inlineStr">
        <is>
          <t>Демонтаж существующих туалетных полочек</t>
        </is>
      </c>
      <c r="C566" s="56" t="inlineStr">
        <is>
          <t>шт.</t>
        </is>
      </c>
      <c r="D566" s="94" t="n">
        <v>6</v>
      </c>
      <c r="E566" s="52" t="n">
        <v>0</v>
      </c>
      <c r="F566" s="52">
        <f>ROUND(D566*E566,2)</f>
        <v/>
      </c>
      <c r="G566" s="52" t="n">
        <v>262.7134019318705</v>
      </c>
      <c r="H566" s="52">
        <f>ROUND(D566*G566,2)</f>
        <v/>
      </c>
      <c r="I566" s="52">
        <f>ROUND(SUM(F566,H566),2)</f>
        <v/>
      </c>
    </row>
    <row r="567" ht="15.75" customHeight="1">
      <c r="A567" s="15" t="n">
        <v>562</v>
      </c>
      <c r="B567" s="57" t="inlineStr">
        <is>
          <t>Демонтаж существующего люка в женском сан. Узле</t>
        </is>
      </c>
      <c r="C567" s="61" t="inlineStr">
        <is>
          <t>шт.</t>
        </is>
      </c>
      <c r="D567" s="96" t="n">
        <v>4</v>
      </c>
      <c r="E567" s="52" t="n">
        <v>0</v>
      </c>
      <c r="F567" s="52">
        <f>ROUND(D567*E567,2)</f>
        <v/>
      </c>
      <c r="G567" s="52" t="n">
        <v>1166.643896813129</v>
      </c>
      <c r="H567" s="52">
        <f>ROUND(D567*G567,2)</f>
        <v/>
      </c>
      <c r="I567" s="52">
        <f>ROUND(SUM(F567,H567),2)</f>
        <v/>
      </c>
    </row>
    <row r="568" ht="15.75" customHeight="1">
      <c r="A568" s="15" t="n">
        <v>563</v>
      </c>
      <c r="B568" s="54" t="inlineStr">
        <is>
          <t>Демонтаж телескопических алюм дверей</t>
        </is>
      </c>
      <c r="C568" s="61" t="inlineStr">
        <is>
          <t>шт.</t>
        </is>
      </c>
      <c r="D568" s="94" t="n">
        <v>4</v>
      </c>
      <c r="E568" s="52" t="n">
        <v>0</v>
      </c>
      <c r="F568" s="52">
        <f>ROUND(D568*E568,2)</f>
        <v/>
      </c>
      <c r="G568" s="52" t="n">
        <v>1346.709277613933</v>
      </c>
      <c r="H568" s="52">
        <f>ROUND(D568*G568,2)</f>
        <v/>
      </c>
      <c r="I568" s="52">
        <f>ROUND(SUM(F568,H568),2)</f>
        <v/>
      </c>
    </row>
    <row r="569" ht="45" customHeight="1">
      <c r="A569" s="15" t="n">
        <v>564</v>
      </c>
      <c r="B569" s="58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569" s="62" t="inlineStr">
        <is>
          <t>м2</t>
        </is>
      </c>
      <c r="D569" s="95" t="n">
        <v>30.15</v>
      </c>
      <c r="E569" s="52" t="n">
        <v>0</v>
      </c>
      <c r="F569" s="52">
        <f>ROUND(D569*E569,2)</f>
        <v/>
      </c>
      <c r="G569" s="52" t="n">
        <v>463.1152762397646</v>
      </c>
      <c r="H569" s="52">
        <f>ROUND(D569*G569,2)</f>
        <v/>
      </c>
      <c r="I569" s="52">
        <f>ROUND(SUM(F569,H569),2)</f>
        <v/>
      </c>
    </row>
    <row r="570">
      <c r="A570" s="15" t="n">
        <v>565</v>
      </c>
      <c r="B570" s="28" t="inlineStr">
        <is>
          <t>Раздел 2. Монтажные работы.</t>
        </is>
      </c>
      <c r="C570" s="67" t="n"/>
      <c r="D570" s="71" t="n"/>
      <c r="E570" s="15" t="n"/>
      <c r="F570" s="17" t="n"/>
      <c r="G570" s="13" t="n"/>
      <c r="H570" s="13" t="n"/>
      <c r="I570" s="13" t="n"/>
    </row>
    <row r="571" ht="15.75" customHeight="1">
      <c r="A571" s="15" t="n">
        <v>566</v>
      </c>
      <c r="B571" s="65" t="inlineStr">
        <is>
          <t>Устройство стяжки пола h=200мм</t>
        </is>
      </c>
      <c r="C571" s="67" t="inlineStr">
        <is>
          <t>м2</t>
        </is>
      </c>
      <c r="D571" s="67" t="n">
        <v>22.64</v>
      </c>
      <c r="E571" s="52" t="n">
        <v>3650.754138191594</v>
      </c>
      <c r="F571" s="52">
        <f>ROUND(D571*E571,2)</f>
        <v/>
      </c>
      <c r="G571" s="52" t="n">
        <v>3763.099275236907</v>
      </c>
      <c r="H571" s="52">
        <f>ROUND(D571*G571,2)</f>
        <v/>
      </c>
      <c r="I571" s="52">
        <f>ROUND(SUM(F571,H571),2)</f>
        <v/>
      </c>
    </row>
    <row r="572" ht="45" customHeight="1">
      <c r="A572" s="15" t="n">
        <v>567</v>
      </c>
      <c r="B572" s="64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572" s="62" t="inlineStr">
        <is>
          <t>м2</t>
        </is>
      </c>
      <c r="D572" s="62" t="n">
        <v>209.658</v>
      </c>
      <c r="E572" s="52" t="n">
        <v>1361.032094494925</v>
      </c>
      <c r="F572" s="52">
        <f>ROUND(D572*E572,2)</f>
        <v/>
      </c>
      <c r="G572" s="52" t="n">
        <v>2607.601033258546</v>
      </c>
      <c r="H572" s="52">
        <f>ROUND(D572*G572,2)</f>
        <v/>
      </c>
      <c r="I572" s="52">
        <f>ROUND(SUM(F572,H572),2)</f>
        <v/>
      </c>
    </row>
    <row r="573" ht="15.75" customHeight="1">
      <c r="A573" s="15" t="n">
        <v>568</v>
      </c>
      <c r="B573" s="65" t="inlineStr">
        <is>
          <t>Востановление стены после демонтажа люков 30х50см</t>
        </is>
      </c>
      <c r="C573" s="66" t="inlineStr">
        <is>
          <t>шт.</t>
        </is>
      </c>
      <c r="D573" s="66" t="n">
        <v>2</v>
      </c>
      <c r="E573" s="52" t="n">
        <v>0</v>
      </c>
      <c r="F573" s="52">
        <f>ROUND(D573*E573,2)</f>
        <v/>
      </c>
      <c r="G573" s="52" t="n">
        <v>2916.609742032823</v>
      </c>
      <c r="H573" s="52">
        <f>ROUND(D573*G573,2)</f>
        <v/>
      </c>
      <c r="I573" s="52">
        <f>ROUND(SUM(F573,H573),2)</f>
        <v/>
      </c>
    </row>
    <row r="574" ht="15.75" customHeight="1">
      <c r="A574" s="15" t="n">
        <v>569</v>
      </c>
      <c r="B574" s="65" t="inlineStr">
        <is>
          <t>Перенос и монтаж люка под плитку 1000х1000мм</t>
        </is>
      </c>
      <c r="C574" s="66" t="inlineStr">
        <is>
          <t>шт.</t>
        </is>
      </c>
      <c r="D574" s="66" t="n">
        <v>2</v>
      </c>
      <c r="E574" s="52" t="n">
        <v>11488.721342112</v>
      </c>
      <c r="F574" s="52">
        <f>ROUND(D574*E574,2)</f>
        <v/>
      </c>
      <c r="G574" s="52" t="n">
        <v>3807.926912457425</v>
      </c>
      <c r="H574" s="52">
        <f>ROUND(D574*G574,2)</f>
        <v/>
      </c>
      <c r="I574" s="52">
        <f>ROUND(SUM(F574,H574),2)</f>
        <v/>
      </c>
    </row>
    <row r="575" ht="15.75" customHeight="1">
      <c r="A575" s="15" t="n">
        <v>570</v>
      </c>
      <c r="B575" s="65" t="inlineStr">
        <is>
          <t>Устройство гидроизоляции</t>
        </is>
      </c>
      <c r="C575" s="67" t="inlineStr">
        <is>
          <t>м2</t>
        </is>
      </c>
      <c r="D575" s="67" t="n">
        <v>59</v>
      </c>
      <c r="E575" s="52" t="n">
        <v>442.3156016076</v>
      </c>
      <c r="F575" s="52">
        <f>ROUND(D575*E575,2)</f>
        <v/>
      </c>
      <c r="G575" s="52" t="n">
        <v>706.1086389192636</v>
      </c>
      <c r="H575" s="52">
        <f>ROUND(D575*G575,2)</f>
        <v/>
      </c>
      <c r="I575" s="52">
        <f>ROUND(SUM(F575,H575),2)</f>
        <v/>
      </c>
    </row>
    <row r="576" ht="45" customHeight="1">
      <c r="A576" s="15" t="n">
        <v>571</v>
      </c>
      <c r="B576" s="65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576" s="67" t="inlineStr">
        <is>
          <t>м2</t>
        </is>
      </c>
      <c r="D576" s="67" t="n">
        <v>24</v>
      </c>
      <c r="E576" s="52" t="n">
        <v>1196.7213</v>
      </c>
      <c r="F576" s="52">
        <f>ROUND(D576*E576,2)</f>
        <v/>
      </c>
      <c r="G576" s="52" t="n">
        <v>1239.587057393498</v>
      </c>
      <c r="H576" s="52">
        <f>ROUND(D576*G576,2)</f>
        <v/>
      </c>
      <c r="I576" s="52">
        <f>ROUND(SUM(F576,H576),2)</f>
        <v/>
      </c>
    </row>
    <row r="577" ht="15.75" customHeight="1">
      <c r="A577" s="15" t="n">
        <v>572</v>
      </c>
      <c r="B577" s="65" t="inlineStr">
        <is>
          <t>Чернение потолка и коммуникаций RAL 7026</t>
        </is>
      </c>
      <c r="C577" s="67" t="inlineStr">
        <is>
          <t>м2</t>
        </is>
      </c>
      <c r="D577" s="67" t="n">
        <v>24</v>
      </c>
      <c r="E577" s="52" t="n">
        <v>184.96839823686</v>
      </c>
      <c r="F577" s="52">
        <f>ROUND(D577*E577,2)</f>
        <v/>
      </c>
      <c r="G577" s="52" t="n">
        <v>377.3398992589209</v>
      </c>
      <c r="H577" s="52">
        <f>ROUND(D577*G577,2)</f>
        <v/>
      </c>
      <c r="I577" s="52">
        <f>ROUND(SUM(F577,H577),2)</f>
        <v/>
      </c>
    </row>
    <row r="578" ht="15.75" customHeight="1">
      <c r="A578" s="15" t="n">
        <v>573</v>
      </c>
      <c r="B578" s="65" t="inlineStr">
        <is>
          <t>Окраска фриза RAL 7026</t>
        </is>
      </c>
      <c r="C578" s="67" t="inlineStr">
        <is>
          <t>м2</t>
        </is>
      </c>
      <c r="D578" s="67" t="n">
        <v>33.82</v>
      </c>
      <c r="E578" s="52" t="n">
        <v>160.84208489013</v>
      </c>
      <c r="F578" s="52">
        <f>ROUND(D578*E578,2)</f>
        <v/>
      </c>
      <c r="G578" s="52" t="n">
        <v>451.0086387490006</v>
      </c>
      <c r="H578" s="52">
        <f>ROUND(D578*G578,2)</f>
        <v/>
      </c>
      <c r="I578" s="52">
        <f>ROUND(SUM(F578,H578),2)</f>
        <v/>
      </c>
    </row>
    <row r="579" ht="30" customHeight="1">
      <c r="A579" s="15" t="n">
        <v>574</v>
      </c>
      <c r="B579" s="65" t="inlineStr">
        <is>
          <t>Устройство напольного покрытия Керамогранит светло-серый 60х60 Матовый Карвинг 59,50x59,50</t>
        </is>
      </c>
      <c r="C579" s="67" t="inlineStr">
        <is>
          <t>м2</t>
        </is>
      </c>
      <c r="D579" s="67" t="n">
        <v>22.64</v>
      </c>
      <c r="E579" s="52" t="n">
        <v>2213.23820148465</v>
      </c>
      <c r="F579" s="52">
        <f>ROUND(D579*E579,2)</f>
        <v/>
      </c>
      <c r="G579" s="52" t="n">
        <v>3051.150486403696</v>
      </c>
      <c r="H579" s="52">
        <f>ROUND(D579*G579,2)</f>
        <v/>
      </c>
      <c r="I579" s="52">
        <f>ROUND(SUM(F579,H579),2)</f>
        <v/>
      </c>
    </row>
    <row r="580" ht="30" customHeight="1">
      <c r="A580" s="15" t="n">
        <v>575</v>
      </c>
      <c r="B580" s="65" t="inlineStr">
        <is>
          <t>Облицовка стен керамогранитом светло-серый 59,5х119,01, Матовый Карвинг 59,5х119,01 Evolution Smoke</t>
        </is>
      </c>
      <c r="C580" s="67" t="inlineStr">
        <is>
          <t>м2</t>
        </is>
      </c>
      <c r="D580" s="68" t="n">
        <v>105.32</v>
      </c>
      <c r="E580" s="52" t="n">
        <v>2222.661196699863</v>
      </c>
      <c r="F580" s="52">
        <f>ROUND(D580*E580,2)</f>
        <v/>
      </c>
      <c r="G580" s="52" t="n">
        <v>3180.984833770257</v>
      </c>
      <c r="H580" s="52">
        <f>ROUND(D580*G580,2)</f>
        <v/>
      </c>
      <c r="I580" s="52">
        <f>ROUND(SUM(F580,H580),2)</f>
        <v/>
      </c>
    </row>
    <row r="581" ht="30" customHeight="1">
      <c r="A581" s="15" t="n">
        <v>576</v>
      </c>
      <c r="B581" s="65" t="inlineStr">
        <is>
          <t>Облицовка стен керамогранитом светло-серый 59,5х119,01, Матовый Карвинг 59,5х119,01Nord Gris</t>
        </is>
      </c>
      <c r="C581" s="67" t="inlineStr">
        <is>
          <t>м2</t>
        </is>
      </c>
      <c r="D581" s="68" t="n">
        <v>25.99</v>
      </c>
      <c r="E581" s="52" t="n">
        <v>2222.661196699863</v>
      </c>
      <c r="F581" s="52">
        <f>ROUND(D581*E581,2)</f>
        <v/>
      </c>
      <c r="G581" s="52" t="n">
        <v>3180.984833770257</v>
      </c>
      <c r="H581" s="52">
        <f>ROUND(D581*G581,2)</f>
        <v/>
      </c>
      <c r="I581" s="52">
        <f>ROUND(SUM(F581,H581),2)</f>
        <v/>
      </c>
    </row>
    <row r="582" ht="30" customHeight="1">
      <c r="A582" s="15" t="n">
        <v>577</v>
      </c>
      <c r="B582" s="65" t="inlineStr">
        <is>
          <t>Монтаж светильника подвесного SP-POLO-R85-2-15W Day White 40deg теплый белый 3000К, (Black, Black Ring) (Arlight, IP20), 230D</t>
        </is>
      </c>
      <c r="C582" s="67" t="inlineStr">
        <is>
          <t>шт</t>
        </is>
      </c>
      <c r="D582" s="95" t="n">
        <v>27</v>
      </c>
      <c r="E582" s="52" t="n">
        <v>7913.8934</v>
      </c>
      <c r="F582" s="52">
        <f>ROUND(D582*E582,2)</f>
        <v/>
      </c>
      <c r="G582" s="52" t="n">
        <v>3609.000970777563</v>
      </c>
      <c r="H582" s="52">
        <f>ROUND(D582*G582,2)</f>
        <v/>
      </c>
      <c r="I582" s="52">
        <f>ROUND(SUM(F582,H582),2)</f>
        <v/>
      </c>
    </row>
    <row r="583" ht="60" customHeight="1">
      <c r="A583" s="15" t="n">
        <v>578</v>
      </c>
      <c r="B583" s="65" t="inlineStr">
        <is>
          <t>Монтаж встраиваемого светодиодного светильника OKKO IP54/IP20 13 WH
Светильник SP-JEDI-HANG-R18-6W Warm3000 (BK, 360 deg, 230V)
(Arlight, IP20 Пластик</t>
        </is>
      </c>
      <c r="C583" s="67" t="inlineStr">
        <is>
          <t>шт</t>
        </is>
      </c>
      <c r="D583" s="95" t="n">
        <v>12</v>
      </c>
      <c r="E583" s="52" t="n">
        <v>7453.721229457388</v>
      </c>
      <c r="F583" s="52">
        <f>ROUND(D583*E583,2)</f>
        <v/>
      </c>
      <c r="G583" s="52" t="n">
        <v>3214.625726855305</v>
      </c>
      <c r="H583" s="52">
        <f>ROUND(D583*G583,2)</f>
        <v/>
      </c>
      <c r="I583" s="52">
        <f>ROUND(SUM(F583,H583),2)</f>
        <v/>
      </c>
    </row>
    <row r="584" ht="15.75" customHeight="1">
      <c r="A584" s="15" t="n">
        <v>579</v>
      </c>
      <c r="B584" s="65" t="inlineStr">
        <is>
          <t>Монтаж существующей музыкальной колонки</t>
        </is>
      </c>
      <c r="C584" s="67" t="inlineStr">
        <is>
          <t>шт</t>
        </is>
      </c>
      <c r="D584" s="71" t="n">
        <v>2</v>
      </c>
      <c r="E584" s="52" t="n">
        <v>0</v>
      </c>
      <c r="F584" s="52">
        <f>ROUND(D584*E584,2)</f>
        <v/>
      </c>
      <c r="G584" s="52" t="n">
        <v>1411.848878365026</v>
      </c>
      <c r="H584" s="52">
        <f>ROUND(D584*G584,2)</f>
        <v/>
      </c>
      <c r="I584" s="52">
        <f>ROUND(SUM(F584,H584),2)</f>
        <v/>
      </c>
    </row>
    <row r="585" ht="15.75" customHeight="1">
      <c r="A585" s="15" t="n">
        <v>580</v>
      </c>
      <c r="B585" s="65" t="inlineStr">
        <is>
          <t>Монтаж диффузоров</t>
        </is>
      </c>
      <c r="C585" s="67" t="inlineStr">
        <is>
          <t>шт</t>
        </is>
      </c>
      <c r="D585" s="68" t="n">
        <v>6</v>
      </c>
      <c r="E585" s="52" t="n">
        <v>1238.627820067312</v>
      </c>
      <c r="F585" s="52">
        <f>ROUND(D585*E585,2)</f>
        <v/>
      </c>
      <c r="G585" s="52" t="n">
        <v>1200.283269440882</v>
      </c>
      <c r="H585" s="52">
        <f>ROUND(D585*G585,2)</f>
        <v/>
      </c>
      <c r="I585" s="52">
        <f>ROUND(SUM(F585,H585),2)</f>
        <v/>
      </c>
    </row>
    <row r="586" ht="52.5" customHeight="1">
      <c r="A586" s="15" t="n">
        <v>581</v>
      </c>
      <c r="B586" s="65" t="inlineStr">
        <is>
          <t>Монтаж дверных блоков 2Л 2000х700.
Монтаж деревянных дверей  из ЛДСП в телескопической алюминиевой коробке в проем, замок WC Свободно/занято</t>
        </is>
      </c>
      <c r="C586" s="67" t="inlineStr">
        <is>
          <t>шт</t>
        </is>
      </c>
      <c r="D586" s="68" t="n">
        <v>2</v>
      </c>
      <c r="E586" s="52" t="n">
        <v>14360.90167764</v>
      </c>
      <c r="F586" s="52">
        <f>ROUND(D586*E586,2)</f>
        <v/>
      </c>
      <c r="G586" s="52" t="n">
        <v>9911.798466495968</v>
      </c>
      <c r="H586" s="52">
        <f>ROUND(D586*G586,2)</f>
        <v/>
      </c>
      <c r="I586" s="52">
        <f>ROUND(SUM(F586,H586),2)</f>
        <v/>
      </c>
    </row>
    <row r="587" ht="45" customHeight="1">
      <c r="A587" s="15" t="n">
        <v>582</v>
      </c>
      <c r="B587" s="65" t="inlineStr">
        <is>
          <t>Монтаж дверные блоков 2П 2000х700.
Монтаж деревянных дверей  из ЛДСП в телескопической алюминиевой коробке в проем,  замок WC Свободно/занято</t>
        </is>
      </c>
      <c r="C587" s="67" t="inlineStr">
        <is>
          <t>шт</t>
        </is>
      </c>
      <c r="D587" s="68" t="n">
        <v>4</v>
      </c>
      <c r="E587" s="52" t="n">
        <v>14360.90167764</v>
      </c>
      <c r="F587" s="52">
        <f>ROUND(D587*E587,2)</f>
        <v/>
      </c>
      <c r="G587" s="52" t="n">
        <v>9911.798466495968</v>
      </c>
      <c r="H587" s="52">
        <f>ROUND(D587*G587,2)</f>
        <v/>
      </c>
      <c r="I587" s="52">
        <f>ROUND(SUM(F587,H587),2)</f>
        <v/>
      </c>
    </row>
    <row r="588" ht="60" customHeight="1">
      <c r="A588" s="15" t="n">
        <v>583</v>
      </c>
      <c r="B588" s="65" t="inlineStr">
        <is>
          <t>Монтаж дверных блоков 1Л 2000х800.
Монтаж деревянных дверей  из ЛДСП, в телескопической алюминиевой коробке в проем, доводчик для автоматического закрывания.</t>
        </is>
      </c>
      <c r="C588" s="67" t="inlineStr">
        <is>
          <t>шт</t>
        </is>
      </c>
      <c r="D588" s="68" t="n">
        <v>2</v>
      </c>
      <c r="E588" s="52" t="n">
        <v>16467.167264814</v>
      </c>
      <c r="F588" s="52">
        <f>ROUND(D588*E588,2)</f>
        <v/>
      </c>
      <c r="G588" s="52" t="n">
        <v>10387.33623538618</v>
      </c>
      <c r="H588" s="52">
        <f>ROUND(D588*G588,2)</f>
        <v/>
      </c>
      <c r="I588" s="52">
        <f>ROUND(SUM(F588,H588),2)</f>
        <v/>
      </c>
    </row>
    <row r="589" ht="30" customHeight="1">
      <c r="A589" s="15" t="n">
        <v>584</v>
      </c>
      <c r="B589" s="64" t="inlineStr">
        <is>
          <t>Устройство  столешниц Иск. камень, LG Hi-macs G503 NIGHT STELLA, - 20 мм Мет. труба, - 40 мм</t>
        </is>
      </c>
      <c r="C589" s="67" t="inlineStr">
        <is>
          <t>шт</t>
        </is>
      </c>
      <c r="D589" s="68" t="n">
        <v>2</v>
      </c>
      <c r="E589" s="52" t="n">
        <v>33508.77050329201</v>
      </c>
      <c r="F589" s="52">
        <f>ROUND(D589*E589,2)</f>
        <v/>
      </c>
      <c r="G589" s="52" t="n">
        <v>16145.48096511602</v>
      </c>
      <c r="H589" s="52">
        <f>ROUND(D589*G589,2)</f>
        <v/>
      </c>
      <c r="I589" s="52">
        <f>ROUND(SUM(F589,H589),2)</f>
        <v/>
      </c>
    </row>
    <row r="590" ht="15.75" customHeight="1">
      <c r="A590" s="15" t="n">
        <v>585</v>
      </c>
      <c r="B590" s="64" t="inlineStr">
        <is>
          <t xml:space="preserve">Монтаж подвесных писуаров </t>
        </is>
      </c>
      <c r="C590" s="67" t="inlineStr">
        <is>
          <t>шт</t>
        </is>
      </c>
      <c r="D590" s="68" t="n">
        <v>3</v>
      </c>
      <c r="E590" s="52" t="n">
        <v>13585.41290295</v>
      </c>
      <c r="F590" s="52">
        <f>ROUND(D590*E590,2)</f>
        <v/>
      </c>
      <c r="G590" s="52" t="n">
        <v>6401.837371901934</v>
      </c>
      <c r="H590" s="52">
        <f>ROUND(D590*G590,2)</f>
        <v/>
      </c>
      <c r="I590" s="52">
        <f>ROUND(SUM(F590,H590),2)</f>
        <v/>
      </c>
    </row>
    <row r="591" ht="30" customHeight="1">
      <c r="A591" s="15" t="n">
        <v>586</v>
      </c>
      <c r="B591" s="64" t="inlineStr">
        <is>
          <t>Унитаз-компакт AM.PM Crave Flash Clean универсальный выпуск
двойной слив. Сиденье с микролифтом</t>
        </is>
      </c>
      <c r="C591" s="67" t="inlineStr">
        <is>
          <t>шт</t>
        </is>
      </c>
      <c r="D591" s="68" t="n">
        <v>6</v>
      </c>
      <c r="E591" s="52" t="n">
        <v>18956.390167764</v>
      </c>
      <c r="F591" s="52">
        <f>ROUND(D591*E591,2)</f>
        <v/>
      </c>
      <c r="G591" s="52" t="n">
        <v>8014.654209354573</v>
      </c>
      <c r="H591" s="52">
        <f>ROUND(D591*G591,2)</f>
        <v/>
      </c>
      <c r="I591" s="52">
        <f>ROUND(SUM(F591,H591),2)</f>
        <v/>
      </c>
    </row>
    <row r="592" ht="15.75" customHeight="1">
      <c r="A592" s="15" t="n">
        <v>587</v>
      </c>
      <c r="B592" s="64" t="inlineStr">
        <is>
          <t>Раковина Cersanit Moduo 40 Ring с подстольем 40 см</t>
        </is>
      </c>
      <c r="C592" s="67" t="inlineStr">
        <is>
          <t>комп</t>
        </is>
      </c>
      <c r="D592" s="68" t="n">
        <v>4</v>
      </c>
      <c r="E592" s="52" t="n">
        <v>7295.338103634</v>
      </c>
      <c r="F592" s="52">
        <f>ROUND(D592*E592,2)</f>
        <v/>
      </c>
      <c r="G592" s="52" t="n">
        <v>4048.005128082581</v>
      </c>
      <c r="H592" s="52">
        <f>ROUND(D592*G592,2)</f>
        <v/>
      </c>
      <c r="I592" s="52">
        <f>ROUND(SUM(F592,H592),2)</f>
        <v/>
      </c>
    </row>
    <row r="593" ht="15.75" customHeight="1">
      <c r="A593" s="15" t="n">
        <v>588</v>
      </c>
      <c r="B593" s="64" t="inlineStr">
        <is>
          <t>Напольная раковина CeruttiSpa Dorris CT7830 430x360x830</t>
        </is>
      </c>
      <c r="C593" s="67" t="inlineStr">
        <is>
          <t>шт</t>
        </is>
      </c>
      <c r="D593" s="68" t="n">
        <v>4</v>
      </c>
      <c r="E593" s="52" t="n">
        <v>18094.736090466</v>
      </c>
      <c r="F593" s="52">
        <f>ROUND(D593*E593,2)</f>
        <v/>
      </c>
      <c r="G593" s="52" t="n">
        <v>6486.216935410227</v>
      </c>
      <c r="H593" s="52">
        <f>ROUND(D593*G593,2)</f>
        <v/>
      </c>
      <c r="I593" s="52">
        <f>ROUND(SUM(F593,H593),2)</f>
        <v/>
      </c>
    </row>
    <row r="594" ht="30" customHeight="1">
      <c r="A594" s="15" t="n">
        <v>589</v>
      </c>
      <c r="B594" s="72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594" s="15" t="inlineStr">
        <is>
          <t>шт</t>
        </is>
      </c>
      <c r="D594" s="18" t="n">
        <v>4</v>
      </c>
      <c r="E594" s="52" t="n">
        <v>7471.881327158641</v>
      </c>
      <c r="F594" s="52">
        <f>ROUND(D594*E594,2)</f>
        <v/>
      </c>
      <c r="G594" s="52" t="n">
        <v>3287.730687613305</v>
      </c>
      <c r="H594" s="52">
        <f>ROUND(D594*G594,2)</f>
        <v/>
      </c>
      <c r="I594" s="52">
        <f>ROUND(SUM(F594,H594),2)</f>
        <v/>
      </c>
    </row>
    <row r="595" ht="45" customHeight="1">
      <c r="A595" s="15" t="n">
        <v>590</v>
      </c>
      <c r="B595" s="72" t="inlineStr">
        <is>
          <t>Смеситель для раковины Cersanit Brasko 63024 однорычажный
высокий цвет хром, предусмотреть установку обратных клапанов на ГВС и ХВС.</t>
        </is>
      </c>
      <c r="C595" s="15" t="inlineStr">
        <is>
          <t>шт</t>
        </is>
      </c>
      <c r="D595" s="18" t="n">
        <v>4</v>
      </c>
      <c r="E595" s="52" t="n">
        <v>9082.13355315264</v>
      </c>
      <c r="F595" s="52">
        <f>ROUND(D595*E595,2)</f>
        <v/>
      </c>
      <c r="G595" s="52" t="n">
        <v>3747.273105231152</v>
      </c>
      <c r="H595" s="52">
        <f>ROUND(D595*G595,2)</f>
        <v/>
      </c>
      <c r="I595" s="52">
        <f>ROUND(SUM(F595,H595),2)</f>
        <v/>
      </c>
    </row>
    <row r="596" ht="15.75" customHeight="1">
      <c r="A596" s="15" t="n">
        <v>591</v>
      </c>
      <c r="B596" s="72" t="inlineStr">
        <is>
          <t>Гигиенический душ Olive'S Balear 13141BLB со смесителем</t>
        </is>
      </c>
      <c r="C596" s="15" t="inlineStr">
        <is>
          <t>шт</t>
        </is>
      </c>
      <c r="D596" s="18" t="n">
        <v>5</v>
      </c>
      <c r="E596" s="52" t="n">
        <v>5256.09</v>
      </c>
      <c r="F596" s="52">
        <f>ROUND(D596*E596,2)</f>
        <v/>
      </c>
      <c r="G596" s="52" t="n">
        <v>3187.402570491844</v>
      </c>
      <c r="H596" s="52">
        <f>ROUND(D596*G596,2)</f>
        <v/>
      </c>
      <c r="I596" s="52">
        <f>ROUND(SUM(F596,H596),2)</f>
        <v/>
      </c>
    </row>
    <row r="597" ht="15.75" customHeight="1">
      <c r="A597" s="15" t="n">
        <v>592</v>
      </c>
      <c r="B597" s="7" t="inlineStr">
        <is>
          <t>Монтаж сантехнических аксессуаров:</t>
        </is>
      </c>
      <c r="C597" s="15" t="inlineStr">
        <is>
          <t>комп</t>
        </is>
      </c>
      <c r="D597" s="18" t="n"/>
      <c r="E597" s="52" t="n"/>
      <c r="F597" s="52" t="n"/>
      <c r="G597" s="52" t="n"/>
      <c r="H597" s="52" t="n"/>
      <c r="I597" s="52" t="n"/>
    </row>
    <row r="598" ht="15.75" customHeight="1">
      <c r="A598" s="15" t="n">
        <v>593</v>
      </c>
      <c r="B598" s="7" t="inlineStr">
        <is>
          <t xml:space="preserve">Зеркало с подсветкой с прозрачным кантом </t>
        </is>
      </c>
      <c r="C598" s="15" t="inlineStr">
        <is>
          <t>шт</t>
        </is>
      </c>
      <c r="D598" s="18" t="n">
        <v>8</v>
      </c>
      <c r="E598" s="52" t="n">
        <v>5048.3607</v>
      </c>
      <c r="F598" s="52">
        <f>ROUND(D598*E598,2)</f>
        <v/>
      </c>
      <c r="G598" s="52" t="n">
        <v>2303.492849906005</v>
      </c>
      <c r="H598" s="52">
        <f>ROUND(D598*G598,2)</f>
        <v/>
      </c>
      <c r="I598" s="52">
        <f>ROUND(SUM(F598,H598),2)</f>
        <v/>
      </c>
    </row>
    <row r="599" ht="45" customHeight="1">
      <c r="A599" s="15" t="n">
        <v>594</v>
      </c>
      <c r="B599" s="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599" s="15" t="inlineStr">
        <is>
          <t>м</t>
        </is>
      </c>
      <c r="D599" s="18" t="n">
        <v>60</v>
      </c>
      <c r="E599" s="52" t="n">
        <v>92.02159603728001</v>
      </c>
      <c r="F599" s="52">
        <f>ROUND(D599*E599,2)</f>
        <v/>
      </c>
      <c r="G599" s="52" t="n">
        <v>334.1070507051873</v>
      </c>
      <c r="H599" s="52">
        <f>ROUND(D599*G599,2)</f>
        <v/>
      </c>
      <c r="I599" s="52">
        <f>ROUND(SUM(F599,H599),2)</f>
        <v/>
      </c>
    </row>
    <row r="600" ht="30" customHeight="1">
      <c r="A600" s="15" t="n">
        <v>595</v>
      </c>
      <c r="B600" s="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600" s="15" t="inlineStr">
        <is>
          <t>м</t>
        </is>
      </c>
      <c r="D600" s="18" t="n">
        <v>20</v>
      </c>
      <c r="E600" s="52" t="n">
        <v>112.12685511552</v>
      </c>
      <c r="F600" s="52">
        <f>ROUND(D600*E600,2)</f>
        <v/>
      </c>
      <c r="G600" s="52" t="n">
        <v>970.3651152701751</v>
      </c>
      <c r="H600" s="52">
        <f>ROUND(D600*G600,2)</f>
        <v/>
      </c>
      <c r="I600" s="52">
        <f>ROUND(SUM(F600,H600),2)</f>
        <v/>
      </c>
    </row>
    <row r="601" ht="15.75" customHeight="1">
      <c r="A601" s="15" t="n">
        <v>596</v>
      </c>
      <c r="B601" s="7" t="inlineStr">
        <is>
          <t>Монтаж КУП</t>
        </is>
      </c>
      <c r="C601" s="15" t="inlineStr">
        <is>
          <t>шт.</t>
        </is>
      </c>
      <c r="D601" s="18" t="n">
        <v>2</v>
      </c>
      <c r="E601" s="52" t="n">
        <v>918.6189791877001</v>
      </c>
      <c r="F601" s="52">
        <f>ROUND(D601*E601,2)</f>
        <v/>
      </c>
      <c r="G601" s="52" t="n">
        <v>614.1423662764341</v>
      </c>
      <c r="H601" s="52">
        <f>ROUND(D601*G601,2)</f>
        <v/>
      </c>
      <c r="I601" s="52">
        <f>ROUND(SUM(F601,H601),2)</f>
        <v/>
      </c>
    </row>
    <row r="602" ht="15.75" customHeight="1">
      <c r="A602" s="15" t="n">
        <v>597</v>
      </c>
      <c r="B602" s="13" t="inlineStr">
        <is>
          <t>Прокладка провода ПуГПнг(А)-HF 1х6 мм.кв.</t>
        </is>
      </c>
      <c r="C602" s="15" t="inlineStr">
        <is>
          <t>м</t>
        </is>
      </c>
      <c r="D602" s="18" t="n">
        <v>20</v>
      </c>
      <c r="E602" s="52" t="n">
        <v>84.63354249168002</v>
      </c>
      <c r="F602" s="52">
        <f>ROUND(D602*E602,2)</f>
        <v/>
      </c>
      <c r="G602" s="52" t="n">
        <v>320.3756441224579</v>
      </c>
      <c r="H602" s="52">
        <f>ROUND(D602*G602,2)</f>
        <v/>
      </c>
      <c r="I602" s="52">
        <f>ROUND(SUM(F602,H602),2)</f>
        <v/>
      </c>
    </row>
    <row r="603" ht="30" customHeight="1">
      <c r="A603" s="15" t="n">
        <v>598</v>
      </c>
      <c r="B603" s="14" t="inlineStr">
        <is>
          <t>Присоединение к зажимам жил проводов или кабелей сечением до 2,5 мм²</t>
        </is>
      </c>
      <c r="C603" s="15" t="inlineStr">
        <is>
          <t>шт.</t>
        </is>
      </c>
      <c r="D603" s="18" t="n">
        <v>100</v>
      </c>
      <c r="E603" s="52" t="n">
        <v>0</v>
      </c>
      <c r="F603" s="52">
        <f>ROUND(D603*E603,2)</f>
        <v/>
      </c>
      <c r="G603" s="52" t="n">
        <v>80.83276616230575</v>
      </c>
      <c r="H603" s="52">
        <f>ROUND(D603*G603,2)</f>
        <v/>
      </c>
      <c r="I603" s="52">
        <f>ROUND(SUM(F603,H603),2)</f>
        <v/>
      </c>
    </row>
    <row r="604" ht="16.5" customHeight="1">
      <c r="A604" s="15" t="n">
        <v>599</v>
      </c>
      <c r="B604" s="14" t="inlineStr">
        <is>
          <t>Присоединение к зажимам жил проводов или кабелей сечением до 6 мм²</t>
        </is>
      </c>
      <c r="C604" s="15" t="inlineStr">
        <is>
          <t>шт.</t>
        </is>
      </c>
      <c r="D604" s="18" t="n">
        <v>100</v>
      </c>
      <c r="E604" s="52" t="n">
        <v>0</v>
      </c>
      <c r="F604" s="52">
        <f>ROUND(D604*E604,2)</f>
        <v/>
      </c>
      <c r="G604" s="52" t="n">
        <v>109.9595342241365</v>
      </c>
      <c r="H604" s="52">
        <f>ROUND(D604*G604,2)</f>
        <v/>
      </c>
      <c r="I604" s="52">
        <f>ROUND(SUM(F604,H604),2)</f>
        <v/>
      </c>
    </row>
    <row r="605" ht="15.75" customHeight="1">
      <c r="A605" s="15" t="n">
        <v>600</v>
      </c>
      <c r="B605" s="13" t="inlineStr">
        <is>
          <t>Пусконаладочные работы</t>
        </is>
      </c>
      <c r="C605" s="15" t="inlineStr">
        <is>
          <t>компл.</t>
        </is>
      </c>
      <c r="D605" s="18" t="n">
        <v>1</v>
      </c>
      <c r="E605" s="52" t="n">
        <v>0</v>
      </c>
      <c r="F605" s="52">
        <f>ROUND(D605*E605,2)</f>
        <v/>
      </c>
      <c r="G605" s="52" t="n">
        <v>15036.25001159667</v>
      </c>
      <c r="H605" s="52">
        <f>ROUND(D605*G605,2)</f>
        <v/>
      </c>
      <c r="I605" s="52">
        <f>ROUND(SUM(F605,H605),2)</f>
        <v/>
      </c>
    </row>
    <row r="606" ht="15.75" customHeight="1">
      <c r="A606" s="15" t="n">
        <v>601</v>
      </c>
      <c r="B606" s="13" t="inlineStr">
        <is>
          <t>Монтаж распаечных коробок</t>
        </is>
      </c>
      <c r="C606" s="15" t="inlineStr">
        <is>
          <t>шт</t>
        </is>
      </c>
      <c r="D606" s="18" t="n">
        <v>38</v>
      </c>
      <c r="E606" s="52" t="n">
        <v>53.18324441640001</v>
      </c>
      <c r="F606" s="52">
        <f>ROUND(D606*E606,2)</f>
        <v/>
      </c>
      <c r="G606" s="52" t="n">
        <v>641.1219285959296</v>
      </c>
      <c r="H606" s="52">
        <f>ROUND(D606*G606,2)</f>
        <v/>
      </c>
      <c r="I606" s="52">
        <f>ROUND(SUM(F606,H606),2)</f>
        <v/>
      </c>
    </row>
    <row r="607" ht="15.75" customHeight="1">
      <c r="A607" s="15" t="n">
        <v>602</v>
      </c>
      <c r="B607" s="13" t="inlineStr">
        <is>
          <t>Покраска стены</t>
        </is>
      </c>
      <c r="C607" s="15" t="inlineStr">
        <is>
          <t>2м</t>
        </is>
      </c>
      <c r="D607" s="18" t="n">
        <v>18.86</v>
      </c>
      <c r="E607" s="52" t="n">
        <v>160.84208489013</v>
      </c>
      <c r="F607" s="52">
        <f>ROUND(D607*E607,2)</f>
        <v/>
      </c>
      <c r="G607" s="52" t="n">
        <v>451.0086387490006</v>
      </c>
      <c r="H607" s="52">
        <f>ROUND(D607*G607,2)</f>
        <v/>
      </c>
      <c r="I607" s="52">
        <f>ROUND(SUM(F607,H607),2)</f>
        <v/>
      </c>
    </row>
    <row r="608" ht="15.75" customHeight="1">
      <c r="A608" s="15" t="n">
        <v>603</v>
      </c>
      <c r="B608" s="48" t="inlineStr">
        <is>
          <t>Выключатель двухклавишный</t>
        </is>
      </c>
      <c r="C608" s="67" t="inlineStr">
        <is>
          <t>шт</t>
        </is>
      </c>
      <c r="D608" s="68" t="n">
        <v>1</v>
      </c>
      <c r="E608" s="52" t="n">
        <v>338.43852781704</v>
      </c>
      <c r="F608" s="52">
        <f>ROUND(D608*E608,2)</f>
        <v/>
      </c>
      <c r="G608" s="52" t="n">
        <v>656.3663918054848</v>
      </c>
      <c r="H608" s="52">
        <f>ROUND(D608*G608,2)</f>
        <v/>
      </c>
      <c r="I608" s="52">
        <f>ROUND(SUM(F608,H608),2)</f>
        <v/>
      </c>
    </row>
    <row r="609">
      <c r="A609" s="15" t="n">
        <v>604</v>
      </c>
      <c r="B609" s="29" t="inlineStr">
        <is>
          <t>Раздел 3. Сантехнические работы</t>
        </is>
      </c>
      <c r="C609" s="15" t="n"/>
      <c r="D609" s="15" t="n"/>
      <c r="E609" s="15" t="n"/>
      <c r="F609" s="17" t="n"/>
      <c r="G609" s="13" t="n"/>
      <c r="H609" s="13" t="n"/>
      <c r="I609" s="13" t="n"/>
    </row>
    <row r="610" ht="15.75" customHeight="1">
      <c r="A610" s="15" t="n">
        <v>605</v>
      </c>
      <c r="B610" s="58" t="inlineStr">
        <is>
          <t>Прокладка канализационного трубопровода, d=50мм</t>
        </is>
      </c>
      <c r="C610" s="15" t="inlineStr">
        <is>
          <t>м</t>
        </is>
      </c>
      <c r="D610" s="67" t="n">
        <v>30</v>
      </c>
      <c r="E610" s="52" t="n">
        <v>207.10334552544</v>
      </c>
      <c r="F610" s="52">
        <f>ROUND(D610*E610,2)</f>
        <v/>
      </c>
      <c r="G610" s="52" t="n">
        <v>647.5516149375146</v>
      </c>
      <c r="H610" s="52">
        <f>ROUND(D610*G610,2)</f>
        <v/>
      </c>
      <c r="I610" s="52">
        <f>ROUND(SUM(F610,H610),2)</f>
        <v/>
      </c>
    </row>
    <row r="611" ht="15.75" customHeight="1">
      <c r="A611" s="15" t="n">
        <v>606</v>
      </c>
      <c r="B611" s="58" t="inlineStr">
        <is>
          <t>Покладка канализационного трубопровода, d=110мм</t>
        </is>
      </c>
      <c r="C611" s="15" t="inlineStr">
        <is>
          <t>м</t>
        </is>
      </c>
      <c r="D611" s="67" t="n">
        <v>26</v>
      </c>
      <c r="E611" s="52" t="n">
        <v>491.8704152544</v>
      </c>
      <c r="F611" s="52">
        <f>ROUND(D611*E611,2)</f>
        <v/>
      </c>
      <c r="G611" s="52" t="n">
        <v>911.442074203041</v>
      </c>
      <c r="H611" s="52">
        <f>ROUND(D611*G611,2)</f>
        <v/>
      </c>
      <c r="I611" s="52">
        <f>ROUND(SUM(F611,H611),2)</f>
        <v/>
      </c>
    </row>
    <row r="612" ht="30" customHeight="1">
      <c r="A612" s="15" t="n">
        <v>607</v>
      </c>
      <c r="B612" s="53" t="inlineStr">
        <is>
          <t>Монтаж трубопровода ХВС и ГВС для Гигиенического душа с креплением к несущим конструкциям 1/2'</t>
        </is>
      </c>
      <c r="C612" s="15" t="inlineStr">
        <is>
          <t>м</t>
        </is>
      </c>
      <c r="D612" s="15" t="n">
        <v>30</v>
      </c>
      <c r="E612" s="52" t="n">
        <v>124.4611276272</v>
      </c>
      <c r="F612" s="52">
        <f>ROUND(D612*E612,2)</f>
        <v/>
      </c>
      <c r="G612" s="52" t="n">
        <v>494.5807053620796</v>
      </c>
      <c r="H612" s="52">
        <f>ROUND(D612*G612,2)</f>
        <v/>
      </c>
      <c r="I612" s="52">
        <f>ROUND(SUM(F612,H612),2)</f>
        <v/>
      </c>
    </row>
    <row r="613" ht="15.75" customHeight="1">
      <c r="A613" s="15" t="n">
        <v>608</v>
      </c>
      <c r="B613" s="53" t="inlineStr">
        <is>
          <t>Теплоизоляция трубопровода для Гигиенического душа</t>
        </is>
      </c>
      <c r="C613" s="15" t="inlineStr">
        <is>
          <t>м</t>
        </is>
      </c>
      <c r="D613" s="15" t="n">
        <v>30</v>
      </c>
      <c r="E613" s="52" t="n">
        <v>44.80595735616</v>
      </c>
      <c r="F613" s="52">
        <f>ROUND(D613*E613,2)</f>
        <v/>
      </c>
      <c r="G613" s="52" t="n">
        <v>209.7137340258199</v>
      </c>
      <c r="H613" s="52">
        <f>ROUND(D613*G613,2)</f>
        <v/>
      </c>
      <c r="I613" s="52">
        <f>ROUND(SUM(F613,H613),2)</f>
        <v/>
      </c>
    </row>
    <row r="614" ht="15.75" customHeight="1">
      <c r="A614" s="15" t="n">
        <v>609</v>
      </c>
      <c r="B614" s="53" t="inlineStr">
        <is>
          <t>Установка запорной арматуры на линию Гигиенического душа</t>
        </is>
      </c>
      <c r="C614" s="15" t="inlineStr">
        <is>
          <t>шт</t>
        </is>
      </c>
      <c r="D614" s="15" t="n">
        <v>2</v>
      </c>
      <c r="E614" s="52" t="n">
        <v>448.060180932</v>
      </c>
      <c r="F614" s="52">
        <f>ROUND(D614*E614,2)</f>
        <v/>
      </c>
      <c r="G614" s="52" t="n">
        <v>1301.746431732025</v>
      </c>
      <c r="H614" s="52">
        <f>ROUND(D614*G614,2)</f>
        <v/>
      </c>
      <c r="I614" s="52">
        <f>ROUND(SUM(F614,H614),2)</f>
        <v/>
      </c>
    </row>
    <row r="615" ht="15.75" customHeight="1">
      <c r="A615" s="15" t="n">
        <v>610</v>
      </c>
      <c r="B615" s="53" t="inlineStr">
        <is>
          <t>Установка обратных клапанов на линию Гигиенического душа</t>
        </is>
      </c>
      <c r="C615" s="15" t="inlineStr">
        <is>
          <t>шт</t>
        </is>
      </c>
      <c r="D615" s="15" t="n">
        <v>2</v>
      </c>
      <c r="E615" s="52" t="n">
        <v>378.36187657632</v>
      </c>
      <c r="F615" s="52">
        <f>ROUND(D615*E615,2)</f>
        <v/>
      </c>
      <c r="G615" s="52" t="n">
        <v>1286.010440814944</v>
      </c>
      <c r="H615" s="52">
        <f>ROUND(D615*G615,2)</f>
        <v/>
      </c>
      <c r="I615" s="52">
        <f>ROUND(SUM(F615,H615),2)</f>
        <v/>
      </c>
    </row>
    <row r="616" ht="30" customHeight="1">
      <c r="A616" s="15" t="n">
        <v>611</v>
      </c>
      <c r="B616" s="53" t="inlineStr">
        <is>
          <t>Установка лючков 300х300 под плитку для доступа к подключению Гигиенического душа</t>
        </is>
      </c>
      <c r="C616" s="15" t="inlineStr">
        <is>
          <t>шт</t>
        </is>
      </c>
      <c r="D616" s="15" t="n">
        <v>5</v>
      </c>
      <c r="E616" s="52" t="n">
        <v>2106.265587174</v>
      </c>
      <c r="F616" s="52">
        <f>ROUND(D616*E616,2)</f>
        <v/>
      </c>
      <c r="G616" s="52" t="n">
        <v>1689.622315172197</v>
      </c>
      <c r="H616" s="52">
        <f>ROUND(D616*G616,2)</f>
        <v/>
      </c>
      <c r="I616" s="52">
        <f>ROUND(SUM(F616,H616),2)</f>
        <v/>
      </c>
    </row>
    <row r="617" ht="15.75" customHeight="1">
      <c r="A617" s="15" t="n">
        <v>612</v>
      </c>
      <c r="B617" s="53" t="inlineStr">
        <is>
          <t>Замена напольных трапов 100х100мм HL 510 N-3000</t>
        </is>
      </c>
      <c r="C617" s="15" t="inlineStr">
        <is>
          <t>шт</t>
        </is>
      </c>
      <c r="D617" s="15" t="n">
        <v>2</v>
      </c>
      <c r="E617" s="52" t="n">
        <v>5700.8197</v>
      </c>
      <c r="F617" s="52">
        <f>ROUND(D617*E617,2)</f>
        <v/>
      </c>
      <c r="G617" s="52" t="n">
        <v>4837.966600955877</v>
      </c>
      <c r="H617" s="52">
        <f>ROUND(D617*G617,2)</f>
        <v/>
      </c>
      <c r="I617" s="52">
        <f>ROUND(SUM(F617,H617),2)</f>
        <v/>
      </c>
    </row>
    <row r="618" ht="30" customHeight="1">
      <c r="A618" s="15" t="n">
        <v>613</v>
      </c>
      <c r="B618" s="53" t="inlineStr">
        <is>
          <t>Опрессовка смонтированного или реконструированного трубопровода ХВС/ГВС</t>
        </is>
      </c>
      <c r="C618" s="15" t="inlineStr">
        <is>
          <t>компл.</t>
        </is>
      </c>
      <c r="D618" s="18" t="n">
        <v>1</v>
      </c>
      <c r="E618" s="52" t="n">
        <v>0</v>
      </c>
      <c r="F618" s="52">
        <f>ROUND(D618*E618,2)</f>
        <v/>
      </c>
      <c r="G618" s="52" t="n">
        <v>4706.162927883422</v>
      </c>
      <c r="H618" s="52">
        <f>ROUND(D618*G618,2)</f>
        <v/>
      </c>
      <c r="I618" s="52">
        <f>ROUND(SUM(F618,H618),2)</f>
        <v/>
      </c>
    </row>
    <row r="619" ht="15.75" customHeight="1">
      <c r="A619" s="15" t="n">
        <v>614</v>
      </c>
      <c r="B619" s="53" t="inlineStr">
        <is>
          <t>Навесные элементы в санузлы</t>
        </is>
      </c>
      <c r="C619" s="15" t="n"/>
      <c r="D619" s="18" t="n"/>
      <c r="E619" s="52" t="n">
        <v>0</v>
      </c>
      <c r="F619" s="52">
        <f>ROUND(D619*E619,2)</f>
        <v/>
      </c>
      <c r="G619" s="52" t="n">
        <v>0</v>
      </c>
      <c r="H619" s="52">
        <f>ROUND(D619*G619,2)</f>
        <v/>
      </c>
      <c r="I619" s="52">
        <f>ROUND(SUM(F619,H619),2)</f>
        <v/>
      </c>
    </row>
    <row r="620" ht="15.75" customHeight="1">
      <c r="A620" s="15" t="n">
        <v>615</v>
      </c>
      <c r="B620" s="53" t="inlineStr">
        <is>
          <t>Диспенсер под туалетную бумагу</t>
        </is>
      </c>
      <c r="C620" s="20" t="inlineStr">
        <is>
          <t>шт</t>
        </is>
      </c>
      <c r="D620" s="20" t="n">
        <v>6</v>
      </c>
      <c r="E620" s="52" t="n">
        <v>1723.308154596</v>
      </c>
      <c r="F620" s="52">
        <f>ROUND(D620*E620,2)</f>
        <v/>
      </c>
      <c r="G620" s="52" t="n">
        <v>977.3467103634516</v>
      </c>
      <c r="H620" s="52">
        <f>ROUND(D620*G620,2)</f>
        <v/>
      </c>
      <c r="I620" s="52">
        <f>ROUND(SUM(F620,H620),2)</f>
        <v/>
      </c>
    </row>
    <row r="621" ht="15.75" customHeight="1">
      <c r="A621" s="15" t="n">
        <v>616</v>
      </c>
      <c r="B621" s="53" t="inlineStr">
        <is>
          <t>Диспенсер для накладок</t>
        </is>
      </c>
      <c r="C621" s="20" t="inlineStr">
        <is>
          <t>шт</t>
        </is>
      </c>
      <c r="D621" s="20" t="n">
        <v>6</v>
      </c>
      <c r="E621" s="52" t="n">
        <v>2393.483574006</v>
      </c>
      <c r="F621" s="52">
        <f>ROUND(D621*E621,2)</f>
        <v/>
      </c>
      <c r="G621" s="52" t="n">
        <v>1128.654183481734</v>
      </c>
      <c r="H621" s="52">
        <f>ROUND(D621*G621,2)</f>
        <v/>
      </c>
      <c r="I621" s="52">
        <f>ROUND(SUM(F621,H621),2)</f>
        <v/>
      </c>
    </row>
    <row r="622" ht="15.75" customHeight="1">
      <c r="A622" s="15" t="n">
        <v>617</v>
      </c>
      <c r="B622" s="53" t="inlineStr">
        <is>
          <t>Держательдля освежителя воздуха</t>
        </is>
      </c>
      <c r="C622" s="20" t="inlineStr">
        <is>
          <t>шт</t>
        </is>
      </c>
      <c r="D622" s="20" t="n">
        <v>6</v>
      </c>
      <c r="E622" s="52" t="n">
        <v>1436.090167764</v>
      </c>
      <c r="F622" s="52">
        <f>ROUND(D622*E622,2)</f>
        <v/>
      </c>
      <c r="G622" s="52" t="n">
        <v>912.500661757358</v>
      </c>
      <c r="H622" s="52">
        <f>ROUND(D622*G622,2)</f>
        <v/>
      </c>
      <c r="I622" s="52">
        <f>ROUND(SUM(F622,H622),2)</f>
        <v/>
      </c>
    </row>
    <row r="623" ht="15.75" customHeight="1">
      <c r="A623" s="15" t="n">
        <v>618</v>
      </c>
      <c r="B623" s="53" t="inlineStr">
        <is>
          <t>Полка под личные принадлежности</t>
        </is>
      </c>
      <c r="C623" s="20" t="inlineStr">
        <is>
          <t>шт</t>
        </is>
      </c>
      <c r="D623" s="20" t="n">
        <v>6</v>
      </c>
      <c r="E623" s="52" t="n">
        <v>861.6540772980001</v>
      </c>
      <c r="F623" s="52">
        <f>ROUND(D623*E623,2)</f>
        <v/>
      </c>
      <c r="G623" s="52" t="n">
        <v>782.8085381744397</v>
      </c>
      <c r="H623" s="52">
        <f>ROUND(D623*G623,2)</f>
        <v/>
      </c>
      <c r="I623" s="52">
        <f>ROUND(SUM(F623,H623),2)</f>
        <v/>
      </c>
    </row>
    <row r="624" ht="15.75" customHeight="1">
      <c r="A624" s="15" t="n">
        <v>619</v>
      </c>
      <c r="B624" s="53" t="inlineStr">
        <is>
          <t>Диспенсор под жидкое мыло</t>
        </is>
      </c>
      <c r="C624" s="20" t="inlineStr">
        <is>
          <t>шт</t>
        </is>
      </c>
      <c r="D624" s="20" t="n">
        <v>8</v>
      </c>
      <c r="E624" s="52" t="n">
        <v>2106.265587174</v>
      </c>
      <c r="F624" s="52">
        <f>ROUND(D624*E624,2)</f>
        <v/>
      </c>
      <c r="G624" s="52" t="n">
        <v>1181.462208072726</v>
      </c>
      <c r="H624" s="52">
        <f>ROUND(D624*G624,2)</f>
        <v/>
      </c>
      <c r="I624" s="52">
        <f>ROUND(SUM(F624,H624),2)</f>
        <v/>
      </c>
    </row>
    <row r="625" ht="15.75" customHeight="1">
      <c r="A625" s="15" t="n">
        <v>620</v>
      </c>
      <c r="B625" s="53" t="inlineStr">
        <is>
          <t>Диспенсер для бумажных полотенец</t>
        </is>
      </c>
      <c r="C625" s="20" t="inlineStr">
        <is>
          <t>шт</t>
        </is>
      </c>
      <c r="D625" s="20" t="n">
        <v>4</v>
      </c>
      <c r="E625" s="52" t="n">
        <v>3350.87709705</v>
      </c>
      <c r="F625" s="52">
        <f>ROUND(D625*E625,2)</f>
        <v/>
      </c>
      <c r="G625" s="52" t="n">
        <v>1462.461804773927</v>
      </c>
      <c r="H625" s="52">
        <f>ROUND(D625*G625,2)</f>
        <v/>
      </c>
      <c r="I625" s="52">
        <f>ROUND(SUM(F625,H625),2)</f>
        <v/>
      </c>
    </row>
    <row r="626">
      <c r="A626" s="15" t="n">
        <v>621</v>
      </c>
      <c r="B626" s="37" t="inlineStr">
        <is>
          <t>Санузел "М/Ж" 8го этажа</t>
        </is>
      </c>
      <c r="C626" s="53" t="n"/>
      <c r="D626" s="15" t="n"/>
      <c r="E626" s="15" t="n"/>
      <c r="F626" s="17" t="n"/>
      <c r="G626" s="13" t="n"/>
      <c r="H626" s="13" t="n"/>
      <c r="I626" s="13" t="n"/>
    </row>
    <row r="627">
      <c r="A627" s="15" t="n">
        <v>622</v>
      </c>
      <c r="B627" s="51" t="inlineStr">
        <is>
          <t xml:space="preserve">Раздел 1. Демонтажные работы </t>
        </is>
      </c>
      <c r="C627" s="53" t="n"/>
      <c r="D627" s="15" t="n"/>
      <c r="E627" s="15" t="n"/>
      <c r="F627" s="17" t="n"/>
      <c r="G627" s="13" t="n"/>
      <c r="H627" s="13" t="n"/>
      <c r="I627" s="13" t="n"/>
    </row>
    <row r="628" ht="15.75" customHeight="1">
      <c r="A628" s="15" t="n">
        <v>623</v>
      </c>
      <c r="B628" s="54" t="inlineStr">
        <is>
          <t>Разборка цементной стяжки h=200мм</t>
        </is>
      </c>
      <c r="C628" s="55" t="inlineStr">
        <is>
          <t>м2</t>
        </is>
      </c>
      <c r="D628" s="94" t="n">
        <v>22.8</v>
      </c>
      <c r="E628" s="52" t="n">
        <v>0</v>
      </c>
      <c r="F628" s="52">
        <f>ROUND(D628*E628,2)</f>
        <v/>
      </c>
      <c r="G628" s="52" t="n">
        <v>2406.537955785568</v>
      </c>
      <c r="H628" s="52">
        <f>ROUND(D628*G628,2)</f>
        <v/>
      </c>
      <c r="I628" s="52">
        <f>ROUND(SUM(F628,H628),2)</f>
        <v/>
      </c>
    </row>
    <row r="629" ht="30" customHeight="1">
      <c r="A629" s="15" t="n">
        <v>624</v>
      </c>
      <c r="B629" s="7" t="inlineStr">
        <is>
          <t>Подвесной потолок Armstrong перфорированный,
потолочные плиты 600х600 мм</t>
        </is>
      </c>
      <c r="C629" s="55" t="inlineStr">
        <is>
          <t>м2</t>
        </is>
      </c>
      <c r="D629" s="94" t="n">
        <v>22.8</v>
      </c>
      <c r="E629" s="52" t="n">
        <v>0</v>
      </c>
      <c r="F629" s="52">
        <f>ROUND(D629*E629,2)</f>
        <v/>
      </c>
      <c r="G629" s="52" t="n">
        <v>248.8169092563968</v>
      </c>
      <c r="H629" s="52">
        <f>ROUND(D629*G629,2)</f>
        <v/>
      </c>
      <c r="I629" s="52">
        <f>ROUND(SUM(F629,H629),2)</f>
        <v/>
      </c>
    </row>
    <row r="630" ht="15.75" customHeight="1">
      <c r="A630" s="15" t="n">
        <v>625</v>
      </c>
      <c r="B630" s="7" t="inlineStr">
        <is>
          <t>Демонтаж напольного покрытия</t>
        </is>
      </c>
      <c r="C630" s="55" t="inlineStr">
        <is>
          <t>м2</t>
        </is>
      </c>
      <c r="D630" s="94" t="n">
        <v>22.8</v>
      </c>
      <c r="E630" s="52" t="n">
        <v>0</v>
      </c>
      <c r="F630" s="52">
        <f>ROUND(D630*E630,2)</f>
        <v/>
      </c>
      <c r="G630" s="52" t="n">
        <v>503.1152762397645</v>
      </c>
      <c r="H630" s="52">
        <f>ROUND(D630*G630,2)</f>
        <v/>
      </c>
      <c r="I630" s="52">
        <f>ROUND(SUM(F630,H630),2)</f>
        <v/>
      </c>
    </row>
    <row r="631" ht="15.75" customHeight="1">
      <c r="A631" s="15" t="n">
        <v>626</v>
      </c>
      <c r="B631" s="7" t="inlineStr">
        <is>
          <t>Демонтаж настенной плитки</t>
        </is>
      </c>
      <c r="C631" s="56" t="inlineStr">
        <is>
          <t>м2</t>
        </is>
      </c>
      <c r="D631" s="94" t="n">
        <v>105.54</v>
      </c>
      <c r="E631" s="52" t="n">
        <v>0</v>
      </c>
      <c r="F631" s="52">
        <f>ROUND(D631*E631,2)</f>
        <v/>
      </c>
      <c r="G631" s="52" t="n">
        <v>456.4854730631076</v>
      </c>
      <c r="H631" s="52">
        <f>ROUND(D631*G631,2)</f>
        <v/>
      </c>
      <c r="I631" s="52">
        <f>ROUND(SUM(F631,H631),2)</f>
        <v/>
      </c>
    </row>
    <row r="632" ht="30" customHeight="1">
      <c r="A632" s="15" t="n">
        <v>627</v>
      </c>
      <c r="B632" s="54" t="inlineStr">
        <is>
          <t>Существующие санузловые перегородки из ЛДСП по
металлокаркасу</t>
        </is>
      </c>
      <c r="C632" s="56" t="inlineStr">
        <is>
          <t>м2</t>
        </is>
      </c>
      <c r="D632" s="94" t="n">
        <v>18.57</v>
      </c>
      <c r="E632" s="52" t="n">
        <v>0</v>
      </c>
      <c r="F632" s="52">
        <f>ROUND(D632*E632,2)</f>
        <v/>
      </c>
      <c r="G632" s="52" t="n">
        <v>463.1152762397645</v>
      </c>
      <c r="H632" s="52">
        <f>ROUND(D632*G632,2)</f>
        <v/>
      </c>
      <c r="I632" s="52">
        <f>ROUND(SUM(F632,H632),2)</f>
        <v/>
      </c>
    </row>
    <row r="633" ht="15.75" customHeight="1">
      <c r="A633" s="15" t="n">
        <v>628</v>
      </c>
      <c r="B633" s="58" t="inlineStr">
        <is>
          <t>Разборка канализационного трубопровода, d=50мм</t>
        </is>
      </c>
      <c r="C633" s="56" t="inlineStr">
        <is>
          <t>м</t>
        </is>
      </c>
      <c r="D633" s="95" t="n">
        <v>30</v>
      </c>
      <c r="E633" s="52" t="n">
        <v>0</v>
      </c>
      <c r="F633" s="52">
        <f>ROUND(D633*E633,2)</f>
        <v/>
      </c>
      <c r="G633" s="52" t="n">
        <v>230.5660693980355</v>
      </c>
      <c r="H633" s="52">
        <f>ROUND(D633*G633,2)</f>
        <v/>
      </c>
      <c r="I633" s="52">
        <f>ROUND(SUM(F633,H633),2)</f>
        <v/>
      </c>
    </row>
    <row r="634" ht="15.75" customHeight="1">
      <c r="A634" s="15" t="n">
        <v>629</v>
      </c>
      <c r="B634" s="58" t="inlineStr">
        <is>
          <t>Разборка канализационного трубопровода, d=110мм</t>
        </is>
      </c>
      <c r="C634" s="56" t="inlineStr">
        <is>
          <t>м</t>
        </is>
      </c>
      <c r="D634" s="95" t="n">
        <v>26</v>
      </c>
      <c r="E634" s="52" t="n">
        <v>0</v>
      </c>
      <c r="F634" s="52">
        <f>ROUND(D634*E634,2)</f>
        <v/>
      </c>
      <c r="G634" s="52" t="n">
        <v>230.5660693980355</v>
      </c>
      <c r="H634" s="52">
        <f>ROUND(D634*G634,2)</f>
        <v/>
      </c>
      <c r="I634" s="52">
        <f>ROUND(SUM(F634,H634),2)</f>
        <v/>
      </c>
    </row>
    <row r="635" ht="15.75" customHeight="1">
      <c r="A635" s="15" t="n">
        <v>630</v>
      </c>
      <c r="B635" s="54" t="inlineStr">
        <is>
          <t>Демонтаж существующих унитазов</t>
        </is>
      </c>
      <c r="C635" s="56" t="inlineStr">
        <is>
          <t>шт.</t>
        </is>
      </c>
      <c r="D635" s="94" t="n">
        <v>6</v>
      </c>
      <c r="E635" s="52" t="n">
        <v>0</v>
      </c>
      <c r="F635" s="52">
        <f>ROUND(D635*E635,2)</f>
        <v/>
      </c>
      <c r="G635" s="52" t="n">
        <v>1230.373498133161</v>
      </c>
      <c r="H635" s="52">
        <f>ROUND(D635*G635,2)</f>
        <v/>
      </c>
      <c r="I635" s="52">
        <f>ROUND(SUM(F635,H635),2)</f>
        <v/>
      </c>
    </row>
    <row r="636" ht="15.75" customHeight="1">
      <c r="A636" s="15" t="n">
        <v>631</v>
      </c>
      <c r="B636" s="54" t="inlineStr">
        <is>
          <t>Демонтаж существующих  писсуаров настенных без сенсора</t>
        </is>
      </c>
      <c r="C636" s="56" t="inlineStr">
        <is>
          <t>шт.</t>
        </is>
      </c>
      <c r="D636" s="56" t="n">
        <v>3</v>
      </c>
      <c r="E636" s="52" t="n">
        <v>0</v>
      </c>
      <c r="F636" s="52">
        <f>ROUND(D636*E636,2)</f>
        <v/>
      </c>
      <c r="G636" s="52" t="n">
        <v>1230.373498133161</v>
      </c>
      <c r="H636" s="52">
        <f>ROUND(D636*G636,2)</f>
        <v/>
      </c>
      <c r="I636" s="52">
        <f>ROUND(SUM(F636,H636),2)</f>
        <v/>
      </c>
    </row>
    <row r="637" ht="15.75" customHeight="1">
      <c r="A637" s="15" t="n">
        <v>632</v>
      </c>
      <c r="B637" s="54" t="inlineStr">
        <is>
          <t xml:space="preserve">Демонтаж существующих раковин </t>
        </is>
      </c>
      <c r="C637" s="56" t="inlineStr">
        <is>
          <t>шт.</t>
        </is>
      </c>
      <c r="D637" s="94" t="n">
        <v>8</v>
      </c>
      <c r="E637" s="52" t="n">
        <v>0</v>
      </c>
      <c r="F637" s="52">
        <f>ROUND(D637*E637,2)</f>
        <v/>
      </c>
      <c r="G637" s="52" t="n">
        <v>922.7801235998708</v>
      </c>
      <c r="H637" s="52">
        <f>ROUND(D637*G637,2)</f>
        <v/>
      </c>
      <c r="I637" s="52">
        <f>ROUND(SUM(F637,H637),2)</f>
        <v/>
      </c>
    </row>
    <row r="638" ht="15.75" customHeight="1">
      <c r="A638" s="15" t="n">
        <v>633</v>
      </c>
      <c r="B638" s="54" t="inlineStr">
        <is>
          <t>Демонтаж существующих сушилок для рук</t>
        </is>
      </c>
      <c r="C638" s="56" t="inlineStr">
        <is>
          <t>шт.</t>
        </is>
      </c>
      <c r="D638" s="94" t="n">
        <v>4</v>
      </c>
      <c r="E638" s="52" t="n">
        <v>0</v>
      </c>
      <c r="F638" s="52">
        <f>ROUND(D638*E638,2)</f>
        <v/>
      </c>
      <c r="G638" s="52" t="n">
        <v>525.4268038637409</v>
      </c>
      <c r="H638" s="52">
        <f>ROUND(D638*G638,2)</f>
        <v/>
      </c>
      <c r="I638" s="52">
        <f>ROUND(SUM(F638,H638),2)</f>
        <v/>
      </c>
    </row>
    <row r="639" ht="15.75" customHeight="1">
      <c r="A639" s="15" t="n">
        <v>634</v>
      </c>
      <c r="B639" s="54" t="inlineStr">
        <is>
          <t>Демонтаж осветительных приборов</t>
        </is>
      </c>
      <c r="C639" s="56" t="inlineStr">
        <is>
          <t>шт.</t>
        </is>
      </c>
      <c r="D639" s="94" t="n">
        <v>16</v>
      </c>
      <c r="E639" s="52" t="n">
        <v>0</v>
      </c>
      <c r="F639" s="52">
        <f>ROUND(D639*E639,2)</f>
        <v/>
      </c>
      <c r="G639" s="52" t="n">
        <v>461.3900617999354</v>
      </c>
      <c r="H639" s="52">
        <f>ROUND(D639*G639,2)</f>
        <v/>
      </c>
      <c r="I639" s="52">
        <f>ROUND(SUM(F639,H639),2)</f>
        <v/>
      </c>
    </row>
    <row r="640" ht="32.25" customHeight="1">
      <c r="A640" s="15" t="n">
        <v>635</v>
      </c>
      <c r="B640" s="54" t="inlineStr">
        <is>
          <t>Демонтаж сущ. кабеля ВВГнг(А)-LS/ППГнг(А)-HF 3х1,5 мм кв в гофрированной ПВХ-трубе от распред. коробок до приборов освещения</t>
        </is>
      </c>
      <c r="C640" s="56" t="inlineStr">
        <is>
          <t>м</t>
        </is>
      </c>
      <c r="D640" s="94" t="n">
        <v>80</v>
      </c>
      <c r="E640" s="52" t="n">
        <v>0</v>
      </c>
      <c r="F640" s="52">
        <f>ROUND(D640*E640,2)</f>
        <v/>
      </c>
      <c r="G640" s="52" t="n">
        <v>92.31692015457689</v>
      </c>
      <c r="H640" s="52">
        <f>ROUND(D640*G640,2)</f>
        <v/>
      </c>
      <c r="I640" s="52">
        <f>ROUND(SUM(F640,H640),2)</f>
        <v/>
      </c>
    </row>
    <row r="641" ht="15.75" customHeight="1">
      <c r="A641" s="15" t="n">
        <v>636</v>
      </c>
      <c r="B641" s="54" t="inlineStr">
        <is>
          <t>Демонтаж распаечных коробок</t>
        </is>
      </c>
      <c r="C641" s="56" t="inlineStr">
        <is>
          <t>шт.</t>
        </is>
      </c>
      <c r="D641" s="94" t="n">
        <v>16</v>
      </c>
      <c r="E641" s="52" t="n">
        <v>0</v>
      </c>
      <c r="F641" s="52">
        <f>ROUND(D641*E641,2)</f>
        <v/>
      </c>
      <c r="G641" s="52" t="n">
        <v>230.5660693980355</v>
      </c>
      <c r="H641" s="52">
        <f>ROUND(D641*G641,2)</f>
        <v/>
      </c>
      <c r="I641" s="52">
        <f>ROUND(SUM(F641,H641),2)</f>
        <v/>
      </c>
    </row>
    <row r="642" ht="15.75" customHeight="1">
      <c r="A642" s="15" t="n">
        <v>637</v>
      </c>
      <c r="B642" s="54" t="inlineStr">
        <is>
          <t>Демонтаж динамиков оповещения</t>
        </is>
      </c>
      <c r="C642" s="56" t="inlineStr">
        <is>
          <t>шт.</t>
        </is>
      </c>
      <c r="D642" s="94" t="n">
        <v>2</v>
      </c>
      <c r="E642" s="52" t="n">
        <v>0</v>
      </c>
      <c r="F642" s="52">
        <f>ROUND(D642*E642,2)</f>
        <v/>
      </c>
      <c r="G642" s="52" t="n">
        <v>823.5785123795987</v>
      </c>
      <c r="H642" s="52">
        <f>ROUND(D642*G642,2)</f>
        <v/>
      </c>
      <c r="I642" s="52">
        <f>ROUND(SUM(F642,H642),2)</f>
        <v/>
      </c>
    </row>
    <row r="643" ht="15.75" customHeight="1">
      <c r="A643" s="15" t="n">
        <v>638</v>
      </c>
      <c r="B643" s="54" t="inlineStr">
        <is>
          <t>Демонтаж  освежителей воздуха со стен</t>
        </is>
      </c>
      <c r="C643" s="56" t="inlineStr">
        <is>
          <t>шт.</t>
        </is>
      </c>
      <c r="D643" s="94" t="n">
        <v>2</v>
      </c>
      <c r="E643" s="52" t="n">
        <v>0</v>
      </c>
      <c r="F643" s="52">
        <f>ROUND(D643*E643,2)</f>
        <v/>
      </c>
      <c r="G643" s="52" t="n">
        <v>262.7134019318705</v>
      </c>
      <c r="H643" s="52">
        <f>ROUND(D643*G643,2)</f>
        <v/>
      </c>
      <c r="I643" s="52">
        <f>ROUND(SUM(F643,H643),2)</f>
        <v/>
      </c>
    </row>
    <row r="644" ht="15.75" customHeight="1">
      <c r="A644" s="15" t="n">
        <v>639</v>
      </c>
      <c r="B644" s="54" t="inlineStr">
        <is>
          <t>Демонтаж существующих водяных бойлеров</t>
        </is>
      </c>
      <c r="C644" s="56" t="inlineStr">
        <is>
          <t>шт.</t>
        </is>
      </c>
      <c r="D644" s="94" t="n">
        <v>2</v>
      </c>
      <c r="E644" s="52" t="n">
        <v>0</v>
      </c>
      <c r="F644" s="52">
        <f>ROUND(D644*E644,2)</f>
        <v/>
      </c>
      <c r="G644" s="52" t="n">
        <v>2353.081463941711</v>
      </c>
      <c r="H644" s="52">
        <f>ROUND(D644*G644,2)</f>
        <v/>
      </c>
      <c r="I644" s="52">
        <f>ROUND(SUM(F644,H644),2)</f>
        <v/>
      </c>
    </row>
    <row r="645" ht="15.75" customHeight="1">
      <c r="A645" s="15" t="n">
        <v>640</v>
      </c>
      <c r="B645" s="54" t="inlineStr">
        <is>
          <t>Демонтаж существующих бумагодержателей</t>
        </is>
      </c>
      <c r="C645" s="56" t="inlineStr">
        <is>
          <t>шт.</t>
        </is>
      </c>
      <c r="D645" s="94" t="n">
        <v>6</v>
      </c>
      <c r="E645" s="52" t="n">
        <v>0</v>
      </c>
      <c r="F645" s="52">
        <f>ROUND(D645*E645,2)</f>
        <v/>
      </c>
      <c r="G645" s="52" t="n">
        <v>262.7134019318705</v>
      </c>
      <c r="H645" s="52">
        <f>ROUND(D645*G645,2)</f>
        <v/>
      </c>
      <c r="I645" s="52">
        <f>ROUND(SUM(F645,H645),2)</f>
        <v/>
      </c>
    </row>
    <row r="646" ht="15.75" customHeight="1">
      <c r="A646" s="15" t="n">
        <v>641</v>
      </c>
      <c r="B646" s="54" t="inlineStr">
        <is>
          <t>Демонтаж существующих существующих настенных зеркал</t>
        </is>
      </c>
      <c r="C646" s="56" t="inlineStr">
        <is>
          <t>шт.</t>
        </is>
      </c>
      <c r="D646" s="94" t="n">
        <v>4</v>
      </c>
      <c r="E646" s="52" t="n">
        <v>0</v>
      </c>
      <c r="F646" s="52">
        <f>ROUND(D646*E646,2)</f>
        <v/>
      </c>
      <c r="G646" s="52" t="n">
        <v>459.7484533807733</v>
      </c>
      <c r="H646" s="52">
        <f>ROUND(D646*G646,2)</f>
        <v/>
      </c>
      <c r="I646" s="52">
        <f>ROUND(SUM(F646,H646),2)</f>
        <v/>
      </c>
    </row>
    <row r="647" ht="15.75" customHeight="1">
      <c r="A647" s="15" t="n">
        <v>642</v>
      </c>
      <c r="B647" s="54" t="inlineStr">
        <is>
          <t>Демонтаж существующих туалетных полочек</t>
        </is>
      </c>
      <c r="C647" s="56" t="inlineStr">
        <is>
          <t>шт.</t>
        </is>
      </c>
      <c r="D647" s="94" t="n">
        <v>6</v>
      </c>
      <c r="E647" s="52" t="n">
        <v>0</v>
      </c>
      <c r="F647" s="52">
        <f>ROUND(D647*E647,2)</f>
        <v/>
      </c>
      <c r="G647" s="52" t="n">
        <v>262.7134019318705</v>
      </c>
      <c r="H647" s="52">
        <f>ROUND(D647*G647,2)</f>
        <v/>
      </c>
      <c r="I647" s="52">
        <f>ROUND(SUM(F647,H647),2)</f>
        <v/>
      </c>
    </row>
    <row r="648" ht="15.75" customHeight="1">
      <c r="A648" s="15" t="n">
        <v>643</v>
      </c>
      <c r="B648" s="57" t="inlineStr">
        <is>
          <t>Демонтаж существующего люка в женском сан. Узле</t>
        </is>
      </c>
      <c r="C648" s="61" t="inlineStr">
        <is>
          <t>шт.</t>
        </is>
      </c>
      <c r="D648" s="96" t="n">
        <v>4</v>
      </c>
      <c r="E648" s="52" t="n">
        <v>0</v>
      </c>
      <c r="F648" s="52">
        <f>ROUND(D648*E648,2)</f>
        <v/>
      </c>
      <c r="G648" s="52" t="n">
        <v>1166.643896813129</v>
      </c>
      <c r="H648" s="52">
        <f>ROUND(D648*G648,2)</f>
        <v/>
      </c>
      <c r="I648" s="52">
        <f>ROUND(SUM(F648,H648),2)</f>
        <v/>
      </c>
    </row>
    <row r="649" ht="15.75" customHeight="1">
      <c r="A649" s="15" t="n">
        <v>644</v>
      </c>
      <c r="B649" s="57" t="inlineStr">
        <is>
          <t>Демонтаж столешниц в туалетах</t>
        </is>
      </c>
      <c r="C649" s="61" t="inlineStr">
        <is>
          <t>шт.</t>
        </is>
      </c>
      <c r="D649" s="61" t="n">
        <v>4</v>
      </c>
      <c r="E649" s="52" t="n">
        <v>0</v>
      </c>
      <c r="F649" s="52">
        <f>ROUND(D649*E649,2)</f>
        <v/>
      </c>
      <c r="G649" s="52" t="n">
        <v>2574.032224405441</v>
      </c>
      <c r="H649" s="52">
        <f>ROUND(D649*G649,2)</f>
        <v/>
      </c>
      <c r="I649" s="52">
        <f>ROUND(SUM(F649,H649),2)</f>
        <v/>
      </c>
    </row>
    <row r="650" ht="15.75" customHeight="1">
      <c r="A650" s="15" t="n">
        <v>645</v>
      </c>
      <c r="B650" s="54" t="inlineStr">
        <is>
          <t>Демонтаж телескопических алюминиевых дверей</t>
        </is>
      </c>
      <c r="C650" s="61" t="inlineStr">
        <is>
          <t>шт.</t>
        </is>
      </c>
      <c r="D650" s="94" t="n">
        <v>4</v>
      </c>
      <c r="E650" s="52" t="n">
        <v>0</v>
      </c>
      <c r="F650" s="52">
        <f>ROUND(D650*E650,2)</f>
        <v/>
      </c>
      <c r="G650" s="52" t="n">
        <v>1346.709277613933</v>
      </c>
      <c r="H650" s="52">
        <f>ROUND(D650*G650,2)</f>
        <v/>
      </c>
      <c r="I650" s="52">
        <f>ROUND(SUM(F650,H650),2)</f>
        <v/>
      </c>
    </row>
    <row r="651" ht="45" customHeight="1">
      <c r="A651" s="15" t="n">
        <v>646</v>
      </c>
      <c r="B651" s="58" t="inlineStr">
        <is>
          <t>Демонтаж перегородок из гипсокартонных листов (ГКЛ) с одинарным металлическим каркасом и двухслойной обшивкой с обеих сторон (С 112) глухих</t>
        </is>
      </c>
      <c r="C651" s="62" t="inlineStr">
        <is>
          <t>м2</t>
        </is>
      </c>
      <c r="D651" s="95" t="n">
        <v>30.15</v>
      </c>
      <c r="E651" s="52" t="n">
        <v>0</v>
      </c>
      <c r="F651" s="52">
        <f>ROUND(D651*E651,2)</f>
        <v/>
      </c>
      <c r="G651" s="52" t="n">
        <v>463.1152762397646</v>
      </c>
      <c r="H651" s="52">
        <f>ROUND(D651*G651,2)</f>
        <v/>
      </c>
      <c r="I651" s="52">
        <f>ROUND(SUM(F651,H651),2)</f>
        <v/>
      </c>
    </row>
    <row r="652">
      <c r="A652" s="15" t="n">
        <v>647</v>
      </c>
      <c r="B652" s="28" t="inlineStr">
        <is>
          <t>Раздел 2. Монтажные работы.</t>
        </is>
      </c>
      <c r="C652" s="67" t="n"/>
      <c r="D652" s="71" t="n"/>
      <c r="E652" s="15" t="n"/>
      <c r="F652" s="17" t="n"/>
      <c r="G652" s="13" t="n"/>
      <c r="H652" s="13" t="n"/>
      <c r="I652" s="13" t="n"/>
    </row>
    <row r="653" ht="15.75" customHeight="1">
      <c r="A653" s="15" t="n">
        <v>648</v>
      </c>
      <c r="B653" s="65" t="inlineStr">
        <is>
          <t>Устройство стяжки пола h=200мм</t>
        </is>
      </c>
      <c r="C653" s="67" t="inlineStr">
        <is>
          <t>м2</t>
        </is>
      </c>
      <c r="D653" s="67" t="n">
        <v>22.8</v>
      </c>
      <c r="E653" s="52" t="n">
        <v>3650.754138191594</v>
      </c>
      <c r="F653" s="52">
        <f>ROUND(D653*E653,2)</f>
        <v/>
      </c>
      <c r="G653" s="52" t="n">
        <v>3763.099275236907</v>
      </c>
      <c r="H653" s="52">
        <f>ROUND(D653*G653,2)</f>
        <v/>
      </c>
      <c r="I653" s="52">
        <f>ROUND(SUM(F653,H653),2)</f>
        <v/>
      </c>
    </row>
    <row r="654" ht="45" customHeight="1">
      <c r="A654" s="15" t="n">
        <v>649</v>
      </c>
      <c r="B654" s="64" t="inlineStr">
        <is>
          <t>Устройство перегородок из гипсокартонных листов (ВГКЛ) с одинарным металлическим каркасом и двухслойной обшивкой с обеих сторон (С 112) глухих</t>
        </is>
      </c>
      <c r="C654" s="62" t="inlineStr">
        <is>
          <t>м2</t>
        </is>
      </c>
      <c r="D654" s="62" t="n">
        <v>209.658</v>
      </c>
      <c r="E654" s="52" t="n">
        <v>1361.032094494925</v>
      </c>
      <c r="F654" s="52">
        <f>ROUND(D654*E654,2)</f>
        <v/>
      </c>
      <c r="G654" s="52" t="n">
        <v>2607.601033258546</v>
      </c>
      <c r="H654" s="52">
        <f>ROUND(D654*G654,2)</f>
        <v/>
      </c>
      <c r="I654" s="52">
        <f>ROUND(SUM(F654,H654),2)</f>
        <v/>
      </c>
    </row>
    <row r="655" ht="15.75" customHeight="1">
      <c r="A655" s="15" t="n">
        <v>650</v>
      </c>
      <c r="B655" s="65" t="inlineStr">
        <is>
          <t>Востановление стены после демонтажа люков 30х50см</t>
        </is>
      </c>
      <c r="C655" s="66" t="inlineStr">
        <is>
          <t>шт.</t>
        </is>
      </c>
      <c r="D655" s="66" t="n">
        <v>2</v>
      </c>
      <c r="E655" s="52" t="n">
        <v>0</v>
      </c>
      <c r="F655" s="52">
        <f>ROUND(D655*E655,2)</f>
        <v/>
      </c>
      <c r="G655" s="52" t="n">
        <v>2916.609742032823</v>
      </c>
      <c r="H655" s="52">
        <f>ROUND(D655*G655,2)</f>
        <v/>
      </c>
      <c r="I655" s="52">
        <f>ROUND(SUM(F655,H655),2)</f>
        <v/>
      </c>
    </row>
    <row r="656" ht="15.75" customHeight="1">
      <c r="A656" s="15" t="n">
        <v>651</v>
      </c>
      <c r="B656" s="65" t="inlineStr">
        <is>
          <t>Перенос и монтаж люка под плитку 1000х1000мм</t>
        </is>
      </c>
      <c r="C656" s="66" t="inlineStr">
        <is>
          <t>шт.</t>
        </is>
      </c>
      <c r="D656" s="66" t="n">
        <v>2</v>
      </c>
      <c r="E656" s="52" t="n">
        <v>11488.721342112</v>
      </c>
      <c r="F656" s="52">
        <f>ROUND(D656*E656,2)</f>
        <v/>
      </c>
      <c r="G656" s="52" t="n">
        <v>3807.926912457425</v>
      </c>
      <c r="H656" s="52">
        <f>ROUND(D656*G656,2)</f>
        <v/>
      </c>
      <c r="I656" s="52">
        <f>ROUND(SUM(F656,H656),2)</f>
        <v/>
      </c>
    </row>
    <row r="657" ht="15.75" customHeight="1">
      <c r="A657" s="15" t="n">
        <v>652</v>
      </c>
      <c r="B657" s="65" t="inlineStr">
        <is>
          <t>Устройство гидроизоляции</t>
        </is>
      </c>
      <c r="C657" s="67" t="inlineStr">
        <is>
          <t>м2</t>
        </is>
      </c>
      <c r="D657" s="67" t="n">
        <v>59</v>
      </c>
      <c r="E657" s="52" t="n">
        <v>442.3156016076</v>
      </c>
      <c r="F657" s="52">
        <f>ROUND(D657*E657,2)</f>
        <v/>
      </c>
      <c r="G657" s="52" t="n">
        <v>706.1086389192636</v>
      </c>
      <c r="H657" s="52">
        <f>ROUND(D657*G657,2)</f>
        <v/>
      </c>
      <c r="I657" s="52">
        <f>ROUND(SUM(F657,H657),2)</f>
        <v/>
      </c>
    </row>
    <row r="658" ht="15.75" customHeight="1">
      <c r="A658" s="15" t="n">
        <v>653</v>
      </c>
      <c r="B658" s="65" t="inlineStr">
        <is>
          <t>Чернение потолка и коммуникаций RAL 7026</t>
        </is>
      </c>
      <c r="C658" s="67" t="inlineStr">
        <is>
          <t>м2</t>
        </is>
      </c>
      <c r="D658" s="67" t="n">
        <v>24</v>
      </c>
      <c r="E658" s="52" t="n">
        <v>184.96839823686</v>
      </c>
      <c r="F658" s="52">
        <f>ROUND(D658*E658,2)</f>
        <v/>
      </c>
      <c r="G658" s="52" t="n">
        <v>377.3398992589209</v>
      </c>
      <c r="H658" s="52">
        <f>ROUND(D658*G658,2)</f>
        <v/>
      </c>
      <c r="I658" s="52">
        <f>ROUND(SUM(F658,H658),2)</f>
        <v/>
      </c>
    </row>
    <row r="659" ht="45" customHeight="1">
      <c r="A659" s="15" t="n">
        <v>654</v>
      </c>
      <c r="B659" s="65" t="inlineStr">
        <is>
          <t>Монтаж подвесного потолка типа «Грильято» (черный цвет) с размером ячейки 100×100 мм (включая установку каркаса, подвесов, направляющих и решётчатых элементов</t>
        </is>
      </c>
      <c r="C659" s="67" t="inlineStr">
        <is>
          <t>м2</t>
        </is>
      </c>
      <c r="D659" s="67" t="n">
        <v>24</v>
      </c>
      <c r="E659" s="52" t="n">
        <v>1196.7213</v>
      </c>
      <c r="F659" s="52">
        <f>ROUND(D659*E659,2)</f>
        <v/>
      </c>
      <c r="G659" s="52" t="n">
        <v>1239.587057393498</v>
      </c>
      <c r="H659" s="52">
        <f>ROUND(D659*G659,2)</f>
        <v/>
      </c>
      <c r="I659" s="52">
        <f>ROUND(SUM(F659,H659),2)</f>
        <v/>
      </c>
    </row>
    <row r="660" ht="15.75" customHeight="1">
      <c r="A660" s="15" t="n">
        <v>655</v>
      </c>
      <c r="B660" s="57" t="inlineStr">
        <is>
          <t>Окраска фриза RAL 7026</t>
        </is>
      </c>
      <c r="C660" s="15" t="inlineStr">
        <is>
          <t>м2</t>
        </is>
      </c>
      <c r="D660" s="15" t="n">
        <v>33.82</v>
      </c>
      <c r="E660" s="52" t="n">
        <v>160.84208489013</v>
      </c>
      <c r="F660" s="52">
        <f>ROUND(D660*E660,2)</f>
        <v/>
      </c>
      <c r="G660" s="52" t="n">
        <v>451.0086387490006</v>
      </c>
      <c r="H660" s="52">
        <f>ROUND(D660*G660,2)</f>
        <v/>
      </c>
      <c r="I660" s="52">
        <f>ROUND(SUM(F660,H660),2)</f>
        <v/>
      </c>
    </row>
    <row r="661" ht="30" customHeight="1">
      <c r="A661" s="15" t="n">
        <v>656</v>
      </c>
      <c r="B661" s="57" t="inlineStr">
        <is>
          <t>Устройство напольного покрытия Керамогранит светло-серый 60х60 Матовый Карвинг 59,50x59,50</t>
        </is>
      </c>
      <c r="C661" s="15" t="inlineStr">
        <is>
          <t>м2</t>
        </is>
      </c>
      <c r="D661" s="15" t="n">
        <v>22.8</v>
      </c>
      <c r="E661" s="52" t="n">
        <v>2213.23820148465</v>
      </c>
      <c r="F661" s="52">
        <f>ROUND(D661*E661,2)</f>
        <v/>
      </c>
      <c r="G661" s="52" t="n">
        <v>3051.150486403696</v>
      </c>
      <c r="H661" s="52">
        <f>ROUND(D661*G661,2)</f>
        <v/>
      </c>
      <c r="I661" s="52">
        <f>ROUND(SUM(F661,H661),2)</f>
        <v/>
      </c>
    </row>
    <row r="662" ht="30" customHeight="1">
      <c r="A662" s="15" t="n">
        <v>657</v>
      </c>
      <c r="B662" s="57" t="inlineStr">
        <is>
          <t>Облицовка стен керамогранитом светло-серый 59,5х119,01, Матовый Карвинг 59,5х119,01 Evolution Smoke</t>
        </is>
      </c>
      <c r="C662" s="15" t="inlineStr">
        <is>
          <t>м2</t>
        </is>
      </c>
      <c r="D662" s="18" t="n">
        <v>106.32</v>
      </c>
      <c r="E662" s="52" t="n">
        <v>2222.661196699863</v>
      </c>
      <c r="F662" s="52">
        <f>ROUND(D662*E662,2)</f>
        <v/>
      </c>
      <c r="G662" s="52" t="n">
        <v>3180.984833770257</v>
      </c>
      <c r="H662" s="52">
        <f>ROUND(D662*G662,2)</f>
        <v/>
      </c>
      <c r="I662" s="52">
        <f>ROUND(SUM(F662,H662),2)</f>
        <v/>
      </c>
    </row>
    <row r="663" ht="30" customHeight="1">
      <c r="A663" s="15" t="n">
        <v>658</v>
      </c>
      <c r="B663" s="57" t="inlineStr">
        <is>
          <t>Облицовка стен керамогранитом светло-серый 59,5х119,01, Матовый Карвинг 59,5х119,01Nord Gris</t>
        </is>
      </c>
      <c r="C663" s="15" t="inlineStr">
        <is>
          <t>м2</t>
        </is>
      </c>
      <c r="D663" s="18" t="n">
        <v>25.99</v>
      </c>
      <c r="E663" s="52" t="n">
        <v>2222.661196699863</v>
      </c>
      <c r="F663" s="52">
        <f>ROUND(D663*E663,2)</f>
        <v/>
      </c>
      <c r="G663" s="52" t="n">
        <v>3180.984833770257</v>
      </c>
      <c r="H663" s="52">
        <f>ROUND(D663*G663,2)</f>
        <v/>
      </c>
      <c r="I663" s="52">
        <f>ROUND(SUM(F663,H663),2)</f>
        <v/>
      </c>
    </row>
    <row r="664" ht="30" customHeight="1">
      <c r="A664" s="15" t="n">
        <v>659</v>
      </c>
      <c r="B664" s="57" t="inlineStr">
        <is>
          <t>Монтаж светильника подвесного SP-POLO-R85-2-15W Day White 40deg теплый белый 3000К, (Black, Black Ring) (Arlight, IP20), 230D</t>
        </is>
      </c>
      <c r="C664" s="15" t="inlineStr">
        <is>
          <t>шт</t>
        </is>
      </c>
      <c r="D664" s="94" t="n">
        <v>27</v>
      </c>
      <c r="E664" s="52" t="n">
        <v>7913.8934</v>
      </c>
      <c r="F664" s="52">
        <f>ROUND(D664*E664,2)</f>
        <v/>
      </c>
      <c r="G664" s="52" t="n">
        <v>3609.000970777563</v>
      </c>
      <c r="H664" s="52">
        <f>ROUND(D664*G664,2)</f>
        <v/>
      </c>
      <c r="I664" s="52">
        <f>ROUND(SUM(F664,H664),2)</f>
        <v/>
      </c>
    </row>
    <row r="665" ht="49.5" customHeight="1">
      <c r="A665" s="15" t="n">
        <v>660</v>
      </c>
      <c r="B665" s="7" t="inlineStr">
        <is>
          <t>Монтаж встраиваемого светодиодного светильника OKKO IP54/IP20 13 WH Светильник SP-JEDI-HANG-R18-6W Warm3000 (BK, 360 deg, 230V)
(Arlight, IP20 Пластик</t>
        </is>
      </c>
      <c r="C665" s="15" t="inlineStr">
        <is>
          <t>шт</t>
        </is>
      </c>
      <c r="D665" s="94" t="n">
        <v>12</v>
      </c>
      <c r="E665" s="52" t="n">
        <v>7453.721229457388</v>
      </c>
      <c r="F665" s="52">
        <f>ROUND(D665*E665,2)</f>
        <v/>
      </c>
      <c r="G665" s="52" t="n">
        <v>3214.625726855305</v>
      </c>
      <c r="H665" s="52">
        <f>ROUND(D665*G665,2)</f>
        <v/>
      </c>
      <c r="I665" s="52">
        <f>ROUND(SUM(F665,H665),2)</f>
        <v/>
      </c>
    </row>
    <row r="666" ht="15.75" customHeight="1">
      <c r="A666" s="15" t="n">
        <v>661</v>
      </c>
      <c r="B666" s="57" t="inlineStr">
        <is>
          <t>Монтаж существующей музыкальной колонки</t>
        </is>
      </c>
      <c r="C666" s="15" t="inlineStr">
        <is>
          <t>шт</t>
        </is>
      </c>
      <c r="D666" s="60" t="n">
        <v>2</v>
      </c>
      <c r="E666" s="52" t="n">
        <v>0</v>
      </c>
      <c r="F666" s="52">
        <f>ROUND(D666*E666,2)</f>
        <v/>
      </c>
      <c r="G666" s="52" t="n">
        <v>1411.848878365026</v>
      </c>
      <c r="H666" s="52">
        <f>ROUND(D666*G666,2)</f>
        <v/>
      </c>
      <c r="I666" s="52">
        <f>ROUND(SUM(F666,H666),2)</f>
        <v/>
      </c>
    </row>
    <row r="667" ht="15.75" customHeight="1">
      <c r="A667" s="15" t="n">
        <v>662</v>
      </c>
      <c r="B667" s="57" t="inlineStr">
        <is>
          <t>Монтаж диффузоров</t>
        </is>
      </c>
      <c r="C667" s="15" t="inlineStr">
        <is>
          <t>шт</t>
        </is>
      </c>
      <c r="D667" s="18" t="n">
        <v>6</v>
      </c>
      <c r="E667" s="52" t="n">
        <v>1238.627820067312</v>
      </c>
      <c r="F667" s="52">
        <f>ROUND(D667*E667,2)</f>
        <v/>
      </c>
      <c r="G667" s="52" t="n">
        <v>1200.283269440882</v>
      </c>
      <c r="H667" s="52">
        <f>ROUND(D667*G667,2)</f>
        <v/>
      </c>
      <c r="I667" s="52">
        <f>ROUND(SUM(F667,H667),2)</f>
        <v/>
      </c>
    </row>
    <row r="668" ht="45" customHeight="1">
      <c r="A668" s="15" t="n">
        <v>663</v>
      </c>
      <c r="B668" s="65" t="inlineStr">
        <is>
          <t>Монтаж дверных блоков 2Л 2000х700.
Монтаж деревянных дверей  из ЛДСП в телескопической алюминиевой коробке в проем, замок WC Свободно/занято</t>
        </is>
      </c>
      <c r="C668" s="70" t="inlineStr">
        <is>
          <t>шт</t>
        </is>
      </c>
      <c r="D668" s="79" t="n">
        <v>2</v>
      </c>
      <c r="E668" s="52" t="n">
        <v>14360.90167764</v>
      </c>
      <c r="F668" s="52">
        <f>ROUND(D668*E668,2)</f>
        <v/>
      </c>
      <c r="G668" s="52" t="n">
        <v>9911.798466495968</v>
      </c>
      <c r="H668" s="52">
        <f>ROUND(D668*G668,2)</f>
        <v/>
      </c>
      <c r="I668" s="52">
        <f>ROUND(SUM(F668,H668),2)</f>
        <v/>
      </c>
    </row>
    <row r="669" ht="45" customHeight="1">
      <c r="A669" s="15" t="n">
        <v>664</v>
      </c>
      <c r="B669" s="65" t="inlineStr">
        <is>
          <t>Монтаж дверные блоков 2П 2000х700.
Монтаж деревянных дверей  из ЛДСП в телескопической алюминиевой коробке в проем,  замок WC Свободно/занято</t>
        </is>
      </c>
      <c r="C669" s="70" t="inlineStr">
        <is>
          <t>шт</t>
        </is>
      </c>
      <c r="D669" s="79" t="n">
        <v>4</v>
      </c>
      <c r="E669" s="52" t="n">
        <v>14360.90167764</v>
      </c>
      <c r="F669" s="52">
        <f>ROUND(D669*E669,2)</f>
        <v/>
      </c>
      <c r="G669" s="52" t="n">
        <v>9911.798466495968</v>
      </c>
      <c r="H669" s="52">
        <f>ROUND(D669*G669,2)</f>
        <v/>
      </c>
      <c r="I669" s="52">
        <f>ROUND(SUM(F669,H669),2)</f>
        <v/>
      </c>
    </row>
    <row r="670" ht="60" customHeight="1">
      <c r="A670" s="15" t="n">
        <v>665</v>
      </c>
      <c r="B670" s="65" t="inlineStr">
        <is>
          <t>Монтаж дверных блоков 1Л 2000х800.
Монтаж деревянных дверей  из ЛДСП, в телескопической алюминиевой коробке в проем, доводчик для автоматического закрывания.</t>
        </is>
      </c>
      <c r="C670" s="70" t="inlineStr">
        <is>
          <t>шт</t>
        </is>
      </c>
      <c r="D670" s="79" t="n">
        <v>2</v>
      </c>
      <c r="E670" s="52" t="n">
        <v>16467.167264814</v>
      </c>
      <c r="F670" s="52">
        <f>ROUND(D670*E670,2)</f>
        <v/>
      </c>
      <c r="G670" s="52" t="n">
        <v>10387.33623538618</v>
      </c>
      <c r="H670" s="52">
        <f>ROUND(D670*G670,2)</f>
        <v/>
      </c>
      <c r="I670" s="52">
        <f>ROUND(SUM(F670,H670),2)</f>
        <v/>
      </c>
    </row>
    <row r="671" ht="45" customHeight="1">
      <c r="A671" s="15" t="n">
        <v>666</v>
      </c>
      <c r="B671" s="69" t="inlineStr">
        <is>
          <t>Устройство  столешниц Иск. камень,
LG Hi-macs G503 NIGHT STELLA, - 20 мм
Мет. труба, - 40 мм</t>
        </is>
      </c>
      <c r="C671" s="70" t="inlineStr">
        <is>
          <t>шт</t>
        </is>
      </c>
      <c r="D671" s="79" t="n">
        <v>2</v>
      </c>
      <c r="E671" s="52" t="n">
        <v>33508.77050329201</v>
      </c>
      <c r="F671" s="52">
        <f>ROUND(D671*E671,2)</f>
        <v/>
      </c>
      <c r="G671" s="52" t="n">
        <v>16145.48096511602</v>
      </c>
      <c r="H671" s="52">
        <f>ROUND(D671*G671,2)</f>
        <v/>
      </c>
      <c r="I671" s="52">
        <f>ROUND(SUM(F671,H671),2)</f>
        <v/>
      </c>
    </row>
    <row r="672" ht="15.75" customHeight="1">
      <c r="A672" s="15" t="n">
        <v>667</v>
      </c>
      <c r="B672" s="69" t="inlineStr">
        <is>
          <t xml:space="preserve">Монтаж подвесных писуаров </t>
        </is>
      </c>
      <c r="C672" s="70" t="inlineStr">
        <is>
          <t>шт</t>
        </is>
      </c>
      <c r="D672" s="79" t="n">
        <v>3</v>
      </c>
      <c r="E672" s="52" t="n">
        <v>13585.41290295</v>
      </c>
      <c r="F672" s="52">
        <f>ROUND(D672*E672,2)</f>
        <v/>
      </c>
      <c r="G672" s="52" t="n">
        <v>6401.837371901934</v>
      </c>
      <c r="H672" s="52">
        <f>ROUND(D672*G672,2)</f>
        <v/>
      </c>
      <c r="I672" s="52">
        <f>ROUND(SUM(F672,H672),2)</f>
        <v/>
      </c>
    </row>
    <row r="673" ht="30" customHeight="1">
      <c r="A673" s="15" t="n">
        <v>668</v>
      </c>
      <c r="B673" s="69" t="inlineStr">
        <is>
          <t>Унитаз-компакт AM.PM Crave Flash Clean универсальный выпуск
двойной слив. Сиденье с микролифтом</t>
        </is>
      </c>
      <c r="C673" s="70" t="inlineStr">
        <is>
          <t>шт</t>
        </is>
      </c>
      <c r="D673" s="79" t="n">
        <v>6</v>
      </c>
      <c r="E673" s="52" t="n">
        <v>18956.390167764</v>
      </c>
      <c r="F673" s="52">
        <f>ROUND(D673*E673,2)</f>
        <v/>
      </c>
      <c r="G673" s="52" t="n">
        <v>8014.654209354573</v>
      </c>
      <c r="H673" s="52">
        <f>ROUND(D673*G673,2)</f>
        <v/>
      </c>
      <c r="I673" s="52">
        <f>ROUND(SUM(F673,H673),2)</f>
        <v/>
      </c>
    </row>
    <row r="674" ht="15.75" customHeight="1">
      <c r="A674" s="15" t="n">
        <v>669</v>
      </c>
      <c r="B674" s="69" t="inlineStr">
        <is>
          <t>Раковина Cersanit Moduo 40 Ring с подстольем 40 см</t>
        </is>
      </c>
      <c r="C674" s="70" t="inlineStr">
        <is>
          <t>комп</t>
        </is>
      </c>
      <c r="D674" s="79" t="n">
        <v>4</v>
      </c>
      <c r="E674" s="52" t="n">
        <v>7295.338103634</v>
      </c>
      <c r="F674" s="52">
        <f>ROUND(D674*E674,2)</f>
        <v/>
      </c>
      <c r="G674" s="52" t="n">
        <v>4048.005128082581</v>
      </c>
      <c r="H674" s="52">
        <f>ROUND(D674*G674,2)</f>
        <v/>
      </c>
      <c r="I674" s="52">
        <f>ROUND(SUM(F674,H674),2)</f>
        <v/>
      </c>
    </row>
    <row r="675" ht="15.75" customHeight="1">
      <c r="A675" s="15" t="n">
        <v>670</v>
      </c>
      <c r="B675" s="69" t="inlineStr">
        <is>
          <t>Напольная раковина CeruttiSpa Dorris CT7830 430x360x830</t>
        </is>
      </c>
      <c r="C675" s="70" t="inlineStr">
        <is>
          <t>шт</t>
        </is>
      </c>
      <c r="D675" s="79" t="n">
        <v>4</v>
      </c>
      <c r="E675" s="52" t="n">
        <v>18094.736090466</v>
      </c>
      <c r="F675" s="52">
        <f>ROUND(D675*E675,2)</f>
        <v/>
      </c>
      <c r="G675" s="52" t="n">
        <v>6486.216935410227</v>
      </c>
      <c r="H675" s="52">
        <f>ROUND(D675*G675,2)</f>
        <v/>
      </c>
      <c r="I675" s="52">
        <f>ROUND(SUM(F675,H675),2)</f>
        <v/>
      </c>
    </row>
    <row r="676" ht="30" customHeight="1">
      <c r="A676" s="15" t="n">
        <v>671</v>
      </c>
      <c r="B676" s="69" t="inlineStr">
        <is>
          <t>Смеситель для раковины AM.PM Flash однорычажный цвет хром,  предусмотреть установку обратных клапанов на ГВС и ХВС.</t>
        </is>
      </c>
      <c r="C676" s="70" t="inlineStr">
        <is>
          <t>шт</t>
        </is>
      </c>
      <c r="D676" s="79" t="n">
        <v>4</v>
      </c>
      <c r="E676" s="52" t="n">
        <v>7471.881327158641</v>
      </c>
      <c r="F676" s="52">
        <f>ROUND(D676*E676,2)</f>
        <v/>
      </c>
      <c r="G676" s="52" t="n">
        <v>3287.730687613305</v>
      </c>
      <c r="H676" s="52">
        <f>ROUND(D676*G676,2)</f>
        <v/>
      </c>
      <c r="I676" s="52">
        <f>ROUND(SUM(F676,H676),2)</f>
        <v/>
      </c>
    </row>
    <row r="677" ht="45" customHeight="1">
      <c r="A677" s="15" t="n">
        <v>672</v>
      </c>
      <c r="B677" s="69" t="inlineStr">
        <is>
          <t>Смеситель для раковины Cersanit Brasko 63024 однорычажный
высокий цвет хром, предусмотреть установку обратных клапанов на ГВС и ХВС.</t>
        </is>
      </c>
      <c r="C677" s="70" t="inlineStr">
        <is>
          <t>шт</t>
        </is>
      </c>
      <c r="D677" s="79" t="n">
        <v>4</v>
      </c>
      <c r="E677" s="52" t="n">
        <v>9082.13355315264</v>
      </c>
      <c r="F677" s="52">
        <f>ROUND(D677*E677,2)</f>
        <v/>
      </c>
      <c r="G677" s="52" t="n">
        <v>3747.273105231152</v>
      </c>
      <c r="H677" s="52">
        <f>ROUND(D677*G677,2)</f>
        <v/>
      </c>
      <c r="I677" s="52">
        <f>ROUND(SUM(F677,H677),2)</f>
        <v/>
      </c>
    </row>
    <row r="678" ht="15.75" customHeight="1">
      <c r="A678" s="15" t="n">
        <v>673</v>
      </c>
      <c r="B678" s="27" t="inlineStr">
        <is>
          <t>Гигиенический душ Olive'S Balear 13141BLB со смесителем</t>
        </is>
      </c>
      <c r="C678" s="15" t="inlineStr">
        <is>
          <t>шт</t>
        </is>
      </c>
      <c r="D678" s="18" t="n">
        <v>5</v>
      </c>
      <c r="E678" s="52" t="n">
        <v>5256.09</v>
      </c>
      <c r="F678" s="52">
        <f>ROUND(D678*E678,2)</f>
        <v/>
      </c>
      <c r="G678" s="52" t="n">
        <v>3187.402570491844</v>
      </c>
      <c r="H678" s="52">
        <f>ROUND(D678*G678,2)</f>
        <v/>
      </c>
      <c r="I678" s="52">
        <f>ROUND(SUM(F678,H678),2)</f>
        <v/>
      </c>
    </row>
    <row r="679" ht="15.75" customHeight="1">
      <c r="A679" s="15" t="n">
        <v>674</v>
      </c>
      <c r="B679" s="7" t="inlineStr">
        <is>
          <t>Монтаж сантехнических аксессуаров:</t>
        </is>
      </c>
      <c r="C679" s="15" t="inlineStr">
        <is>
          <t>комп</t>
        </is>
      </c>
      <c r="D679" s="18" t="n"/>
      <c r="E679" s="52" t="n">
        <v>0</v>
      </c>
      <c r="F679" s="52">
        <f>ROUND(D679*E679,2)</f>
        <v/>
      </c>
      <c r="G679" s="52" t="n">
        <v>0</v>
      </c>
      <c r="H679" s="52">
        <f>ROUND(D679*G679,2)</f>
        <v/>
      </c>
      <c r="I679" s="52">
        <f>ROUND(SUM(F679,H679),2)</f>
        <v/>
      </c>
    </row>
    <row r="680" ht="15.75" customHeight="1">
      <c r="A680" s="15" t="n">
        <v>675</v>
      </c>
      <c r="B680" s="7" t="inlineStr">
        <is>
          <t xml:space="preserve">Зеркало с подсветкой с прозрачным кантом </t>
        </is>
      </c>
      <c r="C680" s="15" t="inlineStr">
        <is>
          <t>шт</t>
        </is>
      </c>
      <c r="D680" s="18" t="n">
        <v>8</v>
      </c>
      <c r="E680" s="52" t="n">
        <v>5048.3607</v>
      </c>
      <c r="F680" s="52">
        <f>ROUND(D680*E680,2)</f>
        <v/>
      </c>
      <c r="G680" s="52" t="n">
        <v>2303.492849906005</v>
      </c>
      <c r="H680" s="52">
        <f>ROUND(D680*G680,2)</f>
        <v/>
      </c>
      <c r="I680" s="52">
        <f>ROUND(SUM(F680,H680),2)</f>
        <v/>
      </c>
    </row>
    <row r="681" ht="45" customHeight="1">
      <c r="A681" s="15" t="n">
        <v>676</v>
      </c>
      <c r="B681" s="7" t="inlineStr">
        <is>
          <t>Прокладка кабеля ВВГнг(А)-LS 3х1,5 мм. кв. от сущ. распред. коробок до приборов освещения в гофрированной ПВХ-трубе d 25 открыто по строит. конструкциям на скобах/скрыто в штробах</t>
        </is>
      </c>
      <c r="C681" s="15" t="inlineStr">
        <is>
          <t>м</t>
        </is>
      </c>
      <c r="D681" s="18" t="n">
        <v>60</v>
      </c>
      <c r="E681" s="52" t="n">
        <v>92.02159603728001</v>
      </c>
      <c r="F681" s="52">
        <f>ROUND(D681*E681,2)</f>
        <v/>
      </c>
      <c r="G681" s="52" t="n">
        <v>334.1070507051873</v>
      </c>
      <c r="H681" s="52">
        <f>ROUND(D681*G681,2)</f>
        <v/>
      </c>
      <c r="I681" s="52">
        <f>ROUND(SUM(F681,H681),2)</f>
        <v/>
      </c>
    </row>
    <row r="682" ht="31.5" customHeight="1">
      <c r="A682" s="15" t="n">
        <v>677</v>
      </c>
      <c r="B682" s="7" t="inlineStr">
        <is>
          <t>Прокладка кабеля ВВГнг(А)-LS 3х1,5 мм. кв. от сущ. распред. коробок до эл. приемников в гофрированной ПВХ-трубе d 25 скрыто в штробах</t>
        </is>
      </c>
      <c r="C682" s="15" t="inlineStr">
        <is>
          <t>м</t>
        </is>
      </c>
      <c r="D682" s="18" t="n">
        <v>20</v>
      </c>
      <c r="E682" s="52" t="n">
        <v>112.12685511552</v>
      </c>
      <c r="F682" s="52">
        <f>ROUND(D682*E682,2)</f>
        <v/>
      </c>
      <c r="G682" s="52" t="n">
        <v>970.3651152701751</v>
      </c>
      <c r="H682" s="52">
        <f>ROUND(D682*G682,2)</f>
        <v/>
      </c>
      <c r="I682" s="52">
        <f>ROUND(SUM(F682,H682),2)</f>
        <v/>
      </c>
    </row>
    <row r="683" ht="15.75" customHeight="1">
      <c r="A683" s="15" t="n">
        <v>678</v>
      </c>
      <c r="B683" s="7" t="inlineStr">
        <is>
          <t>Монтаж КУП</t>
        </is>
      </c>
      <c r="C683" s="15" t="inlineStr">
        <is>
          <t>шт.</t>
        </is>
      </c>
      <c r="D683" s="18" t="n">
        <v>2</v>
      </c>
      <c r="E683" s="52" t="n">
        <v>918.6189791877001</v>
      </c>
      <c r="F683" s="52">
        <f>ROUND(D683*E683,2)</f>
        <v/>
      </c>
      <c r="G683" s="52" t="n">
        <v>614.1423662764341</v>
      </c>
      <c r="H683" s="52">
        <f>ROUND(D683*G683,2)</f>
        <v/>
      </c>
      <c r="I683" s="52">
        <f>ROUND(SUM(F683,H683),2)</f>
        <v/>
      </c>
    </row>
    <row r="684" ht="15.75" customHeight="1">
      <c r="A684" s="15" t="n">
        <v>679</v>
      </c>
      <c r="B684" s="13" t="inlineStr">
        <is>
          <t>Прокладка провода ПуГПнг(А)-HF 1х6 мм.кв.</t>
        </is>
      </c>
      <c r="C684" s="15" t="inlineStr">
        <is>
          <t>м</t>
        </is>
      </c>
      <c r="D684" s="18" t="n">
        <v>20</v>
      </c>
      <c r="E684" s="52" t="n">
        <v>84.63354249168002</v>
      </c>
      <c r="F684" s="52">
        <f>ROUND(D684*E684,2)</f>
        <v/>
      </c>
      <c r="G684" s="52" t="n">
        <v>320.3756441224579</v>
      </c>
      <c r="H684" s="52">
        <f>ROUND(D684*G684,2)</f>
        <v/>
      </c>
      <c r="I684" s="52">
        <f>ROUND(SUM(F684,H684),2)</f>
        <v/>
      </c>
    </row>
    <row r="685" ht="18.75" customHeight="1">
      <c r="A685" s="15" t="n">
        <v>680</v>
      </c>
      <c r="B685" s="47" t="inlineStr">
        <is>
          <t>Присоединение к зажимам жил проводов или кабелей сечением до 2,5 мм²</t>
        </is>
      </c>
      <c r="C685" s="15" t="inlineStr">
        <is>
          <t>шт.</t>
        </is>
      </c>
      <c r="D685" s="18" t="n">
        <v>100</v>
      </c>
      <c r="E685" s="52" t="n">
        <v>0</v>
      </c>
      <c r="F685" s="52">
        <f>ROUND(D685*E685,2)</f>
        <v/>
      </c>
      <c r="G685" s="52" t="n">
        <v>80.83276616230575</v>
      </c>
      <c r="H685" s="52">
        <f>ROUND(D685*G685,2)</f>
        <v/>
      </c>
      <c r="I685" s="52">
        <f>ROUND(SUM(F685,H685),2)</f>
        <v/>
      </c>
    </row>
    <row r="686" ht="20.25" customHeight="1">
      <c r="A686" s="15" t="n">
        <v>681</v>
      </c>
      <c r="B686" s="14" t="inlineStr">
        <is>
          <t>Присоединение к зажимам жил проводов или кабелей сечением до 6 мм²</t>
        </is>
      </c>
      <c r="C686" s="15" t="inlineStr">
        <is>
          <t>шт.</t>
        </is>
      </c>
      <c r="D686" s="18" t="n">
        <v>100</v>
      </c>
      <c r="E686" s="52" t="n">
        <v>0</v>
      </c>
      <c r="F686" s="52">
        <f>ROUND(D686*E686,2)</f>
        <v/>
      </c>
      <c r="G686" s="52" t="n">
        <v>109.9595342241365</v>
      </c>
      <c r="H686" s="52">
        <f>ROUND(D686*G686,2)</f>
        <v/>
      </c>
      <c r="I686" s="52">
        <f>ROUND(SUM(F686,H686),2)</f>
        <v/>
      </c>
    </row>
    <row r="687" ht="15.75" customHeight="1">
      <c r="A687" s="15" t="n">
        <v>682</v>
      </c>
      <c r="B687" s="13" t="inlineStr">
        <is>
          <t>Пусконаладочные работы</t>
        </is>
      </c>
      <c r="C687" s="15" t="inlineStr">
        <is>
          <t>компл.</t>
        </is>
      </c>
      <c r="D687" s="18" t="n">
        <v>1</v>
      </c>
      <c r="E687" s="52" t="n">
        <v>0</v>
      </c>
      <c r="F687" s="52">
        <f>ROUND(D687*E687,2)</f>
        <v/>
      </c>
      <c r="G687" s="52" t="n">
        <v>15036.25001159667</v>
      </c>
      <c r="H687" s="52">
        <f>ROUND(D687*G687,2)</f>
        <v/>
      </c>
      <c r="I687" s="52">
        <f>ROUND(SUM(F687,H687),2)</f>
        <v/>
      </c>
    </row>
    <row r="688" ht="15.75" customHeight="1">
      <c r="A688" s="15" t="n">
        <v>683</v>
      </c>
      <c r="B688" s="13" t="inlineStr">
        <is>
          <t>Монтаж распаечных коробок</t>
        </is>
      </c>
      <c r="C688" s="15" t="inlineStr">
        <is>
          <t>шт</t>
        </is>
      </c>
      <c r="D688" s="18" t="n">
        <v>38</v>
      </c>
      <c r="E688" s="52" t="n">
        <v>53.18324441640001</v>
      </c>
      <c r="F688" s="52">
        <f>ROUND(D688*E688,2)</f>
        <v/>
      </c>
      <c r="G688" s="52" t="n">
        <v>641.1219285959296</v>
      </c>
      <c r="H688" s="52">
        <f>ROUND(D688*G688,2)</f>
        <v/>
      </c>
      <c r="I688" s="52">
        <f>ROUND(SUM(F688,H688),2)</f>
        <v/>
      </c>
    </row>
    <row r="689" ht="15.75" customHeight="1">
      <c r="A689" s="15" t="n">
        <v>684</v>
      </c>
      <c r="B689" s="13" t="inlineStr">
        <is>
          <t>Покраска стены</t>
        </is>
      </c>
      <c r="C689" s="15" t="inlineStr">
        <is>
          <t>м2</t>
        </is>
      </c>
      <c r="D689" s="18" t="n">
        <v>44.13</v>
      </c>
      <c r="E689" s="52" t="n">
        <v>160.84208489013</v>
      </c>
      <c r="F689" s="52">
        <f>ROUND(D689*E689,2)</f>
        <v/>
      </c>
      <c r="G689" s="52" t="n">
        <v>451.0086387490006</v>
      </c>
      <c r="H689" s="52">
        <f>ROUND(D689*G689,2)</f>
        <v/>
      </c>
      <c r="I689" s="52">
        <f>ROUND(SUM(F689,H689),2)</f>
        <v/>
      </c>
    </row>
    <row r="690" ht="15.75" customHeight="1">
      <c r="A690" s="15" t="n">
        <v>685</v>
      </c>
      <c r="B690" s="48" t="inlineStr">
        <is>
          <t>Выключатель двухклавишный</t>
        </is>
      </c>
      <c r="C690" s="67" t="inlineStr">
        <is>
          <t>шт</t>
        </is>
      </c>
      <c r="D690" s="68" t="n">
        <v>1</v>
      </c>
      <c r="E690" s="52" t="n">
        <v>338.43852781704</v>
      </c>
      <c r="F690" s="52">
        <f>ROUND(D690*E690,2)</f>
        <v/>
      </c>
      <c r="G690" s="52" t="n">
        <v>656.3663918054848</v>
      </c>
      <c r="H690" s="52">
        <f>ROUND(D690*G690,2)</f>
        <v/>
      </c>
      <c r="I690" s="52">
        <f>ROUND(SUM(F690,H690),2)</f>
        <v/>
      </c>
    </row>
    <row r="691">
      <c r="A691" s="15" t="n">
        <v>686</v>
      </c>
      <c r="B691" s="29" t="inlineStr">
        <is>
          <t>Раздел 3. Сантехнические работы</t>
        </is>
      </c>
      <c r="C691" s="15" t="n"/>
      <c r="D691" s="15" t="n"/>
      <c r="E691" s="15" t="n"/>
      <c r="F691" s="17" t="n"/>
      <c r="G691" s="13" t="n"/>
      <c r="H691" s="13" t="n"/>
      <c r="I691" s="13" t="n"/>
    </row>
    <row r="692" ht="15.75" customHeight="1">
      <c r="A692" s="15" t="n">
        <v>687</v>
      </c>
      <c r="B692" s="58" t="inlineStr">
        <is>
          <t>Прокладка канализационного трубопровода, d=50мм</t>
        </is>
      </c>
      <c r="C692" s="15" t="inlineStr">
        <is>
          <t>м</t>
        </is>
      </c>
      <c r="D692" s="67" t="n">
        <v>30</v>
      </c>
      <c r="E692" s="52" t="n">
        <v>207.10334552544</v>
      </c>
      <c r="F692" s="52">
        <f>ROUND(D692*E692,2)</f>
        <v/>
      </c>
      <c r="G692" s="52" t="n">
        <v>647.5516149375146</v>
      </c>
      <c r="H692" s="52">
        <f>ROUND(D692*G692,2)</f>
        <v/>
      </c>
      <c r="I692" s="52">
        <f>ROUND(SUM(F692,H692),2)</f>
        <v/>
      </c>
    </row>
    <row r="693" ht="15.75" customHeight="1">
      <c r="A693" s="15" t="n">
        <v>688</v>
      </c>
      <c r="B693" s="58" t="inlineStr">
        <is>
          <t>Покладка канализационного трубопровода, d=110мм</t>
        </is>
      </c>
      <c r="C693" s="15" t="inlineStr">
        <is>
          <t>м</t>
        </is>
      </c>
      <c r="D693" s="67" t="n">
        <v>26</v>
      </c>
      <c r="E693" s="52" t="n">
        <v>491.8704152544</v>
      </c>
      <c r="F693" s="52">
        <f>ROUND(D693*E693,2)</f>
        <v/>
      </c>
      <c r="G693" s="52" t="n">
        <v>911.442074203041</v>
      </c>
      <c r="H693" s="52">
        <f>ROUND(D693*G693,2)</f>
        <v/>
      </c>
      <c r="I693" s="52">
        <f>ROUND(SUM(F693,H693),2)</f>
        <v/>
      </c>
    </row>
    <row r="694" ht="36.75" customHeight="1">
      <c r="A694" s="15" t="n">
        <v>689</v>
      </c>
      <c r="B694" s="53" t="inlineStr">
        <is>
          <t>Монтаж трубопровода ХВС и ГВС для Гигиенического душа с креплением к несущим конструкциям 1/2'</t>
        </is>
      </c>
      <c r="C694" s="15" t="inlineStr">
        <is>
          <t>м</t>
        </is>
      </c>
      <c r="D694" s="15" t="n">
        <v>30</v>
      </c>
      <c r="E694" s="52" t="n">
        <v>124.4611276272</v>
      </c>
      <c r="F694" s="52">
        <f>ROUND(D694*E694,2)</f>
        <v/>
      </c>
      <c r="G694" s="52" t="n">
        <v>494.5807053620796</v>
      </c>
      <c r="H694" s="52">
        <f>ROUND(D694*G694,2)</f>
        <v/>
      </c>
      <c r="I694" s="52">
        <f>ROUND(SUM(F694,H694),2)</f>
        <v/>
      </c>
    </row>
    <row r="695" ht="15.75" customHeight="1">
      <c r="A695" s="15" t="n">
        <v>690</v>
      </c>
      <c r="B695" s="53" t="inlineStr">
        <is>
          <t>Теплоизоляция трубопровода для Гигиенического душа</t>
        </is>
      </c>
      <c r="C695" s="15" t="inlineStr">
        <is>
          <t>м</t>
        </is>
      </c>
      <c r="D695" s="15" t="n">
        <v>30</v>
      </c>
      <c r="E695" s="52" t="n">
        <v>44.80595735616</v>
      </c>
      <c r="F695" s="52">
        <f>ROUND(D695*E695,2)</f>
        <v/>
      </c>
      <c r="G695" s="52" t="n">
        <v>209.7137340258199</v>
      </c>
      <c r="H695" s="52">
        <f>ROUND(D695*G695,2)</f>
        <v/>
      </c>
      <c r="I695" s="52">
        <f>ROUND(SUM(F695,H695),2)</f>
        <v/>
      </c>
    </row>
    <row r="696" ht="15.75" customHeight="1">
      <c r="A696" s="15" t="n">
        <v>691</v>
      </c>
      <c r="B696" s="53" t="inlineStr">
        <is>
          <t>Установка запорной арматуры на линию Гигиенического душа</t>
        </is>
      </c>
      <c r="C696" s="15" t="inlineStr">
        <is>
          <t>шт</t>
        </is>
      </c>
      <c r="D696" s="15" t="n">
        <v>2</v>
      </c>
      <c r="E696" s="52" t="n">
        <v>448.060180932</v>
      </c>
      <c r="F696" s="52">
        <f>ROUND(D696*E696,2)</f>
        <v/>
      </c>
      <c r="G696" s="52" t="n">
        <v>1301.746431732025</v>
      </c>
      <c r="H696" s="52">
        <f>ROUND(D696*G696,2)</f>
        <v/>
      </c>
      <c r="I696" s="52">
        <f>ROUND(SUM(F696,H696),2)</f>
        <v/>
      </c>
    </row>
    <row r="697" ht="15.75" customHeight="1">
      <c r="A697" s="15" t="n">
        <v>692</v>
      </c>
      <c r="B697" s="53" t="inlineStr">
        <is>
          <t>Установка обратных клапанов на линию Гигиенического душа</t>
        </is>
      </c>
      <c r="C697" s="15" t="inlineStr">
        <is>
          <t>шт</t>
        </is>
      </c>
      <c r="D697" s="15" t="n">
        <v>2</v>
      </c>
      <c r="E697" s="52" t="n">
        <v>378.36187657632</v>
      </c>
      <c r="F697" s="52">
        <f>ROUND(D697*E697,2)</f>
        <v/>
      </c>
      <c r="G697" s="52" t="n">
        <v>1286.010440814944</v>
      </c>
      <c r="H697" s="52">
        <f>ROUND(D697*G697,2)</f>
        <v/>
      </c>
      <c r="I697" s="52">
        <f>ROUND(SUM(F697,H697),2)</f>
        <v/>
      </c>
    </row>
    <row r="698" ht="30" customHeight="1">
      <c r="A698" s="15" t="n">
        <v>693</v>
      </c>
      <c r="B698" s="53" t="inlineStr">
        <is>
          <t>Установка лючков 300х300 под плитку для доступа к подключению Гигиенического душа</t>
        </is>
      </c>
      <c r="C698" s="15" t="inlineStr">
        <is>
          <t>шт</t>
        </is>
      </c>
      <c r="D698" s="15" t="n">
        <v>5</v>
      </c>
      <c r="E698" s="52" t="n">
        <v>2106.265587174</v>
      </c>
      <c r="F698" s="52">
        <f>ROUND(D698*E698,2)</f>
        <v/>
      </c>
      <c r="G698" s="52" t="n">
        <v>1689.622315172197</v>
      </c>
      <c r="H698" s="52">
        <f>ROUND(D698*G698,2)</f>
        <v/>
      </c>
      <c r="I698" s="52">
        <f>ROUND(SUM(F698,H698),2)</f>
        <v/>
      </c>
    </row>
    <row r="699" ht="15.75" customHeight="1">
      <c r="A699" s="15" t="n">
        <v>694</v>
      </c>
      <c r="B699" s="53" t="inlineStr">
        <is>
          <t>Замена напольных трапов 100х100мм HL 510 N-3000</t>
        </is>
      </c>
      <c r="C699" s="15" t="inlineStr">
        <is>
          <t>шт</t>
        </is>
      </c>
      <c r="D699" s="15" t="n">
        <v>2</v>
      </c>
      <c r="E699" s="52" t="n">
        <v>5700.8197</v>
      </c>
      <c r="F699" s="52">
        <f>ROUND(D699*E699,2)</f>
        <v/>
      </c>
      <c r="G699" s="52" t="n">
        <v>4837.966600955877</v>
      </c>
      <c r="H699" s="52">
        <f>ROUND(D699*G699,2)</f>
        <v/>
      </c>
      <c r="I699" s="52">
        <f>ROUND(SUM(F699,H699),2)</f>
        <v/>
      </c>
    </row>
    <row r="700" ht="30" customHeight="1">
      <c r="A700" s="15" t="n">
        <v>695</v>
      </c>
      <c r="B700" s="53" t="inlineStr">
        <is>
          <t>Опрессовка смонтированного или реконструированного трубопровода ХВС/ГВС</t>
        </is>
      </c>
      <c r="C700" s="15" t="inlineStr">
        <is>
          <t>компл.</t>
        </is>
      </c>
      <c r="D700" s="18" t="n">
        <v>1</v>
      </c>
      <c r="E700" s="52" t="n">
        <v>0</v>
      </c>
      <c r="F700" s="52">
        <f>ROUND(D700*E700,2)</f>
        <v/>
      </c>
      <c r="G700" s="52" t="n">
        <v>4706.162927883422</v>
      </c>
      <c r="H700" s="52">
        <f>ROUND(D700*G700,2)</f>
        <v/>
      </c>
      <c r="I700" s="52">
        <f>ROUND(SUM(F700,H700),2)</f>
        <v/>
      </c>
    </row>
    <row r="701">
      <c r="A701" s="15" t="n">
        <v>696</v>
      </c>
      <c r="B701" s="53" t="inlineStr">
        <is>
          <t>Навесные элементы в санузлы</t>
        </is>
      </c>
      <c r="C701" s="15" t="n"/>
      <c r="D701" s="18" t="n"/>
      <c r="E701" s="15" t="n"/>
      <c r="F701" s="17" t="n"/>
      <c r="G701" s="13" t="n"/>
      <c r="H701" s="13" t="n"/>
      <c r="I701" s="13" t="n"/>
    </row>
    <row r="702" ht="15.75" customHeight="1">
      <c r="A702" s="15" t="n">
        <v>697</v>
      </c>
      <c r="B702" s="49" t="inlineStr">
        <is>
          <t>Диспенсер под туалетную бумагу</t>
        </is>
      </c>
      <c r="C702" s="50" t="inlineStr">
        <is>
          <t>шт</t>
        </is>
      </c>
      <c r="D702" s="50" t="n">
        <v>6</v>
      </c>
      <c r="E702" s="24" t="n">
        <v>1723.308154596</v>
      </c>
      <c r="F702" s="25">
        <f>ROUND(D702*E702,2)</f>
        <v/>
      </c>
      <c r="G702" s="24" t="n">
        <v>977.3467103634516</v>
      </c>
      <c r="H702" s="25">
        <f>ROUND(D702*G702,2)</f>
        <v/>
      </c>
      <c r="I702" s="25">
        <f>ROUND(SUM(F702,H702),2)</f>
        <v/>
      </c>
    </row>
    <row r="703" ht="15.75" customHeight="1">
      <c r="A703" s="15" t="n">
        <v>698</v>
      </c>
      <c r="B703" s="53" t="inlineStr">
        <is>
          <t>Диспенсер для накладок</t>
        </is>
      </c>
      <c r="C703" s="20" t="inlineStr">
        <is>
          <t>шт</t>
        </is>
      </c>
      <c r="D703" s="20" t="n">
        <v>6</v>
      </c>
      <c r="E703" s="24" t="n">
        <v>2393.483574006</v>
      </c>
      <c r="F703" s="25">
        <f>ROUND(D703*E703,2)</f>
        <v/>
      </c>
      <c r="G703" s="24" t="n">
        <v>1128.654183481734</v>
      </c>
      <c r="H703" s="25">
        <f>ROUND(D703*G703,2)</f>
        <v/>
      </c>
      <c r="I703" s="25">
        <f>ROUND(SUM(F703,H703),2)</f>
        <v/>
      </c>
    </row>
    <row r="704" ht="15.75" customHeight="1">
      <c r="A704" s="15" t="n">
        <v>699</v>
      </c>
      <c r="B704" s="53" t="inlineStr">
        <is>
          <t>Держательдля освежителя воздуха</t>
        </is>
      </c>
      <c r="C704" s="20" t="inlineStr">
        <is>
          <t>шт</t>
        </is>
      </c>
      <c r="D704" s="20" t="n">
        <v>6</v>
      </c>
      <c r="E704" s="24" t="n">
        <v>1436.090167764</v>
      </c>
      <c r="F704" s="25">
        <f>ROUND(D704*E704,2)</f>
        <v/>
      </c>
      <c r="G704" s="24" t="n">
        <v>912.500661757358</v>
      </c>
      <c r="H704" s="25">
        <f>ROUND(D704*G704,2)</f>
        <v/>
      </c>
      <c r="I704" s="25">
        <f>ROUND(SUM(F704,H704),2)</f>
        <v/>
      </c>
    </row>
    <row r="705" ht="15.75" customHeight="1">
      <c r="A705" s="15" t="n">
        <v>700</v>
      </c>
      <c r="B705" s="53" t="inlineStr">
        <is>
          <t>Полка под личные принадлежности</t>
        </is>
      </c>
      <c r="C705" s="20" t="inlineStr">
        <is>
          <t>шт</t>
        </is>
      </c>
      <c r="D705" s="20" t="n">
        <v>6</v>
      </c>
      <c r="E705" s="24" t="n">
        <v>861.6540772980001</v>
      </c>
      <c r="F705" s="25">
        <f>ROUND(D705*E705,2)</f>
        <v/>
      </c>
      <c r="G705" s="24" t="n">
        <v>782.8085381744397</v>
      </c>
      <c r="H705" s="25">
        <f>ROUND(D705*G705,2)</f>
        <v/>
      </c>
      <c r="I705" s="25">
        <f>ROUND(SUM(F705,H705),2)</f>
        <v/>
      </c>
    </row>
    <row r="706" ht="15.75" customHeight="1">
      <c r="A706" s="15" t="n">
        <v>701</v>
      </c>
      <c r="B706" s="53" t="inlineStr">
        <is>
          <t>Диспенсор под жидкое мыло</t>
        </is>
      </c>
      <c r="C706" s="20" t="inlineStr">
        <is>
          <t>шт</t>
        </is>
      </c>
      <c r="D706" s="20" t="n">
        <v>8</v>
      </c>
      <c r="E706" s="24" t="n">
        <v>2106.265587174</v>
      </c>
      <c r="F706" s="25">
        <f>ROUND(D706*E706,2)</f>
        <v/>
      </c>
      <c r="G706" s="24" t="n">
        <v>1181.462208072726</v>
      </c>
      <c r="H706" s="25">
        <f>ROUND(D706*G706,2)</f>
        <v/>
      </c>
      <c r="I706" s="25">
        <f>ROUND(SUM(F706,H706),2)</f>
        <v/>
      </c>
    </row>
    <row r="707" ht="15.75" customHeight="1">
      <c r="A707" s="15" t="n">
        <v>702</v>
      </c>
      <c r="B707" s="53" t="inlineStr">
        <is>
          <t>Диспенсер для бумажных полотенец</t>
        </is>
      </c>
      <c r="C707" s="20" t="inlineStr">
        <is>
          <t>шт</t>
        </is>
      </c>
      <c r="D707" s="20" t="n">
        <v>4</v>
      </c>
      <c r="E707" s="24" t="n">
        <v>3350.87709705</v>
      </c>
      <c r="F707" s="25">
        <f>ROUND(D707*E707,2)</f>
        <v/>
      </c>
      <c r="G707" s="24" t="n">
        <v>1462.461804773927</v>
      </c>
      <c r="H707" s="25">
        <f>ROUND(D707*G707,2)</f>
        <v/>
      </c>
      <c r="I707" s="25">
        <f>ROUND(SUM(F707,H707),2)</f>
        <v/>
      </c>
    </row>
    <row r="708" ht="15.75" customHeight="1">
      <c r="A708" s="15" t="n"/>
      <c r="B708" s="39" t="inlineStr">
        <is>
          <t>Итого по всем разделам в том числе:</t>
        </is>
      </c>
      <c r="C708" s="44" t="n"/>
      <c r="D708" s="44" t="n"/>
      <c r="E708" s="30" t="n"/>
      <c r="F708" s="30" t="n"/>
      <c r="G708" s="30" t="n"/>
      <c r="H708" s="31" t="n"/>
      <c r="I708" s="32">
        <f>ROUND(SUM(I7:I707),2)</f>
        <v/>
      </c>
    </row>
    <row r="709" ht="15.75" customHeight="1">
      <c r="A709" s="15" t="n"/>
      <c r="B709" s="39" t="inlineStr">
        <is>
          <t>Непредвиденные расходы 5%</t>
        </is>
      </c>
      <c r="C709" s="44" t="n"/>
      <c r="D709" s="44" t="n"/>
      <c r="E709" s="30" t="n"/>
      <c r="F709" s="30" t="n"/>
      <c r="G709" s="30" t="n"/>
      <c r="H709" s="31" t="n"/>
      <c r="I709" s="32">
        <f>0.05*I708</f>
        <v/>
      </c>
    </row>
    <row r="710" ht="15.75" customHeight="1">
      <c r="A710" s="15" t="n"/>
      <c r="B710" s="40" t="inlineStr">
        <is>
          <t>Материалы</t>
        </is>
      </c>
      <c r="C710" s="45" t="n"/>
      <c r="D710" s="45" t="n"/>
      <c r="E710" s="85" t="n"/>
      <c r="F710" s="85" t="n"/>
      <c r="G710" s="85" t="n"/>
      <c r="H710" s="86" t="n"/>
      <c r="I710" s="83">
        <f>SUM(F7:F707)</f>
        <v/>
      </c>
    </row>
    <row r="711" ht="15.75" customHeight="1">
      <c r="A711" s="15" t="n"/>
      <c r="B711" s="40" t="inlineStr">
        <is>
          <t>Заработная плата</t>
        </is>
      </c>
      <c r="C711" s="45" t="n"/>
      <c r="D711" s="45" t="n"/>
      <c r="E711" s="85" t="n"/>
      <c r="F711" s="85" t="n"/>
      <c r="G711" s="85" t="n"/>
      <c r="H711" s="86" t="n"/>
      <c r="I711" s="83">
        <f>SUM(H7:H707)</f>
        <v/>
      </c>
    </row>
    <row r="712" ht="15.75" customHeight="1">
      <c r="A712" s="15" t="n"/>
      <c r="B712" s="41" t="inlineStr">
        <is>
          <t>Итого</t>
        </is>
      </c>
      <c r="C712" s="46" t="n"/>
      <c r="D712" s="46" t="n"/>
      <c r="E712" s="35" t="n"/>
      <c r="F712" s="35" t="n"/>
      <c r="G712" s="35" t="n"/>
      <c r="H712" s="36" t="n"/>
      <c r="I712" s="83">
        <f>ROUND(I710+I711,2)</f>
        <v/>
      </c>
    </row>
    <row r="713" ht="15.75" customHeight="1">
      <c r="A713" s="15" t="n"/>
      <c r="B713" s="98" t="inlineStr">
        <is>
          <t>НДС 22%</t>
        </is>
      </c>
      <c r="C713" s="91" t="n"/>
      <c r="D713" s="91" t="n"/>
      <c r="E713" s="91" t="n"/>
      <c r="F713" s="91" t="n"/>
      <c r="G713" s="91" t="n"/>
      <c r="H713" s="92" t="n"/>
      <c r="I713" s="83">
        <f>ROUND(I712*22/100,2)</f>
        <v/>
      </c>
    </row>
    <row r="714" ht="15.75" customHeight="1">
      <c r="A714" s="15" t="n"/>
      <c r="B714" s="98" t="inlineStr">
        <is>
          <t>Всего по смете с учетом НДС</t>
        </is>
      </c>
      <c r="C714" s="91" t="n"/>
      <c r="D714" s="91" t="n"/>
      <c r="E714" s="91" t="n"/>
      <c r="F714" s="91" t="n"/>
      <c r="G714" s="91" t="n"/>
      <c r="H714" s="92" t="n"/>
      <c r="I714" s="83">
        <f>ROUND(I712+I713,2)</f>
        <v/>
      </c>
    </row>
  </sheetData>
  <mergeCells count="10">
    <mergeCell ref="G2:H2"/>
    <mergeCell ref="E2:F2"/>
    <mergeCell ref="C2:C3"/>
    <mergeCell ref="B714:H714"/>
    <mergeCell ref="A2:A3"/>
    <mergeCell ref="B1:F1"/>
    <mergeCell ref="B2:B3"/>
    <mergeCell ref="D2:D3"/>
    <mergeCell ref="B713:H713"/>
    <mergeCell ref="I2:I3"/>
  </mergeCell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Левченко Игорь Валентинович</dc:creator>
  <dcterms:created xmlns:dcterms="http://purl.org/dc/terms/" xmlns:xsi="http://www.w3.org/2001/XMLSchema-instance" xsi:type="dcterms:W3CDTF">2017-08-04T11:04:41Z</dcterms:created>
  <dcterms:modified xmlns:dcterms="http://purl.org/dc/terms/" xmlns:xsi="http://www.w3.org/2001/XMLSchema-instance" xsi:type="dcterms:W3CDTF">2026-10-29T15:05:47Z</dcterms:modified>
  <cp:lastModifiedBy>Пантюхина Анна</cp:lastModifiedBy>
  <cp:lastPrinted>2025-09-24T10:07:12Z</cp:lastPrinted>
</cp:coreProperties>
</file>