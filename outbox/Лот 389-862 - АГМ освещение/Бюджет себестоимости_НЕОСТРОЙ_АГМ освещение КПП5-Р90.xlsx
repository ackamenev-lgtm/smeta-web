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спорт" sheetId="1" state="visible" r:id="rId1"/>
    <sheet xmlns:r="http://schemas.openxmlformats.org/officeDocument/2006/relationships" name="Свод" sheetId="2" state="visible" r:id="rId2"/>
    <sheet xmlns:r="http://schemas.openxmlformats.org/officeDocument/2006/relationships" name="Работы" sheetId="3" state="visible" r:id="rId3"/>
    <sheet xmlns:r="http://schemas.openxmlformats.org/officeDocument/2006/relationships" name="Материалы" sheetId="4" state="visible" r:id="rId4"/>
    <sheet xmlns:r="http://schemas.openxmlformats.org/officeDocument/2006/relationships" name="Косвенные" sheetId="5" state="visible" r:id="rId5"/>
    <sheet xmlns:r="http://schemas.openxmlformats.org/officeDocument/2006/relationships" name="Риски и вопросы" sheetId="6" state="visible" r:id="rId6"/>
    <sheet xmlns:r="http://schemas.openxmlformats.org/officeDocument/2006/relationships" name="Цены материалов (источники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9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АГМ, освещение КПП5–Р90, 389-862</t>
        </is>
      </c>
    </row>
    <row r="3">
      <c r="A3" s="2" t="inlineStr">
        <is>
          <t>Заказчик</t>
        </is>
      </c>
      <c r="B3" t="inlineStr">
        <is>
          <t>ООО «АГМ», Санкт-Петербург, посёлок у завода</t>
        </is>
      </c>
    </row>
    <row r="4">
      <c r="A4" s="2" t="inlineStr">
        <is>
          <t>Объект</t>
        </is>
      </c>
      <c r="B4" t="inlineStr">
        <is>
          <t>Дорога от КПП5 к Р90, цех окраски Р40, энергоблок Р90</t>
        </is>
      </c>
    </row>
    <row r="5">
      <c r="A5" s="2" t="inlineStr">
        <is>
          <t>Номер</t>
        </is>
      </c>
      <c r="B5" t="inlineStr">
        <is>
          <t>389-862, Bidzaar, сделка 1814</t>
        </is>
      </c>
    </row>
    <row r="6">
      <c r="A6" s="2" t="inlineStr">
        <is>
          <t>Предмет</t>
        </is>
      </c>
      <c r="B6" t="inlineStr">
        <is>
          <t>Кабель ВВГнг-LS 5х2,5, щиты, 9 светильников Плазма 600 Вт</t>
        </is>
      </c>
    </row>
    <row r="7">
      <c r="A7" s="2" t="inlineStr">
        <is>
          <t>Регион цены</t>
        </is>
      </c>
      <c r="B7" t="inlineStr">
        <is>
          <t>Санкт-Петербург</t>
        </is>
      </c>
    </row>
    <row r="8">
      <c r="A8" s="2" t="inlineStr">
        <is>
          <t>НМЦК</t>
        </is>
      </c>
      <c r="B8" t="inlineStr">
        <is>
          <t>не указана</t>
        </is>
      </c>
    </row>
    <row r="9">
      <c r="A9" s="2" t="inlineStr">
        <is>
          <t>Оплата</t>
        </is>
      </c>
      <c r="B9" t="inlineStr">
        <is>
          <t>по форме заказчика, аналогично другим лотам АГМ: после выполнения, 30 дней</t>
        </is>
      </c>
    </row>
    <row r="10">
      <c r="A10" s="2" t="inlineStr">
        <is>
          <t>Тип тендера</t>
        </is>
      </c>
      <c r="B10" t="inlineStr">
        <is>
          <t>Крупные сети и девелоперы — конкурентный тендер</t>
        </is>
      </c>
    </row>
    <row r="11">
      <c r="A11" s="2" t="inlineStr">
        <is>
          <t>Срок подачи</t>
        </is>
      </c>
      <c r="B11" t="inlineStr">
        <is>
          <t>2026-11-04 12:00 Москва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1" t="inlineStr">
        <is>
          <t>АГМ, освещение КПП5–Р90, 389-862</t>
        </is>
      </c>
    </row>
    <row r="3">
      <c r="A3" s="2" t="inlineStr">
        <is>
          <t>Материалы, с/с</t>
        </is>
      </c>
      <c r="B3" s="3" t="n">
        <v>858903.0294852459</v>
      </c>
    </row>
    <row r="4">
      <c r="A4" s="2" t="inlineStr">
        <is>
          <t>Оплата бригадам</t>
        </is>
      </c>
      <c r="B4" s="3" t="n">
        <v>144800</v>
      </c>
    </row>
    <row r="5">
      <c r="A5" s="2" t="inlineStr">
        <is>
          <t>Расходники</t>
        </is>
      </c>
      <c r="B5" s="3" t="n">
        <v>3105.25</v>
      </c>
    </row>
    <row r="6">
      <c r="A6" s="2" t="inlineStr">
        <is>
          <t>Прочие косвенные без резервов</t>
        </is>
      </c>
      <c r="B6" s="3" t="n">
        <v>0</v>
      </c>
    </row>
    <row r="7">
      <c r="A7" s="2" t="inlineStr">
        <is>
          <t>Резерв гарантии 1,5 %</t>
        </is>
      </c>
      <c r="B7" s="3" t="n">
        <v>15102.12419227869</v>
      </c>
    </row>
    <row r="8">
      <c r="A8" s="2" t="inlineStr">
        <is>
          <t>Резерв рисков 3 %</t>
        </is>
      </c>
      <c r="B8" s="3" t="n">
        <v>30204.24838455738</v>
      </c>
    </row>
    <row r="9">
      <c r="A9" s="2" t="inlineStr">
        <is>
          <t>Полная себестоимость</t>
        </is>
      </c>
      <c r="B9" s="3" t="n">
        <v>1052114.652062082</v>
      </c>
    </row>
    <row r="10">
      <c r="A10" s="2" t="inlineStr">
        <is>
          <t>КП работы</t>
        </is>
      </c>
      <c r="B10" s="3" t="n">
        <v>241728</v>
      </c>
    </row>
    <row r="11">
      <c r="A11" s="2" t="inlineStr">
        <is>
          <t>КП материалы</t>
        </is>
      </c>
      <c r="B11" s="3" t="n">
        <v>816705.3498974427</v>
      </c>
    </row>
    <row r="12">
      <c r="A12" s="2" t="inlineStr">
        <is>
          <t>КП без НДС</t>
        </is>
      </c>
      <c r="B12" s="3" t="n">
        <v>1058433.349897443</v>
      </c>
    </row>
    <row r="13">
      <c r="A13" s="2" t="inlineStr">
        <is>
          <t>НДС 22 %</t>
        </is>
      </c>
      <c r="B13" s="3" t="n">
        <v>232855.3369774374</v>
      </c>
    </row>
    <row r="14">
      <c r="A14" s="2" t="inlineStr">
        <is>
          <t>КП с НДС</t>
        </is>
      </c>
      <c r="B14" s="3" t="n">
        <v>1291288.68687488</v>
      </c>
    </row>
    <row r="15">
      <c r="A15" s="2" t="inlineStr">
        <is>
          <t>Наценка на полную с/с</t>
        </is>
      </c>
      <c r="B15" s="4" t="n">
        <v>0.006005712232004967</v>
      </c>
    </row>
    <row r="16">
      <c r="A16" s="2" t="inlineStr">
        <is>
          <t>Маржа</t>
        </is>
      </c>
      <c r="B16" s="4" t="n">
        <v>0.005969858976923925</v>
      </c>
    </row>
    <row r="17">
      <c r="A17" s="2" t="inlineStr">
        <is>
          <t>Тип тендера</t>
        </is>
      </c>
      <c r="B17" t="inlineStr">
        <is>
          <t>Крупные сети — конкурентный, цель 30–40 %</t>
        </is>
      </c>
    </row>
    <row r="18">
      <c r="A18" s="2" t="inlineStr">
        <is>
          <t>НМЦК</t>
        </is>
      </c>
      <c r="B18" t="inlineStr">
        <is>
          <t>не указана</t>
        </is>
      </c>
    </row>
    <row r="22">
      <c r="A22" t="inlineStr">
        <is>
          <t>Сценарий переторжки −5 %: маржа</t>
        </is>
      </c>
      <c r="B22" s="4" t="n">
        <v>-0.04634751686639604</v>
      </c>
    </row>
    <row r="23">
      <c r="A23" t="inlineStr">
        <is>
          <t>Сценарий переторжки −10 %: маржа</t>
        </is>
      </c>
      <c r="B23" s="4" t="n">
        <v>-0.1044779344700846</v>
      </c>
    </row>
    <row r="24">
      <c r="A24" t="inlineStr">
        <is>
          <t>Минимальная цена при наценке 15 %</t>
        </is>
      </c>
      <c r="B24" s="3" t="n">
        <v>1209931.849871394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8" customWidth="1" min="4" max="4"/>
    <col width="8" customWidth="1" min="5" max="5"/>
    <col width="12" customWidth="1" min="6" max="6"/>
    <col width="14" customWidth="1" min="7" max="7"/>
    <col width="16" customWidth="1" min="8" max="8"/>
    <col width="16" customWidth="1" min="9" max="9"/>
    <col width="16" customWidth="1" min="10" max="10"/>
    <col width="8" customWidth="1" min="11" max="11"/>
  </cols>
  <sheetData>
    <row r="1" ht="32" customHeight="1">
      <c r="A1" s="5" t="inlineStr">
        <is>
          <t>№</t>
        </is>
      </c>
      <c r="B1" s="5" t="inlineStr">
        <is>
          <t>Позиция формы</t>
        </is>
      </c>
      <c r="C1" s="5" t="inlineStr">
        <is>
          <t>Артикул</t>
        </is>
      </c>
      <c r="D1" s="5" t="inlineStr">
        <is>
          <t>Метка</t>
        </is>
      </c>
      <c r="E1" s="5" t="inlineStr">
        <is>
          <t>Ед.</t>
        </is>
      </c>
      <c r="F1" s="5" t="inlineStr">
        <is>
          <t>Объём</t>
        </is>
      </c>
      <c r="G1" s="5" t="inlineStr">
        <is>
          <t>Цена КП</t>
        </is>
      </c>
      <c r="H1" s="5" t="inlineStr">
        <is>
          <t>Оплата бригаде</t>
        </is>
      </c>
      <c r="I1" s="5" t="inlineStr">
        <is>
          <t>Сумма КП</t>
        </is>
      </c>
      <c r="J1" s="5" t="inlineStr">
        <is>
          <t>Сумма бригаде</t>
        </is>
      </c>
      <c r="K1" s="5" t="inlineStr">
        <is>
          <t>Код</t>
        </is>
      </c>
    </row>
    <row r="2">
      <c r="A2" s="6" t="n">
        <v>1</v>
      </c>
      <c r="B2" s="6" t="inlineStr">
        <is>
          <t>Кабель 5х2,5 в существующем лотке</t>
        </is>
      </c>
      <c r="C2" s="6" t="inlineStr">
        <is>
          <t>10.2.8</t>
        </is>
      </c>
      <c r="D2" s="6" t="inlineStr">
        <is>
          <t>точно</t>
        </is>
      </c>
      <c r="E2" s="6" t="inlineStr">
        <is>
          <t>м</t>
        </is>
      </c>
      <c r="F2" s="6" t="n">
        <v>210</v>
      </c>
      <c r="G2" s="7" t="n">
        <v>110</v>
      </c>
      <c r="H2" s="7" t="n">
        <v>65</v>
      </c>
      <c r="I2" s="7">
        <f>F2*G2</f>
        <v/>
      </c>
      <c r="J2" s="7">
        <f>F2*H2</f>
        <v/>
      </c>
      <c r="K2" s="6" t="inlineStr">
        <is>
          <t>ELM</t>
        </is>
      </c>
    </row>
    <row r="3">
      <c r="A3" s="6" t="n">
        <v>2</v>
      </c>
      <c r="B3" s="6" t="inlineStr">
        <is>
          <t>Труба гладкая до 25 мм</t>
        </is>
      </c>
      <c r="C3" s="6" t="inlineStr">
        <is>
          <t>10.2.35</t>
        </is>
      </c>
      <c r="D3" s="6" t="inlineStr">
        <is>
          <t>аналог</t>
        </is>
      </c>
      <c r="E3" s="6" t="inlineStr">
        <is>
          <t>м</t>
        </is>
      </c>
      <c r="F3" s="6" t="n">
        <v>300</v>
      </c>
      <c r="G3" s="7" t="n">
        <v>204</v>
      </c>
      <c r="H3" s="7" t="n">
        <v>125</v>
      </c>
      <c r="I3" s="7">
        <f>F3*G3</f>
        <v/>
      </c>
      <c r="J3" s="7">
        <f>F3*H3</f>
        <v/>
      </c>
      <c r="K3" s="6" t="inlineStr">
        <is>
          <t>ELM</t>
        </is>
      </c>
    </row>
    <row r="4">
      <c r="A4" s="6" t="n">
        <v>3</v>
      </c>
      <c r="B4" s="6" t="inlineStr">
        <is>
          <t>Затяжка кабеля в трубу, суммарное сечение до 16 мм²</t>
        </is>
      </c>
      <c r="C4" s="6" t="inlineStr">
        <is>
          <t>10.2.1</t>
        </is>
      </c>
      <c r="D4" s="6" t="inlineStr">
        <is>
          <t>точно</t>
        </is>
      </c>
      <c r="E4" s="6" t="inlineStr">
        <is>
          <t>м</t>
        </is>
      </c>
      <c r="F4" s="6" t="n">
        <v>300</v>
      </c>
      <c r="G4" s="7" t="n">
        <v>110</v>
      </c>
      <c r="H4" s="7" t="n">
        <v>65</v>
      </c>
      <c r="I4" s="7">
        <f>F4*G4</f>
        <v/>
      </c>
      <c r="J4" s="7">
        <f>F4*H4</f>
        <v/>
      </c>
      <c r="K4" s="6" t="inlineStr">
        <is>
          <t>ELM</t>
        </is>
      </c>
    </row>
    <row r="5">
      <c r="A5" s="6" t="n">
        <v>4</v>
      </c>
      <c r="B5" s="6" t="inlineStr">
        <is>
          <t>Проходка</t>
        </is>
      </c>
      <c r="C5" s="6" t="inlineStr">
        <is>
          <t>10.2.N7</t>
        </is>
      </c>
      <c r="D5" s="6" t="inlineStr">
        <is>
          <t>аналог</t>
        </is>
      </c>
      <c r="E5" s="6" t="inlineStr">
        <is>
          <t>шт</t>
        </is>
      </c>
      <c r="F5" s="6" t="n">
        <v>2</v>
      </c>
      <c r="G5" s="7" t="n">
        <v>900</v>
      </c>
      <c r="H5" s="7" t="n">
        <v>540</v>
      </c>
      <c r="I5" s="7">
        <f>F5*G5</f>
        <v/>
      </c>
      <c r="J5" s="7">
        <f>F5*H5</f>
        <v/>
      </c>
      <c r="K5" s="6" t="inlineStr">
        <is>
          <t>ELM</t>
        </is>
      </c>
    </row>
    <row r="6">
      <c r="A6" s="6" t="n">
        <v>5</v>
      </c>
      <c r="B6" s="6" t="inlineStr">
        <is>
          <t>Коробка открытая</t>
        </is>
      </c>
      <c r="C6" s="6" t="inlineStr">
        <is>
          <t>10.2.25</t>
        </is>
      </c>
      <c r="D6" s="6" t="inlineStr">
        <is>
          <t>аналог</t>
        </is>
      </c>
      <c r="E6" s="6" t="inlineStr">
        <is>
          <t>шт</t>
        </is>
      </c>
      <c r="F6" s="6" t="n">
        <v>9</v>
      </c>
      <c r="G6" s="7" t="n">
        <v>300</v>
      </c>
      <c r="H6" s="7" t="n">
        <v>185</v>
      </c>
      <c r="I6" s="7">
        <f>F6*G6</f>
        <v/>
      </c>
      <c r="J6" s="7">
        <f>F6*H6</f>
        <v/>
      </c>
      <c r="K6" s="6" t="inlineStr">
        <is>
          <t>ELM</t>
        </is>
      </c>
    </row>
    <row r="7">
      <c r="A7" s="6" t="n">
        <v>6</v>
      </c>
      <c r="B7" s="6" t="inlineStr">
        <is>
          <t>Расключение коробки</t>
        </is>
      </c>
      <c r="C7" s="6" t="inlineStr">
        <is>
          <t>10.2.N9</t>
        </is>
      </c>
      <c r="D7" s="6" t="inlineStr">
        <is>
          <t>аналог</t>
        </is>
      </c>
      <c r="E7" s="6" t="inlineStr">
        <is>
          <t>шт</t>
        </is>
      </c>
      <c r="F7" s="6" t="n">
        <v>9</v>
      </c>
      <c r="G7" s="7" t="n">
        <v>454</v>
      </c>
      <c r="H7" s="7" t="n">
        <v>280</v>
      </c>
      <c r="I7" s="7">
        <f>F7*G7</f>
        <v/>
      </c>
      <c r="J7" s="7">
        <f>F7*H7</f>
        <v/>
      </c>
      <c r="K7" s="6" t="inlineStr">
        <is>
          <t>ELM</t>
        </is>
      </c>
    </row>
    <row r="8">
      <c r="A8" s="6" t="n">
        <v>7</v>
      </c>
      <c r="B8" s="6" t="inlineStr">
        <is>
          <t>Демонтаж светильника до 12 м</t>
        </is>
      </c>
      <c r="C8" s="6" t="inlineStr">
        <is>
          <t>1.11.N2</t>
        </is>
      </c>
      <c r="D8" s="6" t="inlineStr">
        <is>
          <t>аналог</t>
        </is>
      </c>
      <c r="E8" s="6" t="inlineStr">
        <is>
          <t>шт</t>
        </is>
      </c>
      <c r="F8" s="6" t="n">
        <v>6</v>
      </c>
      <c r="G8" s="7" t="n">
        <v>907</v>
      </c>
      <c r="H8" s="7" t="n">
        <v>540</v>
      </c>
      <c r="I8" s="7">
        <f>F8*G8</f>
        <v/>
      </c>
      <c r="J8" s="7">
        <f>F8*H8</f>
        <v/>
      </c>
      <c r="K8" s="6" t="inlineStr">
        <is>
          <t>ELM</t>
        </is>
      </c>
    </row>
    <row r="9">
      <c r="A9" s="6" t="n">
        <v>8</v>
      </c>
      <c r="B9" s="6" t="inlineStr">
        <is>
          <t>Демонтаж кабеля</t>
        </is>
      </c>
      <c r="C9" s="6" t="inlineStr">
        <is>
          <t>10.2.N1</t>
        </is>
      </c>
      <c r="D9" s="6" t="inlineStr">
        <is>
          <t>аналог</t>
        </is>
      </c>
      <c r="E9" s="6" t="inlineStr">
        <is>
          <t>м</t>
        </is>
      </c>
      <c r="F9" s="6" t="n">
        <v>150</v>
      </c>
      <c r="G9" s="7" t="n">
        <v>70</v>
      </c>
      <c r="H9" s="7" t="n">
        <v>42</v>
      </c>
      <c r="I9" s="7">
        <f>F9*G9</f>
        <v/>
      </c>
      <c r="J9" s="7">
        <f>F9*H9</f>
        <v/>
      </c>
      <c r="K9" s="6" t="inlineStr">
        <is>
          <t>ELM</t>
        </is>
      </c>
    </row>
    <row r="10">
      <c r="A10" s="6" t="n">
        <v>9</v>
      </c>
      <c r="B10" s="6" t="inlineStr">
        <is>
          <t>Щит, сборка, допущено 24 модуля</t>
        </is>
      </c>
      <c r="C10" s="6" t="inlineStr">
        <is>
          <t>10.1.N2</t>
        </is>
      </c>
      <c r="D10" s="6" t="inlineStr">
        <is>
          <t>оценка объёма</t>
        </is>
      </c>
      <c r="E10" s="6" t="inlineStr">
        <is>
          <t>модуль</t>
        </is>
      </c>
      <c r="F10" s="6" t="n">
        <v>24</v>
      </c>
      <c r="G10" s="7" t="n">
        <v>450</v>
      </c>
      <c r="H10" s="7" t="n">
        <v>280</v>
      </c>
      <c r="I10" s="7">
        <f>F10*G10</f>
        <v/>
      </c>
      <c r="J10" s="7">
        <f>F10*H10</f>
        <v/>
      </c>
      <c r="K10" s="6" t="inlineStr">
        <is>
          <t>ELM</t>
        </is>
      </c>
    </row>
    <row r="11">
      <c r="A11" s="6" t="n">
        <v>10</v>
      </c>
      <c r="B11" s="6" t="inlineStr">
        <is>
          <t>Доукомплект щита, допущено 12 модулей</t>
        </is>
      </c>
      <c r="C11" s="6" t="inlineStr">
        <is>
          <t>10.1.N2</t>
        </is>
      </c>
      <c r="D11" s="6" t="inlineStr">
        <is>
          <t>оценка объёма</t>
        </is>
      </c>
      <c r="E11" s="6" t="inlineStr">
        <is>
          <t>модуль</t>
        </is>
      </c>
      <c r="F11" s="6" t="n">
        <v>12</v>
      </c>
      <c r="G11" s="7" t="n">
        <v>450</v>
      </c>
      <c r="H11" s="7" t="n">
        <v>280</v>
      </c>
      <c r="I11" s="7">
        <f>F11*G11</f>
        <v/>
      </c>
      <c r="J11" s="7">
        <f>F11*H11</f>
        <v/>
      </c>
      <c r="K11" s="6" t="inlineStr">
        <is>
          <t>ELM</t>
        </is>
      </c>
    </row>
    <row r="12">
      <c r="A12" s="6" t="n">
        <v>11</v>
      </c>
      <c r="B12" s="6" t="inlineStr">
        <is>
          <t>Светильник на кронштейне</t>
        </is>
      </c>
      <c r="C12" s="6" t="inlineStr">
        <is>
          <t>10.4.17</t>
        </is>
      </c>
      <c r="D12" s="6" t="inlineStr">
        <is>
          <t>аналог</t>
        </is>
      </c>
      <c r="E12" s="6" t="inlineStr">
        <is>
          <t>шт</t>
        </is>
      </c>
      <c r="F12" s="6" t="n">
        <v>9</v>
      </c>
      <c r="G12" s="7" t="n">
        <v>1100</v>
      </c>
      <c r="H12" s="7" t="n">
        <v>660</v>
      </c>
      <c r="I12" s="7">
        <f>F12*G12</f>
        <v/>
      </c>
      <c r="J12" s="7">
        <f>F12*H12</f>
        <v/>
      </c>
      <c r="K12" s="6" t="inlineStr">
        <is>
          <t>ELM</t>
        </is>
      </c>
    </row>
    <row r="13">
      <c r="A13" s="6" t="n">
        <v>12</v>
      </c>
      <c r="B13" s="6" t="inlineStr">
        <is>
          <t>Рама крепления, профиль</t>
        </is>
      </c>
      <c r="C13" s="6" t="inlineStr">
        <is>
          <t>5.1.15</t>
        </is>
      </c>
      <c r="D13" s="6" t="inlineStr">
        <is>
          <t>аналог</t>
        </is>
      </c>
      <c r="E13" s="6" t="inlineStr">
        <is>
          <t>мп</t>
        </is>
      </c>
      <c r="F13" s="6" t="n">
        <v>22.5</v>
      </c>
      <c r="G13" s="7" t="n">
        <v>1600</v>
      </c>
      <c r="H13" s="7" t="n">
        <v>930</v>
      </c>
      <c r="I13" s="7">
        <f>F13*G13</f>
        <v/>
      </c>
      <c r="J13" s="7">
        <f>F13*H13</f>
        <v/>
      </c>
      <c r="K13" s="6" t="inlineStr">
        <is>
          <t>SVA</t>
        </is>
      </c>
    </row>
    <row r="14">
      <c r="A14" s="6" t="n">
        <v>13</v>
      </c>
      <c r="B14" s="6" t="inlineStr">
        <is>
          <t>Исполнительная документация</t>
        </is>
      </c>
      <c r="C14" s="6" t="inlineStr">
        <is>
          <t>нет</t>
        </is>
      </c>
      <c r="D14" s="6" t="inlineStr">
        <is>
          <t>нет в тарификаторе</t>
        </is>
      </c>
      <c r="E14" s="6" t="inlineStr">
        <is>
          <t>ч</t>
        </is>
      </c>
      <c r="F14" s="6" t="n">
        <v>16</v>
      </c>
      <c r="G14" s="7" t="n">
        <v>2362.5</v>
      </c>
      <c r="H14" s="7" t="n">
        <v>1400</v>
      </c>
      <c r="I14" s="7">
        <f>F14*G14</f>
        <v/>
      </c>
      <c r="J14" s="7">
        <f>F14*H14</f>
        <v/>
      </c>
      <c r="K14" s="6" t="inlineStr">
        <is>
          <t>ETL</t>
        </is>
      </c>
    </row>
    <row r="15">
      <c r="H15" t="inlineStr">
        <is>
          <t>Итого</t>
        </is>
      </c>
      <c r="I15" s="3">
        <f>SUM(I2:I14)</f>
        <v/>
      </c>
      <c r="J15" s="3">
        <f>SUM(J2:J14)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8" customWidth="1" min="4" max="4"/>
    <col width="12" customWidth="1" min="5" max="5"/>
    <col width="16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40" customWidth="1" min="14" max="14"/>
    <col width="28" customWidth="1" min="15" max="15"/>
  </cols>
  <sheetData>
    <row r="1" ht="32" customHeight="1">
      <c r="A1" s="5" t="inlineStr">
        <is>
          <t>№</t>
        </is>
      </c>
      <c r="B1" s="5" t="inlineStr">
        <is>
          <t>Материал</t>
        </is>
      </c>
      <c r="C1" s="5" t="inlineStr">
        <is>
          <t>Категория</t>
        </is>
      </c>
      <c r="D1" s="5" t="inlineStr">
        <is>
          <t>Ед.</t>
        </is>
      </c>
      <c r="E1" s="5" t="inlineStr">
        <is>
          <t>Кол-во</t>
        </is>
      </c>
      <c r="F1" s="5" t="inlineStr">
        <is>
          <t>Закупка б/НДС</t>
        </is>
      </c>
      <c r="G1" s="5" t="inlineStr">
        <is>
          <t>Отходы</t>
        </is>
      </c>
      <c r="H1" s="5" t="inlineStr">
        <is>
          <t>С/с ед.</t>
        </is>
      </c>
      <c r="I1" s="5" t="inlineStr">
        <is>
          <t>Наценка</t>
        </is>
      </c>
      <c r="J1" s="5" t="inlineStr">
        <is>
          <t>Цена КП ед.</t>
        </is>
      </c>
      <c r="K1" s="5" t="inlineStr">
        <is>
          <t>Сумма с/с</t>
        </is>
      </c>
      <c r="L1" s="5" t="inlineStr">
        <is>
          <t>Сумма КП</t>
        </is>
      </c>
      <c r="M1" s="5" t="inlineStr">
        <is>
          <t>Потолок розницы</t>
        </is>
      </c>
      <c r="N1" s="5" t="inlineStr">
        <is>
          <t>Источник</t>
        </is>
      </c>
      <c r="O1" s="5" t="inlineStr">
        <is>
          <t>Пометка</t>
        </is>
      </c>
    </row>
    <row r="2">
      <c r="A2" s="6" t="n">
        <v>1</v>
      </c>
      <c r="B2" s="6" t="inlineStr">
        <is>
          <t>ВВГнг(А)-LS 5х2,5</t>
        </is>
      </c>
      <c r="C2" s="6" t="inlineStr">
        <is>
          <t>Кабель</t>
        </is>
      </c>
      <c r="D2" s="6" t="inlineStr">
        <is>
          <t>м</t>
        </is>
      </c>
      <c r="E2" s="6" t="n">
        <v>510</v>
      </c>
      <c r="F2" s="7" t="n">
        <v>162.8688524590164</v>
      </c>
      <c r="G2" s="8" t="n">
        <v>0.04</v>
      </c>
      <c r="H2" s="7">
        <f>F2*(1+G2)*(1+0.03)*(1+0.04)</f>
        <v/>
      </c>
      <c r="I2" s="8" t="n">
        <v>0.12</v>
      </c>
      <c r="J2" s="7">
        <f>MIN(H2*(1+I2),M2)</f>
        <v/>
      </c>
      <c r="K2" s="7">
        <f>E2*H2</f>
        <v/>
      </c>
      <c r="L2" s="7">
        <f>E2*J2</f>
        <v/>
      </c>
      <c r="M2" s="7" t="n">
        <v>183.172131147541</v>
      </c>
      <c r="N2" s="6" t="inlineStr">
        <is>
          <t>ЭТМ 198,70 ₽/м с НДС; Петрович Кабэкс 223,47 ₽/м с НДС</t>
        </is>
      </c>
      <c r="O2" s="6" t="inlineStr">
        <is>
          <t>запросить КП поставщика</t>
        </is>
      </c>
    </row>
    <row r="3">
      <c r="A3" s="6" t="n">
        <v>2</v>
      </c>
      <c r="B3" s="6" t="inlineStr">
        <is>
          <t>Труба гладкая УФ до 25 мм</t>
        </is>
      </c>
      <c r="C3" s="6" t="inlineStr">
        <is>
          <t>Электроустановка</t>
        </is>
      </c>
      <c r="D3" s="6" t="inlineStr">
        <is>
          <t>м</t>
        </is>
      </c>
      <c r="E3" s="6" t="n">
        <v>300</v>
      </c>
      <c r="F3" s="7" t="n">
        <v>70</v>
      </c>
      <c r="G3" s="8" t="n">
        <v>0.01</v>
      </c>
      <c r="H3" s="7">
        <f>F3*(1+G3)*(1+0.03)*(1+0.04)</f>
        <v/>
      </c>
      <c r="I3" s="8" t="n">
        <v>0.12</v>
      </c>
      <c r="J3" s="7">
        <f>H3*(1+I3)</f>
        <v/>
      </c>
      <c r="K3" s="7">
        <f>E3*H3</f>
        <v/>
      </c>
      <c r="L3" s="7">
        <f>E3*J3</f>
        <v/>
      </c>
      <c r="M3" s="7" t="n"/>
      <c r="N3" s="6" t="inlineStr">
        <is>
          <t>прайс не снят</t>
        </is>
      </c>
      <c r="O3" s="6" t="inlineStr">
        <is>
          <t>оценка</t>
        </is>
      </c>
    </row>
    <row r="4">
      <c r="A4" s="6" t="n">
        <v>3</v>
      </c>
      <c r="B4" s="6" t="inlineStr">
        <is>
          <t>Коробка 150×116×67</t>
        </is>
      </c>
      <c r="C4" s="6" t="inlineStr">
        <is>
          <t>Электроустановка</t>
        </is>
      </c>
      <c r="D4" s="6" t="inlineStr">
        <is>
          <t>шт</t>
        </is>
      </c>
      <c r="E4" s="6" t="n">
        <v>9</v>
      </c>
      <c r="F4" s="7" t="n">
        <v>500</v>
      </c>
      <c r="G4" s="8" t="n">
        <v>0.01</v>
      </c>
      <c r="H4" s="7">
        <f>F4*(1+G4)*(1+0.03)*(1+0.04)</f>
        <v/>
      </c>
      <c r="I4" s="8" t="n">
        <v>0.12</v>
      </c>
      <c r="J4" s="7">
        <f>H4*(1+I4)</f>
        <v/>
      </c>
      <c r="K4" s="7">
        <f>E4*H4</f>
        <v/>
      </c>
      <c r="L4" s="7">
        <f>E4*J4</f>
        <v/>
      </c>
      <c r="M4" s="7" t="n"/>
      <c r="N4" s="6" t="inlineStr">
        <is>
          <t>прайс не снят</t>
        </is>
      </c>
      <c r="O4" s="6" t="inlineStr">
        <is>
          <t>оценка</t>
        </is>
      </c>
    </row>
    <row r="5">
      <c r="A5" s="6" t="n">
        <v>4</v>
      </c>
      <c r="B5" s="6" t="inlineStr">
        <is>
          <t>Гильза и пена проходки</t>
        </is>
      </c>
      <c r="C5" s="6" t="inlineStr">
        <is>
          <t>Электроустановка</t>
        </is>
      </c>
      <c r="D5" s="6" t="inlineStr">
        <is>
          <t>шт</t>
        </is>
      </c>
      <c r="E5" s="6" t="n">
        <v>2</v>
      </c>
      <c r="F5" s="7" t="n">
        <v>1800</v>
      </c>
      <c r="G5" s="8" t="n">
        <v>0.01</v>
      </c>
      <c r="H5" s="7">
        <f>F5*(1+G5)*(1+0.03)*(1+0.04)</f>
        <v/>
      </c>
      <c r="I5" s="8" t="n">
        <v>0.12</v>
      </c>
      <c r="J5" s="7">
        <f>H5*(1+I5)</f>
        <v/>
      </c>
      <c r="K5" s="7">
        <f>E5*H5</f>
        <v/>
      </c>
      <c r="L5" s="7">
        <f>E5*J5</f>
        <v/>
      </c>
      <c r="M5" s="7" t="n"/>
      <c r="N5" s="6" t="inlineStr">
        <is>
          <t>прайс не снят</t>
        </is>
      </c>
      <c r="O5" s="6" t="inlineStr">
        <is>
          <t>оценка</t>
        </is>
      </c>
    </row>
    <row r="6">
      <c r="A6" s="6" t="n">
        <v>5</v>
      </c>
      <c r="B6" s="6" t="inlineStr">
        <is>
          <t>Щит компрессорной, состав по ТЗ не раскрыт</t>
        </is>
      </c>
      <c r="C6" s="6" t="inlineStr">
        <is>
          <t>Электроустановка</t>
        </is>
      </c>
      <c r="D6" s="6" t="inlineStr">
        <is>
          <t>шт</t>
        </is>
      </c>
      <c r="E6" s="6" t="n">
        <v>1</v>
      </c>
      <c r="F6" s="7" t="n">
        <v>28000</v>
      </c>
      <c r="G6" s="8" t="n">
        <v>0.01</v>
      </c>
      <c r="H6" s="7">
        <f>F6*(1+G6)*(1+0.03)*(1+0.04)</f>
        <v/>
      </c>
      <c r="I6" s="8" t="n">
        <v>0.12</v>
      </c>
      <c r="J6" s="7">
        <f>H6*(1+I6)</f>
        <v/>
      </c>
      <c r="K6" s="7">
        <f>E6*H6</f>
        <v/>
      </c>
      <c r="L6" s="7">
        <f>E6*J6</f>
        <v/>
      </c>
      <c r="M6" s="7" t="n"/>
      <c r="N6" s="6" t="inlineStr">
        <is>
          <t>схемы щита в выгрузке нет</t>
        </is>
      </c>
      <c r="O6" s="6" t="inlineStr">
        <is>
          <t>оценка, запросить КП</t>
        </is>
      </c>
    </row>
    <row r="7">
      <c r="A7" s="6" t="n">
        <v>6</v>
      </c>
      <c r="B7" s="6" t="inlineStr">
        <is>
          <t>Доукомплект щита Р40</t>
        </is>
      </c>
      <c r="C7" s="6" t="inlineStr">
        <is>
          <t>Электроустановка</t>
        </is>
      </c>
      <c r="D7" s="6" t="inlineStr">
        <is>
          <t>шт</t>
        </is>
      </c>
      <c r="E7" s="6" t="n">
        <v>1</v>
      </c>
      <c r="F7" s="7" t="n">
        <v>12000</v>
      </c>
      <c r="G7" s="8" t="n">
        <v>0.01</v>
      </c>
      <c r="H7" s="7">
        <f>F7*(1+G7)*(1+0.03)*(1+0.04)</f>
        <v/>
      </c>
      <c r="I7" s="8" t="n">
        <v>0.12</v>
      </c>
      <c r="J7" s="7">
        <f>H7*(1+I7)</f>
        <v/>
      </c>
      <c r="K7" s="7">
        <f>E7*H7</f>
        <v/>
      </c>
      <c r="L7" s="7">
        <f>E7*J7</f>
        <v/>
      </c>
      <c r="M7" s="7" t="n"/>
      <c r="N7" s="6" t="inlineStr">
        <is>
          <t>состав не раскрыт</t>
        </is>
      </c>
      <c r="O7" s="6" t="inlineStr">
        <is>
          <t>оценка, запросить КП</t>
        </is>
      </c>
    </row>
    <row r="8">
      <c r="A8" s="6" t="n">
        <v>7</v>
      </c>
      <c r="B8" s="6" t="inlineStr">
        <is>
          <t>Плазма 600Вт X Оптима CRI70 4000К 120°</t>
        </is>
      </c>
      <c r="C8" s="6" t="inlineStr">
        <is>
          <t>Светильники</t>
        </is>
      </c>
      <c r="D8" s="6" t="inlineStr">
        <is>
          <t>шт</t>
        </is>
      </c>
      <c r="E8" s="6" t="n">
        <v>9</v>
      </c>
      <c r="F8" s="7" t="n">
        <v>70491.80327868853</v>
      </c>
      <c r="G8" s="8" t="n">
        <v>0.01</v>
      </c>
      <c r="H8" s="7">
        <f>F8*(1+G8)*(1+0.03)*(1+0.04)</f>
        <v/>
      </c>
      <c r="I8" s="8" t="n">
        <v>0.1</v>
      </c>
      <c r="J8" s="7">
        <f>MIN(H8*(1+I8),M8)</f>
        <v/>
      </c>
      <c r="K8" s="7">
        <f>E8*H8</f>
        <v/>
      </c>
      <c r="L8" s="7">
        <f>E8*J8</f>
        <v/>
      </c>
      <c r="M8" s="7" t="n">
        <v>70491.80327868853</v>
      </c>
      <c r="N8" s="6" t="inlineStr">
        <is>
          <t>Опора 24, 86 000 ₽ с НДС; соседние оптики PromLED 90 300 ₽</t>
        </is>
      </c>
      <c r="O8" s="6" t="inlineStr">
        <is>
          <t>запросить КП завода, витрина выше с/с с доставкой</t>
        </is>
      </c>
    </row>
    <row r="9">
      <c r="A9" s="6" t="n">
        <v>8</v>
      </c>
      <c r="B9" s="6" t="inlineStr">
        <is>
          <t>Профиль рам 60×60×2, 2,5 м на светильник</t>
        </is>
      </c>
      <c r="C9" s="6" t="inlineStr">
        <is>
          <t>Металлопрокат</t>
        </is>
      </c>
      <c r="D9" s="6" t="inlineStr">
        <is>
          <t>м</t>
        </is>
      </c>
      <c r="E9" s="6" t="n">
        <v>22.5</v>
      </c>
      <c r="F9" s="7" t="n">
        <v>206</v>
      </c>
      <c r="G9" s="8" t="n">
        <v>0.05</v>
      </c>
      <c r="H9" s="7">
        <f>F9*(1+G9)*(1+0.03)*(1+0.04)</f>
        <v/>
      </c>
      <c r="I9" s="8" t="n">
        <v>0.1</v>
      </c>
      <c r="J9" s="7">
        <f>MIN(H9*(1+I9),M9)</f>
        <v/>
      </c>
      <c r="K9" s="7">
        <f>E9*H9</f>
        <v/>
      </c>
      <c r="L9" s="7">
        <f>E9*J9</f>
        <v/>
      </c>
      <c r="M9" s="7" t="n">
        <v>228</v>
      </c>
      <c r="N9" s="6" t="inlineStr">
        <is>
          <t>100труб 206 ₽/м</t>
        </is>
      </c>
      <c r="O9" s="6" t="inlineStr">
        <is>
          <t>длина рамы — допущение 2,5 м</t>
        </is>
      </c>
    </row>
    <row r="10">
      <c r="J10" t="inlineStr">
        <is>
          <t>Итого</t>
        </is>
      </c>
      <c r="K10">
        <f>SUM(K2:K9)</f>
        <v/>
      </c>
      <c r="L10">
        <f>SUM(L2:L9)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16" customWidth="1" min="3" max="3"/>
  </cols>
  <sheetData>
    <row r="1" ht="32" customHeight="1">
      <c r="A1" s="5" t="inlineStr">
        <is>
          <t>Статья</t>
        </is>
      </c>
      <c r="B1" s="5" t="inlineStr">
        <is>
          <t>Расчёт</t>
        </is>
      </c>
      <c r="C1" s="5" t="inlineStr">
        <is>
          <t>Сумма</t>
        </is>
      </c>
    </row>
    <row r="2">
      <c r="A2" t="inlineStr">
        <is>
          <t>Расходники к работам</t>
        </is>
      </c>
      <c r="B2" t="inlineStr">
        <is>
          <t>Электромонтажник 2 % и сварщик 3 % от оплаты бригаде по коду</t>
        </is>
      </c>
      <c r="C2" s="3" t="n">
        <v>3105.25</v>
      </c>
    </row>
    <row r="3">
      <c r="A3" t="inlineStr">
        <is>
          <t>Резерв гарантии 1,5 %</t>
        </is>
      </c>
      <c r="B3" t="inlineStr">
        <is>
          <t>От материалов с/с + бригада + расходники + прочие косвенные этой страницы</t>
        </is>
      </c>
      <c r="C3" s="3" t="n">
        <v>15102.12</v>
      </c>
    </row>
    <row r="4">
      <c r="A4" t="inlineStr">
        <is>
          <t>Резерв рисков 3 %</t>
        </is>
      </c>
      <c r="B4" t="inlineStr">
        <is>
          <t>Короткий объект на действующем заводе, ночные окна не заложены в цену</t>
        </is>
      </c>
      <c r="C4" s="3" t="n">
        <v>30204.25</v>
      </c>
    </row>
    <row r="5">
      <c r="A5" t="inlineStr">
        <is>
          <t>Итого косвенные</t>
        </is>
      </c>
      <c r="C5" s="3">
        <f>SUM(C2:C4)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40" customWidth="1" min="4" max="4"/>
    <col width="50" customWidth="1" min="5" max="5"/>
  </cols>
  <sheetData>
    <row r="1" ht="32" customHeight="1">
      <c r="A1" s="5" t="inlineStr">
        <is>
          <t>№</t>
        </is>
      </c>
      <c r="B1" s="5" t="inlineStr">
        <is>
          <t>Описание</t>
        </is>
      </c>
      <c r="C1" s="5" t="inlineStr">
        <is>
          <t>Влияние, руб.</t>
        </is>
      </c>
      <c r="D1" s="5" t="inlineStr">
        <is>
          <t>Что спросить</t>
        </is>
      </c>
      <c r="E1" s="5" t="inlineStr">
        <is>
          <t>Допущение</t>
        </is>
      </c>
    </row>
    <row r="2" ht="36" customHeight="1">
      <c r="A2" s="9" t="n">
        <v>1</v>
      </c>
      <c r="B2" s="9" t="inlineStr">
        <is>
          <t>Светильник по витрине 86 000 ₽ с НДС. После отходов, доставки и денег с/с выше розницы, наценка в КП обрезана розницей. Позиция убыточна.</t>
        </is>
      </c>
      <c r="C2" s="9" t="n">
        <v>51967</v>
      </c>
      <c r="D2" s="9" t="inlineStr">
        <is>
          <t>КП PromLED или дилера на 9 штук, оптика 120°.</t>
        </is>
      </c>
      <c r="E2" s="9" t="inlineStr">
        <is>
          <t>База — витрина, не дилер.</t>
        </is>
      </c>
    </row>
    <row r="3" ht="36" customHeight="1">
      <c r="A3" s="9" t="n">
        <v>2</v>
      </c>
      <c r="B3" s="9" t="inlineStr">
        <is>
          <t>Щит и доукомплект: в ТЗ нет схемы. Принято 24 и 12 модулей и цены 28 000 и 12 000 ₽ без НДС.</t>
        </is>
      </c>
      <c r="C3" s="9" t="n">
        <v>40000</v>
      </c>
      <c r="D3" s="9" t="inlineStr">
        <is>
          <t>Прислать однолинейную схему.</t>
        </is>
      </c>
      <c r="E3" s="9" t="inlineStr">
        <is>
          <t>Оценка.</t>
        </is>
      </c>
    </row>
    <row r="4" ht="36" customHeight="1">
      <c r="A4" s="9" t="n">
        <v>3</v>
      </c>
      <c r="B4" s="9" t="inlineStr">
        <is>
          <t>Труба УФ 70 ₽/м и коробки 500 ₽ — без прайса.</t>
        </is>
      </c>
      <c r="C4" s="9" t="n">
        <v>21000</v>
      </c>
      <c r="D4" s="9" t="inlineStr">
        <is>
          <t>Марка трубы, если задана.</t>
        </is>
      </c>
      <c r="E4" s="9" t="inlineStr">
        <is>
          <t>Оценка.</t>
        </is>
      </c>
    </row>
    <row r="5" ht="36" customHeight="1">
      <c r="A5" s="9" t="n">
        <v>4</v>
      </c>
      <c r="B5" s="9" t="inlineStr">
        <is>
          <t>Высота установки светильников неизвестна. Расценка 10.4.17 без автовышки. Если выше 6 м, нужна вышка.</t>
        </is>
      </c>
      <c r="C5" s="9" t="n">
        <v>25000</v>
      </c>
      <c r="D5" s="9" t="inlineStr">
        <is>
          <t>Высота и допуск к фасаду.</t>
        </is>
      </c>
      <c r="E5" s="9" t="inlineStr">
        <is>
          <t>Вышка не включена.</t>
        </is>
      </c>
    </row>
    <row r="6" ht="36" customHeight="1">
      <c r="A6" s="9" t="n">
        <v>5</v>
      </c>
      <c r="B6" s="9" t="inlineStr">
        <is>
          <t>Оплата без аванса, 30 дней. В материалах 4 % стоимости денег.</t>
        </is>
      </c>
      <c r="C6" s="9" t="n">
        <v>0</v>
      </c>
      <c r="D6" s="9" t="inlineStr"/>
      <c r="E6" s="9" t="inlineStr">
        <is>
          <t>2 % × 2 месяца.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55" customWidth="1" min="3" max="3"/>
    <col width="14" customWidth="1" min="4" max="4"/>
    <col width="14" customWidth="1" min="5" max="5"/>
    <col width="14" customWidth="1" min="6" max="6"/>
    <col width="8" customWidth="1" min="7" max="7"/>
    <col width="30" customWidth="1" min="8" max="8"/>
  </cols>
  <sheetData>
    <row r="1" ht="32" customHeight="1">
      <c r="A1" s="5" t="inlineStr">
        <is>
          <t>Материал</t>
        </is>
      </c>
      <c r="B1" s="5" t="inlineStr">
        <is>
          <t>Магазин</t>
        </is>
      </c>
      <c r="C1" s="5" t="inlineStr">
        <is>
          <t>URL</t>
        </is>
      </c>
      <c r="D1" s="5" t="inlineStr">
        <is>
          <t>Дата</t>
        </is>
      </c>
      <c r="E1" s="5" t="inlineStr">
        <is>
          <t>С НДС</t>
        </is>
      </c>
      <c r="F1" s="5" t="inlineStr">
        <is>
          <t>Без НДС</t>
        </is>
      </c>
      <c r="G1" s="5" t="inlineStr">
        <is>
          <t>Ед.</t>
        </is>
      </c>
      <c r="H1" s="5" t="inlineStr">
        <is>
          <t>Пометка</t>
        </is>
      </c>
    </row>
    <row r="2">
      <c r="A2" t="inlineStr">
        <is>
          <t>ВВГнг(А)-LS 5х2,5</t>
        </is>
      </c>
      <c r="B2" t="inlineStr">
        <is>
          <t>ЭТМ / Петрович</t>
        </is>
      </c>
      <c r="C2" t="inlineStr">
        <is>
          <t>https://www.etm.ru/cat/nn/9382833</t>
        </is>
      </c>
      <c r="D2" t="inlineStr">
        <is>
          <t>2026-10-28</t>
        </is>
      </c>
      <c r="E2" t="n">
        <v>198.7</v>
      </c>
      <c r="F2" t="n">
        <v>162.8688524590164</v>
      </c>
      <c r="G2" t="inlineStr">
        <is>
          <t>м</t>
        </is>
      </c>
      <c r="H2" t="inlineStr">
        <is>
          <t>запросить КП поставщика</t>
        </is>
      </c>
    </row>
    <row r="3">
      <c r="A3" t="inlineStr">
        <is>
          <t>Труба гладкая УФ до 25 мм</t>
        </is>
      </c>
      <c r="B3" t="inlineStr">
        <is>
          <t>оценка</t>
        </is>
      </c>
      <c r="C3" t="inlineStr"/>
      <c r="D3" t="inlineStr">
        <is>
          <t>2026-10-28</t>
        </is>
      </c>
      <c r="F3" t="n">
        <v>70</v>
      </c>
      <c r="G3" t="inlineStr">
        <is>
          <t>м</t>
        </is>
      </c>
      <c r="H3" t="inlineStr">
        <is>
          <t>оценка</t>
        </is>
      </c>
    </row>
    <row r="4">
      <c r="A4" t="inlineStr">
        <is>
          <t>Коробка 150×116×67</t>
        </is>
      </c>
      <c r="B4" t="inlineStr">
        <is>
          <t>оценка</t>
        </is>
      </c>
      <c r="C4" t="inlineStr"/>
      <c r="D4" t="inlineStr">
        <is>
          <t>2026-10-28</t>
        </is>
      </c>
      <c r="F4" t="n">
        <v>500</v>
      </c>
      <c r="G4" t="inlineStr">
        <is>
          <t>шт</t>
        </is>
      </c>
      <c r="H4" t="inlineStr">
        <is>
          <t>оценка</t>
        </is>
      </c>
    </row>
    <row r="5">
      <c r="A5" t="inlineStr">
        <is>
          <t>Гильза и пена проходки</t>
        </is>
      </c>
      <c r="B5" t="inlineStr">
        <is>
          <t>оценка</t>
        </is>
      </c>
      <c r="C5" t="inlineStr"/>
      <c r="D5" t="inlineStr">
        <is>
          <t>2026-10-28</t>
        </is>
      </c>
      <c r="F5" t="n">
        <v>1800</v>
      </c>
      <c r="G5" t="inlineStr">
        <is>
          <t>шт</t>
        </is>
      </c>
      <c r="H5" t="inlineStr">
        <is>
          <t>оценка</t>
        </is>
      </c>
    </row>
    <row r="6">
      <c r="A6" t="inlineStr">
        <is>
          <t>Щит компрессорной, состав по ТЗ не раскрыт</t>
        </is>
      </c>
      <c r="B6" t="inlineStr">
        <is>
          <t>оценка</t>
        </is>
      </c>
      <c r="C6" t="inlineStr"/>
      <c r="D6" t="inlineStr">
        <is>
          <t>2026-10-28</t>
        </is>
      </c>
      <c r="F6" t="n">
        <v>28000</v>
      </c>
      <c r="G6" t="inlineStr">
        <is>
          <t>шт</t>
        </is>
      </c>
      <c r="H6" t="inlineStr">
        <is>
          <t>оценка, запросить КП</t>
        </is>
      </c>
    </row>
    <row r="7">
      <c r="A7" t="inlineStr">
        <is>
          <t>Доукомплект щита Р40</t>
        </is>
      </c>
      <c r="B7" t="inlineStr">
        <is>
          <t>оценка</t>
        </is>
      </c>
      <c r="C7" t="inlineStr"/>
      <c r="D7" t="inlineStr">
        <is>
          <t>2026-10-28</t>
        </is>
      </c>
      <c r="F7" t="n">
        <v>12000</v>
      </c>
      <c r="G7" t="inlineStr">
        <is>
          <t>шт</t>
        </is>
      </c>
      <c r="H7" t="inlineStr">
        <is>
          <t>оценка, запросить КП</t>
        </is>
      </c>
    </row>
    <row r="8">
      <c r="A8" t="inlineStr">
        <is>
          <t>Плазма 600Вт X Оптима CRI70 4000К 120°</t>
        </is>
      </c>
      <c r="B8" t="inlineStr">
        <is>
          <t>Опора 24</t>
        </is>
      </c>
      <c r="C8" t="inlineStr">
        <is>
          <t>https://opora24.ru/promyshlennoe-osveshchenie/plazma-600-x-optima-cri70-4000k-120/</t>
        </is>
      </c>
      <c r="D8" t="inlineStr">
        <is>
          <t>2026-10-28</t>
        </is>
      </c>
      <c r="E8" t="n">
        <v>86000</v>
      </c>
      <c r="F8" t="n">
        <v>70491.80327868853</v>
      </c>
      <c r="G8" t="inlineStr">
        <is>
          <t>шт</t>
        </is>
      </c>
      <c r="H8" t="inlineStr">
        <is>
          <t>запросить КП завода, витрина выше с/с с доставкой</t>
        </is>
      </c>
    </row>
    <row r="9">
      <c r="A9" t="inlineStr">
        <is>
          <t>Профиль рам 60×60×2, 2,5 м на светильник</t>
        </is>
      </c>
      <c r="B9" t="inlineStr">
        <is>
          <t>100труб</t>
        </is>
      </c>
      <c r="C9" t="inlineStr">
        <is>
          <t>https://www.100trub.ru/catalog/truby-profilnye-stalnye/</t>
        </is>
      </c>
      <c r="D9" t="inlineStr">
        <is>
          <t>2026-10-28</t>
        </is>
      </c>
      <c r="F9" t="n">
        <v>206</v>
      </c>
      <c r="G9" t="inlineStr">
        <is>
          <t>м</t>
        </is>
      </c>
      <c r="H9" t="inlineStr">
        <is>
          <t>длина рамы — допущение 2,5 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2026-10-28T14:55:43Z</dcterms:created>
  <dcterms:modified xmlns:dcterms="http://purl.org/dc/terms/" xmlns:xsi="http://www.w3.org/2001/XMLSchema-instance" xsi:type="dcterms:W3CDTF">2026-10-28T14:55:43Z</dcterms:modified>
</cp:coreProperties>
</file>