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1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'1'!$A$1:$I$47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0">
    <font>
      <name val="Arial"/>
      <family val="2"/>
      <sz val="8"/>
    </font>
    <font>
      <name val="Arial"/>
      <charset val="204"/>
      <family val="2"/>
      <b val="1"/>
      <sz val="8"/>
    </font>
    <font>
      <name val="Arial"/>
      <charset val="204"/>
      <family val="2"/>
      <sz val="8"/>
    </font>
    <font>
      <name val="돋움"/>
      <charset val="129"/>
      <family val="3"/>
      <sz val="8"/>
    </font>
    <font>
      <name val="Arial"/>
      <family val="2"/>
      <b val="1"/>
      <sz val="10"/>
    </font>
    <font>
      <name val="Arial Cyr"/>
      <charset val="204"/>
      <family val="2"/>
      <sz val="12"/>
    </font>
    <font>
      <name val="돋움"/>
      <charset val="129"/>
      <family val="3"/>
      <color theme="1"/>
      <sz val="11"/>
    </font>
    <font>
      <name val="돋움"/>
      <charset val="129"/>
      <family val="3"/>
      <sz val="11"/>
    </font>
    <font>
      <name val="Times New Roman"/>
      <charset val="204"/>
      <family val="1"/>
      <sz val="12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맑은 고딕"/>
      <charset val="129"/>
      <family val="3"/>
      <b val="1"/>
      <sz val="10"/>
    </font>
    <font>
      <name val="Cambria"/>
      <charset val="204"/>
      <family val="1"/>
      <color rgb="FFFF0000"/>
      <sz val="12"/>
      <scheme val="major"/>
    </font>
    <font>
      <name val="Arial"/>
      <family val="2"/>
      <color rgb="FFFF0000"/>
      <sz val="8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8"/>
    </font>
    <font>
      <name val="Arial"/>
      <charset val="204"/>
      <family val="2"/>
      <i val="1"/>
      <sz val="8"/>
    </font>
    <font>
      <name val="Arial"/>
      <charset val="204"/>
      <family val="2"/>
      <b val="1"/>
      <i val="1"/>
      <sz val="10"/>
    </font>
    <font>
      <name val="Arial"/>
      <charset val="204"/>
      <family val="2"/>
      <sz val="9"/>
    </font>
    <font>
      <name val="Arial"/>
      <charset val="204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 applyAlignment="1">
      <alignment wrapText="1"/>
    </xf>
    <xf numFmtId="0" fontId="6" fillId="0" borderId="0" applyAlignment="1">
      <alignment vertical="center"/>
    </xf>
    <xf numFmtId="0" fontId="7" fillId="0" borderId="0" applyProtection="1">
      <protection locked="0" hidden="0"/>
    </xf>
  </cellStyleXfs>
  <cellXfs count="8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applyAlignment="1" pivotButton="0" quotePrefix="0" xfId="0">
      <alignment horizontal="left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 vertical="center" wrapText="1"/>
    </xf>
    <xf numFmtId="0" fontId="0" fillId="0" borderId="0" pivotButton="0" quotePrefix="0" xfId="0"/>
    <xf numFmtId="0" fontId="9" fillId="3" borderId="1" pivotButton="0" quotePrefix="0" xfId="0"/>
    <xf numFmtId="0" fontId="0" fillId="0" borderId="0" pivotButton="0" quotePrefix="0" xfId="0"/>
    <xf numFmtId="0" fontId="8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/>
    </xf>
    <xf numFmtId="14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164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7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top"/>
    </xf>
    <xf numFmtId="0" fontId="9" fillId="3" borderId="5" applyAlignment="1" pivotButton="0" quotePrefix="0" xfId="0">
      <alignment wrapText="1"/>
    </xf>
    <xf numFmtId="0" fontId="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16" fillId="3" borderId="2" applyAlignment="1" pivotButton="0" quotePrefix="0" xfId="0">
      <alignment horizontal="center" vertical="center"/>
    </xf>
    <xf numFmtId="0" fontId="16" fillId="3" borderId="3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49" fontId="2" fillId="6" borderId="2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/>
    </xf>
    <xf numFmtId="2" fontId="18" fillId="6" borderId="1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 wrapText="1"/>
    </xf>
    <xf numFmtId="49" fontId="2" fillId="6" borderId="2" applyAlignment="1" pivotButton="0" quotePrefix="0" xfId="0">
      <alignment horizontal="center" vertical="center" wrapText="1"/>
    </xf>
    <xf numFmtId="0" fontId="19" fillId="6" borderId="1" applyAlignment="1" pivotButton="0" quotePrefix="0" xfId="0">
      <alignment vertical="center" wrapText="1"/>
    </xf>
    <xf numFmtId="0" fontId="0" fillId="2" borderId="2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14" fontId="8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164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left" vertical="center"/>
    </xf>
  </cellXfs>
  <cellStyles count="4">
    <cellStyle name="Обычный" xfId="0" builtinId="0"/>
    <cellStyle name="Обычный 2 2" xfId="1"/>
    <cellStyle name="표준 11" xfId="2"/>
    <cellStyle name=" _수량및 단가 산출내용표_간지_추가품셈1_석고부두 수량산출서49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55"/>
  <sheetViews>
    <sheetView showGridLines="0" tabSelected="1" zoomScaleNormal="100" zoomScaleSheetLayoutView="100" workbookViewId="0">
      <selection activeCell="H14" sqref="H14"/>
    </sheetView>
  </sheetViews>
  <sheetFormatPr baseColWidth="8" defaultColWidth="23.5" defaultRowHeight="11.25"/>
  <cols>
    <col width="7.33203125" customWidth="1" style="21" min="1" max="1"/>
    <col width="102.5" customWidth="1" style="1" min="2" max="2"/>
    <col width="8.83203125" customWidth="1" style="3" min="3" max="3"/>
    <col width="10" bestFit="1" customWidth="1" style="3" min="4" max="4"/>
    <col width="18.5" customWidth="1" style="1" min="5" max="5"/>
    <col width="23.5" customWidth="1" style="1" min="6" max="6"/>
    <col width="25.33203125" customWidth="1" style="1" min="7" max="7"/>
    <col width="22" customWidth="1" style="1" min="8" max="8"/>
    <col width="23.5" customWidth="1" style="1" min="9" max="10"/>
  </cols>
  <sheetData>
    <row r="1" ht="15.75" customHeight="1" s="21">
      <c r="A1" s="14" t="inlineStr">
        <is>
          <t>Пожалуйста заполните информацию и оформите на фирменном бланке компании с подписью и печатью!</t>
        </is>
      </c>
      <c r="B1" s="15" t="n"/>
      <c r="C1" s="1" t="n"/>
      <c r="D1" s="1" t="n"/>
    </row>
    <row r="2" ht="15.75" customHeight="1" s="21">
      <c r="B2" s="17" t="n"/>
      <c r="C2" s="18" t="n"/>
      <c r="D2" s="18" t="n"/>
      <c r="E2" s="18" t="n"/>
      <c r="F2" s="18" t="n"/>
      <c r="H2" s="17" t="n"/>
    </row>
    <row r="3" ht="12.75" customHeight="1" s="21">
      <c r="B3" s="20" t="inlineStr">
        <is>
          <t>ООО "НЕОСТРОЙ"</t>
        </is>
      </c>
      <c r="F3" s="37" t="inlineStr">
        <is>
          <t>Дата КП</t>
        </is>
      </c>
      <c r="G3" s="68" t="n"/>
      <c r="H3" s="37" t="inlineStr">
        <is>
          <t>2026-10-28</t>
        </is>
      </c>
    </row>
    <row r="4" ht="15.75" customHeight="1" s="21">
      <c r="B4" s="32" t="inlineStr">
        <is>
          <t>ИНН 7810974565</t>
        </is>
      </c>
      <c r="C4" s="22" t="n"/>
      <c r="D4" s="22" t="n"/>
      <c r="E4" s="22" t="n"/>
      <c r="F4" s="70" t="n"/>
      <c r="G4" s="69" t="n"/>
      <c r="H4" s="38" t="inlineStr">
        <is>
          <t>Рубли</t>
        </is>
      </c>
    </row>
    <row r="5" ht="12.75" customFormat="1" customHeight="1" s="1">
      <c r="A5" s="71" t="inlineStr">
        <is>
          <t>Монтаж освещения дороги от КПП5 к Р90</t>
        </is>
      </c>
      <c r="B5" s="72" t="n"/>
      <c r="C5" s="72" t="n"/>
      <c r="D5" s="72" t="n"/>
      <c r="E5" s="72" t="n"/>
      <c r="F5" s="72" t="n"/>
      <c r="G5" s="72" t="n"/>
      <c r="H5" s="72" t="n"/>
      <c r="I5" s="73" t="n"/>
    </row>
    <row r="6" ht="12.75" customHeight="1" s="21">
      <c r="A6" s="58" t="inlineStr">
        <is>
          <t>№</t>
        </is>
      </c>
      <c r="B6" s="7" t="inlineStr">
        <is>
          <t>Description / Описание</t>
        </is>
      </c>
      <c r="C6" s="59" t="n"/>
      <c r="D6" s="73" t="n"/>
      <c r="E6" s="7" t="inlineStr">
        <is>
          <t>Material / Материалы</t>
        </is>
      </c>
      <c r="F6" s="73" t="n"/>
      <c r="G6" s="7" t="inlineStr">
        <is>
          <t>Labor expenses / Трудозатрат</t>
        </is>
      </c>
      <c r="H6" s="73" t="n"/>
      <c r="I6" s="5" t="inlineStr">
        <is>
          <t>Total
 Всего
(RUB)</t>
        </is>
      </c>
    </row>
    <row r="7" ht="38.25" customHeight="1" s="21">
      <c r="A7" s="74" t="n"/>
      <c r="B7" s="74" t="n"/>
      <c r="C7" s="4" t="inlineStr">
        <is>
          <t>Unit 
Ед. изм.</t>
        </is>
      </c>
      <c r="D7" s="5" t="inlineStr">
        <is>
          <t>Quantity
Кол-во</t>
        </is>
      </c>
      <c r="E7" s="4" t="inlineStr">
        <is>
          <t>Unit price
Цена
(RUB)</t>
        </is>
      </c>
      <c r="F7" s="4" t="inlineStr">
        <is>
          <t>Amount
Сумма
(RUB)</t>
        </is>
      </c>
      <c r="G7" s="4" t="inlineStr">
        <is>
          <t>Unit price
Цена
(RUB)</t>
        </is>
      </c>
      <c r="H7" s="4" t="inlineStr">
        <is>
          <t>Amount
Сумма
(RUB)</t>
        </is>
      </c>
      <c r="I7" s="74" t="n"/>
    </row>
    <row r="8" ht="16.5" customHeight="1" s="21">
      <c r="A8" s="60" t="n"/>
      <c r="B8" s="65" t="inlineStr">
        <is>
          <t xml:space="preserve">Монтаж кабельных линий по цеху окраски Р40.  </t>
        </is>
      </c>
      <c r="C8" s="61" t="n"/>
      <c r="D8" s="62" t="n"/>
      <c r="E8" s="62" t="n"/>
      <c r="F8" s="62" t="n"/>
      <c r="G8" s="62" t="n"/>
      <c r="H8" s="62" t="n"/>
      <c r="I8" s="62" t="n"/>
    </row>
    <row r="9" ht="12" customHeight="1" s="21">
      <c r="A9" s="63" t="inlineStr">
        <is>
          <t>1</t>
        </is>
      </c>
      <c r="B9" s="34" t="inlineStr">
        <is>
          <t>Монтаж в существующий лоток кабельной линии ВВГнг-LS 5х2,5</t>
        </is>
      </c>
      <c r="C9" s="35" t="inlineStr">
        <is>
          <t>м</t>
        </is>
      </c>
      <c r="D9" s="36" t="n">
        <v>100</v>
      </c>
      <c r="E9" s="36" t="n">
        <v>183.17</v>
      </c>
      <c r="F9" s="36">
        <f>E9*D9</f>
        <v/>
      </c>
      <c r="G9" s="36" t="n">
        <v>110</v>
      </c>
      <c r="H9" s="36">
        <f>D9*G9</f>
        <v/>
      </c>
      <c r="I9" s="36">
        <f>H9+F9</f>
        <v/>
      </c>
    </row>
    <row r="10" ht="12" customHeight="1" s="21">
      <c r="A10" s="63" t="inlineStr">
        <is>
          <t>2</t>
        </is>
      </c>
      <c r="B10" s="34" t="inlineStr">
        <is>
          <t xml:space="preserve">Монтаж кабельной линии ВВГнг-LS 5х2,5 в трубе гладкой стойкой к ультрафиолету </t>
        </is>
      </c>
      <c r="C10" s="35" t="inlineStr">
        <is>
          <t>м</t>
        </is>
      </c>
      <c r="D10" s="36" t="n">
        <v>150</v>
      </c>
      <c r="E10" s="36" t="n">
        <v>267.99</v>
      </c>
      <c r="F10" s="36">
        <f>E10*D10</f>
        <v/>
      </c>
      <c r="G10" s="36" t="n">
        <v>314</v>
      </c>
      <c r="H10" s="36">
        <f>D10*G10</f>
        <v/>
      </c>
      <c r="I10" s="36">
        <f>H10+F10</f>
        <v/>
      </c>
    </row>
    <row r="11" ht="24" customHeight="1" s="21">
      <c r="A11" s="63" t="inlineStr">
        <is>
          <t>3</t>
        </is>
      </c>
      <c r="B11" s="34" t="inlineStr">
        <is>
          <t>Устройство кабельной проходки в стене (Труба стальная ВГП, противопожарная пена, гидроизоляция со стороны улицы)</t>
        </is>
      </c>
      <c r="C11" s="35" t="inlineStr">
        <is>
          <t>усл.</t>
        </is>
      </c>
      <c r="D11" s="36" t="n">
        <v>1</v>
      </c>
      <c r="E11" s="36" t="n">
        <v>2181.13</v>
      </c>
      <c r="F11" s="36">
        <f>E11*D11</f>
        <v/>
      </c>
      <c r="G11" s="36" t="n">
        <v>900</v>
      </c>
      <c r="H11" s="36">
        <f>D11*G11</f>
        <v/>
      </c>
      <c r="I11" s="36">
        <f>H11+F11</f>
        <v/>
      </c>
    </row>
    <row r="12" ht="24" customHeight="1" s="21">
      <c r="A12" s="63" t="inlineStr">
        <is>
          <t>4</t>
        </is>
      </c>
      <c r="B12" s="34" t="inlineStr">
        <is>
          <t xml:space="preserve">Монтаж распределительной коробки 150x116x67 (или более) с герметичными вводами и пыле- влагозащитной IP 66 (или более) </t>
        </is>
      </c>
      <c r="C12" s="35" t="inlineStr">
        <is>
          <t>шт</t>
        </is>
      </c>
      <c r="D12" s="36" t="n">
        <v>6</v>
      </c>
      <c r="E12" s="36" t="n">
        <v>605.87</v>
      </c>
      <c r="F12" s="36">
        <f>E12*D12</f>
        <v/>
      </c>
      <c r="G12" s="36" t="n">
        <v>754</v>
      </c>
      <c r="H12" s="36">
        <f>D12*G12</f>
        <v/>
      </c>
      <c r="I12" s="36">
        <f>H12+F12</f>
        <v/>
      </c>
    </row>
    <row r="13" ht="21" customHeight="1" s="21">
      <c r="A13" s="64" t="n"/>
      <c r="B13" s="65" t="inlineStr">
        <is>
          <t>Демонтаж старых светильников и кабельной линии на фасаде цеха окраски Р40</t>
        </is>
      </c>
      <c r="C13" s="61" t="n"/>
      <c r="D13" s="62" t="n"/>
      <c r="E13" s="62" t="n"/>
      <c r="F13" s="62" t="n"/>
      <c r="G13" s="62" t="n"/>
      <c r="H13" s="62" t="n"/>
      <c r="I13" s="62" t="n"/>
    </row>
    <row r="14" ht="12" customHeight="1" s="21">
      <c r="A14" s="63" t="inlineStr">
        <is>
          <t>5</t>
        </is>
      </c>
      <c r="B14" s="34" t="inlineStr">
        <is>
          <t xml:space="preserve">Демонтаж старых светильников </t>
        </is>
      </c>
      <c r="C14" s="35" t="inlineStr">
        <is>
          <t>шт</t>
        </is>
      </c>
      <c r="D14" s="36" t="n">
        <v>6</v>
      </c>
      <c r="E14" s="36" t="n">
        <v>0</v>
      </c>
      <c r="F14" s="36">
        <f>E14*D14</f>
        <v/>
      </c>
      <c r="G14" s="36" t="n">
        <v>907</v>
      </c>
      <c r="H14" s="36">
        <f>D14*G14</f>
        <v/>
      </c>
      <c r="I14" s="36">
        <f>H14+F14</f>
        <v/>
      </c>
    </row>
    <row r="15" ht="12" customHeight="1" s="21">
      <c r="A15" s="63" t="inlineStr">
        <is>
          <t>6</t>
        </is>
      </c>
      <c r="B15" s="34" t="inlineStr">
        <is>
          <t>Демонтаж кабельной линии</t>
        </is>
      </c>
      <c r="C15" s="35" t="inlineStr">
        <is>
          <t>м</t>
        </is>
      </c>
      <c r="D15" s="36" t="n">
        <v>150</v>
      </c>
      <c r="E15" s="36" t="n">
        <v>0</v>
      </c>
      <c r="F15" s="36">
        <f>E15*D15</f>
        <v/>
      </c>
      <c r="G15" s="36" t="n">
        <v>70</v>
      </c>
      <c r="H15" s="36">
        <f>D15*G15</f>
        <v/>
      </c>
      <c r="I15" s="36">
        <f>H15+F15</f>
        <v/>
      </c>
    </row>
    <row r="16" ht="30" customHeight="1" s="21">
      <c r="A16" s="64" t="n"/>
      <c r="B16" s="65" t="inlineStr">
        <is>
          <t xml:space="preserve">Монтаж распределительного щита в помещении компрессорной энергоблока Р90 и доукомплектование щита освещения в цеху окраски Р40. </t>
        </is>
      </c>
      <c r="C16" s="61" t="n"/>
      <c r="D16" s="62" t="n"/>
      <c r="E16" s="62" t="n"/>
      <c r="F16" s="62" t="n"/>
      <c r="G16" s="62" t="n"/>
      <c r="H16" s="62" t="n"/>
      <c r="I16" s="62" t="n"/>
    </row>
    <row r="17" ht="24" customHeight="1" s="21">
      <c r="A17" s="63" t="inlineStr">
        <is>
          <t>7</t>
        </is>
      </c>
      <c r="B17" s="34" t="inlineStr">
        <is>
          <t>Монтаж распределительного щита в помещении компрессорной энергоблока Р90 согласно технического задания</t>
        </is>
      </c>
      <c r="C17" s="35" t="inlineStr">
        <is>
          <t>шт</t>
        </is>
      </c>
      <c r="D17" s="36" t="n">
        <v>1</v>
      </c>
      <c r="E17" s="36" t="n">
        <v>33928.76</v>
      </c>
      <c r="F17" s="36">
        <f>E17*D17</f>
        <v/>
      </c>
      <c r="G17" s="36" t="n">
        <v>10800</v>
      </c>
      <c r="H17" s="36">
        <f>D17*G17</f>
        <v/>
      </c>
      <c r="I17" s="36">
        <f>H17+F17</f>
        <v/>
      </c>
    </row>
    <row r="18" ht="12" customHeight="1" s="21">
      <c r="A18" s="63" t="inlineStr">
        <is>
          <t>8</t>
        </is>
      </c>
      <c r="B18" s="34" t="inlineStr">
        <is>
          <t xml:space="preserve">Доукомплектование щита освещения в цеху окраски Р40. </t>
        </is>
      </c>
      <c r="C18" s="35" t="inlineStr">
        <is>
          <t>шт</t>
        </is>
      </c>
      <c r="D18" s="36" t="n">
        <v>1</v>
      </c>
      <c r="E18" s="36" t="n">
        <v>14540.9</v>
      </c>
      <c r="F18" s="36">
        <f>E18*D18</f>
        <v/>
      </c>
      <c r="G18" s="36" t="n">
        <v>5400</v>
      </c>
      <c r="H18" s="36">
        <f>D18*G18</f>
        <v/>
      </c>
      <c r="I18" s="36">
        <f>H18+F18</f>
        <v/>
      </c>
    </row>
    <row r="19" ht="21" customHeight="1" s="21">
      <c r="A19" s="64" t="n"/>
      <c r="B19" s="65" t="inlineStr">
        <is>
          <t>Монтаж кабельных линий по энергоблоку Р90</t>
        </is>
      </c>
      <c r="C19" s="61" t="n"/>
      <c r="D19" s="62" t="n"/>
      <c r="E19" s="62" t="n"/>
      <c r="F19" s="62" t="n"/>
      <c r="G19" s="62" t="n"/>
      <c r="H19" s="62" t="n"/>
      <c r="I19" s="62" t="n"/>
    </row>
    <row r="20" ht="12" customHeight="1" s="21">
      <c r="A20" s="63" t="inlineStr">
        <is>
          <t>9</t>
        </is>
      </c>
      <c r="B20" s="34" t="inlineStr">
        <is>
          <t>Монтаж в существующий лоток кабельной линии ВВГнг-LS 5х2,5</t>
        </is>
      </c>
      <c r="C20" s="35" t="inlineStr">
        <is>
          <t>м</t>
        </is>
      </c>
      <c r="D20" s="36" t="n">
        <v>110</v>
      </c>
      <c r="E20" s="36" t="n">
        <v>183.17</v>
      </c>
      <c r="F20" s="36">
        <f>E20*D20</f>
        <v/>
      </c>
      <c r="G20" s="36" t="n">
        <v>110</v>
      </c>
      <c r="H20" s="36">
        <f>D20*G20</f>
        <v/>
      </c>
      <c r="I20" s="36">
        <f>H20+F20</f>
        <v/>
      </c>
    </row>
    <row r="21" ht="12" customHeight="1" s="21">
      <c r="A21" s="63" t="inlineStr">
        <is>
          <t>10</t>
        </is>
      </c>
      <c r="B21" s="34" t="inlineStr">
        <is>
          <t xml:space="preserve">Монтаж кабельной линии ВВГнг-LS 5х2,5 в трубе гладкой стойкой к ультрафиолету </t>
        </is>
      </c>
      <c r="C21" s="35" t="inlineStr">
        <is>
          <t>м</t>
        </is>
      </c>
      <c r="D21" s="36" t="n">
        <v>150</v>
      </c>
      <c r="E21" s="36" t="n">
        <v>267.99</v>
      </c>
      <c r="F21" s="36">
        <f>E21*D21</f>
        <v/>
      </c>
      <c r="G21" s="36" t="n">
        <v>314</v>
      </c>
      <c r="H21" s="36">
        <f>D21*G21</f>
        <v/>
      </c>
      <c r="I21" s="36">
        <f>H21+F21</f>
        <v/>
      </c>
    </row>
    <row r="22" ht="24" customHeight="1" s="21">
      <c r="A22" s="63" t="inlineStr">
        <is>
          <t>11</t>
        </is>
      </c>
      <c r="B22" s="34" t="inlineStr">
        <is>
          <t>Устройство кабельной проходки в стене (Труба стальная ВГП, противопожарная пена, гидроизоляция со стороны улицы)</t>
        </is>
      </c>
      <c r="C22" s="35" t="inlineStr">
        <is>
          <t>усл.</t>
        </is>
      </c>
      <c r="D22" s="36" t="n">
        <v>1</v>
      </c>
      <c r="E22" s="36" t="n">
        <v>2181.13</v>
      </c>
      <c r="F22" s="36">
        <f>E22*D22</f>
        <v/>
      </c>
      <c r="G22" s="36" t="n">
        <v>900</v>
      </c>
      <c r="H22" s="36">
        <f>D22*G22</f>
        <v/>
      </c>
      <c r="I22" s="36">
        <f>H22+F22</f>
        <v/>
      </c>
    </row>
    <row r="23" ht="24" customHeight="1" s="21">
      <c r="A23" s="63" t="inlineStr">
        <is>
          <t>12</t>
        </is>
      </c>
      <c r="B23" s="34" t="inlineStr">
        <is>
          <t xml:space="preserve">Монтаж распределительной коробки 150x116x67 (или более) с герметичными вводами и пыле- влагозащитной IP 66 (или более) </t>
        </is>
      </c>
      <c r="C23" s="35" t="inlineStr">
        <is>
          <t>шт</t>
        </is>
      </c>
      <c r="D23" s="36" t="n">
        <v>3</v>
      </c>
      <c r="E23" s="36" t="n">
        <v>605.87</v>
      </c>
      <c r="F23" s="36">
        <f>E23*D23</f>
        <v/>
      </c>
      <c r="G23" s="36" t="n">
        <v>754</v>
      </c>
      <c r="H23" s="36">
        <f>D23*G23</f>
        <v/>
      </c>
      <c r="I23" s="36">
        <f>H23+F23</f>
        <v/>
      </c>
    </row>
    <row r="24" ht="15" customHeight="1" s="21">
      <c r="A24" s="64" t="n"/>
      <c r="B24" s="65" t="inlineStr">
        <is>
          <t xml:space="preserve">Монтаж светильников на зданиях цеха окраски Р40 и энергоблока Р90. </t>
        </is>
      </c>
      <c r="C24" s="61" t="n"/>
      <c r="D24" s="62" t="n"/>
      <c r="E24" s="62" t="n"/>
      <c r="F24" s="62" t="n"/>
      <c r="G24" s="62" t="n"/>
      <c r="H24" s="62" t="n"/>
      <c r="I24" s="62" t="n"/>
    </row>
    <row r="25" ht="12" customHeight="1" s="21">
      <c r="A25" s="63" t="inlineStr">
        <is>
          <t>13</t>
        </is>
      </c>
      <c r="B25" s="34" t="inlineStr">
        <is>
          <t xml:space="preserve">Закупка и монтаж светильников Плазма 600Вт X Оптима CRI70 4000К 120° </t>
        </is>
      </c>
      <c r="C25" s="35" t="inlineStr">
        <is>
          <t>шт</t>
        </is>
      </c>
      <c r="D25" s="36" t="n">
        <v>9</v>
      </c>
      <c r="E25" s="36" t="n">
        <v>70491.8</v>
      </c>
      <c r="F25" s="36">
        <f>E25*D25</f>
        <v/>
      </c>
      <c r="G25" s="36" t="n">
        <v>1100</v>
      </c>
      <c r="H25" s="36">
        <f>D25*G25</f>
        <v/>
      </c>
      <c r="I25" s="36">
        <f>H25+F25</f>
        <v/>
      </c>
    </row>
    <row r="26" ht="12" customHeight="1" s="21">
      <c r="A26" s="63" t="inlineStr">
        <is>
          <t>14</t>
        </is>
      </c>
      <c r="B26" s="34" t="inlineStr">
        <is>
          <t>Изготовление рам для крепежа светильников</t>
        </is>
      </c>
      <c r="C26" s="35" t="inlineStr">
        <is>
          <t>шт</t>
        </is>
      </c>
      <c r="D26" s="36" t="n">
        <v>9</v>
      </c>
      <c r="E26" s="36" t="n">
        <v>570</v>
      </c>
      <c r="F26" s="36">
        <f>E26*D26</f>
        <v/>
      </c>
      <c r="G26" s="36" t="n">
        <v>4000</v>
      </c>
      <c r="H26" s="36">
        <f>D26*G26</f>
        <v/>
      </c>
      <c r="I26" s="36">
        <f>H26+F26</f>
        <v/>
      </c>
    </row>
    <row r="27" ht="12" customHeight="1" s="21">
      <c r="A27" s="63" t="inlineStr">
        <is>
          <t>15</t>
        </is>
      </c>
      <c r="B27" s="34" t="n"/>
      <c r="C27" s="35" t="n"/>
      <c r="D27" s="36" t="n"/>
      <c r="E27" s="36" t="n"/>
      <c r="F27" s="36" t="n"/>
      <c r="G27" s="36" t="n"/>
      <c r="H27" s="36">
        <f>D27*G27</f>
        <v/>
      </c>
      <c r="I27" s="36" t="n"/>
    </row>
    <row r="28" ht="12" customHeight="1" s="21">
      <c r="A28" s="63" t="inlineStr">
        <is>
          <t>16</t>
        </is>
      </c>
      <c r="B28" s="34" t="inlineStr">
        <is>
          <t>Подготовка исполнительной документации</t>
        </is>
      </c>
      <c r="C28" s="35" t="inlineStr">
        <is>
          <t>усл.</t>
        </is>
      </c>
      <c r="D28" s="36" t="n">
        <v>1</v>
      </c>
      <c r="E28" s="36" t="n">
        <v>0</v>
      </c>
      <c r="F28" s="36">
        <f>E28*D28</f>
        <v/>
      </c>
      <c r="G28" s="36" t="n">
        <v>37800</v>
      </c>
      <c r="H28" s="36">
        <f>D28*G28</f>
        <v/>
      </c>
      <c r="I28" s="36">
        <f>H28+F28</f>
        <v/>
      </c>
    </row>
    <row r="29" ht="12.75" customFormat="1" customHeight="1" s="41">
      <c r="A29" s="6" t="n"/>
      <c r="B29" s="6" t="inlineStr">
        <is>
          <t>Total direct cost / Итого прямые затраты:</t>
        </is>
      </c>
      <c r="C29" s="7" t="n"/>
      <c r="D29" s="7" t="n"/>
      <c r="E29" s="75" t="n"/>
      <c r="F29" s="76">
        <f>SUM(F8:F28)</f>
        <v/>
      </c>
      <c r="G29" s="77" t="n"/>
      <c r="H29" s="76">
        <f>SUM(H8:H28)</f>
        <v/>
      </c>
      <c r="I29" s="76">
        <f>SUM(I8:I28)</f>
        <v/>
      </c>
    </row>
    <row r="30" ht="13.5" customFormat="1" customHeight="1" s="41">
      <c r="B30" s="10" t="inlineStr">
        <is>
          <t>※ Цены указаны без НДС 22%</t>
        </is>
      </c>
      <c r="C30" s="11" t="n"/>
      <c r="D30" s="11" t="n"/>
      <c r="E30" s="78" t="n"/>
      <c r="F30" s="78" t="n"/>
      <c r="G30" s="78" t="n"/>
      <c r="H30" s="78" t="n"/>
      <c r="I30" s="79">
        <f>F29+H29</f>
        <v/>
      </c>
    </row>
    <row r="31" customFormat="1" s="41">
      <c r="A31" s="39" t="inlineStr">
        <is>
          <t>Дата завершения работ</t>
        </is>
      </c>
      <c r="B31" s="73" t="n"/>
      <c r="C31" s="24" t="n"/>
      <c r="D31" s="25" t="n"/>
      <c r="E31" s="25" t="n"/>
      <c r="F31" s="25" t="n"/>
      <c r="G31" s="80" t="n"/>
      <c r="H31" s="80" t="n"/>
    </row>
    <row r="32" customFormat="1" s="41">
      <c r="A32" s="39" t="inlineStr">
        <is>
          <t>Срок поставки материалов (в календарных днях)</t>
        </is>
      </c>
      <c r="B32" s="73" t="n"/>
      <c r="C32" s="40" t="n">
        <v>14</v>
      </c>
      <c r="D32" s="72" t="n"/>
      <c r="E32" s="72" t="n"/>
      <c r="F32" s="73" t="n"/>
      <c r="G32" s="41" t="n"/>
      <c r="H32" s="41" t="n"/>
      <c r="I32" s="29" t="n"/>
    </row>
    <row r="33">
      <c r="A33" s="39" t="inlineStr">
        <is>
          <t>Срок проведения работ (в календарных днях)</t>
        </is>
      </c>
      <c r="B33" s="73" t="n"/>
      <c r="C33" s="40" t="n">
        <v>10</v>
      </c>
      <c r="D33" s="72" t="n"/>
      <c r="E33" s="72" t="n"/>
      <c r="F33" s="73" t="n"/>
      <c r="G33" s="41" t="n"/>
      <c r="H33" s="41" t="n"/>
      <c r="I33" s="29" t="n"/>
    </row>
    <row r="34">
      <c r="A34" s="39" t="inlineStr">
        <is>
          <t>Общий срок выполнения проекта, включая поставку материалов и проведение работ (в календарных днях)</t>
        </is>
      </c>
      <c r="B34" s="73" t="n"/>
      <c r="C34" s="40" t="n">
        <v>21</v>
      </c>
      <c r="D34" s="72" t="n"/>
      <c r="E34" s="72" t="n"/>
      <c r="F34" s="73" t="n"/>
      <c r="G34" s="41" t="n"/>
      <c r="H34" s="41" t="n"/>
      <c r="I34" s="29" t="n"/>
    </row>
    <row r="35">
      <c r="A35" s="39" t="inlineStr">
        <is>
          <t>Гарантийный срок на материалы (в месяцах)</t>
        </is>
      </c>
      <c r="B35" s="73" t="n"/>
      <c r="C35" s="40" t="n">
        <v>12</v>
      </c>
      <c r="D35" s="72" t="n"/>
      <c r="E35" s="72" t="n"/>
      <c r="F35" s="73" t="n"/>
      <c r="G35" s="29" t="n"/>
      <c r="H35" s="29" t="n"/>
      <c r="I35" s="41" t="n"/>
    </row>
    <row r="36">
      <c r="A36" s="39" t="inlineStr">
        <is>
          <t>Количество вовлечённых сотрудников (общее и с разделением на должности)</t>
        </is>
      </c>
      <c r="B36" s="73" t="n"/>
      <c r="C36" s="40" t="inlineStr">
        <is>
          <t>4: электромонтажники 2, сварщик, инженер ПНР</t>
        </is>
      </c>
      <c r="D36" s="72" t="n"/>
      <c r="E36" s="72" t="n"/>
      <c r="F36" s="73" t="n"/>
      <c r="G36" s="29" t="n"/>
      <c r="H36" s="29" t="n"/>
      <c r="I36" s="41" t="n"/>
    </row>
    <row r="37">
      <c r="A37" s="39" t="inlineStr">
        <is>
          <t>Гарантийный срок на работы (в месяцах)</t>
        </is>
      </c>
      <c r="B37" s="73" t="n"/>
      <c r="C37" s="40" t="n">
        <v>12</v>
      </c>
      <c r="D37" s="72" t="n"/>
      <c r="E37" s="72" t="n"/>
      <c r="F37" s="73" t="n"/>
      <c r="G37" s="29" t="n"/>
      <c r="H37" s="29" t="n"/>
      <c r="I37" s="41" t="n"/>
    </row>
    <row r="38">
      <c r="A38" s="39" t="inlineStr">
        <is>
          <t>Предоставляемые документы</t>
        </is>
      </c>
      <c r="B38" s="73" t="n"/>
      <c r="C38" s="40" t="inlineStr">
        <is>
          <t>Исполнительная, паспорта светильников, сертификат кабеля</t>
        </is>
      </c>
      <c r="D38" s="72" t="n"/>
      <c r="E38" s="72" t="n"/>
      <c r="F38" s="73" t="n"/>
      <c r="G38" s="29" t="n"/>
      <c r="H38" s="29" t="n"/>
      <c r="I38" s="41" t="n"/>
    </row>
    <row r="39">
      <c r="A39" s="39" t="inlineStr">
        <is>
          <t>Срок действия КП</t>
        </is>
      </c>
      <c r="B39" s="73" t="n"/>
      <c r="C39" s="43" t="n">
        <v>14</v>
      </c>
      <c r="D39" s="72" t="n"/>
      <c r="E39" s="72" t="n"/>
      <c r="F39" s="73" t="n"/>
      <c r="G39" s="29" t="n"/>
      <c r="H39" s="29" t="n"/>
      <c r="I39" s="41" t="n"/>
    </row>
    <row r="40">
      <c r="A40" s="39" t="inlineStr">
        <is>
          <t>Комментарии</t>
        </is>
      </c>
      <c r="B40" s="73" t="n"/>
      <c r="C40" s="44" t="inlineStr">
        <is>
          <t>Светильники по витрине убыточны, срок держим после КП завода. Автовышка и ночные окна не входили. ООО «НЕОСТРОЙ», Улогов Р.В.</t>
        </is>
      </c>
      <c r="D40" s="72" t="n"/>
      <c r="E40" s="72" t="n"/>
      <c r="F40" s="73" t="n"/>
      <c r="G40" s="29" t="n"/>
      <c r="H40" s="29" t="n"/>
      <c r="I40" s="41" t="n"/>
    </row>
    <row r="41">
      <c r="A41" s="41" t="n"/>
      <c r="B41" s="42" t="inlineStr">
        <is>
          <t xml:space="preserve">Условия оплаты: 100% оплата после окончания работ/выполнения услуг в течение 30 календарных дней при условии предоставления всех оригиналов корректных первичных документов согласно законодательству РФ (акт выполненных работ/оказанных услуг, КС-2 и КС-3 отчет об оказанных услугах, оригинал договора на выполнение работ/оказания услуг, а также иные документы согласно законодательству РФ). Если выполнение работ/услуг сопряжено с поставкой товаров (материалов, оборудования и т.д.), то оплата за товары и работы/услуги осуществляется совместно после окончания работ/выполнения услуг (документы на поставку товаров в таком случае могут оформляться отдельно). Если стоимость товаров/работ/услуг номинирована в иностранной валюте, то курс пересчета в рубли для оплаты фиксируется на дату первичных документов (ТОРГ-12 и счет-фактура, либо УПД, акт выполненных работ/оказанных услуг). Фиксация курса на дату оплаты невозможна.           </t>
        </is>
      </c>
      <c r="I41" s="41" t="n"/>
    </row>
    <row r="42">
      <c r="A42" s="41" t="n"/>
      <c r="B42" s="41" t="inlineStr">
        <is>
          <t>С техническим заданием (спецификацией на закупку) и приложениями к нему ознакомлены и согласны. Срок действия КП - 2 месяца.</t>
        </is>
      </c>
      <c r="I42" s="41" t="n"/>
    </row>
    <row r="43">
      <c r="B43" s="42" t="inlineStr">
        <is>
          <t>Вся продукция отгружается с полным пакетом документов: паспорт на изделие, контроль ОТК, сертификат на материалы и др.</t>
        </is>
      </c>
    </row>
    <row r="44" ht="12.75" customHeight="1" s="21">
      <c r="B44" s="28" t="inlineStr">
        <is>
          <t>ООО «НЕОСТРОЙ»</t>
        </is>
      </c>
      <c r="C44" s="29" t="n"/>
      <c r="D44" s="29" t="n"/>
      <c r="E44" s="29" t="n"/>
    </row>
    <row r="45" ht="12.75" customHeight="1" s="21">
      <c r="B45" s="30" t="inlineStr">
        <is>
          <t>Генеральный директор ______________ Улогов Р.В.</t>
        </is>
      </c>
      <c r="C45" s="29" t="n"/>
      <c r="D45" s="29" t="n"/>
      <c r="E45" s="29" t="n"/>
    </row>
    <row r="46" ht="12.75" customHeight="1" s="21">
      <c r="B46" s="31" t="inlineStr">
        <is>
          <t>М.П.</t>
        </is>
      </c>
    </row>
    <row r="47"/>
    <row r="48">
      <c r="B48" s="51" t="n"/>
    </row>
    <row r="49"/>
    <row r="50"/>
    <row r="51"/>
    <row r="52"/>
    <row r="53"/>
    <row r="54">
      <c r="A54" s="41" t="n"/>
    </row>
    <row r="55">
      <c r="A55" s="41" t="n"/>
    </row>
  </sheetData>
  <mergeCells count="30">
    <mergeCell ref="B48:I49"/>
    <mergeCell ref="C6:D6"/>
    <mergeCell ref="C39:F39"/>
    <mergeCell ref="C38:F38"/>
    <mergeCell ref="A36:B36"/>
    <mergeCell ref="C32:F32"/>
    <mergeCell ref="A6:A7"/>
    <mergeCell ref="C37:F37"/>
    <mergeCell ref="B41:H41"/>
    <mergeCell ref="A5:I5"/>
    <mergeCell ref="C34:F34"/>
    <mergeCell ref="A37:B37"/>
    <mergeCell ref="C33:F33"/>
    <mergeCell ref="G6:H6"/>
    <mergeCell ref="B6:B7"/>
    <mergeCell ref="E6:F6"/>
    <mergeCell ref="C35:F35"/>
    <mergeCell ref="A33:B33"/>
    <mergeCell ref="B43:H43"/>
    <mergeCell ref="A32:B32"/>
    <mergeCell ref="B42:H42"/>
    <mergeCell ref="A35:B35"/>
    <mergeCell ref="C40:F40"/>
    <mergeCell ref="A38:B38"/>
    <mergeCell ref="I6:I7"/>
    <mergeCell ref="A40:B40"/>
    <mergeCell ref="A31:B31"/>
    <mergeCell ref="C36:F36"/>
    <mergeCell ref="A39:B39"/>
    <mergeCell ref="A34:B34"/>
  </mergeCells>
  <printOptions horizontalCentered="1"/>
  <pageMargins left="0.1968503937007874" right="0.1574803149606299" top="0.3937007874015748" bottom="0.1968503937007874" header="0.3149606299212598" footer="0.1181102362204725"/>
  <pageSetup orientation="landscape" paperSize="9" scale="55" fitToHeight="2"/>
  <rowBreaks count="1" manualBreakCount="1">
    <brk id="47" min="0" max="12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Sihwan</dc:creator>
  <dcterms:created xmlns:dcterms="http://purl.org/dc/terms/" xmlns:xsi="http://www.w3.org/2001/XMLSchema-instance" xsi:type="dcterms:W3CDTF">2015-01-12T12:27:40Z</dcterms:created>
  <dcterms:modified xmlns:dcterms="http://purl.org/dc/terms/" xmlns:xsi="http://www.w3.org/2001/XMLSchema-instance" xsi:type="dcterms:W3CDTF">2026-10-28T14:55:43Z</dcterms:modified>
  <cp:lastModifiedBy>Novikov Konstantin</cp:lastModifiedBy>
  <cp:revision>1</cp:revision>
  <cp:lastPrinted>2025-12-17T12:30:59Z</cp:lastPrinted>
</cp:coreProperties>
</file>