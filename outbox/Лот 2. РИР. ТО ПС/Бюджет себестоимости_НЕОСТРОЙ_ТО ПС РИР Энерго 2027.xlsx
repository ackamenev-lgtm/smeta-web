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" sheetId="1" state="visible" r:id="rId3"/>
    <sheet name="Паспорт тендера" sheetId="2" state="visible" r:id="rId4"/>
    <sheet name="Ставки ТО" sheetId="3" state="visible" r:id="rId5"/>
    <sheet name="Работы" sheetId="4" state="visible" r:id="rId6"/>
    <sheet name="Персонал ТО" sheetId="5" state="visible" r:id="rId7"/>
    <sheet name="Материалы" sheetId="6" state="visible" r:id="rId8"/>
    <sheet name="Цены материалов (источники)" sheetId="7" state="visible" r:id="rId9"/>
    <sheet name="Косвенные" sheetId="8" state="visible" r:id="rId10"/>
    <sheet name="Риски и вопросы" sheetId="9" state="visible" r:id="rId11"/>
    <sheet name="Добавить в тарификатор" sheetId="10" state="visible" r:id="rId12"/>
    <sheet name="График и ресурсы" sheetId="11" state="visible" r:id="rId13"/>
    <sheet name="Кэш-план" sheetId="12" state="visible" r:id="rId14"/>
    <sheet name="Контрольные точки" sheetId="13" state="visible" r:id="rId15"/>
    <sheet name="Оборудование (ТЗ)" sheetId="14" state="visible" r:id="rId16"/>
  </sheets>
  <definedNames>
    <definedName function="false" hidden="true" localSheetId="13" name="_xlnm._FilterDatabase" vbProcedure="false">'Оборудование (ТЗ)'!$A$4:$I$968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<sst xmlns="http://schemas.openxmlformats.org/spreadsheetml/2006/main" count="7025" uniqueCount="1940">
  <si>
    <t xml:space="preserve">СВОД: ТО АПС, АУПТ, СОУЭ — АО «РИР Энерго» «Воронежская генерация», 2027 г.</t>
  </si>
  <si>
    <t xml:space="preserve">Внутренний документ НЕОСТРОЙ — заказчику не передавать. Все суммы — руб. без НДС за 12 месяцев 2027 г.</t>
  </si>
  <si>
    <t xml:space="preserve">Статья себестоимости</t>
  </si>
  <si>
    <t xml:space="preserve">Сумма, руб.</t>
  </si>
  <si>
    <t xml:space="preserve">Доля</t>
  </si>
  <si>
    <t xml:space="preserve">Откуда</t>
  </si>
  <si>
    <t xml:space="preserve">ФОТ техников ТО (штат, Воронеж)</t>
  </si>
  <si>
    <t xml:space="preserve">Персонал ТО: численность × на руки × 1,5 × 14</t>
  </si>
  <si>
    <t xml:space="preserve">Расходники к работам</t>
  </si>
  <si>
    <t xml:space="preserve">% к оплате труда (ELM, справочник)</t>
  </si>
  <si>
    <t xml:space="preserve">Субподряд и прочие прямые разовых работ (ЦСМ, ЭТЛ, аренда опрессовочного оборудования)</t>
  </si>
  <si>
    <t xml:space="preserve">Работы, раздел «Разовые»</t>
  </si>
  <si>
    <t xml:space="preserve">Материалы ЗИП (с/с)</t>
  </si>
  <si>
    <t xml:space="preserve">Материалы</t>
  </si>
  <si>
    <t xml:space="preserve">Косвенные проекта</t>
  </si>
  <si>
    <t xml:space="preserve">Косвенные</t>
  </si>
  <si>
    <t xml:space="preserve">ПОЛНАЯ СЕБЕСТОИМОСТЬ</t>
  </si>
  <si>
    <t xml:space="preserve">Коммерческое предложение</t>
  </si>
  <si>
    <t xml:space="preserve">Регламентное ТО (12 мес.)</t>
  </si>
  <si>
    <t xml:space="preserve">Работы</t>
  </si>
  <si>
    <t xml:space="preserve">Разовые работы 2027</t>
  </si>
  <si>
    <t xml:space="preserve">Материалы ЗИП</t>
  </si>
  <si>
    <t xml:space="preserve">КП БЕЗ НДС</t>
  </si>
  <si>
    <t xml:space="preserve">НДС 22 %</t>
  </si>
  <si>
    <t xml:space="preserve">КП С НДС</t>
  </si>
  <si>
    <t xml:space="preserve">КП в месяц без НДС (регламентное ТО)</t>
  </si>
  <si>
    <t xml:space="preserve">Показатели</t>
  </si>
  <si>
    <t xml:space="preserve">Значение</t>
  </si>
  <si>
    <t xml:space="preserve">Комментарий</t>
  </si>
  <si>
    <t xml:space="preserve">Наценка = КП ÷ с/с − 1</t>
  </si>
  <si>
    <t xml:space="preserve">Маржа = 1 − с/с ÷ КП</t>
  </si>
  <si>
    <t xml:space="preserve">Маржа, руб.</t>
  </si>
  <si>
    <t xml:space="preserve">Тип тендера</t>
  </si>
  <si>
    <t xml:space="preserve">Госзакупки 44-ФЗ / 223-ФЗ</t>
  </si>
  <si>
    <t xml:space="preserve">Целевой диапазон наценки (лист «Тип тендера»)</t>
  </si>
  <si>
    <t xml:space="preserve">15–30 %</t>
  </si>
  <si>
    <t xml:space="preserve">Проверка по типу тендера</t>
  </si>
  <si>
    <t xml:space="preserve">Наценка на материалы (средняя)</t>
  </si>
  <si>
    <t xml:space="preserve">Наценка на работы (ТО + разовые) к прямой с/с работ + косвенным</t>
  </si>
  <si>
    <t xml:space="preserve">НМЦК</t>
  </si>
  <si>
    <t xml:space="preserve">не опубликована в папке лота</t>
  </si>
  <si>
    <t xml:space="preserve">В папке только ТЗ. Минимально допустимая цена = с/с × 1,15 (строка 36)</t>
  </si>
  <si>
    <t xml:space="preserve">Сценарии</t>
  </si>
  <si>
    <t xml:space="preserve">КП б/НДС</t>
  </si>
  <si>
    <t xml:space="preserve">Маржа, %</t>
  </si>
  <si>
    <t xml:space="preserve">Наценка</t>
  </si>
  <si>
    <t xml:space="preserve">Базовый</t>
  </si>
  <si>
    <t xml:space="preserve">Переторжка −5 %</t>
  </si>
  <si>
    <t xml:space="preserve">Переторжка −10 %</t>
  </si>
  <si>
    <t xml:space="preserve">Минимальная цена (наценка 15 %, ниже — только ГД)</t>
  </si>
  <si>
    <t xml:space="preserve">ПАСПОРТ ТЕНДЕРА</t>
  </si>
  <si>
    <t xml:space="preserve">Заказчик</t>
  </si>
  <si>
    <t xml:space="preserve">АО «РИР Энерго», филиал «Воронежская генерация» (группа Росатом), закупка по 223-ФЗ: план закупки на 2027 г., закупка № 637, лот 1, спецификация 1</t>
  </si>
  <si>
    <t xml:space="preserve">Предмет</t>
  </si>
  <si>
    <t xml:space="preserve">Оказание услуг по ТО установок автоматической пожарной сигнализации (АПС), автоматических установок пожаротушения (АУПТ) и систем оповещения и управления эвакуацией (СОУЭ); плановая и предупредительная замена вышедшего из строя оборудования; ведение документации</t>
  </si>
  <si>
    <t xml:space="preserve">Объекты и адреса</t>
  </si>
  <si>
    <t xml:space="preserve">г. Воронеж: ПП ТЭЦ-1 (ул. Лебедева, 2), ПП ТЭЦ-2 (пр. Ясный, 1а), ПП Тепловые сети (ул. С. Перовской, 7; ул. Пешестрелецкая, 84; пр. Ясный, 1а; ул. Лебедева, 2), ПП ГТС (ул. Кольцовская, 78; ул. Плехановская, 17; ул. Туполева, 31к; ул. Б. Хмельницкого, 79к) — 10 адресов</t>
  </si>
  <si>
    <t xml:space="preserve">Регион</t>
  </si>
  <si>
    <t xml:space="preserve">Воронеж (регион): тарификатор СПб/Мск не применим напрямую → цены — рынок Воронежа/ЦФО; персонал — местный найм; доставка материалов 10 % (параметр «Регион»)</t>
  </si>
  <si>
    <t xml:space="preserve">Объём (Прил. 1–8)</t>
  </si>
  <si>
    <t xml:space="preserve">АПС/СОУЭ: ~120 ППК и пультов, 146 блоков, 67 источников питания, 76 АКБ, 3 569 автоматических извещателей + 70 взрывозащищённых + 26 пламени + 5 линейных, 1 920 м термокабеля, 558 ручных/УДП/ЭДУ, 224 охранных, 880 оповещателей, 5 приборов речевого оповещения, 4 модуля «Буран», ~52,7 км шлейфов. АУПТ ТЭЦ-1/ТЭЦ-2: 9,6 км трубопроводов, 217 ручных и 64 электрифицированных задвижек/затворов, 987 оросителей/пеногенераторов/стволов, 40 манометров и сигнализаторов, 8 насосов, 3 бака</t>
  </si>
  <si>
    <t xml:space="preserve">Периодичность (Прил. 9, 10)</t>
  </si>
  <si>
    <t xml:space="preserve">АПС: ежемесячно — осмотр, контроль индикации, питания, проверка работоспособности; ежеквартально (мар, июн, сен, дек) — профилактика; июнь — измерение сопротивления заземления. АУПТ: ежемесячно — узлы, оросители, трубопроводы; фев/май/авг/ноя — вводы, арматура, задвижки с ЭП и схемы пуска; май, ноябрь — манометры; май — полная проверка манометров с опломбированием/клеймением; 1 раз в 3 года — опрессовка, промывка и опробование с реальным пуском: ТЭЦ-2 (ГК, ПГУ-115, ВК, МН) — июль–август 2027; ТЭЦ-1 — проведено в июне–июле 2026, в 2027 не требуется</t>
  </si>
  <si>
    <t xml:space="preserve">Срок</t>
  </si>
  <si>
    <t xml:space="preserve">2027 год (12 месяцев); точные даты начала/окончания — в проекте договора (в папке лота нет)</t>
  </si>
  <si>
    <t xml:space="preserve">Не опубликована: на b2b-center (лот № 57697, организатор АО «Квадра-ГК» для АО «РИР Энерго» — «Воронежская генерация») начальная цена 0, оценивается цена с НДС; вскрытие 30.10.2026 08:00 МСК. Аналог 2023 г. (ЕИС 32211915005) — НМЦК 2 399 999 руб.</t>
  </si>
  <si>
    <t xml:space="preserve">Форма КП</t>
  </si>
  <si>
    <t xml:space="preserve">Формы заказчика нет → наша форма КП (xlsx) + письмо на бланке</t>
  </si>
  <si>
    <t xml:space="preserve">Цены с НДС / без</t>
  </si>
  <si>
    <t xml:space="preserve">Не указано; считаем без НДС, НДС 22 % сверху</t>
  </si>
  <si>
    <t xml:space="preserve">Оплата</t>
  </si>
  <si>
    <t xml:space="preserve">В течение 7 рабочих дней от даты подписания акта оказанных услуг (раздел ТЗ). Аванса нет</t>
  </si>
  <si>
    <t xml:space="preserve">Гарантия</t>
  </si>
  <si>
    <t xml:space="preserve">Работоспособность систем в течение срока договора; устранение дефектов за свой счёт, гарантийный период продлевается на время гарантийных работ (п. 3.3)</t>
  </si>
  <si>
    <t xml:space="preserve">Штрафы, обеспечение</t>
  </si>
  <si>
    <t xml:space="preserve">Проекта договора и документации о закупке в папке нет — штрафы, обеспечение заявки и исполнения неизвестны</t>
  </si>
  <si>
    <t xml:space="preserve">Требования к участнику</t>
  </si>
  <si>
    <t xml:space="preserve">Лицензия МЧС на ТО систем пожарной автоматики (есть у НЕОСТРОЙ); персонал с удостоверениями по ОТ, ПТМ, ЭБ (группа III для работ в электроустановках), работы на высоте; инструктажи и допуск на ТЭЦ; СИЗ за счёт исполнителя; соблюдение ФНиП РТН (ПС), ПТЭ станций, РД 34.03.201-97</t>
  </si>
  <si>
    <t xml:space="preserve">Госзакупки 44-ФЗ / 223-ФЗ (наценка 15–30 %): заказчик — АО группы Росатом, закупка по 223-ФЗ (AGENTS.md: для 223-ФЗ шаги 5–11 с этим типом). По сути работ — ТО (ориентир ТО +30–40 %), но конкуренция в торгах 223-ФЗ давит цену</t>
  </si>
  <si>
    <t xml:space="preserve">ОКПД2</t>
  </si>
  <si>
    <t xml:space="preserve">43.21.10.140 (в ТЗ — монтаж систем пожарной и охранной сигнализации; для услуги ТО обычно 33.12/80.20 — несоответствие, вопрос заказчику не критичен)</t>
  </si>
  <si>
    <t xml:space="preserve">СТАВКИ ТО ПО ВИДАМ ОБОРУДОВАНИЯ: РЫНОК, ЦЕНА КП, НОРМА ТРУДОЗАТРАТ</t>
  </si>
  <si>
    <t xml:space="preserve">Работ нет в тарификаторе v2 → цена = рынок подрядчиков (б/НДС, руб. за ед. в месяц), норма — чел.-ч на ед. в месяц в среднем за год (ежемесячные операции + ежеквартальная профилактика + годовые проверки). Жёлтые ячейки — вводные.</t>
  </si>
  <si>
    <t xml:space="preserve">Код</t>
  </si>
  <si>
    <t xml:space="preserve">Услуга</t>
  </si>
  <si>
    <t xml:space="preserve">Ед.</t>
  </si>
  <si>
    <t xml:space="preserve">Норма, чел.-ч/ед./мес</t>
  </si>
  <si>
    <t xml:space="preserve">Основание нормы</t>
  </si>
  <si>
    <t xml:space="preserve">Рынок 1, руб/ед/мес б/НДС</t>
  </si>
  <si>
    <t xml:space="preserve">Источник 1</t>
  </si>
  <si>
    <t xml:space="preserve">Рынок 2</t>
  </si>
  <si>
    <t xml:space="preserve">Источник 2</t>
  </si>
  <si>
    <t xml:space="preserve">Рынок 3</t>
  </si>
  <si>
    <t xml:space="preserve">Источник 3</t>
  </si>
  <si>
    <t xml:space="preserve">Медиана рынка</t>
  </si>
  <si>
    <t xml:space="preserve">Коэф. к рынку</t>
  </si>
  <si>
    <t xml:space="preserve">ЦЕНА КП, руб/ед/мес б/НДС</t>
  </si>
  <si>
    <t xml:space="preserve">Примечание</t>
  </si>
  <si>
    <t xml:space="preserve">PPK</t>
  </si>
  <si>
    <t xml:space="preserve">ТО прибора приёмно-контрольного, пульта, прибора управления (С2000М, Сигнал-20П/10, Гранит, С2000-АСПТ, Рубеж-20П и др.)</t>
  </si>
  <si>
    <t xml:space="preserve">шт</t>
  </si>
  <si>
    <t xml:space="preserve">Экспертно 1,0 ч/мес (между пультом 1,0 и ППК средней ёмкости 3,0 ч/мес по нормативы МВД (у.у. = 1,67 ч/мес), ivtechno.ru)</t>
  </si>
  <si>
    <t xml:space="preserve">Пожарный Арсенал, Воронеж (pozharsenal.ru), «от»</t>
  </si>
  <si>
    <t xml:space="preserve">Прейскурант 2661 × 39,43 (t-as.ru, расчёт): 371 + 106 × 10 ШС</t>
  </si>
  <si>
    <t xml:space="preserve">Квазар-Сервис, Краснодар (ecq.ru), ППК до 16 ШС</t>
  </si>
  <si>
    <t xml:space="preserve">Москва 2 090–2 600 (Стройпожсервис, montage-ssb) — не брали; коэф. 2.53 — цена от с/с (наценка ≈ 17 %): по рыночной медиане КП не покрывает с/с штатного ТО</t>
  </si>
  <si>
    <t xml:space="preserve">BLOCK</t>
  </si>
  <si>
    <t xml:space="preserve">ТО блока системы (С2000-КДЛ, СП1/СП2, КПБ, БКИ, ПИ, ПТ, БРИЗ, барьеры искрозащиты и др.)</t>
  </si>
  <si>
    <t xml:space="preserve">Адресный расширитель 0,33 ч/мес (нормативы МВД (у.у. = 1,67 ч/мес), ivtechno.ru); экспертно 0,2 — проверка в составе ППК</t>
  </si>
  <si>
    <t xml:space="preserve">samss.ru, Самара, руб/мес, блок управления</t>
  </si>
  <si>
    <t xml:space="preserve">Стройпожсервис, Москва (stroipozhservis.ru), релейный блок</t>
  </si>
  <si>
    <t xml:space="preserve">ООО «Интех», Воронеж (inteh36.ru), «от»</t>
  </si>
  <si>
    <t xml:space="preserve">коэф. 2.53 — цена от с/с (наценка ≈ 17 %): по рыночной медиане КП не покрывает с/с штатного ТО</t>
  </si>
  <si>
    <t xml:space="preserve">PSU</t>
  </si>
  <si>
    <t xml:space="preserve">ТО источника электропитания резервированного (РИП, Скат, ИВЭПР, ББП)</t>
  </si>
  <si>
    <t xml:space="preserve">РИП с АКБ 0,5 ч/мес (нормативы МВД (у.у. = 1,67 ч/мес), ivtechno.ru); экспертно 0,25 (АКБ — отдельной строкой)</t>
  </si>
  <si>
    <t xml:space="preserve">Квазар-Сервис, Краснодар (ecq.ru), ИБП</t>
  </si>
  <si>
    <t xml:space="preserve">Стройпожсервис, Москва (stroipozhservis.ru)</t>
  </si>
  <si>
    <t xml:space="preserve">AKB</t>
  </si>
  <si>
    <t xml:space="preserve">ТО аккумуляторной батареи (контроль напряжения и ёмкости)</t>
  </si>
  <si>
    <t xml:space="preserve">Экспертно: замер напряжения/ёмкости при ТО РИП</t>
  </si>
  <si>
    <t xml:space="preserve">СБ-ГРУПП, Москва (ooosbg.ru), 100 с НДС ÷ 1,22</t>
  </si>
  <si>
    <t xml:space="preserve">Формула охраны, Москва (naoxrane.ru), 2021</t>
  </si>
  <si>
    <t xml:space="preserve">DET_AUTO</t>
  </si>
  <si>
    <t xml:space="preserve">ТО извещателя пожарного автоматического точечного (дымового, теплового)</t>
  </si>
  <si>
    <t xml:space="preserve">Экспертно: ежемес. осмотр + проверка аэрозолем 1 раз в квартал ~6 мин/шт; верхняя граница — дымовой 0,17 ч/мес (нормативы МВД (у.у. = 1,67 ч/мес), ivtechno.ru)</t>
  </si>
  <si>
    <t xml:space="preserve">Квазар-Сервис, Краснодар (ecq.ru), адресный дымовой</t>
  </si>
  <si>
    <t xml:space="preserve">samss.ru, Самара, руб/мес</t>
  </si>
  <si>
    <t xml:space="preserve">Москва 48–60 (Стройпожсервис, Контур); коэф. 2.53 — цена от с/с (наценка ≈ 17 %): по рыночной медиане КП не покрывает с/с штатного ТО</t>
  </si>
  <si>
    <t xml:space="preserve">DET_EX</t>
  </si>
  <si>
    <t xml:space="preserve">ТО извещателя пожарного во взрывозащищённом/искробезопасном исполнении</t>
  </si>
  <si>
    <t xml:space="preserve">Экспертно: × 3–4 к обычному (наряд-допуск, взрывоопасная зона)</t>
  </si>
  <si>
    <t xml:space="preserve">montage-ssb, Мск/СПб (city-ser.com)</t>
  </si>
  <si>
    <t xml:space="preserve">DET_FLAME</t>
  </si>
  <si>
    <t xml:space="preserve">ТО извещателя пожарного пламени (Спектрон, Пульсар, Набат)</t>
  </si>
  <si>
    <t xml:space="preserve">Экспертно: проверка тест-фонарём</t>
  </si>
  <si>
    <t xml:space="preserve">СБ-ГРУПП, 50 с НДС ÷ 1,22</t>
  </si>
  <si>
    <t xml:space="preserve">Контур безопасности, Москва (scontur.ru)</t>
  </si>
  <si>
    <t xml:space="preserve">LINEAR</t>
  </si>
  <si>
    <t xml:space="preserve">ТО извещателя пожарного дымового линейного ИПДЛ</t>
  </si>
  <si>
    <t xml:space="preserve">к-т</t>
  </si>
  <si>
    <t xml:space="preserve">ИПДЛ 0,5 ч/мес (нормативы МВД (у.у. = 1,67 ч/мес), ivtechno.ru); экспертно 0,3</t>
  </si>
  <si>
    <t xml:space="preserve">Квазар-Сервис, Краснодар (ecq.ru)</t>
  </si>
  <si>
    <t xml:space="preserve">THERMO</t>
  </si>
  <si>
    <t xml:space="preserve">ТО линейного теплового извещателя (термокабель)</t>
  </si>
  <si>
    <t xml:space="preserve">100 м</t>
  </si>
  <si>
    <t xml:space="preserve">Экспертно: осмотр трассы, проверка шлейфа на 100 м</t>
  </si>
  <si>
    <t xml:space="preserve">ОЦЕНКА по аналогии с ИПДЛ (1 зона ≈ 100 м); рыночной цены нет — montage-ssb «договорная»</t>
  </si>
  <si>
    <t xml:space="preserve">ОЦЕНКА — уточнить запросом у ВДПО Воронеж / ИПС / Интех; коэф. 2.53 — цена от с/с (наценка ≈ 17 %): по рыночной медиане КП не покрывает с/с штатного ТО</t>
  </si>
  <si>
    <t xml:space="preserve">DET_MAN</t>
  </si>
  <si>
    <t xml:space="preserve">ТО извещателя пожарного ручного, УДП, ЭДУ</t>
  </si>
  <si>
    <t xml:space="preserve">Экспертно, как автоматический извещатель</t>
  </si>
  <si>
    <t xml:space="preserve">DET_SEC</t>
  </si>
  <si>
    <t xml:space="preserve">ТО извещателя охранного (магнитоконтактного, ИК) в составе систем</t>
  </si>
  <si>
    <t xml:space="preserve">Экспертно</t>
  </si>
  <si>
    <t xml:space="preserve">Формула охраны, тепловой/простой</t>
  </si>
  <si>
    <t xml:space="preserve">ANN</t>
  </si>
  <si>
    <t xml:space="preserve">ТО оповещателя (светового, звукового, речевого, табло «Выход»)</t>
  </si>
  <si>
    <t xml:space="preserve">Оповещатель 0,17 ч/мес (нормативы МВД (у.у. = 1,67 ч/мес), ivtechno.ru) — верхняя граница; экспертно 0,04 (проверка зонами при пуске)</t>
  </si>
  <si>
    <t xml:space="preserve">Квазар-Сервис, Краснодар (ecq.ru), световой/звуковой</t>
  </si>
  <si>
    <t xml:space="preserve">SOUE</t>
  </si>
  <si>
    <t xml:space="preserve">ТО прибора речевого оповещения СОУЭ (Орфей, Рокот, Соната)</t>
  </si>
  <si>
    <t xml:space="preserve">Экспертно (как ППК)</t>
  </si>
  <si>
    <t xml:space="preserve">samss.ru, Самара, руб/мес, блок управления СОУЭ</t>
  </si>
  <si>
    <t xml:space="preserve">Квазар-Сервис, Краснодар (ecq.ru), предусилитель</t>
  </si>
  <si>
    <t xml:space="preserve">montage-ssb, Мск/СПб (city-ser.com), блок речевого оповещения</t>
  </si>
  <si>
    <t xml:space="preserve">MPP</t>
  </si>
  <si>
    <t xml:space="preserve">ТО модуля порошкового пожаротушения (Буран-8взр)</t>
  </si>
  <si>
    <t xml:space="preserve">Экспертно: осмотр, контроль цепей пуска</t>
  </si>
  <si>
    <t xml:space="preserve">Нормативные затраты МВД 4 500/год</t>
  </si>
  <si>
    <t xml:space="preserve">k-systemy.ru, Красноярск</t>
  </si>
  <si>
    <t xml:space="preserve">ogneboy.ru, 1–10 модулей 2 900 / 4 мод.</t>
  </si>
  <si>
    <t xml:space="preserve">SW</t>
  </si>
  <si>
    <t xml:space="preserve">Сопровождение ПО АРМ «Орион Про» (резервное копирование баз, проверка связи)</t>
  </si>
  <si>
    <t xml:space="preserve">Экспертно: резервное копирование БД, проверка связи ППК–АРМ</t>
  </si>
  <si>
    <t xml:space="preserve">СБ-ГРУПП, АРМ 2 000 с НДС ÷ 1,22</t>
  </si>
  <si>
    <t xml:space="preserve">Квазар-Сервис, Краснодар (ecq.ru), АРМ</t>
  </si>
  <si>
    <t xml:space="preserve">Стройпожсервис, Москва (stroipozhservis.ru), АРМ</t>
  </si>
  <si>
    <t xml:space="preserve">CABLE</t>
  </si>
  <si>
    <t xml:space="preserve">ТО шлейфов сигнализации и линий связи (осмотр, измерение параметров)</t>
  </si>
  <si>
    <t xml:space="preserve">Экспертно: шлейф контролируется ППК; осмотр трасс + выборочные замеры</t>
  </si>
  <si>
    <t xml:space="preserve">ОЦЕНКА: на рынке входит в цену ТО ППК; отдельной цены нет</t>
  </si>
  <si>
    <t xml:space="preserve">ОЦЕНКА — 10 руб./100 м/мес; коэф. 2.53 — цена от с/с (наценка ≈ 17 %): по рыночной медиане КП не покрывает с/с штатного ТО</t>
  </si>
  <si>
    <t xml:space="preserve">BOX</t>
  </si>
  <si>
    <t xml:space="preserve">ТО коробок коммутационных/распределительных, шкафов, автоматов питания</t>
  </si>
  <si>
    <t xml:space="preserve">Экспертно: осмотр, протяжка</t>
  </si>
  <si>
    <t xml:space="preserve">ОЦЕНКА: на рынке входит в ТО системы</t>
  </si>
  <si>
    <t xml:space="preserve">ОЦЕНКА; коэф. 2.53 — цена от с/с (наценка ≈ 17 %): по рыночной медиане КП не покрывает с/с штатного ТО</t>
  </si>
  <si>
    <t xml:space="preserve">PIPE</t>
  </si>
  <si>
    <t xml:space="preserve">ТО трубопроводов АУПТ (течи, уклоны, крепления, окраска)</t>
  </si>
  <si>
    <t xml:space="preserve">3,7–7,1 чел.-ч/год на 100 м (РТМ 25.488-82 (ТО + текущий ремонт), meganorm.ru) ≈ 0,3–0,6 ч/мес; экспертно 0,25 (без ремонта)</t>
  </si>
  <si>
    <t xml:space="preserve">ОЦЕНКА; рынок даёт ТО АУПТ по площади от 35 руб/м² (Центр «Каска», Воронеж) — к метражу не приводится</t>
  </si>
  <si>
    <t xml:space="preserve">ОЦЕНКА — уточнить запросом; коэф. 2.53 — цена от с/с (наценка ≈ 17 %): по рыночной медиане КП не покрывает с/с штатного ТО</t>
  </si>
  <si>
    <t xml:space="preserve">VALVE_MAN</t>
  </si>
  <si>
    <t xml:space="preserve">ТО запорной арматуры с ручным приводом (задвижки, затворы, вентили, клапаны, краны)</t>
  </si>
  <si>
    <t xml:space="preserve">7,9–13,8 чел.-ч/год (РТМ 25.488-82 (ТО + текущий ремонт), meganorm.ru) ≈ 0,7–1,1 ч/мес с ремонтом; экспертно 0,25</t>
  </si>
  <si>
    <t xml:space="preserve">ОЦЕНКА: поштучной цены нет (рынок — в составе узла управления 750–800 руб/мес)</t>
  </si>
  <si>
    <t xml:space="preserve">VALVE_EL</t>
  </si>
  <si>
    <t xml:space="preserve">ТО задвижки/затвора с электроприводом и схемой управления</t>
  </si>
  <si>
    <t xml:space="preserve">27,6 чел.-ч/год мех.+эл. часть (РТМ 25.488-82), 34,9 (ПП РФ 2072) ≈ 2,3–2,9 ч/мес; экспертно 1,0</t>
  </si>
  <si>
    <t xml:space="preserve">mk-gost.ru, Саратов: разовая проверка 2 000–2 500, ежеквартально → ÷ 3</t>
  </si>
  <si>
    <t xml:space="preserve">Прейскурант 2661 × 39,43 (t-as.ru, расчёт): узел управления ≈ 800</t>
  </si>
  <si>
    <t xml:space="preserve">SPRINK</t>
  </si>
  <si>
    <t xml:space="preserve">ТО оросителя, пеногенератора, лафетного ствола (осмотр, очистка)</t>
  </si>
  <si>
    <t xml:space="preserve">1,2–1,8 чел.-ч/год (РТМ 25.488-82 (ТО + текущий ремонт), meganorm.ru) ≈ 0,1–0,15 ч/мес; экспертно 0,03 (осмотр без демонтажа)</t>
  </si>
  <si>
    <t xml:space="preserve">k-systemy.ru: 200 руб. за 100 оросителей</t>
  </si>
  <si>
    <t xml:space="preserve">Прейскурант 2661 × 39,43 (t-as.ru, расчёт): 260 на 10 оросителей</t>
  </si>
  <si>
    <t xml:space="preserve">GAUGE</t>
  </si>
  <si>
    <t xml:space="preserve">ТО манометра, сигнализатора/реле давления</t>
  </si>
  <si>
    <t xml:space="preserve">6,3–18,6 чел.-ч/год (РТМ 25.488-82 (ТО + текущий ремонт), meganorm.ru); экспертно 0,25</t>
  </si>
  <si>
    <t xml:space="preserve">Прейскурант 2661 × 39,43 (t-as.ru, расчёт): сигнализатор давления</t>
  </si>
  <si>
    <t xml:space="preserve">Цены ТО манометра в месяц на рынке нет; коэф. 2.53 — цена от с/с (наценка ≈ 17 %): по рыночной медиане КП не покрывает с/с штатного ТО</t>
  </si>
  <si>
    <t xml:space="preserve">PUMP</t>
  </si>
  <si>
    <t xml:space="preserve">ТО насосного агрегата пожаротушения</t>
  </si>
  <si>
    <t xml:space="preserve">35–176 чел.-ч/год (РТМ 25.488-82 (ТО + текущий ремонт), meganorm.ru), 96 (ПП РФ 2072) ≈ 3–15 ч/мес; экспертно 4,0</t>
  </si>
  <si>
    <t xml:space="preserve">Инфомакс, Москва: насосная до 100 м²</t>
  </si>
  <si>
    <t xml:space="preserve">Прейскурант 2661 × 39,43 (t-as.ru, расчёт): технолог. часть насосной</t>
  </si>
  <si>
    <t xml:space="preserve">k-systemy.ru: насосная станция</t>
  </si>
  <si>
    <t xml:space="preserve">TANK</t>
  </si>
  <si>
    <t xml:space="preserve">ТО бака (пенообразователя, мембранного)</t>
  </si>
  <si>
    <t xml:space="preserve">ОЦЕНКА</t>
  </si>
  <si>
    <t xml:space="preserve">РАБОТЫ: РЕГЛАМЕНТНОЕ ТО ПО ОБЪЕКТАМ И ВИДАМ ОБОРУДОВАНИЯ + РАЗОВЫЕ РАБОТЫ 2027</t>
  </si>
  <si>
    <t xml:space="preserve">Кол-во — из Приложений 1–8 ТЗ (кабель и трубы пересчитаны в 100 м). Цена КП — лист «Ставки ТО». С/с труда = чел.-ч × себестоимость чел.-ч (лист «Персонал ТО»). Расходники — % к оплате труда (ELM).</t>
  </si>
  <si>
    <t xml:space="preserve">№</t>
  </si>
  <si>
    <t xml:space="preserve">Объект</t>
  </si>
  <si>
    <t xml:space="preserve">Кол-во</t>
  </si>
  <si>
    <t xml:space="preserve">Сопоставление с тарификатором</t>
  </si>
  <si>
    <t xml:space="preserve">Цена КП, руб/ед/мес</t>
  </si>
  <si>
    <t xml:space="preserve">Мес.</t>
  </si>
  <si>
    <t xml:space="preserve">КП в год, руб. б/НДС</t>
  </si>
  <si>
    <t xml:space="preserve">КП в месяц, руб.</t>
  </si>
  <si>
    <t xml:space="preserve">Норма, чел.-ч/ед/мес</t>
  </si>
  <si>
    <t xml:space="preserve">Чел.-ч/год</t>
  </si>
  <si>
    <t xml:space="preserve">С/с труда, руб.</t>
  </si>
  <si>
    <t xml:space="preserve">Расходники, руб.</t>
  </si>
  <si>
    <t xml:space="preserve">Субподряд/прочие прямые, руб.</t>
  </si>
  <si>
    <t xml:space="preserve">Прямая с/с, руб.</t>
  </si>
  <si>
    <t xml:space="preserve">Маржа строки, руб.</t>
  </si>
  <si>
    <t xml:space="preserve">ПП ТЭЦ-1 (ул. Лебедева, 2) — АПС, СОУЭ (Прил. 1)</t>
  </si>
  <si>
    <t xml:space="preserve">ПП ТЭЦ-1 (ул. Лебедева, 2)</t>
  </si>
  <si>
    <t xml:space="preserve">нет в тарификаторе → рынок</t>
  </si>
  <si>
    <t xml:space="preserve">Итого по объекту</t>
  </si>
  <si>
    <t xml:space="preserve">ПГУ-223 ПП ТЭЦ-1 — АПС, управление АУПТ (Прил. 2)</t>
  </si>
  <si>
    <t xml:space="preserve">ПГУ-223 ПП ТЭЦ-1</t>
  </si>
  <si>
    <t xml:space="preserve">ПП ТЭЦ-2, старая часть (пр. Ясный, 1а) — АПС, СОУЭ (Прил. 3)</t>
  </si>
  <si>
    <t xml:space="preserve">ПП ТЭЦ-2, старая часть (пр. Ясный, 1а)</t>
  </si>
  <si>
    <t xml:space="preserve">ПГУ-115 ПП ТЭЦ-2 — АПС, порошковое АУПТ (Прил. 4)</t>
  </si>
  <si>
    <t xml:space="preserve">ПГУ-115 ПП ТЭЦ-2</t>
  </si>
  <si>
    <t xml:space="preserve">ПП Тепловые сети (ул. С. Перовской, 7; Пешестрелецкая, 84; Ясный, 1а; Лебедева, 2) — АПС, СОУЭ (Прил. 5)</t>
  </si>
  <si>
    <t xml:space="preserve">ПП Тепловые сети (ул. С. Перовской, 7; Пешестрелецкая, 84; Ясный, 1а; Лебедева, 2)</t>
  </si>
  <si>
    <t xml:space="preserve">АУПТ ПП ТЭЦ-1 — водяное пожаротушение (Прил. 6)</t>
  </si>
  <si>
    <t xml:space="preserve">АУПТ ПП ТЭЦ-1</t>
  </si>
  <si>
    <t xml:space="preserve">АУПТ ПП ТЭЦ-2 — водяное и пенное пожаротушение (Прил. 7)</t>
  </si>
  <si>
    <t xml:space="preserve">АУПТ ПП ТЭЦ-2</t>
  </si>
  <si>
    <t xml:space="preserve">ПП Городские тепловые сети (Кольцовская, 78; Плехановская, 17; Туполева, 31к; Б. Хмельницкого, 79к) — АПС, СОУЭ (Прил. 8)</t>
  </si>
  <si>
    <t xml:space="preserve">ПП Городские тепловые сети (Кольцовская, 78; Плехановская, 17; Туполева, 31к; Б. Хмельницкого, 79к)</t>
  </si>
  <si>
    <t xml:space="preserve">ИТОГО РЕГЛАМЕНТНОЕ ТО</t>
  </si>
  <si>
    <t xml:space="preserve">РАЗОВЫЕ РАБОТЫ 2027 (по Приложению 10 и п. 2.2.2 ТЗ)</t>
  </si>
  <si>
    <t xml:space="preserve">ПП ТЭЦ-2</t>
  </si>
  <si>
    <t xml:space="preserve">HYD</t>
  </si>
  <si>
    <t xml:space="preserve">Гидравлические испытания (опрессовка) и промывка трубопроводов АУПТ (системы ГК, ПГУ-115, ВК, МН)</t>
  </si>
  <si>
    <t xml:space="preserve">м</t>
  </si>
  <si>
    <t xml:space="preserve">Прил. 10: 1 раз в 3 года, ТЭЦ-2 — июль–август 2027. Длина — трубопроводы Прил. 7. Рынок: Инфомакс гидроиспытания 18 + промывка 9 руб/м (Мск); kc-spb гидродинамическая промывка от 160 руб/м; Прейскурант 2661 ≈ 483 руб/м → медиана 160; цена КП 180 — от с/с (наценка ≈ 17 %). Субподряд 10 руб/м — аренда опрессовщика, вода, слив (оценка). Норма 0,12 ч/м — экспертно</t>
  </si>
  <si>
    <t xml:space="preserve">PUSK</t>
  </si>
  <si>
    <t xml:space="preserve">Опробование АУПТ с реальным пуском (составление программы, пуск, акт)</t>
  </si>
  <si>
    <t xml:space="preserve">система</t>
  </si>
  <si>
    <t xml:space="preserve">Рыночной цены нет (не найдено). Ориентиры: испытание пожарного водопровода от 10 000 (Контур, Мск), ТО насосной от 25 000 (U-NET) → 17 500 (оценка); цена КП 33 000 — от с/с (наценка ≈ 17 %). Норма 24 ч на систему — экспертно (бригада 3 чел. × 8 ч)</t>
  </si>
  <si>
    <t xml:space="preserve">ПП ТЭЦ-1, ТЭЦ-2</t>
  </si>
  <si>
    <t xml:space="preserve">MAN</t>
  </si>
  <si>
    <t xml:space="preserve">Поверка манометров АУПТ с демонтажем/монтажем и опломбированием</t>
  </si>
  <si>
    <t xml:space="preserve">Прил. 10: май — полная проверка манометров с опломбированием/клеймением. 35 шт. — манометры Прил. 6–7. Цена КП — тарификатор v2, п. 9.2.96 «поверка манометра» 800 руб. Субподряд: ФБУ «Воронежский ЦСМ» 108,04 руб. (КТ 1–2,5), ЭКМ 130 (ЮСТИР) + доставка ≈ 150. Норма 0,5 ч — демонтаж/монтаж, заглушка, доставка</t>
  </si>
  <si>
    <t xml:space="preserve">Все объекты АПС</t>
  </si>
  <si>
    <t xml:space="preserve">GND</t>
  </si>
  <si>
    <t xml:space="preserve">Измерение сопротивления металлосвязи (заземления) оборудования АПС/СОУЭ с протоколами ЭТЛ</t>
  </si>
  <si>
    <t xml:space="preserve">точка</t>
  </si>
  <si>
    <t xml:space="preserve">Прил. 9: июнь — измерение сопротивления заземления. 395 точек = ППК 120 + РИП 67 + СОУЭ 5 + шкафы/коробки 203 (допущение). Рынок Воронеж: ЭТЛ «Пространство света» 40 руб/точка, ЛАЭР от 75 → медиана 57,5; цена КП 115 — от с/с (с сопровождением нашего техника). Субподряд — ЭТЛ Воронеж 40 руб/точка; наш техник сопровождает 0,05 ч/точка</t>
  </si>
  <si>
    <t xml:space="preserve">GZU</t>
  </si>
  <si>
    <t xml:space="preserve">Измерение сопротивления заземляющих устройств (по объектам)</t>
  </si>
  <si>
    <t xml:space="preserve">объект</t>
  </si>
  <si>
    <t xml:space="preserve">ЛАЭР Воронеж: заземляющее устройство от 1 500 руб/система. Цена КП 4 500 — от с/с (субподряд 1 500 + 2 ч техника + выезд); рынок ≈ 1 500–1 800. 10 адресов</t>
  </si>
  <si>
    <t xml:space="preserve">ИТОГО РАЗОВЫЕ РАБОТЫ</t>
  </si>
  <si>
    <t xml:space="preserve">ВСЕГО РАБОТЫ (ТО + разовые)</t>
  </si>
  <si>
    <t xml:space="preserve">ПЕРСОНАЛ ТО: ТРУДОЁМКОСТЬ → ЧИСЛЕННОСТЬ → ФОТ</t>
  </si>
  <si>
    <t xml:space="preserve">Техники ТО — штатные работники (лицензия МЧС требует работников в штате лицензиата). ФОТ = на руки × 1,5 (налоги и взносы) × 14/12 в годовом расчёте.</t>
  </si>
  <si>
    <t xml:space="preserve">Показатель</t>
  </si>
  <si>
    <t xml:space="preserve">Основание</t>
  </si>
  <si>
    <t xml:space="preserve">Трудоёмкость регламентного ТО, чел.-ч/год</t>
  </si>
  <si>
    <t xml:space="preserve">Лист «Работы», итог регламентного ТО (кол-во × норма × 12 мес.)</t>
  </si>
  <si>
    <t xml:space="preserve">Трудоёмкость разовых работ (гидроиспытания, поверка, ЭТЛ), чел.-ч/год</t>
  </si>
  <si>
    <t xml:space="preserve">Лист «Работы», разовые работы</t>
  </si>
  <si>
    <t xml:space="preserve">Первичное обследование систем (январь–февраль), чел.-ч</t>
  </si>
  <si>
    <t xml:space="preserve">Первичное обследование (п. 3.2.1 ТЗ): ~20 % месячной трудоёмкости ТО × 2 мес. ≈ 260 чел.-ч</t>
  </si>
  <si>
    <t xml:space="preserve">Замена вышедшего из строя оборудования (ЗИП), чел.-ч/год</t>
  </si>
  <si>
    <t xml:space="preserve">Лист «Материалы», чел.-ч на замену</t>
  </si>
  <si>
    <t xml:space="preserve">Оформление журналов, актов, паспортов, отчётов — % к трудоёмкости</t>
  </si>
  <si>
    <t xml:space="preserve">Журналы ТО и ППР, акты, паспорта установок, ежемесячные отчёты — экспертно 10 %</t>
  </si>
  <si>
    <t xml:space="preserve">ИТОГО трудоёмкость, чел.-ч/год</t>
  </si>
  <si>
    <t xml:space="preserve">Фонд рабочего времени 1 работника, ч/год (40-часовая неделя, 2027)</t>
  </si>
  <si>
    <t xml:space="preserve">Норма 2027 при 40-ч неделе 1 972 ч (КонсультантПлюс, производственный календарь 2027) − отпуск 20 раб. дней (160 ч)</t>
  </si>
  <si>
    <t xml:space="preserve">Коэффициент использования (переезды между 10 площадками, наряды-допуски, инструктажи)</t>
  </si>
  <si>
    <t xml:space="preserve">Экспертно 0,80: основная часть оборудования на 2 промплощадках (ТЭЦ-1, ТЭЦ-2), 8 городских адресов; потери — наряды-допуски, инструктажи, переезды</t>
  </si>
  <si>
    <t xml:space="preserve">Требуемая численность техников, чел. (расчёт)</t>
  </si>
  <si>
    <t xml:space="preserve">Принятая численность техников, чел. (целая)</t>
  </si>
  <si>
    <t xml:space="preserve">Оплата техника на руки, руб./мес (Воронеж)</t>
  </si>
  <si>
    <t xml:space="preserve">70 000 руб./мес на руки: Воронеж 2026 — монтажник-слаботочник медиана 75 тыс. (ГородРабот, май 2026), Галерея Чижова 55–75 тыс., ТЕКС Групп 70–120 тыс., НПО РИФ от 70 тыс., ВДПО Воронеж от 80 тыс. (hh.ru, careerist, dreamjob)</t>
  </si>
  <si>
    <t xml:space="preserve">ФОТ техников за год, руб. = чел. × на руки × 1,5 × 14</t>
  </si>
  <si>
    <t xml:space="preserve">×1,5 — НДФЛ сверху «на руки» и страховые взносы; ×14 — 12 мес. × 14/12 (отпускные, замены, премии) по правилу промта</t>
  </si>
  <si>
    <t xml:space="preserve">Себестоимость 1 чел.-ч для распределения по строкам, руб.</t>
  </si>
  <si>
    <t xml:space="preserve">МАТЕРИАЛЫ: ЗИП ДЛЯ ПЛАНОВОЙ И ПРЕДУПРЕДИТЕЛЬНОЙ ЗАМЕНЫ (п. 2.1.2, 2.2.3 ТЗ)</t>
  </si>
  <si>
    <t xml:space="preserve">Объёмы замены в ТЗ не заданы → допущение: доля парка оборудования в год (колонка E). С/с = закупка × (1+отходы) × (1+доставка) × (1+резерв роста + стоимость денег). Наценка — раздельная форма.</t>
  </si>
  <si>
    <t xml:space="preserve">Материал / оборудование</t>
  </si>
  <si>
    <t xml:space="preserve">Парк по ТЗ</t>
  </si>
  <si>
    <t xml:space="preserve">Доля замены в год</t>
  </si>
  <si>
    <t xml:space="preserve">Закупка б/НДС, руб/ед</t>
  </si>
  <si>
    <t xml:space="preserve">Категория (справочник)</t>
  </si>
  <si>
    <t xml:space="preserve">Отходы</t>
  </si>
  <si>
    <t xml:space="preserve">Доставка</t>
  </si>
  <si>
    <t xml:space="preserve">Резерв + деньги</t>
  </si>
  <si>
    <t xml:space="preserve">С/с за ед.</t>
  </si>
  <si>
    <t xml:space="preserve">С/с всего</t>
  </si>
  <si>
    <t xml:space="preserve">Чел.-ч на замену (всего)</t>
  </si>
  <si>
    <t xml:space="preserve">Цена КП за ед. (не выше розницы)</t>
  </si>
  <si>
    <t xml:space="preserve">КП всего</t>
  </si>
  <si>
    <t xml:space="preserve">Розница б/НДС (макс. источник)</t>
  </si>
  <si>
    <t xml:space="preserve">Проверка ≤ розницы</t>
  </si>
  <si>
    <t xml:space="preserve">С/с труда на замену, руб.</t>
  </si>
  <si>
    <t xml:space="preserve">Извещатель дымовой ИП 212-141 (Рубеж) или аналог</t>
  </si>
  <si>
    <t xml:space="preserve">Электроустановочные изделия, щиты, автоматы</t>
  </si>
  <si>
    <t xml:space="preserve">Извещатель адресный ДИП-34А-04 (Болид)</t>
  </si>
  <si>
    <t xml:space="preserve">Извещатель тепловой ИП 103-5/1-А3</t>
  </si>
  <si>
    <t xml:space="preserve">Извещатель ручной ИПР 513-10 (Рубеж)</t>
  </si>
  <si>
    <t xml:space="preserve">Извещатель ручной адресный ИПР 513-3АМ (Болид)</t>
  </si>
  <si>
    <t xml:space="preserve">Оповещатель светозвуковой Маяк-12-КП</t>
  </si>
  <si>
    <t xml:space="preserve">Табло «Выход» Молния-12</t>
  </si>
  <si>
    <t xml:space="preserve">Оповещатель звуковой Маяк-12-3М</t>
  </si>
  <si>
    <t xml:space="preserve">Аккумулятор 12 В 7 А·ч Delta DTM 1207</t>
  </si>
  <si>
    <t xml:space="preserve">Аккумулятор 12 В 12 А·ч Delta DTM 1212</t>
  </si>
  <si>
    <t xml:space="preserve">Аккумулятор 12 В 17 А·ч Delta DTM 1217</t>
  </si>
  <si>
    <t xml:space="preserve">Аккумулятор 12 В 40 А·ч Delta DTM 1240 L</t>
  </si>
  <si>
    <t xml:space="preserve">Источник питания РИП-12 исп.01 (Болид)</t>
  </si>
  <si>
    <t xml:space="preserve">Кабель КПСнг(А)-FRLS 1×2×0,75</t>
  </si>
  <si>
    <t xml:space="preserve">Кабель и провод</t>
  </si>
  <si>
    <t xml:space="preserve">Манометр МП-100 0–1,6 МПа</t>
  </si>
  <si>
    <t xml:space="preserve">Трубы и фитинги ВиК, отопления</t>
  </si>
  <si>
    <t xml:space="preserve">Ороситель спринклерный СВН-15 (68 °С)</t>
  </si>
  <si>
    <t xml:space="preserve">Ороситель дренчерный ДВН-15</t>
  </si>
  <si>
    <t xml:space="preserve">ИТОГО ЗИП</t>
  </si>
  <si>
    <t xml:space="preserve">Параметры: доставка — «Регион» по листу «Параметры» справочника материалов; резерв роста цен — закупки равномерно в течение 2027 г., в среднем через 8 мес. после КП → (8 − 2) × 1,25 % = 7,5 %; стоимость денег — закупка без аванса, оплата через ~1,5 мес. → 3 %.</t>
  </si>
  <si>
    <t xml:space="preserve">ЦЕНЫ МАТЕРИАЛОВ (ИСТОЧНИКИ)</t>
  </si>
  <si>
    <t xml:space="preserve">Цены сайтов с НДС 22 % → ÷ 1,22. Закупка = минимальная цена без НДС. Дата проверки — 28.10.2026.</t>
  </si>
  <si>
    <t xml:space="preserve">Позиция</t>
  </si>
  <si>
    <t xml:space="preserve">Магазин 1</t>
  </si>
  <si>
    <t xml:space="preserve">Цена 1 с НДС</t>
  </si>
  <si>
    <t xml:space="preserve">URL 1</t>
  </si>
  <si>
    <t xml:space="preserve">Магазин 2</t>
  </si>
  <si>
    <t xml:space="preserve">Цена 2 с НДС</t>
  </si>
  <si>
    <t xml:space="preserve">URL 2</t>
  </si>
  <si>
    <t xml:space="preserve">Закупка б/НДС = мин ÷ 1,22</t>
  </si>
  <si>
    <t xml:space="preserve">Розница б/НДС = макс ÷ 1,22</t>
  </si>
  <si>
    <t xml:space="preserve">Отметка</t>
  </si>
  <si>
    <t xml:space="preserve">Тинко</t>
  </si>
  <si>
    <t xml:space="preserve">https://www.tinko.ru/catalog/product/208489/</t>
  </si>
  <si>
    <t xml:space="preserve">Сектор СБ</t>
  </si>
  <si>
    <t xml:space="preserve">https://sector-sb.ru/catalog/ops/izveschateli_pojarnye/izveschateli_dymovye/ip_212-141</t>
  </si>
  <si>
    <t xml:space="preserve">Замена ИП 212-41М (снят с производства с 2022)</t>
  </si>
  <si>
    <t xml:space="preserve">Юнитрекс</t>
  </si>
  <si>
    <t xml:space="preserve">https://unitrex.ru/catalog/ohranno-pojarnaya-signalizaciya/integrirovannaya-sistema-orion/adresno-analogovaya-sistema-na-baze-s2000-kdl/dip-34a-04</t>
  </si>
  <si>
    <t xml:space="preserve">Альфа-сети</t>
  </si>
  <si>
    <t xml:space="preserve">https://alphanets.ru/catalog/bolid-dip-34a-04-dymovoy-optiko-elektronnyy-pozharnyy-izveshc</t>
  </si>
  <si>
    <t xml:space="preserve">Мин. цена 1 170 сильно ниже рынка (X-Com 1 841) — проверить</t>
  </si>
  <si>
    <t xml:space="preserve">https://www.tinko.ru/catalog/product/005010/</t>
  </si>
  <si>
    <t xml:space="preserve">Тинко-СБ</t>
  </si>
  <si>
    <t xml:space="preserve">https://tinko-sb.ru/products/ip-103-5-1-a3-5010/</t>
  </si>
  <si>
    <t xml:space="preserve">https://www.tinko.ru/catalog/product/205151/</t>
  </si>
  <si>
    <t xml:space="preserve">ТК «ИВС»</t>
  </si>
  <si>
    <t xml:space="preserve">https://tkivs.ru/unit.php?id_unit=1147</t>
  </si>
  <si>
    <t xml:space="preserve">https://www.tinko.ru/catalog/product/224799/</t>
  </si>
  <si>
    <t xml:space="preserve">РВН-Групп</t>
  </si>
  <si>
    <t xml:space="preserve">https://rvn-group.ru/catalog/okhranno_pozharnye_sistemy/adresnye_sistemy_bolid/izveshchateli_bolid/22121/</t>
  </si>
  <si>
    <t xml:space="preserve">https://tinko-sb.ru/products/mayak-12kp-19230/</t>
  </si>
  <si>
    <t xml:space="preserve">Enex</t>
  </si>
  <si>
    <t xml:space="preserve">https://enex.market/product/kombinirovannyy-svetozvukovoy-opoveshchatel-mayak-12-kp/</t>
  </si>
  <si>
    <t xml:space="preserve">https://www.tinko.ru/catalog/product/309882/</t>
  </si>
  <si>
    <t xml:space="preserve">Мегаполис</t>
  </si>
  <si>
    <t xml:space="preserve">https://www.megapolys.com/catalog/tekhnicheskie_sredstva_bezopasnosti/196514/</t>
  </si>
  <si>
    <t xml:space="preserve">https://www.tinko.ru/catalog/product/200098/</t>
  </si>
  <si>
    <t xml:space="preserve">Радтек</t>
  </si>
  <si>
    <t xml:space="preserve">https://radtek.ru/catalog/pozharnye_opoveshchateli/opoveshchateli_pozharnye_zvukovye/seriya_mayak2/</t>
  </si>
  <si>
    <t xml:space="preserve">Мин. цена — страница каталога, проверить</t>
  </si>
  <si>
    <t xml:space="preserve">delta-battery.ru</t>
  </si>
  <si>
    <t xml:space="preserve">https://www.delta-battery.ru/catalog/dtm/delta-dtm-1207/</t>
  </si>
  <si>
    <t xml:space="preserve">СЕК-ГРУПП</t>
  </si>
  <si>
    <t xml:space="preserve">https://sec-group.ru/p/delta-18539/</t>
  </si>
  <si>
    <t xml:space="preserve">Парк по ёмкостям — допущение (76 АКБ всего), срок службы 4–5 лет → 25 %/год</t>
  </si>
  <si>
    <t xml:space="preserve">DSSL</t>
  </si>
  <si>
    <t xml:space="preserve">https://www.dssl.ru/products/dtm-1212-akkumulyatornaya-batareya/</t>
  </si>
  <si>
    <t xml:space="preserve">https://sec-group.ru/p/delta-18540/</t>
  </si>
  <si>
    <t xml:space="preserve">https://www.delta-battery.ru/catalog/dtm/delta-dtm-1217/</t>
  </si>
  <si>
    <t xml:space="preserve">АктивСБ</t>
  </si>
  <si>
    <t xml:space="preserve">https://www.aktivsb.ru/prod-22791.html</t>
  </si>
  <si>
    <t xml:space="preserve">https://www.delta-battery.ru/catalog/dtm-l/delta-dtm-1240-l/</t>
  </si>
  <si>
    <t xml:space="preserve">Сатро-Паладин</t>
  </si>
  <si>
    <t xml:space="preserve">https://satro-paladin.com/catalog/product/15300/</t>
  </si>
  <si>
    <t xml:space="preserve">https://www.tinko.ru/catalog/product/008539/</t>
  </si>
  <si>
    <t xml:space="preserve">ЦСБ-Про</t>
  </si>
  <si>
    <t xml:space="preserve">https://www.csbpro.ru/catalog/bolid/rip_12_isp_01_istochnik_pitaniya_12v_3a/</t>
  </si>
  <si>
    <t xml:space="preserve">https://www.tinko.ru/catalog/product/216213/</t>
  </si>
  <si>
    <t xml:space="preserve">elgroup24 (ИВКЗ)</t>
  </si>
  <si>
    <t xml:space="preserve">https://elgroup24.ru/kpsng-a-frls-series-750/</t>
  </si>
  <si>
    <t xml:space="preserve">Мин. — малоизвестный магазин; Тинко 35,97</t>
  </si>
  <si>
    <t xml:space="preserve">ОСТ-М</t>
  </si>
  <si>
    <t xml:space="preserve">https://www.ost-m.ru/catalog/truboprovodnaya_armatura_pribory_ucheta_i_kipia_manometry_i_komplektuyushchie_manometry_tekhnicheskie_mp_100_mp_160/</t>
  </si>
  <si>
    <t xml:space="preserve">Сантур</t>
  </si>
  <si>
    <t xml:space="preserve">https://santur.ru/product/00000002376</t>
  </si>
  <si>
    <t xml:space="preserve">https://satro-paladin.com/catalog/product/107170/</t>
  </si>
  <si>
    <t xml:space="preserve">Спецавтоматика Бийск</t>
  </si>
  <si>
    <t xml:space="preserve">https://sa-biysk.ru/catalog/1368/17147/</t>
  </si>
  <si>
    <t xml:space="preserve">https://satro-paladin.com/catalog/product/108074/</t>
  </si>
  <si>
    <t xml:space="preserve">АльфаВодоСтрой</t>
  </si>
  <si>
    <t xml:space="preserve">https://awstroy.ru/product/orositel-drenchernyj-dvo0-rno0-77-r1-2-v3-dvn-15-vodyanoj/</t>
  </si>
  <si>
    <t xml:space="preserve">КОСВЕННЫЕ РАСХОДЫ ПРОЕКТА</t>
  </si>
  <si>
    <t xml:space="preserve">Каждая статья — с расчётом. Жёлтые — вводные.</t>
  </si>
  <si>
    <t xml:space="preserve">Статья</t>
  </si>
  <si>
    <t xml:space="preserve">Ставка, руб.</t>
  </si>
  <si>
    <t xml:space="preserve">Множитель</t>
  </si>
  <si>
    <t xml:space="preserve">Сумма, руб./год</t>
  </si>
  <si>
    <t xml:space="preserve">Расчёт / основание</t>
  </si>
  <si>
    <t xml:space="preserve">Мастер/инженер ТО в Воронеже (штат, 1 чел.)</t>
  </si>
  <si>
    <t xml:space="preserve">чел.</t>
  </si>
  <si>
    <t xml:space="preserve">На руки 110 тыс./мес (инженер по обслуживанию слаботочных систем от 105 тыс., инженер ОПС от 100 тыс., прораб СС 135–150 тыс. — dreamjob, Воронеж 2026) × 1,5 × 14</t>
  </si>
  <si>
    <t xml:space="preserve">Руководитель проекта (СПб), доля ставки</t>
  </si>
  <si>
    <t xml:space="preserve">ставки</t>
  </si>
  <si>
    <t xml:space="preserve">Экспертно: 0,15 ставки × 150 тыс. на руки × 1,5 × 14 — контроль, отчётность, взаимодействие с заказчиком</t>
  </si>
  <si>
    <t xml:space="preserve">Командировки РП/мобилизация СПб–Воронеж</t>
  </si>
  <si>
    <t xml:space="preserve">поездок</t>
  </si>
  <si>
    <t xml:space="preserve">Самолёт туда-обратно 2 × 4 170 (aviadzen) + гостиница 3 ночи × 3 000 (101hotels, 3*) + суточные 4 × 700 = 20 140 руб.</t>
  </si>
  <si>
    <t xml:space="preserve">Аренда автомобиля (Lada Granta) для объезда 10 адресов</t>
  </si>
  <si>
    <t xml:space="preserve">мес.</t>
  </si>
  <si>
    <t xml:space="preserve">BookingCar Воронеж 1 560 руб/сут − 17 % при аренде от 30 дней ≈ 1 300 × 30 = 39 000 руб/мес</t>
  </si>
  <si>
    <t xml:space="preserve">Топливо</t>
  </si>
  <si>
    <t xml:space="preserve">2 000 км/мес × 8 л/100 км = 160 л × 77,50 руб/л (АИ-92 Воронеж 28.10.2026, gdebenzin.net) ≈ 12 400</t>
  </si>
  <si>
    <t xml:space="preserve">Обучение и допуски: ПБ, ЭБ III гр., работы на высоте, медосмотр</t>
  </si>
  <si>
    <t xml:space="preserve">ПБ 3 500 + ЭБ 4 000 + высота 4 000 (ВУЦ «Охрана труда», Воронеж) + медосмотр 3 500 (ПрофиМед) = 15 000 руб/чел; техники + мастер</t>
  </si>
  <si>
    <t xml:space="preserve">СИЗ и спецодежда</t>
  </si>
  <si>
    <t xml:space="preserve">ОЦЕНКА 15 000 руб/чел/год: костюм, обувь, каска, очки, перчатки (п. 3.4 ТЗ — СИЗ за счёт исполнителя)</t>
  </si>
  <si>
    <t xml:space="preserve">Расходник для проверки извещателей (аэрозоль ТА-01)</t>
  </si>
  <si>
    <t xml:space="preserve">баллон</t>
  </si>
  <si>
    <t xml:space="preserve">АктивСБ 1 446 с НДС ÷ 1,22 = 1 185,25; 3 569 извещателей ежеквартально ≈ 600 проверок на баллон → 24 шт/год</t>
  </si>
  <si>
    <t xml:space="preserve">Инструмент и приборы (стремянки, мультиметры, тестеры тепловых/линейных извещателей, удочка)</t>
  </si>
  <si>
    <t xml:space="preserve">компл.</t>
  </si>
  <si>
    <t xml:space="preserve">ОЦЕНКА 120 тыс. руб. на 1 год использования</t>
  </si>
  <si>
    <t xml:space="preserve">Поверка приборов (мегаомметр, измеритель заземления)</t>
  </si>
  <si>
    <t xml:space="preserve">Воронежский ЦСМ, прил. 1 с 01.01.2026: мегаомметр 1 228 + измеритель заземления 2 305</t>
  </si>
  <si>
    <t xml:space="preserve">Связь, ноутбук, ПО для «Орион Про»</t>
  </si>
  <si>
    <t xml:space="preserve">ОЦЕНКА: 3 SIM × 700 + амортизация ноутбука</t>
  </si>
  <si>
    <t xml:space="preserve">Склад/помещение для ЗИП и инструмента в Воронеже</t>
  </si>
  <si>
    <t xml:space="preserve">ОЦЕНКА; если заказчик предоставит помещение на ТЭЦ — исключить (вопрос заказчику)</t>
  </si>
  <si>
    <t xml:space="preserve">Банковская гарантия исполнения (если потребуют)</t>
  </si>
  <si>
    <t xml:space="preserve">Документации о закупке нет → допущение: обеспечение 5 % цены с НДС, ставка 3,2 % годовых (УБРиР, trillioncredit)</t>
  </si>
  <si>
    <t xml:space="preserve">Финансирование кассового разрыва</t>
  </si>
  <si>
    <t xml:space="preserve">мес. разрыва</t>
  </si>
  <si>
    <t xml:space="preserve">Аванса нет, оплата 7 р.д. после акта → средний разрыв ≈ 1,25 мес. затрат × 2 %/мес × 12 мес. (см. «Кэш-план»)</t>
  </si>
  <si>
    <t xml:space="preserve">Резерв гарантийных обязательств</t>
  </si>
  <si>
    <t xml:space="preserve">1 % (диапазон промта 1–2 %): устранение дефектов за свой счёт (п. 3.3 ТЗ)</t>
  </si>
  <si>
    <t xml:space="preserve">Резерв рисков</t>
  </si>
  <si>
    <t xml:space="preserve">5 % (верх диапазона 3–5 %): нет проекта договора и штрафов, объёмы ЗИП не заданы, допуск на ТЭЦ, ошибки в перечнях ТЗ</t>
  </si>
  <si>
    <t xml:space="preserve">ИТОГО КОСВЕННЫЕ</t>
  </si>
  <si>
    <t xml:space="preserve">РИСКИ И ВОПРОСЫ</t>
  </si>
  <si>
    <t xml:space="preserve">Описание</t>
  </si>
  <si>
    <t xml:space="preserve">Влияние на цену, руб.</t>
  </si>
  <si>
    <t xml:space="preserve">Что спросить у заказчика</t>
  </si>
  <si>
    <t xml:space="preserve">Допущение, с которым посчитано</t>
  </si>
  <si>
    <t xml:space="preserve">НМЦК не опубликована (b2b-center № 57697: «начальная цена 0», оценивается цена с НДС). Аналог 2023 г. (ЕИС 32211915005) — НМЦК 2 399 999 руб.</t>
  </si>
  <si>
    <t xml:space="preserve">см. отчёт</t>
  </si>
  <si>
    <t xml:space="preserve">Ориентир бюджета на 2027 г.? Объём аналога 2023 г. совпадает?</t>
  </si>
  <si>
    <t xml:space="preserve">Цена — по рынку подрядчиков за единицу оборудования</t>
  </si>
  <si>
    <t xml:space="preserve">Проекта договора нет: штрафы, обеспечение, порядок приёмки неизвестны</t>
  </si>
  <si>
    <t xml:space="preserve">резерв 5 %</t>
  </si>
  <si>
    <t xml:space="preserve">Предоставить проект договора; размер обеспечения заявки/исполнения</t>
  </si>
  <si>
    <t xml:space="preserve">БГ 5 % — заложена; штрафы — в резерве рисков</t>
  </si>
  <si>
    <t xml:space="preserve">Объём ЗИП не задан («плановая и предупредительная замена»)</t>
  </si>
  <si>
    <t xml:space="preserve">ЗИП — лимит</t>
  </si>
  <si>
    <t xml:space="preserve">Кто поставляет оборудование для замены? Оплата по факту или в цене ТО?</t>
  </si>
  <si>
    <t xml:space="preserve">ЗИП — отдельный лимит по % парка, оплата по факту</t>
  </si>
  <si>
    <t xml:space="preserve">В перечнях ТЗ ошибки: кабель Туполева/Хмельницкого указан в «шт» (400, 10), строки задублированы; огнезадерживающие клапаны упомянуты, но в перечнях нет</t>
  </si>
  <si>
    <t xml:space="preserve">небольшое</t>
  </si>
  <si>
    <t xml:space="preserve">Подтвердить перечни Прил. 5, 8; входят ли клапаны ОЗК</t>
  </si>
  <si>
    <t xml:space="preserve">Посчитано как в ТЗ («шт» → м); клапаны не включены</t>
  </si>
  <si>
    <t xml:space="preserve">Опробование АУПТ с реальным пуском на ТЭЦ-2 — нет рыночной цены, возможен большой объём (насосы, слив, восстановление)</t>
  </si>
  <si>
    <t xml:space="preserve">до +200 тыс.</t>
  </si>
  <si>
    <t xml:space="preserve">Состав работ при пуске, кто восстанавливает систему, вода и слив за чей счёт</t>
  </si>
  <si>
    <t xml:space="preserve">33 000 руб/система (рынок ≈ 17 500, оценка) + 24 ч</t>
  </si>
  <si>
    <t xml:space="preserve">Допуск персонала на ТЭЦ (наряды, инструктажи, ФНиП) снижает выработку</t>
  </si>
  <si>
    <t xml:space="preserve">ФОТ</t>
  </si>
  <si>
    <t xml:space="preserve">Режим доступа, часы работы, сопровождение</t>
  </si>
  <si>
    <t xml:space="preserve">Коэф. использования 0,80</t>
  </si>
  <si>
    <t xml:space="preserve">Найм 6–7 техников в Воронеже к 01.01.2027 (рынок 70–120 тыс.)</t>
  </si>
  <si>
    <t xml:space="preserve">ФОТ ±15 %</t>
  </si>
  <si>
    <t xml:space="preserve">—</t>
  </si>
  <si>
    <t xml:space="preserve">На руки 70 тыс.</t>
  </si>
  <si>
    <t xml:space="preserve">Цены рынка за ед. — в основном «от», без указания НДС, в Воронеже открытых прайсов мало</t>
  </si>
  <si>
    <t xml:space="preserve">выручка ±20 %</t>
  </si>
  <si>
    <t xml:space="preserve">Медиана 3 источников, приняты как без НДС</t>
  </si>
  <si>
    <t xml:space="preserve">ДОБАВИТЬ В ТАРИФИКАТОР</t>
  </si>
  <si>
    <t xml:space="preserve">Работ ТО пожарной автоматики в тарификаторе v2 нет (есть только 2.44 и 15.7 — монтаж/демонтаж извещателей). Предлагаемые новые артикулы.</t>
  </si>
  <si>
    <t xml:space="preserve">Предлагаемый артикул</t>
  </si>
  <si>
    <t xml:space="preserve">Вид работ</t>
  </si>
  <si>
    <t xml:space="preserve">Специальность</t>
  </si>
  <si>
    <t xml:space="preserve">Рынок Воронеж/ЦФО, руб/ед/мес б/НДС</t>
  </si>
  <si>
    <t xml:space="preserve">20.1.N1</t>
  </si>
  <si>
    <t xml:space="preserve">шт/мес</t>
  </si>
  <si>
    <t xml:space="preserve">ETL/ELM</t>
  </si>
  <si>
    <t xml:space="preserve">Новый раздел «20 ТО систем пожарной автоматики»; цены СПб/Мск — отдельно уточнить</t>
  </si>
  <si>
    <t xml:space="preserve">20.1.N2</t>
  </si>
  <si>
    <t xml:space="preserve">20.1.N3</t>
  </si>
  <si>
    <t xml:space="preserve">20.1.N4</t>
  </si>
  <si>
    <t xml:space="preserve">20.1.N5</t>
  </si>
  <si>
    <t xml:space="preserve">20.1.N6</t>
  </si>
  <si>
    <t xml:space="preserve">20.1.N7</t>
  </si>
  <si>
    <t xml:space="preserve">20.1.N8</t>
  </si>
  <si>
    <t xml:space="preserve">к-т/мес</t>
  </si>
  <si>
    <t xml:space="preserve">20.1.N9</t>
  </si>
  <si>
    <t xml:space="preserve">100 м/мес</t>
  </si>
  <si>
    <t xml:space="preserve">20.1.N10</t>
  </si>
  <si>
    <t xml:space="preserve">20.1.N11</t>
  </si>
  <si>
    <t xml:space="preserve">20.1.N12</t>
  </si>
  <si>
    <t xml:space="preserve">20.1.N13</t>
  </si>
  <si>
    <t xml:space="preserve">20.1.N14</t>
  </si>
  <si>
    <t xml:space="preserve">20.1.N15</t>
  </si>
  <si>
    <t xml:space="preserve">20.1.N16</t>
  </si>
  <si>
    <t xml:space="preserve">20.1.N17</t>
  </si>
  <si>
    <t xml:space="preserve">20.1.N18</t>
  </si>
  <si>
    <t xml:space="preserve">20.1.N19</t>
  </si>
  <si>
    <t xml:space="preserve">20.1.N20</t>
  </si>
  <si>
    <t xml:space="preserve">20.1.N21</t>
  </si>
  <si>
    <t xml:space="preserve">20.1.N22</t>
  </si>
  <si>
    <t xml:space="preserve">20.1.N23</t>
  </si>
  <si>
    <t xml:space="preserve">20.1.N24</t>
  </si>
  <si>
    <t xml:space="preserve">20.2.N</t>
  </si>
  <si>
    <t xml:space="preserve">SAN/ETL</t>
  </si>
  <si>
    <t xml:space="preserve">КАРТА РЕАЛИЗАЦИИ: ГРАФИК ПО МЕСЯЦАМ 2027 И РЕСУРСЫ</t>
  </si>
  <si>
    <t xml:space="preserve">По Приложениям 9 и 10 ТЗ. Х — операция выполняется в месяце.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</si>
  <si>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</si>
  <si>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</si>
  <si>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</si>
  <si>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</si>
  <si>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</si>
  <si>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</si>
  <si>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</si>
  <si>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</si>
  <si>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</si>
  <si>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</si>
  <si>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</si>
  <si>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</si>
  <si>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Первичное обследование систем, сверка перечней, приём документации</t>
  </si>
  <si>
    <t xml:space="preserve">Х</t>
  </si>
  <si>
    <t xml:space="preserve">АПС/СОУЭ: ежемесячное ТО (осмотр, индикация, питание, работоспособность)</t>
  </si>
  <si>
    <t xml:space="preserve">АПС/СОУЭ: ежеквартальная профилактика</t>
  </si>
  <si>
    <t xml:space="preserve">АПС: измерение сопротивления заземления (ЭТЛ)</t>
  </si>
  <si>
    <t xml:space="preserve">АУПТ: ежемесячное ТО узлов, оросителей, трубопроводов</t>
  </si>
  <si>
    <t xml:space="preserve">АУПТ: вводы, арматура, задвижки с ЭП, схемы пуска</t>
  </si>
  <si>
    <t xml:space="preserve">АУПТ: проверка манометров</t>
  </si>
  <si>
    <t xml:space="preserve">АУПТ: поверка манометров с опломбированием (ЦСМ)</t>
  </si>
  <si>
    <t xml:space="preserve">АУПТ ТЭЦ-2: опрессовка, промывка, пуск (ГК, ПГУ-115, ВК, МН)</t>
  </si>
  <si>
    <t xml:space="preserve">Замена вышедшего из строя оборудования (ЗИП) — по факту</t>
  </si>
  <si>
    <t xml:space="preserve">Ежемесячные акты и отчёты, журналы ТО</t>
  </si>
  <si>
    <t xml:space="preserve">Ресурсы и выручка (руб. без НДС)</t>
  </si>
  <si>
    <t xml:space="preserve">Итого</t>
  </si>
  <si>
    <t xml:space="preserve">Выручка: регламентное ТО</t>
  </si>
  <si>
    <t xml:space="preserve">Выручка: разовые работы</t>
  </si>
  <si>
    <t xml:space="preserve">Выручка: ЗИП (замена по факту, равномерно)</t>
  </si>
  <si>
    <t xml:space="preserve">ВЫРУЧКА ВСЕГО</t>
  </si>
  <si>
    <t xml:space="preserve">Чел.-ч: регламентное ТО и оформление</t>
  </si>
  <si>
    <t xml:space="preserve">Чел.-ч: разовые работы</t>
  </si>
  <si>
    <t xml:space="preserve">Чел.-ч: первичное обследование</t>
  </si>
  <si>
    <t xml:space="preserve">Чел.-ч: замена ЗИП</t>
  </si>
  <si>
    <t xml:space="preserve">Чел.-ч всего</t>
  </si>
  <si>
    <t xml:space="preserve">Требуется техников, чел. (при коэф. использования)</t>
  </si>
  <si>
    <t xml:space="preserve">Принято техников в штате, чел.</t>
  </si>
  <si>
    <t xml:space="preserve">Ресурсы: штат техников (лист «Персонал ТО») + мастер в Воронеже; пики — июнь (ЭТЛ, квартальная профилактика) и июль–август (гидроиспытания ТЭЦ-2) — закрываются перераспределением ежемесячного ТО и сверхурочными; ЭТЛ и ЦСМ — субподряд.</t>
  </si>
  <si>
    <t xml:space="preserve">КЭШ-ПЛАН 2027, руб. без НДС</t>
  </si>
  <si>
    <t xml:space="preserve">Акт — по итогам месяца; оплата в течение 7 рабочих дней после подписания акта → поступление в следующем месяце (декабрь — в январе 2028). Аванса нет. НДС не моделируется.</t>
  </si>
  <si>
    <t xml:space="preserve">Поступления от заказчика (выручка прошлого месяца)</t>
  </si>
  <si>
    <t xml:space="preserve">ФОТ техников (с налогами)</t>
  </si>
  <si>
    <t xml:space="preserve">Косвенные (ИТР, транспорт, допуски, резервы — равномерно)</t>
  </si>
  <si>
    <t xml:space="preserve">Закупка ЗИП (с/с)</t>
  </si>
  <si>
    <t xml:space="preserve">Субподряд и расходники разовых работ</t>
  </si>
  <si>
    <t xml:space="preserve">Расходники регламентного ТО</t>
  </si>
  <si>
    <t xml:space="preserve">Сальдо месяца</t>
  </si>
  <si>
    <t xml:space="preserve">Нарастающий итог</t>
  </si>
  <si>
    <t xml:space="preserve">Максимальный кассовый разрыв, руб.</t>
  </si>
  <si>
    <t xml:space="preserve">Стоимость разрыва (2 %/мес × средний разрыв × 12), руб. — учтена в «Косвенных» строкой «Финансирование»</t>
  </si>
  <si>
    <t xml:space="preserve">Поступление за декабрь 2027 приходит в январе 2028 — в итог года не попадает (дебиторка на 31.12).</t>
  </si>
  <si>
    <t xml:space="preserve">КОНТРОЛЬНЫЕ ТОЧКИ И РИСКИ РЕАЛИЗАЦИИ</t>
  </si>
  <si>
    <t xml:space="preserve">Контрольная точка</t>
  </si>
  <si>
    <t xml:space="preserve">Ответственный</t>
  </si>
  <si>
    <t xml:space="preserve">Подача заявки на b2b-center (№ 57697)</t>
  </si>
  <si>
    <t xml:space="preserve">до 30.10.2026 08:00 МСК</t>
  </si>
  <si>
    <t xml:space="preserve">Тендерный отдел</t>
  </si>
  <si>
    <t xml:space="preserve">Вскрытие 30.10.2026</t>
  </si>
  <si>
    <t xml:space="preserve">Подписание договора</t>
  </si>
  <si>
    <t xml:space="preserve">декабрь 2026</t>
  </si>
  <si>
    <t xml:space="preserve">ГД</t>
  </si>
  <si>
    <t xml:space="preserve">Проект договора не получен</t>
  </si>
  <si>
    <t xml:space="preserve">Найм техников (Воронеж), обучение, медосмотр, допуски</t>
  </si>
  <si>
    <t xml:space="preserve">до 25.12.2026</t>
  </si>
  <si>
    <t xml:space="preserve">РП</t>
  </si>
  <si>
    <t xml:space="preserve">6–7 чел. + мастер</t>
  </si>
  <si>
    <t xml:space="preserve">Допуск на ТЭЦ, инструктажи, приказы</t>
  </si>
  <si>
    <t xml:space="preserve">до 10.01.2027</t>
  </si>
  <si>
    <t xml:space="preserve">Мастер</t>
  </si>
  <si>
    <t xml:space="preserve">Акт первичного обследования</t>
  </si>
  <si>
    <t xml:space="preserve">февраль 2027</t>
  </si>
  <si>
    <t xml:space="preserve">Фиксируем исходное состояние систем</t>
  </si>
  <si>
    <t xml:space="preserve">Поверка манометров</t>
  </si>
  <si>
    <t xml:space="preserve">май 2027</t>
  </si>
  <si>
    <t xml:space="preserve">ЦСМ Воронеж</t>
  </si>
  <si>
    <t xml:space="preserve">Измерения ЭТЛ</t>
  </si>
  <si>
    <t xml:space="preserve">июнь 2027</t>
  </si>
  <si>
    <t xml:space="preserve">Субподряд ЭТЛ</t>
  </si>
  <si>
    <t xml:space="preserve">Гидроиспытания и пуск АУПТ ТЭЦ-2</t>
  </si>
  <si>
    <t xml:space="preserve">июль–август 2027</t>
  </si>
  <si>
    <t xml:space="preserve">Программа испытаний согласовать в мае</t>
  </si>
  <si>
    <t xml:space="preserve">Ежемесячные акты</t>
  </si>
  <si>
    <t xml:space="preserve">до 5 числа след. месяца</t>
  </si>
  <si>
    <t xml:space="preserve">Оплата 7 р.д. после акта</t>
  </si>
  <si>
    <t xml:space="preserve">Риск реализации</t>
  </si>
  <si>
    <t xml:space="preserve">Владелец</t>
  </si>
  <si>
    <t xml:space="preserve">Мера</t>
  </si>
  <si>
    <t xml:space="preserve">Влияние</t>
  </si>
  <si>
    <t xml:space="preserve">Не успеть набрать штат к 01.01.2027</t>
  </si>
  <si>
    <t xml:space="preserve">Начать найм сразу после итогов</t>
  </si>
  <si>
    <t xml:space="preserve">Срыв ТО → штрафы</t>
  </si>
  <si>
    <t xml:space="preserve">Исходное состояние систем хуже ожидаемого</t>
  </si>
  <si>
    <t xml:space="preserve">Акт первичного обследования с дефектной ведомостью</t>
  </si>
  <si>
    <t xml:space="preserve">Ремонт вне цены ТО</t>
  </si>
  <si>
    <t xml:space="preserve">Задержка подписания актов</t>
  </si>
  <si>
    <t xml:space="preserve">Акты до 5 числа, электронный документооборот</t>
  </si>
  <si>
    <t xml:space="preserve">Кассовый разрыв</t>
  </si>
  <si>
    <t xml:space="preserve">Рост цен на ЗИП</t>
  </si>
  <si>
    <t xml:space="preserve">Снабжение</t>
  </si>
  <si>
    <t xml:space="preserve">Резерв 7,5 % в с/с ЗИП</t>
  </si>
  <si>
    <t xml:space="preserve">Маржа ЗИП</t>
  </si>
  <si>
    <t xml:space="preserve">ОБОРУДОВАНИЕ ПО ПРИЛОЖЕНИЯМ 1–8 ТЗ С ПРИСВОЕННЫМ КОДОМ УСЛУГИ</t>
  </si>
  <si>
    <t xml:space="preserve">Исходные строки ТЗ без изменений; кол-во — как в ТЗ (кабель и трубы в м).</t>
  </si>
  <si>
    <t xml:space="preserve">Прил.</t>
  </si>
  <si>
    <t xml:space="preserve">Раздел / помещение</t>
  </si>
  <si>
    <t xml:space="preserve">Наименование</t>
  </si>
  <si>
    <t xml:space="preserve">Кол-во (как в ТЗ)</t>
  </si>
  <si>
    <t xml:space="preserve">Кол-во (число)</t>
  </si>
  <si>
    <t xml:space="preserve">Код услуги</t>
  </si>
  <si>
    <t xml:space="preserve">Примечание ТЗ</t>
  </si>
  <si>
    <t xml:space="preserve">1. Теплая стоянка автомобилей.</t>
  </si>
  <si>
    <t xml:space="preserve">1.1</t>
  </si>
  <si>
    <t xml:space="preserve">Прибор приемно-контрольный «Гранит-2»</t>
  </si>
  <si>
    <t xml:space="preserve">шт.</t>
  </si>
  <si>
    <t xml:space="preserve">1</t>
  </si>
  <si>
    <t xml:space="preserve">1.2</t>
  </si>
  <si>
    <t xml:space="preserve">Прибор приемно-контрольный «ППС-10»</t>
  </si>
  <si>
    <t xml:space="preserve">2</t>
  </si>
  <si>
    <t xml:space="preserve">1.3</t>
  </si>
  <si>
    <t xml:space="preserve">Прибор приемно-контрольный «Сигнал-44»</t>
  </si>
  <si>
    <t xml:space="preserve">1.4</t>
  </si>
  <si>
    <t xml:space="preserve">Извещатель пожарный тепловой ИП 103-5</t>
  </si>
  <si>
    <t xml:space="preserve">21</t>
  </si>
  <si>
    <t xml:space="preserve">1.5</t>
  </si>
  <si>
    <t xml:space="preserve">Извещатель пожарный ручной ИР-1</t>
  </si>
  <si>
    <t xml:space="preserve">3</t>
  </si>
  <si>
    <t xml:space="preserve">1.6</t>
  </si>
  <si>
    <t xml:space="preserve">Световое табло «Выход»</t>
  </si>
  <si>
    <t xml:space="preserve">1.7</t>
  </si>
  <si>
    <t xml:space="preserve">Оповещатель светозвуковой «Маяк-12КП »</t>
  </si>
  <si>
    <t xml:space="preserve">1.8</t>
  </si>
  <si>
    <t xml:space="preserve">Кабель FRLS 4*0.5</t>
  </si>
  <si>
    <t xml:space="preserve">м.</t>
  </si>
  <si>
    <t xml:space="preserve">200</t>
  </si>
  <si>
    <t xml:space="preserve">2. Помещение ООТиПБ</t>
  </si>
  <si>
    <t xml:space="preserve">2.1</t>
  </si>
  <si>
    <t xml:space="preserve">Извещатель пожарный дымовой ИП212-141</t>
  </si>
  <si>
    <t xml:space="preserve">30</t>
  </si>
  <si>
    <t xml:space="preserve">2.2</t>
  </si>
  <si>
    <t xml:space="preserve">2.3</t>
  </si>
  <si>
    <t xml:space="preserve">2.4</t>
  </si>
  <si>
    <t xml:space="preserve">3. КРУСН, кабельные тоннели (ГЩУ)</t>
  </si>
  <si>
    <t xml:space="preserve">3.1</t>
  </si>
  <si>
    <t xml:space="preserve">Пульт контроля и управления «С2000М»</t>
  </si>
  <si>
    <t xml:space="preserve">3.2</t>
  </si>
  <si>
    <t xml:space="preserve">Блок контроля и индикации «С2000БКИ»</t>
  </si>
  <si>
    <t xml:space="preserve">3.3</t>
  </si>
  <si>
    <t xml:space="preserve">Релейный блок «С2000-СП1»</t>
  </si>
  <si>
    <t xml:space="preserve">5</t>
  </si>
  <si>
    <t xml:space="preserve">3.4</t>
  </si>
  <si>
    <t xml:space="preserve">Прибор приемно-контрольный «Сигнал-20П SMD»</t>
  </si>
  <si>
    <t xml:space="preserve">3.5</t>
  </si>
  <si>
    <t xml:space="preserve">Извещатель дымовой оптико-электронный ИП-212-141</t>
  </si>
  <si>
    <t xml:space="preserve">222</t>
  </si>
  <si>
    <t xml:space="preserve">3.6</t>
  </si>
  <si>
    <t xml:space="preserve">Извещатель пожарный ручной ИПР-55, ИР-1</t>
  </si>
  <si>
    <t xml:space="preserve">38</t>
  </si>
  <si>
    <t xml:space="preserve">3.7</t>
  </si>
  <si>
    <t xml:space="preserve">Блок питания «ИВЭПР24/2»</t>
  </si>
  <si>
    <t xml:space="preserve">3.8</t>
  </si>
  <si>
    <t xml:space="preserve">Аккумуляторная батарея 12 А/ч</t>
  </si>
  <si>
    <t xml:space="preserve">4</t>
  </si>
  <si>
    <t xml:space="preserve">3.9</t>
  </si>
  <si>
    <t xml:space="preserve">Коробка ответвительная</t>
  </si>
  <si>
    <t xml:space="preserve">3.10</t>
  </si>
  <si>
    <t xml:space="preserve">Кабель КСВВнг-LS1х2х0.75</t>
  </si>
  <si>
    <t xml:space="preserve">4000</t>
  </si>
  <si>
    <t xml:space="preserve">4. Лабораторный корпус</t>
  </si>
  <si>
    <t xml:space="preserve">4.1</t>
  </si>
  <si>
    <t xml:space="preserve">Прибор «Сигнал-20П SMD»</t>
  </si>
  <si>
    <t xml:space="preserve">4.2</t>
  </si>
  <si>
    <t xml:space="preserve">Извещатель пожарный дымовой ИП212-141М</t>
  </si>
  <si>
    <t xml:space="preserve">138</t>
  </si>
  <si>
    <t xml:space="preserve">4.3</t>
  </si>
  <si>
    <t xml:space="preserve">12</t>
  </si>
  <si>
    <t xml:space="preserve">4.4</t>
  </si>
  <si>
    <t xml:space="preserve">Блок бесперебойного питания ББП ИВЭПР 24/2 К1</t>
  </si>
  <si>
    <t xml:space="preserve">4.5</t>
  </si>
  <si>
    <t xml:space="preserve">4.6</t>
  </si>
  <si>
    <t xml:space="preserve">Аккумуляторная батарея 12В,7А/ч</t>
  </si>
  <si>
    <t xml:space="preserve">4.7</t>
  </si>
  <si>
    <t xml:space="preserve">Кабель КСВВнг-LS 2х0.5</t>
  </si>
  <si>
    <t xml:space="preserve">1100</t>
  </si>
  <si>
    <t xml:space="preserve">4.8</t>
  </si>
  <si>
    <t xml:space="preserve">560</t>
  </si>
  <si>
    <t xml:space="preserve">5. Центральный склад ТЭЦ-1</t>
  </si>
  <si>
    <t xml:space="preserve">5.1</t>
  </si>
  <si>
    <t xml:space="preserve">Извещатель пожарный дымовой ИП212-26</t>
  </si>
  <si>
    <t xml:space="preserve">18</t>
  </si>
  <si>
    <t xml:space="preserve">5.2</t>
  </si>
  <si>
    <t xml:space="preserve">Извещатель пожарный ручной ИПР</t>
  </si>
  <si>
    <t xml:space="preserve">5.3</t>
  </si>
  <si>
    <t xml:space="preserve">Кабель ТРП 2х0,4</t>
  </si>
  <si>
    <t xml:space="preserve">150</t>
  </si>
  <si>
    <t xml:space="preserve">6. Центральный склад (бывший склад ОКС)</t>
  </si>
  <si>
    <t xml:space="preserve">6.1</t>
  </si>
  <si>
    <t xml:space="preserve">Прибор приемно-контрольный «С2000-4»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</si>
  <si>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</si>
  <si>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</si>
  <si>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</si>
  <si>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</si>
  <si>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</si>
  <si>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Устройство свето-сигнальное УСС-1</t>
  </si>
  <si>
    <t xml:space="preserve">6.7</t>
  </si>
  <si>
    <t xml:space="preserve">Оповещатель звуковой</t>
  </si>
  <si>
    <t xml:space="preserve">6.8</t>
  </si>
  <si>
    <t xml:space="preserve">6.9</t>
  </si>
  <si>
    <t xml:space="preserve">220</t>
  </si>
  <si>
    <t xml:space="preserve">6.10</t>
  </si>
  <si>
    <t xml:space="preserve">50</t>
  </si>
  <si>
    <t xml:space="preserve">13. Помещение производственных совещаний</t>
  </si>
  <si>
    <t xml:space="preserve">7.1</t>
  </si>
  <si>
    <t xml:space="preserve">Прибор приемно-контрольный Гранит-8</t>
  </si>
  <si>
    <t xml:space="preserve">7.2</t>
  </si>
  <si>
    <t xml:space="preserve">Прибор «Орфей»</t>
  </si>
  <si>
    <t xml:space="preserve">7.3</t>
  </si>
  <si>
    <t xml:space="preserve">7.4</t>
  </si>
  <si>
    <t xml:space="preserve">Световой оповещатель</t>
  </si>
  <si>
    <t xml:space="preserve">7.5</t>
  </si>
  <si>
    <t xml:space="preserve">Оповещатель речевой</t>
  </si>
  <si>
    <t xml:space="preserve">7.6</t>
  </si>
  <si>
    <t xml:space="preserve">Извещатель пожарный дымовой ИП212-47</t>
  </si>
  <si>
    <t xml:space="preserve">34</t>
  </si>
  <si>
    <t xml:space="preserve">7.7</t>
  </si>
  <si>
    <t xml:space="preserve">Кабель ТРП 2х0.4</t>
  </si>
  <si>
    <t xml:space="preserve">500</t>
  </si>
  <si>
    <t xml:space="preserve">8. Мазутонасосная №3</t>
  </si>
  <si>
    <t xml:space="preserve">8.1</t>
  </si>
  <si>
    <t xml:space="preserve">Извещатель тепловой пожарный ДПС – 038</t>
  </si>
  <si>
    <t xml:space="preserve">8.2</t>
  </si>
  <si>
    <t xml:space="preserve">Прибор промежуточный исполнительный ПИО-017</t>
  </si>
  <si>
    <t xml:space="preserve">8.3</t>
  </si>
  <si>
    <t xml:space="preserve">Кабель КВВГ 4х1</t>
  </si>
  <si>
    <t xml:space="preserve">520</t>
  </si>
  <si>
    <t xml:space="preserve">9. Лабораторный корпус ПП ТЭЦ-1 (речевое оповещение)</t>
  </si>
  <si>
    <t xml:space="preserve">9.1</t>
  </si>
  <si>
    <t xml:space="preserve">Оповещатель «Орфей»</t>
  </si>
  <si>
    <t xml:space="preserve">9.2</t>
  </si>
  <si>
    <t xml:space="preserve">Звуковая колонка «Орфей»</t>
  </si>
  <si>
    <t xml:space="preserve">8</t>
  </si>
  <si>
    <t xml:space="preserve">9.3</t>
  </si>
  <si>
    <t xml:space="preserve">Световой оповещатель «Выход»</t>
  </si>
  <si>
    <t xml:space="preserve">9.4</t>
  </si>
  <si>
    <t xml:space="preserve">Прибор приемно-контрольный Гранит-2</t>
  </si>
  <si>
    <t xml:space="preserve">9.5</t>
  </si>
  <si>
    <t xml:space="preserve">Кабель КСПВ4х0.5</t>
  </si>
  <si>
    <t xml:space="preserve">20</t>
  </si>
  <si>
    <t xml:space="preserve">9.6</t>
  </si>
  <si>
    <t xml:space="preserve">Кабель КСПВ2х0.5</t>
  </si>
  <si>
    <t xml:space="preserve">10. Санитарно-бытовой корпус ПП ТЭЦ-1</t>
  </si>
  <si>
    <t xml:space="preserve">10.1</t>
  </si>
  <si>
    <t xml:space="preserve">10.2</t>
  </si>
  <si>
    <t xml:space="preserve">Извещатель пожарный дымовой ДИП-3</t>
  </si>
  <si>
    <t xml:space="preserve">44</t>
  </si>
  <si>
    <t xml:space="preserve">10.3</t>
  </si>
  <si>
    <t xml:space="preserve">7</t>
  </si>
  <si>
    <t xml:space="preserve">10.4</t>
  </si>
  <si>
    <t xml:space="preserve">Кабель КСПВ 2х0.5</t>
  </si>
  <si>
    <t xml:space="preserve">400</t>
  </si>
  <si>
    <t xml:space="preserve">10.5</t>
  </si>
  <si>
    <t xml:space="preserve">Кабель ТПП 10х2х0,5</t>
  </si>
  <si>
    <t xml:space="preserve">160</t>
  </si>
  <si>
    <t xml:space="preserve">11. Отдел экологии и охраны окружающей среды, ЭТЛ ТЭЦ-1</t>
  </si>
  <si>
    <t xml:space="preserve">11.1</t>
  </si>
  <si>
    <t xml:space="preserve">Прибор приемно-контрольный Гранит-4</t>
  </si>
  <si>
    <t xml:space="preserve">11.2</t>
  </si>
  <si>
    <t xml:space="preserve">24</t>
  </si>
  <si>
    <t xml:space="preserve">11.3</t>
  </si>
  <si>
    <t xml:space="preserve">11.4</t>
  </si>
  <si>
    <t xml:space="preserve">12. Служба диспетчерского и технологического управления (СДТУ) ТЭЦ-1</t>
  </si>
  <si>
    <t xml:space="preserve">12.1</t>
  </si>
  <si>
    <t xml:space="preserve">27</t>
  </si>
  <si>
    <t xml:space="preserve">12.2</t>
  </si>
  <si>
    <t xml:space="preserve">12.3</t>
  </si>
  <si>
    <t xml:space="preserve">100</t>
  </si>
  <si>
    <t xml:space="preserve">13. Управление филиала.</t>
  </si>
  <si>
    <t xml:space="preserve">13.1</t>
  </si>
  <si>
    <t xml:space="preserve">Прибор приемно-контрольный ВЭРС-24</t>
  </si>
  <si>
    <t xml:space="preserve">13.2</t>
  </si>
  <si>
    <t xml:space="preserve">Извещатель пожарный дымовой ИП-212-3СУ</t>
  </si>
  <si>
    <t xml:space="preserve">125</t>
  </si>
  <si>
    <t xml:space="preserve">13.3</t>
  </si>
  <si>
    <t xml:space="preserve">Извещатель пожарный ручной ИПР-3СУ</t>
  </si>
  <si>
    <t xml:space="preserve">13.4</t>
  </si>
  <si>
    <t xml:space="preserve">Коробка разветвительная на 4 пары контактов КРНН-4</t>
  </si>
  <si>
    <t xml:space="preserve">13.5</t>
  </si>
  <si>
    <t xml:space="preserve">Коробка разветвительная 10 пар КРТН-10 контактов, настенная</t>
  </si>
  <si>
    <t xml:space="preserve">6</t>
  </si>
  <si>
    <t xml:space="preserve">13.6</t>
  </si>
  <si>
    <t xml:space="preserve">Блок питания Скат 1200И7 (ИБП)</t>
  </si>
  <si>
    <t xml:space="preserve">13.7</t>
  </si>
  <si>
    <t xml:space="preserve">Аккумуляторная батарея7 А/Ч</t>
  </si>
  <si>
    <t xml:space="preserve">13.8</t>
  </si>
  <si>
    <t xml:space="preserve">Световой оповещатель «Выход» Блик С12В</t>
  </si>
  <si>
    <t xml:space="preserve">10</t>
  </si>
  <si>
    <t xml:space="preserve">13.9</t>
  </si>
  <si>
    <t xml:space="preserve">Сирена сигнальная SPS-86T</t>
  </si>
  <si>
    <t xml:space="preserve">13.10</t>
  </si>
  <si>
    <t xml:space="preserve">Прибор речевого оповещения «Рокот»</t>
  </si>
  <si>
    <t xml:space="preserve">13.11</t>
  </si>
  <si>
    <t xml:space="preserve">Оповещатель охранно-пожарный речевой</t>
  </si>
  <si>
    <t xml:space="preserve">13.12</t>
  </si>
  <si>
    <t xml:space="preserve">1500</t>
  </si>
  <si>
    <t xml:space="preserve">13.13</t>
  </si>
  <si>
    <t xml:space="preserve">Кабель ШВВП 2х0.75</t>
  </si>
  <si>
    <t xml:space="preserve">600</t>
  </si>
  <si>
    <t xml:space="preserve">14. Управление ТЭЦ-1.</t>
  </si>
  <si>
    <t xml:space="preserve">14.1</t>
  </si>
  <si>
    <t xml:space="preserve">Прибор приемно-контрольный Гранит-16</t>
  </si>
  <si>
    <t xml:space="preserve">14.2</t>
  </si>
  <si>
    <t xml:space="preserve">Извещатель пожарный дымовой ИП-212-141</t>
  </si>
  <si>
    <t xml:space="preserve">14.3</t>
  </si>
  <si>
    <t xml:space="preserve">14.4</t>
  </si>
  <si>
    <t xml:space="preserve">Аккумуляторная батарея 7А/ч</t>
  </si>
  <si>
    <t xml:space="preserve">14.5</t>
  </si>
  <si>
    <t xml:space="preserve">14.6</t>
  </si>
  <si>
    <t xml:space="preserve">Оповещатель звуковой WP-1</t>
  </si>
  <si>
    <t xml:space="preserve">14.7</t>
  </si>
  <si>
    <t xml:space="preserve">Коробка коммутационная УК-2П</t>
  </si>
  <si>
    <t xml:space="preserve">15</t>
  </si>
  <si>
    <t xml:space="preserve">14.8</t>
  </si>
  <si>
    <t xml:space="preserve">430</t>
  </si>
  <si>
    <t xml:space="preserve">15. Расчётный центр, сбыт, ОКС, ОМТС</t>
  </si>
  <si>
    <t xml:space="preserve">15.1</t>
  </si>
  <si>
    <t xml:space="preserve">15.2</t>
  </si>
  <si>
    <t xml:space="preserve">Извещатели пожарные дымовые ДИП-3</t>
  </si>
  <si>
    <t xml:space="preserve">54</t>
  </si>
  <si>
    <t xml:space="preserve">15.3</t>
  </si>
  <si>
    <t xml:space="preserve">15.4</t>
  </si>
  <si>
    <t xml:space="preserve">Прибор оповещения «Рокот»</t>
  </si>
  <si>
    <t xml:space="preserve">15.5</t>
  </si>
  <si>
    <t xml:space="preserve">Звуковая колонка</t>
  </si>
  <si>
    <t xml:space="preserve">15.6</t>
  </si>
  <si>
    <t xml:space="preserve">15.7</t>
  </si>
  <si>
    <t xml:space="preserve">300</t>
  </si>
  <si>
    <t xml:space="preserve">16. Гараж - административные помещения.</t>
  </si>
  <si>
    <t xml:space="preserve">16.1</t>
  </si>
  <si>
    <t xml:space="preserve">16.2</t>
  </si>
  <si>
    <t xml:space="preserve">16.3</t>
  </si>
  <si>
    <t xml:space="preserve">Извещатель пожарный ручной «ИР-1»</t>
  </si>
  <si>
    <t xml:space="preserve">16.4</t>
  </si>
  <si>
    <t xml:space="preserve">17. Помещение бывшего топливно-транспортного цеха и помещения отдела капитального строительства.</t>
  </si>
  <si>
    <t xml:space="preserve">17.1</t>
  </si>
  <si>
    <t xml:space="preserve">17.2</t>
  </si>
  <si>
    <t xml:space="preserve">72</t>
  </si>
  <si>
    <t xml:space="preserve">17.3</t>
  </si>
  <si>
    <t xml:space="preserve">17.4</t>
  </si>
  <si>
    <t xml:space="preserve">17.5</t>
  </si>
  <si>
    <t xml:space="preserve">17.6</t>
  </si>
  <si>
    <t xml:space="preserve">17.7</t>
  </si>
  <si>
    <t xml:space="preserve">900</t>
  </si>
  <si>
    <t xml:space="preserve">17.8</t>
  </si>
  <si>
    <t xml:space="preserve">Кабель-канал 10х15</t>
  </si>
  <si>
    <t xml:space="preserve">18. Электрический цех, механический цех, пост охраны.</t>
  </si>
  <si>
    <t xml:space="preserve">18.1</t>
  </si>
  <si>
    <t xml:space="preserve">18.2</t>
  </si>
  <si>
    <t xml:space="preserve">18.3</t>
  </si>
  <si>
    <t xml:space="preserve">Прибор приемно-контрольный Гранит-24</t>
  </si>
  <si>
    <t xml:space="preserve">18.4</t>
  </si>
  <si>
    <t xml:space="preserve">18.5</t>
  </si>
  <si>
    <t xml:space="preserve">Оповещатель звуковой «Гром-12»</t>
  </si>
  <si>
    <t xml:space="preserve">18.6</t>
  </si>
  <si>
    <t xml:space="preserve">Оповещатель свето- звуковой «Маяк КП 12»</t>
  </si>
  <si>
    <t xml:space="preserve">18.7</t>
  </si>
  <si>
    <t xml:space="preserve">Извещатели пожарные дымовые ИПД-3.1М</t>
  </si>
  <si>
    <t xml:space="preserve">103</t>
  </si>
  <si>
    <t xml:space="preserve">18.8</t>
  </si>
  <si>
    <t xml:space="preserve">Извещатель пожарный ручной ИПР-3СУМ</t>
  </si>
  <si>
    <t xml:space="preserve">13</t>
  </si>
  <si>
    <t xml:space="preserve">18.9</t>
  </si>
  <si>
    <t xml:space="preserve">Извещатель пожарный «Спектрон-201Н»</t>
  </si>
  <si>
    <t xml:space="preserve">18.10</t>
  </si>
  <si>
    <t xml:space="preserve">890</t>
  </si>
  <si>
    <t xml:space="preserve">19. Помещения химического цеха.</t>
  </si>
  <si>
    <t xml:space="preserve">19.1</t>
  </si>
  <si>
    <t xml:space="preserve">19.2</t>
  </si>
  <si>
    <t xml:space="preserve">120</t>
  </si>
  <si>
    <t xml:space="preserve">19.3</t>
  </si>
  <si>
    <t xml:space="preserve">19.4</t>
  </si>
  <si>
    <t xml:space="preserve">19.5</t>
  </si>
  <si>
    <t xml:space="preserve">Оповещательсвето-звуковой УСС1-12</t>
  </si>
  <si>
    <t xml:space="preserve">19.6</t>
  </si>
  <si>
    <t xml:space="preserve">Оповещательзвуковой ПКИ-1 «Иволга»</t>
  </si>
  <si>
    <t xml:space="preserve">19.7</t>
  </si>
  <si>
    <t xml:space="preserve">Аккумуляторная батарея 7 А/ч</t>
  </si>
  <si>
    <t xml:space="preserve">19.8</t>
  </si>
  <si>
    <t xml:space="preserve">19.9</t>
  </si>
  <si>
    <t xml:space="preserve">Кабель ВВГнг-FRLS-660 3х1</t>
  </si>
  <si>
    <t xml:space="preserve">20. Главный корпус, служебные помещения</t>
  </si>
  <si>
    <t xml:space="preserve">20.1</t>
  </si>
  <si>
    <t xml:space="preserve">20.2</t>
  </si>
  <si>
    <t xml:space="preserve">70</t>
  </si>
  <si>
    <t xml:space="preserve">20.3</t>
  </si>
  <si>
    <t xml:space="preserve">9</t>
  </si>
  <si>
    <t xml:space="preserve">20.4</t>
  </si>
  <si>
    <t xml:space="preserve">20.5</t>
  </si>
  <si>
    <t xml:space="preserve">20.6</t>
  </si>
  <si>
    <t xml:space="preserve">20.7</t>
  </si>
  <si>
    <t xml:space="preserve">Кабель КСВВнг-LS4х0.5</t>
  </si>
  <si>
    <t xml:space="preserve">350</t>
  </si>
  <si>
    <t xml:space="preserve">20.8</t>
  </si>
  <si>
    <t xml:space="preserve">20.9</t>
  </si>
  <si>
    <t xml:space="preserve">Кабель ТППэП10х2х0.5</t>
  </si>
  <si>
    <t xml:space="preserve">21. Главный корпус (речевое оповещение)</t>
  </si>
  <si>
    <t xml:space="preserve">21.1</t>
  </si>
  <si>
    <t xml:space="preserve">Система речевого оповещения о пожаре "Орфей"</t>
  </si>
  <si>
    <t xml:space="preserve">21.2</t>
  </si>
  <si>
    <t xml:space="preserve">Акустический модуль АМ-1</t>
  </si>
  <si>
    <t xml:space="preserve">16</t>
  </si>
  <si>
    <t xml:space="preserve">21.3</t>
  </si>
  <si>
    <t xml:space="preserve">Прибор «Сигнал-20П»</t>
  </si>
  <si>
    <t xml:space="preserve">21.4</t>
  </si>
  <si>
    <t xml:space="preserve">Блок питания ИВЭПР «Скат-1200Б»</t>
  </si>
  <si>
    <t xml:space="preserve">21.5</t>
  </si>
  <si>
    <t xml:space="preserve">21.6</t>
  </si>
  <si>
    <t xml:space="preserve">Кабель КСРВнг(А)FRLS 1х2х0,80</t>
  </si>
  <si>
    <t xml:space="preserve">22. Мазутонасосная №2</t>
  </si>
  <si>
    <t xml:space="preserve">22.1</t>
  </si>
  <si>
    <t xml:space="preserve">22.2</t>
  </si>
  <si>
    <t xml:space="preserve">22.3</t>
  </si>
  <si>
    <t xml:space="preserve">Извещатель оптико-электронный пламени «Пульсар»</t>
  </si>
  <si>
    <t xml:space="preserve">22.4</t>
  </si>
  <si>
    <t xml:space="preserve">22.5</t>
  </si>
  <si>
    <t xml:space="preserve">22.6</t>
  </si>
  <si>
    <t xml:space="preserve">22.7</t>
  </si>
  <si>
    <t xml:space="preserve">22.8</t>
  </si>
  <si>
    <t xml:space="preserve">22.9</t>
  </si>
  <si>
    <t xml:space="preserve">22.10</t>
  </si>
  <si>
    <t xml:space="preserve">23. Караульное помещение и отдельно стоящие помещения ВОХР</t>
  </si>
  <si>
    <t xml:space="preserve">23.1</t>
  </si>
  <si>
    <t xml:space="preserve">23.2</t>
  </si>
  <si>
    <t xml:space="preserve">Прибор приемно-контрольный «Гранит-24»</t>
  </si>
  <si>
    <t xml:space="preserve">23.3</t>
  </si>
  <si>
    <t xml:space="preserve">Прибор приемно-контрольный «Кварц»</t>
  </si>
  <si>
    <t xml:space="preserve">23.4</t>
  </si>
  <si>
    <t xml:space="preserve">23.5</t>
  </si>
  <si>
    <t xml:space="preserve">Аккумулятор 12В,1.2А/ч</t>
  </si>
  <si>
    <t xml:space="preserve">23.6</t>
  </si>
  <si>
    <t xml:space="preserve">Аккумулятор 12В,12А/ч</t>
  </si>
  <si>
    <t xml:space="preserve">23.7</t>
  </si>
  <si>
    <t xml:space="preserve">23.8</t>
  </si>
  <si>
    <t xml:space="preserve">23.9</t>
  </si>
  <si>
    <t xml:space="preserve">23.10</t>
  </si>
  <si>
    <t xml:space="preserve">23.11</t>
  </si>
  <si>
    <t xml:space="preserve">Кабель FRLS 2х0.5</t>
  </si>
  <si>
    <t xml:space="preserve">24. АХО</t>
  </si>
  <si>
    <t xml:space="preserve">24.1</t>
  </si>
  <si>
    <t xml:space="preserve">24.2</t>
  </si>
  <si>
    <t xml:space="preserve">24.3</t>
  </si>
  <si>
    <t xml:space="preserve">24.4</t>
  </si>
  <si>
    <t xml:space="preserve">80</t>
  </si>
  <si>
    <t xml:space="preserve">24.5</t>
  </si>
  <si>
    <t xml:space="preserve">Извещатель пожарный тепловой ИП-104</t>
  </si>
  <si>
    <t xml:space="preserve">24.6</t>
  </si>
  <si>
    <t xml:space="preserve">24.7</t>
  </si>
  <si>
    <t xml:space="preserve">Блок контрольно-пусковой С2000-КПБ</t>
  </si>
  <si>
    <t xml:space="preserve">24.8</t>
  </si>
  <si>
    <t xml:space="preserve">Блок питания ИВЭПР «Скат-1200»</t>
  </si>
  <si>
    <t xml:space="preserve">24.9</t>
  </si>
  <si>
    <t xml:space="preserve">Устройство искробезопасное УПКОП 135-1-1</t>
  </si>
  <si>
    <t xml:space="preserve">24.10</t>
  </si>
  <si>
    <t xml:space="preserve">24.11</t>
  </si>
  <si>
    <t xml:space="preserve">24.12</t>
  </si>
  <si>
    <t xml:space="preserve">550</t>
  </si>
  <si>
    <t xml:space="preserve">1. ЗРУ-110кВ (ПГУ 223 МВт)</t>
  </si>
  <si>
    <t xml:space="preserve">Прибор приемно-контрольный охранно-пожарный «Сигнал-10»</t>
  </si>
  <si>
    <t xml:space="preserve">Исполнительный релейный блок «С2000-СП1»</t>
  </si>
  <si>
    <t xml:space="preserve">Резервный источник питания 12В «РИП-12»</t>
  </si>
  <si>
    <t xml:space="preserve">Извещатель пожарный ручной ИПР 513-3АМ</t>
  </si>
  <si>
    <t xml:space="preserve">Извещатель пожарный дымовой адресно-аналоговый ДИП-34-04</t>
  </si>
  <si>
    <t xml:space="preserve">53</t>
  </si>
  <si>
    <t xml:space="preserve">Извещатель пожарный дымовой адресный С2000-Спектрон-207</t>
  </si>
  <si>
    <t xml:space="preserve">Извещательохранный точечный магнитоконтактный ИО 102-2</t>
  </si>
  <si>
    <t xml:space="preserve">1.9</t>
  </si>
  <si>
    <t xml:space="preserve">Оповещатель пожарный комбинированный светозвуковой «Блик-3С-12»</t>
  </si>
  <si>
    <t xml:space="preserve">1.10</t>
  </si>
  <si>
    <t xml:space="preserve">Элемент дистанционного управления адресный «ЭДУ 513-3АМ»</t>
  </si>
  <si>
    <t xml:space="preserve">1.11</t>
  </si>
  <si>
    <t xml:space="preserve">Элемент дистанционного управления электроконтактный «ЭДУ 513-3М»</t>
  </si>
  <si>
    <t xml:space="preserve">1.12</t>
  </si>
  <si>
    <t xml:space="preserve">Прибор управления автоматическими средствами пожаротушения и оповещателями «С2000-АСПТ»</t>
  </si>
  <si>
    <t xml:space="preserve">1.13</t>
  </si>
  <si>
    <t xml:space="preserve">Блок контрольно-пусковой «С2000-КПБ»</t>
  </si>
  <si>
    <t xml:space="preserve">1.14</t>
  </si>
  <si>
    <t xml:space="preserve">Резервированный источник питания «РИП-12»</t>
  </si>
  <si>
    <t xml:space="preserve">1.15</t>
  </si>
  <si>
    <t xml:space="preserve">Оповещатель звуковой «Маяк-24-3М»</t>
  </si>
  <si>
    <t xml:space="preserve">1.16</t>
  </si>
  <si>
    <t xml:space="preserve">Блок индикации и управления «С2000-ПТ»</t>
  </si>
  <si>
    <t xml:space="preserve">1.17</t>
  </si>
  <si>
    <t xml:space="preserve">Аккумуляторная батарея 12В. 7А/ч «DeltaDT1207»</t>
  </si>
  <si>
    <t xml:space="preserve">1.18</t>
  </si>
  <si>
    <t xml:space="preserve">Аккумуляторная батарея 12В. 40А/ч «DTM1240»</t>
  </si>
  <si>
    <t xml:space="preserve">1.19</t>
  </si>
  <si>
    <t xml:space="preserve">Термокабель (извещатель линейный тепловой) «PHSC-155-EPC»</t>
  </si>
  <si>
    <t xml:space="preserve">970</t>
  </si>
  <si>
    <t xml:space="preserve">1.20</t>
  </si>
  <si>
    <t xml:space="preserve">Световое табло «Люкс-24»</t>
  </si>
  <si>
    <t xml:space="preserve">1.21</t>
  </si>
  <si>
    <t xml:space="preserve">Кабель JE-H (St) HFE180 ёмкостью 4х2х0.8 мм</t>
  </si>
  <si>
    <t xml:space="preserve">530</t>
  </si>
  <si>
    <t xml:space="preserve">1.22</t>
  </si>
  <si>
    <t xml:space="preserve">Кабель ВВнг (А) -LS 3х1.5 мм2</t>
  </si>
  <si>
    <t xml:space="preserve">0.5</t>
  </si>
  <si>
    <t xml:space="preserve">1.23</t>
  </si>
  <si>
    <t xml:space="preserve">Кабель ВВнг (А) -LS 2х1.5 мм2</t>
  </si>
  <si>
    <t xml:space="preserve">1.24</t>
  </si>
  <si>
    <t xml:space="preserve">Кабель U/UTP 4х2х0.52 мм</t>
  </si>
  <si>
    <t xml:space="preserve">1.25</t>
  </si>
  <si>
    <t xml:space="preserve">Кабель силовой ВВнг-LS 3х2.5 мм2</t>
  </si>
  <si>
    <t xml:space="preserve">2. Здание ГРУ №1 (ПГУ 223 МВт)</t>
  </si>
  <si>
    <t xml:space="preserve">Извещатель пожарный ручной ИПР 513-3М</t>
  </si>
  <si>
    <t xml:space="preserve">Извещатель пожарный дымовой оптико-электронный пороговый ИП 212-31</t>
  </si>
  <si>
    <t xml:space="preserve">2.5</t>
  </si>
  <si>
    <t xml:space="preserve">Извещатель охранный точечный магнитоконтактныйMPS-20</t>
  </si>
  <si>
    <t xml:space="preserve">2.6</t>
  </si>
  <si>
    <t xml:space="preserve">Извещатель охранный точечный магнитоконтактныйMPS-45</t>
  </si>
  <si>
    <t xml:space="preserve">2.7</t>
  </si>
  <si>
    <t xml:space="preserve">Устройство дистанционного пуска УДП 513-3М</t>
  </si>
  <si>
    <t xml:space="preserve">2.8</t>
  </si>
  <si>
    <t xml:space="preserve">Резервный источник питания РИП-24</t>
  </si>
  <si>
    <t xml:space="preserve">2.9</t>
  </si>
  <si>
    <t xml:space="preserve">Оповещатель пожарный комбинированный светозвуковой «Блик-3С-24»</t>
  </si>
  <si>
    <t xml:space="preserve">2.10</t>
  </si>
  <si>
    <t xml:space="preserve">Аккумуляторная батарея 12В. 4.5А/ч «DeltaDTМ12045»</t>
  </si>
  <si>
    <t xml:space="preserve">2.11</t>
  </si>
  <si>
    <t xml:space="preserve">Аккумуляторная батарея 12В. 26А/ч «DeltaDTМ1226»</t>
  </si>
  <si>
    <t xml:space="preserve">2.12</t>
  </si>
  <si>
    <t xml:space="preserve">Кабель КПСВВБВнг (А)-LS 2х2х1.0мм</t>
  </si>
  <si>
    <t xml:space="preserve">320</t>
  </si>
  <si>
    <t xml:space="preserve">2.13</t>
  </si>
  <si>
    <t xml:space="preserve">Кабель КПКВнг(А)-FRLS 1х2х1.5 мм</t>
  </si>
  <si>
    <t xml:space="preserve">2.14</t>
  </si>
  <si>
    <t xml:space="preserve">Кабель силовой ВВГнг 3х2.5 мм</t>
  </si>
  <si>
    <t xml:space="preserve">2.15</t>
  </si>
  <si>
    <t xml:space="preserve">Кабель силовой ВВГнг 3х1.5 мм</t>
  </si>
  <si>
    <t xml:space="preserve">2.16</t>
  </si>
  <si>
    <t xml:space="preserve">Кабель контрольный КВВГнг 4х1.5 мм</t>
  </si>
  <si>
    <t xml:space="preserve">2.17</t>
  </si>
  <si>
    <t xml:space="preserve">Провод установочный ПВ-3 1х4.0 мм</t>
  </si>
  <si>
    <t xml:space="preserve">3. Здание ГРУ №2 (ПГУ 223 МВт)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</si>
  <si>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</si>
  <si>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</si>
  <si>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</si>
  <si>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</si>
  <si>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</si>
  <si>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</si>
  <si>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4. Циркуляционная насосная станция (ПГУ 223 МВт)</t>
  </si>
  <si>
    <t xml:space="preserve">Контролёр двухпроводной линии связи «С2000-КДЛ»</t>
  </si>
  <si>
    <t xml:space="preserve">4.9</t>
  </si>
  <si>
    <t xml:space="preserve">4.10</t>
  </si>
  <si>
    <t xml:space="preserve">4.11</t>
  </si>
  <si>
    <t xml:space="preserve">4.12</t>
  </si>
  <si>
    <t xml:space="preserve">4.13</t>
  </si>
  <si>
    <t xml:space="preserve">4.14</t>
  </si>
  <si>
    <t xml:space="preserve">555</t>
  </si>
  <si>
    <t xml:space="preserve">4.15</t>
  </si>
  <si>
    <t xml:space="preserve">4.16</t>
  </si>
  <si>
    <t xml:space="preserve">25</t>
  </si>
  <si>
    <t xml:space="preserve">4.17</t>
  </si>
  <si>
    <t xml:space="preserve">5. Маслохозяйство. Маслоаппаратная. (ПГУ 223 МВт)</t>
  </si>
  <si>
    <t xml:space="preserve">5.4</t>
  </si>
  <si>
    <t xml:space="preserve">Извещатель пожарный тепловой адресно-аналоговый С2000-ИП-02-02</t>
  </si>
  <si>
    <t xml:space="preserve">5.5</t>
  </si>
  <si>
    <t xml:space="preserve">Извещатель пожарный дымовой адресно-аналоговый ДИП-34А-04</t>
  </si>
  <si>
    <t xml:space="preserve">5.6</t>
  </si>
  <si>
    <t xml:space="preserve">Извещатель охранный точечный магнитоконтактный СМК-1</t>
  </si>
  <si>
    <t xml:space="preserve">5.7</t>
  </si>
  <si>
    <t xml:space="preserve">Оповещатель охранно-пожарный комбинированный Маяк-12-КП</t>
  </si>
  <si>
    <t xml:space="preserve">5.8</t>
  </si>
  <si>
    <t xml:space="preserve">Оповещатель охранно-пожарный звуковой Маяк-12-3М</t>
  </si>
  <si>
    <t xml:space="preserve">5.9</t>
  </si>
  <si>
    <t xml:space="preserve">Резервный источник питания РИП-12 RS</t>
  </si>
  <si>
    <t xml:space="preserve">5.10</t>
  </si>
  <si>
    <t xml:space="preserve">Аккумуляторная батарея 12В. 7А/ч «DeltaDTМ1207»</t>
  </si>
  <si>
    <t xml:space="preserve">5.11</t>
  </si>
  <si>
    <t xml:space="preserve">Кабель КПЭПнг(А)-FRHF 2х2х0.8 мм</t>
  </si>
  <si>
    <t xml:space="preserve">115</t>
  </si>
  <si>
    <t xml:space="preserve">5.12</t>
  </si>
  <si>
    <t xml:space="preserve">Кабель КПСЭнг (А)-FRLS 2х2х0.75 мм</t>
  </si>
  <si>
    <t xml:space="preserve">170</t>
  </si>
  <si>
    <t xml:space="preserve">5.13</t>
  </si>
  <si>
    <t xml:space="preserve">11</t>
  </si>
  <si>
    <t xml:space="preserve">5.14</t>
  </si>
  <si>
    <t xml:space="preserve">Провод установочный ПВ-1 1х1.0 мм</t>
  </si>
  <si>
    <t xml:space="preserve">5.15</t>
  </si>
  <si>
    <t xml:space="preserve">Провод установочный ПВ-3 1х6.0 мм</t>
  </si>
  <si>
    <t xml:space="preserve">6. Главный корпус.(ПГУ 223 МВт)</t>
  </si>
  <si>
    <t xml:space="preserve">Программное обеспечение «Орион Про»</t>
  </si>
  <si>
    <t xml:space="preserve">Пульт контроля и управления С2000М</t>
  </si>
  <si>
    <t xml:space="preserve">Преобразователь интерфейсов «С2000-ПИ»</t>
  </si>
  <si>
    <t xml:space="preserve">Пульт управления «С2000-ПУ»</t>
  </si>
  <si>
    <t xml:space="preserve">Прибор приёмно-контрольный охранно-пожарный адресный «Сигнал-20П SMD»</t>
  </si>
  <si>
    <t xml:space="preserve">Прибор приёмно-контрольный охранно-пожарный «Сигнал-10»</t>
  </si>
  <si>
    <t xml:space="preserve">6.11</t>
  </si>
  <si>
    <t xml:space="preserve">Блок индикации системы пожаротушения «С2000-ПТ»</t>
  </si>
  <si>
    <t xml:space="preserve">6.12</t>
  </si>
  <si>
    <t xml:space="preserve">Блок индикации с клавиатурой «С2000-БКИ»</t>
  </si>
  <si>
    <t xml:space="preserve">6.13</t>
  </si>
  <si>
    <t xml:space="preserve">42</t>
  </si>
  <si>
    <t xml:space="preserve">6.14</t>
  </si>
  <si>
    <t xml:space="preserve">303</t>
  </si>
  <si>
    <t xml:space="preserve">6.15</t>
  </si>
  <si>
    <t xml:space="preserve">Извещатель пожарный дымовой ИП 212-31</t>
  </si>
  <si>
    <t xml:space="preserve">6.16</t>
  </si>
  <si>
    <t xml:space="preserve">Извещатель пожарный пламени адресный «С2000-Спектрон-207»</t>
  </si>
  <si>
    <t xml:space="preserve">6.17</t>
  </si>
  <si>
    <t xml:space="preserve">6.18</t>
  </si>
  <si>
    <t xml:space="preserve">Устройство дистанционного пуска УДП 513-3АМ</t>
  </si>
  <si>
    <t xml:space="preserve">6.19</t>
  </si>
  <si>
    <t xml:space="preserve">6.20</t>
  </si>
  <si>
    <t xml:space="preserve">6.21</t>
  </si>
  <si>
    <t xml:space="preserve">81</t>
  </si>
  <si>
    <t xml:space="preserve">6.22</t>
  </si>
  <si>
    <t xml:space="preserve">26</t>
  </si>
  <si>
    <t xml:space="preserve">6.23</t>
  </si>
  <si>
    <t xml:space="preserve">Оповещатель охранно-пожарный светозвуковой «Маяк-24-КПМ»</t>
  </si>
  <si>
    <t xml:space="preserve">6.24</t>
  </si>
  <si>
    <t xml:space="preserve">6.25</t>
  </si>
  <si>
    <t xml:space="preserve">6.26</t>
  </si>
  <si>
    <t xml:space="preserve">7095</t>
  </si>
  <si>
    <t xml:space="preserve">6.27</t>
  </si>
  <si>
    <t xml:space="preserve">Кабель КВВГнг (А)-LS 4х1.0 мм</t>
  </si>
  <si>
    <t xml:space="preserve">6.28</t>
  </si>
  <si>
    <t xml:space="preserve">Кабель КВВГнг (А)-LS 5х1.0 мм</t>
  </si>
  <si>
    <t xml:space="preserve">40</t>
  </si>
  <si>
    <t xml:space="preserve">6.29</t>
  </si>
  <si>
    <t xml:space="preserve">Кабель КВВГнг (А)-LS 14х1.0 мм</t>
  </si>
  <si>
    <t xml:space="preserve">6.30</t>
  </si>
  <si>
    <t xml:space="preserve">Кабель AS(St) FE180/90 1х2х1.8 мм</t>
  </si>
  <si>
    <t xml:space="preserve">6.31</t>
  </si>
  <si>
    <t xml:space="preserve">Кабель силовой ВВГнг 5х10 мм</t>
  </si>
  <si>
    <t xml:space="preserve">6.32</t>
  </si>
  <si>
    <t xml:space="preserve">6.33</t>
  </si>
  <si>
    <t xml:space="preserve">Кабель U/UTP cat.5e</t>
  </si>
  <si>
    <t xml:space="preserve">37</t>
  </si>
  <si>
    <t xml:space="preserve">6.34</t>
  </si>
  <si>
    <t xml:space="preserve">60</t>
  </si>
  <si>
    <t xml:space="preserve">6.35</t>
  </si>
  <si>
    <t xml:space="preserve">39</t>
  </si>
  <si>
    <t xml:space="preserve">7. Дожимные компрессорные установки. (ПГУ 223 МВт)</t>
  </si>
  <si>
    <t xml:space="preserve">Оповещатель пожарный световой взрывозащищённый «Скопа»</t>
  </si>
  <si>
    <t xml:space="preserve">Термокабель (извещатель линейный тепловой) «PHSC-280-EPR»</t>
  </si>
  <si>
    <t xml:space="preserve">450</t>
  </si>
  <si>
    <t xml:space="preserve">Оповещатель пожарный свето-звуковой взрывозащищённый «Скопа-3»</t>
  </si>
  <si>
    <t xml:space="preserve">7.8</t>
  </si>
  <si>
    <t xml:space="preserve">Оповещатель пожарный световой «КОП-24П»</t>
  </si>
  <si>
    <t xml:space="preserve">7.9</t>
  </si>
  <si>
    <t xml:space="preserve">Оповещатель пожарный световой «Люкс-24СН»</t>
  </si>
  <si>
    <t xml:space="preserve">7.10</t>
  </si>
  <si>
    <t xml:space="preserve">Оповещатель пожарный свето-звуковой «Маяк-24 КПМ2»</t>
  </si>
  <si>
    <t xml:space="preserve">7.11</t>
  </si>
  <si>
    <t xml:space="preserve">Извещательохранныйточечныймагнитоконтактный ИО 102-20 Б2П</t>
  </si>
  <si>
    <t xml:space="preserve">145</t>
  </si>
  <si>
    <t xml:space="preserve">7.12</t>
  </si>
  <si>
    <t xml:space="preserve">7.13</t>
  </si>
  <si>
    <t xml:space="preserve">Резервный источник питания РИП-24 RS</t>
  </si>
  <si>
    <t xml:space="preserve">7.14</t>
  </si>
  <si>
    <t xml:space="preserve">Кабель КДВЭВГ 5х2х0.75</t>
  </si>
  <si>
    <t xml:space="preserve">7.15</t>
  </si>
  <si>
    <t xml:space="preserve">Кабель КСВВнг(А)-LS 1х2х0.75</t>
  </si>
  <si>
    <t xml:space="preserve">1000</t>
  </si>
  <si>
    <t xml:space="preserve">7.16</t>
  </si>
  <si>
    <t xml:space="preserve">Кабель КСРЭВГнг(А)-FRLS 4х2х0.75</t>
  </si>
  <si>
    <t xml:space="preserve">410</t>
  </si>
  <si>
    <t xml:space="preserve">7.17</t>
  </si>
  <si>
    <t xml:space="preserve">Кабель КСРЭВГнг(А)-FRLS 1х2х0.75</t>
  </si>
  <si>
    <t xml:space="preserve">250</t>
  </si>
  <si>
    <t xml:space="preserve">7.18</t>
  </si>
  <si>
    <t xml:space="preserve">Кабель интерфейса КИС-Пнг (А)-HF</t>
  </si>
  <si>
    <t xml:space="preserve">7.19</t>
  </si>
  <si>
    <t xml:space="preserve">Провод установочный ПВ-1 1х6.0 мм</t>
  </si>
  <si>
    <t xml:space="preserve">7.20</t>
  </si>
  <si>
    <t xml:space="preserve">Провод установочный ПВ-3 1х0.75 мм</t>
  </si>
  <si>
    <t xml:space="preserve">8. Блочный пункт подготовки газа. (ПГУ 223 МВт)</t>
  </si>
  <si>
    <t xml:space="preserve">8.4</t>
  </si>
  <si>
    <t xml:space="preserve">8.5</t>
  </si>
  <si>
    <t xml:space="preserve">8.6</t>
  </si>
  <si>
    <t xml:space="preserve">8.7</t>
  </si>
  <si>
    <t xml:space="preserve">Извещатель пожарный пламени многодиапазонный ИП332-1/1 «НАБАТ-1»</t>
  </si>
  <si>
    <t xml:space="preserve">8.8</t>
  </si>
  <si>
    <t xml:space="preserve">Извещатель пожарный тепловой максимальный ИП-101-1А</t>
  </si>
  <si>
    <t xml:space="preserve">8.9</t>
  </si>
  <si>
    <t xml:space="preserve">Извещатель пожарный дымовой оптико-электронный точечный ИП-212-3СМ</t>
  </si>
  <si>
    <t xml:space="preserve">8.10</t>
  </si>
  <si>
    <t xml:space="preserve">Извещатель пожарный ручной взрывозащищенный ИП 535-1В</t>
  </si>
  <si>
    <t xml:space="preserve">8.11</t>
  </si>
  <si>
    <t xml:space="preserve">Извещатель охранный точечный магнитоконтактный ДПМ-1</t>
  </si>
  <si>
    <t xml:space="preserve">8.12</t>
  </si>
  <si>
    <t xml:space="preserve">Извещатель охранный точечный магнитоконтактный взрывозащищенный ИО 102-26/В</t>
  </si>
  <si>
    <t xml:space="preserve">8.13</t>
  </si>
  <si>
    <t xml:space="preserve">Оповещатель охранно-пожарный комбинированный свето-звуковой Экран-С3</t>
  </si>
  <si>
    <t xml:space="preserve">8.14</t>
  </si>
  <si>
    <t xml:space="preserve">Блок интерфейсный взрывозащищенный БИВ УПКОП-135-1-1</t>
  </si>
  <si>
    <t xml:space="preserve">8.15</t>
  </si>
  <si>
    <t xml:space="preserve">Резервный источник питания «Скат-1200»</t>
  </si>
  <si>
    <t xml:space="preserve">8.16</t>
  </si>
  <si>
    <t xml:space="preserve">Аккумуляторная батарея 12В. 4.5А/ч</t>
  </si>
  <si>
    <t xml:space="preserve">8.17</t>
  </si>
  <si>
    <t xml:space="preserve">Аккумуляторная батарея 12В. 17А/ч</t>
  </si>
  <si>
    <t xml:space="preserve">1. Одноэтажное здание АБК</t>
  </si>
  <si>
    <t xml:space="preserve">1.1.</t>
  </si>
  <si>
    <t xml:space="preserve">Извещатель дымовой оптико-электронный точечный ИП 212-34А</t>
  </si>
  <si>
    <t xml:space="preserve">1.2.</t>
  </si>
  <si>
    <t xml:space="preserve">Извещатель пожарный ручной адресный электроконтактный ИПР 513-3АМ</t>
  </si>
  <si>
    <t xml:space="preserve">1.3.</t>
  </si>
  <si>
    <t xml:space="preserve">Оповещатель пожарный световое табло Молния-12 «Выход»</t>
  </si>
  <si>
    <t xml:space="preserve">1.4.</t>
  </si>
  <si>
    <t xml:space="preserve">Оповещатель пожарный звуковой «Маяк-12-3М1»</t>
  </si>
  <si>
    <t xml:space="preserve">1.5.</t>
  </si>
  <si>
    <t xml:space="preserve">Оповещательсвето-звуковой «УСС-М-12»</t>
  </si>
  <si>
    <t xml:space="preserve">1.6.</t>
  </si>
  <si>
    <t xml:space="preserve">Контроллер двухпроводной линии «С2000-КДЛ»</t>
  </si>
  <si>
    <t xml:space="preserve">1.7.</t>
  </si>
  <si>
    <t xml:space="preserve">Модуль релейный «С2000-СП1»</t>
  </si>
  <si>
    <t xml:space="preserve">1.8.</t>
  </si>
  <si>
    <t xml:space="preserve">1.9.</t>
  </si>
  <si>
    <t xml:space="preserve">Блок защиты линии «С2000-БЗЛ»</t>
  </si>
  <si>
    <t xml:space="preserve">1.10.</t>
  </si>
  <si>
    <t xml:space="preserve">Источник питания БРП 12-3/7</t>
  </si>
  <si>
    <t xml:space="preserve">1.11.</t>
  </si>
  <si>
    <t xml:space="preserve">Извещатель охранный оптико-электронный «С2000-ИК»</t>
  </si>
  <si>
    <t xml:space="preserve">1.12.</t>
  </si>
  <si>
    <t xml:space="preserve">Блок разветвительно-изолирующий «БРИЗ»</t>
  </si>
  <si>
    <t xml:space="preserve">1.13.</t>
  </si>
  <si>
    <t xml:space="preserve">Пульт контроля и управления охранно-пожарный «С2000-М»</t>
  </si>
  <si>
    <t xml:space="preserve">1.14.</t>
  </si>
  <si>
    <t xml:space="preserve">1.15.</t>
  </si>
  <si>
    <t xml:space="preserve">Источник питания резервированный «РИП-12 исп.54»</t>
  </si>
  <si>
    <t xml:space="preserve">1.16.</t>
  </si>
  <si>
    <t xml:space="preserve">Аккумулятор «Delta 1207» 12В/7Ач</t>
  </si>
  <si>
    <t xml:space="preserve">1.17.</t>
  </si>
  <si>
    <t xml:space="preserve">Аккмуляторная батарея 7А/ч</t>
  </si>
  <si>
    <t xml:space="preserve">1.18.</t>
  </si>
  <si>
    <t xml:space="preserve">Извещательохранный для закрытых помещений «Астра 512»</t>
  </si>
  <si>
    <t xml:space="preserve">1.19.</t>
  </si>
  <si>
    <t xml:space="preserve">Извещатель охранный контактный ИО 102-26П</t>
  </si>
  <si>
    <t xml:space="preserve">2. Двухэтажное здание АБК</t>
  </si>
  <si>
    <t xml:space="preserve">2.1.</t>
  </si>
  <si>
    <t xml:space="preserve">Извещатели пожарные дымовые ИП212-141М</t>
  </si>
  <si>
    <t xml:space="preserve">76</t>
  </si>
  <si>
    <t xml:space="preserve">2.2.</t>
  </si>
  <si>
    <t xml:space="preserve">2.3.</t>
  </si>
  <si>
    <t xml:space="preserve">Прибор приёмно-контрольный охранно-пожарный «Сигнал 20П SMD»</t>
  </si>
  <si>
    <t xml:space="preserve">2.4.</t>
  </si>
  <si>
    <t xml:space="preserve">2.5.</t>
  </si>
  <si>
    <t xml:space="preserve">Источник вторичного электропитания резервированный ИВЭПР12/5</t>
  </si>
  <si>
    <t xml:space="preserve">2.6.</t>
  </si>
  <si>
    <t xml:space="preserve">Извещатель пожарный ручной ИПР-513-10</t>
  </si>
  <si>
    <t xml:space="preserve">2.7.</t>
  </si>
  <si>
    <t xml:space="preserve">2.8.</t>
  </si>
  <si>
    <t xml:space="preserve">Аккумуляторная батарея АКБ-12 12В/7А/ч</t>
  </si>
  <si>
    <t xml:space="preserve">2.9.</t>
  </si>
  <si>
    <t xml:space="preserve">Сирена сигнальная «АС-10»</t>
  </si>
  <si>
    <t xml:space="preserve">2.10.</t>
  </si>
  <si>
    <t xml:space="preserve">2.11.</t>
  </si>
  <si>
    <t xml:space="preserve">Извещатели ПС ручные ИПР-К «ИП5-1»</t>
  </si>
  <si>
    <t xml:space="preserve">2.12.</t>
  </si>
  <si>
    <t xml:space="preserve">Извещатели ПС ручные ИР-1</t>
  </si>
  <si>
    <t xml:space="preserve">2.13.</t>
  </si>
  <si>
    <t xml:space="preserve">Звуковые колонки</t>
  </si>
  <si>
    <t xml:space="preserve">2.15.</t>
  </si>
  <si>
    <t xml:space="preserve">Контроллер двухпроводной линии связи С2000- КДЛ</t>
  </si>
  <si>
    <t xml:space="preserve">2.16.</t>
  </si>
  <si>
    <t xml:space="preserve">Прибор приемно-контрольный охранно-пожарный Гранит-24</t>
  </si>
  <si>
    <t xml:space="preserve">3. Четырёхэтажное здание АБК</t>
  </si>
  <si>
    <t xml:space="preserve">3.1.</t>
  </si>
  <si>
    <t xml:space="preserve">119</t>
  </si>
  <si>
    <t xml:space="preserve">3.2.</t>
  </si>
  <si>
    <t xml:space="preserve">Прибор приёмно-контрольный «С2000М»</t>
  </si>
  <si>
    <t xml:space="preserve">3.3.</t>
  </si>
  <si>
    <t xml:space="preserve">Прибор приёмно-контрольный «С2000-БИ»</t>
  </si>
  <si>
    <t xml:space="preserve">3.4.</t>
  </si>
  <si>
    <t xml:space="preserve">Прибор приёмно-контрольный «С2000-4»</t>
  </si>
  <si>
    <t xml:space="preserve">3.5.</t>
  </si>
  <si>
    <t xml:space="preserve">Извещатели ПС ручные ИПР-55</t>
  </si>
  <si>
    <t xml:space="preserve">3.6.</t>
  </si>
  <si>
    <t xml:space="preserve">3.7.</t>
  </si>
  <si>
    <t xml:space="preserve">Блок питания ИВЭПР-12/5</t>
  </si>
  <si>
    <t xml:space="preserve">3.8.</t>
  </si>
  <si>
    <t xml:space="preserve">Блок речевого оповещения «Соната»</t>
  </si>
  <si>
    <t xml:space="preserve">3.9.</t>
  </si>
  <si>
    <t xml:space="preserve">Звуковые колонки «Соната»</t>
  </si>
  <si>
    <t xml:space="preserve">4. Гараж</t>
  </si>
  <si>
    <t xml:space="preserve">4.1.</t>
  </si>
  <si>
    <t xml:space="preserve">Прибор приемно-контрольный «Сигнал 20П SМD»</t>
  </si>
  <si>
    <t xml:space="preserve">4.2.</t>
  </si>
  <si>
    <t xml:space="preserve">4.3.</t>
  </si>
  <si>
    <t xml:space="preserve">Блок контроля и индикации «С2000-БКИ»</t>
  </si>
  <si>
    <t xml:space="preserve">4.4.</t>
  </si>
  <si>
    <t xml:space="preserve">Блок питания ББП-50</t>
  </si>
  <si>
    <t xml:space="preserve">4.5.</t>
  </si>
  <si>
    <t xml:space="preserve">Извещатели ПС дымовые ИП-212-41</t>
  </si>
  <si>
    <t xml:space="preserve">4.6.</t>
  </si>
  <si>
    <t xml:space="preserve">Извещатели ПС тепловые ИП-103-5/1 исп.1 «МАК-1»</t>
  </si>
  <si>
    <t xml:space="preserve">4.7.</t>
  </si>
  <si>
    <t xml:space="preserve">4.8.</t>
  </si>
  <si>
    <t xml:space="preserve">Извещатели ПС ручные ИПР-513-10</t>
  </si>
  <si>
    <t xml:space="preserve">4.9.</t>
  </si>
  <si>
    <t xml:space="preserve">4.10.</t>
  </si>
  <si>
    <t xml:space="preserve">4.11.</t>
  </si>
  <si>
    <t xml:space="preserve">Оповещательзвуковой «ПКИ-1 (Иволга)»</t>
  </si>
  <si>
    <t xml:space="preserve">5. Склад №1</t>
  </si>
  <si>
    <t xml:space="preserve">5.1.</t>
  </si>
  <si>
    <t xml:space="preserve">Извещатели пожарный тепловой ИП103-4/1-А2 «МАК-1» исп. 011</t>
  </si>
  <si>
    <t xml:space="preserve">5.2.</t>
  </si>
  <si>
    <t xml:space="preserve">Извещатели охранный оптико-электронный ИО409-40 «Фотон-18»</t>
  </si>
  <si>
    <t xml:space="preserve">5.3.</t>
  </si>
  <si>
    <t xml:space="preserve">Извещатель пожарный ручной ИПР513-2 «АГАТ» ИБ</t>
  </si>
  <si>
    <t xml:space="preserve">5.4.</t>
  </si>
  <si>
    <t xml:space="preserve">Устройство приемно-контрольное охранно-пожарное БИВ (версия V5) УПКОП 135-1-1</t>
  </si>
  <si>
    <t xml:space="preserve">5.6.</t>
  </si>
  <si>
    <t xml:space="preserve">Повторитель интерфейса rs-485 с гальванической развязкой С2000-ПИ</t>
  </si>
  <si>
    <t xml:space="preserve">5.7.</t>
  </si>
  <si>
    <t xml:space="preserve">Блок защиты линии БЗЛ-01</t>
  </si>
  <si>
    <t xml:space="preserve">6. Склад №2</t>
  </si>
  <si>
    <t xml:space="preserve">6.1.</t>
  </si>
  <si>
    <t xml:space="preserve">Извещатели пожарный тепловой ИП103-4/1-А2 "МАК-1" исп. 011</t>
  </si>
  <si>
    <t xml:space="preserve">6.2.</t>
  </si>
  <si>
    <t xml:space="preserve">Прибор приемно-контрольный охранно-пожарный Сигнал-20П SMD</t>
  </si>
  <si>
    <t xml:space="preserve">6.3.</t>
  </si>
  <si>
    <t xml:space="preserve">6.4.</t>
  </si>
  <si>
    <t xml:space="preserve">6.5.</t>
  </si>
  <si>
    <t xml:space="preserve">6.6.</t>
  </si>
  <si>
    <t xml:space="preserve">6.7.</t>
  </si>
  <si>
    <t xml:space="preserve">Блок бесперебойного питания БРП-12-4.4/14-И</t>
  </si>
  <si>
    <t xml:space="preserve">6.8.</t>
  </si>
  <si>
    <t xml:space="preserve">Аккумулятор Delta DT 1207» 12В/7Ач</t>
  </si>
  <si>
    <t xml:space="preserve">6.10.</t>
  </si>
  <si>
    <t xml:space="preserve">6.11.</t>
  </si>
  <si>
    <t xml:space="preserve">Блок разветвительно-изолирующий Бриз исп.01</t>
  </si>
  <si>
    <t xml:space="preserve">7. Кладовая ЭЦ</t>
  </si>
  <si>
    <t xml:space="preserve">7.1.</t>
  </si>
  <si>
    <t xml:space="preserve">Извещатели пожарные тепловые ИП-103-5/1</t>
  </si>
  <si>
    <t xml:space="preserve">8. Кладовая КТЦ</t>
  </si>
  <si>
    <t xml:space="preserve">8.1.</t>
  </si>
  <si>
    <t xml:space="preserve">9. Главный корпус (ГК)</t>
  </si>
  <si>
    <t xml:space="preserve">9.1.</t>
  </si>
  <si>
    <t xml:space="preserve">Прибор приёмно-контрольный пожарный «Сигнал 20»</t>
  </si>
  <si>
    <t xml:space="preserve">9.2.</t>
  </si>
  <si>
    <t xml:space="preserve">9.3.</t>
  </si>
  <si>
    <t xml:space="preserve">9.4.</t>
  </si>
  <si>
    <t xml:space="preserve">Блок резервного питания Скат-1200 И7</t>
  </si>
  <si>
    <t xml:space="preserve">9.5.</t>
  </si>
  <si>
    <t xml:space="preserve">Извещатели пожарные дымовые ИП 212-31/1</t>
  </si>
  <si>
    <t xml:space="preserve">9.6.</t>
  </si>
  <si>
    <t xml:space="preserve">Извещатели пожарные ручные ИПР-1</t>
  </si>
  <si>
    <t xml:space="preserve">9.7.</t>
  </si>
  <si>
    <t xml:space="preserve">Сирена сигнальная АС-10</t>
  </si>
  <si>
    <t xml:space="preserve">9.8.</t>
  </si>
  <si>
    <t xml:space="preserve">10. Кабельные тоннели ГК</t>
  </si>
  <si>
    <t xml:space="preserve">10.1.</t>
  </si>
  <si>
    <t xml:space="preserve">Прибор приёмно-контрольный и управления охранно-пожарный адресный «Рубеж-20П» прот.R3</t>
  </si>
  <si>
    <t xml:space="preserve">10.2.</t>
  </si>
  <si>
    <t xml:space="preserve">Устройство дистанционного пуска адресное УДП 513-11-R3 «Пуск пожаротушения»</t>
  </si>
  <si>
    <t xml:space="preserve">10.3.</t>
  </si>
  <si>
    <t xml:space="preserve">Блок индикации и управления БИУ</t>
  </si>
  <si>
    <t xml:space="preserve">10.4.</t>
  </si>
  <si>
    <t xml:space="preserve">Адресный релейный модуль РМ-4 прот. R3</t>
  </si>
  <si>
    <t xml:space="preserve">10.5.</t>
  </si>
  <si>
    <t xml:space="preserve">Источник питания ИВЭПР 12/5</t>
  </si>
  <si>
    <t xml:space="preserve">10.6.</t>
  </si>
  <si>
    <t xml:space="preserve">Извещатель дымовой: ИП 121-64- R3</t>
  </si>
  <si>
    <t xml:space="preserve">110</t>
  </si>
  <si>
    <t xml:space="preserve">10.7.</t>
  </si>
  <si>
    <t xml:space="preserve">Извещатель пожарный ручной: ИПР-513-11 прот.R3</t>
  </si>
  <si>
    <t xml:space="preserve">10.8.</t>
  </si>
  <si>
    <t xml:space="preserve">Аккумуляторная батарея АКБ-Delta 12В/7А/ч</t>
  </si>
  <si>
    <t xml:space="preserve">11. ГРУ-6 кВ</t>
  </si>
  <si>
    <t xml:space="preserve">11.1.</t>
  </si>
  <si>
    <t xml:space="preserve">Извещатель дымовой ИП212-41</t>
  </si>
  <si>
    <t xml:space="preserve">11.2.</t>
  </si>
  <si>
    <t xml:space="preserve">Извещатель пожарный дымовой линейный ИПДЛ-Д-II/4р</t>
  </si>
  <si>
    <t xml:space="preserve">11.3.</t>
  </si>
  <si>
    <t xml:space="preserve">Указатель «Выход»</t>
  </si>
  <si>
    <t xml:space="preserve">11.4.</t>
  </si>
  <si>
    <t xml:space="preserve">Извещатель звуковой «Маяк»</t>
  </si>
  <si>
    <t xml:space="preserve">11.5.</t>
  </si>
  <si>
    <t xml:space="preserve">Извещатель ПС ручной</t>
  </si>
  <si>
    <t xml:space="preserve">12. Химический цех</t>
  </si>
  <si>
    <t xml:space="preserve">12.1.</t>
  </si>
  <si>
    <t xml:space="preserve">92</t>
  </si>
  <si>
    <t xml:space="preserve">12.2.</t>
  </si>
  <si>
    <t xml:space="preserve">12.3.</t>
  </si>
  <si>
    <t xml:space="preserve">12.4.</t>
  </si>
  <si>
    <t xml:space="preserve">12.5.</t>
  </si>
  <si>
    <t xml:space="preserve">12.6.</t>
  </si>
  <si>
    <t xml:space="preserve">12.7.</t>
  </si>
  <si>
    <t xml:space="preserve">12.8.</t>
  </si>
  <si>
    <t xml:space="preserve">Аккумуляторная батарея АКБ-12 12В/12А/ч</t>
  </si>
  <si>
    <t xml:space="preserve">12.9.</t>
  </si>
  <si>
    <t xml:space="preserve">13. Мазутонасосная</t>
  </si>
  <si>
    <t xml:space="preserve">13.1.</t>
  </si>
  <si>
    <t xml:space="preserve">Прибор приемно-контрольный 20 охр.-пож.шл. Сигнал-20П-5МО</t>
  </si>
  <si>
    <t xml:space="preserve">13.2.</t>
  </si>
  <si>
    <t xml:space="preserve">Пульт контроля и управления С-2000 М</t>
  </si>
  <si>
    <t xml:space="preserve">13.3.</t>
  </si>
  <si>
    <t xml:space="preserve">Блок контроля и индикации С-2000-БКИ</t>
  </si>
  <si>
    <t xml:space="preserve">13.4.</t>
  </si>
  <si>
    <t xml:space="preserve">Контрольно-пусковой блок с 6 исполнительными реле С-2000-КПБ</t>
  </si>
  <si>
    <t xml:space="preserve">13.5.</t>
  </si>
  <si>
    <t xml:space="preserve">Релейный усилитель на два канала УК-ВК исп.14</t>
  </si>
  <si>
    <t xml:space="preserve">13.6.</t>
  </si>
  <si>
    <t xml:space="preserve">Источник питания РИЛ-12-3/17П1-Р-RS (РИП-12)</t>
  </si>
  <si>
    <t xml:space="preserve">13.7.</t>
  </si>
  <si>
    <t xml:space="preserve">Модуль интерфейсный пожарный МИП-2ех</t>
  </si>
  <si>
    <t xml:space="preserve">13.8.</t>
  </si>
  <si>
    <t xml:space="preserve">Барьер искрозащиты Яхонт 1И-01</t>
  </si>
  <si>
    <t xml:space="preserve">13.9.</t>
  </si>
  <si>
    <t xml:space="preserve">Барьер искробезопасности пусковой цепи ПА. ПВ БПЦ-ПВ</t>
  </si>
  <si>
    <t xml:space="preserve">Аккумулятор АКБ 12В 18А/ч DELTADT</t>
  </si>
  <si>
    <t xml:space="preserve">Линейный тепловой извещатель (термокабель) GTSW-68</t>
  </si>
  <si>
    <t xml:space="preserve">Извещатель пожарный ручной взрывобезопасный Гарант-М (ИП-535М)</t>
  </si>
  <si>
    <t xml:space="preserve">13.14</t>
  </si>
  <si>
    <t xml:space="preserve">Извещатель пожарный тепловой взрывозащищенный ИИ 101 (ГРАНАТ)</t>
  </si>
  <si>
    <t xml:space="preserve">13.15</t>
  </si>
  <si>
    <t xml:space="preserve">Точечный взрывозащищенный дымовой извещательИП212 "Дымфикс"</t>
  </si>
  <si>
    <t xml:space="preserve">13.16</t>
  </si>
  <si>
    <t xml:space="preserve">Двухвводный. точечный взрывозащищенный дымовой извещатель ИП212 "Дымфикс"</t>
  </si>
  <si>
    <t xml:space="preserve">13.17</t>
  </si>
  <si>
    <t xml:space="preserve">Оповещательсвето-звуковой. взрывозащита ЗОВ-ИБ 1KB (ЗОВ-ИБ 2KB)</t>
  </si>
  <si>
    <t xml:space="preserve">13.18</t>
  </si>
  <si>
    <t xml:space="preserve">Сирена Иволга ПКИ1</t>
  </si>
  <si>
    <t xml:space="preserve">14. Водогрейная котельная</t>
  </si>
  <si>
    <t xml:space="preserve">14.1.</t>
  </si>
  <si>
    <t xml:space="preserve">14.2.</t>
  </si>
  <si>
    <t xml:space="preserve">Контроллер двухпроводной линии связи «C2000-КДЛ»</t>
  </si>
  <si>
    <t xml:space="preserve">14.3.</t>
  </si>
  <si>
    <t xml:space="preserve">Блок контроля и индикации С2000-БКИ</t>
  </si>
  <si>
    <t xml:space="preserve">14.4.</t>
  </si>
  <si>
    <t xml:space="preserve">Блок сигнально-пусковой С2000-СП1</t>
  </si>
  <si>
    <t xml:space="preserve">14.5.</t>
  </si>
  <si>
    <t xml:space="preserve">Оповещатель пожарный звуковой Маяк-12-3М</t>
  </si>
  <si>
    <t xml:space="preserve">14.6.</t>
  </si>
  <si>
    <t xml:space="preserve">Источник вторичного электропитания резервированный Скат-2400</t>
  </si>
  <si>
    <t xml:space="preserve">14.7.</t>
  </si>
  <si>
    <t xml:space="preserve">Аккумуляторная батарея, Delta DTM 12В, 12А/ч</t>
  </si>
  <si>
    <t xml:space="preserve">14.8.</t>
  </si>
  <si>
    <t xml:space="preserve">Извещатель пожарный дымовой ДИП-34А-03</t>
  </si>
  <si>
    <t xml:space="preserve">14.9.</t>
  </si>
  <si>
    <t xml:space="preserve">Извещатель пожарный ручной ИПР 513-3АМ исп 01</t>
  </si>
  <si>
    <t xml:space="preserve">14.10.</t>
  </si>
  <si>
    <t xml:space="preserve">Блок сигнально-пусковой адресный С2000-СП2 исп.02</t>
  </si>
  <si>
    <t xml:space="preserve">14.11.</t>
  </si>
  <si>
    <t xml:space="preserve">Оповещатель пожарный световой Молния -12</t>
  </si>
  <si>
    <t xml:space="preserve">14.12.</t>
  </si>
  <si>
    <t xml:space="preserve">Комплект программного обеспечения «ОРИОН Про» исп.127 + Генератор отчетов</t>
  </si>
  <si>
    <t xml:space="preserve">15. КРУ-6кВ; РУ-0.4 кВ; помещение газовой службы; 3-й этаж СБП к водогрейной котельной</t>
  </si>
  <si>
    <t xml:space="preserve">15.1.</t>
  </si>
  <si>
    <t xml:space="preserve">Прибор приемно - контрольный «С2000-4»</t>
  </si>
  <si>
    <t xml:space="preserve">15.2.</t>
  </si>
  <si>
    <t xml:space="preserve">15.3.</t>
  </si>
  <si>
    <t xml:space="preserve">Указатель выхода</t>
  </si>
  <si>
    <t xml:space="preserve">15.4.</t>
  </si>
  <si>
    <t xml:space="preserve">15.5.</t>
  </si>
  <si>
    <t xml:space="preserve">Блок питания «Скат 1200-И7»</t>
  </si>
  <si>
    <t xml:space="preserve">15.6.</t>
  </si>
  <si>
    <t xml:space="preserve">15.7.</t>
  </si>
  <si>
    <t xml:space="preserve">Устройство коммутации «УК-ВК»</t>
  </si>
  <si>
    <t xml:space="preserve">16. Кабели</t>
  </si>
  <si>
    <t xml:space="preserve">16.1.</t>
  </si>
  <si>
    <t xml:space="preserve">КСПВ 4х2</t>
  </si>
  <si>
    <t xml:space="preserve">16.2.</t>
  </si>
  <si>
    <t xml:space="preserve">КСПВ 2х0.5</t>
  </si>
  <si>
    <t xml:space="preserve">2300</t>
  </si>
  <si>
    <t xml:space="preserve">16.3.</t>
  </si>
  <si>
    <t xml:space="preserve">ТПР 2х0.5</t>
  </si>
  <si>
    <t xml:space="preserve">16.4.</t>
  </si>
  <si>
    <t xml:space="preserve">ШВВП 2х0.75</t>
  </si>
  <si>
    <t xml:space="preserve">16.5.</t>
  </si>
  <si>
    <t xml:space="preserve">ВВВнг-LS 3х1.5</t>
  </si>
  <si>
    <t xml:space="preserve">90</t>
  </si>
  <si>
    <t xml:space="preserve">16.6.</t>
  </si>
  <si>
    <t xml:space="preserve">КПСЭнг-FRLS2х2х0.5</t>
  </si>
  <si>
    <t xml:space="preserve">16.7.</t>
  </si>
  <si>
    <t xml:space="preserve">СКАБ-250 нг FRLS 1x2x0.5</t>
  </si>
  <si>
    <t xml:space="preserve">16.8.</t>
  </si>
  <si>
    <t xml:space="preserve">КПСЭнг-(А) - FRLS 1х2х0.5</t>
  </si>
  <si>
    <t xml:space="preserve">3200</t>
  </si>
  <si>
    <t xml:space="preserve">16.9.</t>
  </si>
  <si>
    <t xml:space="preserve">КПСЭнг-(А) - FRLS 2х2х0.5</t>
  </si>
  <si>
    <t xml:space="preserve">700</t>
  </si>
  <si>
    <t xml:space="preserve">16.10.</t>
  </si>
  <si>
    <t xml:space="preserve">КПСЭнг-(А) - FRLS 2х2х0.75</t>
  </si>
  <si>
    <t xml:space="preserve">1. СПК (служебно-производственный корпус)</t>
  </si>
  <si>
    <t xml:space="preserve">Прибор приемно- контрольный «С2000-АСПТ»</t>
  </si>
  <si>
    <t xml:space="preserve">Извещатели пожарные тепловые взрывозащищенные ИП 103-1В/А3-1-К</t>
  </si>
  <si>
    <t xml:space="preserve">Блок контрольно-пусковой«С2000-КПБ»</t>
  </si>
  <si>
    <t xml:space="preserve">Оповещатель пожарный световой «Порошок не входи!». «Автоматика отключена». «Насосная станция» ТС-2</t>
  </si>
  <si>
    <t xml:space="preserve">Светозвуковое табло «ПОРОШОК УХОДИ» «СОВА»</t>
  </si>
  <si>
    <t xml:space="preserve">Извещатели пожарные ручные ИПР-Кск</t>
  </si>
  <si>
    <t xml:space="preserve">Резервированный источник питания «РИП-24»</t>
  </si>
  <si>
    <t xml:space="preserve">Контроллер двухпроводной</t>
  </si>
  <si>
    <t xml:space="preserve">Адресный расширитель «С2000-АР8»</t>
  </si>
  <si>
    <t xml:space="preserve">Блок сигнально-пусковой адресный «С2000-СП2»</t>
  </si>
  <si>
    <t xml:space="preserve">Извещатели пожарные дымовые оптико-электронные адресно-аналоговые ДИП 34а</t>
  </si>
  <si>
    <t xml:space="preserve">153</t>
  </si>
  <si>
    <t xml:space="preserve">Извещатели пожарные ручные адресные ИПР-513-3А</t>
  </si>
  <si>
    <t xml:space="preserve">14</t>
  </si>
  <si>
    <t xml:space="preserve">Прибор пожарный управления «Поток-3Н</t>
  </si>
  <si>
    <t xml:space="preserve">Прибор приемно – контрольный «С2000-4»</t>
  </si>
  <si>
    <t xml:space="preserve">Блок сигнально-пусковой «С2000-СП1»</t>
  </si>
  <si>
    <t xml:space="preserve">Пульт управления «С2000-М»</t>
  </si>
  <si>
    <t xml:space="preserve">Извещатели пожарные тепловые С2000-ИП</t>
  </si>
  <si>
    <t xml:space="preserve">Световое табло «Выход» «Молния-12»</t>
  </si>
  <si>
    <t xml:space="preserve">1.20.</t>
  </si>
  <si>
    <t xml:space="preserve">Звуковые оповещатели «Флейта-12В»</t>
  </si>
  <si>
    <t xml:space="preserve">1.21.</t>
  </si>
  <si>
    <t xml:space="preserve">Импульсный модуль порошкового пожаротушения МПП(р-вз)-8-И-(Буран-8взр)</t>
  </si>
  <si>
    <t xml:space="preserve">1.22.</t>
  </si>
  <si>
    <t xml:space="preserve">Блок защиты линии «БЗЛ»</t>
  </si>
  <si>
    <t xml:space="preserve">1.23.</t>
  </si>
  <si>
    <t xml:space="preserve">Блок индикации С2000-БИ</t>
  </si>
  <si>
    <t xml:space="preserve">1.24.</t>
  </si>
  <si>
    <t xml:space="preserve">1.25.</t>
  </si>
  <si>
    <t xml:space="preserve">Комплект программного обеспечения «ОРИОН»</t>
  </si>
  <si>
    <t xml:space="preserve">2. Кабели</t>
  </si>
  <si>
    <t xml:space="preserve">КПСЭнг-FRLS 1х2х0.75</t>
  </si>
  <si>
    <t xml:space="preserve">КПСЭнг-FRLS 1х2х1.0</t>
  </si>
  <si>
    <t xml:space="preserve">КСВВ нгLS 2х0.5</t>
  </si>
  <si>
    <t xml:space="preserve">1400</t>
  </si>
  <si>
    <t xml:space="preserve">КСВВ нгLS 2х0.75</t>
  </si>
  <si>
    <t xml:space="preserve">UТР</t>
  </si>
  <si>
    <t xml:space="preserve">КПСЭнг-FRLS 1х2х0.8</t>
  </si>
  <si>
    <t xml:space="preserve">1. Котельная № 1 ул. С.Перовской.д. 7. ПП ТС</t>
  </si>
  <si>
    <t xml:space="preserve">Прибор однолучевой УОТС-1</t>
  </si>
  <si>
    <t xml:space="preserve">Прибор «Сигнал 20п»</t>
  </si>
  <si>
    <t xml:space="preserve">Прибор «НОТА»</t>
  </si>
  <si>
    <t xml:space="preserve">Прибор УПКАП-135</t>
  </si>
  <si>
    <t xml:space="preserve">Пульт управления С-2000</t>
  </si>
  <si>
    <t xml:space="preserve">Извещатель пожарный дымовой ИП 212-141</t>
  </si>
  <si>
    <t xml:space="preserve">122</t>
  </si>
  <si>
    <t xml:space="preserve">Извещатель тепловой ИП-105</t>
  </si>
  <si>
    <t xml:space="preserve">Указатель «ВЫХОД»</t>
  </si>
  <si>
    <t xml:space="preserve">Сирена СС-1</t>
  </si>
  <si>
    <t xml:space="preserve">Источник питания БИРП</t>
  </si>
  <si>
    <t xml:space="preserve">Кабель ТПП 10x2x0.4</t>
  </si>
  <si>
    <t xml:space="preserve">Кабель ТРП 1x2x0.5</t>
  </si>
  <si>
    <t xml:space="preserve">1800</t>
  </si>
  <si>
    <t xml:space="preserve">Извещатель ручной ИПР</t>
  </si>
  <si>
    <t xml:space="preserve">Взрывозащищенный извещатель пожарный дымовой точечный ДИП-31-Exd-А АК6</t>
  </si>
  <si>
    <t xml:space="preserve">Взрывозащищенный извещатель пожарный ручной 512-Exd-Н-ИПР-А 2-х проводной ШС, класс "А"</t>
  </si>
  <si>
    <t xml:space="preserve">Кабель КПСнг(А)-FRLS 2x2x0.5</t>
  </si>
  <si>
    <t xml:space="preserve">Кабель передачи данных КПСнг(А)-FRLS-1*2*0,5</t>
  </si>
  <si>
    <t xml:space="preserve">2. Административный корпус котельной №1 ул. С.Перовской.д. 7. ПП ТС</t>
  </si>
  <si>
    <t xml:space="preserve">68</t>
  </si>
  <si>
    <t xml:space="preserve">Кабель ТПР1x2x0.5</t>
  </si>
  <si>
    <t xml:space="preserve">3. Котельная № 2</t>
  </si>
  <si>
    <t xml:space="preserve">Прибор «Сигнал 20»</t>
  </si>
  <si>
    <t xml:space="preserve">Оповещатель «Маяк»</t>
  </si>
  <si>
    <t xml:space="preserve">Световое табло</t>
  </si>
  <si>
    <t xml:space="preserve">Источник питания «СКАТ-1200»</t>
  </si>
  <si>
    <t xml:space="preserve">Кабель КСПВ 2 x0.5</t>
  </si>
  <si>
    <t xml:space="preserve">1200</t>
  </si>
  <si>
    <t xml:space="preserve">4. Административное здание района № 2</t>
  </si>
  <si>
    <t xml:space="preserve">Извещатель дымовой ДИП-3</t>
  </si>
  <si>
    <t xml:space="preserve">31</t>
  </si>
  <si>
    <t xml:space="preserve">Кабель ТРП1x2x0.5</t>
  </si>
  <si>
    <t xml:space="preserve">Кабель ТПП 20x2x0.5</t>
  </si>
  <si>
    <t xml:space="preserve">5. Проходная котельной №1. ул. С.Перовской.д. 7. ПП ТС</t>
  </si>
  <si>
    <t xml:space="preserve">Ручной извещатель</t>
  </si>
  <si>
    <t xml:space="preserve">Прибор приёмно-контрольный «Кварц»</t>
  </si>
  <si>
    <t xml:space="preserve">5.5.</t>
  </si>
  <si>
    <t xml:space="preserve">Кабель КПСнг-FRLS 1 x2x0.5</t>
  </si>
  <si>
    <t xml:space="preserve">6. Гараж котельной №1. ул. С.Перовской.д. 7. ПП ТС</t>
  </si>
  <si>
    <t xml:space="preserve">Магнито-контакт ИП 105-1 А3 извещатель пожарный тепловой</t>
  </si>
  <si>
    <t xml:space="preserve">ИП 103-5/1-А3 • извещатель пожарный тепловой взрывозащищенный</t>
  </si>
  <si>
    <t xml:space="preserve">Гранит-5 Прибор приемно-контрольный охранно-пожарный</t>
  </si>
  <si>
    <t xml:space="preserve">Оповещатель охранно-пожарный светозвуковой</t>
  </si>
  <si>
    <t xml:space="preserve">КПСЭнг(А)-FRLS 1х2х0.5 Кабель</t>
  </si>
  <si>
    <t xml:space="preserve">Извещатель пожарный ручной</t>
  </si>
  <si>
    <t xml:space="preserve">7. Кабинеты механика и начальника автотранспортной службы в котельной №1. ул. С.Перовской.д. 7. ПП ТС</t>
  </si>
  <si>
    <t xml:space="preserve">7.2.</t>
  </si>
  <si>
    <t xml:space="preserve">7.3.</t>
  </si>
  <si>
    <t xml:space="preserve">7.4.</t>
  </si>
  <si>
    <t xml:space="preserve">7.5.</t>
  </si>
  <si>
    <t xml:space="preserve">КПСнг-FRLS 2х2х0.5 Кабель</t>
  </si>
  <si>
    <t xml:space="preserve">Источник вторичного питания СКАТ-1200Б</t>
  </si>
  <si>
    <t xml:space="preserve">7.7.</t>
  </si>
  <si>
    <t xml:space="preserve">Прибор приемно-контрольный охранно-пожарный Болид Сигнал-10</t>
  </si>
  <si>
    <t xml:space="preserve">Пульт контороля и управления Болид С2000-М</t>
  </si>
  <si>
    <t xml:space="preserve">8. Поверочная лаборатория службы УТЭ в котельной №2.</t>
  </si>
  <si>
    <t xml:space="preserve">8.2.</t>
  </si>
  <si>
    <t xml:space="preserve">8.3.</t>
  </si>
  <si>
    <t xml:space="preserve">8.4.</t>
  </si>
  <si>
    <t xml:space="preserve">8.5.</t>
  </si>
  <si>
    <t xml:space="preserve">8.7.</t>
  </si>
  <si>
    <t xml:space="preserve">КПСнг-FRLS 1х2х0.5 Кабель</t>
  </si>
  <si>
    <t xml:space="preserve">FTP 4PR 24AWGCAT5e 305м REXANT Кабель</t>
  </si>
  <si>
    <t xml:space="preserve">9. Склад хранения масла.слад хранения жидкого топлива в котельной №1. ул. С.Перовской.д. 7. ПП ТС</t>
  </si>
  <si>
    <t xml:space="preserve">Извещатель пожарный тепловой ИП 103-5/1-А3</t>
  </si>
  <si>
    <t xml:space="preserve">9.7</t>
  </si>
  <si>
    <t xml:space="preserve">9.8</t>
  </si>
  <si>
    <t xml:space="preserve">9.9</t>
  </si>
  <si>
    <t xml:space="preserve">9.10</t>
  </si>
  <si>
    <t xml:space="preserve">КПСнг-FRLS 4х2х0.5 Кабель</t>
  </si>
  <si>
    <t xml:space="preserve">9.11</t>
  </si>
  <si>
    <t xml:space="preserve">10. Склад хранения ТМЦ в котельной №1. ул. С.Перовской, д. 7, ПП ТС</t>
  </si>
  <si>
    <t xml:space="preserve">Прибор приемно-контрольный охранно-пожарный Гранит-16</t>
  </si>
  <si>
    <t xml:space="preserve">Аккумулятор свинцово-кислотный DT1207</t>
  </si>
  <si>
    <t xml:space="preserve">Извещатель пожарный тепловой ИП 103-5/1-А3 ИБ (Искробезопасный)</t>
  </si>
  <si>
    <t xml:space="preserve">10.6</t>
  </si>
  <si>
    <t xml:space="preserve">Извещатель пожарный ручной ИПР513-10</t>
  </si>
  <si>
    <t xml:space="preserve">10.7</t>
  </si>
  <si>
    <t xml:space="preserve">Извещатель пожарный ручной ИПР535-26 «Север»</t>
  </si>
  <si>
    <t xml:space="preserve">10.8</t>
  </si>
  <si>
    <t xml:space="preserve">Оповещатель охранно-пожарный звуковой УСС-М-12</t>
  </si>
  <si>
    <t xml:space="preserve">10.9</t>
  </si>
  <si>
    <t xml:space="preserve">Оповещатель охранно-пожарный звуковой «Молния-12» «Выход»</t>
  </si>
  <si>
    <t xml:space="preserve">10.10</t>
  </si>
  <si>
    <t xml:space="preserve">Барьер искрозащиты БИСШ «Север»</t>
  </si>
  <si>
    <t xml:space="preserve">10.11</t>
  </si>
  <si>
    <t xml:space="preserve">Кабель КПСнг(А) -FRLS 1х2х0,5 Кабель</t>
  </si>
  <si>
    <t xml:space="preserve">310</t>
  </si>
  <si>
    <t xml:space="preserve">10.12</t>
  </si>
  <si>
    <t xml:space="preserve">Кабель КПСнг(А) -FRLS 2х2х0,5 Кабель</t>
  </si>
  <si>
    <t xml:space="preserve">11. Помещения РУ-6кВ Котельная № 2 ул. Пешестрелецкая 84</t>
  </si>
  <si>
    <t xml:space="preserve">Оповещатель звуковой Флейта-12В</t>
  </si>
  <si>
    <t xml:space="preserve">11.6.</t>
  </si>
  <si>
    <t xml:space="preserve">11.7</t>
  </si>
  <si>
    <t xml:space="preserve">11.8</t>
  </si>
  <si>
    <t xml:space="preserve">12. Помещения административного здания района № 3, проезд Ясный, 1а</t>
  </si>
  <si>
    <t xml:space="preserve">Источник питания Рубеж ИВЭПР 12/3,5 2х7 - РБ</t>
  </si>
  <si>
    <t xml:space="preserve">12.7</t>
  </si>
  <si>
    <t xml:space="preserve">Прибор приемно-контрольный охранно-пожарный Болид Сигнал-20М</t>
  </si>
  <si>
    <t xml:space="preserve">12.9</t>
  </si>
  <si>
    <t xml:space="preserve">12.10</t>
  </si>
  <si>
    <t xml:space="preserve">13. Помещения административного здания района № 1 ул. Лебедева 2т</t>
  </si>
  <si>
    <t xml:space="preserve">Извещатель пожарный тепловой ИП 103-5/1</t>
  </si>
  <si>
    <t xml:space="preserve">Сирена сигнальная, марка "АС-10"</t>
  </si>
  <si>
    <t xml:space="preserve">14. Помещения административного здания АБК-4, проезд Ясный, 1а</t>
  </si>
  <si>
    <t xml:space="preserve">С2000-М исп.02 Пульт контроля и управления охранно-пожарный с ЖК экраном</t>
  </si>
  <si>
    <t xml:space="preserve">С2000-КДЛ-2И исп.01 Контроллер адресной двухпроводной</t>
  </si>
  <si>
    <t xml:space="preserve">С2000-БКИ в.3.хх (2xRS-485) Блок индикации</t>
  </si>
  <si>
    <t xml:space="preserve">С2000-СП2 исп.02 Блок сигнально-пусковой адресный</t>
  </si>
  <si>
    <t xml:space="preserve">Оповещатель световой Молния-12 ВЫХОД зеленый фон</t>
  </si>
  <si>
    <t xml:space="preserve">Маяк-12-ЗМ Оповещатель охранно-пожарный звуковой</t>
  </si>
  <si>
    <t xml:space="preserve">С2000-СП1 Блок сигнально-пусковой адресный</t>
  </si>
  <si>
    <t xml:space="preserve">ШПС-12 исп.20 Шкаф для монтажа средств пожарной автоматики</t>
  </si>
  <si>
    <t xml:space="preserve">14.9</t>
  </si>
  <si>
    <t xml:space="preserve">Delta DTM 1226 / Аккумулятор герметичный свинцово-кислотный Аккумулятор герметичный</t>
  </si>
  <si>
    <t xml:space="preserve">14.10</t>
  </si>
  <si>
    <t xml:space="preserve">ДИП-34А-04 (ИП 212-34А) Извещатель пожарный дымовой оптико-электронный адресно-аналоговый</t>
  </si>
  <si>
    <t xml:space="preserve">67</t>
  </si>
  <si>
    <t xml:space="preserve">14.11</t>
  </si>
  <si>
    <t xml:space="preserve">ИПР 513-3АМ исп.01 Извещатель пожарный ручной адресный со встроенным БРИЗ</t>
  </si>
  <si>
    <t xml:space="preserve">14.12</t>
  </si>
  <si>
    <t xml:space="preserve">Коробка монтажная огнестойкая металлическая IP31, 16 контакта для кабеля до 2,5мм2 (16к х 2,5мм)</t>
  </si>
  <si>
    <t xml:space="preserve">14.13</t>
  </si>
  <si>
    <t xml:space="preserve">PTK-Accessories КМОМ (24к х 2,5мм) 210х100х37 IP 31 ПожТехКабель (070-032) - Коробка монтажная</t>
  </si>
  <si>
    <t xml:space="preserve">14.14</t>
  </si>
  <si>
    <t xml:space="preserve">КПССнг(А)-FRLS 1х2х0,75 Кабель для систем ОПС и СОУЭ огнестойкий</t>
  </si>
  <si>
    <t xml:space="preserve">1020</t>
  </si>
  <si>
    <t xml:space="preserve">14.15</t>
  </si>
  <si>
    <t xml:space="preserve">Кабель парной скрутки КПСЭСнг(A)-FRLS 2х2х0,5</t>
  </si>
  <si>
    <t xml:space="preserve">Ввод технической воды №1</t>
  </si>
  <si>
    <t xml:space="preserve">Труба Ø 219х6 Ст20</t>
  </si>
  <si>
    <t xml:space="preserve">52</t>
  </si>
  <si>
    <t xml:space="preserve">Труба Ø 32х2 Ст20</t>
  </si>
  <si>
    <t xml:space="preserve">124</t>
  </si>
  <si>
    <t xml:space="preserve">Обогрев</t>
  </si>
  <si>
    <t xml:space="preserve">Задвижка ДУ200. Ру25</t>
  </si>
  <si>
    <t xml:space="preserve">С ручным приводом</t>
  </si>
  <si>
    <t xml:space="preserve">Ввод технической воды №2</t>
  </si>
  <si>
    <t xml:space="preserve">59</t>
  </si>
  <si>
    <t xml:space="preserve">128</t>
  </si>
  <si>
    <t xml:space="preserve">Коллектор</t>
  </si>
  <si>
    <t xml:space="preserve">23</t>
  </si>
  <si>
    <t xml:space="preserve">Задвижка 30ч6бр ДУ200. Ру10</t>
  </si>
  <si>
    <t xml:space="preserve">Манометр</t>
  </si>
  <si>
    <t xml:space="preserve">Луч №1</t>
  </si>
  <si>
    <t xml:space="preserve">Труба Ø 159х4.5 Ст20</t>
  </si>
  <si>
    <t xml:space="preserve">Задвижка 30ч6бр ДУ150. Ру10</t>
  </si>
  <si>
    <t xml:space="preserve">Задвижка СТ25 ЛDN150 Ру16</t>
  </si>
  <si>
    <t xml:space="preserve">С электроприводом</t>
  </si>
  <si>
    <t xml:space="preserve">Ороситель ДВМ</t>
  </si>
  <si>
    <t xml:space="preserve">Луч №2</t>
  </si>
  <si>
    <t xml:space="preserve">Труба Ø 108х3 Ст20</t>
  </si>
  <si>
    <t xml:space="preserve">192</t>
  </si>
  <si>
    <t xml:space="preserve">Задвижка 30ч6бр ДУ100. Ру10</t>
  </si>
  <si>
    <t xml:space="preserve">Задвижка СТ25 ЛDN100 Ру16</t>
  </si>
  <si>
    <t xml:space="preserve">Луч №3</t>
  </si>
  <si>
    <t xml:space="preserve">Труба Ø 89х3 Ст20</t>
  </si>
  <si>
    <t xml:space="preserve">129</t>
  </si>
  <si>
    <t xml:space="preserve">Луч №4</t>
  </si>
  <si>
    <t xml:space="preserve">Луч №5</t>
  </si>
  <si>
    <t xml:space="preserve">Луч №6</t>
  </si>
  <si>
    <t xml:space="preserve">Луч №7</t>
  </si>
  <si>
    <t xml:space="preserve">62</t>
  </si>
  <si>
    <t xml:space="preserve">Луч №8</t>
  </si>
  <si>
    <t xml:space="preserve">45</t>
  </si>
  <si>
    <t xml:space="preserve">32</t>
  </si>
  <si>
    <t xml:space="preserve">Луч №9</t>
  </si>
  <si>
    <t xml:space="preserve">Луч №10</t>
  </si>
  <si>
    <t xml:space="preserve">Луч №11</t>
  </si>
  <si>
    <t xml:space="preserve">28</t>
  </si>
  <si>
    <t xml:space="preserve">Задвижка ДУ150. Ру25</t>
  </si>
  <si>
    <t xml:space="preserve">Задвижка СТ25 ЛDN200. Ру16</t>
  </si>
  <si>
    <t xml:space="preserve">Луч №12</t>
  </si>
  <si>
    <t xml:space="preserve">17</t>
  </si>
  <si>
    <t xml:space="preserve">Задвижка 30ч6бр ДУ80. Ру10</t>
  </si>
  <si>
    <t xml:space="preserve">Луч №12/1</t>
  </si>
  <si>
    <t xml:space="preserve">Луч №13</t>
  </si>
  <si>
    <t xml:space="preserve">132</t>
  </si>
  <si>
    <t xml:space="preserve">Луч №14</t>
  </si>
  <si>
    <t xml:space="preserve">225</t>
  </si>
  <si>
    <t xml:space="preserve">Луч №15</t>
  </si>
  <si>
    <t xml:space="preserve">149</t>
  </si>
  <si>
    <t xml:space="preserve">Задвижка ДУ150. Ру40</t>
  </si>
  <si>
    <t xml:space="preserve">Луч №16</t>
  </si>
  <si>
    <t xml:space="preserve">254</t>
  </si>
  <si>
    <t xml:space="preserve">Задвижка ДУ100. Ру10</t>
  </si>
  <si>
    <t xml:space="preserve">Луч №17</t>
  </si>
  <si>
    <t xml:space="preserve">174</t>
  </si>
  <si>
    <t xml:space="preserve">Задвижка 30ч6бр ДУ150. Ру40</t>
  </si>
  <si>
    <t xml:space="preserve">Задвижка ДУ150. Ру10</t>
  </si>
  <si>
    <t xml:space="preserve">Луч №18</t>
  </si>
  <si>
    <t xml:space="preserve">Луч №19</t>
  </si>
  <si>
    <t xml:space="preserve">Помещение 101 ось 11-Г Маслобак паровой турбины №1</t>
  </si>
  <si>
    <t xml:space="preserve">Труба Ø 108х3</t>
  </si>
  <si>
    <t xml:space="preserve">Труба Ø 89х3</t>
  </si>
  <si>
    <t xml:space="preserve">56</t>
  </si>
  <si>
    <t xml:space="preserve">Труба Ø 45х3</t>
  </si>
  <si>
    <t xml:space="preserve">Задвижка</t>
  </si>
  <si>
    <t xml:space="preserve">Ороситель</t>
  </si>
  <si>
    <t xml:space="preserve">Помещение 101 ось 11-Г Маслобак паровой турбины №2</t>
  </si>
  <si>
    <t xml:space="preserve">щт</t>
  </si>
  <si>
    <t xml:space="preserve">Помещение 4</t>
  </si>
  <si>
    <t xml:space="preserve">Труба Ø 219х6</t>
  </si>
  <si>
    <t xml:space="preserve">Труба Ø 60х3</t>
  </si>
  <si>
    <t xml:space="preserve">Труба Ø 42х3</t>
  </si>
  <si>
    <t xml:space="preserve">Труба Ø 27х3</t>
  </si>
  <si>
    <t xml:space="preserve">22</t>
  </si>
  <si>
    <t xml:space="preserve">Помещение 5</t>
  </si>
  <si>
    <t xml:space="preserve">Труба Ø 159х4</t>
  </si>
  <si>
    <t xml:space="preserve">35</t>
  </si>
  <si>
    <t xml:space="preserve">Помещение 2</t>
  </si>
  <si>
    <t xml:space="preserve">Помещение 3</t>
  </si>
  <si>
    <t xml:space="preserve">Помещение 236</t>
  </si>
  <si>
    <t xml:space="preserve">Труба Ø 108х4</t>
  </si>
  <si>
    <t xml:space="preserve">Помещение 237</t>
  </si>
  <si>
    <t xml:space="preserve">Помещение 238</t>
  </si>
  <si>
    <t xml:space="preserve">Труба Ø 34х3</t>
  </si>
  <si>
    <t xml:space="preserve">41</t>
  </si>
  <si>
    <t xml:space="preserve">Помещение 239</t>
  </si>
  <si>
    <t xml:space="preserve">Помещение 105</t>
  </si>
  <si>
    <t xml:space="preserve">Труба Ø 57х3</t>
  </si>
  <si>
    <t xml:space="preserve">Арматура</t>
  </si>
  <si>
    <t xml:space="preserve">Вентиль 15кч4р Ру16. ДУ65</t>
  </si>
  <si>
    <t xml:space="preserve">Вентиль КВ 50х13 Ру16</t>
  </si>
  <si>
    <t xml:space="preserve">Вентиль 10Бр Ру16. ДУ32</t>
  </si>
  <si>
    <t xml:space="preserve">Вентиль 10Бр Ру16. ДУ25.</t>
  </si>
  <si>
    <t xml:space="preserve">Вентиль 10Бр Ру16. ДУ15</t>
  </si>
  <si>
    <t xml:space="preserve">Вентиль трехходовой 10Бр Ру16. ДУ15</t>
  </si>
  <si>
    <t xml:space="preserve">Вентиль чугун. Ру16. ДУ65</t>
  </si>
  <si>
    <t xml:space="preserve">Кран пробно-спускной 10Б8бк Ру10. ДУ15</t>
  </si>
  <si>
    <t xml:space="preserve">Клапан обратный 16ч6р Ру16. ДУ65</t>
  </si>
  <si>
    <t xml:space="preserve">Клапан обратный 16ч6р Ру16. ДУ25</t>
  </si>
  <si>
    <t xml:space="preserve">Клапан ВС-100-ДБ9.50000</t>
  </si>
  <si>
    <t xml:space="preserve">Задвижка 30ч6бр Ру10.ДУ150</t>
  </si>
  <si>
    <t xml:space="preserve">Задвижка 30ч6бр Ру10.ДУ100</t>
  </si>
  <si>
    <t xml:space="preserve">Ороситель водяной спринклерный</t>
  </si>
  <si>
    <t xml:space="preserve">Сигнализатор давления</t>
  </si>
  <si>
    <t xml:space="preserve">Трубо- проводы</t>
  </si>
  <si>
    <t xml:space="preserve">Труба Ø 159х3.2</t>
  </si>
  <si>
    <t xml:space="preserve">Труба Ø 114х3</t>
  </si>
  <si>
    <t xml:space="preserve">Труба Ø 108х2.8</t>
  </si>
  <si>
    <t xml:space="preserve">Труба Ø 89х2.8</t>
  </si>
  <si>
    <t xml:space="preserve">Труба Ø 76х2.8</t>
  </si>
  <si>
    <t xml:space="preserve">55</t>
  </si>
  <si>
    <t xml:space="preserve">Труба Ø 57х2.5</t>
  </si>
  <si>
    <t xml:space="preserve">Труба Ø 42х2.2</t>
  </si>
  <si>
    <t xml:space="preserve">126</t>
  </si>
  <si>
    <t xml:space="preserve">Труба Ø 32х2.2</t>
  </si>
  <si>
    <t xml:space="preserve">105</t>
  </si>
  <si>
    <t xml:space="preserve">Труба Ø 15х2.1</t>
  </si>
  <si>
    <t xml:space="preserve">Автоматические системы пожаротушения ГК</t>
  </si>
  <si>
    <t xml:space="preserve">Труба ф108х3.0 Ст20</t>
  </si>
  <si>
    <t xml:space="preserve">475</t>
  </si>
  <si>
    <t xml:space="preserve">Труба ф25х2 Ст20</t>
  </si>
  <si>
    <t xml:space="preserve">Труба ф89х3 ст20</t>
  </si>
  <si>
    <t xml:space="preserve">210</t>
  </si>
  <si>
    <t xml:space="preserve">Манометр ОБМ-160</t>
  </si>
  <si>
    <t xml:space="preserve">Ороситель ДВ-10</t>
  </si>
  <si>
    <t xml:space="preserve">49</t>
  </si>
  <si>
    <t xml:space="preserve">Задвижка ДУ100. РУ10 (с эл.приводом и схемой управления)</t>
  </si>
  <si>
    <t xml:space="preserve">шт шт. шт. шт. к-т шт. м</t>
  </si>
  <si>
    <t xml:space="preserve">10 10 10 10 10 20 500</t>
  </si>
  <si>
    <t xml:space="preserve">С электроприво дом</t>
  </si>
  <si>
    <t xml:space="preserve">Автоматические системы пожаротушения ВК</t>
  </si>
  <si>
    <t xml:space="preserve">Труба ф2108х3 Ст20</t>
  </si>
  <si>
    <t xml:space="preserve">78</t>
  </si>
  <si>
    <t xml:space="preserve">Труба ф25х2.5 ст20</t>
  </si>
  <si>
    <t xml:space="preserve">64</t>
  </si>
  <si>
    <t xml:space="preserve">Задвижка ДУ100.РУ10 30ч6бр (с эл.приводом и схемой управления)</t>
  </si>
  <si>
    <t xml:space="preserve">шт. шт. шт. шт. к-т шт. м</t>
  </si>
  <si>
    <t xml:space="preserve">4 4 4 4 4 8 400</t>
  </si>
  <si>
    <t xml:space="preserve">С электроприво- дом</t>
  </si>
  <si>
    <t xml:space="preserve">Автоматические системы пожаротушения МН</t>
  </si>
  <si>
    <t xml:space="preserve">Труба ф159х6 Ст20</t>
  </si>
  <si>
    <t xml:space="preserve">Труба ф108х4 Ст20</t>
  </si>
  <si>
    <t xml:space="preserve">3026</t>
  </si>
  <si>
    <t xml:space="preserve">Труба ф57х3 Ст20</t>
  </si>
  <si>
    <t xml:space="preserve">Задвижка 30ч6бр ДУ50. Ру10</t>
  </si>
  <si>
    <t xml:space="preserve">Задвижка 304906брДУ100 (с эл.приводом и схемой управления)</t>
  </si>
  <si>
    <t xml:space="preserve">14 14 14 14 14 28 250</t>
  </si>
  <si>
    <t xml:space="preserve">Бак раствора пены V-50М куб</t>
  </si>
  <si>
    <t xml:space="preserve">Насос центробежный Д200-95</t>
  </si>
  <si>
    <t xml:space="preserve">Пенное ПЖТ</t>
  </si>
  <si>
    <t xml:space="preserve">Насос центробежный Д320-50</t>
  </si>
  <si>
    <t xml:space="preserve">Охлаждение</t>
  </si>
  <si>
    <t xml:space="preserve">Задвижка 30446бр ДУ200</t>
  </si>
  <si>
    <t xml:space="preserve">Пеногенераторы</t>
  </si>
  <si>
    <t xml:space="preserve">29</t>
  </si>
  <si>
    <t xml:space="preserve">Задвижка 30ч6бр ДУ100. Ру10 (с эл.приводом и схемой управления)</t>
  </si>
  <si>
    <t xml:space="preserve">1 1 1 1 1 2 30</t>
  </si>
  <si>
    <t xml:space="preserve">С электроприво-дом</t>
  </si>
  <si>
    <t xml:space="preserve">Автоматические системы пожаротушения кабельного полуэтажа</t>
  </si>
  <si>
    <t xml:space="preserve">Ороситель дренчарный водяной ДВО0-РВо0-R1/2/В3-"ДВВ-10"-никель ГОСТ Р 51043-2002</t>
  </si>
  <si>
    <t xml:space="preserve">Дисковый поворотный затвор Ду150 ручной ГРАНИВЭЛ Типа Сигевал ЗПВС-FL-3-150-MN-E, типа "MN", Ру 16 Бар</t>
  </si>
  <si>
    <t xml:space="preserve">Дисковый поворотный затвор Ду100 ручной ГРАНИВЭЛ Типа Сигевал ЗПВС-FL-3-100-MN-E, типа "MN", Ру 16 Бар</t>
  </si>
  <si>
    <t xml:space="preserve">Дисковый поворотный затвор Ду150 ГРАНИВЭЛ, Типа Сигевал ЗПВС-FL-3-150 c электроприводом серии SG07.1, тип мотора SK0050-2/60, мощностью 0,115 кВт, номинальный ток 1,5 А, пусковой ток 3,0 А., Ру 16 Бар</t>
  </si>
  <si>
    <t xml:space="preserve">Дисковый поворотный затвор Ду100 ГРАНИВЭЛ, Типа Сигевал ЗПВС-FL-3-100 c электроприводом серии SG04.3, мощностью 0, 08 кВт, номинальный ток 0,5 А, пусковой ток 0,7 А., Ру 16 Бар</t>
  </si>
  <si>
    <t xml:space="preserve">Вентиль проходной муфтовый Ду50, Ру 16 Бар</t>
  </si>
  <si>
    <t xml:space="preserve">Труба стальная электросварная Ду76*3,5</t>
  </si>
  <si>
    <t xml:space="preserve">Труба стальная электросварная Ду108*4 В-СТ3сп</t>
  </si>
  <si>
    <t xml:space="preserve">Труба стальная электросварная Ду159*5 В-СТ3сп</t>
  </si>
  <si>
    <t xml:space="preserve">Труба стальная водогазопроводная Ду50*3,5</t>
  </si>
  <si>
    <t xml:space="preserve">Автоматические системы пожаротушения трансформаторов</t>
  </si>
  <si>
    <t xml:space="preserve">Труба Ду108х3 Ст20</t>
  </si>
  <si>
    <t xml:space="preserve">Труба Ду25х2.5 ст20</t>
  </si>
  <si>
    <t xml:space="preserve">Датчик-реле давления 0,1-1 МПа ДЕМ 102-1-02-1</t>
  </si>
  <si>
    <t xml:space="preserve">Насосная системы пожаротушения</t>
  </si>
  <si>
    <t xml:space="preserve">Труба стальная электросварная прямошовная Ду45×3 В-Ст3сп</t>
  </si>
  <si>
    <t xml:space="preserve">0,5</t>
  </si>
  <si>
    <t xml:space="preserve">Труба стальная электросварная прямошовная Ду57×3,5 В-Ст3сп</t>
  </si>
  <si>
    <t xml:space="preserve">Труба стальная электросварная прямошовная Ду89×4 В-Ст3сп</t>
  </si>
  <si>
    <t xml:space="preserve">Труба стальная электросварная прямошовная Ду219×4 В-Ст3сп</t>
  </si>
  <si>
    <t xml:space="preserve">Труба стальная электросварная прямошовная Ду273×5 В-Ст3сп</t>
  </si>
  <si>
    <t xml:space="preserve">Насос центробежный вертикальный штанговый полупогружной DCV 125i-100-250 536-50-ТХ.0Л1 Н=89 м, Q=200 м3/ч, W=21кВт, 380/50 Гц со станиной и рабочей колонной Н=3040 мм</t>
  </si>
  <si>
    <t xml:space="preserve">Водянное ПЖТ</t>
  </si>
  <si>
    <t xml:space="preserve">Насос центробежный вертикальный штанговый полупогружной DCV 80-50-250 536-50-ТХ.0Л2 Н=68 м, Q=72 м3/ч, W=21кВт, 380/50 Гц со станиной и рабочей колонной Н=2040 мм</t>
  </si>
  <si>
    <t xml:space="preserve">Бак мембранный Airfix D-E 120 Py 16кгс/см2</t>
  </si>
  <si>
    <t xml:space="preserve">Сигнализирующий манометр ДМ2010Сг-VI ТУ 25.02.18335-84 Ру=1,6 Мпа</t>
  </si>
  <si>
    <t xml:space="preserve">Манометр показывающий радиальную МП4-У-16-1,5 ТУ25.02.18335-84</t>
  </si>
  <si>
    <t xml:space="preserve">Дисковый поворотный затвор ГРАНВЭЛ Типа СигевалРу 16 кгс/см2 ЗП-ВС-FL-3-80- MN-E</t>
  </si>
  <si>
    <t xml:space="preserve">Дисковый поворотный затвор ГРАНВЭЛ Типа СигевалРу 16 кгс/см2 с редуктором X-40 ЗП-ВС-FL-3-200- MDV-E</t>
  </si>
  <si>
    <t xml:space="preserve">Дисковый поворотный затвор ГРАНВЭЛ Типа СигевалРу 16 кгс/см2 с редуктором X-60 ЗП-ВС-FL-3-250- MDV-E</t>
  </si>
  <si>
    <t xml:space="preserve">Обратный клапан чугунный Ру 16 кгс/см2 CV-16 Ду 80мм</t>
  </si>
  <si>
    <t xml:space="preserve">Обратный клапан чугунный Ру 16 кгс/см2 CV-16 Ду 200мм</t>
  </si>
  <si>
    <t xml:space="preserve">Кран трехходовой натяжной муфтовый с фланцем для контрольного манометра 11Б18бк ТУ 26-07-1061-84 Ру 1,6 МПа Ду 15мм</t>
  </si>
  <si>
    <t xml:space="preserve">Внутреннее пожаротушение</t>
  </si>
  <si>
    <t xml:space="preserve">Ороситель дренчарный водяной горизонтальный ДВО1-РГо0,47-R1/2/В3-"ДВГ-12</t>
  </si>
  <si>
    <t xml:space="preserve">Ствол лафетный стационарный с оциллятором с диаметром насадки ствола 25 мм ЛС-С20Уо</t>
  </si>
  <si>
    <t xml:space="preserve">Дисковый поворотный затвор с ручкой Ду80 ГРАНИВЭЛ Типа Сигевал ЗП-ВС-FL-3-80-MN-E, Ру 10 Бар</t>
  </si>
  <si>
    <t xml:space="preserve">Дисковый поворотный затвор с ручкой Ду100 ГРАНИВЭЛ Типа Сигевал ЗП-ВС-FL-3-80-MN-E, Ру 10 Бар</t>
  </si>
  <si>
    <t xml:space="preserve">Дисковый поворотный затвор с ручкой Ду200 ГРАНИВЭЛ Типа Сигевал ЗП-ВС-FL-3-80-MN-E, Ру 10 Бар</t>
  </si>
  <si>
    <t xml:space="preserve">Дисковый поворотный затвор Ду100 с электроприводом ДЗЭ-100 ТУ4854-005-16820082-2008</t>
  </si>
  <si>
    <t xml:space="preserve">Дисковый поворотный затвор с ручкой Ду80 ручной ГРАНИВЭЛ Типа Сигевал ЗП-ВС-FL-3-80-MN-E, Ру 10 Бар</t>
  </si>
  <si>
    <t xml:space="preserve">Кран шаровый муфтовый проходной Ду50 11б 27п1</t>
  </si>
  <si>
    <t xml:space="preserve">Труба стальная электросварная Ду57*3,5 В-Ст3сп</t>
  </si>
  <si>
    <t xml:space="preserve">Труба стальная электросварная Ду76*3,5 В-Ст3сп</t>
  </si>
  <si>
    <t xml:space="preserve">Труба стальная электросварная Ду89*3,5 В-Ст3сп</t>
  </si>
  <si>
    <t xml:space="preserve">Труба стальная электросварная Ду108*4 ГОСТ 10704-91 В-Ст3сп</t>
  </si>
  <si>
    <t xml:space="preserve">75</t>
  </si>
  <si>
    <t xml:space="preserve">Труба стальная электросварная Ду159*5 В-Ст3сп</t>
  </si>
  <si>
    <t xml:space="preserve">Труба стальная электросварная Ду219*5 В-Ст3сп</t>
  </si>
  <si>
    <t xml:space="preserve">335</t>
  </si>
  <si>
    <t xml:space="preserve">Труба стальная водогазопроводная Ду32*3,2</t>
  </si>
  <si>
    <t xml:space="preserve">Административное здание Кольцовская, 78 и</t>
  </si>
  <si>
    <t xml:space="preserve">Прибор “Сигнал-20П”</t>
  </si>
  <si>
    <t xml:space="preserve">Блок индикации С2000-БКИ</t>
  </si>
  <si>
    <t xml:space="preserve">Извещатель ИП-212-141</t>
  </si>
  <si>
    <t xml:space="preserve">111</t>
  </si>
  <si>
    <t xml:space="preserve">Световое табло “Выход”</t>
  </si>
  <si>
    <t xml:space="preserve">Громкоговоритель АС-2</t>
  </si>
  <si>
    <t xml:space="preserve">Оповещательсвето-звуковой “Маяк-12 КП”</t>
  </si>
  <si>
    <t xml:space="preserve">Кабель КПСитFRLS1х2х0,5</t>
  </si>
  <si>
    <t xml:space="preserve">Кабель КПСитFRLS 2х2х0,5</t>
  </si>
  <si>
    <t xml:space="preserve">Прибор С2000М</t>
  </si>
  <si>
    <t xml:space="preserve">Административное здание Плехановская, 17</t>
  </si>
  <si>
    <t xml:space="preserve">Прибор «Гранит-5»</t>
  </si>
  <si>
    <t xml:space="preserve">36</t>
  </si>
  <si>
    <t xml:space="preserve">Котельная Туполева, 31-к</t>
  </si>
  <si>
    <t xml:space="preserve">Прибор приемно-контрольный СИБИРСКИЙ АРСЕНАЛ ГРАНИТ-5 ТУ 4372-015-12690085-15</t>
  </si>
  <si>
    <t xml:space="preserve">Выключатель автоматический ВА47-29 3Р 2А характеристика С ГОСТ Р 50030.2-2010</t>
  </si>
  <si>
    <t xml:space="preserve">Оповещатель светозвуковой пожарный Маяк-12 ТУ 4372-001-49518441-99</t>
  </si>
  <si>
    <t xml:space="preserve">Аккумулятор 12В 7А.ч Security Force SF 1207</t>
  </si>
  <si>
    <t xml:space="preserve">Оповещатель охранно-пожарный речевой ПКИ-РС1 (Говорун-И)</t>
  </si>
  <si>
    <t xml:space="preserve">Извещатель пожарный ручной электроконтактный ИПР 513-10 КБ Пожарная Автоматика ГОСТ 53325-2012</t>
  </si>
  <si>
    <t xml:space="preserve">ИЗВЕЩАТЕЛЬ ПОЖАРНЫЙ ИП 212-141 РУБЕЖ (45мкА 9-30В-45/+55С)</t>
  </si>
  <si>
    <t xml:space="preserve">Кабель-канал с двойным замком белый RAL 9003 20х10 Промрукав</t>
  </si>
  <si>
    <t xml:space="preserve">Труба ПВХ Д=20</t>
  </si>
  <si>
    <t xml:space="preserve">Кабель КПСЭнг(А)-FRHF 1х2х0,75 ТУ 3581-004-93497588-2011</t>
  </si>
  <si>
    <t xml:space="preserve">130</t>
  </si>
  <si>
    <t xml:space="preserve">Кабель силовой ВВГнг-LS 3х2,5 ГОСТ 31996-2012</t>
  </si>
  <si>
    <t xml:space="preserve">Оповещатель пожарный световой БЛИК-С-24 ВЫХОД</t>
  </si>
  <si>
    <t xml:space="preserve">Котельная Б.Хмельницкого, 79к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</si>
</sst>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#,##0.00"/>
    <numFmt numFmtId="168" formatCode="0.000"/>
    <numFmt numFmtId="169" formatCode="0.00"/>
    <numFmt numFmtId="170" formatCode="#,##0.###"/>
    <numFmt numFmtId="171" formatCode="#,##0.0"/>
    <numFmt numFmtId="172" formatCode="#,##0.##"/>
    <numFmt numFmtId="173" formatCode="0.0"/>
    <numFmt numFmtId="174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6" min="3" style="0" width="18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/>
      <c r="F4" s="3"/>
      <c r="G4" s="3" t="s">
        <v>5</v>
      </c>
    </row>
    <row r="5" customFormat="false" ht="16.4" hidden="false" customHeight="false" outlineLevel="0" collapsed="false">
      <c r="B5" s="4" t="s">
        <v>6</v>
      </c>
      <c r="C5" s="5" t="n">
        <f aca="false">'Персонал ТО'!C16</f>
        <v>10290000</v>
      </c>
      <c r="D5" s="6" t="n">
        <f aca="false">C5/C$10</f>
        <v>0.633602620148314</v>
      </c>
      <c r="E5" s="4"/>
      <c r="F5" s="4"/>
      <c r="G5" s="4" t="s">
        <v>7</v>
      </c>
    </row>
    <row r="6" customFormat="false" ht="16.4" hidden="false" customHeight="false" outlineLevel="0" collapsed="false">
      <c r="B6" s="4" t="s">
        <v>8</v>
      </c>
      <c r="C6" s="5" t="n">
        <f aca="false">Работы!O109</f>
        <v>197111.886907241</v>
      </c>
      <c r="D6" s="6" t="n">
        <f aca="false">C6/C$10</f>
        <v>0.0121370853262202</v>
      </c>
      <c r="E6" s="4"/>
      <c r="F6" s="4"/>
      <c r="G6" s="4" t="s">
        <v>9</v>
      </c>
    </row>
    <row r="7" customFormat="false" ht="31.3" hidden="false" customHeight="false" outlineLevel="0" collapsed="false">
      <c r="B7" s="4" t="s">
        <v>10</v>
      </c>
      <c r="C7" s="5" t="n">
        <f aca="false">Работы!P109</f>
        <v>89170</v>
      </c>
      <c r="D7" s="6" t="n">
        <f aca="false">C7/C$10</f>
        <v>0.00549060696196552</v>
      </c>
      <c r="E7" s="4"/>
      <c r="F7" s="4"/>
      <c r="G7" s="4" t="s">
        <v>11</v>
      </c>
    </row>
    <row r="8" customFormat="false" ht="16.4" hidden="false" customHeight="false" outlineLevel="0" collapsed="false">
      <c r="B8" s="4" t="s">
        <v>12</v>
      </c>
      <c r="C8" s="5" t="n">
        <f aca="false">Материалы!M22</f>
        <v>177141.03</v>
      </c>
      <c r="D8" s="6" t="n">
        <f aca="false">C8/C$10</f>
        <v>0.010907387827383</v>
      </c>
      <c r="E8" s="4"/>
      <c r="F8" s="4"/>
      <c r="G8" s="4" t="s">
        <v>13</v>
      </c>
    </row>
    <row r="9" customFormat="false" ht="16.4" hidden="false" customHeight="false" outlineLevel="0" collapsed="false">
      <c r="B9" s="4" t="s">
        <v>14</v>
      </c>
      <c r="C9" s="5" t="n">
        <f aca="false">Косвенные!G21</f>
        <v>5487040.22636592</v>
      </c>
      <c r="D9" s="6" t="n">
        <f aca="false">C9/C$10</f>
        <v>0.337862299736117</v>
      </c>
      <c r="E9" s="4"/>
      <c r="F9" s="4"/>
      <c r="G9" s="4" t="s">
        <v>15</v>
      </c>
    </row>
    <row r="10" customFormat="false" ht="16.4" hidden="false" customHeight="false" outlineLevel="0" collapsed="false">
      <c r="B10" s="7" t="s">
        <v>16</v>
      </c>
      <c r="C10" s="8" t="n">
        <f aca="false">SUM(C5:C9)</f>
        <v>16240463.1432732</v>
      </c>
      <c r="D10" s="9" t="n">
        <f aca="false">SUM(D5:D9)</f>
        <v>1</v>
      </c>
      <c r="E10" s="4"/>
      <c r="F10" s="4"/>
      <c r="G10" s="4"/>
    </row>
    <row r="12" customFormat="false" ht="45" hidden="false" customHeight="true" outlineLevel="0" collapsed="false">
      <c r="A12" s="3"/>
      <c r="B12" s="3" t="s">
        <v>17</v>
      </c>
      <c r="C12" s="3" t="s">
        <v>3</v>
      </c>
      <c r="D12" s="3" t="s">
        <v>4</v>
      </c>
      <c r="E12" s="3"/>
      <c r="F12" s="3"/>
      <c r="G12" s="3" t="s">
        <v>5</v>
      </c>
    </row>
    <row r="13" customFormat="false" ht="16.4" hidden="false" customHeight="false" outlineLevel="0" collapsed="false">
      <c r="B13" s="4" t="s">
        <v>18</v>
      </c>
      <c r="C13" s="10" t="n">
        <f aca="false">Работы!J99</f>
        <v>17898182.16</v>
      </c>
      <c r="D13" s="6" t="n">
        <f aca="false">C13/C$16</f>
        <v>0.928708767526921</v>
      </c>
      <c r="E13" s="4"/>
      <c r="F13" s="4"/>
      <c r="G13" s="4" t="s">
        <v>19</v>
      </c>
    </row>
    <row r="14" customFormat="false" ht="16.4" hidden="false" customHeight="false" outlineLevel="0" collapsed="false">
      <c r="B14" s="4" t="s">
        <v>20</v>
      </c>
      <c r="C14" s="10" t="n">
        <f aca="false">Работы!J107</f>
        <v>1206585</v>
      </c>
      <c r="D14" s="6" t="n">
        <f aca="false">C14/C$16</f>
        <v>0.0626078144835727</v>
      </c>
      <c r="E14" s="4"/>
      <c r="F14" s="4"/>
      <c r="G14" s="4" t="s">
        <v>19</v>
      </c>
    </row>
    <row r="15" customFormat="false" ht="16.4" hidden="false" customHeight="false" outlineLevel="0" collapsed="false">
      <c r="B15" s="4" t="s">
        <v>21</v>
      </c>
      <c r="C15" s="10" t="n">
        <f aca="false">Материалы!Q22</f>
        <v>167347.83</v>
      </c>
      <c r="D15" s="6" t="n">
        <f aca="false">C15/C$16</f>
        <v>0.0086834179895063</v>
      </c>
      <c r="E15" s="4"/>
      <c r="F15" s="4"/>
      <c r="G15" s="4" t="s">
        <v>13</v>
      </c>
    </row>
    <row r="16" customFormat="false" ht="16.4" hidden="false" customHeight="false" outlineLevel="0" collapsed="false">
      <c r="B16" s="7" t="s">
        <v>22</v>
      </c>
      <c r="C16" s="11" t="n">
        <f aca="false">SUM(C13:C15)</f>
        <v>19272114.99</v>
      </c>
      <c r="D16" s="4"/>
      <c r="E16" s="4"/>
      <c r="F16" s="4"/>
      <c r="G16" s="4"/>
    </row>
    <row r="17" customFormat="false" ht="16.4" hidden="false" customHeight="false" outlineLevel="0" collapsed="false">
      <c r="B17" s="4" t="s">
        <v>23</v>
      </c>
      <c r="C17" s="10" t="n">
        <f aca="false">ROUND(C16*0.22,2)</f>
        <v>4239865.3</v>
      </c>
      <c r="D17" s="4"/>
      <c r="E17" s="4"/>
      <c r="F17" s="4"/>
      <c r="G17" s="4"/>
    </row>
    <row r="18" customFormat="false" ht="16.4" hidden="false" customHeight="false" outlineLevel="0" collapsed="false">
      <c r="B18" s="7" t="s">
        <v>24</v>
      </c>
      <c r="C18" s="11" t="n">
        <f aca="false">C16+C17</f>
        <v>23511980.29</v>
      </c>
      <c r="D18" s="4"/>
      <c r="E18" s="4"/>
      <c r="F18" s="4"/>
      <c r="G18" s="4"/>
    </row>
    <row r="19" customFormat="false" ht="16.4" hidden="false" customHeight="false" outlineLevel="0" collapsed="false">
      <c r="B19" s="4" t="s">
        <v>25</v>
      </c>
      <c r="C19" s="10" t="n">
        <f aca="false">Работы!K99</f>
        <v>1491515.18</v>
      </c>
      <c r="D19" s="4"/>
      <c r="E19" s="4"/>
      <c r="F19" s="4"/>
      <c r="G19" s="4"/>
    </row>
    <row r="21" customFormat="false" ht="45" hidden="false" customHeight="true" outlineLevel="0" collapsed="false">
      <c r="A21" s="3"/>
      <c r="B21" s="3" t="s">
        <v>26</v>
      </c>
      <c r="C21" s="3" t="s">
        <v>27</v>
      </c>
      <c r="D21" s="3"/>
      <c r="E21" s="3"/>
      <c r="F21" s="3"/>
      <c r="G21" s="3" t="s">
        <v>28</v>
      </c>
    </row>
    <row r="22" customFormat="false" ht="16.4" hidden="false" customHeight="false" outlineLevel="0" collapsed="false">
      <c r="B22" s="4" t="s">
        <v>29</v>
      </c>
      <c r="C22" s="12" t="n">
        <f aca="false">C16/C10-1</f>
        <v>0.186672745720466</v>
      </c>
      <c r="D22" s="4"/>
      <c r="E22" s="4"/>
      <c r="F22" s="4"/>
      <c r="G22" s="4"/>
    </row>
    <row r="23" customFormat="false" ht="16.4" hidden="false" customHeight="false" outlineLevel="0" collapsed="false">
      <c r="B23" s="4" t="s">
        <v>30</v>
      </c>
      <c r="C23" s="12" t="n">
        <f aca="false">1-C10/C16</f>
        <v>0.157307687729132</v>
      </c>
      <c r="D23" s="4"/>
      <c r="E23" s="4"/>
      <c r="F23" s="4"/>
      <c r="G23" s="4"/>
    </row>
    <row r="24" customFormat="false" ht="16.4" hidden="false" customHeight="false" outlineLevel="0" collapsed="false">
      <c r="B24" s="4" t="s">
        <v>31</v>
      </c>
      <c r="C24" s="5" t="n">
        <f aca="false">C16-C10</f>
        <v>3031651.84672684</v>
      </c>
      <c r="D24" s="4"/>
      <c r="E24" s="4"/>
      <c r="F24" s="4"/>
      <c r="G24" s="4"/>
    </row>
    <row r="25" customFormat="false" ht="31.3" hidden="false" customHeight="false" outlineLevel="0" collapsed="false">
      <c r="B25" s="4" t="s">
        <v>32</v>
      </c>
      <c r="C25" s="4" t="s">
        <v>33</v>
      </c>
      <c r="D25" s="4"/>
      <c r="E25" s="4"/>
      <c r="F25" s="4"/>
      <c r="G25" s="4"/>
    </row>
    <row r="26" customFormat="false" ht="16.4" hidden="false" customHeight="false" outlineLevel="0" collapsed="false">
      <c r="B26" s="4" t="s">
        <v>34</v>
      </c>
      <c r="C26" s="4" t="s">
        <v>35</v>
      </c>
      <c r="D26" s="4"/>
      <c r="E26" s="4"/>
      <c r="F26" s="4"/>
      <c r="G26" s="4"/>
    </row>
    <row r="27" customFormat="false" ht="16.4" hidden="false" customHeight="false" outlineLevel="0" collapsed="false">
      <c r="B27" s="4" t="s">
        <v>36</v>
      </c>
      <c r="C27" s="7" t="str">
        <f aca="false">IF(C22&lt;0.15,"НИЖЕ 15 % — согласование ГД",IF(C22&gt;0.3,"выше диапазона","в диапазоне"))</f>
        <v>в диапазоне</v>
      </c>
      <c r="D27" s="4"/>
      <c r="E27" s="4"/>
      <c r="F27" s="4"/>
      <c r="G27" s="4"/>
    </row>
    <row r="28" customFormat="false" ht="16.4" hidden="false" customHeight="false" outlineLevel="0" collapsed="false">
      <c r="B28" s="4" t="s">
        <v>37</v>
      </c>
      <c r="C28" s="6" t="n">
        <f aca="false">Материалы!Q22/Материалы!M22-1</f>
        <v>-0.0552847637839747</v>
      </c>
      <c r="D28" s="4"/>
      <c r="E28" s="4"/>
      <c r="F28" s="4"/>
      <c r="G28" s="4"/>
    </row>
    <row r="29" customFormat="false" ht="16.4" hidden="false" customHeight="false" outlineLevel="0" collapsed="false">
      <c r="B29" s="4" t="s">
        <v>38</v>
      </c>
      <c r="C29" s="6" t="n">
        <f aca="false">(Работы!J109)/(Свод!C10-Материалы!M22)-1</f>
        <v>0.189340973509688</v>
      </c>
      <c r="D29" s="4"/>
      <c r="E29" s="4"/>
      <c r="F29" s="4"/>
      <c r="G29" s="4"/>
    </row>
    <row r="30" customFormat="false" ht="31.3" hidden="false" customHeight="false" outlineLevel="0" collapsed="false">
      <c r="B30" s="4" t="s">
        <v>39</v>
      </c>
      <c r="C30" s="4" t="s">
        <v>40</v>
      </c>
      <c r="D30" s="4"/>
      <c r="E30" s="4"/>
      <c r="F30" s="4"/>
      <c r="G30" s="4" t="s">
        <v>41</v>
      </c>
    </row>
    <row r="32" customFormat="false" ht="45" hidden="false" customHeight="true" outlineLevel="0" collapsed="false">
      <c r="A32" s="3"/>
      <c r="B32" s="3" t="s">
        <v>42</v>
      </c>
      <c r="C32" s="3" t="s">
        <v>43</v>
      </c>
      <c r="D32" s="3" t="s">
        <v>31</v>
      </c>
      <c r="E32" s="3" t="s">
        <v>44</v>
      </c>
      <c r="F32" s="3" t="s">
        <v>45</v>
      </c>
      <c r="G32" s="3" t="s">
        <v>28</v>
      </c>
    </row>
    <row r="33" customFormat="false" ht="16.4" hidden="false" customHeight="false" outlineLevel="0" collapsed="false">
      <c r="B33" s="4" t="s">
        <v>46</v>
      </c>
      <c r="C33" s="10" t="n">
        <f aca="false">ROUND($C$16*1,2)</f>
        <v>19272114.99</v>
      </c>
      <c r="D33" s="5" t="n">
        <f aca="false">C33-$C$10</f>
        <v>3031651.84672684</v>
      </c>
      <c r="E33" s="6" t="n">
        <f aca="false">D33/C33</f>
        <v>0.157307687729132</v>
      </c>
      <c r="F33" s="6" t="n">
        <f aca="false">C33/$C$10-1</f>
        <v>0.186672745720466</v>
      </c>
      <c r="G33" s="4"/>
    </row>
    <row r="34" customFormat="false" ht="16.4" hidden="false" customHeight="false" outlineLevel="0" collapsed="false">
      <c r="B34" s="4" t="s">
        <v>47</v>
      </c>
      <c r="C34" s="10" t="n">
        <f aca="false">ROUND($C$16*0.95,2)</f>
        <v>18308509.24</v>
      </c>
      <c r="D34" s="5" t="n">
        <f aca="false">C34-$C$10</f>
        <v>2068046.09672684</v>
      </c>
      <c r="E34" s="6" t="n">
        <f aca="false">D34/C34</f>
        <v>0.112955460743282</v>
      </c>
      <c r="F34" s="6" t="n">
        <f aca="false">C34/$C$10-1</f>
        <v>0.127339108403656</v>
      </c>
      <c r="G34" s="4"/>
    </row>
    <row r="35" customFormat="false" ht="16.4" hidden="false" customHeight="false" outlineLevel="0" collapsed="false">
      <c r="B35" s="4" t="s">
        <v>48</v>
      </c>
      <c r="C35" s="10" t="n">
        <f aca="false">ROUND($C$16*0.9,2)</f>
        <v>17344903.49</v>
      </c>
      <c r="D35" s="5" t="n">
        <f aca="false">C35-$C$10</f>
        <v>1104440.34672684</v>
      </c>
      <c r="E35" s="6" t="n">
        <f aca="false">D35/C35</f>
        <v>0.0636752085339414</v>
      </c>
      <c r="F35" s="6" t="n">
        <f aca="false">C35/$C$10-1</f>
        <v>0.0680054710868452</v>
      </c>
      <c r="G35" s="4"/>
    </row>
    <row r="36" customFormat="false" ht="16.4" hidden="false" customHeight="false" outlineLevel="0" collapsed="false">
      <c r="B36" s="7" t="s">
        <v>49</v>
      </c>
      <c r="C36" s="13" t="n">
        <f aca="false">ROUND($C$10*1.15,2)</f>
        <v>18676532.61</v>
      </c>
      <c r="D36" s="5" t="n">
        <f aca="false">C36-$C$10</f>
        <v>2436069.46672684</v>
      </c>
      <c r="E36" s="6" t="n">
        <f aca="false">D36/C36</f>
        <v>0.130434782386881</v>
      </c>
      <c r="F36" s="6" t="n">
        <f aca="false">C36/$C$10-1</f>
        <v>0.14999999970665</v>
      </c>
      <c r="G36" s="4" t="str">
        <f aca="false">TEXT(1-C36/C16,"0.0%")&amp;" — максимальная скидка от КП"</f>
        <v>3.1% — максимальная скидка от КП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50</v>
      </c>
    </row>
    <row r="3" customFormat="false" ht="31.3" hidden="false" customHeight="false" outlineLevel="0" collapsed="false">
      <c r="A3" s="7" t="s">
        <v>51</v>
      </c>
      <c r="B3" s="4" t="s">
        <v>52</v>
      </c>
    </row>
    <row r="4" customFormat="false" ht="46.25" hidden="false" customHeight="false" outlineLevel="0" collapsed="false">
      <c r="A4" s="7" t="s">
        <v>53</v>
      </c>
      <c r="B4" s="4" t="s">
        <v>54</v>
      </c>
    </row>
    <row r="5" customFormat="false" ht="46.25" hidden="false" customHeight="false" outlineLevel="0" collapsed="false">
      <c r="A5" s="7" t="s">
        <v>55</v>
      </c>
      <c r="B5" s="4" t="s">
        <v>56</v>
      </c>
    </row>
    <row r="6" customFormat="false" ht="31.3" hidden="false" customHeight="false" outlineLevel="0" collapsed="false">
      <c r="A6" s="7" t="s">
        <v>57</v>
      </c>
      <c r="B6" s="4" t="s">
        <v>58</v>
      </c>
    </row>
    <row r="7" customFormat="false" ht="76.1" hidden="false" customHeight="false" outlineLevel="0" collapsed="false">
      <c r="A7" s="7" t="s">
        <v>59</v>
      </c>
      <c r="B7" s="4" t="s">
        <v>60</v>
      </c>
    </row>
    <row r="8" customFormat="false" ht="76.1" hidden="false" customHeight="false" outlineLevel="0" collapsed="false">
      <c r="A8" s="7" t="s">
        <v>61</v>
      </c>
      <c r="B8" s="4" t="s">
        <v>62</v>
      </c>
    </row>
    <row r="9" customFormat="false" ht="16.4" hidden="false" customHeight="false" outlineLevel="0" collapsed="false">
      <c r="A9" s="7" t="s">
        <v>63</v>
      </c>
      <c r="B9" s="4" t="s">
        <v>64</v>
      </c>
    </row>
    <row r="10" customFormat="false" ht="46.25" hidden="false" customHeight="false" outlineLevel="0" collapsed="false">
      <c r="A10" s="7" t="s">
        <v>39</v>
      </c>
      <c r="B10" s="4" t="s">
        <v>65</v>
      </c>
    </row>
    <row r="11" customFormat="false" ht="16.4" hidden="false" customHeight="false" outlineLevel="0" collapsed="false">
      <c r="A11" s="7" t="s">
        <v>66</v>
      </c>
      <c r="B11" s="4" t="s">
        <v>67</v>
      </c>
    </row>
    <row r="12" customFormat="false" ht="16.4" hidden="false" customHeight="false" outlineLevel="0" collapsed="false">
      <c r="A12" s="7" t="s">
        <v>68</v>
      </c>
      <c r="B12" s="4" t="s">
        <v>69</v>
      </c>
    </row>
    <row r="13" customFormat="false" ht="16.4" hidden="false" customHeight="false" outlineLevel="0" collapsed="false">
      <c r="A13" s="7" t="s">
        <v>70</v>
      </c>
      <c r="B13" s="4" t="s">
        <v>71</v>
      </c>
    </row>
    <row r="14" customFormat="false" ht="31.3" hidden="false" customHeight="false" outlineLevel="0" collapsed="false">
      <c r="A14" s="7" t="s">
        <v>72</v>
      </c>
      <c r="B14" s="4" t="s">
        <v>73</v>
      </c>
    </row>
    <row r="15" customFormat="false" ht="16.4" hidden="false" customHeight="false" outlineLevel="0" collapsed="false">
      <c r="A15" s="7" t="s">
        <v>74</v>
      </c>
      <c r="B15" s="4" t="s">
        <v>75</v>
      </c>
    </row>
    <row r="16" customFormat="false" ht="46.25" hidden="false" customHeight="false" outlineLevel="0" collapsed="false">
      <c r="A16" s="7" t="s">
        <v>76</v>
      </c>
      <c r="B16" s="4" t="s">
        <v>77</v>
      </c>
    </row>
    <row r="17" customFormat="false" ht="31.3" hidden="false" customHeight="false" outlineLevel="0" collapsed="false">
      <c r="A17" s="7" t="s">
        <v>32</v>
      </c>
      <c r="B17" s="4" t="s">
        <v>78</v>
      </c>
    </row>
    <row r="18" customFormat="false" ht="31.3" hidden="false" customHeight="false" outlineLevel="0" collapsed="false">
      <c r="A18" s="7" t="s">
        <v>79</v>
      </c>
      <c r="B18" s="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45" hidden="false" customHeight="tru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94</v>
      </c>
      <c r="M4" s="3" t="s">
        <v>95</v>
      </c>
      <c r="N4" s="3" t="s">
        <v>96</v>
      </c>
      <c r="O4" s="3" t="s">
        <v>97</v>
      </c>
    </row>
    <row r="5" customFormat="false" ht="61.15" hidden="false" customHeight="false" outlineLevel="0" collapsed="false">
      <c r="A5" s="4" t="s">
        <v>98</v>
      </c>
      <c r="B5" s="4" t="s">
        <v>99</v>
      </c>
      <c r="C5" s="4" t="s">
        <v>100</v>
      </c>
      <c r="D5" s="14" t="n">
        <v>1</v>
      </c>
      <c r="E5" s="4" t="s">
        <v>101</v>
      </c>
      <c r="F5" s="15" t="n">
        <v>500</v>
      </c>
      <c r="G5" s="4" t="s">
        <v>102</v>
      </c>
      <c r="H5" s="15" t="n">
        <v>1431</v>
      </c>
      <c r="I5" s="4" t="s">
        <v>103</v>
      </c>
      <c r="J5" s="15" t="n">
        <v>1800</v>
      </c>
      <c r="K5" s="4" t="s">
        <v>104</v>
      </c>
      <c r="L5" s="10" t="n">
        <f aca="false">MEDIAN(F5,H5,J5)</f>
        <v>1431</v>
      </c>
      <c r="M5" s="16" t="n">
        <v>2.53</v>
      </c>
      <c r="N5" s="13" t="n">
        <f aca="false">ROUND(L5*M5,2)</f>
        <v>3620.43</v>
      </c>
      <c r="O5" s="4" t="s">
        <v>105</v>
      </c>
    </row>
    <row r="6" customFormat="false" ht="61.15" hidden="false" customHeight="false" outlineLevel="0" collapsed="false">
      <c r="A6" s="4" t="s">
        <v>106</v>
      </c>
      <c r="B6" s="4" t="s">
        <v>107</v>
      </c>
      <c r="C6" s="4" t="s">
        <v>100</v>
      </c>
      <c r="D6" s="14" t="n">
        <v>0.2</v>
      </c>
      <c r="E6" s="4" t="s">
        <v>108</v>
      </c>
      <c r="F6" s="15" t="n">
        <v>49</v>
      </c>
      <c r="G6" s="4" t="s">
        <v>109</v>
      </c>
      <c r="H6" s="15" t="n">
        <v>95</v>
      </c>
      <c r="I6" s="4" t="s">
        <v>110</v>
      </c>
      <c r="J6" s="15" t="n">
        <v>100</v>
      </c>
      <c r="K6" s="4" t="s">
        <v>111</v>
      </c>
      <c r="L6" s="10" t="n">
        <f aca="false">MEDIAN(F6,H6,J6)</f>
        <v>95</v>
      </c>
      <c r="M6" s="16" t="n">
        <v>2.53</v>
      </c>
      <c r="N6" s="13" t="n">
        <f aca="false">ROUND(L6*M6,2)</f>
        <v>240.35</v>
      </c>
      <c r="O6" s="4" t="s">
        <v>112</v>
      </c>
    </row>
    <row r="7" customFormat="false" ht="61.15" hidden="false" customHeight="false" outlineLevel="0" collapsed="false">
      <c r="A7" s="4" t="s">
        <v>113</v>
      </c>
      <c r="B7" s="4" t="s">
        <v>114</v>
      </c>
      <c r="C7" s="4" t="s">
        <v>100</v>
      </c>
      <c r="D7" s="14" t="n">
        <v>0.25</v>
      </c>
      <c r="E7" s="4" t="s">
        <v>115</v>
      </c>
      <c r="F7" s="15" t="n">
        <v>80</v>
      </c>
      <c r="G7" s="4" t="s">
        <v>116</v>
      </c>
      <c r="H7" s="15" t="n">
        <v>195</v>
      </c>
      <c r="I7" s="4" t="s">
        <v>117</v>
      </c>
      <c r="J7" s="15" t="n">
        <v>200</v>
      </c>
      <c r="K7" s="4" t="s">
        <v>102</v>
      </c>
      <c r="L7" s="10" t="n">
        <f aca="false">MEDIAN(F7,H7,J7)</f>
        <v>195</v>
      </c>
      <c r="M7" s="16" t="n">
        <v>2.53</v>
      </c>
      <c r="N7" s="13" t="n">
        <f aca="false">ROUND(L7*M7,2)</f>
        <v>493.35</v>
      </c>
      <c r="O7" s="4" t="s">
        <v>112</v>
      </c>
    </row>
    <row r="8" customFormat="false" ht="46.25" hidden="false" customHeight="false" outlineLevel="0" collapsed="false">
      <c r="A8" s="4" t="s">
        <v>118</v>
      </c>
      <c r="B8" s="4" t="s">
        <v>119</v>
      </c>
      <c r="C8" s="4" t="s">
        <v>100</v>
      </c>
      <c r="D8" s="14" t="n">
        <v>0.05</v>
      </c>
      <c r="E8" s="4" t="s">
        <v>120</v>
      </c>
      <c r="F8" s="15" t="n">
        <v>82</v>
      </c>
      <c r="G8" s="4" t="s">
        <v>121</v>
      </c>
      <c r="H8" s="15" t="n">
        <v>95</v>
      </c>
      <c r="I8" s="4" t="s">
        <v>117</v>
      </c>
      <c r="J8" s="15" t="n">
        <v>150</v>
      </c>
      <c r="K8" s="4" t="s">
        <v>122</v>
      </c>
      <c r="L8" s="10" t="n">
        <f aca="false">MEDIAN(F8,H8,J8)</f>
        <v>95</v>
      </c>
      <c r="M8" s="16" t="n">
        <v>2.53</v>
      </c>
      <c r="N8" s="13" t="n">
        <f aca="false">ROUND(L8*M8,2)</f>
        <v>240.35</v>
      </c>
      <c r="O8" s="4" t="s">
        <v>112</v>
      </c>
    </row>
    <row r="9" customFormat="false" ht="76.1" hidden="false" customHeight="false" outlineLevel="0" collapsed="false">
      <c r="A9" s="4" t="s">
        <v>123</v>
      </c>
      <c r="B9" s="4" t="s">
        <v>124</v>
      </c>
      <c r="C9" s="4" t="s">
        <v>100</v>
      </c>
      <c r="D9" s="14" t="n">
        <v>0.04</v>
      </c>
      <c r="E9" s="4" t="s">
        <v>125</v>
      </c>
      <c r="F9" s="15" t="n">
        <v>30</v>
      </c>
      <c r="G9" s="4" t="s">
        <v>102</v>
      </c>
      <c r="H9" s="15" t="n">
        <v>40</v>
      </c>
      <c r="I9" s="4" t="s">
        <v>126</v>
      </c>
      <c r="J9" s="15" t="n">
        <v>49</v>
      </c>
      <c r="K9" s="4" t="s">
        <v>127</v>
      </c>
      <c r="L9" s="10" t="n">
        <f aca="false">MEDIAN(F9,H9,J9)</f>
        <v>40</v>
      </c>
      <c r="M9" s="16" t="n">
        <v>2.53</v>
      </c>
      <c r="N9" s="13" t="n">
        <f aca="false">ROUND(L9*M9,2)</f>
        <v>101.2</v>
      </c>
      <c r="O9" s="4" t="s">
        <v>128</v>
      </c>
    </row>
    <row r="10" customFormat="false" ht="46.25" hidden="false" customHeight="false" outlineLevel="0" collapsed="false">
      <c r="A10" s="4" t="s">
        <v>129</v>
      </c>
      <c r="B10" s="4" t="s">
        <v>130</v>
      </c>
      <c r="C10" s="4" t="s">
        <v>100</v>
      </c>
      <c r="D10" s="14" t="n">
        <v>0.15</v>
      </c>
      <c r="E10" s="4" t="s">
        <v>131</v>
      </c>
      <c r="F10" s="15" t="n">
        <v>95</v>
      </c>
      <c r="G10" s="4" t="s">
        <v>117</v>
      </c>
      <c r="H10" s="15" t="n">
        <v>100</v>
      </c>
      <c r="I10" s="4" t="s">
        <v>132</v>
      </c>
      <c r="J10" s="4"/>
      <c r="K10" s="4"/>
      <c r="L10" s="10" t="n">
        <f aca="false">MEDIAN(F10,H10,J10)</f>
        <v>97.5</v>
      </c>
      <c r="M10" s="16" t="n">
        <v>2.53</v>
      </c>
      <c r="N10" s="13" t="n">
        <f aca="false">ROUND(L10*M10,2)</f>
        <v>246.68</v>
      </c>
      <c r="O10" s="4" t="s">
        <v>112</v>
      </c>
    </row>
    <row r="11" customFormat="false" ht="46.25" hidden="false" customHeight="false" outlineLevel="0" collapsed="false">
      <c r="A11" s="4" t="s">
        <v>133</v>
      </c>
      <c r="B11" s="4" t="s">
        <v>134</v>
      </c>
      <c r="C11" s="4" t="s">
        <v>100</v>
      </c>
      <c r="D11" s="14" t="n">
        <v>0.15</v>
      </c>
      <c r="E11" s="4" t="s">
        <v>135</v>
      </c>
      <c r="F11" s="15" t="n">
        <v>50</v>
      </c>
      <c r="G11" s="4" t="s">
        <v>132</v>
      </c>
      <c r="H11" s="15" t="n">
        <v>41</v>
      </c>
      <c r="I11" s="4" t="s">
        <v>136</v>
      </c>
      <c r="J11" s="15" t="n">
        <v>60</v>
      </c>
      <c r="K11" s="4" t="s">
        <v>137</v>
      </c>
      <c r="L11" s="10" t="n">
        <f aca="false">MEDIAN(F11,H11,J11)</f>
        <v>50</v>
      </c>
      <c r="M11" s="16" t="n">
        <v>2.53</v>
      </c>
      <c r="N11" s="13" t="n">
        <f aca="false">ROUND(L11*M11,2)</f>
        <v>126.5</v>
      </c>
      <c r="O11" s="4" t="s">
        <v>112</v>
      </c>
    </row>
    <row r="12" customFormat="false" ht="46.25" hidden="false" customHeight="false" outlineLevel="0" collapsed="false">
      <c r="A12" s="4" t="s">
        <v>138</v>
      </c>
      <c r="B12" s="4" t="s">
        <v>139</v>
      </c>
      <c r="C12" s="4" t="s">
        <v>140</v>
      </c>
      <c r="D12" s="14" t="n">
        <v>0.3</v>
      </c>
      <c r="E12" s="4" t="s">
        <v>141</v>
      </c>
      <c r="F12" s="15" t="n">
        <v>145</v>
      </c>
      <c r="G12" s="4" t="s">
        <v>117</v>
      </c>
      <c r="H12" s="15" t="n">
        <v>200</v>
      </c>
      <c r="I12" s="4" t="s">
        <v>142</v>
      </c>
      <c r="J12" s="15" t="n">
        <v>440</v>
      </c>
      <c r="K12" s="4" t="s">
        <v>127</v>
      </c>
      <c r="L12" s="10" t="n">
        <f aca="false">MEDIAN(F12,H12,J12)</f>
        <v>200</v>
      </c>
      <c r="M12" s="16" t="n">
        <v>2.53</v>
      </c>
      <c r="N12" s="13" t="n">
        <f aca="false">ROUND(L12*M12,2)</f>
        <v>506</v>
      </c>
      <c r="O12" s="4" t="s">
        <v>112</v>
      </c>
    </row>
    <row r="13" customFormat="false" ht="61.15" hidden="false" customHeight="false" outlineLevel="0" collapsed="false">
      <c r="A13" s="4" t="s">
        <v>143</v>
      </c>
      <c r="B13" s="4" t="s">
        <v>144</v>
      </c>
      <c r="C13" s="4" t="s">
        <v>145</v>
      </c>
      <c r="D13" s="14" t="n">
        <v>0.15</v>
      </c>
      <c r="E13" s="4" t="s">
        <v>146</v>
      </c>
      <c r="F13" s="15" t="n">
        <v>150</v>
      </c>
      <c r="G13" s="4" t="s">
        <v>147</v>
      </c>
      <c r="H13" s="4"/>
      <c r="I13" s="4"/>
      <c r="J13" s="4"/>
      <c r="K13" s="4"/>
      <c r="L13" s="10" t="n">
        <f aca="false">MEDIAN(F13,H13,J13)</f>
        <v>150</v>
      </c>
      <c r="M13" s="16" t="n">
        <v>2.53</v>
      </c>
      <c r="N13" s="13" t="n">
        <f aca="false">ROUND(L13*M13,2)</f>
        <v>379.5</v>
      </c>
      <c r="O13" s="4" t="s">
        <v>148</v>
      </c>
    </row>
    <row r="14" customFormat="false" ht="46.25" hidden="false" customHeight="false" outlineLevel="0" collapsed="false">
      <c r="A14" s="4" t="s">
        <v>149</v>
      </c>
      <c r="B14" s="4" t="s">
        <v>150</v>
      </c>
      <c r="C14" s="4" t="s">
        <v>100</v>
      </c>
      <c r="D14" s="14" t="n">
        <v>0.04</v>
      </c>
      <c r="E14" s="4" t="s">
        <v>151</v>
      </c>
      <c r="F14" s="15" t="n">
        <v>30</v>
      </c>
      <c r="G14" s="4" t="s">
        <v>102</v>
      </c>
      <c r="H14" s="15" t="n">
        <v>35</v>
      </c>
      <c r="I14" s="4" t="s">
        <v>142</v>
      </c>
      <c r="J14" s="15" t="n">
        <v>49</v>
      </c>
      <c r="K14" s="4" t="s">
        <v>127</v>
      </c>
      <c r="L14" s="10" t="n">
        <f aca="false">MEDIAN(F14,H14,J14)</f>
        <v>35</v>
      </c>
      <c r="M14" s="16" t="n">
        <v>2.53</v>
      </c>
      <c r="N14" s="13" t="n">
        <f aca="false">ROUND(L14*M14,2)</f>
        <v>88.55</v>
      </c>
      <c r="O14" s="4" t="s">
        <v>112</v>
      </c>
    </row>
    <row r="15" customFormat="false" ht="46.25" hidden="false" customHeight="false" outlineLevel="0" collapsed="false">
      <c r="A15" s="4" t="s">
        <v>152</v>
      </c>
      <c r="B15" s="4" t="s">
        <v>153</v>
      </c>
      <c r="C15" s="4" t="s">
        <v>100</v>
      </c>
      <c r="D15" s="14" t="n">
        <v>0.03</v>
      </c>
      <c r="E15" s="4" t="s">
        <v>154</v>
      </c>
      <c r="F15" s="15" t="n">
        <v>25</v>
      </c>
      <c r="G15" s="4" t="s">
        <v>155</v>
      </c>
      <c r="H15" s="15" t="n">
        <v>30</v>
      </c>
      <c r="I15" s="4" t="s">
        <v>102</v>
      </c>
      <c r="J15" s="15" t="n">
        <v>49</v>
      </c>
      <c r="K15" s="4" t="s">
        <v>127</v>
      </c>
      <c r="L15" s="10" t="n">
        <f aca="false">MEDIAN(F15,H15,J15)</f>
        <v>30</v>
      </c>
      <c r="M15" s="16" t="n">
        <v>2.53</v>
      </c>
      <c r="N15" s="13" t="n">
        <f aca="false">ROUND(L15*M15,2)</f>
        <v>75.9</v>
      </c>
      <c r="O15" s="4" t="s">
        <v>112</v>
      </c>
    </row>
    <row r="16" customFormat="false" ht="76.1" hidden="false" customHeight="false" outlineLevel="0" collapsed="false">
      <c r="A16" s="4" t="s">
        <v>156</v>
      </c>
      <c r="B16" s="4" t="s">
        <v>157</v>
      </c>
      <c r="C16" s="4" t="s">
        <v>100</v>
      </c>
      <c r="D16" s="14" t="n">
        <v>0.04</v>
      </c>
      <c r="E16" s="4" t="s">
        <v>158</v>
      </c>
      <c r="F16" s="15" t="n">
        <v>40</v>
      </c>
      <c r="G16" s="4" t="s">
        <v>159</v>
      </c>
      <c r="H16" s="15" t="n">
        <v>49</v>
      </c>
      <c r="I16" s="4" t="s">
        <v>127</v>
      </c>
      <c r="J16" s="15" t="n">
        <v>50</v>
      </c>
      <c r="K16" s="4" t="s">
        <v>132</v>
      </c>
      <c r="L16" s="10" t="n">
        <f aca="false">MEDIAN(F16,H16,J16)</f>
        <v>49</v>
      </c>
      <c r="M16" s="16" t="n">
        <v>2.53</v>
      </c>
      <c r="N16" s="13" t="n">
        <f aca="false">ROUND(L16*M16,2)</f>
        <v>123.97</v>
      </c>
      <c r="O16" s="4" t="s">
        <v>112</v>
      </c>
    </row>
    <row r="17" customFormat="false" ht="46.25" hidden="false" customHeight="false" outlineLevel="0" collapsed="false">
      <c r="A17" s="4" t="s">
        <v>160</v>
      </c>
      <c r="B17" s="4" t="s">
        <v>161</v>
      </c>
      <c r="C17" s="4" t="s">
        <v>100</v>
      </c>
      <c r="D17" s="14" t="n">
        <v>1</v>
      </c>
      <c r="E17" s="4" t="s">
        <v>162</v>
      </c>
      <c r="F17" s="15" t="n">
        <v>340</v>
      </c>
      <c r="G17" s="4" t="s">
        <v>163</v>
      </c>
      <c r="H17" s="15" t="n">
        <v>500</v>
      </c>
      <c r="I17" s="4" t="s">
        <v>164</v>
      </c>
      <c r="J17" s="15" t="n">
        <v>800</v>
      </c>
      <c r="K17" s="4" t="s">
        <v>165</v>
      </c>
      <c r="L17" s="10" t="n">
        <f aca="false">MEDIAN(F17,H17,J17)</f>
        <v>500</v>
      </c>
      <c r="M17" s="16" t="n">
        <v>2.53</v>
      </c>
      <c r="N17" s="13" t="n">
        <f aca="false">ROUND(L17*M17,2)</f>
        <v>1265</v>
      </c>
      <c r="O17" s="4" t="s">
        <v>112</v>
      </c>
    </row>
    <row r="18" customFormat="false" ht="46.25" hidden="false" customHeight="false" outlineLevel="0" collapsed="false">
      <c r="A18" s="4" t="s">
        <v>166</v>
      </c>
      <c r="B18" s="4" t="s">
        <v>167</v>
      </c>
      <c r="C18" s="4" t="s">
        <v>100</v>
      </c>
      <c r="D18" s="14" t="n">
        <v>0.3</v>
      </c>
      <c r="E18" s="4" t="s">
        <v>168</v>
      </c>
      <c r="F18" s="15" t="n">
        <v>375</v>
      </c>
      <c r="G18" s="4" t="s">
        <v>169</v>
      </c>
      <c r="H18" s="15" t="n">
        <v>450</v>
      </c>
      <c r="I18" s="4" t="s">
        <v>170</v>
      </c>
      <c r="J18" s="15" t="n">
        <v>725</v>
      </c>
      <c r="K18" s="4" t="s">
        <v>171</v>
      </c>
      <c r="L18" s="10" t="n">
        <f aca="false">MEDIAN(F18,H18,J18)</f>
        <v>450</v>
      </c>
      <c r="M18" s="16" t="n">
        <v>2.53</v>
      </c>
      <c r="N18" s="13" t="n">
        <f aca="false">ROUND(L18*M18,2)</f>
        <v>1138.5</v>
      </c>
      <c r="O18" s="4" t="s">
        <v>112</v>
      </c>
    </row>
    <row r="19" customFormat="false" ht="46.25" hidden="false" customHeight="false" outlineLevel="0" collapsed="false">
      <c r="A19" s="4" t="s">
        <v>172</v>
      </c>
      <c r="B19" s="4" t="s">
        <v>173</v>
      </c>
      <c r="C19" s="4" t="s">
        <v>140</v>
      </c>
      <c r="D19" s="14" t="n">
        <v>2</v>
      </c>
      <c r="E19" s="4" t="s">
        <v>174</v>
      </c>
      <c r="F19" s="15" t="n">
        <v>1639</v>
      </c>
      <c r="G19" s="4" t="s">
        <v>175</v>
      </c>
      <c r="H19" s="15" t="n">
        <v>1700</v>
      </c>
      <c r="I19" s="4" t="s">
        <v>176</v>
      </c>
      <c r="J19" s="15" t="n">
        <v>1990</v>
      </c>
      <c r="K19" s="4" t="s">
        <v>177</v>
      </c>
      <c r="L19" s="10" t="n">
        <f aca="false">MEDIAN(F19,H19,J19)</f>
        <v>1700</v>
      </c>
      <c r="M19" s="16" t="n">
        <v>2.53</v>
      </c>
      <c r="N19" s="13" t="n">
        <f aca="false">ROUND(L19*M19,2)</f>
        <v>4301</v>
      </c>
      <c r="O19" s="4" t="s">
        <v>112</v>
      </c>
    </row>
    <row r="20" customFormat="false" ht="46.25" hidden="false" customHeight="false" outlineLevel="0" collapsed="false">
      <c r="A20" s="4" t="s">
        <v>178</v>
      </c>
      <c r="B20" s="4" t="s">
        <v>179</v>
      </c>
      <c r="C20" s="4" t="s">
        <v>145</v>
      </c>
      <c r="D20" s="14" t="n">
        <v>0.02</v>
      </c>
      <c r="E20" s="4" t="s">
        <v>180</v>
      </c>
      <c r="F20" s="15" t="n">
        <v>10</v>
      </c>
      <c r="G20" s="4" t="s">
        <v>181</v>
      </c>
      <c r="H20" s="4"/>
      <c r="I20" s="4"/>
      <c r="J20" s="4"/>
      <c r="K20" s="4"/>
      <c r="L20" s="10" t="n">
        <f aca="false">MEDIAN(F20,H20,J20)</f>
        <v>10</v>
      </c>
      <c r="M20" s="16" t="n">
        <v>2.53</v>
      </c>
      <c r="N20" s="13" t="n">
        <f aca="false">ROUND(L20*M20,2)</f>
        <v>25.3</v>
      </c>
      <c r="O20" s="4" t="s">
        <v>182</v>
      </c>
    </row>
    <row r="21" customFormat="false" ht="46.25" hidden="false" customHeight="false" outlineLevel="0" collapsed="false">
      <c r="A21" s="4" t="s">
        <v>183</v>
      </c>
      <c r="B21" s="4" t="s">
        <v>184</v>
      </c>
      <c r="C21" s="4" t="s">
        <v>100</v>
      </c>
      <c r="D21" s="14" t="n">
        <v>0.03</v>
      </c>
      <c r="E21" s="4" t="s">
        <v>185</v>
      </c>
      <c r="F21" s="15" t="n">
        <v>10</v>
      </c>
      <c r="G21" s="4" t="s">
        <v>186</v>
      </c>
      <c r="H21" s="4"/>
      <c r="I21" s="4"/>
      <c r="J21" s="4"/>
      <c r="K21" s="4"/>
      <c r="L21" s="10" t="n">
        <f aca="false">MEDIAN(F21,H21,J21)</f>
        <v>10</v>
      </c>
      <c r="M21" s="16" t="n">
        <v>2.53</v>
      </c>
      <c r="N21" s="13" t="n">
        <f aca="false">ROUND(L21*M21,2)</f>
        <v>25.3</v>
      </c>
      <c r="O21" s="4" t="s">
        <v>187</v>
      </c>
    </row>
    <row r="22" customFormat="false" ht="61.15" hidden="false" customHeight="false" outlineLevel="0" collapsed="false">
      <c r="A22" s="4" t="s">
        <v>188</v>
      </c>
      <c r="B22" s="4" t="s">
        <v>189</v>
      </c>
      <c r="C22" s="4" t="s">
        <v>145</v>
      </c>
      <c r="D22" s="14" t="n">
        <v>0.25</v>
      </c>
      <c r="E22" s="4" t="s">
        <v>190</v>
      </c>
      <c r="F22" s="15" t="n">
        <v>200</v>
      </c>
      <c r="G22" s="4" t="s">
        <v>191</v>
      </c>
      <c r="H22" s="4"/>
      <c r="I22" s="4"/>
      <c r="J22" s="4"/>
      <c r="K22" s="4"/>
      <c r="L22" s="10" t="n">
        <f aca="false">MEDIAN(F22,H22,J22)</f>
        <v>200</v>
      </c>
      <c r="M22" s="16" t="n">
        <v>2.53</v>
      </c>
      <c r="N22" s="13" t="n">
        <f aca="false">ROUND(L22*M22,2)</f>
        <v>506</v>
      </c>
      <c r="O22" s="4" t="s">
        <v>192</v>
      </c>
    </row>
    <row r="23" customFormat="false" ht="61.15" hidden="false" customHeight="false" outlineLevel="0" collapsed="false">
      <c r="A23" s="4" t="s">
        <v>193</v>
      </c>
      <c r="B23" s="4" t="s">
        <v>194</v>
      </c>
      <c r="C23" s="4" t="s">
        <v>100</v>
      </c>
      <c r="D23" s="14" t="n">
        <v>0.25</v>
      </c>
      <c r="E23" s="4" t="s">
        <v>195</v>
      </c>
      <c r="F23" s="15" t="n">
        <v>150</v>
      </c>
      <c r="G23" s="4" t="s">
        <v>196</v>
      </c>
      <c r="H23" s="4"/>
      <c r="I23" s="4"/>
      <c r="J23" s="4"/>
      <c r="K23" s="4"/>
      <c r="L23" s="10" t="n">
        <f aca="false">MEDIAN(F23,H23,J23)</f>
        <v>150</v>
      </c>
      <c r="M23" s="16" t="n">
        <v>2.53</v>
      </c>
      <c r="N23" s="13" t="n">
        <f aca="false">ROUND(L23*M23,2)</f>
        <v>379.5</v>
      </c>
      <c r="O23" s="4" t="s">
        <v>187</v>
      </c>
    </row>
    <row r="24" customFormat="false" ht="46.25" hidden="false" customHeight="false" outlineLevel="0" collapsed="false">
      <c r="A24" s="4" t="s">
        <v>197</v>
      </c>
      <c r="B24" s="4" t="s">
        <v>198</v>
      </c>
      <c r="C24" s="4" t="s">
        <v>100</v>
      </c>
      <c r="D24" s="14" t="n">
        <v>1</v>
      </c>
      <c r="E24" s="4" t="s">
        <v>199</v>
      </c>
      <c r="F24" s="15" t="n">
        <v>750</v>
      </c>
      <c r="G24" s="4" t="s">
        <v>200</v>
      </c>
      <c r="H24" s="15" t="n">
        <v>800</v>
      </c>
      <c r="I24" s="4" t="s">
        <v>201</v>
      </c>
      <c r="J24" s="4"/>
      <c r="K24" s="4"/>
      <c r="L24" s="10" t="n">
        <f aca="false">MEDIAN(F24,H24,J24)</f>
        <v>775</v>
      </c>
      <c r="M24" s="16" t="n">
        <v>2.53</v>
      </c>
      <c r="N24" s="13" t="n">
        <f aca="false">ROUND(L24*M24,2)</f>
        <v>1960.75</v>
      </c>
      <c r="O24" s="4" t="s">
        <v>112</v>
      </c>
    </row>
    <row r="25" customFormat="false" ht="61.15" hidden="false" customHeight="false" outlineLevel="0" collapsed="false">
      <c r="A25" s="4" t="s">
        <v>202</v>
      </c>
      <c r="B25" s="4" t="s">
        <v>203</v>
      </c>
      <c r="C25" s="4" t="s">
        <v>100</v>
      </c>
      <c r="D25" s="14" t="n">
        <v>0.03</v>
      </c>
      <c r="E25" s="4" t="s">
        <v>204</v>
      </c>
      <c r="F25" s="15" t="n">
        <v>2</v>
      </c>
      <c r="G25" s="4" t="s">
        <v>205</v>
      </c>
      <c r="H25" s="15" t="n">
        <v>26</v>
      </c>
      <c r="I25" s="4" t="s">
        <v>206</v>
      </c>
      <c r="J25" s="4"/>
      <c r="K25" s="4"/>
      <c r="L25" s="10" t="n">
        <f aca="false">MEDIAN(F25,H25,J25)</f>
        <v>14</v>
      </c>
      <c r="M25" s="16" t="n">
        <v>2.53</v>
      </c>
      <c r="N25" s="13" t="n">
        <f aca="false">ROUND(L25*M25,2)</f>
        <v>35.42</v>
      </c>
      <c r="O25" s="4" t="s">
        <v>112</v>
      </c>
    </row>
    <row r="26" customFormat="false" ht="61.15" hidden="false" customHeight="false" outlineLevel="0" collapsed="false">
      <c r="A26" s="4" t="s">
        <v>207</v>
      </c>
      <c r="B26" s="4" t="s">
        <v>208</v>
      </c>
      <c r="C26" s="4" t="s">
        <v>100</v>
      </c>
      <c r="D26" s="14" t="n">
        <v>0.25</v>
      </c>
      <c r="E26" s="4" t="s">
        <v>209</v>
      </c>
      <c r="F26" s="15" t="n">
        <v>138</v>
      </c>
      <c r="G26" s="4" t="s">
        <v>210</v>
      </c>
      <c r="H26" s="4"/>
      <c r="I26" s="4"/>
      <c r="J26" s="4"/>
      <c r="K26" s="4"/>
      <c r="L26" s="10" t="n">
        <f aca="false">MEDIAN(F26,H26,J26)</f>
        <v>138</v>
      </c>
      <c r="M26" s="16" t="n">
        <v>2.53</v>
      </c>
      <c r="N26" s="13" t="n">
        <f aca="false">ROUND(L26*M26,2)</f>
        <v>349.14</v>
      </c>
      <c r="O26" s="4" t="s">
        <v>211</v>
      </c>
    </row>
    <row r="27" customFormat="false" ht="61.15" hidden="false" customHeight="false" outlineLevel="0" collapsed="false">
      <c r="A27" s="4" t="s">
        <v>212</v>
      </c>
      <c r="B27" s="4" t="s">
        <v>213</v>
      </c>
      <c r="C27" s="4" t="s">
        <v>100</v>
      </c>
      <c r="D27" s="14" t="n">
        <v>4</v>
      </c>
      <c r="E27" s="4" t="s">
        <v>214</v>
      </c>
      <c r="F27" s="15" t="n">
        <v>1995</v>
      </c>
      <c r="G27" s="4" t="s">
        <v>215</v>
      </c>
      <c r="H27" s="15" t="n">
        <v>2646</v>
      </c>
      <c r="I27" s="4" t="s">
        <v>216</v>
      </c>
      <c r="J27" s="15" t="n">
        <v>6000</v>
      </c>
      <c r="K27" s="4" t="s">
        <v>217</v>
      </c>
      <c r="L27" s="10" t="n">
        <f aca="false">MEDIAN(F27,H27,J27)</f>
        <v>2646</v>
      </c>
      <c r="M27" s="16" t="n">
        <v>2.53</v>
      </c>
      <c r="N27" s="13" t="n">
        <f aca="false">ROUND(L27*M27,2)</f>
        <v>6694.38</v>
      </c>
      <c r="O27" s="4" t="s">
        <v>112</v>
      </c>
    </row>
    <row r="28" customFormat="false" ht="46.25" hidden="false" customHeight="false" outlineLevel="0" collapsed="false">
      <c r="A28" s="4" t="s">
        <v>218</v>
      </c>
      <c r="B28" s="4" t="s">
        <v>219</v>
      </c>
      <c r="C28" s="4" t="s">
        <v>100</v>
      </c>
      <c r="D28" s="14" t="n">
        <v>1</v>
      </c>
      <c r="E28" s="4" t="s">
        <v>154</v>
      </c>
      <c r="F28" s="15" t="n">
        <v>300</v>
      </c>
      <c r="G28" s="4" t="s">
        <v>220</v>
      </c>
      <c r="H28" s="4"/>
      <c r="I28" s="4"/>
      <c r="J28" s="4"/>
      <c r="K28" s="4"/>
      <c r="L28" s="10" t="n">
        <f aca="false">MEDIAN(F28,H28,J28)</f>
        <v>300</v>
      </c>
      <c r="M28" s="16" t="n">
        <v>2.53</v>
      </c>
      <c r="N28" s="13" t="n">
        <f aca="false">ROUND(L28*M28,2)</f>
        <v>759</v>
      </c>
      <c r="O28" s="4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8" min="17" style="0" width="14"/>
    <col collapsed="false" customWidth="true" hidden="false" outlineLevel="0" max="19" min="19" style="0" width="8"/>
    <col collapsed="false" customWidth="true" hidden="false" outlineLevel="0" max="20" min="20" style="0" width="60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45" hidden="false" customHeight="true" outlineLevel="0" collapsed="false">
      <c r="A4" s="3" t="s">
        <v>223</v>
      </c>
      <c r="B4" s="3" t="s">
        <v>224</v>
      </c>
      <c r="C4" s="3" t="s">
        <v>83</v>
      </c>
      <c r="D4" s="3" t="s">
        <v>84</v>
      </c>
      <c r="E4" s="3" t="s">
        <v>85</v>
      </c>
      <c r="F4" s="3" t="s">
        <v>225</v>
      </c>
      <c r="G4" s="3" t="s">
        <v>226</v>
      </c>
      <c r="H4" s="3" t="s">
        <v>227</v>
      </c>
      <c r="I4" s="3" t="s">
        <v>228</v>
      </c>
      <c r="J4" s="3" t="s">
        <v>229</v>
      </c>
      <c r="K4" s="3" t="s">
        <v>230</v>
      </c>
      <c r="L4" s="3" t="s">
        <v>231</v>
      </c>
      <c r="M4" s="3" t="s">
        <v>232</v>
      </c>
      <c r="N4" s="3" t="s">
        <v>233</v>
      </c>
      <c r="O4" s="3" t="s">
        <v>234</v>
      </c>
      <c r="P4" s="3" t="s">
        <v>235</v>
      </c>
      <c r="Q4" s="3" t="s">
        <v>236</v>
      </c>
      <c r="R4" s="3" t="s">
        <v>237</v>
      </c>
      <c r="S4" s="3" t="s">
        <v>44</v>
      </c>
    </row>
    <row r="5" customFormat="false" ht="225.35" hidden="false" customHeight="false" outlineLevel="0" collapsed="false">
      <c r="A5" s="17" t="s">
        <v>238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customFormat="false" ht="46.25" hidden="false" customHeight="false" outlineLevel="0" collapsed="false">
      <c r="A6" s="4" t="n">
        <v>1</v>
      </c>
      <c r="B6" s="4" t="s">
        <v>239</v>
      </c>
      <c r="C6" s="4" t="s">
        <v>98</v>
      </c>
      <c r="D6" s="4" t="s">
        <v>99</v>
      </c>
      <c r="E6" s="4" t="s">
        <v>100</v>
      </c>
      <c r="F6" s="19" t="n">
        <v>34</v>
      </c>
      <c r="G6" s="4" t="s">
        <v>240</v>
      </c>
      <c r="H6" s="10" t="n">
        <f aca="false">'Ставки ТО'!$N$5</f>
        <v>3620.43</v>
      </c>
      <c r="I6" s="5" t="n">
        <v>12</v>
      </c>
      <c r="J6" s="10" t="n">
        <f aca="false">K6*I6</f>
        <v>1477135.44</v>
      </c>
      <c r="K6" s="10" t="n">
        <f aca="false">ROUND(F6*H6,2)</f>
        <v>123094.62</v>
      </c>
      <c r="L6" s="20" t="n">
        <f aca="false">'Ставки ТО'!$D$5</f>
        <v>1</v>
      </c>
      <c r="M6" s="21" t="n">
        <f aca="false">F6*L6*I6</f>
        <v>408</v>
      </c>
      <c r="N6" s="10" t="n">
        <f aca="false">M6*'Персонал ТО'!$C$17*(1+'Персонал ТО'!$C$9)</f>
        <v>473833.731031392</v>
      </c>
      <c r="O6" s="10" t="n">
        <f aca="false">N6*0.02</f>
        <v>9476.67462062784</v>
      </c>
      <c r="P6" s="10" t="n">
        <v>0</v>
      </c>
      <c r="Q6" s="10" t="n">
        <f aca="false">N6+O6+P6</f>
        <v>483310.40565202</v>
      </c>
      <c r="R6" s="10" t="n">
        <f aca="false">J6-Q6</f>
        <v>993825.03434798</v>
      </c>
      <c r="S6" s="6" t="n">
        <f aca="false">IF(J6&gt;0,R6/J6,"")</f>
        <v>0.672805625967501</v>
      </c>
    </row>
    <row r="7" customFormat="false" ht="31.3" hidden="false" customHeight="false" outlineLevel="0" collapsed="false">
      <c r="A7" s="4" t="n">
        <v>2</v>
      </c>
      <c r="B7" s="4" t="s">
        <v>239</v>
      </c>
      <c r="C7" s="4" t="s">
        <v>106</v>
      </c>
      <c r="D7" s="4" t="s">
        <v>107</v>
      </c>
      <c r="E7" s="4" t="s">
        <v>100</v>
      </c>
      <c r="F7" s="19" t="n">
        <v>12</v>
      </c>
      <c r="G7" s="4" t="s">
        <v>240</v>
      </c>
      <c r="H7" s="10" t="n">
        <f aca="false">'Ставки ТО'!$N$6</f>
        <v>240.35</v>
      </c>
      <c r="I7" s="5" t="n">
        <v>12</v>
      </c>
      <c r="J7" s="10" t="n">
        <f aca="false">K7*I7</f>
        <v>34610.4</v>
      </c>
      <c r="K7" s="10" t="n">
        <f aca="false">ROUND(F7*H7,2)</f>
        <v>2884.2</v>
      </c>
      <c r="L7" s="20" t="n">
        <f aca="false">'Ставки ТО'!$D$6</f>
        <v>0.2</v>
      </c>
      <c r="M7" s="21" t="n">
        <f aca="false">F7*L7*I7</f>
        <v>28.8</v>
      </c>
      <c r="N7" s="10" t="n">
        <f aca="false">M7*'Персонал ТО'!$C$17*(1+'Персонал ТО'!$C$9)</f>
        <v>33447.0868963335</v>
      </c>
      <c r="O7" s="10" t="n">
        <f aca="false">N7*0.02</f>
        <v>668.941737926671</v>
      </c>
      <c r="P7" s="10" t="n">
        <v>0</v>
      </c>
      <c r="Q7" s="10" t="n">
        <f aca="false">N7+O7+P7</f>
        <v>34116.0286342602</v>
      </c>
      <c r="R7" s="10" t="n">
        <f aca="false">J7-Q7</f>
        <v>494.371365739775</v>
      </c>
      <c r="S7" s="6" t="n">
        <f aca="false">IF(J7&gt;0,R7/J7,"")</f>
        <v>0.014283896335777</v>
      </c>
    </row>
    <row r="8" customFormat="false" ht="31.3" hidden="false" customHeight="false" outlineLevel="0" collapsed="false">
      <c r="A8" s="4" t="n">
        <v>3</v>
      </c>
      <c r="B8" s="4" t="s">
        <v>239</v>
      </c>
      <c r="C8" s="4" t="s">
        <v>113</v>
      </c>
      <c r="D8" s="4" t="s">
        <v>114</v>
      </c>
      <c r="E8" s="4" t="s">
        <v>100</v>
      </c>
      <c r="F8" s="19" t="n">
        <v>9</v>
      </c>
      <c r="G8" s="4" t="s">
        <v>240</v>
      </c>
      <c r="H8" s="10" t="n">
        <f aca="false">'Ставки ТО'!$N$7</f>
        <v>493.35</v>
      </c>
      <c r="I8" s="5" t="n">
        <v>12</v>
      </c>
      <c r="J8" s="10" t="n">
        <f aca="false">K8*I8</f>
        <v>53281.8</v>
      </c>
      <c r="K8" s="10" t="n">
        <f aca="false">ROUND(F8*H8,2)</f>
        <v>4440.15</v>
      </c>
      <c r="L8" s="20" t="n">
        <f aca="false">'Ставки ТО'!$D$7</f>
        <v>0.25</v>
      </c>
      <c r="M8" s="21" t="n">
        <f aca="false">F8*L8*I8</f>
        <v>27</v>
      </c>
      <c r="N8" s="10" t="n">
        <f aca="false">M8*'Персонал ТО'!$C$17*(1+'Персонал ТО'!$C$9)</f>
        <v>31356.6439653127</v>
      </c>
      <c r="O8" s="10" t="n">
        <f aca="false">N8*0.02</f>
        <v>627.132879306254</v>
      </c>
      <c r="P8" s="10" t="n">
        <v>0</v>
      </c>
      <c r="Q8" s="10" t="n">
        <f aca="false">N8+O8+P8</f>
        <v>31983.7768446189</v>
      </c>
      <c r="R8" s="10" t="n">
        <f aca="false">J8-Q8</f>
        <v>21298.023155381</v>
      </c>
      <c r="S8" s="6" t="n">
        <f aca="false">IF(J8&gt;0,R8/J8,"")</f>
        <v>0.399724167640377</v>
      </c>
    </row>
    <row r="9" customFormat="false" ht="31.3" hidden="false" customHeight="false" outlineLevel="0" collapsed="false">
      <c r="A9" s="4" t="n">
        <v>4</v>
      </c>
      <c r="B9" s="4" t="s">
        <v>239</v>
      </c>
      <c r="C9" s="4" t="s">
        <v>118</v>
      </c>
      <c r="D9" s="4" t="s">
        <v>119</v>
      </c>
      <c r="E9" s="4" t="s">
        <v>100</v>
      </c>
      <c r="F9" s="19" t="n">
        <v>21</v>
      </c>
      <c r="G9" s="4" t="s">
        <v>240</v>
      </c>
      <c r="H9" s="10" t="n">
        <f aca="false">'Ставки ТО'!$N$8</f>
        <v>240.35</v>
      </c>
      <c r="I9" s="5" t="n">
        <v>12</v>
      </c>
      <c r="J9" s="10" t="n">
        <f aca="false">K9*I9</f>
        <v>60568.2</v>
      </c>
      <c r="K9" s="10" t="n">
        <f aca="false">ROUND(F9*H9,2)</f>
        <v>5047.35</v>
      </c>
      <c r="L9" s="20" t="n">
        <f aca="false">'Ставки ТО'!$D$8</f>
        <v>0.05</v>
      </c>
      <c r="M9" s="21" t="n">
        <f aca="false">F9*L9*I9</f>
        <v>12.6</v>
      </c>
      <c r="N9" s="10" t="n">
        <f aca="false">M9*'Персонал ТО'!$C$17*(1+'Персонал ТО'!$C$9)</f>
        <v>14633.1005171459</v>
      </c>
      <c r="O9" s="10" t="n">
        <f aca="false">N9*0.02</f>
        <v>292.662010342919</v>
      </c>
      <c r="P9" s="10" t="n">
        <v>0</v>
      </c>
      <c r="Q9" s="10" t="n">
        <f aca="false">N9+O9+P9</f>
        <v>14925.7625274888</v>
      </c>
      <c r="R9" s="10" t="n">
        <f aca="false">J9-Q9</f>
        <v>45642.4374725112</v>
      </c>
      <c r="S9" s="6" t="n">
        <f aca="false">IF(J9&gt;0,R9/J9,"")</f>
        <v>0.753570974083944</v>
      </c>
    </row>
    <row r="10" customFormat="false" ht="31.3" hidden="false" customHeight="false" outlineLevel="0" collapsed="false">
      <c r="A10" s="4" t="n">
        <v>5</v>
      </c>
      <c r="B10" s="4" t="s">
        <v>239</v>
      </c>
      <c r="C10" s="4" t="s">
        <v>123</v>
      </c>
      <c r="D10" s="4" t="s">
        <v>124</v>
      </c>
      <c r="E10" s="4" t="s">
        <v>100</v>
      </c>
      <c r="F10" s="19" t="n">
        <v>1318</v>
      </c>
      <c r="G10" s="4" t="s">
        <v>240</v>
      </c>
      <c r="H10" s="10" t="n">
        <f aca="false">'Ставки ТО'!$N$9</f>
        <v>101.2</v>
      </c>
      <c r="I10" s="5" t="n">
        <v>12</v>
      </c>
      <c r="J10" s="10" t="n">
        <f aca="false">K10*I10</f>
        <v>1600579.2</v>
      </c>
      <c r="K10" s="10" t="n">
        <f aca="false">ROUND(F10*H10,2)</f>
        <v>133381.6</v>
      </c>
      <c r="L10" s="20" t="n">
        <f aca="false">'Ставки ТО'!$D$9</f>
        <v>0.04</v>
      </c>
      <c r="M10" s="21" t="n">
        <f aca="false">F10*L10*I10</f>
        <v>632.64</v>
      </c>
      <c r="N10" s="10" t="n">
        <f aca="false">M10*'Персонал ТО'!$C$17*(1+'Персонал ТО'!$C$9)</f>
        <v>734721.008822794</v>
      </c>
      <c r="O10" s="10" t="n">
        <f aca="false">N10*0.02</f>
        <v>14694.4201764559</v>
      </c>
      <c r="P10" s="10" t="n">
        <v>0</v>
      </c>
      <c r="Q10" s="10" t="n">
        <f aca="false">N10+O10+P10</f>
        <v>749415.428999249</v>
      </c>
      <c r="R10" s="10" t="n">
        <f aca="false">J10-Q10</f>
        <v>851163.771000751</v>
      </c>
      <c r="S10" s="6" t="n">
        <f aca="false">IF(J10&gt;0,R10/J10,"")</f>
        <v>0.531784850759494</v>
      </c>
    </row>
    <row r="11" customFormat="false" ht="31.3" hidden="false" customHeight="false" outlineLevel="0" collapsed="false">
      <c r="A11" s="4" t="n">
        <v>6</v>
      </c>
      <c r="B11" s="4" t="s">
        <v>239</v>
      </c>
      <c r="C11" s="4" t="s">
        <v>133</v>
      </c>
      <c r="D11" s="4" t="s">
        <v>134</v>
      </c>
      <c r="E11" s="4" t="s">
        <v>100</v>
      </c>
      <c r="F11" s="19" t="n">
        <v>12</v>
      </c>
      <c r="G11" s="4" t="s">
        <v>240</v>
      </c>
      <c r="H11" s="10" t="n">
        <f aca="false">'Ставки ТО'!$N$11</f>
        <v>126.5</v>
      </c>
      <c r="I11" s="5" t="n">
        <v>12</v>
      </c>
      <c r="J11" s="10" t="n">
        <f aca="false">K11*I11</f>
        <v>18216</v>
      </c>
      <c r="K11" s="10" t="n">
        <f aca="false">ROUND(F11*H11,2)</f>
        <v>1518</v>
      </c>
      <c r="L11" s="20" t="n">
        <f aca="false">'Ставки ТО'!$D$11</f>
        <v>0.15</v>
      </c>
      <c r="M11" s="21" t="n">
        <f aca="false">F11*L11*I11</f>
        <v>21.6</v>
      </c>
      <c r="N11" s="10" t="n">
        <f aca="false">M11*'Персонал ТО'!$C$17*(1+'Персонал ТО'!$C$9)</f>
        <v>25085.3151722502</v>
      </c>
      <c r="O11" s="10" t="n">
        <f aca="false">N11*0.02</f>
        <v>501.706303445003</v>
      </c>
      <c r="P11" s="10" t="n">
        <v>0</v>
      </c>
      <c r="Q11" s="10" t="n">
        <f aca="false">N11+O11+P11</f>
        <v>25587.0214756952</v>
      </c>
      <c r="R11" s="10" t="n">
        <f aca="false">J11-Q11</f>
        <v>-7371.02147569516</v>
      </c>
      <c r="S11" s="6" t="n">
        <f aca="false">IF(J11&gt;0,R11/J11,"")</f>
        <v>-0.404645447721517</v>
      </c>
    </row>
    <row r="12" customFormat="false" ht="31.3" hidden="false" customHeight="false" outlineLevel="0" collapsed="false">
      <c r="A12" s="4" t="n">
        <v>7</v>
      </c>
      <c r="B12" s="4" t="s">
        <v>239</v>
      </c>
      <c r="C12" s="4" t="s">
        <v>149</v>
      </c>
      <c r="D12" s="4" t="s">
        <v>150</v>
      </c>
      <c r="E12" s="4" t="s">
        <v>100</v>
      </c>
      <c r="F12" s="19" t="n">
        <v>144</v>
      </c>
      <c r="G12" s="4" t="s">
        <v>240</v>
      </c>
      <c r="H12" s="10" t="n">
        <f aca="false">'Ставки ТО'!$N$14</f>
        <v>88.55</v>
      </c>
      <c r="I12" s="5" t="n">
        <v>12</v>
      </c>
      <c r="J12" s="10" t="n">
        <f aca="false">K12*I12</f>
        <v>153014.4</v>
      </c>
      <c r="K12" s="10" t="n">
        <f aca="false">ROUND(F12*H12,2)</f>
        <v>12751.2</v>
      </c>
      <c r="L12" s="20" t="n">
        <f aca="false">'Ставки ТО'!$D$14</f>
        <v>0.04</v>
      </c>
      <c r="M12" s="21" t="n">
        <f aca="false">F12*L12*I12</f>
        <v>69.12</v>
      </c>
      <c r="N12" s="10" t="n">
        <f aca="false">M12*'Персонал ТО'!$C$17*(1+'Персонал ТО'!$C$9)</f>
        <v>80273.0085512005</v>
      </c>
      <c r="O12" s="10" t="n">
        <f aca="false">N12*0.02</f>
        <v>1605.46017102401</v>
      </c>
      <c r="P12" s="10" t="n">
        <v>0</v>
      </c>
      <c r="Q12" s="10" t="n">
        <f aca="false">N12+O12+P12</f>
        <v>81878.4687222245</v>
      </c>
      <c r="R12" s="10" t="n">
        <f aca="false">J12-Q12</f>
        <v>71135.9312777755</v>
      </c>
      <c r="S12" s="6" t="n">
        <f aca="false">IF(J12&gt;0,R12/J12,"")</f>
        <v>0.464896972296565</v>
      </c>
    </row>
    <row r="13" customFormat="false" ht="31.3" hidden="false" customHeight="false" outlineLevel="0" collapsed="false">
      <c r="A13" s="4" t="n">
        <v>8</v>
      </c>
      <c r="B13" s="4" t="s">
        <v>239</v>
      </c>
      <c r="C13" s="4" t="s">
        <v>156</v>
      </c>
      <c r="D13" s="4" t="s">
        <v>157</v>
      </c>
      <c r="E13" s="4" t="s">
        <v>100</v>
      </c>
      <c r="F13" s="19" t="n">
        <v>205</v>
      </c>
      <c r="G13" s="4" t="s">
        <v>240</v>
      </c>
      <c r="H13" s="10" t="n">
        <f aca="false">'Ставки ТО'!$N$16</f>
        <v>123.97</v>
      </c>
      <c r="I13" s="5" t="n">
        <v>12</v>
      </c>
      <c r="J13" s="10" t="n">
        <f aca="false">K13*I13</f>
        <v>304966.2</v>
      </c>
      <c r="K13" s="10" t="n">
        <f aca="false">ROUND(F13*H13,2)</f>
        <v>25413.85</v>
      </c>
      <c r="L13" s="20" t="n">
        <f aca="false">'Ставки ТО'!$D$16</f>
        <v>0.04</v>
      </c>
      <c r="M13" s="21" t="n">
        <f aca="false">F13*L13*I13</f>
        <v>98.4</v>
      </c>
      <c r="N13" s="10" t="n">
        <f aca="false">M13*'Персонал ТО'!$C$17*(1+'Персонал ТО'!$C$9)</f>
        <v>114277.546895806</v>
      </c>
      <c r="O13" s="10" t="n">
        <f aca="false">N13*0.02</f>
        <v>2285.55093791613</v>
      </c>
      <c r="P13" s="10" t="n">
        <v>0</v>
      </c>
      <c r="Q13" s="10" t="n">
        <f aca="false">N13+O13+P13</f>
        <v>116563.097833722</v>
      </c>
      <c r="R13" s="10" t="n">
        <f aca="false">J13-Q13</f>
        <v>188403.102166278</v>
      </c>
      <c r="S13" s="6" t="n">
        <f aca="false">IF(J13&gt;0,R13/J13,"")</f>
        <v>0.617783551640403</v>
      </c>
    </row>
    <row r="14" customFormat="false" ht="31.3" hidden="false" customHeight="false" outlineLevel="0" collapsed="false">
      <c r="A14" s="4" t="n">
        <v>9</v>
      </c>
      <c r="B14" s="4" t="s">
        <v>239</v>
      </c>
      <c r="C14" s="4" t="s">
        <v>160</v>
      </c>
      <c r="D14" s="4" t="s">
        <v>161</v>
      </c>
      <c r="E14" s="4" t="s">
        <v>100</v>
      </c>
      <c r="F14" s="19" t="n">
        <v>4</v>
      </c>
      <c r="G14" s="4" t="s">
        <v>240</v>
      </c>
      <c r="H14" s="10" t="n">
        <f aca="false">'Ставки ТО'!$N$17</f>
        <v>1265</v>
      </c>
      <c r="I14" s="5" t="n">
        <v>12</v>
      </c>
      <c r="J14" s="10" t="n">
        <f aca="false">K14*I14</f>
        <v>60720</v>
      </c>
      <c r="K14" s="10" t="n">
        <f aca="false">ROUND(F14*H14,2)</f>
        <v>5060</v>
      </c>
      <c r="L14" s="20" t="n">
        <f aca="false">'Ставки ТО'!$D$17</f>
        <v>1</v>
      </c>
      <c r="M14" s="21" t="n">
        <f aca="false">F14*L14*I14</f>
        <v>48</v>
      </c>
      <c r="N14" s="10" t="n">
        <f aca="false">M14*'Персонал ТО'!$C$17*(1+'Персонал ТО'!$C$9)</f>
        <v>55745.1448272226</v>
      </c>
      <c r="O14" s="10" t="n">
        <f aca="false">N14*0.02</f>
        <v>1114.90289654445</v>
      </c>
      <c r="P14" s="10" t="n">
        <v>0</v>
      </c>
      <c r="Q14" s="10" t="n">
        <f aca="false">N14+O14+P14</f>
        <v>56860.047723767</v>
      </c>
      <c r="R14" s="10" t="n">
        <f aca="false">J14-Q14</f>
        <v>3859.95227623298</v>
      </c>
      <c r="S14" s="6" t="n">
        <f aca="false">IF(J14&gt;0,R14/J14,"")</f>
        <v>0.0635697015189885</v>
      </c>
    </row>
    <row r="15" customFormat="false" ht="31.3" hidden="false" customHeight="false" outlineLevel="0" collapsed="false">
      <c r="A15" s="4" t="n">
        <v>10</v>
      </c>
      <c r="B15" s="4" t="s">
        <v>239</v>
      </c>
      <c r="C15" s="4" t="s">
        <v>178</v>
      </c>
      <c r="D15" s="4" t="s">
        <v>179</v>
      </c>
      <c r="E15" s="4" t="s">
        <v>145</v>
      </c>
      <c r="F15" s="19" t="n">
        <v>162.2</v>
      </c>
      <c r="G15" s="4" t="s">
        <v>240</v>
      </c>
      <c r="H15" s="10" t="n">
        <f aca="false">'Ставки ТО'!$N$20</f>
        <v>25.3</v>
      </c>
      <c r="I15" s="5" t="n">
        <v>12</v>
      </c>
      <c r="J15" s="10" t="n">
        <f aca="false">K15*I15</f>
        <v>49243.92</v>
      </c>
      <c r="K15" s="10" t="n">
        <f aca="false">ROUND(F15*H15,2)</f>
        <v>4103.66</v>
      </c>
      <c r="L15" s="20" t="n">
        <f aca="false">'Ставки ТО'!$D$20</f>
        <v>0.02</v>
      </c>
      <c r="M15" s="21" t="n">
        <f aca="false">F15*L15*I15</f>
        <v>38.928</v>
      </c>
      <c r="N15" s="10" t="n">
        <f aca="false">M15*'Персонал ТО'!$C$17*(1+'Персонал ТО'!$C$9)</f>
        <v>45209.3124548775</v>
      </c>
      <c r="O15" s="10" t="n">
        <f aca="false">N15*0.02</f>
        <v>904.18624909755</v>
      </c>
      <c r="P15" s="10" t="n">
        <v>0</v>
      </c>
      <c r="Q15" s="10" t="n">
        <f aca="false">N15+O15+P15</f>
        <v>46113.4987039751</v>
      </c>
      <c r="R15" s="10" t="n">
        <f aca="false">J15-Q15</f>
        <v>3130.42129602495</v>
      </c>
      <c r="S15" s="6" t="n">
        <f aca="false">IF(J15&gt;0,R15/J15,"")</f>
        <v>0.0635697015189885</v>
      </c>
    </row>
    <row r="16" customFormat="false" ht="31.3" hidden="false" customHeight="false" outlineLevel="0" collapsed="false">
      <c r="A16" s="4" t="n">
        <v>11</v>
      </c>
      <c r="B16" s="4" t="s">
        <v>239</v>
      </c>
      <c r="C16" s="4" t="s">
        <v>183</v>
      </c>
      <c r="D16" s="4" t="s">
        <v>184</v>
      </c>
      <c r="E16" s="4" t="s">
        <v>100</v>
      </c>
      <c r="F16" s="19" t="n">
        <v>201</v>
      </c>
      <c r="G16" s="4" t="s">
        <v>240</v>
      </c>
      <c r="H16" s="10" t="n">
        <f aca="false">'Ставки ТО'!$N$21</f>
        <v>25.3</v>
      </c>
      <c r="I16" s="5" t="n">
        <v>12</v>
      </c>
      <c r="J16" s="10" t="n">
        <f aca="false">K16*I16</f>
        <v>61023.6</v>
      </c>
      <c r="K16" s="10" t="n">
        <f aca="false">ROUND(F16*H16,2)</f>
        <v>5085.3</v>
      </c>
      <c r="L16" s="20" t="n">
        <f aca="false">'Ставки ТО'!$D$21</f>
        <v>0.03</v>
      </c>
      <c r="M16" s="21" t="n">
        <f aca="false">F16*L16*I16</f>
        <v>72.36</v>
      </c>
      <c r="N16" s="10" t="n">
        <f aca="false">M16*'Персонал ТО'!$C$17*(1+'Персонал ТО'!$C$9)</f>
        <v>84035.805827038</v>
      </c>
      <c r="O16" s="10" t="n">
        <f aca="false">N16*0.02</f>
        <v>1680.71611654076</v>
      </c>
      <c r="P16" s="10" t="n">
        <v>0</v>
      </c>
      <c r="Q16" s="10" t="n">
        <f aca="false">N16+O16+P16</f>
        <v>85716.5219435788</v>
      </c>
      <c r="R16" s="10" t="n">
        <f aca="false">J16-Q16</f>
        <v>-24692.9219435788</v>
      </c>
      <c r="S16" s="6" t="n">
        <f aca="false">IF(J16&gt;0,R16/J16,"")</f>
        <v>-0.404645447721517</v>
      </c>
    </row>
    <row r="17" customFormat="false" ht="16.4" hidden="false" customHeight="false" outlineLevel="0" collapsed="false">
      <c r="A17" s="22"/>
      <c r="B17" s="22"/>
      <c r="C17" s="22"/>
      <c r="D17" s="23" t="s">
        <v>241</v>
      </c>
      <c r="E17" s="22"/>
      <c r="F17" s="22"/>
      <c r="G17" s="22"/>
      <c r="H17" s="22"/>
      <c r="I17" s="22"/>
      <c r="J17" s="11" t="n">
        <f aca="false">SUM(J6:J16)</f>
        <v>3873359.16</v>
      </c>
      <c r="K17" s="11" t="n">
        <f aca="false">SUM(K6:K16)</f>
        <v>322779.93</v>
      </c>
      <c r="L17" s="22"/>
      <c r="M17" s="11" t="n">
        <f aca="false">SUM(M6:M16)</f>
        <v>1457.448</v>
      </c>
      <c r="N17" s="11" t="n">
        <f aca="false">SUM(N6:N16)</f>
        <v>1692617.70496137</v>
      </c>
      <c r="O17" s="11" t="n">
        <f aca="false">SUM(O6:O16)</f>
        <v>33852.3540992275</v>
      </c>
      <c r="P17" s="11" t="n">
        <f aca="false">SUM(P6:P16)</f>
        <v>0</v>
      </c>
      <c r="Q17" s="11" t="n">
        <f aca="false">SUM(Q6:Q16)</f>
        <v>1726470.0590606</v>
      </c>
      <c r="R17" s="11" t="n">
        <f aca="false">SUM(R6:R16)</f>
        <v>2146889.1009394</v>
      </c>
      <c r="S17" s="22"/>
    </row>
    <row r="18" customFormat="false" ht="225.35" hidden="false" customHeight="false" outlineLevel="0" collapsed="false">
      <c r="A18" s="17" t="s">
        <v>242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customFormat="false" ht="46.25" hidden="false" customHeight="false" outlineLevel="0" collapsed="false">
      <c r="A19" s="4" t="n">
        <v>12</v>
      </c>
      <c r="B19" s="4" t="s">
        <v>243</v>
      </c>
      <c r="C19" s="4" t="s">
        <v>98</v>
      </c>
      <c r="D19" s="4" t="s">
        <v>99</v>
      </c>
      <c r="E19" s="4" t="s">
        <v>100</v>
      </c>
      <c r="F19" s="19" t="n">
        <v>22</v>
      </c>
      <c r="G19" s="4" t="s">
        <v>240</v>
      </c>
      <c r="H19" s="10" t="n">
        <f aca="false">'Ставки ТО'!$N$5</f>
        <v>3620.43</v>
      </c>
      <c r="I19" s="5" t="n">
        <v>12</v>
      </c>
      <c r="J19" s="10" t="n">
        <f aca="false">K19*I19</f>
        <v>955793.52</v>
      </c>
      <c r="K19" s="10" t="n">
        <f aca="false">ROUND(F19*H19,2)</f>
        <v>79649.46</v>
      </c>
      <c r="L19" s="20" t="n">
        <f aca="false">'Ставки ТО'!$D$5</f>
        <v>1</v>
      </c>
      <c r="M19" s="21" t="n">
        <f aca="false">F19*L19*I19</f>
        <v>264</v>
      </c>
      <c r="N19" s="10" t="n">
        <f aca="false">M19*'Персонал ТО'!$C$17*(1+'Персонал ТО'!$C$9)</f>
        <v>306598.296549724</v>
      </c>
      <c r="O19" s="10" t="n">
        <f aca="false">N19*0.02</f>
        <v>6131.96593099448</v>
      </c>
      <c r="P19" s="10" t="n">
        <v>0</v>
      </c>
      <c r="Q19" s="10" t="n">
        <f aca="false">N19+O19+P19</f>
        <v>312730.262480719</v>
      </c>
      <c r="R19" s="10" t="n">
        <f aca="false">J19-Q19</f>
        <v>643063.257519282</v>
      </c>
      <c r="S19" s="6" t="n">
        <f aca="false">IF(J19&gt;0,R19/J19,"")</f>
        <v>0.672805625967501</v>
      </c>
    </row>
    <row r="20" customFormat="false" ht="31.3" hidden="false" customHeight="false" outlineLevel="0" collapsed="false">
      <c r="A20" s="4" t="n">
        <v>13</v>
      </c>
      <c r="B20" s="4" t="s">
        <v>243</v>
      </c>
      <c r="C20" s="4" t="s">
        <v>106</v>
      </c>
      <c r="D20" s="4" t="s">
        <v>107</v>
      </c>
      <c r="E20" s="4" t="s">
        <v>100</v>
      </c>
      <c r="F20" s="19" t="n">
        <v>45</v>
      </c>
      <c r="G20" s="4" t="s">
        <v>240</v>
      </c>
      <c r="H20" s="10" t="n">
        <f aca="false">'Ставки ТО'!$N$6</f>
        <v>240.35</v>
      </c>
      <c r="I20" s="5" t="n">
        <v>12</v>
      </c>
      <c r="J20" s="10" t="n">
        <f aca="false">K20*I20</f>
        <v>129789</v>
      </c>
      <c r="K20" s="10" t="n">
        <f aca="false">ROUND(F20*H20,2)</f>
        <v>10815.75</v>
      </c>
      <c r="L20" s="20" t="n">
        <f aca="false">'Ставки ТО'!$D$6</f>
        <v>0.2</v>
      </c>
      <c r="M20" s="21" t="n">
        <f aca="false">F20*L20*I20</f>
        <v>108</v>
      </c>
      <c r="N20" s="10" t="n">
        <f aca="false">M20*'Персонал ТО'!$C$17*(1+'Персонал ТО'!$C$9)</f>
        <v>125426.575861251</v>
      </c>
      <c r="O20" s="10" t="n">
        <f aca="false">N20*0.02</f>
        <v>2508.53151722502</v>
      </c>
      <c r="P20" s="10" t="n">
        <v>0</v>
      </c>
      <c r="Q20" s="10" t="n">
        <f aca="false">N20+O20+P20</f>
        <v>127935.107378476</v>
      </c>
      <c r="R20" s="10" t="n">
        <f aca="false">J20-Q20</f>
        <v>1853.89262152421</v>
      </c>
      <c r="S20" s="6" t="n">
        <f aca="false">IF(J20&gt;0,R20/J20,"")</f>
        <v>0.0142838963357774</v>
      </c>
    </row>
    <row r="21" customFormat="false" ht="31.3" hidden="false" customHeight="false" outlineLevel="0" collapsed="false">
      <c r="A21" s="4" t="n">
        <v>14</v>
      </c>
      <c r="B21" s="4" t="s">
        <v>243</v>
      </c>
      <c r="C21" s="4" t="s">
        <v>113</v>
      </c>
      <c r="D21" s="4" t="s">
        <v>114</v>
      </c>
      <c r="E21" s="4" t="s">
        <v>100</v>
      </c>
      <c r="F21" s="19" t="n">
        <v>26</v>
      </c>
      <c r="G21" s="4" t="s">
        <v>240</v>
      </c>
      <c r="H21" s="10" t="n">
        <f aca="false">'Ставки ТО'!$N$7</f>
        <v>493.35</v>
      </c>
      <c r="I21" s="5" t="n">
        <v>12</v>
      </c>
      <c r="J21" s="10" t="n">
        <f aca="false">K21*I21</f>
        <v>153925.2</v>
      </c>
      <c r="K21" s="10" t="n">
        <f aca="false">ROUND(F21*H21,2)</f>
        <v>12827.1</v>
      </c>
      <c r="L21" s="20" t="n">
        <f aca="false">'Ставки ТО'!$D$7</f>
        <v>0.25</v>
      </c>
      <c r="M21" s="21" t="n">
        <f aca="false">F21*L21*I21</f>
        <v>78</v>
      </c>
      <c r="N21" s="10" t="n">
        <f aca="false">M21*'Персонал ТО'!$C$17*(1+'Персонал ТО'!$C$9)</f>
        <v>90585.8603442367</v>
      </c>
      <c r="O21" s="10" t="n">
        <f aca="false">N21*0.02</f>
        <v>1811.71720688473</v>
      </c>
      <c r="P21" s="10" t="n">
        <v>0</v>
      </c>
      <c r="Q21" s="10" t="n">
        <f aca="false">N21+O21+P21</f>
        <v>92397.5775511214</v>
      </c>
      <c r="R21" s="10" t="n">
        <f aca="false">J21-Q21</f>
        <v>61527.6224488786</v>
      </c>
      <c r="S21" s="6" t="n">
        <f aca="false">IF(J21&gt;0,R21/J21,"")</f>
        <v>0.399724167640377</v>
      </c>
    </row>
    <row r="22" customFormat="false" ht="31.3" hidden="false" customHeight="false" outlineLevel="0" collapsed="false">
      <c r="A22" s="4" t="n">
        <v>15</v>
      </c>
      <c r="B22" s="4" t="s">
        <v>243</v>
      </c>
      <c r="C22" s="4" t="s">
        <v>118</v>
      </c>
      <c r="D22" s="4" t="s">
        <v>119</v>
      </c>
      <c r="E22" s="4" t="s">
        <v>100</v>
      </c>
      <c r="F22" s="19" t="n">
        <v>35</v>
      </c>
      <c r="G22" s="4" t="s">
        <v>240</v>
      </c>
      <c r="H22" s="10" t="n">
        <f aca="false">'Ставки ТО'!$N$8</f>
        <v>240.35</v>
      </c>
      <c r="I22" s="5" t="n">
        <v>12</v>
      </c>
      <c r="J22" s="10" t="n">
        <f aca="false">K22*I22</f>
        <v>100947</v>
      </c>
      <c r="K22" s="10" t="n">
        <f aca="false">ROUND(F22*H22,2)</f>
        <v>8412.25</v>
      </c>
      <c r="L22" s="20" t="n">
        <f aca="false">'Ставки ТО'!$D$8</f>
        <v>0.05</v>
      </c>
      <c r="M22" s="21" t="n">
        <f aca="false">F22*L22*I22</f>
        <v>21</v>
      </c>
      <c r="N22" s="10" t="n">
        <f aca="false">M22*'Персонал ТО'!$C$17*(1+'Персонал ТО'!$C$9)</f>
        <v>24388.5008619099</v>
      </c>
      <c r="O22" s="10" t="n">
        <f aca="false">N22*0.02</f>
        <v>487.770017238198</v>
      </c>
      <c r="P22" s="10" t="n">
        <v>0</v>
      </c>
      <c r="Q22" s="10" t="n">
        <f aca="false">N22+O22+P22</f>
        <v>24876.2708791481</v>
      </c>
      <c r="R22" s="10" t="n">
        <f aca="false">J22-Q22</f>
        <v>76070.7291208519</v>
      </c>
      <c r="S22" s="6" t="n">
        <f aca="false">IF(J22&gt;0,R22/J22,"")</f>
        <v>0.753570974083944</v>
      </c>
    </row>
    <row r="23" customFormat="false" ht="31.3" hidden="false" customHeight="false" outlineLevel="0" collapsed="false">
      <c r="A23" s="4" t="n">
        <v>16</v>
      </c>
      <c r="B23" s="4" t="s">
        <v>243</v>
      </c>
      <c r="C23" s="4" t="s">
        <v>123</v>
      </c>
      <c r="D23" s="4" t="s">
        <v>124</v>
      </c>
      <c r="E23" s="4" t="s">
        <v>100</v>
      </c>
      <c r="F23" s="19" t="n">
        <v>436</v>
      </c>
      <c r="G23" s="4" t="s">
        <v>240</v>
      </c>
      <c r="H23" s="10" t="n">
        <f aca="false">'Ставки ТО'!$N$9</f>
        <v>101.2</v>
      </c>
      <c r="I23" s="5" t="n">
        <v>12</v>
      </c>
      <c r="J23" s="10" t="n">
        <f aca="false">K23*I23</f>
        <v>529478.4</v>
      </c>
      <c r="K23" s="10" t="n">
        <f aca="false">ROUND(F23*H23,2)</f>
        <v>44123.2</v>
      </c>
      <c r="L23" s="20" t="n">
        <f aca="false">'Ставки ТО'!$D$9</f>
        <v>0.04</v>
      </c>
      <c r="M23" s="21" t="n">
        <f aca="false">F23*L23*I23</f>
        <v>209.28</v>
      </c>
      <c r="N23" s="10" t="n">
        <f aca="false">M23*'Персонал ТО'!$C$17*(1+'Персонал ТО'!$C$9)</f>
        <v>243048.83144669</v>
      </c>
      <c r="O23" s="10" t="n">
        <f aca="false">N23*0.02</f>
        <v>4860.97662893381</v>
      </c>
      <c r="P23" s="10" t="n">
        <v>0</v>
      </c>
      <c r="Q23" s="10" t="n">
        <f aca="false">N23+O23+P23</f>
        <v>247909.808075624</v>
      </c>
      <c r="R23" s="10" t="n">
        <f aca="false">J23-Q23</f>
        <v>281568.591924376</v>
      </c>
      <c r="S23" s="6" t="n">
        <f aca="false">IF(J23&gt;0,R23/J23,"")</f>
        <v>0.531784850759494</v>
      </c>
    </row>
    <row r="24" customFormat="false" ht="31.3" hidden="false" customHeight="false" outlineLevel="0" collapsed="false">
      <c r="A24" s="4" t="n">
        <v>17</v>
      </c>
      <c r="B24" s="4" t="s">
        <v>243</v>
      </c>
      <c r="C24" s="4" t="s">
        <v>129</v>
      </c>
      <c r="D24" s="4" t="s">
        <v>130</v>
      </c>
      <c r="E24" s="4" t="s">
        <v>100</v>
      </c>
      <c r="F24" s="19" t="n">
        <v>12</v>
      </c>
      <c r="G24" s="4" t="s">
        <v>240</v>
      </c>
      <c r="H24" s="10" t="n">
        <f aca="false">'Ставки ТО'!$N$10</f>
        <v>246.68</v>
      </c>
      <c r="I24" s="5" t="n">
        <v>12</v>
      </c>
      <c r="J24" s="10" t="n">
        <f aca="false">K24*I24</f>
        <v>35521.92</v>
      </c>
      <c r="K24" s="10" t="n">
        <f aca="false">ROUND(F24*H24,2)</f>
        <v>2960.16</v>
      </c>
      <c r="L24" s="20" t="n">
        <f aca="false">'Ставки ТО'!$D$10</f>
        <v>0.15</v>
      </c>
      <c r="M24" s="21" t="n">
        <f aca="false">F24*L24*I24</f>
        <v>21.6</v>
      </c>
      <c r="N24" s="10" t="n">
        <f aca="false">M24*'Персонал ТО'!$C$17*(1+'Персонал ТО'!$C$9)</f>
        <v>25085.3151722502</v>
      </c>
      <c r="O24" s="10" t="n">
        <f aca="false">N24*0.02</f>
        <v>501.706303445003</v>
      </c>
      <c r="P24" s="10" t="n">
        <v>0</v>
      </c>
      <c r="Q24" s="10" t="n">
        <f aca="false">N24+O24+P24</f>
        <v>25587.0214756952</v>
      </c>
      <c r="R24" s="10" t="n">
        <f aca="false">J24-Q24</f>
        <v>9934.89852430484</v>
      </c>
      <c r="S24" s="6" t="n">
        <f aca="false">IF(J24&gt;0,R24/J24,"")</f>
        <v>0.279683601683266</v>
      </c>
    </row>
    <row r="25" customFormat="false" ht="31.3" hidden="false" customHeight="false" outlineLevel="0" collapsed="false">
      <c r="A25" s="4" t="n">
        <v>18</v>
      </c>
      <c r="B25" s="4" t="s">
        <v>243</v>
      </c>
      <c r="C25" s="4" t="s">
        <v>133</v>
      </c>
      <c r="D25" s="4" t="s">
        <v>134</v>
      </c>
      <c r="E25" s="4" t="s">
        <v>100</v>
      </c>
      <c r="F25" s="19" t="n">
        <v>14</v>
      </c>
      <c r="G25" s="4" t="s">
        <v>240</v>
      </c>
      <c r="H25" s="10" t="n">
        <f aca="false">'Ставки ТО'!$N$11</f>
        <v>126.5</v>
      </c>
      <c r="I25" s="5" t="n">
        <v>12</v>
      </c>
      <c r="J25" s="10" t="n">
        <f aca="false">K25*I25</f>
        <v>21252</v>
      </c>
      <c r="K25" s="10" t="n">
        <f aca="false">ROUND(F25*H25,2)</f>
        <v>1771</v>
      </c>
      <c r="L25" s="20" t="n">
        <f aca="false">'Ставки ТО'!$D$11</f>
        <v>0.15</v>
      </c>
      <c r="M25" s="21" t="n">
        <f aca="false">F25*L25*I25</f>
        <v>25.2</v>
      </c>
      <c r="N25" s="10" t="n">
        <f aca="false">M25*'Персонал ТО'!$C$17*(1+'Персонал ТО'!$C$9)</f>
        <v>29266.2010342919</v>
      </c>
      <c r="O25" s="10" t="n">
        <f aca="false">N25*0.02</f>
        <v>585.324020685837</v>
      </c>
      <c r="P25" s="10" t="n">
        <v>0</v>
      </c>
      <c r="Q25" s="10" t="n">
        <f aca="false">N25+O25+P25</f>
        <v>29851.5250549777</v>
      </c>
      <c r="R25" s="10" t="n">
        <f aca="false">J25-Q25</f>
        <v>-8599.52505497769</v>
      </c>
      <c r="S25" s="6" t="n">
        <f aca="false">IF(J25&gt;0,R25/J25,"")</f>
        <v>-0.404645447721518</v>
      </c>
    </row>
    <row r="26" customFormat="false" ht="31.3" hidden="false" customHeight="false" outlineLevel="0" collapsed="false">
      <c r="A26" s="4" t="n">
        <v>19</v>
      </c>
      <c r="B26" s="4" t="s">
        <v>243</v>
      </c>
      <c r="C26" s="4" t="s">
        <v>143</v>
      </c>
      <c r="D26" s="4" t="s">
        <v>144</v>
      </c>
      <c r="E26" s="4" t="s">
        <v>145</v>
      </c>
      <c r="F26" s="19" t="n">
        <v>14.2</v>
      </c>
      <c r="G26" s="4" t="s">
        <v>240</v>
      </c>
      <c r="H26" s="10" t="n">
        <f aca="false">'Ставки ТО'!$N$13</f>
        <v>379.5</v>
      </c>
      <c r="I26" s="5" t="n">
        <v>12</v>
      </c>
      <c r="J26" s="10" t="n">
        <f aca="false">K26*I26</f>
        <v>64666.8</v>
      </c>
      <c r="K26" s="10" t="n">
        <f aca="false">ROUND(F26*H26,2)</f>
        <v>5388.9</v>
      </c>
      <c r="L26" s="20" t="n">
        <f aca="false">'Ставки ТО'!$D$13</f>
        <v>0.15</v>
      </c>
      <c r="M26" s="21" t="n">
        <f aca="false">F26*L26*I26</f>
        <v>25.56</v>
      </c>
      <c r="N26" s="10" t="n">
        <f aca="false">M26*'Персонал ТО'!$C$17*(1+'Персонал ТО'!$C$9)</f>
        <v>29684.289620496</v>
      </c>
      <c r="O26" s="10" t="n">
        <f aca="false">N26*0.02</f>
        <v>593.68579240992</v>
      </c>
      <c r="P26" s="10" t="n">
        <v>0</v>
      </c>
      <c r="Q26" s="10" t="n">
        <f aca="false">N26+O26+P26</f>
        <v>30277.9754129059</v>
      </c>
      <c r="R26" s="10" t="n">
        <f aca="false">J26-Q26</f>
        <v>34388.8245870941</v>
      </c>
      <c r="S26" s="6" t="n">
        <f aca="false">IF(J26&gt;0,R26/J26,"")</f>
        <v>0.531784850759494</v>
      </c>
    </row>
    <row r="27" customFormat="false" ht="31.3" hidden="false" customHeight="false" outlineLevel="0" collapsed="false">
      <c r="A27" s="4" t="n">
        <v>20</v>
      </c>
      <c r="B27" s="4" t="s">
        <v>243</v>
      </c>
      <c r="C27" s="4" t="s">
        <v>149</v>
      </c>
      <c r="D27" s="4" t="s">
        <v>150</v>
      </c>
      <c r="E27" s="4" t="s">
        <v>100</v>
      </c>
      <c r="F27" s="19" t="n">
        <v>201</v>
      </c>
      <c r="G27" s="4" t="s">
        <v>240</v>
      </c>
      <c r="H27" s="10" t="n">
        <f aca="false">'Ставки ТО'!$N$14</f>
        <v>88.55</v>
      </c>
      <c r="I27" s="5" t="n">
        <v>12</v>
      </c>
      <c r="J27" s="10" t="n">
        <f aca="false">K27*I27</f>
        <v>213582.6</v>
      </c>
      <c r="K27" s="10" t="n">
        <f aca="false">ROUND(F27*H27,2)</f>
        <v>17798.55</v>
      </c>
      <c r="L27" s="20" t="n">
        <f aca="false">'Ставки ТО'!$D$14</f>
        <v>0.04</v>
      </c>
      <c r="M27" s="21" t="n">
        <f aca="false">F27*L27*I27</f>
        <v>96.48</v>
      </c>
      <c r="N27" s="10" t="n">
        <f aca="false">M27*'Персонал ТО'!$C$17*(1+'Персонал ТО'!$C$9)</f>
        <v>112047.741102717</v>
      </c>
      <c r="O27" s="10" t="n">
        <f aca="false">N27*0.02</f>
        <v>2240.95482205435</v>
      </c>
      <c r="P27" s="10" t="n">
        <v>0</v>
      </c>
      <c r="Q27" s="10" t="n">
        <f aca="false">N27+O27+P27</f>
        <v>114288.695924772</v>
      </c>
      <c r="R27" s="10" t="n">
        <f aca="false">J27-Q27</f>
        <v>99293.9040752282</v>
      </c>
      <c r="S27" s="6" t="n">
        <f aca="false">IF(J27&gt;0,R27/J27,"")</f>
        <v>0.464896972296565</v>
      </c>
    </row>
    <row r="28" customFormat="false" ht="31.3" hidden="false" customHeight="false" outlineLevel="0" collapsed="false">
      <c r="A28" s="4" t="n">
        <v>21</v>
      </c>
      <c r="B28" s="4" t="s">
        <v>243</v>
      </c>
      <c r="C28" s="4" t="s">
        <v>152</v>
      </c>
      <c r="D28" s="4" t="s">
        <v>153</v>
      </c>
      <c r="E28" s="4" t="s">
        <v>100</v>
      </c>
      <c r="F28" s="19" t="n">
        <v>190</v>
      </c>
      <c r="G28" s="4" t="s">
        <v>240</v>
      </c>
      <c r="H28" s="10" t="n">
        <f aca="false">'Ставки ТО'!$N$15</f>
        <v>75.9</v>
      </c>
      <c r="I28" s="5" t="n">
        <v>12</v>
      </c>
      <c r="J28" s="10" t="n">
        <f aca="false">K28*I28</f>
        <v>173052</v>
      </c>
      <c r="K28" s="10" t="n">
        <f aca="false">ROUND(F28*H28,2)</f>
        <v>14421</v>
      </c>
      <c r="L28" s="20" t="n">
        <f aca="false">'Ставки ТО'!$D$15</f>
        <v>0.03</v>
      </c>
      <c r="M28" s="21" t="n">
        <f aca="false">F28*L28*I28</f>
        <v>68.4</v>
      </c>
      <c r="N28" s="10" t="n">
        <f aca="false">M28*'Персонал ТО'!$C$17*(1+'Персонал ТО'!$C$9)</f>
        <v>79436.8313787922</v>
      </c>
      <c r="O28" s="10" t="n">
        <f aca="false">N28*0.02</f>
        <v>1588.73662757584</v>
      </c>
      <c r="P28" s="10" t="n">
        <v>0</v>
      </c>
      <c r="Q28" s="10" t="n">
        <f aca="false">N28+O28+P28</f>
        <v>81025.568006368</v>
      </c>
      <c r="R28" s="10" t="n">
        <f aca="false">J28-Q28</f>
        <v>92026.431993632</v>
      </c>
      <c r="S28" s="6" t="n">
        <f aca="false">IF(J28&gt;0,R28/J28,"")</f>
        <v>0.531784850759494</v>
      </c>
    </row>
    <row r="29" customFormat="false" ht="31.3" hidden="false" customHeight="false" outlineLevel="0" collapsed="false">
      <c r="A29" s="4" t="n">
        <v>22</v>
      </c>
      <c r="B29" s="4" t="s">
        <v>243</v>
      </c>
      <c r="C29" s="4" t="s">
        <v>156</v>
      </c>
      <c r="D29" s="4" t="s">
        <v>157</v>
      </c>
      <c r="E29" s="4" t="s">
        <v>100</v>
      </c>
      <c r="F29" s="19" t="n">
        <v>283</v>
      </c>
      <c r="G29" s="4" t="s">
        <v>240</v>
      </c>
      <c r="H29" s="10" t="n">
        <f aca="false">'Ставки ТО'!$N$16</f>
        <v>123.97</v>
      </c>
      <c r="I29" s="5" t="n">
        <v>12</v>
      </c>
      <c r="J29" s="10" t="n">
        <f aca="false">K29*I29</f>
        <v>421002.12</v>
      </c>
      <c r="K29" s="10" t="n">
        <f aca="false">ROUND(F29*H29,2)</f>
        <v>35083.51</v>
      </c>
      <c r="L29" s="20" t="n">
        <f aca="false">'Ставки ТО'!$D$16</f>
        <v>0.04</v>
      </c>
      <c r="M29" s="21" t="n">
        <f aca="false">F29*L29*I29</f>
        <v>135.84</v>
      </c>
      <c r="N29" s="10" t="n">
        <f aca="false">M29*'Персонал ТО'!$C$17*(1+'Персонал ТО'!$C$9)</f>
        <v>157758.75986104</v>
      </c>
      <c r="O29" s="10" t="n">
        <f aca="false">N29*0.02</f>
        <v>3155.1751972208</v>
      </c>
      <c r="P29" s="10" t="n">
        <v>0</v>
      </c>
      <c r="Q29" s="10" t="n">
        <f aca="false">N29+O29+P29</f>
        <v>160913.935058261</v>
      </c>
      <c r="R29" s="10" t="n">
        <f aca="false">J29-Q29</f>
        <v>260088.184941739</v>
      </c>
      <c r="S29" s="6" t="n">
        <f aca="false">IF(J29&gt;0,R29/J29,"")</f>
        <v>0.617783551640403</v>
      </c>
    </row>
    <row r="30" customFormat="false" ht="31.3" hidden="false" customHeight="false" outlineLevel="0" collapsed="false">
      <c r="A30" s="4" t="n">
        <v>23</v>
      </c>
      <c r="B30" s="4" t="s">
        <v>243</v>
      </c>
      <c r="C30" s="4" t="s">
        <v>172</v>
      </c>
      <c r="D30" s="4" t="s">
        <v>173</v>
      </c>
      <c r="E30" s="4" t="s">
        <v>140</v>
      </c>
      <c r="F30" s="19" t="n">
        <v>1</v>
      </c>
      <c r="G30" s="4" t="s">
        <v>240</v>
      </c>
      <c r="H30" s="10" t="n">
        <f aca="false">'Ставки ТО'!$N$19</f>
        <v>4301</v>
      </c>
      <c r="I30" s="5" t="n">
        <v>12</v>
      </c>
      <c r="J30" s="10" t="n">
        <f aca="false">K30*I30</f>
        <v>51612</v>
      </c>
      <c r="K30" s="10" t="n">
        <f aca="false">ROUND(F30*H30,2)</f>
        <v>4301</v>
      </c>
      <c r="L30" s="20" t="n">
        <f aca="false">'Ставки ТО'!$D$19</f>
        <v>2</v>
      </c>
      <c r="M30" s="21" t="n">
        <f aca="false">F30*L30*I30</f>
        <v>24</v>
      </c>
      <c r="N30" s="10" t="n">
        <f aca="false">M30*'Персонал ТО'!$C$17*(1+'Персонал ТО'!$C$9)</f>
        <v>27872.5724136113</v>
      </c>
      <c r="O30" s="10" t="n">
        <f aca="false">N30*0.02</f>
        <v>557.451448272226</v>
      </c>
      <c r="P30" s="10" t="n">
        <v>0</v>
      </c>
      <c r="Q30" s="10" t="n">
        <f aca="false">N30+O30+P30</f>
        <v>28430.0238618835</v>
      </c>
      <c r="R30" s="10" t="n">
        <f aca="false">J30-Q30</f>
        <v>23181.9761381165</v>
      </c>
      <c r="S30" s="6" t="n">
        <f aca="false">IF(J30&gt;0,R30/J30,"")</f>
        <v>0.449158647952346</v>
      </c>
    </row>
    <row r="31" customFormat="false" ht="31.3" hidden="false" customHeight="false" outlineLevel="0" collapsed="false">
      <c r="A31" s="4" t="n">
        <v>24</v>
      </c>
      <c r="B31" s="4" t="s">
        <v>243</v>
      </c>
      <c r="C31" s="4" t="s">
        <v>178</v>
      </c>
      <c r="D31" s="4" t="s">
        <v>179</v>
      </c>
      <c r="E31" s="4" t="s">
        <v>145</v>
      </c>
      <c r="F31" s="19" t="n">
        <v>121.505</v>
      </c>
      <c r="G31" s="4" t="s">
        <v>240</v>
      </c>
      <c r="H31" s="10" t="n">
        <f aca="false">'Ставки ТО'!$N$20</f>
        <v>25.3</v>
      </c>
      <c r="I31" s="5" t="n">
        <v>12</v>
      </c>
      <c r="J31" s="10" t="n">
        <f aca="false">K31*I31</f>
        <v>36888.96</v>
      </c>
      <c r="K31" s="10" t="n">
        <f aca="false">ROUND(F31*H31,2)</f>
        <v>3074.08</v>
      </c>
      <c r="L31" s="20" t="n">
        <f aca="false">'Ставки ТО'!$D$20</f>
        <v>0.02</v>
      </c>
      <c r="M31" s="21" t="n">
        <f aca="false">F31*L31*I31</f>
        <v>29.1612</v>
      </c>
      <c r="N31" s="10" t="n">
        <f aca="false">M31*'Персонал ТО'!$C$17*(1+'Персонал ТО'!$C$9)</f>
        <v>33866.5691111584</v>
      </c>
      <c r="O31" s="10" t="n">
        <f aca="false">N31*0.02</f>
        <v>677.331382223168</v>
      </c>
      <c r="P31" s="10" t="n">
        <v>0</v>
      </c>
      <c r="Q31" s="10" t="n">
        <f aca="false">N31+O31+P31</f>
        <v>34543.9004933816</v>
      </c>
      <c r="R31" s="10" t="n">
        <f aca="false">J31-Q31</f>
        <v>2345.05950661844</v>
      </c>
      <c r="S31" s="6" t="n">
        <f aca="false">IF(J31&gt;0,R31/J31,"")</f>
        <v>0.0635707676935983</v>
      </c>
    </row>
    <row r="32" customFormat="false" ht="16.4" hidden="false" customHeight="false" outlineLevel="0" collapsed="false">
      <c r="A32" s="22"/>
      <c r="B32" s="22"/>
      <c r="C32" s="22"/>
      <c r="D32" s="23" t="s">
        <v>241</v>
      </c>
      <c r="E32" s="22"/>
      <c r="F32" s="22"/>
      <c r="G32" s="22"/>
      <c r="H32" s="22"/>
      <c r="I32" s="22"/>
      <c r="J32" s="11" t="n">
        <f aca="false">SUM(J19:J31)</f>
        <v>2887511.52</v>
      </c>
      <c r="K32" s="11" t="n">
        <f aca="false">SUM(K19:K31)</f>
        <v>240625.96</v>
      </c>
      <c r="L32" s="22"/>
      <c r="M32" s="11" t="n">
        <f aca="false">SUM(M19:M31)</f>
        <v>1106.5212</v>
      </c>
      <c r="N32" s="11" t="n">
        <f aca="false">SUM(N19:N31)</f>
        <v>1285066.34475817</v>
      </c>
      <c r="O32" s="11" t="n">
        <f aca="false">SUM(O19:O31)</f>
        <v>25701.3268951634</v>
      </c>
      <c r="P32" s="11" t="n">
        <f aca="false">SUM(P19:P31)</f>
        <v>0</v>
      </c>
      <c r="Q32" s="11" t="n">
        <f aca="false">SUM(Q19:Q31)</f>
        <v>1310767.67165333</v>
      </c>
      <c r="R32" s="11" t="n">
        <f aca="false">SUM(R19:R31)</f>
        <v>1576743.84834667</v>
      </c>
      <c r="S32" s="22"/>
    </row>
    <row r="33" customFormat="false" ht="285.05" hidden="false" customHeight="false" outlineLevel="0" collapsed="false">
      <c r="A33" s="17" t="s">
        <v>244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customFormat="false" ht="46.25" hidden="false" customHeight="false" outlineLevel="0" collapsed="false">
      <c r="A34" s="4" t="n">
        <v>25</v>
      </c>
      <c r="B34" s="4" t="s">
        <v>245</v>
      </c>
      <c r="C34" s="4" t="s">
        <v>98</v>
      </c>
      <c r="D34" s="4" t="s">
        <v>99</v>
      </c>
      <c r="E34" s="4" t="s">
        <v>100</v>
      </c>
      <c r="F34" s="19" t="n">
        <v>22</v>
      </c>
      <c r="G34" s="4" t="s">
        <v>240</v>
      </c>
      <c r="H34" s="10" t="n">
        <f aca="false">'Ставки ТО'!$N$5</f>
        <v>3620.43</v>
      </c>
      <c r="I34" s="5" t="n">
        <v>12</v>
      </c>
      <c r="J34" s="10" t="n">
        <f aca="false">K34*I34</f>
        <v>955793.52</v>
      </c>
      <c r="K34" s="10" t="n">
        <f aca="false">ROUND(F34*H34,2)</f>
        <v>79649.46</v>
      </c>
      <c r="L34" s="20" t="n">
        <f aca="false">'Ставки ТО'!$D$5</f>
        <v>1</v>
      </c>
      <c r="M34" s="21" t="n">
        <f aca="false">F34*L34*I34</f>
        <v>264</v>
      </c>
      <c r="N34" s="10" t="n">
        <f aca="false">M34*'Персонал ТО'!$C$17*(1+'Персонал ТО'!$C$9)</f>
        <v>306598.296549724</v>
      </c>
      <c r="O34" s="10" t="n">
        <f aca="false">N34*0.02</f>
        <v>6131.96593099448</v>
      </c>
      <c r="P34" s="10" t="n">
        <v>0</v>
      </c>
      <c r="Q34" s="10" t="n">
        <f aca="false">N34+O34+P34</f>
        <v>312730.262480719</v>
      </c>
      <c r="R34" s="10" t="n">
        <f aca="false">J34-Q34</f>
        <v>643063.257519282</v>
      </c>
      <c r="S34" s="6" t="n">
        <f aca="false">IF(J34&gt;0,R34/J34,"")</f>
        <v>0.672805625967501</v>
      </c>
    </row>
    <row r="35" customFormat="false" ht="31.3" hidden="false" customHeight="false" outlineLevel="0" collapsed="false">
      <c r="A35" s="4" t="n">
        <v>26</v>
      </c>
      <c r="B35" s="4" t="s">
        <v>245</v>
      </c>
      <c r="C35" s="4" t="s">
        <v>106</v>
      </c>
      <c r="D35" s="4" t="s">
        <v>107</v>
      </c>
      <c r="E35" s="4" t="s">
        <v>100</v>
      </c>
      <c r="F35" s="19" t="n">
        <v>34</v>
      </c>
      <c r="G35" s="4" t="s">
        <v>240</v>
      </c>
      <c r="H35" s="10" t="n">
        <f aca="false">'Ставки ТО'!$N$6</f>
        <v>240.35</v>
      </c>
      <c r="I35" s="5" t="n">
        <v>12</v>
      </c>
      <c r="J35" s="10" t="n">
        <f aca="false">K35*I35</f>
        <v>98062.8</v>
      </c>
      <c r="K35" s="10" t="n">
        <f aca="false">ROUND(F35*H35,2)</f>
        <v>8171.9</v>
      </c>
      <c r="L35" s="20" t="n">
        <f aca="false">'Ставки ТО'!$D$6</f>
        <v>0.2</v>
      </c>
      <c r="M35" s="21" t="n">
        <f aca="false">F35*L35*I35</f>
        <v>81.6</v>
      </c>
      <c r="N35" s="10" t="n">
        <f aca="false">M35*'Персонал ТО'!$C$17*(1+'Персонал ТО'!$C$9)</f>
        <v>94766.7462062784</v>
      </c>
      <c r="O35" s="10" t="n">
        <f aca="false">N35*0.02</f>
        <v>1895.33492412557</v>
      </c>
      <c r="P35" s="10" t="n">
        <v>0</v>
      </c>
      <c r="Q35" s="10" t="n">
        <f aca="false">N35+O35+P35</f>
        <v>96662.081130404</v>
      </c>
      <c r="R35" s="10" t="n">
        <f aca="false">J35-Q35</f>
        <v>1400.71886959604</v>
      </c>
      <c r="S35" s="6" t="n">
        <f aca="false">IF(J35&gt;0,R35/J35,"")</f>
        <v>0.014283896335777</v>
      </c>
    </row>
    <row r="36" customFormat="false" ht="31.3" hidden="false" customHeight="false" outlineLevel="0" collapsed="false">
      <c r="A36" s="4" t="n">
        <v>27</v>
      </c>
      <c r="B36" s="4" t="s">
        <v>245</v>
      </c>
      <c r="C36" s="4" t="s">
        <v>113</v>
      </c>
      <c r="D36" s="4" t="s">
        <v>114</v>
      </c>
      <c r="E36" s="4" t="s">
        <v>100</v>
      </c>
      <c r="F36" s="19" t="n">
        <v>19</v>
      </c>
      <c r="G36" s="4" t="s">
        <v>240</v>
      </c>
      <c r="H36" s="10" t="n">
        <f aca="false">'Ставки ТО'!$N$7</f>
        <v>493.35</v>
      </c>
      <c r="I36" s="5" t="n">
        <v>12</v>
      </c>
      <c r="J36" s="10" t="n">
        <f aca="false">K36*I36</f>
        <v>112483.8</v>
      </c>
      <c r="K36" s="10" t="n">
        <f aca="false">ROUND(F36*H36,2)</f>
        <v>9373.65</v>
      </c>
      <c r="L36" s="20" t="n">
        <f aca="false">'Ставки ТО'!$D$7</f>
        <v>0.25</v>
      </c>
      <c r="M36" s="21" t="n">
        <f aca="false">F36*L36*I36</f>
        <v>57</v>
      </c>
      <c r="N36" s="10" t="n">
        <f aca="false">M36*'Персонал ТО'!$C$17*(1+'Персонал ТО'!$C$9)</f>
        <v>66197.3594823268</v>
      </c>
      <c r="O36" s="10" t="n">
        <f aca="false">N36*0.02</f>
        <v>1323.94718964654</v>
      </c>
      <c r="P36" s="10" t="n">
        <v>0</v>
      </c>
      <c r="Q36" s="10" t="n">
        <f aca="false">N36+O36+P36</f>
        <v>67521.3066719734</v>
      </c>
      <c r="R36" s="10" t="n">
        <f aca="false">J36-Q36</f>
        <v>44962.4933280266</v>
      </c>
      <c r="S36" s="6" t="n">
        <f aca="false">IF(J36&gt;0,R36/J36,"")</f>
        <v>0.399724167640377</v>
      </c>
    </row>
    <row r="37" customFormat="false" ht="31.3" hidden="false" customHeight="false" outlineLevel="0" collapsed="false">
      <c r="A37" s="4" t="n">
        <v>28</v>
      </c>
      <c r="B37" s="4" t="s">
        <v>245</v>
      </c>
      <c r="C37" s="4" t="s">
        <v>118</v>
      </c>
      <c r="D37" s="4" t="s">
        <v>119</v>
      </c>
      <c r="E37" s="4" t="s">
        <v>100</v>
      </c>
      <c r="F37" s="19" t="n">
        <v>14</v>
      </c>
      <c r="G37" s="4" t="s">
        <v>240</v>
      </c>
      <c r="H37" s="10" t="n">
        <f aca="false">'Ставки ТО'!$N$8</f>
        <v>240.35</v>
      </c>
      <c r="I37" s="5" t="n">
        <v>12</v>
      </c>
      <c r="J37" s="10" t="n">
        <f aca="false">K37*I37</f>
        <v>40378.8</v>
      </c>
      <c r="K37" s="10" t="n">
        <f aca="false">ROUND(F37*H37,2)</f>
        <v>3364.9</v>
      </c>
      <c r="L37" s="20" t="n">
        <f aca="false">'Ставки ТО'!$D$8</f>
        <v>0.05</v>
      </c>
      <c r="M37" s="21" t="n">
        <f aca="false">F37*L37*I37</f>
        <v>8.4</v>
      </c>
      <c r="N37" s="10" t="n">
        <f aca="false">M37*'Персонал ТО'!$C$17*(1+'Персонал ТО'!$C$9)</f>
        <v>9755.40034476395</v>
      </c>
      <c r="O37" s="10" t="n">
        <f aca="false">N37*0.02</f>
        <v>195.108006895279</v>
      </c>
      <c r="P37" s="10" t="n">
        <v>0</v>
      </c>
      <c r="Q37" s="10" t="n">
        <f aca="false">N37+O37+P37</f>
        <v>9950.50835165923</v>
      </c>
      <c r="R37" s="10" t="n">
        <f aca="false">J37-Q37</f>
        <v>30428.2916483408</v>
      </c>
      <c r="S37" s="6" t="n">
        <f aca="false">IF(J37&gt;0,R37/J37,"")</f>
        <v>0.753570974083944</v>
      </c>
    </row>
    <row r="38" customFormat="false" ht="31.3" hidden="false" customHeight="false" outlineLevel="0" collapsed="false">
      <c r="A38" s="4" t="n">
        <v>29</v>
      </c>
      <c r="B38" s="4" t="s">
        <v>245</v>
      </c>
      <c r="C38" s="4" t="s">
        <v>123</v>
      </c>
      <c r="D38" s="4" t="s">
        <v>124</v>
      </c>
      <c r="E38" s="4" t="s">
        <v>100</v>
      </c>
      <c r="F38" s="19" t="n">
        <v>773</v>
      </c>
      <c r="G38" s="4" t="s">
        <v>240</v>
      </c>
      <c r="H38" s="10" t="n">
        <f aca="false">'Ставки ТО'!$N$9</f>
        <v>101.2</v>
      </c>
      <c r="I38" s="5" t="n">
        <v>12</v>
      </c>
      <c r="J38" s="10" t="n">
        <f aca="false">K38*I38</f>
        <v>938731.2</v>
      </c>
      <c r="K38" s="10" t="n">
        <f aca="false">ROUND(F38*H38,2)</f>
        <v>78227.6</v>
      </c>
      <c r="L38" s="20" t="n">
        <f aca="false">'Ставки ТО'!$D$9</f>
        <v>0.04</v>
      </c>
      <c r="M38" s="21" t="n">
        <f aca="false">F38*L38*I38</f>
        <v>371.04</v>
      </c>
      <c r="N38" s="10" t="n">
        <f aca="false">M38*'Персонал ТО'!$C$17*(1+'Персонал ТО'!$C$9)</f>
        <v>430909.96951443</v>
      </c>
      <c r="O38" s="10" t="n">
        <f aca="false">N38*0.02</f>
        <v>8618.19939028861</v>
      </c>
      <c r="P38" s="10" t="n">
        <v>0</v>
      </c>
      <c r="Q38" s="10" t="n">
        <f aca="false">N38+O38+P38</f>
        <v>439528.168904719</v>
      </c>
      <c r="R38" s="10" t="n">
        <f aca="false">J38-Q38</f>
        <v>499203.031095281</v>
      </c>
      <c r="S38" s="6" t="n">
        <f aca="false">IF(J38&gt;0,R38/J38,"")</f>
        <v>0.531784850759494</v>
      </c>
    </row>
    <row r="39" customFormat="false" ht="31.3" hidden="false" customHeight="false" outlineLevel="0" collapsed="false">
      <c r="A39" s="4" t="n">
        <v>30</v>
      </c>
      <c r="B39" s="4" t="s">
        <v>245</v>
      </c>
      <c r="C39" s="4" t="s">
        <v>129</v>
      </c>
      <c r="D39" s="4" t="s">
        <v>130</v>
      </c>
      <c r="E39" s="4" t="s">
        <v>100</v>
      </c>
      <c r="F39" s="19" t="n">
        <v>25</v>
      </c>
      <c r="G39" s="4" t="s">
        <v>240</v>
      </c>
      <c r="H39" s="10" t="n">
        <f aca="false">'Ставки ТО'!$N$10</f>
        <v>246.68</v>
      </c>
      <c r="I39" s="5" t="n">
        <v>12</v>
      </c>
      <c r="J39" s="10" t="n">
        <f aca="false">K39*I39</f>
        <v>74004</v>
      </c>
      <c r="K39" s="10" t="n">
        <f aca="false">ROUND(F39*H39,2)</f>
        <v>6167</v>
      </c>
      <c r="L39" s="20" t="n">
        <f aca="false">'Ставки ТО'!$D$10</f>
        <v>0.15</v>
      </c>
      <c r="M39" s="21" t="n">
        <f aca="false">F39*L39*I39</f>
        <v>45</v>
      </c>
      <c r="N39" s="10" t="n">
        <f aca="false">M39*'Персонал ТО'!$C$17*(1+'Персонал ТО'!$C$9)</f>
        <v>52261.0732755212</v>
      </c>
      <c r="O39" s="10" t="n">
        <f aca="false">N39*0.02</f>
        <v>1045.22146551042</v>
      </c>
      <c r="P39" s="10" t="n">
        <v>0</v>
      </c>
      <c r="Q39" s="10" t="n">
        <f aca="false">N39+O39+P39</f>
        <v>53306.2947410316</v>
      </c>
      <c r="R39" s="10" t="n">
        <f aca="false">J39-Q39</f>
        <v>20697.7052589684</v>
      </c>
      <c r="S39" s="6" t="n">
        <f aca="false">IF(J39&gt;0,R39/J39,"")</f>
        <v>0.279683601683266</v>
      </c>
    </row>
    <row r="40" customFormat="false" ht="31.3" hidden="false" customHeight="false" outlineLevel="0" collapsed="false">
      <c r="A40" s="4" t="n">
        <v>31</v>
      </c>
      <c r="B40" s="4" t="s">
        <v>245</v>
      </c>
      <c r="C40" s="4" t="s">
        <v>138</v>
      </c>
      <c r="D40" s="4" t="s">
        <v>139</v>
      </c>
      <c r="E40" s="4" t="s">
        <v>140</v>
      </c>
      <c r="F40" s="19" t="n">
        <v>5</v>
      </c>
      <c r="G40" s="4" t="s">
        <v>240</v>
      </c>
      <c r="H40" s="10" t="n">
        <f aca="false">'Ставки ТО'!$N$12</f>
        <v>506</v>
      </c>
      <c r="I40" s="5" t="n">
        <v>12</v>
      </c>
      <c r="J40" s="10" t="n">
        <f aca="false">K40*I40</f>
        <v>30360</v>
      </c>
      <c r="K40" s="10" t="n">
        <f aca="false">ROUND(F40*H40,2)</f>
        <v>2530</v>
      </c>
      <c r="L40" s="20" t="n">
        <f aca="false">'Ставки ТО'!$D$12</f>
        <v>0.3</v>
      </c>
      <c r="M40" s="21" t="n">
        <f aca="false">F40*L40*I40</f>
        <v>18</v>
      </c>
      <c r="N40" s="10" t="n">
        <f aca="false">M40*'Персонал ТО'!$C$17*(1+'Персонал ТО'!$C$9)</f>
        <v>20904.4293102085</v>
      </c>
      <c r="O40" s="10" t="n">
        <f aca="false">N40*0.02</f>
        <v>418.088586204169</v>
      </c>
      <c r="P40" s="10" t="n">
        <v>0</v>
      </c>
      <c r="Q40" s="10" t="n">
        <f aca="false">N40+O40+P40</f>
        <v>21322.5178964126</v>
      </c>
      <c r="R40" s="10" t="n">
        <f aca="false">J40-Q40</f>
        <v>9037.48210358737</v>
      </c>
      <c r="S40" s="6" t="n">
        <f aca="false">IF(J40&gt;0,R40/J40,"")</f>
        <v>0.297677276139241</v>
      </c>
    </row>
    <row r="41" customFormat="false" ht="31.3" hidden="false" customHeight="false" outlineLevel="0" collapsed="false">
      <c r="A41" s="4" t="n">
        <v>32</v>
      </c>
      <c r="B41" s="4" t="s">
        <v>245</v>
      </c>
      <c r="C41" s="4" t="s">
        <v>143</v>
      </c>
      <c r="D41" s="4" t="s">
        <v>144</v>
      </c>
      <c r="E41" s="4" t="s">
        <v>145</v>
      </c>
      <c r="F41" s="19" t="n">
        <v>5</v>
      </c>
      <c r="G41" s="4" t="s">
        <v>240</v>
      </c>
      <c r="H41" s="10" t="n">
        <f aca="false">'Ставки ТО'!$N$13</f>
        <v>379.5</v>
      </c>
      <c r="I41" s="5" t="n">
        <v>12</v>
      </c>
      <c r="J41" s="10" t="n">
        <f aca="false">K41*I41</f>
        <v>22770</v>
      </c>
      <c r="K41" s="10" t="n">
        <f aca="false">ROUND(F41*H41,2)</f>
        <v>1897.5</v>
      </c>
      <c r="L41" s="20" t="n">
        <f aca="false">'Ставки ТО'!$D$13</f>
        <v>0.15</v>
      </c>
      <c r="M41" s="21" t="n">
        <f aca="false">F41*L41*I41</f>
        <v>9</v>
      </c>
      <c r="N41" s="10" t="n">
        <f aca="false">M41*'Персонал ТО'!$C$17*(1+'Персонал ТО'!$C$9)</f>
        <v>10452.2146551042</v>
      </c>
      <c r="O41" s="10" t="n">
        <f aca="false">N41*0.02</f>
        <v>209.044293102085</v>
      </c>
      <c r="P41" s="10" t="n">
        <v>0</v>
      </c>
      <c r="Q41" s="10" t="n">
        <f aca="false">N41+O41+P41</f>
        <v>10661.2589482063</v>
      </c>
      <c r="R41" s="10" t="n">
        <f aca="false">J41-Q41</f>
        <v>12108.7410517937</v>
      </c>
      <c r="S41" s="6" t="n">
        <f aca="false">IF(J41&gt;0,R41/J41,"")</f>
        <v>0.531784850759494</v>
      </c>
    </row>
    <row r="42" customFormat="false" ht="31.3" hidden="false" customHeight="false" outlineLevel="0" collapsed="false">
      <c r="A42" s="4" t="n">
        <v>33</v>
      </c>
      <c r="B42" s="4" t="s">
        <v>245</v>
      </c>
      <c r="C42" s="4" t="s">
        <v>149</v>
      </c>
      <c r="D42" s="4" t="s">
        <v>150</v>
      </c>
      <c r="E42" s="4" t="s">
        <v>100</v>
      </c>
      <c r="F42" s="19" t="n">
        <v>95</v>
      </c>
      <c r="G42" s="4" t="s">
        <v>240</v>
      </c>
      <c r="H42" s="10" t="n">
        <f aca="false">'Ставки ТО'!$N$14</f>
        <v>88.55</v>
      </c>
      <c r="I42" s="5" t="n">
        <v>12</v>
      </c>
      <c r="J42" s="10" t="n">
        <f aca="false">K42*I42</f>
        <v>100947</v>
      </c>
      <c r="K42" s="10" t="n">
        <f aca="false">ROUND(F42*H42,2)</f>
        <v>8412.25</v>
      </c>
      <c r="L42" s="20" t="n">
        <f aca="false">'Ставки ТО'!$D$14</f>
        <v>0.04</v>
      </c>
      <c r="M42" s="21" t="n">
        <f aca="false">F42*L42*I42</f>
        <v>45.6</v>
      </c>
      <c r="N42" s="10" t="n">
        <f aca="false">M42*'Персонал ТО'!$C$17*(1+'Персонал ТО'!$C$9)</f>
        <v>52957.8875858614</v>
      </c>
      <c r="O42" s="10" t="n">
        <f aca="false">N42*0.02</f>
        <v>1059.15775171723</v>
      </c>
      <c r="P42" s="10" t="n">
        <v>0</v>
      </c>
      <c r="Q42" s="10" t="n">
        <f aca="false">N42+O42+P42</f>
        <v>54017.0453375787</v>
      </c>
      <c r="R42" s="10" t="n">
        <f aca="false">J42-Q42</f>
        <v>46929.9546624213</v>
      </c>
      <c r="S42" s="6" t="n">
        <f aca="false">IF(J42&gt;0,R42/J42,"")</f>
        <v>0.464896972296565</v>
      </c>
    </row>
    <row r="43" customFormat="false" ht="31.3" hidden="false" customHeight="false" outlineLevel="0" collapsed="false">
      <c r="A43" s="4" t="n">
        <v>34</v>
      </c>
      <c r="B43" s="4" t="s">
        <v>245</v>
      </c>
      <c r="C43" s="4" t="s">
        <v>152</v>
      </c>
      <c r="D43" s="4" t="s">
        <v>153</v>
      </c>
      <c r="E43" s="4" t="s">
        <v>100</v>
      </c>
      <c r="F43" s="19" t="n">
        <v>34</v>
      </c>
      <c r="G43" s="4" t="s">
        <v>240</v>
      </c>
      <c r="H43" s="10" t="n">
        <f aca="false">'Ставки ТО'!$N$15</f>
        <v>75.9</v>
      </c>
      <c r="I43" s="5" t="n">
        <v>12</v>
      </c>
      <c r="J43" s="10" t="n">
        <f aca="false">K43*I43</f>
        <v>30967.2</v>
      </c>
      <c r="K43" s="10" t="n">
        <f aca="false">ROUND(F43*H43,2)</f>
        <v>2580.6</v>
      </c>
      <c r="L43" s="20" t="n">
        <f aca="false">'Ставки ТО'!$D$15</f>
        <v>0.03</v>
      </c>
      <c r="M43" s="21" t="n">
        <f aca="false">F43*L43*I43</f>
        <v>12.24</v>
      </c>
      <c r="N43" s="10" t="n">
        <f aca="false">M43*'Персонал ТО'!$C$17*(1+'Персонал ТО'!$C$9)</f>
        <v>14215.0119309418</v>
      </c>
      <c r="O43" s="10" t="n">
        <f aca="false">N43*0.02</f>
        <v>284.300238618835</v>
      </c>
      <c r="P43" s="10" t="n">
        <v>0</v>
      </c>
      <c r="Q43" s="10" t="n">
        <f aca="false">N43+O43+P43</f>
        <v>14499.3121695606</v>
      </c>
      <c r="R43" s="10" t="n">
        <f aca="false">J43-Q43</f>
        <v>16467.8878304394</v>
      </c>
      <c r="S43" s="6" t="n">
        <f aca="false">IF(J43&gt;0,R43/J43,"")</f>
        <v>0.531784850759494</v>
      </c>
    </row>
    <row r="44" customFormat="false" ht="31.3" hidden="false" customHeight="false" outlineLevel="0" collapsed="false">
      <c r="A44" s="4" t="n">
        <v>35</v>
      </c>
      <c r="B44" s="4" t="s">
        <v>245</v>
      </c>
      <c r="C44" s="4" t="s">
        <v>156</v>
      </c>
      <c r="D44" s="4" t="s">
        <v>157</v>
      </c>
      <c r="E44" s="4" t="s">
        <v>100</v>
      </c>
      <c r="F44" s="19" t="n">
        <v>144</v>
      </c>
      <c r="G44" s="4" t="s">
        <v>240</v>
      </c>
      <c r="H44" s="10" t="n">
        <f aca="false">'Ставки ТО'!$N$16</f>
        <v>123.97</v>
      </c>
      <c r="I44" s="5" t="n">
        <v>12</v>
      </c>
      <c r="J44" s="10" t="n">
        <f aca="false">K44*I44</f>
        <v>214220.16</v>
      </c>
      <c r="K44" s="10" t="n">
        <f aca="false">ROUND(F44*H44,2)</f>
        <v>17851.68</v>
      </c>
      <c r="L44" s="20" t="n">
        <f aca="false">'Ставки ТО'!$D$16</f>
        <v>0.04</v>
      </c>
      <c r="M44" s="21" t="n">
        <f aca="false">F44*L44*I44</f>
        <v>69.12</v>
      </c>
      <c r="N44" s="10" t="n">
        <f aca="false">M44*'Персонал ТО'!$C$17*(1+'Персонал ТО'!$C$9)</f>
        <v>80273.0085512005</v>
      </c>
      <c r="O44" s="10" t="n">
        <f aca="false">N44*0.02</f>
        <v>1605.46017102401</v>
      </c>
      <c r="P44" s="10" t="n">
        <v>0</v>
      </c>
      <c r="Q44" s="10" t="n">
        <f aca="false">N44+O44+P44</f>
        <v>81878.4687222245</v>
      </c>
      <c r="R44" s="10" t="n">
        <f aca="false">J44-Q44</f>
        <v>132341.691277776</v>
      </c>
      <c r="S44" s="6" t="n">
        <f aca="false">IF(J44&gt;0,R44/J44,"")</f>
        <v>0.617783551640404</v>
      </c>
    </row>
    <row r="45" customFormat="false" ht="31.3" hidden="false" customHeight="false" outlineLevel="0" collapsed="false">
      <c r="A45" s="4" t="n">
        <v>36</v>
      </c>
      <c r="B45" s="4" t="s">
        <v>245</v>
      </c>
      <c r="C45" s="4" t="s">
        <v>160</v>
      </c>
      <c r="D45" s="4" t="s">
        <v>161</v>
      </c>
      <c r="E45" s="4" t="s">
        <v>100</v>
      </c>
      <c r="F45" s="19" t="n">
        <v>1</v>
      </c>
      <c r="G45" s="4" t="s">
        <v>240</v>
      </c>
      <c r="H45" s="10" t="n">
        <f aca="false">'Ставки ТО'!$N$17</f>
        <v>1265</v>
      </c>
      <c r="I45" s="5" t="n">
        <v>12</v>
      </c>
      <c r="J45" s="10" t="n">
        <f aca="false">K45*I45</f>
        <v>15180</v>
      </c>
      <c r="K45" s="10" t="n">
        <f aca="false">ROUND(F45*H45,2)</f>
        <v>1265</v>
      </c>
      <c r="L45" s="20" t="n">
        <f aca="false">'Ставки ТО'!$D$17</f>
        <v>1</v>
      </c>
      <c r="M45" s="21" t="n">
        <f aca="false">F45*L45*I45</f>
        <v>12</v>
      </c>
      <c r="N45" s="10" t="n">
        <f aca="false">M45*'Персонал ТО'!$C$17*(1+'Персонал ТО'!$C$9)</f>
        <v>13936.2862068056</v>
      </c>
      <c r="O45" s="10" t="n">
        <f aca="false">N45*0.02</f>
        <v>278.725724136113</v>
      </c>
      <c r="P45" s="10" t="n">
        <v>0</v>
      </c>
      <c r="Q45" s="10" t="n">
        <f aca="false">N45+O45+P45</f>
        <v>14215.0119309418</v>
      </c>
      <c r="R45" s="10" t="n">
        <f aca="false">J45-Q45</f>
        <v>964.988069058245</v>
      </c>
      <c r="S45" s="6" t="n">
        <f aca="false">IF(J45&gt;0,R45/J45,"")</f>
        <v>0.0635697015189885</v>
      </c>
    </row>
    <row r="46" customFormat="false" ht="31.3" hidden="false" customHeight="false" outlineLevel="0" collapsed="false">
      <c r="A46" s="4" t="n">
        <v>37</v>
      </c>
      <c r="B46" s="4" t="s">
        <v>245</v>
      </c>
      <c r="C46" s="4" t="s">
        <v>172</v>
      </c>
      <c r="D46" s="4" t="s">
        <v>173</v>
      </c>
      <c r="E46" s="4" t="s">
        <v>140</v>
      </c>
      <c r="F46" s="19" t="n">
        <v>1</v>
      </c>
      <c r="G46" s="4" t="s">
        <v>240</v>
      </c>
      <c r="H46" s="10" t="n">
        <f aca="false">'Ставки ТО'!$N$19</f>
        <v>4301</v>
      </c>
      <c r="I46" s="5" t="n">
        <v>12</v>
      </c>
      <c r="J46" s="10" t="n">
        <f aca="false">K46*I46</f>
        <v>51612</v>
      </c>
      <c r="K46" s="10" t="n">
        <f aca="false">ROUND(F46*H46,2)</f>
        <v>4301</v>
      </c>
      <c r="L46" s="20" t="n">
        <f aca="false">'Ставки ТО'!$D$19</f>
        <v>2</v>
      </c>
      <c r="M46" s="21" t="n">
        <f aca="false">F46*L46*I46</f>
        <v>24</v>
      </c>
      <c r="N46" s="10" t="n">
        <f aca="false">M46*'Персонал ТО'!$C$17*(1+'Персонал ТО'!$C$9)</f>
        <v>27872.5724136113</v>
      </c>
      <c r="O46" s="10" t="n">
        <f aca="false">N46*0.02</f>
        <v>557.451448272226</v>
      </c>
      <c r="P46" s="10" t="n">
        <v>0</v>
      </c>
      <c r="Q46" s="10" t="n">
        <f aca="false">N46+O46+P46</f>
        <v>28430.0238618835</v>
      </c>
      <c r="R46" s="10" t="n">
        <f aca="false">J46-Q46</f>
        <v>23181.9761381165</v>
      </c>
      <c r="S46" s="6" t="n">
        <f aca="false">IF(J46&gt;0,R46/J46,"")</f>
        <v>0.449158647952346</v>
      </c>
    </row>
    <row r="47" customFormat="false" ht="31.3" hidden="false" customHeight="false" outlineLevel="0" collapsed="false">
      <c r="A47" s="4" t="n">
        <v>38</v>
      </c>
      <c r="B47" s="4" t="s">
        <v>245</v>
      </c>
      <c r="C47" s="4" t="s">
        <v>178</v>
      </c>
      <c r="D47" s="4" t="s">
        <v>179</v>
      </c>
      <c r="E47" s="4" t="s">
        <v>145</v>
      </c>
      <c r="F47" s="19" t="n">
        <v>83.1</v>
      </c>
      <c r="G47" s="4" t="s">
        <v>240</v>
      </c>
      <c r="H47" s="10" t="n">
        <f aca="false">'Ставки ТО'!$N$20</f>
        <v>25.3</v>
      </c>
      <c r="I47" s="5" t="n">
        <v>12</v>
      </c>
      <c r="J47" s="10" t="n">
        <f aca="false">K47*I47</f>
        <v>25229.16</v>
      </c>
      <c r="K47" s="10" t="n">
        <f aca="false">ROUND(F47*H47,2)</f>
        <v>2102.43</v>
      </c>
      <c r="L47" s="20" t="n">
        <f aca="false">'Ставки ТО'!$D$20</f>
        <v>0.02</v>
      </c>
      <c r="M47" s="21" t="n">
        <f aca="false">F47*L47*I47</f>
        <v>19.944</v>
      </c>
      <c r="N47" s="10" t="n">
        <f aca="false">M47*'Персонал ТО'!$C$17*(1+'Персонал ТО'!$C$9)</f>
        <v>23162.107675711</v>
      </c>
      <c r="O47" s="10" t="n">
        <f aca="false">N47*0.02</f>
        <v>463.24215351422</v>
      </c>
      <c r="P47" s="10" t="n">
        <v>0</v>
      </c>
      <c r="Q47" s="10" t="n">
        <f aca="false">N47+O47+P47</f>
        <v>23625.3498292252</v>
      </c>
      <c r="R47" s="10" t="n">
        <f aca="false">J47-Q47</f>
        <v>1603.8101707748</v>
      </c>
      <c r="S47" s="6" t="n">
        <f aca="false">IF(J47&gt;0,R47/J47,"")</f>
        <v>0.0635697015189883</v>
      </c>
    </row>
    <row r="48" customFormat="false" ht="16.4" hidden="false" customHeight="false" outlineLevel="0" collapsed="false">
      <c r="A48" s="22"/>
      <c r="B48" s="22"/>
      <c r="C48" s="22"/>
      <c r="D48" s="23" t="s">
        <v>241</v>
      </c>
      <c r="E48" s="22"/>
      <c r="F48" s="22"/>
      <c r="G48" s="22"/>
      <c r="H48" s="22"/>
      <c r="I48" s="22"/>
      <c r="J48" s="11" t="n">
        <f aca="false">SUM(J34:J47)</f>
        <v>2710739.64</v>
      </c>
      <c r="K48" s="11" t="n">
        <f aca="false">SUM(K34:K47)</f>
        <v>225894.97</v>
      </c>
      <c r="L48" s="22"/>
      <c r="M48" s="11" t="n">
        <f aca="false">SUM(M34:M47)</f>
        <v>1036.944</v>
      </c>
      <c r="N48" s="11" t="n">
        <f aca="false">SUM(N34:N47)</f>
        <v>1204262.36370249</v>
      </c>
      <c r="O48" s="11" t="n">
        <f aca="false">SUM(O34:O47)</f>
        <v>24085.2472740498</v>
      </c>
      <c r="P48" s="11" t="n">
        <f aca="false">SUM(P34:P47)</f>
        <v>0</v>
      </c>
      <c r="Q48" s="11" t="n">
        <f aca="false">SUM(Q34:Q47)</f>
        <v>1228347.61097654</v>
      </c>
      <c r="R48" s="11" t="n">
        <f aca="false">SUM(R34:R47)</f>
        <v>1482392.02902346</v>
      </c>
      <c r="S48" s="22"/>
    </row>
    <row r="49" customFormat="false" ht="225.35" hidden="false" customHeight="false" outlineLevel="0" collapsed="false">
      <c r="A49" s="17" t="s">
        <v>246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customFormat="false" ht="46.25" hidden="false" customHeight="false" outlineLevel="0" collapsed="false">
      <c r="A50" s="4" t="n">
        <v>39</v>
      </c>
      <c r="B50" s="4" t="s">
        <v>247</v>
      </c>
      <c r="C50" s="4" t="s">
        <v>98</v>
      </c>
      <c r="D50" s="4" t="s">
        <v>99</v>
      </c>
      <c r="E50" s="4" t="s">
        <v>100</v>
      </c>
      <c r="F50" s="19" t="n">
        <v>5</v>
      </c>
      <c r="G50" s="4" t="s">
        <v>240</v>
      </c>
      <c r="H50" s="10" t="n">
        <f aca="false">'Ставки ТО'!$N$5</f>
        <v>3620.43</v>
      </c>
      <c r="I50" s="5" t="n">
        <v>12</v>
      </c>
      <c r="J50" s="10" t="n">
        <f aca="false">K50*I50</f>
        <v>217225.8</v>
      </c>
      <c r="K50" s="10" t="n">
        <f aca="false">ROUND(F50*H50,2)</f>
        <v>18102.15</v>
      </c>
      <c r="L50" s="20" t="n">
        <f aca="false">'Ставки ТО'!$D$5</f>
        <v>1</v>
      </c>
      <c r="M50" s="21" t="n">
        <f aca="false">F50*L50*I50</f>
        <v>60</v>
      </c>
      <c r="N50" s="10" t="n">
        <f aca="false">M50*'Персонал ТО'!$C$17*(1+'Персонал ТО'!$C$9)</f>
        <v>69681.4310340282</v>
      </c>
      <c r="O50" s="10" t="n">
        <f aca="false">N50*0.02</f>
        <v>1393.62862068056</v>
      </c>
      <c r="P50" s="10" t="n">
        <v>0</v>
      </c>
      <c r="Q50" s="10" t="n">
        <f aca="false">N50+O50+P50</f>
        <v>71075.0596547088</v>
      </c>
      <c r="R50" s="10" t="n">
        <f aca="false">J50-Q50</f>
        <v>146150.740345291</v>
      </c>
      <c r="S50" s="6" t="n">
        <f aca="false">IF(J50&gt;0,R50/J50,"")</f>
        <v>0.672805625967501</v>
      </c>
    </row>
    <row r="51" customFormat="false" ht="31.3" hidden="false" customHeight="false" outlineLevel="0" collapsed="false">
      <c r="A51" s="4" t="n">
        <v>40</v>
      </c>
      <c r="B51" s="4" t="s">
        <v>247</v>
      </c>
      <c r="C51" s="4" t="s">
        <v>106</v>
      </c>
      <c r="D51" s="4" t="s">
        <v>107</v>
      </c>
      <c r="E51" s="4" t="s">
        <v>100</v>
      </c>
      <c r="F51" s="19" t="n">
        <v>47</v>
      </c>
      <c r="G51" s="4" t="s">
        <v>240</v>
      </c>
      <c r="H51" s="10" t="n">
        <f aca="false">'Ставки ТО'!$N$6</f>
        <v>240.35</v>
      </c>
      <c r="I51" s="5" t="n">
        <v>12</v>
      </c>
      <c r="J51" s="10" t="n">
        <f aca="false">K51*I51</f>
        <v>135557.4</v>
      </c>
      <c r="K51" s="10" t="n">
        <f aca="false">ROUND(F51*H51,2)</f>
        <v>11296.45</v>
      </c>
      <c r="L51" s="20" t="n">
        <f aca="false">'Ставки ТО'!$D$6</f>
        <v>0.2</v>
      </c>
      <c r="M51" s="21" t="n">
        <f aca="false">F51*L51*I51</f>
        <v>112.8</v>
      </c>
      <c r="N51" s="10" t="n">
        <f aca="false">M51*'Персонал ТО'!$C$17*(1+'Персонал ТО'!$C$9)</f>
        <v>131001.090343973</v>
      </c>
      <c r="O51" s="10" t="n">
        <f aca="false">N51*0.02</f>
        <v>2620.02180687946</v>
      </c>
      <c r="P51" s="10" t="n">
        <v>0</v>
      </c>
      <c r="Q51" s="10" t="n">
        <f aca="false">N51+O51+P51</f>
        <v>133621.112150853</v>
      </c>
      <c r="R51" s="10" t="n">
        <f aca="false">J51-Q51</f>
        <v>1936.28784914751</v>
      </c>
      <c r="S51" s="6" t="n">
        <f aca="false">IF(J51&gt;0,R51/J51,"")</f>
        <v>0.0142838963357774</v>
      </c>
    </row>
    <row r="52" customFormat="false" ht="31.3" hidden="false" customHeight="false" outlineLevel="0" collapsed="false">
      <c r="A52" s="4" t="n">
        <v>41</v>
      </c>
      <c r="B52" s="4" t="s">
        <v>247</v>
      </c>
      <c r="C52" s="4" t="s">
        <v>113</v>
      </c>
      <c r="D52" s="4" t="s">
        <v>114</v>
      </c>
      <c r="E52" s="4" t="s">
        <v>100</v>
      </c>
      <c r="F52" s="19" t="n">
        <v>3</v>
      </c>
      <c r="G52" s="4" t="s">
        <v>240</v>
      </c>
      <c r="H52" s="10" t="n">
        <f aca="false">'Ставки ТО'!$N$7</f>
        <v>493.35</v>
      </c>
      <c r="I52" s="5" t="n">
        <v>12</v>
      </c>
      <c r="J52" s="10" t="n">
        <f aca="false">K52*I52</f>
        <v>17760.6</v>
      </c>
      <c r="K52" s="10" t="n">
        <f aca="false">ROUND(F52*H52,2)</f>
        <v>1480.05</v>
      </c>
      <c r="L52" s="20" t="n">
        <f aca="false">'Ставки ТО'!$D$7</f>
        <v>0.25</v>
      </c>
      <c r="M52" s="21" t="n">
        <f aca="false">F52*L52*I52</f>
        <v>9</v>
      </c>
      <c r="N52" s="10" t="n">
        <f aca="false">M52*'Персонал ТО'!$C$17*(1+'Персонал ТО'!$C$9)</f>
        <v>10452.2146551042</v>
      </c>
      <c r="O52" s="10" t="n">
        <f aca="false">N52*0.02</f>
        <v>209.044293102085</v>
      </c>
      <c r="P52" s="10" t="n">
        <v>0</v>
      </c>
      <c r="Q52" s="10" t="n">
        <f aca="false">N52+O52+P52</f>
        <v>10661.2589482063</v>
      </c>
      <c r="R52" s="10" t="n">
        <f aca="false">J52-Q52</f>
        <v>7099.34105179368</v>
      </c>
      <c r="S52" s="6" t="n">
        <f aca="false">IF(J52&gt;0,R52/J52,"")</f>
        <v>0.399724167640377</v>
      </c>
    </row>
    <row r="53" customFormat="false" ht="31.3" hidden="false" customHeight="false" outlineLevel="0" collapsed="false">
      <c r="A53" s="4" t="n">
        <v>42</v>
      </c>
      <c r="B53" s="4" t="s">
        <v>247</v>
      </c>
      <c r="C53" s="4" t="s">
        <v>123</v>
      </c>
      <c r="D53" s="4" t="s">
        <v>124</v>
      </c>
      <c r="E53" s="4" t="s">
        <v>100</v>
      </c>
      <c r="F53" s="19" t="n">
        <v>157</v>
      </c>
      <c r="G53" s="4" t="s">
        <v>240</v>
      </c>
      <c r="H53" s="10" t="n">
        <f aca="false">'Ставки ТО'!$N$9</f>
        <v>101.2</v>
      </c>
      <c r="I53" s="5" t="n">
        <v>12</v>
      </c>
      <c r="J53" s="10" t="n">
        <f aca="false">K53*I53</f>
        <v>190660.8</v>
      </c>
      <c r="K53" s="10" t="n">
        <f aca="false">ROUND(F53*H53,2)</f>
        <v>15888.4</v>
      </c>
      <c r="L53" s="20" t="n">
        <f aca="false">'Ставки ТО'!$D$9</f>
        <v>0.04</v>
      </c>
      <c r="M53" s="21" t="n">
        <f aca="false">F53*L53*I53</f>
        <v>75.36</v>
      </c>
      <c r="N53" s="10" t="n">
        <f aca="false">M53*'Персонал ТО'!$C$17*(1+'Персонал ТО'!$C$9)</f>
        <v>87519.8773787394</v>
      </c>
      <c r="O53" s="10" t="n">
        <f aca="false">N53*0.02</f>
        <v>1750.39754757479</v>
      </c>
      <c r="P53" s="10" t="n">
        <v>0</v>
      </c>
      <c r="Q53" s="10" t="n">
        <f aca="false">N53+O53+P53</f>
        <v>89270.2749263142</v>
      </c>
      <c r="R53" s="10" t="n">
        <f aca="false">J53-Q53</f>
        <v>101390.525073686</v>
      </c>
      <c r="S53" s="6" t="n">
        <f aca="false">IF(J53&gt;0,R53/J53,"")</f>
        <v>0.531784850759494</v>
      </c>
    </row>
    <row r="54" customFormat="false" ht="31.3" hidden="false" customHeight="false" outlineLevel="0" collapsed="false">
      <c r="A54" s="4" t="n">
        <v>43</v>
      </c>
      <c r="B54" s="4" t="s">
        <v>247</v>
      </c>
      <c r="C54" s="4" t="s">
        <v>129</v>
      </c>
      <c r="D54" s="4" t="s">
        <v>130</v>
      </c>
      <c r="E54" s="4" t="s">
        <v>100</v>
      </c>
      <c r="F54" s="19" t="n">
        <v>4</v>
      </c>
      <c r="G54" s="4" t="s">
        <v>240</v>
      </c>
      <c r="H54" s="10" t="n">
        <f aca="false">'Ставки ТО'!$N$10</f>
        <v>246.68</v>
      </c>
      <c r="I54" s="5" t="n">
        <v>12</v>
      </c>
      <c r="J54" s="10" t="n">
        <f aca="false">K54*I54</f>
        <v>11840.64</v>
      </c>
      <c r="K54" s="10" t="n">
        <f aca="false">ROUND(F54*H54,2)</f>
        <v>986.72</v>
      </c>
      <c r="L54" s="20" t="n">
        <f aca="false">'Ставки ТО'!$D$10</f>
        <v>0.15</v>
      </c>
      <c r="M54" s="21" t="n">
        <f aca="false">F54*L54*I54</f>
        <v>7.2</v>
      </c>
      <c r="N54" s="10" t="n">
        <f aca="false">M54*'Персонал ТО'!$C$17*(1+'Персонал ТО'!$C$9)</f>
        <v>8361.77172408338</v>
      </c>
      <c r="O54" s="10" t="n">
        <f aca="false">N54*0.02</f>
        <v>167.235434481668</v>
      </c>
      <c r="P54" s="10" t="n">
        <v>0</v>
      </c>
      <c r="Q54" s="10" t="n">
        <f aca="false">N54+O54+P54</f>
        <v>8529.00715856505</v>
      </c>
      <c r="R54" s="10" t="n">
        <f aca="false">J54-Q54</f>
        <v>3311.63284143495</v>
      </c>
      <c r="S54" s="6" t="n">
        <f aca="false">IF(J54&gt;0,R54/J54,"")</f>
        <v>0.279683601683266</v>
      </c>
    </row>
    <row r="55" customFormat="false" ht="31.3" hidden="false" customHeight="false" outlineLevel="0" collapsed="false">
      <c r="A55" s="4" t="n">
        <v>44</v>
      </c>
      <c r="B55" s="4" t="s">
        <v>247</v>
      </c>
      <c r="C55" s="4" t="s">
        <v>149</v>
      </c>
      <c r="D55" s="4" t="s">
        <v>150</v>
      </c>
      <c r="E55" s="4" t="s">
        <v>100</v>
      </c>
      <c r="F55" s="19" t="n">
        <v>16</v>
      </c>
      <c r="G55" s="4" t="s">
        <v>240</v>
      </c>
      <c r="H55" s="10" t="n">
        <f aca="false">'Ставки ТО'!$N$14</f>
        <v>88.55</v>
      </c>
      <c r="I55" s="5" t="n">
        <v>12</v>
      </c>
      <c r="J55" s="10" t="n">
        <f aca="false">K55*I55</f>
        <v>17001.6</v>
      </c>
      <c r="K55" s="10" t="n">
        <f aca="false">ROUND(F55*H55,2)</f>
        <v>1416.8</v>
      </c>
      <c r="L55" s="20" t="n">
        <f aca="false">'Ставки ТО'!$D$14</f>
        <v>0.04</v>
      </c>
      <c r="M55" s="21" t="n">
        <f aca="false">F55*L55*I55</f>
        <v>7.68</v>
      </c>
      <c r="N55" s="10" t="n">
        <f aca="false">M55*'Персонал ТО'!$C$17*(1+'Персонал ТО'!$C$9)</f>
        <v>8919.22317235561</v>
      </c>
      <c r="O55" s="10" t="n">
        <f aca="false">N55*0.02</f>
        <v>178.384463447112</v>
      </c>
      <c r="P55" s="10" t="n">
        <v>0</v>
      </c>
      <c r="Q55" s="10" t="n">
        <f aca="false">N55+O55+P55</f>
        <v>9097.60763580272</v>
      </c>
      <c r="R55" s="10" t="n">
        <f aca="false">J55-Q55</f>
        <v>7903.99236419728</v>
      </c>
      <c r="S55" s="6" t="n">
        <f aca="false">IF(J55&gt;0,R55/J55,"")</f>
        <v>0.464896972296565</v>
      </c>
    </row>
    <row r="56" customFormat="false" ht="31.3" hidden="false" customHeight="false" outlineLevel="0" collapsed="false">
      <c r="A56" s="4" t="n">
        <v>45</v>
      </c>
      <c r="B56" s="4" t="s">
        <v>247</v>
      </c>
      <c r="C56" s="4" t="s">
        <v>156</v>
      </c>
      <c r="D56" s="4" t="s">
        <v>157</v>
      </c>
      <c r="E56" s="4" t="s">
        <v>100</v>
      </c>
      <c r="F56" s="19" t="n">
        <v>45</v>
      </c>
      <c r="G56" s="4" t="s">
        <v>240</v>
      </c>
      <c r="H56" s="10" t="n">
        <f aca="false">'Ставки ТО'!$N$16</f>
        <v>123.97</v>
      </c>
      <c r="I56" s="5" t="n">
        <v>12</v>
      </c>
      <c r="J56" s="10" t="n">
        <f aca="false">K56*I56</f>
        <v>66943.8</v>
      </c>
      <c r="K56" s="10" t="n">
        <f aca="false">ROUND(F56*H56,2)</f>
        <v>5578.65</v>
      </c>
      <c r="L56" s="20" t="n">
        <f aca="false">'Ставки ТО'!$D$16</f>
        <v>0.04</v>
      </c>
      <c r="M56" s="21" t="n">
        <f aca="false">F56*L56*I56</f>
        <v>21.6</v>
      </c>
      <c r="N56" s="10" t="n">
        <f aca="false">M56*'Персонал ТО'!$C$17*(1+'Персонал ТО'!$C$9)</f>
        <v>25085.3151722502</v>
      </c>
      <c r="O56" s="10" t="n">
        <f aca="false">N56*0.02</f>
        <v>501.706303445003</v>
      </c>
      <c r="P56" s="10" t="n">
        <v>0</v>
      </c>
      <c r="Q56" s="10" t="n">
        <f aca="false">N56+O56+P56</f>
        <v>25587.0214756952</v>
      </c>
      <c r="R56" s="10" t="n">
        <f aca="false">J56-Q56</f>
        <v>41356.7785243048</v>
      </c>
      <c r="S56" s="6" t="n">
        <f aca="false">IF(J56&gt;0,R56/J56,"")</f>
        <v>0.617783551640403</v>
      </c>
    </row>
    <row r="57" customFormat="false" ht="31.3" hidden="false" customHeight="false" outlineLevel="0" collapsed="false">
      <c r="A57" s="4" t="n">
        <v>46</v>
      </c>
      <c r="B57" s="4" t="s">
        <v>247</v>
      </c>
      <c r="C57" s="4" t="s">
        <v>166</v>
      </c>
      <c r="D57" s="4" t="s">
        <v>167</v>
      </c>
      <c r="E57" s="4" t="s">
        <v>100</v>
      </c>
      <c r="F57" s="19" t="n">
        <v>4</v>
      </c>
      <c r="G57" s="4" t="s">
        <v>240</v>
      </c>
      <c r="H57" s="10" t="n">
        <f aca="false">'Ставки ТО'!$N$18</f>
        <v>1138.5</v>
      </c>
      <c r="I57" s="5" t="n">
        <v>12</v>
      </c>
      <c r="J57" s="10" t="n">
        <f aca="false">K57*I57</f>
        <v>54648</v>
      </c>
      <c r="K57" s="10" t="n">
        <f aca="false">ROUND(F57*H57,2)</f>
        <v>4554</v>
      </c>
      <c r="L57" s="20" t="n">
        <f aca="false">'Ставки ТО'!$D$18</f>
        <v>0.3</v>
      </c>
      <c r="M57" s="21" t="n">
        <f aca="false">F57*L57*I57</f>
        <v>14.4</v>
      </c>
      <c r="N57" s="10" t="n">
        <f aca="false">M57*'Персонал ТО'!$C$17*(1+'Персонал ТО'!$C$9)</f>
        <v>16723.5434481668</v>
      </c>
      <c r="O57" s="10" t="n">
        <f aca="false">N57*0.02</f>
        <v>334.470868963335</v>
      </c>
      <c r="P57" s="10" t="n">
        <v>0</v>
      </c>
      <c r="Q57" s="10" t="n">
        <f aca="false">N57+O57+P57</f>
        <v>17058.0143171301</v>
      </c>
      <c r="R57" s="10" t="n">
        <f aca="false">J57-Q57</f>
        <v>37589.9856828699</v>
      </c>
      <c r="S57" s="6" t="n">
        <f aca="false">IF(J57&gt;0,R57/J57,"")</f>
        <v>0.687856567172996</v>
      </c>
    </row>
    <row r="58" customFormat="false" ht="31.3" hidden="false" customHeight="false" outlineLevel="0" collapsed="false">
      <c r="A58" s="4" t="n">
        <v>47</v>
      </c>
      <c r="B58" s="4" t="s">
        <v>247</v>
      </c>
      <c r="C58" s="4" t="s">
        <v>172</v>
      </c>
      <c r="D58" s="4" t="s">
        <v>173</v>
      </c>
      <c r="E58" s="4" t="s">
        <v>140</v>
      </c>
      <c r="F58" s="19" t="n">
        <v>1</v>
      </c>
      <c r="G58" s="4" t="s">
        <v>240</v>
      </c>
      <c r="H58" s="10" t="n">
        <f aca="false">'Ставки ТО'!$N$19</f>
        <v>4301</v>
      </c>
      <c r="I58" s="5" t="n">
        <v>12</v>
      </c>
      <c r="J58" s="10" t="n">
        <f aca="false">K58*I58</f>
        <v>51612</v>
      </c>
      <c r="K58" s="10" t="n">
        <f aca="false">ROUND(F58*H58,2)</f>
        <v>4301</v>
      </c>
      <c r="L58" s="20" t="n">
        <f aca="false">'Ставки ТО'!$D$19</f>
        <v>2</v>
      </c>
      <c r="M58" s="21" t="n">
        <f aca="false">F58*L58*I58</f>
        <v>24</v>
      </c>
      <c r="N58" s="10" t="n">
        <f aca="false">M58*'Персонал ТО'!$C$17*(1+'Персонал ТО'!$C$9)</f>
        <v>27872.5724136113</v>
      </c>
      <c r="O58" s="10" t="n">
        <f aca="false">N58*0.02</f>
        <v>557.451448272226</v>
      </c>
      <c r="P58" s="10" t="n">
        <v>0</v>
      </c>
      <c r="Q58" s="10" t="n">
        <f aca="false">N58+O58+P58</f>
        <v>28430.0238618835</v>
      </c>
      <c r="R58" s="10" t="n">
        <f aca="false">J58-Q58</f>
        <v>23181.9761381165</v>
      </c>
      <c r="S58" s="6" t="n">
        <f aca="false">IF(J58&gt;0,R58/J58,"")</f>
        <v>0.449158647952346</v>
      </c>
    </row>
    <row r="59" customFormat="false" ht="31.3" hidden="false" customHeight="false" outlineLevel="0" collapsed="false">
      <c r="A59" s="4" t="n">
        <v>48</v>
      </c>
      <c r="B59" s="4" t="s">
        <v>247</v>
      </c>
      <c r="C59" s="4" t="s">
        <v>178</v>
      </c>
      <c r="D59" s="4" t="s">
        <v>179</v>
      </c>
      <c r="E59" s="4" t="s">
        <v>145</v>
      </c>
      <c r="F59" s="19" t="n">
        <v>30.8</v>
      </c>
      <c r="G59" s="4" t="s">
        <v>240</v>
      </c>
      <c r="H59" s="10" t="n">
        <f aca="false">'Ставки ТО'!$N$20</f>
        <v>25.3</v>
      </c>
      <c r="I59" s="5" t="n">
        <v>12</v>
      </c>
      <c r="J59" s="10" t="n">
        <f aca="false">K59*I59</f>
        <v>9350.88</v>
      </c>
      <c r="K59" s="10" t="n">
        <f aca="false">ROUND(F59*H59,2)</f>
        <v>779.24</v>
      </c>
      <c r="L59" s="20" t="n">
        <f aca="false">'Ставки ТО'!$D$20</f>
        <v>0.02</v>
      </c>
      <c r="M59" s="21" t="n">
        <f aca="false">F59*L59*I59</f>
        <v>7.392</v>
      </c>
      <c r="N59" s="10" t="n">
        <f aca="false">M59*'Персонал ТО'!$C$17*(1+'Персонал ТО'!$C$9)</f>
        <v>8584.75230339228</v>
      </c>
      <c r="O59" s="10" t="n">
        <f aca="false">N59*0.02</f>
        <v>171.695046067846</v>
      </c>
      <c r="P59" s="10" t="n">
        <v>0</v>
      </c>
      <c r="Q59" s="10" t="n">
        <f aca="false">N59+O59+P59</f>
        <v>8756.44734946012</v>
      </c>
      <c r="R59" s="10" t="n">
        <f aca="false">J59-Q59</f>
        <v>594.43265053988</v>
      </c>
      <c r="S59" s="6" t="n">
        <f aca="false">IF(J59&gt;0,R59/J59,"")</f>
        <v>0.0635697015189886</v>
      </c>
    </row>
    <row r="60" customFormat="false" ht="16.4" hidden="false" customHeight="false" outlineLevel="0" collapsed="false">
      <c r="A60" s="22"/>
      <c r="B60" s="22"/>
      <c r="C60" s="22"/>
      <c r="D60" s="23" t="s">
        <v>241</v>
      </c>
      <c r="E60" s="22"/>
      <c r="F60" s="22"/>
      <c r="G60" s="22"/>
      <c r="H60" s="22"/>
      <c r="I60" s="22"/>
      <c r="J60" s="11" t="n">
        <f aca="false">SUM(J50:J59)</f>
        <v>772601.52</v>
      </c>
      <c r="K60" s="11" t="n">
        <f aca="false">SUM(K50:K59)</f>
        <v>64383.46</v>
      </c>
      <c r="L60" s="22"/>
      <c r="M60" s="11" t="n">
        <f aca="false">SUM(M50:M59)</f>
        <v>339.432</v>
      </c>
      <c r="N60" s="11" t="n">
        <f aca="false">SUM(N50:N59)</f>
        <v>394201.791645704</v>
      </c>
      <c r="O60" s="11" t="n">
        <f aca="false">SUM(O50:O59)</f>
        <v>7884.03583291409</v>
      </c>
      <c r="P60" s="11" t="n">
        <f aca="false">SUM(P50:P59)</f>
        <v>0</v>
      </c>
      <c r="Q60" s="11" t="n">
        <f aca="false">SUM(Q50:Q59)</f>
        <v>402085.827478619</v>
      </c>
      <c r="R60" s="11" t="n">
        <f aca="false">SUM(R50:R59)</f>
        <v>370515.692521382</v>
      </c>
      <c r="S60" s="22"/>
    </row>
    <row r="61" customFormat="false" ht="464.15" hidden="false" customHeight="false" outlineLevel="0" collapsed="false">
      <c r="A61" s="17" t="s">
        <v>248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customFormat="false" ht="46.25" hidden="false" customHeight="false" outlineLevel="0" collapsed="false">
      <c r="A62" s="4" t="n">
        <v>49</v>
      </c>
      <c r="B62" s="4" t="s">
        <v>249</v>
      </c>
      <c r="C62" s="4" t="s">
        <v>98</v>
      </c>
      <c r="D62" s="4" t="s">
        <v>99</v>
      </c>
      <c r="E62" s="4" t="s">
        <v>100</v>
      </c>
      <c r="F62" s="19" t="n">
        <v>31</v>
      </c>
      <c r="G62" s="4" t="s">
        <v>240</v>
      </c>
      <c r="H62" s="10" t="n">
        <f aca="false">'Ставки ТО'!$N$5</f>
        <v>3620.43</v>
      </c>
      <c r="I62" s="5" t="n">
        <v>12</v>
      </c>
      <c r="J62" s="10" t="n">
        <f aca="false">K62*I62</f>
        <v>1346799.96</v>
      </c>
      <c r="K62" s="10" t="n">
        <f aca="false">ROUND(F62*H62,2)</f>
        <v>112233.33</v>
      </c>
      <c r="L62" s="20" t="n">
        <f aca="false">'Ставки ТО'!$D$5</f>
        <v>1</v>
      </c>
      <c r="M62" s="21" t="n">
        <f aca="false">F62*L62*I62</f>
        <v>372</v>
      </c>
      <c r="N62" s="10" t="n">
        <f aca="false">M62*'Персонал ТО'!$C$17*(1+'Персонал ТО'!$C$9)</f>
        <v>432024.872410975</v>
      </c>
      <c r="O62" s="10" t="n">
        <f aca="false">N62*0.02</f>
        <v>8640.4974482195</v>
      </c>
      <c r="P62" s="10" t="n">
        <v>0</v>
      </c>
      <c r="Q62" s="10" t="n">
        <f aca="false">N62+O62+P62</f>
        <v>440665.369859194</v>
      </c>
      <c r="R62" s="10" t="n">
        <f aca="false">J62-Q62</f>
        <v>906134.590140806</v>
      </c>
      <c r="S62" s="6" t="n">
        <f aca="false">IF(J62&gt;0,R62/J62,"")</f>
        <v>0.672805625967501</v>
      </c>
    </row>
    <row r="63" customFormat="false" ht="46.25" hidden="false" customHeight="false" outlineLevel="0" collapsed="false">
      <c r="A63" s="4" t="n">
        <v>50</v>
      </c>
      <c r="B63" s="4" t="s">
        <v>249</v>
      </c>
      <c r="C63" s="4" t="s">
        <v>106</v>
      </c>
      <c r="D63" s="4" t="s">
        <v>107</v>
      </c>
      <c r="E63" s="4" t="s">
        <v>100</v>
      </c>
      <c r="F63" s="19" t="n">
        <v>7</v>
      </c>
      <c r="G63" s="4" t="s">
        <v>240</v>
      </c>
      <c r="H63" s="10" t="n">
        <f aca="false">'Ставки ТО'!$N$6</f>
        <v>240.35</v>
      </c>
      <c r="I63" s="5" t="n">
        <v>12</v>
      </c>
      <c r="J63" s="10" t="n">
        <f aca="false">K63*I63</f>
        <v>20189.4</v>
      </c>
      <c r="K63" s="10" t="n">
        <f aca="false">ROUND(F63*H63,2)</f>
        <v>1682.45</v>
      </c>
      <c r="L63" s="20" t="n">
        <f aca="false">'Ставки ТО'!$D$6</f>
        <v>0.2</v>
      </c>
      <c r="M63" s="21" t="n">
        <f aca="false">F63*L63*I63</f>
        <v>16.8</v>
      </c>
      <c r="N63" s="10" t="n">
        <f aca="false">M63*'Персонал ТО'!$C$17*(1+'Персонал ТО'!$C$9)</f>
        <v>19510.8006895279</v>
      </c>
      <c r="O63" s="10" t="n">
        <f aca="false">N63*0.02</f>
        <v>390.216013790558</v>
      </c>
      <c r="P63" s="10" t="n">
        <v>0</v>
      </c>
      <c r="Q63" s="10" t="n">
        <f aca="false">N63+O63+P63</f>
        <v>19901.0167033185</v>
      </c>
      <c r="R63" s="10" t="n">
        <f aca="false">J63-Q63</f>
        <v>288.383296681539</v>
      </c>
      <c r="S63" s="6" t="n">
        <f aca="false">IF(J63&gt;0,R63/J63,"")</f>
        <v>0.0142838963357771</v>
      </c>
    </row>
    <row r="64" customFormat="false" ht="46.25" hidden="false" customHeight="false" outlineLevel="0" collapsed="false">
      <c r="A64" s="4" t="n">
        <v>51</v>
      </c>
      <c r="B64" s="4" t="s">
        <v>249</v>
      </c>
      <c r="C64" s="4" t="s">
        <v>113</v>
      </c>
      <c r="D64" s="4" t="s">
        <v>114</v>
      </c>
      <c r="E64" s="4" t="s">
        <v>100</v>
      </c>
      <c r="F64" s="19" t="n">
        <v>9</v>
      </c>
      <c r="G64" s="4" t="s">
        <v>240</v>
      </c>
      <c r="H64" s="10" t="n">
        <f aca="false">'Ставки ТО'!$N$7</f>
        <v>493.35</v>
      </c>
      <c r="I64" s="5" t="n">
        <v>12</v>
      </c>
      <c r="J64" s="10" t="n">
        <f aca="false">K64*I64</f>
        <v>53281.8</v>
      </c>
      <c r="K64" s="10" t="n">
        <f aca="false">ROUND(F64*H64,2)</f>
        <v>4440.15</v>
      </c>
      <c r="L64" s="20" t="n">
        <f aca="false">'Ставки ТО'!$D$7</f>
        <v>0.25</v>
      </c>
      <c r="M64" s="21" t="n">
        <f aca="false">F64*L64*I64</f>
        <v>27</v>
      </c>
      <c r="N64" s="10" t="n">
        <f aca="false">M64*'Персонал ТО'!$C$17*(1+'Персонал ТО'!$C$9)</f>
        <v>31356.6439653127</v>
      </c>
      <c r="O64" s="10" t="n">
        <f aca="false">N64*0.02</f>
        <v>627.132879306254</v>
      </c>
      <c r="P64" s="10" t="n">
        <v>0</v>
      </c>
      <c r="Q64" s="10" t="n">
        <f aca="false">N64+O64+P64</f>
        <v>31983.7768446189</v>
      </c>
      <c r="R64" s="10" t="n">
        <f aca="false">J64-Q64</f>
        <v>21298.023155381</v>
      </c>
      <c r="S64" s="6" t="n">
        <f aca="false">IF(J64&gt;0,R64/J64,"")</f>
        <v>0.399724167640377</v>
      </c>
    </row>
    <row r="65" customFormat="false" ht="46.25" hidden="false" customHeight="false" outlineLevel="0" collapsed="false">
      <c r="A65" s="4" t="n">
        <v>52</v>
      </c>
      <c r="B65" s="4" t="s">
        <v>249</v>
      </c>
      <c r="C65" s="4" t="s">
        <v>118</v>
      </c>
      <c r="D65" s="4" t="s">
        <v>119</v>
      </c>
      <c r="E65" s="4" t="s">
        <v>100</v>
      </c>
      <c r="F65" s="19" t="n">
        <v>4</v>
      </c>
      <c r="G65" s="4" t="s">
        <v>240</v>
      </c>
      <c r="H65" s="10" t="n">
        <f aca="false">'Ставки ТО'!$N$8</f>
        <v>240.35</v>
      </c>
      <c r="I65" s="5" t="n">
        <v>12</v>
      </c>
      <c r="J65" s="10" t="n">
        <f aca="false">K65*I65</f>
        <v>11536.8</v>
      </c>
      <c r="K65" s="10" t="n">
        <f aca="false">ROUND(F65*H65,2)</f>
        <v>961.4</v>
      </c>
      <c r="L65" s="20" t="n">
        <f aca="false">'Ставки ТО'!$D$8</f>
        <v>0.05</v>
      </c>
      <c r="M65" s="21" t="n">
        <f aca="false">F65*L65*I65</f>
        <v>2.4</v>
      </c>
      <c r="N65" s="10" t="n">
        <f aca="false">M65*'Персонал ТО'!$C$17*(1+'Персонал ТО'!$C$9)</f>
        <v>2787.25724136113</v>
      </c>
      <c r="O65" s="10" t="n">
        <f aca="false">N65*0.02</f>
        <v>55.7451448272226</v>
      </c>
      <c r="P65" s="10" t="n">
        <v>0</v>
      </c>
      <c r="Q65" s="10" t="n">
        <f aca="false">N65+O65+P65</f>
        <v>2843.00238618835</v>
      </c>
      <c r="R65" s="10" t="n">
        <f aca="false">J65-Q65</f>
        <v>8693.79761381165</v>
      </c>
      <c r="S65" s="6" t="n">
        <f aca="false">IF(J65&gt;0,R65/J65,"")</f>
        <v>0.753570974083944</v>
      </c>
    </row>
    <row r="66" customFormat="false" ht="46.25" hidden="false" customHeight="false" outlineLevel="0" collapsed="false">
      <c r="A66" s="4" t="n">
        <v>53</v>
      </c>
      <c r="B66" s="4" t="s">
        <v>249</v>
      </c>
      <c r="C66" s="4" t="s">
        <v>123</v>
      </c>
      <c r="D66" s="4" t="s">
        <v>124</v>
      </c>
      <c r="E66" s="4" t="s">
        <v>100</v>
      </c>
      <c r="F66" s="19" t="n">
        <v>698</v>
      </c>
      <c r="G66" s="4" t="s">
        <v>240</v>
      </c>
      <c r="H66" s="10" t="n">
        <f aca="false">'Ставки ТО'!$N$9</f>
        <v>101.2</v>
      </c>
      <c r="I66" s="5" t="n">
        <v>12</v>
      </c>
      <c r="J66" s="10" t="n">
        <f aca="false">K66*I66</f>
        <v>847651.2</v>
      </c>
      <c r="K66" s="10" t="n">
        <f aca="false">ROUND(F66*H66,2)</f>
        <v>70637.6</v>
      </c>
      <c r="L66" s="20" t="n">
        <f aca="false">'Ставки ТО'!$D$9</f>
        <v>0.04</v>
      </c>
      <c r="M66" s="21" t="n">
        <f aca="false">F66*L66*I66</f>
        <v>335.04</v>
      </c>
      <c r="N66" s="10" t="n">
        <f aca="false">M66*'Персонал ТО'!$C$17*(1+'Персонал ТО'!$C$9)</f>
        <v>389101.110894014</v>
      </c>
      <c r="O66" s="10" t="n">
        <f aca="false">N66*0.02</f>
        <v>7782.02221788027</v>
      </c>
      <c r="P66" s="10" t="n">
        <v>0</v>
      </c>
      <c r="Q66" s="10" t="n">
        <f aca="false">N66+O66+P66</f>
        <v>396883.133111894</v>
      </c>
      <c r="R66" s="10" t="n">
        <f aca="false">J66-Q66</f>
        <v>450768.066888106</v>
      </c>
      <c r="S66" s="6" t="n">
        <f aca="false">IF(J66&gt;0,R66/J66,"")</f>
        <v>0.531784850759494</v>
      </c>
    </row>
    <row r="67" customFormat="false" ht="46.25" hidden="false" customHeight="false" outlineLevel="0" collapsed="false">
      <c r="A67" s="4" t="n">
        <v>54</v>
      </c>
      <c r="B67" s="4" t="s">
        <v>249</v>
      </c>
      <c r="C67" s="4" t="s">
        <v>129</v>
      </c>
      <c r="D67" s="4" t="s">
        <v>130</v>
      </c>
      <c r="E67" s="4" t="s">
        <v>100</v>
      </c>
      <c r="F67" s="19" t="n">
        <v>29</v>
      </c>
      <c r="G67" s="4" t="s">
        <v>240</v>
      </c>
      <c r="H67" s="10" t="n">
        <f aca="false">'Ставки ТО'!$N$10</f>
        <v>246.68</v>
      </c>
      <c r="I67" s="5" t="n">
        <v>12</v>
      </c>
      <c r="J67" s="10" t="n">
        <f aca="false">K67*I67</f>
        <v>85844.64</v>
      </c>
      <c r="K67" s="10" t="n">
        <f aca="false">ROUND(F67*H67,2)</f>
        <v>7153.72</v>
      </c>
      <c r="L67" s="20" t="n">
        <f aca="false">'Ставки ТО'!$D$10</f>
        <v>0.15</v>
      </c>
      <c r="M67" s="21" t="n">
        <f aca="false">F67*L67*I67</f>
        <v>52.2</v>
      </c>
      <c r="N67" s="10" t="n">
        <f aca="false">M67*'Персонал ТО'!$C$17*(1+'Персонал ТО'!$C$9)</f>
        <v>60622.8449996045</v>
      </c>
      <c r="O67" s="10" t="n">
        <f aca="false">N67*0.02</f>
        <v>1212.45689999209</v>
      </c>
      <c r="P67" s="10" t="n">
        <v>0</v>
      </c>
      <c r="Q67" s="10" t="n">
        <f aca="false">N67+O67+P67</f>
        <v>61835.3018995966</v>
      </c>
      <c r="R67" s="10" t="n">
        <f aca="false">J67-Q67</f>
        <v>24009.3381004034</v>
      </c>
      <c r="S67" s="6" t="n">
        <f aca="false">IF(J67&gt;0,R67/J67,"")</f>
        <v>0.279683601683266</v>
      </c>
    </row>
    <row r="68" customFormat="false" ht="46.25" hidden="false" customHeight="false" outlineLevel="0" collapsed="false">
      <c r="A68" s="4" t="n">
        <v>55</v>
      </c>
      <c r="B68" s="4" t="s">
        <v>249</v>
      </c>
      <c r="C68" s="4" t="s">
        <v>149</v>
      </c>
      <c r="D68" s="4" t="s">
        <v>150</v>
      </c>
      <c r="E68" s="4" t="s">
        <v>100</v>
      </c>
      <c r="F68" s="19" t="n">
        <v>83</v>
      </c>
      <c r="G68" s="4" t="s">
        <v>240</v>
      </c>
      <c r="H68" s="10" t="n">
        <f aca="false">'Ставки ТО'!$N$14</f>
        <v>88.55</v>
      </c>
      <c r="I68" s="5" t="n">
        <v>12</v>
      </c>
      <c r="J68" s="10" t="n">
        <f aca="false">K68*I68</f>
        <v>88195.8</v>
      </c>
      <c r="K68" s="10" t="n">
        <f aca="false">ROUND(F68*H68,2)</f>
        <v>7349.65</v>
      </c>
      <c r="L68" s="20" t="n">
        <f aca="false">'Ставки ТО'!$D$14</f>
        <v>0.04</v>
      </c>
      <c r="M68" s="21" t="n">
        <f aca="false">F68*L68*I68</f>
        <v>39.84</v>
      </c>
      <c r="N68" s="10" t="n">
        <f aca="false">M68*'Персонал ТО'!$C$17*(1+'Персонал ТО'!$C$9)</f>
        <v>46268.4702065947</v>
      </c>
      <c r="O68" s="10" t="n">
        <f aca="false">N68*0.02</f>
        <v>925.369404131895</v>
      </c>
      <c r="P68" s="10" t="n">
        <v>0</v>
      </c>
      <c r="Q68" s="10" t="n">
        <f aca="false">N68+O68+P68</f>
        <v>47193.8396107266</v>
      </c>
      <c r="R68" s="10" t="n">
        <f aca="false">J68-Q68</f>
        <v>41001.9603892734</v>
      </c>
      <c r="S68" s="6" t="n">
        <f aca="false">IF(J68&gt;0,R68/J68,"")</f>
        <v>0.464896972296565</v>
      </c>
    </row>
    <row r="69" customFormat="false" ht="46.25" hidden="false" customHeight="false" outlineLevel="0" collapsed="false">
      <c r="A69" s="4" t="n">
        <v>56</v>
      </c>
      <c r="B69" s="4" t="s">
        <v>249</v>
      </c>
      <c r="C69" s="4" t="s">
        <v>156</v>
      </c>
      <c r="D69" s="4" t="s">
        <v>157</v>
      </c>
      <c r="E69" s="4" t="s">
        <v>100</v>
      </c>
      <c r="F69" s="19" t="n">
        <v>162</v>
      </c>
      <c r="G69" s="4" t="s">
        <v>240</v>
      </c>
      <c r="H69" s="10" t="n">
        <f aca="false">'Ставки ТО'!$N$16</f>
        <v>123.97</v>
      </c>
      <c r="I69" s="5" t="n">
        <v>12</v>
      </c>
      <c r="J69" s="10" t="n">
        <f aca="false">K69*I69</f>
        <v>240997.68</v>
      </c>
      <c r="K69" s="10" t="n">
        <f aca="false">ROUND(F69*H69,2)</f>
        <v>20083.14</v>
      </c>
      <c r="L69" s="20" t="n">
        <f aca="false">'Ставки ТО'!$D$16</f>
        <v>0.04</v>
      </c>
      <c r="M69" s="21" t="n">
        <f aca="false">F69*L69*I69</f>
        <v>77.76</v>
      </c>
      <c r="N69" s="10" t="n">
        <f aca="false">M69*'Персонал ТО'!$C$17*(1+'Персонал ТО'!$C$9)</f>
        <v>90307.1346201006</v>
      </c>
      <c r="O69" s="10" t="n">
        <f aca="false">N69*0.02</f>
        <v>1806.14269240201</v>
      </c>
      <c r="P69" s="10" t="n">
        <v>0</v>
      </c>
      <c r="Q69" s="10" t="n">
        <f aca="false">N69+O69+P69</f>
        <v>92113.2773125026</v>
      </c>
      <c r="R69" s="10" t="n">
        <f aca="false">J69-Q69</f>
        <v>148884.402687497</v>
      </c>
      <c r="S69" s="6" t="n">
        <f aca="false">IF(J69&gt;0,R69/J69,"")</f>
        <v>0.617783551640404</v>
      </c>
    </row>
    <row r="70" customFormat="false" ht="46.25" hidden="false" customHeight="false" outlineLevel="0" collapsed="false">
      <c r="A70" s="4" t="n">
        <v>57</v>
      </c>
      <c r="B70" s="4" t="s">
        <v>249</v>
      </c>
      <c r="C70" s="4" t="s">
        <v>178</v>
      </c>
      <c r="D70" s="4" t="s">
        <v>179</v>
      </c>
      <c r="E70" s="4" t="s">
        <v>145</v>
      </c>
      <c r="F70" s="19" t="n">
        <v>94.75</v>
      </c>
      <c r="G70" s="4" t="s">
        <v>240</v>
      </c>
      <c r="H70" s="10" t="n">
        <f aca="false">'Ставки ТО'!$N$20</f>
        <v>25.3</v>
      </c>
      <c r="I70" s="5" t="n">
        <v>12</v>
      </c>
      <c r="J70" s="10" t="n">
        <f aca="false">K70*I70</f>
        <v>28766.16</v>
      </c>
      <c r="K70" s="10" t="n">
        <f aca="false">ROUND(F70*H70,2)</f>
        <v>2397.18</v>
      </c>
      <c r="L70" s="20" t="n">
        <f aca="false">'Ставки ТО'!$D$20</f>
        <v>0.02</v>
      </c>
      <c r="M70" s="21" t="n">
        <f aca="false">F70*L70*I70</f>
        <v>22.74</v>
      </c>
      <c r="N70" s="10" t="n">
        <f aca="false">M70*'Персонал ТО'!$C$17*(1+'Персонал ТО'!$C$9)</f>
        <v>26409.2623618967</v>
      </c>
      <c r="O70" s="10" t="n">
        <f aca="false">N70*0.02</f>
        <v>528.185247237934</v>
      </c>
      <c r="P70" s="10" t="n">
        <v>0</v>
      </c>
      <c r="Q70" s="10" t="n">
        <f aca="false">N70+O70+P70</f>
        <v>26937.4476091346</v>
      </c>
      <c r="R70" s="10" t="n">
        <f aca="false">J70-Q70</f>
        <v>1828.71239086537</v>
      </c>
      <c r="S70" s="6" t="n">
        <f aca="false">IF(J70&gt;0,R70/J70,"")</f>
        <v>0.0635716547104434</v>
      </c>
    </row>
    <row r="71" customFormat="false" ht="16.4" hidden="false" customHeight="false" outlineLevel="0" collapsed="false">
      <c r="A71" s="22"/>
      <c r="B71" s="22"/>
      <c r="C71" s="22"/>
      <c r="D71" s="23" t="s">
        <v>241</v>
      </c>
      <c r="E71" s="22"/>
      <c r="F71" s="22"/>
      <c r="G71" s="22"/>
      <c r="H71" s="22"/>
      <c r="I71" s="22"/>
      <c r="J71" s="11" t="n">
        <f aca="false">SUM(J62:J70)</f>
        <v>2723263.44</v>
      </c>
      <c r="K71" s="11" t="n">
        <f aca="false">SUM(K62:K70)</f>
        <v>226938.62</v>
      </c>
      <c r="L71" s="22"/>
      <c r="M71" s="11" t="n">
        <f aca="false">SUM(M62:M70)</f>
        <v>945.78</v>
      </c>
      <c r="N71" s="11" t="n">
        <f aca="false">SUM(N62:N70)</f>
        <v>1098388.39738939</v>
      </c>
      <c r="O71" s="11" t="n">
        <f aca="false">SUM(O62:O70)</f>
        <v>21967.7679477877</v>
      </c>
      <c r="P71" s="11" t="n">
        <f aca="false">SUM(P62:P70)</f>
        <v>0</v>
      </c>
      <c r="Q71" s="11" t="n">
        <f aca="false">SUM(Q62:Q70)</f>
        <v>1120356.16533717</v>
      </c>
      <c r="R71" s="11" t="n">
        <f aca="false">SUM(R62:R70)</f>
        <v>1602907.27466283</v>
      </c>
      <c r="S71" s="22"/>
    </row>
    <row r="72" customFormat="false" ht="225.35" hidden="false" customHeight="false" outlineLevel="0" collapsed="false">
      <c r="A72" s="17" t="s">
        <v>250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customFormat="false" ht="31.3" hidden="false" customHeight="false" outlineLevel="0" collapsed="false">
      <c r="A73" s="4" t="n">
        <v>58</v>
      </c>
      <c r="B73" s="4" t="s">
        <v>251</v>
      </c>
      <c r="C73" s="4" t="s">
        <v>188</v>
      </c>
      <c r="D73" s="4" t="s">
        <v>189</v>
      </c>
      <c r="E73" s="4" t="s">
        <v>145</v>
      </c>
      <c r="F73" s="19" t="n">
        <v>43.23</v>
      </c>
      <c r="G73" s="4" t="s">
        <v>240</v>
      </c>
      <c r="H73" s="10" t="n">
        <f aca="false">'Ставки ТО'!$N$22</f>
        <v>506</v>
      </c>
      <c r="I73" s="5" t="n">
        <v>12</v>
      </c>
      <c r="J73" s="10" t="n">
        <f aca="false">K73*I73</f>
        <v>262492.56</v>
      </c>
      <c r="K73" s="10" t="n">
        <f aca="false">ROUND(F73*H73,2)</f>
        <v>21874.38</v>
      </c>
      <c r="L73" s="20" t="n">
        <f aca="false">'Ставки ТО'!$D$22</f>
        <v>0.25</v>
      </c>
      <c r="M73" s="21" t="n">
        <f aca="false">F73*L73*I73</f>
        <v>129.69</v>
      </c>
      <c r="N73" s="10" t="n">
        <f aca="false">M73*'Персонал ТО'!$C$17*(1+'Персонал ТО'!$C$9)</f>
        <v>150616.413180052</v>
      </c>
      <c r="O73" s="10" t="n">
        <f aca="false">N73*0.02</f>
        <v>3012.32826360104</v>
      </c>
      <c r="P73" s="10" t="n">
        <v>0</v>
      </c>
      <c r="Q73" s="10" t="n">
        <f aca="false">N73+O73+P73</f>
        <v>153628.741443653</v>
      </c>
      <c r="R73" s="10" t="n">
        <f aca="false">J73-Q73</f>
        <v>108863.818556347</v>
      </c>
      <c r="S73" s="6" t="n">
        <f aca="false">IF(J73&gt;0,R73/J73,"")</f>
        <v>0.414731063449368</v>
      </c>
    </row>
    <row r="74" customFormat="false" ht="31.3" hidden="false" customHeight="false" outlineLevel="0" collapsed="false">
      <c r="A74" s="4" t="n">
        <v>59</v>
      </c>
      <c r="B74" s="4" t="s">
        <v>251</v>
      </c>
      <c r="C74" s="4" t="s">
        <v>193</v>
      </c>
      <c r="D74" s="4" t="s">
        <v>194</v>
      </c>
      <c r="E74" s="4" t="s">
        <v>100</v>
      </c>
      <c r="F74" s="19" t="n">
        <v>119</v>
      </c>
      <c r="G74" s="4" t="s">
        <v>240</v>
      </c>
      <c r="H74" s="10" t="n">
        <f aca="false">'Ставки ТО'!$N$23</f>
        <v>379.5</v>
      </c>
      <c r="I74" s="5" t="n">
        <v>12</v>
      </c>
      <c r="J74" s="10" t="n">
        <f aca="false">K74*I74</f>
        <v>541926</v>
      </c>
      <c r="K74" s="10" t="n">
        <f aca="false">ROUND(F74*H74,2)</f>
        <v>45160.5</v>
      </c>
      <c r="L74" s="20" t="n">
        <f aca="false">'Ставки ТО'!$D$23</f>
        <v>0.25</v>
      </c>
      <c r="M74" s="21" t="n">
        <f aca="false">F74*L74*I74</f>
        <v>357</v>
      </c>
      <c r="N74" s="10" t="n">
        <f aca="false">M74*'Персонал ТО'!$C$17*(1+'Персонал ТО'!$C$9)</f>
        <v>414604.514652468</v>
      </c>
      <c r="O74" s="10" t="n">
        <f aca="false">N74*0.02</f>
        <v>8292.09029304936</v>
      </c>
      <c r="P74" s="10" t="n">
        <v>0</v>
      </c>
      <c r="Q74" s="10" t="n">
        <f aca="false">N74+O74+P74</f>
        <v>422896.604945517</v>
      </c>
      <c r="R74" s="10" t="n">
        <f aca="false">J74-Q74</f>
        <v>119029.395054483</v>
      </c>
      <c r="S74" s="6" t="n">
        <f aca="false">IF(J74&gt;0,R74/J74,"")</f>
        <v>0.21964141793249</v>
      </c>
    </row>
    <row r="75" customFormat="false" ht="31.3" hidden="false" customHeight="false" outlineLevel="0" collapsed="false">
      <c r="A75" s="4" t="n">
        <v>60</v>
      </c>
      <c r="B75" s="4" t="s">
        <v>251</v>
      </c>
      <c r="C75" s="4" t="s">
        <v>197</v>
      </c>
      <c r="D75" s="4" t="s">
        <v>198</v>
      </c>
      <c r="E75" s="4" t="s">
        <v>100</v>
      </c>
      <c r="F75" s="19" t="n">
        <v>31</v>
      </c>
      <c r="G75" s="4" t="s">
        <v>240</v>
      </c>
      <c r="H75" s="10" t="n">
        <f aca="false">'Ставки ТО'!$N$24</f>
        <v>1960.75</v>
      </c>
      <c r="I75" s="5" t="n">
        <v>12</v>
      </c>
      <c r="J75" s="10" t="n">
        <f aca="false">K75*I75</f>
        <v>729399</v>
      </c>
      <c r="K75" s="10" t="n">
        <f aca="false">ROUND(F75*H75,2)</f>
        <v>60783.25</v>
      </c>
      <c r="L75" s="20" t="n">
        <f aca="false">'Ставки ТО'!$D$24</f>
        <v>1</v>
      </c>
      <c r="M75" s="21" t="n">
        <f aca="false">F75*L75*I75</f>
        <v>372</v>
      </c>
      <c r="N75" s="10" t="n">
        <f aca="false">M75*'Персонал ТО'!$C$17*(1+'Персонал ТО'!$C$9)</f>
        <v>432024.872410975</v>
      </c>
      <c r="O75" s="10" t="n">
        <f aca="false">N75*0.02</f>
        <v>8640.4974482195</v>
      </c>
      <c r="P75" s="10" t="n">
        <v>0</v>
      </c>
      <c r="Q75" s="10" t="n">
        <f aca="false">N75+O75+P75</f>
        <v>440665.369859194</v>
      </c>
      <c r="R75" s="10" t="n">
        <f aca="false">J75-Q75</f>
        <v>288733.630140806</v>
      </c>
      <c r="S75" s="6" t="n">
        <f aca="false">IF(J75&gt;0,R75/J75,"")</f>
        <v>0.395851420334831</v>
      </c>
    </row>
    <row r="76" customFormat="false" ht="31.3" hidden="false" customHeight="false" outlineLevel="0" collapsed="false">
      <c r="A76" s="4" t="n">
        <v>61</v>
      </c>
      <c r="B76" s="4" t="s">
        <v>251</v>
      </c>
      <c r="C76" s="4" t="s">
        <v>202</v>
      </c>
      <c r="D76" s="4" t="s">
        <v>203</v>
      </c>
      <c r="E76" s="4" t="s">
        <v>100</v>
      </c>
      <c r="F76" s="19" t="n">
        <v>738</v>
      </c>
      <c r="G76" s="4" t="s">
        <v>240</v>
      </c>
      <c r="H76" s="10" t="n">
        <f aca="false">'Ставки ТО'!$N$25</f>
        <v>35.42</v>
      </c>
      <c r="I76" s="5" t="n">
        <v>12</v>
      </c>
      <c r="J76" s="10" t="n">
        <f aca="false">K76*I76</f>
        <v>313679.52</v>
      </c>
      <c r="K76" s="10" t="n">
        <f aca="false">ROUND(F76*H76,2)</f>
        <v>26139.96</v>
      </c>
      <c r="L76" s="20" t="n">
        <f aca="false">'Ставки ТО'!$D$25</f>
        <v>0.03</v>
      </c>
      <c r="M76" s="21" t="n">
        <f aca="false">F76*L76*I76</f>
        <v>265.68</v>
      </c>
      <c r="N76" s="10" t="n">
        <f aca="false">M76*'Персонал ТО'!$C$17*(1+'Персонал ТО'!$C$9)</f>
        <v>308549.376618677</v>
      </c>
      <c r="O76" s="10" t="n">
        <f aca="false">N76*0.02</f>
        <v>6170.98753237354</v>
      </c>
      <c r="P76" s="10" t="n">
        <v>0</v>
      </c>
      <c r="Q76" s="10" t="n">
        <f aca="false">N76+O76+P76</f>
        <v>314720.36415105</v>
      </c>
      <c r="R76" s="10" t="n">
        <f aca="false">J76-Q76</f>
        <v>-1040.84415105043</v>
      </c>
      <c r="S76" s="6" t="n">
        <f aca="false">IF(J76&gt;0,R76/J76,"")</f>
        <v>-0.00331817694394086</v>
      </c>
    </row>
    <row r="77" customFormat="false" ht="31.3" hidden="false" customHeight="false" outlineLevel="0" collapsed="false">
      <c r="A77" s="4" t="n">
        <v>62</v>
      </c>
      <c r="B77" s="4" t="s">
        <v>251</v>
      </c>
      <c r="C77" s="4" t="s">
        <v>207</v>
      </c>
      <c r="D77" s="4" t="s">
        <v>208</v>
      </c>
      <c r="E77" s="4" t="s">
        <v>100</v>
      </c>
      <c r="F77" s="19" t="n">
        <v>4</v>
      </c>
      <c r="G77" s="4" t="s">
        <v>240</v>
      </c>
      <c r="H77" s="10" t="n">
        <f aca="false">'Ставки ТО'!$N$26</f>
        <v>349.14</v>
      </c>
      <c r="I77" s="5" t="n">
        <v>12</v>
      </c>
      <c r="J77" s="10" t="n">
        <f aca="false">K77*I77</f>
        <v>16758.72</v>
      </c>
      <c r="K77" s="10" t="n">
        <f aca="false">ROUND(F77*H77,2)</f>
        <v>1396.56</v>
      </c>
      <c r="L77" s="20" t="n">
        <f aca="false">'Ставки ТО'!$D$26</f>
        <v>0.25</v>
      </c>
      <c r="M77" s="21" t="n">
        <f aca="false">F77*L77*I77</f>
        <v>12</v>
      </c>
      <c r="N77" s="10" t="n">
        <f aca="false">M77*'Персонал ТО'!$C$17*(1+'Персонал ТО'!$C$9)</f>
        <v>13936.2862068056</v>
      </c>
      <c r="O77" s="10" t="n">
        <f aca="false">N77*0.02</f>
        <v>278.725724136113</v>
      </c>
      <c r="P77" s="10" t="n">
        <v>0</v>
      </c>
      <c r="Q77" s="10" t="n">
        <f aca="false">N77+O77+P77</f>
        <v>14215.0119309418</v>
      </c>
      <c r="R77" s="10" t="n">
        <f aca="false">J77-Q77</f>
        <v>2543.70806905825</v>
      </c>
      <c r="S77" s="6" t="n">
        <f aca="false">IF(J77&gt;0,R77/J77,"")</f>
        <v>0.15178414992662</v>
      </c>
    </row>
    <row r="78" customFormat="false" ht="16.4" hidden="false" customHeight="false" outlineLevel="0" collapsed="false">
      <c r="A78" s="22"/>
      <c r="B78" s="22"/>
      <c r="C78" s="22"/>
      <c r="D78" s="23" t="s">
        <v>241</v>
      </c>
      <c r="E78" s="22"/>
      <c r="F78" s="22"/>
      <c r="G78" s="22"/>
      <c r="H78" s="22"/>
      <c r="I78" s="22"/>
      <c r="J78" s="11" t="n">
        <f aca="false">SUM(J73:J77)</f>
        <v>1864255.8</v>
      </c>
      <c r="K78" s="11" t="n">
        <f aca="false">SUM(K73:K77)</f>
        <v>155354.65</v>
      </c>
      <c r="L78" s="22"/>
      <c r="M78" s="11" t="n">
        <f aca="false">SUM(M73:M77)</f>
        <v>1136.37</v>
      </c>
      <c r="N78" s="11" t="n">
        <f aca="false">SUM(N73:N77)</f>
        <v>1319731.46306898</v>
      </c>
      <c r="O78" s="11" t="n">
        <f aca="false">SUM(O73:O77)</f>
        <v>26394.6292613796</v>
      </c>
      <c r="P78" s="11" t="n">
        <f aca="false">SUM(P73:P77)</f>
        <v>0</v>
      </c>
      <c r="Q78" s="11" t="n">
        <f aca="false">SUM(Q73:Q77)</f>
        <v>1346126.09233036</v>
      </c>
      <c r="R78" s="11" t="n">
        <f aca="false">SUM(R73:R77)</f>
        <v>518129.707669643</v>
      </c>
      <c r="S78" s="22"/>
    </row>
    <row r="79" customFormat="false" ht="255.2" hidden="false" customHeight="false" outlineLevel="0" collapsed="false">
      <c r="A79" s="17" t="s">
        <v>252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</row>
    <row r="80" customFormat="false" ht="31.3" hidden="false" customHeight="false" outlineLevel="0" collapsed="false">
      <c r="A80" s="4" t="n">
        <v>63</v>
      </c>
      <c r="B80" s="4" t="s">
        <v>253</v>
      </c>
      <c r="C80" s="4" t="s">
        <v>188</v>
      </c>
      <c r="D80" s="4" t="s">
        <v>189</v>
      </c>
      <c r="E80" s="4" t="s">
        <v>145</v>
      </c>
      <c r="F80" s="19" t="n">
        <v>53.12</v>
      </c>
      <c r="G80" s="4" t="s">
        <v>240</v>
      </c>
      <c r="H80" s="10" t="n">
        <f aca="false">'Ставки ТО'!$N$22</f>
        <v>506</v>
      </c>
      <c r="I80" s="5" t="n">
        <v>12</v>
      </c>
      <c r="J80" s="10" t="n">
        <f aca="false">K80*I80</f>
        <v>322544.64</v>
      </c>
      <c r="K80" s="10" t="n">
        <f aca="false">ROUND(F80*H80,2)</f>
        <v>26878.72</v>
      </c>
      <c r="L80" s="20" t="n">
        <f aca="false">'Ставки ТО'!$D$22</f>
        <v>0.25</v>
      </c>
      <c r="M80" s="21" t="n">
        <f aca="false">F80*L80*I80</f>
        <v>159.36</v>
      </c>
      <c r="N80" s="10" t="n">
        <f aca="false">M80*'Персонал ТО'!$C$17*(1+'Персонал ТО'!$C$9)</f>
        <v>185073.880826379</v>
      </c>
      <c r="O80" s="10" t="n">
        <f aca="false">N80*0.02</f>
        <v>3701.47761652758</v>
      </c>
      <c r="P80" s="10" t="n">
        <v>0</v>
      </c>
      <c r="Q80" s="10" t="n">
        <f aca="false">N80+O80+P80</f>
        <v>188775.358442907</v>
      </c>
      <c r="R80" s="10" t="n">
        <f aca="false">J80-Q80</f>
        <v>133769.281557094</v>
      </c>
      <c r="S80" s="6" t="n">
        <f aca="false">IF(J80&gt;0,R80/J80,"")</f>
        <v>0.414731063449368</v>
      </c>
    </row>
    <row r="81" customFormat="false" ht="31.3" hidden="false" customHeight="false" outlineLevel="0" collapsed="false">
      <c r="A81" s="4" t="n">
        <v>64</v>
      </c>
      <c r="B81" s="4" t="s">
        <v>253</v>
      </c>
      <c r="C81" s="4" t="s">
        <v>193</v>
      </c>
      <c r="D81" s="4" t="s">
        <v>194</v>
      </c>
      <c r="E81" s="4" t="s">
        <v>100</v>
      </c>
      <c r="F81" s="19" t="n">
        <v>98</v>
      </c>
      <c r="G81" s="4" t="s">
        <v>240</v>
      </c>
      <c r="H81" s="10" t="n">
        <f aca="false">'Ставки ТО'!$N$23</f>
        <v>379.5</v>
      </c>
      <c r="I81" s="5" t="n">
        <v>12</v>
      </c>
      <c r="J81" s="10" t="n">
        <f aca="false">K81*I81</f>
        <v>446292</v>
      </c>
      <c r="K81" s="10" t="n">
        <f aca="false">ROUND(F81*H81,2)</f>
        <v>37191</v>
      </c>
      <c r="L81" s="20" t="n">
        <f aca="false">'Ставки ТО'!$D$23</f>
        <v>0.25</v>
      </c>
      <c r="M81" s="21" t="n">
        <f aca="false">F81*L81*I81</f>
        <v>294</v>
      </c>
      <c r="N81" s="10" t="n">
        <f aca="false">M81*'Персонал ТО'!$C$17*(1+'Персонал ТО'!$C$9)</f>
        <v>341439.012066738</v>
      </c>
      <c r="O81" s="10" t="n">
        <f aca="false">N81*0.02</f>
        <v>6828.78024133477</v>
      </c>
      <c r="P81" s="10" t="n">
        <v>0</v>
      </c>
      <c r="Q81" s="10" t="n">
        <f aca="false">N81+O81+P81</f>
        <v>348267.792308073</v>
      </c>
      <c r="R81" s="10" t="n">
        <f aca="false">J81-Q81</f>
        <v>98024.207691927</v>
      </c>
      <c r="S81" s="6" t="n">
        <f aca="false">IF(J81&gt;0,R81/J81,"")</f>
        <v>0.21964141793249</v>
      </c>
    </row>
    <row r="82" customFormat="false" ht="31.3" hidden="false" customHeight="false" outlineLevel="0" collapsed="false">
      <c r="A82" s="4" t="n">
        <v>65</v>
      </c>
      <c r="B82" s="4" t="s">
        <v>253</v>
      </c>
      <c r="C82" s="4" t="s">
        <v>197</v>
      </c>
      <c r="D82" s="4" t="s">
        <v>198</v>
      </c>
      <c r="E82" s="4" t="s">
        <v>100</v>
      </c>
      <c r="F82" s="19" t="n">
        <v>33</v>
      </c>
      <c r="G82" s="4" t="s">
        <v>240</v>
      </c>
      <c r="H82" s="10" t="n">
        <f aca="false">'Ставки ТО'!$N$24</f>
        <v>1960.75</v>
      </c>
      <c r="I82" s="5" t="n">
        <v>12</v>
      </c>
      <c r="J82" s="10" t="n">
        <f aca="false">K82*I82</f>
        <v>776457</v>
      </c>
      <c r="K82" s="10" t="n">
        <f aca="false">ROUND(F82*H82,2)</f>
        <v>64704.75</v>
      </c>
      <c r="L82" s="20" t="n">
        <f aca="false">'Ставки ТО'!$D$24</f>
        <v>1</v>
      </c>
      <c r="M82" s="21" t="n">
        <f aca="false">F82*L82*I82</f>
        <v>396</v>
      </c>
      <c r="N82" s="10" t="n">
        <f aca="false">M82*'Персонал ТО'!$C$17*(1+'Персонал ТО'!$C$9)</f>
        <v>459897.444824586</v>
      </c>
      <c r="O82" s="10" t="n">
        <f aca="false">N82*0.02</f>
        <v>9197.94889649172</v>
      </c>
      <c r="P82" s="10" t="n">
        <v>0</v>
      </c>
      <c r="Q82" s="10" t="n">
        <f aca="false">N82+O82+P82</f>
        <v>469095.393721078</v>
      </c>
      <c r="R82" s="10" t="n">
        <f aca="false">J82-Q82</f>
        <v>307361.606278922</v>
      </c>
      <c r="S82" s="6" t="n">
        <f aca="false">IF(J82&gt;0,R82/J82,"")</f>
        <v>0.395851420334831</v>
      </c>
    </row>
    <row r="83" customFormat="false" ht="31.3" hidden="false" customHeight="false" outlineLevel="0" collapsed="false">
      <c r="A83" s="4" t="n">
        <v>66</v>
      </c>
      <c r="B83" s="4" t="s">
        <v>253</v>
      </c>
      <c r="C83" s="4" t="s">
        <v>202</v>
      </c>
      <c r="D83" s="4" t="s">
        <v>203</v>
      </c>
      <c r="E83" s="4" t="s">
        <v>100</v>
      </c>
      <c r="F83" s="19" t="n">
        <v>249</v>
      </c>
      <c r="G83" s="4" t="s">
        <v>240</v>
      </c>
      <c r="H83" s="10" t="n">
        <f aca="false">'Ставки ТО'!$N$25</f>
        <v>35.42</v>
      </c>
      <c r="I83" s="5" t="n">
        <v>12</v>
      </c>
      <c r="J83" s="10" t="n">
        <f aca="false">K83*I83</f>
        <v>105834.96</v>
      </c>
      <c r="K83" s="10" t="n">
        <f aca="false">ROUND(F83*H83,2)</f>
        <v>8819.58</v>
      </c>
      <c r="L83" s="20" t="n">
        <f aca="false">'Ставки ТО'!$D$25</f>
        <v>0.03</v>
      </c>
      <c r="M83" s="21" t="n">
        <f aca="false">F83*L83*I83</f>
        <v>89.64</v>
      </c>
      <c r="N83" s="10" t="n">
        <f aca="false">M83*'Персонал ТО'!$C$17*(1+'Персонал ТО'!$C$9)</f>
        <v>104104.057964838</v>
      </c>
      <c r="O83" s="10" t="n">
        <f aca="false">N83*0.02</f>
        <v>2082.08115929676</v>
      </c>
      <c r="P83" s="10" t="n">
        <v>0</v>
      </c>
      <c r="Q83" s="10" t="n">
        <f aca="false">N83+O83+P83</f>
        <v>106186.139124135</v>
      </c>
      <c r="R83" s="10" t="n">
        <f aca="false">J83-Q83</f>
        <v>-351.179124134927</v>
      </c>
      <c r="S83" s="6" t="n">
        <f aca="false">IF(J83&gt;0,R83/J83,"")</f>
        <v>-0.00331817694394109</v>
      </c>
    </row>
    <row r="84" customFormat="false" ht="31.3" hidden="false" customHeight="false" outlineLevel="0" collapsed="false">
      <c r="A84" s="4" t="n">
        <v>67</v>
      </c>
      <c r="B84" s="4" t="s">
        <v>253</v>
      </c>
      <c r="C84" s="4" t="s">
        <v>207</v>
      </c>
      <c r="D84" s="4" t="s">
        <v>208</v>
      </c>
      <c r="E84" s="4" t="s">
        <v>100</v>
      </c>
      <c r="F84" s="19" t="n">
        <v>36</v>
      </c>
      <c r="G84" s="4" t="s">
        <v>240</v>
      </c>
      <c r="H84" s="10" t="n">
        <f aca="false">'Ставки ТО'!$N$26</f>
        <v>349.14</v>
      </c>
      <c r="I84" s="5" t="n">
        <v>12</v>
      </c>
      <c r="J84" s="10" t="n">
        <f aca="false">K84*I84</f>
        <v>150828.48</v>
      </c>
      <c r="K84" s="10" t="n">
        <f aca="false">ROUND(F84*H84,2)</f>
        <v>12569.04</v>
      </c>
      <c r="L84" s="20" t="n">
        <f aca="false">'Ставки ТО'!$D$26</f>
        <v>0.25</v>
      </c>
      <c r="M84" s="21" t="n">
        <f aca="false">F84*L84*I84</f>
        <v>108</v>
      </c>
      <c r="N84" s="10" t="n">
        <f aca="false">M84*'Персонал ТО'!$C$17*(1+'Персонал ТО'!$C$9)</f>
        <v>125426.575861251</v>
      </c>
      <c r="O84" s="10" t="n">
        <f aca="false">N84*0.02</f>
        <v>2508.53151722502</v>
      </c>
      <c r="P84" s="10" t="n">
        <v>0</v>
      </c>
      <c r="Q84" s="10" t="n">
        <f aca="false">N84+O84+P84</f>
        <v>127935.107378476</v>
      </c>
      <c r="R84" s="10" t="n">
        <f aca="false">J84-Q84</f>
        <v>22893.3726215242</v>
      </c>
      <c r="S84" s="6" t="n">
        <f aca="false">IF(J84&gt;0,R84/J84,"")</f>
        <v>0.15178414992662</v>
      </c>
    </row>
    <row r="85" customFormat="false" ht="31.3" hidden="false" customHeight="false" outlineLevel="0" collapsed="false">
      <c r="A85" s="4" t="n">
        <v>68</v>
      </c>
      <c r="B85" s="4" t="s">
        <v>253</v>
      </c>
      <c r="C85" s="4" t="s">
        <v>212</v>
      </c>
      <c r="D85" s="4" t="s">
        <v>213</v>
      </c>
      <c r="E85" s="4" t="s">
        <v>100</v>
      </c>
      <c r="F85" s="19" t="n">
        <v>8</v>
      </c>
      <c r="G85" s="4" t="s">
        <v>240</v>
      </c>
      <c r="H85" s="10" t="n">
        <f aca="false">'Ставки ТО'!$N$27</f>
        <v>6694.38</v>
      </c>
      <c r="I85" s="5" t="n">
        <v>12</v>
      </c>
      <c r="J85" s="10" t="n">
        <f aca="false">K85*I85</f>
        <v>642660.48</v>
      </c>
      <c r="K85" s="10" t="n">
        <f aca="false">ROUND(F85*H85,2)</f>
        <v>53555.04</v>
      </c>
      <c r="L85" s="20" t="n">
        <f aca="false">'Ставки ТО'!$D$27</f>
        <v>4</v>
      </c>
      <c r="M85" s="21" t="n">
        <f aca="false">F85*L85*I85</f>
        <v>384</v>
      </c>
      <c r="N85" s="10" t="n">
        <f aca="false">M85*'Персонал ТО'!$C$17*(1+'Персонал ТО'!$C$9)</f>
        <v>445961.158617781</v>
      </c>
      <c r="O85" s="10" t="n">
        <f aca="false">N85*0.02</f>
        <v>8919.22317235561</v>
      </c>
      <c r="P85" s="10" t="n">
        <v>0</v>
      </c>
      <c r="Q85" s="10" t="n">
        <f aca="false">N85+O85+P85</f>
        <v>454880.381790136</v>
      </c>
      <c r="R85" s="10" t="n">
        <f aca="false">J85-Q85</f>
        <v>187780.098209864</v>
      </c>
      <c r="S85" s="6" t="n">
        <f aca="false">IF(J85&gt;0,R85/J85,"")</f>
        <v>0.292191762297043</v>
      </c>
    </row>
    <row r="86" customFormat="false" ht="31.3" hidden="false" customHeight="false" outlineLevel="0" collapsed="false">
      <c r="A86" s="4" t="n">
        <v>69</v>
      </c>
      <c r="B86" s="4" t="s">
        <v>253</v>
      </c>
      <c r="C86" s="4" t="s">
        <v>218</v>
      </c>
      <c r="D86" s="4" t="s">
        <v>219</v>
      </c>
      <c r="E86" s="4" t="s">
        <v>100</v>
      </c>
      <c r="F86" s="19" t="n">
        <v>3</v>
      </c>
      <c r="G86" s="4" t="s">
        <v>240</v>
      </c>
      <c r="H86" s="10" t="n">
        <f aca="false">'Ставки ТО'!$N$28</f>
        <v>759</v>
      </c>
      <c r="I86" s="5" t="n">
        <v>12</v>
      </c>
      <c r="J86" s="10" t="n">
        <f aca="false">K86*I86</f>
        <v>27324</v>
      </c>
      <c r="K86" s="10" t="n">
        <f aca="false">ROUND(F86*H86,2)</f>
        <v>2277</v>
      </c>
      <c r="L86" s="20" t="n">
        <f aca="false">'Ставки ТО'!$D$28</f>
        <v>1</v>
      </c>
      <c r="M86" s="21" t="n">
        <f aca="false">F86*L86*I86</f>
        <v>36</v>
      </c>
      <c r="N86" s="10" t="n">
        <f aca="false">M86*'Персонал ТО'!$C$17*(1+'Персонал ТО'!$C$9)</f>
        <v>41808.8586204169</v>
      </c>
      <c r="O86" s="10" t="n">
        <f aca="false">N86*0.02</f>
        <v>836.177172408339</v>
      </c>
      <c r="P86" s="10" t="n">
        <v>0</v>
      </c>
      <c r="Q86" s="10" t="n">
        <f aca="false">N86+O86+P86</f>
        <v>42645.0357928253</v>
      </c>
      <c r="R86" s="10" t="n">
        <f aca="false">J86-Q86</f>
        <v>-15321.0357928253</v>
      </c>
      <c r="S86" s="6" t="n">
        <f aca="false">IF(J86&gt;0,R86/J86,"")</f>
        <v>-0.560717164135019</v>
      </c>
    </row>
    <row r="87" customFormat="false" ht="16.4" hidden="false" customHeight="false" outlineLevel="0" collapsed="false">
      <c r="A87" s="22"/>
      <c r="B87" s="22"/>
      <c r="C87" s="22"/>
      <c r="D87" s="23" t="s">
        <v>241</v>
      </c>
      <c r="E87" s="22"/>
      <c r="F87" s="22"/>
      <c r="G87" s="22"/>
      <c r="H87" s="22"/>
      <c r="I87" s="22"/>
      <c r="J87" s="11" t="n">
        <f aca="false">SUM(J80:J86)</f>
        <v>2471941.56</v>
      </c>
      <c r="K87" s="11" t="n">
        <f aca="false">SUM(K80:K86)</f>
        <v>205995.13</v>
      </c>
      <c r="L87" s="22"/>
      <c r="M87" s="11" t="n">
        <f aca="false">SUM(M80:M86)</f>
        <v>1467</v>
      </c>
      <c r="N87" s="11" t="n">
        <f aca="false">SUM(N80:N86)</f>
        <v>1703710.98878199</v>
      </c>
      <c r="O87" s="11" t="n">
        <f aca="false">SUM(O80:O86)</f>
        <v>34074.2197756398</v>
      </c>
      <c r="P87" s="11" t="n">
        <f aca="false">SUM(P80:P86)</f>
        <v>0</v>
      </c>
      <c r="Q87" s="11" t="n">
        <f aca="false">SUM(Q80:Q86)</f>
        <v>1737785.20855763</v>
      </c>
      <c r="R87" s="11" t="n">
        <f aca="false">SUM(R80:R86)</f>
        <v>734156.35144237</v>
      </c>
      <c r="S87" s="22"/>
    </row>
    <row r="88" customFormat="false" ht="538.8" hidden="false" customHeight="false" outlineLevel="0" collapsed="false">
      <c r="A88" s="17" t="s">
        <v>254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</row>
    <row r="89" customFormat="false" ht="61.15" hidden="false" customHeight="false" outlineLevel="0" collapsed="false">
      <c r="A89" s="4" t="n">
        <v>70</v>
      </c>
      <c r="B89" s="4" t="s">
        <v>255</v>
      </c>
      <c r="C89" s="4" t="s">
        <v>98</v>
      </c>
      <c r="D89" s="4" t="s">
        <v>99</v>
      </c>
      <c r="E89" s="4" t="s">
        <v>100</v>
      </c>
      <c r="F89" s="19" t="n">
        <v>6</v>
      </c>
      <c r="G89" s="4" t="s">
        <v>240</v>
      </c>
      <c r="H89" s="10" t="n">
        <f aca="false">'Ставки ТО'!$N$5</f>
        <v>3620.43</v>
      </c>
      <c r="I89" s="5" t="n">
        <v>12</v>
      </c>
      <c r="J89" s="10" t="n">
        <f aca="false">K89*I89</f>
        <v>260670.96</v>
      </c>
      <c r="K89" s="10" t="n">
        <f aca="false">ROUND(F89*H89,2)</f>
        <v>21722.58</v>
      </c>
      <c r="L89" s="20" t="n">
        <f aca="false">'Ставки ТО'!$D$5</f>
        <v>1</v>
      </c>
      <c r="M89" s="21" t="n">
        <f aca="false">F89*L89*I89</f>
        <v>72</v>
      </c>
      <c r="N89" s="10" t="n">
        <f aca="false">M89*'Персонал ТО'!$C$17*(1+'Персонал ТО'!$C$9)</f>
        <v>83617.7172408339</v>
      </c>
      <c r="O89" s="10" t="n">
        <f aca="false">N89*0.02</f>
        <v>1672.35434481668</v>
      </c>
      <c r="P89" s="10" t="n">
        <v>0</v>
      </c>
      <c r="Q89" s="10" t="n">
        <f aca="false">N89+O89+P89</f>
        <v>85290.0715856505</v>
      </c>
      <c r="R89" s="10" t="n">
        <f aca="false">J89-Q89</f>
        <v>175380.888414349</v>
      </c>
      <c r="S89" s="6" t="n">
        <f aca="false">IF(J89&gt;0,R89/J89,"")</f>
        <v>0.672805625967501</v>
      </c>
    </row>
    <row r="90" customFormat="false" ht="61.15" hidden="false" customHeight="false" outlineLevel="0" collapsed="false">
      <c r="A90" s="4" t="n">
        <v>71</v>
      </c>
      <c r="B90" s="4" t="s">
        <v>255</v>
      </c>
      <c r="C90" s="4" t="s">
        <v>106</v>
      </c>
      <c r="D90" s="4" t="s">
        <v>107</v>
      </c>
      <c r="E90" s="4" t="s">
        <v>100</v>
      </c>
      <c r="F90" s="19" t="n">
        <v>1</v>
      </c>
      <c r="G90" s="4" t="s">
        <v>240</v>
      </c>
      <c r="H90" s="10" t="n">
        <f aca="false">'Ставки ТО'!$N$6</f>
        <v>240.35</v>
      </c>
      <c r="I90" s="5" t="n">
        <v>12</v>
      </c>
      <c r="J90" s="10" t="n">
        <f aca="false">K90*I90</f>
        <v>2884.2</v>
      </c>
      <c r="K90" s="10" t="n">
        <f aca="false">ROUND(F90*H90,2)</f>
        <v>240.35</v>
      </c>
      <c r="L90" s="20" t="n">
        <f aca="false">'Ставки ТО'!$D$6</f>
        <v>0.2</v>
      </c>
      <c r="M90" s="21" t="n">
        <f aca="false">F90*L90*I90</f>
        <v>2.4</v>
      </c>
      <c r="N90" s="10" t="n">
        <f aca="false">M90*'Персонал ТО'!$C$17*(1+'Персонал ТО'!$C$9)</f>
        <v>2787.25724136113</v>
      </c>
      <c r="O90" s="10" t="n">
        <f aca="false">N90*0.02</f>
        <v>55.7451448272226</v>
      </c>
      <c r="P90" s="10" t="n">
        <v>0</v>
      </c>
      <c r="Q90" s="10" t="n">
        <f aca="false">N90+O90+P90</f>
        <v>2843.00238618835</v>
      </c>
      <c r="R90" s="10" t="n">
        <f aca="false">J90-Q90</f>
        <v>41.1976138116484</v>
      </c>
      <c r="S90" s="6" t="n">
        <f aca="false">IF(J90&gt;0,R90/J90,"")</f>
        <v>0.0142838963357771</v>
      </c>
    </row>
    <row r="91" customFormat="false" ht="61.15" hidden="false" customHeight="false" outlineLevel="0" collapsed="false">
      <c r="A91" s="4" t="n">
        <v>72</v>
      </c>
      <c r="B91" s="4" t="s">
        <v>255</v>
      </c>
      <c r="C91" s="4" t="s">
        <v>113</v>
      </c>
      <c r="D91" s="4" t="s">
        <v>114</v>
      </c>
      <c r="E91" s="4" t="s">
        <v>100</v>
      </c>
      <c r="F91" s="19" t="n">
        <v>1</v>
      </c>
      <c r="G91" s="4" t="s">
        <v>240</v>
      </c>
      <c r="H91" s="10" t="n">
        <f aca="false">'Ставки ТО'!$N$7</f>
        <v>493.35</v>
      </c>
      <c r="I91" s="5" t="n">
        <v>12</v>
      </c>
      <c r="J91" s="10" t="n">
        <f aca="false">K91*I91</f>
        <v>5920.2</v>
      </c>
      <c r="K91" s="10" t="n">
        <f aca="false">ROUND(F91*H91,2)</f>
        <v>493.35</v>
      </c>
      <c r="L91" s="20" t="n">
        <f aca="false">'Ставки ТО'!$D$7</f>
        <v>0.25</v>
      </c>
      <c r="M91" s="21" t="n">
        <f aca="false">F91*L91*I91</f>
        <v>3</v>
      </c>
      <c r="N91" s="10" t="n">
        <f aca="false">M91*'Персонал ТО'!$C$17*(1+'Персонал ТО'!$C$9)</f>
        <v>3484.07155170141</v>
      </c>
      <c r="O91" s="10" t="n">
        <f aca="false">N91*0.02</f>
        <v>69.6814310340282</v>
      </c>
      <c r="P91" s="10" t="n">
        <v>0</v>
      </c>
      <c r="Q91" s="10" t="n">
        <f aca="false">N91+O91+P91</f>
        <v>3553.75298273544</v>
      </c>
      <c r="R91" s="10" t="n">
        <f aca="false">J91-Q91</f>
        <v>2366.44701726456</v>
      </c>
      <c r="S91" s="6" t="n">
        <f aca="false">IF(J91&gt;0,R91/J91,"")</f>
        <v>0.399724167640377</v>
      </c>
    </row>
    <row r="92" customFormat="false" ht="61.15" hidden="false" customHeight="false" outlineLevel="0" collapsed="false">
      <c r="A92" s="4" t="n">
        <v>73</v>
      </c>
      <c r="B92" s="4" t="s">
        <v>255</v>
      </c>
      <c r="C92" s="4" t="s">
        <v>118</v>
      </c>
      <c r="D92" s="4" t="s">
        <v>119</v>
      </c>
      <c r="E92" s="4" t="s">
        <v>100</v>
      </c>
      <c r="F92" s="19" t="n">
        <v>2</v>
      </c>
      <c r="G92" s="4" t="s">
        <v>240</v>
      </c>
      <c r="H92" s="10" t="n">
        <f aca="false">'Ставки ТО'!$N$8</f>
        <v>240.35</v>
      </c>
      <c r="I92" s="5" t="n">
        <v>12</v>
      </c>
      <c r="J92" s="10" t="n">
        <f aca="false">K92*I92</f>
        <v>5768.4</v>
      </c>
      <c r="K92" s="10" t="n">
        <f aca="false">ROUND(F92*H92,2)</f>
        <v>480.7</v>
      </c>
      <c r="L92" s="20" t="n">
        <f aca="false">'Ставки ТО'!$D$8</f>
        <v>0.05</v>
      </c>
      <c r="M92" s="21" t="n">
        <f aca="false">F92*L92*I92</f>
        <v>1.2</v>
      </c>
      <c r="N92" s="10" t="n">
        <f aca="false">M92*'Персонал ТО'!$C$17*(1+'Персонал ТО'!$C$9)</f>
        <v>1393.62862068056</v>
      </c>
      <c r="O92" s="10" t="n">
        <f aca="false">N92*0.02</f>
        <v>27.8725724136113</v>
      </c>
      <c r="P92" s="10" t="n">
        <v>0</v>
      </c>
      <c r="Q92" s="10" t="n">
        <f aca="false">N92+O92+P92</f>
        <v>1421.50119309418</v>
      </c>
      <c r="R92" s="10" t="n">
        <f aca="false">J92-Q92</f>
        <v>4346.89880690582</v>
      </c>
      <c r="S92" s="6" t="n">
        <f aca="false">IF(J92&gt;0,R92/J92,"")</f>
        <v>0.753570974083944</v>
      </c>
    </row>
    <row r="93" customFormat="false" ht="61.15" hidden="false" customHeight="false" outlineLevel="0" collapsed="false">
      <c r="A93" s="4" t="n">
        <v>74</v>
      </c>
      <c r="B93" s="4" t="s">
        <v>255</v>
      </c>
      <c r="C93" s="4" t="s">
        <v>123</v>
      </c>
      <c r="D93" s="4" t="s">
        <v>124</v>
      </c>
      <c r="E93" s="4" t="s">
        <v>100</v>
      </c>
      <c r="F93" s="19" t="n">
        <v>187</v>
      </c>
      <c r="G93" s="4" t="s">
        <v>240</v>
      </c>
      <c r="H93" s="10" t="n">
        <f aca="false">'Ставки ТО'!$N$9</f>
        <v>101.2</v>
      </c>
      <c r="I93" s="5" t="n">
        <v>12</v>
      </c>
      <c r="J93" s="10" t="n">
        <f aca="false">K93*I93</f>
        <v>227092.8</v>
      </c>
      <c r="K93" s="10" t="n">
        <f aca="false">ROUND(F93*H93,2)</f>
        <v>18924.4</v>
      </c>
      <c r="L93" s="20" t="n">
        <f aca="false">'Ставки ТО'!$D$9</f>
        <v>0.04</v>
      </c>
      <c r="M93" s="21" t="n">
        <f aca="false">F93*L93*I93</f>
        <v>89.76</v>
      </c>
      <c r="N93" s="10" t="n">
        <f aca="false">M93*'Персонал ТО'!$C$17*(1+'Персонал ТО'!$C$9)</f>
        <v>104243.420826906</v>
      </c>
      <c r="O93" s="10" t="n">
        <f aca="false">N93*0.02</f>
        <v>2084.86841653812</v>
      </c>
      <c r="P93" s="10" t="n">
        <v>0</v>
      </c>
      <c r="Q93" s="10" t="n">
        <f aca="false">N93+O93+P93</f>
        <v>106328.289243444</v>
      </c>
      <c r="R93" s="10" t="n">
        <f aca="false">J93-Q93</f>
        <v>120764.510756556</v>
      </c>
      <c r="S93" s="6" t="n">
        <f aca="false">IF(J93&gt;0,R93/J93,"")</f>
        <v>0.531784850759494</v>
      </c>
    </row>
    <row r="94" customFormat="false" ht="61.15" hidden="false" customHeight="false" outlineLevel="0" collapsed="false">
      <c r="A94" s="4" t="n">
        <v>75</v>
      </c>
      <c r="B94" s="4" t="s">
        <v>255</v>
      </c>
      <c r="C94" s="4" t="s">
        <v>149</v>
      </c>
      <c r="D94" s="4" t="s">
        <v>150</v>
      </c>
      <c r="E94" s="4" t="s">
        <v>100</v>
      </c>
      <c r="F94" s="19" t="n">
        <v>19</v>
      </c>
      <c r="G94" s="4" t="s">
        <v>240</v>
      </c>
      <c r="H94" s="10" t="n">
        <f aca="false">'Ставки ТО'!$N$14</f>
        <v>88.55</v>
      </c>
      <c r="I94" s="5" t="n">
        <v>12</v>
      </c>
      <c r="J94" s="10" t="n">
        <f aca="false">K94*I94</f>
        <v>20189.4</v>
      </c>
      <c r="K94" s="10" t="n">
        <f aca="false">ROUND(F94*H94,2)</f>
        <v>1682.45</v>
      </c>
      <c r="L94" s="20" t="n">
        <f aca="false">'Ставки ТО'!$D$14</f>
        <v>0.04</v>
      </c>
      <c r="M94" s="21" t="n">
        <f aca="false">F94*L94*I94</f>
        <v>9.12</v>
      </c>
      <c r="N94" s="10" t="n">
        <f aca="false">M94*'Персонал ТО'!$C$17*(1+'Персонал ТО'!$C$9)</f>
        <v>10591.5775171723</v>
      </c>
      <c r="O94" s="10" t="n">
        <f aca="false">N94*0.02</f>
        <v>211.831550343446</v>
      </c>
      <c r="P94" s="10" t="n">
        <v>0</v>
      </c>
      <c r="Q94" s="10" t="n">
        <f aca="false">N94+O94+P94</f>
        <v>10803.4090675157</v>
      </c>
      <c r="R94" s="10" t="n">
        <f aca="false">J94-Q94</f>
        <v>9385.99093248427</v>
      </c>
      <c r="S94" s="6" t="n">
        <f aca="false">IF(J94&gt;0,R94/J94,"")</f>
        <v>0.464896972296565</v>
      </c>
    </row>
    <row r="95" customFormat="false" ht="61.15" hidden="false" customHeight="false" outlineLevel="0" collapsed="false">
      <c r="A95" s="4" t="n">
        <v>76</v>
      </c>
      <c r="B95" s="4" t="s">
        <v>255</v>
      </c>
      <c r="C95" s="4" t="s">
        <v>156</v>
      </c>
      <c r="D95" s="4" t="s">
        <v>157</v>
      </c>
      <c r="E95" s="4" t="s">
        <v>100</v>
      </c>
      <c r="F95" s="19" t="n">
        <v>41</v>
      </c>
      <c r="G95" s="4" t="s">
        <v>240</v>
      </c>
      <c r="H95" s="10" t="n">
        <f aca="false">'Ставки ТО'!$N$16</f>
        <v>123.97</v>
      </c>
      <c r="I95" s="5" t="n">
        <v>12</v>
      </c>
      <c r="J95" s="10" t="n">
        <f aca="false">K95*I95</f>
        <v>60993.24</v>
      </c>
      <c r="K95" s="10" t="n">
        <f aca="false">ROUND(F95*H95,2)</f>
        <v>5082.77</v>
      </c>
      <c r="L95" s="20" t="n">
        <f aca="false">'Ставки ТО'!$D$16</f>
        <v>0.04</v>
      </c>
      <c r="M95" s="21" t="n">
        <f aca="false">F95*L95*I95</f>
        <v>19.68</v>
      </c>
      <c r="N95" s="10" t="n">
        <f aca="false">M95*'Персонал ТО'!$C$17*(1+'Персонал ТО'!$C$9)</f>
        <v>22855.5093791613</v>
      </c>
      <c r="O95" s="10" t="n">
        <f aca="false">N95*0.02</f>
        <v>457.110187583225</v>
      </c>
      <c r="P95" s="10" t="n">
        <v>0</v>
      </c>
      <c r="Q95" s="10" t="n">
        <f aca="false">N95+O95+P95</f>
        <v>23312.6195667445</v>
      </c>
      <c r="R95" s="10" t="n">
        <f aca="false">J95-Q95</f>
        <v>37680.6204332555</v>
      </c>
      <c r="S95" s="6" t="n">
        <f aca="false">IF(J95&gt;0,R95/J95,"")</f>
        <v>0.617783551640404</v>
      </c>
    </row>
    <row r="96" customFormat="false" ht="61.15" hidden="false" customHeight="false" outlineLevel="0" collapsed="false">
      <c r="A96" s="4" t="n">
        <v>77</v>
      </c>
      <c r="B96" s="4" t="s">
        <v>255</v>
      </c>
      <c r="C96" s="4" t="s">
        <v>178</v>
      </c>
      <c r="D96" s="4" t="s">
        <v>179</v>
      </c>
      <c r="E96" s="4" t="s">
        <v>145</v>
      </c>
      <c r="F96" s="19" t="n">
        <v>34.2</v>
      </c>
      <c r="G96" s="4" t="s">
        <v>240</v>
      </c>
      <c r="H96" s="10" t="n">
        <f aca="false">'Ставки ТО'!$N$20</f>
        <v>25.3</v>
      </c>
      <c r="I96" s="5" t="n">
        <v>12</v>
      </c>
      <c r="J96" s="10" t="n">
        <f aca="false">K96*I96</f>
        <v>10383.12</v>
      </c>
      <c r="K96" s="10" t="n">
        <f aca="false">ROUND(F96*H96,2)</f>
        <v>865.26</v>
      </c>
      <c r="L96" s="20" t="n">
        <f aca="false">'Ставки ТО'!$D$20</f>
        <v>0.02</v>
      </c>
      <c r="M96" s="21" t="n">
        <f aca="false">F96*L96*I96</f>
        <v>8.208</v>
      </c>
      <c r="N96" s="10" t="n">
        <f aca="false">M96*'Персонал ТО'!$C$17*(1+'Персонал ТО'!$C$9)</f>
        <v>9532.41976545506</v>
      </c>
      <c r="O96" s="10" t="n">
        <f aca="false">N96*0.02</f>
        <v>190.648395309101</v>
      </c>
      <c r="P96" s="10" t="n">
        <v>0</v>
      </c>
      <c r="Q96" s="10" t="n">
        <f aca="false">N96+O96+P96</f>
        <v>9723.06816076416</v>
      </c>
      <c r="R96" s="10" t="n">
        <f aca="false">J96-Q96</f>
        <v>660.051839235837</v>
      </c>
      <c r="S96" s="6" t="n">
        <f aca="false">IF(J96&gt;0,R96/J96,"")</f>
        <v>0.0635697015189883</v>
      </c>
    </row>
    <row r="97" customFormat="false" ht="61.15" hidden="false" customHeight="false" outlineLevel="0" collapsed="false">
      <c r="A97" s="4" t="n">
        <v>78</v>
      </c>
      <c r="B97" s="4" t="s">
        <v>255</v>
      </c>
      <c r="C97" s="4" t="s">
        <v>183</v>
      </c>
      <c r="D97" s="4" t="s">
        <v>184</v>
      </c>
      <c r="E97" s="4" t="s">
        <v>100</v>
      </c>
      <c r="F97" s="19" t="n">
        <v>2</v>
      </c>
      <c r="G97" s="4" t="s">
        <v>240</v>
      </c>
      <c r="H97" s="10" t="n">
        <f aca="false">'Ставки ТО'!$N$21</f>
        <v>25.3</v>
      </c>
      <c r="I97" s="5" t="n">
        <v>12</v>
      </c>
      <c r="J97" s="10" t="n">
        <f aca="false">K97*I97</f>
        <v>607.2</v>
      </c>
      <c r="K97" s="10" t="n">
        <f aca="false">ROUND(F97*H97,2)</f>
        <v>50.6</v>
      </c>
      <c r="L97" s="20" t="n">
        <f aca="false">'Ставки ТО'!$D$21</f>
        <v>0.03</v>
      </c>
      <c r="M97" s="21" t="n">
        <f aca="false">F97*L97*I97</f>
        <v>0.72</v>
      </c>
      <c r="N97" s="10" t="n">
        <f aca="false">M97*'Персонал ТО'!$C$17*(1+'Персонал ТО'!$C$9)</f>
        <v>836.177172408339</v>
      </c>
      <c r="O97" s="10" t="n">
        <f aca="false">N97*0.02</f>
        <v>16.7235434481668</v>
      </c>
      <c r="P97" s="10" t="n">
        <v>0</v>
      </c>
      <c r="Q97" s="10" t="n">
        <f aca="false">N97+O97+P97</f>
        <v>852.900715856505</v>
      </c>
      <c r="R97" s="10" t="n">
        <f aca="false">J97-Q97</f>
        <v>-245.700715856505</v>
      </c>
      <c r="S97" s="6" t="n">
        <f aca="false">IF(J97&gt;0,R97/J97,"")</f>
        <v>-0.404645447721517</v>
      </c>
    </row>
    <row r="98" customFormat="false" ht="16.4" hidden="false" customHeight="false" outlineLevel="0" collapsed="false">
      <c r="A98" s="22"/>
      <c r="B98" s="22"/>
      <c r="C98" s="22"/>
      <c r="D98" s="23" t="s">
        <v>241</v>
      </c>
      <c r="E98" s="22"/>
      <c r="F98" s="22"/>
      <c r="G98" s="22"/>
      <c r="H98" s="22"/>
      <c r="I98" s="22"/>
      <c r="J98" s="11" t="n">
        <f aca="false">SUM(J89:J97)</f>
        <v>594509.52</v>
      </c>
      <c r="K98" s="11" t="n">
        <f aca="false">SUM(K89:K97)</f>
        <v>49542.46</v>
      </c>
      <c r="L98" s="22"/>
      <c r="M98" s="11" t="n">
        <f aca="false">SUM(M89:M97)</f>
        <v>206.088</v>
      </c>
      <c r="N98" s="11" t="n">
        <f aca="false">SUM(N89:N97)</f>
        <v>239341.77931568</v>
      </c>
      <c r="O98" s="11" t="n">
        <f aca="false">SUM(O89:O97)</f>
        <v>4786.8355863136</v>
      </c>
      <c r="P98" s="11" t="n">
        <f aca="false">SUM(P89:P97)</f>
        <v>0</v>
      </c>
      <c r="Q98" s="11" t="n">
        <f aca="false">SUM(Q89:Q97)</f>
        <v>244128.614901994</v>
      </c>
      <c r="R98" s="11" t="n">
        <f aca="false">SUM(R89:R97)</f>
        <v>350380.905098006</v>
      </c>
      <c r="S98" s="22"/>
    </row>
    <row r="99" customFormat="false" ht="16.4" hidden="false" customHeight="false" outlineLevel="0" collapsed="false">
      <c r="A99" s="4"/>
      <c r="B99" s="4"/>
      <c r="C99" s="4"/>
      <c r="D99" s="7" t="s">
        <v>256</v>
      </c>
      <c r="E99" s="4"/>
      <c r="F99" s="4"/>
      <c r="G99" s="4"/>
      <c r="H99" s="4"/>
      <c r="I99" s="4"/>
      <c r="J99" s="11" t="n">
        <f aca="false">J6+J7+J8+J9+J10+J11+J12+J13+J14+J15+J16+J19+J20+J21+J22+J23+J24+J25+J26+J27+J28+J29+J30+J31+J34+J35+J36+J37+J38+J39+J40+J41+J42+J43+J44+J45+J46+J47+J50+J51+J52+J53+J54+J55+J56+J57+J58+J59+J62+J63+J64+J65+J66+J67+J68+J69+J70+J73+J74+J75+J76+J77+J80+J81+J82+J83+J84+J85+J86+J89+J90+J91+J92+J93+J94+J95+J96+J97</f>
        <v>17898182.16</v>
      </c>
      <c r="K99" s="11" t="n">
        <f aca="false">K6+K7+K8+K9+K10+K11+K12+K13+K14+K15+K16+K19+K20+K21+K22+K23+K24+K25+K26+K27+K28+K29+K30+K31+K34+K35+K36+K37+K38+K39+K40+K41+K42+K43+K44+K45+K46+K47+K50+K51+K52+K53+K54+K55+K56+K57+K58+K59+K62+K63+K64+K65+K66+K67+K68+K69+K70+K73+K74+K75+K76+K77+K80+K81+K82+K83+K84+K85+K86+K89+K90+K91+K92+K93+K94+K95+K96+K97</f>
        <v>1491515.18</v>
      </c>
      <c r="L99" s="4"/>
      <c r="M99" s="11" t="n">
        <f aca="false">M6+M7+M8+M9+M10+M11+M12+M13+M14+M15+M16+M19+M20+M21+M22+M23+M24+M25+M26+M27+M28+M29+M30+M31+M34+M35+M36+M37+M38+M39+M40+M41+M42+M43+M44+M45+M46+M47+M50+M51+M52+M53+M54+M55+M56+M57+M58+M59+M62+M63+M64+M65+M66+M67+M68+M69+M70+M73+M74+M75+M76+M77+M80+M81+M82+M83+M84+M85+M86+M89+M90+M91+M92+M93+M94+M95+M96+M97</f>
        <v>7695.5832</v>
      </c>
      <c r="N99" s="11" t="n">
        <f aca="false">N6+N7+N8+N9+N10+N11+N12+N13+N14+N15+N16+N19+N20+N21+N22+N23+N24+N25+N26+N27+N28+N29+N30+N31+N34+N35+N36+N37+N38+N39+N40+N41+N42+N43+N44+N45+N46+N47+N50+N51+N52+N53+N54+N55+N56+N57+N58+N59+N62+N63+N64+N65+N66+N67+N68+N69+N70+N73+N74+N75+N76+N77+N80+N81+N82+N83+N84+N85+N86+N89+N90+N91+N92+N93+N94+N95+N96+N97</f>
        <v>8937320.83362377</v>
      </c>
      <c r="O99" s="11" t="n">
        <f aca="false">O6+O7+O8+O9+O10+O11+O12+O13+O14+O15+O16+O19+O20+O21+O22+O23+O24+O25+O26+O27+O28+O29+O30+O31+O34+O35+O36+O37+O38+O39+O40+O41+O42+O43+O44+O45+O46+O47+O50+O51+O52+O53+O54+O55+O56+O57+O58+O59+O62+O63+O64+O65+O66+O67+O68+O69+O70+O73+O74+O75+O76+O77+O80+O81+O82+O83+O84+O85+O86+O89+O90+O91+O92+O93+O94+O95+O96+O97</f>
        <v>178746.416672475</v>
      </c>
      <c r="P99" s="11" t="n">
        <f aca="false">P6+P7+P8+P9+P10+P11+P12+P13+P14+P15+P16+P19+P20+P21+P22+P23+P24+P25+P26+P27+P28+P29+P30+P31+P34+P35+P36+P37+P38+P39+P40+P41+P42+P43+P44+P45+P46+P47+P50+P51+P52+P53+P54+P55+P56+P57+P58+P59+P62+P63+P64+P65+P66+P67+P68+P69+P70+P73+P74+P75+P76+P77+P80+P81+P82+P83+P84+P85+P86+P89+P90+P91+P92+P93+P94+P95+P96+P97</f>
        <v>0</v>
      </c>
      <c r="Q99" s="11" t="n">
        <f aca="false">Q6+Q7+Q8+Q9+Q10+Q11+Q12+Q13+Q14+Q15+Q16+Q19+Q20+Q21+Q22+Q23+Q24+Q25+Q26+Q27+Q28+Q29+Q30+Q31+Q34+Q35+Q36+Q37+Q38+Q39+Q40+Q41+Q42+Q43+Q44+Q45+Q46+Q47+Q50+Q51+Q52+Q53+Q54+Q55+Q56+Q57+Q58+Q59+Q62+Q63+Q64+Q65+Q66+Q67+Q68+Q69+Q70+Q73+Q74+Q75+Q76+Q77+Q80+Q81+Q82+Q83+Q84+Q85+Q86+Q89+Q90+Q91+Q92+Q93+Q94+Q95+Q96+Q97</f>
        <v>9116067.25029624</v>
      </c>
      <c r="R99" s="11" t="n">
        <f aca="false">R6+R7+R8+R9+R10+R11+R12+R13+R14+R15+R16+R19+R20+R21+R22+R23+R24+R25+R26+R27+R28+R29+R30+R31+R34+R35+R36+R37+R38+R39+R40+R41+R42+R43+R44+R45+R46+R47+R50+R51+R52+R53+R54+R55+R56+R57+R58+R59+R62+R63+R64+R65+R66+R67+R68+R69+R70+R73+R74+R75+R76+R77+R80+R81+R82+R83+R84+R85+R86+R89+R90+R91+R92+R93+R94+R95+R96+R97</f>
        <v>8782114.90970376</v>
      </c>
      <c r="S99" s="24" t="n">
        <f aca="false">R99/J99</f>
        <v>0.490670774897497</v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Format="false" ht="210.4" hidden="false" customHeight="false" outlineLevel="0" collapsed="false">
      <c r="A101" s="17" t="s">
        <v>257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</row>
    <row r="102" customFormat="false" ht="31.3" hidden="false" customHeight="false" outlineLevel="0" collapsed="false">
      <c r="A102" s="4" t="n">
        <v>79</v>
      </c>
      <c r="B102" s="4" t="s">
        <v>258</v>
      </c>
      <c r="C102" s="4" t="s">
        <v>259</v>
      </c>
      <c r="D102" s="4" t="s">
        <v>260</v>
      </c>
      <c r="E102" s="4" t="s">
        <v>261</v>
      </c>
      <c r="F102" s="19" t="n">
        <v>5312</v>
      </c>
      <c r="G102" s="4" t="s">
        <v>240</v>
      </c>
      <c r="H102" s="15" t="n">
        <v>180</v>
      </c>
      <c r="I102" s="5" t="n">
        <v>1</v>
      </c>
      <c r="J102" s="10" t="n">
        <f aca="false">K102*I102</f>
        <v>956160</v>
      </c>
      <c r="K102" s="10" t="n">
        <f aca="false">ROUND(F102*H102,2)</f>
        <v>956160</v>
      </c>
      <c r="L102" s="16" t="n">
        <v>0.12</v>
      </c>
      <c r="M102" s="21" t="n">
        <f aca="false">F102*L102</f>
        <v>637.44</v>
      </c>
      <c r="N102" s="10" t="n">
        <f aca="false">M102*'Персонал ТО'!$C$17*(1+'Персонал ТО'!$C$9)</f>
        <v>740295.523305516</v>
      </c>
      <c r="O102" s="10" t="n">
        <f aca="false">N102*0.02</f>
        <v>14805.9104661103</v>
      </c>
      <c r="P102" s="15" t="n">
        <f aca="false">F102*10</f>
        <v>53120</v>
      </c>
      <c r="Q102" s="10" t="n">
        <f aca="false">N102+O102+P102</f>
        <v>808221.433771626</v>
      </c>
      <c r="R102" s="10" t="n">
        <f aca="false">J102-Q102</f>
        <v>147938.566228374</v>
      </c>
      <c r="S102" s="6" t="n">
        <f aca="false">IF(J102&gt;0,R102/J102,"")</f>
        <v>0.154721559392125</v>
      </c>
      <c r="T102" s="25" t="s">
        <v>262</v>
      </c>
    </row>
    <row r="103" customFormat="false" ht="31.3" hidden="false" customHeight="false" outlineLevel="0" collapsed="false">
      <c r="A103" s="4" t="n">
        <v>80</v>
      </c>
      <c r="B103" s="4" t="s">
        <v>258</v>
      </c>
      <c r="C103" s="4" t="s">
        <v>263</v>
      </c>
      <c r="D103" s="4" t="s">
        <v>264</v>
      </c>
      <c r="E103" s="4" t="s">
        <v>265</v>
      </c>
      <c r="F103" s="19" t="n">
        <v>4</v>
      </c>
      <c r="G103" s="4" t="s">
        <v>240</v>
      </c>
      <c r="H103" s="15" t="n">
        <v>33000</v>
      </c>
      <c r="I103" s="5" t="n">
        <v>1</v>
      </c>
      <c r="J103" s="10" t="n">
        <f aca="false">K103*I103</f>
        <v>132000</v>
      </c>
      <c r="K103" s="10" t="n">
        <f aca="false">ROUND(F103*H103,2)</f>
        <v>132000</v>
      </c>
      <c r="L103" s="16" t="n">
        <v>24</v>
      </c>
      <c r="M103" s="21" t="n">
        <f aca="false">F103*L103</f>
        <v>96</v>
      </c>
      <c r="N103" s="10" t="n">
        <f aca="false">M103*'Персонал ТО'!$C$17*(1+'Персонал ТО'!$C$9)</f>
        <v>111490.289654445</v>
      </c>
      <c r="O103" s="10" t="n">
        <f aca="false">N103*0.02</f>
        <v>2229.8057930889</v>
      </c>
      <c r="P103" s="15" t="n">
        <f aca="false">F103*0</f>
        <v>0</v>
      </c>
      <c r="Q103" s="10" t="n">
        <f aca="false">N103+O103+P103</f>
        <v>113720.095447534</v>
      </c>
      <c r="R103" s="10" t="n">
        <f aca="false">J103-Q103</f>
        <v>18279.904552466</v>
      </c>
      <c r="S103" s="6" t="n">
        <f aca="false">IF(J103&gt;0,R103/J103,"")</f>
        <v>0.138484125397469</v>
      </c>
      <c r="T103" s="25" t="s">
        <v>266</v>
      </c>
    </row>
    <row r="104" customFormat="false" ht="31.3" hidden="false" customHeight="false" outlineLevel="0" collapsed="false">
      <c r="A104" s="4" t="n">
        <v>81</v>
      </c>
      <c r="B104" s="4" t="s">
        <v>267</v>
      </c>
      <c r="C104" s="4" t="s">
        <v>268</v>
      </c>
      <c r="D104" s="4" t="s">
        <v>269</v>
      </c>
      <c r="E104" s="4" t="s">
        <v>100</v>
      </c>
      <c r="F104" s="19" t="n">
        <v>35</v>
      </c>
      <c r="G104" s="4" t="s">
        <v>240</v>
      </c>
      <c r="H104" s="15" t="n">
        <v>800</v>
      </c>
      <c r="I104" s="5" t="n">
        <v>1</v>
      </c>
      <c r="J104" s="10" t="n">
        <f aca="false">K104*I104</f>
        <v>28000</v>
      </c>
      <c r="K104" s="10" t="n">
        <f aca="false">ROUND(F104*H104,2)</f>
        <v>28000</v>
      </c>
      <c r="L104" s="16" t="n">
        <v>0.5</v>
      </c>
      <c r="M104" s="21" t="n">
        <f aca="false">F104*L104</f>
        <v>17.5</v>
      </c>
      <c r="N104" s="10" t="n">
        <f aca="false">M104*'Персонал ТО'!$C$17*(1+'Персонал ТО'!$C$9)</f>
        <v>20323.7507182582</v>
      </c>
      <c r="O104" s="10" t="n">
        <f aca="false">N104*0.02</f>
        <v>406.475014365165</v>
      </c>
      <c r="P104" s="15" t="n">
        <f aca="false">F104*150</f>
        <v>5250</v>
      </c>
      <c r="Q104" s="10" t="n">
        <f aca="false">N104+O104+P104</f>
        <v>25980.2257326234</v>
      </c>
      <c r="R104" s="10" t="n">
        <f aca="false">J104-Q104</f>
        <v>2019.7742673766</v>
      </c>
      <c r="S104" s="6" t="n">
        <f aca="false">IF(J104&gt;0,R104/J104,"")</f>
        <v>0.0721347952634502</v>
      </c>
      <c r="T104" s="25" t="s">
        <v>270</v>
      </c>
    </row>
    <row r="105" customFormat="false" ht="31.3" hidden="false" customHeight="false" outlineLevel="0" collapsed="false">
      <c r="A105" s="4" t="n">
        <v>82</v>
      </c>
      <c r="B105" s="4" t="s">
        <v>271</v>
      </c>
      <c r="C105" s="4" t="s">
        <v>272</v>
      </c>
      <c r="D105" s="4" t="s">
        <v>273</v>
      </c>
      <c r="E105" s="4" t="s">
        <v>274</v>
      </c>
      <c r="F105" s="19" t="n">
        <v>395</v>
      </c>
      <c r="G105" s="4" t="s">
        <v>240</v>
      </c>
      <c r="H105" s="15" t="n">
        <v>115</v>
      </c>
      <c r="I105" s="5" t="n">
        <v>1</v>
      </c>
      <c r="J105" s="10" t="n">
        <f aca="false">K105*I105</f>
        <v>45425</v>
      </c>
      <c r="K105" s="10" t="n">
        <f aca="false">ROUND(F105*H105,2)</f>
        <v>45425</v>
      </c>
      <c r="L105" s="16" t="n">
        <v>0.05</v>
      </c>
      <c r="M105" s="21" t="n">
        <f aca="false">F105*L105</f>
        <v>19.75</v>
      </c>
      <c r="N105" s="10" t="n">
        <f aca="false">M105*'Персонал ТО'!$C$17*(1+'Персонал ТО'!$C$9)</f>
        <v>22936.8043820343</v>
      </c>
      <c r="O105" s="10" t="n">
        <f aca="false">N105*0.02</f>
        <v>458.736087640686</v>
      </c>
      <c r="P105" s="15" t="n">
        <f aca="false">F105*40</f>
        <v>15800</v>
      </c>
      <c r="Q105" s="10" t="n">
        <f aca="false">N105+O105+P105</f>
        <v>39195.540469675</v>
      </c>
      <c r="R105" s="10" t="n">
        <f aca="false">J105-Q105</f>
        <v>6229.45953032502</v>
      </c>
      <c r="S105" s="6" t="n">
        <f aca="false">IF(J105&gt;0,R105/J105,"")</f>
        <v>0.137137248878922</v>
      </c>
      <c r="T105" s="25" t="s">
        <v>275</v>
      </c>
    </row>
    <row r="106" customFormat="false" ht="31.3" hidden="false" customHeight="false" outlineLevel="0" collapsed="false">
      <c r="A106" s="4" t="n">
        <v>83</v>
      </c>
      <c r="B106" s="4" t="s">
        <v>271</v>
      </c>
      <c r="C106" s="4" t="s">
        <v>276</v>
      </c>
      <c r="D106" s="4" t="s">
        <v>277</v>
      </c>
      <c r="E106" s="4" t="s">
        <v>278</v>
      </c>
      <c r="F106" s="19" t="n">
        <v>10</v>
      </c>
      <c r="G106" s="4" t="s">
        <v>240</v>
      </c>
      <c r="H106" s="15" t="n">
        <v>4500</v>
      </c>
      <c r="I106" s="5" t="n">
        <v>1</v>
      </c>
      <c r="J106" s="10" t="n">
        <f aca="false">K106*I106</f>
        <v>45000</v>
      </c>
      <c r="K106" s="10" t="n">
        <f aca="false">ROUND(F106*H106,2)</f>
        <v>45000</v>
      </c>
      <c r="L106" s="16" t="n">
        <v>2</v>
      </c>
      <c r="M106" s="21" t="n">
        <f aca="false">F106*L106</f>
        <v>20</v>
      </c>
      <c r="N106" s="10" t="n">
        <f aca="false">M106*'Персонал ТО'!$C$17*(1+'Персонал ТО'!$C$9)</f>
        <v>23227.1436780094</v>
      </c>
      <c r="O106" s="10" t="n">
        <f aca="false">N106*0.02</f>
        <v>464.542873560188</v>
      </c>
      <c r="P106" s="15" t="n">
        <f aca="false">F106*1500</f>
        <v>15000</v>
      </c>
      <c r="Q106" s="10" t="n">
        <f aca="false">N106+O106+P106</f>
        <v>38691.6865515696</v>
      </c>
      <c r="R106" s="10" t="n">
        <f aca="false">J106-Q106</f>
        <v>6308.3134484304</v>
      </c>
      <c r="S106" s="6" t="n">
        <f aca="false">IF(J106&gt;0,R106/J106,"")</f>
        <v>0.140184743298453</v>
      </c>
      <c r="T106" s="25" t="s">
        <v>279</v>
      </c>
    </row>
    <row r="107" customFormat="false" ht="16.4" hidden="false" customHeight="false" outlineLevel="0" collapsed="false">
      <c r="A107" s="4"/>
      <c r="B107" s="4"/>
      <c r="C107" s="4"/>
      <c r="D107" s="7" t="s">
        <v>280</v>
      </c>
      <c r="E107" s="4"/>
      <c r="F107" s="4"/>
      <c r="G107" s="4"/>
      <c r="H107" s="4"/>
      <c r="I107" s="4"/>
      <c r="J107" s="11" t="n">
        <f aca="false">SUM(J102:J106)</f>
        <v>1206585</v>
      </c>
      <c r="K107" s="11" t="n">
        <f aca="false">SUM(K102:K106)</f>
        <v>1206585</v>
      </c>
      <c r="L107" s="4"/>
      <c r="M107" s="11" t="n">
        <f aca="false">SUM(M102:M106)</f>
        <v>790.69</v>
      </c>
      <c r="N107" s="11" t="n">
        <f aca="false">SUM(N102:N106)</f>
        <v>918273.511738263</v>
      </c>
      <c r="O107" s="11" t="n">
        <f aca="false">SUM(O102:O106)</f>
        <v>18365.4702347653</v>
      </c>
      <c r="P107" s="11" t="n">
        <f aca="false">SUM(P102:P106)</f>
        <v>89170</v>
      </c>
      <c r="Q107" s="11" t="n">
        <f aca="false">SUM(Q102:Q106)</f>
        <v>1025808.98197303</v>
      </c>
      <c r="R107" s="11" t="n">
        <f aca="false">SUM(R102:R106)</f>
        <v>180776.018026972</v>
      </c>
      <c r="S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Format="false" ht="16.4" hidden="false" customHeight="false" outlineLevel="0" collapsed="false">
      <c r="A109" s="4"/>
      <c r="B109" s="4"/>
      <c r="C109" s="4"/>
      <c r="D109" s="7" t="s">
        <v>281</v>
      </c>
      <c r="E109" s="4"/>
      <c r="F109" s="4"/>
      <c r="G109" s="4"/>
      <c r="H109" s="4"/>
      <c r="I109" s="4"/>
      <c r="J109" s="11" t="n">
        <f aca="false">J99+J107</f>
        <v>19104767.16</v>
      </c>
      <c r="K109" s="4"/>
      <c r="L109" s="4"/>
      <c r="M109" s="11" t="n">
        <f aca="false">M99+M107</f>
        <v>8486.2732</v>
      </c>
      <c r="N109" s="11" t="n">
        <f aca="false">N99+N107</f>
        <v>9855594.34536203</v>
      </c>
      <c r="O109" s="11" t="n">
        <f aca="false">O99+O107</f>
        <v>197111.886907241</v>
      </c>
      <c r="P109" s="11" t="n">
        <f aca="false">P99+P107</f>
        <v>89170</v>
      </c>
      <c r="Q109" s="11" t="n">
        <f aca="false">Q99+Q107</f>
        <v>10141876.2322693</v>
      </c>
      <c r="R109" s="11" t="n">
        <f aca="false">R99+R107</f>
        <v>8962890.92773073</v>
      </c>
      <c r="S109" s="24" t="n">
        <f aca="false">R109/J109</f>
        <v>0.469144211634073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6.4" hidden="false" customHeight="false" outlineLevel="0" collapsed="false">
      <c r="B4" s="7" t="s">
        <v>284</v>
      </c>
      <c r="C4" s="7" t="s">
        <v>27</v>
      </c>
      <c r="D4" s="7" t="s">
        <v>285</v>
      </c>
    </row>
    <row r="5" customFormat="false" ht="16.4" hidden="false" customHeight="false" outlineLevel="0" collapsed="false">
      <c r="B5" s="4" t="s">
        <v>286</v>
      </c>
      <c r="C5" s="5" t="n">
        <f aca="false">Работы!M99</f>
        <v>7695.5832</v>
      </c>
      <c r="D5" s="4" t="s">
        <v>287</v>
      </c>
    </row>
    <row r="6" customFormat="false" ht="16.4" hidden="false" customHeight="false" outlineLevel="0" collapsed="false">
      <c r="B6" s="4" t="s">
        <v>288</v>
      </c>
      <c r="C6" s="5" t="n">
        <f aca="false">Работы!M107</f>
        <v>790.69</v>
      </c>
      <c r="D6" s="4" t="s">
        <v>289</v>
      </c>
    </row>
    <row r="7" customFormat="false" ht="31.3" hidden="false" customHeight="false" outlineLevel="0" collapsed="false">
      <c r="B7" s="4" t="s">
        <v>290</v>
      </c>
      <c r="C7" s="26" t="n">
        <v>260</v>
      </c>
      <c r="D7" s="4" t="s">
        <v>291</v>
      </c>
    </row>
    <row r="8" customFormat="false" ht="16.4" hidden="false" customHeight="false" outlineLevel="0" collapsed="false">
      <c r="B8" s="4" t="s">
        <v>292</v>
      </c>
      <c r="C8" s="5" t="n">
        <f aca="false">Материалы!N22</f>
        <v>114.05</v>
      </c>
      <c r="D8" s="4" t="s">
        <v>293</v>
      </c>
    </row>
    <row r="9" customFormat="false" ht="31.3" hidden="false" customHeight="false" outlineLevel="0" collapsed="false">
      <c r="B9" s="4" t="s">
        <v>294</v>
      </c>
      <c r="C9" s="27" t="n">
        <v>0.1</v>
      </c>
      <c r="D9" s="4" t="s">
        <v>295</v>
      </c>
    </row>
    <row r="10" customFormat="false" ht="16.4" hidden="false" customHeight="false" outlineLevel="0" collapsed="false">
      <c r="B10" s="4" t="s">
        <v>296</v>
      </c>
      <c r="C10" s="5" t="n">
        <f aca="false">(C5+C6+C7+C8)*(1+C9)</f>
        <v>9746.35552</v>
      </c>
      <c r="D10" s="4"/>
    </row>
    <row r="11" customFormat="false" ht="31.3" hidden="false" customHeight="false" outlineLevel="0" collapsed="false">
      <c r="B11" s="4" t="s">
        <v>297</v>
      </c>
      <c r="C11" s="26" t="n">
        <v>1812</v>
      </c>
      <c r="D11" s="4" t="s">
        <v>298</v>
      </c>
    </row>
    <row r="12" customFormat="false" ht="46.25" hidden="false" customHeight="false" outlineLevel="0" collapsed="false">
      <c r="B12" s="4" t="s">
        <v>299</v>
      </c>
      <c r="C12" s="16" t="n">
        <v>0.8</v>
      </c>
      <c r="D12" s="4" t="s">
        <v>300</v>
      </c>
    </row>
    <row r="13" customFormat="false" ht="16.4" hidden="false" customHeight="false" outlineLevel="0" collapsed="false">
      <c r="B13" s="4" t="s">
        <v>301</v>
      </c>
      <c r="C13" s="28" t="n">
        <f aca="false">C10/(C11*C12)</f>
        <v>6.72347924944812</v>
      </c>
      <c r="D13" s="4"/>
    </row>
    <row r="14" customFormat="false" ht="16.4" hidden="false" customHeight="false" outlineLevel="0" collapsed="false">
      <c r="B14" s="4" t="s">
        <v>302</v>
      </c>
      <c r="C14" s="5" t="n">
        <f aca="false">ROUNDUP(C13,0)</f>
        <v>7</v>
      </c>
      <c r="D14" s="4"/>
    </row>
    <row r="15" customFormat="false" ht="61.15" hidden="false" customHeight="false" outlineLevel="0" collapsed="false">
      <c r="B15" s="4" t="s">
        <v>303</v>
      </c>
      <c r="C15" s="26" t="n">
        <v>70000</v>
      </c>
      <c r="D15" s="4" t="s">
        <v>304</v>
      </c>
    </row>
    <row r="16" customFormat="false" ht="31.3" hidden="false" customHeight="false" outlineLevel="0" collapsed="false">
      <c r="B16" s="4" t="s">
        <v>305</v>
      </c>
      <c r="C16" s="5" t="n">
        <f aca="false">C14*C15*1.5*14</f>
        <v>10290000</v>
      </c>
      <c r="D16" s="4" t="s">
        <v>306</v>
      </c>
    </row>
    <row r="17" customFormat="false" ht="16.4" hidden="false" customHeight="false" outlineLevel="0" collapsed="false">
      <c r="B17" s="4" t="s">
        <v>307</v>
      </c>
      <c r="C17" s="10" t="n">
        <f aca="false">C16/C10</f>
        <v>1055.77925809134</v>
      </c>
      <c r="D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10" min="9" style="0" width="7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3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4" customFormat="false" ht="45" hidden="false" customHeight="true" outlineLevel="0" collapsed="false">
      <c r="A4" s="3" t="s">
        <v>223</v>
      </c>
      <c r="B4" s="3" t="s">
        <v>310</v>
      </c>
      <c r="C4" s="3" t="s">
        <v>85</v>
      </c>
      <c r="D4" s="3" t="s">
        <v>311</v>
      </c>
      <c r="E4" s="3" t="s">
        <v>312</v>
      </c>
      <c r="F4" s="3" t="s">
        <v>225</v>
      </c>
      <c r="G4" s="3" t="s">
        <v>313</v>
      </c>
      <c r="H4" s="3" t="s">
        <v>314</v>
      </c>
      <c r="I4" s="3" t="s">
        <v>315</v>
      </c>
      <c r="J4" s="3" t="s">
        <v>316</v>
      </c>
      <c r="K4" s="3" t="s">
        <v>317</v>
      </c>
      <c r="L4" s="3" t="s">
        <v>318</v>
      </c>
      <c r="M4" s="3" t="s">
        <v>319</v>
      </c>
      <c r="N4" s="3" t="s">
        <v>320</v>
      </c>
      <c r="O4" s="3" t="s">
        <v>45</v>
      </c>
      <c r="P4" s="3" t="s">
        <v>321</v>
      </c>
      <c r="Q4" s="3" t="s">
        <v>322</v>
      </c>
      <c r="R4" s="3" t="s">
        <v>323</v>
      </c>
      <c r="S4" s="3" t="s">
        <v>324</v>
      </c>
      <c r="T4" s="29" t="s">
        <v>325</v>
      </c>
    </row>
    <row r="5" customFormat="false" ht="46.25" hidden="false" customHeight="false" outlineLevel="0" collapsed="false">
      <c r="A5" s="4" t="n">
        <v>1</v>
      </c>
      <c r="B5" s="4" t="s">
        <v>326</v>
      </c>
      <c r="C5" s="4" t="s">
        <v>100</v>
      </c>
      <c r="D5" s="5" t="n">
        <v>3569</v>
      </c>
      <c r="E5" s="27" t="n">
        <v>0.02</v>
      </c>
      <c r="F5" s="5" t="n">
        <f aca="false">MAX(1,ROUND(D5*E5,0))</f>
        <v>71</v>
      </c>
      <c r="G5" s="10" t="n">
        <f aca="false">'Цены материалов (источники)'!J5</f>
        <v>368.85</v>
      </c>
      <c r="H5" s="4" t="s">
        <v>327</v>
      </c>
      <c r="I5" s="6" t="n">
        <v>0.01</v>
      </c>
      <c r="J5" s="6" t="n">
        <v>0.1</v>
      </c>
      <c r="K5" s="6" t="n">
        <v>0.105</v>
      </c>
      <c r="L5" s="10" t="n">
        <f aca="false">ROUND(G5*(1+I5)*(1+J5)*(1+K5),2)</f>
        <v>452.82</v>
      </c>
      <c r="M5" s="10" t="n">
        <f aca="false">L5*F5</f>
        <v>32150.22</v>
      </c>
      <c r="N5" s="21" t="n">
        <f aca="false">F5*0.5</f>
        <v>35.5</v>
      </c>
      <c r="O5" s="6" t="n">
        <v>0.12</v>
      </c>
      <c r="P5" s="10" t="n">
        <f aca="false">ROUND(MIN(L5*(1+O5),R5),2)</f>
        <v>488.52</v>
      </c>
      <c r="Q5" s="10" t="n">
        <f aca="false">P5*F5</f>
        <v>34684.92</v>
      </c>
      <c r="R5" s="10" t="n">
        <f aca="false">'Цены материалов (источники)'!K5</f>
        <v>488.52</v>
      </c>
      <c r="S5" s="4" t="str">
        <f aca="false">IF(L5*(1+O5)&lt;=R5,"ок",IF(P5&gt;=L5,"ограничено розницей","розница ниже с/с"))</f>
        <v>ограничено розницей</v>
      </c>
      <c r="T5" s="30" t="n">
        <f aca="false">N5*'Персонал ТО'!$C$17*(1+'Персонал ТО'!$C$9)</f>
        <v>41228.1800284667</v>
      </c>
    </row>
    <row r="6" customFormat="false" ht="31.3" hidden="false" customHeight="false" outlineLevel="0" collapsed="false">
      <c r="A6" s="4" t="n">
        <v>2</v>
      </c>
      <c r="B6" s="4" t="s">
        <v>328</v>
      </c>
      <c r="C6" s="4" t="s">
        <v>100</v>
      </c>
      <c r="D6" s="5" t="n">
        <v>3569</v>
      </c>
      <c r="E6" s="27" t="n">
        <v>0.005</v>
      </c>
      <c r="F6" s="5" t="n">
        <f aca="false">MAX(1,ROUND(D6*E6,0))</f>
        <v>18</v>
      </c>
      <c r="G6" s="10" t="n">
        <f aca="false">'Цены материалов (источники)'!J6</f>
        <v>959.02</v>
      </c>
      <c r="H6" s="4" t="s">
        <v>327</v>
      </c>
      <c r="I6" s="6" t="n">
        <v>0.01</v>
      </c>
      <c r="J6" s="6" t="n">
        <v>0.1</v>
      </c>
      <c r="K6" s="6" t="n">
        <v>0.105</v>
      </c>
      <c r="L6" s="10" t="n">
        <f aca="false">ROUND(G6*(1+I6)*(1+J6)*(1+K6),2)</f>
        <v>1177.35</v>
      </c>
      <c r="M6" s="10" t="n">
        <f aca="false">L6*F6</f>
        <v>21192.3</v>
      </c>
      <c r="N6" s="21" t="n">
        <f aca="false">F6*0.5</f>
        <v>9</v>
      </c>
      <c r="O6" s="6" t="n">
        <v>0.12</v>
      </c>
      <c r="P6" s="10" t="n">
        <f aca="false">ROUND(MIN(L6*(1+O6),R6),2)</f>
        <v>1318.63</v>
      </c>
      <c r="Q6" s="10" t="n">
        <f aca="false">P6*F6</f>
        <v>23735.34</v>
      </c>
      <c r="R6" s="10" t="n">
        <f aca="false">'Цены материалов (источники)'!K6</f>
        <v>1477.05</v>
      </c>
      <c r="S6" s="4" t="str">
        <f aca="false">IF(L6*(1+O6)&lt;=R6,"ок",IF(P6&gt;=L6,"ограничено розницей","розница ниже с/с"))</f>
        <v>ок</v>
      </c>
      <c r="T6" s="30" t="n">
        <f aca="false">N6*'Персонал ТО'!$C$17*(1+'Персонал ТО'!$C$9)</f>
        <v>10452.2146551042</v>
      </c>
    </row>
    <row r="7" customFormat="false" ht="31.3" hidden="false" customHeight="false" outlineLevel="0" collapsed="false">
      <c r="A7" s="4" t="n">
        <v>3</v>
      </c>
      <c r="B7" s="4" t="s">
        <v>329</v>
      </c>
      <c r="C7" s="4" t="s">
        <v>100</v>
      </c>
      <c r="D7" s="5" t="n">
        <v>3569</v>
      </c>
      <c r="E7" s="27" t="n">
        <v>0.01</v>
      </c>
      <c r="F7" s="5" t="n">
        <f aca="false">MAX(1,ROUND(D7*E7,0))</f>
        <v>36</v>
      </c>
      <c r="G7" s="10" t="n">
        <f aca="false">'Цены материалов (источники)'!J7</f>
        <v>87.05</v>
      </c>
      <c r="H7" s="4" t="s">
        <v>327</v>
      </c>
      <c r="I7" s="6" t="n">
        <v>0.01</v>
      </c>
      <c r="J7" s="6" t="n">
        <v>0.1</v>
      </c>
      <c r="K7" s="6" t="n">
        <v>0.105</v>
      </c>
      <c r="L7" s="10" t="n">
        <f aca="false">ROUND(G7*(1+I7)*(1+J7)*(1+K7),2)</f>
        <v>106.87</v>
      </c>
      <c r="M7" s="10" t="n">
        <f aca="false">L7*F7</f>
        <v>3847.32</v>
      </c>
      <c r="N7" s="21" t="n">
        <f aca="false">F7*0.5</f>
        <v>18</v>
      </c>
      <c r="O7" s="6" t="n">
        <v>0.12</v>
      </c>
      <c r="P7" s="10" t="n">
        <f aca="false">ROUND(MIN(L7*(1+O7),R7),2)</f>
        <v>96.72</v>
      </c>
      <c r="Q7" s="10" t="n">
        <f aca="false">P7*F7</f>
        <v>3481.92</v>
      </c>
      <c r="R7" s="10" t="n">
        <f aca="false">'Цены материалов (источники)'!K7</f>
        <v>96.72</v>
      </c>
      <c r="S7" s="4" t="str">
        <f aca="false">IF(L7*(1+O7)&lt;=R7,"ок",IF(P7&gt;=L7,"ограничено розницей","розница ниже с/с"))</f>
        <v>розница ниже с/с</v>
      </c>
      <c r="T7" s="30" t="n">
        <f aca="false">N7*'Персонал ТО'!$C$17*(1+'Персонал ТО'!$C$9)</f>
        <v>20904.4293102085</v>
      </c>
    </row>
    <row r="8" customFormat="false" ht="31.3" hidden="false" customHeight="false" outlineLevel="0" collapsed="false">
      <c r="A8" s="4" t="n">
        <v>4</v>
      </c>
      <c r="B8" s="4" t="s">
        <v>330</v>
      </c>
      <c r="C8" s="4" t="s">
        <v>100</v>
      </c>
      <c r="D8" s="5" t="n">
        <v>558</v>
      </c>
      <c r="E8" s="27" t="n">
        <v>0.01</v>
      </c>
      <c r="F8" s="5" t="n">
        <f aca="false">MAX(1,ROUND(D8*E8,0))</f>
        <v>6</v>
      </c>
      <c r="G8" s="10" t="n">
        <f aca="false">'Цены материалов (источники)'!J8</f>
        <v>317.21</v>
      </c>
      <c r="H8" s="4" t="s">
        <v>327</v>
      </c>
      <c r="I8" s="6" t="n">
        <v>0.01</v>
      </c>
      <c r="J8" s="6" t="n">
        <v>0.1</v>
      </c>
      <c r="K8" s="6" t="n">
        <v>0.105</v>
      </c>
      <c r="L8" s="10" t="n">
        <f aca="false">ROUND(G8*(1+I8)*(1+J8)*(1+K8),2)</f>
        <v>389.42</v>
      </c>
      <c r="M8" s="10" t="n">
        <f aca="false">L8*F8</f>
        <v>2336.52</v>
      </c>
      <c r="N8" s="21" t="n">
        <f aca="false">F8*0.5</f>
        <v>3</v>
      </c>
      <c r="O8" s="6" t="n">
        <v>0.12</v>
      </c>
      <c r="P8" s="10" t="n">
        <f aca="false">ROUND(MIN(L8*(1+O8),R8),2)</f>
        <v>318.03</v>
      </c>
      <c r="Q8" s="10" t="n">
        <f aca="false">P8*F8</f>
        <v>1908.18</v>
      </c>
      <c r="R8" s="10" t="n">
        <f aca="false">'Цены материалов (источники)'!K8</f>
        <v>318.03</v>
      </c>
      <c r="S8" s="4" t="str">
        <f aca="false">IF(L8*(1+O8)&lt;=R8,"ок",IF(P8&gt;=L8,"ограничено розницей","розница ниже с/с"))</f>
        <v>розница ниже с/с</v>
      </c>
      <c r="T8" s="30" t="n">
        <f aca="false">N8*'Персонал ТО'!$C$17*(1+'Персонал ТО'!$C$9)</f>
        <v>3484.07155170141</v>
      </c>
    </row>
    <row r="9" customFormat="false" ht="31.3" hidden="false" customHeight="false" outlineLevel="0" collapsed="false">
      <c r="A9" s="4" t="n">
        <v>5</v>
      </c>
      <c r="B9" s="4" t="s">
        <v>331</v>
      </c>
      <c r="C9" s="4" t="s">
        <v>100</v>
      </c>
      <c r="D9" s="5" t="n">
        <v>558</v>
      </c>
      <c r="E9" s="27" t="n">
        <v>0.005</v>
      </c>
      <c r="F9" s="5" t="n">
        <f aca="false">MAX(1,ROUND(D9*E9,0))</f>
        <v>3</v>
      </c>
      <c r="G9" s="10" t="n">
        <f aca="false">'Цены материалов (источники)'!J9</f>
        <v>781.97</v>
      </c>
      <c r="H9" s="4" t="s">
        <v>327</v>
      </c>
      <c r="I9" s="6" t="n">
        <v>0.01</v>
      </c>
      <c r="J9" s="6" t="n">
        <v>0.1</v>
      </c>
      <c r="K9" s="6" t="n">
        <v>0.105</v>
      </c>
      <c r="L9" s="10" t="n">
        <f aca="false">ROUND(G9*(1+I9)*(1+J9)*(1+K9),2)</f>
        <v>959.99</v>
      </c>
      <c r="M9" s="10" t="n">
        <f aca="false">L9*F9</f>
        <v>2879.97</v>
      </c>
      <c r="N9" s="21" t="n">
        <f aca="false">F9*0.5</f>
        <v>1.5</v>
      </c>
      <c r="O9" s="6" t="n">
        <v>0.12</v>
      </c>
      <c r="P9" s="10" t="n">
        <f aca="false">ROUND(MIN(L9*(1+O9),R9),2)</f>
        <v>936</v>
      </c>
      <c r="Q9" s="10" t="n">
        <f aca="false">P9*F9</f>
        <v>2808</v>
      </c>
      <c r="R9" s="10" t="n">
        <f aca="false">'Цены материалов (источники)'!K9</f>
        <v>936</v>
      </c>
      <c r="S9" s="4" t="str">
        <f aca="false">IF(L9*(1+O9)&lt;=R9,"ок",IF(P9&gt;=L9,"ограничено розницей","розница ниже с/с"))</f>
        <v>розница ниже с/с</v>
      </c>
      <c r="T9" s="30" t="n">
        <f aca="false">N9*'Персонал ТО'!$C$17*(1+'Персонал ТО'!$C$9)</f>
        <v>1742.03577585071</v>
      </c>
    </row>
    <row r="10" customFormat="false" ht="46.25" hidden="false" customHeight="false" outlineLevel="0" collapsed="false">
      <c r="A10" s="4" t="n">
        <v>6</v>
      </c>
      <c r="B10" s="4" t="s">
        <v>332</v>
      </c>
      <c r="C10" s="4" t="s">
        <v>100</v>
      </c>
      <c r="D10" s="5" t="n">
        <v>880</v>
      </c>
      <c r="E10" s="27" t="n">
        <v>0.01</v>
      </c>
      <c r="F10" s="5" t="n">
        <f aca="false">MAX(1,ROUND(D10*E10,0))</f>
        <v>9</v>
      </c>
      <c r="G10" s="10" t="n">
        <f aca="false">'Цены материалов (источники)'!J10</f>
        <v>551.64</v>
      </c>
      <c r="H10" s="4" t="s">
        <v>327</v>
      </c>
      <c r="I10" s="6" t="n">
        <v>0.01</v>
      </c>
      <c r="J10" s="6" t="n">
        <v>0.1</v>
      </c>
      <c r="K10" s="6" t="n">
        <v>0.105</v>
      </c>
      <c r="L10" s="10" t="n">
        <f aca="false">ROUND(G10*(1+I10)*(1+J10)*(1+K10),2)</f>
        <v>677.22</v>
      </c>
      <c r="M10" s="10" t="n">
        <f aca="false">L10*F10</f>
        <v>6094.98</v>
      </c>
      <c r="N10" s="21" t="n">
        <f aca="false">F10*0.5</f>
        <v>4.5</v>
      </c>
      <c r="O10" s="6" t="n">
        <v>0.12</v>
      </c>
      <c r="P10" s="10" t="n">
        <f aca="false">ROUND(MIN(L10*(1+O10),R10),2)</f>
        <v>727.87</v>
      </c>
      <c r="Q10" s="10" t="n">
        <f aca="false">P10*F10</f>
        <v>6550.83</v>
      </c>
      <c r="R10" s="10" t="n">
        <f aca="false">'Цены материалов (источники)'!K10</f>
        <v>727.87</v>
      </c>
      <c r="S10" s="4" t="str">
        <f aca="false">IF(L10*(1+O10)&lt;=R10,"ок",IF(P10&gt;=L10,"ограничено розницей","розница ниже с/с"))</f>
        <v>ограничено розницей</v>
      </c>
      <c r="T10" s="30" t="n">
        <f aca="false">N10*'Персонал ТО'!$C$17*(1+'Персонал ТО'!$C$9)</f>
        <v>5226.10732755212</v>
      </c>
    </row>
    <row r="11" customFormat="false" ht="31.3" hidden="false" customHeight="false" outlineLevel="0" collapsed="false">
      <c r="A11" s="4" t="n">
        <v>7</v>
      </c>
      <c r="B11" s="4" t="s">
        <v>333</v>
      </c>
      <c r="C11" s="4" t="s">
        <v>100</v>
      </c>
      <c r="D11" s="5" t="n">
        <v>880</v>
      </c>
      <c r="E11" s="27" t="n">
        <v>0.005</v>
      </c>
      <c r="F11" s="5" t="n">
        <f aca="false">MAX(1,ROUND(D11*E11,0))</f>
        <v>4</v>
      </c>
      <c r="G11" s="10" t="n">
        <f aca="false">'Цены материалов (источники)'!J11</f>
        <v>282.79</v>
      </c>
      <c r="H11" s="4" t="s">
        <v>327</v>
      </c>
      <c r="I11" s="6" t="n">
        <v>0.01</v>
      </c>
      <c r="J11" s="6" t="n">
        <v>0.1</v>
      </c>
      <c r="K11" s="6" t="n">
        <v>0.105</v>
      </c>
      <c r="L11" s="10" t="n">
        <f aca="false">ROUND(G11*(1+I11)*(1+J11)*(1+K11),2)</f>
        <v>347.17</v>
      </c>
      <c r="M11" s="10" t="n">
        <f aca="false">L11*F11</f>
        <v>1388.68</v>
      </c>
      <c r="N11" s="21" t="n">
        <f aca="false">F11*0.5</f>
        <v>2</v>
      </c>
      <c r="O11" s="6" t="n">
        <v>0.12</v>
      </c>
      <c r="P11" s="10" t="n">
        <f aca="false">ROUND(MIN(L11*(1+O11),R11),2)</f>
        <v>291.8</v>
      </c>
      <c r="Q11" s="10" t="n">
        <f aca="false">P11*F11</f>
        <v>1167.2</v>
      </c>
      <c r="R11" s="10" t="n">
        <f aca="false">'Цены материалов (источники)'!K11</f>
        <v>291.8</v>
      </c>
      <c r="S11" s="4" t="str">
        <f aca="false">IF(L11*(1+O11)&lt;=R11,"ок",IF(P11&gt;=L11,"ограничено розницей","розница ниже с/с"))</f>
        <v>розница ниже с/с</v>
      </c>
      <c r="T11" s="30" t="n">
        <f aca="false">N11*'Персонал ТО'!$C$17*(1+'Персонал ТО'!$C$9)</f>
        <v>2322.71436780094</v>
      </c>
    </row>
    <row r="12" customFormat="false" ht="31.3" hidden="false" customHeight="false" outlineLevel="0" collapsed="false">
      <c r="A12" s="4" t="n">
        <v>8</v>
      </c>
      <c r="B12" s="4" t="s">
        <v>334</v>
      </c>
      <c r="C12" s="4" t="s">
        <v>100</v>
      </c>
      <c r="D12" s="5" t="n">
        <v>880</v>
      </c>
      <c r="E12" s="27" t="n">
        <v>0.005</v>
      </c>
      <c r="F12" s="5" t="n">
        <f aca="false">MAX(1,ROUND(D12*E12,0))</f>
        <v>4</v>
      </c>
      <c r="G12" s="10" t="n">
        <f aca="false">'Цены материалов (источники)'!J12</f>
        <v>210.66</v>
      </c>
      <c r="H12" s="4" t="s">
        <v>327</v>
      </c>
      <c r="I12" s="6" t="n">
        <v>0.01</v>
      </c>
      <c r="J12" s="6" t="n">
        <v>0.1</v>
      </c>
      <c r="K12" s="6" t="n">
        <v>0.105</v>
      </c>
      <c r="L12" s="10" t="n">
        <f aca="false">ROUND(G12*(1+I12)*(1+J12)*(1+K12),2)</f>
        <v>258.62</v>
      </c>
      <c r="M12" s="10" t="n">
        <f aca="false">L12*F12</f>
        <v>1034.48</v>
      </c>
      <c r="N12" s="21" t="n">
        <f aca="false">F12*0.5</f>
        <v>2</v>
      </c>
      <c r="O12" s="6" t="n">
        <v>0.12</v>
      </c>
      <c r="P12" s="10" t="n">
        <f aca="false">ROUND(MIN(L12*(1+O12),R12),2)</f>
        <v>289.65</v>
      </c>
      <c r="Q12" s="10" t="n">
        <f aca="false">P12*F12</f>
        <v>1158.6</v>
      </c>
      <c r="R12" s="10" t="n">
        <f aca="false">'Цены материалов (источники)'!K12</f>
        <v>407.38</v>
      </c>
      <c r="S12" s="4" t="str">
        <f aca="false">IF(L12*(1+O12)&lt;=R12,"ок",IF(P12&gt;=L12,"ограничено розницей","розница ниже с/с"))</f>
        <v>ок</v>
      </c>
      <c r="T12" s="30" t="n">
        <f aca="false">N12*'Персонал ТО'!$C$17*(1+'Персонал ТО'!$C$9)</f>
        <v>2322.71436780094</v>
      </c>
    </row>
    <row r="13" customFormat="false" ht="31.3" hidden="false" customHeight="false" outlineLevel="0" collapsed="false">
      <c r="A13" s="4" t="n">
        <v>9</v>
      </c>
      <c r="B13" s="4" t="s">
        <v>335</v>
      </c>
      <c r="C13" s="4" t="s">
        <v>100</v>
      </c>
      <c r="D13" s="5" t="n">
        <v>40</v>
      </c>
      <c r="E13" s="27" t="n">
        <v>0.25</v>
      </c>
      <c r="F13" s="5" t="n">
        <f aca="false">MAX(1,ROUND(D13*E13,0))</f>
        <v>10</v>
      </c>
      <c r="G13" s="10" t="n">
        <f aca="false">'Цены материалов (источники)'!J13</f>
        <v>1640.98</v>
      </c>
      <c r="H13" s="4" t="s">
        <v>327</v>
      </c>
      <c r="I13" s="6" t="n">
        <v>0</v>
      </c>
      <c r="J13" s="6" t="n">
        <v>0.1</v>
      </c>
      <c r="K13" s="6" t="n">
        <v>0.105</v>
      </c>
      <c r="L13" s="10" t="n">
        <f aca="false">ROUND(G13*(1+I13)*(1+J13)*(1+K13),2)</f>
        <v>1994.61</v>
      </c>
      <c r="M13" s="10" t="n">
        <f aca="false">L13*F13</f>
        <v>19946.1</v>
      </c>
      <c r="N13" s="21" t="n">
        <f aca="false">F13*0.3</f>
        <v>3</v>
      </c>
      <c r="O13" s="6" t="n">
        <v>0.12</v>
      </c>
      <c r="P13" s="10" t="n">
        <f aca="false">ROUND(MIN(L13*(1+O13),R13),2)</f>
        <v>1649.18</v>
      </c>
      <c r="Q13" s="10" t="n">
        <f aca="false">P13*F13</f>
        <v>16491.8</v>
      </c>
      <c r="R13" s="10" t="n">
        <f aca="false">'Цены материалов (источники)'!K13</f>
        <v>1649.18</v>
      </c>
      <c r="S13" s="4" t="str">
        <f aca="false">IF(L13*(1+O13)&lt;=R13,"ок",IF(P13&gt;=L13,"ограничено розницей","розница ниже с/с"))</f>
        <v>розница ниже с/с</v>
      </c>
      <c r="T13" s="30" t="n">
        <f aca="false">N13*'Персонал ТО'!$C$17*(1+'Персонал ТО'!$C$9)</f>
        <v>3484.07155170141</v>
      </c>
    </row>
    <row r="14" customFormat="false" ht="31.3" hidden="false" customHeight="false" outlineLevel="0" collapsed="false">
      <c r="A14" s="4" t="n">
        <v>10</v>
      </c>
      <c r="B14" s="4" t="s">
        <v>336</v>
      </c>
      <c r="C14" s="4" t="s">
        <v>100</v>
      </c>
      <c r="D14" s="5" t="n">
        <v>20</v>
      </c>
      <c r="E14" s="27" t="n">
        <v>0.25</v>
      </c>
      <c r="F14" s="5" t="n">
        <f aca="false">MAX(1,ROUND(D14*E14,0))</f>
        <v>5</v>
      </c>
      <c r="G14" s="10" t="n">
        <f aca="false">'Цены материалов (источники)'!J14</f>
        <v>2671.31</v>
      </c>
      <c r="H14" s="4" t="s">
        <v>327</v>
      </c>
      <c r="I14" s="6" t="n">
        <v>0</v>
      </c>
      <c r="J14" s="6" t="n">
        <v>0.1</v>
      </c>
      <c r="K14" s="6" t="n">
        <v>0.105</v>
      </c>
      <c r="L14" s="10" t="n">
        <f aca="false">ROUND(G14*(1+I14)*(1+J14)*(1+K14),2)</f>
        <v>3246.98</v>
      </c>
      <c r="M14" s="10" t="n">
        <f aca="false">L14*F14</f>
        <v>16234.9</v>
      </c>
      <c r="N14" s="21" t="n">
        <f aca="false">F14*0.3</f>
        <v>1.5</v>
      </c>
      <c r="O14" s="6" t="n">
        <v>0.12</v>
      </c>
      <c r="P14" s="10" t="n">
        <f aca="false">ROUND(MIN(L14*(1+O14),R14),2)</f>
        <v>3001.64</v>
      </c>
      <c r="Q14" s="10" t="n">
        <f aca="false">P14*F14</f>
        <v>15008.2</v>
      </c>
      <c r="R14" s="10" t="n">
        <f aca="false">'Цены материалов (источники)'!K14</f>
        <v>3001.64</v>
      </c>
      <c r="S14" s="4" t="str">
        <f aca="false">IF(L14*(1+O14)&lt;=R14,"ок",IF(P14&gt;=L14,"ограничено розницей","розница ниже с/с"))</f>
        <v>розница ниже с/с</v>
      </c>
      <c r="T14" s="30" t="n">
        <f aca="false">N14*'Персонал ТО'!$C$17*(1+'Персонал ТО'!$C$9)</f>
        <v>1742.03577585071</v>
      </c>
    </row>
    <row r="15" customFormat="false" ht="31.3" hidden="false" customHeight="false" outlineLevel="0" collapsed="false">
      <c r="A15" s="4" t="n">
        <v>11</v>
      </c>
      <c r="B15" s="4" t="s">
        <v>337</v>
      </c>
      <c r="C15" s="4" t="s">
        <v>100</v>
      </c>
      <c r="D15" s="5" t="n">
        <v>10</v>
      </c>
      <c r="E15" s="27" t="n">
        <v>0.25</v>
      </c>
      <c r="F15" s="5" t="n">
        <f aca="false">MAX(1,ROUND(D15*E15,0))</f>
        <v>3</v>
      </c>
      <c r="G15" s="10" t="n">
        <f aca="false">'Цены материалов (источники)'!J15</f>
        <v>3945.08</v>
      </c>
      <c r="H15" s="4" t="s">
        <v>327</v>
      </c>
      <c r="I15" s="6" t="n">
        <v>0</v>
      </c>
      <c r="J15" s="6" t="n">
        <v>0.1</v>
      </c>
      <c r="K15" s="6" t="n">
        <v>0.105</v>
      </c>
      <c r="L15" s="10" t="n">
        <f aca="false">ROUND(G15*(1+I15)*(1+J15)*(1+K15),2)</f>
        <v>4795.24</v>
      </c>
      <c r="M15" s="10" t="n">
        <f aca="false">L15*F15</f>
        <v>14385.72</v>
      </c>
      <c r="N15" s="21" t="n">
        <f aca="false">F15*0.3</f>
        <v>0.9</v>
      </c>
      <c r="O15" s="6" t="n">
        <v>0.12</v>
      </c>
      <c r="P15" s="10" t="n">
        <f aca="false">ROUND(MIN(L15*(1+O15),R15),2)</f>
        <v>3952.46</v>
      </c>
      <c r="Q15" s="10" t="n">
        <f aca="false">P15*F15</f>
        <v>11857.38</v>
      </c>
      <c r="R15" s="10" t="n">
        <f aca="false">'Цены материалов (источники)'!K15</f>
        <v>3952.46</v>
      </c>
      <c r="S15" s="4" t="str">
        <f aca="false">IF(L15*(1+O15)&lt;=R15,"ок",IF(P15&gt;=L15,"ограничено розницей","розница ниже с/с"))</f>
        <v>розница ниже с/с</v>
      </c>
      <c r="T15" s="30" t="n">
        <f aca="false">N15*'Персонал ТО'!$C$17*(1+'Персонал ТО'!$C$9)</f>
        <v>1045.22146551042</v>
      </c>
    </row>
    <row r="16" customFormat="false" ht="31.3" hidden="false" customHeight="false" outlineLevel="0" collapsed="false">
      <c r="A16" s="4" t="n">
        <v>12</v>
      </c>
      <c r="B16" s="4" t="s">
        <v>338</v>
      </c>
      <c r="C16" s="4" t="s">
        <v>100</v>
      </c>
      <c r="D16" s="5" t="n">
        <v>6</v>
      </c>
      <c r="E16" s="27" t="n">
        <v>0.25</v>
      </c>
      <c r="F16" s="5" t="n">
        <f aca="false">MAX(1,ROUND(D16*E16,0))</f>
        <v>2</v>
      </c>
      <c r="G16" s="10" t="n">
        <f aca="false">'Цены материалов (источники)'!J16</f>
        <v>10869.67</v>
      </c>
      <c r="H16" s="4" t="s">
        <v>327</v>
      </c>
      <c r="I16" s="6" t="n">
        <v>0</v>
      </c>
      <c r="J16" s="6" t="n">
        <v>0.1</v>
      </c>
      <c r="K16" s="6" t="n">
        <v>0.105</v>
      </c>
      <c r="L16" s="10" t="n">
        <f aca="false">ROUND(G16*(1+I16)*(1+J16)*(1+K16),2)</f>
        <v>13212.08</v>
      </c>
      <c r="M16" s="10" t="n">
        <f aca="false">L16*F16</f>
        <v>26424.16</v>
      </c>
      <c r="N16" s="21" t="n">
        <f aca="false">F16*0.5</f>
        <v>1</v>
      </c>
      <c r="O16" s="6" t="n">
        <v>0.12</v>
      </c>
      <c r="P16" s="10" t="n">
        <f aca="false">ROUND(MIN(L16*(1+O16),R16),2)</f>
        <v>10876.77</v>
      </c>
      <c r="Q16" s="10" t="n">
        <f aca="false">P16*F16</f>
        <v>21753.54</v>
      </c>
      <c r="R16" s="10" t="n">
        <f aca="false">'Цены материалов (источники)'!K16</f>
        <v>10876.77</v>
      </c>
      <c r="S16" s="4" t="str">
        <f aca="false">IF(L16*(1+O16)&lt;=R16,"ок",IF(P16&gt;=L16,"ограничено розницей","розница ниже с/с"))</f>
        <v>розница ниже с/с</v>
      </c>
      <c r="T16" s="30" t="n">
        <f aca="false">N16*'Персонал ТО'!$C$17*(1+'Персонал ТО'!$C$9)</f>
        <v>1161.35718390047</v>
      </c>
    </row>
    <row r="17" customFormat="false" ht="31.3" hidden="false" customHeight="false" outlineLevel="0" collapsed="false">
      <c r="A17" s="4" t="n">
        <v>13</v>
      </c>
      <c r="B17" s="4" t="s">
        <v>339</v>
      </c>
      <c r="C17" s="4" t="s">
        <v>100</v>
      </c>
      <c r="D17" s="5" t="n">
        <v>67</v>
      </c>
      <c r="E17" s="27" t="n">
        <v>0.03</v>
      </c>
      <c r="F17" s="5" t="n">
        <f aca="false">MAX(1,ROUND(D17*E17,0))</f>
        <v>2</v>
      </c>
      <c r="G17" s="10" t="n">
        <f aca="false">'Цены материалов (источники)'!J17</f>
        <v>5413.97</v>
      </c>
      <c r="H17" s="4" t="s">
        <v>327</v>
      </c>
      <c r="I17" s="6" t="n">
        <v>0</v>
      </c>
      <c r="J17" s="6" t="n">
        <v>0.1</v>
      </c>
      <c r="K17" s="6" t="n">
        <v>0.105</v>
      </c>
      <c r="L17" s="10" t="n">
        <f aca="false">ROUND(G17*(1+I17)*(1+J17)*(1+K17),2)</f>
        <v>6580.68</v>
      </c>
      <c r="M17" s="10" t="n">
        <f aca="false">L17*F17</f>
        <v>13161.36</v>
      </c>
      <c r="N17" s="21" t="n">
        <f aca="false">F17*1</f>
        <v>2</v>
      </c>
      <c r="O17" s="6" t="n">
        <v>0.12</v>
      </c>
      <c r="P17" s="10" t="n">
        <f aca="false">ROUND(MIN(L17*(1+O17),R17),2)</f>
        <v>5504.2</v>
      </c>
      <c r="Q17" s="10" t="n">
        <f aca="false">P17*F17</f>
        <v>11008.4</v>
      </c>
      <c r="R17" s="10" t="n">
        <f aca="false">'Цены материалов (источники)'!K17</f>
        <v>5504.2</v>
      </c>
      <c r="S17" s="4" t="str">
        <f aca="false">IF(L17*(1+O17)&lt;=R17,"ок",IF(P17&gt;=L17,"ограничено розницей","розница ниже с/с"))</f>
        <v>розница ниже с/с</v>
      </c>
      <c r="T17" s="30" t="n">
        <f aca="false">N17*'Персонал ТО'!$C$17*(1+'Персонал ТО'!$C$9)</f>
        <v>2322.71436780094</v>
      </c>
    </row>
    <row r="18" customFormat="false" ht="46.25" hidden="false" customHeight="false" outlineLevel="0" collapsed="false">
      <c r="A18" s="4" t="n">
        <v>14</v>
      </c>
      <c r="B18" s="4" t="s">
        <v>340</v>
      </c>
      <c r="C18" s="4" t="s">
        <v>261</v>
      </c>
      <c r="D18" s="5" t="n">
        <v>52655</v>
      </c>
      <c r="E18" s="27" t="n">
        <v>0.005</v>
      </c>
      <c r="F18" s="5" t="n">
        <f aca="false">MAX(1,ROUND(D18*E18,0))</f>
        <v>263</v>
      </c>
      <c r="G18" s="10" t="n">
        <f aca="false">'Цены материалов (источники)'!J18</f>
        <v>21.25</v>
      </c>
      <c r="H18" s="4" t="s">
        <v>341</v>
      </c>
      <c r="I18" s="6" t="n">
        <v>0.04</v>
      </c>
      <c r="J18" s="6" t="n">
        <v>0.1</v>
      </c>
      <c r="K18" s="6" t="n">
        <v>0.105</v>
      </c>
      <c r="L18" s="10" t="n">
        <f aca="false">ROUND(G18*(1+I18)*(1+J18)*(1+K18),2)</f>
        <v>26.86</v>
      </c>
      <c r="M18" s="10" t="n">
        <f aca="false">L18*F18</f>
        <v>7064.18</v>
      </c>
      <c r="N18" s="21" t="n">
        <f aca="false">F18*0.05</f>
        <v>13.15</v>
      </c>
      <c r="O18" s="6" t="n">
        <v>0.12</v>
      </c>
      <c r="P18" s="10" t="n">
        <f aca="false">ROUND(MIN(L18*(1+O18),R18),2)</f>
        <v>29.48</v>
      </c>
      <c r="Q18" s="10" t="n">
        <f aca="false">P18*F18</f>
        <v>7753.24</v>
      </c>
      <c r="R18" s="10" t="n">
        <f aca="false">'Цены материалов (источники)'!K18</f>
        <v>29.48</v>
      </c>
      <c r="S18" s="4" t="str">
        <f aca="false">IF(L18*(1+O18)&lt;=R18,"ок",IF(P18&gt;=L18,"ограничено розницей","розница ниже с/с"))</f>
        <v>ограничено розницей</v>
      </c>
      <c r="T18" s="30" t="n">
        <f aca="false">N18*'Персонал ТО'!$C$17*(1+'Персонал ТО'!$C$9)</f>
        <v>15271.8469682912</v>
      </c>
    </row>
    <row r="19" customFormat="false" ht="46.25" hidden="false" customHeight="false" outlineLevel="0" collapsed="false">
      <c r="A19" s="4" t="n">
        <v>15</v>
      </c>
      <c r="B19" s="4" t="s">
        <v>342</v>
      </c>
      <c r="C19" s="4" t="s">
        <v>100</v>
      </c>
      <c r="D19" s="5" t="n">
        <v>35</v>
      </c>
      <c r="E19" s="27" t="n">
        <v>0.1</v>
      </c>
      <c r="F19" s="5" t="n">
        <f aca="false">MAX(1,ROUND(D19*E19,0))</f>
        <v>4</v>
      </c>
      <c r="G19" s="10" t="n">
        <f aca="false">'Цены материалов (источники)'!J19</f>
        <v>523.25</v>
      </c>
      <c r="H19" s="4" t="s">
        <v>343</v>
      </c>
      <c r="I19" s="6" t="n">
        <v>0</v>
      </c>
      <c r="J19" s="6" t="n">
        <v>0.1</v>
      </c>
      <c r="K19" s="6" t="n">
        <v>0.105</v>
      </c>
      <c r="L19" s="10" t="n">
        <f aca="false">ROUND(G19*(1+I19)*(1+J19)*(1+K19),2)</f>
        <v>636.01</v>
      </c>
      <c r="M19" s="10" t="n">
        <f aca="false">L19*F19</f>
        <v>2544.04</v>
      </c>
      <c r="N19" s="21" t="n">
        <f aca="false">F19*0.5</f>
        <v>2</v>
      </c>
      <c r="O19" s="6" t="n">
        <v>0.12</v>
      </c>
      <c r="P19" s="10" t="n">
        <f aca="false">ROUND(MIN(L19*(1+O19),R19),2)</f>
        <v>659.02</v>
      </c>
      <c r="Q19" s="10" t="n">
        <f aca="false">P19*F19</f>
        <v>2636.08</v>
      </c>
      <c r="R19" s="10" t="n">
        <f aca="false">'Цены материалов (источники)'!K19</f>
        <v>659.02</v>
      </c>
      <c r="S19" s="4" t="str">
        <f aca="false">IF(L19*(1+O19)&lt;=R19,"ок",IF(P19&gt;=L19,"ограничено розницей","розница ниже с/с"))</f>
        <v>ограничено розницей</v>
      </c>
      <c r="T19" s="30" t="n">
        <f aca="false">N19*'Персонал ТО'!$C$17*(1+'Персонал ТО'!$C$9)</f>
        <v>2322.71436780094</v>
      </c>
    </row>
    <row r="20" customFormat="false" ht="31.3" hidden="false" customHeight="false" outlineLevel="0" collapsed="false">
      <c r="A20" s="4" t="n">
        <v>16</v>
      </c>
      <c r="B20" s="4" t="s">
        <v>344</v>
      </c>
      <c r="C20" s="4" t="s">
        <v>100</v>
      </c>
      <c r="D20" s="5" t="n">
        <v>987</v>
      </c>
      <c r="E20" s="27" t="n">
        <v>0.01</v>
      </c>
      <c r="F20" s="5" t="n">
        <f aca="false">MAX(1,ROUND(D20*E20,0))</f>
        <v>10</v>
      </c>
      <c r="G20" s="10" t="n">
        <f aca="false">'Цены материалов (источники)'!J20</f>
        <v>413.11</v>
      </c>
      <c r="H20" s="4" t="s">
        <v>343</v>
      </c>
      <c r="I20" s="6" t="n">
        <v>0</v>
      </c>
      <c r="J20" s="6" t="n">
        <v>0.1</v>
      </c>
      <c r="K20" s="6" t="n">
        <v>0.105</v>
      </c>
      <c r="L20" s="10" t="n">
        <f aca="false">ROUND(G20*(1+I20)*(1+J20)*(1+K20),2)</f>
        <v>502.14</v>
      </c>
      <c r="M20" s="10" t="n">
        <f aca="false">L20*F20</f>
        <v>5021.4</v>
      </c>
      <c r="N20" s="21" t="n">
        <f aca="false">F20*1</f>
        <v>10</v>
      </c>
      <c r="O20" s="6" t="n">
        <v>0.12</v>
      </c>
      <c r="P20" s="10" t="n">
        <f aca="false">ROUND(MIN(L20*(1+O20),R20),2)</f>
        <v>413.11</v>
      </c>
      <c r="Q20" s="10" t="n">
        <f aca="false">P20*F20</f>
        <v>4131.1</v>
      </c>
      <c r="R20" s="10" t="n">
        <f aca="false">'Цены материалов (источники)'!K20</f>
        <v>413.11</v>
      </c>
      <c r="S20" s="4" t="str">
        <f aca="false">IF(L20*(1+O20)&lt;=R20,"ок",IF(P20&gt;=L20,"ограничено розницей","розница ниже с/с"))</f>
        <v>розница ниже с/с</v>
      </c>
      <c r="T20" s="30" t="n">
        <f aca="false">N20*'Персонал ТО'!$C$17*(1+'Персонал ТО'!$C$9)</f>
        <v>11613.5718390047</v>
      </c>
    </row>
    <row r="21" customFormat="false" ht="31.3" hidden="false" customHeight="false" outlineLevel="0" collapsed="false">
      <c r="A21" s="4" t="n">
        <v>17</v>
      </c>
      <c r="B21" s="4" t="s">
        <v>345</v>
      </c>
      <c r="C21" s="4" t="s">
        <v>100</v>
      </c>
      <c r="D21" s="5" t="n">
        <v>987</v>
      </c>
      <c r="E21" s="27" t="n">
        <v>0.005</v>
      </c>
      <c r="F21" s="5" t="n">
        <f aca="false">MAX(1,ROUND(D21*E21,0))</f>
        <v>5</v>
      </c>
      <c r="G21" s="10" t="n">
        <f aca="false">'Цены материалов (источники)'!J21</f>
        <v>236.07</v>
      </c>
      <c r="H21" s="4" t="s">
        <v>343</v>
      </c>
      <c r="I21" s="6" t="n">
        <v>0</v>
      </c>
      <c r="J21" s="6" t="n">
        <v>0.1</v>
      </c>
      <c r="K21" s="6" t="n">
        <v>0.105</v>
      </c>
      <c r="L21" s="10" t="n">
        <f aca="false">ROUND(G21*(1+I21)*(1+J21)*(1+K21),2)</f>
        <v>286.94</v>
      </c>
      <c r="M21" s="10" t="n">
        <f aca="false">L21*F21</f>
        <v>1434.7</v>
      </c>
      <c r="N21" s="21" t="n">
        <f aca="false">F21*1</f>
        <v>5</v>
      </c>
      <c r="O21" s="6" t="n">
        <v>0.12</v>
      </c>
      <c r="P21" s="10" t="n">
        <f aca="false">ROUND(MIN(L21*(1+O21),R21),2)</f>
        <v>242.62</v>
      </c>
      <c r="Q21" s="10" t="n">
        <f aca="false">P21*F21</f>
        <v>1213.1</v>
      </c>
      <c r="R21" s="10" t="n">
        <f aca="false">'Цены материалов (источники)'!K21</f>
        <v>242.62</v>
      </c>
      <c r="S21" s="4" t="str">
        <f aca="false">IF(L21*(1+O21)&lt;=R21,"ок",IF(P21&gt;=L21,"ограничено розницей","розница ниже с/с"))</f>
        <v>розница ниже с/с</v>
      </c>
      <c r="T21" s="30" t="n">
        <f aca="false">N21*'Персонал ТО'!$C$17*(1+'Персонал ТО'!$C$9)</f>
        <v>5806.78591950235</v>
      </c>
    </row>
    <row r="22" customFormat="false" ht="16.4" hidden="false" customHeight="false" outlineLevel="0" collapsed="false">
      <c r="A22" s="4"/>
      <c r="B22" s="7" t="s">
        <v>346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11" t="n">
        <f aca="false">SUM(M5:M21)</f>
        <v>177141.03</v>
      </c>
      <c r="N22" s="11" t="n">
        <f aca="false">SUM(N5:N21)</f>
        <v>114.05</v>
      </c>
      <c r="O22" s="4"/>
      <c r="P22" s="4"/>
      <c r="Q22" s="11" t="n">
        <f aca="false">SUM(Q5:Q21)</f>
        <v>167347.83</v>
      </c>
      <c r="R22" s="4"/>
      <c r="S22" s="4"/>
      <c r="T22" s="31" t="n">
        <f aca="false">SUM(T5:T21)</f>
        <v>132452.786823849</v>
      </c>
    </row>
    <row r="24" customFormat="false" ht="45" hidden="false" customHeight="true" outlineLevel="0" collapsed="false">
      <c r="B24" s="32" t="s">
        <v>347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</sheetData>
  <mergeCells count="1">
    <mergeCell ref="B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348</v>
      </c>
    </row>
    <row r="2" customFormat="false" ht="15" hidden="false" customHeight="false" outlineLevel="0" collapsed="false">
      <c r="A2" s="2" t="s">
        <v>349</v>
      </c>
    </row>
    <row r="4" customFormat="false" ht="45" hidden="false" customHeight="true" outlineLevel="0" collapsed="false">
      <c r="A4" s="3" t="s">
        <v>223</v>
      </c>
      <c r="B4" s="3" t="s">
        <v>350</v>
      </c>
      <c r="C4" s="3" t="s">
        <v>85</v>
      </c>
      <c r="D4" s="3" t="s">
        <v>351</v>
      </c>
      <c r="E4" s="3" t="s">
        <v>352</v>
      </c>
      <c r="F4" s="3" t="s">
        <v>353</v>
      </c>
      <c r="G4" s="3" t="s">
        <v>354</v>
      </c>
      <c r="H4" s="3" t="s">
        <v>355</v>
      </c>
      <c r="I4" s="3" t="s">
        <v>356</v>
      </c>
      <c r="J4" s="3" t="s">
        <v>357</v>
      </c>
      <c r="K4" s="3" t="s">
        <v>358</v>
      </c>
      <c r="L4" s="3" t="s">
        <v>359</v>
      </c>
    </row>
    <row r="5" customFormat="false" ht="46.25" hidden="false" customHeight="false" outlineLevel="0" collapsed="false">
      <c r="A5" s="4" t="n">
        <v>1</v>
      </c>
      <c r="B5" s="4" t="s">
        <v>326</v>
      </c>
      <c r="C5" s="4" t="s">
        <v>100</v>
      </c>
      <c r="D5" s="4" t="s">
        <v>360</v>
      </c>
      <c r="E5" s="10" t="n">
        <v>596</v>
      </c>
      <c r="F5" s="4" t="s">
        <v>361</v>
      </c>
      <c r="G5" s="4" t="s">
        <v>362</v>
      </c>
      <c r="H5" s="10" t="n">
        <v>450</v>
      </c>
      <c r="I5" s="4" t="s">
        <v>363</v>
      </c>
      <c r="J5" s="10" t="n">
        <f aca="false">ROUND(MIN(E5,H5)/1.22,2)</f>
        <v>368.85</v>
      </c>
      <c r="K5" s="10" t="n">
        <f aca="false">ROUND(MAX(E5,H5)/1.22,2)</f>
        <v>488.52</v>
      </c>
      <c r="L5" s="4" t="s">
        <v>364</v>
      </c>
    </row>
    <row r="6" customFormat="false" ht="61.15" hidden="false" customHeight="false" outlineLevel="0" collapsed="false">
      <c r="A6" s="4" t="n">
        <v>2</v>
      </c>
      <c r="B6" s="4" t="s">
        <v>328</v>
      </c>
      <c r="C6" s="4" t="s">
        <v>100</v>
      </c>
      <c r="D6" s="4" t="s">
        <v>365</v>
      </c>
      <c r="E6" s="10" t="n">
        <v>1802</v>
      </c>
      <c r="F6" s="4" t="s">
        <v>366</v>
      </c>
      <c r="G6" s="4" t="s">
        <v>367</v>
      </c>
      <c r="H6" s="10" t="n">
        <v>1170</v>
      </c>
      <c r="I6" s="4" t="s">
        <v>368</v>
      </c>
      <c r="J6" s="10" t="n">
        <f aca="false">ROUND(MIN(E6,H6)/1.22,2)</f>
        <v>959.02</v>
      </c>
      <c r="K6" s="10" t="n">
        <f aca="false">ROUND(MAX(E6,H6)/1.22,2)</f>
        <v>1477.05</v>
      </c>
      <c r="L6" s="4" t="s">
        <v>369</v>
      </c>
    </row>
    <row r="7" customFormat="false" ht="31.3" hidden="false" customHeight="false" outlineLevel="0" collapsed="false">
      <c r="A7" s="4" t="n">
        <v>3</v>
      </c>
      <c r="B7" s="4" t="s">
        <v>329</v>
      </c>
      <c r="C7" s="4" t="s">
        <v>100</v>
      </c>
      <c r="D7" s="4" t="s">
        <v>360</v>
      </c>
      <c r="E7" s="10" t="n">
        <v>118</v>
      </c>
      <c r="F7" s="4" t="s">
        <v>370</v>
      </c>
      <c r="G7" s="4" t="s">
        <v>371</v>
      </c>
      <c r="H7" s="10" t="n">
        <v>106.2</v>
      </c>
      <c r="I7" s="4" t="s">
        <v>372</v>
      </c>
      <c r="J7" s="10" t="n">
        <f aca="false">ROUND(MIN(E7,H7)/1.22,2)</f>
        <v>87.05</v>
      </c>
      <c r="K7" s="10" t="n">
        <f aca="false">ROUND(MAX(E7,H7)/1.22,2)</f>
        <v>96.72</v>
      </c>
      <c r="L7" s="4"/>
    </row>
    <row r="8" customFormat="false" ht="31.3" hidden="false" customHeight="false" outlineLevel="0" collapsed="false">
      <c r="A8" s="4" t="n">
        <v>4</v>
      </c>
      <c r="B8" s="4" t="s">
        <v>330</v>
      </c>
      <c r="C8" s="4" t="s">
        <v>100</v>
      </c>
      <c r="D8" s="4" t="s">
        <v>360</v>
      </c>
      <c r="E8" s="10" t="n">
        <v>388</v>
      </c>
      <c r="F8" s="4" t="s">
        <v>373</v>
      </c>
      <c r="G8" s="4" t="s">
        <v>374</v>
      </c>
      <c r="H8" s="10" t="n">
        <v>387</v>
      </c>
      <c r="I8" s="4" t="s">
        <v>375</v>
      </c>
      <c r="J8" s="10" t="n">
        <f aca="false">ROUND(MIN(E8,H8)/1.22,2)</f>
        <v>317.21</v>
      </c>
      <c r="K8" s="10" t="n">
        <f aca="false">ROUND(MAX(E8,H8)/1.22,2)</f>
        <v>318.03</v>
      </c>
      <c r="L8" s="4"/>
    </row>
    <row r="9" customFormat="false" ht="61.15" hidden="false" customHeight="false" outlineLevel="0" collapsed="false">
      <c r="A9" s="4" t="n">
        <v>5</v>
      </c>
      <c r="B9" s="4" t="s">
        <v>331</v>
      </c>
      <c r="C9" s="4" t="s">
        <v>100</v>
      </c>
      <c r="D9" s="4" t="s">
        <v>360</v>
      </c>
      <c r="E9" s="10" t="n">
        <v>1141.92</v>
      </c>
      <c r="F9" s="4" t="s">
        <v>376</v>
      </c>
      <c r="G9" s="4" t="s">
        <v>377</v>
      </c>
      <c r="H9" s="10" t="n">
        <v>954</v>
      </c>
      <c r="I9" s="4" t="s">
        <v>378</v>
      </c>
      <c r="J9" s="10" t="n">
        <f aca="false">ROUND(MIN(E9,H9)/1.22,2)</f>
        <v>781.97</v>
      </c>
      <c r="K9" s="10" t="n">
        <f aca="false">ROUND(MAX(E9,H9)/1.22,2)</f>
        <v>936</v>
      </c>
      <c r="L9" s="4"/>
    </row>
    <row r="10" customFormat="false" ht="46.25" hidden="false" customHeight="false" outlineLevel="0" collapsed="false">
      <c r="A10" s="4" t="n">
        <v>6</v>
      </c>
      <c r="B10" s="4" t="s">
        <v>332</v>
      </c>
      <c r="C10" s="4" t="s">
        <v>100</v>
      </c>
      <c r="D10" s="4" t="s">
        <v>371</v>
      </c>
      <c r="E10" s="10" t="n">
        <v>888</v>
      </c>
      <c r="F10" s="4" t="s">
        <v>379</v>
      </c>
      <c r="G10" s="4" t="s">
        <v>380</v>
      </c>
      <c r="H10" s="10" t="n">
        <v>673</v>
      </c>
      <c r="I10" s="4" t="s">
        <v>381</v>
      </c>
      <c r="J10" s="10" t="n">
        <f aca="false">ROUND(MIN(E10,H10)/1.22,2)</f>
        <v>551.64</v>
      </c>
      <c r="K10" s="10" t="n">
        <f aca="false">ROUND(MAX(E10,H10)/1.22,2)</f>
        <v>727.87</v>
      </c>
      <c r="L10" s="4"/>
    </row>
    <row r="11" customFormat="false" ht="46.25" hidden="false" customHeight="false" outlineLevel="0" collapsed="false">
      <c r="A11" s="4" t="n">
        <v>7</v>
      </c>
      <c r="B11" s="4" t="s">
        <v>333</v>
      </c>
      <c r="C11" s="4" t="s">
        <v>100</v>
      </c>
      <c r="D11" s="4" t="s">
        <v>360</v>
      </c>
      <c r="E11" s="10" t="n">
        <v>356</v>
      </c>
      <c r="F11" s="4" t="s">
        <v>382</v>
      </c>
      <c r="G11" s="4" t="s">
        <v>383</v>
      </c>
      <c r="H11" s="10" t="n">
        <v>345</v>
      </c>
      <c r="I11" s="4" t="s">
        <v>384</v>
      </c>
      <c r="J11" s="10" t="n">
        <f aca="false">ROUND(MIN(E11,H11)/1.22,2)</f>
        <v>282.79</v>
      </c>
      <c r="K11" s="10" t="n">
        <f aca="false">ROUND(MAX(E11,H11)/1.22,2)</f>
        <v>291.8</v>
      </c>
      <c r="L11" s="4"/>
    </row>
    <row r="12" customFormat="false" ht="61.15" hidden="false" customHeight="false" outlineLevel="0" collapsed="false">
      <c r="A12" s="4" t="n">
        <v>8</v>
      </c>
      <c r="B12" s="4" t="s">
        <v>334</v>
      </c>
      <c r="C12" s="4" t="s">
        <v>100</v>
      </c>
      <c r="D12" s="4" t="s">
        <v>360</v>
      </c>
      <c r="E12" s="10" t="n">
        <v>497</v>
      </c>
      <c r="F12" s="4" t="s">
        <v>385</v>
      </c>
      <c r="G12" s="4" t="s">
        <v>386</v>
      </c>
      <c r="H12" s="10" t="n">
        <v>257</v>
      </c>
      <c r="I12" s="4" t="s">
        <v>387</v>
      </c>
      <c r="J12" s="10" t="n">
        <f aca="false">ROUND(MIN(E12,H12)/1.22,2)</f>
        <v>210.66</v>
      </c>
      <c r="K12" s="10" t="n">
        <f aca="false">ROUND(MAX(E12,H12)/1.22,2)</f>
        <v>407.38</v>
      </c>
      <c r="L12" s="4" t="s">
        <v>388</v>
      </c>
    </row>
    <row r="13" customFormat="false" ht="46.25" hidden="false" customHeight="false" outlineLevel="0" collapsed="false">
      <c r="A13" s="4" t="n">
        <v>9</v>
      </c>
      <c r="B13" s="4" t="s">
        <v>335</v>
      </c>
      <c r="C13" s="4" t="s">
        <v>100</v>
      </c>
      <c r="D13" s="4" t="s">
        <v>389</v>
      </c>
      <c r="E13" s="10" t="n">
        <v>2002</v>
      </c>
      <c r="F13" s="4" t="s">
        <v>390</v>
      </c>
      <c r="G13" s="4" t="s">
        <v>391</v>
      </c>
      <c r="H13" s="10" t="n">
        <v>2012</v>
      </c>
      <c r="I13" s="4" t="s">
        <v>392</v>
      </c>
      <c r="J13" s="10" t="n">
        <f aca="false">ROUND(MIN(E13,H13)/1.22,2)</f>
        <v>1640.98</v>
      </c>
      <c r="K13" s="10" t="n">
        <f aca="false">ROUND(MAX(E13,H13)/1.22,2)</f>
        <v>1649.18</v>
      </c>
      <c r="L13" s="4" t="s">
        <v>393</v>
      </c>
    </row>
    <row r="14" customFormat="false" ht="31.3" hidden="false" customHeight="false" outlineLevel="0" collapsed="false">
      <c r="A14" s="4" t="n">
        <v>10</v>
      </c>
      <c r="B14" s="4" t="s">
        <v>336</v>
      </c>
      <c r="C14" s="4" t="s">
        <v>100</v>
      </c>
      <c r="D14" s="4" t="s">
        <v>394</v>
      </c>
      <c r="E14" s="10" t="n">
        <v>3259</v>
      </c>
      <c r="F14" s="4" t="s">
        <v>395</v>
      </c>
      <c r="G14" s="4" t="s">
        <v>391</v>
      </c>
      <c r="H14" s="10" t="n">
        <v>3662</v>
      </c>
      <c r="I14" s="4" t="s">
        <v>396</v>
      </c>
      <c r="J14" s="10" t="n">
        <f aca="false">ROUND(MIN(E14,H14)/1.22,2)</f>
        <v>2671.31</v>
      </c>
      <c r="K14" s="10" t="n">
        <f aca="false">ROUND(MAX(E14,H14)/1.22,2)</f>
        <v>3001.64</v>
      </c>
      <c r="L14" s="4"/>
    </row>
    <row r="15" customFormat="false" ht="31.3" hidden="false" customHeight="false" outlineLevel="0" collapsed="false">
      <c r="A15" s="4" t="n">
        <v>11</v>
      </c>
      <c r="B15" s="4" t="s">
        <v>337</v>
      </c>
      <c r="C15" s="4" t="s">
        <v>100</v>
      </c>
      <c r="D15" s="4" t="s">
        <v>389</v>
      </c>
      <c r="E15" s="10" t="n">
        <v>4813</v>
      </c>
      <c r="F15" s="4" t="s">
        <v>397</v>
      </c>
      <c r="G15" s="4" t="s">
        <v>398</v>
      </c>
      <c r="H15" s="10" t="n">
        <v>4822</v>
      </c>
      <c r="I15" s="4" t="s">
        <v>399</v>
      </c>
      <c r="J15" s="10" t="n">
        <f aca="false">ROUND(MIN(E15,H15)/1.22,2)</f>
        <v>3945.08</v>
      </c>
      <c r="K15" s="10" t="n">
        <f aca="false">ROUND(MAX(E15,H15)/1.22,2)</f>
        <v>3952.46</v>
      </c>
      <c r="L15" s="4"/>
    </row>
    <row r="16" customFormat="false" ht="31.3" hidden="false" customHeight="false" outlineLevel="0" collapsed="false">
      <c r="A16" s="4" t="n">
        <v>12</v>
      </c>
      <c r="B16" s="4" t="s">
        <v>338</v>
      </c>
      <c r="C16" s="4" t="s">
        <v>100</v>
      </c>
      <c r="D16" s="4" t="s">
        <v>389</v>
      </c>
      <c r="E16" s="10" t="n">
        <v>13261</v>
      </c>
      <c r="F16" s="4" t="s">
        <v>400</v>
      </c>
      <c r="G16" s="4" t="s">
        <v>401</v>
      </c>
      <c r="H16" s="10" t="n">
        <v>13269.66</v>
      </c>
      <c r="I16" s="4" t="s">
        <v>402</v>
      </c>
      <c r="J16" s="10" t="n">
        <f aca="false">ROUND(MIN(E16,H16)/1.22,2)</f>
        <v>10869.67</v>
      </c>
      <c r="K16" s="10" t="n">
        <f aca="false">ROUND(MAX(E16,H16)/1.22,2)</f>
        <v>10876.77</v>
      </c>
      <c r="L16" s="4"/>
    </row>
    <row r="17" customFormat="false" ht="31.3" hidden="false" customHeight="false" outlineLevel="0" collapsed="false">
      <c r="A17" s="4" t="n">
        <v>13</v>
      </c>
      <c r="B17" s="4" t="s">
        <v>339</v>
      </c>
      <c r="C17" s="4" t="s">
        <v>100</v>
      </c>
      <c r="D17" s="4" t="s">
        <v>360</v>
      </c>
      <c r="E17" s="10" t="n">
        <v>6715.12</v>
      </c>
      <c r="F17" s="4" t="s">
        <v>403</v>
      </c>
      <c r="G17" s="4" t="s">
        <v>404</v>
      </c>
      <c r="H17" s="10" t="n">
        <v>6605.04</v>
      </c>
      <c r="I17" s="4" t="s">
        <v>405</v>
      </c>
      <c r="J17" s="10" t="n">
        <f aca="false">ROUND(MIN(E17,H17)/1.22,2)</f>
        <v>5413.97</v>
      </c>
      <c r="K17" s="10" t="n">
        <f aca="false">ROUND(MAX(E17,H17)/1.22,2)</f>
        <v>5504.2</v>
      </c>
      <c r="L17" s="4"/>
    </row>
    <row r="18" customFormat="false" ht="31.3" hidden="false" customHeight="false" outlineLevel="0" collapsed="false">
      <c r="A18" s="4" t="n">
        <v>14</v>
      </c>
      <c r="B18" s="4" t="s">
        <v>340</v>
      </c>
      <c r="C18" s="4" t="s">
        <v>261</v>
      </c>
      <c r="D18" s="4" t="s">
        <v>360</v>
      </c>
      <c r="E18" s="10" t="n">
        <v>35.97</v>
      </c>
      <c r="F18" s="4" t="s">
        <v>406</v>
      </c>
      <c r="G18" s="4" t="s">
        <v>407</v>
      </c>
      <c r="H18" s="10" t="n">
        <v>25.92</v>
      </c>
      <c r="I18" s="4" t="s">
        <v>408</v>
      </c>
      <c r="J18" s="10" t="n">
        <f aca="false">ROUND(MIN(E18,H18)/1.22,2)</f>
        <v>21.25</v>
      </c>
      <c r="K18" s="10" t="n">
        <f aca="false">ROUND(MAX(E18,H18)/1.22,2)</f>
        <v>29.48</v>
      </c>
      <c r="L18" s="4" t="s">
        <v>409</v>
      </c>
    </row>
    <row r="19" customFormat="false" ht="61.15" hidden="false" customHeight="false" outlineLevel="0" collapsed="false">
      <c r="A19" s="4" t="n">
        <v>15</v>
      </c>
      <c r="B19" s="4" t="s">
        <v>342</v>
      </c>
      <c r="C19" s="4" t="s">
        <v>100</v>
      </c>
      <c r="D19" s="4" t="s">
        <v>410</v>
      </c>
      <c r="E19" s="10" t="n">
        <v>638.37</v>
      </c>
      <c r="F19" s="4" t="s">
        <v>411</v>
      </c>
      <c r="G19" s="4" t="s">
        <v>412</v>
      </c>
      <c r="H19" s="10" t="n">
        <v>804</v>
      </c>
      <c r="I19" s="4" t="s">
        <v>413</v>
      </c>
      <c r="J19" s="10" t="n">
        <f aca="false">ROUND(MIN(E19,H19)/1.22,2)</f>
        <v>523.25</v>
      </c>
      <c r="K19" s="10" t="n">
        <f aca="false">ROUND(MAX(E19,H19)/1.22,2)</f>
        <v>659.02</v>
      </c>
      <c r="L19" s="4"/>
    </row>
    <row r="20" customFormat="false" ht="31.3" hidden="false" customHeight="false" outlineLevel="0" collapsed="false">
      <c r="A20" s="4" t="n">
        <v>16</v>
      </c>
      <c r="B20" s="4" t="s">
        <v>344</v>
      </c>
      <c r="C20" s="4" t="s">
        <v>100</v>
      </c>
      <c r="D20" s="4" t="s">
        <v>401</v>
      </c>
      <c r="E20" s="10" t="n">
        <v>504</v>
      </c>
      <c r="F20" s="4" t="s">
        <v>414</v>
      </c>
      <c r="G20" s="4" t="s">
        <v>415</v>
      </c>
      <c r="H20" s="10" t="n">
        <v>504</v>
      </c>
      <c r="I20" s="4" t="s">
        <v>416</v>
      </c>
      <c r="J20" s="10" t="n">
        <f aca="false">ROUND(MIN(E20,H20)/1.22,2)</f>
        <v>413.11</v>
      </c>
      <c r="K20" s="10" t="n">
        <f aca="false">ROUND(MAX(E20,H20)/1.22,2)</f>
        <v>413.11</v>
      </c>
      <c r="L20" s="4"/>
    </row>
    <row r="21" customFormat="false" ht="46.25" hidden="false" customHeight="false" outlineLevel="0" collapsed="false">
      <c r="A21" s="4" t="n">
        <v>17</v>
      </c>
      <c r="B21" s="4" t="s">
        <v>345</v>
      </c>
      <c r="C21" s="4" t="s">
        <v>100</v>
      </c>
      <c r="D21" s="4" t="s">
        <v>401</v>
      </c>
      <c r="E21" s="10" t="n">
        <v>288</v>
      </c>
      <c r="F21" s="4" t="s">
        <v>417</v>
      </c>
      <c r="G21" s="4" t="s">
        <v>418</v>
      </c>
      <c r="H21" s="10" t="n">
        <v>296</v>
      </c>
      <c r="I21" s="4" t="s">
        <v>419</v>
      </c>
      <c r="J21" s="10" t="n">
        <f aca="false">ROUND(MIN(E21,H21)/1.22,2)</f>
        <v>236.07</v>
      </c>
      <c r="K21" s="10" t="n">
        <f aca="false">ROUND(MAX(E21,H21)/1.22,2)</f>
        <v>242.62</v>
      </c>
      <c r="L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420</v>
      </c>
    </row>
    <row r="2" customFormat="false" ht="15" hidden="false" customHeight="false" outlineLevel="0" collapsed="false">
      <c r="A2" s="2" t="s">
        <v>421</v>
      </c>
    </row>
    <row r="4" customFormat="false" ht="45" hidden="false" customHeight="true" outlineLevel="0" collapsed="false">
      <c r="A4" s="3" t="s">
        <v>223</v>
      </c>
      <c r="B4" s="3" t="s">
        <v>422</v>
      </c>
      <c r="C4" s="3" t="s">
        <v>225</v>
      </c>
      <c r="D4" s="3" t="s">
        <v>85</v>
      </c>
      <c r="E4" s="3" t="s">
        <v>423</v>
      </c>
      <c r="F4" s="3" t="s">
        <v>424</v>
      </c>
      <c r="G4" s="3" t="s">
        <v>425</v>
      </c>
      <c r="H4" s="3" t="s">
        <v>426</v>
      </c>
    </row>
    <row r="5" customFormat="false" ht="31.3" hidden="false" customHeight="false" outlineLevel="0" collapsed="false">
      <c r="A5" s="4" t="n">
        <v>1</v>
      </c>
      <c r="B5" s="4" t="s">
        <v>427</v>
      </c>
      <c r="C5" s="33" t="n">
        <v>1</v>
      </c>
      <c r="D5" s="4" t="s">
        <v>428</v>
      </c>
      <c r="E5" s="15" t="n">
        <v>110000</v>
      </c>
      <c r="F5" s="34" t="n">
        <v>21</v>
      </c>
      <c r="G5" s="10" t="n">
        <f aca="false">C5*E5*F5</f>
        <v>2310000</v>
      </c>
      <c r="H5" s="4" t="s">
        <v>429</v>
      </c>
    </row>
    <row r="6" customFormat="false" ht="31.3" hidden="false" customHeight="false" outlineLevel="0" collapsed="false">
      <c r="A6" s="4" t="n">
        <v>2</v>
      </c>
      <c r="B6" s="4" t="s">
        <v>430</v>
      </c>
      <c r="C6" s="33" t="n">
        <v>0.15</v>
      </c>
      <c r="D6" s="4" t="s">
        <v>431</v>
      </c>
      <c r="E6" s="15" t="n">
        <v>150000</v>
      </c>
      <c r="F6" s="34" t="n">
        <v>21</v>
      </c>
      <c r="G6" s="10" t="n">
        <f aca="false">C6*E6*F6</f>
        <v>472500</v>
      </c>
      <c r="H6" s="4" t="s">
        <v>432</v>
      </c>
    </row>
    <row r="7" customFormat="false" ht="31.3" hidden="false" customHeight="false" outlineLevel="0" collapsed="false">
      <c r="A7" s="4" t="n">
        <v>3</v>
      </c>
      <c r="B7" s="4" t="s">
        <v>433</v>
      </c>
      <c r="C7" s="33" t="n">
        <v>6</v>
      </c>
      <c r="D7" s="4" t="s">
        <v>434</v>
      </c>
      <c r="E7" s="15" t="n">
        <v>20140</v>
      </c>
      <c r="F7" s="34" t="n">
        <v>1</v>
      </c>
      <c r="G7" s="10" t="n">
        <f aca="false">C7*E7*F7</f>
        <v>120840</v>
      </c>
      <c r="H7" s="4" t="s">
        <v>435</v>
      </c>
    </row>
    <row r="8" customFormat="false" ht="31.3" hidden="false" customHeight="false" outlineLevel="0" collapsed="false">
      <c r="A8" s="4" t="n">
        <v>4</v>
      </c>
      <c r="B8" s="4" t="s">
        <v>436</v>
      </c>
      <c r="C8" s="33" t="n">
        <v>12</v>
      </c>
      <c r="D8" s="4" t="s">
        <v>437</v>
      </c>
      <c r="E8" s="15" t="n">
        <v>39000</v>
      </c>
      <c r="F8" s="34" t="n">
        <v>1</v>
      </c>
      <c r="G8" s="10" t="n">
        <f aca="false">C8*E8*F8</f>
        <v>468000</v>
      </c>
      <c r="H8" s="4" t="s">
        <v>438</v>
      </c>
    </row>
    <row r="9" customFormat="false" ht="31.3" hidden="false" customHeight="false" outlineLevel="0" collapsed="false">
      <c r="A9" s="4" t="n">
        <v>5</v>
      </c>
      <c r="B9" s="4" t="s">
        <v>439</v>
      </c>
      <c r="C9" s="33" t="n">
        <v>12</v>
      </c>
      <c r="D9" s="4" t="s">
        <v>437</v>
      </c>
      <c r="E9" s="15" t="n">
        <v>12400</v>
      </c>
      <c r="F9" s="34" t="n">
        <v>1</v>
      </c>
      <c r="G9" s="10" t="n">
        <f aca="false">C9*E9*F9</f>
        <v>148800</v>
      </c>
      <c r="H9" s="4" t="s">
        <v>440</v>
      </c>
    </row>
    <row r="10" customFormat="false" ht="31.3" hidden="false" customHeight="false" outlineLevel="0" collapsed="false">
      <c r="A10" s="4" t="n">
        <v>6</v>
      </c>
      <c r="B10" s="4" t="s">
        <v>441</v>
      </c>
      <c r="C10" s="33" t="n">
        <v>1</v>
      </c>
      <c r="D10" s="4" t="s">
        <v>428</v>
      </c>
      <c r="E10" s="15" t="n">
        <v>15000</v>
      </c>
      <c r="F10" s="34" t="n">
        <v>1</v>
      </c>
      <c r="G10" s="10" t="n">
        <f aca="false">('Персонал ТО'!$C$14+1)*E10*F10</f>
        <v>120000</v>
      </c>
      <c r="H10" s="4" t="s">
        <v>442</v>
      </c>
    </row>
    <row r="11" customFormat="false" ht="31.3" hidden="false" customHeight="false" outlineLevel="0" collapsed="false">
      <c r="A11" s="4" t="n">
        <v>7</v>
      </c>
      <c r="B11" s="4" t="s">
        <v>443</v>
      </c>
      <c r="C11" s="33" t="n">
        <v>1</v>
      </c>
      <c r="D11" s="4" t="s">
        <v>428</v>
      </c>
      <c r="E11" s="15" t="n">
        <v>15000</v>
      </c>
      <c r="F11" s="34" t="n">
        <v>1</v>
      </c>
      <c r="G11" s="10" t="n">
        <f aca="false">('Персонал ТО'!$C$14+1)*E11*F11</f>
        <v>120000</v>
      </c>
      <c r="H11" s="4" t="s">
        <v>444</v>
      </c>
    </row>
    <row r="12" customFormat="false" ht="31.3" hidden="false" customHeight="false" outlineLevel="0" collapsed="false">
      <c r="A12" s="4" t="n">
        <v>8</v>
      </c>
      <c r="B12" s="4" t="s">
        <v>445</v>
      </c>
      <c r="C12" s="33" t="n">
        <v>24</v>
      </c>
      <c r="D12" s="4" t="s">
        <v>446</v>
      </c>
      <c r="E12" s="15" t="n">
        <v>1185.25</v>
      </c>
      <c r="F12" s="34" t="n">
        <v>1</v>
      </c>
      <c r="G12" s="10" t="n">
        <f aca="false">C12*E12*F12</f>
        <v>28446</v>
      </c>
      <c r="H12" s="4" t="s">
        <v>447</v>
      </c>
    </row>
    <row r="13" customFormat="false" ht="31.3" hidden="false" customHeight="false" outlineLevel="0" collapsed="false">
      <c r="A13" s="4" t="n">
        <v>9</v>
      </c>
      <c r="B13" s="4" t="s">
        <v>448</v>
      </c>
      <c r="C13" s="33" t="n">
        <v>1</v>
      </c>
      <c r="D13" s="4" t="s">
        <v>449</v>
      </c>
      <c r="E13" s="15" t="n">
        <v>120000</v>
      </c>
      <c r="F13" s="34" t="n">
        <v>1</v>
      </c>
      <c r="G13" s="10" t="n">
        <f aca="false">C13*E13*F13</f>
        <v>120000</v>
      </c>
      <c r="H13" s="4" t="s">
        <v>450</v>
      </c>
    </row>
    <row r="14" customFormat="false" ht="31.3" hidden="false" customHeight="false" outlineLevel="0" collapsed="false">
      <c r="A14" s="4" t="n">
        <v>10</v>
      </c>
      <c r="B14" s="4" t="s">
        <v>451</v>
      </c>
      <c r="C14" s="33" t="n">
        <v>1</v>
      </c>
      <c r="D14" s="4" t="s">
        <v>449</v>
      </c>
      <c r="E14" s="15" t="n">
        <v>3533</v>
      </c>
      <c r="F14" s="34" t="n">
        <v>1</v>
      </c>
      <c r="G14" s="10" t="n">
        <f aca="false">C14*E14*F14</f>
        <v>3533</v>
      </c>
      <c r="H14" s="4" t="s">
        <v>452</v>
      </c>
    </row>
    <row r="15" customFormat="false" ht="16.4" hidden="false" customHeight="false" outlineLevel="0" collapsed="false">
      <c r="A15" s="4" t="n">
        <v>11</v>
      </c>
      <c r="B15" s="4" t="s">
        <v>453</v>
      </c>
      <c r="C15" s="33" t="n">
        <v>12</v>
      </c>
      <c r="D15" s="4" t="s">
        <v>437</v>
      </c>
      <c r="E15" s="15" t="n">
        <v>5000</v>
      </c>
      <c r="F15" s="34" t="n">
        <v>1</v>
      </c>
      <c r="G15" s="10" t="n">
        <f aca="false">C15*E15*F15</f>
        <v>60000</v>
      </c>
      <c r="H15" s="4" t="s">
        <v>454</v>
      </c>
    </row>
    <row r="16" customFormat="false" ht="31.3" hidden="false" customHeight="false" outlineLevel="0" collapsed="false">
      <c r="A16" s="4" t="n">
        <v>12</v>
      </c>
      <c r="B16" s="4" t="s">
        <v>455</v>
      </c>
      <c r="C16" s="33" t="n">
        <v>12</v>
      </c>
      <c r="D16" s="4" t="s">
        <v>437</v>
      </c>
      <c r="E16" s="15" t="n">
        <v>15000</v>
      </c>
      <c r="F16" s="34" t="n">
        <v>1</v>
      </c>
      <c r="G16" s="10" t="n">
        <f aca="false">C16*E16*F16</f>
        <v>180000</v>
      </c>
      <c r="H16" s="4" t="s">
        <v>456</v>
      </c>
    </row>
    <row r="17" customFormat="false" ht="31.3" hidden="false" customHeight="false" outlineLevel="0" collapsed="false">
      <c r="A17" s="4" t="n">
        <v>13</v>
      </c>
      <c r="B17" s="4" t="s">
        <v>457</v>
      </c>
      <c r="C17" s="33" t="n">
        <v>1</v>
      </c>
      <c r="D17" s="4"/>
      <c r="E17" s="15" t="n">
        <v>0.0016</v>
      </c>
      <c r="F17" s="34" t="n">
        <v>1</v>
      </c>
      <c r="G17" s="10" t="n">
        <f aca="false">(SUM(Свод!$C$5:$C$8)+SUM(G5:G16))*1.2*1.22*E17</f>
        <v>34914.7413861635</v>
      </c>
      <c r="H17" s="4" t="s">
        <v>458</v>
      </c>
    </row>
    <row r="18" customFormat="false" ht="31.3" hidden="false" customHeight="false" outlineLevel="0" collapsed="false">
      <c r="A18" s="4" t="n">
        <v>14</v>
      </c>
      <c r="B18" s="4" t="s">
        <v>459</v>
      </c>
      <c r="C18" s="33" t="n">
        <v>1.25</v>
      </c>
      <c r="D18" s="4" t="s">
        <v>460</v>
      </c>
      <c r="E18" s="15" t="n">
        <v>0.02</v>
      </c>
      <c r="F18" s="34" t="n">
        <v>12</v>
      </c>
      <c r="G18" s="10" t="n">
        <f aca="false">(SUM(Свод!$C$5:$C$8)+SUM(G5:G17))/12*C18*E18*F18</f>
        <v>373511.416457335</v>
      </c>
      <c r="H18" s="4" t="s">
        <v>461</v>
      </c>
    </row>
    <row r="19" customFormat="false" ht="16.4" hidden="false" customHeight="false" outlineLevel="0" collapsed="false">
      <c r="A19" s="4" t="n">
        <v>15</v>
      </c>
      <c r="B19" s="4" t="s">
        <v>462</v>
      </c>
      <c r="C19" s="33" t="n">
        <v>1</v>
      </c>
      <c r="D19" s="4"/>
      <c r="E19" s="15" t="n">
        <v>0.01</v>
      </c>
      <c r="F19" s="34" t="n">
        <v>1</v>
      </c>
      <c r="G19" s="10" t="n">
        <f aca="false">(SUM(Свод!$C$5:$C$8)+SUM(G5:G18))*E19</f>
        <v>153139.680747507</v>
      </c>
      <c r="H19" s="4" t="s">
        <v>463</v>
      </c>
    </row>
    <row r="20" customFormat="false" ht="31.3" hidden="false" customHeight="false" outlineLevel="0" collapsed="false">
      <c r="A20" s="4" t="n">
        <v>16</v>
      </c>
      <c r="B20" s="4" t="s">
        <v>464</v>
      </c>
      <c r="C20" s="33" t="n">
        <v>1</v>
      </c>
      <c r="D20" s="4"/>
      <c r="E20" s="15" t="n">
        <v>0.05</v>
      </c>
      <c r="F20" s="34" t="n">
        <v>1</v>
      </c>
      <c r="G20" s="10" t="n">
        <f aca="false">(SUM(Свод!$C$5:$C$8)+SUM(G5:G19))*E20</f>
        <v>773355.387774912</v>
      </c>
      <c r="H20" s="4" t="s">
        <v>465</v>
      </c>
    </row>
    <row r="21" customFormat="false" ht="16.4" hidden="false" customHeight="false" outlineLevel="0" collapsed="false">
      <c r="A21" s="4"/>
      <c r="B21" s="7" t="s">
        <v>466</v>
      </c>
      <c r="C21" s="4"/>
      <c r="D21" s="4"/>
      <c r="E21" s="4"/>
      <c r="F21" s="4"/>
      <c r="G21" s="11" t="n">
        <f aca="false">SUM(G5:G20)</f>
        <v>5487040.22636592</v>
      </c>
      <c r="H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5" min="4" style="0" width="55"/>
  </cols>
  <sheetData>
    <row r="1" customFormat="false" ht="17.35" hidden="false" customHeight="false" outlineLevel="0" collapsed="false">
      <c r="A1" s="1" t="s">
        <v>467</v>
      </c>
    </row>
    <row r="3" customFormat="false" ht="45" hidden="false" customHeight="true" outlineLevel="0" collapsed="false">
      <c r="A3" s="3" t="s">
        <v>223</v>
      </c>
      <c r="B3" s="3" t="s">
        <v>468</v>
      </c>
      <c r="C3" s="3" t="s">
        <v>469</v>
      </c>
      <c r="D3" s="3" t="s">
        <v>470</v>
      </c>
      <c r="E3" s="3" t="s">
        <v>471</v>
      </c>
    </row>
    <row r="4" customFormat="false" ht="46.25" hidden="false" customHeight="false" outlineLevel="0" collapsed="false">
      <c r="A4" s="4" t="n">
        <v>1</v>
      </c>
      <c r="B4" s="4" t="s">
        <v>472</v>
      </c>
      <c r="C4" s="4" t="s">
        <v>473</v>
      </c>
      <c r="D4" s="4" t="s">
        <v>474</v>
      </c>
      <c r="E4" s="4" t="s">
        <v>475</v>
      </c>
    </row>
    <row r="5" customFormat="false" ht="31.3" hidden="false" customHeight="false" outlineLevel="0" collapsed="false">
      <c r="A5" s="4" t="n">
        <v>2</v>
      </c>
      <c r="B5" s="4" t="s">
        <v>476</v>
      </c>
      <c r="C5" s="4" t="s">
        <v>477</v>
      </c>
      <c r="D5" s="4" t="s">
        <v>478</v>
      </c>
      <c r="E5" s="4" t="s">
        <v>479</v>
      </c>
    </row>
    <row r="6" customFormat="false" ht="31.3" hidden="false" customHeight="false" outlineLevel="0" collapsed="false">
      <c r="A6" s="4" t="n">
        <v>3</v>
      </c>
      <c r="B6" s="4" t="s">
        <v>480</v>
      </c>
      <c r="C6" s="4" t="s">
        <v>481</v>
      </c>
      <c r="D6" s="4" t="s">
        <v>482</v>
      </c>
      <c r="E6" s="4" t="s">
        <v>483</v>
      </c>
    </row>
    <row r="7" customFormat="false" ht="46.25" hidden="false" customHeight="false" outlineLevel="0" collapsed="false">
      <c r="A7" s="4" t="n">
        <v>4</v>
      </c>
      <c r="B7" s="4" t="s">
        <v>484</v>
      </c>
      <c r="C7" s="4" t="s">
        <v>485</v>
      </c>
      <c r="D7" s="4" t="s">
        <v>486</v>
      </c>
      <c r="E7" s="4" t="s">
        <v>487</v>
      </c>
    </row>
    <row r="8" customFormat="false" ht="46.25" hidden="false" customHeight="false" outlineLevel="0" collapsed="false">
      <c r="A8" s="4" t="n">
        <v>5</v>
      </c>
      <c r="B8" s="4" t="s">
        <v>488</v>
      </c>
      <c r="C8" s="4" t="s">
        <v>489</v>
      </c>
      <c r="D8" s="4" t="s">
        <v>490</v>
      </c>
      <c r="E8" s="4" t="s">
        <v>491</v>
      </c>
    </row>
    <row r="9" customFormat="false" ht="31.3" hidden="false" customHeight="false" outlineLevel="0" collapsed="false">
      <c r="A9" s="4" t="n">
        <v>6</v>
      </c>
      <c r="B9" s="4" t="s">
        <v>492</v>
      </c>
      <c r="C9" s="4" t="s">
        <v>493</v>
      </c>
      <c r="D9" s="4" t="s">
        <v>494</v>
      </c>
      <c r="E9" s="4" t="s">
        <v>495</v>
      </c>
    </row>
    <row r="10" customFormat="false" ht="16.4" hidden="false" customHeight="false" outlineLevel="0" collapsed="false">
      <c r="A10" s="4" t="n">
        <v>7</v>
      </c>
      <c r="B10" s="4" t="s">
        <v>496</v>
      </c>
      <c r="C10" s="4" t="s">
        <v>497</v>
      </c>
      <c r="D10" s="4" t="s">
        <v>498</v>
      </c>
      <c r="E10" s="4" t="s">
        <v>499</v>
      </c>
    </row>
    <row r="11" customFormat="false" ht="31.3" hidden="false" customHeight="false" outlineLevel="0" collapsed="false">
      <c r="A11" s="4" t="n">
        <v>8</v>
      </c>
      <c r="B11" s="4" t="s">
        <v>500</v>
      </c>
      <c r="C11" s="4" t="s">
        <v>501</v>
      </c>
      <c r="D11" s="4" t="s">
        <v>498</v>
      </c>
      <c r="E11" s="4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40"/>
  </cols>
  <sheetData>
    <row r="1" customFormat="false" ht="17.35" hidden="false" customHeight="false" outlineLevel="0" collapsed="false">
      <c r="A1" s="1" t="s">
        <v>503</v>
      </c>
    </row>
    <row r="2" customFormat="false" ht="15" hidden="false" customHeight="false" outlineLevel="0" collapsed="false">
      <c r="A2" s="2" t="s">
        <v>504</v>
      </c>
    </row>
    <row r="4" customFormat="false" ht="45" hidden="false" customHeight="true" outlineLevel="0" collapsed="false">
      <c r="A4" s="3" t="s">
        <v>505</v>
      </c>
      <c r="B4" s="3" t="s">
        <v>506</v>
      </c>
      <c r="C4" s="3" t="s">
        <v>85</v>
      </c>
      <c r="D4" s="3" t="s">
        <v>507</v>
      </c>
      <c r="E4" s="3" t="s">
        <v>508</v>
      </c>
      <c r="F4" s="3" t="s">
        <v>231</v>
      </c>
      <c r="G4" s="3" t="s">
        <v>285</v>
      </c>
      <c r="H4" s="3" t="s">
        <v>97</v>
      </c>
    </row>
    <row r="5" customFormat="false" ht="61.15" hidden="false" customHeight="false" outlineLevel="0" collapsed="false">
      <c r="A5" s="4" t="s">
        <v>509</v>
      </c>
      <c r="B5" s="4" t="s">
        <v>99</v>
      </c>
      <c r="C5" s="4" t="s">
        <v>510</v>
      </c>
      <c r="D5" s="4" t="s">
        <v>511</v>
      </c>
      <c r="E5" s="10" t="n">
        <f aca="false">'Ставки ТО'!L5</f>
        <v>1431</v>
      </c>
      <c r="F5" s="20" t="n">
        <v>1</v>
      </c>
      <c r="G5" s="4" t="s">
        <v>101</v>
      </c>
      <c r="H5" s="4" t="s">
        <v>512</v>
      </c>
    </row>
    <row r="6" customFormat="false" ht="61.15" hidden="false" customHeight="false" outlineLevel="0" collapsed="false">
      <c r="A6" s="4" t="s">
        <v>513</v>
      </c>
      <c r="B6" s="4" t="s">
        <v>107</v>
      </c>
      <c r="C6" s="4" t="s">
        <v>510</v>
      </c>
      <c r="D6" s="4" t="s">
        <v>511</v>
      </c>
      <c r="E6" s="10" t="n">
        <f aca="false">'Ставки ТО'!L6</f>
        <v>95</v>
      </c>
      <c r="F6" s="20" t="n">
        <v>0.2</v>
      </c>
      <c r="G6" s="4" t="s">
        <v>108</v>
      </c>
      <c r="H6" s="4" t="s">
        <v>512</v>
      </c>
    </row>
    <row r="7" customFormat="false" ht="46.25" hidden="false" customHeight="false" outlineLevel="0" collapsed="false">
      <c r="A7" s="4" t="s">
        <v>514</v>
      </c>
      <c r="B7" s="4" t="s">
        <v>114</v>
      </c>
      <c r="C7" s="4" t="s">
        <v>510</v>
      </c>
      <c r="D7" s="4" t="s">
        <v>511</v>
      </c>
      <c r="E7" s="10" t="n">
        <f aca="false">'Ставки ТО'!L7</f>
        <v>195</v>
      </c>
      <c r="F7" s="20" t="n">
        <v>0.25</v>
      </c>
      <c r="G7" s="4" t="s">
        <v>115</v>
      </c>
      <c r="H7" s="4" t="s">
        <v>512</v>
      </c>
    </row>
    <row r="8" customFormat="false" ht="46.25" hidden="false" customHeight="false" outlineLevel="0" collapsed="false">
      <c r="A8" s="4" t="s">
        <v>515</v>
      </c>
      <c r="B8" s="4" t="s">
        <v>119</v>
      </c>
      <c r="C8" s="4" t="s">
        <v>510</v>
      </c>
      <c r="D8" s="4" t="s">
        <v>511</v>
      </c>
      <c r="E8" s="10" t="n">
        <f aca="false">'Ставки ТО'!L8</f>
        <v>95</v>
      </c>
      <c r="F8" s="20" t="n">
        <v>0.05</v>
      </c>
      <c r="G8" s="4" t="s">
        <v>120</v>
      </c>
      <c r="H8" s="4" t="s">
        <v>512</v>
      </c>
    </row>
    <row r="9" customFormat="false" ht="76.1" hidden="false" customHeight="false" outlineLevel="0" collapsed="false">
      <c r="A9" s="4" t="s">
        <v>516</v>
      </c>
      <c r="B9" s="4" t="s">
        <v>124</v>
      </c>
      <c r="C9" s="4" t="s">
        <v>510</v>
      </c>
      <c r="D9" s="4" t="s">
        <v>511</v>
      </c>
      <c r="E9" s="10" t="n">
        <f aca="false">'Ставки ТО'!L9</f>
        <v>40</v>
      </c>
      <c r="F9" s="20" t="n">
        <v>0.04</v>
      </c>
      <c r="G9" s="4" t="s">
        <v>125</v>
      </c>
      <c r="H9" s="4" t="s">
        <v>512</v>
      </c>
    </row>
    <row r="10" customFormat="false" ht="46.25" hidden="false" customHeight="false" outlineLevel="0" collapsed="false">
      <c r="A10" s="4" t="s">
        <v>517</v>
      </c>
      <c r="B10" s="4" t="s">
        <v>130</v>
      </c>
      <c r="C10" s="4" t="s">
        <v>510</v>
      </c>
      <c r="D10" s="4" t="s">
        <v>511</v>
      </c>
      <c r="E10" s="10" t="n">
        <f aca="false">'Ставки ТО'!L10</f>
        <v>97.5</v>
      </c>
      <c r="F10" s="20" t="n">
        <v>0.15</v>
      </c>
      <c r="G10" s="4" t="s">
        <v>131</v>
      </c>
      <c r="H10" s="4" t="s">
        <v>512</v>
      </c>
    </row>
    <row r="11" customFormat="false" ht="46.25" hidden="false" customHeight="false" outlineLevel="0" collapsed="false">
      <c r="A11" s="4" t="s">
        <v>518</v>
      </c>
      <c r="B11" s="4" t="s">
        <v>134</v>
      </c>
      <c r="C11" s="4" t="s">
        <v>510</v>
      </c>
      <c r="D11" s="4" t="s">
        <v>511</v>
      </c>
      <c r="E11" s="10" t="n">
        <f aca="false">'Ставки ТО'!L11</f>
        <v>50</v>
      </c>
      <c r="F11" s="20" t="n">
        <v>0.15</v>
      </c>
      <c r="G11" s="4" t="s">
        <v>135</v>
      </c>
      <c r="H11" s="4" t="s">
        <v>512</v>
      </c>
    </row>
    <row r="12" customFormat="false" ht="46.25" hidden="false" customHeight="false" outlineLevel="0" collapsed="false">
      <c r="A12" s="4" t="s">
        <v>519</v>
      </c>
      <c r="B12" s="4" t="s">
        <v>139</v>
      </c>
      <c r="C12" s="4" t="s">
        <v>520</v>
      </c>
      <c r="D12" s="4" t="s">
        <v>511</v>
      </c>
      <c r="E12" s="10" t="n">
        <f aca="false">'Ставки ТО'!L12</f>
        <v>200</v>
      </c>
      <c r="F12" s="20" t="n">
        <v>0.3</v>
      </c>
      <c r="G12" s="4" t="s">
        <v>141</v>
      </c>
      <c r="H12" s="4" t="s">
        <v>512</v>
      </c>
    </row>
    <row r="13" customFormat="false" ht="46.25" hidden="false" customHeight="false" outlineLevel="0" collapsed="false">
      <c r="A13" s="4" t="s">
        <v>521</v>
      </c>
      <c r="B13" s="4" t="s">
        <v>144</v>
      </c>
      <c r="C13" s="4" t="s">
        <v>522</v>
      </c>
      <c r="D13" s="4" t="s">
        <v>511</v>
      </c>
      <c r="E13" s="10" t="n">
        <f aca="false">'Ставки ТО'!L13</f>
        <v>150</v>
      </c>
      <c r="F13" s="20" t="n">
        <v>0.15</v>
      </c>
      <c r="G13" s="4" t="s">
        <v>146</v>
      </c>
      <c r="H13" s="4" t="s">
        <v>512</v>
      </c>
    </row>
    <row r="14" customFormat="false" ht="46.25" hidden="false" customHeight="false" outlineLevel="0" collapsed="false">
      <c r="A14" s="4" t="s">
        <v>523</v>
      </c>
      <c r="B14" s="4" t="s">
        <v>150</v>
      </c>
      <c r="C14" s="4" t="s">
        <v>510</v>
      </c>
      <c r="D14" s="4" t="s">
        <v>511</v>
      </c>
      <c r="E14" s="10" t="n">
        <f aca="false">'Ставки ТО'!L14</f>
        <v>35</v>
      </c>
      <c r="F14" s="20" t="n">
        <v>0.04</v>
      </c>
      <c r="G14" s="4" t="s">
        <v>151</v>
      </c>
      <c r="H14" s="4" t="s">
        <v>512</v>
      </c>
    </row>
    <row r="15" customFormat="false" ht="46.25" hidden="false" customHeight="false" outlineLevel="0" collapsed="false">
      <c r="A15" s="4" t="s">
        <v>524</v>
      </c>
      <c r="B15" s="4" t="s">
        <v>153</v>
      </c>
      <c r="C15" s="4" t="s">
        <v>510</v>
      </c>
      <c r="D15" s="4" t="s">
        <v>511</v>
      </c>
      <c r="E15" s="10" t="n">
        <f aca="false">'Ставки ТО'!L15</f>
        <v>30</v>
      </c>
      <c r="F15" s="20" t="n">
        <v>0.03</v>
      </c>
      <c r="G15" s="4" t="s">
        <v>154</v>
      </c>
      <c r="H15" s="4" t="s">
        <v>512</v>
      </c>
    </row>
    <row r="16" customFormat="false" ht="61.15" hidden="false" customHeight="false" outlineLevel="0" collapsed="false">
      <c r="A16" s="4" t="s">
        <v>525</v>
      </c>
      <c r="B16" s="4" t="s">
        <v>157</v>
      </c>
      <c r="C16" s="4" t="s">
        <v>510</v>
      </c>
      <c r="D16" s="4" t="s">
        <v>511</v>
      </c>
      <c r="E16" s="10" t="n">
        <f aca="false">'Ставки ТО'!L16</f>
        <v>49</v>
      </c>
      <c r="F16" s="20" t="n">
        <v>0.04</v>
      </c>
      <c r="G16" s="4" t="s">
        <v>158</v>
      </c>
      <c r="H16" s="4" t="s">
        <v>512</v>
      </c>
    </row>
    <row r="17" customFormat="false" ht="46.25" hidden="false" customHeight="false" outlineLevel="0" collapsed="false">
      <c r="A17" s="4" t="s">
        <v>526</v>
      </c>
      <c r="B17" s="4" t="s">
        <v>161</v>
      </c>
      <c r="C17" s="4" t="s">
        <v>510</v>
      </c>
      <c r="D17" s="4" t="s">
        <v>511</v>
      </c>
      <c r="E17" s="10" t="n">
        <f aca="false">'Ставки ТО'!L17</f>
        <v>500</v>
      </c>
      <c r="F17" s="20" t="n">
        <v>1</v>
      </c>
      <c r="G17" s="4" t="s">
        <v>162</v>
      </c>
      <c r="H17" s="4" t="s">
        <v>512</v>
      </c>
    </row>
    <row r="18" customFormat="false" ht="46.25" hidden="false" customHeight="false" outlineLevel="0" collapsed="false">
      <c r="A18" s="4" t="s">
        <v>527</v>
      </c>
      <c r="B18" s="4" t="s">
        <v>167</v>
      </c>
      <c r="C18" s="4" t="s">
        <v>510</v>
      </c>
      <c r="D18" s="4" t="s">
        <v>511</v>
      </c>
      <c r="E18" s="10" t="n">
        <f aca="false">'Ставки ТО'!L18</f>
        <v>450</v>
      </c>
      <c r="F18" s="20" t="n">
        <v>0.3</v>
      </c>
      <c r="G18" s="4" t="s">
        <v>168</v>
      </c>
      <c r="H18" s="4" t="s">
        <v>512</v>
      </c>
    </row>
    <row r="19" customFormat="false" ht="46.25" hidden="false" customHeight="false" outlineLevel="0" collapsed="false">
      <c r="A19" s="4" t="s">
        <v>528</v>
      </c>
      <c r="B19" s="4" t="s">
        <v>173</v>
      </c>
      <c r="C19" s="4" t="s">
        <v>520</v>
      </c>
      <c r="D19" s="4" t="s">
        <v>511</v>
      </c>
      <c r="E19" s="10" t="n">
        <f aca="false">'Ставки ТО'!L19</f>
        <v>1700</v>
      </c>
      <c r="F19" s="20" t="n">
        <v>2</v>
      </c>
      <c r="G19" s="4" t="s">
        <v>174</v>
      </c>
      <c r="H19" s="4" t="s">
        <v>512</v>
      </c>
    </row>
    <row r="20" customFormat="false" ht="46.25" hidden="false" customHeight="false" outlineLevel="0" collapsed="false">
      <c r="A20" s="4" t="s">
        <v>529</v>
      </c>
      <c r="B20" s="4" t="s">
        <v>179</v>
      </c>
      <c r="C20" s="4" t="s">
        <v>522</v>
      </c>
      <c r="D20" s="4" t="s">
        <v>511</v>
      </c>
      <c r="E20" s="10" t="n">
        <f aca="false">'Ставки ТО'!L20</f>
        <v>10</v>
      </c>
      <c r="F20" s="20" t="n">
        <v>0.02</v>
      </c>
      <c r="G20" s="4" t="s">
        <v>180</v>
      </c>
      <c r="H20" s="4" t="s">
        <v>512</v>
      </c>
    </row>
    <row r="21" customFormat="false" ht="46.25" hidden="false" customHeight="false" outlineLevel="0" collapsed="false">
      <c r="A21" s="4" t="s">
        <v>530</v>
      </c>
      <c r="B21" s="4" t="s">
        <v>184</v>
      </c>
      <c r="C21" s="4" t="s">
        <v>510</v>
      </c>
      <c r="D21" s="4" t="s">
        <v>511</v>
      </c>
      <c r="E21" s="10" t="n">
        <f aca="false">'Ставки ТО'!L21</f>
        <v>10</v>
      </c>
      <c r="F21" s="20" t="n">
        <v>0.03</v>
      </c>
      <c r="G21" s="4" t="s">
        <v>185</v>
      </c>
      <c r="H21" s="4" t="s">
        <v>512</v>
      </c>
    </row>
    <row r="22" customFormat="false" ht="46.25" hidden="false" customHeight="false" outlineLevel="0" collapsed="false">
      <c r="A22" s="4" t="s">
        <v>531</v>
      </c>
      <c r="B22" s="4" t="s">
        <v>189</v>
      </c>
      <c r="C22" s="4" t="s">
        <v>522</v>
      </c>
      <c r="D22" s="4" t="s">
        <v>511</v>
      </c>
      <c r="E22" s="10" t="n">
        <f aca="false">'Ставки ТО'!L22</f>
        <v>200</v>
      </c>
      <c r="F22" s="20" t="n">
        <v>0.25</v>
      </c>
      <c r="G22" s="4" t="s">
        <v>190</v>
      </c>
      <c r="H22" s="4" t="s">
        <v>512</v>
      </c>
    </row>
    <row r="23" customFormat="false" ht="46.25" hidden="false" customHeight="false" outlineLevel="0" collapsed="false">
      <c r="A23" s="4" t="s">
        <v>532</v>
      </c>
      <c r="B23" s="4" t="s">
        <v>194</v>
      </c>
      <c r="C23" s="4" t="s">
        <v>510</v>
      </c>
      <c r="D23" s="4" t="s">
        <v>511</v>
      </c>
      <c r="E23" s="10" t="n">
        <f aca="false">'Ставки ТО'!L23</f>
        <v>150</v>
      </c>
      <c r="F23" s="20" t="n">
        <v>0.25</v>
      </c>
      <c r="G23" s="4" t="s">
        <v>195</v>
      </c>
      <c r="H23" s="4" t="s">
        <v>512</v>
      </c>
    </row>
    <row r="24" customFormat="false" ht="46.25" hidden="false" customHeight="false" outlineLevel="0" collapsed="false">
      <c r="A24" s="4" t="s">
        <v>533</v>
      </c>
      <c r="B24" s="4" t="s">
        <v>198</v>
      </c>
      <c r="C24" s="4" t="s">
        <v>510</v>
      </c>
      <c r="D24" s="4" t="s">
        <v>511</v>
      </c>
      <c r="E24" s="10" t="n">
        <f aca="false">'Ставки ТО'!L24</f>
        <v>775</v>
      </c>
      <c r="F24" s="20" t="n">
        <v>1</v>
      </c>
      <c r="G24" s="4" t="s">
        <v>199</v>
      </c>
      <c r="H24" s="4" t="s">
        <v>512</v>
      </c>
    </row>
    <row r="25" customFormat="false" ht="61.15" hidden="false" customHeight="false" outlineLevel="0" collapsed="false">
      <c r="A25" s="4" t="s">
        <v>534</v>
      </c>
      <c r="B25" s="4" t="s">
        <v>203</v>
      </c>
      <c r="C25" s="4" t="s">
        <v>510</v>
      </c>
      <c r="D25" s="4" t="s">
        <v>511</v>
      </c>
      <c r="E25" s="10" t="n">
        <f aca="false">'Ставки ТО'!L25</f>
        <v>14</v>
      </c>
      <c r="F25" s="20" t="n">
        <v>0.03</v>
      </c>
      <c r="G25" s="4" t="s">
        <v>204</v>
      </c>
      <c r="H25" s="4" t="s">
        <v>512</v>
      </c>
    </row>
    <row r="26" customFormat="false" ht="46.25" hidden="false" customHeight="false" outlineLevel="0" collapsed="false">
      <c r="A26" s="4" t="s">
        <v>535</v>
      </c>
      <c r="B26" s="4" t="s">
        <v>208</v>
      </c>
      <c r="C26" s="4" t="s">
        <v>510</v>
      </c>
      <c r="D26" s="4" t="s">
        <v>511</v>
      </c>
      <c r="E26" s="10" t="n">
        <f aca="false">'Ставки ТО'!L26</f>
        <v>138</v>
      </c>
      <c r="F26" s="20" t="n">
        <v>0.25</v>
      </c>
      <c r="G26" s="4" t="s">
        <v>209</v>
      </c>
      <c r="H26" s="4" t="s">
        <v>512</v>
      </c>
    </row>
    <row r="27" customFormat="false" ht="46.25" hidden="false" customHeight="false" outlineLevel="0" collapsed="false">
      <c r="A27" s="4" t="s">
        <v>536</v>
      </c>
      <c r="B27" s="4" t="s">
        <v>213</v>
      </c>
      <c r="C27" s="4" t="s">
        <v>510</v>
      </c>
      <c r="D27" s="4" t="s">
        <v>511</v>
      </c>
      <c r="E27" s="10" t="n">
        <f aca="false">'Ставки ТО'!L27</f>
        <v>2646</v>
      </c>
      <c r="F27" s="20" t="n">
        <v>4</v>
      </c>
      <c r="G27" s="4" t="s">
        <v>214</v>
      </c>
      <c r="H27" s="4" t="s">
        <v>512</v>
      </c>
    </row>
    <row r="28" customFormat="false" ht="46.25" hidden="false" customHeight="false" outlineLevel="0" collapsed="false">
      <c r="A28" s="4" t="s">
        <v>537</v>
      </c>
      <c r="B28" s="4" t="s">
        <v>219</v>
      </c>
      <c r="C28" s="4" t="s">
        <v>510</v>
      </c>
      <c r="D28" s="4" t="s">
        <v>511</v>
      </c>
      <c r="E28" s="10" t="n">
        <f aca="false">'Ставки ТО'!L28</f>
        <v>300</v>
      </c>
      <c r="F28" s="20" t="n">
        <v>1</v>
      </c>
      <c r="G28" s="4" t="s">
        <v>154</v>
      </c>
      <c r="H28" s="4" t="s">
        <v>512</v>
      </c>
    </row>
    <row r="29" customFormat="false" ht="150.7" hidden="false" customHeight="false" outlineLevel="0" collapsed="false">
      <c r="A29" s="4" t="s">
        <v>538</v>
      </c>
      <c r="B29" s="4" t="s">
        <v>260</v>
      </c>
      <c r="C29" s="4" t="s">
        <v>261</v>
      </c>
      <c r="D29" s="4" t="s">
        <v>539</v>
      </c>
      <c r="E29" s="10" t="n">
        <v>180</v>
      </c>
      <c r="F29" s="28" t="n">
        <v>0.12</v>
      </c>
      <c r="G29" s="4" t="s">
        <v>262</v>
      </c>
      <c r="H29" s="4"/>
    </row>
    <row r="30" customFormat="false" ht="105.95" hidden="false" customHeight="false" outlineLevel="0" collapsed="false">
      <c r="A30" s="4" t="s">
        <v>538</v>
      </c>
      <c r="B30" s="4" t="s">
        <v>264</v>
      </c>
      <c r="C30" s="4" t="s">
        <v>265</v>
      </c>
      <c r="D30" s="4" t="s">
        <v>539</v>
      </c>
      <c r="E30" s="10" t="n">
        <v>33000</v>
      </c>
      <c r="F30" s="28" t="n">
        <v>24</v>
      </c>
      <c r="G30" s="4" t="s">
        <v>266</v>
      </c>
      <c r="H30" s="4"/>
    </row>
    <row r="31" customFormat="false" ht="150.7" hidden="false" customHeight="false" outlineLevel="0" collapsed="false">
      <c r="A31" s="4" t="s">
        <v>538</v>
      </c>
      <c r="B31" s="4" t="s">
        <v>269</v>
      </c>
      <c r="C31" s="4" t="s">
        <v>100</v>
      </c>
      <c r="D31" s="4" t="s">
        <v>539</v>
      </c>
      <c r="E31" s="10" t="n">
        <v>800</v>
      </c>
      <c r="F31" s="28" t="n">
        <v>0.5</v>
      </c>
      <c r="G31" s="4" t="s">
        <v>270</v>
      </c>
      <c r="H31" s="4"/>
    </row>
    <row r="32" customFormat="false" ht="150.7" hidden="false" customHeight="false" outlineLevel="0" collapsed="false">
      <c r="A32" s="4" t="s">
        <v>538</v>
      </c>
      <c r="B32" s="4" t="s">
        <v>273</v>
      </c>
      <c r="C32" s="4" t="s">
        <v>274</v>
      </c>
      <c r="D32" s="4" t="s">
        <v>539</v>
      </c>
      <c r="E32" s="10" t="n">
        <v>115</v>
      </c>
      <c r="F32" s="28" t="n">
        <v>0.05</v>
      </c>
      <c r="G32" s="4" t="s">
        <v>275</v>
      </c>
      <c r="H32" s="4"/>
    </row>
    <row r="33" customFormat="false" ht="61.15" hidden="false" customHeight="false" outlineLevel="0" collapsed="false">
      <c r="A33" s="4" t="s">
        <v>538</v>
      </c>
      <c r="B33" s="4" t="s">
        <v>277</v>
      </c>
      <c r="C33" s="4" t="s">
        <v>278</v>
      </c>
      <c r="D33" s="4" t="s">
        <v>539</v>
      </c>
      <c r="E33" s="10" t="n">
        <v>4500</v>
      </c>
      <c r="F33" s="28" t="n">
        <v>2</v>
      </c>
      <c r="G33" s="4" t="s">
        <v>279</v>
      </c>
      <c r="H3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3" min="2" style="0" width="6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540</v>
      </c>
    </row>
    <row r="2" customFormat="false" ht="15" hidden="false" customHeight="false" outlineLevel="0" collapsed="false">
      <c r="A2" s="2" t="s">
        <v>541</v>
      </c>
    </row>
    <row r="4" customFormat="false" ht="45" hidden="false" customHeight="true" outlineLevel="0" collapsed="false">
      <c r="A4" s="3" t="s">
        <v>506</v>
      </c>
      <c r="B4" s="3" t="s">
        <v>542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  <c r="K4" s="3" t="s">
        <v>551</v>
      </c>
      <c r="L4" s="3" t="s">
        <v>552</v>
      </c>
      <c r="M4" s="3" t="s">
        <v>553</v>
      </c>
    </row>
    <row r="5" customFormat="false" ht="16.4" hidden="false" customHeight="false" outlineLevel="0" collapsed="false">
      <c r="A5" s="4" t="s">
        <v>554</v>
      </c>
      <c r="B5" s="35" t="s">
        <v>555</v>
      </c>
      <c r="C5" s="35" t="s">
        <v>555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31.3" hidden="false" customHeight="false" outlineLevel="0" collapsed="false">
      <c r="A6" s="4" t="s">
        <v>556</v>
      </c>
      <c r="B6" s="35" t="s">
        <v>555</v>
      </c>
      <c r="C6" s="35" t="s">
        <v>555</v>
      </c>
      <c r="D6" s="35" t="s">
        <v>555</v>
      </c>
      <c r="E6" s="35" t="s">
        <v>555</v>
      </c>
      <c r="F6" s="35" t="s">
        <v>555</v>
      </c>
      <c r="G6" s="35" t="s">
        <v>555</v>
      </c>
      <c r="H6" s="35" t="s">
        <v>555</v>
      </c>
      <c r="I6" s="35" t="s">
        <v>555</v>
      </c>
      <c r="J6" s="35" t="s">
        <v>555</v>
      </c>
      <c r="K6" s="35" t="s">
        <v>555</v>
      </c>
      <c r="L6" s="35" t="s">
        <v>555</v>
      </c>
      <c r="M6" s="35" t="s">
        <v>555</v>
      </c>
    </row>
    <row r="7" customFormat="false" ht="16.4" hidden="false" customHeight="false" outlineLevel="0" collapsed="false">
      <c r="A7" s="4" t="s">
        <v>557</v>
      </c>
      <c r="B7" s="4"/>
      <c r="C7" s="4"/>
      <c r="D7" s="35" t="s">
        <v>555</v>
      </c>
      <c r="E7" s="4"/>
      <c r="F7" s="4"/>
      <c r="G7" s="35" t="s">
        <v>555</v>
      </c>
      <c r="H7" s="4"/>
      <c r="I7" s="4"/>
      <c r="J7" s="35" t="s">
        <v>555</v>
      </c>
      <c r="K7" s="4"/>
      <c r="L7" s="4"/>
      <c r="M7" s="35" t="s">
        <v>555</v>
      </c>
    </row>
    <row r="8" customFormat="false" ht="16.4" hidden="false" customHeight="false" outlineLevel="0" collapsed="false">
      <c r="A8" s="4" t="s">
        <v>558</v>
      </c>
      <c r="B8" s="4"/>
      <c r="C8" s="4"/>
      <c r="D8" s="4"/>
      <c r="E8" s="4"/>
      <c r="F8" s="4"/>
      <c r="G8" s="35" t="s">
        <v>555</v>
      </c>
      <c r="H8" s="4"/>
      <c r="I8" s="4"/>
      <c r="J8" s="4"/>
      <c r="K8" s="4"/>
      <c r="L8" s="4"/>
      <c r="M8" s="4"/>
    </row>
    <row r="9" customFormat="false" ht="16.4" hidden="false" customHeight="false" outlineLevel="0" collapsed="false">
      <c r="A9" s="4" t="s">
        <v>559</v>
      </c>
      <c r="B9" s="35" t="s">
        <v>555</v>
      </c>
      <c r="C9" s="35" t="s">
        <v>555</v>
      </c>
      <c r="D9" s="35" t="s">
        <v>555</v>
      </c>
      <c r="E9" s="35" t="s">
        <v>555</v>
      </c>
      <c r="F9" s="35" t="s">
        <v>555</v>
      </c>
      <c r="G9" s="35" t="s">
        <v>555</v>
      </c>
      <c r="H9" s="35" t="s">
        <v>555</v>
      </c>
      <c r="I9" s="35" t="s">
        <v>555</v>
      </c>
      <c r="J9" s="35" t="s">
        <v>555</v>
      </c>
      <c r="K9" s="35" t="s">
        <v>555</v>
      </c>
      <c r="L9" s="35" t="s">
        <v>555</v>
      </c>
      <c r="M9" s="35" t="s">
        <v>555</v>
      </c>
    </row>
    <row r="10" customFormat="false" ht="16.4" hidden="false" customHeight="false" outlineLevel="0" collapsed="false">
      <c r="A10" s="4" t="s">
        <v>560</v>
      </c>
      <c r="B10" s="4"/>
      <c r="C10" s="35" t="s">
        <v>555</v>
      </c>
      <c r="D10" s="4"/>
      <c r="E10" s="4"/>
      <c r="F10" s="35" t="s">
        <v>555</v>
      </c>
      <c r="G10" s="4"/>
      <c r="H10" s="4"/>
      <c r="I10" s="35" t="s">
        <v>555</v>
      </c>
      <c r="J10" s="4"/>
      <c r="K10" s="4"/>
      <c r="L10" s="35" t="s">
        <v>555</v>
      </c>
      <c r="M10" s="4"/>
    </row>
    <row r="11" customFormat="false" ht="16.4" hidden="false" customHeight="false" outlineLevel="0" collapsed="false">
      <c r="A11" s="4" t="s">
        <v>561</v>
      </c>
      <c r="B11" s="4"/>
      <c r="C11" s="4"/>
      <c r="D11" s="4"/>
      <c r="E11" s="4"/>
      <c r="F11" s="35" t="s">
        <v>555</v>
      </c>
      <c r="G11" s="4"/>
      <c r="H11" s="4"/>
      <c r="I11" s="4"/>
      <c r="J11" s="4"/>
      <c r="K11" s="4"/>
      <c r="L11" s="35" t="s">
        <v>555</v>
      </c>
      <c r="M11" s="4"/>
    </row>
    <row r="12" customFormat="false" ht="16.4" hidden="false" customHeight="false" outlineLevel="0" collapsed="false">
      <c r="A12" s="4" t="s">
        <v>562</v>
      </c>
      <c r="B12" s="4"/>
      <c r="C12" s="4"/>
      <c r="D12" s="4"/>
      <c r="E12" s="4"/>
      <c r="F12" s="35" t="s">
        <v>555</v>
      </c>
      <c r="G12" s="4"/>
      <c r="H12" s="4"/>
      <c r="I12" s="4"/>
      <c r="J12" s="4"/>
      <c r="K12" s="4"/>
      <c r="L12" s="4"/>
      <c r="M12" s="4"/>
    </row>
    <row r="13" customFormat="false" ht="16.4" hidden="false" customHeight="false" outlineLevel="0" collapsed="false">
      <c r="A13" s="4" t="s">
        <v>563</v>
      </c>
      <c r="B13" s="4"/>
      <c r="C13" s="4"/>
      <c r="D13" s="4"/>
      <c r="E13" s="4"/>
      <c r="F13" s="4"/>
      <c r="G13" s="4"/>
      <c r="H13" s="35" t="s">
        <v>555</v>
      </c>
      <c r="I13" s="35" t="s">
        <v>555</v>
      </c>
      <c r="J13" s="4"/>
      <c r="K13" s="4"/>
      <c r="L13" s="4"/>
      <c r="M13" s="4"/>
    </row>
    <row r="14" customFormat="false" ht="16.4" hidden="false" customHeight="false" outlineLevel="0" collapsed="false">
      <c r="A14" s="4" t="s">
        <v>564</v>
      </c>
      <c r="B14" s="35" t="s">
        <v>555</v>
      </c>
      <c r="C14" s="35" t="s">
        <v>555</v>
      </c>
      <c r="D14" s="35" t="s">
        <v>555</v>
      </c>
      <c r="E14" s="35" t="s">
        <v>555</v>
      </c>
      <c r="F14" s="35" t="s">
        <v>555</v>
      </c>
      <c r="G14" s="35" t="s">
        <v>555</v>
      </c>
      <c r="H14" s="35" t="s">
        <v>555</v>
      </c>
      <c r="I14" s="35" t="s">
        <v>555</v>
      </c>
      <c r="J14" s="35" t="s">
        <v>555</v>
      </c>
      <c r="K14" s="35" t="s">
        <v>555</v>
      </c>
      <c r="L14" s="35" t="s">
        <v>555</v>
      </c>
      <c r="M14" s="35" t="s">
        <v>555</v>
      </c>
    </row>
    <row r="15" customFormat="false" ht="16.4" hidden="false" customHeight="false" outlineLevel="0" collapsed="false">
      <c r="A15" s="4" t="s">
        <v>565</v>
      </c>
      <c r="B15" s="35" t="s">
        <v>555</v>
      </c>
      <c r="C15" s="35" t="s">
        <v>555</v>
      </c>
      <c r="D15" s="35" t="s">
        <v>555</v>
      </c>
      <c r="E15" s="35" t="s">
        <v>555</v>
      </c>
      <c r="F15" s="35" t="s">
        <v>555</v>
      </c>
      <c r="G15" s="35" t="s">
        <v>555</v>
      </c>
      <c r="H15" s="35" t="s">
        <v>555</v>
      </c>
      <c r="I15" s="35" t="s">
        <v>555</v>
      </c>
      <c r="J15" s="35" t="s">
        <v>555</v>
      </c>
      <c r="K15" s="35" t="s">
        <v>555</v>
      </c>
      <c r="L15" s="35" t="s">
        <v>555</v>
      </c>
      <c r="M15" s="35" t="s">
        <v>555</v>
      </c>
    </row>
    <row r="17" customFormat="false" ht="45" hidden="false" customHeight="true" outlineLevel="0" collapsed="false">
      <c r="A17" s="3" t="s">
        <v>566</v>
      </c>
      <c r="B17" s="3" t="s">
        <v>542</v>
      </c>
      <c r="C17" s="3" t="s">
        <v>543</v>
      </c>
      <c r="D17" s="3" t="s">
        <v>544</v>
      </c>
      <c r="E17" s="3" t="s">
        <v>545</v>
      </c>
      <c r="F17" s="3" t="s">
        <v>546</v>
      </c>
      <c r="G17" s="3" t="s">
        <v>547</v>
      </c>
      <c r="H17" s="3" t="s">
        <v>548</v>
      </c>
      <c r="I17" s="3" t="s">
        <v>549</v>
      </c>
      <c r="J17" s="3" t="s">
        <v>550</v>
      </c>
      <c r="K17" s="3" t="s">
        <v>551</v>
      </c>
      <c r="L17" s="3" t="s">
        <v>552</v>
      </c>
      <c r="M17" s="3" t="s">
        <v>553</v>
      </c>
      <c r="N17" s="3" t="s">
        <v>567</v>
      </c>
    </row>
    <row r="18" customFormat="false" ht="16.4" hidden="false" customHeight="false" outlineLevel="0" collapsed="false">
      <c r="A18" s="4" t="s">
        <v>568</v>
      </c>
      <c r="B18" s="5" t="n">
        <f aca="false">Работы!$K$99</f>
        <v>1491515.18</v>
      </c>
      <c r="C18" s="5" t="n">
        <f aca="false">Работы!$K$99</f>
        <v>1491515.18</v>
      </c>
      <c r="D18" s="5" t="n">
        <f aca="false">Работы!$K$99</f>
        <v>1491515.18</v>
      </c>
      <c r="E18" s="5" t="n">
        <f aca="false">Работы!$K$99</f>
        <v>1491515.18</v>
      </c>
      <c r="F18" s="5" t="n">
        <f aca="false">Работы!$K$99</f>
        <v>1491515.18</v>
      </c>
      <c r="G18" s="5" t="n">
        <f aca="false">Работы!$K$99</f>
        <v>1491515.18</v>
      </c>
      <c r="H18" s="5" t="n">
        <f aca="false">Работы!$K$99</f>
        <v>1491515.18</v>
      </c>
      <c r="I18" s="5" t="n">
        <f aca="false">Работы!$K$99</f>
        <v>1491515.18</v>
      </c>
      <c r="J18" s="5" t="n">
        <f aca="false">Работы!$K$99</f>
        <v>1491515.18</v>
      </c>
      <c r="K18" s="5" t="n">
        <f aca="false">Работы!$K$99</f>
        <v>1491515.18</v>
      </c>
      <c r="L18" s="5" t="n">
        <f aca="false">Работы!$K$99</f>
        <v>1491515.18</v>
      </c>
      <c r="M18" s="5" t="n">
        <f aca="false">Работы!$K$99</f>
        <v>1491515.18</v>
      </c>
      <c r="N18" s="5" t="n">
        <f aca="false">SUM(B18:M18)</f>
        <v>17898182.16</v>
      </c>
    </row>
    <row r="19" customFormat="false" ht="16.4" hidden="false" customHeight="false" outlineLevel="0" collapsed="false">
      <c r="A19" s="4" t="s">
        <v>569</v>
      </c>
      <c r="B19" s="5" t="n">
        <f aca="false">0</f>
        <v>0</v>
      </c>
      <c r="C19" s="5" t="n">
        <f aca="false">0</f>
        <v>0</v>
      </c>
      <c r="D19" s="5" t="n">
        <f aca="false">0</f>
        <v>0</v>
      </c>
      <c r="E19" s="5" t="n">
        <f aca="false">0</f>
        <v>0</v>
      </c>
      <c r="F19" s="5" t="n">
        <f aca="false">Работы!J104*1</f>
        <v>28000</v>
      </c>
      <c r="G19" s="5" t="n">
        <f aca="false">Работы!J105*1+Работы!J106*1</f>
        <v>90425</v>
      </c>
      <c r="H19" s="5" t="n">
        <f aca="false">Работы!J102*0.5</f>
        <v>478080</v>
      </c>
      <c r="I19" s="5" t="n">
        <f aca="false">Работы!J102*0.5+Работы!J103*1</f>
        <v>610080</v>
      </c>
      <c r="J19" s="5" t="n">
        <f aca="false">0</f>
        <v>0</v>
      </c>
      <c r="K19" s="5" t="n">
        <f aca="false">0</f>
        <v>0</v>
      </c>
      <c r="L19" s="5" t="n">
        <f aca="false">0</f>
        <v>0</v>
      </c>
      <c r="M19" s="5" t="n">
        <f aca="false">0</f>
        <v>0</v>
      </c>
      <c r="N19" s="5" t="n">
        <f aca="false">SUM(B19:M19)</f>
        <v>1206585</v>
      </c>
    </row>
    <row r="20" customFormat="false" ht="16.4" hidden="false" customHeight="false" outlineLevel="0" collapsed="false">
      <c r="A20" s="4" t="s">
        <v>570</v>
      </c>
      <c r="B20" s="5" t="n">
        <f aca="false">Материалы!$Q$22/12</f>
        <v>13945.6525</v>
      </c>
      <c r="C20" s="5" t="n">
        <f aca="false">Материалы!$Q$22/12</f>
        <v>13945.6525</v>
      </c>
      <c r="D20" s="5" t="n">
        <f aca="false">Материалы!$Q$22/12</f>
        <v>13945.6525</v>
      </c>
      <c r="E20" s="5" t="n">
        <f aca="false">Материалы!$Q$22/12</f>
        <v>13945.6525</v>
      </c>
      <c r="F20" s="5" t="n">
        <f aca="false">Материалы!$Q$22/12</f>
        <v>13945.6525</v>
      </c>
      <c r="G20" s="5" t="n">
        <f aca="false">Материалы!$Q$22/12</f>
        <v>13945.6525</v>
      </c>
      <c r="H20" s="5" t="n">
        <f aca="false">Материалы!$Q$22/12</f>
        <v>13945.6525</v>
      </c>
      <c r="I20" s="5" t="n">
        <f aca="false">Материалы!$Q$22/12</f>
        <v>13945.6525</v>
      </c>
      <c r="J20" s="5" t="n">
        <f aca="false">Материалы!$Q$22/12</f>
        <v>13945.6525</v>
      </c>
      <c r="K20" s="5" t="n">
        <f aca="false">Материалы!$Q$22/12</f>
        <v>13945.6525</v>
      </c>
      <c r="L20" s="5" t="n">
        <f aca="false">Материалы!$Q$22/12</f>
        <v>13945.6525</v>
      </c>
      <c r="M20" s="5" t="n">
        <f aca="false">Материалы!$Q$22/12</f>
        <v>13945.6525</v>
      </c>
      <c r="N20" s="5" t="n">
        <f aca="false">SUM(B20:M20)</f>
        <v>167347.83</v>
      </c>
    </row>
    <row r="21" customFormat="false" ht="16.4" hidden="false" customHeight="false" outlineLevel="0" collapsed="false">
      <c r="A21" s="4" t="s">
        <v>571</v>
      </c>
      <c r="B21" s="5" t="n">
        <f aca="false">B18+B19+B20</f>
        <v>1505460.8325</v>
      </c>
      <c r="C21" s="5" t="n">
        <f aca="false">C18+C19+C20</f>
        <v>1505460.8325</v>
      </c>
      <c r="D21" s="5" t="n">
        <f aca="false">D18+D19+D20</f>
        <v>1505460.8325</v>
      </c>
      <c r="E21" s="5" t="n">
        <f aca="false">E18+E19+E20</f>
        <v>1505460.8325</v>
      </c>
      <c r="F21" s="5" t="n">
        <f aca="false">F18+F19+F20</f>
        <v>1533460.8325</v>
      </c>
      <c r="G21" s="5" t="n">
        <f aca="false">G18+G19+G20</f>
        <v>1595885.8325</v>
      </c>
      <c r="H21" s="5" t="n">
        <f aca="false">H18+H19+H20</f>
        <v>1983540.8325</v>
      </c>
      <c r="I21" s="5" t="n">
        <f aca="false">I18+I19+I20</f>
        <v>2115540.8325</v>
      </c>
      <c r="J21" s="5" t="n">
        <f aca="false">J18+J19+J20</f>
        <v>1505460.8325</v>
      </c>
      <c r="K21" s="5" t="n">
        <f aca="false">K18+K19+K20</f>
        <v>1505460.8325</v>
      </c>
      <c r="L21" s="5" t="n">
        <f aca="false">L18+L19+L20</f>
        <v>1505460.8325</v>
      </c>
      <c r="M21" s="5" t="n">
        <f aca="false">M18+M19+M20</f>
        <v>1505460.8325</v>
      </c>
      <c r="N21" s="5" t="n">
        <f aca="false">SUM(B21:M21)</f>
        <v>19272114.99</v>
      </c>
    </row>
    <row r="22" customFormat="false" ht="16.4" hidden="false" customHeight="false" outlineLevel="0" collapsed="false">
      <c r="A22" s="4" t="s">
        <v>572</v>
      </c>
      <c r="B22" s="5" t="n">
        <f aca="false">Работы!$M$99/12*(1+'Персонал ТО'!$C$9)</f>
        <v>705.42846</v>
      </c>
      <c r="C22" s="5" t="n">
        <f aca="false">Работы!$M$99/12*(1+'Персонал ТО'!$C$9)</f>
        <v>705.42846</v>
      </c>
      <c r="D22" s="5" t="n">
        <f aca="false">Работы!$M$99/12*(1+'Персонал ТО'!$C$9)</f>
        <v>705.42846</v>
      </c>
      <c r="E22" s="5" t="n">
        <f aca="false">Работы!$M$99/12*(1+'Персонал ТО'!$C$9)</f>
        <v>705.42846</v>
      </c>
      <c r="F22" s="5" t="n">
        <f aca="false">Работы!$M$99/12*(1+'Персонал ТО'!$C$9)</f>
        <v>705.42846</v>
      </c>
      <c r="G22" s="5" t="n">
        <f aca="false">Работы!$M$99/12*(1+'Персонал ТО'!$C$9)</f>
        <v>705.42846</v>
      </c>
      <c r="H22" s="5" t="n">
        <f aca="false">Работы!$M$99/12*(1+'Персонал ТО'!$C$9)</f>
        <v>705.42846</v>
      </c>
      <c r="I22" s="5" t="n">
        <f aca="false">Работы!$M$99/12*(1+'Персонал ТО'!$C$9)</f>
        <v>705.42846</v>
      </c>
      <c r="J22" s="5" t="n">
        <f aca="false">Работы!$M$99/12*(1+'Персонал ТО'!$C$9)</f>
        <v>705.42846</v>
      </c>
      <c r="K22" s="5" t="n">
        <f aca="false">Работы!$M$99/12*(1+'Персонал ТО'!$C$9)</f>
        <v>705.42846</v>
      </c>
      <c r="L22" s="5" t="n">
        <f aca="false">Работы!$M$99/12*(1+'Персонал ТО'!$C$9)</f>
        <v>705.42846</v>
      </c>
      <c r="M22" s="5" t="n">
        <f aca="false">Работы!$M$99/12*(1+'Персонал ТО'!$C$9)</f>
        <v>705.42846</v>
      </c>
      <c r="N22" s="5" t="n">
        <f aca="false">SUM(B22:M22)</f>
        <v>8465.14152</v>
      </c>
    </row>
    <row r="23" customFormat="false" ht="16.4" hidden="false" customHeight="false" outlineLevel="0" collapsed="false">
      <c r="A23" s="4" t="s">
        <v>573</v>
      </c>
      <c r="B23" s="5" t="n">
        <f aca="false">0*(1+'Персонал ТО'!$C$9)</f>
        <v>0</v>
      </c>
      <c r="C23" s="5" t="n">
        <f aca="false">0*(1+'Персонал ТО'!$C$9)</f>
        <v>0</v>
      </c>
      <c r="D23" s="5" t="n">
        <f aca="false">0*(1+'Персонал ТО'!$C$9)</f>
        <v>0</v>
      </c>
      <c r="E23" s="5" t="n">
        <f aca="false">0*(1+'Персонал ТО'!$C$9)</f>
        <v>0</v>
      </c>
      <c r="F23" s="5" t="n">
        <f aca="false">Работы!M104*1*(1+'Персонал ТО'!$C$9)</f>
        <v>19.25</v>
      </c>
      <c r="G23" s="5" t="n">
        <f aca="false">Работы!M105*1+Работы!M106*1*(1+'Персонал ТО'!$C$9)</f>
        <v>41.75</v>
      </c>
      <c r="H23" s="5" t="n">
        <f aca="false">Работы!M102*0.5*(1+'Персонал ТО'!$C$9)</f>
        <v>350.592</v>
      </c>
      <c r="I23" s="5" t="n">
        <f aca="false">Работы!M102*0.5+Работы!M103*1*(1+'Персонал ТО'!$C$9)</f>
        <v>424.32</v>
      </c>
      <c r="J23" s="5" t="n">
        <f aca="false">0*(1+'Персонал ТО'!$C$9)</f>
        <v>0</v>
      </c>
      <c r="K23" s="5" t="n">
        <f aca="false">0*(1+'Персонал ТО'!$C$9)</f>
        <v>0</v>
      </c>
      <c r="L23" s="5" t="n">
        <f aca="false">0*(1+'Персонал ТО'!$C$9)</f>
        <v>0</v>
      </c>
      <c r="M23" s="5" t="n">
        <f aca="false">0*(1+'Персонал ТО'!$C$9)</f>
        <v>0</v>
      </c>
      <c r="N23" s="5" t="n">
        <f aca="false">SUM(B23:M23)</f>
        <v>835.912</v>
      </c>
    </row>
    <row r="24" customFormat="false" ht="16.4" hidden="false" customHeight="false" outlineLevel="0" collapsed="false">
      <c r="A24" s="4" t="s">
        <v>574</v>
      </c>
      <c r="B24" s="5" t="n">
        <f aca="false">'Персонал ТО'!$C$7/2*(1+'Персонал ТО'!$C$9)</f>
        <v>143</v>
      </c>
      <c r="C24" s="5" t="n">
        <f aca="false">'Персонал ТО'!$C$7/2*(1+'Персонал ТО'!$C$9)</f>
        <v>143</v>
      </c>
      <c r="D24" s="5" t="n">
        <f aca="false">0</f>
        <v>0</v>
      </c>
      <c r="E24" s="5" t="n">
        <f aca="false">0</f>
        <v>0</v>
      </c>
      <c r="F24" s="5" t="n">
        <f aca="false">0</f>
        <v>0</v>
      </c>
      <c r="G24" s="5" t="n">
        <f aca="false">0</f>
        <v>0</v>
      </c>
      <c r="H24" s="5" t="n">
        <f aca="false">0</f>
        <v>0</v>
      </c>
      <c r="I24" s="5" t="n">
        <f aca="false">0</f>
        <v>0</v>
      </c>
      <c r="J24" s="5" t="n">
        <f aca="false">0</f>
        <v>0</v>
      </c>
      <c r="K24" s="5" t="n">
        <f aca="false">0</f>
        <v>0</v>
      </c>
      <c r="L24" s="5" t="n">
        <f aca="false">0</f>
        <v>0</v>
      </c>
      <c r="M24" s="5" t="n">
        <f aca="false">0</f>
        <v>0</v>
      </c>
      <c r="N24" s="5" t="n">
        <f aca="false">SUM(B24:M24)</f>
        <v>286</v>
      </c>
    </row>
    <row r="25" customFormat="false" ht="16.4" hidden="false" customHeight="false" outlineLevel="0" collapsed="false">
      <c r="A25" s="4" t="s">
        <v>575</v>
      </c>
      <c r="B25" s="5" t="n">
        <f aca="false">Материалы!$N$22/12*(1+'Персонал ТО'!$C$9)</f>
        <v>10.4545833333333</v>
      </c>
      <c r="C25" s="5" t="n">
        <f aca="false">Материалы!$N$22/12*(1+'Персонал ТО'!$C$9)</f>
        <v>10.4545833333333</v>
      </c>
      <c r="D25" s="5" t="n">
        <f aca="false">Материалы!$N$22/12*(1+'Персонал ТО'!$C$9)</f>
        <v>10.4545833333333</v>
      </c>
      <c r="E25" s="5" t="n">
        <f aca="false">Материалы!$N$22/12*(1+'Персонал ТО'!$C$9)</f>
        <v>10.4545833333333</v>
      </c>
      <c r="F25" s="5" t="n">
        <f aca="false">Материалы!$N$22/12*(1+'Персонал ТО'!$C$9)</f>
        <v>10.4545833333333</v>
      </c>
      <c r="G25" s="5" t="n">
        <f aca="false">Материалы!$N$22/12*(1+'Персонал ТО'!$C$9)</f>
        <v>10.4545833333333</v>
      </c>
      <c r="H25" s="5" t="n">
        <f aca="false">Материалы!$N$22/12*(1+'Персонал ТО'!$C$9)</f>
        <v>10.4545833333333</v>
      </c>
      <c r="I25" s="5" t="n">
        <f aca="false">Материалы!$N$22/12*(1+'Персонал ТО'!$C$9)</f>
        <v>10.4545833333333</v>
      </c>
      <c r="J25" s="5" t="n">
        <f aca="false">Материалы!$N$22/12*(1+'Персонал ТО'!$C$9)</f>
        <v>10.4545833333333</v>
      </c>
      <c r="K25" s="5" t="n">
        <f aca="false">Материалы!$N$22/12*(1+'Персонал ТО'!$C$9)</f>
        <v>10.4545833333333</v>
      </c>
      <c r="L25" s="5" t="n">
        <f aca="false">Материалы!$N$22/12*(1+'Персонал ТО'!$C$9)</f>
        <v>10.4545833333333</v>
      </c>
      <c r="M25" s="5" t="n">
        <f aca="false">Материалы!$N$22/12*(1+'Персонал ТО'!$C$9)</f>
        <v>10.4545833333333</v>
      </c>
      <c r="N25" s="5" t="n">
        <f aca="false">SUM(B25:M25)</f>
        <v>125.455</v>
      </c>
    </row>
    <row r="26" customFormat="false" ht="16.4" hidden="false" customHeight="false" outlineLevel="0" collapsed="false">
      <c r="A26" s="4" t="s">
        <v>576</v>
      </c>
      <c r="B26" s="5" t="n">
        <f aca="false">SUM(B22:B25)</f>
        <v>858.883043333333</v>
      </c>
      <c r="C26" s="5" t="n">
        <f aca="false">SUM(C22:C25)</f>
        <v>858.883043333333</v>
      </c>
      <c r="D26" s="5" t="n">
        <f aca="false">SUM(D22:D25)</f>
        <v>715.883043333333</v>
      </c>
      <c r="E26" s="5" t="n">
        <f aca="false">SUM(E22:E25)</f>
        <v>715.883043333333</v>
      </c>
      <c r="F26" s="5" t="n">
        <f aca="false">SUM(F22:F25)</f>
        <v>735.133043333333</v>
      </c>
      <c r="G26" s="5" t="n">
        <f aca="false">SUM(G22:G25)</f>
        <v>757.633043333333</v>
      </c>
      <c r="H26" s="5" t="n">
        <f aca="false">SUM(H22:H25)</f>
        <v>1066.47504333333</v>
      </c>
      <c r="I26" s="5" t="n">
        <f aca="false">SUM(I22:I25)</f>
        <v>1140.20304333333</v>
      </c>
      <c r="J26" s="5" t="n">
        <f aca="false">SUM(J22:J25)</f>
        <v>715.883043333333</v>
      </c>
      <c r="K26" s="5" t="n">
        <f aca="false">SUM(K22:K25)</f>
        <v>715.883043333333</v>
      </c>
      <c r="L26" s="5" t="n">
        <f aca="false">SUM(L22:L25)</f>
        <v>715.883043333333</v>
      </c>
      <c r="M26" s="5" t="n">
        <f aca="false">SUM(M22:M25)</f>
        <v>715.883043333333</v>
      </c>
      <c r="N26" s="5" t="n">
        <f aca="false">SUM(B26:M26)</f>
        <v>9712.50852</v>
      </c>
    </row>
    <row r="27" customFormat="false" ht="16.4" hidden="false" customHeight="false" outlineLevel="0" collapsed="false">
      <c r="A27" s="4" t="s">
        <v>577</v>
      </c>
      <c r="B27" s="36" t="n">
        <f aca="false">B26/('Персонал ТО'!$C$11/12*'Персонал ТО'!$C$12)</f>
        <v>7.10995896799117</v>
      </c>
      <c r="C27" s="36" t="n">
        <f aca="false">C26/('Персонал ТО'!$C$11/12*'Персонал ТО'!$C$12)</f>
        <v>7.10995896799117</v>
      </c>
      <c r="D27" s="36" t="n">
        <f aca="false">D26/('Персонал ТО'!$C$11/12*'Персонал ТО'!$C$12)</f>
        <v>5.92618413355408</v>
      </c>
      <c r="E27" s="36" t="n">
        <f aca="false">E26/('Персонал ТО'!$C$11/12*'Персонал ТО'!$C$12)</f>
        <v>5.92618413355408</v>
      </c>
      <c r="F27" s="36" t="n">
        <f aca="false">F26/('Персонал ТО'!$C$11/12*'Персонал ТО'!$C$12)</f>
        <v>6.08553843818984</v>
      </c>
      <c r="G27" s="36" t="n">
        <f aca="false">G26/('Персонал ТО'!$C$11/12*'Персонал ТО'!$C$12)</f>
        <v>6.27179671633554</v>
      </c>
      <c r="H27" s="36" t="n">
        <f aca="false">H26/('Персонал ТО'!$C$11/12*'Персонал ТО'!$C$12)</f>
        <v>8.82843578918322</v>
      </c>
      <c r="I27" s="36" t="n">
        <f aca="false">I26/('Персонал ТО'!$C$11/12*'Персонал ТО'!$C$12)</f>
        <v>9.43876691501104</v>
      </c>
      <c r="J27" s="36" t="n">
        <f aca="false">J26/('Персонал ТО'!$C$11/12*'Персонал ТО'!$C$12)</f>
        <v>5.92618413355408</v>
      </c>
      <c r="K27" s="36" t="n">
        <f aca="false">K26/('Персонал ТО'!$C$11/12*'Персонал ТО'!$C$12)</f>
        <v>5.92618413355408</v>
      </c>
      <c r="L27" s="36" t="n">
        <f aca="false">L26/('Персонал ТО'!$C$11/12*'Персонал ТО'!$C$12)</f>
        <v>5.92618413355408</v>
      </c>
      <c r="M27" s="36" t="n">
        <f aca="false">M26/('Персонал ТО'!$C$11/12*'Персонал ТО'!$C$12)</f>
        <v>5.92618413355408</v>
      </c>
      <c r="N27" s="36" t="n">
        <f aca="false">SUM(B27:M27)</f>
        <v>80.4015605960265</v>
      </c>
    </row>
    <row r="28" customFormat="false" ht="16.4" hidden="false" customHeight="false" outlineLevel="0" collapsed="false">
      <c r="A28" s="4" t="s">
        <v>578</v>
      </c>
      <c r="B28" s="37" t="n">
        <f aca="false">'Персонал ТО'!$C$14</f>
        <v>7</v>
      </c>
      <c r="C28" s="37" t="n">
        <f aca="false">'Персонал ТО'!$C$14</f>
        <v>7</v>
      </c>
      <c r="D28" s="37" t="n">
        <f aca="false">'Персонал ТО'!$C$14</f>
        <v>7</v>
      </c>
      <c r="E28" s="37" t="n">
        <f aca="false">'Персонал ТО'!$C$14</f>
        <v>7</v>
      </c>
      <c r="F28" s="37" t="n">
        <f aca="false">'Персонал ТО'!$C$14</f>
        <v>7</v>
      </c>
      <c r="G28" s="37" t="n">
        <f aca="false">'Персонал ТО'!$C$14</f>
        <v>7</v>
      </c>
      <c r="H28" s="37" t="n">
        <f aca="false">'Персонал ТО'!$C$14</f>
        <v>7</v>
      </c>
      <c r="I28" s="37" t="n">
        <f aca="false">'Персонал ТО'!$C$14</f>
        <v>7</v>
      </c>
      <c r="J28" s="37" t="n">
        <f aca="false">'Персонал ТО'!$C$14</f>
        <v>7</v>
      </c>
      <c r="K28" s="37" t="n">
        <f aca="false">'Персонал ТО'!$C$14</f>
        <v>7</v>
      </c>
      <c r="L28" s="37" t="n">
        <f aca="false">'Персонал ТО'!$C$14</f>
        <v>7</v>
      </c>
      <c r="M28" s="37" t="n">
        <f aca="false">'Персонал ТО'!$C$14</f>
        <v>7</v>
      </c>
      <c r="N28" s="37" t="n">
        <f aca="false">SUM(B28:M28)</f>
        <v>84</v>
      </c>
    </row>
    <row r="30" customFormat="false" ht="75" hidden="false" customHeight="true" outlineLevel="0" collapsed="false">
      <c r="A30" s="38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580</v>
      </c>
    </row>
    <row r="2" customFormat="false" ht="15" hidden="false" customHeight="false" outlineLevel="0" collapsed="false">
      <c r="A2" s="2" t="s">
        <v>581</v>
      </c>
    </row>
    <row r="4" customFormat="false" ht="45" hidden="false" customHeight="true" outlineLevel="0" collapsed="false">
      <c r="A4" s="3" t="s">
        <v>422</v>
      </c>
      <c r="B4" s="3" t="s">
        <v>542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  <c r="K4" s="3" t="s">
        <v>551</v>
      </c>
      <c r="L4" s="3" t="s">
        <v>552</v>
      </c>
      <c r="M4" s="3" t="s">
        <v>553</v>
      </c>
      <c r="N4" s="3" t="s">
        <v>567</v>
      </c>
    </row>
    <row r="5" customFormat="false" ht="16.4" hidden="false" customHeight="false" outlineLevel="0" collapsed="false">
      <c r="A5" s="4" t="s">
        <v>582</v>
      </c>
      <c r="B5" s="5" t="n">
        <f aca="false">0</f>
        <v>0</v>
      </c>
      <c r="C5" s="5" t="n">
        <f aca="false">'График и ресурсы'!B21</f>
        <v>1505460.8325</v>
      </c>
      <c r="D5" s="5" t="n">
        <f aca="false">'График и ресурсы'!C21</f>
        <v>1505460.8325</v>
      </c>
      <c r="E5" s="5" t="n">
        <f aca="false">'График и ресурсы'!D21</f>
        <v>1505460.8325</v>
      </c>
      <c r="F5" s="5" t="n">
        <f aca="false">'График и ресурсы'!E21</f>
        <v>1505460.8325</v>
      </c>
      <c r="G5" s="5" t="n">
        <f aca="false">'График и ресурсы'!F21</f>
        <v>1533460.8325</v>
      </c>
      <c r="H5" s="5" t="n">
        <f aca="false">'График и ресурсы'!G21</f>
        <v>1595885.8325</v>
      </c>
      <c r="I5" s="5" t="n">
        <f aca="false">'График и ресурсы'!H21</f>
        <v>1983540.8325</v>
      </c>
      <c r="J5" s="5" t="n">
        <f aca="false">'График и ресурсы'!I21</f>
        <v>2115540.8325</v>
      </c>
      <c r="K5" s="5" t="n">
        <f aca="false">'График и ресурсы'!J21</f>
        <v>1505460.8325</v>
      </c>
      <c r="L5" s="5" t="n">
        <f aca="false">'График и ресурсы'!K21</f>
        <v>1505460.8325</v>
      </c>
      <c r="M5" s="5" t="n">
        <f aca="false">'График и ресурсы'!L21</f>
        <v>1505460.8325</v>
      </c>
      <c r="N5" s="5" t="n">
        <f aca="false">SUM(B5:M5)</f>
        <v>17766654.1575</v>
      </c>
    </row>
    <row r="6" customFormat="false" ht="16.4" hidden="false" customHeight="false" outlineLevel="0" collapsed="false">
      <c r="A6" s="4" t="s">
        <v>583</v>
      </c>
      <c r="B6" s="5" t="n">
        <f aca="false">-'Персонал ТО'!$C$16/12</f>
        <v>-857500</v>
      </c>
      <c r="C6" s="5" t="n">
        <f aca="false">-'Персонал ТО'!$C$16/12</f>
        <v>-857500</v>
      </c>
      <c r="D6" s="5" t="n">
        <f aca="false">-'Персонал ТО'!$C$16/12</f>
        <v>-857500</v>
      </c>
      <c r="E6" s="5" t="n">
        <f aca="false">-'Персонал ТО'!$C$16/12</f>
        <v>-857500</v>
      </c>
      <c r="F6" s="5" t="n">
        <f aca="false">-'Персонал ТО'!$C$16/12</f>
        <v>-857500</v>
      </c>
      <c r="G6" s="5" t="n">
        <f aca="false">-'Персонал ТО'!$C$16/12</f>
        <v>-857500</v>
      </c>
      <c r="H6" s="5" t="n">
        <f aca="false">-'Персонал ТО'!$C$16/12</f>
        <v>-857500</v>
      </c>
      <c r="I6" s="5" t="n">
        <f aca="false">-'Персонал ТО'!$C$16/12</f>
        <v>-857500</v>
      </c>
      <c r="J6" s="5" t="n">
        <f aca="false">-'Персонал ТО'!$C$16/12</f>
        <v>-857500</v>
      </c>
      <c r="K6" s="5" t="n">
        <f aca="false">-'Персонал ТО'!$C$16/12</f>
        <v>-857500</v>
      </c>
      <c r="L6" s="5" t="n">
        <f aca="false">-'Персонал ТО'!$C$16/12</f>
        <v>-857500</v>
      </c>
      <c r="M6" s="5" t="n">
        <f aca="false">-'Персонал ТО'!$C$16/12</f>
        <v>-857500</v>
      </c>
      <c r="N6" s="5" t="n">
        <f aca="false">SUM(B6:M6)</f>
        <v>-10290000</v>
      </c>
    </row>
    <row r="7" customFormat="false" ht="31.3" hidden="false" customHeight="false" outlineLevel="0" collapsed="false">
      <c r="A7" s="4" t="s">
        <v>584</v>
      </c>
      <c r="B7" s="5" t="n">
        <f aca="false">-Косвенные!$G$21/12</f>
        <v>-457253.35219716</v>
      </c>
      <c r="C7" s="5" t="n">
        <f aca="false">-Косвенные!$G$21/12</f>
        <v>-457253.35219716</v>
      </c>
      <c r="D7" s="5" t="n">
        <f aca="false">-Косвенные!$G$21/12</f>
        <v>-457253.35219716</v>
      </c>
      <c r="E7" s="5" t="n">
        <f aca="false">-Косвенные!$G$21/12</f>
        <v>-457253.35219716</v>
      </c>
      <c r="F7" s="5" t="n">
        <f aca="false">-Косвенные!$G$21/12</f>
        <v>-457253.35219716</v>
      </c>
      <c r="G7" s="5" t="n">
        <f aca="false">-Косвенные!$G$21/12</f>
        <v>-457253.35219716</v>
      </c>
      <c r="H7" s="5" t="n">
        <f aca="false">-Косвенные!$G$21/12</f>
        <v>-457253.35219716</v>
      </c>
      <c r="I7" s="5" t="n">
        <f aca="false">-Косвенные!$G$21/12</f>
        <v>-457253.35219716</v>
      </c>
      <c r="J7" s="5" t="n">
        <f aca="false">-Косвенные!$G$21/12</f>
        <v>-457253.35219716</v>
      </c>
      <c r="K7" s="5" t="n">
        <f aca="false">-Косвенные!$G$21/12</f>
        <v>-457253.35219716</v>
      </c>
      <c r="L7" s="5" t="n">
        <f aca="false">-Косвенные!$G$21/12</f>
        <v>-457253.35219716</v>
      </c>
      <c r="M7" s="5" t="n">
        <f aca="false">-Косвенные!$G$21/12</f>
        <v>-457253.35219716</v>
      </c>
      <c r="N7" s="5" t="n">
        <f aca="false">SUM(B7:M7)</f>
        <v>-5487040.22636592</v>
      </c>
    </row>
    <row r="8" customFormat="false" ht="16.4" hidden="false" customHeight="false" outlineLevel="0" collapsed="false">
      <c r="A8" s="4" t="s">
        <v>585</v>
      </c>
      <c r="B8" s="5" t="n">
        <f aca="false">-Материалы!$M$22/12</f>
        <v>-14761.7525</v>
      </c>
      <c r="C8" s="5" t="n">
        <f aca="false">-Материалы!$M$22/12</f>
        <v>-14761.7525</v>
      </c>
      <c r="D8" s="5" t="n">
        <f aca="false">-Материалы!$M$22/12</f>
        <v>-14761.7525</v>
      </c>
      <c r="E8" s="5" t="n">
        <f aca="false">-Материалы!$M$22/12</f>
        <v>-14761.7525</v>
      </c>
      <c r="F8" s="5" t="n">
        <f aca="false">-Материалы!$M$22/12</f>
        <v>-14761.7525</v>
      </c>
      <c r="G8" s="5" t="n">
        <f aca="false">-Материалы!$M$22/12</f>
        <v>-14761.7525</v>
      </c>
      <c r="H8" s="5" t="n">
        <f aca="false">-Материалы!$M$22/12</f>
        <v>-14761.7525</v>
      </c>
      <c r="I8" s="5" t="n">
        <f aca="false">-Материалы!$M$22/12</f>
        <v>-14761.7525</v>
      </c>
      <c r="J8" s="5" t="n">
        <f aca="false">-Материалы!$M$22/12</f>
        <v>-14761.7525</v>
      </c>
      <c r="K8" s="5" t="n">
        <f aca="false">-Материалы!$M$22/12</f>
        <v>-14761.7525</v>
      </c>
      <c r="L8" s="5" t="n">
        <f aca="false">-Материалы!$M$22/12</f>
        <v>-14761.7525</v>
      </c>
      <c r="M8" s="5" t="n">
        <f aca="false">-Материалы!$M$22/12</f>
        <v>-14761.7525</v>
      </c>
      <c r="N8" s="5" t="n">
        <f aca="false">SUM(B8:M8)</f>
        <v>-177141.03</v>
      </c>
    </row>
    <row r="9" customFormat="false" ht="16.4" hidden="false" customHeight="false" outlineLevel="0" collapsed="false">
      <c r="A9" s="4" t="s">
        <v>586</v>
      </c>
      <c r="B9" s="5" t="n">
        <f aca="false">-(0)</f>
        <v>-0</v>
      </c>
      <c r="C9" s="5" t="n">
        <f aca="false">-(0)</f>
        <v>-0</v>
      </c>
      <c r="D9" s="5" t="n">
        <f aca="false">-(0)</f>
        <v>-0</v>
      </c>
      <c r="E9" s="5" t="n">
        <f aca="false">-(0)</f>
        <v>-0</v>
      </c>
      <c r="F9" s="5" t="n">
        <f aca="false">-((Работы!P104+Работы!O104)*1)</f>
        <v>-5656.47501436516</v>
      </c>
      <c r="G9" s="5" t="n">
        <f aca="false">-((Работы!P105+Работы!O105)*1+(Работы!P106+Работы!O106)*1)</f>
        <v>-31723.2789612009</v>
      </c>
      <c r="H9" s="5" t="n">
        <f aca="false">-((Работы!P102+Работы!O102)*0.5)</f>
        <v>-33962.9552330552</v>
      </c>
      <c r="I9" s="5" t="n">
        <f aca="false">-((Работы!P102+Работы!O102)*0.5+(Работы!P103+Работы!O103)*1)</f>
        <v>-36192.7610261441</v>
      </c>
      <c r="J9" s="5" t="n">
        <f aca="false">-(0)</f>
        <v>-0</v>
      </c>
      <c r="K9" s="5" t="n">
        <f aca="false">-(0)</f>
        <v>-0</v>
      </c>
      <c r="L9" s="5" t="n">
        <f aca="false">-(0)</f>
        <v>-0</v>
      </c>
      <c r="M9" s="5" t="n">
        <f aca="false">-(0)</f>
        <v>-0</v>
      </c>
      <c r="N9" s="5" t="n">
        <f aca="false">SUM(B9:M9)</f>
        <v>-107535.470234765</v>
      </c>
    </row>
    <row r="10" customFormat="false" ht="16.4" hidden="false" customHeight="false" outlineLevel="0" collapsed="false">
      <c r="A10" s="4" t="s">
        <v>587</v>
      </c>
      <c r="B10" s="5" t="n">
        <f aca="false">-Работы!$O$99/12</f>
        <v>-14895.5347227063</v>
      </c>
      <c r="C10" s="5" t="n">
        <f aca="false">-Работы!$O$99/12</f>
        <v>-14895.5347227063</v>
      </c>
      <c r="D10" s="5" t="n">
        <f aca="false">-Работы!$O$99/12</f>
        <v>-14895.5347227063</v>
      </c>
      <c r="E10" s="5" t="n">
        <f aca="false">-Работы!$O$99/12</f>
        <v>-14895.5347227063</v>
      </c>
      <c r="F10" s="5" t="n">
        <f aca="false">-Работы!$O$99/12</f>
        <v>-14895.5347227063</v>
      </c>
      <c r="G10" s="5" t="n">
        <f aca="false">-Работы!$O$99/12</f>
        <v>-14895.5347227063</v>
      </c>
      <c r="H10" s="5" t="n">
        <f aca="false">-Работы!$O$99/12</f>
        <v>-14895.5347227063</v>
      </c>
      <c r="I10" s="5" t="n">
        <f aca="false">-Работы!$O$99/12</f>
        <v>-14895.5347227063</v>
      </c>
      <c r="J10" s="5" t="n">
        <f aca="false">-Работы!$O$99/12</f>
        <v>-14895.5347227063</v>
      </c>
      <c r="K10" s="5" t="n">
        <f aca="false">-Работы!$O$99/12</f>
        <v>-14895.5347227063</v>
      </c>
      <c r="L10" s="5" t="n">
        <f aca="false">-Работы!$O$99/12</f>
        <v>-14895.5347227063</v>
      </c>
      <c r="M10" s="5" t="n">
        <f aca="false">-Работы!$O$99/12</f>
        <v>-14895.5347227063</v>
      </c>
      <c r="N10" s="5" t="n">
        <f aca="false">SUM(B10:M10)</f>
        <v>-178746.416672475</v>
      </c>
    </row>
    <row r="11" customFormat="false" ht="16.4" hidden="false" customHeight="false" outlineLevel="0" collapsed="false">
      <c r="A11" s="7" t="s">
        <v>588</v>
      </c>
      <c r="B11" s="5" t="n">
        <f aca="false">SUM(B5:B10)</f>
        <v>-1344410.63941987</v>
      </c>
      <c r="C11" s="5" t="n">
        <f aca="false">SUM(C5:C10)</f>
        <v>161050.193080134</v>
      </c>
      <c r="D11" s="5" t="n">
        <f aca="false">SUM(D5:D10)</f>
        <v>161050.193080134</v>
      </c>
      <c r="E11" s="5" t="n">
        <f aca="false">SUM(E5:E10)</f>
        <v>161050.193080134</v>
      </c>
      <c r="F11" s="5" t="n">
        <f aca="false">SUM(F5:F10)</f>
        <v>155393.718065769</v>
      </c>
      <c r="G11" s="5" t="n">
        <f aca="false">SUM(G5:G10)</f>
        <v>157326.914118933</v>
      </c>
      <c r="H11" s="5" t="n">
        <f aca="false">SUM(H5:H10)</f>
        <v>217512.237847079</v>
      </c>
      <c r="I11" s="5" t="n">
        <f aca="false">SUM(I5:I10)</f>
        <v>602937.43205399</v>
      </c>
      <c r="J11" s="5" t="n">
        <f aca="false">SUM(J5:J10)</f>
        <v>771130.193080133</v>
      </c>
      <c r="K11" s="5" t="n">
        <f aca="false">SUM(K5:K10)</f>
        <v>161050.193080134</v>
      </c>
      <c r="L11" s="5" t="n">
        <f aca="false">SUM(L5:L10)</f>
        <v>161050.193080134</v>
      </c>
      <c r="M11" s="5" t="n">
        <f aca="false">SUM(M5:M10)</f>
        <v>161050.193080134</v>
      </c>
      <c r="N11" s="5" t="n">
        <f aca="false">SUM(B11:M11)</f>
        <v>1526191.01422684</v>
      </c>
    </row>
    <row r="12" customFormat="false" ht="16.4" hidden="false" customHeight="false" outlineLevel="0" collapsed="false">
      <c r="A12" s="7" t="s">
        <v>589</v>
      </c>
      <c r="B12" s="5" t="n">
        <f aca="false">B11</f>
        <v>-1344410.63941987</v>
      </c>
      <c r="C12" s="5" t="n">
        <f aca="false">B12+C11</f>
        <v>-1183360.44633973</v>
      </c>
      <c r="D12" s="5" t="n">
        <f aca="false">C12+D11</f>
        <v>-1022310.2532596</v>
      </c>
      <c r="E12" s="5" t="n">
        <f aca="false">D12+E11</f>
        <v>-861260.060179464</v>
      </c>
      <c r="F12" s="5" t="n">
        <f aca="false">E12+F11</f>
        <v>-705866.342113696</v>
      </c>
      <c r="G12" s="5" t="n">
        <f aca="false">F12+G11</f>
        <v>-548539.427994763</v>
      </c>
      <c r="H12" s="5" t="n">
        <f aca="false">G12+H11</f>
        <v>-331027.190147684</v>
      </c>
      <c r="I12" s="5" t="n">
        <f aca="false">H12+I11</f>
        <v>271910.241906306</v>
      </c>
      <c r="J12" s="5" t="n">
        <f aca="false">I12+J11</f>
        <v>1043040.43498644</v>
      </c>
      <c r="K12" s="5" t="n">
        <f aca="false">J12+K11</f>
        <v>1204090.62806657</v>
      </c>
      <c r="L12" s="5" t="n">
        <f aca="false">K12+L11</f>
        <v>1365140.82114671</v>
      </c>
      <c r="M12" s="5" t="n">
        <f aca="false">L12+M11</f>
        <v>1526191.01422684</v>
      </c>
      <c r="N12" s="5" t="n">
        <f aca="false">M12</f>
        <v>1526191.01422684</v>
      </c>
    </row>
    <row r="14" customFormat="false" ht="15" hidden="false" customHeight="false" outlineLevel="0" collapsed="false">
      <c r="A14" s="39" t="s">
        <v>590</v>
      </c>
      <c r="B14" s="40" t="n">
        <f aca="false">-MIN(B12:M12)</f>
        <v>1344410.63941987</v>
      </c>
    </row>
    <row r="15" customFormat="false" ht="15" hidden="false" customHeight="false" outlineLevel="0" collapsed="false">
      <c r="A15" s="0" t="s">
        <v>591</v>
      </c>
    </row>
    <row r="16" customFormat="false" ht="15" hidden="false" customHeight="false" outlineLevel="0" collapsed="false">
      <c r="A16" s="0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593</v>
      </c>
    </row>
    <row r="3" customFormat="false" ht="45" hidden="false" customHeight="true" outlineLevel="0" collapsed="false">
      <c r="A3" s="3" t="s">
        <v>594</v>
      </c>
      <c r="B3" s="3" t="s">
        <v>63</v>
      </c>
      <c r="C3" s="3" t="s">
        <v>595</v>
      </c>
      <c r="D3" s="3" t="s">
        <v>97</v>
      </c>
    </row>
    <row r="4" customFormat="false" ht="31.3" hidden="false" customHeight="false" outlineLevel="0" collapsed="false">
      <c r="A4" s="4" t="s">
        <v>596</v>
      </c>
      <c r="B4" s="4" t="s">
        <v>597</v>
      </c>
      <c r="C4" s="4" t="s">
        <v>598</v>
      </c>
      <c r="D4" s="4" t="s">
        <v>599</v>
      </c>
    </row>
    <row r="5" customFormat="false" ht="16.4" hidden="false" customHeight="false" outlineLevel="0" collapsed="false">
      <c r="A5" s="4" t="s">
        <v>600</v>
      </c>
      <c r="B5" s="4" t="s">
        <v>601</v>
      </c>
      <c r="C5" s="4" t="s">
        <v>602</v>
      </c>
      <c r="D5" s="4" t="s">
        <v>603</v>
      </c>
    </row>
    <row r="6" customFormat="false" ht="16.4" hidden="false" customHeight="false" outlineLevel="0" collapsed="false">
      <c r="A6" s="4" t="s">
        <v>604</v>
      </c>
      <c r="B6" s="4" t="s">
        <v>605</v>
      </c>
      <c r="C6" s="4" t="s">
        <v>606</v>
      </c>
      <c r="D6" s="4" t="s">
        <v>607</v>
      </c>
    </row>
    <row r="7" customFormat="false" ht="16.4" hidden="false" customHeight="false" outlineLevel="0" collapsed="false">
      <c r="A7" s="4" t="s">
        <v>608</v>
      </c>
      <c r="B7" s="4" t="s">
        <v>609</v>
      </c>
      <c r="C7" s="4" t="s">
        <v>610</v>
      </c>
      <c r="D7" s="4"/>
    </row>
    <row r="8" customFormat="false" ht="16.4" hidden="false" customHeight="false" outlineLevel="0" collapsed="false">
      <c r="A8" s="4" t="s">
        <v>611</v>
      </c>
      <c r="B8" s="4" t="s">
        <v>612</v>
      </c>
      <c r="C8" s="4" t="s">
        <v>610</v>
      </c>
      <c r="D8" s="4" t="s">
        <v>613</v>
      </c>
    </row>
    <row r="9" customFormat="false" ht="16.4" hidden="false" customHeight="false" outlineLevel="0" collapsed="false">
      <c r="A9" s="4" t="s">
        <v>614</v>
      </c>
      <c r="B9" s="4" t="s">
        <v>615</v>
      </c>
      <c r="C9" s="4" t="s">
        <v>610</v>
      </c>
      <c r="D9" s="4" t="s">
        <v>616</v>
      </c>
    </row>
    <row r="10" customFormat="false" ht="16.4" hidden="false" customHeight="false" outlineLevel="0" collapsed="false">
      <c r="A10" s="4" t="s">
        <v>617</v>
      </c>
      <c r="B10" s="4" t="s">
        <v>618</v>
      </c>
      <c r="C10" s="4" t="s">
        <v>610</v>
      </c>
      <c r="D10" s="4" t="s">
        <v>619</v>
      </c>
    </row>
    <row r="11" customFormat="false" ht="16.4" hidden="false" customHeight="false" outlineLevel="0" collapsed="false">
      <c r="A11" s="4" t="s">
        <v>620</v>
      </c>
      <c r="B11" s="4" t="s">
        <v>621</v>
      </c>
      <c r="C11" s="4" t="s">
        <v>606</v>
      </c>
      <c r="D11" s="4" t="s">
        <v>622</v>
      </c>
    </row>
    <row r="12" customFormat="false" ht="16.4" hidden="false" customHeight="false" outlineLevel="0" collapsed="false">
      <c r="A12" s="4" t="s">
        <v>623</v>
      </c>
      <c r="B12" s="4" t="s">
        <v>624</v>
      </c>
      <c r="C12" s="4" t="s">
        <v>610</v>
      </c>
      <c r="D12" s="4" t="s">
        <v>625</v>
      </c>
    </row>
    <row r="14" customFormat="false" ht="45" hidden="false" customHeight="true" outlineLevel="0" collapsed="false">
      <c r="A14" s="3" t="s">
        <v>626</v>
      </c>
      <c r="B14" s="3" t="s">
        <v>627</v>
      </c>
      <c r="C14" s="3" t="s">
        <v>628</v>
      </c>
      <c r="D14" s="3" t="s">
        <v>629</v>
      </c>
    </row>
    <row r="15" customFormat="false" ht="31.3" hidden="false" customHeight="false" outlineLevel="0" collapsed="false">
      <c r="A15" s="4" t="s">
        <v>630</v>
      </c>
      <c r="B15" s="4" t="s">
        <v>606</v>
      </c>
      <c r="C15" s="4" t="s">
        <v>631</v>
      </c>
      <c r="D15" s="4" t="s">
        <v>632</v>
      </c>
    </row>
    <row r="16" customFormat="false" ht="46.25" hidden="false" customHeight="false" outlineLevel="0" collapsed="false">
      <c r="A16" s="4" t="s">
        <v>633</v>
      </c>
      <c r="B16" s="4" t="s">
        <v>610</v>
      </c>
      <c r="C16" s="4" t="s">
        <v>634</v>
      </c>
      <c r="D16" s="4" t="s">
        <v>635</v>
      </c>
    </row>
    <row r="17" customFormat="false" ht="46.25" hidden="false" customHeight="false" outlineLevel="0" collapsed="false">
      <c r="A17" s="4" t="s">
        <v>636</v>
      </c>
      <c r="B17" s="4" t="s">
        <v>606</v>
      </c>
      <c r="C17" s="4" t="s">
        <v>637</v>
      </c>
      <c r="D17" s="4" t="s">
        <v>638</v>
      </c>
    </row>
    <row r="18" customFormat="false" ht="16.4" hidden="false" customHeight="false" outlineLevel="0" collapsed="false">
      <c r="A18" s="4" t="s">
        <v>639</v>
      </c>
      <c r="B18" s="4" t="s">
        <v>640</v>
      </c>
      <c r="C18" s="4" t="s">
        <v>641</v>
      </c>
      <c r="D18" s="4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6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643</v>
      </c>
    </row>
    <row r="2" customFormat="false" ht="15" hidden="false" customHeight="false" outlineLevel="0" collapsed="false">
      <c r="A2" s="2" t="s">
        <v>644</v>
      </c>
    </row>
    <row r="4" customFormat="false" ht="45" hidden="false" customHeight="true" outlineLevel="0" collapsed="false">
      <c r="A4" s="3" t="s">
        <v>645</v>
      </c>
      <c r="B4" s="3" t="s">
        <v>646</v>
      </c>
      <c r="C4" s="3" t="s">
        <v>223</v>
      </c>
      <c r="D4" s="3" t="s">
        <v>647</v>
      </c>
      <c r="E4" s="3" t="s">
        <v>85</v>
      </c>
      <c r="F4" s="3" t="s">
        <v>648</v>
      </c>
      <c r="G4" s="3" t="s">
        <v>649</v>
      </c>
      <c r="H4" s="3" t="s">
        <v>650</v>
      </c>
      <c r="I4" s="3" t="s">
        <v>651</v>
      </c>
    </row>
    <row r="5" customFormat="false" ht="15" hidden="false" customHeight="false" outlineLevel="0" collapsed="false">
      <c r="A5" s="0" t="n">
        <v>1</v>
      </c>
      <c r="B5" s="0" t="s">
        <v>652</v>
      </c>
      <c r="C5" s="0" t="s">
        <v>653</v>
      </c>
      <c r="D5" s="0" t="s">
        <v>654</v>
      </c>
      <c r="E5" s="0" t="s">
        <v>655</v>
      </c>
      <c r="F5" s="0" t="s">
        <v>656</v>
      </c>
      <c r="G5" s="41" t="n">
        <v>1</v>
      </c>
      <c r="H5" s="25" t="s">
        <v>98</v>
      </c>
    </row>
    <row r="6" customFormat="false" ht="15" hidden="false" customHeight="false" outlineLevel="0" collapsed="false">
      <c r="A6" s="0" t="n">
        <v>1</v>
      </c>
      <c r="B6" s="0" t="s">
        <v>652</v>
      </c>
      <c r="C6" s="0" t="s">
        <v>657</v>
      </c>
      <c r="D6" s="0" t="s">
        <v>658</v>
      </c>
      <c r="E6" s="0" t="s">
        <v>655</v>
      </c>
      <c r="F6" s="0" t="s">
        <v>659</v>
      </c>
      <c r="G6" s="41" t="n">
        <v>2</v>
      </c>
      <c r="H6" s="25" t="s">
        <v>98</v>
      </c>
    </row>
    <row r="7" customFormat="false" ht="15" hidden="false" customHeight="false" outlineLevel="0" collapsed="false">
      <c r="A7" s="0" t="n">
        <v>1</v>
      </c>
      <c r="B7" s="0" t="s">
        <v>652</v>
      </c>
      <c r="C7" s="0" t="s">
        <v>660</v>
      </c>
      <c r="D7" s="0" t="s">
        <v>661</v>
      </c>
      <c r="E7" s="0" t="s">
        <v>655</v>
      </c>
      <c r="F7" s="0" t="s">
        <v>656</v>
      </c>
      <c r="G7" s="41" t="n">
        <v>1</v>
      </c>
      <c r="H7" s="25" t="s">
        <v>98</v>
      </c>
    </row>
    <row r="8" customFormat="false" ht="15" hidden="false" customHeight="false" outlineLevel="0" collapsed="false">
      <c r="A8" s="0" t="n">
        <v>1</v>
      </c>
      <c r="B8" s="0" t="s">
        <v>652</v>
      </c>
      <c r="C8" s="0" t="s">
        <v>662</v>
      </c>
      <c r="D8" s="0" t="s">
        <v>663</v>
      </c>
      <c r="E8" s="0" t="s">
        <v>655</v>
      </c>
      <c r="F8" s="0" t="s">
        <v>664</v>
      </c>
      <c r="G8" s="41" t="n">
        <v>21</v>
      </c>
      <c r="H8" s="25" t="s">
        <v>123</v>
      </c>
    </row>
    <row r="9" customFormat="false" ht="15" hidden="false" customHeight="false" outlineLevel="0" collapsed="false">
      <c r="A9" s="0" t="n">
        <v>1</v>
      </c>
      <c r="B9" s="0" t="s">
        <v>652</v>
      </c>
      <c r="C9" s="0" t="s">
        <v>665</v>
      </c>
      <c r="D9" s="0" t="s">
        <v>666</v>
      </c>
      <c r="E9" s="0" t="s">
        <v>655</v>
      </c>
      <c r="F9" s="0" t="s">
        <v>667</v>
      </c>
      <c r="G9" s="41" t="n">
        <v>3</v>
      </c>
      <c r="H9" s="25" t="s">
        <v>149</v>
      </c>
    </row>
    <row r="10" customFormat="false" ht="15" hidden="false" customHeight="false" outlineLevel="0" collapsed="false">
      <c r="A10" s="0" t="n">
        <v>1</v>
      </c>
      <c r="B10" s="0" t="s">
        <v>652</v>
      </c>
      <c r="C10" s="0" t="s">
        <v>668</v>
      </c>
      <c r="D10" s="0" t="s">
        <v>669</v>
      </c>
      <c r="E10" s="0" t="s">
        <v>655</v>
      </c>
      <c r="F10" s="0" t="s">
        <v>667</v>
      </c>
      <c r="G10" s="41" t="n">
        <v>3</v>
      </c>
      <c r="H10" s="25" t="s">
        <v>156</v>
      </c>
    </row>
    <row r="11" customFormat="false" ht="15" hidden="false" customHeight="false" outlineLevel="0" collapsed="false">
      <c r="A11" s="0" t="n">
        <v>1</v>
      </c>
      <c r="B11" s="0" t="s">
        <v>652</v>
      </c>
      <c r="C11" s="0" t="s">
        <v>670</v>
      </c>
      <c r="D11" s="0" t="s">
        <v>671</v>
      </c>
      <c r="E11" s="0" t="s">
        <v>655</v>
      </c>
      <c r="F11" s="0" t="s">
        <v>667</v>
      </c>
      <c r="G11" s="41" t="n">
        <v>3</v>
      </c>
      <c r="H11" s="25" t="s">
        <v>156</v>
      </c>
    </row>
    <row r="12" customFormat="false" ht="15" hidden="false" customHeight="false" outlineLevel="0" collapsed="false">
      <c r="A12" s="0" t="n">
        <v>1</v>
      </c>
      <c r="B12" s="0" t="s">
        <v>652</v>
      </c>
      <c r="C12" s="0" t="s">
        <v>672</v>
      </c>
      <c r="D12" s="0" t="s">
        <v>673</v>
      </c>
      <c r="E12" s="0" t="s">
        <v>674</v>
      </c>
      <c r="F12" s="0" t="s">
        <v>675</v>
      </c>
      <c r="G12" s="41" t="n">
        <v>200</v>
      </c>
      <c r="H12" s="25" t="s">
        <v>178</v>
      </c>
    </row>
    <row r="13" customFormat="false" ht="15" hidden="false" customHeight="false" outlineLevel="0" collapsed="false">
      <c r="A13" s="0" t="n">
        <v>1</v>
      </c>
      <c r="B13" s="0" t="s">
        <v>676</v>
      </c>
      <c r="C13" s="0" t="s">
        <v>677</v>
      </c>
      <c r="D13" s="0" t="s">
        <v>678</v>
      </c>
      <c r="E13" s="0" t="s">
        <v>655</v>
      </c>
      <c r="F13" s="0" t="s">
        <v>679</v>
      </c>
      <c r="G13" s="41" t="n">
        <v>30</v>
      </c>
      <c r="H13" s="25" t="s">
        <v>123</v>
      </c>
    </row>
    <row r="14" customFormat="false" ht="15" hidden="false" customHeight="false" outlineLevel="0" collapsed="false">
      <c r="A14" s="0" t="n">
        <v>1</v>
      </c>
      <c r="B14" s="0" t="s">
        <v>676</v>
      </c>
      <c r="C14" s="0" t="s">
        <v>680</v>
      </c>
      <c r="D14" s="0" t="s">
        <v>666</v>
      </c>
      <c r="E14" s="0" t="s">
        <v>655</v>
      </c>
      <c r="F14" s="0" t="s">
        <v>659</v>
      </c>
      <c r="G14" s="41" t="n">
        <v>2</v>
      </c>
      <c r="H14" s="25" t="s">
        <v>149</v>
      </c>
    </row>
    <row r="15" customFormat="false" ht="15" hidden="false" customHeight="false" outlineLevel="0" collapsed="false">
      <c r="A15" s="0" t="n">
        <v>1</v>
      </c>
      <c r="B15" s="0" t="s">
        <v>676</v>
      </c>
      <c r="C15" s="0" t="s">
        <v>681</v>
      </c>
      <c r="D15" s="0" t="s">
        <v>671</v>
      </c>
      <c r="E15" s="0" t="s">
        <v>655</v>
      </c>
      <c r="F15" s="0" t="s">
        <v>656</v>
      </c>
      <c r="G15" s="41" t="n">
        <v>1</v>
      </c>
      <c r="H15" s="25" t="s">
        <v>156</v>
      </c>
    </row>
    <row r="16" customFormat="false" ht="15" hidden="false" customHeight="false" outlineLevel="0" collapsed="false">
      <c r="A16" s="0" t="n">
        <v>1</v>
      </c>
      <c r="B16" s="0" t="s">
        <v>676</v>
      </c>
      <c r="C16" s="0" t="s">
        <v>682</v>
      </c>
      <c r="D16" s="0" t="s">
        <v>669</v>
      </c>
      <c r="E16" s="0" t="s">
        <v>655</v>
      </c>
      <c r="F16" s="0" t="s">
        <v>659</v>
      </c>
      <c r="G16" s="41" t="n">
        <v>2</v>
      </c>
      <c r="H16" s="25" t="s">
        <v>156</v>
      </c>
    </row>
    <row r="17" customFormat="false" ht="15" hidden="false" customHeight="false" outlineLevel="0" collapsed="false">
      <c r="A17" s="0" t="n">
        <v>1</v>
      </c>
      <c r="B17" s="0" t="s">
        <v>683</v>
      </c>
      <c r="C17" s="0" t="s">
        <v>684</v>
      </c>
      <c r="D17" s="0" t="s">
        <v>685</v>
      </c>
      <c r="E17" s="0" t="s">
        <v>655</v>
      </c>
      <c r="F17" s="0" t="s">
        <v>656</v>
      </c>
      <c r="G17" s="41" t="n">
        <v>1</v>
      </c>
      <c r="H17" s="25" t="s">
        <v>98</v>
      </c>
    </row>
    <row r="18" customFormat="false" ht="15" hidden="false" customHeight="false" outlineLevel="0" collapsed="false">
      <c r="A18" s="0" t="n">
        <v>1</v>
      </c>
      <c r="B18" s="0" t="s">
        <v>683</v>
      </c>
      <c r="C18" s="0" t="s">
        <v>686</v>
      </c>
      <c r="D18" s="0" t="s">
        <v>687</v>
      </c>
      <c r="E18" s="0" t="s">
        <v>655</v>
      </c>
      <c r="F18" s="0" t="s">
        <v>656</v>
      </c>
      <c r="G18" s="41" t="n">
        <v>1</v>
      </c>
      <c r="H18" s="25" t="s">
        <v>106</v>
      </c>
    </row>
    <row r="19" customFormat="false" ht="15" hidden="false" customHeight="false" outlineLevel="0" collapsed="false">
      <c r="A19" s="0" t="n">
        <v>1</v>
      </c>
      <c r="B19" s="0" t="s">
        <v>683</v>
      </c>
      <c r="C19" s="0" t="s">
        <v>688</v>
      </c>
      <c r="D19" s="0" t="s">
        <v>689</v>
      </c>
      <c r="E19" s="0" t="s">
        <v>655</v>
      </c>
      <c r="F19" s="0" t="s">
        <v>690</v>
      </c>
      <c r="G19" s="41" t="n">
        <v>5</v>
      </c>
      <c r="H19" s="25" t="s">
        <v>106</v>
      </c>
    </row>
    <row r="20" customFormat="false" ht="15" hidden="false" customHeight="false" outlineLevel="0" collapsed="false">
      <c r="A20" s="0" t="n">
        <v>1</v>
      </c>
      <c r="B20" s="0" t="s">
        <v>683</v>
      </c>
      <c r="C20" s="0" t="s">
        <v>691</v>
      </c>
      <c r="D20" s="0" t="s">
        <v>692</v>
      </c>
      <c r="E20" s="0" t="s">
        <v>655</v>
      </c>
      <c r="F20" s="0" t="s">
        <v>659</v>
      </c>
      <c r="G20" s="41" t="n">
        <v>2</v>
      </c>
      <c r="H20" s="25" t="s">
        <v>98</v>
      </c>
    </row>
    <row r="21" customFormat="false" ht="15" hidden="false" customHeight="false" outlineLevel="0" collapsed="false">
      <c r="A21" s="0" t="n">
        <v>1</v>
      </c>
      <c r="B21" s="0" t="s">
        <v>683</v>
      </c>
      <c r="C21" s="0" t="s">
        <v>693</v>
      </c>
      <c r="D21" s="0" t="s">
        <v>694</v>
      </c>
      <c r="E21" s="0" t="s">
        <v>655</v>
      </c>
      <c r="F21" s="0" t="s">
        <v>695</v>
      </c>
      <c r="G21" s="41" t="n">
        <v>222</v>
      </c>
      <c r="H21" s="25" t="s">
        <v>123</v>
      </c>
    </row>
    <row r="22" customFormat="false" ht="15" hidden="false" customHeight="false" outlineLevel="0" collapsed="false">
      <c r="A22" s="0" t="n">
        <v>1</v>
      </c>
      <c r="B22" s="0" t="s">
        <v>683</v>
      </c>
      <c r="C22" s="0" t="s">
        <v>696</v>
      </c>
      <c r="D22" s="0" t="s">
        <v>697</v>
      </c>
      <c r="E22" s="0" t="s">
        <v>655</v>
      </c>
      <c r="F22" s="0" t="s">
        <v>698</v>
      </c>
      <c r="G22" s="41" t="n">
        <v>38</v>
      </c>
      <c r="H22" s="25" t="s">
        <v>149</v>
      </c>
    </row>
    <row r="23" customFormat="false" ht="15" hidden="false" customHeight="false" outlineLevel="0" collapsed="false">
      <c r="A23" s="0" t="n">
        <v>1</v>
      </c>
      <c r="B23" s="0" t="s">
        <v>683</v>
      </c>
      <c r="C23" s="0" t="s">
        <v>699</v>
      </c>
      <c r="D23" s="0" t="s">
        <v>700</v>
      </c>
      <c r="E23" s="0" t="s">
        <v>655</v>
      </c>
      <c r="F23" s="0" t="s">
        <v>659</v>
      </c>
      <c r="G23" s="41" t="n">
        <v>2</v>
      </c>
      <c r="H23" s="25" t="s">
        <v>113</v>
      </c>
    </row>
    <row r="24" customFormat="false" ht="15" hidden="false" customHeight="false" outlineLevel="0" collapsed="false">
      <c r="A24" s="0" t="n">
        <v>1</v>
      </c>
      <c r="B24" s="0" t="s">
        <v>683</v>
      </c>
      <c r="C24" s="0" t="s">
        <v>701</v>
      </c>
      <c r="D24" s="0" t="s">
        <v>702</v>
      </c>
      <c r="E24" s="0" t="s">
        <v>655</v>
      </c>
      <c r="F24" s="0" t="s">
        <v>703</v>
      </c>
      <c r="G24" s="41" t="n">
        <v>4</v>
      </c>
      <c r="H24" s="25" t="s">
        <v>118</v>
      </c>
    </row>
    <row r="25" customFormat="false" ht="15" hidden="false" customHeight="false" outlineLevel="0" collapsed="false">
      <c r="A25" s="0" t="n">
        <v>1</v>
      </c>
      <c r="B25" s="0" t="s">
        <v>683</v>
      </c>
      <c r="C25" s="0" t="s">
        <v>704</v>
      </c>
      <c r="D25" s="0" t="s">
        <v>705</v>
      </c>
      <c r="E25" s="0" t="s">
        <v>655</v>
      </c>
      <c r="F25" s="0" t="s">
        <v>679</v>
      </c>
      <c r="G25" s="41" t="n">
        <v>30</v>
      </c>
      <c r="H25" s="25" t="s">
        <v>183</v>
      </c>
    </row>
    <row r="26" customFormat="false" ht="15" hidden="false" customHeight="false" outlineLevel="0" collapsed="false">
      <c r="A26" s="0" t="n">
        <v>1</v>
      </c>
      <c r="B26" s="0" t="s">
        <v>683</v>
      </c>
      <c r="C26" s="0" t="s">
        <v>706</v>
      </c>
      <c r="D26" s="0" t="s">
        <v>707</v>
      </c>
      <c r="E26" s="0" t="s">
        <v>261</v>
      </c>
      <c r="F26" s="0" t="s">
        <v>708</v>
      </c>
      <c r="G26" s="41" t="n">
        <v>4000</v>
      </c>
      <c r="H26" s="25" t="s">
        <v>178</v>
      </c>
    </row>
    <row r="27" customFormat="false" ht="15" hidden="false" customHeight="false" outlineLevel="0" collapsed="false">
      <c r="A27" s="0" t="n">
        <v>1</v>
      </c>
      <c r="B27" s="0" t="s">
        <v>709</v>
      </c>
      <c r="C27" s="0" t="s">
        <v>710</v>
      </c>
      <c r="D27" s="0" t="s">
        <v>711</v>
      </c>
      <c r="E27" s="0" t="s">
        <v>655</v>
      </c>
      <c r="F27" s="0" t="s">
        <v>656</v>
      </c>
      <c r="G27" s="41" t="n">
        <v>1</v>
      </c>
      <c r="H27" s="25" t="s">
        <v>98</v>
      </c>
    </row>
    <row r="28" customFormat="false" ht="15" hidden="false" customHeight="false" outlineLevel="0" collapsed="false">
      <c r="A28" s="0" t="n">
        <v>1</v>
      </c>
      <c r="B28" s="0" t="s">
        <v>709</v>
      </c>
      <c r="C28" s="0" t="s">
        <v>712</v>
      </c>
      <c r="D28" s="0" t="s">
        <v>713</v>
      </c>
      <c r="E28" s="0" t="s">
        <v>655</v>
      </c>
      <c r="F28" s="0" t="s">
        <v>714</v>
      </c>
      <c r="G28" s="41" t="n">
        <v>138</v>
      </c>
      <c r="H28" s="25" t="s">
        <v>123</v>
      </c>
    </row>
    <row r="29" customFormat="false" ht="15" hidden="false" customHeight="false" outlineLevel="0" collapsed="false">
      <c r="A29" s="0" t="n">
        <v>1</v>
      </c>
      <c r="B29" s="0" t="s">
        <v>709</v>
      </c>
      <c r="C29" s="0" t="s">
        <v>715</v>
      </c>
      <c r="D29" s="0" t="s">
        <v>666</v>
      </c>
      <c r="E29" s="0" t="s">
        <v>655</v>
      </c>
      <c r="F29" s="0" t="s">
        <v>716</v>
      </c>
      <c r="G29" s="41" t="n">
        <v>12</v>
      </c>
      <c r="H29" s="25" t="s">
        <v>149</v>
      </c>
    </row>
    <row r="30" customFormat="false" ht="15" hidden="false" customHeight="false" outlineLevel="0" collapsed="false">
      <c r="A30" s="0" t="n">
        <v>1</v>
      </c>
      <c r="B30" s="0" t="s">
        <v>709</v>
      </c>
      <c r="C30" s="0" t="s">
        <v>717</v>
      </c>
      <c r="D30" s="0" t="s">
        <v>718</v>
      </c>
      <c r="E30" s="0" t="s">
        <v>655</v>
      </c>
      <c r="F30" s="0" t="s">
        <v>656</v>
      </c>
      <c r="G30" s="41" t="n">
        <v>1</v>
      </c>
      <c r="H30" s="25" t="s">
        <v>113</v>
      </c>
    </row>
    <row r="31" customFormat="false" ht="15" hidden="false" customHeight="false" outlineLevel="0" collapsed="false">
      <c r="A31" s="0" t="n">
        <v>1</v>
      </c>
      <c r="B31" s="0" t="s">
        <v>709</v>
      </c>
      <c r="C31" s="0" t="s">
        <v>719</v>
      </c>
      <c r="D31" s="0" t="s">
        <v>669</v>
      </c>
      <c r="E31" s="0" t="s">
        <v>655</v>
      </c>
      <c r="F31" s="0" t="s">
        <v>716</v>
      </c>
      <c r="G31" s="41" t="n">
        <v>12</v>
      </c>
      <c r="H31" s="25" t="s">
        <v>156</v>
      </c>
    </row>
    <row r="32" customFormat="false" ht="15" hidden="false" customHeight="false" outlineLevel="0" collapsed="false">
      <c r="A32" s="0" t="n">
        <v>1</v>
      </c>
      <c r="B32" s="0" t="s">
        <v>709</v>
      </c>
      <c r="C32" s="0" t="s">
        <v>720</v>
      </c>
      <c r="D32" s="0" t="s">
        <v>721</v>
      </c>
      <c r="E32" s="0" t="s">
        <v>655</v>
      </c>
      <c r="F32" s="0" t="s">
        <v>659</v>
      </c>
      <c r="G32" s="41" t="n">
        <v>2</v>
      </c>
      <c r="H32" s="25" t="s">
        <v>118</v>
      </c>
    </row>
    <row r="33" customFormat="false" ht="15" hidden="false" customHeight="false" outlineLevel="0" collapsed="false">
      <c r="A33" s="0" t="n">
        <v>1</v>
      </c>
      <c r="B33" s="0" t="s">
        <v>709</v>
      </c>
      <c r="C33" s="0" t="s">
        <v>722</v>
      </c>
      <c r="D33" s="0" t="s">
        <v>723</v>
      </c>
      <c r="E33" s="0" t="s">
        <v>674</v>
      </c>
      <c r="F33" s="0" t="s">
        <v>724</v>
      </c>
      <c r="G33" s="41" t="n">
        <v>1100</v>
      </c>
      <c r="H33" s="25" t="s">
        <v>178</v>
      </c>
    </row>
    <row r="34" customFormat="false" ht="15" hidden="false" customHeight="false" outlineLevel="0" collapsed="false">
      <c r="A34" s="0" t="n">
        <v>1</v>
      </c>
      <c r="B34" s="0" t="s">
        <v>709</v>
      </c>
      <c r="C34" s="0" t="s">
        <v>725</v>
      </c>
      <c r="D34" s="0" t="s">
        <v>673</v>
      </c>
      <c r="E34" s="0" t="s">
        <v>674</v>
      </c>
      <c r="F34" s="0" t="s">
        <v>726</v>
      </c>
      <c r="G34" s="41" t="n">
        <v>560</v>
      </c>
      <c r="H34" s="25" t="s">
        <v>178</v>
      </c>
    </row>
    <row r="35" customFormat="false" ht="15" hidden="false" customHeight="false" outlineLevel="0" collapsed="false">
      <c r="A35" s="0" t="n">
        <v>1</v>
      </c>
      <c r="B35" s="0" t="s">
        <v>727</v>
      </c>
      <c r="C35" s="0" t="s">
        <v>728</v>
      </c>
      <c r="D35" s="0" t="s">
        <v>729</v>
      </c>
      <c r="E35" s="0" t="s">
        <v>655</v>
      </c>
      <c r="F35" s="0" t="s">
        <v>730</v>
      </c>
      <c r="G35" s="41" t="n">
        <v>18</v>
      </c>
      <c r="H35" s="25" t="s">
        <v>123</v>
      </c>
    </row>
    <row r="36" customFormat="false" ht="15" hidden="false" customHeight="false" outlineLevel="0" collapsed="false">
      <c r="A36" s="0" t="n">
        <v>1</v>
      </c>
      <c r="B36" s="0" t="s">
        <v>727</v>
      </c>
      <c r="C36" s="0" t="s">
        <v>731</v>
      </c>
      <c r="D36" s="0" t="s">
        <v>732</v>
      </c>
      <c r="E36" s="0" t="s">
        <v>655</v>
      </c>
      <c r="F36" s="0" t="s">
        <v>659</v>
      </c>
      <c r="G36" s="41" t="n">
        <v>2</v>
      </c>
      <c r="H36" s="25" t="s">
        <v>149</v>
      </c>
    </row>
    <row r="37" customFormat="false" ht="15" hidden="false" customHeight="false" outlineLevel="0" collapsed="false">
      <c r="A37" s="0" t="n">
        <v>1</v>
      </c>
      <c r="B37" s="0" t="s">
        <v>727</v>
      </c>
      <c r="C37" s="0" t="s">
        <v>733</v>
      </c>
      <c r="D37" s="0" t="s">
        <v>734</v>
      </c>
      <c r="E37" s="0" t="s">
        <v>674</v>
      </c>
      <c r="F37" s="0" t="s">
        <v>735</v>
      </c>
      <c r="G37" s="41" t="n">
        <v>150</v>
      </c>
      <c r="H37" s="25" t="s">
        <v>178</v>
      </c>
    </row>
    <row r="38" customFormat="false" ht="15" hidden="false" customHeight="false" outlineLevel="0" collapsed="false">
      <c r="A38" s="0" t="n">
        <v>1</v>
      </c>
      <c r="B38" s="0" t="s">
        <v>736</v>
      </c>
      <c r="C38" s="0" t="s">
        <v>737</v>
      </c>
      <c r="D38" s="0" t="s">
        <v>738</v>
      </c>
      <c r="E38" s="0" t="s">
        <v>655</v>
      </c>
      <c r="F38" s="0" t="s">
        <v>656</v>
      </c>
      <c r="G38" s="41" t="n">
        <v>1</v>
      </c>
      <c r="H38" s="25" t="s">
        <v>98</v>
      </c>
    </row>
    <row r="39" customFormat="false" ht="15" hidden="false" customHeight="false" outlineLevel="0" collapsed="false">
      <c r="A39" s="0" t="n">
        <v>1</v>
      </c>
      <c r="B39" s="0" t="s">
        <v>736</v>
      </c>
      <c r="C39" s="0" t="s">
        <v>739</v>
      </c>
      <c r="D39" s="0" t="s">
        <v>718</v>
      </c>
      <c r="E39" s="0" t="s">
        <v>655</v>
      </c>
      <c r="F39" s="0" t="s">
        <v>656</v>
      </c>
      <c r="G39" s="41" t="n">
        <v>1</v>
      </c>
      <c r="H39" s="25" t="s">
        <v>113</v>
      </c>
    </row>
    <row r="40" customFormat="false" ht="15" hidden="false" customHeight="false" outlineLevel="0" collapsed="false">
      <c r="A40" s="0" t="n">
        <v>1</v>
      </c>
      <c r="B40" s="0" t="s">
        <v>736</v>
      </c>
      <c r="C40" s="0" t="s">
        <v>740</v>
      </c>
      <c r="D40" s="0" t="s">
        <v>721</v>
      </c>
      <c r="E40" s="0" t="s">
        <v>655</v>
      </c>
      <c r="F40" s="0" t="s">
        <v>659</v>
      </c>
      <c r="G40" s="41" t="n">
        <v>2</v>
      </c>
      <c r="H40" s="25" t="s">
        <v>118</v>
      </c>
    </row>
    <row r="41" customFormat="false" ht="15" hidden="false" customHeight="false" outlineLevel="0" collapsed="false">
      <c r="A41" s="0" t="n">
        <v>1</v>
      </c>
      <c r="B41" s="0" t="s">
        <v>736</v>
      </c>
      <c r="C41" s="0" t="s">
        <v>741</v>
      </c>
      <c r="D41" s="0" t="s">
        <v>713</v>
      </c>
      <c r="E41" s="0" t="s">
        <v>655</v>
      </c>
      <c r="F41" s="0" t="s">
        <v>679</v>
      </c>
      <c r="G41" s="41" t="n">
        <v>30</v>
      </c>
      <c r="H41" s="25" t="s">
        <v>123</v>
      </c>
    </row>
    <row r="42" customFormat="false" ht="15" hidden="false" customHeight="false" outlineLevel="0" collapsed="false">
      <c r="A42" s="0" t="n">
        <v>1</v>
      </c>
      <c r="B42" s="0" t="s">
        <v>736</v>
      </c>
      <c r="C42" s="0" t="s">
        <v>742</v>
      </c>
      <c r="D42" s="0" t="s">
        <v>666</v>
      </c>
      <c r="E42" s="0" t="s">
        <v>655</v>
      </c>
      <c r="F42" s="0" t="s">
        <v>667</v>
      </c>
      <c r="G42" s="41" t="n">
        <v>3</v>
      </c>
      <c r="H42" s="25" t="s">
        <v>149</v>
      </c>
    </row>
    <row r="43" customFormat="false" ht="15" hidden="false" customHeight="false" outlineLevel="0" collapsed="false">
      <c r="A43" s="0" t="n">
        <v>1</v>
      </c>
      <c r="B43" s="0" t="s">
        <v>736</v>
      </c>
      <c r="C43" s="0" t="s">
        <v>743</v>
      </c>
      <c r="D43" s="0" t="s">
        <v>744</v>
      </c>
      <c r="E43" s="0" t="s">
        <v>655</v>
      </c>
      <c r="F43" s="0" t="s">
        <v>656</v>
      </c>
      <c r="G43" s="41" t="n">
        <v>1</v>
      </c>
      <c r="H43" s="25" t="s">
        <v>156</v>
      </c>
    </row>
    <row r="44" customFormat="false" ht="15" hidden="false" customHeight="false" outlineLevel="0" collapsed="false">
      <c r="A44" s="0" t="n">
        <v>1</v>
      </c>
      <c r="B44" s="0" t="s">
        <v>736</v>
      </c>
      <c r="C44" s="0" t="s">
        <v>745</v>
      </c>
      <c r="D44" s="0" t="s">
        <v>746</v>
      </c>
      <c r="E44" s="0" t="s">
        <v>655</v>
      </c>
      <c r="F44" s="0" t="s">
        <v>667</v>
      </c>
      <c r="G44" s="41" t="n">
        <v>3</v>
      </c>
      <c r="H44" s="25" t="s">
        <v>156</v>
      </c>
    </row>
    <row r="45" customFormat="false" ht="15" hidden="false" customHeight="false" outlineLevel="0" collapsed="false">
      <c r="A45" s="0" t="n">
        <v>1</v>
      </c>
      <c r="B45" s="0" t="s">
        <v>736</v>
      </c>
      <c r="C45" s="0" t="s">
        <v>747</v>
      </c>
      <c r="D45" s="0" t="s">
        <v>669</v>
      </c>
      <c r="E45" s="0" t="s">
        <v>655</v>
      </c>
      <c r="F45" s="0" t="s">
        <v>667</v>
      </c>
      <c r="G45" s="41" t="n">
        <v>3</v>
      </c>
      <c r="H45" s="25" t="s">
        <v>156</v>
      </c>
    </row>
    <row r="46" customFormat="false" ht="15" hidden="false" customHeight="false" outlineLevel="0" collapsed="false">
      <c r="A46" s="0" t="n">
        <v>1</v>
      </c>
      <c r="B46" s="0" t="s">
        <v>736</v>
      </c>
      <c r="C46" s="0" t="s">
        <v>748</v>
      </c>
      <c r="D46" s="0" t="s">
        <v>723</v>
      </c>
      <c r="E46" s="0" t="s">
        <v>674</v>
      </c>
      <c r="F46" s="0" t="s">
        <v>749</v>
      </c>
      <c r="G46" s="41" t="n">
        <v>220</v>
      </c>
      <c r="H46" s="25" t="s">
        <v>178</v>
      </c>
    </row>
    <row r="47" customFormat="false" ht="15" hidden="false" customHeight="false" outlineLevel="0" collapsed="false">
      <c r="A47" s="0" t="n">
        <v>1</v>
      </c>
      <c r="B47" s="0" t="s">
        <v>736</v>
      </c>
      <c r="C47" s="0" t="s">
        <v>750</v>
      </c>
      <c r="D47" s="0" t="s">
        <v>673</v>
      </c>
      <c r="E47" s="0" t="s">
        <v>674</v>
      </c>
      <c r="F47" s="0" t="s">
        <v>751</v>
      </c>
      <c r="G47" s="41" t="n">
        <v>50</v>
      </c>
      <c r="H47" s="25" t="s">
        <v>178</v>
      </c>
    </row>
    <row r="48" customFormat="false" ht="15" hidden="false" customHeight="false" outlineLevel="0" collapsed="false">
      <c r="A48" s="0" t="n">
        <v>1</v>
      </c>
      <c r="B48" s="0" t="s">
        <v>752</v>
      </c>
      <c r="C48" s="0" t="s">
        <v>753</v>
      </c>
      <c r="D48" s="0" t="s">
        <v>754</v>
      </c>
      <c r="E48" s="0" t="s">
        <v>655</v>
      </c>
      <c r="F48" s="0" t="s">
        <v>656</v>
      </c>
      <c r="G48" s="41" t="n">
        <v>1</v>
      </c>
      <c r="H48" s="25" t="s">
        <v>98</v>
      </c>
    </row>
    <row r="49" customFormat="false" ht="15" hidden="false" customHeight="false" outlineLevel="0" collapsed="false">
      <c r="A49" s="0" t="n">
        <v>1</v>
      </c>
      <c r="B49" s="0" t="s">
        <v>752</v>
      </c>
      <c r="C49" s="0" t="s">
        <v>755</v>
      </c>
      <c r="D49" s="0" t="s">
        <v>756</v>
      </c>
      <c r="E49" s="0" t="s">
        <v>655</v>
      </c>
      <c r="F49" s="0" t="s">
        <v>656</v>
      </c>
      <c r="G49" s="41" t="n">
        <v>1</v>
      </c>
      <c r="H49" s="25" t="s">
        <v>160</v>
      </c>
    </row>
    <row r="50" customFormat="false" ht="15" hidden="false" customHeight="false" outlineLevel="0" collapsed="false">
      <c r="A50" s="0" t="n">
        <v>1</v>
      </c>
      <c r="B50" s="0" t="s">
        <v>752</v>
      </c>
      <c r="C50" s="0" t="s">
        <v>757</v>
      </c>
      <c r="D50" s="0" t="s">
        <v>732</v>
      </c>
      <c r="E50" s="0" t="s">
        <v>655</v>
      </c>
      <c r="F50" s="0" t="s">
        <v>667</v>
      </c>
      <c r="G50" s="41" t="n">
        <v>3</v>
      </c>
      <c r="H50" s="25" t="s">
        <v>149</v>
      </c>
    </row>
    <row r="51" customFormat="false" ht="15" hidden="false" customHeight="false" outlineLevel="0" collapsed="false">
      <c r="A51" s="0" t="n">
        <v>1</v>
      </c>
      <c r="B51" s="0" t="s">
        <v>752</v>
      </c>
      <c r="C51" s="0" t="s">
        <v>758</v>
      </c>
      <c r="D51" s="0" t="s">
        <v>759</v>
      </c>
      <c r="E51" s="0" t="s">
        <v>655</v>
      </c>
      <c r="F51" s="0" t="s">
        <v>667</v>
      </c>
      <c r="G51" s="41" t="n">
        <v>3</v>
      </c>
      <c r="H51" s="25" t="s">
        <v>156</v>
      </c>
    </row>
    <row r="52" customFormat="false" ht="15" hidden="false" customHeight="false" outlineLevel="0" collapsed="false">
      <c r="A52" s="0" t="n">
        <v>1</v>
      </c>
      <c r="B52" s="0" t="s">
        <v>752</v>
      </c>
      <c r="C52" s="0" t="s">
        <v>760</v>
      </c>
      <c r="D52" s="0" t="s">
        <v>761</v>
      </c>
      <c r="E52" s="0" t="s">
        <v>655</v>
      </c>
      <c r="F52" s="0" t="s">
        <v>667</v>
      </c>
      <c r="G52" s="41" t="n">
        <v>3</v>
      </c>
      <c r="H52" s="25" t="s">
        <v>156</v>
      </c>
    </row>
    <row r="53" customFormat="false" ht="15" hidden="false" customHeight="false" outlineLevel="0" collapsed="false">
      <c r="A53" s="0" t="n">
        <v>1</v>
      </c>
      <c r="B53" s="0" t="s">
        <v>752</v>
      </c>
      <c r="C53" s="0" t="s">
        <v>762</v>
      </c>
      <c r="D53" s="0" t="s">
        <v>763</v>
      </c>
      <c r="E53" s="0" t="s">
        <v>655</v>
      </c>
      <c r="F53" s="0" t="s">
        <v>764</v>
      </c>
      <c r="G53" s="41" t="n">
        <v>34</v>
      </c>
      <c r="H53" s="25" t="s">
        <v>123</v>
      </c>
    </row>
    <row r="54" customFormat="false" ht="15" hidden="false" customHeight="false" outlineLevel="0" collapsed="false">
      <c r="A54" s="0" t="n">
        <v>1</v>
      </c>
      <c r="B54" s="0" t="s">
        <v>752</v>
      </c>
      <c r="C54" s="0" t="s">
        <v>765</v>
      </c>
      <c r="D54" s="0" t="s">
        <v>766</v>
      </c>
      <c r="E54" s="0" t="s">
        <v>674</v>
      </c>
      <c r="F54" s="0" t="s">
        <v>767</v>
      </c>
      <c r="G54" s="41" t="n">
        <v>500</v>
      </c>
      <c r="H54" s="25" t="s">
        <v>178</v>
      </c>
    </row>
    <row r="55" customFormat="false" ht="15" hidden="false" customHeight="false" outlineLevel="0" collapsed="false">
      <c r="A55" s="0" t="n">
        <v>1</v>
      </c>
      <c r="B55" s="0" t="s">
        <v>768</v>
      </c>
      <c r="C55" s="0" t="s">
        <v>769</v>
      </c>
      <c r="D55" s="0" t="s">
        <v>770</v>
      </c>
      <c r="E55" s="0" t="s">
        <v>655</v>
      </c>
      <c r="F55" s="0" t="s">
        <v>716</v>
      </c>
      <c r="G55" s="41" t="n">
        <v>12</v>
      </c>
      <c r="H55" s="25" t="s">
        <v>123</v>
      </c>
    </row>
    <row r="56" customFormat="false" ht="15" hidden="false" customHeight="false" outlineLevel="0" collapsed="false">
      <c r="A56" s="0" t="n">
        <v>1</v>
      </c>
      <c r="B56" s="0" t="s">
        <v>768</v>
      </c>
      <c r="C56" s="0" t="s">
        <v>771</v>
      </c>
      <c r="D56" s="0" t="s">
        <v>772</v>
      </c>
      <c r="E56" s="0" t="s">
        <v>655</v>
      </c>
      <c r="F56" s="0" t="s">
        <v>659</v>
      </c>
      <c r="G56" s="41" t="n">
        <v>2</v>
      </c>
      <c r="H56" s="25" t="s">
        <v>106</v>
      </c>
    </row>
    <row r="57" customFormat="false" ht="15" hidden="false" customHeight="false" outlineLevel="0" collapsed="false">
      <c r="A57" s="0" t="n">
        <v>1</v>
      </c>
      <c r="B57" s="0" t="s">
        <v>768</v>
      </c>
      <c r="C57" s="0" t="s">
        <v>773</v>
      </c>
      <c r="D57" s="0" t="s">
        <v>774</v>
      </c>
      <c r="E57" s="0" t="s">
        <v>674</v>
      </c>
      <c r="F57" s="0" t="s">
        <v>775</v>
      </c>
      <c r="G57" s="41" t="n">
        <v>520</v>
      </c>
      <c r="H57" s="25" t="s">
        <v>178</v>
      </c>
    </row>
    <row r="58" customFormat="false" ht="15" hidden="false" customHeight="false" outlineLevel="0" collapsed="false">
      <c r="A58" s="0" t="n">
        <v>1</v>
      </c>
      <c r="B58" s="0" t="s">
        <v>776</v>
      </c>
      <c r="C58" s="0" t="s">
        <v>777</v>
      </c>
      <c r="D58" s="0" t="s">
        <v>778</v>
      </c>
      <c r="E58" s="0" t="s">
        <v>655</v>
      </c>
      <c r="F58" s="0" t="s">
        <v>656</v>
      </c>
      <c r="G58" s="41" t="n">
        <v>1</v>
      </c>
      <c r="H58" s="25" t="s">
        <v>156</v>
      </c>
    </row>
    <row r="59" customFormat="false" ht="15" hidden="false" customHeight="false" outlineLevel="0" collapsed="false">
      <c r="A59" s="0" t="n">
        <v>1</v>
      </c>
      <c r="B59" s="0" t="s">
        <v>776</v>
      </c>
      <c r="C59" s="0" t="s">
        <v>779</v>
      </c>
      <c r="D59" s="0" t="s">
        <v>780</v>
      </c>
      <c r="E59" s="0" t="s">
        <v>655</v>
      </c>
      <c r="F59" s="0" t="s">
        <v>781</v>
      </c>
      <c r="G59" s="41" t="n">
        <v>8</v>
      </c>
      <c r="H59" s="25" t="s">
        <v>156</v>
      </c>
    </row>
    <row r="60" customFormat="false" ht="15" hidden="false" customHeight="false" outlineLevel="0" collapsed="false">
      <c r="A60" s="0" t="n">
        <v>1</v>
      </c>
      <c r="B60" s="0" t="s">
        <v>776</v>
      </c>
      <c r="C60" s="0" t="s">
        <v>782</v>
      </c>
      <c r="D60" s="0" t="s">
        <v>783</v>
      </c>
      <c r="E60" s="0" t="s">
        <v>655</v>
      </c>
      <c r="F60" s="0" t="s">
        <v>781</v>
      </c>
      <c r="G60" s="41" t="n">
        <v>8</v>
      </c>
      <c r="H60" s="25" t="s">
        <v>156</v>
      </c>
    </row>
    <row r="61" customFormat="false" ht="15" hidden="false" customHeight="false" outlineLevel="0" collapsed="false">
      <c r="A61" s="0" t="n">
        <v>1</v>
      </c>
      <c r="B61" s="0" t="s">
        <v>776</v>
      </c>
      <c r="C61" s="0" t="s">
        <v>784</v>
      </c>
      <c r="D61" s="0" t="s">
        <v>785</v>
      </c>
      <c r="E61" s="0" t="s">
        <v>655</v>
      </c>
      <c r="F61" s="0" t="s">
        <v>656</v>
      </c>
      <c r="G61" s="41" t="n">
        <v>1</v>
      </c>
      <c r="H61" s="25" t="s">
        <v>98</v>
      </c>
    </row>
    <row r="62" customFormat="false" ht="15" hidden="false" customHeight="false" outlineLevel="0" collapsed="false">
      <c r="A62" s="0" t="n">
        <v>1</v>
      </c>
      <c r="B62" s="0" t="s">
        <v>776</v>
      </c>
      <c r="C62" s="0" t="s">
        <v>786</v>
      </c>
      <c r="D62" s="0" t="s">
        <v>787</v>
      </c>
      <c r="E62" s="0" t="s">
        <v>674</v>
      </c>
      <c r="F62" s="0" t="s">
        <v>788</v>
      </c>
      <c r="G62" s="41" t="n">
        <v>20</v>
      </c>
      <c r="H62" s="25" t="s">
        <v>178</v>
      </c>
    </row>
    <row r="63" customFormat="false" ht="15" hidden="false" customHeight="false" outlineLevel="0" collapsed="false">
      <c r="A63" s="0" t="n">
        <v>1</v>
      </c>
      <c r="B63" s="0" t="s">
        <v>776</v>
      </c>
      <c r="C63" s="0" t="s">
        <v>789</v>
      </c>
      <c r="D63" s="0" t="s">
        <v>790</v>
      </c>
      <c r="E63" s="0" t="s">
        <v>674</v>
      </c>
      <c r="F63" s="0" t="s">
        <v>735</v>
      </c>
      <c r="G63" s="41" t="n">
        <v>150</v>
      </c>
      <c r="H63" s="25" t="s">
        <v>178</v>
      </c>
    </row>
    <row r="64" customFormat="false" ht="15" hidden="false" customHeight="false" outlineLevel="0" collapsed="false">
      <c r="A64" s="0" t="n">
        <v>1</v>
      </c>
      <c r="B64" s="0" t="s">
        <v>791</v>
      </c>
      <c r="C64" s="0" t="s">
        <v>792</v>
      </c>
      <c r="D64" s="0" t="s">
        <v>754</v>
      </c>
      <c r="E64" s="0" t="s">
        <v>655</v>
      </c>
      <c r="F64" s="0" t="s">
        <v>656</v>
      </c>
      <c r="G64" s="41" t="n">
        <v>1</v>
      </c>
      <c r="H64" s="25" t="s">
        <v>98</v>
      </c>
    </row>
    <row r="65" customFormat="false" ht="15" hidden="false" customHeight="false" outlineLevel="0" collapsed="false">
      <c r="A65" s="0" t="n">
        <v>1</v>
      </c>
      <c r="B65" s="0" t="s">
        <v>791</v>
      </c>
      <c r="C65" s="0" t="s">
        <v>793</v>
      </c>
      <c r="D65" s="0" t="s">
        <v>794</v>
      </c>
      <c r="E65" s="0" t="s">
        <v>655</v>
      </c>
      <c r="F65" s="0" t="s">
        <v>795</v>
      </c>
      <c r="G65" s="41" t="n">
        <v>44</v>
      </c>
      <c r="H65" s="25" t="s">
        <v>123</v>
      </c>
    </row>
    <row r="66" customFormat="false" ht="15" hidden="false" customHeight="false" outlineLevel="0" collapsed="false">
      <c r="A66" s="0" t="n">
        <v>1</v>
      </c>
      <c r="B66" s="0" t="s">
        <v>791</v>
      </c>
      <c r="C66" s="0" t="s">
        <v>796</v>
      </c>
      <c r="D66" s="0" t="s">
        <v>732</v>
      </c>
      <c r="E66" s="0" t="s">
        <v>655</v>
      </c>
      <c r="F66" s="0" t="s">
        <v>797</v>
      </c>
      <c r="G66" s="41" t="n">
        <v>7</v>
      </c>
      <c r="H66" s="25" t="s">
        <v>149</v>
      </c>
    </row>
    <row r="67" customFormat="false" ht="15" hidden="false" customHeight="false" outlineLevel="0" collapsed="false">
      <c r="A67" s="0" t="n">
        <v>1</v>
      </c>
      <c r="B67" s="0" t="s">
        <v>791</v>
      </c>
      <c r="C67" s="0" t="s">
        <v>798</v>
      </c>
      <c r="D67" s="0" t="s">
        <v>799</v>
      </c>
      <c r="E67" s="0" t="s">
        <v>674</v>
      </c>
      <c r="F67" s="0" t="s">
        <v>800</v>
      </c>
      <c r="G67" s="41" t="n">
        <v>400</v>
      </c>
      <c r="H67" s="25" t="s">
        <v>178</v>
      </c>
    </row>
    <row r="68" customFormat="false" ht="15" hidden="false" customHeight="false" outlineLevel="0" collapsed="false">
      <c r="A68" s="0" t="n">
        <v>1</v>
      </c>
      <c r="B68" s="0" t="s">
        <v>791</v>
      </c>
      <c r="C68" s="0" t="s">
        <v>801</v>
      </c>
      <c r="D68" s="0" t="s">
        <v>802</v>
      </c>
      <c r="E68" s="0" t="s">
        <v>674</v>
      </c>
      <c r="F68" s="0" t="s">
        <v>803</v>
      </c>
      <c r="G68" s="41" t="n">
        <v>160</v>
      </c>
      <c r="H68" s="25" t="s">
        <v>178</v>
      </c>
    </row>
    <row r="69" customFormat="false" ht="15" hidden="false" customHeight="false" outlineLevel="0" collapsed="false">
      <c r="A69" s="0" t="n">
        <v>1</v>
      </c>
      <c r="B69" s="0" t="s">
        <v>804</v>
      </c>
      <c r="C69" s="0" t="s">
        <v>805</v>
      </c>
      <c r="D69" s="0" t="s">
        <v>806</v>
      </c>
      <c r="E69" s="0" t="s">
        <v>655</v>
      </c>
      <c r="F69" s="0" t="s">
        <v>656</v>
      </c>
      <c r="G69" s="41" t="n">
        <v>1</v>
      </c>
      <c r="H69" s="25" t="s">
        <v>98</v>
      </c>
    </row>
    <row r="70" customFormat="false" ht="15" hidden="false" customHeight="false" outlineLevel="0" collapsed="false">
      <c r="A70" s="0" t="n">
        <v>1</v>
      </c>
      <c r="B70" s="0" t="s">
        <v>804</v>
      </c>
      <c r="C70" s="0" t="s">
        <v>807</v>
      </c>
      <c r="D70" s="0" t="s">
        <v>794</v>
      </c>
      <c r="E70" s="0" t="s">
        <v>655</v>
      </c>
      <c r="F70" s="0" t="s">
        <v>808</v>
      </c>
      <c r="G70" s="41" t="n">
        <v>24</v>
      </c>
      <c r="H70" s="25" t="s">
        <v>123</v>
      </c>
    </row>
    <row r="71" customFormat="false" ht="15" hidden="false" customHeight="false" outlineLevel="0" collapsed="false">
      <c r="A71" s="0" t="n">
        <v>1</v>
      </c>
      <c r="B71" s="0" t="s">
        <v>804</v>
      </c>
      <c r="C71" s="0" t="s">
        <v>809</v>
      </c>
      <c r="D71" s="0" t="s">
        <v>732</v>
      </c>
      <c r="E71" s="0" t="s">
        <v>655</v>
      </c>
      <c r="F71" s="0" t="s">
        <v>703</v>
      </c>
      <c r="G71" s="41" t="n">
        <v>4</v>
      </c>
      <c r="H71" s="25" t="s">
        <v>149</v>
      </c>
    </row>
    <row r="72" customFormat="false" ht="15" hidden="false" customHeight="false" outlineLevel="0" collapsed="false">
      <c r="A72" s="0" t="n">
        <v>1</v>
      </c>
      <c r="B72" s="0" t="s">
        <v>804</v>
      </c>
      <c r="C72" s="0" t="s">
        <v>810</v>
      </c>
      <c r="D72" s="0" t="s">
        <v>799</v>
      </c>
      <c r="E72" s="0" t="s">
        <v>674</v>
      </c>
      <c r="F72" s="0" t="s">
        <v>735</v>
      </c>
      <c r="G72" s="41" t="n">
        <v>150</v>
      </c>
      <c r="H72" s="25" t="s">
        <v>178</v>
      </c>
    </row>
    <row r="73" customFormat="false" ht="15" hidden="false" customHeight="false" outlineLevel="0" collapsed="false">
      <c r="A73" s="0" t="n">
        <v>1</v>
      </c>
      <c r="B73" s="0" t="s">
        <v>811</v>
      </c>
      <c r="C73" s="0" t="s">
        <v>812</v>
      </c>
      <c r="D73" s="0" t="s">
        <v>794</v>
      </c>
      <c r="E73" s="0" t="s">
        <v>655</v>
      </c>
      <c r="F73" s="0" t="s">
        <v>813</v>
      </c>
      <c r="G73" s="41" t="n">
        <v>27</v>
      </c>
      <c r="H73" s="25" t="s">
        <v>123</v>
      </c>
    </row>
    <row r="74" customFormat="false" ht="15" hidden="false" customHeight="false" outlineLevel="0" collapsed="false">
      <c r="A74" s="0" t="n">
        <v>1</v>
      </c>
      <c r="B74" s="0" t="s">
        <v>811</v>
      </c>
      <c r="C74" s="0" t="s">
        <v>814</v>
      </c>
      <c r="D74" s="0" t="s">
        <v>732</v>
      </c>
      <c r="E74" s="0" t="s">
        <v>655</v>
      </c>
      <c r="F74" s="0" t="s">
        <v>659</v>
      </c>
      <c r="G74" s="41" t="n">
        <v>2</v>
      </c>
      <c r="H74" s="25" t="s">
        <v>149</v>
      </c>
    </row>
    <row r="75" customFormat="false" ht="15" hidden="false" customHeight="false" outlineLevel="0" collapsed="false">
      <c r="A75" s="0" t="n">
        <v>1</v>
      </c>
      <c r="B75" s="0" t="s">
        <v>811</v>
      </c>
      <c r="C75" s="0" t="s">
        <v>815</v>
      </c>
      <c r="D75" s="0" t="s">
        <v>799</v>
      </c>
      <c r="E75" s="0" t="s">
        <v>674</v>
      </c>
      <c r="F75" s="0" t="s">
        <v>816</v>
      </c>
      <c r="G75" s="41" t="n">
        <v>100</v>
      </c>
      <c r="H75" s="25" t="s">
        <v>178</v>
      </c>
    </row>
    <row r="76" customFormat="false" ht="15" hidden="false" customHeight="false" outlineLevel="0" collapsed="false">
      <c r="A76" s="0" t="n">
        <v>1</v>
      </c>
      <c r="B76" s="0" t="s">
        <v>817</v>
      </c>
      <c r="C76" s="0" t="s">
        <v>818</v>
      </c>
      <c r="D76" s="0" t="s">
        <v>819</v>
      </c>
      <c r="E76" s="0" t="s">
        <v>655</v>
      </c>
      <c r="F76" s="0" t="s">
        <v>656</v>
      </c>
      <c r="G76" s="41" t="n">
        <v>1</v>
      </c>
      <c r="H76" s="25" t="s">
        <v>98</v>
      </c>
    </row>
    <row r="77" customFormat="false" ht="15" hidden="false" customHeight="false" outlineLevel="0" collapsed="false">
      <c r="A77" s="0" t="n">
        <v>1</v>
      </c>
      <c r="B77" s="0" t="s">
        <v>817</v>
      </c>
      <c r="C77" s="0" t="s">
        <v>820</v>
      </c>
      <c r="D77" s="0" t="s">
        <v>821</v>
      </c>
      <c r="E77" s="0" t="s">
        <v>655</v>
      </c>
      <c r="F77" s="0" t="s">
        <v>822</v>
      </c>
      <c r="G77" s="41" t="n">
        <v>125</v>
      </c>
      <c r="H77" s="25" t="s">
        <v>123</v>
      </c>
    </row>
    <row r="78" customFormat="false" ht="15" hidden="false" customHeight="false" outlineLevel="0" collapsed="false">
      <c r="A78" s="0" t="n">
        <v>1</v>
      </c>
      <c r="B78" s="0" t="s">
        <v>817</v>
      </c>
      <c r="C78" s="0" t="s">
        <v>823</v>
      </c>
      <c r="D78" s="0" t="s">
        <v>824</v>
      </c>
      <c r="E78" s="0" t="s">
        <v>655</v>
      </c>
      <c r="F78" s="0" t="s">
        <v>781</v>
      </c>
      <c r="G78" s="41" t="n">
        <v>8</v>
      </c>
      <c r="H78" s="25" t="s">
        <v>149</v>
      </c>
    </row>
    <row r="79" customFormat="false" ht="15" hidden="false" customHeight="false" outlineLevel="0" collapsed="false">
      <c r="A79" s="0" t="n">
        <v>1</v>
      </c>
      <c r="B79" s="0" t="s">
        <v>817</v>
      </c>
      <c r="C79" s="0" t="s">
        <v>825</v>
      </c>
      <c r="D79" s="0" t="s">
        <v>826</v>
      </c>
      <c r="E79" s="0" t="s">
        <v>655</v>
      </c>
      <c r="F79" s="0" t="s">
        <v>735</v>
      </c>
      <c r="G79" s="41" t="n">
        <v>150</v>
      </c>
      <c r="H79" s="25" t="s">
        <v>183</v>
      </c>
    </row>
    <row r="80" customFormat="false" ht="15" hidden="false" customHeight="false" outlineLevel="0" collapsed="false">
      <c r="A80" s="0" t="n">
        <v>1</v>
      </c>
      <c r="B80" s="0" t="s">
        <v>817</v>
      </c>
      <c r="C80" s="0" t="s">
        <v>827</v>
      </c>
      <c r="D80" s="0" t="s">
        <v>828</v>
      </c>
      <c r="E80" s="0" t="s">
        <v>655</v>
      </c>
      <c r="F80" s="0" t="s">
        <v>829</v>
      </c>
      <c r="G80" s="41" t="n">
        <v>6</v>
      </c>
      <c r="H80" s="25" t="s">
        <v>183</v>
      </c>
    </row>
    <row r="81" customFormat="false" ht="15" hidden="false" customHeight="false" outlineLevel="0" collapsed="false">
      <c r="A81" s="0" t="n">
        <v>1</v>
      </c>
      <c r="B81" s="0" t="s">
        <v>817</v>
      </c>
      <c r="C81" s="0" t="s">
        <v>830</v>
      </c>
      <c r="D81" s="0" t="s">
        <v>831</v>
      </c>
      <c r="E81" s="0" t="s">
        <v>655</v>
      </c>
      <c r="F81" s="0" t="s">
        <v>656</v>
      </c>
      <c r="G81" s="41" t="n">
        <v>1</v>
      </c>
      <c r="H81" s="25" t="s">
        <v>113</v>
      </c>
    </row>
    <row r="82" customFormat="false" ht="15" hidden="false" customHeight="false" outlineLevel="0" collapsed="false">
      <c r="A82" s="0" t="n">
        <v>1</v>
      </c>
      <c r="B82" s="0" t="s">
        <v>817</v>
      </c>
      <c r="C82" s="0" t="s">
        <v>832</v>
      </c>
      <c r="D82" s="0" t="s">
        <v>833</v>
      </c>
      <c r="E82" s="0" t="s">
        <v>655</v>
      </c>
      <c r="F82" s="0" t="s">
        <v>659</v>
      </c>
      <c r="G82" s="41" t="n">
        <v>2</v>
      </c>
      <c r="H82" s="25" t="s">
        <v>118</v>
      </c>
    </row>
    <row r="83" customFormat="false" ht="15" hidden="false" customHeight="false" outlineLevel="0" collapsed="false">
      <c r="A83" s="0" t="n">
        <v>1</v>
      </c>
      <c r="B83" s="0" t="s">
        <v>817</v>
      </c>
      <c r="C83" s="0" t="s">
        <v>834</v>
      </c>
      <c r="D83" s="0" t="s">
        <v>835</v>
      </c>
      <c r="E83" s="0" t="s">
        <v>655</v>
      </c>
      <c r="F83" s="0" t="s">
        <v>836</v>
      </c>
      <c r="G83" s="41" t="n">
        <v>10</v>
      </c>
      <c r="H83" s="25" t="s">
        <v>156</v>
      </c>
    </row>
    <row r="84" customFormat="false" ht="15" hidden="false" customHeight="false" outlineLevel="0" collapsed="false">
      <c r="A84" s="0" t="n">
        <v>1</v>
      </c>
      <c r="B84" s="0" t="s">
        <v>817</v>
      </c>
      <c r="C84" s="0" t="s">
        <v>837</v>
      </c>
      <c r="D84" s="0" t="s">
        <v>838</v>
      </c>
      <c r="E84" s="0" t="s">
        <v>655</v>
      </c>
      <c r="F84" s="0" t="s">
        <v>829</v>
      </c>
      <c r="G84" s="41" t="n">
        <v>6</v>
      </c>
      <c r="H84" s="25" t="s">
        <v>156</v>
      </c>
    </row>
    <row r="85" customFormat="false" ht="15" hidden="false" customHeight="false" outlineLevel="0" collapsed="false">
      <c r="A85" s="0" t="n">
        <v>1</v>
      </c>
      <c r="B85" s="0" t="s">
        <v>817</v>
      </c>
      <c r="C85" s="0" t="s">
        <v>839</v>
      </c>
      <c r="D85" s="0" t="s">
        <v>840</v>
      </c>
      <c r="E85" s="0" t="s">
        <v>655</v>
      </c>
      <c r="F85" s="0" t="s">
        <v>656</v>
      </c>
      <c r="G85" s="41" t="n">
        <v>1</v>
      </c>
      <c r="H85" s="25" t="s">
        <v>160</v>
      </c>
    </row>
    <row r="86" customFormat="false" ht="15" hidden="false" customHeight="false" outlineLevel="0" collapsed="false">
      <c r="A86" s="0" t="n">
        <v>1</v>
      </c>
      <c r="B86" s="0" t="s">
        <v>817</v>
      </c>
      <c r="C86" s="0" t="s">
        <v>841</v>
      </c>
      <c r="D86" s="0" t="s">
        <v>842</v>
      </c>
      <c r="E86" s="0" t="s">
        <v>655</v>
      </c>
      <c r="F86" s="0" t="s">
        <v>829</v>
      </c>
      <c r="G86" s="41" t="n">
        <v>6</v>
      </c>
      <c r="H86" s="25" t="s">
        <v>156</v>
      </c>
    </row>
    <row r="87" customFormat="false" ht="15" hidden="false" customHeight="false" outlineLevel="0" collapsed="false">
      <c r="A87" s="0" t="n">
        <v>1</v>
      </c>
      <c r="B87" s="0" t="s">
        <v>817</v>
      </c>
      <c r="C87" s="0" t="s">
        <v>843</v>
      </c>
      <c r="D87" s="0" t="s">
        <v>790</v>
      </c>
      <c r="E87" s="0" t="s">
        <v>674</v>
      </c>
      <c r="F87" s="0" t="s">
        <v>844</v>
      </c>
      <c r="G87" s="41" t="n">
        <v>1500</v>
      </c>
      <c r="H87" s="25" t="s">
        <v>178</v>
      </c>
    </row>
    <row r="88" customFormat="false" ht="15" hidden="false" customHeight="false" outlineLevel="0" collapsed="false">
      <c r="A88" s="0" t="n">
        <v>1</v>
      </c>
      <c r="B88" s="0" t="s">
        <v>817</v>
      </c>
      <c r="C88" s="0" t="s">
        <v>845</v>
      </c>
      <c r="D88" s="0" t="s">
        <v>846</v>
      </c>
      <c r="E88" s="0" t="s">
        <v>674</v>
      </c>
      <c r="F88" s="0" t="s">
        <v>847</v>
      </c>
      <c r="G88" s="41" t="n">
        <v>600</v>
      </c>
      <c r="H88" s="25" t="s">
        <v>178</v>
      </c>
    </row>
    <row r="89" customFormat="false" ht="15" hidden="false" customHeight="false" outlineLevel="0" collapsed="false">
      <c r="A89" s="0" t="n">
        <v>1</v>
      </c>
      <c r="B89" s="0" t="s">
        <v>848</v>
      </c>
      <c r="C89" s="0" t="s">
        <v>849</v>
      </c>
      <c r="D89" s="0" t="s">
        <v>850</v>
      </c>
      <c r="E89" s="0" t="s">
        <v>100</v>
      </c>
      <c r="F89" s="0" t="s">
        <v>656</v>
      </c>
      <c r="G89" s="41" t="n">
        <v>1</v>
      </c>
      <c r="H89" s="25" t="s">
        <v>98</v>
      </c>
    </row>
    <row r="90" customFormat="false" ht="15" hidden="false" customHeight="false" outlineLevel="0" collapsed="false">
      <c r="A90" s="0" t="n">
        <v>1</v>
      </c>
      <c r="B90" s="0" t="s">
        <v>848</v>
      </c>
      <c r="C90" s="0" t="s">
        <v>851</v>
      </c>
      <c r="D90" s="0" t="s">
        <v>852</v>
      </c>
      <c r="E90" s="0" t="s">
        <v>100</v>
      </c>
      <c r="F90" s="0" t="s">
        <v>698</v>
      </c>
      <c r="G90" s="41" t="n">
        <v>38</v>
      </c>
      <c r="H90" s="25" t="s">
        <v>123</v>
      </c>
    </row>
    <row r="91" customFormat="false" ht="15" hidden="false" customHeight="false" outlineLevel="0" collapsed="false">
      <c r="A91" s="0" t="n">
        <v>1</v>
      </c>
      <c r="B91" s="0" t="s">
        <v>848</v>
      </c>
      <c r="C91" s="0" t="s">
        <v>853</v>
      </c>
      <c r="D91" s="0" t="s">
        <v>666</v>
      </c>
      <c r="E91" s="0" t="s">
        <v>100</v>
      </c>
      <c r="F91" s="0" t="s">
        <v>690</v>
      </c>
      <c r="G91" s="41" t="n">
        <v>5</v>
      </c>
      <c r="H91" s="25" t="s">
        <v>149</v>
      </c>
    </row>
    <row r="92" customFormat="false" ht="15" hidden="false" customHeight="false" outlineLevel="0" collapsed="false">
      <c r="A92" s="0" t="n">
        <v>1</v>
      </c>
      <c r="B92" s="0" t="s">
        <v>848</v>
      </c>
      <c r="C92" s="0" t="s">
        <v>854</v>
      </c>
      <c r="D92" s="0" t="s">
        <v>855</v>
      </c>
      <c r="E92" s="0" t="s">
        <v>655</v>
      </c>
      <c r="F92" s="0" t="s">
        <v>656</v>
      </c>
      <c r="G92" s="41" t="n">
        <v>1</v>
      </c>
      <c r="H92" s="25" t="s">
        <v>118</v>
      </c>
    </row>
    <row r="93" customFormat="false" ht="15" hidden="false" customHeight="false" outlineLevel="0" collapsed="false">
      <c r="A93" s="0" t="n">
        <v>1</v>
      </c>
      <c r="B93" s="0" t="s">
        <v>848</v>
      </c>
      <c r="C93" s="0" t="s">
        <v>856</v>
      </c>
      <c r="D93" s="0" t="s">
        <v>783</v>
      </c>
      <c r="E93" s="0" t="s">
        <v>655</v>
      </c>
      <c r="F93" s="0" t="s">
        <v>781</v>
      </c>
      <c r="G93" s="41" t="n">
        <v>8</v>
      </c>
      <c r="H93" s="25" t="s">
        <v>156</v>
      </c>
    </row>
    <row r="94" customFormat="false" ht="15" hidden="false" customHeight="false" outlineLevel="0" collapsed="false">
      <c r="A94" s="0" t="n">
        <v>1</v>
      </c>
      <c r="B94" s="0" t="s">
        <v>848</v>
      </c>
      <c r="C94" s="0" t="s">
        <v>857</v>
      </c>
      <c r="D94" s="0" t="s">
        <v>858</v>
      </c>
      <c r="E94" s="0" t="s">
        <v>655</v>
      </c>
      <c r="F94" s="0" t="s">
        <v>703</v>
      </c>
      <c r="G94" s="41" t="n">
        <v>4</v>
      </c>
      <c r="H94" s="25" t="s">
        <v>156</v>
      </c>
    </row>
    <row r="95" customFormat="false" ht="15" hidden="false" customHeight="false" outlineLevel="0" collapsed="false">
      <c r="A95" s="0" t="n">
        <v>1</v>
      </c>
      <c r="B95" s="0" t="s">
        <v>848</v>
      </c>
      <c r="C95" s="0" t="s">
        <v>859</v>
      </c>
      <c r="D95" s="0" t="s">
        <v>860</v>
      </c>
      <c r="E95" s="0" t="s">
        <v>655</v>
      </c>
      <c r="F95" s="0" t="s">
        <v>861</v>
      </c>
      <c r="G95" s="41" t="n">
        <v>15</v>
      </c>
      <c r="H95" s="25" t="s">
        <v>183</v>
      </c>
    </row>
    <row r="96" customFormat="false" ht="15" hidden="false" customHeight="false" outlineLevel="0" collapsed="false">
      <c r="A96" s="0" t="n">
        <v>1</v>
      </c>
      <c r="B96" s="0" t="s">
        <v>848</v>
      </c>
      <c r="C96" s="0" t="s">
        <v>862</v>
      </c>
      <c r="D96" s="0" t="s">
        <v>790</v>
      </c>
      <c r="E96" s="0" t="s">
        <v>674</v>
      </c>
      <c r="F96" s="0" t="s">
        <v>863</v>
      </c>
      <c r="G96" s="41" t="n">
        <v>430</v>
      </c>
      <c r="H96" s="25" t="s">
        <v>178</v>
      </c>
    </row>
    <row r="97" customFormat="false" ht="15" hidden="false" customHeight="false" outlineLevel="0" collapsed="false">
      <c r="A97" s="0" t="n">
        <v>1</v>
      </c>
      <c r="B97" s="0" t="s">
        <v>864</v>
      </c>
      <c r="C97" s="0" t="s">
        <v>865</v>
      </c>
      <c r="D97" s="0" t="s">
        <v>754</v>
      </c>
      <c r="E97" s="0" t="s">
        <v>100</v>
      </c>
      <c r="F97" s="0" t="s">
        <v>659</v>
      </c>
      <c r="G97" s="41" t="n">
        <v>2</v>
      </c>
      <c r="H97" s="25" t="s">
        <v>98</v>
      </c>
    </row>
    <row r="98" customFormat="false" ht="15" hidden="false" customHeight="false" outlineLevel="0" collapsed="false">
      <c r="A98" s="0" t="n">
        <v>1</v>
      </c>
      <c r="B98" s="0" t="s">
        <v>864</v>
      </c>
      <c r="C98" s="0" t="s">
        <v>866</v>
      </c>
      <c r="D98" s="0" t="s">
        <v>867</v>
      </c>
      <c r="E98" s="0" t="s">
        <v>100</v>
      </c>
      <c r="F98" s="0" t="s">
        <v>868</v>
      </c>
      <c r="G98" s="41" t="n">
        <v>54</v>
      </c>
      <c r="H98" s="25" t="s">
        <v>123</v>
      </c>
    </row>
    <row r="99" customFormat="false" ht="15" hidden="false" customHeight="false" outlineLevel="0" collapsed="false">
      <c r="A99" s="0" t="n">
        <v>1</v>
      </c>
      <c r="B99" s="0" t="s">
        <v>864</v>
      </c>
      <c r="C99" s="0" t="s">
        <v>869</v>
      </c>
      <c r="D99" s="0" t="s">
        <v>666</v>
      </c>
      <c r="E99" s="0" t="s">
        <v>100</v>
      </c>
      <c r="F99" s="0" t="s">
        <v>659</v>
      </c>
      <c r="G99" s="41" t="n">
        <v>2</v>
      </c>
      <c r="H99" s="25" t="s">
        <v>149</v>
      </c>
    </row>
    <row r="100" customFormat="false" ht="15" hidden="false" customHeight="false" outlineLevel="0" collapsed="false">
      <c r="A100" s="0" t="n">
        <v>1</v>
      </c>
      <c r="B100" s="0" t="s">
        <v>864</v>
      </c>
      <c r="C100" s="0" t="s">
        <v>870</v>
      </c>
      <c r="D100" s="0" t="s">
        <v>871</v>
      </c>
      <c r="E100" s="0" t="s">
        <v>100</v>
      </c>
      <c r="F100" s="0" t="s">
        <v>656</v>
      </c>
      <c r="G100" s="41" t="n">
        <v>1</v>
      </c>
      <c r="H100" s="25" t="s">
        <v>160</v>
      </c>
    </row>
    <row r="101" customFormat="false" ht="15" hidden="false" customHeight="false" outlineLevel="0" collapsed="false">
      <c r="A101" s="0" t="n">
        <v>1</v>
      </c>
      <c r="B101" s="0" t="s">
        <v>864</v>
      </c>
      <c r="C101" s="0" t="s">
        <v>872</v>
      </c>
      <c r="D101" s="0" t="s">
        <v>873</v>
      </c>
      <c r="E101" s="0" t="s">
        <v>100</v>
      </c>
      <c r="F101" s="0" t="s">
        <v>703</v>
      </c>
      <c r="G101" s="41" t="n">
        <v>4</v>
      </c>
      <c r="H101" s="25" t="s">
        <v>156</v>
      </c>
    </row>
    <row r="102" customFormat="false" ht="15" hidden="false" customHeight="false" outlineLevel="0" collapsed="false">
      <c r="A102" s="0" t="n">
        <v>1</v>
      </c>
      <c r="B102" s="0" t="s">
        <v>864</v>
      </c>
      <c r="C102" s="0" t="s">
        <v>874</v>
      </c>
      <c r="D102" s="0" t="s">
        <v>783</v>
      </c>
      <c r="E102" s="0" t="s">
        <v>100</v>
      </c>
      <c r="F102" s="0" t="s">
        <v>667</v>
      </c>
      <c r="G102" s="41" t="n">
        <v>3</v>
      </c>
      <c r="H102" s="25" t="s">
        <v>156</v>
      </c>
    </row>
    <row r="103" customFormat="false" ht="15" hidden="false" customHeight="false" outlineLevel="0" collapsed="false">
      <c r="A103" s="0" t="n">
        <v>1</v>
      </c>
      <c r="B103" s="0" t="s">
        <v>864</v>
      </c>
      <c r="C103" s="0" t="s">
        <v>875</v>
      </c>
      <c r="D103" s="0" t="s">
        <v>790</v>
      </c>
      <c r="E103" s="0" t="s">
        <v>261</v>
      </c>
      <c r="F103" s="0" t="s">
        <v>876</v>
      </c>
      <c r="G103" s="41" t="n">
        <v>300</v>
      </c>
      <c r="H103" s="25" t="s">
        <v>178</v>
      </c>
    </row>
    <row r="104" customFormat="false" ht="15" hidden="false" customHeight="false" outlineLevel="0" collapsed="false">
      <c r="A104" s="0" t="n">
        <v>1</v>
      </c>
      <c r="B104" s="0" t="s">
        <v>877</v>
      </c>
      <c r="C104" s="0" t="s">
        <v>878</v>
      </c>
      <c r="D104" s="0" t="s">
        <v>754</v>
      </c>
      <c r="E104" s="0" t="s">
        <v>655</v>
      </c>
      <c r="F104" s="0" t="s">
        <v>656</v>
      </c>
      <c r="G104" s="41" t="n">
        <v>1</v>
      </c>
      <c r="H104" s="25" t="s">
        <v>98</v>
      </c>
    </row>
    <row r="105" customFormat="false" ht="15" hidden="false" customHeight="false" outlineLevel="0" collapsed="false">
      <c r="A105" s="0" t="n">
        <v>1</v>
      </c>
      <c r="B105" s="0" t="s">
        <v>877</v>
      </c>
      <c r="C105" s="0" t="s">
        <v>879</v>
      </c>
      <c r="D105" s="0" t="s">
        <v>867</v>
      </c>
      <c r="E105" s="0" t="s">
        <v>655</v>
      </c>
      <c r="F105" s="0" t="s">
        <v>764</v>
      </c>
      <c r="G105" s="41" t="n">
        <v>34</v>
      </c>
      <c r="H105" s="25" t="s">
        <v>123</v>
      </c>
    </row>
    <row r="106" customFormat="false" ht="15" hidden="false" customHeight="false" outlineLevel="0" collapsed="false">
      <c r="A106" s="0" t="n">
        <v>1</v>
      </c>
      <c r="B106" s="0" t="s">
        <v>877</v>
      </c>
      <c r="C106" s="0" t="s">
        <v>880</v>
      </c>
      <c r="D106" s="0" t="s">
        <v>881</v>
      </c>
      <c r="E106" s="0" t="s">
        <v>655</v>
      </c>
      <c r="F106" s="0" t="s">
        <v>667</v>
      </c>
      <c r="G106" s="41" t="n">
        <v>3</v>
      </c>
      <c r="H106" s="25" t="s">
        <v>149</v>
      </c>
    </row>
    <row r="107" customFormat="false" ht="15" hidden="false" customHeight="false" outlineLevel="0" collapsed="false">
      <c r="A107" s="0" t="n">
        <v>1</v>
      </c>
      <c r="B107" s="0" t="s">
        <v>877</v>
      </c>
      <c r="C107" s="0" t="s">
        <v>882</v>
      </c>
      <c r="D107" s="0" t="s">
        <v>790</v>
      </c>
      <c r="E107" s="0" t="s">
        <v>674</v>
      </c>
      <c r="F107" s="0" t="s">
        <v>675</v>
      </c>
      <c r="G107" s="41" t="n">
        <v>200</v>
      </c>
      <c r="H107" s="25" t="s">
        <v>178</v>
      </c>
    </row>
    <row r="108" customFormat="false" ht="15" hidden="false" customHeight="false" outlineLevel="0" collapsed="false">
      <c r="A108" s="0" t="n">
        <v>1</v>
      </c>
      <c r="B108" s="0" t="s">
        <v>883</v>
      </c>
      <c r="C108" s="0" t="s">
        <v>884</v>
      </c>
      <c r="D108" s="0" t="s">
        <v>754</v>
      </c>
      <c r="E108" s="0" t="s">
        <v>655</v>
      </c>
      <c r="F108" s="0" t="s">
        <v>659</v>
      </c>
      <c r="G108" s="41" t="n">
        <v>2</v>
      </c>
      <c r="H108" s="25" t="s">
        <v>98</v>
      </c>
    </row>
    <row r="109" customFormat="false" ht="15" hidden="false" customHeight="false" outlineLevel="0" collapsed="false">
      <c r="A109" s="0" t="n">
        <v>1</v>
      </c>
      <c r="B109" s="0" t="s">
        <v>883</v>
      </c>
      <c r="C109" s="0" t="s">
        <v>885</v>
      </c>
      <c r="D109" s="0" t="s">
        <v>867</v>
      </c>
      <c r="E109" s="0" t="s">
        <v>655</v>
      </c>
      <c r="F109" s="0" t="s">
        <v>886</v>
      </c>
      <c r="G109" s="41" t="n">
        <v>72</v>
      </c>
      <c r="H109" s="25" t="s">
        <v>123</v>
      </c>
    </row>
    <row r="110" customFormat="false" ht="15" hidden="false" customHeight="false" outlineLevel="0" collapsed="false">
      <c r="A110" s="0" t="n">
        <v>1</v>
      </c>
      <c r="B110" s="0" t="s">
        <v>883</v>
      </c>
      <c r="C110" s="0" t="s">
        <v>887</v>
      </c>
      <c r="D110" s="0" t="s">
        <v>881</v>
      </c>
      <c r="E110" s="0" t="s">
        <v>655</v>
      </c>
      <c r="F110" s="0" t="s">
        <v>703</v>
      </c>
      <c r="G110" s="41" t="n">
        <v>4</v>
      </c>
      <c r="H110" s="25" t="s">
        <v>149</v>
      </c>
    </row>
    <row r="111" customFormat="false" ht="15" hidden="false" customHeight="false" outlineLevel="0" collapsed="false">
      <c r="A111" s="0" t="n">
        <v>1</v>
      </c>
      <c r="B111" s="0" t="s">
        <v>883</v>
      </c>
      <c r="C111" s="0" t="s">
        <v>888</v>
      </c>
      <c r="D111" s="0" t="s">
        <v>783</v>
      </c>
      <c r="E111" s="0" t="s">
        <v>655</v>
      </c>
      <c r="F111" s="0" t="s">
        <v>781</v>
      </c>
      <c r="G111" s="41" t="n">
        <v>8</v>
      </c>
      <c r="H111" s="25" t="s">
        <v>156</v>
      </c>
    </row>
    <row r="112" customFormat="false" ht="15" hidden="false" customHeight="false" outlineLevel="0" collapsed="false">
      <c r="A112" s="0" t="n">
        <v>1</v>
      </c>
      <c r="B112" s="0" t="s">
        <v>883</v>
      </c>
      <c r="C112" s="0" t="s">
        <v>889</v>
      </c>
      <c r="D112" s="0" t="s">
        <v>855</v>
      </c>
      <c r="E112" s="0" t="s">
        <v>655</v>
      </c>
      <c r="F112" s="0" t="s">
        <v>659</v>
      </c>
      <c r="G112" s="41" t="n">
        <v>2</v>
      </c>
      <c r="H112" s="25" t="s">
        <v>118</v>
      </c>
    </row>
    <row r="113" customFormat="false" ht="15" hidden="false" customHeight="false" outlineLevel="0" collapsed="false">
      <c r="A113" s="0" t="n">
        <v>1</v>
      </c>
      <c r="B113" s="0" t="s">
        <v>883</v>
      </c>
      <c r="C113" s="0" t="s">
        <v>890</v>
      </c>
      <c r="D113" s="0" t="s">
        <v>838</v>
      </c>
      <c r="E113" s="0" t="s">
        <v>655</v>
      </c>
      <c r="F113" s="0" t="s">
        <v>703</v>
      </c>
      <c r="G113" s="41" t="n">
        <v>4</v>
      </c>
      <c r="H113" s="25" t="s">
        <v>156</v>
      </c>
    </row>
    <row r="114" customFormat="false" ht="15" hidden="false" customHeight="false" outlineLevel="0" collapsed="false">
      <c r="A114" s="0" t="n">
        <v>1</v>
      </c>
      <c r="B114" s="0" t="s">
        <v>883</v>
      </c>
      <c r="C114" s="0" t="s">
        <v>891</v>
      </c>
      <c r="D114" s="0" t="s">
        <v>790</v>
      </c>
      <c r="E114" s="0" t="s">
        <v>674</v>
      </c>
      <c r="F114" s="0" t="s">
        <v>892</v>
      </c>
      <c r="G114" s="41" t="n">
        <v>900</v>
      </c>
      <c r="H114" s="25" t="s">
        <v>178</v>
      </c>
    </row>
    <row r="115" customFormat="false" ht="15" hidden="false" customHeight="false" outlineLevel="0" collapsed="false">
      <c r="A115" s="0" t="n">
        <v>1</v>
      </c>
      <c r="B115" s="0" t="s">
        <v>883</v>
      </c>
      <c r="C115" s="0" t="s">
        <v>893</v>
      </c>
      <c r="D115" s="0" t="s">
        <v>894</v>
      </c>
      <c r="E115" s="0" t="s">
        <v>674</v>
      </c>
      <c r="F115" s="0" t="s">
        <v>803</v>
      </c>
      <c r="G115" s="41" t="n">
        <v>160</v>
      </c>
      <c r="H115" s="25" t="s">
        <v>178</v>
      </c>
    </row>
    <row r="116" customFormat="false" ht="15" hidden="false" customHeight="false" outlineLevel="0" collapsed="false">
      <c r="A116" s="0" t="n">
        <v>1</v>
      </c>
      <c r="B116" s="0" t="s">
        <v>895</v>
      </c>
      <c r="C116" s="0" t="s">
        <v>896</v>
      </c>
      <c r="D116" s="0" t="s">
        <v>754</v>
      </c>
      <c r="E116" s="0" t="s">
        <v>655</v>
      </c>
      <c r="F116" s="0" t="s">
        <v>656</v>
      </c>
      <c r="G116" s="41" t="n">
        <v>1</v>
      </c>
      <c r="H116" s="25" t="s">
        <v>98</v>
      </c>
    </row>
    <row r="117" customFormat="false" ht="15" hidden="false" customHeight="false" outlineLevel="0" collapsed="false">
      <c r="A117" s="0" t="n">
        <v>1</v>
      </c>
      <c r="B117" s="0" t="s">
        <v>895</v>
      </c>
      <c r="C117" s="0" t="s">
        <v>897</v>
      </c>
      <c r="D117" s="0" t="s">
        <v>850</v>
      </c>
      <c r="E117" s="0" t="s">
        <v>655</v>
      </c>
      <c r="F117" s="0" t="s">
        <v>656</v>
      </c>
      <c r="G117" s="41" t="n">
        <v>1</v>
      </c>
      <c r="H117" s="25" t="s">
        <v>98</v>
      </c>
    </row>
    <row r="118" customFormat="false" ht="15" hidden="false" customHeight="false" outlineLevel="0" collapsed="false">
      <c r="A118" s="0" t="n">
        <v>1</v>
      </c>
      <c r="B118" s="0" t="s">
        <v>895</v>
      </c>
      <c r="C118" s="0" t="s">
        <v>898</v>
      </c>
      <c r="D118" s="0" t="s">
        <v>899</v>
      </c>
      <c r="E118" s="0" t="s">
        <v>655</v>
      </c>
      <c r="F118" s="0" t="s">
        <v>656</v>
      </c>
      <c r="G118" s="41" t="n">
        <v>1</v>
      </c>
      <c r="H118" s="25" t="s">
        <v>98</v>
      </c>
    </row>
    <row r="119" customFormat="false" ht="15" hidden="false" customHeight="false" outlineLevel="0" collapsed="false">
      <c r="A119" s="0" t="n">
        <v>1</v>
      </c>
      <c r="B119" s="0" t="s">
        <v>895</v>
      </c>
      <c r="C119" s="0" t="s">
        <v>900</v>
      </c>
      <c r="D119" s="0" t="s">
        <v>783</v>
      </c>
      <c r="E119" s="0" t="s">
        <v>655</v>
      </c>
      <c r="F119" s="0" t="s">
        <v>716</v>
      </c>
      <c r="G119" s="41" t="n">
        <v>12</v>
      </c>
      <c r="H119" s="25" t="s">
        <v>156</v>
      </c>
    </row>
    <row r="120" customFormat="false" ht="15" hidden="false" customHeight="false" outlineLevel="0" collapsed="false">
      <c r="A120" s="0" t="n">
        <v>1</v>
      </c>
      <c r="B120" s="0" t="s">
        <v>895</v>
      </c>
      <c r="C120" s="0" t="s">
        <v>901</v>
      </c>
      <c r="D120" s="0" t="s">
        <v>902</v>
      </c>
      <c r="E120" s="0" t="s">
        <v>655</v>
      </c>
      <c r="F120" s="0" t="s">
        <v>829</v>
      </c>
      <c r="G120" s="41" t="n">
        <v>6</v>
      </c>
      <c r="H120" s="25" t="s">
        <v>156</v>
      </c>
    </row>
    <row r="121" customFormat="false" ht="15" hidden="false" customHeight="false" outlineLevel="0" collapsed="false">
      <c r="A121" s="0" t="n">
        <v>1</v>
      </c>
      <c r="B121" s="0" t="s">
        <v>895</v>
      </c>
      <c r="C121" s="0" t="s">
        <v>903</v>
      </c>
      <c r="D121" s="0" t="s">
        <v>904</v>
      </c>
      <c r="E121" s="0" t="s">
        <v>655</v>
      </c>
      <c r="F121" s="0" t="s">
        <v>690</v>
      </c>
      <c r="G121" s="41" t="n">
        <v>5</v>
      </c>
      <c r="H121" s="25" t="s">
        <v>156</v>
      </c>
    </row>
    <row r="122" customFormat="false" ht="15" hidden="false" customHeight="false" outlineLevel="0" collapsed="false">
      <c r="A122" s="0" t="n">
        <v>1</v>
      </c>
      <c r="B122" s="0" t="s">
        <v>895</v>
      </c>
      <c r="C122" s="0" t="s">
        <v>905</v>
      </c>
      <c r="D122" s="0" t="s">
        <v>906</v>
      </c>
      <c r="E122" s="0" t="s">
        <v>655</v>
      </c>
      <c r="F122" s="0" t="s">
        <v>907</v>
      </c>
      <c r="G122" s="41" t="n">
        <v>103</v>
      </c>
      <c r="H122" s="25" t="s">
        <v>123</v>
      </c>
    </row>
    <row r="123" customFormat="false" ht="15" hidden="false" customHeight="false" outlineLevel="0" collapsed="false">
      <c r="A123" s="0" t="n">
        <v>1</v>
      </c>
      <c r="B123" s="0" t="s">
        <v>895</v>
      </c>
      <c r="C123" s="0" t="s">
        <v>908</v>
      </c>
      <c r="D123" s="0" t="s">
        <v>909</v>
      </c>
      <c r="E123" s="0" t="s">
        <v>655</v>
      </c>
      <c r="F123" s="0" t="s">
        <v>910</v>
      </c>
      <c r="G123" s="41" t="n">
        <v>13</v>
      </c>
      <c r="H123" s="25" t="s">
        <v>149</v>
      </c>
    </row>
    <row r="124" customFormat="false" ht="15" hidden="false" customHeight="false" outlineLevel="0" collapsed="false">
      <c r="A124" s="0" t="n">
        <v>1</v>
      </c>
      <c r="B124" s="0" t="s">
        <v>895</v>
      </c>
      <c r="C124" s="0" t="s">
        <v>911</v>
      </c>
      <c r="D124" s="0" t="s">
        <v>912</v>
      </c>
      <c r="E124" s="0" t="s">
        <v>655</v>
      </c>
      <c r="F124" s="0" t="s">
        <v>781</v>
      </c>
      <c r="G124" s="41" t="n">
        <v>8</v>
      </c>
      <c r="H124" s="25" t="s">
        <v>133</v>
      </c>
    </row>
    <row r="125" customFormat="false" ht="15" hidden="false" customHeight="false" outlineLevel="0" collapsed="false">
      <c r="A125" s="0" t="n">
        <v>1</v>
      </c>
      <c r="B125" s="0" t="s">
        <v>895</v>
      </c>
      <c r="C125" s="0" t="s">
        <v>913</v>
      </c>
      <c r="D125" s="0" t="s">
        <v>790</v>
      </c>
      <c r="E125" s="0" t="s">
        <v>674</v>
      </c>
      <c r="F125" s="0" t="s">
        <v>914</v>
      </c>
      <c r="G125" s="41" t="n">
        <v>890</v>
      </c>
      <c r="H125" s="25" t="s">
        <v>178</v>
      </c>
    </row>
    <row r="126" customFormat="false" ht="15" hidden="false" customHeight="false" outlineLevel="0" collapsed="false">
      <c r="A126" s="0" t="n">
        <v>1</v>
      </c>
      <c r="B126" s="0" t="s">
        <v>915</v>
      </c>
      <c r="C126" s="0" t="s">
        <v>916</v>
      </c>
      <c r="D126" s="0" t="s">
        <v>754</v>
      </c>
      <c r="E126" s="0" t="s">
        <v>655</v>
      </c>
      <c r="F126" s="0" t="s">
        <v>659</v>
      </c>
      <c r="G126" s="41" t="n">
        <v>2</v>
      </c>
      <c r="H126" s="25" t="s">
        <v>98</v>
      </c>
    </row>
    <row r="127" customFormat="false" ht="15" hidden="false" customHeight="false" outlineLevel="0" collapsed="false">
      <c r="A127" s="0" t="n">
        <v>1</v>
      </c>
      <c r="B127" s="0" t="s">
        <v>915</v>
      </c>
      <c r="C127" s="0" t="s">
        <v>917</v>
      </c>
      <c r="D127" s="0" t="s">
        <v>694</v>
      </c>
      <c r="E127" s="0" t="s">
        <v>655</v>
      </c>
      <c r="F127" s="0" t="s">
        <v>918</v>
      </c>
      <c r="G127" s="41" t="n">
        <v>120</v>
      </c>
      <c r="H127" s="25" t="s">
        <v>123</v>
      </c>
    </row>
    <row r="128" customFormat="false" ht="15" hidden="false" customHeight="false" outlineLevel="0" collapsed="false">
      <c r="A128" s="0" t="n">
        <v>1</v>
      </c>
      <c r="B128" s="0" t="s">
        <v>915</v>
      </c>
      <c r="C128" s="0" t="s">
        <v>919</v>
      </c>
      <c r="D128" s="0" t="s">
        <v>666</v>
      </c>
      <c r="E128" s="0" t="s">
        <v>655</v>
      </c>
      <c r="F128" s="0" t="s">
        <v>797</v>
      </c>
      <c r="G128" s="41" t="n">
        <v>7</v>
      </c>
      <c r="H128" s="25" t="s">
        <v>149</v>
      </c>
    </row>
    <row r="129" customFormat="false" ht="15" hidden="false" customHeight="false" outlineLevel="0" collapsed="false">
      <c r="A129" s="0" t="n">
        <v>1</v>
      </c>
      <c r="B129" s="0" t="s">
        <v>915</v>
      </c>
      <c r="C129" s="0" t="s">
        <v>920</v>
      </c>
      <c r="D129" s="0" t="s">
        <v>783</v>
      </c>
      <c r="E129" s="0" t="s">
        <v>655</v>
      </c>
      <c r="F129" s="0" t="s">
        <v>781</v>
      </c>
      <c r="G129" s="41" t="n">
        <v>8</v>
      </c>
      <c r="H129" s="25" t="s">
        <v>156</v>
      </c>
    </row>
    <row r="130" customFormat="false" ht="15" hidden="false" customHeight="false" outlineLevel="0" collapsed="false">
      <c r="A130" s="0" t="n">
        <v>1</v>
      </c>
      <c r="B130" s="0" t="s">
        <v>915</v>
      </c>
      <c r="C130" s="0" t="s">
        <v>921</v>
      </c>
      <c r="D130" s="0" t="s">
        <v>922</v>
      </c>
      <c r="E130" s="0" t="s">
        <v>655</v>
      </c>
      <c r="F130" s="0" t="s">
        <v>656</v>
      </c>
      <c r="G130" s="41" t="n">
        <v>1</v>
      </c>
      <c r="H130" s="25" t="s">
        <v>156</v>
      </c>
    </row>
    <row r="131" customFormat="false" ht="15" hidden="false" customHeight="false" outlineLevel="0" collapsed="false">
      <c r="A131" s="0" t="n">
        <v>1</v>
      </c>
      <c r="B131" s="0" t="s">
        <v>915</v>
      </c>
      <c r="C131" s="0" t="s">
        <v>923</v>
      </c>
      <c r="D131" s="0" t="s">
        <v>924</v>
      </c>
      <c r="E131" s="0" t="s">
        <v>655</v>
      </c>
      <c r="F131" s="0" t="s">
        <v>667</v>
      </c>
      <c r="G131" s="41" t="n">
        <v>3</v>
      </c>
      <c r="H131" s="25" t="s">
        <v>156</v>
      </c>
    </row>
    <row r="132" customFormat="false" ht="15" hidden="false" customHeight="false" outlineLevel="0" collapsed="false">
      <c r="A132" s="0" t="n">
        <v>1</v>
      </c>
      <c r="B132" s="0" t="s">
        <v>915</v>
      </c>
      <c r="C132" s="0" t="s">
        <v>925</v>
      </c>
      <c r="D132" s="0" t="s">
        <v>926</v>
      </c>
      <c r="E132" s="0" t="s">
        <v>655</v>
      </c>
      <c r="F132" s="0" t="s">
        <v>659</v>
      </c>
      <c r="G132" s="41" t="n">
        <v>2</v>
      </c>
      <c r="H132" s="25" t="s">
        <v>118</v>
      </c>
    </row>
    <row r="133" customFormat="false" ht="15" hidden="false" customHeight="false" outlineLevel="0" collapsed="false">
      <c r="A133" s="0" t="n">
        <v>1</v>
      </c>
      <c r="B133" s="0" t="s">
        <v>915</v>
      </c>
      <c r="C133" s="0" t="s">
        <v>927</v>
      </c>
      <c r="D133" s="0" t="s">
        <v>723</v>
      </c>
      <c r="E133" s="0" t="s">
        <v>674</v>
      </c>
      <c r="F133" s="0" t="s">
        <v>847</v>
      </c>
      <c r="G133" s="41" t="n">
        <v>600</v>
      </c>
      <c r="H133" s="25" t="s">
        <v>178</v>
      </c>
    </row>
    <row r="134" customFormat="false" ht="15" hidden="false" customHeight="false" outlineLevel="0" collapsed="false">
      <c r="A134" s="0" t="n">
        <v>1</v>
      </c>
      <c r="B134" s="0" t="s">
        <v>915</v>
      </c>
      <c r="C134" s="0" t="s">
        <v>928</v>
      </c>
      <c r="D134" s="0" t="s">
        <v>929</v>
      </c>
      <c r="E134" s="0" t="s">
        <v>674</v>
      </c>
      <c r="F134" s="0" t="s">
        <v>836</v>
      </c>
      <c r="G134" s="41" t="n">
        <v>10</v>
      </c>
      <c r="H134" s="25" t="s">
        <v>178</v>
      </c>
    </row>
    <row r="135" customFormat="false" ht="15" hidden="false" customHeight="false" outlineLevel="0" collapsed="false">
      <c r="A135" s="0" t="n">
        <v>1</v>
      </c>
      <c r="B135" s="0" t="s">
        <v>930</v>
      </c>
      <c r="C135" s="0" t="s">
        <v>931</v>
      </c>
      <c r="D135" s="0" t="s">
        <v>754</v>
      </c>
      <c r="E135" s="0" t="s">
        <v>655</v>
      </c>
      <c r="F135" s="0" t="s">
        <v>656</v>
      </c>
      <c r="G135" s="41" t="n">
        <v>1</v>
      </c>
      <c r="H135" s="25" t="s">
        <v>98</v>
      </c>
    </row>
    <row r="136" customFormat="false" ht="15" hidden="false" customHeight="false" outlineLevel="0" collapsed="false">
      <c r="A136" s="0" t="n">
        <v>1</v>
      </c>
      <c r="B136" s="0" t="s">
        <v>930</v>
      </c>
      <c r="C136" s="0" t="s">
        <v>932</v>
      </c>
      <c r="D136" s="0" t="s">
        <v>694</v>
      </c>
      <c r="E136" s="0" t="s">
        <v>655</v>
      </c>
      <c r="F136" s="0" t="s">
        <v>933</v>
      </c>
      <c r="G136" s="41" t="n">
        <v>70</v>
      </c>
      <c r="H136" s="25" t="s">
        <v>123</v>
      </c>
    </row>
    <row r="137" customFormat="false" ht="15" hidden="false" customHeight="false" outlineLevel="0" collapsed="false">
      <c r="A137" s="0" t="n">
        <v>1</v>
      </c>
      <c r="B137" s="0" t="s">
        <v>930</v>
      </c>
      <c r="C137" s="0" t="s">
        <v>934</v>
      </c>
      <c r="D137" s="0" t="s">
        <v>666</v>
      </c>
      <c r="E137" s="0" t="s">
        <v>655</v>
      </c>
      <c r="F137" s="0" t="s">
        <v>935</v>
      </c>
      <c r="G137" s="41" t="n">
        <v>9</v>
      </c>
      <c r="H137" s="25" t="s">
        <v>149</v>
      </c>
    </row>
    <row r="138" customFormat="false" ht="15" hidden="false" customHeight="false" outlineLevel="0" collapsed="false">
      <c r="A138" s="0" t="n">
        <v>1</v>
      </c>
      <c r="B138" s="0" t="s">
        <v>930</v>
      </c>
      <c r="C138" s="0" t="s">
        <v>936</v>
      </c>
      <c r="D138" s="0" t="s">
        <v>783</v>
      </c>
      <c r="E138" s="0" t="s">
        <v>655</v>
      </c>
      <c r="F138" s="0" t="s">
        <v>910</v>
      </c>
      <c r="G138" s="41" t="n">
        <v>13</v>
      </c>
      <c r="H138" s="25" t="s">
        <v>156</v>
      </c>
    </row>
    <row r="139" customFormat="false" ht="15" hidden="false" customHeight="false" outlineLevel="0" collapsed="false">
      <c r="A139" s="0" t="n">
        <v>1</v>
      </c>
      <c r="B139" s="0" t="s">
        <v>930</v>
      </c>
      <c r="C139" s="0" t="s">
        <v>937</v>
      </c>
      <c r="D139" s="0" t="s">
        <v>924</v>
      </c>
      <c r="E139" s="0" t="s">
        <v>655</v>
      </c>
      <c r="F139" s="0" t="s">
        <v>797</v>
      </c>
      <c r="G139" s="41" t="n">
        <v>7</v>
      </c>
      <c r="H139" s="25" t="s">
        <v>156</v>
      </c>
    </row>
    <row r="140" customFormat="false" ht="15" hidden="false" customHeight="false" outlineLevel="0" collapsed="false">
      <c r="A140" s="0" t="n">
        <v>1</v>
      </c>
      <c r="B140" s="0" t="s">
        <v>930</v>
      </c>
      <c r="C140" s="0" t="s">
        <v>938</v>
      </c>
      <c r="D140" s="0" t="s">
        <v>926</v>
      </c>
      <c r="E140" s="0" t="s">
        <v>655</v>
      </c>
      <c r="F140" s="0" t="s">
        <v>656</v>
      </c>
      <c r="G140" s="41" t="n">
        <v>1</v>
      </c>
      <c r="H140" s="25" t="s">
        <v>118</v>
      </c>
    </row>
    <row r="141" customFormat="false" ht="15" hidden="false" customHeight="false" outlineLevel="0" collapsed="false">
      <c r="A141" s="0" t="n">
        <v>1</v>
      </c>
      <c r="B141" s="0" t="s">
        <v>930</v>
      </c>
      <c r="C141" s="0" t="s">
        <v>939</v>
      </c>
      <c r="D141" s="0" t="s">
        <v>940</v>
      </c>
      <c r="E141" s="0" t="s">
        <v>674</v>
      </c>
      <c r="F141" s="0" t="s">
        <v>941</v>
      </c>
      <c r="G141" s="41" t="n">
        <v>350</v>
      </c>
      <c r="H141" s="25" t="s">
        <v>178</v>
      </c>
    </row>
    <row r="142" customFormat="false" ht="15" hidden="false" customHeight="false" outlineLevel="0" collapsed="false">
      <c r="A142" s="0" t="n">
        <v>1</v>
      </c>
      <c r="B142" s="0" t="s">
        <v>930</v>
      </c>
      <c r="C142" s="0" t="s">
        <v>942</v>
      </c>
      <c r="D142" s="0" t="s">
        <v>723</v>
      </c>
      <c r="E142" s="0" t="s">
        <v>674</v>
      </c>
      <c r="F142" s="0" t="s">
        <v>941</v>
      </c>
      <c r="G142" s="41" t="n">
        <v>350</v>
      </c>
      <c r="H142" s="25" t="s">
        <v>178</v>
      </c>
    </row>
    <row r="143" customFormat="false" ht="15" hidden="false" customHeight="false" outlineLevel="0" collapsed="false">
      <c r="A143" s="0" t="n">
        <v>1</v>
      </c>
      <c r="B143" s="0" t="s">
        <v>930</v>
      </c>
      <c r="C143" s="0" t="s">
        <v>943</v>
      </c>
      <c r="D143" s="0" t="s">
        <v>944</v>
      </c>
      <c r="E143" s="0" t="s">
        <v>674</v>
      </c>
      <c r="F143" s="0" t="s">
        <v>788</v>
      </c>
      <c r="G143" s="41" t="n">
        <v>20</v>
      </c>
      <c r="H143" s="25" t="s">
        <v>178</v>
      </c>
    </row>
    <row r="144" customFormat="false" ht="15" hidden="false" customHeight="false" outlineLevel="0" collapsed="false">
      <c r="A144" s="0" t="n">
        <v>1</v>
      </c>
      <c r="B144" s="0" t="s">
        <v>945</v>
      </c>
      <c r="C144" s="0" t="s">
        <v>946</v>
      </c>
      <c r="D144" s="0" t="s">
        <v>947</v>
      </c>
      <c r="E144" s="0" t="s">
        <v>655</v>
      </c>
      <c r="F144" s="0" t="s">
        <v>656</v>
      </c>
      <c r="G144" s="41" t="n">
        <v>1</v>
      </c>
      <c r="H144" s="25" t="s">
        <v>160</v>
      </c>
    </row>
    <row r="145" customFormat="false" ht="15" hidden="false" customHeight="false" outlineLevel="0" collapsed="false">
      <c r="A145" s="0" t="n">
        <v>1</v>
      </c>
      <c r="B145" s="0" t="s">
        <v>945</v>
      </c>
      <c r="C145" s="0" t="s">
        <v>948</v>
      </c>
      <c r="D145" s="0" t="s">
        <v>949</v>
      </c>
      <c r="E145" s="0" t="s">
        <v>655</v>
      </c>
      <c r="F145" s="0" t="s">
        <v>950</v>
      </c>
      <c r="G145" s="41" t="n">
        <v>16</v>
      </c>
      <c r="H145" s="25" t="s">
        <v>156</v>
      </c>
    </row>
    <row r="146" customFormat="false" ht="15" hidden="false" customHeight="false" outlineLevel="0" collapsed="false">
      <c r="A146" s="0" t="n">
        <v>1</v>
      </c>
      <c r="B146" s="0" t="s">
        <v>945</v>
      </c>
      <c r="C146" s="0" t="s">
        <v>951</v>
      </c>
      <c r="D146" s="0" t="s">
        <v>952</v>
      </c>
      <c r="E146" s="0" t="s">
        <v>655</v>
      </c>
      <c r="F146" s="0" t="s">
        <v>656</v>
      </c>
      <c r="G146" s="41" t="n">
        <v>1</v>
      </c>
      <c r="H146" s="25" t="s">
        <v>98</v>
      </c>
    </row>
    <row r="147" customFormat="false" ht="15" hidden="false" customHeight="false" outlineLevel="0" collapsed="false">
      <c r="A147" s="0" t="n">
        <v>1</v>
      </c>
      <c r="B147" s="0" t="s">
        <v>945</v>
      </c>
      <c r="C147" s="0" t="s">
        <v>953</v>
      </c>
      <c r="D147" s="0" t="s">
        <v>954</v>
      </c>
      <c r="E147" s="0" t="s">
        <v>655</v>
      </c>
      <c r="F147" s="0" t="s">
        <v>656</v>
      </c>
      <c r="G147" s="41" t="n">
        <v>1</v>
      </c>
      <c r="H147" s="25" t="s">
        <v>113</v>
      </c>
    </row>
    <row r="148" customFormat="false" ht="15" hidden="false" customHeight="false" outlineLevel="0" collapsed="false">
      <c r="A148" s="0" t="n">
        <v>1</v>
      </c>
      <c r="B148" s="0" t="s">
        <v>945</v>
      </c>
      <c r="C148" s="0" t="s">
        <v>955</v>
      </c>
      <c r="D148" s="0" t="s">
        <v>855</v>
      </c>
      <c r="E148" s="0" t="s">
        <v>655</v>
      </c>
      <c r="F148" s="0" t="s">
        <v>656</v>
      </c>
      <c r="G148" s="41" t="n">
        <v>1</v>
      </c>
      <c r="H148" s="25" t="s">
        <v>118</v>
      </c>
    </row>
    <row r="149" customFormat="false" ht="15" hidden="false" customHeight="false" outlineLevel="0" collapsed="false">
      <c r="A149" s="0" t="n">
        <v>1</v>
      </c>
      <c r="B149" s="0" t="s">
        <v>945</v>
      </c>
      <c r="C149" s="0" t="s">
        <v>956</v>
      </c>
      <c r="D149" s="0" t="s">
        <v>957</v>
      </c>
      <c r="E149" s="0" t="s">
        <v>674</v>
      </c>
      <c r="F149" s="0" t="s">
        <v>847</v>
      </c>
      <c r="G149" s="41" t="n">
        <v>600</v>
      </c>
      <c r="H149" s="25" t="s">
        <v>178</v>
      </c>
    </row>
    <row r="150" customFormat="false" ht="15" hidden="false" customHeight="false" outlineLevel="0" collapsed="false">
      <c r="A150" s="0" t="n">
        <v>1</v>
      </c>
      <c r="B150" s="0" t="s">
        <v>958</v>
      </c>
      <c r="C150" s="0" t="s">
        <v>959</v>
      </c>
      <c r="D150" s="0" t="s">
        <v>754</v>
      </c>
      <c r="E150" s="0" t="s">
        <v>655</v>
      </c>
      <c r="F150" s="0" t="s">
        <v>656</v>
      </c>
      <c r="G150" s="41" t="n">
        <v>1</v>
      </c>
      <c r="H150" s="25" t="s">
        <v>98</v>
      </c>
    </row>
    <row r="151" customFormat="false" ht="15" hidden="false" customHeight="false" outlineLevel="0" collapsed="false">
      <c r="A151" s="0" t="n">
        <v>1</v>
      </c>
      <c r="B151" s="0" t="s">
        <v>958</v>
      </c>
      <c r="C151" s="0" t="s">
        <v>960</v>
      </c>
      <c r="D151" s="0" t="s">
        <v>694</v>
      </c>
      <c r="E151" s="0" t="s">
        <v>655</v>
      </c>
      <c r="F151" s="0" t="s">
        <v>716</v>
      </c>
      <c r="G151" s="41" t="n">
        <v>12</v>
      </c>
      <c r="H151" s="25" t="s">
        <v>123</v>
      </c>
    </row>
    <row r="152" customFormat="false" ht="15" hidden="false" customHeight="false" outlineLevel="0" collapsed="false">
      <c r="A152" s="0" t="n">
        <v>1</v>
      </c>
      <c r="B152" s="0" t="s">
        <v>958</v>
      </c>
      <c r="C152" s="0" t="s">
        <v>961</v>
      </c>
      <c r="D152" s="0" t="s">
        <v>962</v>
      </c>
      <c r="E152" s="0" t="s">
        <v>655</v>
      </c>
      <c r="F152" s="0" t="s">
        <v>703</v>
      </c>
      <c r="G152" s="41" t="n">
        <v>4</v>
      </c>
      <c r="H152" s="25" t="s">
        <v>133</v>
      </c>
    </row>
    <row r="153" customFormat="false" ht="15" hidden="false" customHeight="false" outlineLevel="0" collapsed="false">
      <c r="A153" s="0" t="n">
        <v>1</v>
      </c>
      <c r="B153" s="0" t="s">
        <v>958</v>
      </c>
      <c r="C153" s="0" t="s">
        <v>963</v>
      </c>
      <c r="D153" s="0" t="s">
        <v>666</v>
      </c>
      <c r="E153" s="0" t="s">
        <v>655</v>
      </c>
      <c r="F153" s="0" t="s">
        <v>703</v>
      </c>
      <c r="G153" s="41" t="n">
        <v>4</v>
      </c>
      <c r="H153" s="25" t="s">
        <v>149</v>
      </c>
    </row>
    <row r="154" customFormat="false" ht="15" hidden="false" customHeight="false" outlineLevel="0" collapsed="false">
      <c r="A154" s="0" t="n">
        <v>1</v>
      </c>
      <c r="B154" s="0" t="s">
        <v>958</v>
      </c>
      <c r="C154" s="0" t="s">
        <v>964</v>
      </c>
      <c r="D154" s="0" t="s">
        <v>783</v>
      </c>
      <c r="E154" s="0" t="s">
        <v>655</v>
      </c>
      <c r="F154" s="0" t="s">
        <v>690</v>
      </c>
      <c r="G154" s="41" t="n">
        <v>5</v>
      </c>
      <c r="H154" s="25" t="s">
        <v>156</v>
      </c>
    </row>
    <row r="155" customFormat="false" ht="15" hidden="false" customHeight="false" outlineLevel="0" collapsed="false">
      <c r="A155" s="0" t="n">
        <v>1</v>
      </c>
      <c r="B155" s="0" t="s">
        <v>958</v>
      </c>
      <c r="C155" s="0" t="s">
        <v>965</v>
      </c>
      <c r="D155" s="0" t="s">
        <v>922</v>
      </c>
      <c r="E155" s="0" t="s">
        <v>655</v>
      </c>
      <c r="F155" s="0" t="s">
        <v>656</v>
      </c>
      <c r="G155" s="41" t="n">
        <v>1</v>
      </c>
      <c r="H155" s="25" t="s">
        <v>156</v>
      </c>
    </row>
    <row r="156" customFormat="false" ht="15" hidden="false" customHeight="false" outlineLevel="0" collapsed="false">
      <c r="A156" s="0" t="n">
        <v>1</v>
      </c>
      <c r="B156" s="0" t="s">
        <v>958</v>
      </c>
      <c r="C156" s="0" t="s">
        <v>966</v>
      </c>
      <c r="D156" s="0" t="s">
        <v>924</v>
      </c>
      <c r="E156" s="0" t="s">
        <v>655</v>
      </c>
      <c r="F156" s="0" t="s">
        <v>690</v>
      </c>
      <c r="G156" s="41" t="n">
        <v>5</v>
      </c>
      <c r="H156" s="25" t="s">
        <v>156</v>
      </c>
    </row>
    <row r="157" customFormat="false" ht="15" hidden="false" customHeight="false" outlineLevel="0" collapsed="false">
      <c r="A157" s="0" t="n">
        <v>1</v>
      </c>
      <c r="B157" s="0" t="s">
        <v>958</v>
      </c>
      <c r="C157" s="0" t="s">
        <v>967</v>
      </c>
      <c r="D157" s="0" t="s">
        <v>926</v>
      </c>
      <c r="E157" s="0" t="s">
        <v>655</v>
      </c>
      <c r="F157" s="0" t="s">
        <v>656</v>
      </c>
      <c r="G157" s="41" t="n">
        <v>1</v>
      </c>
      <c r="H157" s="25" t="s">
        <v>118</v>
      </c>
    </row>
    <row r="158" customFormat="false" ht="15" hidden="false" customHeight="false" outlineLevel="0" collapsed="false">
      <c r="A158" s="0" t="n">
        <v>1</v>
      </c>
      <c r="B158" s="0" t="s">
        <v>958</v>
      </c>
      <c r="C158" s="0" t="s">
        <v>968</v>
      </c>
      <c r="D158" s="0" t="s">
        <v>940</v>
      </c>
      <c r="E158" s="0" t="s">
        <v>674</v>
      </c>
      <c r="F158" s="0" t="s">
        <v>941</v>
      </c>
      <c r="G158" s="41" t="n">
        <v>350</v>
      </c>
      <c r="H158" s="25" t="s">
        <v>178</v>
      </c>
    </row>
    <row r="159" customFormat="false" ht="15" hidden="false" customHeight="false" outlineLevel="0" collapsed="false">
      <c r="A159" s="0" t="n">
        <v>1</v>
      </c>
      <c r="B159" s="0" t="s">
        <v>958</v>
      </c>
      <c r="C159" s="0" t="s">
        <v>969</v>
      </c>
      <c r="D159" s="0" t="s">
        <v>723</v>
      </c>
      <c r="E159" s="0" t="s">
        <v>674</v>
      </c>
      <c r="F159" s="0" t="s">
        <v>816</v>
      </c>
      <c r="G159" s="41" t="n">
        <v>100</v>
      </c>
      <c r="H159" s="25" t="s">
        <v>178</v>
      </c>
    </row>
    <row r="160" customFormat="false" ht="15" hidden="false" customHeight="false" outlineLevel="0" collapsed="false">
      <c r="A160" s="0" t="n">
        <v>1</v>
      </c>
      <c r="B160" s="0" t="s">
        <v>970</v>
      </c>
      <c r="C160" s="0" t="s">
        <v>971</v>
      </c>
      <c r="D160" s="0" t="s">
        <v>687</v>
      </c>
      <c r="E160" s="0" t="s">
        <v>655</v>
      </c>
      <c r="F160" s="0" t="s">
        <v>659</v>
      </c>
      <c r="G160" s="41" t="n">
        <v>2</v>
      </c>
      <c r="H160" s="25" t="s">
        <v>106</v>
      </c>
    </row>
    <row r="161" customFormat="false" ht="15" hidden="false" customHeight="false" outlineLevel="0" collapsed="false">
      <c r="A161" s="0" t="n">
        <v>1</v>
      </c>
      <c r="B161" s="0" t="s">
        <v>970</v>
      </c>
      <c r="C161" s="0" t="s">
        <v>972</v>
      </c>
      <c r="D161" s="0" t="s">
        <v>973</v>
      </c>
      <c r="E161" s="0" t="s">
        <v>655</v>
      </c>
      <c r="F161" s="0" t="s">
        <v>656</v>
      </c>
      <c r="G161" s="41" t="n">
        <v>1</v>
      </c>
      <c r="H161" s="25" t="s">
        <v>98</v>
      </c>
    </row>
    <row r="162" customFormat="false" ht="15" hidden="false" customHeight="false" outlineLevel="0" collapsed="false">
      <c r="A162" s="0" t="n">
        <v>1</v>
      </c>
      <c r="B162" s="0" t="s">
        <v>970</v>
      </c>
      <c r="C162" s="0" t="s">
        <v>974</v>
      </c>
      <c r="D162" s="0" t="s">
        <v>975</v>
      </c>
      <c r="E162" s="0" t="s">
        <v>655</v>
      </c>
      <c r="F162" s="0" t="s">
        <v>656</v>
      </c>
      <c r="G162" s="41" t="n">
        <v>1</v>
      </c>
      <c r="H162" s="25" t="s">
        <v>98</v>
      </c>
    </row>
    <row r="163" customFormat="false" ht="15" hidden="false" customHeight="false" outlineLevel="0" collapsed="false">
      <c r="A163" s="0" t="n">
        <v>1</v>
      </c>
      <c r="B163" s="0" t="s">
        <v>970</v>
      </c>
      <c r="C163" s="0" t="s">
        <v>976</v>
      </c>
      <c r="D163" s="0" t="s">
        <v>654</v>
      </c>
      <c r="E163" s="0" t="s">
        <v>655</v>
      </c>
      <c r="F163" s="0" t="s">
        <v>659</v>
      </c>
      <c r="G163" s="41" t="n">
        <v>2</v>
      </c>
      <c r="H163" s="25" t="s">
        <v>98</v>
      </c>
    </row>
    <row r="164" customFormat="false" ht="15" hidden="false" customHeight="false" outlineLevel="0" collapsed="false">
      <c r="A164" s="0" t="n">
        <v>1</v>
      </c>
      <c r="B164" s="0" t="s">
        <v>970</v>
      </c>
      <c r="C164" s="0" t="s">
        <v>977</v>
      </c>
      <c r="D164" s="0" t="s">
        <v>978</v>
      </c>
      <c r="E164" s="0" t="s">
        <v>655</v>
      </c>
      <c r="F164" s="0" t="s">
        <v>656</v>
      </c>
      <c r="G164" s="41" t="n">
        <v>1</v>
      </c>
      <c r="H164" s="25" t="s">
        <v>118</v>
      </c>
    </row>
    <row r="165" customFormat="false" ht="15" hidden="false" customHeight="false" outlineLevel="0" collapsed="false">
      <c r="A165" s="0" t="n">
        <v>1</v>
      </c>
      <c r="B165" s="0" t="s">
        <v>970</v>
      </c>
      <c r="C165" s="0" t="s">
        <v>979</v>
      </c>
      <c r="D165" s="0" t="s">
        <v>980</v>
      </c>
      <c r="E165" s="0" t="s">
        <v>655</v>
      </c>
      <c r="F165" s="0" t="s">
        <v>659</v>
      </c>
      <c r="G165" s="41" t="n">
        <v>2</v>
      </c>
      <c r="H165" s="25" t="s">
        <v>118</v>
      </c>
    </row>
    <row r="166" customFormat="false" ht="15" hidden="false" customHeight="false" outlineLevel="0" collapsed="false">
      <c r="A166" s="0" t="n">
        <v>1</v>
      </c>
      <c r="B166" s="0" t="s">
        <v>970</v>
      </c>
      <c r="C166" s="0" t="s">
        <v>981</v>
      </c>
      <c r="D166" s="0" t="s">
        <v>669</v>
      </c>
      <c r="E166" s="0" t="s">
        <v>655</v>
      </c>
      <c r="F166" s="0" t="s">
        <v>667</v>
      </c>
      <c r="G166" s="41" t="n">
        <v>3</v>
      </c>
      <c r="H166" s="25" t="s">
        <v>156</v>
      </c>
    </row>
    <row r="167" customFormat="false" ht="15" hidden="false" customHeight="false" outlineLevel="0" collapsed="false">
      <c r="A167" s="0" t="n">
        <v>1</v>
      </c>
      <c r="B167" s="0" t="s">
        <v>970</v>
      </c>
      <c r="C167" s="0" t="s">
        <v>982</v>
      </c>
      <c r="D167" s="0" t="s">
        <v>666</v>
      </c>
      <c r="E167" s="0" t="s">
        <v>655</v>
      </c>
      <c r="F167" s="0" t="s">
        <v>667</v>
      </c>
      <c r="G167" s="41" t="n">
        <v>3</v>
      </c>
      <c r="H167" s="25" t="s">
        <v>149</v>
      </c>
    </row>
    <row r="168" customFormat="false" ht="15" hidden="false" customHeight="false" outlineLevel="0" collapsed="false">
      <c r="A168" s="0" t="n">
        <v>1</v>
      </c>
      <c r="B168" s="0" t="s">
        <v>970</v>
      </c>
      <c r="C168" s="0" t="s">
        <v>983</v>
      </c>
      <c r="D168" s="0" t="s">
        <v>744</v>
      </c>
      <c r="E168" s="0" t="s">
        <v>655</v>
      </c>
      <c r="F168" s="0" t="s">
        <v>667</v>
      </c>
      <c r="G168" s="41" t="n">
        <v>3</v>
      </c>
      <c r="H168" s="25" t="s">
        <v>156</v>
      </c>
    </row>
    <row r="169" customFormat="false" ht="15" hidden="false" customHeight="false" outlineLevel="0" collapsed="false">
      <c r="A169" s="0" t="n">
        <v>1</v>
      </c>
      <c r="B169" s="0" t="s">
        <v>970</v>
      </c>
      <c r="C169" s="0" t="s">
        <v>984</v>
      </c>
      <c r="D169" s="0" t="s">
        <v>713</v>
      </c>
      <c r="E169" s="0" t="s">
        <v>655</v>
      </c>
      <c r="F169" s="0" t="s">
        <v>829</v>
      </c>
      <c r="G169" s="41" t="n">
        <v>6</v>
      </c>
      <c r="H169" s="25" t="s">
        <v>123</v>
      </c>
    </row>
    <row r="170" customFormat="false" ht="15" hidden="false" customHeight="false" outlineLevel="0" collapsed="false">
      <c r="A170" s="0" t="n">
        <v>1</v>
      </c>
      <c r="B170" s="0" t="s">
        <v>970</v>
      </c>
      <c r="C170" s="0" t="s">
        <v>985</v>
      </c>
      <c r="D170" s="0" t="s">
        <v>986</v>
      </c>
      <c r="E170" s="0" t="s">
        <v>674</v>
      </c>
      <c r="F170" s="0" t="s">
        <v>679</v>
      </c>
      <c r="G170" s="41" t="n">
        <v>30</v>
      </c>
      <c r="H170" s="25" t="s">
        <v>178</v>
      </c>
    </row>
    <row r="171" customFormat="false" ht="15" hidden="false" customHeight="false" outlineLevel="0" collapsed="false">
      <c r="A171" s="0" t="n">
        <v>1</v>
      </c>
      <c r="B171" s="0" t="s">
        <v>987</v>
      </c>
      <c r="C171" s="0" t="s">
        <v>988</v>
      </c>
      <c r="D171" s="0" t="s">
        <v>685</v>
      </c>
      <c r="E171" s="0" t="s">
        <v>655</v>
      </c>
      <c r="F171" s="0" t="s">
        <v>656</v>
      </c>
      <c r="G171" s="41" t="n">
        <v>1</v>
      </c>
      <c r="H171" s="25" t="s">
        <v>98</v>
      </c>
    </row>
    <row r="172" customFormat="false" ht="15" hidden="false" customHeight="false" outlineLevel="0" collapsed="false">
      <c r="A172" s="0" t="n">
        <v>1</v>
      </c>
      <c r="B172" s="0" t="s">
        <v>987</v>
      </c>
      <c r="C172" s="0" t="s">
        <v>989</v>
      </c>
      <c r="D172" s="0" t="s">
        <v>711</v>
      </c>
      <c r="E172" s="0" t="s">
        <v>655</v>
      </c>
      <c r="F172" s="0" t="s">
        <v>656</v>
      </c>
      <c r="G172" s="41" t="n">
        <v>1</v>
      </c>
      <c r="H172" s="25" t="s">
        <v>98</v>
      </c>
    </row>
    <row r="173" customFormat="false" ht="15" hidden="false" customHeight="false" outlineLevel="0" collapsed="false">
      <c r="A173" s="0" t="n">
        <v>1</v>
      </c>
      <c r="B173" s="0" t="s">
        <v>987</v>
      </c>
      <c r="C173" s="0" t="s">
        <v>990</v>
      </c>
      <c r="D173" s="0" t="s">
        <v>687</v>
      </c>
      <c r="E173" s="0" t="s">
        <v>655</v>
      </c>
      <c r="F173" s="0" t="s">
        <v>656</v>
      </c>
      <c r="G173" s="41" t="n">
        <v>1</v>
      </c>
      <c r="H173" s="25" t="s">
        <v>106</v>
      </c>
    </row>
    <row r="174" customFormat="false" ht="15" hidden="false" customHeight="false" outlineLevel="0" collapsed="false">
      <c r="A174" s="0" t="n">
        <v>1</v>
      </c>
      <c r="B174" s="0" t="s">
        <v>987</v>
      </c>
      <c r="C174" s="0" t="s">
        <v>991</v>
      </c>
      <c r="D174" s="0" t="s">
        <v>694</v>
      </c>
      <c r="E174" s="0" t="s">
        <v>655</v>
      </c>
      <c r="F174" s="0" t="s">
        <v>992</v>
      </c>
      <c r="G174" s="41" t="n">
        <v>80</v>
      </c>
      <c r="H174" s="25" t="s">
        <v>123</v>
      </c>
    </row>
    <row r="175" customFormat="false" ht="15" hidden="false" customHeight="false" outlineLevel="0" collapsed="false">
      <c r="A175" s="0" t="n">
        <v>1</v>
      </c>
      <c r="B175" s="0" t="s">
        <v>987</v>
      </c>
      <c r="C175" s="0" t="s">
        <v>993</v>
      </c>
      <c r="D175" s="0" t="s">
        <v>994</v>
      </c>
      <c r="E175" s="0" t="s">
        <v>655</v>
      </c>
      <c r="F175" s="0" t="s">
        <v>703</v>
      </c>
      <c r="G175" s="41" t="n">
        <v>4</v>
      </c>
      <c r="H175" s="25" t="s">
        <v>123</v>
      </c>
    </row>
    <row r="176" customFormat="false" ht="15" hidden="false" customHeight="false" outlineLevel="0" collapsed="false">
      <c r="A176" s="0" t="n">
        <v>1</v>
      </c>
      <c r="B176" s="0" t="s">
        <v>987</v>
      </c>
      <c r="C176" s="0" t="s">
        <v>995</v>
      </c>
      <c r="D176" s="0" t="s">
        <v>666</v>
      </c>
      <c r="E176" s="0" t="s">
        <v>655</v>
      </c>
      <c r="F176" s="0" t="s">
        <v>836</v>
      </c>
      <c r="G176" s="41" t="n">
        <v>10</v>
      </c>
      <c r="H176" s="25" t="s">
        <v>149</v>
      </c>
    </row>
    <row r="177" customFormat="false" ht="15" hidden="false" customHeight="false" outlineLevel="0" collapsed="false">
      <c r="A177" s="0" t="n">
        <v>1</v>
      </c>
      <c r="B177" s="0" t="s">
        <v>987</v>
      </c>
      <c r="C177" s="0" t="s">
        <v>996</v>
      </c>
      <c r="D177" s="0" t="s">
        <v>997</v>
      </c>
      <c r="E177" s="0" t="s">
        <v>655</v>
      </c>
      <c r="F177" s="0" t="s">
        <v>656</v>
      </c>
      <c r="G177" s="41" t="n">
        <v>1</v>
      </c>
      <c r="H177" s="25" t="s">
        <v>156</v>
      </c>
    </row>
    <row r="178" customFormat="false" ht="15" hidden="false" customHeight="false" outlineLevel="0" collapsed="false">
      <c r="A178" s="0" t="n">
        <v>1</v>
      </c>
      <c r="B178" s="0" t="s">
        <v>987</v>
      </c>
      <c r="C178" s="0" t="s">
        <v>998</v>
      </c>
      <c r="D178" s="0" t="s">
        <v>999</v>
      </c>
      <c r="E178" s="0" t="s">
        <v>655</v>
      </c>
      <c r="F178" s="0" t="s">
        <v>667</v>
      </c>
      <c r="G178" s="41" t="n">
        <v>3</v>
      </c>
      <c r="H178" s="25" t="s">
        <v>113</v>
      </c>
    </row>
    <row r="179" customFormat="false" ht="15" hidden="false" customHeight="false" outlineLevel="0" collapsed="false">
      <c r="A179" s="0" t="n">
        <v>1</v>
      </c>
      <c r="B179" s="0" t="s">
        <v>987</v>
      </c>
      <c r="C179" s="0" t="s">
        <v>1000</v>
      </c>
      <c r="D179" s="0" t="s">
        <v>1001</v>
      </c>
      <c r="E179" s="0" t="s">
        <v>655</v>
      </c>
      <c r="F179" s="0" t="s">
        <v>656</v>
      </c>
      <c r="G179" s="41" t="n">
        <v>1</v>
      </c>
      <c r="H179" s="25" t="s">
        <v>106</v>
      </c>
    </row>
    <row r="180" customFormat="false" ht="15" hidden="false" customHeight="false" outlineLevel="0" collapsed="false">
      <c r="A180" s="0" t="n">
        <v>1</v>
      </c>
      <c r="B180" s="0" t="s">
        <v>987</v>
      </c>
      <c r="C180" s="0" t="s">
        <v>1002</v>
      </c>
      <c r="D180" s="0" t="s">
        <v>783</v>
      </c>
      <c r="E180" s="0" t="s">
        <v>655</v>
      </c>
      <c r="F180" s="0" t="s">
        <v>781</v>
      </c>
      <c r="G180" s="41" t="n">
        <v>8</v>
      </c>
      <c r="H180" s="25" t="s">
        <v>156</v>
      </c>
    </row>
    <row r="181" customFormat="false" ht="15" hidden="false" customHeight="false" outlineLevel="0" collapsed="false">
      <c r="A181" s="0" t="n">
        <v>1</v>
      </c>
      <c r="B181" s="0" t="s">
        <v>987</v>
      </c>
      <c r="C181" s="0" t="s">
        <v>1003</v>
      </c>
      <c r="D181" s="0" t="s">
        <v>671</v>
      </c>
      <c r="E181" s="0" t="s">
        <v>655</v>
      </c>
      <c r="F181" s="0" t="s">
        <v>703</v>
      </c>
      <c r="G181" s="41" t="n">
        <v>4</v>
      </c>
      <c r="H181" s="25" t="s">
        <v>156</v>
      </c>
    </row>
    <row r="182" customFormat="false" ht="15" hidden="false" customHeight="false" outlineLevel="0" collapsed="false">
      <c r="A182" s="0" t="n">
        <v>1</v>
      </c>
      <c r="B182" s="0" t="s">
        <v>987</v>
      </c>
      <c r="C182" s="0" t="s">
        <v>1004</v>
      </c>
      <c r="D182" s="0" t="s">
        <v>986</v>
      </c>
      <c r="E182" s="0" t="s">
        <v>674</v>
      </c>
      <c r="F182" s="0" t="s">
        <v>1005</v>
      </c>
      <c r="G182" s="41" t="n">
        <v>550</v>
      </c>
      <c r="H182" s="25" t="s">
        <v>178</v>
      </c>
    </row>
    <row r="183" customFormat="false" ht="15" hidden="false" customHeight="false" outlineLevel="0" collapsed="false">
      <c r="A183" s="0" t="n">
        <v>2</v>
      </c>
      <c r="B183" s="0" t="s">
        <v>1006</v>
      </c>
      <c r="C183" s="0" t="s">
        <v>653</v>
      </c>
      <c r="D183" s="0" t="s">
        <v>738</v>
      </c>
      <c r="E183" s="0" t="s">
        <v>655</v>
      </c>
      <c r="F183" s="0" t="s">
        <v>656</v>
      </c>
      <c r="G183" s="41" t="n">
        <v>1</v>
      </c>
      <c r="H183" s="25" t="s">
        <v>98</v>
      </c>
    </row>
    <row r="184" customFormat="false" ht="15" hidden="false" customHeight="false" outlineLevel="0" collapsed="false">
      <c r="A184" s="0" t="n">
        <v>2</v>
      </c>
      <c r="B184" s="0" t="s">
        <v>1006</v>
      </c>
      <c r="C184" s="0" t="s">
        <v>657</v>
      </c>
      <c r="D184" s="0" t="s">
        <v>1007</v>
      </c>
      <c r="E184" s="0" t="s">
        <v>655</v>
      </c>
      <c r="F184" s="0" t="s">
        <v>656</v>
      </c>
      <c r="G184" s="41" t="n">
        <v>1</v>
      </c>
      <c r="H184" s="25" t="s">
        <v>98</v>
      </c>
    </row>
    <row r="185" customFormat="false" ht="15" hidden="false" customHeight="false" outlineLevel="0" collapsed="false">
      <c r="A185" s="0" t="n">
        <v>2</v>
      </c>
      <c r="B185" s="0" t="s">
        <v>1006</v>
      </c>
      <c r="C185" s="0" t="s">
        <v>660</v>
      </c>
      <c r="D185" s="0" t="s">
        <v>1008</v>
      </c>
      <c r="E185" s="0" t="s">
        <v>655</v>
      </c>
      <c r="F185" s="0" t="s">
        <v>667</v>
      </c>
      <c r="G185" s="41" t="n">
        <v>3</v>
      </c>
      <c r="H185" s="25" t="s">
        <v>106</v>
      </c>
    </row>
    <row r="186" customFormat="false" ht="15" hidden="false" customHeight="false" outlineLevel="0" collapsed="false">
      <c r="A186" s="0" t="n">
        <v>2</v>
      </c>
      <c r="B186" s="0" t="s">
        <v>1006</v>
      </c>
      <c r="C186" s="0" t="s">
        <v>662</v>
      </c>
      <c r="D186" s="0" t="s">
        <v>1009</v>
      </c>
      <c r="E186" s="0" t="s">
        <v>655</v>
      </c>
      <c r="F186" s="0" t="s">
        <v>656</v>
      </c>
      <c r="G186" s="41" t="n">
        <v>1</v>
      </c>
      <c r="H186" s="25" t="s">
        <v>113</v>
      </c>
    </row>
    <row r="187" customFormat="false" ht="15" hidden="false" customHeight="false" outlineLevel="0" collapsed="false">
      <c r="A187" s="0" t="n">
        <v>2</v>
      </c>
      <c r="B187" s="0" t="s">
        <v>1006</v>
      </c>
      <c r="C187" s="0" t="s">
        <v>665</v>
      </c>
      <c r="D187" s="0" t="s">
        <v>1010</v>
      </c>
      <c r="E187" s="0" t="s">
        <v>655</v>
      </c>
      <c r="F187" s="0" t="s">
        <v>781</v>
      </c>
      <c r="G187" s="41" t="n">
        <v>8</v>
      </c>
      <c r="H187" s="25" t="s">
        <v>149</v>
      </c>
    </row>
    <row r="188" customFormat="false" ht="15" hidden="false" customHeight="false" outlineLevel="0" collapsed="false">
      <c r="A188" s="0" t="n">
        <v>2</v>
      </c>
      <c r="B188" s="0" t="s">
        <v>1006</v>
      </c>
      <c r="C188" s="0" t="s">
        <v>668</v>
      </c>
      <c r="D188" s="0" t="s">
        <v>1011</v>
      </c>
      <c r="E188" s="0" t="s">
        <v>655</v>
      </c>
      <c r="F188" s="0" t="s">
        <v>1012</v>
      </c>
      <c r="G188" s="41" t="n">
        <v>53</v>
      </c>
      <c r="H188" s="25" t="s">
        <v>123</v>
      </c>
    </row>
    <row r="189" customFormat="false" ht="15" hidden="false" customHeight="false" outlineLevel="0" collapsed="false">
      <c r="A189" s="0" t="n">
        <v>2</v>
      </c>
      <c r="B189" s="0" t="s">
        <v>1006</v>
      </c>
      <c r="C189" s="0" t="s">
        <v>670</v>
      </c>
      <c r="D189" s="0" t="s">
        <v>1013</v>
      </c>
      <c r="E189" s="0" t="s">
        <v>655</v>
      </c>
      <c r="F189" s="0" t="s">
        <v>659</v>
      </c>
      <c r="G189" s="41" t="n">
        <v>2</v>
      </c>
      <c r="H189" s="25" t="s">
        <v>133</v>
      </c>
    </row>
    <row r="190" customFormat="false" ht="15" hidden="false" customHeight="false" outlineLevel="0" collapsed="false">
      <c r="A190" s="0" t="n">
        <v>2</v>
      </c>
      <c r="B190" s="0" t="s">
        <v>1006</v>
      </c>
      <c r="C190" s="0" t="s">
        <v>672</v>
      </c>
      <c r="D190" s="0" t="s">
        <v>1014</v>
      </c>
      <c r="E190" s="0" t="s">
        <v>655</v>
      </c>
      <c r="F190" s="0" t="s">
        <v>935</v>
      </c>
      <c r="G190" s="41" t="n">
        <v>9</v>
      </c>
      <c r="H190" s="25" t="s">
        <v>152</v>
      </c>
    </row>
    <row r="191" customFormat="false" ht="15" hidden="false" customHeight="false" outlineLevel="0" collapsed="false">
      <c r="A191" s="0" t="n">
        <v>2</v>
      </c>
      <c r="B191" s="0" t="s">
        <v>1006</v>
      </c>
      <c r="C191" s="0" t="s">
        <v>1015</v>
      </c>
      <c r="D191" s="0" t="s">
        <v>1016</v>
      </c>
      <c r="E191" s="0" t="s">
        <v>655</v>
      </c>
      <c r="F191" s="0" t="s">
        <v>836</v>
      </c>
      <c r="G191" s="41" t="n">
        <v>10</v>
      </c>
      <c r="H191" s="25" t="s">
        <v>156</v>
      </c>
    </row>
    <row r="192" customFormat="false" ht="15" hidden="false" customHeight="false" outlineLevel="0" collapsed="false">
      <c r="A192" s="0" t="n">
        <v>2</v>
      </c>
      <c r="B192" s="0" t="s">
        <v>1006</v>
      </c>
      <c r="C192" s="0" t="s">
        <v>1017</v>
      </c>
      <c r="D192" s="0" t="s">
        <v>1018</v>
      </c>
      <c r="E192" s="0" t="s">
        <v>655</v>
      </c>
      <c r="F192" s="0" t="s">
        <v>659</v>
      </c>
      <c r="G192" s="41" t="n">
        <v>2</v>
      </c>
      <c r="H192" s="25" t="s">
        <v>149</v>
      </c>
    </row>
    <row r="193" customFormat="false" ht="15" hidden="false" customHeight="false" outlineLevel="0" collapsed="false">
      <c r="A193" s="0" t="n">
        <v>2</v>
      </c>
      <c r="B193" s="0" t="s">
        <v>1006</v>
      </c>
      <c r="C193" s="0" t="s">
        <v>1019</v>
      </c>
      <c r="D193" s="0" t="s">
        <v>1020</v>
      </c>
      <c r="E193" s="0" t="s">
        <v>655</v>
      </c>
      <c r="F193" s="0" t="s">
        <v>667</v>
      </c>
      <c r="G193" s="41" t="n">
        <v>3</v>
      </c>
      <c r="H193" s="25" t="s">
        <v>149</v>
      </c>
    </row>
    <row r="194" customFormat="false" ht="15" hidden="false" customHeight="false" outlineLevel="0" collapsed="false">
      <c r="A194" s="0" t="n">
        <v>2</v>
      </c>
      <c r="B194" s="0" t="s">
        <v>1006</v>
      </c>
      <c r="C194" s="0" t="s">
        <v>1021</v>
      </c>
      <c r="D194" s="0" t="s">
        <v>1022</v>
      </c>
      <c r="E194" s="0" t="s">
        <v>655</v>
      </c>
      <c r="F194" s="0" t="s">
        <v>659</v>
      </c>
      <c r="G194" s="41" t="n">
        <v>2</v>
      </c>
      <c r="H194" s="25" t="s">
        <v>156</v>
      </c>
    </row>
    <row r="195" customFormat="false" ht="15" hidden="false" customHeight="false" outlineLevel="0" collapsed="false">
      <c r="A195" s="0" t="n">
        <v>2</v>
      </c>
      <c r="B195" s="0" t="s">
        <v>1006</v>
      </c>
      <c r="C195" s="0" t="s">
        <v>1023</v>
      </c>
      <c r="D195" s="0" t="s">
        <v>1024</v>
      </c>
      <c r="E195" s="0" t="s">
        <v>655</v>
      </c>
      <c r="F195" s="0" t="s">
        <v>690</v>
      </c>
      <c r="G195" s="41" t="n">
        <v>5</v>
      </c>
      <c r="H195" s="25" t="s">
        <v>156</v>
      </c>
    </row>
    <row r="196" customFormat="false" ht="15" hidden="false" customHeight="false" outlineLevel="0" collapsed="false">
      <c r="A196" s="0" t="n">
        <v>2</v>
      </c>
      <c r="B196" s="0" t="s">
        <v>1006</v>
      </c>
      <c r="C196" s="0" t="s">
        <v>1025</v>
      </c>
      <c r="D196" s="0" t="s">
        <v>1026</v>
      </c>
      <c r="E196" s="0" t="s">
        <v>655</v>
      </c>
      <c r="F196" s="0" t="s">
        <v>690</v>
      </c>
      <c r="G196" s="41" t="n">
        <v>5</v>
      </c>
      <c r="H196" s="25" t="s">
        <v>113</v>
      </c>
    </row>
    <row r="197" customFormat="false" ht="15" hidden="false" customHeight="false" outlineLevel="0" collapsed="false">
      <c r="A197" s="0" t="n">
        <v>2</v>
      </c>
      <c r="B197" s="0" t="s">
        <v>1006</v>
      </c>
      <c r="C197" s="0" t="s">
        <v>1027</v>
      </c>
      <c r="D197" s="0" t="s">
        <v>1028</v>
      </c>
      <c r="E197" s="0" t="s">
        <v>655</v>
      </c>
      <c r="F197" s="0" t="s">
        <v>703</v>
      </c>
      <c r="G197" s="41" t="n">
        <v>4</v>
      </c>
      <c r="H197" s="25" t="s">
        <v>156</v>
      </c>
    </row>
    <row r="198" customFormat="false" ht="15" hidden="false" customHeight="false" outlineLevel="0" collapsed="false">
      <c r="A198" s="0" t="n">
        <v>2</v>
      </c>
      <c r="B198" s="0" t="s">
        <v>1006</v>
      </c>
      <c r="C198" s="0" t="s">
        <v>1029</v>
      </c>
      <c r="D198" s="0" t="s">
        <v>1030</v>
      </c>
      <c r="E198" s="0" t="s">
        <v>655</v>
      </c>
      <c r="F198" s="0" t="s">
        <v>656</v>
      </c>
      <c r="G198" s="41" t="n">
        <v>1</v>
      </c>
      <c r="H198" s="25" t="s">
        <v>106</v>
      </c>
    </row>
    <row r="199" customFormat="false" ht="15" hidden="false" customHeight="false" outlineLevel="0" collapsed="false">
      <c r="A199" s="0" t="n">
        <v>2</v>
      </c>
      <c r="B199" s="0" t="s">
        <v>1006</v>
      </c>
      <c r="C199" s="0" t="s">
        <v>1031</v>
      </c>
      <c r="D199" s="0" t="s">
        <v>1032</v>
      </c>
      <c r="E199" s="0" t="s">
        <v>655</v>
      </c>
      <c r="F199" s="0" t="s">
        <v>656</v>
      </c>
      <c r="G199" s="41" t="n">
        <v>1</v>
      </c>
      <c r="H199" s="25" t="s">
        <v>118</v>
      </c>
    </row>
    <row r="200" customFormat="false" ht="15" hidden="false" customHeight="false" outlineLevel="0" collapsed="false">
      <c r="A200" s="0" t="n">
        <v>2</v>
      </c>
      <c r="B200" s="0" t="s">
        <v>1006</v>
      </c>
      <c r="C200" s="0" t="s">
        <v>1033</v>
      </c>
      <c r="D200" s="0" t="s">
        <v>1034</v>
      </c>
      <c r="E200" s="0" t="s">
        <v>655</v>
      </c>
      <c r="F200" s="0" t="s">
        <v>836</v>
      </c>
      <c r="G200" s="41" t="n">
        <v>10</v>
      </c>
      <c r="H200" s="25" t="s">
        <v>118</v>
      </c>
    </row>
    <row r="201" customFormat="false" ht="15" hidden="false" customHeight="false" outlineLevel="0" collapsed="false">
      <c r="A201" s="0" t="n">
        <v>2</v>
      </c>
      <c r="B201" s="0" t="s">
        <v>1006</v>
      </c>
      <c r="C201" s="0" t="s">
        <v>1035</v>
      </c>
      <c r="D201" s="0" t="s">
        <v>1036</v>
      </c>
      <c r="E201" s="0" t="s">
        <v>261</v>
      </c>
      <c r="F201" s="0" t="s">
        <v>1037</v>
      </c>
      <c r="G201" s="41" t="n">
        <v>970</v>
      </c>
      <c r="H201" s="25" t="s">
        <v>143</v>
      </c>
    </row>
    <row r="202" customFormat="false" ht="15" hidden="false" customHeight="false" outlineLevel="0" collapsed="false">
      <c r="A202" s="0" t="n">
        <v>2</v>
      </c>
      <c r="B202" s="0" t="s">
        <v>1006</v>
      </c>
      <c r="C202" s="0" t="s">
        <v>1038</v>
      </c>
      <c r="D202" s="0" t="s">
        <v>1039</v>
      </c>
      <c r="E202" s="0" t="s">
        <v>655</v>
      </c>
      <c r="F202" s="0" t="s">
        <v>836</v>
      </c>
      <c r="G202" s="41" t="n">
        <v>10</v>
      </c>
      <c r="H202" s="25" t="s">
        <v>156</v>
      </c>
    </row>
    <row r="203" customFormat="false" ht="15" hidden="false" customHeight="false" outlineLevel="0" collapsed="false">
      <c r="A203" s="0" t="n">
        <v>2</v>
      </c>
      <c r="B203" s="0" t="s">
        <v>1006</v>
      </c>
      <c r="C203" s="0" t="s">
        <v>1040</v>
      </c>
      <c r="D203" s="0" t="s">
        <v>1041</v>
      </c>
      <c r="E203" s="0" t="s">
        <v>261</v>
      </c>
      <c r="F203" s="0" t="s">
        <v>1042</v>
      </c>
      <c r="G203" s="41" t="n">
        <v>530</v>
      </c>
      <c r="H203" s="25" t="s">
        <v>178</v>
      </c>
    </row>
    <row r="204" customFormat="false" ht="15" hidden="false" customHeight="false" outlineLevel="0" collapsed="false">
      <c r="A204" s="0" t="n">
        <v>2</v>
      </c>
      <c r="B204" s="0" t="s">
        <v>1006</v>
      </c>
      <c r="C204" s="0" t="s">
        <v>1043</v>
      </c>
      <c r="D204" s="0" t="s">
        <v>1044</v>
      </c>
      <c r="E204" s="0" t="s">
        <v>261</v>
      </c>
      <c r="F204" s="0" t="s">
        <v>1045</v>
      </c>
      <c r="G204" s="41" t="n">
        <v>0.5</v>
      </c>
      <c r="H204" s="25" t="s">
        <v>178</v>
      </c>
    </row>
    <row r="205" customFormat="false" ht="15" hidden="false" customHeight="false" outlineLevel="0" collapsed="false">
      <c r="A205" s="0" t="n">
        <v>2</v>
      </c>
      <c r="B205" s="0" t="s">
        <v>1006</v>
      </c>
      <c r="C205" s="0" t="s">
        <v>1046</v>
      </c>
      <c r="D205" s="0" t="s">
        <v>1047</v>
      </c>
      <c r="E205" s="0" t="s">
        <v>261</v>
      </c>
      <c r="F205" s="0" t="s">
        <v>665</v>
      </c>
      <c r="G205" s="41" t="n">
        <v>1.5</v>
      </c>
      <c r="H205" s="25" t="s">
        <v>178</v>
      </c>
    </row>
    <row r="206" customFormat="false" ht="15" hidden="false" customHeight="false" outlineLevel="0" collapsed="false">
      <c r="A206" s="0" t="n">
        <v>2</v>
      </c>
      <c r="B206" s="0" t="s">
        <v>1006</v>
      </c>
      <c r="C206" s="0" t="s">
        <v>1048</v>
      </c>
      <c r="D206" s="0" t="s">
        <v>1049</v>
      </c>
      <c r="E206" s="0" t="s">
        <v>261</v>
      </c>
      <c r="F206" s="0" t="s">
        <v>679</v>
      </c>
      <c r="G206" s="41" t="n">
        <v>30</v>
      </c>
      <c r="H206" s="25" t="s">
        <v>178</v>
      </c>
    </row>
    <row r="207" customFormat="false" ht="15" hidden="false" customHeight="false" outlineLevel="0" collapsed="false">
      <c r="A207" s="0" t="n">
        <v>2</v>
      </c>
      <c r="B207" s="0" t="s">
        <v>1006</v>
      </c>
      <c r="C207" s="0" t="s">
        <v>1050</v>
      </c>
      <c r="D207" s="0" t="s">
        <v>1051</v>
      </c>
      <c r="E207" s="0" t="s">
        <v>261</v>
      </c>
      <c r="F207" s="0" t="s">
        <v>822</v>
      </c>
      <c r="G207" s="41" t="n">
        <v>125</v>
      </c>
      <c r="H207" s="25" t="s">
        <v>178</v>
      </c>
    </row>
    <row r="208" customFormat="false" ht="15" hidden="false" customHeight="false" outlineLevel="0" collapsed="false">
      <c r="A208" s="0" t="n">
        <v>2</v>
      </c>
      <c r="B208" s="0" t="s">
        <v>1052</v>
      </c>
      <c r="C208" s="0" t="s">
        <v>677</v>
      </c>
      <c r="D208" s="0" t="s">
        <v>1022</v>
      </c>
      <c r="E208" s="0" t="s">
        <v>655</v>
      </c>
      <c r="F208" s="0" t="s">
        <v>656</v>
      </c>
      <c r="G208" s="41" t="n">
        <v>1</v>
      </c>
      <c r="H208" s="25" t="s">
        <v>156</v>
      </c>
    </row>
    <row r="209" customFormat="false" ht="15" hidden="false" customHeight="false" outlineLevel="0" collapsed="false">
      <c r="A209" s="0" t="n">
        <v>2</v>
      </c>
      <c r="B209" s="0" t="s">
        <v>1052</v>
      </c>
      <c r="C209" s="0" t="s">
        <v>680</v>
      </c>
      <c r="D209" s="0" t="s">
        <v>1024</v>
      </c>
      <c r="E209" s="0" t="s">
        <v>655</v>
      </c>
      <c r="F209" s="0" t="s">
        <v>656</v>
      </c>
      <c r="G209" s="41" t="n">
        <v>1</v>
      </c>
      <c r="H209" s="25" t="s">
        <v>156</v>
      </c>
    </row>
    <row r="210" customFormat="false" ht="15" hidden="false" customHeight="false" outlineLevel="0" collapsed="false">
      <c r="A210" s="0" t="n">
        <v>2</v>
      </c>
      <c r="B210" s="0" t="s">
        <v>1052</v>
      </c>
      <c r="C210" s="0" t="s">
        <v>681</v>
      </c>
      <c r="D210" s="0" t="s">
        <v>1053</v>
      </c>
      <c r="E210" s="0" t="s">
        <v>655</v>
      </c>
      <c r="F210" s="0" t="s">
        <v>656</v>
      </c>
      <c r="G210" s="41" t="n">
        <v>1</v>
      </c>
      <c r="H210" s="25" t="s">
        <v>149</v>
      </c>
    </row>
    <row r="211" customFormat="false" ht="15" hidden="false" customHeight="false" outlineLevel="0" collapsed="false">
      <c r="A211" s="0" t="n">
        <v>2</v>
      </c>
      <c r="B211" s="0" t="s">
        <v>1052</v>
      </c>
      <c r="C211" s="0" t="s">
        <v>682</v>
      </c>
      <c r="D211" s="0" t="s">
        <v>1054</v>
      </c>
      <c r="E211" s="0" t="s">
        <v>655</v>
      </c>
      <c r="F211" s="0" t="s">
        <v>656</v>
      </c>
      <c r="G211" s="41" t="n">
        <v>1</v>
      </c>
      <c r="H211" s="25" t="s">
        <v>123</v>
      </c>
    </row>
    <row r="212" customFormat="false" ht="15" hidden="false" customHeight="false" outlineLevel="0" collapsed="false">
      <c r="A212" s="0" t="n">
        <v>2</v>
      </c>
      <c r="B212" s="0" t="s">
        <v>1052</v>
      </c>
      <c r="C212" s="0" t="s">
        <v>1055</v>
      </c>
      <c r="D212" s="0" t="s">
        <v>1056</v>
      </c>
      <c r="E212" s="0" t="s">
        <v>655</v>
      </c>
      <c r="F212" s="0" t="s">
        <v>659</v>
      </c>
      <c r="G212" s="41" t="n">
        <v>2</v>
      </c>
      <c r="H212" s="25" t="s">
        <v>152</v>
      </c>
    </row>
    <row r="213" customFormat="false" ht="15" hidden="false" customHeight="false" outlineLevel="0" collapsed="false">
      <c r="A213" s="0" t="n">
        <v>2</v>
      </c>
      <c r="B213" s="0" t="s">
        <v>1052</v>
      </c>
      <c r="C213" s="0" t="s">
        <v>1057</v>
      </c>
      <c r="D213" s="0" t="s">
        <v>1058</v>
      </c>
      <c r="E213" s="0" t="s">
        <v>655</v>
      </c>
      <c r="F213" s="0" t="s">
        <v>656</v>
      </c>
      <c r="G213" s="41" t="n">
        <v>1</v>
      </c>
      <c r="H213" s="25" t="s">
        <v>152</v>
      </c>
    </row>
    <row r="214" customFormat="false" ht="15" hidden="false" customHeight="false" outlineLevel="0" collapsed="false">
      <c r="A214" s="0" t="n">
        <v>2</v>
      </c>
      <c r="B214" s="0" t="s">
        <v>1052</v>
      </c>
      <c r="C214" s="0" t="s">
        <v>1059</v>
      </c>
      <c r="D214" s="0" t="s">
        <v>1060</v>
      </c>
      <c r="E214" s="0" t="s">
        <v>655</v>
      </c>
      <c r="F214" s="0" t="s">
        <v>656</v>
      </c>
      <c r="G214" s="41" t="n">
        <v>1</v>
      </c>
      <c r="H214" s="25" t="s">
        <v>149</v>
      </c>
    </row>
    <row r="215" customFormat="false" ht="15" hidden="false" customHeight="false" outlineLevel="0" collapsed="false">
      <c r="A215" s="0" t="n">
        <v>2</v>
      </c>
      <c r="B215" s="0" t="s">
        <v>1052</v>
      </c>
      <c r="C215" s="0" t="s">
        <v>1061</v>
      </c>
      <c r="D215" s="0" t="s">
        <v>1062</v>
      </c>
      <c r="E215" s="0" t="s">
        <v>655</v>
      </c>
      <c r="F215" s="0" t="s">
        <v>656</v>
      </c>
      <c r="G215" s="41" t="n">
        <v>1</v>
      </c>
      <c r="H215" s="25" t="s">
        <v>113</v>
      </c>
    </row>
    <row r="216" customFormat="false" ht="15" hidden="false" customHeight="false" outlineLevel="0" collapsed="false">
      <c r="A216" s="0" t="n">
        <v>2</v>
      </c>
      <c r="B216" s="0" t="s">
        <v>1052</v>
      </c>
      <c r="C216" s="0" t="s">
        <v>1063</v>
      </c>
      <c r="D216" s="0" t="s">
        <v>1064</v>
      </c>
      <c r="E216" s="0" t="s">
        <v>655</v>
      </c>
      <c r="F216" s="0" t="s">
        <v>703</v>
      </c>
      <c r="G216" s="41" t="n">
        <v>4</v>
      </c>
      <c r="H216" s="25" t="s">
        <v>156</v>
      </c>
    </row>
    <row r="217" customFormat="false" ht="15" hidden="false" customHeight="false" outlineLevel="0" collapsed="false">
      <c r="A217" s="0" t="n">
        <v>2</v>
      </c>
      <c r="B217" s="0" t="s">
        <v>1052</v>
      </c>
      <c r="C217" s="0" t="s">
        <v>1065</v>
      </c>
      <c r="D217" s="0" t="s">
        <v>1066</v>
      </c>
      <c r="E217" s="0" t="s">
        <v>655</v>
      </c>
      <c r="F217" s="0" t="s">
        <v>659</v>
      </c>
      <c r="G217" s="41" t="n">
        <v>2</v>
      </c>
      <c r="H217" s="25" t="s">
        <v>118</v>
      </c>
    </row>
    <row r="218" customFormat="false" ht="15" hidden="false" customHeight="false" outlineLevel="0" collapsed="false">
      <c r="A218" s="0" t="n">
        <v>2</v>
      </c>
      <c r="B218" s="0" t="s">
        <v>1052</v>
      </c>
      <c r="C218" s="0" t="s">
        <v>1067</v>
      </c>
      <c r="D218" s="0" t="s">
        <v>1068</v>
      </c>
      <c r="E218" s="0" t="s">
        <v>655</v>
      </c>
      <c r="F218" s="0" t="s">
        <v>659</v>
      </c>
      <c r="G218" s="41" t="n">
        <v>2</v>
      </c>
      <c r="H218" s="25" t="s">
        <v>118</v>
      </c>
    </row>
    <row r="219" customFormat="false" ht="15" hidden="false" customHeight="false" outlineLevel="0" collapsed="false">
      <c r="A219" s="0" t="n">
        <v>2</v>
      </c>
      <c r="B219" s="0" t="s">
        <v>1052</v>
      </c>
      <c r="C219" s="0" t="s">
        <v>1069</v>
      </c>
      <c r="D219" s="0" t="s">
        <v>1070</v>
      </c>
      <c r="E219" s="0" t="s">
        <v>674</v>
      </c>
      <c r="F219" s="0" t="s">
        <v>1071</v>
      </c>
      <c r="G219" s="41" t="n">
        <v>320</v>
      </c>
      <c r="H219" s="25" t="s">
        <v>178</v>
      </c>
    </row>
    <row r="220" customFormat="false" ht="15" hidden="false" customHeight="false" outlineLevel="0" collapsed="false">
      <c r="A220" s="0" t="n">
        <v>2</v>
      </c>
      <c r="B220" s="0" t="s">
        <v>1052</v>
      </c>
      <c r="C220" s="0" t="s">
        <v>1072</v>
      </c>
      <c r="D220" s="0" t="s">
        <v>1073</v>
      </c>
      <c r="E220" s="0" t="s">
        <v>674</v>
      </c>
      <c r="F220" s="0" t="s">
        <v>918</v>
      </c>
      <c r="G220" s="41" t="n">
        <v>120</v>
      </c>
      <c r="H220" s="25" t="s">
        <v>178</v>
      </c>
    </row>
    <row r="221" customFormat="false" ht="15" hidden="false" customHeight="false" outlineLevel="0" collapsed="false">
      <c r="A221" s="0" t="n">
        <v>2</v>
      </c>
      <c r="B221" s="0" t="s">
        <v>1052</v>
      </c>
      <c r="C221" s="0" t="s">
        <v>1074</v>
      </c>
      <c r="D221" s="0" t="s">
        <v>1075</v>
      </c>
      <c r="E221" s="0" t="s">
        <v>674</v>
      </c>
      <c r="F221" s="0" t="s">
        <v>836</v>
      </c>
      <c r="G221" s="41" t="n">
        <v>10</v>
      </c>
      <c r="H221" s="25" t="s">
        <v>178</v>
      </c>
    </row>
    <row r="222" customFormat="false" ht="15" hidden="false" customHeight="false" outlineLevel="0" collapsed="false">
      <c r="A222" s="0" t="n">
        <v>2</v>
      </c>
      <c r="B222" s="0" t="s">
        <v>1052</v>
      </c>
      <c r="C222" s="0" t="s">
        <v>1076</v>
      </c>
      <c r="D222" s="0" t="s">
        <v>1077</v>
      </c>
      <c r="E222" s="0" t="s">
        <v>674</v>
      </c>
      <c r="F222" s="0" t="s">
        <v>667</v>
      </c>
      <c r="G222" s="41" t="n">
        <v>3</v>
      </c>
      <c r="H222" s="25" t="s">
        <v>178</v>
      </c>
    </row>
    <row r="223" customFormat="false" ht="15" hidden="false" customHeight="false" outlineLevel="0" collapsed="false">
      <c r="A223" s="0" t="n">
        <v>2</v>
      </c>
      <c r="B223" s="0" t="s">
        <v>1052</v>
      </c>
      <c r="C223" s="0" t="s">
        <v>1078</v>
      </c>
      <c r="D223" s="0" t="s">
        <v>1079</v>
      </c>
      <c r="E223" s="0" t="s">
        <v>674</v>
      </c>
      <c r="F223" s="0" t="s">
        <v>836</v>
      </c>
      <c r="G223" s="41" t="n">
        <v>10</v>
      </c>
      <c r="H223" s="25" t="s">
        <v>178</v>
      </c>
    </row>
    <row r="224" customFormat="false" ht="15" hidden="false" customHeight="false" outlineLevel="0" collapsed="false">
      <c r="A224" s="0" t="n">
        <v>2</v>
      </c>
      <c r="B224" s="0" t="s">
        <v>1052</v>
      </c>
      <c r="C224" s="0" t="s">
        <v>1080</v>
      </c>
      <c r="D224" s="0" t="s">
        <v>1081</v>
      </c>
      <c r="E224" s="0" t="s">
        <v>674</v>
      </c>
      <c r="F224" s="0" t="s">
        <v>659</v>
      </c>
      <c r="G224" s="41" t="n">
        <v>2</v>
      </c>
      <c r="H224" s="25" t="s">
        <v>178</v>
      </c>
    </row>
    <row r="225" customFormat="false" ht="15" hidden="false" customHeight="false" outlineLevel="0" collapsed="false">
      <c r="A225" s="0" t="n">
        <v>2</v>
      </c>
      <c r="B225" s="0" t="s">
        <v>1082</v>
      </c>
      <c r="C225" s="0" t="s">
        <v>684</v>
      </c>
      <c r="D225" s="0" t="s">
        <v>1022</v>
      </c>
      <c r="E225" s="0" t="s">
        <v>655</v>
      </c>
      <c r="F225" s="0" t="s">
        <v>656</v>
      </c>
      <c r="G225" s="41" t="n">
        <v>1</v>
      </c>
      <c r="H225" s="25" t="s">
        <v>156</v>
      </c>
    </row>
    <row r="226" customFormat="false" ht="15" hidden="false" customHeight="false" outlineLevel="0" collapsed="false">
      <c r="A226" s="0" t="n">
        <v>2</v>
      </c>
      <c r="B226" s="0" t="s">
        <v>1082</v>
      </c>
      <c r="C226" s="0" t="s">
        <v>686</v>
      </c>
      <c r="D226" s="0" t="s">
        <v>1024</v>
      </c>
      <c r="E226" s="0" t="s">
        <v>655</v>
      </c>
      <c r="F226" s="0" t="s">
        <v>656</v>
      </c>
      <c r="G226" s="41" t="n">
        <v>1</v>
      </c>
      <c r="H226" s="25" t="s">
        <v>156</v>
      </c>
    </row>
    <row r="227" customFormat="false" ht="15" hidden="false" customHeight="false" outlineLevel="0" collapsed="false">
      <c r="A227" s="0" t="n">
        <v>2</v>
      </c>
      <c r="B227" s="0" t="s">
        <v>1082</v>
      </c>
      <c r="C227" s="0" t="s">
        <v>688</v>
      </c>
      <c r="D227" s="0" t="s">
        <v>1053</v>
      </c>
      <c r="E227" s="0" t="s">
        <v>655</v>
      </c>
      <c r="F227" s="0" t="s">
        <v>656</v>
      </c>
      <c r="G227" s="41" t="n">
        <v>1</v>
      </c>
      <c r="H227" s="25" t="s">
        <v>149</v>
      </c>
    </row>
    <row r="228" customFormat="false" ht="15" hidden="false" customHeight="false" outlineLevel="0" collapsed="false">
      <c r="A228" s="0" t="n">
        <v>2</v>
      </c>
      <c r="B228" s="0" t="s">
        <v>1082</v>
      </c>
      <c r="C228" s="0" t="s">
        <v>691</v>
      </c>
      <c r="D228" s="0" t="s">
        <v>1054</v>
      </c>
      <c r="E228" s="0" t="s">
        <v>655</v>
      </c>
      <c r="F228" s="0" t="s">
        <v>703</v>
      </c>
      <c r="G228" s="41" t="n">
        <v>4</v>
      </c>
      <c r="H228" s="25" t="s">
        <v>123</v>
      </c>
    </row>
    <row r="229" customFormat="false" ht="15" hidden="false" customHeight="false" outlineLevel="0" collapsed="false">
      <c r="A229" s="0" t="n">
        <v>2</v>
      </c>
      <c r="B229" s="0" t="s">
        <v>1082</v>
      </c>
      <c r="C229" s="0" t="s">
        <v>693</v>
      </c>
      <c r="D229" s="0" t="s">
        <v>1056</v>
      </c>
      <c r="E229" s="0" t="s">
        <v>655</v>
      </c>
      <c r="F229" s="0" t="s">
        <v>659</v>
      </c>
      <c r="G229" s="41" t="n">
        <v>2</v>
      </c>
      <c r="H229" s="25" t="s">
        <v>152</v>
      </c>
    </row>
    <row r="230" customFormat="false" ht="15" hidden="false" customHeight="false" outlineLevel="0" collapsed="false">
      <c r="A230" s="0" t="n">
        <v>2</v>
      </c>
      <c r="B230" s="0" t="s">
        <v>1082</v>
      </c>
      <c r="C230" s="0" t="s">
        <v>696</v>
      </c>
      <c r="D230" s="0" t="s">
        <v>1058</v>
      </c>
      <c r="E230" s="0" t="s">
        <v>655</v>
      </c>
      <c r="F230" s="0" t="s">
        <v>656</v>
      </c>
      <c r="G230" s="41" t="n">
        <v>1</v>
      </c>
      <c r="H230" s="25" t="s">
        <v>152</v>
      </c>
    </row>
    <row r="231" customFormat="false" ht="15" hidden="false" customHeight="false" outlineLevel="0" collapsed="false">
      <c r="A231" s="0" t="n">
        <v>2</v>
      </c>
      <c r="B231" s="0" t="s">
        <v>1082</v>
      </c>
      <c r="C231" s="0" t="s">
        <v>699</v>
      </c>
      <c r="D231" s="0" t="s">
        <v>1060</v>
      </c>
      <c r="E231" s="0" t="s">
        <v>655</v>
      </c>
      <c r="F231" s="0" t="s">
        <v>656</v>
      </c>
      <c r="G231" s="41" t="n">
        <v>1</v>
      </c>
      <c r="H231" s="25" t="s">
        <v>149</v>
      </c>
    </row>
    <row r="232" customFormat="false" ht="15" hidden="false" customHeight="false" outlineLevel="0" collapsed="false">
      <c r="A232" s="0" t="n">
        <v>2</v>
      </c>
      <c r="B232" s="0" t="s">
        <v>1082</v>
      </c>
      <c r="C232" s="0" t="s">
        <v>701</v>
      </c>
      <c r="D232" s="0" t="s">
        <v>1062</v>
      </c>
      <c r="E232" s="0" t="s">
        <v>655</v>
      </c>
      <c r="F232" s="0" t="s">
        <v>656</v>
      </c>
      <c r="G232" s="41" t="n">
        <v>1</v>
      </c>
      <c r="H232" s="25" t="s">
        <v>113</v>
      </c>
    </row>
    <row r="233" customFormat="false" ht="15" hidden="false" customHeight="false" outlineLevel="0" collapsed="false">
      <c r="A233" s="0" t="n">
        <v>2</v>
      </c>
      <c r="B233" s="0" t="s">
        <v>1082</v>
      </c>
      <c r="C233" s="0" t="s">
        <v>704</v>
      </c>
      <c r="D233" s="0" t="s">
        <v>1064</v>
      </c>
      <c r="E233" s="0" t="s">
        <v>655</v>
      </c>
      <c r="F233" s="0" t="s">
        <v>703</v>
      </c>
      <c r="G233" s="41" t="n">
        <v>4</v>
      </c>
      <c r="H233" s="25" t="s">
        <v>156</v>
      </c>
    </row>
    <row r="234" customFormat="false" ht="15" hidden="false" customHeight="false" outlineLevel="0" collapsed="false">
      <c r="A234" s="0" t="n">
        <v>2</v>
      </c>
      <c r="B234" s="0" t="s">
        <v>1082</v>
      </c>
      <c r="C234" s="0" t="s">
        <v>684</v>
      </c>
      <c r="D234" s="0" t="s">
        <v>1066</v>
      </c>
      <c r="E234" s="0" t="s">
        <v>655</v>
      </c>
      <c r="F234" s="0" t="s">
        <v>659</v>
      </c>
      <c r="G234" s="41" t="n">
        <v>2</v>
      </c>
      <c r="H234" s="25" t="s">
        <v>118</v>
      </c>
    </row>
    <row r="235" customFormat="false" ht="15" hidden="false" customHeight="false" outlineLevel="0" collapsed="false">
      <c r="A235" s="0" t="n">
        <v>2</v>
      </c>
      <c r="B235" s="0" t="s">
        <v>1082</v>
      </c>
      <c r="C235" s="0" t="s">
        <v>1083</v>
      </c>
      <c r="D235" s="0" t="s">
        <v>1068</v>
      </c>
      <c r="E235" s="0" t="s">
        <v>655</v>
      </c>
      <c r="F235" s="0" t="s">
        <v>659</v>
      </c>
      <c r="G235" s="41" t="n">
        <v>2</v>
      </c>
      <c r="H235" s="25" t="s">
        <v>118</v>
      </c>
    </row>
    <row r="236" customFormat="false" ht="15" hidden="false" customHeight="false" outlineLevel="0" collapsed="false">
      <c r="A236" s="0" t="n">
        <v>2</v>
      </c>
      <c r="B236" s="0" t="s">
        <v>1082</v>
      </c>
      <c r="C236" s="0" t="s">
        <v>1084</v>
      </c>
      <c r="D236" s="0" t="s">
        <v>1073</v>
      </c>
      <c r="E236" s="0" t="s">
        <v>674</v>
      </c>
      <c r="F236" s="0" t="s">
        <v>918</v>
      </c>
      <c r="G236" s="41" t="n">
        <v>120</v>
      </c>
      <c r="H236" s="25" t="s">
        <v>178</v>
      </c>
    </row>
    <row r="237" customFormat="false" ht="15" hidden="false" customHeight="false" outlineLevel="0" collapsed="false">
      <c r="A237" s="0" t="n">
        <v>2</v>
      </c>
      <c r="B237" s="0" t="s">
        <v>1082</v>
      </c>
      <c r="C237" s="0" t="s">
        <v>1085</v>
      </c>
      <c r="D237" s="0" t="s">
        <v>1075</v>
      </c>
      <c r="E237" s="0" t="s">
        <v>674</v>
      </c>
      <c r="F237" s="0" t="s">
        <v>836</v>
      </c>
      <c r="G237" s="41" t="n">
        <v>10</v>
      </c>
      <c r="H237" s="25" t="s">
        <v>178</v>
      </c>
    </row>
    <row r="238" customFormat="false" ht="15" hidden="false" customHeight="false" outlineLevel="0" collapsed="false">
      <c r="A238" s="0" t="n">
        <v>2</v>
      </c>
      <c r="B238" s="0" t="s">
        <v>1082</v>
      </c>
      <c r="C238" s="0" t="s">
        <v>1086</v>
      </c>
      <c r="D238" s="0" t="s">
        <v>1077</v>
      </c>
      <c r="E238" s="0" t="s">
        <v>674</v>
      </c>
      <c r="F238" s="0" t="s">
        <v>667</v>
      </c>
      <c r="G238" s="41" t="n">
        <v>3</v>
      </c>
      <c r="H238" s="25" t="s">
        <v>178</v>
      </c>
    </row>
    <row r="239" customFormat="false" ht="15" hidden="false" customHeight="false" outlineLevel="0" collapsed="false">
      <c r="A239" s="0" t="n">
        <v>2</v>
      </c>
      <c r="B239" s="0" t="s">
        <v>1082</v>
      </c>
      <c r="C239" s="0" t="s">
        <v>1087</v>
      </c>
      <c r="D239" s="0" t="s">
        <v>1079</v>
      </c>
      <c r="E239" s="0" t="s">
        <v>674</v>
      </c>
      <c r="F239" s="0" t="s">
        <v>836</v>
      </c>
      <c r="G239" s="41" t="n">
        <v>10</v>
      </c>
      <c r="H239" s="25" t="s">
        <v>178</v>
      </c>
    </row>
    <row r="240" customFormat="false" ht="15" hidden="false" customHeight="false" outlineLevel="0" collapsed="false">
      <c r="A240" s="0" t="n">
        <v>2</v>
      </c>
      <c r="B240" s="0" t="s">
        <v>1082</v>
      </c>
      <c r="C240" s="0" t="s">
        <v>1088</v>
      </c>
      <c r="D240" s="0" t="s">
        <v>1081</v>
      </c>
      <c r="E240" s="0" t="s">
        <v>674</v>
      </c>
      <c r="F240" s="0" t="s">
        <v>659</v>
      </c>
      <c r="G240" s="41" t="n">
        <v>2</v>
      </c>
      <c r="H240" s="25" t="s">
        <v>178</v>
      </c>
    </row>
    <row r="241" customFormat="false" ht="15" hidden="false" customHeight="false" outlineLevel="0" collapsed="false">
      <c r="A241" s="0" t="n">
        <v>2</v>
      </c>
      <c r="B241" s="0" t="s">
        <v>1089</v>
      </c>
      <c r="C241" s="0" t="s">
        <v>710</v>
      </c>
      <c r="D241" s="0" t="s">
        <v>1022</v>
      </c>
      <c r="E241" s="0" t="s">
        <v>655</v>
      </c>
      <c r="F241" s="0" t="s">
        <v>659</v>
      </c>
      <c r="G241" s="41" t="n">
        <v>2</v>
      </c>
      <c r="H241" s="25" t="s">
        <v>156</v>
      </c>
    </row>
    <row r="242" customFormat="false" ht="15" hidden="false" customHeight="false" outlineLevel="0" collapsed="false">
      <c r="A242" s="0" t="n">
        <v>2</v>
      </c>
      <c r="B242" s="0" t="s">
        <v>1089</v>
      </c>
      <c r="C242" s="0" t="s">
        <v>712</v>
      </c>
      <c r="D242" s="0" t="s">
        <v>1024</v>
      </c>
      <c r="E242" s="0" t="s">
        <v>655</v>
      </c>
      <c r="F242" s="0" t="s">
        <v>703</v>
      </c>
      <c r="G242" s="41" t="n">
        <v>4</v>
      </c>
      <c r="H242" s="25" t="s">
        <v>156</v>
      </c>
    </row>
    <row r="243" customFormat="false" ht="15" hidden="false" customHeight="false" outlineLevel="0" collapsed="false">
      <c r="A243" s="0" t="n">
        <v>2</v>
      </c>
      <c r="B243" s="0" t="s">
        <v>1089</v>
      </c>
      <c r="C243" s="0" t="s">
        <v>715</v>
      </c>
      <c r="D243" s="0" t="s">
        <v>1090</v>
      </c>
      <c r="E243" s="0" t="s">
        <v>655</v>
      </c>
      <c r="F243" s="0" t="s">
        <v>656</v>
      </c>
      <c r="G243" s="41" t="n">
        <v>1</v>
      </c>
      <c r="H243" s="25" t="s">
        <v>106</v>
      </c>
    </row>
    <row r="244" customFormat="false" ht="15" hidden="false" customHeight="false" outlineLevel="0" collapsed="false">
      <c r="A244" s="0" t="n">
        <v>2</v>
      </c>
      <c r="B244" s="0" t="s">
        <v>1089</v>
      </c>
      <c r="C244" s="0" t="s">
        <v>717</v>
      </c>
      <c r="D244" s="0" t="s">
        <v>1010</v>
      </c>
      <c r="E244" s="0" t="s">
        <v>655</v>
      </c>
      <c r="F244" s="0" t="s">
        <v>690</v>
      </c>
      <c r="G244" s="41" t="n">
        <v>5</v>
      </c>
      <c r="H244" s="25" t="s">
        <v>149</v>
      </c>
    </row>
    <row r="245" customFormat="false" ht="15" hidden="false" customHeight="false" outlineLevel="0" collapsed="false">
      <c r="A245" s="0" t="n">
        <v>2</v>
      </c>
      <c r="B245" s="0" t="s">
        <v>1089</v>
      </c>
      <c r="C245" s="0" t="s">
        <v>719</v>
      </c>
      <c r="D245" s="0" t="s">
        <v>1054</v>
      </c>
      <c r="E245" s="0" t="s">
        <v>655</v>
      </c>
      <c r="F245" s="0" t="s">
        <v>836</v>
      </c>
      <c r="G245" s="41" t="n">
        <v>10</v>
      </c>
      <c r="H245" s="25" t="s">
        <v>123</v>
      </c>
    </row>
    <row r="246" customFormat="false" ht="15" hidden="false" customHeight="false" outlineLevel="0" collapsed="false">
      <c r="A246" s="0" t="n">
        <v>2</v>
      </c>
      <c r="B246" s="0" t="s">
        <v>1089</v>
      </c>
      <c r="C246" s="0" t="s">
        <v>720</v>
      </c>
      <c r="D246" s="0" t="s">
        <v>1011</v>
      </c>
      <c r="E246" s="0" t="s">
        <v>655</v>
      </c>
      <c r="F246" s="0" t="s">
        <v>781</v>
      </c>
      <c r="G246" s="41" t="n">
        <v>8</v>
      </c>
      <c r="H246" s="25" t="s">
        <v>123</v>
      </c>
    </row>
    <row r="247" customFormat="false" ht="15" hidden="false" customHeight="false" outlineLevel="0" collapsed="false">
      <c r="A247" s="0" t="n">
        <v>2</v>
      </c>
      <c r="B247" s="0" t="s">
        <v>1089</v>
      </c>
      <c r="C247" s="0" t="s">
        <v>722</v>
      </c>
      <c r="D247" s="0" t="s">
        <v>1056</v>
      </c>
      <c r="E247" s="0" t="s">
        <v>655</v>
      </c>
      <c r="F247" s="0" t="s">
        <v>703</v>
      </c>
      <c r="G247" s="41" t="n">
        <v>4</v>
      </c>
      <c r="H247" s="25" t="s">
        <v>152</v>
      </c>
    </row>
    <row r="248" customFormat="false" ht="15" hidden="false" customHeight="false" outlineLevel="0" collapsed="false">
      <c r="A248" s="0" t="n">
        <v>2</v>
      </c>
      <c r="B248" s="0" t="s">
        <v>1089</v>
      </c>
      <c r="C248" s="0" t="s">
        <v>725</v>
      </c>
      <c r="D248" s="0" t="s">
        <v>1058</v>
      </c>
      <c r="E248" s="0" t="s">
        <v>655</v>
      </c>
      <c r="F248" s="0" t="s">
        <v>667</v>
      </c>
      <c r="G248" s="41" t="n">
        <v>3</v>
      </c>
      <c r="H248" s="25" t="s">
        <v>152</v>
      </c>
    </row>
    <row r="249" customFormat="false" ht="15" hidden="false" customHeight="false" outlineLevel="0" collapsed="false">
      <c r="A249" s="0" t="n">
        <v>2</v>
      </c>
      <c r="B249" s="0" t="s">
        <v>1089</v>
      </c>
      <c r="C249" s="0" t="s">
        <v>1091</v>
      </c>
      <c r="D249" s="0" t="s">
        <v>1060</v>
      </c>
      <c r="E249" s="0" t="s">
        <v>655</v>
      </c>
      <c r="F249" s="0" t="s">
        <v>667</v>
      </c>
      <c r="G249" s="41" t="n">
        <v>3</v>
      </c>
      <c r="H249" s="25" t="s">
        <v>149</v>
      </c>
    </row>
    <row r="250" customFormat="false" ht="15" hidden="false" customHeight="false" outlineLevel="0" collapsed="false">
      <c r="A250" s="0" t="n">
        <v>2</v>
      </c>
      <c r="B250" s="0" t="s">
        <v>1089</v>
      </c>
      <c r="C250" s="0" t="s">
        <v>1092</v>
      </c>
      <c r="D250" s="0" t="s">
        <v>1028</v>
      </c>
      <c r="E250" s="0" t="s">
        <v>655</v>
      </c>
      <c r="F250" s="0" t="s">
        <v>690</v>
      </c>
      <c r="G250" s="41" t="n">
        <v>5</v>
      </c>
      <c r="H250" s="25" t="s">
        <v>156</v>
      </c>
    </row>
    <row r="251" customFormat="false" ht="15" hidden="false" customHeight="false" outlineLevel="0" collapsed="false">
      <c r="A251" s="0" t="n">
        <v>2</v>
      </c>
      <c r="B251" s="0" t="s">
        <v>1089</v>
      </c>
      <c r="C251" s="0" t="s">
        <v>1093</v>
      </c>
      <c r="D251" s="0" t="s">
        <v>1064</v>
      </c>
      <c r="E251" s="0" t="s">
        <v>655</v>
      </c>
      <c r="F251" s="0" t="s">
        <v>935</v>
      </c>
      <c r="G251" s="41" t="n">
        <v>9</v>
      </c>
      <c r="H251" s="25" t="s">
        <v>156</v>
      </c>
    </row>
    <row r="252" customFormat="false" ht="15" hidden="false" customHeight="false" outlineLevel="0" collapsed="false">
      <c r="A252" s="0" t="n">
        <v>2</v>
      </c>
      <c r="B252" s="0" t="s">
        <v>1089</v>
      </c>
      <c r="C252" s="0" t="s">
        <v>1094</v>
      </c>
      <c r="D252" s="0" t="s">
        <v>1062</v>
      </c>
      <c r="E252" s="0" t="s">
        <v>655</v>
      </c>
      <c r="F252" s="0" t="s">
        <v>659</v>
      </c>
      <c r="G252" s="41" t="n">
        <v>2</v>
      </c>
      <c r="H252" s="25" t="s">
        <v>113</v>
      </c>
    </row>
    <row r="253" customFormat="false" ht="15" hidden="false" customHeight="false" outlineLevel="0" collapsed="false">
      <c r="A253" s="0" t="n">
        <v>2</v>
      </c>
      <c r="B253" s="0" t="s">
        <v>1089</v>
      </c>
      <c r="C253" s="0" t="s">
        <v>1095</v>
      </c>
      <c r="D253" s="0" t="s">
        <v>1068</v>
      </c>
      <c r="E253" s="0" t="s">
        <v>655</v>
      </c>
      <c r="F253" s="0" t="s">
        <v>703</v>
      </c>
      <c r="G253" s="41" t="n">
        <v>4</v>
      </c>
      <c r="H253" s="25" t="s">
        <v>118</v>
      </c>
    </row>
    <row r="254" customFormat="false" ht="15" hidden="false" customHeight="false" outlineLevel="0" collapsed="false">
      <c r="A254" s="0" t="n">
        <v>2</v>
      </c>
      <c r="B254" s="0" t="s">
        <v>1089</v>
      </c>
      <c r="C254" s="0" t="s">
        <v>1096</v>
      </c>
      <c r="D254" s="0" t="s">
        <v>1073</v>
      </c>
      <c r="E254" s="0" t="s">
        <v>674</v>
      </c>
      <c r="F254" s="0" t="s">
        <v>1097</v>
      </c>
      <c r="G254" s="41" t="n">
        <v>555</v>
      </c>
      <c r="H254" s="25" t="s">
        <v>178</v>
      </c>
    </row>
    <row r="255" customFormat="false" ht="15" hidden="false" customHeight="false" outlineLevel="0" collapsed="false">
      <c r="A255" s="0" t="n">
        <v>2</v>
      </c>
      <c r="B255" s="0" t="s">
        <v>1089</v>
      </c>
      <c r="C255" s="0" t="s">
        <v>1098</v>
      </c>
      <c r="D255" s="0" t="s">
        <v>1075</v>
      </c>
      <c r="E255" s="0" t="s">
        <v>674</v>
      </c>
      <c r="F255" s="0" t="s">
        <v>836</v>
      </c>
      <c r="G255" s="41" t="n">
        <v>10</v>
      </c>
      <c r="H255" s="25" t="s">
        <v>178</v>
      </c>
    </row>
    <row r="256" customFormat="false" ht="15" hidden="false" customHeight="false" outlineLevel="0" collapsed="false">
      <c r="A256" s="0" t="n">
        <v>2</v>
      </c>
      <c r="B256" s="0" t="s">
        <v>1089</v>
      </c>
      <c r="C256" s="0" t="s">
        <v>1099</v>
      </c>
      <c r="D256" s="0" t="s">
        <v>1077</v>
      </c>
      <c r="E256" s="0" t="s">
        <v>674</v>
      </c>
      <c r="F256" s="0" t="s">
        <v>1100</v>
      </c>
      <c r="G256" s="41" t="n">
        <v>25</v>
      </c>
      <c r="H256" s="25" t="s">
        <v>178</v>
      </c>
    </row>
    <row r="257" customFormat="false" ht="15" hidden="false" customHeight="false" outlineLevel="0" collapsed="false">
      <c r="A257" s="0" t="n">
        <v>2</v>
      </c>
      <c r="B257" s="0" t="s">
        <v>1089</v>
      </c>
      <c r="C257" s="0" t="s">
        <v>1101</v>
      </c>
      <c r="D257" s="0" t="s">
        <v>1081</v>
      </c>
      <c r="E257" s="0" t="s">
        <v>674</v>
      </c>
      <c r="F257" s="0" t="s">
        <v>703</v>
      </c>
      <c r="G257" s="41" t="n">
        <v>4</v>
      </c>
      <c r="H257" s="25" t="s">
        <v>178</v>
      </c>
    </row>
    <row r="258" customFormat="false" ht="15" hidden="false" customHeight="false" outlineLevel="0" collapsed="false">
      <c r="A258" s="0" t="n">
        <v>2</v>
      </c>
      <c r="B258" s="0" t="s">
        <v>1102</v>
      </c>
      <c r="C258" s="0" t="s">
        <v>728</v>
      </c>
      <c r="D258" s="0" t="s">
        <v>1024</v>
      </c>
      <c r="E258" s="0" t="s">
        <v>655</v>
      </c>
      <c r="F258" s="0" t="s">
        <v>656</v>
      </c>
      <c r="G258" s="41" t="n">
        <v>1</v>
      </c>
      <c r="H258" s="25" t="s">
        <v>156</v>
      </c>
    </row>
    <row r="259" customFormat="false" ht="15" hidden="false" customHeight="false" outlineLevel="0" collapsed="false">
      <c r="A259" s="0" t="n">
        <v>2</v>
      </c>
      <c r="B259" s="0" t="s">
        <v>1102</v>
      </c>
      <c r="C259" s="0" t="s">
        <v>731</v>
      </c>
      <c r="D259" s="0" t="s">
        <v>1090</v>
      </c>
      <c r="E259" s="0" t="s">
        <v>655</v>
      </c>
      <c r="F259" s="0" t="s">
        <v>656</v>
      </c>
      <c r="G259" s="41" t="n">
        <v>1</v>
      </c>
      <c r="H259" s="25" t="s">
        <v>106</v>
      </c>
    </row>
    <row r="260" customFormat="false" ht="15" hidden="false" customHeight="false" outlineLevel="0" collapsed="false">
      <c r="A260" s="0" t="n">
        <v>2</v>
      </c>
      <c r="B260" s="0" t="s">
        <v>1102</v>
      </c>
      <c r="C260" s="0" t="s">
        <v>733</v>
      </c>
      <c r="D260" s="0" t="s">
        <v>1010</v>
      </c>
      <c r="E260" s="0" t="s">
        <v>655</v>
      </c>
      <c r="F260" s="0" t="s">
        <v>690</v>
      </c>
      <c r="G260" s="41" t="n">
        <v>5</v>
      </c>
      <c r="H260" s="25" t="s">
        <v>149</v>
      </c>
    </row>
    <row r="261" customFormat="false" ht="15" hidden="false" customHeight="false" outlineLevel="0" collapsed="false">
      <c r="A261" s="0" t="n">
        <v>2</v>
      </c>
      <c r="B261" s="0" t="s">
        <v>1102</v>
      </c>
      <c r="C261" s="0" t="s">
        <v>1103</v>
      </c>
      <c r="D261" s="0" t="s">
        <v>1104</v>
      </c>
      <c r="E261" s="0" t="s">
        <v>655</v>
      </c>
      <c r="F261" s="0" t="s">
        <v>808</v>
      </c>
      <c r="G261" s="41" t="n">
        <v>24</v>
      </c>
      <c r="H261" s="25" t="s">
        <v>123</v>
      </c>
    </row>
    <row r="262" customFormat="false" ht="15" hidden="false" customHeight="false" outlineLevel="0" collapsed="false">
      <c r="A262" s="0" t="n">
        <v>2</v>
      </c>
      <c r="B262" s="0" t="s">
        <v>1102</v>
      </c>
      <c r="C262" s="0" t="s">
        <v>1105</v>
      </c>
      <c r="D262" s="0" t="s">
        <v>1106</v>
      </c>
      <c r="E262" s="0" t="s">
        <v>655</v>
      </c>
      <c r="F262" s="0" t="s">
        <v>656</v>
      </c>
      <c r="G262" s="41" t="n">
        <v>1</v>
      </c>
      <c r="H262" s="25" t="s">
        <v>123</v>
      </c>
    </row>
    <row r="263" customFormat="false" ht="15" hidden="false" customHeight="false" outlineLevel="0" collapsed="false">
      <c r="A263" s="0" t="n">
        <v>2</v>
      </c>
      <c r="B263" s="0" t="s">
        <v>1102</v>
      </c>
      <c r="C263" s="0" t="s">
        <v>1107</v>
      </c>
      <c r="D263" s="0" t="s">
        <v>1108</v>
      </c>
      <c r="E263" s="0" t="s">
        <v>655</v>
      </c>
      <c r="F263" s="0" t="s">
        <v>656</v>
      </c>
      <c r="G263" s="41" t="n">
        <v>1</v>
      </c>
      <c r="H263" s="25" t="s">
        <v>152</v>
      </c>
    </row>
    <row r="264" customFormat="false" ht="15" hidden="false" customHeight="false" outlineLevel="0" collapsed="false">
      <c r="A264" s="0" t="n">
        <v>2</v>
      </c>
      <c r="B264" s="0" t="s">
        <v>1102</v>
      </c>
      <c r="C264" s="0" t="s">
        <v>1109</v>
      </c>
      <c r="D264" s="0" t="s">
        <v>1110</v>
      </c>
      <c r="E264" s="0" t="s">
        <v>655</v>
      </c>
      <c r="F264" s="0" t="s">
        <v>659</v>
      </c>
      <c r="G264" s="41" t="n">
        <v>2</v>
      </c>
      <c r="H264" s="25" t="s">
        <v>156</v>
      </c>
    </row>
    <row r="265" customFormat="false" ht="15" hidden="false" customHeight="false" outlineLevel="0" collapsed="false">
      <c r="A265" s="0" t="n">
        <v>2</v>
      </c>
      <c r="B265" s="0" t="s">
        <v>1102</v>
      </c>
      <c r="C265" s="0" t="s">
        <v>1111</v>
      </c>
      <c r="D265" s="0" t="s">
        <v>1112</v>
      </c>
      <c r="E265" s="0" t="s">
        <v>655</v>
      </c>
      <c r="F265" s="0" t="s">
        <v>656</v>
      </c>
      <c r="G265" s="41" t="n">
        <v>1</v>
      </c>
      <c r="H265" s="25" t="s">
        <v>156</v>
      </c>
    </row>
    <row r="266" customFormat="false" ht="15" hidden="false" customHeight="false" outlineLevel="0" collapsed="false">
      <c r="A266" s="0" t="n">
        <v>2</v>
      </c>
      <c r="B266" s="0" t="s">
        <v>1102</v>
      </c>
      <c r="C266" s="0" t="s">
        <v>1113</v>
      </c>
      <c r="D266" s="0" t="s">
        <v>1114</v>
      </c>
      <c r="E266" s="0" t="s">
        <v>655</v>
      </c>
      <c r="F266" s="0" t="s">
        <v>656</v>
      </c>
      <c r="G266" s="41" t="n">
        <v>1</v>
      </c>
      <c r="H266" s="25" t="s">
        <v>113</v>
      </c>
    </row>
    <row r="267" customFormat="false" ht="15" hidden="false" customHeight="false" outlineLevel="0" collapsed="false">
      <c r="A267" s="0" t="n">
        <v>2</v>
      </c>
      <c r="B267" s="0" t="s">
        <v>1102</v>
      </c>
      <c r="C267" s="0" t="s">
        <v>1115</v>
      </c>
      <c r="D267" s="0" t="s">
        <v>1116</v>
      </c>
      <c r="E267" s="0" t="s">
        <v>655</v>
      </c>
      <c r="F267" s="0" t="s">
        <v>656</v>
      </c>
      <c r="G267" s="41" t="n">
        <v>1</v>
      </c>
      <c r="H267" s="25" t="s">
        <v>118</v>
      </c>
    </row>
    <row r="268" customFormat="false" ht="15" hidden="false" customHeight="false" outlineLevel="0" collapsed="false">
      <c r="A268" s="0" t="n">
        <v>2</v>
      </c>
      <c r="B268" s="0" t="s">
        <v>1102</v>
      </c>
      <c r="C268" s="0" t="s">
        <v>1117</v>
      </c>
      <c r="D268" s="0" t="s">
        <v>1118</v>
      </c>
      <c r="E268" s="0" t="s">
        <v>674</v>
      </c>
      <c r="F268" s="0" t="s">
        <v>1119</v>
      </c>
      <c r="G268" s="41" t="n">
        <v>115</v>
      </c>
      <c r="H268" s="25" t="s">
        <v>178</v>
      </c>
    </row>
    <row r="269" customFormat="false" ht="15" hidden="false" customHeight="false" outlineLevel="0" collapsed="false">
      <c r="A269" s="0" t="n">
        <v>2</v>
      </c>
      <c r="B269" s="0" t="s">
        <v>1102</v>
      </c>
      <c r="C269" s="0" t="s">
        <v>1120</v>
      </c>
      <c r="D269" s="0" t="s">
        <v>1121</v>
      </c>
      <c r="E269" s="0" t="s">
        <v>674</v>
      </c>
      <c r="F269" s="0" t="s">
        <v>1122</v>
      </c>
      <c r="G269" s="41" t="n">
        <v>170</v>
      </c>
      <c r="H269" s="25" t="s">
        <v>178</v>
      </c>
    </row>
    <row r="270" customFormat="false" ht="15" hidden="false" customHeight="false" outlineLevel="0" collapsed="false">
      <c r="A270" s="0" t="n">
        <v>2</v>
      </c>
      <c r="B270" s="0" t="s">
        <v>1102</v>
      </c>
      <c r="C270" s="0" t="s">
        <v>1123</v>
      </c>
      <c r="D270" s="0" t="s">
        <v>1077</v>
      </c>
      <c r="E270" s="0" t="s">
        <v>674</v>
      </c>
      <c r="F270" s="0" t="s">
        <v>1124</v>
      </c>
      <c r="G270" s="41" t="n">
        <v>11</v>
      </c>
      <c r="H270" s="25" t="s">
        <v>178</v>
      </c>
    </row>
    <row r="271" customFormat="false" ht="15" hidden="false" customHeight="false" outlineLevel="0" collapsed="false">
      <c r="A271" s="0" t="n">
        <v>2</v>
      </c>
      <c r="B271" s="0" t="s">
        <v>1102</v>
      </c>
      <c r="C271" s="0" t="s">
        <v>1125</v>
      </c>
      <c r="D271" s="0" t="s">
        <v>1126</v>
      </c>
      <c r="E271" s="0" t="s">
        <v>674</v>
      </c>
      <c r="F271" s="0" t="s">
        <v>659</v>
      </c>
      <c r="G271" s="41" t="n">
        <v>2</v>
      </c>
      <c r="H271" s="25" t="s">
        <v>178</v>
      </c>
    </row>
    <row r="272" customFormat="false" ht="15" hidden="false" customHeight="false" outlineLevel="0" collapsed="false">
      <c r="A272" s="0" t="n">
        <v>2</v>
      </c>
      <c r="B272" s="0" t="s">
        <v>1102</v>
      </c>
      <c r="C272" s="0" t="s">
        <v>1127</v>
      </c>
      <c r="D272" s="0" t="s">
        <v>1128</v>
      </c>
      <c r="E272" s="0" t="s">
        <v>674</v>
      </c>
      <c r="F272" s="0" t="s">
        <v>1055</v>
      </c>
      <c r="G272" s="41" t="n">
        <v>2.5</v>
      </c>
      <c r="H272" s="25" t="s">
        <v>178</v>
      </c>
    </row>
    <row r="273" customFormat="false" ht="15" hidden="false" customHeight="false" outlineLevel="0" collapsed="false">
      <c r="A273" s="0" t="n">
        <v>2</v>
      </c>
      <c r="B273" s="0" t="s">
        <v>1129</v>
      </c>
      <c r="C273" s="0" t="s">
        <v>737</v>
      </c>
      <c r="D273" s="0" t="s">
        <v>1130</v>
      </c>
      <c r="G273" s="41" t="n">
        <v>0</v>
      </c>
      <c r="H273" s="25" t="s">
        <v>172</v>
      </c>
    </row>
    <row r="274" customFormat="false" ht="15" hidden="false" customHeight="false" outlineLevel="0" collapsed="false">
      <c r="A274" s="0" t="n">
        <v>2</v>
      </c>
      <c r="B274" s="0" t="s">
        <v>1129</v>
      </c>
      <c r="C274" s="0" t="s">
        <v>739</v>
      </c>
      <c r="D274" s="0" t="s">
        <v>1131</v>
      </c>
      <c r="E274" s="0" t="s">
        <v>655</v>
      </c>
      <c r="F274" s="0" t="s">
        <v>656</v>
      </c>
      <c r="G274" s="41" t="n">
        <v>1</v>
      </c>
      <c r="H274" s="25" t="s">
        <v>98</v>
      </c>
    </row>
    <row r="275" customFormat="false" ht="15" hidden="false" customHeight="false" outlineLevel="0" collapsed="false">
      <c r="A275" s="0" t="n">
        <v>2</v>
      </c>
      <c r="B275" s="0" t="s">
        <v>1129</v>
      </c>
      <c r="C275" s="0" t="s">
        <v>740</v>
      </c>
      <c r="D275" s="0" t="s">
        <v>1022</v>
      </c>
      <c r="E275" s="0" t="s">
        <v>655</v>
      </c>
      <c r="F275" s="0" t="s">
        <v>659</v>
      </c>
      <c r="G275" s="41" t="n">
        <v>2</v>
      </c>
      <c r="H275" s="25" t="s">
        <v>156</v>
      </c>
    </row>
    <row r="276" customFormat="false" ht="15" hidden="false" customHeight="false" outlineLevel="0" collapsed="false">
      <c r="A276" s="0" t="n">
        <v>2</v>
      </c>
      <c r="B276" s="0" t="s">
        <v>1129</v>
      </c>
      <c r="C276" s="0" t="s">
        <v>741</v>
      </c>
      <c r="D276" s="0" t="s">
        <v>1090</v>
      </c>
      <c r="E276" s="0" t="s">
        <v>655</v>
      </c>
      <c r="F276" s="0" t="s">
        <v>836</v>
      </c>
      <c r="G276" s="41" t="n">
        <v>10</v>
      </c>
      <c r="H276" s="25" t="s">
        <v>106</v>
      </c>
    </row>
    <row r="277" customFormat="false" ht="15" hidden="false" customHeight="false" outlineLevel="0" collapsed="false">
      <c r="A277" s="0" t="n">
        <v>2</v>
      </c>
      <c r="B277" s="0" t="s">
        <v>1129</v>
      </c>
      <c r="C277" s="0" t="s">
        <v>742</v>
      </c>
      <c r="D277" s="0" t="s">
        <v>1008</v>
      </c>
      <c r="E277" s="0" t="s">
        <v>655</v>
      </c>
      <c r="F277" s="0" t="s">
        <v>836</v>
      </c>
      <c r="G277" s="41" t="n">
        <v>10</v>
      </c>
      <c r="H277" s="25" t="s">
        <v>106</v>
      </c>
    </row>
    <row r="278" customFormat="false" ht="15" hidden="false" customHeight="false" outlineLevel="0" collapsed="false">
      <c r="A278" s="0" t="n">
        <v>2</v>
      </c>
      <c r="B278" s="0" t="s">
        <v>1129</v>
      </c>
      <c r="C278" s="0" t="s">
        <v>743</v>
      </c>
      <c r="D278" s="0" t="s">
        <v>1132</v>
      </c>
      <c r="E278" s="0" t="s">
        <v>655</v>
      </c>
      <c r="F278" s="0" t="s">
        <v>656</v>
      </c>
      <c r="G278" s="41" t="n">
        <v>1</v>
      </c>
      <c r="H278" s="25" t="s">
        <v>106</v>
      </c>
    </row>
    <row r="279" customFormat="false" ht="15" hidden="false" customHeight="false" outlineLevel="0" collapsed="false">
      <c r="A279" s="0" t="n">
        <v>2</v>
      </c>
      <c r="B279" s="0" t="s">
        <v>1129</v>
      </c>
      <c r="C279" s="0" t="s">
        <v>745</v>
      </c>
      <c r="D279" s="0" t="s">
        <v>1133</v>
      </c>
      <c r="E279" s="0" t="s">
        <v>655</v>
      </c>
      <c r="F279" s="0" t="s">
        <v>659</v>
      </c>
      <c r="G279" s="41" t="n">
        <v>2</v>
      </c>
      <c r="H279" s="25" t="s">
        <v>106</v>
      </c>
    </row>
    <row r="280" customFormat="false" ht="15" hidden="false" customHeight="false" outlineLevel="0" collapsed="false">
      <c r="A280" s="0" t="n">
        <v>2</v>
      </c>
      <c r="B280" s="0" t="s">
        <v>1129</v>
      </c>
      <c r="C280" s="0" t="s">
        <v>747</v>
      </c>
      <c r="D280" s="0" t="s">
        <v>1024</v>
      </c>
      <c r="E280" s="0" t="s">
        <v>655</v>
      </c>
      <c r="F280" s="0" t="s">
        <v>829</v>
      </c>
      <c r="G280" s="41" t="n">
        <v>6</v>
      </c>
      <c r="H280" s="25" t="s">
        <v>156</v>
      </c>
    </row>
    <row r="281" customFormat="false" ht="15" hidden="false" customHeight="false" outlineLevel="0" collapsed="false">
      <c r="A281" s="0" t="n">
        <v>2</v>
      </c>
      <c r="B281" s="0" t="s">
        <v>1129</v>
      </c>
      <c r="C281" s="0" t="s">
        <v>748</v>
      </c>
      <c r="D281" s="0" t="s">
        <v>1134</v>
      </c>
      <c r="E281" s="0" t="s">
        <v>655</v>
      </c>
      <c r="F281" s="0" t="s">
        <v>656</v>
      </c>
      <c r="G281" s="41" t="n">
        <v>1</v>
      </c>
      <c r="H281" s="25" t="s">
        <v>98</v>
      </c>
    </row>
    <row r="282" customFormat="false" ht="15" hidden="false" customHeight="false" outlineLevel="0" collapsed="false">
      <c r="A282" s="0" t="n">
        <v>2</v>
      </c>
      <c r="B282" s="0" t="s">
        <v>1129</v>
      </c>
      <c r="C282" s="0" t="s">
        <v>750</v>
      </c>
      <c r="D282" s="0" t="s">
        <v>1135</v>
      </c>
      <c r="E282" s="0" t="s">
        <v>655</v>
      </c>
      <c r="F282" s="0" t="s">
        <v>716</v>
      </c>
      <c r="G282" s="41" t="n">
        <v>12</v>
      </c>
      <c r="H282" s="25" t="s">
        <v>98</v>
      </c>
    </row>
    <row r="283" customFormat="false" ht="15" hidden="false" customHeight="false" outlineLevel="0" collapsed="false">
      <c r="A283" s="0" t="n">
        <v>2</v>
      </c>
      <c r="B283" s="0" t="s">
        <v>1129</v>
      </c>
      <c r="C283" s="0" t="s">
        <v>1136</v>
      </c>
      <c r="D283" s="0" t="s">
        <v>1137</v>
      </c>
      <c r="E283" s="0" t="s">
        <v>655</v>
      </c>
      <c r="F283" s="0" t="s">
        <v>829</v>
      </c>
      <c r="G283" s="41" t="n">
        <v>6</v>
      </c>
      <c r="H283" s="25" t="s">
        <v>106</v>
      </c>
    </row>
    <row r="284" customFormat="false" ht="15" hidden="false" customHeight="false" outlineLevel="0" collapsed="false">
      <c r="A284" s="0" t="n">
        <v>2</v>
      </c>
      <c r="B284" s="0" t="s">
        <v>1129</v>
      </c>
      <c r="C284" s="0" t="s">
        <v>1138</v>
      </c>
      <c r="D284" s="0" t="s">
        <v>1139</v>
      </c>
      <c r="E284" s="0" t="s">
        <v>655</v>
      </c>
      <c r="F284" s="0" t="s">
        <v>829</v>
      </c>
      <c r="G284" s="41" t="n">
        <v>6</v>
      </c>
      <c r="H284" s="25" t="s">
        <v>106</v>
      </c>
    </row>
    <row r="285" customFormat="false" ht="15" hidden="false" customHeight="false" outlineLevel="0" collapsed="false">
      <c r="A285" s="0" t="n">
        <v>2</v>
      </c>
      <c r="B285" s="0" t="s">
        <v>1129</v>
      </c>
      <c r="C285" s="0" t="s">
        <v>1140</v>
      </c>
      <c r="D285" s="0" t="s">
        <v>1010</v>
      </c>
      <c r="E285" s="0" t="s">
        <v>655</v>
      </c>
      <c r="F285" s="0" t="s">
        <v>1141</v>
      </c>
      <c r="G285" s="41" t="n">
        <v>42</v>
      </c>
      <c r="H285" s="25" t="s">
        <v>149</v>
      </c>
    </row>
    <row r="286" customFormat="false" ht="15" hidden="false" customHeight="false" outlineLevel="0" collapsed="false">
      <c r="A286" s="0" t="n">
        <v>2</v>
      </c>
      <c r="B286" s="0" t="s">
        <v>1129</v>
      </c>
      <c r="C286" s="0" t="s">
        <v>1142</v>
      </c>
      <c r="D286" s="0" t="s">
        <v>1106</v>
      </c>
      <c r="E286" s="0" t="s">
        <v>655</v>
      </c>
      <c r="F286" s="0" t="s">
        <v>1143</v>
      </c>
      <c r="G286" s="41" t="n">
        <v>303</v>
      </c>
      <c r="H286" s="25" t="s">
        <v>123</v>
      </c>
    </row>
    <row r="287" customFormat="false" ht="15" hidden="false" customHeight="false" outlineLevel="0" collapsed="false">
      <c r="A287" s="0" t="n">
        <v>2</v>
      </c>
      <c r="B287" s="0" t="s">
        <v>1129</v>
      </c>
      <c r="C287" s="0" t="s">
        <v>1144</v>
      </c>
      <c r="D287" s="0" t="s">
        <v>1145</v>
      </c>
      <c r="E287" s="0" t="s">
        <v>655</v>
      </c>
      <c r="F287" s="0" t="s">
        <v>781</v>
      </c>
      <c r="G287" s="41" t="n">
        <v>8</v>
      </c>
      <c r="H287" s="25" t="s">
        <v>123</v>
      </c>
    </row>
    <row r="288" customFormat="false" ht="15" hidden="false" customHeight="false" outlineLevel="0" collapsed="false">
      <c r="A288" s="0" t="n">
        <v>2</v>
      </c>
      <c r="B288" s="0" t="s">
        <v>1129</v>
      </c>
      <c r="C288" s="0" t="s">
        <v>1146</v>
      </c>
      <c r="D288" s="0" t="s">
        <v>1147</v>
      </c>
      <c r="E288" s="0" t="s">
        <v>655</v>
      </c>
      <c r="F288" s="0" t="s">
        <v>716</v>
      </c>
      <c r="G288" s="41" t="n">
        <v>12</v>
      </c>
      <c r="H288" s="25" t="s">
        <v>133</v>
      </c>
    </row>
    <row r="289" customFormat="false" ht="15" hidden="false" customHeight="false" outlineLevel="0" collapsed="false">
      <c r="A289" s="0" t="n">
        <v>2</v>
      </c>
      <c r="B289" s="0" t="s">
        <v>1129</v>
      </c>
      <c r="C289" s="0" t="s">
        <v>1148</v>
      </c>
      <c r="D289" s="0" t="s">
        <v>1108</v>
      </c>
      <c r="E289" s="0" t="s">
        <v>655</v>
      </c>
      <c r="F289" s="0" t="s">
        <v>716</v>
      </c>
      <c r="G289" s="41" t="n">
        <v>12</v>
      </c>
      <c r="H289" s="25" t="s">
        <v>152</v>
      </c>
    </row>
    <row r="290" customFormat="false" ht="15" hidden="false" customHeight="false" outlineLevel="0" collapsed="false">
      <c r="A290" s="0" t="n">
        <v>2</v>
      </c>
      <c r="B290" s="0" t="s">
        <v>1129</v>
      </c>
      <c r="C290" s="0" t="s">
        <v>1149</v>
      </c>
      <c r="D290" s="0" t="s">
        <v>1150</v>
      </c>
      <c r="E290" s="0" t="s">
        <v>655</v>
      </c>
      <c r="F290" s="0" t="s">
        <v>1119</v>
      </c>
      <c r="G290" s="41" t="n">
        <v>115</v>
      </c>
      <c r="H290" s="25" t="s">
        <v>149</v>
      </c>
    </row>
    <row r="291" customFormat="false" ht="15" hidden="false" customHeight="false" outlineLevel="0" collapsed="false">
      <c r="A291" s="0" t="n">
        <v>2</v>
      </c>
      <c r="B291" s="0" t="s">
        <v>1129</v>
      </c>
      <c r="C291" s="0" t="s">
        <v>1151</v>
      </c>
      <c r="D291" s="0" t="s">
        <v>1060</v>
      </c>
      <c r="E291" s="0" t="s">
        <v>655</v>
      </c>
      <c r="F291" s="0" t="s">
        <v>703</v>
      </c>
      <c r="G291" s="41" t="n">
        <v>4</v>
      </c>
      <c r="H291" s="25" t="s">
        <v>149</v>
      </c>
    </row>
    <row r="292" customFormat="false" ht="15" hidden="false" customHeight="false" outlineLevel="0" collapsed="false">
      <c r="A292" s="0" t="n">
        <v>2</v>
      </c>
      <c r="B292" s="0" t="s">
        <v>1129</v>
      </c>
      <c r="C292" s="0" t="s">
        <v>1152</v>
      </c>
      <c r="D292" s="0" t="s">
        <v>1056</v>
      </c>
      <c r="E292" s="0" t="s">
        <v>655</v>
      </c>
      <c r="F292" s="0" t="s">
        <v>781</v>
      </c>
      <c r="G292" s="41" t="n">
        <v>8</v>
      </c>
      <c r="H292" s="25" t="s">
        <v>152</v>
      </c>
    </row>
    <row r="293" customFormat="false" ht="15" hidden="false" customHeight="false" outlineLevel="0" collapsed="false">
      <c r="A293" s="0" t="n">
        <v>2</v>
      </c>
      <c r="B293" s="0" t="s">
        <v>1129</v>
      </c>
      <c r="C293" s="0" t="s">
        <v>1153</v>
      </c>
      <c r="D293" s="0" t="s">
        <v>1064</v>
      </c>
      <c r="E293" s="0" t="s">
        <v>655</v>
      </c>
      <c r="F293" s="0" t="s">
        <v>1154</v>
      </c>
      <c r="G293" s="41" t="n">
        <v>81</v>
      </c>
      <c r="H293" s="25" t="s">
        <v>156</v>
      </c>
    </row>
    <row r="294" customFormat="false" ht="15" hidden="false" customHeight="false" outlineLevel="0" collapsed="false">
      <c r="A294" s="0" t="n">
        <v>2</v>
      </c>
      <c r="B294" s="0" t="s">
        <v>1129</v>
      </c>
      <c r="C294" s="0" t="s">
        <v>1155</v>
      </c>
      <c r="D294" s="0" t="s">
        <v>1028</v>
      </c>
      <c r="E294" s="0" t="s">
        <v>655</v>
      </c>
      <c r="F294" s="0" t="s">
        <v>1156</v>
      </c>
      <c r="G294" s="41" t="n">
        <v>26</v>
      </c>
      <c r="H294" s="25" t="s">
        <v>156</v>
      </c>
    </row>
    <row r="295" customFormat="false" ht="15" hidden="false" customHeight="false" outlineLevel="0" collapsed="false">
      <c r="A295" s="0" t="n">
        <v>2</v>
      </c>
      <c r="B295" s="0" t="s">
        <v>1129</v>
      </c>
      <c r="C295" s="0" t="s">
        <v>1157</v>
      </c>
      <c r="D295" s="0" t="s">
        <v>1158</v>
      </c>
      <c r="E295" s="0" t="s">
        <v>655</v>
      </c>
      <c r="F295" s="0" t="s">
        <v>813</v>
      </c>
      <c r="G295" s="41" t="n">
        <v>27</v>
      </c>
      <c r="H295" s="25" t="s">
        <v>156</v>
      </c>
    </row>
    <row r="296" customFormat="false" ht="15" hidden="false" customHeight="false" outlineLevel="0" collapsed="false">
      <c r="A296" s="0" t="n">
        <v>2</v>
      </c>
      <c r="B296" s="0" t="s">
        <v>1129</v>
      </c>
      <c r="C296" s="0" t="s">
        <v>1159</v>
      </c>
      <c r="D296" s="0" t="s">
        <v>1062</v>
      </c>
      <c r="E296" s="0" t="s">
        <v>655</v>
      </c>
      <c r="F296" s="0" t="s">
        <v>667</v>
      </c>
      <c r="G296" s="41" t="n">
        <v>3</v>
      </c>
      <c r="H296" s="25" t="s">
        <v>113</v>
      </c>
    </row>
    <row r="297" customFormat="false" ht="15" hidden="false" customHeight="false" outlineLevel="0" collapsed="false">
      <c r="A297" s="0" t="n">
        <v>2</v>
      </c>
      <c r="B297" s="0" t="s">
        <v>1129</v>
      </c>
      <c r="C297" s="0" t="s">
        <v>1160</v>
      </c>
      <c r="D297" s="0" t="s">
        <v>1066</v>
      </c>
      <c r="E297" s="0" t="s">
        <v>655</v>
      </c>
      <c r="F297" s="0" t="s">
        <v>703</v>
      </c>
      <c r="G297" s="41" t="n">
        <v>4</v>
      </c>
      <c r="H297" s="25" t="s">
        <v>118</v>
      </c>
    </row>
    <row r="298" customFormat="false" ht="15" hidden="false" customHeight="false" outlineLevel="0" collapsed="false">
      <c r="A298" s="0" t="n">
        <v>2</v>
      </c>
      <c r="B298" s="0" t="s">
        <v>1129</v>
      </c>
      <c r="C298" s="0" t="s">
        <v>1161</v>
      </c>
      <c r="D298" s="0" t="s">
        <v>1073</v>
      </c>
      <c r="E298" s="0" t="s">
        <v>674</v>
      </c>
      <c r="F298" s="0" t="s">
        <v>1162</v>
      </c>
      <c r="G298" s="41" t="n">
        <v>7095</v>
      </c>
      <c r="H298" s="25" t="s">
        <v>178</v>
      </c>
    </row>
    <row r="299" customFormat="false" ht="15" hidden="false" customHeight="false" outlineLevel="0" collapsed="false">
      <c r="A299" s="0" t="n">
        <v>2</v>
      </c>
      <c r="B299" s="0" t="s">
        <v>1129</v>
      </c>
      <c r="C299" s="0" t="s">
        <v>1163</v>
      </c>
      <c r="D299" s="0" t="s">
        <v>1164</v>
      </c>
      <c r="E299" s="0" t="s">
        <v>674</v>
      </c>
      <c r="F299" s="0" t="s">
        <v>751</v>
      </c>
      <c r="G299" s="41" t="n">
        <v>50</v>
      </c>
      <c r="H299" s="25" t="s">
        <v>178</v>
      </c>
    </row>
    <row r="300" customFormat="false" ht="15" hidden="false" customHeight="false" outlineLevel="0" collapsed="false">
      <c r="A300" s="0" t="n">
        <v>2</v>
      </c>
      <c r="B300" s="0" t="s">
        <v>1129</v>
      </c>
      <c r="C300" s="0" t="s">
        <v>1165</v>
      </c>
      <c r="D300" s="0" t="s">
        <v>1166</v>
      </c>
      <c r="E300" s="0" t="s">
        <v>674</v>
      </c>
      <c r="F300" s="0" t="s">
        <v>1167</v>
      </c>
      <c r="G300" s="41" t="n">
        <v>40</v>
      </c>
      <c r="H300" s="25" t="s">
        <v>178</v>
      </c>
    </row>
    <row r="301" customFormat="false" ht="15" hidden="false" customHeight="false" outlineLevel="0" collapsed="false">
      <c r="A301" s="0" t="n">
        <v>2</v>
      </c>
      <c r="B301" s="0" t="s">
        <v>1129</v>
      </c>
      <c r="C301" s="0" t="s">
        <v>1168</v>
      </c>
      <c r="D301" s="0" t="s">
        <v>1169</v>
      </c>
      <c r="E301" s="0" t="s">
        <v>674</v>
      </c>
      <c r="F301" s="0" t="s">
        <v>1167</v>
      </c>
      <c r="G301" s="41" t="n">
        <v>40</v>
      </c>
      <c r="H301" s="25" t="s">
        <v>178</v>
      </c>
    </row>
    <row r="302" customFormat="false" ht="15" hidden="false" customHeight="false" outlineLevel="0" collapsed="false">
      <c r="A302" s="0" t="n">
        <v>2</v>
      </c>
      <c r="B302" s="0" t="s">
        <v>1129</v>
      </c>
      <c r="C302" s="0" t="s">
        <v>1170</v>
      </c>
      <c r="D302" s="0" t="s">
        <v>1171</v>
      </c>
      <c r="E302" s="0" t="s">
        <v>674</v>
      </c>
      <c r="F302" s="0" t="s">
        <v>876</v>
      </c>
      <c r="G302" s="41" t="n">
        <v>300</v>
      </c>
      <c r="H302" s="25" t="s">
        <v>178</v>
      </c>
    </row>
    <row r="303" customFormat="false" ht="15" hidden="false" customHeight="false" outlineLevel="0" collapsed="false">
      <c r="A303" s="0" t="n">
        <v>2</v>
      </c>
      <c r="B303" s="0" t="s">
        <v>1129</v>
      </c>
      <c r="C303" s="0" t="s">
        <v>1172</v>
      </c>
      <c r="D303" s="0" t="s">
        <v>1173</v>
      </c>
      <c r="E303" s="0" t="s">
        <v>674</v>
      </c>
      <c r="F303" s="0" t="s">
        <v>933</v>
      </c>
      <c r="G303" s="41" t="n">
        <v>70</v>
      </c>
      <c r="H303" s="25" t="s">
        <v>178</v>
      </c>
    </row>
    <row r="304" customFormat="false" ht="15" hidden="false" customHeight="false" outlineLevel="0" collapsed="false">
      <c r="A304" s="0" t="n">
        <v>2</v>
      </c>
      <c r="B304" s="0" t="s">
        <v>1129</v>
      </c>
      <c r="C304" s="0" t="s">
        <v>1174</v>
      </c>
      <c r="D304" s="0" t="s">
        <v>1077</v>
      </c>
      <c r="E304" s="0" t="s">
        <v>674</v>
      </c>
      <c r="F304" s="0" t="s">
        <v>698</v>
      </c>
      <c r="G304" s="41" t="n">
        <v>38</v>
      </c>
      <c r="H304" s="25" t="s">
        <v>178</v>
      </c>
    </row>
    <row r="305" customFormat="false" ht="15" hidden="false" customHeight="false" outlineLevel="0" collapsed="false">
      <c r="A305" s="0" t="n">
        <v>2</v>
      </c>
      <c r="B305" s="0" t="s">
        <v>1129</v>
      </c>
      <c r="C305" s="0" t="s">
        <v>1175</v>
      </c>
      <c r="D305" s="0" t="s">
        <v>1176</v>
      </c>
      <c r="E305" s="0" t="s">
        <v>674</v>
      </c>
      <c r="F305" s="0" t="s">
        <v>1177</v>
      </c>
      <c r="G305" s="41" t="n">
        <v>37</v>
      </c>
      <c r="H305" s="25" t="s">
        <v>178</v>
      </c>
    </row>
    <row r="306" customFormat="false" ht="15" hidden="false" customHeight="false" outlineLevel="0" collapsed="false">
      <c r="A306" s="0" t="n">
        <v>2</v>
      </c>
      <c r="B306" s="0" t="s">
        <v>1129</v>
      </c>
      <c r="C306" s="0" t="s">
        <v>1178</v>
      </c>
      <c r="D306" s="0" t="s">
        <v>1126</v>
      </c>
      <c r="E306" s="0" t="s">
        <v>674</v>
      </c>
      <c r="F306" s="0" t="s">
        <v>1179</v>
      </c>
      <c r="G306" s="41" t="n">
        <v>60</v>
      </c>
      <c r="H306" s="25" t="s">
        <v>178</v>
      </c>
    </row>
    <row r="307" customFormat="false" ht="15" hidden="false" customHeight="false" outlineLevel="0" collapsed="false">
      <c r="A307" s="0" t="n">
        <v>2</v>
      </c>
      <c r="B307" s="0" t="s">
        <v>1129</v>
      </c>
      <c r="C307" s="0" t="s">
        <v>1180</v>
      </c>
      <c r="D307" s="0" t="s">
        <v>1081</v>
      </c>
      <c r="E307" s="0" t="s">
        <v>674</v>
      </c>
      <c r="F307" s="0" t="s">
        <v>1181</v>
      </c>
      <c r="G307" s="41" t="n">
        <v>39</v>
      </c>
      <c r="H307" s="25" t="s">
        <v>178</v>
      </c>
    </row>
    <row r="308" customFormat="false" ht="15" hidden="false" customHeight="false" outlineLevel="0" collapsed="false">
      <c r="A308" s="0" t="n">
        <v>2</v>
      </c>
      <c r="B308" s="0" t="s">
        <v>1182</v>
      </c>
      <c r="C308" s="0" t="s">
        <v>753</v>
      </c>
      <c r="D308" s="0" t="s">
        <v>1131</v>
      </c>
      <c r="E308" s="0" t="s">
        <v>655</v>
      </c>
      <c r="F308" s="0" t="s">
        <v>690</v>
      </c>
      <c r="G308" s="41" t="n">
        <v>5</v>
      </c>
      <c r="H308" s="25" t="s">
        <v>98</v>
      </c>
    </row>
    <row r="309" customFormat="false" ht="15" hidden="false" customHeight="false" outlineLevel="0" collapsed="false">
      <c r="A309" s="0" t="n">
        <v>2</v>
      </c>
      <c r="B309" s="0" t="s">
        <v>1182</v>
      </c>
      <c r="C309" s="0" t="s">
        <v>755</v>
      </c>
      <c r="D309" s="0" t="s">
        <v>1022</v>
      </c>
      <c r="E309" s="0" t="s">
        <v>655</v>
      </c>
      <c r="F309" s="0" t="s">
        <v>836</v>
      </c>
      <c r="G309" s="41" t="n">
        <v>10</v>
      </c>
      <c r="H309" s="25" t="s">
        <v>156</v>
      </c>
    </row>
    <row r="310" customFormat="false" ht="15" hidden="false" customHeight="false" outlineLevel="0" collapsed="false">
      <c r="A310" s="0" t="n">
        <v>2</v>
      </c>
      <c r="B310" s="0" t="s">
        <v>1182</v>
      </c>
      <c r="C310" s="0" t="s">
        <v>757</v>
      </c>
      <c r="D310" s="0" t="s">
        <v>821</v>
      </c>
      <c r="E310" s="0" t="s">
        <v>655</v>
      </c>
      <c r="F310" s="0" t="s">
        <v>861</v>
      </c>
      <c r="G310" s="41" t="n">
        <v>15</v>
      </c>
      <c r="H310" s="25" t="s">
        <v>123</v>
      </c>
    </row>
    <row r="311" customFormat="false" ht="15" hidden="false" customHeight="false" outlineLevel="0" collapsed="false">
      <c r="A311" s="0" t="n">
        <v>2</v>
      </c>
      <c r="B311" s="0" t="s">
        <v>1182</v>
      </c>
      <c r="C311" s="0" t="s">
        <v>758</v>
      </c>
      <c r="D311" s="0" t="s">
        <v>1020</v>
      </c>
      <c r="E311" s="0" t="s">
        <v>655</v>
      </c>
      <c r="F311" s="0" t="s">
        <v>836</v>
      </c>
      <c r="G311" s="41" t="n">
        <v>10</v>
      </c>
      <c r="H311" s="25" t="s">
        <v>149</v>
      </c>
    </row>
    <row r="312" customFormat="false" ht="15" hidden="false" customHeight="false" outlineLevel="0" collapsed="false">
      <c r="A312" s="0" t="n">
        <v>2</v>
      </c>
      <c r="B312" s="0" t="s">
        <v>1182</v>
      </c>
      <c r="C312" s="0" t="s">
        <v>760</v>
      </c>
      <c r="D312" s="0" t="s">
        <v>1183</v>
      </c>
      <c r="E312" s="0" t="s">
        <v>655</v>
      </c>
      <c r="F312" s="0" t="s">
        <v>861</v>
      </c>
      <c r="G312" s="41" t="n">
        <v>15</v>
      </c>
      <c r="H312" s="25" t="s">
        <v>156</v>
      </c>
    </row>
    <row r="313" customFormat="false" ht="15" hidden="false" customHeight="false" outlineLevel="0" collapsed="false">
      <c r="A313" s="0" t="n">
        <v>2</v>
      </c>
      <c r="B313" s="0" t="s">
        <v>1182</v>
      </c>
      <c r="C313" s="0" t="s">
        <v>762</v>
      </c>
      <c r="D313" s="0" t="s">
        <v>1184</v>
      </c>
      <c r="E313" s="0" t="s">
        <v>674</v>
      </c>
      <c r="F313" s="0" t="s">
        <v>1185</v>
      </c>
      <c r="G313" s="41" t="n">
        <v>450</v>
      </c>
      <c r="H313" s="25" t="s">
        <v>143</v>
      </c>
    </row>
    <row r="314" customFormat="false" ht="15" hidden="false" customHeight="false" outlineLevel="0" collapsed="false">
      <c r="A314" s="0" t="n">
        <v>2</v>
      </c>
      <c r="B314" s="0" t="s">
        <v>1182</v>
      </c>
      <c r="C314" s="0" t="s">
        <v>765</v>
      </c>
      <c r="D314" s="0" t="s">
        <v>1186</v>
      </c>
      <c r="E314" s="0" t="s">
        <v>655</v>
      </c>
      <c r="F314" s="0" t="s">
        <v>836</v>
      </c>
      <c r="G314" s="41" t="n">
        <v>10</v>
      </c>
      <c r="H314" s="25" t="s">
        <v>156</v>
      </c>
    </row>
    <row r="315" customFormat="false" ht="15" hidden="false" customHeight="false" outlineLevel="0" collapsed="false">
      <c r="A315" s="0" t="n">
        <v>2</v>
      </c>
      <c r="B315" s="0" t="s">
        <v>1182</v>
      </c>
      <c r="C315" s="0" t="s">
        <v>1187</v>
      </c>
      <c r="D315" s="0" t="s">
        <v>1188</v>
      </c>
      <c r="E315" s="0" t="s">
        <v>655</v>
      </c>
      <c r="F315" s="0" t="s">
        <v>690</v>
      </c>
      <c r="G315" s="41" t="n">
        <v>5</v>
      </c>
      <c r="H315" s="25" t="s">
        <v>156</v>
      </c>
    </row>
    <row r="316" customFormat="false" ht="15" hidden="false" customHeight="false" outlineLevel="0" collapsed="false">
      <c r="A316" s="0" t="n">
        <v>2</v>
      </c>
      <c r="B316" s="0" t="s">
        <v>1182</v>
      </c>
      <c r="C316" s="0" t="s">
        <v>1189</v>
      </c>
      <c r="D316" s="0" t="s">
        <v>1190</v>
      </c>
      <c r="E316" s="0" t="s">
        <v>655</v>
      </c>
      <c r="F316" s="0" t="s">
        <v>836</v>
      </c>
      <c r="G316" s="41" t="n">
        <v>10</v>
      </c>
      <c r="H316" s="25" t="s">
        <v>156</v>
      </c>
    </row>
    <row r="317" customFormat="false" ht="15" hidden="false" customHeight="false" outlineLevel="0" collapsed="false">
      <c r="A317" s="0" t="n">
        <v>2</v>
      </c>
      <c r="B317" s="0" t="s">
        <v>1182</v>
      </c>
      <c r="C317" s="0" t="s">
        <v>1191</v>
      </c>
      <c r="D317" s="0" t="s">
        <v>1192</v>
      </c>
      <c r="E317" s="0" t="s">
        <v>655</v>
      </c>
      <c r="F317" s="0" t="s">
        <v>836</v>
      </c>
      <c r="G317" s="41" t="n">
        <v>10</v>
      </c>
      <c r="H317" s="25" t="s">
        <v>156</v>
      </c>
    </row>
    <row r="318" customFormat="false" ht="15" hidden="false" customHeight="false" outlineLevel="0" collapsed="false">
      <c r="A318" s="0" t="n">
        <v>2</v>
      </c>
      <c r="B318" s="0" t="s">
        <v>1182</v>
      </c>
      <c r="C318" s="0" t="s">
        <v>1193</v>
      </c>
      <c r="D318" s="0" t="s">
        <v>1194</v>
      </c>
      <c r="E318" s="0" t="s">
        <v>655</v>
      </c>
      <c r="F318" s="0" t="s">
        <v>1195</v>
      </c>
      <c r="G318" s="41" t="n">
        <v>145</v>
      </c>
      <c r="H318" s="25" t="s">
        <v>152</v>
      </c>
    </row>
    <row r="319" customFormat="false" ht="15" hidden="false" customHeight="false" outlineLevel="0" collapsed="false">
      <c r="A319" s="0" t="n">
        <v>2</v>
      </c>
      <c r="B319" s="0" t="s">
        <v>1182</v>
      </c>
      <c r="C319" s="0" t="s">
        <v>1196</v>
      </c>
      <c r="D319" s="0" t="s">
        <v>1114</v>
      </c>
      <c r="E319" s="0" t="s">
        <v>655</v>
      </c>
      <c r="F319" s="0" t="s">
        <v>690</v>
      </c>
      <c r="G319" s="41" t="n">
        <v>5</v>
      </c>
      <c r="H319" s="25" t="s">
        <v>113</v>
      </c>
    </row>
    <row r="320" customFormat="false" ht="15" hidden="false" customHeight="false" outlineLevel="0" collapsed="false">
      <c r="A320" s="0" t="n">
        <v>2</v>
      </c>
      <c r="B320" s="0" t="s">
        <v>1182</v>
      </c>
      <c r="C320" s="0" t="s">
        <v>1197</v>
      </c>
      <c r="D320" s="0" t="s">
        <v>1198</v>
      </c>
      <c r="E320" s="0" t="s">
        <v>655</v>
      </c>
      <c r="F320" s="0" t="s">
        <v>690</v>
      </c>
      <c r="G320" s="41" t="n">
        <v>5</v>
      </c>
      <c r="H320" s="25" t="s">
        <v>113</v>
      </c>
    </row>
    <row r="321" customFormat="false" ht="15" hidden="false" customHeight="false" outlineLevel="0" collapsed="false">
      <c r="A321" s="0" t="n">
        <v>2</v>
      </c>
      <c r="B321" s="0" t="s">
        <v>1182</v>
      </c>
      <c r="C321" s="0" t="s">
        <v>1199</v>
      </c>
      <c r="D321" s="0" t="s">
        <v>1200</v>
      </c>
      <c r="E321" s="0" t="s">
        <v>674</v>
      </c>
      <c r="F321" s="0" t="s">
        <v>788</v>
      </c>
      <c r="G321" s="41" t="n">
        <v>20</v>
      </c>
      <c r="H321" s="25" t="s">
        <v>178</v>
      </c>
    </row>
    <row r="322" customFormat="false" ht="15" hidden="false" customHeight="false" outlineLevel="0" collapsed="false">
      <c r="A322" s="0" t="n">
        <v>2</v>
      </c>
      <c r="B322" s="0" t="s">
        <v>1182</v>
      </c>
      <c r="C322" s="0" t="s">
        <v>1201</v>
      </c>
      <c r="D322" s="0" t="s">
        <v>1202</v>
      </c>
      <c r="E322" s="0" t="s">
        <v>674</v>
      </c>
      <c r="F322" s="0" t="s">
        <v>1203</v>
      </c>
      <c r="G322" s="41" t="n">
        <v>1000</v>
      </c>
      <c r="H322" s="25" t="s">
        <v>178</v>
      </c>
    </row>
    <row r="323" customFormat="false" ht="15" hidden="false" customHeight="false" outlineLevel="0" collapsed="false">
      <c r="A323" s="0" t="n">
        <v>2</v>
      </c>
      <c r="B323" s="0" t="s">
        <v>1182</v>
      </c>
      <c r="C323" s="0" t="s">
        <v>1204</v>
      </c>
      <c r="D323" s="0" t="s">
        <v>1205</v>
      </c>
      <c r="E323" s="0" t="s">
        <v>674</v>
      </c>
      <c r="F323" s="0" t="s">
        <v>1206</v>
      </c>
      <c r="G323" s="41" t="n">
        <v>410</v>
      </c>
      <c r="H323" s="25" t="s">
        <v>178</v>
      </c>
    </row>
    <row r="324" customFormat="false" ht="15" hidden="false" customHeight="false" outlineLevel="0" collapsed="false">
      <c r="A324" s="0" t="n">
        <v>2</v>
      </c>
      <c r="B324" s="0" t="s">
        <v>1182</v>
      </c>
      <c r="C324" s="0" t="s">
        <v>1207</v>
      </c>
      <c r="D324" s="0" t="s">
        <v>1208</v>
      </c>
      <c r="E324" s="0" t="s">
        <v>674</v>
      </c>
      <c r="F324" s="0" t="s">
        <v>1209</v>
      </c>
      <c r="G324" s="41" t="n">
        <v>250</v>
      </c>
      <c r="H324" s="25" t="s">
        <v>178</v>
      </c>
    </row>
    <row r="325" customFormat="false" ht="15" hidden="false" customHeight="false" outlineLevel="0" collapsed="false">
      <c r="A325" s="0" t="n">
        <v>2</v>
      </c>
      <c r="B325" s="0" t="s">
        <v>1182</v>
      </c>
      <c r="C325" s="0" t="s">
        <v>1210</v>
      </c>
      <c r="D325" s="0" t="s">
        <v>1211</v>
      </c>
      <c r="E325" s="0" t="s">
        <v>674</v>
      </c>
      <c r="F325" s="0" t="s">
        <v>836</v>
      </c>
      <c r="G325" s="41" t="n">
        <v>10</v>
      </c>
      <c r="H325" s="25" t="s">
        <v>178</v>
      </c>
    </row>
    <row r="326" customFormat="false" ht="15" hidden="false" customHeight="false" outlineLevel="0" collapsed="false">
      <c r="A326" s="0" t="n">
        <v>2</v>
      </c>
      <c r="B326" s="0" t="s">
        <v>1182</v>
      </c>
      <c r="C326" s="0" t="s">
        <v>1212</v>
      </c>
      <c r="D326" s="0" t="s">
        <v>1213</v>
      </c>
      <c r="E326" s="0" t="s">
        <v>674</v>
      </c>
      <c r="F326" s="0" t="s">
        <v>941</v>
      </c>
      <c r="G326" s="41" t="n">
        <v>350</v>
      </c>
      <c r="H326" s="25" t="s">
        <v>178</v>
      </c>
    </row>
    <row r="327" customFormat="false" ht="15" hidden="false" customHeight="false" outlineLevel="0" collapsed="false">
      <c r="A327" s="0" t="n">
        <v>2</v>
      </c>
      <c r="B327" s="0" t="s">
        <v>1182</v>
      </c>
      <c r="C327" s="0" t="s">
        <v>1214</v>
      </c>
      <c r="D327" s="0" t="s">
        <v>1215</v>
      </c>
      <c r="E327" s="0" t="s">
        <v>674</v>
      </c>
      <c r="F327" s="0" t="s">
        <v>735</v>
      </c>
      <c r="G327" s="41" t="n">
        <v>150</v>
      </c>
      <c r="H327" s="25" t="s">
        <v>178</v>
      </c>
    </row>
    <row r="328" customFormat="false" ht="15" hidden="false" customHeight="false" outlineLevel="0" collapsed="false">
      <c r="A328" s="0" t="n">
        <v>2</v>
      </c>
      <c r="B328" s="0" t="s">
        <v>1216</v>
      </c>
      <c r="C328" s="0" t="s">
        <v>769</v>
      </c>
      <c r="D328" s="0" t="s">
        <v>1131</v>
      </c>
      <c r="E328" s="0" t="s">
        <v>655</v>
      </c>
      <c r="F328" s="0" t="s">
        <v>656</v>
      </c>
      <c r="G328" s="41" t="n">
        <v>1</v>
      </c>
      <c r="H328" s="25" t="s">
        <v>98</v>
      </c>
    </row>
    <row r="329" customFormat="false" ht="15" hidden="false" customHeight="false" outlineLevel="0" collapsed="false">
      <c r="A329" s="0" t="n">
        <v>2</v>
      </c>
      <c r="B329" s="0" t="s">
        <v>1216</v>
      </c>
      <c r="C329" s="0" t="s">
        <v>771</v>
      </c>
      <c r="D329" s="0" t="s">
        <v>1030</v>
      </c>
      <c r="E329" s="0" t="s">
        <v>655</v>
      </c>
      <c r="F329" s="0" t="s">
        <v>656</v>
      </c>
      <c r="G329" s="41" t="n">
        <v>1</v>
      </c>
      <c r="H329" s="25" t="s">
        <v>106</v>
      </c>
    </row>
    <row r="330" customFormat="false" ht="15" hidden="false" customHeight="false" outlineLevel="0" collapsed="false">
      <c r="A330" s="0" t="n">
        <v>2</v>
      </c>
      <c r="B330" s="0" t="s">
        <v>1216</v>
      </c>
      <c r="C330" s="0" t="s">
        <v>773</v>
      </c>
      <c r="D330" s="0" t="s">
        <v>1132</v>
      </c>
      <c r="E330" s="0" t="s">
        <v>655</v>
      </c>
      <c r="F330" s="0" t="s">
        <v>656</v>
      </c>
      <c r="G330" s="41" t="n">
        <v>1</v>
      </c>
      <c r="H330" s="25" t="s">
        <v>106</v>
      </c>
    </row>
    <row r="331" customFormat="false" ht="15" hidden="false" customHeight="false" outlineLevel="0" collapsed="false">
      <c r="A331" s="0" t="n">
        <v>2</v>
      </c>
      <c r="B331" s="0" t="s">
        <v>1216</v>
      </c>
      <c r="C331" s="0" t="s">
        <v>1217</v>
      </c>
      <c r="D331" s="0" t="s">
        <v>1022</v>
      </c>
      <c r="E331" s="0" t="s">
        <v>655</v>
      </c>
      <c r="F331" s="0" t="s">
        <v>667</v>
      </c>
      <c r="G331" s="41" t="n">
        <v>3</v>
      </c>
      <c r="H331" s="25" t="s">
        <v>156</v>
      </c>
    </row>
    <row r="332" customFormat="false" ht="15" hidden="false" customHeight="false" outlineLevel="0" collapsed="false">
      <c r="A332" s="0" t="n">
        <v>2</v>
      </c>
      <c r="B332" s="0" t="s">
        <v>1216</v>
      </c>
      <c r="C332" s="0" t="s">
        <v>1218</v>
      </c>
      <c r="D332" s="0" t="s">
        <v>1008</v>
      </c>
      <c r="E332" s="0" t="s">
        <v>655</v>
      </c>
      <c r="F332" s="0" t="s">
        <v>656</v>
      </c>
      <c r="G332" s="41" t="n">
        <v>1</v>
      </c>
      <c r="H332" s="25" t="s">
        <v>106</v>
      </c>
    </row>
    <row r="333" customFormat="false" ht="15" hidden="false" customHeight="false" outlineLevel="0" collapsed="false">
      <c r="A333" s="0" t="n">
        <v>2</v>
      </c>
      <c r="B333" s="0" t="s">
        <v>1216</v>
      </c>
      <c r="C333" s="0" t="s">
        <v>1219</v>
      </c>
      <c r="D333" s="0" t="s">
        <v>997</v>
      </c>
      <c r="E333" s="0" t="s">
        <v>655</v>
      </c>
      <c r="F333" s="0" t="s">
        <v>659</v>
      </c>
      <c r="G333" s="41" t="n">
        <v>2</v>
      </c>
      <c r="H333" s="25" t="s">
        <v>156</v>
      </c>
    </row>
    <row r="334" customFormat="false" ht="15" hidden="false" customHeight="false" outlineLevel="0" collapsed="false">
      <c r="A334" s="0" t="n">
        <v>2</v>
      </c>
      <c r="B334" s="0" t="s">
        <v>1216</v>
      </c>
      <c r="C334" s="0" t="s">
        <v>1220</v>
      </c>
      <c r="D334" s="0" t="s">
        <v>1221</v>
      </c>
      <c r="E334" s="0" t="s">
        <v>655</v>
      </c>
      <c r="F334" s="0" t="s">
        <v>829</v>
      </c>
      <c r="G334" s="41" t="n">
        <v>6</v>
      </c>
      <c r="H334" s="25" t="s">
        <v>129</v>
      </c>
    </row>
    <row r="335" customFormat="false" ht="15" hidden="false" customHeight="false" outlineLevel="0" collapsed="false">
      <c r="A335" s="0" t="n">
        <v>2</v>
      </c>
      <c r="B335" s="0" t="s">
        <v>1216</v>
      </c>
      <c r="C335" s="0" t="s">
        <v>1222</v>
      </c>
      <c r="D335" s="0" t="s">
        <v>1223</v>
      </c>
      <c r="E335" s="0" t="s">
        <v>655</v>
      </c>
      <c r="F335" s="0" t="s">
        <v>829</v>
      </c>
      <c r="G335" s="41" t="n">
        <v>6</v>
      </c>
      <c r="H335" s="25" t="s">
        <v>123</v>
      </c>
    </row>
    <row r="336" customFormat="false" ht="15" hidden="false" customHeight="false" outlineLevel="0" collapsed="false">
      <c r="A336" s="0" t="n">
        <v>2</v>
      </c>
      <c r="B336" s="0" t="s">
        <v>1216</v>
      </c>
      <c r="C336" s="0" t="s">
        <v>1224</v>
      </c>
      <c r="D336" s="0" t="s">
        <v>1225</v>
      </c>
      <c r="E336" s="0" t="s">
        <v>655</v>
      </c>
      <c r="F336" s="0" t="s">
        <v>667</v>
      </c>
      <c r="G336" s="41" t="n">
        <v>3</v>
      </c>
      <c r="H336" s="25" t="s">
        <v>123</v>
      </c>
    </row>
    <row r="337" customFormat="false" ht="15" hidden="false" customHeight="false" outlineLevel="0" collapsed="false">
      <c r="A337" s="0" t="n">
        <v>2</v>
      </c>
      <c r="B337" s="0" t="s">
        <v>1216</v>
      </c>
      <c r="C337" s="0" t="s">
        <v>1226</v>
      </c>
      <c r="D337" s="0" t="s">
        <v>1227</v>
      </c>
      <c r="E337" s="0" t="s">
        <v>655</v>
      </c>
      <c r="F337" s="0" t="s">
        <v>703</v>
      </c>
      <c r="G337" s="41" t="n">
        <v>4</v>
      </c>
      <c r="H337" s="25" t="s">
        <v>129</v>
      </c>
    </row>
    <row r="338" customFormat="false" ht="15" hidden="false" customHeight="false" outlineLevel="0" collapsed="false">
      <c r="A338" s="0" t="n">
        <v>2</v>
      </c>
      <c r="B338" s="0" t="s">
        <v>1216</v>
      </c>
      <c r="C338" s="0" t="s">
        <v>1228</v>
      </c>
      <c r="D338" s="0" t="s">
        <v>1229</v>
      </c>
      <c r="E338" s="0" t="s">
        <v>655</v>
      </c>
      <c r="F338" s="0" t="s">
        <v>659</v>
      </c>
      <c r="G338" s="41" t="n">
        <v>2</v>
      </c>
      <c r="H338" s="25" t="s">
        <v>152</v>
      </c>
    </row>
    <row r="339" customFormat="false" ht="15" hidden="false" customHeight="false" outlineLevel="0" collapsed="false">
      <c r="A339" s="0" t="n">
        <v>2</v>
      </c>
      <c r="B339" s="0" t="s">
        <v>1216</v>
      </c>
      <c r="C339" s="0" t="s">
        <v>1230</v>
      </c>
      <c r="D339" s="0" t="s">
        <v>1231</v>
      </c>
      <c r="E339" s="0" t="s">
        <v>655</v>
      </c>
      <c r="F339" s="0" t="s">
        <v>659</v>
      </c>
      <c r="G339" s="41" t="n">
        <v>2</v>
      </c>
      <c r="H339" s="25" t="s">
        <v>129</v>
      </c>
    </row>
    <row r="340" customFormat="false" ht="15" hidden="false" customHeight="false" outlineLevel="0" collapsed="false">
      <c r="A340" s="0" t="n">
        <v>2</v>
      </c>
      <c r="B340" s="0" t="s">
        <v>1216</v>
      </c>
      <c r="C340" s="0" t="s">
        <v>1232</v>
      </c>
      <c r="D340" s="0" t="s">
        <v>1233</v>
      </c>
      <c r="E340" s="0" t="s">
        <v>655</v>
      </c>
      <c r="F340" s="0" t="s">
        <v>935</v>
      </c>
      <c r="G340" s="41" t="n">
        <v>9</v>
      </c>
      <c r="H340" s="25" t="s">
        <v>156</v>
      </c>
    </row>
    <row r="341" customFormat="false" ht="15" hidden="false" customHeight="false" outlineLevel="0" collapsed="false">
      <c r="A341" s="0" t="n">
        <v>2</v>
      </c>
      <c r="B341" s="0" t="s">
        <v>1216</v>
      </c>
      <c r="C341" s="0" t="s">
        <v>1234</v>
      </c>
      <c r="D341" s="0" t="s">
        <v>1235</v>
      </c>
      <c r="E341" s="0" t="s">
        <v>655</v>
      </c>
      <c r="F341" s="0" t="s">
        <v>656</v>
      </c>
      <c r="G341" s="41" t="n">
        <v>1</v>
      </c>
      <c r="H341" s="25" t="s">
        <v>106</v>
      </c>
    </row>
    <row r="342" customFormat="false" ht="15" hidden="false" customHeight="false" outlineLevel="0" collapsed="false">
      <c r="A342" s="0" t="n">
        <v>2</v>
      </c>
      <c r="B342" s="0" t="s">
        <v>1216</v>
      </c>
      <c r="C342" s="0" t="s">
        <v>1236</v>
      </c>
      <c r="D342" s="0" t="s">
        <v>1237</v>
      </c>
      <c r="E342" s="0" t="s">
        <v>655</v>
      </c>
      <c r="F342" s="0" t="s">
        <v>659</v>
      </c>
      <c r="G342" s="41" t="n">
        <v>2</v>
      </c>
      <c r="H342" s="25" t="s">
        <v>113</v>
      </c>
    </row>
    <row r="343" customFormat="false" ht="15" hidden="false" customHeight="false" outlineLevel="0" collapsed="false">
      <c r="A343" s="0" t="n">
        <v>2</v>
      </c>
      <c r="B343" s="0" t="s">
        <v>1216</v>
      </c>
      <c r="C343" s="0" t="s">
        <v>1238</v>
      </c>
      <c r="D343" s="0" t="s">
        <v>1239</v>
      </c>
      <c r="F343" s="0" t="s">
        <v>829</v>
      </c>
      <c r="G343" s="41" t="n">
        <v>6</v>
      </c>
      <c r="H343" s="25" t="s">
        <v>118</v>
      </c>
    </row>
    <row r="344" customFormat="false" ht="15" hidden="false" customHeight="false" outlineLevel="0" collapsed="false">
      <c r="A344" s="0" t="n">
        <v>2</v>
      </c>
      <c r="B344" s="0" t="s">
        <v>1216</v>
      </c>
      <c r="C344" s="0" t="s">
        <v>1240</v>
      </c>
      <c r="D344" s="0" t="s">
        <v>1241</v>
      </c>
      <c r="F344" s="0" t="s">
        <v>656</v>
      </c>
      <c r="G344" s="41" t="n">
        <v>1</v>
      </c>
      <c r="H344" s="25" t="s">
        <v>118</v>
      </c>
    </row>
    <row r="345" customFormat="false" ht="15" hidden="false" customHeight="false" outlineLevel="0" collapsed="false">
      <c r="A345" s="0" t="n">
        <v>3</v>
      </c>
      <c r="B345" s="0" t="s">
        <v>1242</v>
      </c>
      <c r="C345" s="0" t="s">
        <v>1243</v>
      </c>
      <c r="D345" s="0" t="s">
        <v>1244</v>
      </c>
      <c r="E345" s="0" t="s">
        <v>100</v>
      </c>
      <c r="F345" s="0" t="s">
        <v>730</v>
      </c>
      <c r="G345" s="41" t="n">
        <v>18</v>
      </c>
      <c r="H345" s="25" t="s">
        <v>123</v>
      </c>
    </row>
    <row r="346" customFormat="false" ht="15" hidden="false" customHeight="false" outlineLevel="0" collapsed="false">
      <c r="A346" s="0" t="n">
        <v>3</v>
      </c>
      <c r="B346" s="0" t="s">
        <v>1242</v>
      </c>
      <c r="C346" s="0" t="s">
        <v>1245</v>
      </c>
      <c r="D346" s="0" t="s">
        <v>1246</v>
      </c>
      <c r="E346" s="0" t="s">
        <v>100</v>
      </c>
      <c r="F346" s="0" t="s">
        <v>659</v>
      </c>
      <c r="G346" s="41" t="n">
        <v>2</v>
      </c>
      <c r="H346" s="25" t="s">
        <v>149</v>
      </c>
    </row>
    <row r="347" customFormat="false" ht="15" hidden="false" customHeight="false" outlineLevel="0" collapsed="false">
      <c r="A347" s="0" t="n">
        <v>3</v>
      </c>
      <c r="B347" s="0" t="s">
        <v>1242</v>
      </c>
      <c r="C347" s="0" t="s">
        <v>1247</v>
      </c>
      <c r="D347" s="0" t="s">
        <v>1248</v>
      </c>
      <c r="E347" s="0" t="s">
        <v>100</v>
      </c>
      <c r="F347" s="0" t="s">
        <v>659</v>
      </c>
      <c r="G347" s="41" t="n">
        <v>2</v>
      </c>
      <c r="H347" s="25" t="s">
        <v>156</v>
      </c>
    </row>
    <row r="348" customFormat="false" ht="15" hidden="false" customHeight="false" outlineLevel="0" collapsed="false">
      <c r="A348" s="0" t="n">
        <v>3</v>
      </c>
      <c r="B348" s="0" t="s">
        <v>1242</v>
      </c>
      <c r="C348" s="0" t="s">
        <v>1249</v>
      </c>
      <c r="D348" s="0" t="s">
        <v>1250</v>
      </c>
      <c r="E348" s="0" t="s">
        <v>100</v>
      </c>
      <c r="F348" s="0" t="s">
        <v>667</v>
      </c>
      <c r="G348" s="41" t="n">
        <v>3</v>
      </c>
      <c r="H348" s="25" t="s">
        <v>156</v>
      </c>
    </row>
    <row r="349" customFormat="false" ht="15" hidden="false" customHeight="false" outlineLevel="0" collapsed="false">
      <c r="A349" s="0" t="n">
        <v>3</v>
      </c>
      <c r="B349" s="0" t="s">
        <v>1242</v>
      </c>
      <c r="C349" s="0" t="s">
        <v>1251</v>
      </c>
      <c r="D349" s="0" t="s">
        <v>1252</v>
      </c>
      <c r="E349" s="0" t="s">
        <v>100</v>
      </c>
      <c r="F349" s="0" t="s">
        <v>659</v>
      </c>
      <c r="G349" s="41" t="n">
        <v>2</v>
      </c>
      <c r="H349" s="25" t="s">
        <v>156</v>
      </c>
    </row>
    <row r="350" customFormat="false" ht="15" hidden="false" customHeight="false" outlineLevel="0" collapsed="false">
      <c r="A350" s="0" t="n">
        <v>3</v>
      </c>
      <c r="B350" s="0" t="s">
        <v>1242</v>
      </c>
      <c r="C350" s="0" t="s">
        <v>1253</v>
      </c>
      <c r="D350" s="0" t="s">
        <v>1254</v>
      </c>
      <c r="E350" s="0" t="s">
        <v>100</v>
      </c>
      <c r="F350" s="0" t="s">
        <v>656</v>
      </c>
      <c r="G350" s="41" t="n">
        <v>1</v>
      </c>
      <c r="H350" s="25" t="s">
        <v>106</v>
      </c>
    </row>
    <row r="351" customFormat="false" ht="15" hidden="false" customHeight="false" outlineLevel="0" collapsed="false">
      <c r="A351" s="0" t="n">
        <v>3</v>
      </c>
      <c r="B351" s="0" t="s">
        <v>1242</v>
      </c>
      <c r="C351" s="0" t="s">
        <v>1255</v>
      </c>
      <c r="D351" s="0" t="s">
        <v>1256</v>
      </c>
      <c r="E351" s="0" t="s">
        <v>100</v>
      </c>
      <c r="F351" s="0" t="s">
        <v>656</v>
      </c>
      <c r="G351" s="41" t="n">
        <v>1</v>
      </c>
      <c r="H351" s="25" t="s">
        <v>106</v>
      </c>
    </row>
    <row r="352" customFormat="false" ht="15" hidden="false" customHeight="false" outlineLevel="0" collapsed="false">
      <c r="A352" s="0" t="n">
        <v>3</v>
      </c>
      <c r="B352" s="0" t="s">
        <v>1242</v>
      </c>
      <c r="C352" s="0" t="s">
        <v>1257</v>
      </c>
      <c r="D352" s="0" t="s">
        <v>1024</v>
      </c>
      <c r="E352" s="0" t="s">
        <v>100</v>
      </c>
      <c r="F352" s="0" t="s">
        <v>656</v>
      </c>
      <c r="G352" s="41" t="n">
        <v>1</v>
      </c>
      <c r="H352" s="25" t="s">
        <v>156</v>
      </c>
    </row>
    <row r="353" customFormat="false" ht="15" hidden="false" customHeight="false" outlineLevel="0" collapsed="false">
      <c r="A353" s="0" t="n">
        <v>3</v>
      </c>
      <c r="B353" s="0" t="s">
        <v>1242</v>
      </c>
      <c r="C353" s="0" t="s">
        <v>1258</v>
      </c>
      <c r="D353" s="0" t="s">
        <v>1259</v>
      </c>
      <c r="E353" s="0" t="s">
        <v>100</v>
      </c>
      <c r="F353" s="0" t="s">
        <v>656</v>
      </c>
      <c r="G353" s="41" t="n">
        <v>1</v>
      </c>
      <c r="H353" s="25" t="s">
        <v>106</v>
      </c>
    </row>
    <row r="354" customFormat="false" ht="15" hidden="false" customHeight="false" outlineLevel="0" collapsed="false">
      <c r="A354" s="0" t="n">
        <v>3</v>
      </c>
      <c r="B354" s="0" t="s">
        <v>1242</v>
      </c>
      <c r="C354" s="0" t="s">
        <v>1260</v>
      </c>
      <c r="D354" s="0" t="s">
        <v>1261</v>
      </c>
      <c r="E354" s="0" t="s">
        <v>100</v>
      </c>
      <c r="F354" s="0" t="s">
        <v>656</v>
      </c>
      <c r="G354" s="41" t="n">
        <v>1</v>
      </c>
      <c r="H354" s="25" t="s">
        <v>113</v>
      </c>
    </row>
    <row r="355" customFormat="false" ht="15" hidden="false" customHeight="false" outlineLevel="0" collapsed="false">
      <c r="A355" s="0" t="n">
        <v>3</v>
      </c>
      <c r="B355" s="0" t="s">
        <v>1242</v>
      </c>
      <c r="C355" s="0" t="s">
        <v>1262</v>
      </c>
      <c r="D355" s="0" t="s">
        <v>1263</v>
      </c>
      <c r="E355" s="0" t="s">
        <v>100</v>
      </c>
      <c r="F355" s="0" t="s">
        <v>730</v>
      </c>
      <c r="G355" s="41" t="n">
        <v>18</v>
      </c>
      <c r="H355" s="25" t="s">
        <v>152</v>
      </c>
    </row>
    <row r="356" customFormat="false" ht="15" hidden="false" customHeight="false" outlineLevel="0" collapsed="false">
      <c r="A356" s="0" t="n">
        <v>3</v>
      </c>
      <c r="B356" s="0" t="s">
        <v>1242</v>
      </c>
      <c r="C356" s="0" t="s">
        <v>1264</v>
      </c>
      <c r="D356" s="0" t="s">
        <v>1265</v>
      </c>
      <c r="E356" s="0" t="s">
        <v>100</v>
      </c>
      <c r="F356" s="0" t="s">
        <v>667</v>
      </c>
      <c r="G356" s="41" t="n">
        <v>3</v>
      </c>
      <c r="H356" s="25" t="s">
        <v>106</v>
      </c>
    </row>
    <row r="357" customFormat="false" ht="15" hidden="false" customHeight="false" outlineLevel="0" collapsed="false">
      <c r="A357" s="0" t="n">
        <v>3</v>
      </c>
      <c r="B357" s="0" t="s">
        <v>1242</v>
      </c>
      <c r="C357" s="0" t="s">
        <v>1266</v>
      </c>
      <c r="D357" s="0" t="s">
        <v>1267</v>
      </c>
      <c r="E357" s="0" t="s">
        <v>100</v>
      </c>
      <c r="F357" s="0" t="s">
        <v>656</v>
      </c>
      <c r="G357" s="41" t="n">
        <v>1</v>
      </c>
      <c r="H357" s="25" t="s">
        <v>98</v>
      </c>
    </row>
    <row r="358" customFormat="false" ht="15" hidden="false" customHeight="false" outlineLevel="0" collapsed="false">
      <c r="A358" s="0" t="n">
        <v>3</v>
      </c>
      <c r="B358" s="0" t="s">
        <v>1242</v>
      </c>
      <c r="C358" s="0" t="s">
        <v>1268</v>
      </c>
      <c r="D358" s="0" t="s">
        <v>1139</v>
      </c>
      <c r="E358" s="0" t="s">
        <v>100</v>
      </c>
      <c r="F358" s="0" t="s">
        <v>656</v>
      </c>
      <c r="G358" s="41" t="n">
        <v>1</v>
      </c>
      <c r="H358" s="25" t="s">
        <v>106</v>
      </c>
    </row>
    <row r="359" customFormat="false" ht="15" hidden="false" customHeight="false" outlineLevel="0" collapsed="false">
      <c r="A359" s="0" t="n">
        <v>3</v>
      </c>
      <c r="B359" s="0" t="s">
        <v>1242</v>
      </c>
      <c r="C359" s="0" t="s">
        <v>1269</v>
      </c>
      <c r="D359" s="0" t="s">
        <v>1270</v>
      </c>
      <c r="E359" s="0" t="s">
        <v>100</v>
      </c>
      <c r="F359" s="0" t="s">
        <v>656</v>
      </c>
      <c r="G359" s="41" t="n">
        <v>1</v>
      </c>
      <c r="H359" s="25" t="s">
        <v>113</v>
      </c>
    </row>
    <row r="360" customFormat="false" ht="15" hidden="false" customHeight="false" outlineLevel="0" collapsed="false">
      <c r="A360" s="0" t="n">
        <v>3</v>
      </c>
      <c r="B360" s="0" t="s">
        <v>1242</v>
      </c>
      <c r="C360" s="0" t="s">
        <v>1271</v>
      </c>
      <c r="D360" s="0" t="s">
        <v>1272</v>
      </c>
      <c r="E360" s="0" t="s">
        <v>100</v>
      </c>
      <c r="F360" s="0" t="s">
        <v>656</v>
      </c>
      <c r="G360" s="41" t="n">
        <v>1</v>
      </c>
      <c r="H360" s="25" t="s">
        <v>118</v>
      </c>
    </row>
    <row r="361" customFormat="false" ht="15" hidden="false" customHeight="false" outlineLevel="0" collapsed="false">
      <c r="A361" s="0" t="n">
        <v>3</v>
      </c>
      <c r="B361" s="0" t="s">
        <v>1242</v>
      </c>
      <c r="C361" s="0" t="s">
        <v>1273</v>
      </c>
      <c r="D361" s="0" t="s">
        <v>1274</v>
      </c>
      <c r="E361" s="0" t="s">
        <v>100</v>
      </c>
      <c r="F361" s="0" t="s">
        <v>656</v>
      </c>
      <c r="G361" s="41" t="n">
        <v>1</v>
      </c>
      <c r="H361" s="25" t="s">
        <v>118</v>
      </c>
    </row>
    <row r="362" customFormat="false" ht="15" hidden="false" customHeight="false" outlineLevel="0" collapsed="false">
      <c r="A362" s="0" t="n">
        <v>3</v>
      </c>
      <c r="B362" s="0" t="s">
        <v>1242</v>
      </c>
      <c r="C362" s="0" t="s">
        <v>1275</v>
      </c>
      <c r="D362" s="0" t="s">
        <v>1276</v>
      </c>
      <c r="E362" s="0" t="s">
        <v>100</v>
      </c>
      <c r="F362" s="0" t="s">
        <v>703</v>
      </c>
      <c r="G362" s="41" t="n">
        <v>4</v>
      </c>
      <c r="H362" s="25" t="s">
        <v>152</v>
      </c>
    </row>
    <row r="363" customFormat="false" ht="15" hidden="false" customHeight="false" outlineLevel="0" collapsed="false">
      <c r="A363" s="0" t="n">
        <v>3</v>
      </c>
      <c r="B363" s="0" t="s">
        <v>1242</v>
      </c>
      <c r="C363" s="0" t="s">
        <v>1277</v>
      </c>
      <c r="D363" s="0" t="s">
        <v>1278</v>
      </c>
      <c r="E363" s="0" t="s">
        <v>100</v>
      </c>
      <c r="F363" s="0" t="s">
        <v>703</v>
      </c>
      <c r="G363" s="41" t="n">
        <v>4</v>
      </c>
      <c r="H363" s="25" t="s">
        <v>152</v>
      </c>
    </row>
    <row r="364" customFormat="false" ht="15" hidden="false" customHeight="false" outlineLevel="0" collapsed="false">
      <c r="A364" s="0" t="n">
        <v>3</v>
      </c>
      <c r="B364" s="0" t="s">
        <v>1279</v>
      </c>
      <c r="C364" s="0" t="s">
        <v>1280</v>
      </c>
      <c r="D364" s="0" t="s">
        <v>1281</v>
      </c>
      <c r="E364" s="0" t="s">
        <v>100</v>
      </c>
      <c r="F364" s="0" t="s">
        <v>1282</v>
      </c>
      <c r="G364" s="41" t="n">
        <v>76</v>
      </c>
      <c r="H364" s="25" t="s">
        <v>123</v>
      </c>
    </row>
    <row r="365" customFormat="false" ht="15" hidden="false" customHeight="false" outlineLevel="0" collapsed="false">
      <c r="A365" s="0" t="n">
        <v>3</v>
      </c>
      <c r="B365" s="0" t="s">
        <v>1279</v>
      </c>
      <c r="C365" s="0" t="s">
        <v>1283</v>
      </c>
      <c r="D365" s="0" t="s">
        <v>1267</v>
      </c>
      <c r="E365" s="0" t="s">
        <v>100</v>
      </c>
      <c r="F365" s="0" t="s">
        <v>656</v>
      </c>
      <c r="G365" s="41" t="n">
        <v>1</v>
      </c>
      <c r="H365" s="25" t="s">
        <v>98</v>
      </c>
    </row>
    <row r="366" customFormat="false" ht="15" hidden="false" customHeight="false" outlineLevel="0" collapsed="false">
      <c r="A366" s="0" t="n">
        <v>3</v>
      </c>
      <c r="B366" s="0" t="s">
        <v>1279</v>
      </c>
      <c r="C366" s="0" t="s">
        <v>1284</v>
      </c>
      <c r="D366" s="0" t="s">
        <v>1285</v>
      </c>
      <c r="E366" s="0" t="s">
        <v>100</v>
      </c>
      <c r="F366" s="0" t="s">
        <v>656</v>
      </c>
      <c r="G366" s="41" t="n">
        <v>1</v>
      </c>
      <c r="H366" s="25" t="s">
        <v>98</v>
      </c>
    </row>
    <row r="367" customFormat="false" ht="15" hidden="false" customHeight="false" outlineLevel="0" collapsed="false">
      <c r="A367" s="0" t="n">
        <v>3</v>
      </c>
      <c r="B367" s="0" t="s">
        <v>1279</v>
      </c>
      <c r="C367" s="0" t="s">
        <v>1286</v>
      </c>
      <c r="D367" s="0" t="s">
        <v>1139</v>
      </c>
      <c r="E367" s="0" t="s">
        <v>100</v>
      </c>
      <c r="F367" s="0" t="s">
        <v>656</v>
      </c>
      <c r="G367" s="41" t="n">
        <v>1</v>
      </c>
      <c r="H367" s="25" t="s">
        <v>106</v>
      </c>
    </row>
    <row r="368" customFormat="false" ht="15" hidden="false" customHeight="false" outlineLevel="0" collapsed="false">
      <c r="A368" s="0" t="n">
        <v>3</v>
      </c>
      <c r="B368" s="0" t="s">
        <v>1279</v>
      </c>
      <c r="C368" s="0" t="s">
        <v>1287</v>
      </c>
      <c r="D368" s="0" t="s">
        <v>1288</v>
      </c>
      <c r="E368" s="0" t="s">
        <v>100</v>
      </c>
      <c r="F368" s="0" t="s">
        <v>656</v>
      </c>
      <c r="G368" s="41" t="n">
        <v>1</v>
      </c>
      <c r="H368" s="25" t="s">
        <v>113</v>
      </c>
    </row>
    <row r="369" customFormat="false" ht="15" hidden="false" customHeight="false" outlineLevel="0" collapsed="false">
      <c r="A369" s="0" t="n">
        <v>3</v>
      </c>
      <c r="B369" s="0" t="s">
        <v>1279</v>
      </c>
      <c r="C369" s="0" t="s">
        <v>1289</v>
      </c>
      <c r="D369" s="0" t="s">
        <v>1290</v>
      </c>
      <c r="E369" s="0" t="s">
        <v>100</v>
      </c>
      <c r="F369" s="0" t="s">
        <v>659</v>
      </c>
      <c r="G369" s="41" t="n">
        <v>2</v>
      </c>
      <c r="H369" s="25" t="s">
        <v>149</v>
      </c>
    </row>
    <row r="370" customFormat="false" ht="15" hidden="false" customHeight="false" outlineLevel="0" collapsed="false">
      <c r="A370" s="0" t="n">
        <v>3</v>
      </c>
      <c r="B370" s="0" t="s">
        <v>1279</v>
      </c>
      <c r="C370" s="0" t="s">
        <v>1291</v>
      </c>
      <c r="D370" s="0" t="s">
        <v>1248</v>
      </c>
      <c r="E370" s="0" t="s">
        <v>100</v>
      </c>
      <c r="F370" s="0" t="s">
        <v>703</v>
      </c>
      <c r="G370" s="41" t="n">
        <v>4</v>
      </c>
      <c r="H370" s="25" t="s">
        <v>156</v>
      </c>
    </row>
    <row r="371" customFormat="false" ht="15" hidden="false" customHeight="false" outlineLevel="0" collapsed="false">
      <c r="A371" s="0" t="n">
        <v>3</v>
      </c>
      <c r="B371" s="0" t="s">
        <v>1279</v>
      </c>
      <c r="C371" s="0" t="s">
        <v>1292</v>
      </c>
      <c r="D371" s="0" t="s">
        <v>1293</v>
      </c>
      <c r="E371" s="0" t="s">
        <v>100</v>
      </c>
      <c r="F371" s="0" t="s">
        <v>659</v>
      </c>
      <c r="G371" s="41" t="n">
        <v>2</v>
      </c>
      <c r="H371" s="25" t="s">
        <v>118</v>
      </c>
    </row>
    <row r="372" customFormat="false" ht="15" hidden="false" customHeight="false" outlineLevel="0" collapsed="false">
      <c r="A372" s="0" t="n">
        <v>3</v>
      </c>
      <c r="B372" s="0" t="s">
        <v>1279</v>
      </c>
      <c r="C372" s="0" t="s">
        <v>1294</v>
      </c>
      <c r="D372" s="0" t="s">
        <v>1295</v>
      </c>
      <c r="E372" s="0" t="s">
        <v>100</v>
      </c>
      <c r="F372" s="0" t="s">
        <v>659</v>
      </c>
      <c r="G372" s="41" t="n">
        <v>2</v>
      </c>
      <c r="H372" s="25" t="s">
        <v>156</v>
      </c>
    </row>
    <row r="373" customFormat="false" ht="15" hidden="false" customHeight="false" outlineLevel="0" collapsed="false">
      <c r="A373" s="0" t="n">
        <v>3</v>
      </c>
      <c r="B373" s="0" t="s">
        <v>1279</v>
      </c>
      <c r="C373" s="0" t="s">
        <v>1296</v>
      </c>
      <c r="D373" s="0" t="s">
        <v>744</v>
      </c>
      <c r="E373" s="0" t="s">
        <v>100</v>
      </c>
      <c r="F373" s="0" t="s">
        <v>656</v>
      </c>
      <c r="G373" s="41" t="n">
        <v>1</v>
      </c>
      <c r="H373" s="25" t="s">
        <v>156</v>
      </c>
    </row>
    <row r="374" customFormat="false" ht="15" hidden="false" customHeight="false" outlineLevel="0" collapsed="false">
      <c r="A374" s="0" t="n">
        <v>3</v>
      </c>
      <c r="B374" s="0" t="s">
        <v>1279</v>
      </c>
      <c r="C374" s="0" t="s">
        <v>1297</v>
      </c>
      <c r="D374" s="0" t="s">
        <v>1298</v>
      </c>
      <c r="E374" s="0" t="s">
        <v>100</v>
      </c>
      <c r="F374" s="0" t="s">
        <v>829</v>
      </c>
      <c r="G374" s="41" t="n">
        <v>6</v>
      </c>
      <c r="H374" s="25" t="s">
        <v>149</v>
      </c>
    </row>
    <row r="375" customFormat="false" ht="15" hidden="false" customHeight="false" outlineLevel="0" collapsed="false">
      <c r="A375" s="0" t="n">
        <v>3</v>
      </c>
      <c r="B375" s="0" t="s">
        <v>1279</v>
      </c>
      <c r="C375" s="0" t="s">
        <v>1299</v>
      </c>
      <c r="D375" s="0" t="s">
        <v>1300</v>
      </c>
      <c r="E375" s="0" t="s">
        <v>100</v>
      </c>
      <c r="F375" s="0" t="s">
        <v>659</v>
      </c>
      <c r="G375" s="41" t="n">
        <v>2</v>
      </c>
      <c r="H375" s="25" t="s">
        <v>149</v>
      </c>
    </row>
    <row r="376" customFormat="false" ht="15" hidden="false" customHeight="false" outlineLevel="0" collapsed="false">
      <c r="A376" s="0" t="n">
        <v>3</v>
      </c>
      <c r="B376" s="0" t="s">
        <v>1279</v>
      </c>
      <c r="C376" s="0" t="s">
        <v>1301</v>
      </c>
      <c r="D376" s="0" t="s">
        <v>1302</v>
      </c>
      <c r="E376" s="0" t="s">
        <v>100</v>
      </c>
      <c r="F376" s="0" t="s">
        <v>659</v>
      </c>
      <c r="G376" s="41" t="n">
        <v>2</v>
      </c>
      <c r="H376" s="25" t="s">
        <v>156</v>
      </c>
    </row>
    <row r="377" customFormat="false" ht="15" hidden="false" customHeight="false" outlineLevel="0" collapsed="false">
      <c r="A377" s="0" t="n">
        <v>3</v>
      </c>
      <c r="B377" s="0" t="s">
        <v>1279</v>
      </c>
      <c r="C377" s="0" t="s">
        <v>1303</v>
      </c>
      <c r="D377" s="0" t="s">
        <v>1304</v>
      </c>
      <c r="E377" s="0" t="s">
        <v>100</v>
      </c>
      <c r="F377" s="0" t="s">
        <v>656</v>
      </c>
      <c r="G377" s="41" t="n">
        <v>1</v>
      </c>
      <c r="H377" s="25" t="s">
        <v>106</v>
      </c>
    </row>
    <row r="378" customFormat="false" ht="15" hidden="false" customHeight="false" outlineLevel="0" collapsed="false">
      <c r="A378" s="0" t="n">
        <v>3</v>
      </c>
      <c r="B378" s="0" t="s">
        <v>1279</v>
      </c>
      <c r="C378" s="0" t="s">
        <v>1305</v>
      </c>
      <c r="D378" s="0" t="s">
        <v>1306</v>
      </c>
      <c r="E378" s="0" t="s">
        <v>100</v>
      </c>
      <c r="F378" s="0" t="s">
        <v>656</v>
      </c>
      <c r="G378" s="41" t="n">
        <v>1</v>
      </c>
      <c r="H378" s="25" t="s">
        <v>98</v>
      </c>
    </row>
    <row r="379" customFormat="false" ht="15" hidden="false" customHeight="false" outlineLevel="0" collapsed="false">
      <c r="A379" s="0" t="n">
        <v>3</v>
      </c>
      <c r="B379" s="0" t="s">
        <v>1307</v>
      </c>
      <c r="C379" s="0" t="s">
        <v>1308</v>
      </c>
      <c r="D379" s="0" t="s">
        <v>1281</v>
      </c>
      <c r="E379" s="0" t="s">
        <v>100</v>
      </c>
      <c r="F379" s="0" t="s">
        <v>1309</v>
      </c>
      <c r="G379" s="41" t="n">
        <v>119</v>
      </c>
      <c r="H379" s="25" t="s">
        <v>123</v>
      </c>
    </row>
    <row r="380" customFormat="false" ht="15" hidden="false" customHeight="false" outlineLevel="0" collapsed="false">
      <c r="A380" s="0" t="n">
        <v>3</v>
      </c>
      <c r="B380" s="0" t="s">
        <v>1307</v>
      </c>
      <c r="C380" s="0" t="s">
        <v>1310</v>
      </c>
      <c r="D380" s="0" t="s">
        <v>1311</v>
      </c>
      <c r="E380" s="0" t="s">
        <v>100</v>
      </c>
      <c r="F380" s="0" t="s">
        <v>656</v>
      </c>
      <c r="G380" s="41" t="n">
        <v>1</v>
      </c>
      <c r="H380" s="25" t="s">
        <v>98</v>
      </c>
    </row>
    <row r="381" customFormat="false" ht="15" hidden="false" customHeight="false" outlineLevel="0" collapsed="false">
      <c r="A381" s="0" t="n">
        <v>3</v>
      </c>
      <c r="B381" s="0" t="s">
        <v>1307</v>
      </c>
      <c r="C381" s="0" t="s">
        <v>1312</v>
      </c>
      <c r="D381" s="0" t="s">
        <v>1313</v>
      </c>
      <c r="E381" s="0" t="s">
        <v>100</v>
      </c>
      <c r="F381" s="0" t="s">
        <v>656</v>
      </c>
      <c r="G381" s="41" t="n">
        <v>1</v>
      </c>
      <c r="H381" s="25" t="s">
        <v>106</v>
      </c>
    </row>
    <row r="382" customFormat="false" ht="15" hidden="false" customHeight="false" outlineLevel="0" collapsed="false">
      <c r="A382" s="0" t="n">
        <v>3</v>
      </c>
      <c r="B382" s="0" t="s">
        <v>1307</v>
      </c>
      <c r="C382" s="0" t="s">
        <v>1314</v>
      </c>
      <c r="D382" s="0" t="s">
        <v>1315</v>
      </c>
      <c r="E382" s="0" t="s">
        <v>100</v>
      </c>
      <c r="F382" s="0" t="s">
        <v>703</v>
      </c>
      <c r="G382" s="41" t="n">
        <v>4</v>
      </c>
      <c r="H382" s="25" t="s">
        <v>98</v>
      </c>
    </row>
    <row r="383" customFormat="false" ht="15" hidden="false" customHeight="false" outlineLevel="0" collapsed="false">
      <c r="A383" s="0" t="n">
        <v>3</v>
      </c>
      <c r="B383" s="0" t="s">
        <v>1307</v>
      </c>
      <c r="C383" s="0" t="s">
        <v>1316</v>
      </c>
      <c r="D383" s="0" t="s">
        <v>1317</v>
      </c>
      <c r="E383" s="0" t="s">
        <v>100</v>
      </c>
      <c r="F383" s="0" t="s">
        <v>716</v>
      </c>
      <c r="G383" s="41" t="n">
        <v>12</v>
      </c>
      <c r="H383" s="25" t="s">
        <v>149</v>
      </c>
    </row>
    <row r="384" customFormat="false" ht="15" hidden="false" customHeight="false" outlineLevel="0" collapsed="false">
      <c r="A384" s="0" t="n">
        <v>3</v>
      </c>
      <c r="B384" s="0" t="s">
        <v>1307</v>
      </c>
      <c r="C384" s="0" t="s">
        <v>1318</v>
      </c>
      <c r="D384" s="0" t="s">
        <v>669</v>
      </c>
      <c r="E384" s="0" t="s">
        <v>100</v>
      </c>
      <c r="F384" s="0" t="s">
        <v>950</v>
      </c>
      <c r="G384" s="41" t="n">
        <v>16</v>
      </c>
      <c r="H384" s="25" t="s">
        <v>156</v>
      </c>
    </row>
    <row r="385" customFormat="false" ht="15" hidden="false" customHeight="false" outlineLevel="0" collapsed="false">
      <c r="A385" s="0" t="n">
        <v>3</v>
      </c>
      <c r="B385" s="0" t="s">
        <v>1307</v>
      </c>
      <c r="C385" s="0" t="s">
        <v>1319</v>
      </c>
      <c r="D385" s="0" t="s">
        <v>1320</v>
      </c>
      <c r="E385" s="0" t="s">
        <v>100</v>
      </c>
      <c r="F385" s="0" t="s">
        <v>690</v>
      </c>
      <c r="G385" s="41" t="n">
        <v>5</v>
      </c>
      <c r="H385" s="25" t="s">
        <v>113</v>
      </c>
    </row>
    <row r="386" customFormat="false" ht="15" hidden="false" customHeight="false" outlineLevel="0" collapsed="false">
      <c r="A386" s="0" t="n">
        <v>3</v>
      </c>
      <c r="B386" s="0" t="s">
        <v>1307</v>
      </c>
      <c r="C386" s="0" t="s">
        <v>1321</v>
      </c>
      <c r="D386" s="0" t="s">
        <v>1322</v>
      </c>
      <c r="E386" s="0" t="s">
        <v>100</v>
      </c>
      <c r="F386" s="0" t="s">
        <v>656</v>
      </c>
      <c r="G386" s="41" t="n">
        <v>1</v>
      </c>
      <c r="H386" s="25" t="s">
        <v>160</v>
      </c>
    </row>
    <row r="387" customFormat="false" ht="15" hidden="false" customHeight="false" outlineLevel="0" collapsed="false">
      <c r="A387" s="0" t="n">
        <v>3</v>
      </c>
      <c r="B387" s="0" t="s">
        <v>1307</v>
      </c>
      <c r="C387" s="0" t="s">
        <v>1323</v>
      </c>
      <c r="D387" s="0" t="s">
        <v>1324</v>
      </c>
      <c r="E387" s="0" t="s">
        <v>100</v>
      </c>
      <c r="F387" s="0" t="s">
        <v>935</v>
      </c>
      <c r="G387" s="41" t="n">
        <v>9</v>
      </c>
      <c r="H387" s="25" t="s">
        <v>156</v>
      </c>
    </row>
    <row r="388" customFormat="false" ht="15" hidden="false" customHeight="false" outlineLevel="0" collapsed="false">
      <c r="A388" s="0" t="n">
        <v>3</v>
      </c>
      <c r="B388" s="0" t="s">
        <v>1325</v>
      </c>
      <c r="C388" s="0" t="s">
        <v>1326</v>
      </c>
      <c r="D388" s="0" t="s">
        <v>1327</v>
      </c>
      <c r="E388" s="0" t="s">
        <v>100</v>
      </c>
      <c r="F388" s="0" t="s">
        <v>659</v>
      </c>
      <c r="G388" s="41" t="n">
        <v>2</v>
      </c>
      <c r="H388" s="25" t="s">
        <v>98</v>
      </c>
    </row>
    <row r="389" customFormat="false" ht="15" hidden="false" customHeight="false" outlineLevel="0" collapsed="false">
      <c r="A389" s="0" t="n">
        <v>3</v>
      </c>
      <c r="B389" s="0" t="s">
        <v>1325</v>
      </c>
      <c r="C389" s="0" t="s">
        <v>1328</v>
      </c>
      <c r="D389" s="0" t="s">
        <v>685</v>
      </c>
      <c r="E389" s="0" t="s">
        <v>100</v>
      </c>
      <c r="F389" s="0" t="s">
        <v>656</v>
      </c>
      <c r="G389" s="41" t="n">
        <v>1</v>
      </c>
      <c r="H389" s="25" t="s">
        <v>98</v>
      </c>
    </row>
    <row r="390" customFormat="false" ht="15" hidden="false" customHeight="false" outlineLevel="0" collapsed="false">
      <c r="A390" s="0" t="n">
        <v>3</v>
      </c>
      <c r="B390" s="0" t="s">
        <v>1325</v>
      </c>
      <c r="C390" s="0" t="s">
        <v>1329</v>
      </c>
      <c r="D390" s="0" t="s">
        <v>1330</v>
      </c>
      <c r="E390" s="0" t="s">
        <v>100</v>
      </c>
      <c r="F390" s="0" t="s">
        <v>656</v>
      </c>
      <c r="G390" s="41" t="n">
        <v>1</v>
      </c>
      <c r="H390" s="25" t="s">
        <v>106</v>
      </c>
    </row>
    <row r="391" customFormat="false" ht="15" hidden="false" customHeight="false" outlineLevel="0" collapsed="false">
      <c r="A391" s="0" t="n">
        <v>3</v>
      </c>
      <c r="B391" s="0" t="s">
        <v>1325</v>
      </c>
      <c r="C391" s="0" t="s">
        <v>1331</v>
      </c>
      <c r="D391" s="0" t="s">
        <v>1332</v>
      </c>
      <c r="E391" s="0" t="s">
        <v>100</v>
      </c>
      <c r="F391" s="0" t="s">
        <v>659</v>
      </c>
      <c r="G391" s="41" t="n">
        <v>2</v>
      </c>
      <c r="H391" s="25" t="s">
        <v>113</v>
      </c>
    </row>
    <row r="392" customFormat="false" ht="15" hidden="false" customHeight="false" outlineLevel="0" collapsed="false">
      <c r="A392" s="0" t="n">
        <v>3</v>
      </c>
      <c r="B392" s="0" t="s">
        <v>1325</v>
      </c>
      <c r="C392" s="0" t="s">
        <v>1333</v>
      </c>
      <c r="D392" s="0" t="s">
        <v>1334</v>
      </c>
      <c r="E392" s="0" t="s">
        <v>100</v>
      </c>
      <c r="F392" s="0" t="s">
        <v>788</v>
      </c>
      <c r="G392" s="41" t="n">
        <v>20</v>
      </c>
      <c r="H392" s="25" t="s">
        <v>123</v>
      </c>
    </row>
    <row r="393" customFormat="false" ht="15" hidden="false" customHeight="false" outlineLevel="0" collapsed="false">
      <c r="A393" s="0" t="n">
        <v>3</v>
      </c>
      <c r="B393" s="0" t="s">
        <v>1325</v>
      </c>
      <c r="C393" s="0" t="s">
        <v>1335</v>
      </c>
      <c r="D393" s="0" t="s">
        <v>1336</v>
      </c>
      <c r="E393" s="0" t="s">
        <v>100</v>
      </c>
      <c r="F393" s="0" t="s">
        <v>992</v>
      </c>
      <c r="G393" s="41" t="n">
        <v>80</v>
      </c>
      <c r="H393" s="25" t="s">
        <v>123</v>
      </c>
    </row>
    <row r="394" customFormat="false" ht="15" hidden="false" customHeight="false" outlineLevel="0" collapsed="false">
      <c r="A394" s="0" t="n">
        <v>3</v>
      </c>
      <c r="B394" s="0" t="s">
        <v>1325</v>
      </c>
      <c r="C394" s="0" t="s">
        <v>1337</v>
      </c>
      <c r="D394" s="0" t="s">
        <v>1300</v>
      </c>
      <c r="E394" s="0" t="s">
        <v>100</v>
      </c>
      <c r="F394" s="0" t="s">
        <v>690</v>
      </c>
      <c r="G394" s="41" t="n">
        <v>5</v>
      </c>
      <c r="H394" s="25" t="s">
        <v>149</v>
      </c>
    </row>
    <row r="395" customFormat="false" ht="15" hidden="false" customHeight="false" outlineLevel="0" collapsed="false">
      <c r="A395" s="0" t="n">
        <v>3</v>
      </c>
      <c r="B395" s="0" t="s">
        <v>1325</v>
      </c>
      <c r="C395" s="0" t="s">
        <v>1338</v>
      </c>
      <c r="D395" s="0" t="s">
        <v>1339</v>
      </c>
      <c r="E395" s="0" t="s">
        <v>100</v>
      </c>
      <c r="F395" s="0" t="s">
        <v>781</v>
      </c>
      <c r="G395" s="41" t="n">
        <v>8</v>
      </c>
      <c r="H395" s="25" t="s">
        <v>149</v>
      </c>
    </row>
    <row r="396" customFormat="false" ht="15" hidden="false" customHeight="false" outlineLevel="0" collapsed="false">
      <c r="A396" s="0" t="n">
        <v>3</v>
      </c>
      <c r="B396" s="0" t="s">
        <v>1325</v>
      </c>
      <c r="C396" s="0" t="s">
        <v>1340</v>
      </c>
      <c r="D396" s="0" t="s">
        <v>669</v>
      </c>
      <c r="E396" s="0" t="s">
        <v>100</v>
      </c>
      <c r="F396" s="0" t="s">
        <v>836</v>
      </c>
      <c r="G396" s="41" t="n">
        <v>10</v>
      </c>
      <c r="H396" s="25" t="s">
        <v>156</v>
      </c>
    </row>
    <row r="397" customFormat="false" ht="15" hidden="false" customHeight="false" outlineLevel="0" collapsed="false">
      <c r="A397" s="0" t="n">
        <v>3</v>
      </c>
      <c r="B397" s="0" t="s">
        <v>1325</v>
      </c>
      <c r="C397" s="0" t="s">
        <v>1341</v>
      </c>
      <c r="D397" s="0" t="s">
        <v>1295</v>
      </c>
      <c r="E397" s="0" t="s">
        <v>100</v>
      </c>
      <c r="F397" s="0" t="s">
        <v>656</v>
      </c>
      <c r="G397" s="41" t="n">
        <v>1</v>
      </c>
      <c r="H397" s="25" t="s">
        <v>156</v>
      </c>
    </row>
    <row r="398" customFormat="false" ht="15" hidden="false" customHeight="false" outlineLevel="0" collapsed="false">
      <c r="A398" s="0" t="n">
        <v>3</v>
      </c>
      <c r="B398" s="0" t="s">
        <v>1325</v>
      </c>
      <c r="C398" s="0" t="s">
        <v>1342</v>
      </c>
      <c r="D398" s="0" t="s">
        <v>1343</v>
      </c>
      <c r="E398" s="0" t="s">
        <v>100</v>
      </c>
      <c r="F398" s="0" t="s">
        <v>829</v>
      </c>
      <c r="G398" s="41" t="n">
        <v>6</v>
      </c>
      <c r="H398" s="25" t="s">
        <v>156</v>
      </c>
    </row>
    <row r="399" customFormat="false" ht="15" hidden="false" customHeight="false" outlineLevel="0" collapsed="false">
      <c r="A399" s="0" t="n">
        <v>3</v>
      </c>
      <c r="B399" s="0" t="s">
        <v>1344</v>
      </c>
      <c r="C399" s="0" t="s">
        <v>1345</v>
      </c>
      <c r="D399" s="0" t="s">
        <v>1346</v>
      </c>
      <c r="E399" s="0" t="s">
        <v>100</v>
      </c>
      <c r="F399" s="0" t="s">
        <v>690</v>
      </c>
      <c r="G399" s="41" t="n">
        <v>5</v>
      </c>
      <c r="H399" s="25" t="s">
        <v>123</v>
      </c>
    </row>
    <row r="400" customFormat="false" ht="15" hidden="false" customHeight="false" outlineLevel="0" collapsed="false">
      <c r="A400" s="0" t="n">
        <v>3</v>
      </c>
      <c r="B400" s="0" t="s">
        <v>1344</v>
      </c>
      <c r="C400" s="0" t="s">
        <v>1347</v>
      </c>
      <c r="D400" s="0" t="s">
        <v>1348</v>
      </c>
      <c r="E400" s="0" t="s">
        <v>100</v>
      </c>
      <c r="F400" s="0" t="s">
        <v>667</v>
      </c>
      <c r="G400" s="41" t="n">
        <v>3</v>
      </c>
      <c r="H400" s="25" t="s">
        <v>152</v>
      </c>
    </row>
    <row r="401" customFormat="false" ht="15" hidden="false" customHeight="false" outlineLevel="0" collapsed="false">
      <c r="A401" s="0" t="n">
        <v>3</v>
      </c>
      <c r="B401" s="0" t="s">
        <v>1344</v>
      </c>
      <c r="C401" s="0" t="s">
        <v>1349</v>
      </c>
      <c r="D401" s="0" t="s">
        <v>1350</v>
      </c>
      <c r="E401" s="0" t="s">
        <v>100</v>
      </c>
      <c r="F401" s="0" t="s">
        <v>656</v>
      </c>
      <c r="G401" s="41" t="n">
        <v>1</v>
      </c>
      <c r="H401" s="25" t="s">
        <v>129</v>
      </c>
    </row>
    <row r="402" customFormat="false" ht="15" hidden="false" customHeight="false" outlineLevel="0" collapsed="false">
      <c r="A402" s="0" t="n">
        <v>3</v>
      </c>
      <c r="B402" s="0" t="s">
        <v>1344</v>
      </c>
      <c r="C402" s="0" t="s">
        <v>1351</v>
      </c>
      <c r="D402" s="0" t="s">
        <v>1352</v>
      </c>
      <c r="E402" s="0" t="s">
        <v>100</v>
      </c>
      <c r="F402" s="0" t="s">
        <v>656</v>
      </c>
      <c r="G402" s="41" t="n">
        <v>1</v>
      </c>
      <c r="H402" s="25" t="s">
        <v>152</v>
      </c>
    </row>
    <row r="403" customFormat="false" ht="15" hidden="false" customHeight="false" outlineLevel="0" collapsed="false">
      <c r="A403" s="0" t="n">
        <v>3</v>
      </c>
      <c r="B403" s="0" t="s">
        <v>1344</v>
      </c>
      <c r="C403" s="0" t="s">
        <v>1353</v>
      </c>
      <c r="D403" s="0" t="s">
        <v>1354</v>
      </c>
      <c r="E403" s="0" t="s">
        <v>100</v>
      </c>
      <c r="F403" s="0" t="s">
        <v>656</v>
      </c>
      <c r="G403" s="41" t="n">
        <v>1</v>
      </c>
      <c r="H403" s="25" t="s">
        <v>106</v>
      </c>
    </row>
    <row r="404" customFormat="false" ht="15" hidden="false" customHeight="false" outlineLevel="0" collapsed="false">
      <c r="A404" s="0" t="n">
        <v>3</v>
      </c>
      <c r="B404" s="0" t="s">
        <v>1344</v>
      </c>
      <c r="C404" s="0" t="s">
        <v>1355</v>
      </c>
      <c r="D404" s="0" t="s">
        <v>1356</v>
      </c>
      <c r="E404" s="0" t="s">
        <v>100</v>
      </c>
      <c r="F404" s="0" t="s">
        <v>656</v>
      </c>
      <c r="G404" s="41" t="n">
        <v>1</v>
      </c>
      <c r="H404" s="25" t="s">
        <v>106</v>
      </c>
    </row>
    <row r="405" customFormat="false" ht="15" hidden="false" customHeight="false" outlineLevel="0" collapsed="false">
      <c r="A405" s="0" t="n">
        <v>3</v>
      </c>
      <c r="B405" s="0" t="s">
        <v>1357</v>
      </c>
      <c r="C405" s="0" t="s">
        <v>1358</v>
      </c>
      <c r="D405" s="0" t="s">
        <v>1359</v>
      </c>
      <c r="E405" s="0" t="s">
        <v>100</v>
      </c>
      <c r="F405" s="0" t="s">
        <v>667</v>
      </c>
      <c r="G405" s="41" t="n">
        <v>3</v>
      </c>
      <c r="H405" s="25" t="s">
        <v>123</v>
      </c>
    </row>
    <row r="406" customFormat="false" ht="15" hidden="false" customHeight="false" outlineLevel="0" collapsed="false">
      <c r="A406" s="0" t="n">
        <v>3</v>
      </c>
      <c r="B406" s="0" t="s">
        <v>1357</v>
      </c>
      <c r="C406" s="0" t="s">
        <v>1360</v>
      </c>
      <c r="D406" s="0" t="s">
        <v>1361</v>
      </c>
      <c r="E406" s="0" t="s">
        <v>100</v>
      </c>
      <c r="F406" s="0" t="s">
        <v>656</v>
      </c>
      <c r="G406" s="41" t="n">
        <v>1</v>
      </c>
      <c r="H406" s="25" t="s">
        <v>98</v>
      </c>
    </row>
    <row r="407" customFormat="false" ht="15" hidden="false" customHeight="false" outlineLevel="0" collapsed="false">
      <c r="A407" s="0" t="n">
        <v>3</v>
      </c>
      <c r="B407" s="0" t="s">
        <v>1357</v>
      </c>
      <c r="C407" s="0" t="s">
        <v>1362</v>
      </c>
      <c r="D407" s="0" t="s">
        <v>1348</v>
      </c>
      <c r="E407" s="0" t="s">
        <v>100</v>
      </c>
      <c r="F407" s="0" t="s">
        <v>667</v>
      </c>
      <c r="G407" s="41" t="n">
        <v>3</v>
      </c>
      <c r="H407" s="25" t="s">
        <v>152</v>
      </c>
    </row>
    <row r="408" customFormat="false" ht="15" hidden="false" customHeight="false" outlineLevel="0" collapsed="false">
      <c r="A408" s="0" t="n">
        <v>3</v>
      </c>
      <c r="B408" s="0" t="s">
        <v>1357</v>
      </c>
      <c r="C408" s="0" t="s">
        <v>1363</v>
      </c>
      <c r="D408" s="0" t="s">
        <v>1350</v>
      </c>
      <c r="E408" s="0" t="s">
        <v>100</v>
      </c>
      <c r="F408" s="0" t="s">
        <v>656</v>
      </c>
      <c r="G408" s="41" t="n">
        <v>1</v>
      </c>
      <c r="H408" s="25" t="s">
        <v>129</v>
      </c>
    </row>
    <row r="409" customFormat="false" ht="15" hidden="false" customHeight="false" outlineLevel="0" collapsed="false">
      <c r="A409" s="0" t="n">
        <v>3</v>
      </c>
      <c r="B409" s="0" t="s">
        <v>1357</v>
      </c>
      <c r="C409" s="0" t="s">
        <v>1364</v>
      </c>
      <c r="D409" s="0" t="s">
        <v>1354</v>
      </c>
      <c r="E409" s="0" t="s">
        <v>100</v>
      </c>
      <c r="F409" s="0" t="s">
        <v>656</v>
      </c>
      <c r="G409" s="41" t="n">
        <v>1</v>
      </c>
      <c r="H409" s="25" t="s">
        <v>106</v>
      </c>
    </row>
    <row r="410" customFormat="false" ht="15" hidden="false" customHeight="false" outlineLevel="0" collapsed="false">
      <c r="A410" s="0" t="n">
        <v>3</v>
      </c>
      <c r="B410" s="0" t="s">
        <v>1357</v>
      </c>
      <c r="C410" s="0" t="s">
        <v>1365</v>
      </c>
      <c r="D410" s="0" t="s">
        <v>1356</v>
      </c>
      <c r="E410" s="0" t="s">
        <v>100</v>
      </c>
      <c r="F410" s="0" t="s">
        <v>656</v>
      </c>
      <c r="G410" s="41" t="n">
        <v>1</v>
      </c>
      <c r="H410" s="25" t="s">
        <v>106</v>
      </c>
    </row>
    <row r="411" customFormat="false" ht="15" hidden="false" customHeight="false" outlineLevel="0" collapsed="false">
      <c r="A411" s="0" t="n">
        <v>3</v>
      </c>
      <c r="B411" s="0" t="s">
        <v>1357</v>
      </c>
      <c r="C411" s="0" t="s">
        <v>1366</v>
      </c>
      <c r="D411" s="0" t="s">
        <v>1367</v>
      </c>
      <c r="E411" s="0" t="s">
        <v>100</v>
      </c>
      <c r="F411" s="0" t="s">
        <v>656</v>
      </c>
      <c r="G411" s="41" t="n">
        <v>1</v>
      </c>
      <c r="H411" s="25" t="s">
        <v>113</v>
      </c>
    </row>
    <row r="412" customFormat="false" ht="15" hidden="false" customHeight="false" outlineLevel="0" collapsed="false">
      <c r="A412" s="0" t="n">
        <v>3</v>
      </c>
      <c r="B412" s="0" t="s">
        <v>1357</v>
      </c>
      <c r="C412" s="0" t="s">
        <v>1368</v>
      </c>
      <c r="D412" s="0" t="s">
        <v>1369</v>
      </c>
      <c r="E412" s="0" t="s">
        <v>100</v>
      </c>
      <c r="F412" s="0" t="s">
        <v>659</v>
      </c>
      <c r="G412" s="41" t="n">
        <v>2</v>
      </c>
      <c r="H412" s="25" t="s">
        <v>118</v>
      </c>
    </row>
    <row r="413" customFormat="false" ht="15" hidden="false" customHeight="false" outlineLevel="0" collapsed="false">
      <c r="A413" s="0" t="n">
        <v>3</v>
      </c>
      <c r="B413" s="0" t="s">
        <v>1357</v>
      </c>
      <c r="C413" s="0" t="s">
        <v>1370</v>
      </c>
      <c r="D413" s="0" t="s">
        <v>1352</v>
      </c>
      <c r="E413" s="0" t="s">
        <v>100</v>
      </c>
      <c r="F413" s="0" t="s">
        <v>656</v>
      </c>
      <c r="G413" s="41" t="n">
        <v>1</v>
      </c>
      <c r="H413" s="25" t="s">
        <v>152</v>
      </c>
    </row>
    <row r="414" customFormat="false" ht="15" hidden="false" customHeight="false" outlineLevel="0" collapsed="false">
      <c r="A414" s="0" t="n">
        <v>3</v>
      </c>
      <c r="B414" s="0" t="s">
        <v>1357</v>
      </c>
      <c r="C414" s="0" t="s">
        <v>1371</v>
      </c>
      <c r="D414" s="0" t="s">
        <v>1372</v>
      </c>
      <c r="E414" s="0" t="s">
        <v>100</v>
      </c>
      <c r="F414" s="0" t="s">
        <v>667</v>
      </c>
      <c r="G414" s="41" t="n">
        <v>3</v>
      </c>
      <c r="H414" s="25" t="s">
        <v>106</v>
      </c>
    </row>
    <row r="415" customFormat="false" ht="15" hidden="false" customHeight="false" outlineLevel="0" collapsed="false">
      <c r="A415" s="0" t="n">
        <v>3</v>
      </c>
      <c r="B415" s="0" t="s">
        <v>1373</v>
      </c>
      <c r="C415" s="0" t="s">
        <v>1374</v>
      </c>
      <c r="D415" s="0" t="s">
        <v>1375</v>
      </c>
      <c r="E415" s="0" t="s">
        <v>100</v>
      </c>
      <c r="F415" s="0" t="s">
        <v>667</v>
      </c>
      <c r="G415" s="41" t="n">
        <v>3</v>
      </c>
      <c r="H415" s="25" t="s">
        <v>123</v>
      </c>
    </row>
    <row r="416" customFormat="false" ht="15" hidden="false" customHeight="false" outlineLevel="0" collapsed="false">
      <c r="A416" s="0" t="n">
        <v>3</v>
      </c>
      <c r="B416" s="0" t="s">
        <v>1376</v>
      </c>
      <c r="C416" s="0" t="s">
        <v>1377</v>
      </c>
      <c r="D416" s="0" t="s">
        <v>1375</v>
      </c>
      <c r="E416" s="0" t="s">
        <v>100</v>
      </c>
      <c r="F416" s="0" t="s">
        <v>703</v>
      </c>
      <c r="G416" s="41" t="n">
        <v>4</v>
      </c>
      <c r="H416" s="25" t="s">
        <v>123</v>
      </c>
    </row>
    <row r="417" customFormat="false" ht="15" hidden="false" customHeight="false" outlineLevel="0" collapsed="false">
      <c r="A417" s="0" t="n">
        <v>3</v>
      </c>
      <c r="B417" s="0" t="s">
        <v>1378</v>
      </c>
      <c r="C417" s="0" t="s">
        <v>1379</v>
      </c>
      <c r="D417" s="0" t="s">
        <v>1380</v>
      </c>
      <c r="E417" s="0" t="s">
        <v>100</v>
      </c>
      <c r="F417" s="0" t="s">
        <v>656</v>
      </c>
      <c r="G417" s="41" t="n">
        <v>1</v>
      </c>
      <c r="H417" s="25" t="s">
        <v>98</v>
      </c>
    </row>
    <row r="418" customFormat="false" ht="15" hidden="false" customHeight="false" outlineLevel="0" collapsed="false">
      <c r="A418" s="0" t="n">
        <v>3</v>
      </c>
      <c r="B418" s="0" t="s">
        <v>1378</v>
      </c>
      <c r="C418" s="0" t="s">
        <v>1381</v>
      </c>
      <c r="D418" s="0" t="s">
        <v>1330</v>
      </c>
      <c r="E418" s="0" t="s">
        <v>100</v>
      </c>
      <c r="F418" s="0" t="s">
        <v>656</v>
      </c>
      <c r="G418" s="41" t="n">
        <v>1</v>
      </c>
      <c r="H418" s="25" t="s">
        <v>106</v>
      </c>
    </row>
    <row r="419" customFormat="false" ht="15" hidden="false" customHeight="false" outlineLevel="0" collapsed="false">
      <c r="A419" s="0" t="n">
        <v>3</v>
      </c>
      <c r="B419" s="0" t="s">
        <v>1378</v>
      </c>
      <c r="C419" s="0" t="s">
        <v>1382</v>
      </c>
      <c r="D419" s="0" t="s">
        <v>685</v>
      </c>
      <c r="E419" s="0" t="s">
        <v>100</v>
      </c>
      <c r="F419" s="0" t="s">
        <v>656</v>
      </c>
      <c r="G419" s="41" t="n">
        <v>1</v>
      </c>
      <c r="H419" s="25" t="s">
        <v>98</v>
      </c>
    </row>
    <row r="420" customFormat="false" ht="15" hidden="false" customHeight="false" outlineLevel="0" collapsed="false">
      <c r="A420" s="0" t="n">
        <v>3</v>
      </c>
      <c r="B420" s="0" t="s">
        <v>1378</v>
      </c>
      <c r="C420" s="0" t="s">
        <v>1383</v>
      </c>
      <c r="D420" s="0" t="s">
        <v>1384</v>
      </c>
      <c r="E420" s="0" t="s">
        <v>100</v>
      </c>
      <c r="F420" s="0" t="s">
        <v>656</v>
      </c>
      <c r="G420" s="41" t="n">
        <v>1</v>
      </c>
      <c r="H420" s="25" t="s">
        <v>113</v>
      </c>
    </row>
    <row r="421" customFormat="false" ht="15" hidden="false" customHeight="false" outlineLevel="0" collapsed="false">
      <c r="A421" s="0" t="n">
        <v>3</v>
      </c>
      <c r="B421" s="0" t="s">
        <v>1378</v>
      </c>
      <c r="C421" s="0" t="s">
        <v>1385</v>
      </c>
      <c r="D421" s="0" t="s">
        <v>1386</v>
      </c>
      <c r="E421" s="0" t="s">
        <v>100</v>
      </c>
      <c r="F421" s="0" t="s">
        <v>816</v>
      </c>
      <c r="G421" s="41" t="n">
        <v>100</v>
      </c>
      <c r="H421" s="25" t="s">
        <v>123</v>
      </c>
    </row>
    <row r="422" customFormat="false" ht="15" hidden="false" customHeight="false" outlineLevel="0" collapsed="false">
      <c r="A422" s="0" t="n">
        <v>3</v>
      </c>
      <c r="B422" s="0" t="s">
        <v>1378</v>
      </c>
      <c r="C422" s="0" t="s">
        <v>1387</v>
      </c>
      <c r="D422" s="0" t="s">
        <v>1388</v>
      </c>
      <c r="E422" s="0" t="s">
        <v>100</v>
      </c>
      <c r="F422" s="0" t="s">
        <v>836</v>
      </c>
      <c r="G422" s="41" t="n">
        <v>10</v>
      </c>
      <c r="H422" s="25" t="s">
        <v>149</v>
      </c>
    </row>
    <row r="423" customFormat="false" ht="15" hidden="false" customHeight="false" outlineLevel="0" collapsed="false">
      <c r="A423" s="0" t="n">
        <v>3</v>
      </c>
      <c r="B423" s="0" t="s">
        <v>1378</v>
      </c>
      <c r="C423" s="0" t="s">
        <v>1389</v>
      </c>
      <c r="D423" s="0" t="s">
        <v>1390</v>
      </c>
      <c r="E423" s="0" t="s">
        <v>100</v>
      </c>
      <c r="F423" s="0" t="s">
        <v>829</v>
      </c>
      <c r="G423" s="41" t="n">
        <v>6</v>
      </c>
      <c r="H423" s="25" t="s">
        <v>156</v>
      </c>
    </row>
    <row r="424" customFormat="false" ht="15" hidden="false" customHeight="false" outlineLevel="0" collapsed="false">
      <c r="A424" s="0" t="n">
        <v>3</v>
      </c>
      <c r="B424" s="0" t="s">
        <v>1378</v>
      </c>
      <c r="C424" s="0" t="s">
        <v>1391</v>
      </c>
      <c r="D424" s="0" t="s">
        <v>669</v>
      </c>
      <c r="E424" s="0" t="s">
        <v>100</v>
      </c>
      <c r="F424" s="0" t="s">
        <v>836</v>
      </c>
      <c r="G424" s="41" t="n">
        <v>10</v>
      </c>
      <c r="H424" s="25" t="s">
        <v>156</v>
      </c>
    </row>
    <row r="425" customFormat="false" ht="15" hidden="false" customHeight="false" outlineLevel="0" collapsed="false">
      <c r="A425" s="0" t="n">
        <v>3</v>
      </c>
      <c r="B425" s="0" t="s">
        <v>1392</v>
      </c>
      <c r="C425" s="0" t="s">
        <v>1393</v>
      </c>
      <c r="D425" s="0" t="s">
        <v>1394</v>
      </c>
      <c r="E425" s="0" t="s">
        <v>100</v>
      </c>
      <c r="F425" s="0" t="s">
        <v>656</v>
      </c>
      <c r="G425" s="41" t="n">
        <v>1</v>
      </c>
      <c r="H425" s="25" t="s">
        <v>98</v>
      </c>
    </row>
    <row r="426" customFormat="false" ht="15" hidden="false" customHeight="false" outlineLevel="0" collapsed="false">
      <c r="A426" s="0" t="n">
        <v>3</v>
      </c>
      <c r="B426" s="0" t="s">
        <v>1392</v>
      </c>
      <c r="C426" s="0" t="s">
        <v>1395</v>
      </c>
      <c r="D426" s="0" t="s">
        <v>1396</v>
      </c>
      <c r="E426" s="0" t="s">
        <v>100</v>
      </c>
      <c r="F426" s="0" t="s">
        <v>836</v>
      </c>
      <c r="G426" s="41" t="n">
        <v>10</v>
      </c>
      <c r="H426" s="25" t="s">
        <v>149</v>
      </c>
    </row>
    <row r="427" customFormat="false" ht="15" hidden="false" customHeight="false" outlineLevel="0" collapsed="false">
      <c r="A427" s="0" t="n">
        <v>3</v>
      </c>
      <c r="B427" s="0" t="s">
        <v>1392</v>
      </c>
      <c r="C427" s="0" t="s">
        <v>1397</v>
      </c>
      <c r="D427" s="0" t="s">
        <v>1398</v>
      </c>
      <c r="E427" s="0" t="s">
        <v>100</v>
      </c>
      <c r="F427" s="0" t="s">
        <v>656</v>
      </c>
      <c r="G427" s="41" t="n">
        <v>1</v>
      </c>
      <c r="H427" s="25" t="s">
        <v>106</v>
      </c>
    </row>
    <row r="428" customFormat="false" ht="15" hidden="false" customHeight="false" outlineLevel="0" collapsed="false">
      <c r="A428" s="0" t="n">
        <v>3</v>
      </c>
      <c r="B428" s="0" t="s">
        <v>1392</v>
      </c>
      <c r="C428" s="0" t="s">
        <v>1399</v>
      </c>
      <c r="D428" s="0" t="s">
        <v>1400</v>
      </c>
      <c r="E428" s="0" t="s">
        <v>100</v>
      </c>
      <c r="F428" s="0" t="s">
        <v>667</v>
      </c>
      <c r="G428" s="41" t="n">
        <v>3</v>
      </c>
      <c r="H428" s="25" t="s">
        <v>106</v>
      </c>
    </row>
    <row r="429" customFormat="false" ht="15" hidden="false" customHeight="false" outlineLevel="0" collapsed="false">
      <c r="A429" s="0" t="n">
        <v>3</v>
      </c>
      <c r="B429" s="0" t="s">
        <v>1392</v>
      </c>
      <c r="C429" s="0" t="s">
        <v>1401</v>
      </c>
      <c r="D429" s="0" t="s">
        <v>1402</v>
      </c>
      <c r="E429" s="0" t="s">
        <v>100</v>
      </c>
      <c r="F429" s="0" t="s">
        <v>656</v>
      </c>
      <c r="G429" s="41" t="n">
        <v>1</v>
      </c>
      <c r="H429" s="25" t="s">
        <v>113</v>
      </c>
    </row>
    <row r="430" customFormat="false" ht="15" hidden="false" customHeight="false" outlineLevel="0" collapsed="false">
      <c r="A430" s="0" t="n">
        <v>3</v>
      </c>
      <c r="B430" s="0" t="s">
        <v>1392</v>
      </c>
      <c r="C430" s="0" t="s">
        <v>1403</v>
      </c>
      <c r="D430" s="0" t="s">
        <v>1404</v>
      </c>
      <c r="E430" s="0" t="s">
        <v>100</v>
      </c>
      <c r="F430" s="0" t="s">
        <v>1405</v>
      </c>
      <c r="G430" s="41" t="n">
        <v>110</v>
      </c>
      <c r="H430" s="25" t="s">
        <v>123</v>
      </c>
    </row>
    <row r="431" customFormat="false" ht="15" hidden="false" customHeight="false" outlineLevel="0" collapsed="false">
      <c r="A431" s="0" t="n">
        <v>3</v>
      </c>
      <c r="B431" s="0" t="s">
        <v>1392</v>
      </c>
      <c r="C431" s="0" t="s">
        <v>1406</v>
      </c>
      <c r="D431" s="0" t="s">
        <v>1407</v>
      </c>
      <c r="E431" s="0" t="s">
        <v>100</v>
      </c>
      <c r="F431" s="0" t="s">
        <v>836</v>
      </c>
      <c r="G431" s="41" t="n">
        <v>10</v>
      </c>
      <c r="H431" s="25" t="s">
        <v>149</v>
      </c>
    </row>
    <row r="432" customFormat="false" ht="15" hidden="false" customHeight="false" outlineLevel="0" collapsed="false">
      <c r="A432" s="0" t="n">
        <v>3</v>
      </c>
      <c r="B432" s="0" t="s">
        <v>1392</v>
      </c>
      <c r="C432" s="0" t="s">
        <v>1408</v>
      </c>
      <c r="D432" s="0" t="s">
        <v>1409</v>
      </c>
      <c r="E432" s="0" t="s">
        <v>100</v>
      </c>
      <c r="F432" s="0" t="s">
        <v>659</v>
      </c>
      <c r="G432" s="41" t="n">
        <v>2</v>
      </c>
      <c r="H432" s="25" t="s">
        <v>118</v>
      </c>
    </row>
    <row r="433" customFormat="false" ht="15" hidden="false" customHeight="false" outlineLevel="0" collapsed="false">
      <c r="A433" s="0" t="n">
        <v>3</v>
      </c>
      <c r="B433" s="0" t="s">
        <v>1410</v>
      </c>
      <c r="C433" s="0" t="s">
        <v>1411</v>
      </c>
      <c r="D433" s="0" t="s">
        <v>1412</v>
      </c>
      <c r="E433" s="0" t="s">
        <v>100</v>
      </c>
      <c r="F433" s="0" t="s">
        <v>886</v>
      </c>
      <c r="G433" s="41" t="n">
        <v>72</v>
      </c>
      <c r="H433" s="25" t="s">
        <v>123</v>
      </c>
    </row>
    <row r="434" customFormat="false" ht="15" hidden="false" customHeight="false" outlineLevel="0" collapsed="false">
      <c r="A434" s="0" t="n">
        <v>3</v>
      </c>
      <c r="B434" s="0" t="s">
        <v>1410</v>
      </c>
      <c r="C434" s="0" t="s">
        <v>1413</v>
      </c>
      <c r="D434" s="0" t="s">
        <v>1414</v>
      </c>
      <c r="E434" s="0" t="s">
        <v>140</v>
      </c>
      <c r="F434" s="0" t="s">
        <v>690</v>
      </c>
      <c r="G434" s="41" t="n">
        <v>5</v>
      </c>
      <c r="H434" s="25" t="s">
        <v>138</v>
      </c>
    </row>
    <row r="435" customFormat="false" ht="15" hidden="false" customHeight="false" outlineLevel="0" collapsed="false">
      <c r="A435" s="0" t="n">
        <v>3</v>
      </c>
      <c r="B435" s="0" t="s">
        <v>1410</v>
      </c>
      <c r="C435" s="0" t="s">
        <v>1415</v>
      </c>
      <c r="D435" s="0" t="s">
        <v>1416</v>
      </c>
      <c r="E435" s="0" t="s">
        <v>100</v>
      </c>
      <c r="F435" s="0" t="s">
        <v>935</v>
      </c>
      <c r="G435" s="41" t="n">
        <v>9</v>
      </c>
      <c r="H435" s="25" t="s">
        <v>156</v>
      </c>
    </row>
    <row r="436" customFormat="false" ht="15" hidden="false" customHeight="false" outlineLevel="0" collapsed="false">
      <c r="A436" s="0" t="n">
        <v>3</v>
      </c>
      <c r="B436" s="0" t="s">
        <v>1410</v>
      </c>
      <c r="C436" s="0" t="s">
        <v>1417</v>
      </c>
      <c r="D436" s="0" t="s">
        <v>1418</v>
      </c>
      <c r="E436" s="0" t="s">
        <v>100</v>
      </c>
      <c r="F436" s="0" t="s">
        <v>935</v>
      </c>
      <c r="G436" s="41" t="n">
        <v>9</v>
      </c>
      <c r="H436" s="25" t="s">
        <v>156</v>
      </c>
    </row>
    <row r="437" customFormat="false" ht="15" hidden="false" customHeight="false" outlineLevel="0" collapsed="false">
      <c r="A437" s="0" t="n">
        <v>3</v>
      </c>
      <c r="B437" s="0" t="s">
        <v>1410</v>
      </c>
      <c r="C437" s="0" t="s">
        <v>1419</v>
      </c>
      <c r="D437" s="0" t="s">
        <v>1420</v>
      </c>
      <c r="E437" s="0" t="s">
        <v>100</v>
      </c>
      <c r="F437" s="0" t="s">
        <v>935</v>
      </c>
      <c r="G437" s="41" t="n">
        <v>9</v>
      </c>
      <c r="H437" s="25" t="s">
        <v>149</v>
      </c>
    </row>
    <row r="438" customFormat="false" ht="15" hidden="false" customHeight="false" outlineLevel="0" collapsed="false">
      <c r="A438" s="0" t="n">
        <v>3</v>
      </c>
      <c r="B438" s="0" t="s">
        <v>1421</v>
      </c>
      <c r="C438" s="0" t="s">
        <v>1422</v>
      </c>
      <c r="D438" s="0" t="s">
        <v>1281</v>
      </c>
      <c r="E438" s="0" t="s">
        <v>100</v>
      </c>
      <c r="F438" s="0" t="s">
        <v>1423</v>
      </c>
      <c r="G438" s="41" t="n">
        <v>92</v>
      </c>
      <c r="H438" s="25" t="s">
        <v>123</v>
      </c>
    </row>
    <row r="439" customFormat="false" ht="15" hidden="false" customHeight="false" outlineLevel="0" collapsed="false">
      <c r="A439" s="0" t="n">
        <v>3</v>
      </c>
      <c r="B439" s="0" t="s">
        <v>1421</v>
      </c>
      <c r="C439" s="0" t="s">
        <v>1424</v>
      </c>
      <c r="D439" s="0" t="s">
        <v>1267</v>
      </c>
      <c r="E439" s="0" t="s">
        <v>100</v>
      </c>
      <c r="F439" s="0" t="s">
        <v>656</v>
      </c>
      <c r="G439" s="41" t="n">
        <v>1</v>
      </c>
      <c r="H439" s="25" t="s">
        <v>98</v>
      </c>
    </row>
    <row r="440" customFormat="false" ht="15" hidden="false" customHeight="false" outlineLevel="0" collapsed="false">
      <c r="A440" s="0" t="n">
        <v>3</v>
      </c>
      <c r="B440" s="0" t="s">
        <v>1421</v>
      </c>
      <c r="C440" s="0" t="s">
        <v>1425</v>
      </c>
      <c r="D440" s="0" t="s">
        <v>1285</v>
      </c>
      <c r="E440" s="0" t="s">
        <v>100</v>
      </c>
      <c r="F440" s="0" t="s">
        <v>656</v>
      </c>
      <c r="G440" s="41" t="n">
        <v>1</v>
      </c>
      <c r="H440" s="25" t="s">
        <v>98</v>
      </c>
    </row>
    <row r="441" customFormat="false" ht="15" hidden="false" customHeight="false" outlineLevel="0" collapsed="false">
      <c r="A441" s="0" t="n">
        <v>3</v>
      </c>
      <c r="B441" s="0" t="s">
        <v>1421</v>
      </c>
      <c r="C441" s="0" t="s">
        <v>1426</v>
      </c>
      <c r="D441" s="0" t="s">
        <v>1139</v>
      </c>
      <c r="E441" s="0" t="s">
        <v>100</v>
      </c>
      <c r="F441" s="0" t="s">
        <v>656</v>
      </c>
      <c r="G441" s="41" t="n">
        <v>1</v>
      </c>
      <c r="H441" s="25" t="s">
        <v>106</v>
      </c>
    </row>
    <row r="442" customFormat="false" ht="15" hidden="false" customHeight="false" outlineLevel="0" collapsed="false">
      <c r="A442" s="0" t="n">
        <v>3</v>
      </c>
      <c r="B442" s="0" t="s">
        <v>1421</v>
      </c>
      <c r="C442" s="0" t="s">
        <v>1427</v>
      </c>
      <c r="D442" s="0" t="s">
        <v>1288</v>
      </c>
      <c r="E442" s="0" t="s">
        <v>100</v>
      </c>
      <c r="F442" s="0" t="s">
        <v>656</v>
      </c>
      <c r="G442" s="41" t="n">
        <v>1</v>
      </c>
      <c r="H442" s="25" t="s">
        <v>113</v>
      </c>
    </row>
    <row r="443" customFormat="false" ht="15" hidden="false" customHeight="false" outlineLevel="0" collapsed="false">
      <c r="A443" s="0" t="n">
        <v>3</v>
      </c>
      <c r="B443" s="0" t="s">
        <v>1421</v>
      </c>
      <c r="C443" s="0" t="s">
        <v>1428</v>
      </c>
      <c r="D443" s="0" t="s">
        <v>1290</v>
      </c>
      <c r="E443" s="0" t="s">
        <v>100</v>
      </c>
      <c r="F443" s="0" t="s">
        <v>781</v>
      </c>
      <c r="G443" s="41" t="n">
        <v>8</v>
      </c>
      <c r="H443" s="25" t="s">
        <v>149</v>
      </c>
    </row>
    <row r="444" customFormat="false" ht="15" hidden="false" customHeight="false" outlineLevel="0" collapsed="false">
      <c r="A444" s="0" t="n">
        <v>3</v>
      </c>
      <c r="B444" s="0" t="s">
        <v>1421</v>
      </c>
      <c r="C444" s="0" t="s">
        <v>1429</v>
      </c>
      <c r="D444" s="0" t="s">
        <v>1248</v>
      </c>
      <c r="E444" s="0" t="s">
        <v>100</v>
      </c>
      <c r="F444" s="0" t="s">
        <v>797</v>
      </c>
      <c r="G444" s="41" t="n">
        <v>7</v>
      </c>
      <c r="H444" s="25" t="s">
        <v>156</v>
      </c>
    </row>
    <row r="445" customFormat="false" ht="15" hidden="false" customHeight="false" outlineLevel="0" collapsed="false">
      <c r="A445" s="0" t="n">
        <v>3</v>
      </c>
      <c r="B445" s="0" t="s">
        <v>1421</v>
      </c>
      <c r="C445" s="0" t="s">
        <v>1430</v>
      </c>
      <c r="D445" s="0" t="s">
        <v>1431</v>
      </c>
      <c r="E445" s="0" t="s">
        <v>100</v>
      </c>
      <c r="F445" s="0" t="s">
        <v>659</v>
      </c>
      <c r="G445" s="41" t="n">
        <v>2</v>
      </c>
      <c r="H445" s="25" t="s">
        <v>118</v>
      </c>
    </row>
    <row r="446" customFormat="false" ht="15" hidden="false" customHeight="false" outlineLevel="0" collapsed="false">
      <c r="A446" s="0" t="n">
        <v>3</v>
      </c>
      <c r="B446" s="0" t="s">
        <v>1421</v>
      </c>
      <c r="C446" s="0" t="s">
        <v>1432</v>
      </c>
      <c r="D446" s="0" t="s">
        <v>1295</v>
      </c>
      <c r="E446" s="0" t="s">
        <v>100</v>
      </c>
      <c r="F446" s="0" t="s">
        <v>797</v>
      </c>
      <c r="G446" s="41" t="n">
        <v>7</v>
      </c>
      <c r="H446" s="25" t="s">
        <v>156</v>
      </c>
    </row>
    <row r="447" customFormat="false" ht="15" hidden="false" customHeight="false" outlineLevel="0" collapsed="false">
      <c r="A447" s="0" t="n">
        <v>3</v>
      </c>
      <c r="B447" s="0" t="s">
        <v>1433</v>
      </c>
      <c r="C447" s="0" t="s">
        <v>1434</v>
      </c>
      <c r="D447" s="0" t="s">
        <v>1435</v>
      </c>
      <c r="E447" s="0" t="s">
        <v>100</v>
      </c>
      <c r="F447" s="0" t="s">
        <v>656</v>
      </c>
      <c r="G447" s="41" t="n">
        <v>1</v>
      </c>
      <c r="H447" s="25" t="s">
        <v>98</v>
      </c>
    </row>
    <row r="448" customFormat="false" ht="15" hidden="false" customHeight="false" outlineLevel="0" collapsed="false">
      <c r="A448" s="0" t="n">
        <v>3</v>
      </c>
      <c r="B448" s="0" t="s">
        <v>1433</v>
      </c>
      <c r="C448" s="0" t="s">
        <v>1436</v>
      </c>
      <c r="D448" s="0" t="s">
        <v>1437</v>
      </c>
      <c r="E448" s="0" t="s">
        <v>100</v>
      </c>
      <c r="F448" s="0" t="s">
        <v>656</v>
      </c>
      <c r="G448" s="41" t="n">
        <v>1</v>
      </c>
      <c r="H448" s="25" t="s">
        <v>98</v>
      </c>
    </row>
    <row r="449" customFormat="false" ht="15" hidden="false" customHeight="false" outlineLevel="0" collapsed="false">
      <c r="A449" s="0" t="n">
        <v>3</v>
      </c>
      <c r="B449" s="0" t="s">
        <v>1433</v>
      </c>
      <c r="C449" s="0" t="s">
        <v>1438</v>
      </c>
      <c r="D449" s="0" t="s">
        <v>1439</v>
      </c>
      <c r="E449" s="0" t="s">
        <v>100</v>
      </c>
      <c r="F449" s="0" t="s">
        <v>659</v>
      </c>
      <c r="G449" s="41" t="n">
        <v>2</v>
      </c>
      <c r="H449" s="25" t="s">
        <v>106</v>
      </c>
    </row>
    <row r="450" customFormat="false" ht="15" hidden="false" customHeight="false" outlineLevel="0" collapsed="false">
      <c r="A450" s="0" t="n">
        <v>3</v>
      </c>
      <c r="B450" s="0" t="s">
        <v>1433</v>
      </c>
      <c r="C450" s="0" t="s">
        <v>1440</v>
      </c>
      <c r="D450" s="0" t="s">
        <v>1441</v>
      </c>
      <c r="E450" s="0" t="s">
        <v>100</v>
      </c>
      <c r="F450" s="0" t="s">
        <v>656</v>
      </c>
      <c r="G450" s="41" t="n">
        <v>1</v>
      </c>
      <c r="H450" s="25" t="s">
        <v>156</v>
      </c>
    </row>
    <row r="451" customFormat="false" ht="15" hidden="false" customHeight="false" outlineLevel="0" collapsed="false">
      <c r="A451" s="0" t="n">
        <v>3</v>
      </c>
      <c r="B451" s="0" t="s">
        <v>1433</v>
      </c>
      <c r="C451" s="0" t="s">
        <v>1442</v>
      </c>
      <c r="D451" s="0" t="s">
        <v>1443</v>
      </c>
      <c r="E451" s="0" t="s">
        <v>100</v>
      </c>
      <c r="F451" s="0" t="s">
        <v>667</v>
      </c>
      <c r="G451" s="41" t="n">
        <v>3</v>
      </c>
      <c r="H451" s="25" t="s">
        <v>156</v>
      </c>
    </row>
    <row r="452" customFormat="false" ht="15" hidden="false" customHeight="false" outlineLevel="0" collapsed="false">
      <c r="A452" s="0" t="n">
        <v>3</v>
      </c>
      <c r="B452" s="0" t="s">
        <v>1433</v>
      </c>
      <c r="C452" s="0" t="s">
        <v>1444</v>
      </c>
      <c r="D452" s="0" t="s">
        <v>1445</v>
      </c>
      <c r="E452" s="0" t="s">
        <v>100</v>
      </c>
      <c r="F452" s="0" t="s">
        <v>659</v>
      </c>
      <c r="G452" s="41" t="n">
        <v>2</v>
      </c>
      <c r="H452" s="25" t="s">
        <v>113</v>
      </c>
    </row>
    <row r="453" customFormat="false" ht="15" hidden="false" customHeight="false" outlineLevel="0" collapsed="false">
      <c r="A453" s="0" t="n">
        <v>3</v>
      </c>
      <c r="B453" s="0" t="s">
        <v>1433</v>
      </c>
      <c r="C453" s="0" t="s">
        <v>1446</v>
      </c>
      <c r="D453" s="0" t="s">
        <v>1447</v>
      </c>
      <c r="E453" s="0" t="s">
        <v>100</v>
      </c>
      <c r="F453" s="0" t="s">
        <v>656</v>
      </c>
      <c r="G453" s="41" t="n">
        <v>1</v>
      </c>
      <c r="H453" s="25" t="s">
        <v>123</v>
      </c>
    </row>
    <row r="454" customFormat="false" ht="15" hidden="false" customHeight="false" outlineLevel="0" collapsed="false">
      <c r="A454" s="0" t="n">
        <v>3</v>
      </c>
      <c r="B454" s="0" t="s">
        <v>1433</v>
      </c>
      <c r="C454" s="0" t="s">
        <v>1448</v>
      </c>
      <c r="D454" s="0" t="s">
        <v>1449</v>
      </c>
      <c r="E454" s="0" t="s">
        <v>100</v>
      </c>
      <c r="F454" s="0" t="s">
        <v>690</v>
      </c>
      <c r="G454" s="41" t="n">
        <v>5</v>
      </c>
      <c r="H454" s="25" t="s">
        <v>106</v>
      </c>
    </row>
    <row r="455" customFormat="false" ht="15" hidden="false" customHeight="false" outlineLevel="0" collapsed="false">
      <c r="A455" s="0" t="n">
        <v>3</v>
      </c>
      <c r="B455" s="0" t="s">
        <v>1433</v>
      </c>
      <c r="C455" s="0" t="s">
        <v>1450</v>
      </c>
      <c r="D455" s="0" t="s">
        <v>1451</v>
      </c>
      <c r="E455" s="0" t="s">
        <v>100</v>
      </c>
      <c r="F455" s="0" t="s">
        <v>656</v>
      </c>
      <c r="G455" s="41" t="n">
        <v>1</v>
      </c>
      <c r="H455" s="25" t="s">
        <v>106</v>
      </c>
    </row>
    <row r="456" customFormat="false" ht="15" hidden="false" customHeight="false" outlineLevel="0" collapsed="false">
      <c r="A456" s="0" t="n">
        <v>3</v>
      </c>
      <c r="B456" s="0" t="s">
        <v>1433</v>
      </c>
      <c r="C456" s="0" t="s">
        <v>839</v>
      </c>
      <c r="D456" s="0" t="s">
        <v>1452</v>
      </c>
      <c r="E456" s="0" t="s">
        <v>100</v>
      </c>
      <c r="F456" s="0" t="s">
        <v>659</v>
      </c>
      <c r="G456" s="41" t="n">
        <v>2</v>
      </c>
      <c r="H456" s="25" t="s">
        <v>118</v>
      </c>
    </row>
    <row r="457" customFormat="false" ht="15" hidden="false" customHeight="false" outlineLevel="0" collapsed="false">
      <c r="A457" s="0" t="n">
        <v>3</v>
      </c>
      <c r="B457" s="0" t="s">
        <v>1433</v>
      </c>
      <c r="C457" s="0" t="s">
        <v>841</v>
      </c>
      <c r="D457" s="0" t="s">
        <v>1453</v>
      </c>
      <c r="E457" s="0" t="s">
        <v>261</v>
      </c>
      <c r="F457" s="0" t="s">
        <v>767</v>
      </c>
      <c r="G457" s="41" t="n">
        <v>500</v>
      </c>
      <c r="H457" s="25" t="s">
        <v>143</v>
      </c>
    </row>
    <row r="458" customFormat="false" ht="15" hidden="false" customHeight="false" outlineLevel="0" collapsed="false">
      <c r="A458" s="0" t="n">
        <v>3</v>
      </c>
      <c r="B458" s="0" t="s">
        <v>1433</v>
      </c>
      <c r="C458" s="0" t="s">
        <v>843</v>
      </c>
      <c r="D458" s="0" t="s">
        <v>1454</v>
      </c>
      <c r="E458" s="0" t="s">
        <v>100</v>
      </c>
      <c r="F458" s="0" t="s">
        <v>703</v>
      </c>
      <c r="G458" s="41" t="n">
        <v>4</v>
      </c>
      <c r="H458" s="25" t="s">
        <v>129</v>
      </c>
    </row>
    <row r="459" customFormat="false" ht="15" hidden="false" customHeight="false" outlineLevel="0" collapsed="false">
      <c r="A459" s="0" t="n">
        <v>3</v>
      </c>
      <c r="B459" s="0" t="s">
        <v>1433</v>
      </c>
      <c r="C459" s="0" t="s">
        <v>1455</v>
      </c>
      <c r="D459" s="0" t="s">
        <v>1456</v>
      </c>
      <c r="E459" s="0" t="s">
        <v>100</v>
      </c>
      <c r="F459" s="0" t="s">
        <v>716</v>
      </c>
      <c r="G459" s="41" t="n">
        <v>12</v>
      </c>
      <c r="H459" s="25" t="s">
        <v>129</v>
      </c>
    </row>
    <row r="460" customFormat="false" ht="15" hidden="false" customHeight="false" outlineLevel="0" collapsed="false">
      <c r="A460" s="0" t="n">
        <v>3</v>
      </c>
      <c r="B460" s="0" t="s">
        <v>1433</v>
      </c>
      <c r="C460" s="0" t="s">
        <v>1457</v>
      </c>
      <c r="D460" s="0" t="s">
        <v>1458</v>
      </c>
      <c r="E460" s="0" t="s">
        <v>100</v>
      </c>
      <c r="F460" s="0" t="s">
        <v>656</v>
      </c>
      <c r="G460" s="41" t="n">
        <v>1</v>
      </c>
      <c r="H460" s="25" t="s">
        <v>129</v>
      </c>
    </row>
    <row r="461" customFormat="false" ht="15" hidden="false" customHeight="false" outlineLevel="0" collapsed="false">
      <c r="A461" s="0" t="n">
        <v>3</v>
      </c>
      <c r="B461" s="0" t="s">
        <v>1433</v>
      </c>
      <c r="C461" s="0" t="s">
        <v>1459</v>
      </c>
      <c r="D461" s="0" t="s">
        <v>1460</v>
      </c>
      <c r="E461" s="0" t="s">
        <v>100</v>
      </c>
      <c r="F461" s="0" t="s">
        <v>829</v>
      </c>
      <c r="G461" s="41" t="n">
        <v>6</v>
      </c>
      <c r="H461" s="25" t="s">
        <v>129</v>
      </c>
    </row>
    <row r="462" customFormat="false" ht="15" hidden="false" customHeight="false" outlineLevel="0" collapsed="false">
      <c r="A462" s="0" t="n">
        <v>3</v>
      </c>
      <c r="B462" s="0" t="s">
        <v>1433</v>
      </c>
      <c r="C462" s="0" t="s">
        <v>1461</v>
      </c>
      <c r="D462" s="0" t="s">
        <v>1462</v>
      </c>
      <c r="E462" s="0" t="s">
        <v>100</v>
      </c>
      <c r="F462" s="0" t="s">
        <v>690</v>
      </c>
      <c r="G462" s="41" t="n">
        <v>5</v>
      </c>
      <c r="H462" s="25" t="s">
        <v>156</v>
      </c>
    </row>
    <row r="463" customFormat="false" ht="15" hidden="false" customHeight="false" outlineLevel="0" collapsed="false">
      <c r="A463" s="0" t="n">
        <v>3</v>
      </c>
      <c r="B463" s="0" t="s">
        <v>1433</v>
      </c>
      <c r="C463" s="0" t="s">
        <v>1463</v>
      </c>
      <c r="D463" s="0" t="s">
        <v>1464</v>
      </c>
      <c r="E463" s="0" t="s">
        <v>100</v>
      </c>
      <c r="F463" s="0" t="s">
        <v>659</v>
      </c>
      <c r="G463" s="41" t="n">
        <v>2</v>
      </c>
      <c r="H463" s="25" t="s">
        <v>156</v>
      </c>
    </row>
    <row r="464" customFormat="false" ht="15" hidden="false" customHeight="false" outlineLevel="0" collapsed="false">
      <c r="A464" s="0" t="n">
        <v>3</v>
      </c>
      <c r="B464" s="0" t="s">
        <v>1465</v>
      </c>
      <c r="C464" s="0" t="s">
        <v>1466</v>
      </c>
      <c r="D464" s="0" t="s">
        <v>1437</v>
      </c>
      <c r="E464" s="0" t="s">
        <v>100</v>
      </c>
      <c r="F464" s="0" t="s">
        <v>656</v>
      </c>
      <c r="G464" s="41" t="n">
        <v>1</v>
      </c>
      <c r="H464" s="25" t="s">
        <v>98</v>
      </c>
    </row>
    <row r="465" customFormat="false" ht="15" hidden="false" customHeight="false" outlineLevel="0" collapsed="false">
      <c r="A465" s="0" t="n">
        <v>3</v>
      </c>
      <c r="B465" s="0" t="s">
        <v>1465</v>
      </c>
      <c r="C465" s="0" t="s">
        <v>1467</v>
      </c>
      <c r="D465" s="0" t="s">
        <v>1468</v>
      </c>
      <c r="E465" s="0" t="s">
        <v>100</v>
      </c>
      <c r="F465" s="0" t="s">
        <v>656</v>
      </c>
      <c r="G465" s="41" t="n">
        <v>1</v>
      </c>
      <c r="H465" s="25" t="s">
        <v>106</v>
      </c>
    </row>
    <row r="466" customFormat="false" ht="15" hidden="false" customHeight="false" outlineLevel="0" collapsed="false">
      <c r="A466" s="0" t="n">
        <v>3</v>
      </c>
      <c r="B466" s="0" t="s">
        <v>1465</v>
      </c>
      <c r="C466" s="0" t="s">
        <v>1469</v>
      </c>
      <c r="D466" s="0" t="s">
        <v>1470</v>
      </c>
      <c r="E466" s="0" t="s">
        <v>100</v>
      </c>
      <c r="F466" s="0" t="s">
        <v>656</v>
      </c>
      <c r="G466" s="41" t="n">
        <v>1</v>
      </c>
      <c r="H466" s="25" t="s">
        <v>106</v>
      </c>
    </row>
    <row r="467" customFormat="false" ht="15" hidden="false" customHeight="false" outlineLevel="0" collapsed="false">
      <c r="A467" s="0" t="n">
        <v>3</v>
      </c>
      <c r="B467" s="0" t="s">
        <v>1465</v>
      </c>
      <c r="C467" s="0" t="s">
        <v>1471</v>
      </c>
      <c r="D467" s="0" t="s">
        <v>1472</v>
      </c>
      <c r="E467" s="0" t="s">
        <v>100</v>
      </c>
      <c r="F467" s="0" t="s">
        <v>656</v>
      </c>
      <c r="G467" s="41" t="n">
        <v>1</v>
      </c>
      <c r="H467" s="25" t="s">
        <v>156</v>
      </c>
    </row>
    <row r="468" customFormat="false" ht="15" hidden="false" customHeight="false" outlineLevel="0" collapsed="false">
      <c r="A468" s="0" t="n">
        <v>3</v>
      </c>
      <c r="B468" s="0" t="s">
        <v>1465</v>
      </c>
      <c r="C468" s="0" t="s">
        <v>1473</v>
      </c>
      <c r="D468" s="0" t="s">
        <v>1474</v>
      </c>
      <c r="E468" s="0" t="s">
        <v>100</v>
      </c>
      <c r="F468" s="0" t="s">
        <v>703</v>
      </c>
      <c r="G468" s="41" t="n">
        <v>4</v>
      </c>
      <c r="H468" s="25" t="s">
        <v>156</v>
      </c>
    </row>
    <row r="469" customFormat="false" ht="15" hidden="false" customHeight="false" outlineLevel="0" collapsed="false">
      <c r="A469" s="0" t="n">
        <v>3</v>
      </c>
      <c r="B469" s="0" t="s">
        <v>1465</v>
      </c>
      <c r="C469" s="0" t="s">
        <v>1475</v>
      </c>
      <c r="D469" s="0" t="s">
        <v>1476</v>
      </c>
      <c r="E469" s="0" t="s">
        <v>100</v>
      </c>
      <c r="F469" s="0" t="s">
        <v>656</v>
      </c>
      <c r="G469" s="41" t="n">
        <v>1</v>
      </c>
      <c r="H469" s="25" t="s">
        <v>113</v>
      </c>
    </row>
    <row r="470" customFormat="false" ht="15" hidden="false" customHeight="false" outlineLevel="0" collapsed="false">
      <c r="A470" s="0" t="n">
        <v>3</v>
      </c>
      <c r="B470" s="0" t="s">
        <v>1465</v>
      </c>
      <c r="C470" s="0" t="s">
        <v>1477</v>
      </c>
      <c r="D470" s="0" t="s">
        <v>1478</v>
      </c>
      <c r="E470" s="0" t="s">
        <v>100</v>
      </c>
      <c r="F470" s="0" t="s">
        <v>659</v>
      </c>
      <c r="G470" s="41" t="n">
        <v>2</v>
      </c>
      <c r="H470" s="25" t="s">
        <v>118</v>
      </c>
    </row>
    <row r="471" customFormat="false" ht="15" hidden="false" customHeight="false" outlineLevel="0" collapsed="false">
      <c r="A471" s="0" t="n">
        <v>3</v>
      </c>
      <c r="B471" s="0" t="s">
        <v>1465</v>
      </c>
      <c r="C471" s="0" t="s">
        <v>1479</v>
      </c>
      <c r="D471" s="0" t="s">
        <v>1480</v>
      </c>
      <c r="E471" s="0" t="s">
        <v>100</v>
      </c>
      <c r="F471" s="0" t="s">
        <v>1156</v>
      </c>
      <c r="G471" s="41" t="n">
        <v>26</v>
      </c>
      <c r="H471" s="25" t="s">
        <v>123</v>
      </c>
    </row>
    <row r="472" customFormat="false" ht="15" hidden="false" customHeight="false" outlineLevel="0" collapsed="false">
      <c r="A472" s="0" t="n">
        <v>3</v>
      </c>
      <c r="B472" s="0" t="s">
        <v>1465</v>
      </c>
      <c r="C472" s="0" t="s">
        <v>1481</v>
      </c>
      <c r="D472" s="0" t="s">
        <v>1482</v>
      </c>
      <c r="E472" s="0" t="s">
        <v>100</v>
      </c>
      <c r="F472" s="0" t="s">
        <v>829</v>
      </c>
      <c r="G472" s="41" t="n">
        <v>6</v>
      </c>
      <c r="H472" s="25" t="s">
        <v>149</v>
      </c>
    </row>
    <row r="473" customFormat="false" ht="15" hidden="false" customHeight="false" outlineLevel="0" collapsed="false">
      <c r="A473" s="0" t="n">
        <v>3</v>
      </c>
      <c r="B473" s="0" t="s">
        <v>1465</v>
      </c>
      <c r="C473" s="0" t="s">
        <v>1483</v>
      </c>
      <c r="D473" s="0" t="s">
        <v>1484</v>
      </c>
      <c r="E473" s="0" t="s">
        <v>100</v>
      </c>
      <c r="F473" s="0" t="s">
        <v>656</v>
      </c>
      <c r="G473" s="41" t="n">
        <v>1</v>
      </c>
      <c r="H473" s="25" t="s">
        <v>156</v>
      </c>
    </row>
    <row r="474" customFormat="false" ht="15" hidden="false" customHeight="false" outlineLevel="0" collapsed="false">
      <c r="A474" s="0" t="n">
        <v>3</v>
      </c>
      <c r="B474" s="0" t="s">
        <v>1465</v>
      </c>
      <c r="C474" s="0" t="s">
        <v>1485</v>
      </c>
      <c r="D474" s="0" t="s">
        <v>1486</v>
      </c>
      <c r="E474" s="0" t="s">
        <v>100</v>
      </c>
      <c r="F474" s="0" t="s">
        <v>829</v>
      </c>
      <c r="G474" s="41" t="n">
        <v>6</v>
      </c>
      <c r="H474" s="25" t="s">
        <v>156</v>
      </c>
    </row>
    <row r="475" customFormat="false" ht="15" hidden="false" customHeight="false" outlineLevel="0" collapsed="false">
      <c r="A475" s="0" t="n">
        <v>3</v>
      </c>
      <c r="B475" s="0" t="s">
        <v>1465</v>
      </c>
      <c r="C475" s="0" t="s">
        <v>1487</v>
      </c>
      <c r="D475" s="0" t="s">
        <v>1488</v>
      </c>
      <c r="E475" s="0" t="s">
        <v>140</v>
      </c>
      <c r="F475" s="0" t="s">
        <v>656</v>
      </c>
      <c r="G475" s="41" t="n">
        <v>1</v>
      </c>
      <c r="H475" s="25" t="s">
        <v>172</v>
      </c>
    </row>
    <row r="476" customFormat="false" ht="15" hidden="false" customHeight="false" outlineLevel="0" collapsed="false">
      <c r="A476" s="0" t="n">
        <v>3</v>
      </c>
      <c r="B476" s="0" t="s">
        <v>1489</v>
      </c>
      <c r="C476" s="0" t="s">
        <v>1490</v>
      </c>
      <c r="D476" s="0" t="s">
        <v>1491</v>
      </c>
      <c r="E476" s="0" t="s">
        <v>100</v>
      </c>
      <c r="F476" s="0" t="s">
        <v>656</v>
      </c>
      <c r="G476" s="41" t="n">
        <v>1</v>
      </c>
      <c r="H476" s="25" t="s">
        <v>98</v>
      </c>
    </row>
    <row r="477" customFormat="false" ht="15" hidden="false" customHeight="false" outlineLevel="0" collapsed="false">
      <c r="A477" s="0" t="n">
        <v>3</v>
      </c>
      <c r="B477" s="0" t="s">
        <v>1489</v>
      </c>
      <c r="C477" s="0" t="s">
        <v>1492</v>
      </c>
      <c r="D477" s="0" t="s">
        <v>1412</v>
      </c>
      <c r="E477" s="0" t="s">
        <v>100</v>
      </c>
      <c r="F477" s="0" t="s">
        <v>795</v>
      </c>
      <c r="G477" s="41" t="n">
        <v>44</v>
      </c>
      <c r="H477" s="25" t="s">
        <v>123</v>
      </c>
    </row>
    <row r="478" customFormat="false" ht="15" hidden="false" customHeight="false" outlineLevel="0" collapsed="false">
      <c r="A478" s="0" t="n">
        <v>3</v>
      </c>
      <c r="B478" s="0" t="s">
        <v>1489</v>
      </c>
      <c r="C478" s="0" t="s">
        <v>1493</v>
      </c>
      <c r="D478" s="0" t="s">
        <v>1494</v>
      </c>
      <c r="E478" s="0" t="s">
        <v>100</v>
      </c>
      <c r="F478" s="0" t="s">
        <v>829</v>
      </c>
      <c r="G478" s="41" t="n">
        <v>6</v>
      </c>
      <c r="H478" s="25" t="s">
        <v>156</v>
      </c>
    </row>
    <row r="479" customFormat="false" ht="15" hidden="false" customHeight="false" outlineLevel="0" collapsed="false">
      <c r="A479" s="0" t="n">
        <v>3</v>
      </c>
      <c r="B479" s="0" t="s">
        <v>1489</v>
      </c>
      <c r="C479" s="0" t="s">
        <v>1495</v>
      </c>
      <c r="D479" s="0" t="s">
        <v>1418</v>
      </c>
      <c r="E479" s="0" t="s">
        <v>100</v>
      </c>
      <c r="F479" s="0" t="s">
        <v>829</v>
      </c>
      <c r="G479" s="41" t="n">
        <v>6</v>
      </c>
      <c r="H479" s="25" t="s">
        <v>156</v>
      </c>
    </row>
    <row r="480" customFormat="false" ht="15" hidden="false" customHeight="false" outlineLevel="0" collapsed="false">
      <c r="A480" s="0" t="n">
        <v>3</v>
      </c>
      <c r="B480" s="0" t="s">
        <v>1489</v>
      </c>
      <c r="C480" s="0" t="s">
        <v>1496</v>
      </c>
      <c r="D480" s="0" t="s">
        <v>1497</v>
      </c>
      <c r="E480" s="0" t="s">
        <v>100</v>
      </c>
      <c r="F480" s="0" t="s">
        <v>659</v>
      </c>
      <c r="G480" s="41" t="n">
        <v>2</v>
      </c>
      <c r="H480" s="25" t="s">
        <v>113</v>
      </c>
    </row>
    <row r="481" customFormat="false" ht="15" hidden="false" customHeight="false" outlineLevel="0" collapsed="false">
      <c r="A481" s="0" t="n">
        <v>3</v>
      </c>
      <c r="B481" s="0" t="s">
        <v>1489</v>
      </c>
      <c r="C481" s="0" t="s">
        <v>1498</v>
      </c>
      <c r="D481" s="0" t="s">
        <v>1420</v>
      </c>
      <c r="E481" s="0" t="s">
        <v>100</v>
      </c>
      <c r="F481" s="0" t="s">
        <v>690</v>
      </c>
      <c r="G481" s="41" t="n">
        <v>5</v>
      </c>
      <c r="H481" s="25" t="s">
        <v>149</v>
      </c>
    </row>
    <row r="482" customFormat="false" ht="15" hidden="false" customHeight="false" outlineLevel="0" collapsed="false">
      <c r="A482" s="0" t="n">
        <v>3</v>
      </c>
      <c r="B482" s="0" t="s">
        <v>1489</v>
      </c>
      <c r="C482" s="0" t="s">
        <v>1499</v>
      </c>
      <c r="D482" s="0" t="s">
        <v>1500</v>
      </c>
      <c r="E482" s="0" t="s">
        <v>100</v>
      </c>
      <c r="F482" s="0" t="s">
        <v>659</v>
      </c>
      <c r="G482" s="41" t="n">
        <v>2</v>
      </c>
      <c r="H482" s="25" t="s">
        <v>156</v>
      </c>
    </row>
    <row r="483" customFormat="false" ht="15" hidden="false" customHeight="false" outlineLevel="0" collapsed="false">
      <c r="A483" s="0" t="n">
        <v>3</v>
      </c>
      <c r="B483" s="0" t="s">
        <v>1501</v>
      </c>
      <c r="C483" s="0" t="s">
        <v>1502</v>
      </c>
      <c r="D483" s="0" t="s">
        <v>1503</v>
      </c>
      <c r="E483" s="0" t="s">
        <v>261</v>
      </c>
      <c r="F483" s="0" t="s">
        <v>767</v>
      </c>
      <c r="G483" s="41" t="n">
        <v>500</v>
      </c>
      <c r="H483" s="25" t="s">
        <v>178</v>
      </c>
    </row>
    <row r="484" customFormat="false" ht="15" hidden="false" customHeight="false" outlineLevel="0" collapsed="false">
      <c r="A484" s="0" t="n">
        <v>3</v>
      </c>
      <c r="B484" s="0" t="s">
        <v>1501</v>
      </c>
      <c r="C484" s="0" t="s">
        <v>1504</v>
      </c>
      <c r="D484" s="0" t="s">
        <v>1505</v>
      </c>
      <c r="E484" s="0" t="s">
        <v>261</v>
      </c>
      <c r="F484" s="0" t="s">
        <v>1506</v>
      </c>
      <c r="G484" s="41" t="n">
        <v>2300</v>
      </c>
      <c r="H484" s="25" t="s">
        <v>178</v>
      </c>
    </row>
    <row r="485" customFormat="false" ht="15" hidden="false" customHeight="false" outlineLevel="0" collapsed="false">
      <c r="A485" s="0" t="n">
        <v>3</v>
      </c>
      <c r="B485" s="0" t="s">
        <v>1501</v>
      </c>
      <c r="C485" s="0" t="s">
        <v>1507</v>
      </c>
      <c r="D485" s="0" t="s">
        <v>1508</v>
      </c>
      <c r="E485" s="0" t="s">
        <v>261</v>
      </c>
      <c r="F485" s="0" t="s">
        <v>767</v>
      </c>
      <c r="G485" s="41" t="n">
        <v>500</v>
      </c>
      <c r="H485" s="25" t="s">
        <v>178</v>
      </c>
    </row>
    <row r="486" customFormat="false" ht="15" hidden="false" customHeight="false" outlineLevel="0" collapsed="false">
      <c r="A486" s="0" t="n">
        <v>3</v>
      </c>
      <c r="B486" s="0" t="s">
        <v>1501</v>
      </c>
      <c r="C486" s="0" t="s">
        <v>1509</v>
      </c>
      <c r="D486" s="0" t="s">
        <v>1510</v>
      </c>
      <c r="E486" s="0" t="s">
        <v>261</v>
      </c>
      <c r="F486" s="0" t="s">
        <v>800</v>
      </c>
      <c r="G486" s="41" t="n">
        <v>400</v>
      </c>
      <c r="H486" s="25" t="s">
        <v>178</v>
      </c>
    </row>
    <row r="487" customFormat="false" ht="15" hidden="false" customHeight="false" outlineLevel="0" collapsed="false">
      <c r="A487" s="0" t="n">
        <v>3</v>
      </c>
      <c r="B487" s="0" t="s">
        <v>1501</v>
      </c>
      <c r="C487" s="0" t="s">
        <v>1511</v>
      </c>
      <c r="D487" s="0" t="s">
        <v>1512</v>
      </c>
      <c r="E487" s="0" t="s">
        <v>261</v>
      </c>
      <c r="F487" s="0" t="s">
        <v>1513</v>
      </c>
      <c r="G487" s="41" t="n">
        <v>90</v>
      </c>
      <c r="H487" s="25" t="s">
        <v>178</v>
      </c>
    </row>
    <row r="488" customFormat="false" ht="15" hidden="false" customHeight="false" outlineLevel="0" collapsed="false">
      <c r="A488" s="0" t="n">
        <v>3</v>
      </c>
      <c r="B488" s="0" t="s">
        <v>1501</v>
      </c>
      <c r="C488" s="0" t="s">
        <v>1514</v>
      </c>
      <c r="D488" s="0" t="s">
        <v>1515</v>
      </c>
      <c r="E488" s="0" t="s">
        <v>261</v>
      </c>
      <c r="F488" s="0" t="s">
        <v>749</v>
      </c>
      <c r="G488" s="41" t="n">
        <v>220</v>
      </c>
      <c r="H488" s="25" t="s">
        <v>178</v>
      </c>
    </row>
    <row r="489" customFormat="false" ht="15" hidden="false" customHeight="false" outlineLevel="0" collapsed="false">
      <c r="A489" s="0" t="n">
        <v>3</v>
      </c>
      <c r="B489" s="0" t="s">
        <v>1501</v>
      </c>
      <c r="C489" s="0" t="s">
        <v>1516</v>
      </c>
      <c r="D489" s="0" t="s">
        <v>1517</v>
      </c>
      <c r="E489" s="0" t="s">
        <v>261</v>
      </c>
      <c r="F489" s="0" t="s">
        <v>675</v>
      </c>
      <c r="G489" s="41" t="n">
        <v>200</v>
      </c>
      <c r="H489" s="25" t="s">
        <v>178</v>
      </c>
    </row>
    <row r="490" customFormat="false" ht="15" hidden="false" customHeight="false" outlineLevel="0" collapsed="false">
      <c r="A490" s="0" t="n">
        <v>3</v>
      </c>
      <c r="B490" s="0" t="s">
        <v>1501</v>
      </c>
      <c r="C490" s="0" t="s">
        <v>1518</v>
      </c>
      <c r="D490" s="0" t="s">
        <v>1519</v>
      </c>
      <c r="E490" s="0" t="s">
        <v>261</v>
      </c>
      <c r="F490" s="0" t="s">
        <v>1520</v>
      </c>
      <c r="G490" s="41" t="n">
        <v>3200</v>
      </c>
      <c r="H490" s="25" t="s">
        <v>178</v>
      </c>
    </row>
    <row r="491" customFormat="false" ht="15" hidden="false" customHeight="false" outlineLevel="0" collapsed="false">
      <c r="A491" s="0" t="n">
        <v>3</v>
      </c>
      <c r="B491" s="0" t="s">
        <v>1501</v>
      </c>
      <c r="C491" s="0" t="s">
        <v>1521</v>
      </c>
      <c r="D491" s="0" t="s">
        <v>1522</v>
      </c>
      <c r="E491" s="0" t="s">
        <v>261</v>
      </c>
      <c r="F491" s="0" t="s">
        <v>1523</v>
      </c>
      <c r="G491" s="41" t="n">
        <v>700</v>
      </c>
      <c r="H491" s="25" t="s">
        <v>178</v>
      </c>
    </row>
    <row r="492" customFormat="false" ht="15" hidden="false" customHeight="false" outlineLevel="0" collapsed="false">
      <c r="A492" s="0" t="n">
        <v>3</v>
      </c>
      <c r="B492" s="0" t="s">
        <v>1501</v>
      </c>
      <c r="C492" s="0" t="s">
        <v>1524</v>
      </c>
      <c r="D492" s="0" t="s">
        <v>1525</v>
      </c>
      <c r="E492" s="0" t="s">
        <v>261</v>
      </c>
      <c r="F492" s="0" t="s">
        <v>675</v>
      </c>
      <c r="G492" s="41" t="n">
        <v>200</v>
      </c>
      <c r="H492" s="25" t="s">
        <v>178</v>
      </c>
    </row>
    <row r="493" customFormat="false" ht="15" hidden="false" customHeight="false" outlineLevel="0" collapsed="false">
      <c r="A493" s="0" t="n">
        <v>4</v>
      </c>
      <c r="B493" s="0" t="s">
        <v>1526</v>
      </c>
      <c r="C493" s="0" t="s">
        <v>1243</v>
      </c>
      <c r="D493" s="0" t="s">
        <v>1527</v>
      </c>
      <c r="E493" s="0" t="s">
        <v>655</v>
      </c>
      <c r="F493" s="0" t="s">
        <v>656</v>
      </c>
      <c r="G493" s="41" t="n">
        <v>1</v>
      </c>
      <c r="H493" s="25" t="s">
        <v>98</v>
      </c>
    </row>
    <row r="494" customFormat="false" ht="15" hidden="false" customHeight="false" outlineLevel="0" collapsed="false">
      <c r="A494" s="0" t="n">
        <v>4</v>
      </c>
      <c r="B494" s="0" t="s">
        <v>1526</v>
      </c>
      <c r="C494" s="0" t="s">
        <v>1245</v>
      </c>
      <c r="D494" s="0" t="s">
        <v>1528</v>
      </c>
      <c r="E494" s="0" t="s">
        <v>655</v>
      </c>
      <c r="F494" s="0" t="s">
        <v>703</v>
      </c>
      <c r="G494" s="41" t="n">
        <v>4</v>
      </c>
      <c r="H494" s="25" t="s">
        <v>129</v>
      </c>
    </row>
    <row r="495" customFormat="false" ht="15" hidden="false" customHeight="false" outlineLevel="0" collapsed="false">
      <c r="A495" s="0" t="n">
        <v>4</v>
      </c>
      <c r="B495" s="0" t="s">
        <v>1526</v>
      </c>
      <c r="C495" s="0" t="s">
        <v>1247</v>
      </c>
      <c r="D495" s="0" t="s">
        <v>1529</v>
      </c>
      <c r="E495" s="0" t="s">
        <v>655</v>
      </c>
      <c r="F495" s="0" t="s">
        <v>656</v>
      </c>
      <c r="G495" s="41" t="n">
        <v>1</v>
      </c>
      <c r="H495" s="25" t="s">
        <v>156</v>
      </c>
    </row>
    <row r="496" customFormat="false" ht="15" hidden="false" customHeight="false" outlineLevel="0" collapsed="false">
      <c r="A496" s="0" t="n">
        <v>4</v>
      </c>
      <c r="B496" s="0" t="s">
        <v>1526</v>
      </c>
      <c r="C496" s="0" t="s">
        <v>1249</v>
      </c>
      <c r="D496" s="0" t="s">
        <v>1530</v>
      </c>
      <c r="E496" s="0" t="s">
        <v>655</v>
      </c>
      <c r="F496" s="0" t="s">
        <v>667</v>
      </c>
      <c r="G496" s="41" t="n">
        <v>3</v>
      </c>
      <c r="H496" s="25" t="s">
        <v>156</v>
      </c>
    </row>
    <row r="497" customFormat="false" ht="15" hidden="false" customHeight="false" outlineLevel="0" collapsed="false">
      <c r="A497" s="0" t="n">
        <v>4</v>
      </c>
      <c r="B497" s="0" t="s">
        <v>1526</v>
      </c>
      <c r="C497" s="0" t="s">
        <v>1251</v>
      </c>
      <c r="D497" s="0" t="s">
        <v>1531</v>
      </c>
      <c r="E497" s="0" t="s">
        <v>655</v>
      </c>
      <c r="F497" s="0" t="s">
        <v>656</v>
      </c>
      <c r="G497" s="41" t="n">
        <v>1</v>
      </c>
      <c r="H497" s="25" t="s">
        <v>156</v>
      </c>
    </row>
    <row r="498" customFormat="false" ht="15" hidden="false" customHeight="false" outlineLevel="0" collapsed="false">
      <c r="A498" s="0" t="n">
        <v>4</v>
      </c>
      <c r="B498" s="0" t="s">
        <v>1526</v>
      </c>
      <c r="C498" s="0" t="s">
        <v>1253</v>
      </c>
      <c r="D498" s="0" t="s">
        <v>1532</v>
      </c>
      <c r="E498" s="0" t="s">
        <v>655</v>
      </c>
      <c r="F498" s="0" t="s">
        <v>659</v>
      </c>
      <c r="G498" s="41" t="n">
        <v>2</v>
      </c>
      <c r="H498" s="25" t="s">
        <v>149</v>
      </c>
    </row>
    <row r="499" customFormat="false" ht="15" hidden="false" customHeight="false" outlineLevel="0" collapsed="false">
      <c r="A499" s="0" t="n">
        <v>4</v>
      </c>
      <c r="B499" s="0" t="s">
        <v>1526</v>
      </c>
      <c r="C499" s="0" t="s">
        <v>1255</v>
      </c>
      <c r="D499" s="0" t="s">
        <v>1533</v>
      </c>
      <c r="E499" s="0" t="s">
        <v>655</v>
      </c>
      <c r="F499" s="0" t="s">
        <v>659</v>
      </c>
      <c r="G499" s="41" t="n">
        <v>2</v>
      </c>
      <c r="H499" s="25" t="s">
        <v>113</v>
      </c>
    </row>
    <row r="500" customFormat="false" ht="15" hidden="false" customHeight="false" outlineLevel="0" collapsed="false">
      <c r="A500" s="0" t="n">
        <v>4</v>
      </c>
      <c r="B500" s="0" t="s">
        <v>1526</v>
      </c>
      <c r="C500" s="0" t="s">
        <v>1257</v>
      </c>
      <c r="D500" s="0" t="s">
        <v>1534</v>
      </c>
      <c r="E500" s="0" t="s">
        <v>655</v>
      </c>
      <c r="F500" s="0" t="s">
        <v>667</v>
      </c>
      <c r="G500" s="41" t="n">
        <v>3</v>
      </c>
      <c r="H500" s="25" t="s">
        <v>106</v>
      </c>
    </row>
    <row r="501" customFormat="false" ht="15" hidden="false" customHeight="false" outlineLevel="0" collapsed="false">
      <c r="A501" s="0" t="n">
        <v>4</v>
      </c>
      <c r="B501" s="0" t="s">
        <v>1526</v>
      </c>
      <c r="C501" s="0" t="s">
        <v>1258</v>
      </c>
      <c r="D501" s="0" t="s">
        <v>1535</v>
      </c>
      <c r="E501" s="0" t="s">
        <v>655</v>
      </c>
      <c r="F501" s="0" t="s">
        <v>797</v>
      </c>
      <c r="G501" s="41" t="n">
        <v>7</v>
      </c>
      <c r="H501" s="25" t="s">
        <v>106</v>
      </c>
    </row>
    <row r="502" customFormat="false" ht="15" hidden="false" customHeight="false" outlineLevel="0" collapsed="false">
      <c r="A502" s="0" t="n">
        <v>4</v>
      </c>
      <c r="B502" s="0" t="s">
        <v>1526</v>
      </c>
      <c r="C502" s="0" t="s">
        <v>1260</v>
      </c>
      <c r="D502" s="0" t="s">
        <v>1536</v>
      </c>
      <c r="E502" s="0" t="s">
        <v>655</v>
      </c>
      <c r="F502" s="0" t="s">
        <v>656</v>
      </c>
      <c r="G502" s="41" t="n">
        <v>1</v>
      </c>
      <c r="H502" s="25" t="s">
        <v>156</v>
      </c>
    </row>
    <row r="503" customFormat="false" ht="15" hidden="false" customHeight="false" outlineLevel="0" collapsed="false">
      <c r="A503" s="0" t="n">
        <v>4</v>
      </c>
      <c r="B503" s="0" t="s">
        <v>1526</v>
      </c>
      <c r="C503" s="0" t="s">
        <v>1262</v>
      </c>
      <c r="D503" s="0" t="s">
        <v>1537</v>
      </c>
      <c r="E503" s="0" t="s">
        <v>655</v>
      </c>
      <c r="F503" s="0" t="s">
        <v>1538</v>
      </c>
      <c r="G503" s="41" t="n">
        <v>153</v>
      </c>
      <c r="H503" s="25" t="s">
        <v>123</v>
      </c>
    </row>
    <row r="504" customFormat="false" ht="15" hidden="false" customHeight="false" outlineLevel="0" collapsed="false">
      <c r="A504" s="0" t="n">
        <v>4</v>
      </c>
      <c r="B504" s="0" t="s">
        <v>1526</v>
      </c>
      <c r="C504" s="0" t="s">
        <v>1264</v>
      </c>
      <c r="D504" s="0" t="s">
        <v>1265</v>
      </c>
      <c r="E504" s="0" t="s">
        <v>655</v>
      </c>
      <c r="F504" s="0" t="s">
        <v>764</v>
      </c>
      <c r="G504" s="41" t="n">
        <v>34</v>
      </c>
      <c r="H504" s="25" t="s">
        <v>106</v>
      </c>
    </row>
    <row r="505" customFormat="false" ht="15" hidden="false" customHeight="false" outlineLevel="0" collapsed="false">
      <c r="A505" s="0" t="n">
        <v>4</v>
      </c>
      <c r="B505" s="0" t="s">
        <v>1526</v>
      </c>
      <c r="C505" s="0" t="s">
        <v>1266</v>
      </c>
      <c r="D505" s="0" t="s">
        <v>1539</v>
      </c>
      <c r="E505" s="0" t="s">
        <v>655</v>
      </c>
      <c r="F505" s="0" t="s">
        <v>1540</v>
      </c>
      <c r="G505" s="41" t="n">
        <v>14</v>
      </c>
      <c r="H505" s="25" t="s">
        <v>149</v>
      </c>
    </row>
    <row r="506" customFormat="false" ht="15" hidden="false" customHeight="false" outlineLevel="0" collapsed="false">
      <c r="A506" s="0" t="n">
        <v>4</v>
      </c>
      <c r="B506" s="0" t="s">
        <v>1526</v>
      </c>
      <c r="C506" s="0" t="s">
        <v>1268</v>
      </c>
      <c r="D506" s="0" t="s">
        <v>1541</v>
      </c>
      <c r="E506" s="0" t="s">
        <v>655</v>
      </c>
      <c r="F506" s="0" t="s">
        <v>659</v>
      </c>
      <c r="G506" s="41" t="n">
        <v>2</v>
      </c>
      <c r="H506" s="25" t="s">
        <v>98</v>
      </c>
    </row>
    <row r="507" customFormat="false" ht="15" hidden="false" customHeight="false" outlineLevel="0" collapsed="false">
      <c r="A507" s="0" t="n">
        <v>4</v>
      </c>
      <c r="B507" s="0" t="s">
        <v>1526</v>
      </c>
      <c r="C507" s="0" t="s">
        <v>1269</v>
      </c>
      <c r="D507" s="0" t="s">
        <v>1542</v>
      </c>
      <c r="E507" s="0" t="s">
        <v>655</v>
      </c>
      <c r="F507" s="0" t="s">
        <v>656</v>
      </c>
      <c r="G507" s="41" t="n">
        <v>1</v>
      </c>
      <c r="H507" s="25" t="s">
        <v>98</v>
      </c>
    </row>
    <row r="508" customFormat="false" ht="15" hidden="false" customHeight="false" outlineLevel="0" collapsed="false">
      <c r="A508" s="0" t="n">
        <v>4</v>
      </c>
      <c r="B508" s="0" t="s">
        <v>1526</v>
      </c>
      <c r="C508" s="0" t="s">
        <v>1271</v>
      </c>
      <c r="D508" s="0" t="s">
        <v>1543</v>
      </c>
      <c r="E508" s="0" t="s">
        <v>655</v>
      </c>
      <c r="F508" s="0" t="s">
        <v>659</v>
      </c>
      <c r="G508" s="41" t="n">
        <v>2</v>
      </c>
      <c r="H508" s="25" t="s">
        <v>156</v>
      </c>
    </row>
    <row r="509" customFormat="false" ht="15" hidden="false" customHeight="false" outlineLevel="0" collapsed="false">
      <c r="A509" s="0" t="n">
        <v>4</v>
      </c>
      <c r="B509" s="0" t="s">
        <v>1526</v>
      </c>
      <c r="C509" s="0" t="s">
        <v>1273</v>
      </c>
      <c r="D509" s="0" t="s">
        <v>1544</v>
      </c>
      <c r="E509" s="0" t="s">
        <v>655</v>
      </c>
      <c r="F509" s="0" t="s">
        <v>656</v>
      </c>
      <c r="G509" s="41" t="n">
        <v>1</v>
      </c>
      <c r="H509" s="25" t="s">
        <v>98</v>
      </c>
    </row>
    <row r="510" customFormat="false" ht="15" hidden="false" customHeight="false" outlineLevel="0" collapsed="false">
      <c r="A510" s="0" t="n">
        <v>4</v>
      </c>
      <c r="B510" s="0" t="s">
        <v>1526</v>
      </c>
      <c r="C510" s="0" t="s">
        <v>1275</v>
      </c>
      <c r="D510" s="0" t="s">
        <v>1545</v>
      </c>
      <c r="E510" s="0" t="s">
        <v>655</v>
      </c>
      <c r="F510" s="0" t="s">
        <v>703</v>
      </c>
      <c r="G510" s="41" t="n">
        <v>4</v>
      </c>
      <c r="H510" s="25" t="s">
        <v>123</v>
      </c>
    </row>
    <row r="511" customFormat="false" ht="15" hidden="false" customHeight="false" outlineLevel="0" collapsed="false">
      <c r="A511" s="0" t="n">
        <v>4</v>
      </c>
      <c r="B511" s="0" t="s">
        <v>1526</v>
      </c>
      <c r="C511" s="0" t="s">
        <v>1277</v>
      </c>
      <c r="D511" s="0" t="s">
        <v>1546</v>
      </c>
      <c r="E511" s="0" t="s">
        <v>655</v>
      </c>
      <c r="F511" s="0" t="s">
        <v>1124</v>
      </c>
      <c r="G511" s="41" t="n">
        <v>11</v>
      </c>
      <c r="H511" s="25" t="s">
        <v>156</v>
      </c>
    </row>
    <row r="512" customFormat="false" ht="15" hidden="false" customHeight="false" outlineLevel="0" collapsed="false">
      <c r="A512" s="0" t="n">
        <v>4</v>
      </c>
      <c r="B512" s="0" t="s">
        <v>1526</v>
      </c>
      <c r="C512" s="0" t="s">
        <v>1547</v>
      </c>
      <c r="D512" s="0" t="s">
        <v>1548</v>
      </c>
      <c r="E512" s="0" t="s">
        <v>655</v>
      </c>
      <c r="F512" s="0" t="s">
        <v>1156</v>
      </c>
      <c r="G512" s="41" t="n">
        <v>26</v>
      </c>
      <c r="H512" s="25" t="s">
        <v>156</v>
      </c>
    </row>
    <row r="513" customFormat="false" ht="15" hidden="false" customHeight="false" outlineLevel="0" collapsed="false">
      <c r="A513" s="0" t="n">
        <v>4</v>
      </c>
      <c r="B513" s="0" t="s">
        <v>1526</v>
      </c>
      <c r="C513" s="0" t="s">
        <v>1549</v>
      </c>
      <c r="D513" s="0" t="s">
        <v>1550</v>
      </c>
      <c r="E513" s="0" t="s">
        <v>655</v>
      </c>
      <c r="F513" s="0" t="s">
        <v>703</v>
      </c>
      <c r="G513" s="41" t="n">
        <v>4</v>
      </c>
      <c r="H513" s="25" t="s">
        <v>166</v>
      </c>
    </row>
    <row r="514" customFormat="false" ht="15" hidden="false" customHeight="false" outlineLevel="0" collapsed="false">
      <c r="A514" s="0" t="n">
        <v>4</v>
      </c>
      <c r="B514" s="0" t="s">
        <v>1526</v>
      </c>
      <c r="C514" s="0" t="s">
        <v>1551</v>
      </c>
      <c r="D514" s="0" t="s">
        <v>1552</v>
      </c>
      <c r="E514" s="0" t="s">
        <v>655</v>
      </c>
      <c r="F514" s="0" t="s">
        <v>659</v>
      </c>
      <c r="G514" s="41" t="n">
        <v>2</v>
      </c>
      <c r="H514" s="25" t="s">
        <v>106</v>
      </c>
    </row>
    <row r="515" customFormat="false" ht="15" hidden="false" customHeight="false" outlineLevel="0" collapsed="false">
      <c r="A515" s="0" t="n">
        <v>4</v>
      </c>
      <c r="B515" s="0" t="s">
        <v>1526</v>
      </c>
      <c r="C515" s="0" t="s">
        <v>1553</v>
      </c>
      <c r="D515" s="0" t="s">
        <v>1554</v>
      </c>
      <c r="E515" s="0" t="s">
        <v>655</v>
      </c>
      <c r="F515" s="0" t="s">
        <v>656</v>
      </c>
      <c r="G515" s="41" t="n">
        <v>1</v>
      </c>
      <c r="H515" s="25" t="s">
        <v>106</v>
      </c>
    </row>
    <row r="516" customFormat="false" ht="15" hidden="false" customHeight="false" outlineLevel="0" collapsed="false">
      <c r="A516" s="0" t="n">
        <v>4</v>
      </c>
      <c r="B516" s="0" t="s">
        <v>1526</v>
      </c>
      <c r="C516" s="0" t="s">
        <v>1555</v>
      </c>
      <c r="D516" s="0" t="s">
        <v>1026</v>
      </c>
      <c r="E516" s="0" t="s">
        <v>655</v>
      </c>
      <c r="F516" s="0" t="s">
        <v>656</v>
      </c>
      <c r="G516" s="41" t="n">
        <v>1</v>
      </c>
      <c r="H516" s="25" t="s">
        <v>113</v>
      </c>
    </row>
    <row r="517" customFormat="false" ht="15" hidden="false" customHeight="false" outlineLevel="0" collapsed="false">
      <c r="A517" s="0" t="n">
        <v>4</v>
      </c>
      <c r="B517" s="0" t="s">
        <v>1526</v>
      </c>
      <c r="C517" s="0" t="s">
        <v>1556</v>
      </c>
      <c r="D517" s="0" t="s">
        <v>1557</v>
      </c>
      <c r="E517" s="0" t="s">
        <v>140</v>
      </c>
      <c r="F517" s="0" t="s">
        <v>656</v>
      </c>
      <c r="G517" s="41" t="n">
        <v>1</v>
      </c>
      <c r="H517" s="25" t="s">
        <v>172</v>
      </c>
    </row>
    <row r="518" customFormat="false" ht="15" hidden="false" customHeight="false" outlineLevel="0" collapsed="false">
      <c r="A518" s="0" t="n">
        <v>4</v>
      </c>
      <c r="B518" s="0" t="s">
        <v>1558</v>
      </c>
      <c r="C518" s="0" t="s">
        <v>1280</v>
      </c>
      <c r="D518" s="0" t="s">
        <v>1559</v>
      </c>
      <c r="E518" s="0" t="s">
        <v>261</v>
      </c>
      <c r="F518" s="0" t="s">
        <v>724</v>
      </c>
      <c r="G518" s="41" t="n">
        <v>1100</v>
      </c>
      <c r="H518" s="25" t="s">
        <v>178</v>
      </c>
    </row>
    <row r="519" customFormat="false" ht="15" hidden="false" customHeight="false" outlineLevel="0" collapsed="false">
      <c r="A519" s="0" t="n">
        <v>4</v>
      </c>
      <c r="B519" s="0" t="s">
        <v>1558</v>
      </c>
      <c r="C519" s="0" t="s">
        <v>1283</v>
      </c>
      <c r="D519" s="0" t="s">
        <v>1560</v>
      </c>
      <c r="E519" s="0" t="s">
        <v>261</v>
      </c>
      <c r="F519" s="0" t="s">
        <v>803</v>
      </c>
      <c r="G519" s="41" t="n">
        <v>160</v>
      </c>
      <c r="H519" s="25" t="s">
        <v>178</v>
      </c>
    </row>
    <row r="520" customFormat="false" ht="15" hidden="false" customHeight="false" outlineLevel="0" collapsed="false">
      <c r="A520" s="0" t="n">
        <v>4</v>
      </c>
      <c r="B520" s="0" t="s">
        <v>1558</v>
      </c>
      <c r="C520" s="0" t="s">
        <v>1284</v>
      </c>
      <c r="D520" s="0" t="s">
        <v>1561</v>
      </c>
      <c r="E520" s="0" t="s">
        <v>261</v>
      </c>
      <c r="F520" s="0" t="s">
        <v>1562</v>
      </c>
      <c r="G520" s="41" t="n">
        <v>1400</v>
      </c>
      <c r="H520" s="25" t="s">
        <v>178</v>
      </c>
    </row>
    <row r="521" customFormat="false" ht="15" hidden="false" customHeight="false" outlineLevel="0" collapsed="false">
      <c r="A521" s="0" t="n">
        <v>4</v>
      </c>
      <c r="B521" s="0" t="s">
        <v>1558</v>
      </c>
      <c r="C521" s="0" t="s">
        <v>1286</v>
      </c>
      <c r="D521" s="0" t="s">
        <v>1563</v>
      </c>
      <c r="E521" s="0" t="s">
        <v>261</v>
      </c>
      <c r="F521" s="0" t="s">
        <v>788</v>
      </c>
      <c r="G521" s="41" t="n">
        <v>20</v>
      </c>
      <c r="H521" s="25" t="s">
        <v>178</v>
      </c>
    </row>
    <row r="522" customFormat="false" ht="15" hidden="false" customHeight="false" outlineLevel="0" collapsed="false">
      <c r="A522" s="0" t="n">
        <v>4</v>
      </c>
      <c r="B522" s="0" t="s">
        <v>1558</v>
      </c>
      <c r="C522" s="0" t="s">
        <v>1287</v>
      </c>
      <c r="D522" s="0" t="s">
        <v>1564</v>
      </c>
      <c r="E522" s="0" t="s">
        <v>261</v>
      </c>
      <c r="F522" s="0" t="s">
        <v>675</v>
      </c>
      <c r="G522" s="41" t="n">
        <v>200</v>
      </c>
      <c r="H522" s="25" t="s">
        <v>178</v>
      </c>
    </row>
    <row r="523" customFormat="false" ht="15" hidden="false" customHeight="false" outlineLevel="0" collapsed="false">
      <c r="A523" s="0" t="n">
        <v>4</v>
      </c>
      <c r="B523" s="0" t="s">
        <v>1558</v>
      </c>
      <c r="C523" s="0" t="s">
        <v>1289</v>
      </c>
      <c r="D523" s="0" t="s">
        <v>1565</v>
      </c>
      <c r="E523" s="0" t="s">
        <v>261</v>
      </c>
      <c r="F523" s="0" t="s">
        <v>675</v>
      </c>
      <c r="G523" s="41" t="n">
        <v>200</v>
      </c>
      <c r="H523" s="25" t="s">
        <v>178</v>
      </c>
    </row>
    <row r="524" customFormat="false" ht="15" hidden="false" customHeight="false" outlineLevel="0" collapsed="false">
      <c r="A524" s="0" t="n">
        <v>5</v>
      </c>
      <c r="B524" s="0" t="s">
        <v>1566</v>
      </c>
      <c r="C524" s="0" t="s">
        <v>1243</v>
      </c>
      <c r="D524" s="0" t="s">
        <v>1567</v>
      </c>
      <c r="E524" s="0" t="s">
        <v>655</v>
      </c>
      <c r="F524" s="0" t="s">
        <v>781</v>
      </c>
      <c r="G524" s="41" t="n">
        <v>8</v>
      </c>
      <c r="H524" s="25" t="s">
        <v>98</v>
      </c>
    </row>
    <row r="525" customFormat="false" ht="15" hidden="false" customHeight="false" outlineLevel="0" collapsed="false">
      <c r="A525" s="0" t="n">
        <v>5</v>
      </c>
      <c r="B525" s="0" t="s">
        <v>1566</v>
      </c>
      <c r="C525" s="0" t="s">
        <v>1245</v>
      </c>
      <c r="D525" s="0" t="s">
        <v>1568</v>
      </c>
      <c r="E525" s="0" t="s">
        <v>655</v>
      </c>
      <c r="F525" s="0" t="s">
        <v>659</v>
      </c>
      <c r="G525" s="41" t="n">
        <v>2</v>
      </c>
      <c r="H525" s="25" t="s">
        <v>98</v>
      </c>
    </row>
    <row r="526" customFormat="false" ht="15" hidden="false" customHeight="false" outlineLevel="0" collapsed="false">
      <c r="A526" s="0" t="n">
        <v>5</v>
      </c>
      <c r="B526" s="0" t="s">
        <v>1566</v>
      </c>
      <c r="C526" s="0" t="s">
        <v>1247</v>
      </c>
      <c r="D526" s="0" t="s">
        <v>1569</v>
      </c>
      <c r="E526" s="0" t="s">
        <v>655</v>
      </c>
      <c r="F526" s="0" t="s">
        <v>656</v>
      </c>
      <c r="G526" s="41" t="n">
        <v>1</v>
      </c>
      <c r="H526" s="25" t="s">
        <v>98</v>
      </c>
    </row>
    <row r="527" customFormat="false" ht="15" hidden="false" customHeight="false" outlineLevel="0" collapsed="false">
      <c r="A527" s="0" t="n">
        <v>5</v>
      </c>
      <c r="B527" s="0" t="s">
        <v>1566</v>
      </c>
      <c r="C527" s="0" t="s">
        <v>1249</v>
      </c>
      <c r="D527" s="0" t="s">
        <v>1570</v>
      </c>
      <c r="E527" s="0" t="s">
        <v>655</v>
      </c>
      <c r="F527" s="0" t="s">
        <v>656</v>
      </c>
      <c r="G527" s="41" t="n">
        <v>1</v>
      </c>
      <c r="H527" s="25" t="s">
        <v>98</v>
      </c>
    </row>
    <row r="528" customFormat="false" ht="15" hidden="false" customHeight="false" outlineLevel="0" collapsed="false">
      <c r="A528" s="0" t="n">
        <v>5</v>
      </c>
      <c r="B528" s="0" t="s">
        <v>1566</v>
      </c>
      <c r="C528" s="0" t="s">
        <v>1251</v>
      </c>
      <c r="D528" s="0" t="s">
        <v>1571</v>
      </c>
      <c r="E528" s="0" t="s">
        <v>655</v>
      </c>
      <c r="F528" s="0" t="s">
        <v>656</v>
      </c>
      <c r="G528" s="41" t="n">
        <v>1</v>
      </c>
      <c r="H528" s="25" t="s">
        <v>98</v>
      </c>
    </row>
    <row r="529" customFormat="false" ht="15" hidden="false" customHeight="false" outlineLevel="0" collapsed="false">
      <c r="A529" s="0" t="n">
        <v>5</v>
      </c>
      <c r="B529" s="0" t="s">
        <v>1566</v>
      </c>
      <c r="C529" s="0" t="s">
        <v>1253</v>
      </c>
      <c r="D529" s="0" t="s">
        <v>1572</v>
      </c>
      <c r="E529" s="0" t="s">
        <v>655</v>
      </c>
      <c r="F529" s="0" t="s">
        <v>1573</v>
      </c>
      <c r="G529" s="41" t="n">
        <v>122</v>
      </c>
      <c r="H529" s="25" t="s">
        <v>123</v>
      </c>
    </row>
    <row r="530" customFormat="false" ht="15" hidden="false" customHeight="false" outlineLevel="0" collapsed="false">
      <c r="A530" s="0" t="n">
        <v>5</v>
      </c>
      <c r="B530" s="0" t="s">
        <v>1566</v>
      </c>
      <c r="C530" s="0" t="s">
        <v>1255</v>
      </c>
      <c r="D530" s="0" t="s">
        <v>1574</v>
      </c>
      <c r="E530" s="0" t="s">
        <v>655</v>
      </c>
      <c r="F530" s="0" t="s">
        <v>886</v>
      </c>
      <c r="G530" s="41" t="n">
        <v>72</v>
      </c>
      <c r="H530" s="25" t="s">
        <v>123</v>
      </c>
    </row>
    <row r="531" customFormat="false" ht="15" hidden="false" customHeight="false" outlineLevel="0" collapsed="false">
      <c r="A531" s="0" t="n">
        <v>5</v>
      </c>
      <c r="B531" s="0" t="s">
        <v>1566</v>
      </c>
      <c r="C531" s="0" t="s">
        <v>1257</v>
      </c>
      <c r="D531" s="0" t="s">
        <v>1575</v>
      </c>
      <c r="E531" s="0" t="s">
        <v>655</v>
      </c>
      <c r="F531" s="0" t="s">
        <v>935</v>
      </c>
      <c r="G531" s="41" t="n">
        <v>9</v>
      </c>
      <c r="H531" s="25" t="s">
        <v>156</v>
      </c>
    </row>
    <row r="532" customFormat="false" ht="15" hidden="false" customHeight="false" outlineLevel="0" collapsed="false">
      <c r="A532" s="0" t="n">
        <v>5</v>
      </c>
      <c r="B532" s="0" t="s">
        <v>1566</v>
      </c>
      <c r="C532" s="0" t="s">
        <v>1258</v>
      </c>
      <c r="D532" s="0" t="s">
        <v>1576</v>
      </c>
      <c r="E532" s="0" t="s">
        <v>655</v>
      </c>
      <c r="F532" s="0" t="s">
        <v>730</v>
      </c>
      <c r="G532" s="41" t="n">
        <v>18</v>
      </c>
      <c r="H532" s="25" t="s">
        <v>156</v>
      </c>
    </row>
    <row r="533" customFormat="false" ht="15" hidden="false" customHeight="false" outlineLevel="0" collapsed="false">
      <c r="A533" s="0" t="n">
        <v>5</v>
      </c>
      <c r="B533" s="0" t="s">
        <v>1566</v>
      </c>
      <c r="C533" s="0" t="s">
        <v>1260</v>
      </c>
      <c r="D533" s="0" t="s">
        <v>1577</v>
      </c>
      <c r="E533" s="0" t="s">
        <v>655</v>
      </c>
      <c r="F533" s="0" t="s">
        <v>667</v>
      </c>
      <c r="G533" s="41" t="n">
        <v>3</v>
      </c>
      <c r="H533" s="25" t="s">
        <v>113</v>
      </c>
    </row>
    <row r="534" customFormat="false" ht="15" hidden="false" customHeight="false" outlineLevel="0" collapsed="false">
      <c r="A534" s="0" t="n">
        <v>5</v>
      </c>
      <c r="B534" s="0" t="s">
        <v>1566</v>
      </c>
      <c r="C534" s="0" t="s">
        <v>1262</v>
      </c>
      <c r="D534" s="0" t="s">
        <v>1578</v>
      </c>
      <c r="E534" s="0" t="s">
        <v>261</v>
      </c>
      <c r="F534" s="0" t="s">
        <v>992</v>
      </c>
      <c r="G534" s="41" t="n">
        <v>80</v>
      </c>
      <c r="H534" s="25" t="s">
        <v>178</v>
      </c>
    </row>
    <row r="535" customFormat="false" ht="15" hidden="false" customHeight="false" outlineLevel="0" collapsed="false">
      <c r="A535" s="0" t="n">
        <v>5</v>
      </c>
      <c r="B535" s="0" t="s">
        <v>1566</v>
      </c>
      <c r="C535" s="0" t="s">
        <v>1264</v>
      </c>
      <c r="D535" s="0" t="s">
        <v>1579</v>
      </c>
      <c r="E535" s="0" t="s">
        <v>261</v>
      </c>
      <c r="F535" s="0" t="s">
        <v>1580</v>
      </c>
      <c r="G535" s="41" t="n">
        <v>1800</v>
      </c>
      <c r="H535" s="25" t="s">
        <v>178</v>
      </c>
    </row>
    <row r="536" customFormat="false" ht="15" hidden="false" customHeight="false" outlineLevel="0" collapsed="false">
      <c r="A536" s="0" t="n">
        <v>5</v>
      </c>
      <c r="B536" s="0" t="s">
        <v>1566</v>
      </c>
      <c r="C536" s="0" t="s">
        <v>1266</v>
      </c>
      <c r="D536" s="0" t="s">
        <v>1581</v>
      </c>
      <c r="E536" s="0" t="s">
        <v>655</v>
      </c>
      <c r="F536" s="0" t="s">
        <v>781</v>
      </c>
      <c r="G536" s="41" t="n">
        <v>8</v>
      </c>
      <c r="H536" s="25" t="s">
        <v>149</v>
      </c>
    </row>
    <row r="537" customFormat="false" ht="15" hidden="false" customHeight="false" outlineLevel="0" collapsed="false">
      <c r="A537" s="0" t="n">
        <v>5</v>
      </c>
      <c r="B537" s="0" t="s">
        <v>1566</v>
      </c>
      <c r="C537" s="0" t="s">
        <v>1268</v>
      </c>
      <c r="D537" s="0" t="s">
        <v>1582</v>
      </c>
      <c r="E537" s="0" t="s">
        <v>655</v>
      </c>
      <c r="F537" s="0" t="s">
        <v>730</v>
      </c>
      <c r="G537" s="41" t="n">
        <v>18</v>
      </c>
      <c r="H537" s="25" t="s">
        <v>129</v>
      </c>
    </row>
    <row r="538" customFormat="false" ht="15" hidden="false" customHeight="false" outlineLevel="0" collapsed="false">
      <c r="A538" s="0" t="n">
        <v>5</v>
      </c>
      <c r="B538" s="0" t="s">
        <v>1566</v>
      </c>
      <c r="C538" s="0" t="s">
        <v>1269</v>
      </c>
      <c r="D538" s="0" t="s">
        <v>1583</v>
      </c>
      <c r="E538" s="0" t="s">
        <v>655</v>
      </c>
      <c r="F538" s="0" t="s">
        <v>659</v>
      </c>
      <c r="G538" s="41" t="n">
        <v>2</v>
      </c>
      <c r="H538" s="25" t="s">
        <v>129</v>
      </c>
    </row>
    <row r="539" customFormat="false" ht="15" hidden="false" customHeight="false" outlineLevel="0" collapsed="false">
      <c r="A539" s="0" t="n">
        <v>5</v>
      </c>
      <c r="B539" s="0" t="s">
        <v>1566</v>
      </c>
      <c r="C539" s="0" t="s">
        <v>1271</v>
      </c>
      <c r="D539" s="0" t="s">
        <v>1584</v>
      </c>
      <c r="E539" s="0" t="s">
        <v>261</v>
      </c>
      <c r="F539" s="0" t="s">
        <v>675</v>
      </c>
      <c r="G539" s="41" t="n">
        <v>200</v>
      </c>
      <c r="H539" s="25" t="s">
        <v>178</v>
      </c>
    </row>
    <row r="540" customFormat="false" ht="15" hidden="false" customHeight="false" outlineLevel="0" collapsed="false">
      <c r="A540" s="0" t="n">
        <v>5</v>
      </c>
      <c r="B540" s="0" t="s">
        <v>1566</v>
      </c>
      <c r="C540" s="0" t="s">
        <v>1273</v>
      </c>
      <c r="D540" s="0" t="s">
        <v>1585</v>
      </c>
      <c r="E540" s="0" t="s">
        <v>261</v>
      </c>
      <c r="F540" s="0" t="s">
        <v>675</v>
      </c>
      <c r="G540" s="41" t="n">
        <v>200</v>
      </c>
      <c r="H540" s="25" t="s">
        <v>178</v>
      </c>
    </row>
    <row r="541" customFormat="false" ht="15" hidden="false" customHeight="false" outlineLevel="0" collapsed="false">
      <c r="A541" s="0" t="n">
        <v>5</v>
      </c>
      <c r="B541" s="0" t="s">
        <v>1586</v>
      </c>
      <c r="C541" s="0" t="s">
        <v>1280</v>
      </c>
      <c r="D541" s="0" t="s">
        <v>1572</v>
      </c>
      <c r="E541" s="0" t="s">
        <v>655</v>
      </c>
      <c r="F541" s="0" t="s">
        <v>1587</v>
      </c>
      <c r="G541" s="41" t="n">
        <v>68</v>
      </c>
      <c r="H541" s="25" t="s">
        <v>123</v>
      </c>
    </row>
    <row r="542" customFormat="false" ht="15" hidden="false" customHeight="false" outlineLevel="0" collapsed="false">
      <c r="A542" s="0" t="n">
        <v>5</v>
      </c>
      <c r="B542" s="0" t="s">
        <v>1586</v>
      </c>
      <c r="C542" s="0" t="s">
        <v>1283</v>
      </c>
      <c r="D542" s="0" t="s">
        <v>1581</v>
      </c>
      <c r="E542" s="0" t="s">
        <v>655</v>
      </c>
      <c r="F542" s="0" t="s">
        <v>781</v>
      </c>
      <c r="G542" s="41" t="n">
        <v>8</v>
      </c>
      <c r="H542" s="25" t="s">
        <v>149</v>
      </c>
    </row>
    <row r="543" customFormat="false" ht="15" hidden="false" customHeight="false" outlineLevel="0" collapsed="false">
      <c r="A543" s="0" t="n">
        <v>5</v>
      </c>
      <c r="B543" s="0" t="s">
        <v>1586</v>
      </c>
      <c r="C543" s="0" t="s">
        <v>1284</v>
      </c>
      <c r="D543" s="0" t="s">
        <v>746</v>
      </c>
      <c r="E543" s="0" t="s">
        <v>655</v>
      </c>
      <c r="F543" s="0" t="s">
        <v>667</v>
      </c>
      <c r="G543" s="41" t="n">
        <v>3</v>
      </c>
      <c r="H543" s="25" t="s">
        <v>156</v>
      </c>
    </row>
    <row r="544" customFormat="false" ht="15" hidden="false" customHeight="false" outlineLevel="0" collapsed="false">
      <c r="A544" s="0" t="n">
        <v>5</v>
      </c>
      <c r="B544" s="0" t="s">
        <v>1586</v>
      </c>
      <c r="C544" s="0" t="s">
        <v>1286</v>
      </c>
      <c r="D544" s="0" t="s">
        <v>1588</v>
      </c>
      <c r="E544" s="0" t="s">
        <v>261</v>
      </c>
      <c r="F544" s="0" t="s">
        <v>844</v>
      </c>
      <c r="G544" s="41" t="n">
        <v>1500</v>
      </c>
      <c r="H544" s="25" t="s">
        <v>178</v>
      </c>
    </row>
    <row r="545" customFormat="false" ht="15" hidden="false" customHeight="false" outlineLevel="0" collapsed="false">
      <c r="A545" s="0" t="n">
        <v>5</v>
      </c>
      <c r="B545" s="0" t="s">
        <v>1586</v>
      </c>
      <c r="C545" s="0" t="s">
        <v>1287</v>
      </c>
      <c r="D545" s="0" t="s">
        <v>1575</v>
      </c>
      <c r="E545" s="0" t="s">
        <v>655</v>
      </c>
      <c r="F545" s="0" t="s">
        <v>935</v>
      </c>
      <c r="G545" s="41" t="n">
        <v>9</v>
      </c>
      <c r="H545" s="25" t="s">
        <v>156</v>
      </c>
    </row>
    <row r="546" customFormat="false" ht="15" hidden="false" customHeight="false" outlineLevel="0" collapsed="false">
      <c r="A546" s="0" t="n">
        <v>5</v>
      </c>
      <c r="B546" s="0" t="s">
        <v>1589</v>
      </c>
      <c r="C546" s="0" t="s">
        <v>1308</v>
      </c>
      <c r="D546" s="0" t="s">
        <v>1590</v>
      </c>
      <c r="E546" s="0" t="s">
        <v>655</v>
      </c>
      <c r="F546" s="0" t="s">
        <v>656</v>
      </c>
      <c r="G546" s="41" t="n">
        <v>1</v>
      </c>
      <c r="H546" s="25" t="s">
        <v>98</v>
      </c>
    </row>
    <row r="547" customFormat="false" ht="15" hidden="false" customHeight="false" outlineLevel="0" collapsed="false">
      <c r="A547" s="0" t="n">
        <v>5</v>
      </c>
      <c r="B547" s="0" t="s">
        <v>1589</v>
      </c>
      <c r="C547" s="0" t="s">
        <v>1310</v>
      </c>
      <c r="D547" s="0" t="s">
        <v>1581</v>
      </c>
      <c r="E547" s="0" t="s">
        <v>655</v>
      </c>
      <c r="F547" s="0" t="s">
        <v>935</v>
      </c>
      <c r="G547" s="41" t="n">
        <v>9</v>
      </c>
      <c r="H547" s="25" t="s">
        <v>149</v>
      </c>
    </row>
    <row r="548" customFormat="false" ht="15" hidden="false" customHeight="false" outlineLevel="0" collapsed="false">
      <c r="A548" s="0" t="n">
        <v>5</v>
      </c>
      <c r="B548" s="0" t="s">
        <v>1589</v>
      </c>
      <c r="C548" s="0" t="s">
        <v>1312</v>
      </c>
      <c r="D548" s="0" t="s">
        <v>1572</v>
      </c>
      <c r="E548" s="0" t="s">
        <v>655</v>
      </c>
      <c r="F548" s="0" t="s">
        <v>1179</v>
      </c>
      <c r="G548" s="41" t="n">
        <v>60</v>
      </c>
      <c r="H548" s="25" t="s">
        <v>123</v>
      </c>
    </row>
    <row r="549" customFormat="false" ht="15" hidden="false" customHeight="false" outlineLevel="0" collapsed="false">
      <c r="A549" s="0" t="n">
        <v>5</v>
      </c>
      <c r="B549" s="0" t="s">
        <v>1589</v>
      </c>
      <c r="C549" s="0" t="s">
        <v>1314</v>
      </c>
      <c r="D549" s="0" t="s">
        <v>1591</v>
      </c>
      <c r="E549" s="0" t="s">
        <v>655</v>
      </c>
      <c r="F549" s="0" t="s">
        <v>781</v>
      </c>
      <c r="G549" s="41" t="n">
        <v>8</v>
      </c>
      <c r="H549" s="25" t="s">
        <v>156</v>
      </c>
    </row>
    <row r="550" customFormat="false" ht="15" hidden="false" customHeight="false" outlineLevel="0" collapsed="false">
      <c r="A550" s="0" t="n">
        <v>5</v>
      </c>
      <c r="B550" s="0" t="s">
        <v>1589</v>
      </c>
      <c r="C550" s="0" t="s">
        <v>1316</v>
      </c>
      <c r="D550" s="0" t="s">
        <v>1592</v>
      </c>
      <c r="E550" s="0" t="s">
        <v>655</v>
      </c>
      <c r="F550" s="0" t="s">
        <v>935</v>
      </c>
      <c r="G550" s="41" t="n">
        <v>9</v>
      </c>
      <c r="H550" s="25" t="s">
        <v>156</v>
      </c>
    </row>
    <row r="551" customFormat="false" ht="15" hidden="false" customHeight="false" outlineLevel="0" collapsed="false">
      <c r="A551" s="0" t="n">
        <v>5</v>
      </c>
      <c r="B551" s="0" t="s">
        <v>1589</v>
      </c>
      <c r="C551" s="0" t="s">
        <v>1318</v>
      </c>
      <c r="D551" s="0" t="s">
        <v>1593</v>
      </c>
      <c r="E551" s="0" t="s">
        <v>655</v>
      </c>
      <c r="F551" s="0" t="s">
        <v>656</v>
      </c>
      <c r="G551" s="41" t="n">
        <v>1</v>
      </c>
      <c r="H551" s="25" t="s">
        <v>113</v>
      </c>
    </row>
    <row r="552" customFormat="false" ht="15" hidden="false" customHeight="false" outlineLevel="0" collapsed="false">
      <c r="A552" s="0" t="n">
        <v>5</v>
      </c>
      <c r="B552" s="0" t="s">
        <v>1589</v>
      </c>
      <c r="C552" s="0" t="s">
        <v>1319</v>
      </c>
      <c r="D552" s="0" t="s">
        <v>1569</v>
      </c>
      <c r="E552" s="0" t="s">
        <v>655</v>
      </c>
      <c r="F552" s="0" t="s">
        <v>656</v>
      </c>
      <c r="G552" s="41" t="n">
        <v>1</v>
      </c>
      <c r="H552" s="25" t="s">
        <v>98</v>
      </c>
    </row>
    <row r="553" customFormat="false" ht="15" hidden="false" customHeight="false" outlineLevel="0" collapsed="false">
      <c r="A553" s="0" t="n">
        <v>5</v>
      </c>
      <c r="B553" s="0" t="s">
        <v>1589</v>
      </c>
      <c r="C553" s="0" t="s">
        <v>1321</v>
      </c>
      <c r="D553" s="0" t="s">
        <v>1594</v>
      </c>
      <c r="E553" s="0" t="s">
        <v>261</v>
      </c>
      <c r="F553" s="0" t="s">
        <v>1595</v>
      </c>
      <c r="G553" s="41" t="n">
        <v>1200</v>
      </c>
      <c r="H553" s="25" t="s">
        <v>178</v>
      </c>
    </row>
    <row r="554" customFormat="false" ht="15" hidden="false" customHeight="false" outlineLevel="0" collapsed="false">
      <c r="A554" s="0" t="n">
        <v>5</v>
      </c>
      <c r="B554" s="0" t="s">
        <v>1596</v>
      </c>
      <c r="C554" s="0" t="s">
        <v>1326</v>
      </c>
      <c r="D554" s="0" t="s">
        <v>1597</v>
      </c>
      <c r="E554" s="0" t="s">
        <v>655</v>
      </c>
      <c r="F554" s="0" t="s">
        <v>788</v>
      </c>
      <c r="G554" s="41" t="n">
        <v>20</v>
      </c>
      <c r="H554" s="25" t="s">
        <v>123</v>
      </c>
    </row>
    <row r="555" customFormat="false" ht="15" hidden="false" customHeight="false" outlineLevel="0" collapsed="false">
      <c r="A555" s="0" t="n">
        <v>5</v>
      </c>
      <c r="B555" s="0" t="s">
        <v>1596</v>
      </c>
      <c r="C555" s="0" t="s">
        <v>1328</v>
      </c>
      <c r="D555" s="0" t="s">
        <v>1574</v>
      </c>
      <c r="E555" s="0" t="s">
        <v>655</v>
      </c>
      <c r="F555" s="0" t="s">
        <v>1598</v>
      </c>
      <c r="G555" s="41" t="n">
        <v>31</v>
      </c>
      <c r="H555" s="25" t="s">
        <v>123</v>
      </c>
    </row>
    <row r="556" customFormat="false" ht="15" hidden="false" customHeight="false" outlineLevel="0" collapsed="false">
      <c r="A556" s="0" t="n">
        <v>5</v>
      </c>
      <c r="B556" s="0" t="s">
        <v>1596</v>
      </c>
      <c r="C556" s="0" t="s">
        <v>1329</v>
      </c>
      <c r="D556" s="0" t="s">
        <v>1590</v>
      </c>
      <c r="E556" s="0" t="s">
        <v>655</v>
      </c>
      <c r="F556" s="0" t="s">
        <v>656</v>
      </c>
      <c r="G556" s="41" t="n">
        <v>1</v>
      </c>
      <c r="H556" s="25" t="s">
        <v>98</v>
      </c>
    </row>
    <row r="557" customFormat="false" ht="15" hidden="false" customHeight="false" outlineLevel="0" collapsed="false">
      <c r="A557" s="0" t="n">
        <v>5</v>
      </c>
      <c r="B557" s="0" t="s">
        <v>1596</v>
      </c>
      <c r="C557" s="0" t="s">
        <v>1331</v>
      </c>
      <c r="D557" s="0" t="s">
        <v>746</v>
      </c>
      <c r="E557" s="0" t="s">
        <v>655</v>
      </c>
      <c r="F557" s="0" t="s">
        <v>667</v>
      </c>
      <c r="G557" s="41" t="n">
        <v>3</v>
      </c>
      <c r="H557" s="25" t="s">
        <v>156</v>
      </c>
    </row>
    <row r="558" customFormat="false" ht="15" hidden="false" customHeight="false" outlineLevel="0" collapsed="false">
      <c r="A558" s="0" t="n">
        <v>5</v>
      </c>
      <c r="B558" s="0" t="s">
        <v>1596</v>
      </c>
      <c r="C558" s="0" t="s">
        <v>1333</v>
      </c>
      <c r="D558" s="0" t="s">
        <v>1581</v>
      </c>
      <c r="E558" s="0" t="s">
        <v>655</v>
      </c>
      <c r="F558" s="0" t="s">
        <v>659</v>
      </c>
      <c r="G558" s="41" t="n">
        <v>2</v>
      </c>
      <c r="H558" s="25" t="s">
        <v>149</v>
      </c>
    </row>
    <row r="559" customFormat="false" ht="15" hidden="false" customHeight="false" outlineLevel="0" collapsed="false">
      <c r="A559" s="0" t="n">
        <v>5</v>
      </c>
      <c r="B559" s="0" t="s">
        <v>1596</v>
      </c>
      <c r="C559" s="0" t="s">
        <v>1335</v>
      </c>
      <c r="D559" s="0" t="s">
        <v>1599</v>
      </c>
      <c r="E559" s="0" t="s">
        <v>261</v>
      </c>
      <c r="F559" s="0" t="s">
        <v>1203</v>
      </c>
      <c r="G559" s="41" t="n">
        <v>1000</v>
      </c>
      <c r="H559" s="25" t="s">
        <v>178</v>
      </c>
    </row>
    <row r="560" customFormat="false" ht="15" hidden="false" customHeight="false" outlineLevel="0" collapsed="false">
      <c r="A560" s="0" t="n">
        <v>5</v>
      </c>
      <c r="B560" s="0" t="s">
        <v>1596</v>
      </c>
      <c r="C560" s="0" t="s">
        <v>1337</v>
      </c>
      <c r="D560" s="0" t="s">
        <v>1600</v>
      </c>
      <c r="E560" s="0" t="s">
        <v>261</v>
      </c>
      <c r="F560" s="0" t="s">
        <v>933</v>
      </c>
      <c r="G560" s="41" t="n">
        <v>70</v>
      </c>
      <c r="H560" s="25" t="s">
        <v>178</v>
      </c>
    </row>
    <row r="561" customFormat="false" ht="15" hidden="false" customHeight="false" outlineLevel="0" collapsed="false">
      <c r="A561" s="0" t="n">
        <v>5</v>
      </c>
      <c r="B561" s="0" t="s">
        <v>1601</v>
      </c>
      <c r="C561" s="0" t="s">
        <v>1345</v>
      </c>
      <c r="D561" s="0" t="s">
        <v>1602</v>
      </c>
      <c r="E561" s="0" t="s">
        <v>655</v>
      </c>
      <c r="F561" s="0" t="s">
        <v>659</v>
      </c>
      <c r="G561" s="41" t="n">
        <v>2</v>
      </c>
      <c r="H561" s="25" t="s">
        <v>149</v>
      </c>
    </row>
    <row r="562" customFormat="false" ht="15" hidden="false" customHeight="false" outlineLevel="0" collapsed="false">
      <c r="A562" s="0" t="n">
        <v>5</v>
      </c>
      <c r="B562" s="0" t="s">
        <v>1601</v>
      </c>
      <c r="C562" s="0" t="s">
        <v>1347</v>
      </c>
      <c r="D562" s="0" t="s">
        <v>1572</v>
      </c>
      <c r="E562" s="0" t="s">
        <v>655</v>
      </c>
      <c r="F562" s="0" t="s">
        <v>781</v>
      </c>
      <c r="G562" s="41" t="n">
        <v>8</v>
      </c>
      <c r="H562" s="25" t="s">
        <v>123</v>
      </c>
    </row>
    <row r="563" customFormat="false" ht="15" hidden="false" customHeight="false" outlineLevel="0" collapsed="false">
      <c r="A563" s="0" t="n">
        <v>5</v>
      </c>
      <c r="B563" s="0" t="s">
        <v>1601</v>
      </c>
      <c r="C563" s="0" t="s">
        <v>1349</v>
      </c>
      <c r="D563" s="0" t="s">
        <v>1603</v>
      </c>
      <c r="E563" s="0" t="s">
        <v>655</v>
      </c>
      <c r="F563" s="0" t="s">
        <v>656</v>
      </c>
      <c r="G563" s="41" t="n">
        <v>1</v>
      </c>
      <c r="H563" s="25" t="s">
        <v>98</v>
      </c>
    </row>
    <row r="564" customFormat="false" ht="15" hidden="false" customHeight="false" outlineLevel="0" collapsed="false">
      <c r="A564" s="0" t="n">
        <v>5</v>
      </c>
      <c r="B564" s="0" t="s">
        <v>1601</v>
      </c>
      <c r="C564" s="0" t="s">
        <v>1351</v>
      </c>
      <c r="D564" s="0" t="s">
        <v>1576</v>
      </c>
      <c r="E564" s="0" t="s">
        <v>655</v>
      </c>
      <c r="F564" s="0" t="s">
        <v>656</v>
      </c>
      <c r="G564" s="41" t="n">
        <v>1</v>
      </c>
      <c r="H564" s="25" t="s">
        <v>156</v>
      </c>
    </row>
    <row r="565" customFormat="false" ht="15" hidden="false" customHeight="false" outlineLevel="0" collapsed="false">
      <c r="A565" s="0" t="n">
        <v>5</v>
      </c>
      <c r="B565" s="0" t="s">
        <v>1601</v>
      </c>
      <c r="C565" s="0" t="s">
        <v>1604</v>
      </c>
      <c r="D565" s="0" t="s">
        <v>1605</v>
      </c>
      <c r="E565" s="0" t="s">
        <v>674</v>
      </c>
      <c r="F565" s="0" t="s">
        <v>816</v>
      </c>
      <c r="G565" s="41" t="n">
        <v>100</v>
      </c>
      <c r="H565" s="25" t="s">
        <v>178</v>
      </c>
    </row>
    <row r="566" customFormat="false" ht="15" hidden="false" customHeight="false" outlineLevel="0" collapsed="false">
      <c r="A566" s="0" t="n">
        <v>5</v>
      </c>
      <c r="B566" s="0" t="s">
        <v>1606</v>
      </c>
      <c r="C566" s="0" t="s">
        <v>1358</v>
      </c>
      <c r="D566" s="0" t="s">
        <v>1607</v>
      </c>
      <c r="E566" s="0" t="s">
        <v>655</v>
      </c>
      <c r="F566" s="0" t="s">
        <v>950</v>
      </c>
      <c r="G566" s="41" t="n">
        <v>16</v>
      </c>
      <c r="H566" s="25" t="s">
        <v>123</v>
      </c>
    </row>
    <row r="567" customFormat="false" ht="15" hidden="false" customHeight="false" outlineLevel="0" collapsed="false">
      <c r="A567" s="0" t="n">
        <v>5</v>
      </c>
      <c r="B567" s="0" t="s">
        <v>1606</v>
      </c>
      <c r="C567" s="0" t="s">
        <v>1360</v>
      </c>
      <c r="D567" s="0" t="s">
        <v>1608</v>
      </c>
      <c r="E567" s="0" t="s">
        <v>655</v>
      </c>
      <c r="F567" s="0" t="s">
        <v>703</v>
      </c>
      <c r="G567" s="41" t="n">
        <v>4</v>
      </c>
      <c r="H567" s="25" t="s">
        <v>129</v>
      </c>
    </row>
    <row r="568" customFormat="false" ht="15" hidden="false" customHeight="false" outlineLevel="0" collapsed="false">
      <c r="A568" s="0" t="n">
        <v>5</v>
      </c>
      <c r="B568" s="0" t="s">
        <v>1606</v>
      </c>
      <c r="C568" s="0" t="s">
        <v>1362</v>
      </c>
      <c r="D568" s="0" t="s">
        <v>1609</v>
      </c>
      <c r="E568" s="0" t="s">
        <v>655</v>
      </c>
      <c r="F568" s="0" t="s">
        <v>656</v>
      </c>
      <c r="G568" s="41" t="n">
        <v>1</v>
      </c>
      <c r="H568" s="25" t="s">
        <v>98</v>
      </c>
    </row>
    <row r="569" customFormat="false" ht="15" hidden="false" customHeight="false" outlineLevel="0" collapsed="false">
      <c r="A569" s="0" t="n">
        <v>5</v>
      </c>
      <c r="B569" s="0" t="s">
        <v>1606</v>
      </c>
      <c r="C569" s="0" t="s">
        <v>1363</v>
      </c>
      <c r="D569" s="0" t="s">
        <v>1610</v>
      </c>
      <c r="E569" s="0" t="s">
        <v>655</v>
      </c>
      <c r="F569" s="0" t="s">
        <v>659</v>
      </c>
      <c r="G569" s="41" t="n">
        <v>2</v>
      </c>
      <c r="H569" s="25" t="s">
        <v>156</v>
      </c>
    </row>
    <row r="570" customFormat="false" ht="15" hidden="false" customHeight="false" outlineLevel="0" collapsed="false">
      <c r="A570" s="0" t="n">
        <v>5</v>
      </c>
      <c r="B570" s="0" t="s">
        <v>1606</v>
      </c>
      <c r="C570" s="0" t="s">
        <v>1364</v>
      </c>
      <c r="D570" s="0" t="s">
        <v>1611</v>
      </c>
      <c r="E570" s="0" t="s">
        <v>674</v>
      </c>
      <c r="F570" s="0" t="s">
        <v>816</v>
      </c>
      <c r="G570" s="41" t="n">
        <v>100</v>
      </c>
      <c r="H570" s="25" t="s">
        <v>178</v>
      </c>
    </row>
    <row r="571" customFormat="false" ht="15" hidden="false" customHeight="false" outlineLevel="0" collapsed="false">
      <c r="A571" s="0" t="n">
        <v>5</v>
      </c>
      <c r="B571" s="0" t="s">
        <v>1606</v>
      </c>
      <c r="C571" s="0" t="s">
        <v>743</v>
      </c>
      <c r="D571" s="0" t="s">
        <v>1612</v>
      </c>
      <c r="E571" s="0" t="s">
        <v>655</v>
      </c>
      <c r="F571" s="0" t="s">
        <v>659</v>
      </c>
      <c r="G571" s="41" t="n">
        <v>2</v>
      </c>
      <c r="H571" s="25" t="s">
        <v>149</v>
      </c>
    </row>
    <row r="572" customFormat="false" ht="15" hidden="false" customHeight="false" outlineLevel="0" collapsed="false">
      <c r="A572" s="0" t="n">
        <v>5</v>
      </c>
      <c r="B572" s="0" t="s">
        <v>1613</v>
      </c>
      <c r="C572" s="0" t="s">
        <v>1374</v>
      </c>
      <c r="D572" s="0" t="s">
        <v>1572</v>
      </c>
      <c r="E572" s="0" t="s">
        <v>655</v>
      </c>
      <c r="F572" s="0" t="s">
        <v>781</v>
      </c>
      <c r="G572" s="41" t="n">
        <v>8</v>
      </c>
      <c r="H572" s="25" t="s">
        <v>123</v>
      </c>
    </row>
    <row r="573" customFormat="false" ht="15" hidden="false" customHeight="false" outlineLevel="0" collapsed="false">
      <c r="A573" s="0" t="n">
        <v>5</v>
      </c>
      <c r="B573" s="0" t="s">
        <v>1613</v>
      </c>
      <c r="C573" s="0" t="s">
        <v>1614</v>
      </c>
      <c r="D573" s="0" t="s">
        <v>1612</v>
      </c>
      <c r="E573" s="0" t="s">
        <v>655</v>
      </c>
      <c r="F573" s="0" t="s">
        <v>656</v>
      </c>
      <c r="G573" s="41" t="n">
        <v>1</v>
      </c>
      <c r="H573" s="25" t="s">
        <v>149</v>
      </c>
    </row>
    <row r="574" customFormat="false" ht="15" hidden="false" customHeight="false" outlineLevel="0" collapsed="false">
      <c r="A574" s="0" t="n">
        <v>5</v>
      </c>
      <c r="B574" s="0" t="s">
        <v>1613</v>
      </c>
      <c r="C574" s="0" t="s">
        <v>1615</v>
      </c>
      <c r="D574" s="0" t="s">
        <v>1575</v>
      </c>
      <c r="E574" s="0" t="s">
        <v>655</v>
      </c>
      <c r="F574" s="0" t="s">
        <v>656</v>
      </c>
      <c r="G574" s="41" t="n">
        <v>1</v>
      </c>
      <c r="H574" s="25" t="s">
        <v>156</v>
      </c>
    </row>
    <row r="575" customFormat="false" ht="15" hidden="false" customHeight="false" outlineLevel="0" collapsed="false">
      <c r="A575" s="0" t="n">
        <v>5</v>
      </c>
      <c r="B575" s="0" t="s">
        <v>1613</v>
      </c>
      <c r="C575" s="0" t="s">
        <v>1616</v>
      </c>
      <c r="D575" s="0" t="s">
        <v>1610</v>
      </c>
      <c r="E575" s="0" t="s">
        <v>655</v>
      </c>
      <c r="F575" s="0" t="s">
        <v>659</v>
      </c>
      <c r="G575" s="41" t="n">
        <v>2</v>
      </c>
      <c r="H575" s="25" t="s">
        <v>156</v>
      </c>
    </row>
    <row r="576" customFormat="false" ht="15" hidden="false" customHeight="false" outlineLevel="0" collapsed="false">
      <c r="A576" s="0" t="n">
        <v>5</v>
      </c>
      <c r="B576" s="0" t="s">
        <v>1613</v>
      </c>
      <c r="C576" s="0" t="s">
        <v>1617</v>
      </c>
      <c r="D576" s="0" t="s">
        <v>1618</v>
      </c>
      <c r="E576" s="0" t="s">
        <v>674</v>
      </c>
      <c r="F576" s="0" t="s">
        <v>751</v>
      </c>
      <c r="G576" s="41" t="n">
        <v>50</v>
      </c>
      <c r="H576" s="25" t="s">
        <v>178</v>
      </c>
    </row>
    <row r="577" customFormat="false" ht="15" hidden="false" customHeight="false" outlineLevel="0" collapsed="false">
      <c r="A577" s="0" t="n">
        <v>5</v>
      </c>
      <c r="B577" s="0" t="s">
        <v>1613</v>
      </c>
      <c r="C577" s="0" t="s">
        <v>762</v>
      </c>
      <c r="D577" s="0" t="s">
        <v>1619</v>
      </c>
      <c r="E577" s="0" t="s">
        <v>655</v>
      </c>
      <c r="F577" s="0" t="s">
        <v>656</v>
      </c>
      <c r="G577" s="41" t="n">
        <v>1</v>
      </c>
      <c r="H577" s="25" t="s">
        <v>113</v>
      </c>
    </row>
    <row r="578" customFormat="false" ht="15" hidden="false" customHeight="false" outlineLevel="0" collapsed="false">
      <c r="A578" s="0" t="n">
        <v>5</v>
      </c>
      <c r="B578" s="0" t="s">
        <v>1613</v>
      </c>
      <c r="C578" s="0" t="s">
        <v>1620</v>
      </c>
      <c r="D578" s="0" t="s">
        <v>1621</v>
      </c>
      <c r="E578" s="0" t="s">
        <v>655</v>
      </c>
      <c r="F578" s="0" t="s">
        <v>656</v>
      </c>
      <c r="G578" s="41" t="n">
        <v>1</v>
      </c>
      <c r="H578" s="25" t="s">
        <v>98</v>
      </c>
    </row>
    <row r="579" customFormat="false" ht="15" hidden="false" customHeight="false" outlineLevel="0" collapsed="false">
      <c r="A579" s="0" t="n">
        <v>5</v>
      </c>
      <c r="B579" s="0" t="s">
        <v>1613</v>
      </c>
      <c r="C579" s="0" t="s">
        <v>1187</v>
      </c>
      <c r="D579" s="0" t="s">
        <v>1622</v>
      </c>
      <c r="E579" s="0" t="s">
        <v>655</v>
      </c>
      <c r="F579" s="0" t="s">
        <v>656</v>
      </c>
      <c r="G579" s="41" t="n">
        <v>1</v>
      </c>
      <c r="H579" s="25" t="s">
        <v>98</v>
      </c>
    </row>
    <row r="580" customFormat="false" ht="15" hidden="false" customHeight="false" outlineLevel="0" collapsed="false">
      <c r="A580" s="0" t="n">
        <v>5</v>
      </c>
      <c r="B580" s="0" t="s">
        <v>1623</v>
      </c>
      <c r="C580" s="0" t="s">
        <v>1377</v>
      </c>
      <c r="D580" s="0" t="s">
        <v>1572</v>
      </c>
      <c r="E580" s="0" t="s">
        <v>655</v>
      </c>
      <c r="F580" s="0" t="s">
        <v>703</v>
      </c>
      <c r="G580" s="41" t="n">
        <v>4</v>
      </c>
      <c r="H580" s="25" t="s">
        <v>123</v>
      </c>
    </row>
    <row r="581" customFormat="false" ht="15" hidden="false" customHeight="false" outlineLevel="0" collapsed="false">
      <c r="A581" s="0" t="n">
        <v>5</v>
      </c>
      <c r="B581" s="0" t="s">
        <v>1623</v>
      </c>
      <c r="C581" s="0" t="s">
        <v>1624</v>
      </c>
      <c r="D581" s="0" t="s">
        <v>1612</v>
      </c>
      <c r="E581" s="0" t="s">
        <v>655</v>
      </c>
      <c r="F581" s="0" t="s">
        <v>656</v>
      </c>
      <c r="G581" s="41" t="n">
        <v>1</v>
      </c>
      <c r="H581" s="25" t="s">
        <v>149</v>
      </c>
    </row>
    <row r="582" customFormat="false" ht="15" hidden="false" customHeight="false" outlineLevel="0" collapsed="false">
      <c r="A582" s="0" t="n">
        <v>5</v>
      </c>
      <c r="B582" s="0" t="s">
        <v>1623</v>
      </c>
      <c r="C582" s="0" t="s">
        <v>1625</v>
      </c>
      <c r="D582" s="0" t="s">
        <v>1575</v>
      </c>
      <c r="E582" s="0" t="s">
        <v>655</v>
      </c>
      <c r="F582" s="0" t="s">
        <v>656</v>
      </c>
      <c r="G582" s="41" t="n">
        <v>1</v>
      </c>
      <c r="H582" s="25" t="s">
        <v>156</v>
      </c>
    </row>
    <row r="583" customFormat="false" ht="15" hidden="false" customHeight="false" outlineLevel="0" collapsed="false">
      <c r="A583" s="0" t="n">
        <v>5</v>
      </c>
      <c r="B583" s="0" t="s">
        <v>1623</v>
      </c>
      <c r="C583" s="0" t="s">
        <v>1626</v>
      </c>
      <c r="D583" s="0" t="s">
        <v>1610</v>
      </c>
      <c r="E583" s="0" t="s">
        <v>655</v>
      </c>
      <c r="F583" s="0" t="s">
        <v>659</v>
      </c>
      <c r="G583" s="41" t="n">
        <v>2</v>
      </c>
      <c r="H583" s="25" t="s">
        <v>156</v>
      </c>
    </row>
    <row r="584" customFormat="false" ht="15" hidden="false" customHeight="false" outlineLevel="0" collapsed="false">
      <c r="A584" s="0" t="n">
        <v>5</v>
      </c>
      <c r="B584" s="0" t="s">
        <v>1623</v>
      </c>
      <c r="C584" s="0" t="s">
        <v>1627</v>
      </c>
      <c r="D584" s="0" t="s">
        <v>1619</v>
      </c>
      <c r="E584" s="0" t="s">
        <v>655</v>
      </c>
      <c r="F584" s="0" t="s">
        <v>656</v>
      </c>
      <c r="G584" s="41" t="n">
        <v>1</v>
      </c>
      <c r="H584" s="25" t="s">
        <v>113</v>
      </c>
    </row>
    <row r="585" customFormat="false" ht="15" hidden="false" customHeight="false" outlineLevel="0" collapsed="false">
      <c r="A585" s="0" t="n">
        <v>5</v>
      </c>
      <c r="B585" s="0" t="s">
        <v>1623</v>
      </c>
      <c r="C585" s="0" t="s">
        <v>1219</v>
      </c>
      <c r="D585" s="0" t="s">
        <v>1621</v>
      </c>
      <c r="E585" s="0" t="s">
        <v>655</v>
      </c>
      <c r="F585" s="0" t="s">
        <v>656</v>
      </c>
      <c r="G585" s="41" t="n">
        <v>1</v>
      </c>
      <c r="H585" s="25" t="s">
        <v>98</v>
      </c>
    </row>
    <row r="586" customFormat="false" ht="15" hidden="false" customHeight="false" outlineLevel="0" collapsed="false">
      <c r="A586" s="0" t="n">
        <v>5</v>
      </c>
      <c r="B586" s="0" t="s">
        <v>1623</v>
      </c>
      <c r="C586" s="0" t="s">
        <v>1628</v>
      </c>
      <c r="D586" s="0" t="s">
        <v>1622</v>
      </c>
      <c r="E586" s="0" t="s">
        <v>655</v>
      </c>
      <c r="F586" s="0" t="s">
        <v>656</v>
      </c>
      <c r="G586" s="41" t="n">
        <v>1</v>
      </c>
      <c r="H586" s="25" t="s">
        <v>98</v>
      </c>
    </row>
    <row r="587" customFormat="false" ht="15" hidden="false" customHeight="false" outlineLevel="0" collapsed="false">
      <c r="A587" s="0" t="n">
        <v>5</v>
      </c>
      <c r="B587" s="0" t="s">
        <v>1623</v>
      </c>
      <c r="C587" s="0" t="s">
        <v>1222</v>
      </c>
      <c r="D587" s="0" t="s">
        <v>1629</v>
      </c>
      <c r="E587" s="0" t="s">
        <v>674</v>
      </c>
      <c r="F587" s="0" t="s">
        <v>1167</v>
      </c>
      <c r="G587" s="41" t="n">
        <v>40</v>
      </c>
      <c r="H587" s="25" t="s">
        <v>178</v>
      </c>
    </row>
    <row r="588" customFormat="false" ht="15" hidden="false" customHeight="false" outlineLevel="0" collapsed="false">
      <c r="A588" s="0" t="n">
        <v>5</v>
      </c>
      <c r="B588" s="0" t="s">
        <v>1623</v>
      </c>
      <c r="C588" s="0" t="s">
        <v>1224</v>
      </c>
      <c r="D588" s="0" t="s">
        <v>1618</v>
      </c>
      <c r="E588" s="0" t="s">
        <v>674</v>
      </c>
      <c r="F588" s="0" t="s">
        <v>836</v>
      </c>
      <c r="G588" s="41" t="n">
        <v>10</v>
      </c>
      <c r="H588" s="25" t="s">
        <v>178</v>
      </c>
    </row>
    <row r="589" customFormat="false" ht="15" hidden="false" customHeight="false" outlineLevel="0" collapsed="false">
      <c r="A589" s="0" t="n">
        <v>5</v>
      </c>
      <c r="B589" s="0" t="s">
        <v>1623</v>
      </c>
      <c r="C589" s="0" t="s">
        <v>1226</v>
      </c>
      <c r="D589" s="0" t="s">
        <v>1630</v>
      </c>
      <c r="E589" s="0" t="s">
        <v>674</v>
      </c>
      <c r="F589" s="0" t="s">
        <v>751</v>
      </c>
      <c r="G589" s="41" t="n">
        <v>50</v>
      </c>
      <c r="H589" s="25" t="s">
        <v>178</v>
      </c>
    </row>
    <row r="590" customFormat="false" ht="15" hidden="false" customHeight="false" outlineLevel="0" collapsed="false">
      <c r="A590" s="0" t="n">
        <v>5</v>
      </c>
      <c r="B590" s="0" t="s">
        <v>1631</v>
      </c>
      <c r="C590" s="0" t="s">
        <v>777</v>
      </c>
      <c r="D590" s="0" t="s">
        <v>1632</v>
      </c>
      <c r="E590" s="0" t="s">
        <v>655</v>
      </c>
      <c r="F590" s="0" t="s">
        <v>1282</v>
      </c>
      <c r="G590" s="41" t="n">
        <v>76</v>
      </c>
      <c r="H590" s="25" t="s">
        <v>123</v>
      </c>
    </row>
    <row r="591" customFormat="false" ht="15" hidden="false" customHeight="false" outlineLevel="0" collapsed="false">
      <c r="A591" s="0" t="n">
        <v>5</v>
      </c>
      <c r="B591" s="0" t="s">
        <v>1631</v>
      </c>
      <c r="C591" s="0" t="s">
        <v>1381</v>
      </c>
      <c r="D591" s="0" t="s">
        <v>1572</v>
      </c>
      <c r="E591" s="0" t="s">
        <v>655</v>
      </c>
      <c r="F591" s="0" t="s">
        <v>781</v>
      </c>
      <c r="G591" s="41" t="n">
        <v>8</v>
      </c>
      <c r="H591" s="25" t="s">
        <v>123</v>
      </c>
    </row>
    <row r="592" customFormat="false" ht="15" hidden="false" customHeight="false" outlineLevel="0" collapsed="false">
      <c r="A592" s="0" t="n">
        <v>5</v>
      </c>
      <c r="B592" s="0" t="s">
        <v>1631</v>
      </c>
      <c r="C592" s="0" t="s">
        <v>1382</v>
      </c>
      <c r="D592" s="0" t="s">
        <v>1612</v>
      </c>
      <c r="E592" s="0" t="s">
        <v>655</v>
      </c>
      <c r="F592" s="0" t="s">
        <v>690</v>
      </c>
      <c r="G592" s="41" t="n">
        <v>5</v>
      </c>
      <c r="H592" s="25" t="s">
        <v>149</v>
      </c>
    </row>
    <row r="593" customFormat="false" ht="15" hidden="false" customHeight="false" outlineLevel="0" collapsed="false">
      <c r="A593" s="0" t="n">
        <v>5</v>
      </c>
      <c r="B593" s="0" t="s">
        <v>1631</v>
      </c>
      <c r="C593" s="0" t="s">
        <v>1383</v>
      </c>
      <c r="D593" s="0" t="s">
        <v>1575</v>
      </c>
      <c r="E593" s="0" t="s">
        <v>655</v>
      </c>
      <c r="F593" s="0" t="s">
        <v>690</v>
      </c>
      <c r="G593" s="41" t="n">
        <v>5</v>
      </c>
      <c r="H593" s="25" t="s">
        <v>156</v>
      </c>
    </row>
    <row r="594" customFormat="false" ht="15" hidden="false" customHeight="false" outlineLevel="0" collapsed="false">
      <c r="A594" s="0" t="n">
        <v>5</v>
      </c>
      <c r="B594" s="0" t="s">
        <v>1631</v>
      </c>
      <c r="C594" s="0" t="s">
        <v>1385</v>
      </c>
      <c r="D594" s="0" t="s">
        <v>1610</v>
      </c>
      <c r="E594" s="0" t="s">
        <v>655</v>
      </c>
      <c r="F594" s="0" t="s">
        <v>690</v>
      </c>
      <c r="G594" s="41" t="n">
        <v>5</v>
      </c>
      <c r="H594" s="25" t="s">
        <v>156</v>
      </c>
    </row>
    <row r="595" customFormat="false" ht="15" hidden="false" customHeight="false" outlineLevel="0" collapsed="false">
      <c r="A595" s="0" t="n">
        <v>5</v>
      </c>
      <c r="B595" s="0" t="s">
        <v>1631</v>
      </c>
      <c r="C595" s="0" t="s">
        <v>789</v>
      </c>
      <c r="D595" s="0" t="s">
        <v>1619</v>
      </c>
      <c r="E595" s="0" t="s">
        <v>655</v>
      </c>
      <c r="F595" s="0" t="s">
        <v>656</v>
      </c>
      <c r="G595" s="41" t="n">
        <v>1</v>
      </c>
      <c r="H595" s="25" t="s">
        <v>113</v>
      </c>
    </row>
    <row r="596" customFormat="false" ht="15" hidden="false" customHeight="false" outlineLevel="0" collapsed="false">
      <c r="A596" s="0" t="n">
        <v>5</v>
      </c>
      <c r="B596" s="0" t="s">
        <v>1631</v>
      </c>
      <c r="C596" s="0" t="s">
        <v>1633</v>
      </c>
      <c r="D596" s="0" t="s">
        <v>1621</v>
      </c>
      <c r="E596" s="0" t="s">
        <v>655</v>
      </c>
      <c r="F596" s="0" t="s">
        <v>656</v>
      </c>
      <c r="G596" s="41" t="n">
        <v>1</v>
      </c>
      <c r="H596" s="25" t="s">
        <v>98</v>
      </c>
    </row>
    <row r="597" customFormat="false" ht="15" hidden="false" customHeight="false" outlineLevel="0" collapsed="false">
      <c r="A597" s="0" t="n">
        <v>5</v>
      </c>
      <c r="B597" s="0" t="s">
        <v>1631</v>
      </c>
      <c r="C597" s="0" t="s">
        <v>1634</v>
      </c>
      <c r="D597" s="0" t="s">
        <v>1622</v>
      </c>
      <c r="E597" s="0" t="s">
        <v>655</v>
      </c>
      <c r="F597" s="0" t="s">
        <v>656</v>
      </c>
      <c r="G597" s="41" t="n">
        <v>1</v>
      </c>
      <c r="H597" s="25" t="s">
        <v>98</v>
      </c>
    </row>
    <row r="598" customFormat="false" ht="15" hidden="false" customHeight="false" outlineLevel="0" collapsed="false">
      <c r="A598" s="0" t="n">
        <v>5</v>
      </c>
      <c r="B598" s="0" t="s">
        <v>1631</v>
      </c>
      <c r="C598" s="0" t="s">
        <v>1635</v>
      </c>
      <c r="D598" s="0" t="s">
        <v>1618</v>
      </c>
      <c r="E598" s="0" t="s">
        <v>674</v>
      </c>
      <c r="F598" s="0" t="s">
        <v>876</v>
      </c>
      <c r="G598" s="41" t="n">
        <v>300</v>
      </c>
      <c r="H598" s="25" t="s">
        <v>178</v>
      </c>
    </row>
    <row r="599" customFormat="false" ht="15" hidden="false" customHeight="false" outlineLevel="0" collapsed="false">
      <c r="A599" s="0" t="n">
        <v>5</v>
      </c>
      <c r="B599" s="0" t="s">
        <v>1631</v>
      </c>
      <c r="C599" s="0" t="s">
        <v>1636</v>
      </c>
      <c r="D599" s="0" t="s">
        <v>1637</v>
      </c>
      <c r="E599" s="0" t="s">
        <v>674</v>
      </c>
      <c r="F599" s="0" t="s">
        <v>816</v>
      </c>
      <c r="G599" s="41" t="n">
        <v>100</v>
      </c>
      <c r="H599" s="25" t="s">
        <v>178</v>
      </c>
    </row>
    <row r="600" customFormat="false" ht="15" hidden="false" customHeight="false" outlineLevel="0" collapsed="false">
      <c r="A600" s="0" t="n">
        <v>5</v>
      </c>
      <c r="B600" s="0" t="s">
        <v>1631</v>
      </c>
      <c r="C600" s="0" t="s">
        <v>1638</v>
      </c>
      <c r="D600" s="0" t="s">
        <v>1630</v>
      </c>
      <c r="E600" s="0" t="s">
        <v>674</v>
      </c>
      <c r="F600" s="0" t="s">
        <v>816</v>
      </c>
      <c r="G600" s="41" t="n">
        <v>100</v>
      </c>
      <c r="H600" s="25" t="s">
        <v>178</v>
      </c>
    </row>
    <row r="601" customFormat="false" ht="15" hidden="false" customHeight="false" outlineLevel="0" collapsed="false">
      <c r="A601" s="0" t="n">
        <v>5</v>
      </c>
      <c r="B601" s="0" t="s">
        <v>1639</v>
      </c>
      <c r="C601" s="0" t="s">
        <v>792</v>
      </c>
      <c r="D601" s="0" t="s">
        <v>1621</v>
      </c>
      <c r="E601" s="0" t="s">
        <v>655</v>
      </c>
      <c r="F601" s="0" t="s">
        <v>656</v>
      </c>
      <c r="G601" s="41" t="n">
        <v>1</v>
      </c>
      <c r="H601" s="25" t="s">
        <v>98</v>
      </c>
    </row>
    <row r="602" customFormat="false" ht="15" hidden="false" customHeight="false" outlineLevel="0" collapsed="false">
      <c r="A602" s="0" t="n">
        <v>5</v>
      </c>
      <c r="B602" s="0" t="s">
        <v>1639</v>
      </c>
      <c r="C602" s="0" t="s">
        <v>1395</v>
      </c>
      <c r="D602" s="0" t="s">
        <v>1640</v>
      </c>
      <c r="E602" s="0" t="s">
        <v>655</v>
      </c>
      <c r="F602" s="0" t="s">
        <v>656</v>
      </c>
      <c r="G602" s="41" t="n">
        <v>1</v>
      </c>
      <c r="H602" s="25" t="s">
        <v>98</v>
      </c>
    </row>
    <row r="603" customFormat="false" ht="15" hidden="false" customHeight="false" outlineLevel="0" collapsed="false">
      <c r="A603" s="0" t="n">
        <v>5</v>
      </c>
      <c r="B603" s="0" t="s">
        <v>1639</v>
      </c>
      <c r="C603" s="0" t="s">
        <v>1397</v>
      </c>
      <c r="D603" s="0" t="s">
        <v>1641</v>
      </c>
      <c r="E603" s="0" t="s">
        <v>655</v>
      </c>
      <c r="F603" s="0" t="s">
        <v>659</v>
      </c>
      <c r="G603" s="41" t="n">
        <v>2</v>
      </c>
      <c r="H603" s="25" t="s">
        <v>118</v>
      </c>
    </row>
    <row r="604" customFormat="false" ht="15" hidden="false" customHeight="false" outlineLevel="0" collapsed="false">
      <c r="A604" s="0" t="n">
        <v>5</v>
      </c>
      <c r="B604" s="0" t="s">
        <v>1639</v>
      </c>
      <c r="C604" s="0" t="s">
        <v>1399</v>
      </c>
      <c r="D604" s="0" t="s">
        <v>1632</v>
      </c>
      <c r="E604" s="0" t="s">
        <v>655</v>
      </c>
      <c r="F604" s="0" t="s">
        <v>664</v>
      </c>
      <c r="G604" s="41" t="n">
        <v>21</v>
      </c>
      <c r="H604" s="25" t="s">
        <v>123</v>
      </c>
    </row>
    <row r="605" customFormat="false" ht="15" hidden="false" customHeight="false" outlineLevel="0" collapsed="false">
      <c r="A605" s="0" t="n">
        <v>5</v>
      </c>
      <c r="B605" s="0" t="s">
        <v>1639</v>
      </c>
      <c r="C605" s="0" t="s">
        <v>1401</v>
      </c>
      <c r="D605" s="0" t="s">
        <v>1642</v>
      </c>
      <c r="E605" s="0" t="s">
        <v>655</v>
      </c>
      <c r="F605" s="0" t="s">
        <v>667</v>
      </c>
      <c r="G605" s="41" t="n">
        <v>3</v>
      </c>
      <c r="H605" s="25" t="s">
        <v>129</v>
      </c>
    </row>
    <row r="606" customFormat="false" ht="15" hidden="false" customHeight="false" outlineLevel="0" collapsed="false">
      <c r="A606" s="0" t="n">
        <v>5</v>
      </c>
      <c r="B606" s="0" t="s">
        <v>1639</v>
      </c>
      <c r="C606" s="0" t="s">
        <v>1643</v>
      </c>
      <c r="D606" s="0" t="s">
        <v>1644</v>
      </c>
      <c r="E606" s="0" t="s">
        <v>655</v>
      </c>
      <c r="F606" s="0" t="s">
        <v>935</v>
      </c>
      <c r="G606" s="41" t="n">
        <v>9</v>
      </c>
      <c r="H606" s="25" t="s">
        <v>149</v>
      </c>
    </row>
    <row r="607" customFormat="false" ht="15" hidden="false" customHeight="false" outlineLevel="0" collapsed="false">
      <c r="A607" s="0" t="n">
        <v>5</v>
      </c>
      <c r="B607" s="0" t="s">
        <v>1639</v>
      </c>
      <c r="C607" s="0" t="s">
        <v>1645</v>
      </c>
      <c r="D607" s="0" t="s">
        <v>1646</v>
      </c>
      <c r="E607" s="0" t="s">
        <v>655</v>
      </c>
      <c r="F607" s="0" t="s">
        <v>659</v>
      </c>
      <c r="G607" s="41" t="n">
        <v>2</v>
      </c>
      <c r="H607" s="25" t="s">
        <v>129</v>
      </c>
    </row>
    <row r="608" customFormat="false" ht="15" hidden="false" customHeight="false" outlineLevel="0" collapsed="false">
      <c r="A608" s="0" t="n">
        <v>5</v>
      </c>
      <c r="B608" s="0" t="s">
        <v>1639</v>
      </c>
      <c r="C608" s="0" t="s">
        <v>1647</v>
      </c>
      <c r="D608" s="0" t="s">
        <v>1648</v>
      </c>
      <c r="E608" s="0" t="s">
        <v>655</v>
      </c>
      <c r="F608" s="0" t="s">
        <v>659</v>
      </c>
      <c r="G608" s="41" t="n">
        <v>2</v>
      </c>
      <c r="H608" s="25" t="s">
        <v>156</v>
      </c>
    </row>
    <row r="609" customFormat="false" ht="15" hidden="false" customHeight="false" outlineLevel="0" collapsed="false">
      <c r="A609" s="0" t="n">
        <v>5</v>
      </c>
      <c r="B609" s="0" t="s">
        <v>1639</v>
      </c>
      <c r="C609" s="0" t="s">
        <v>1649</v>
      </c>
      <c r="D609" s="0" t="s">
        <v>1650</v>
      </c>
      <c r="E609" s="0" t="s">
        <v>655</v>
      </c>
      <c r="F609" s="0" t="s">
        <v>935</v>
      </c>
      <c r="G609" s="41" t="n">
        <v>9</v>
      </c>
      <c r="H609" s="25" t="s">
        <v>156</v>
      </c>
    </row>
    <row r="610" customFormat="false" ht="15" hidden="false" customHeight="false" outlineLevel="0" collapsed="false">
      <c r="A610" s="0" t="n">
        <v>5</v>
      </c>
      <c r="B610" s="0" t="s">
        <v>1639</v>
      </c>
      <c r="C610" s="0" t="s">
        <v>1651</v>
      </c>
      <c r="D610" s="0" t="s">
        <v>1652</v>
      </c>
      <c r="E610" s="0" t="s">
        <v>655</v>
      </c>
      <c r="F610" s="0" t="s">
        <v>703</v>
      </c>
      <c r="G610" s="41" t="n">
        <v>4</v>
      </c>
      <c r="H610" s="25" t="s">
        <v>106</v>
      </c>
    </row>
    <row r="611" customFormat="false" ht="15" hidden="false" customHeight="false" outlineLevel="0" collapsed="false">
      <c r="A611" s="0" t="n">
        <v>5</v>
      </c>
      <c r="B611" s="0" t="s">
        <v>1639</v>
      </c>
      <c r="C611" s="0" t="s">
        <v>1653</v>
      </c>
      <c r="D611" s="0" t="s">
        <v>1654</v>
      </c>
      <c r="E611" s="0" t="s">
        <v>674</v>
      </c>
      <c r="F611" s="0" t="s">
        <v>1655</v>
      </c>
      <c r="G611" s="41" t="n">
        <v>310</v>
      </c>
      <c r="H611" s="25" t="s">
        <v>178</v>
      </c>
    </row>
    <row r="612" customFormat="false" ht="15" hidden="false" customHeight="false" outlineLevel="0" collapsed="false">
      <c r="A612" s="0" t="n">
        <v>5</v>
      </c>
      <c r="B612" s="0" t="s">
        <v>1639</v>
      </c>
      <c r="C612" s="0" t="s">
        <v>1656</v>
      </c>
      <c r="D612" s="0" t="s">
        <v>1657</v>
      </c>
      <c r="E612" s="0" t="s">
        <v>674</v>
      </c>
      <c r="F612" s="0" t="s">
        <v>836</v>
      </c>
      <c r="G612" s="41" t="n">
        <v>10</v>
      </c>
      <c r="H612" s="25" t="s">
        <v>178</v>
      </c>
    </row>
    <row r="613" customFormat="false" ht="15" hidden="false" customHeight="false" outlineLevel="0" collapsed="false">
      <c r="A613" s="0" t="n">
        <v>5</v>
      </c>
      <c r="B613" s="0" t="s">
        <v>1658</v>
      </c>
      <c r="C613" s="0" t="s">
        <v>1411</v>
      </c>
      <c r="D613" s="0" t="s">
        <v>1572</v>
      </c>
      <c r="E613" s="0" t="s">
        <v>655</v>
      </c>
      <c r="F613" s="0" t="s">
        <v>703</v>
      </c>
      <c r="G613" s="41" t="n">
        <v>4</v>
      </c>
      <c r="H613" s="25" t="s">
        <v>123</v>
      </c>
    </row>
    <row r="614" customFormat="false" ht="15" hidden="false" customHeight="false" outlineLevel="0" collapsed="false">
      <c r="A614" s="0" t="n">
        <v>5</v>
      </c>
      <c r="B614" s="0" t="s">
        <v>1658</v>
      </c>
      <c r="C614" s="0" t="s">
        <v>1413</v>
      </c>
      <c r="D614" s="0" t="s">
        <v>1644</v>
      </c>
      <c r="E614" s="0" t="s">
        <v>655</v>
      </c>
      <c r="F614" s="0" t="s">
        <v>656</v>
      </c>
      <c r="G614" s="41" t="n">
        <v>1</v>
      </c>
      <c r="H614" s="25" t="s">
        <v>149</v>
      </c>
    </row>
    <row r="615" customFormat="false" ht="15" hidden="false" customHeight="false" outlineLevel="0" collapsed="false">
      <c r="A615" s="0" t="n">
        <v>5</v>
      </c>
      <c r="B615" s="0" t="s">
        <v>1658</v>
      </c>
      <c r="C615" s="0" t="s">
        <v>1415</v>
      </c>
      <c r="D615" s="0" t="s">
        <v>1650</v>
      </c>
      <c r="E615" s="0" t="s">
        <v>655</v>
      </c>
      <c r="F615" s="0" t="s">
        <v>656</v>
      </c>
      <c r="G615" s="41" t="n">
        <v>1</v>
      </c>
      <c r="H615" s="25" t="s">
        <v>156</v>
      </c>
    </row>
    <row r="616" customFormat="false" ht="15" hidden="false" customHeight="false" outlineLevel="0" collapsed="false">
      <c r="A616" s="0" t="n">
        <v>5</v>
      </c>
      <c r="B616" s="0" t="s">
        <v>1658</v>
      </c>
      <c r="C616" s="0" t="s">
        <v>1417</v>
      </c>
      <c r="D616" s="0" t="s">
        <v>1648</v>
      </c>
      <c r="E616" s="0" t="s">
        <v>655</v>
      </c>
      <c r="F616" s="0" t="s">
        <v>656</v>
      </c>
      <c r="G616" s="41" t="n">
        <v>1</v>
      </c>
      <c r="H616" s="25" t="s">
        <v>156</v>
      </c>
    </row>
    <row r="617" customFormat="false" ht="15" hidden="false" customHeight="false" outlineLevel="0" collapsed="false">
      <c r="A617" s="0" t="n">
        <v>5</v>
      </c>
      <c r="B617" s="0" t="s">
        <v>1658</v>
      </c>
      <c r="C617" s="0" t="s">
        <v>1419</v>
      </c>
      <c r="D617" s="0" t="s">
        <v>1659</v>
      </c>
      <c r="E617" s="0" t="s">
        <v>655</v>
      </c>
      <c r="F617" s="0" t="s">
        <v>656</v>
      </c>
      <c r="G617" s="41" t="n">
        <v>1</v>
      </c>
      <c r="H617" s="25" t="s">
        <v>156</v>
      </c>
    </row>
    <row r="618" customFormat="false" ht="15" hidden="false" customHeight="false" outlineLevel="0" collapsed="false">
      <c r="A618" s="0" t="n">
        <v>5</v>
      </c>
      <c r="B618" s="0" t="s">
        <v>1658</v>
      </c>
      <c r="C618" s="0" t="s">
        <v>1660</v>
      </c>
      <c r="D618" s="0" t="s">
        <v>1621</v>
      </c>
      <c r="E618" s="0" t="s">
        <v>655</v>
      </c>
      <c r="F618" s="0" t="s">
        <v>656</v>
      </c>
      <c r="G618" s="41" t="n">
        <v>1</v>
      </c>
      <c r="H618" s="25" t="s">
        <v>98</v>
      </c>
    </row>
    <row r="619" customFormat="false" ht="15" hidden="false" customHeight="false" outlineLevel="0" collapsed="false">
      <c r="A619" s="0" t="n">
        <v>5</v>
      </c>
      <c r="B619" s="0" t="s">
        <v>1658</v>
      </c>
      <c r="C619" s="0" t="s">
        <v>1661</v>
      </c>
      <c r="D619" s="0" t="s">
        <v>1622</v>
      </c>
      <c r="E619" s="0" t="s">
        <v>655</v>
      </c>
      <c r="F619" s="0" t="s">
        <v>656</v>
      </c>
      <c r="G619" s="41" t="n">
        <v>1</v>
      </c>
      <c r="H619" s="25" t="s">
        <v>98</v>
      </c>
    </row>
    <row r="620" customFormat="false" ht="15" hidden="false" customHeight="false" outlineLevel="0" collapsed="false">
      <c r="A620" s="0" t="n">
        <v>5</v>
      </c>
      <c r="B620" s="0" t="s">
        <v>1658</v>
      </c>
      <c r="C620" s="0" t="s">
        <v>1662</v>
      </c>
      <c r="D620" s="0" t="s">
        <v>1654</v>
      </c>
      <c r="E620" s="0" t="s">
        <v>674</v>
      </c>
      <c r="F620" s="0" t="s">
        <v>816</v>
      </c>
      <c r="G620" s="41" t="n">
        <v>100</v>
      </c>
      <c r="H620" s="25" t="s">
        <v>178</v>
      </c>
    </row>
    <row r="621" customFormat="false" ht="15" hidden="false" customHeight="false" outlineLevel="0" collapsed="false">
      <c r="A621" s="0" t="n">
        <v>5</v>
      </c>
      <c r="B621" s="0" t="s">
        <v>1663</v>
      </c>
      <c r="C621" s="0" t="s">
        <v>1422</v>
      </c>
      <c r="D621" s="0" t="s">
        <v>1572</v>
      </c>
      <c r="E621" s="0" t="s">
        <v>655</v>
      </c>
      <c r="F621" s="0" t="s">
        <v>795</v>
      </c>
      <c r="G621" s="41" t="n">
        <v>44</v>
      </c>
      <c r="H621" s="25" t="s">
        <v>123</v>
      </c>
    </row>
    <row r="622" customFormat="false" ht="15" hidden="false" customHeight="false" outlineLevel="0" collapsed="false">
      <c r="A622" s="0" t="n">
        <v>5</v>
      </c>
      <c r="B622" s="0" t="s">
        <v>1663</v>
      </c>
      <c r="C622" s="0" t="s">
        <v>1424</v>
      </c>
      <c r="D622" s="0" t="s">
        <v>1644</v>
      </c>
      <c r="E622" s="0" t="s">
        <v>655</v>
      </c>
      <c r="F622" s="0" t="s">
        <v>935</v>
      </c>
      <c r="G622" s="41" t="n">
        <v>9</v>
      </c>
      <c r="H622" s="25" t="s">
        <v>149</v>
      </c>
    </row>
    <row r="623" customFormat="false" ht="15" hidden="false" customHeight="false" outlineLevel="0" collapsed="false">
      <c r="A623" s="0" t="n">
        <v>5</v>
      </c>
      <c r="B623" s="0" t="s">
        <v>1663</v>
      </c>
      <c r="C623" s="0" t="s">
        <v>1425</v>
      </c>
      <c r="D623" s="0" t="s">
        <v>1650</v>
      </c>
      <c r="E623" s="0" t="s">
        <v>655</v>
      </c>
      <c r="F623" s="0" t="s">
        <v>829</v>
      </c>
      <c r="G623" s="41" t="n">
        <v>6</v>
      </c>
      <c r="H623" s="25" t="s">
        <v>156</v>
      </c>
    </row>
    <row r="624" customFormat="false" ht="15" hidden="false" customHeight="false" outlineLevel="0" collapsed="false">
      <c r="A624" s="0" t="n">
        <v>5</v>
      </c>
      <c r="B624" s="0" t="s">
        <v>1663</v>
      </c>
      <c r="C624" s="0" t="s">
        <v>1426</v>
      </c>
      <c r="D624" s="0" t="s">
        <v>1659</v>
      </c>
      <c r="E624" s="0" t="s">
        <v>655</v>
      </c>
      <c r="F624" s="0" t="s">
        <v>829</v>
      </c>
      <c r="G624" s="41" t="n">
        <v>6</v>
      </c>
      <c r="H624" s="25" t="s">
        <v>156</v>
      </c>
    </row>
    <row r="625" customFormat="false" ht="15" hidden="false" customHeight="false" outlineLevel="0" collapsed="false">
      <c r="A625" s="0" t="n">
        <v>5</v>
      </c>
      <c r="B625" s="0" t="s">
        <v>1663</v>
      </c>
      <c r="C625" s="0" t="s">
        <v>1427</v>
      </c>
      <c r="D625" s="0" t="s">
        <v>1648</v>
      </c>
      <c r="E625" s="0" t="s">
        <v>655</v>
      </c>
      <c r="F625" s="0" t="s">
        <v>656</v>
      </c>
      <c r="G625" s="41" t="n">
        <v>1</v>
      </c>
      <c r="H625" s="25" t="s">
        <v>156</v>
      </c>
    </row>
    <row r="626" customFormat="false" ht="15" hidden="false" customHeight="false" outlineLevel="0" collapsed="false">
      <c r="A626" s="0" t="n">
        <v>5</v>
      </c>
      <c r="B626" s="0" t="s">
        <v>1663</v>
      </c>
      <c r="C626" s="0" t="s">
        <v>1428</v>
      </c>
      <c r="D626" s="0" t="s">
        <v>1664</v>
      </c>
      <c r="E626" s="0" t="s">
        <v>655</v>
      </c>
      <c r="F626" s="0" t="s">
        <v>656</v>
      </c>
      <c r="G626" s="41" t="n">
        <v>1</v>
      </c>
      <c r="H626" s="25" t="s">
        <v>113</v>
      </c>
    </row>
    <row r="627" customFormat="false" ht="15" hidden="false" customHeight="false" outlineLevel="0" collapsed="false">
      <c r="A627" s="0" t="n">
        <v>5</v>
      </c>
      <c r="B627" s="0" t="s">
        <v>1663</v>
      </c>
      <c r="C627" s="0" t="s">
        <v>1665</v>
      </c>
      <c r="D627" s="0" t="s">
        <v>1666</v>
      </c>
      <c r="E627" s="0" t="s">
        <v>655</v>
      </c>
      <c r="F627" s="0" t="s">
        <v>656</v>
      </c>
      <c r="G627" s="41" t="n">
        <v>1</v>
      </c>
      <c r="H627" s="25" t="s">
        <v>98</v>
      </c>
    </row>
    <row r="628" customFormat="false" ht="15" hidden="false" customHeight="false" outlineLevel="0" collapsed="false">
      <c r="A628" s="0" t="n">
        <v>5</v>
      </c>
      <c r="B628" s="0" t="s">
        <v>1663</v>
      </c>
      <c r="C628" s="0" t="s">
        <v>1430</v>
      </c>
      <c r="D628" s="0" t="s">
        <v>1632</v>
      </c>
      <c r="E628" s="0" t="s">
        <v>655</v>
      </c>
      <c r="F628" s="0" t="s">
        <v>797</v>
      </c>
      <c r="G628" s="41" t="n">
        <v>7</v>
      </c>
      <c r="H628" s="25" t="s">
        <v>123</v>
      </c>
    </row>
    <row r="629" customFormat="false" ht="15" hidden="false" customHeight="false" outlineLevel="0" collapsed="false">
      <c r="A629" s="0" t="n">
        <v>5</v>
      </c>
      <c r="B629" s="0" t="s">
        <v>1663</v>
      </c>
      <c r="C629" s="0" t="s">
        <v>1667</v>
      </c>
      <c r="D629" s="0" t="s">
        <v>1654</v>
      </c>
      <c r="E629" s="0" t="s">
        <v>674</v>
      </c>
      <c r="F629" s="0" t="s">
        <v>876</v>
      </c>
      <c r="G629" s="41" t="n">
        <v>300</v>
      </c>
      <c r="H629" s="25" t="s">
        <v>178</v>
      </c>
    </row>
    <row r="630" customFormat="false" ht="15" hidden="false" customHeight="false" outlineLevel="0" collapsed="false">
      <c r="A630" s="0" t="n">
        <v>5</v>
      </c>
      <c r="B630" s="0" t="s">
        <v>1663</v>
      </c>
      <c r="C630" s="0" t="s">
        <v>1668</v>
      </c>
      <c r="D630" s="0" t="s">
        <v>1657</v>
      </c>
      <c r="E630" s="0" t="s">
        <v>674</v>
      </c>
      <c r="F630" s="0" t="s">
        <v>735</v>
      </c>
      <c r="G630" s="41" t="n">
        <v>150</v>
      </c>
      <c r="H630" s="25" t="s">
        <v>178</v>
      </c>
    </row>
    <row r="631" customFormat="false" ht="15" hidden="false" customHeight="false" outlineLevel="0" collapsed="false">
      <c r="A631" s="0" t="n">
        <v>5</v>
      </c>
      <c r="B631" s="0" t="s">
        <v>1669</v>
      </c>
      <c r="C631" s="0" t="s">
        <v>1434</v>
      </c>
      <c r="D631" s="0" t="s">
        <v>1572</v>
      </c>
      <c r="E631" s="0" t="s">
        <v>655</v>
      </c>
      <c r="F631" s="0" t="s">
        <v>751</v>
      </c>
      <c r="G631" s="41" t="n">
        <v>50</v>
      </c>
      <c r="H631" s="25" t="s">
        <v>123</v>
      </c>
    </row>
    <row r="632" customFormat="false" ht="15" hidden="false" customHeight="false" outlineLevel="0" collapsed="false">
      <c r="A632" s="0" t="n">
        <v>5</v>
      </c>
      <c r="B632" s="0" t="s">
        <v>1669</v>
      </c>
      <c r="C632" s="0" t="s">
        <v>1436</v>
      </c>
      <c r="D632" s="0" t="s">
        <v>1670</v>
      </c>
      <c r="E632" s="0" t="s">
        <v>655</v>
      </c>
      <c r="F632" s="0" t="s">
        <v>716</v>
      </c>
      <c r="G632" s="41" t="n">
        <v>12</v>
      </c>
      <c r="H632" s="25" t="s">
        <v>123</v>
      </c>
    </row>
    <row r="633" customFormat="false" ht="15" hidden="false" customHeight="false" outlineLevel="0" collapsed="false">
      <c r="A633" s="0" t="n">
        <v>5</v>
      </c>
      <c r="B633" s="0" t="s">
        <v>1669</v>
      </c>
      <c r="C633" s="0" t="s">
        <v>1438</v>
      </c>
      <c r="D633" s="0" t="s">
        <v>1644</v>
      </c>
      <c r="E633" s="0" t="s">
        <v>655</v>
      </c>
      <c r="F633" s="0" t="s">
        <v>690</v>
      </c>
      <c r="G633" s="41" t="n">
        <v>5</v>
      </c>
      <c r="H633" s="25" t="s">
        <v>149</v>
      </c>
    </row>
    <row r="634" customFormat="false" ht="15" hidden="false" customHeight="false" outlineLevel="0" collapsed="false">
      <c r="A634" s="0" t="n">
        <v>5</v>
      </c>
      <c r="B634" s="0" t="s">
        <v>1669</v>
      </c>
      <c r="C634" s="0" t="s">
        <v>1440</v>
      </c>
      <c r="D634" s="0" t="s">
        <v>1650</v>
      </c>
      <c r="E634" s="0" t="s">
        <v>655</v>
      </c>
      <c r="F634" s="0" t="s">
        <v>690</v>
      </c>
      <c r="G634" s="41" t="n">
        <v>5</v>
      </c>
      <c r="H634" s="25" t="s">
        <v>156</v>
      </c>
    </row>
    <row r="635" customFormat="false" ht="15" hidden="false" customHeight="false" outlineLevel="0" collapsed="false">
      <c r="A635" s="0" t="n">
        <v>5</v>
      </c>
      <c r="B635" s="0" t="s">
        <v>1669</v>
      </c>
      <c r="C635" s="0" t="s">
        <v>1442</v>
      </c>
      <c r="D635" s="0" t="s">
        <v>1671</v>
      </c>
      <c r="E635" s="0" t="s">
        <v>655</v>
      </c>
      <c r="F635" s="0" t="s">
        <v>690</v>
      </c>
      <c r="G635" s="41" t="n">
        <v>5</v>
      </c>
      <c r="H635" s="25" t="s">
        <v>156</v>
      </c>
    </row>
    <row r="636" customFormat="false" ht="15" hidden="false" customHeight="false" outlineLevel="0" collapsed="false">
      <c r="A636" s="0" t="n">
        <v>5</v>
      </c>
      <c r="B636" s="0" t="s">
        <v>1669</v>
      </c>
      <c r="C636" s="0" t="s">
        <v>1444</v>
      </c>
      <c r="D636" s="0" t="s">
        <v>1648</v>
      </c>
      <c r="E636" s="0" t="s">
        <v>655</v>
      </c>
      <c r="F636" s="0" t="s">
        <v>656</v>
      </c>
      <c r="G636" s="41" t="n">
        <v>1</v>
      </c>
      <c r="H636" s="25" t="s">
        <v>156</v>
      </c>
    </row>
    <row r="637" customFormat="false" ht="15" hidden="false" customHeight="false" outlineLevel="0" collapsed="false">
      <c r="A637" s="0" t="n">
        <v>5</v>
      </c>
      <c r="B637" s="0" t="s">
        <v>1669</v>
      </c>
      <c r="C637" s="0" t="s">
        <v>1446</v>
      </c>
      <c r="D637" s="0" t="s">
        <v>1664</v>
      </c>
      <c r="E637" s="0" t="s">
        <v>655</v>
      </c>
      <c r="F637" s="0" t="s">
        <v>656</v>
      </c>
      <c r="G637" s="41" t="n">
        <v>1</v>
      </c>
      <c r="H637" s="25" t="s">
        <v>113</v>
      </c>
    </row>
    <row r="638" customFormat="false" ht="15" hidden="false" customHeight="false" outlineLevel="0" collapsed="false">
      <c r="A638" s="0" t="n">
        <v>5</v>
      </c>
      <c r="B638" s="0" t="s">
        <v>1669</v>
      </c>
      <c r="C638" s="0" t="s">
        <v>834</v>
      </c>
      <c r="D638" s="0" t="s">
        <v>1666</v>
      </c>
      <c r="E638" s="0" t="s">
        <v>655</v>
      </c>
      <c r="F638" s="0" t="s">
        <v>656</v>
      </c>
      <c r="G638" s="41" t="n">
        <v>1</v>
      </c>
      <c r="H638" s="25" t="s">
        <v>98</v>
      </c>
    </row>
    <row r="639" customFormat="false" ht="15" hidden="false" customHeight="false" outlineLevel="0" collapsed="false">
      <c r="A639" s="0" t="n">
        <v>5</v>
      </c>
      <c r="B639" s="0" t="s">
        <v>1669</v>
      </c>
      <c r="C639" s="0" t="s">
        <v>837</v>
      </c>
      <c r="D639" s="0" t="s">
        <v>1654</v>
      </c>
      <c r="E639" s="0" t="s">
        <v>674</v>
      </c>
      <c r="F639" s="0" t="s">
        <v>800</v>
      </c>
      <c r="G639" s="41" t="n">
        <v>400</v>
      </c>
      <c r="H639" s="25" t="s">
        <v>178</v>
      </c>
    </row>
    <row r="640" customFormat="false" ht="15" hidden="false" customHeight="false" outlineLevel="0" collapsed="false">
      <c r="A640" s="0" t="n">
        <v>5</v>
      </c>
      <c r="B640" s="0" t="s">
        <v>1669</v>
      </c>
      <c r="C640" s="0" t="s">
        <v>839</v>
      </c>
      <c r="D640" s="0" t="s">
        <v>1657</v>
      </c>
      <c r="E640" s="0" t="s">
        <v>674</v>
      </c>
      <c r="F640" s="0" t="s">
        <v>1209</v>
      </c>
      <c r="G640" s="41" t="n">
        <v>250</v>
      </c>
      <c r="H640" s="25" t="s">
        <v>178</v>
      </c>
    </row>
    <row r="641" customFormat="false" ht="15" hidden="false" customHeight="false" outlineLevel="0" collapsed="false">
      <c r="A641" s="0" t="n">
        <v>5</v>
      </c>
      <c r="B641" s="0" t="s">
        <v>1672</v>
      </c>
      <c r="C641" s="0" t="s">
        <v>849</v>
      </c>
      <c r="D641" s="0" t="s">
        <v>1673</v>
      </c>
      <c r="E641" s="0" t="s">
        <v>655</v>
      </c>
      <c r="F641" s="0" t="s">
        <v>656</v>
      </c>
      <c r="G641" s="41" t="n">
        <v>1</v>
      </c>
      <c r="H641" s="25" t="s">
        <v>98</v>
      </c>
    </row>
    <row r="642" customFormat="false" ht="15" hidden="false" customHeight="false" outlineLevel="0" collapsed="false">
      <c r="A642" s="0" t="n">
        <v>5</v>
      </c>
      <c r="B642" s="0" t="s">
        <v>1672</v>
      </c>
      <c r="C642" s="0" t="s">
        <v>851</v>
      </c>
      <c r="D642" s="0" t="s">
        <v>1674</v>
      </c>
      <c r="E642" s="0" t="s">
        <v>655</v>
      </c>
      <c r="F642" s="0" t="s">
        <v>656</v>
      </c>
      <c r="G642" s="41" t="n">
        <v>1</v>
      </c>
      <c r="H642" s="25" t="s">
        <v>106</v>
      </c>
    </row>
    <row r="643" customFormat="false" ht="15" hidden="false" customHeight="false" outlineLevel="0" collapsed="false">
      <c r="A643" s="0" t="n">
        <v>5</v>
      </c>
      <c r="B643" s="0" t="s">
        <v>1672</v>
      </c>
      <c r="C643" s="0" t="s">
        <v>853</v>
      </c>
      <c r="D643" s="0" t="s">
        <v>1675</v>
      </c>
      <c r="E643" s="0" t="s">
        <v>655</v>
      </c>
      <c r="F643" s="0" t="s">
        <v>656</v>
      </c>
      <c r="G643" s="41" t="n">
        <v>1</v>
      </c>
      <c r="H643" s="25" t="s">
        <v>106</v>
      </c>
    </row>
    <row r="644" customFormat="false" ht="15" hidden="false" customHeight="false" outlineLevel="0" collapsed="false">
      <c r="A644" s="0" t="n">
        <v>5</v>
      </c>
      <c r="B644" s="0" t="s">
        <v>1672</v>
      </c>
      <c r="C644" s="0" t="s">
        <v>854</v>
      </c>
      <c r="D644" s="0" t="s">
        <v>1676</v>
      </c>
      <c r="E644" s="0" t="s">
        <v>655</v>
      </c>
      <c r="F644" s="0" t="s">
        <v>703</v>
      </c>
      <c r="G644" s="41" t="n">
        <v>4</v>
      </c>
      <c r="H644" s="25" t="s">
        <v>156</v>
      </c>
    </row>
    <row r="645" customFormat="false" ht="15" hidden="false" customHeight="false" outlineLevel="0" collapsed="false">
      <c r="A645" s="0" t="n">
        <v>5</v>
      </c>
      <c r="B645" s="0" t="s">
        <v>1672</v>
      </c>
      <c r="C645" s="0" t="s">
        <v>856</v>
      </c>
      <c r="D645" s="0" t="s">
        <v>1677</v>
      </c>
      <c r="E645" s="0" t="s">
        <v>655</v>
      </c>
      <c r="F645" s="0" t="s">
        <v>664</v>
      </c>
      <c r="G645" s="41" t="n">
        <v>21</v>
      </c>
      <c r="H645" s="25" t="s">
        <v>156</v>
      </c>
    </row>
    <row r="646" customFormat="false" ht="15" hidden="false" customHeight="false" outlineLevel="0" collapsed="false">
      <c r="A646" s="0" t="n">
        <v>5</v>
      </c>
      <c r="B646" s="0" t="s">
        <v>1672</v>
      </c>
      <c r="C646" s="0" t="s">
        <v>857</v>
      </c>
      <c r="D646" s="0" t="s">
        <v>1678</v>
      </c>
      <c r="E646" s="0" t="s">
        <v>655</v>
      </c>
      <c r="F646" s="0" t="s">
        <v>788</v>
      </c>
      <c r="G646" s="41" t="n">
        <v>20</v>
      </c>
      <c r="H646" s="25" t="s">
        <v>156</v>
      </c>
    </row>
    <row r="647" customFormat="false" ht="15" hidden="false" customHeight="false" outlineLevel="0" collapsed="false">
      <c r="A647" s="0" t="n">
        <v>5</v>
      </c>
      <c r="B647" s="0" t="s">
        <v>1672</v>
      </c>
      <c r="C647" s="0" t="s">
        <v>859</v>
      </c>
      <c r="D647" s="0" t="s">
        <v>1679</v>
      </c>
      <c r="E647" s="0" t="s">
        <v>655</v>
      </c>
      <c r="F647" s="0" t="s">
        <v>656</v>
      </c>
      <c r="G647" s="41" t="n">
        <v>1</v>
      </c>
      <c r="H647" s="25" t="s">
        <v>156</v>
      </c>
    </row>
    <row r="648" customFormat="false" ht="15" hidden="false" customHeight="false" outlineLevel="0" collapsed="false">
      <c r="A648" s="0" t="n">
        <v>5</v>
      </c>
      <c r="B648" s="0" t="s">
        <v>1672</v>
      </c>
      <c r="C648" s="0" t="s">
        <v>862</v>
      </c>
      <c r="D648" s="0" t="s">
        <v>1680</v>
      </c>
      <c r="E648" s="0" t="s">
        <v>655</v>
      </c>
      <c r="F648" s="0" t="s">
        <v>656</v>
      </c>
      <c r="G648" s="41" t="n">
        <v>1</v>
      </c>
      <c r="H648" s="25" t="s">
        <v>106</v>
      </c>
    </row>
    <row r="649" customFormat="false" ht="15" hidden="false" customHeight="false" outlineLevel="0" collapsed="false">
      <c r="A649" s="0" t="n">
        <v>5</v>
      </c>
      <c r="B649" s="0" t="s">
        <v>1672</v>
      </c>
      <c r="C649" s="0" t="s">
        <v>1681</v>
      </c>
      <c r="D649" s="0" t="s">
        <v>1682</v>
      </c>
      <c r="E649" s="0" t="s">
        <v>655</v>
      </c>
      <c r="F649" s="0" t="s">
        <v>659</v>
      </c>
      <c r="G649" s="41" t="n">
        <v>2</v>
      </c>
      <c r="H649" s="25" t="s">
        <v>118</v>
      </c>
    </row>
    <row r="650" customFormat="false" ht="15" hidden="false" customHeight="false" outlineLevel="0" collapsed="false">
      <c r="A650" s="0" t="n">
        <v>5</v>
      </c>
      <c r="B650" s="0" t="s">
        <v>1672</v>
      </c>
      <c r="C650" s="0" t="s">
        <v>1683</v>
      </c>
      <c r="D650" s="0" t="s">
        <v>1684</v>
      </c>
      <c r="E650" s="0" t="s">
        <v>655</v>
      </c>
      <c r="F650" s="0" t="s">
        <v>1685</v>
      </c>
      <c r="G650" s="41" t="n">
        <v>67</v>
      </c>
      <c r="H650" s="25" t="s">
        <v>123</v>
      </c>
    </row>
    <row r="651" customFormat="false" ht="15" hidden="false" customHeight="false" outlineLevel="0" collapsed="false">
      <c r="A651" s="0" t="n">
        <v>5</v>
      </c>
      <c r="B651" s="0" t="s">
        <v>1672</v>
      </c>
      <c r="C651" s="0" t="s">
        <v>1686</v>
      </c>
      <c r="D651" s="0" t="s">
        <v>1687</v>
      </c>
      <c r="E651" s="0" t="s">
        <v>655</v>
      </c>
      <c r="F651" s="0" t="s">
        <v>664</v>
      </c>
      <c r="G651" s="41" t="n">
        <v>21</v>
      </c>
      <c r="H651" s="25" t="s">
        <v>149</v>
      </c>
    </row>
    <row r="652" customFormat="false" ht="15" hidden="false" customHeight="false" outlineLevel="0" collapsed="false">
      <c r="A652" s="0" t="n">
        <v>5</v>
      </c>
      <c r="B652" s="0" t="s">
        <v>1672</v>
      </c>
      <c r="C652" s="0" t="s">
        <v>1688</v>
      </c>
      <c r="D652" s="0" t="s">
        <v>1689</v>
      </c>
      <c r="E652" s="0" t="s">
        <v>655</v>
      </c>
      <c r="F652" s="0" t="s">
        <v>664</v>
      </c>
      <c r="G652" s="41" t="n">
        <v>21</v>
      </c>
      <c r="H652" s="25" t="s">
        <v>178</v>
      </c>
    </row>
    <row r="653" customFormat="false" ht="15" hidden="false" customHeight="false" outlineLevel="0" collapsed="false">
      <c r="A653" s="0" t="n">
        <v>5</v>
      </c>
      <c r="B653" s="0" t="s">
        <v>1672</v>
      </c>
      <c r="C653" s="0" t="s">
        <v>1690</v>
      </c>
      <c r="D653" s="0" t="s">
        <v>1691</v>
      </c>
      <c r="E653" s="0" t="s">
        <v>655</v>
      </c>
      <c r="F653" s="0" t="s">
        <v>703</v>
      </c>
      <c r="G653" s="41" t="n">
        <v>4</v>
      </c>
      <c r="H653" s="25" t="s">
        <v>178</v>
      </c>
    </row>
    <row r="654" customFormat="false" ht="15" hidden="false" customHeight="false" outlineLevel="0" collapsed="false">
      <c r="A654" s="0" t="n">
        <v>5</v>
      </c>
      <c r="B654" s="0" t="s">
        <v>1672</v>
      </c>
      <c r="C654" s="0" t="s">
        <v>1692</v>
      </c>
      <c r="D654" s="0" t="s">
        <v>1693</v>
      </c>
      <c r="E654" s="0" t="s">
        <v>261</v>
      </c>
      <c r="F654" s="0" t="s">
        <v>1694</v>
      </c>
      <c r="G654" s="41" t="n">
        <v>1020</v>
      </c>
      <c r="H654" s="25" t="s">
        <v>178</v>
      </c>
    </row>
    <row r="655" customFormat="false" ht="15" hidden="false" customHeight="false" outlineLevel="0" collapsed="false">
      <c r="A655" s="0" t="n">
        <v>5</v>
      </c>
      <c r="B655" s="0" t="s">
        <v>1672</v>
      </c>
      <c r="C655" s="0" t="s">
        <v>1695</v>
      </c>
      <c r="D655" s="0" t="s">
        <v>1696</v>
      </c>
      <c r="E655" s="0" t="s">
        <v>261</v>
      </c>
      <c r="F655" s="0" t="s">
        <v>836</v>
      </c>
      <c r="G655" s="41" t="n">
        <v>10</v>
      </c>
      <c r="H655" s="25" t="s">
        <v>178</v>
      </c>
    </row>
    <row r="656" customFormat="false" ht="15" hidden="false" customHeight="false" outlineLevel="0" collapsed="false">
      <c r="A656" s="0" t="n">
        <v>6</v>
      </c>
      <c r="B656" s="0" t="s">
        <v>1697</v>
      </c>
      <c r="D656" s="0" t="s">
        <v>1698</v>
      </c>
      <c r="E656" s="0" t="s">
        <v>674</v>
      </c>
      <c r="F656" s="0" t="s">
        <v>1699</v>
      </c>
      <c r="G656" s="41" t="n">
        <v>52</v>
      </c>
      <c r="H656" s="25" t="s">
        <v>188</v>
      </c>
    </row>
    <row r="657" customFormat="false" ht="15" hidden="false" customHeight="false" outlineLevel="0" collapsed="false">
      <c r="A657" s="0" t="n">
        <v>6</v>
      </c>
      <c r="B657" s="0" t="s">
        <v>1697</v>
      </c>
      <c r="D657" s="0" t="s">
        <v>1700</v>
      </c>
      <c r="E657" s="0" t="s">
        <v>674</v>
      </c>
      <c r="F657" s="0" t="s">
        <v>1701</v>
      </c>
      <c r="G657" s="41" t="n">
        <v>124</v>
      </c>
      <c r="H657" s="25" t="s">
        <v>188</v>
      </c>
      <c r="I657" s="25" t="s">
        <v>1702</v>
      </c>
    </row>
    <row r="658" customFormat="false" ht="15" hidden="false" customHeight="false" outlineLevel="0" collapsed="false">
      <c r="A658" s="0" t="n">
        <v>6</v>
      </c>
      <c r="B658" s="0" t="s">
        <v>1697</v>
      </c>
      <c r="D658" s="0" t="s">
        <v>1703</v>
      </c>
      <c r="E658" s="0" t="s">
        <v>655</v>
      </c>
      <c r="F658" s="0" t="s">
        <v>656</v>
      </c>
      <c r="G658" s="41" t="n">
        <v>1</v>
      </c>
      <c r="H658" s="25" t="s">
        <v>193</v>
      </c>
      <c r="I658" s="25" t="s">
        <v>1704</v>
      </c>
    </row>
    <row r="659" customFormat="false" ht="15" hidden="false" customHeight="false" outlineLevel="0" collapsed="false">
      <c r="A659" s="0" t="n">
        <v>6</v>
      </c>
      <c r="B659" s="0" t="s">
        <v>1705</v>
      </c>
      <c r="D659" s="0" t="s">
        <v>1698</v>
      </c>
      <c r="E659" s="0" t="s">
        <v>674</v>
      </c>
      <c r="F659" s="0" t="s">
        <v>1706</v>
      </c>
      <c r="G659" s="41" t="n">
        <v>59</v>
      </c>
      <c r="H659" s="25" t="s">
        <v>188</v>
      </c>
    </row>
    <row r="660" customFormat="false" ht="15" hidden="false" customHeight="false" outlineLevel="0" collapsed="false">
      <c r="A660" s="0" t="n">
        <v>6</v>
      </c>
      <c r="B660" s="0" t="s">
        <v>1705</v>
      </c>
      <c r="D660" s="0" t="s">
        <v>1700</v>
      </c>
      <c r="E660" s="0" t="s">
        <v>674</v>
      </c>
      <c r="F660" s="0" t="s">
        <v>1707</v>
      </c>
      <c r="G660" s="41" t="n">
        <v>128</v>
      </c>
      <c r="H660" s="25" t="s">
        <v>188</v>
      </c>
      <c r="I660" s="25" t="s">
        <v>1702</v>
      </c>
    </row>
    <row r="661" customFormat="false" ht="15" hidden="false" customHeight="false" outlineLevel="0" collapsed="false">
      <c r="A661" s="0" t="n">
        <v>6</v>
      </c>
      <c r="B661" s="0" t="s">
        <v>1705</v>
      </c>
      <c r="D661" s="0" t="s">
        <v>1703</v>
      </c>
      <c r="E661" s="0" t="s">
        <v>655</v>
      </c>
      <c r="F661" s="0" t="s">
        <v>656</v>
      </c>
      <c r="G661" s="41" t="n">
        <v>1</v>
      </c>
      <c r="H661" s="25" t="s">
        <v>193</v>
      </c>
      <c r="I661" s="25" t="s">
        <v>1704</v>
      </c>
    </row>
    <row r="662" customFormat="false" ht="15" hidden="false" customHeight="false" outlineLevel="0" collapsed="false">
      <c r="A662" s="0" t="n">
        <v>6</v>
      </c>
      <c r="B662" s="0" t="s">
        <v>1708</v>
      </c>
      <c r="D662" s="0" t="s">
        <v>1698</v>
      </c>
      <c r="E662" s="0" t="s">
        <v>674</v>
      </c>
      <c r="F662" s="0" t="s">
        <v>1709</v>
      </c>
      <c r="G662" s="41" t="n">
        <v>23</v>
      </c>
      <c r="H662" s="25" t="s">
        <v>188</v>
      </c>
    </row>
    <row r="663" customFormat="false" ht="15" hidden="false" customHeight="false" outlineLevel="0" collapsed="false">
      <c r="A663" s="0" t="n">
        <v>6</v>
      </c>
      <c r="B663" s="0" t="s">
        <v>1708</v>
      </c>
      <c r="D663" s="0" t="s">
        <v>1710</v>
      </c>
      <c r="E663" s="0" t="s">
        <v>655</v>
      </c>
      <c r="F663" s="0" t="s">
        <v>690</v>
      </c>
      <c r="G663" s="41" t="n">
        <v>5</v>
      </c>
      <c r="H663" s="25" t="s">
        <v>193</v>
      </c>
    </row>
    <row r="664" customFormat="false" ht="15" hidden="false" customHeight="false" outlineLevel="0" collapsed="false">
      <c r="A664" s="0" t="n">
        <v>6</v>
      </c>
      <c r="B664" s="0" t="s">
        <v>1708</v>
      </c>
      <c r="D664" s="0" t="s">
        <v>1711</v>
      </c>
      <c r="E664" s="0" t="s">
        <v>655</v>
      </c>
      <c r="F664" s="0" t="s">
        <v>656</v>
      </c>
      <c r="G664" s="41" t="n">
        <v>1</v>
      </c>
      <c r="H664" s="25" t="s">
        <v>207</v>
      </c>
    </row>
    <row r="665" customFormat="false" ht="15" hidden="false" customHeight="false" outlineLevel="0" collapsed="false">
      <c r="A665" s="0" t="n">
        <v>6</v>
      </c>
      <c r="B665" s="0" t="s">
        <v>1712</v>
      </c>
      <c r="D665" s="0" t="s">
        <v>1713</v>
      </c>
      <c r="E665" s="0" t="s">
        <v>674</v>
      </c>
      <c r="F665" s="0" t="s">
        <v>1071</v>
      </c>
      <c r="G665" s="41" t="n">
        <v>320</v>
      </c>
      <c r="H665" s="25" t="s">
        <v>188</v>
      </c>
    </row>
    <row r="666" customFormat="false" ht="15" hidden="false" customHeight="false" outlineLevel="0" collapsed="false">
      <c r="A666" s="0" t="n">
        <v>6</v>
      </c>
      <c r="B666" s="0" t="s">
        <v>1712</v>
      </c>
      <c r="D666" s="0" t="s">
        <v>1714</v>
      </c>
      <c r="E666" s="0" t="s">
        <v>655</v>
      </c>
      <c r="F666" s="0" t="s">
        <v>656</v>
      </c>
      <c r="G666" s="41" t="n">
        <v>1</v>
      </c>
      <c r="H666" s="25" t="s">
        <v>193</v>
      </c>
      <c r="I666" s="25" t="s">
        <v>1704</v>
      </c>
    </row>
    <row r="667" customFormat="false" ht="15" hidden="false" customHeight="false" outlineLevel="0" collapsed="false">
      <c r="A667" s="0" t="n">
        <v>6</v>
      </c>
      <c r="B667" s="0" t="s">
        <v>1712</v>
      </c>
      <c r="D667" s="0" t="s">
        <v>1715</v>
      </c>
      <c r="E667" s="0" t="s">
        <v>655</v>
      </c>
      <c r="F667" s="0" t="s">
        <v>656</v>
      </c>
      <c r="G667" s="41" t="n">
        <v>1</v>
      </c>
      <c r="H667" s="25" t="s">
        <v>197</v>
      </c>
      <c r="I667" s="25" t="s">
        <v>1716</v>
      </c>
    </row>
    <row r="668" customFormat="false" ht="15" hidden="false" customHeight="false" outlineLevel="0" collapsed="false">
      <c r="A668" s="0" t="n">
        <v>6</v>
      </c>
      <c r="B668" s="0" t="s">
        <v>1712</v>
      </c>
      <c r="D668" s="0" t="s">
        <v>1717</v>
      </c>
      <c r="E668" s="0" t="s">
        <v>655</v>
      </c>
      <c r="F668" s="0" t="s">
        <v>1167</v>
      </c>
      <c r="G668" s="41" t="n">
        <v>40</v>
      </c>
      <c r="H668" s="25" t="s">
        <v>202</v>
      </c>
    </row>
    <row r="669" customFormat="false" ht="15" hidden="false" customHeight="false" outlineLevel="0" collapsed="false">
      <c r="A669" s="0" t="n">
        <v>6</v>
      </c>
      <c r="B669" s="0" t="s">
        <v>1718</v>
      </c>
      <c r="D669" s="0" t="s">
        <v>1719</v>
      </c>
      <c r="E669" s="0" t="s">
        <v>674</v>
      </c>
      <c r="F669" s="0" t="s">
        <v>1720</v>
      </c>
      <c r="G669" s="41" t="n">
        <v>192</v>
      </c>
      <c r="H669" s="25" t="s">
        <v>188</v>
      </c>
    </row>
    <row r="670" customFormat="false" ht="15" hidden="false" customHeight="false" outlineLevel="0" collapsed="false">
      <c r="A670" s="0" t="n">
        <v>6</v>
      </c>
      <c r="B670" s="0" t="s">
        <v>1718</v>
      </c>
      <c r="D670" s="0" t="s">
        <v>1721</v>
      </c>
      <c r="E670" s="0" t="s">
        <v>655</v>
      </c>
      <c r="F670" s="0" t="s">
        <v>656</v>
      </c>
      <c r="G670" s="41" t="n">
        <v>1</v>
      </c>
      <c r="H670" s="25" t="s">
        <v>193</v>
      </c>
      <c r="I670" s="25" t="s">
        <v>1704</v>
      </c>
    </row>
    <row r="671" customFormat="false" ht="15" hidden="false" customHeight="false" outlineLevel="0" collapsed="false">
      <c r="A671" s="0" t="n">
        <v>6</v>
      </c>
      <c r="B671" s="0" t="s">
        <v>1718</v>
      </c>
      <c r="D671" s="0" t="s">
        <v>1722</v>
      </c>
      <c r="E671" s="0" t="s">
        <v>655</v>
      </c>
      <c r="F671" s="0" t="s">
        <v>656</v>
      </c>
      <c r="G671" s="41" t="n">
        <v>1</v>
      </c>
      <c r="H671" s="25" t="s">
        <v>197</v>
      </c>
      <c r="I671" s="25" t="s">
        <v>1716</v>
      </c>
    </row>
    <row r="672" customFormat="false" ht="15" hidden="false" customHeight="false" outlineLevel="0" collapsed="false">
      <c r="A672" s="0" t="n">
        <v>6</v>
      </c>
      <c r="B672" s="0" t="s">
        <v>1718</v>
      </c>
      <c r="D672" s="0" t="s">
        <v>1717</v>
      </c>
      <c r="E672" s="0" t="s">
        <v>655</v>
      </c>
      <c r="F672" s="0" t="s">
        <v>808</v>
      </c>
      <c r="G672" s="41" t="n">
        <v>24</v>
      </c>
      <c r="H672" s="25" t="s">
        <v>202</v>
      </c>
    </row>
    <row r="673" customFormat="false" ht="15" hidden="false" customHeight="false" outlineLevel="0" collapsed="false">
      <c r="A673" s="0" t="n">
        <v>6</v>
      </c>
      <c r="B673" s="0" t="s">
        <v>1723</v>
      </c>
      <c r="D673" s="0" t="s">
        <v>1724</v>
      </c>
      <c r="E673" s="0" t="s">
        <v>674</v>
      </c>
      <c r="F673" s="0" t="s">
        <v>1725</v>
      </c>
      <c r="G673" s="41" t="n">
        <v>129</v>
      </c>
      <c r="H673" s="25" t="s">
        <v>188</v>
      </c>
    </row>
    <row r="674" customFormat="false" ht="15" hidden="false" customHeight="false" outlineLevel="0" collapsed="false">
      <c r="A674" s="0" t="n">
        <v>6</v>
      </c>
      <c r="B674" s="0" t="s">
        <v>1723</v>
      </c>
      <c r="D674" s="0" t="s">
        <v>1721</v>
      </c>
      <c r="E674" s="0" t="s">
        <v>655</v>
      </c>
      <c r="F674" s="0" t="s">
        <v>656</v>
      </c>
      <c r="G674" s="41" t="n">
        <v>1</v>
      </c>
      <c r="H674" s="25" t="s">
        <v>193</v>
      </c>
      <c r="I674" s="25" t="s">
        <v>1704</v>
      </c>
    </row>
    <row r="675" customFormat="false" ht="15" hidden="false" customHeight="false" outlineLevel="0" collapsed="false">
      <c r="A675" s="0" t="n">
        <v>6</v>
      </c>
      <c r="B675" s="0" t="s">
        <v>1723</v>
      </c>
      <c r="D675" s="0" t="s">
        <v>1722</v>
      </c>
      <c r="E675" s="0" t="s">
        <v>655</v>
      </c>
      <c r="F675" s="0" t="s">
        <v>656</v>
      </c>
      <c r="G675" s="41" t="n">
        <v>1</v>
      </c>
      <c r="H675" s="25" t="s">
        <v>197</v>
      </c>
      <c r="I675" s="25" t="s">
        <v>1716</v>
      </c>
    </row>
    <row r="676" customFormat="false" ht="15" hidden="false" customHeight="false" outlineLevel="0" collapsed="false">
      <c r="A676" s="0" t="n">
        <v>6</v>
      </c>
      <c r="B676" s="0" t="s">
        <v>1723</v>
      </c>
      <c r="D676" s="0" t="s">
        <v>1717</v>
      </c>
      <c r="E676" s="0" t="s">
        <v>655</v>
      </c>
      <c r="F676" s="0" t="s">
        <v>813</v>
      </c>
      <c r="G676" s="41" t="n">
        <v>27</v>
      </c>
      <c r="H676" s="25" t="s">
        <v>202</v>
      </c>
    </row>
    <row r="677" customFormat="false" ht="15" hidden="false" customHeight="false" outlineLevel="0" collapsed="false">
      <c r="A677" s="0" t="n">
        <v>6</v>
      </c>
      <c r="B677" s="0" t="s">
        <v>1726</v>
      </c>
      <c r="D677" s="0" t="s">
        <v>1719</v>
      </c>
      <c r="E677" s="0" t="s">
        <v>674</v>
      </c>
      <c r="F677" s="0" t="s">
        <v>1177</v>
      </c>
      <c r="G677" s="41" t="n">
        <v>37</v>
      </c>
      <c r="H677" s="25" t="s">
        <v>188</v>
      </c>
    </row>
    <row r="678" customFormat="false" ht="15" hidden="false" customHeight="false" outlineLevel="0" collapsed="false">
      <c r="A678" s="0" t="n">
        <v>6</v>
      </c>
      <c r="B678" s="0" t="s">
        <v>1726</v>
      </c>
      <c r="D678" s="0" t="s">
        <v>1721</v>
      </c>
      <c r="E678" s="0" t="s">
        <v>655</v>
      </c>
      <c r="F678" s="0" t="s">
        <v>656</v>
      </c>
      <c r="G678" s="41" t="n">
        <v>1</v>
      </c>
      <c r="H678" s="25" t="s">
        <v>193</v>
      </c>
      <c r="I678" s="25" t="s">
        <v>1704</v>
      </c>
    </row>
    <row r="679" customFormat="false" ht="15" hidden="false" customHeight="false" outlineLevel="0" collapsed="false">
      <c r="A679" s="0" t="n">
        <v>6</v>
      </c>
      <c r="B679" s="0" t="s">
        <v>1726</v>
      </c>
      <c r="D679" s="0" t="s">
        <v>1721</v>
      </c>
      <c r="E679" s="0" t="s">
        <v>655</v>
      </c>
      <c r="F679" s="0" t="s">
        <v>656</v>
      </c>
      <c r="G679" s="41" t="n">
        <v>1</v>
      </c>
      <c r="H679" s="25" t="s">
        <v>197</v>
      </c>
      <c r="I679" s="25" t="s">
        <v>1716</v>
      </c>
    </row>
    <row r="680" customFormat="false" ht="15" hidden="false" customHeight="false" outlineLevel="0" collapsed="false">
      <c r="A680" s="0" t="n">
        <v>6</v>
      </c>
      <c r="B680" s="0" t="s">
        <v>1726</v>
      </c>
      <c r="D680" s="0" t="s">
        <v>1717</v>
      </c>
      <c r="E680" s="0" t="s">
        <v>655</v>
      </c>
      <c r="F680" s="0" t="s">
        <v>1100</v>
      </c>
      <c r="G680" s="41" t="n">
        <v>25</v>
      </c>
      <c r="H680" s="25" t="s">
        <v>202</v>
      </c>
    </row>
    <row r="681" customFormat="false" ht="15" hidden="false" customHeight="false" outlineLevel="0" collapsed="false">
      <c r="A681" s="0" t="n">
        <v>6</v>
      </c>
      <c r="B681" s="0" t="s">
        <v>1727</v>
      </c>
      <c r="D681" s="0" t="s">
        <v>1719</v>
      </c>
      <c r="E681" s="0" t="s">
        <v>674</v>
      </c>
      <c r="F681" s="0" t="s">
        <v>1141</v>
      </c>
      <c r="G681" s="41" t="n">
        <v>42</v>
      </c>
      <c r="H681" s="25" t="s">
        <v>188</v>
      </c>
    </row>
    <row r="682" customFormat="false" ht="15" hidden="false" customHeight="false" outlineLevel="0" collapsed="false">
      <c r="A682" s="0" t="n">
        <v>6</v>
      </c>
      <c r="B682" s="0" t="s">
        <v>1727</v>
      </c>
      <c r="D682" s="0" t="s">
        <v>1721</v>
      </c>
      <c r="E682" s="0" t="s">
        <v>655</v>
      </c>
      <c r="F682" s="0" t="s">
        <v>656</v>
      </c>
      <c r="G682" s="41" t="n">
        <v>1</v>
      </c>
      <c r="H682" s="25" t="s">
        <v>193</v>
      </c>
      <c r="I682" s="25" t="s">
        <v>1704</v>
      </c>
    </row>
    <row r="683" customFormat="false" ht="15" hidden="false" customHeight="false" outlineLevel="0" collapsed="false">
      <c r="A683" s="0" t="n">
        <v>6</v>
      </c>
      <c r="B683" s="0" t="s">
        <v>1727</v>
      </c>
      <c r="D683" s="0" t="s">
        <v>1721</v>
      </c>
      <c r="E683" s="0" t="s">
        <v>655</v>
      </c>
      <c r="F683" s="0" t="s">
        <v>656</v>
      </c>
      <c r="G683" s="41" t="n">
        <v>1</v>
      </c>
      <c r="H683" s="25" t="s">
        <v>197</v>
      </c>
      <c r="I683" s="25" t="s">
        <v>1716</v>
      </c>
    </row>
    <row r="684" customFormat="false" ht="15" hidden="false" customHeight="false" outlineLevel="0" collapsed="false">
      <c r="A684" s="0" t="n">
        <v>6</v>
      </c>
      <c r="B684" s="0" t="s">
        <v>1727</v>
      </c>
      <c r="D684" s="0" t="s">
        <v>1717</v>
      </c>
      <c r="E684" s="0" t="s">
        <v>655</v>
      </c>
      <c r="F684" s="0" t="s">
        <v>1124</v>
      </c>
      <c r="G684" s="41" t="n">
        <v>11</v>
      </c>
      <c r="H684" s="25" t="s">
        <v>202</v>
      </c>
    </row>
    <row r="685" customFormat="false" ht="15" hidden="false" customHeight="false" outlineLevel="0" collapsed="false">
      <c r="A685" s="0" t="n">
        <v>6</v>
      </c>
      <c r="B685" s="0" t="s">
        <v>1728</v>
      </c>
      <c r="D685" s="0" t="s">
        <v>1724</v>
      </c>
      <c r="E685" s="0" t="s">
        <v>674</v>
      </c>
      <c r="F685" s="0" t="s">
        <v>808</v>
      </c>
      <c r="G685" s="41" t="n">
        <v>24</v>
      </c>
      <c r="H685" s="25" t="s">
        <v>188</v>
      </c>
    </row>
    <row r="686" customFormat="false" ht="15" hidden="false" customHeight="false" outlineLevel="0" collapsed="false">
      <c r="A686" s="0" t="n">
        <v>6</v>
      </c>
      <c r="B686" s="0" t="s">
        <v>1728</v>
      </c>
      <c r="D686" s="0" t="s">
        <v>1721</v>
      </c>
      <c r="E686" s="0" t="s">
        <v>655</v>
      </c>
      <c r="F686" s="0" t="s">
        <v>656</v>
      </c>
      <c r="G686" s="41" t="n">
        <v>1</v>
      </c>
      <c r="H686" s="25" t="s">
        <v>193</v>
      </c>
      <c r="I686" s="25" t="s">
        <v>1704</v>
      </c>
    </row>
    <row r="687" customFormat="false" ht="15" hidden="false" customHeight="false" outlineLevel="0" collapsed="false">
      <c r="A687" s="0" t="n">
        <v>6</v>
      </c>
      <c r="B687" s="0" t="s">
        <v>1728</v>
      </c>
      <c r="D687" s="0" t="s">
        <v>1722</v>
      </c>
      <c r="E687" s="0" t="s">
        <v>655</v>
      </c>
      <c r="F687" s="0" t="s">
        <v>656</v>
      </c>
      <c r="G687" s="41" t="n">
        <v>1</v>
      </c>
      <c r="H687" s="25" t="s">
        <v>197</v>
      </c>
      <c r="I687" s="25" t="s">
        <v>1716</v>
      </c>
    </row>
    <row r="688" customFormat="false" ht="15" hidden="false" customHeight="false" outlineLevel="0" collapsed="false">
      <c r="A688" s="0" t="n">
        <v>6</v>
      </c>
      <c r="B688" s="0" t="s">
        <v>1728</v>
      </c>
      <c r="D688" s="0" t="s">
        <v>1717</v>
      </c>
      <c r="E688" s="0" t="s">
        <v>655</v>
      </c>
      <c r="F688" s="0" t="s">
        <v>950</v>
      </c>
      <c r="G688" s="41" t="n">
        <v>16</v>
      </c>
      <c r="H688" s="25" t="s">
        <v>202</v>
      </c>
    </row>
    <row r="689" customFormat="false" ht="15" hidden="false" customHeight="false" outlineLevel="0" collapsed="false">
      <c r="A689" s="0" t="n">
        <v>6</v>
      </c>
      <c r="B689" s="0" t="s">
        <v>1729</v>
      </c>
      <c r="D689" s="0" t="s">
        <v>1719</v>
      </c>
      <c r="E689" s="0" t="s">
        <v>674</v>
      </c>
      <c r="F689" s="0" t="s">
        <v>1730</v>
      </c>
      <c r="G689" s="41" t="n">
        <v>62</v>
      </c>
      <c r="H689" s="25" t="s">
        <v>188</v>
      </c>
    </row>
    <row r="690" customFormat="false" ht="15" hidden="false" customHeight="false" outlineLevel="0" collapsed="false">
      <c r="A690" s="0" t="n">
        <v>6</v>
      </c>
      <c r="B690" s="0" t="s">
        <v>1729</v>
      </c>
      <c r="D690" s="0" t="s">
        <v>1721</v>
      </c>
      <c r="E690" s="0" t="s">
        <v>655</v>
      </c>
      <c r="F690" s="0" t="s">
        <v>656</v>
      </c>
      <c r="G690" s="41" t="n">
        <v>1</v>
      </c>
      <c r="H690" s="25" t="s">
        <v>193</v>
      </c>
      <c r="I690" s="25" t="s">
        <v>1704</v>
      </c>
    </row>
    <row r="691" customFormat="false" ht="15" hidden="false" customHeight="false" outlineLevel="0" collapsed="false">
      <c r="A691" s="0" t="n">
        <v>6</v>
      </c>
      <c r="B691" s="0" t="s">
        <v>1729</v>
      </c>
      <c r="D691" s="0" t="s">
        <v>1722</v>
      </c>
      <c r="E691" s="0" t="s">
        <v>655</v>
      </c>
      <c r="F691" s="0" t="s">
        <v>656</v>
      </c>
      <c r="G691" s="41" t="n">
        <v>1</v>
      </c>
      <c r="H691" s="25" t="s">
        <v>197</v>
      </c>
      <c r="I691" s="25" t="s">
        <v>1716</v>
      </c>
    </row>
    <row r="692" customFormat="false" ht="15" hidden="false" customHeight="false" outlineLevel="0" collapsed="false">
      <c r="A692" s="0" t="n">
        <v>6</v>
      </c>
      <c r="B692" s="0" t="s">
        <v>1729</v>
      </c>
      <c r="D692" s="0" t="s">
        <v>1717</v>
      </c>
      <c r="E692" s="0" t="s">
        <v>655</v>
      </c>
      <c r="F692" s="0" t="s">
        <v>910</v>
      </c>
      <c r="G692" s="41" t="n">
        <v>13</v>
      </c>
      <c r="H692" s="25" t="s">
        <v>202</v>
      </c>
    </row>
    <row r="693" customFormat="false" ht="15" hidden="false" customHeight="false" outlineLevel="0" collapsed="false">
      <c r="A693" s="0" t="n">
        <v>6</v>
      </c>
      <c r="B693" s="0" t="s">
        <v>1731</v>
      </c>
      <c r="D693" s="0" t="s">
        <v>1719</v>
      </c>
      <c r="E693" s="0" t="s">
        <v>674</v>
      </c>
      <c r="F693" s="0" t="s">
        <v>1732</v>
      </c>
      <c r="G693" s="41" t="n">
        <v>45</v>
      </c>
      <c r="H693" s="25" t="s">
        <v>188</v>
      </c>
    </row>
    <row r="694" customFormat="false" ht="15" hidden="false" customHeight="false" outlineLevel="0" collapsed="false">
      <c r="A694" s="0" t="n">
        <v>6</v>
      </c>
      <c r="B694" s="0" t="s">
        <v>1731</v>
      </c>
      <c r="D694" s="0" t="s">
        <v>1710</v>
      </c>
      <c r="E694" s="0" t="s">
        <v>655</v>
      </c>
      <c r="F694" s="0" t="s">
        <v>656</v>
      </c>
      <c r="G694" s="41" t="n">
        <v>1</v>
      </c>
      <c r="H694" s="25" t="s">
        <v>193</v>
      </c>
      <c r="I694" s="25" t="s">
        <v>1704</v>
      </c>
    </row>
    <row r="695" customFormat="false" ht="15" hidden="false" customHeight="false" outlineLevel="0" collapsed="false">
      <c r="A695" s="0" t="n">
        <v>6</v>
      </c>
      <c r="B695" s="0" t="s">
        <v>1731</v>
      </c>
      <c r="D695" s="0" t="s">
        <v>1714</v>
      </c>
      <c r="E695" s="0" t="s">
        <v>655</v>
      </c>
      <c r="F695" s="0" t="s">
        <v>656</v>
      </c>
      <c r="G695" s="41" t="n">
        <v>1</v>
      </c>
      <c r="H695" s="25" t="s">
        <v>197</v>
      </c>
      <c r="I695" s="25" t="s">
        <v>1716</v>
      </c>
    </row>
    <row r="696" customFormat="false" ht="15" hidden="false" customHeight="false" outlineLevel="0" collapsed="false">
      <c r="A696" s="0" t="n">
        <v>6</v>
      </c>
      <c r="B696" s="0" t="s">
        <v>1731</v>
      </c>
      <c r="D696" s="0" t="s">
        <v>1717</v>
      </c>
      <c r="E696" s="0" t="s">
        <v>655</v>
      </c>
      <c r="F696" s="0" t="s">
        <v>1733</v>
      </c>
      <c r="G696" s="41" t="n">
        <v>32</v>
      </c>
      <c r="H696" s="25" t="s">
        <v>202</v>
      </c>
    </row>
    <row r="697" customFormat="false" ht="15" hidden="false" customHeight="false" outlineLevel="0" collapsed="false">
      <c r="A697" s="0" t="n">
        <v>6</v>
      </c>
      <c r="B697" s="0" t="s">
        <v>1734</v>
      </c>
      <c r="D697" s="0" t="s">
        <v>1713</v>
      </c>
      <c r="E697" s="0" t="s">
        <v>674</v>
      </c>
      <c r="F697" s="0" t="s">
        <v>1709</v>
      </c>
      <c r="G697" s="41" t="n">
        <v>23</v>
      </c>
      <c r="H697" s="25" t="s">
        <v>188</v>
      </c>
    </row>
    <row r="698" customFormat="false" ht="15" hidden="false" customHeight="false" outlineLevel="0" collapsed="false">
      <c r="A698" s="0" t="n">
        <v>6</v>
      </c>
      <c r="B698" s="0" t="s">
        <v>1734</v>
      </c>
      <c r="D698" s="0" t="s">
        <v>1714</v>
      </c>
      <c r="E698" s="0" t="s">
        <v>655</v>
      </c>
      <c r="F698" s="0" t="s">
        <v>656</v>
      </c>
      <c r="G698" s="41" t="n">
        <v>1</v>
      </c>
      <c r="H698" s="25" t="s">
        <v>193</v>
      </c>
      <c r="I698" s="25" t="s">
        <v>1704</v>
      </c>
    </row>
    <row r="699" customFormat="false" ht="15" hidden="false" customHeight="false" outlineLevel="0" collapsed="false">
      <c r="A699" s="0" t="n">
        <v>6</v>
      </c>
      <c r="B699" s="0" t="s">
        <v>1734</v>
      </c>
      <c r="D699" s="0" t="s">
        <v>1714</v>
      </c>
      <c r="E699" s="0" t="s">
        <v>655</v>
      </c>
      <c r="F699" s="0" t="s">
        <v>656</v>
      </c>
      <c r="G699" s="41" t="n">
        <v>1</v>
      </c>
      <c r="H699" s="25" t="s">
        <v>197</v>
      </c>
      <c r="I699" s="25" t="s">
        <v>1716</v>
      </c>
    </row>
    <row r="700" customFormat="false" ht="15" hidden="false" customHeight="false" outlineLevel="0" collapsed="false">
      <c r="A700" s="0" t="n">
        <v>6</v>
      </c>
      <c r="B700" s="0" t="s">
        <v>1734</v>
      </c>
      <c r="D700" s="0" t="s">
        <v>1717</v>
      </c>
      <c r="E700" s="0" t="s">
        <v>655</v>
      </c>
      <c r="F700" s="0" t="s">
        <v>861</v>
      </c>
      <c r="G700" s="41" t="n">
        <v>15</v>
      </c>
      <c r="H700" s="25" t="s">
        <v>202</v>
      </c>
    </row>
    <row r="701" customFormat="false" ht="15" hidden="false" customHeight="false" outlineLevel="0" collapsed="false">
      <c r="A701" s="0" t="n">
        <v>6</v>
      </c>
      <c r="B701" s="0" t="s">
        <v>1735</v>
      </c>
      <c r="D701" s="0" t="s">
        <v>1713</v>
      </c>
      <c r="E701" s="0" t="s">
        <v>674</v>
      </c>
      <c r="F701" s="0" t="s">
        <v>1513</v>
      </c>
      <c r="G701" s="41" t="n">
        <v>90</v>
      </c>
      <c r="H701" s="25" t="s">
        <v>188</v>
      </c>
    </row>
    <row r="702" customFormat="false" ht="15" hidden="false" customHeight="false" outlineLevel="0" collapsed="false">
      <c r="A702" s="0" t="n">
        <v>6</v>
      </c>
      <c r="B702" s="0" t="s">
        <v>1735</v>
      </c>
      <c r="D702" s="0" t="s">
        <v>1714</v>
      </c>
      <c r="E702" s="0" t="s">
        <v>655</v>
      </c>
      <c r="F702" s="0" t="s">
        <v>656</v>
      </c>
      <c r="G702" s="41" t="n">
        <v>1</v>
      </c>
      <c r="H702" s="25" t="s">
        <v>193</v>
      </c>
      <c r="I702" s="25" t="s">
        <v>1704</v>
      </c>
    </row>
    <row r="703" customFormat="false" ht="15" hidden="false" customHeight="false" outlineLevel="0" collapsed="false">
      <c r="A703" s="0" t="n">
        <v>6</v>
      </c>
      <c r="B703" s="0" t="s">
        <v>1735</v>
      </c>
      <c r="D703" s="0" t="s">
        <v>1710</v>
      </c>
      <c r="E703" s="0" t="s">
        <v>655</v>
      </c>
      <c r="F703" s="0" t="s">
        <v>656</v>
      </c>
      <c r="G703" s="41" t="n">
        <v>1</v>
      </c>
      <c r="H703" s="25" t="s">
        <v>197</v>
      </c>
      <c r="I703" s="25" t="s">
        <v>1716</v>
      </c>
    </row>
    <row r="704" customFormat="false" ht="15" hidden="false" customHeight="false" outlineLevel="0" collapsed="false">
      <c r="A704" s="0" t="n">
        <v>6</v>
      </c>
      <c r="B704" s="0" t="s">
        <v>1735</v>
      </c>
      <c r="D704" s="0" t="s">
        <v>1717</v>
      </c>
      <c r="E704" s="0" t="s">
        <v>655</v>
      </c>
      <c r="F704" s="0" t="s">
        <v>788</v>
      </c>
      <c r="G704" s="41" t="n">
        <v>20</v>
      </c>
      <c r="H704" s="25" t="s">
        <v>202</v>
      </c>
    </row>
    <row r="705" customFormat="false" ht="15" hidden="false" customHeight="false" outlineLevel="0" collapsed="false">
      <c r="A705" s="0" t="n">
        <v>6</v>
      </c>
      <c r="B705" s="0" t="s">
        <v>1736</v>
      </c>
      <c r="D705" s="0" t="s">
        <v>1713</v>
      </c>
      <c r="E705" s="0" t="s">
        <v>674</v>
      </c>
      <c r="F705" s="0" t="s">
        <v>1141</v>
      </c>
      <c r="G705" s="41" t="n">
        <v>42</v>
      </c>
      <c r="H705" s="25" t="s">
        <v>188</v>
      </c>
    </row>
    <row r="706" customFormat="false" ht="15" hidden="false" customHeight="false" outlineLevel="0" collapsed="false">
      <c r="A706" s="0" t="n">
        <v>6</v>
      </c>
      <c r="B706" s="0" t="s">
        <v>1736</v>
      </c>
      <c r="D706" s="0" t="s">
        <v>1719</v>
      </c>
      <c r="E706" s="0" t="s">
        <v>674</v>
      </c>
      <c r="F706" s="0" t="s">
        <v>1737</v>
      </c>
      <c r="G706" s="41" t="n">
        <v>28</v>
      </c>
      <c r="H706" s="25" t="s">
        <v>188</v>
      </c>
    </row>
    <row r="707" customFormat="false" ht="15" hidden="false" customHeight="false" outlineLevel="0" collapsed="false">
      <c r="A707" s="0" t="n">
        <v>6</v>
      </c>
      <c r="B707" s="0" t="s">
        <v>1736</v>
      </c>
      <c r="D707" s="0" t="s">
        <v>1738</v>
      </c>
      <c r="E707" s="0" t="s">
        <v>655</v>
      </c>
      <c r="F707" s="0" t="s">
        <v>656</v>
      </c>
      <c r="G707" s="41" t="n">
        <v>1</v>
      </c>
      <c r="H707" s="25" t="s">
        <v>193</v>
      </c>
      <c r="I707" s="25" t="s">
        <v>1704</v>
      </c>
    </row>
    <row r="708" customFormat="false" ht="15" hidden="false" customHeight="false" outlineLevel="0" collapsed="false">
      <c r="A708" s="0" t="n">
        <v>6</v>
      </c>
      <c r="B708" s="0" t="s">
        <v>1736</v>
      </c>
      <c r="D708" s="0" t="s">
        <v>1739</v>
      </c>
      <c r="E708" s="0" t="s">
        <v>655</v>
      </c>
      <c r="F708" s="0" t="s">
        <v>656</v>
      </c>
      <c r="G708" s="41" t="n">
        <v>1</v>
      </c>
      <c r="H708" s="25" t="s">
        <v>197</v>
      </c>
      <c r="I708" s="25" t="s">
        <v>1716</v>
      </c>
    </row>
    <row r="709" customFormat="false" ht="15" hidden="false" customHeight="false" outlineLevel="0" collapsed="false">
      <c r="A709" s="0" t="n">
        <v>6</v>
      </c>
      <c r="B709" s="0" t="s">
        <v>1736</v>
      </c>
      <c r="D709" s="0" t="s">
        <v>1717</v>
      </c>
      <c r="E709" s="0" t="s">
        <v>655</v>
      </c>
      <c r="F709" s="0" t="s">
        <v>764</v>
      </c>
      <c r="G709" s="41" t="n">
        <v>34</v>
      </c>
      <c r="H709" s="25" t="s">
        <v>202</v>
      </c>
    </row>
    <row r="710" customFormat="false" ht="15" hidden="false" customHeight="false" outlineLevel="0" collapsed="false">
      <c r="A710" s="0" t="n">
        <v>6</v>
      </c>
      <c r="B710" s="0" t="s">
        <v>1740</v>
      </c>
      <c r="D710" s="0" t="s">
        <v>1724</v>
      </c>
      <c r="E710" s="0" t="s">
        <v>674</v>
      </c>
      <c r="F710" s="0" t="s">
        <v>1741</v>
      </c>
      <c r="G710" s="41" t="n">
        <v>17</v>
      </c>
      <c r="H710" s="25" t="s">
        <v>188</v>
      </c>
    </row>
    <row r="711" customFormat="false" ht="15" hidden="false" customHeight="false" outlineLevel="0" collapsed="false">
      <c r="A711" s="0" t="n">
        <v>6</v>
      </c>
      <c r="B711" s="0" t="s">
        <v>1740</v>
      </c>
      <c r="D711" s="0" t="s">
        <v>1721</v>
      </c>
      <c r="E711" s="0" t="s">
        <v>655</v>
      </c>
      <c r="F711" s="0" t="s">
        <v>656</v>
      </c>
      <c r="G711" s="41" t="n">
        <v>1</v>
      </c>
      <c r="H711" s="25" t="s">
        <v>193</v>
      </c>
      <c r="I711" s="25" t="s">
        <v>1704</v>
      </c>
    </row>
    <row r="712" customFormat="false" ht="15" hidden="false" customHeight="false" outlineLevel="0" collapsed="false">
      <c r="A712" s="0" t="n">
        <v>6</v>
      </c>
      <c r="B712" s="0" t="s">
        <v>1740</v>
      </c>
      <c r="D712" s="0" t="s">
        <v>1742</v>
      </c>
      <c r="E712" s="0" t="s">
        <v>655</v>
      </c>
      <c r="F712" s="0" t="s">
        <v>656</v>
      </c>
      <c r="G712" s="41" t="n">
        <v>1</v>
      </c>
      <c r="H712" s="25" t="s">
        <v>197</v>
      </c>
      <c r="I712" s="25" t="s">
        <v>1716</v>
      </c>
    </row>
    <row r="713" customFormat="false" ht="15" hidden="false" customHeight="false" outlineLevel="0" collapsed="false">
      <c r="A713" s="0" t="n">
        <v>6</v>
      </c>
      <c r="B713" s="0" t="s">
        <v>1740</v>
      </c>
      <c r="D713" s="0" t="s">
        <v>1717</v>
      </c>
      <c r="E713" s="0" t="s">
        <v>655</v>
      </c>
      <c r="F713" s="0" t="s">
        <v>716</v>
      </c>
      <c r="G713" s="41" t="n">
        <v>12</v>
      </c>
      <c r="H713" s="25" t="s">
        <v>202</v>
      </c>
    </row>
    <row r="714" customFormat="false" ht="15" hidden="false" customHeight="false" outlineLevel="0" collapsed="false">
      <c r="A714" s="0" t="n">
        <v>6</v>
      </c>
      <c r="B714" s="0" t="s">
        <v>1743</v>
      </c>
      <c r="D714" s="0" t="s">
        <v>1724</v>
      </c>
      <c r="E714" s="0" t="s">
        <v>674</v>
      </c>
      <c r="F714" s="0" t="s">
        <v>1741</v>
      </c>
      <c r="G714" s="41" t="n">
        <v>17</v>
      </c>
      <c r="H714" s="25" t="s">
        <v>188</v>
      </c>
    </row>
    <row r="715" customFormat="false" ht="15" hidden="false" customHeight="false" outlineLevel="0" collapsed="false">
      <c r="A715" s="0" t="n">
        <v>6</v>
      </c>
      <c r="B715" s="0" t="s">
        <v>1743</v>
      </c>
      <c r="D715" s="0" t="s">
        <v>1721</v>
      </c>
      <c r="E715" s="0" t="s">
        <v>655</v>
      </c>
      <c r="F715" s="0" t="s">
        <v>656</v>
      </c>
      <c r="G715" s="41" t="n">
        <v>1</v>
      </c>
      <c r="H715" s="25" t="s">
        <v>193</v>
      </c>
      <c r="I715" s="25" t="s">
        <v>1704</v>
      </c>
    </row>
    <row r="716" customFormat="false" ht="15" hidden="false" customHeight="false" outlineLevel="0" collapsed="false">
      <c r="A716" s="0" t="n">
        <v>6</v>
      </c>
      <c r="B716" s="0" t="s">
        <v>1743</v>
      </c>
      <c r="D716" s="0" t="s">
        <v>1742</v>
      </c>
      <c r="E716" s="0" t="s">
        <v>655</v>
      </c>
      <c r="F716" s="0" t="s">
        <v>656</v>
      </c>
      <c r="G716" s="41" t="n">
        <v>1</v>
      </c>
      <c r="H716" s="25" t="s">
        <v>197</v>
      </c>
      <c r="I716" s="25" t="s">
        <v>1716</v>
      </c>
    </row>
    <row r="717" customFormat="false" ht="15" hidden="false" customHeight="false" outlineLevel="0" collapsed="false">
      <c r="A717" s="0" t="n">
        <v>6</v>
      </c>
      <c r="B717" s="0" t="s">
        <v>1743</v>
      </c>
      <c r="D717" s="0" t="s">
        <v>1717</v>
      </c>
      <c r="E717" s="0" t="s">
        <v>655</v>
      </c>
      <c r="F717" s="0" t="s">
        <v>716</v>
      </c>
      <c r="G717" s="41" t="n">
        <v>12</v>
      </c>
      <c r="H717" s="25" t="s">
        <v>202</v>
      </c>
    </row>
    <row r="718" customFormat="false" ht="15" hidden="false" customHeight="false" outlineLevel="0" collapsed="false">
      <c r="A718" s="0" t="n">
        <v>6</v>
      </c>
      <c r="B718" s="0" t="s">
        <v>1744</v>
      </c>
      <c r="D718" s="0" t="s">
        <v>1719</v>
      </c>
      <c r="E718" s="0" t="s">
        <v>674</v>
      </c>
      <c r="F718" s="0" t="s">
        <v>1745</v>
      </c>
      <c r="G718" s="41" t="n">
        <v>132</v>
      </c>
      <c r="H718" s="25" t="s">
        <v>188</v>
      </c>
    </row>
    <row r="719" customFormat="false" ht="15" hidden="false" customHeight="false" outlineLevel="0" collapsed="false">
      <c r="A719" s="0" t="n">
        <v>6</v>
      </c>
      <c r="B719" s="0" t="s">
        <v>1744</v>
      </c>
      <c r="D719" s="0" t="s">
        <v>1721</v>
      </c>
      <c r="E719" s="0" t="s">
        <v>655</v>
      </c>
      <c r="F719" s="0" t="s">
        <v>656</v>
      </c>
      <c r="G719" s="41" t="n">
        <v>1</v>
      </c>
      <c r="H719" s="25" t="s">
        <v>193</v>
      </c>
      <c r="I719" s="25" t="s">
        <v>1704</v>
      </c>
    </row>
    <row r="720" customFormat="false" ht="15" hidden="false" customHeight="false" outlineLevel="0" collapsed="false">
      <c r="A720" s="0" t="n">
        <v>6</v>
      </c>
      <c r="B720" s="0" t="s">
        <v>1744</v>
      </c>
      <c r="D720" s="0" t="s">
        <v>1722</v>
      </c>
      <c r="E720" s="0" t="s">
        <v>655</v>
      </c>
      <c r="F720" s="0" t="s">
        <v>656</v>
      </c>
      <c r="G720" s="41" t="n">
        <v>1</v>
      </c>
      <c r="H720" s="25" t="s">
        <v>197</v>
      </c>
      <c r="I720" s="25" t="s">
        <v>1716</v>
      </c>
    </row>
    <row r="721" customFormat="false" ht="15" hidden="false" customHeight="false" outlineLevel="0" collapsed="false">
      <c r="A721" s="0" t="n">
        <v>6</v>
      </c>
      <c r="B721" s="0" t="s">
        <v>1744</v>
      </c>
      <c r="D721" s="0" t="s">
        <v>1717</v>
      </c>
      <c r="E721" s="0" t="s">
        <v>655</v>
      </c>
      <c r="F721" s="0" t="s">
        <v>730</v>
      </c>
      <c r="G721" s="41" t="n">
        <v>18</v>
      </c>
      <c r="H721" s="25" t="s">
        <v>202</v>
      </c>
    </row>
    <row r="722" customFormat="false" ht="15" hidden="false" customHeight="false" outlineLevel="0" collapsed="false">
      <c r="A722" s="0" t="n">
        <v>6</v>
      </c>
      <c r="B722" s="0" t="s">
        <v>1746</v>
      </c>
      <c r="D722" s="0" t="s">
        <v>1719</v>
      </c>
      <c r="E722" s="0" t="s">
        <v>674</v>
      </c>
      <c r="F722" s="0" t="s">
        <v>1747</v>
      </c>
      <c r="G722" s="41" t="n">
        <v>225</v>
      </c>
      <c r="H722" s="25" t="s">
        <v>188</v>
      </c>
    </row>
    <row r="723" customFormat="false" ht="15" hidden="false" customHeight="false" outlineLevel="0" collapsed="false">
      <c r="A723" s="0" t="n">
        <v>6</v>
      </c>
      <c r="B723" s="0" t="s">
        <v>1746</v>
      </c>
      <c r="D723" s="0" t="s">
        <v>1721</v>
      </c>
      <c r="E723" s="0" t="s">
        <v>655</v>
      </c>
      <c r="F723" s="0" t="s">
        <v>656</v>
      </c>
      <c r="G723" s="41" t="n">
        <v>1</v>
      </c>
      <c r="H723" s="25" t="s">
        <v>193</v>
      </c>
      <c r="I723" s="25" t="s">
        <v>1704</v>
      </c>
    </row>
    <row r="724" customFormat="false" ht="15" hidden="false" customHeight="false" outlineLevel="0" collapsed="false">
      <c r="A724" s="0" t="n">
        <v>6</v>
      </c>
      <c r="B724" s="0" t="s">
        <v>1746</v>
      </c>
      <c r="D724" s="0" t="s">
        <v>1715</v>
      </c>
      <c r="E724" s="0" t="s">
        <v>655</v>
      </c>
      <c r="F724" s="0" t="s">
        <v>656</v>
      </c>
      <c r="G724" s="41" t="n">
        <v>1</v>
      </c>
      <c r="H724" s="25" t="s">
        <v>197</v>
      </c>
      <c r="I724" s="25" t="s">
        <v>1716</v>
      </c>
    </row>
    <row r="725" customFormat="false" ht="15" hidden="false" customHeight="false" outlineLevel="0" collapsed="false">
      <c r="A725" s="0" t="n">
        <v>6</v>
      </c>
      <c r="B725" s="0" t="s">
        <v>1746</v>
      </c>
      <c r="D725" s="0" t="s">
        <v>1717</v>
      </c>
      <c r="E725" s="0" t="s">
        <v>655</v>
      </c>
      <c r="F725" s="0" t="s">
        <v>716</v>
      </c>
      <c r="G725" s="41" t="n">
        <v>12</v>
      </c>
      <c r="H725" s="25" t="s">
        <v>202</v>
      </c>
    </row>
    <row r="726" customFormat="false" ht="15" hidden="false" customHeight="false" outlineLevel="0" collapsed="false">
      <c r="A726" s="0" t="n">
        <v>6</v>
      </c>
      <c r="B726" s="0" t="s">
        <v>1748</v>
      </c>
      <c r="D726" s="0" t="s">
        <v>1713</v>
      </c>
      <c r="E726" s="0" t="s">
        <v>674</v>
      </c>
      <c r="F726" s="0" t="s">
        <v>1749</v>
      </c>
      <c r="G726" s="41" t="n">
        <v>149</v>
      </c>
      <c r="H726" s="25" t="s">
        <v>188</v>
      </c>
    </row>
    <row r="727" customFormat="false" ht="15" hidden="false" customHeight="false" outlineLevel="0" collapsed="false">
      <c r="A727" s="0" t="n">
        <v>6</v>
      </c>
      <c r="B727" s="0" t="s">
        <v>1748</v>
      </c>
      <c r="D727" s="0" t="s">
        <v>1714</v>
      </c>
      <c r="E727" s="0" t="s">
        <v>655</v>
      </c>
      <c r="F727" s="0" t="s">
        <v>656</v>
      </c>
      <c r="G727" s="41" t="n">
        <v>1</v>
      </c>
      <c r="H727" s="25" t="s">
        <v>193</v>
      </c>
      <c r="I727" s="25" t="s">
        <v>1704</v>
      </c>
    </row>
    <row r="728" customFormat="false" ht="15" hidden="false" customHeight="false" outlineLevel="0" collapsed="false">
      <c r="A728" s="0" t="n">
        <v>6</v>
      </c>
      <c r="B728" s="0" t="s">
        <v>1748</v>
      </c>
      <c r="D728" s="0" t="s">
        <v>1750</v>
      </c>
      <c r="E728" s="0" t="s">
        <v>655</v>
      </c>
      <c r="F728" s="0" t="s">
        <v>656</v>
      </c>
      <c r="G728" s="41" t="n">
        <v>1</v>
      </c>
      <c r="H728" s="25" t="s">
        <v>197</v>
      </c>
      <c r="I728" s="25" t="s">
        <v>1716</v>
      </c>
    </row>
    <row r="729" customFormat="false" ht="15" hidden="false" customHeight="false" outlineLevel="0" collapsed="false">
      <c r="A729" s="0" t="n">
        <v>6</v>
      </c>
      <c r="B729" s="0" t="s">
        <v>1748</v>
      </c>
      <c r="D729" s="0" t="s">
        <v>1717</v>
      </c>
      <c r="E729" s="0" t="s">
        <v>655</v>
      </c>
      <c r="F729" s="0" t="s">
        <v>1540</v>
      </c>
      <c r="G729" s="41" t="n">
        <v>14</v>
      </c>
      <c r="H729" s="25" t="s">
        <v>202</v>
      </c>
    </row>
    <row r="730" customFormat="false" ht="15" hidden="false" customHeight="false" outlineLevel="0" collapsed="false">
      <c r="A730" s="0" t="n">
        <v>6</v>
      </c>
      <c r="B730" s="0" t="s">
        <v>1751</v>
      </c>
      <c r="D730" s="0" t="s">
        <v>1719</v>
      </c>
      <c r="E730" s="0" t="s">
        <v>674</v>
      </c>
      <c r="F730" s="0" t="s">
        <v>1752</v>
      </c>
      <c r="G730" s="41" t="n">
        <v>254</v>
      </c>
      <c r="H730" s="25" t="s">
        <v>188</v>
      </c>
    </row>
    <row r="731" customFormat="false" ht="15" hidden="false" customHeight="false" outlineLevel="0" collapsed="false">
      <c r="A731" s="0" t="n">
        <v>6</v>
      </c>
      <c r="B731" s="0" t="s">
        <v>1751</v>
      </c>
      <c r="D731" s="0" t="s">
        <v>1721</v>
      </c>
      <c r="E731" s="0" t="s">
        <v>655</v>
      </c>
      <c r="F731" s="0" t="s">
        <v>656</v>
      </c>
      <c r="G731" s="41" t="n">
        <v>1</v>
      </c>
      <c r="H731" s="25" t="s">
        <v>193</v>
      </c>
      <c r="I731" s="25" t="s">
        <v>1704</v>
      </c>
    </row>
    <row r="732" customFormat="false" ht="15" hidden="false" customHeight="false" outlineLevel="0" collapsed="false">
      <c r="A732" s="0" t="n">
        <v>6</v>
      </c>
      <c r="B732" s="0" t="s">
        <v>1751</v>
      </c>
      <c r="D732" s="0" t="s">
        <v>1753</v>
      </c>
      <c r="E732" s="0" t="s">
        <v>655</v>
      </c>
      <c r="F732" s="0" t="s">
        <v>656</v>
      </c>
      <c r="G732" s="41" t="n">
        <v>1</v>
      </c>
      <c r="H732" s="25" t="s">
        <v>197</v>
      </c>
      <c r="I732" s="25" t="s">
        <v>1716</v>
      </c>
    </row>
    <row r="733" customFormat="false" ht="15" hidden="false" customHeight="false" outlineLevel="0" collapsed="false">
      <c r="A733" s="0" t="n">
        <v>6</v>
      </c>
      <c r="B733" s="0" t="s">
        <v>1751</v>
      </c>
      <c r="D733" s="0" t="s">
        <v>1717</v>
      </c>
      <c r="E733" s="0" t="s">
        <v>655</v>
      </c>
      <c r="F733" s="0" t="s">
        <v>836</v>
      </c>
      <c r="G733" s="41" t="n">
        <v>10</v>
      </c>
      <c r="H733" s="25" t="s">
        <v>202</v>
      </c>
    </row>
    <row r="734" customFormat="false" ht="15" hidden="false" customHeight="false" outlineLevel="0" collapsed="false">
      <c r="A734" s="0" t="n">
        <v>6</v>
      </c>
      <c r="B734" s="0" t="s">
        <v>1754</v>
      </c>
      <c r="D734" s="0" t="s">
        <v>1719</v>
      </c>
      <c r="E734" s="0" t="s">
        <v>674</v>
      </c>
      <c r="F734" s="0" t="s">
        <v>1755</v>
      </c>
      <c r="G734" s="41" t="n">
        <v>174</v>
      </c>
      <c r="H734" s="25" t="s">
        <v>188</v>
      </c>
    </row>
    <row r="735" customFormat="false" ht="15" hidden="false" customHeight="false" outlineLevel="0" collapsed="false">
      <c r="A735" s="0" t="n">
        <v>6</v>
      </c>
      <c r="B735" s="0" t="s">
        <v>1754</v>
      </c>
      <c r="D735" s="0" t="s">
        <v>1756</v>
      </c>
      <c r="E735" s="0" t="s">
        <v>655</v>
      </c>
      <c r="F735" s="0" t="s">
        <v>656</v>
      </c>
      <c r="G735" s="41" t="n">
        <v>1</v>
      </c>
      <c r="H735" s="25" t="s">
        <v>193</v>
      </c>
      <c r="I735" s="25" t="s">
        <v>1704</v>
      </c>
    </row>
    <row r="736" customFormat="false" ht="15" hidden="false" customHeight="false" outlineLevel="0" collapsed="false">
      <c r="A736" s="0" t="n">
        <v>6</v>
      </c>
      <c r="B736" s="0" t="s">
        <v>1754</v>
      </c>
      <c r="D736" s="0" t="s">
        <v>1757</v>
      </c>
      <c r="E736" s="0" t="s">
        <v>655</v>
      </c>
      <c r="F736" s="0" t="s">
        <v>656</v>
      </c>
      <c r="G736" s="41" t="n">
        <v>1</v>
      </c>
      <c r="H736" s="25" t="s">
        <v>197</v>
      </c>
      <c r="I736" s="25" t="s">
        <v>1716</v>
      </c>
    </row>
    <row r="737" customFormat="false" ht="15" hidden="false" customHeight="false" outlineLevel="0" collapsed="false">
      <c r="A737" s="0" t="n">
        <v>6</v>
      </c>
      <c r="B737" s="0" t="s">
        <v>1754</v>
      </c>
      <c r="D737" s="0" t="s">
        <v>1717</v>
      </c>
      <c r="E737" s="0" t="s">
        <v>655</v>
      </c>
      <c r="F737" s="0" t="s">
        <v>836</v>
      </c>
      <c r="G737" s="41" t="n">
        <v>10</v>
      </c>
      <c r="H737" s="25" t="s">
        <v>202</v>
      </c>
    </row>
    <row r="738" customFormat="false" ht="15" hidden="false" customHeight="false" outlineLevel="0" collapsed="false">
      <c r="A738" s="0" t="n">
        <v>6</v>
      </c>
      <c r="B738" s="0" t="s">
        <v>1758</v>
      </c>
      <c r="D738" s="0" t="s">
        <v>1719</v>
      </c>
      <c r="E738" s="0" t="s">
        <v>674</v>
      </c>
      <c r="F738" s="0" t="s">
        <v>1749</v>
      </c>
      <c r="G738" s="41" t="n">
        <v>149</v>
      </c>
      <c r="H738" s="25" t="s">
        <v>188</v>
      </c>
    </row>
    <row r="739" customFormat="false" ht="15" hidden="false" customHeight="false" outlineLevel="0" collapsed="false">
      <c r="A739" s="0" t="n">
        <v>6</v>
      </c>
      <c r="B739" s="0" t="s">
        <v>1758</v>
      </c>
      <c r="D739" s="0" t="s">
        <v>1714</v>
      </c>
      <c r="E739" s="0" t="s">
        <v>655</v>
      </c>
      <c r="F739" s="0" t="s">
        <v>656</v>
      </c>
      <c r="G739" s="41" t="n">
        <v>1</v>
      </c>
      <c r="H739" s="25" t="s">
        <v>193</v>
      </c>
      <c r="I739" s="25" t="s">
        <v>1704</v>
      </c>
    </row>
    <row r="740" customFormat="false" ht="15" hidden="false" customHeight="false" outlineLevel="0" collapsed="false">
      <c r="A740" s="0" t="n">
        <v>6</v>
      </c>
      <c r="B740" s="0" t="s">
        <v>1758</v>
      </c>
      <c r="D740" s="0" t="s">
        <v>1715</v>
      </c>
      <c r="E740" s="0" t="s">
        <v>655</v>
      </c>
      <c r="F740" s="0" t="s">
        <v>656</v>
      </c>
      <c r="G740" s="41" t="n">
        <v>1</v>
      </c>
      <c r="H740" s="25" t="s">
        <v>197</v>
      </c>
      <c r="I740" s="25" t="s">
        <v>1716</v>
      </c>
    </row>
    <row r="741" customFormat="false" ht="15" hidden="false" customHeight="false" outlineLevel="0" collapsed="false">
      <c r="A741" s="0" t="n">
        <v>6</v>
      </c>
      <c r="B741" s="0" t="s">
        <v>1758</v>
      </c>
      <c r="D741" s="0" t="s">
        <v>1717</v>
      </c>
      <c r="E741" s="0" t="s">
        <v>655</v>
      </c>
      <c r="F741" s="0" t="s">
        <v>730</v>
      </c>
      <c r="G741" s="41" t="n">
        <v>18</v>
      </c>
      <c r="H741" s="25" t="s">
        <v>202</v>
      </c>
    </row>
    <row r="742" customFormat="false" ht="15" hidden="false" customHeight="false" outlineLevel="0" collapsed="false">
      <c r="A742" s="0" t="n">
        <v>6</v>
      </c>
      <c r="B742" s="0" t="s">
        <v>1759</v>
      </c>
      <c r="D742" s="0" t="s">
        <v>1719</v>
      </c>
      <c r="E742" s="0" t="s">
        <v>674</v>
      </c>
      <c r="F742" s="0" t="s">
        <v>1587</v>
      </c>
      <c r="G742" s="41" t="n">
        <v>68</v>
      </c>
      <c r="H742" s="25" t="s">
        <v>188</v>
      </c>
    </row>
    <row r="743" customFormat="false" ht="15" hidden="false" customHeight="false" outlineLevel="0" collapsed="false">
      <c r="A743" s="0" t="n">
        <v>6</v>
      </c>
      <c r="B743" s="0" t="s">
        <v>1759</v>
      </c>
      <c r="D743" s="0" t="s">
        <v>1721</v>
      </c>
      <c r="E743" s="0" t="s">
        <v>655</v>
      </c>
      <c r="F743" s="0" t="s">
        <v>656</v>
      </c>
      <c r="G743" s="41" t="n">
        <v>1</v>
      </c>
      <c r="H743" s="25" t="s">
        <v>193</v>
      </c>
      <c r="I743" s="25" t="s">
        <v>1704</v>
      </c>
    </row>
    <row r="744" customFormat="false" ht="15" hidden="false" customHeight="false" outlineLevel="0" collapsed="false">
      <c r="A744" s="0" t="n">
        <v>6</v>
      </c>
      <c r="B744" s="0" t="s">
        <v>1759</v>
      </c>
      <c r="D744" s="0" t="s">
        <v>1715</v>
      </c>
      <c r="E744" s="0" t="s">
        <v>655</v>
      </c>
      <c r="F744" s="0" t="s">
        <v>656</v>
      </c>
      <c r="G744" s="41" t="n">
        <v>1</v>
      </c>
      <c r="H744" s="25" t="s">
        <v>197</v>
      </c>
      <c r="I744" s="25" t="s">
        <v>1716</v>
      </c>
    </row>
    <row r="745" customFormat="false" ht="15" hidden="false" customHeight="false" outlineLevel="0" collapsed="false">
      <c r="A745" s="0" t="n">
        <v>6</v>
      </c>
      <c r="B745" s="0" t="s">
        <v>1759</v>
      </c>
      <c r="D745" s="0" t="s">
        <v>1717</v>
      </c>
      <c r="E745" s="0" t="s">
        <v>655</v>
      </c>
      <c r="F745" s="0" t="s">
        <v>690</v>
      </c>
      <c r="G745" s="41" t="n">
        <v>5</v>
      </c>
      <c r="H745" s="25" t="s">
        <v>202</v>
      </c>
    </row>
    <row r="746" customFormat="false" ht="15" hidden="false" customHeight="false" outlineLevel="0" collapsed="false">
      <c r="A746" s="0" t="n">
        <v>6</v>
      </c>
      <c r="B746" s="0" t="s">
        <v>1760</v>
      </c>
      <c r="D746" s="0" t="s">
        <v>1761</v>
      </c>
      <c r="E746" s="0" t="s">
        <v>674</v>
      </c>
      <c r="F746" s="0" t="s">
        <v>1156</v>
      </c>
      <c r="G746" s="41" t="n">
        <v>26</v>
      </c>
      <c r="H746" s="25" t="s">
        <v>188</v>
      </c>
    </row>
    <row r="747" customFormat="false" ht="15" hidden="false" customHeight="false" outlineLevel="0" collapsed="false">
      <c r="A747" s="0" t="n">
        <v>6</v>
      </c>
      <c r="B747" s="0" t="s">
        <v>1760</v>
      </c>
      <c r="D747" s="0" t="s">
        <v>1762</v>
      </c>
      <c r="E747" s="0" t="s">
        <v>261</v>
      </c>
      <c r="F747" s="0" t="s">
        <v>1763</v>
      </c>
      <c r="G747" s="41" t="n">
        <v>56</v>
      </c>
      <c r="H747" s="25" t="s">
        <v>188</v>
      </c>
    </row>
    <row r="748" customFormat="false" ht="15" hidden="false" customHeight="false" outlineLevel="0" collapsed="false">
      <c r="A748" s="0" t="n">
        <v>6</v>
      </c>
      <c r="B748" s="0" t="s">
        <v>1760</v>
      </c>
      <c r="D748" s="0" t="s">
        <v>1764</v>
      </c>
      <c r="E748" s="0" t="s">
        <v>261</v>
      </c>
      <c r="F748" s="0" t="s">
        <v>797</v>
      </c>
      <c r="G748" s="41" t="n">
        <v>7</v>
      </c>
      <c r="H748" s="25" t="s">
        <v>188</v>
      </c>
    </row>
    <row r="749" customFormat="false" ht="15" hidden="false" customHeight="false" outlineLevel="0" collapsed="false">
      <c r="A749" s="0" t="n">
        <v>6</v>
      </c>
      <c r="B749" s="0" t="s">
        <v>1760</v>
      </c>
      <c r="D749" s="0" t="s">
        <v>1765</v>
      </c>
      <c r="E749" s="0" t="s">
        <v>655</v>
      </c>
      <c r="F749" s="0" t="s">
        <v>659</v>
      </c>
      <c r="G749" s="41" t="n">
        <v>2</v>
      </c>
      <c r="H749" s="25" t="s">
        <v>193</v>
      </c>
      <c r="I749" s="25" t="s">
        <v>1704</v>
      </c>
    </row>
    <row r="750" customFormat="false" ht="15" hidden="false" customHeight="false" outlineLevel="0" collapsed="false">
      <c r="A750" s="0" t="n">
        <v>6</v>
      </c>
      <c r="B750" s="0" t="s">
        <v>1760</v>
      </c>
      <c r="D750" s="0" t="s">
        <v>1765</v>
      </c>
      <c r="E750" s="0" t="s">
        <v>655</v>
      </c>
      <c r="F750" s="0" t="s">
        <v>656</v>
      </c>
      <c r="G750" s="41" t="n">
        <v>1</v>
      </c>
      <c r="H750" s="25" t="s">
        <v>197</v>
      </c>
      <c r="I750" s="25" t="s">
        <v>1716</v>
      </c>
    </row>
    <row r="751" customFormat="false" ht="15" hidden="false" customHeight="false" outlineLevel="0" collapsed="false">
      <c r="A751" s="0" t="n">
        <v>6</v>
      </c>
      <c r="B751" s="0" t="s">
        <v>1760</v>
      </c>
      <c r="D751" s="0" t="s">
        <v>1766</v>
      </c>
      <c r="E751" s="0" t="s">
        <v>655</v>
      </c>
      <c r="F751" s="0" t="s">
        <v>781</v>
      </c>
      <c r="G751" s="41" t="n">
        <v>8</v>
      </c>
      <c r="H751" s="25" t="s">
        <v>202</v>
      </c>
    </row>
    <row r="752" customFormat="false" ht="15" hidden="false" customHeight="false" outlineLevel="0" collapsed="false">
      <c r="A752" s="0" t="n">
        <v>6</v>
      </c>
      <c r="B752" s="0" t="s">
        <v>1767</v>
      </c>
      <c r="D752" s="0" t="s">
        <v>1761</v>
      </c>
      <c r="E752" s="0" t="s">
        <v>261</v>
      </c>
      <c r="F752" s="0" t="s">
        <v>868</v>
      </c>
      <c r="G752" s="41" t="n">
        <v>54</v>
      </c>
      <c r="H752" s="25" t="s">
        <v>188</v>
      </c>
    </row>
    <row r="753" customFormat="false" ht="15" hidden="false" customHeight="false" outlineLevel="0" collapsed="false">
      <c r="A753" s="0" t="n">
        <v>6</v>
      </c>
      <c r="B753" s="0" t="s">
        <v>1767</v>
      </c>
      <c r="D753" s="0" t="s">
        <v>1762</v>
      </c>
      <c r="E753" s="0" t="s">
        <v>261</v>
      </c>
      <c r="F753" s="0" t="s">
        <v>1763</v>
      </c>
      <c r="G753" s="41" t="n">
        <v>56</v>
      </c>
      <c r="H753" s="25" t="s">
        <v>188</v>
      </c>
    </row>
    <row r="754" customFormat="false" ht="15" hidden="false" customHeight="false" outlineLevel="0" collapsed="false">
      <c r="A754" s="0" t="n">
        <v>6</v>
      </c>
      <c r="B754" s="0" t="s">
        <v>1767</v>
      </c>
      <c r="D754" s="0" t="s">
        <v>1764</v>
      </c>
      <c r="E754" s="0" t="s">
        <v>261</v>
      </c>
      <c r="F754" s="0" t="s">
        <v>797</v>
      </c>
      <c r="G754" s="41" t="n">
        <v>7</v>
      </c>
      <c r="H754" s="25" t="s">
        <v>188</v>
      </c>
    </row>
    <row r="755" customFormat="false" ht="15" hidden="false" customHeight="false" outlineLevel="0" collapsed="false">
      <c r="A755" s="0" t="n">
        <v>6</v>
      </c>
      <c r="B755" s="0" t="s">
        <v>1767</v>
      </c>
      <c r="D755" s="0" t="s">
        <v>1765</v>
      </c>
      <c r="E755" s="0" t="s">
        <v>100</v>
      </c>
      <c r="F755" s="0" t="s">
        <v>659</v>
      </c>
      <c r="G755" s="41" t="n">
        <v>2</v>
      </c>
      <c r="H755" s="25" t="s">
        <v>193</v>
      </c>
      <c r="I755" s="25" t="s">
        <v>1704</v>
      </c>
    </row>
    <row r="756" customFormat="false" ht="15" hidden="false" customHeight="false" outlineLevel="0" collapsed="false">
      <c r="A756" s="0" t="n">
        <v>6</v>
      </c>
      <c r="B756" s="0" t="s">
        <v>1767</v>
      </c>
      <c r="D756" s="0" t="s">
        <v>1765</v>
      </c>
      <c r="E756" s="0" t="s">
        <v>100</v>
      </c>
      <c r="F756" s="0" t="s">
        <v>656</v>
      </c>
      <c r="G756" s="41" t="n">
        <v>1</v>
      </c>
      <c r="H756" s="25" t="s">
        <v>197</v>
      </c>
      <c r="I756" s="25" t="s">
        <v>1716</v>
      </c>
    </row>
    <row r="757" customFormat="false" ht="15" hidden="false" customHeight="false" outlineLevel="0" collapsed="false">
      <c r="A757" s="0" t="n">
        <v>6</v>
      </c>
      <c r="B757" s="0" t="s">
        <v>1767</v>
      </c>
      <c r="D757" s="0" t="s">
        <v>1766</v>
      </c>
      <c r="E757" s="0" t="s">
        <v>1768</v>
      </c>
      <c r="F757" s="0" t="s">
        <v>781</v>
      </c>
      <c r="G757" s="41" t="n">
        <v>8</v>
      </c>
      <c r="H757" s="25" t="s">
        <v>202</v>
      </c>
    </row>
    <row r="758" customFormat="false" ht="15" hidden="false" customHeight="false" outlineLevel="0" collapsed="false">
      <c r="A758" s="0" t="n">
        <v>6</v>
      </c>
      <c r="B758" s="0" t="s">
        <v>1769</v>
      </c>
      <c r="D758" s="0" t="s">
        <v>1770</v>
      </c>
      <c r="E758" s="0" t="s">
        <v>261</v>
      </c>
      <c r="F758" s="0" t="s">
        <v>788</v>
      </c>
      <c r="G758" s="41" t="n">
        <v>20</v>
      </c>
      <c r="H758" s="25" t="s">
        <v>188</v>
      </c>
    </row>
    <row r="759" customFormat="false" ht="15" hidden="false" customHeight="false" outlineLevel="0" collapsed="false">
      <c r="A759" s="0" t="n">
        <v>6</v>
      </c>
      <c r="B759" s="0" t="s">
        <v>1769</v>
      </c>
      <c r="D759" s="0" t="s">
        <v>1762</v>
      </c>
      <c r="E759" s="0" t="s">
        <v>261</v>
      </c>
      <c r="F759" s="0" t="s">
        <v>1540</v>
      </c>
      <c r="G759" s="41" t="n">
        <v>14</v>
      </c>
      <c r="H759" s="25" t="s">
        <v>188</v>
      </c>
    </row>
    <row r="760" customFormat="false" ht="15" hidden="false" customHeight="false" outlineLevel="0" collapsed="false">
      <c r="A760" s="0" t="n">
        <v>6</v>
      </c>
      <c r="B760" s="0" t="s">
        <v>1769</v>
      </c>
      <c r="D760" s="0" t="s">
        <v>1771</v>
      </c>
      <c r="E760" s="0" t="s">
        <v>261</v>
      </c>
      <c r="F760" s="0" t="s">
        <v>788</v>
      </c>
      <c r="G760" s="41" t="n">
        <v>20</v>
      </c>
      <c r="H760" s="25" t="s">
        <v>188</v>
      </c>
    </row>
    <row r="761" customFormat="false" ht="15" hidden="false" customHeight="false" outlineLevel="0" collapsed="false">
      <c r="A761" s="0" t="n">
        <v>6</v>
      </c>
      <c r="B761" s="0" t="s">
        <v>1769</v>
      </c>
      <c r="D761" s="0" t="s">
        <v>1772</v>
      </c>
      <c r="E761" s="0" t="s">
        <v>261</v>
      </c>
      <c r="F761" s="0" t="s">
        <v>788</v>
      </c>
      <c r="G761" s="41" t="n">
        <v>20</v>
      </c>
      <c r="H761" s="25" t="s">
        <v>188</v>
      </c>
    </row>
    <row r="762" customFormat="false" ht="15" hidden="false" customHeight="false" outlineLevel="0" collapsed="false">
      <c r="A762" s="0" t="n">
        <v>6</v>
      </c>
      <c r="B762" s="0" t="s">
        <v>1769</v>
      </c>
      <c r="D762" s="0" t="s">
        <v>1773</v>
      </c>
      <c r="E762" s="0" t="s">
        <v>261</v>
      </c>
      <c r="F762" s="0" t="s">
        <v>788</v>
      </c>
      <c r="G762" s="41" t="n">
        <v>20</v>
      </c>
      <c r="H762" s="25" t="s">
        <v>188</v>
      </c>
    </row>
    <row r="763" customFormat="false" ht="15" hidden="false" customHeight="false" outlineLevel="0" collapsed="false">
      <c r="A763" s="0" t="n">
        <v>6</v>
      </c>
      <c r="B763" s="0" t="s">
        <v>1769</v>
      </c>
      <c r="D763" s="0" t="s">
        <v>1765</v>
      </c>
      <c r="E763" s="0" t="s">
        <v>100</v>
      </c>
      <c r="F763" s="0" t="s">
        <v>659</v>
      </c>
      <c r="G763" s="41" t="n">
        <v>2</v>
      </c>
      <c r="H763" s="25" t="s">
        <v>193</v>
      </c>
      <c r="I763" s="25" t="s">
        <v>1704</v>
      </c>
    </row>
    <row r="764" customFormat="false" ht="15" hidden="false" customHeight="false" outlineLevel="0" collapsed="false">
      <c r="A764" s="0" t="n">
        <v>6</v>
      </c>
      <c r="B764" s="0" t="s">
        <v>1769</v>
      </c>
      <c r="D764" s="0" t="s">
        <v>1765</v>
      </c>
      <c r="E764" s="0" t="s">
        <v>100</v>
      </c>
      <c r="F764" s="0" t="s">
        <v>656</v>
      </c>
      <c r="G764" s="41" t="n">
        <v>1</v>
      </c>
      <c r="H764" s="25" t="s">
        <v>197</v>
      </c>
      <c r="I764" s="25" t="s">
        <v>1716</v>
      </c>
    </row>
    <row r="765" customFormat="false" ht="15" hidden="false" customHeight="false" outlineLevel="0" collapsed="false">
      <c r="A765" s="0" t="n">
        <v>6</v>
      </c>
      <c r="B765" s="0" t="s">
        <v>1769</v>
      </c>
      <c r="D765" s="0" t="s">
        <v>1766</v>
      </c>
      <c r="E765" s="0" t="s">
        <v>100</v>
      </c>
      <c r="F765" s="0" t="s">
        <v>1774</v>
      </c>
      <c r="G765" s="41" t="n">
        <v>22</v>
      </c>
      <c r="H765" s="25" t="s">
        <v>202</v>
      </c>
    </row>
    <row r="766" customFormat="false" ht="15" hidden="false" customHeight="false" outlineLevel="0" collapsed="false">
      <c r="A766" s="0" t="n">
        <v>6</v>
      </c>
      <c r="B766" s="0" t="s">
        <v>1775</v>
      </c>
      <c r="D766" s="0" t="s">
        <v>1776</v>
      </c>
      <c r="E766" s="0" t="s">
        <v>261</v>
      </c>
      <c r="F766" s="0" t="s">
        <v>1100</v>
      </c>
      <c r="G766" s="41" t="n">
        <v>25</v>
      </c>
      <c r="H766" s="25" t="s">
        <v>188</v>
      </c>
    </row>
    <row r="767" customFormat="false" ht="15" hidden="false" customHeight="false" outlineLevel="0" collapsed="false">
      <c r="A767" s="0" t="n">
        <v>6</v>
      </c>
      <c r="B767" s="0" t="s">
        <v>1775</v>
      </c>
      <c r="D767" s="0" t="s">
        <v>1762</v>
      </c>
      <c r="E767" s="0" t="s">
        <v>261</v>
      </c>
      <c r="F767" s="0" t="s">
        <v>836</v>
      </c>
      <c r="G767" s="41" t="n">
        <v>10</v>
      </c>
      <c r="H767" s="25" t="s">
        <v>188</v>
      </c>
    </row>
    <row r="768" customFormat="false" ht="15" hidden="false" customHeight="false" outlineLevel="0" collapsed="false">
      <c r="A768" s="0" t="n">
        <v>6</v>
      </c>
      <c r="B768" s="0" t="s">
        <v>1775</v>
      </c>
      <c r="D768" s="0" t="s">
        <v>1771</v>
      </c>
      <c r="E768" s="0" t="s">
        <v>261</v>
      </c>
      <c r="F768" s="0" t="s">
        <v>690</v>
      </c>
      <c r="G768" s="41" t="n">
        <v>5</v>
      </c>
      <c r="H768" s="25" t="s">
        <v>188</v>
      </c>
    </row>
    <row r="769" customFormat="false" ht="15" hidden="false" customHeight="false" outlineLevel="0" collapsed="false">
      <c r="A769" s="0" t="n">
        <v>6</v>
      </c>
      <c r="B769" s="0" t="s">
        <v>1775</v>
      </c>
      <c r="D769" s="0" t="s">
        <v>1772</v>
      </c>
      <c r="E769" s="0" t="s">
        <v>261</v>
      </c>
      <c r="F769" s="0" t="s">
        <v>1777</v>
      </c>
      <c r="G769" s="41" t="n">
        <v>35</v>
      </c>
      <c r="H769" s="25" t="s">
        <v>188</v>
      </c>
    </row>
    <row r="770" customFormat="false" ht="15" hidden="false" customHeight="false" outlineLevel="0" collapsed="false">
      <c r="A770" s="0" t="n">
        <v>6</v>
      </c>
      <c r="B770" s="0" t="s">
        <v>1775</v>
      </c>
      <c r="D770" s="0" t="s">
        <v>1773</v>
      </c>
      <c r="E770" s="0" t="s">
        <v>261</v>
      </c>
      <c r="F770" s="0" t="s">
        <v>730</v>
      </c>
      <c r="G770" s="41" t="n">
        <v>18</v>
      </c>
      <c r="H770" s="25" t="s">
        <v>188</v>
      </c>
    </row>
    <row r="771" customFormat="false" ht="15" hidden="false" customHeight="false" outlineLevel="0" collapsed="false">
      <c r="A771" s="0" t="n">
        <v>6</v>
      </c>
      <c r="B771" s="0" t="s">
        <v>1775</v>
      </c>
      <c r="D771" s="0" t="s">
        <v>1765</v>
      </c>
      <c r="E771" s="0" t="s">
        <v>100</v>
      </c>
      <c r="F771" s="0" t="s">
        <v>659</v>
      </c>
      <c r="G771" s="41" t="n">
        <v>2</v>
      </c>
      <c r="H771" s="25" t="s">
        <v>193</v>
      </c>
      <c r="I771" s="25" t="s">
        <v>1704</v>
      </c>
    </row>
    <row r="772" customFormat="false" ht="15" hidden="false" customHeight="false" outlineLevel="0" collapsed="false">
      <c r="A772" s="0" t="n">
        <v>6</v>
      </c>
      <c r="B772" s="0" t="s">
        <v>1775</v>
      </c>
      <c r="D772" s="0" t="s">
        <v>1765</v>
      </c>
      <c r="E772" s="0" t="s">
        <v>100</v>
      </c>
      <c r="F772" s="0" t="s">
        <v>656</v>
      </c>
      <c r="G772" s="41" t="n">
        <v>1</v>
      </c>
      <c r="H772" s="25" t="s">
        <v>197</v>
      </c>
      <c r="I772" s="25" t="s">
        <v>1716</v>
      </c>
    </row>
    <row r="773" customFormat="false" ht="15" hidden="false" customHeight="false" outlineLevel="0" collapsed="false">
      <c r="A773" s="0" t="n">
        <v>6</v>
      </c>
      <c r="B773" s="0" t="s">
        <v>1775</v>
      </c>
      <c r="D773" s="0" t="s">
        <v>1766</v>
      </c>
      <c r="E773" s="0" t="s">
        <v>100</v>
      </c>
      <c r="F773" s="0" t="s">
        <v>730</v>
      </c>
      <c r="G773" s="41" t="n">
        <v>18</v>
      </c>
      <c r="H773" s="25" t="s">
        <v>202</v>
      </c>
    </row>
    <row r="774" customFormat="false" ht="15" hidden="false" customHeight="false" outlineLevel="0" collapsed="false">
      <c r="A774" s="0" t="n">
        <v>6</v>
      </c>
      <c r="B774" s="0" t="s">
        <v>1778</v>
      </c>
      <c r="D774" s="0" t="s">
        <v>1776</v>
      </c>
      <c r="E774" s="0" t="s">
        <v>261</v>
      </c>
      <c r="F774" s="0" t="s">
        <v>1777</v>
      </c>
      <c r="G774" s="41" t="n">
        <v>35</v>
      </c>
      <c r="H774" s="25" t="s">
        <v>188</v>
      </c>
    </row>
    <row r="775" customFormat="false" ht="15" hidden="false" customHeight="false" outlineLevel="0" collapsed="false">
      <c r="A775" s="0" t="n">
        <v>6</v>
      </c>
      <c r="B775" s="0" t="s">
        <v>1778</v>
      </c>
      <c r="D775" s="0" t="s">
        <v>1762</v>
      </c>
      <c r="E775" s="0" t="s">
        <v>261</v>
      </c>
      <c r="F775" s="0" t="s">
        <v>716</v>
      </c>
      <c r="G775" s="41" t="n">
        <v>12</v>
      </c>
      <c r="H775" s="25" t="s">
        <v>188</v>
      </c>
    </row>
    <row r="776" customFormat="false" ht="15" hidden="false" customHeight="false" outlineLevel="0" collapsed="false">
      <c r="A776" s="0" t="n">
        <v>6</v>
      </c>
      <c r="B776" s="0" t="s">
        <v>1778</v>
      </c>
      <c r="D776" s="0" t="s">
        <v>1771</v>
      </c>
      <c r="E776" s="0" t="s">
        <v>261</v>
      </c>
      <c r="F776" s="0" t="s">
        <v>910</v>
      </c>
      <c r="G776" s="41" t="n">
        <v>13</v>
      </c>
      <c r="H776" s="25" t="s">
        <v>188</v>
      </c>
    </row>
    <row r="777" customFormat="false" ht="15" hidden="false" customHeight="false" outlineLevel="0" collapsed="false">
      <c r="A777" s="0" t="n">
        <v>6</v>
      </c>
      <c r="B777" s="0" t="s">
        <v>1778</v>
      </c>
      <c r="D777" s="0" t="s">
        <v>1772</v>
      </c>
      <c r="E777" s="0" t="s">
        <v>261</v>
      </c>
      <c r="F777" s="0" t="s">
        <v>1141</v>
      </c>
      <c r="G777" s="41" t="n">
        <v>42</v>
      </c>
      <c r="H777" s="25" t="s">
        <v>188</v>
      </c>
    </row>
    <row r="778" customFormat="false" ht="15" hidden="false" customHeight="false" outlineLevel="0" collapsed="false">
      <c r="A778" s="0" t="n">
        <v>6</v>
      </c>
      <c r="B778" s="0" t="s">
        <v>1778</v>
      </c>
      <c r="D778" s="0" t="s">
        <v>1773</v>
      </c>
      <c r="E778" s="0" t="s">
        <v>261</v>
      </c>
      <c r="F778" s="0" t="s">
        <v>1774</v>
      </c>
      <c r="G778" s="41" t="n">
        <v>22</v>
      </c>
      <c r="H778" s="25" t="s">
        <v>188</v>
      </c>
    </row>
    <row r="779" customFormat="false" ht="15" hidden="false" customHeight="false" outlineLevel="0" collapsed="false">
      <c r="A779" s="0" t="n">
        <v>6</v>
      </c>
      <c r="B779" s="0" t="s">
        <v>1778</v>
      </c>
      <c r="D779" s="0" t="s">
        <v>1765</v>
      </c>
      <c r="E779" s="0" t="s">
        <v>100</v>
      </c>
      <c r="F779" s="0" t="s">
        <v>659</v>
      </c>
      <c r="G779" s="41" t="n">
        <v>2</v>
      </c>
      <c r="H779" s="25" t="s">
        <v>193</v>
      </c>
      <c r="I779" s="25" t="s">
        <v>1704</v>
      </c>
    </row>
    <row r="780" customFormat="false" ht="15" hidden="false" customHeight="false" outlineLevel="0" collapsed="false">
      <c r="A780" s="0" t="n">
        <v>6</v>
      </c>
      <c r="B780" s="0" t="s">
        <v>1778</v>
      </c>
      <c r="D780" s="0" t="s">
        <v>1765</v>
      </c>
      <c r="E780" s="0" t="s">
        <v>100</v>
      </c>
      <c r="F780" s="0" t="s">
        <v>656</v>
      </c>
      <c r="G780" s="41" t="n">
        <v>1</v>
      </c>
      <c r="H780" s="25" t="s">
        <v>197</v>
      </c>
      <c r="I780" s="25" t="s">
        <v>1716</v>
      </c>
    </row>
    <row r="781" customFormat="false" ht="15" hidden="false" customHeight="false" outlineLevel="0" collapsed="false">
      <c r="A781" s="0" t="n">
        <v>6</v>
      </c>
      <c r="B781" s="0" t="s">
        <v>1778</v>
      </c>
      <c r="D781" s="0" t="s">
        <v>1766</v>
      </c>
      <c r="E781" s="0" t="s">
        <v>100</v>
      </c>
      <c r="F781" s="0" t="s">
        <v>664</v>
      </c>
      <c r="G781" s="41" t="n">
        <v>21</v>
      </c>
      <c r="H781" s="25" t="s">
        <v>202</v>
      </c>
    </row>
    <row r="782" customFormat="false" ht="15" hidden="false" customHeight="false" outlineLevel="0" collapsed="false">
      <c r="A782" s="0" t="n">
        <v>6</v>
      </c>
      <c r="B782" s="0" t="s">
        <v>1779</v>
      </c>
      <c r="D782" s="0" t="s">
        <v>1776</v>
      </c>
      <c r="E782" s="0" t="s">
        <v>261</v>
      </c>
      <c r="F782" s="0" t="s">
        <v>1777</v>
      </c>
      <c r="G782" s="41" t="n">
        <v>35</v>
      </c>
      <c r="H782" s="25" t="s">
        <v>188</v>
      </c>
    </row>
    <row r="783" customFormat="false" ht="15" hidden="false" customHeight="false" outlineLevel="0" collapsed="false">
      <c r="A783" s="0" t="n">
        <v>6</v>
      </c>
      <c r="B783" s="0" t="s">
        <v>1779</v>
      </c>
      <c r="D783" s="0" t="s">
        <v>1762</v>
      </c>
      <c r="E783" s="0" t="s">
        <v>261</v>
      </c>
      <c r="F783" s="0" t="s">
        <v>836</v>
      </c>
      <c r="G783" s="41" t="n">
        <v>10</v>
      </c>
      <c r="H783" s="25" t="s">
        <v>188</v>
      </c>
    </row>
    <row r="784" customFormat="false" ht="15" hidden="false" customHeight="false" outlineLevel="0" collapsed="false">
      <c r="A784" s="0" t="n">
        <v>6</v>
      </c>
      <c r="B784" s="0" t="s">
        <v>1779</v>
      </c>
      <c r="D784" s="0" t="s">
        <v>1771</v>
      </c>
      <c r="E784" s="0" t="s">
        <v>261</v>
      </c>
      <c r="F784" s="0" t="s">
        <v>1540</v>
      </c>
      <c r="G784" s="41" t="n">
        <v>14</v>
      </c>
      <c r="H784" s="25" t="s">
        <v>188</v>
      </c>
    </row>
    <row r="785" customFormat="false" ht="15" hidden="false" customHeight="false" outlineLevel="0" collapsed="false">
      <c r="A785" s="0" t="n">
        <v>6</v>
      </c>
      <c r="B785" s="0" t="s">
        <v>1779</v>
      </c>
      <c r="D785" s="0" t="s">
        <v>1772</v>
      </c>
      <c r="E785" s="0" t="s">
        <v>261</v>
      </c>
      <c r="F785" s="0" t="s">
        <v>808</v>
      </c>
      <c r="G785" s="41" t="n">
        <v>24</v>
      </c>
      <c r="H785" s="25" t="s">
        <v>188</v>
      </c>
    </row>
    <row r="786" customFormat="false" ht="15" hidden="false" customHeight="false" outlineLevel="0" collapsed="false">
      <c r="A786" s="0" t="n">
        <v>6</v>
      </c>
      <c r="B786" s="0" t="s">
        <v>1779</v>
      </c>
      <c r="D786" s="0" t="s">
        <v>1773</v>
      </c>
      <c r="E786" s="0" t="s">
        <v>261</v>
      </c>
      <c r="F786" s="0" t="s">
        <v>1741</v>
      </c>
      <c r="G786" s="41" t="n">
        <v>17</v>
      </c>
      <c r="H786" s="25" t="s">
        <v>188</v>
      </c>
    </row>
    <row r="787" customFormat="false" ht="15" hidden="false" customHeight="false" outlineLevel="0" collapsed="false">
      <c r="A787" s="0" t="n">
        <v>6</v>
      </c>
      <c r="B787" s="0" t="s">
        <v>1779</v>
      </c>
      <c r="D787" s="0" t="s">
        <v>1765</v>
      </c>
      <c r="E787" s="0" t="s">
        <v>100</v>
      </c>
      <c r="F787" s="0" t="s">
        <v>659</v>
      </c>
      <c r="G787" s="41" t="n">
        <v>2</v>
      </c>
      <c r="H787" s="25" t="s">
        <v>193</v>
      </c>
      <c r="I787" s="25" t="s">
        <v>1704</v>
      </c>
    </row>
    <row r="788" customFormat="false" ht="15" hidden="false" customHeight="false" outlineLevel="0" collapsed="false">
      <c r="A788" s="0" t="n">
        <v>6</v>
      </c>
      <c r="B788" s="0" t="s">
        <v>1779</v>
      </c>
      <c r="D788" s="0" t="s">
        <v>1765</v>
      </c>
      <c r="E788" s="0" t="s">
        <v>100</v>
      </c>
      <c r="F788" s="0" t="s">
        <v>656</v>
      </c>
      <c r="G788" s="41" t="n">
        <v>1</v>
      </c>
      <c r="H788" s="25" t="s">
        <v>197</v>
      </c>
      <c r="I788" s="25" t="s">
        <v>1716</v>
      </c>
    </row>
    <row r="789" customFormat="false" ht="15" hidden="false" customHeight="false" outlineLevel="0" collapsed="false">
      <c r="A789" s="0" t="n">
        <v>6</v>
      </c>
      <c r="B789" s="0" t="s">
        <v>1779</v>
      </c>
      <c r="D789" s="0" t="s">
        <v>1766</v>
      </c>
      <c r="E789" s="0" t="s">
        <v>100</v>
      </c>
      <c r="F789" s="0" t="s">
        <v>664</v>
      </c>
      <c r="G789" s="41" t="n">
        <v>21</v>
      </c>
      <c r="H789" s="25" t="s">
        <v>202</v>
      </c>
    </row>
    <row r="790" customFormat="false" ht="15" hidden="false" customHeight="false" outlineLevel="0" collapsed="false">
      <c r="A790" s="0" t="n">
        <v>6</v>
      </c>
      <c r="B790" s="0" t="s">
        <v>1780</v>
      </c>
      <c r="D790" s="0" t="s">
        <v>1781</v>
      </c>
      <c r="E790" s="0" t="s">
        <v>261</v>
      </c>
      <c r="F790" s="0" t="s">
        <v>861</v>
      </c>
      <c r="G790" s="41" t="n">
        <v>15</v>
      </c>
      <c r="H790" s="25" t="s">
        <v>188</v>
      </c>
    </row>
    <row r="791" customFormat="false" ht="15" hidden="false" customHeight="false" outlineLevel="0" collapsed="false">
      <c r="A791" s="0" t="n">
        <v>6</v>
      </c>
      <c r="B791" s="0" t="s">
        <v>1780</v>
      </c>
      <c r="D791" s="0" t="s">
        <v>1773</v>
      </c>
      <c r="E791" s="0" t="s">
        <v>261</v>
      </c>
      <c r="F791" s="0" t="s">
        <v>861</v>
      </c>
      <c r="G791" s="41" t="n">
        <v>15</v>
      </c>
      <c r="H791" s="25" t="s">
        <v>188</v>
      </c>
    </row>
    <row r="792" customFormat="false" ht="15" hidden="false" customHeight="false" outlineLevel="0" collapsed="false">
      <c r="A792" s="0" t="n">
        <v>6</v>
      </c>
      <c r="B792" s="0" t="s">
        <v>1780</v>
      </c>
      <c r="D792" s="0" t="s">
        <v>1765</v>
      </c>
      <c r="E792" s="0" t="s">
        <v>100</v>
      </c>
      <c r="F792" s="0" t="s">
        <v>659</v>
      </c>
      <c r="G792" s="41" t="n">
        <v>2</v>
      </c>
      <c r="H792" s="25" t="s">
        <v>193</v>
      </c>
      <c r="I792" s="25" t="s">
        <v>1704</v>
      </c>
    </row>
    <row r="793" customFormat="false" ht="15" hidden="false" customHeight="false" outlineLevel="0" collapsed="false">
      <c r="A793" s="0" t="n">
        <v>6</v>
      </c>
      <c r="B793" s="0" t="s">
        <v>1780</v>
      </c>
      <c r="D793" s="0" t="s">
        <v>1765</v>
      </c>
      <c r="E793" s="0" t="s">
        <v>100</v>
      </c>
      <c r="F793" s="0" t="s">
        <v>656</v>
      </c>
      <c r="G793" s="41" t="n">
        <v>1</v>
      </c>
      <c r="H793" s="25" t="s">
        <v>197</v>
      </c>
      <c r="I793" s="25" t="s">
        <v>1716</v>
      </c>
    </row>
    <row r="794" customFormat="false" ht="15" hidden="false" customHeight="false" outlineLevel="0" collapsed="false">
      <c r="A794" s="0" t="n">
        <v>6</v>
      </c>
      <c r="B794" s="0" t="s">
        <v>1780</v>
      </c>
      <c r="D794" s="0" t="s">
        <v>1766</v>
      </c>
      <c r="E794" s="0" t="s">
        <v>100</v>
      </c>
      <c r="F794" s="0" t="s">
        <v>861</v>
      </c>
      <c r="G794" s="41" t="n">
        <v>15</v>
      </c>
      <c r="H794" s="25" t="s">
        <v>202</v>
      </c>
    </row>
    <row r="795" customFormat="false" ht="15" hidden="false" customHeight="false" outlineLevel="0" collapsed="false">
      <c r="A795" s="0" t="n">
        <v>6</v>
      </c>
      <c r="B795" s="0" t="s">
        <v>1782</v>
      </c>
      <c r="D795" s="0" t="s">
        <v>1770</v>
      </c>
      <c r="E795" s="0" t="s">
        <v>261</v>
      </c>
      <c r="F795" s="0" t="s">
        <v>836</v>
      </c>
      <c r="G795" s="41" t="n">
        <v>10</v>
      </c>
      <c r="H795" s="25" t="s">
        <v>188</v>
      </c>
    </row>
    <row r="796" customFormat="false" ht="15" hidden="false" customHeight="false" outlineLevel="0" collapsed="false">
      <c r="A796" s="0" t="n">
        <v>6</v>
      </c>
      <c r="B796" s="0" t="s">
        <v>1782</v>
      </c>
      <c r="D796" s="0" t="s">
        <v>1781</v>
      </c>
      <c r="E796" s="0" t="s">
        <v>261</v>
      </c>
      <c r="F796" s="0" t="s">
        <v>703</v>
      </c>
      <c r="G796" s="41" t="n">
        <v>4</v>
      </c>
      <c r="H796" s="25" t="s">
        <v>188</v>
      </c>
    </row>
    <row r="797" customFormat="false" ht="15" hidden="false" customHeight="false" outlineLevel="0" collapsed="false">
      <c r="A797" s="0" t="n">
        <v>6</v>
      </c>
      <c r="B797" s="0" t="s">
        <v>1782</v>
      </c>
      <c r="D797" s="0" t="s">
        <v>1762</v>
      </c>
      <c r="E797" s="0" t="s">
        <v>261</v>
      </c>
      <c r="F797" s="0" t="s">
        <v>788</v>
      </c>
      <c r="G797" s="41" t="n">
        <v>20</v>
      </c>
      <c r="H797" s="25" t="s">
        <v>188</v>
      </c>
    </row>
    <row r="798" customFormat="false" ht="15" hidden="false" customHeight="false" outlineLevel="0" collapsed="false">
      <c r="A798" s="0" t="n">
        <v>6</v>
      </c>
      <c r="B798" s="0" t="s">
        <v>1782</v>
      </c>
      <c r="D798" s="0" t="s">
        <v>1771</v>
      </c>
      <c r="E798" s="0" t="s">
        <v>261</v>
      </c>
      <c r="F798" s="0" t="s">
        <v>679</v>
      </c>
      <c r="G798" s="41" t="n">
        <v>30</v>
      </c>
      <c r="H798" s="25" t="s">
        <v>188</v>
      </c>
    </row>
    <row r="799" customFormat="false" ht="15" hidden="false" customHeight="false" outlineLevel="0" collapsed="false">
      <c r="A799" s="0" t="n">
        <v>6</v>
      </c>
      <c r="B799" s="0" t="s">
        <v>1782</v>
      </c>
      <c r="D799" s="0" t="s">
        <v>1772</v>
      </c>
      <c r="E799" s="0" t="s">
        <v>261</v>
      </c>
      <c r="F799" s="0" t="s">
        <v>1141</v>
      </c>
      <c r="G799" s="41" t="n">
        <v>42</v>
      </c>
      <c r="H799" s="25" t="s">
        <v>188</v>
      </c>
    </row>
    <row r="800" customFormat="false" ht="15" hidden="false" customHeight="false" outlineLevel="0" collapsed="false">
      <c r="A800" s="0" t="n">
        <v>6</v>
      </c>
      <c r="B800" s="0" t="s">
        <v>1782</v>
      </c>
      <c r="D800" s="0" t="s">
        <v>1765</v>
      </c>
      <c r="E800" s="0" t="s">
        <v>100</v>
      </c>
      <c r="F800" s="0" t="s">
        <v>659</v>
      </c>
      <c r="G800" s="41" t="n">
        <v>2</v>
      </c>
      <c r="H800" s="25" t="s">
        <v>193</v>
      </c>
      <c r="I800" s="25" t="s">
        <v>1704</v>
      </c>
    </row>
    <row r="801" customFormat="false" ht="15" hidden="false" customHeight="false" outlineLevel="0" collapsed="false">
      <c r="A801" s="0" t="n">
        <v>6</v>
      </c>
      <c r="B801" s="0" t="s">
        <v>1782</v>
      </c>
      <c r="D801" s="0" t="s">
        <v>1765</v>
      </c>
      <c r="E801" s="0" t="s">
        <v>100</v>
      </c>
      <c r="F801" s="0" t="s">
        <v>656</v>
      </c>
      <c r="G801" s="41" t="n">
        <v>1</v>
      </c>
      <c r="H801" s="25" t="s">
        <v>197</v>
      </c>
      <c r="I801" s="25" t="s">
        <v>1716</v>
      </c>
    </row>
    <row r="802" customFormat="false" ht="15" hidden="false" customHeight="false" outlineLevel="0" collapsed="false">
      <c r="A802" s="0" t="n">
        <v>6</v>
      </c>
      <c r="B802" s="0" t="s">
        <v>1782</v>
      </c>
      <c r="D802" s="0" t="s">
        <v>1766</v>
      </c>
      <c r="E802" s="0" t="s">
        <v>100</v>
      </c>
      <c r="F802" s="0" t="s">
        <v>764</v>
      </c>
      <c r="G802" s="41" t="n">
        <v>34</v>
      </c>
      <c r="H802" s="25" t="s">
        <v>202</v>
      </c>
    </row>
    <row r="803" customFormat="false" ht="15" hidden="false" customHeight="false" outlineLevel="0" collapsed="false">
      <c r="A803" s="0" t="n">
        <v>6</v>
      </c>
      <c r="B803" s="0" t="s">
        <v>1783</v>
      </c>
      <c r="D803" s="0" t="s">
        <v>1770</v>
      </c>
      <c r="E803" s="0" t="s">
        <v>261</v>
      </c>
      <c r="F803" s="0" t="s">
        <v>751</v>
      </c>
      <c r="G803" s="41" t="n">
        <v>50</v>
      </c>
      <c r="H803" s="25" t="s">
        <v>188</v>
      </c>
    </row>
    <row r="804" customFormat="false" ht="15" hidden="false" customHeight="false" outlineLevel="0" collapsed="false">
      <c r="A804" s="0" t="n">
        <v>6</v>
      </c>
      <c r="B804" s="0" t="s">
        <v>1783</v>
      </c>
      <c r="D804" s="0" t="s">
        <v>1781</v>
      </c>
      <c r="E804" s="0" t="s">
        <v>261</v>
      </c>
      <c r="F804" s="0" t="s">
        <v>788</v>
      </c>
      <c r="G804" s="41" t="n">
        <v>20</v>
      </c>
      <c r="H804" s="25" t="s">
        <v>188</v>
      </c>
    </row>
    <row r="805" customFormat="false" ht="15" hidden="false" customHeight="false" outlineLevel="0" collapsed="false">
      <c r="A805" s="0" t="n">
        <v>6</v>
      </c>
      <c r="B805" s="0" t="s">
        <v>1783</v>
      </c>
      <c r="D805" s="0" t="s">
        <v>1771</v>
      </c>
      <c r="E805" s="0" t="s">
        <v>261</v>
      </c>
      <c r="F805" s="0" t="s">
        <v>1774</v>
      </c>
      <c r="G805" s="41" t="n">
        <v>22</v>
      </c>
      <c r="H805" s="25" t="s">
        <v>188</v>
      </c>
    </row>
    <row r="806" customFormat="false" ht="15" hidden="false" customHeight="false" outlineLevel="0" collapsed="false">
      <c r="A806" s="0" t="n">
        <v>6</v>
      </c>
      <c r="B806" s="0" t="s">
        <v>1783</v>
      </c>
      <c r="D806" s="0" t="s">
        <v>1772</v>
      </c>
      <c r="E806" s="0" t="s">
        <v>261</v>
      </c>
      <c r="F806" s="0" t="s">
        <v>1179</v>
      </c>
      <c r="G806" s="41" t="n">
        <v>60</v>
      </c>
      <c r="H806" s="25" t="s">
        <v>188</v>
      </c>
    </row>
    <row r="807" customFormat="false" ht="15" hidden="false" customHeight="false" outlineLevel="0" collapsed="false">
      <c r="A807" s="0" t="n">
        <v>6</v>
      </c>
      <c r="B807" s="0" t="s">
        <v>1783</v>
      </c>
      <c r="D807" s="0" t="s">
        <v>1784</v>
      </c>
      <c r="E807" s="0" t="s">
        <v>261</v>
      </c>
      <c r="F807" s="0" t="s">
        <v>788</v>
      </c>
      <c r="G807" s="41" t="n">
        <v>20</v>
      </c>
      <c r="H807" s="25" t="s">
        <v>188</v>
      </c>
    </row>
    <row r="808" customFormat="false" ht="15" hidden="false" customHeight="false" outlineLevel="0" collapsed="false">
      <c r="A808" s="0" t="n">
        <v>6</v>
      </c>
      <c r="B808" s="0" t="s">
        <v>1783</v>
      </c>
      <c r="D808" s="0" t="s">
        <v>1765</v>
      </c>
      <c r="E808" s="0" t="s">
        <v>100</v>
      </c>
      <c r="F808" s="0" t="s">
        <v>659</v>
      </c>
      <c r="G808" s="41" t="n">
        <v>2</v>
      </c>
      <c r="H808" s="25" t="s">
        <v>193</v>
      </c>
      <c r="I808" s="25" t="s">
        <v>1704</v>
      </c>
    </row>
    <row r="809" customFormat="false" ht="15" hidden="false" customHeight="false" outlineLevel="0" collapsed="false">
      <c r="A809" s="0" t="n">
        <v>6</v>
      </c>
      <c r="B809" s="0" t="s">
        <v>1783</v>
      </c>
      <c r="D809" s="0" t="s">
        <v>1765</v>
      </c>
      <c r="E809" s="0" t="s">
        <v>100</v>
      </c>
      <c r="F809" s="0" t="s">
        <v>656</v>
      </c>
      <c r="G809" s="41" t="n">
        <v>1</v>
      </c>
      <c r="H809" s="25" t="s">
        <v>197</v>
      </c>
      <c r="I809" s="25" t="s">
        <v>1716</v>
      </c>
    </row>
    <row r="810" customFormat="false" ht="15" hidden="false" customHeight="false" outlineLevel="0" collapsed="false">
      <c r="A810" s="0" t="n">
        <v>6</v>
      </c>
      <c r="B810" s="0" t="s">
        <v>1783</v>
      </c>
      <c r="D810" s="0" t="s">
        <v>1766</v>
      </c>
      <c r="E810" s="0" t="s">
        <v>100</v>
      </c>
      <c r="F810" s="0" t="s">
        <v>1785</v>
      </c>
      <c r="G810" s="41" t="n">
        <v>41</v>
      </c>
      <c r="H810" s="25" t="s">
        <v>202</v>
      </c>
    </row>
    <row r="811" customFormat="false" ht="15" hidden="false" customHeight="false" outlineLevel="0" collapsed="false">
      <c r="A811" s="0" t="n">
        <v>6</v>
      </c>
      <c r="B811" s="0" t="s">
        <v>1786</v>
      </c>
      <c r="D811" s="0" t="s">
        <v>1776</v>
      </c>
      <c r="E811" s="0" t="s">
        <v>261</v>
      </c>
      <c r="F811" s="0" t="s">
        <v>1100</v>
      </c>
      <c r="G811" s="41" t="n">
        <v>25</v>
      </c>
      <c r="H811" s="25" t="s">
        <v>188</v>
      </c>
    </row>
    <row r="812" customFormat="false" ht="15" hidden="false" customHeight="false" outlineLevel="0" collapsed="false">
      <c r="A812" s="0" t="n">
        <v>6</v>
      </c>
      <c r="B812" s="0" t="s">
        <v>1786</v>
      </c>
      <c r="D812" s="0" t="s">
        <v>1781</v>
      </c>
      <c r="E812" s="0" t="s">
        <v>261</v>
      </c>
      <c r="F812" s="0" t="s">
        <v>716</v>
      </c>
      <c r="G812" s="41" t="n">
        <v>12</v>
      </c>
      <c r="H812" s="25" t="s">
        <v>188</v>
      </c>
    </row>
    <row r="813" customFormat="false" ht="15" hidden="false" customHeight="false" outlineLevel="0" collapsed="false">
      <c r="A813" s="0" t="n">
        <v>6</v>
      </c>
      <c r="B813" s="0" t="s">
        <v>1786</v>
      </c>
      <c r="D813" s="0" t="s">
        <v>1771</v>
      </c>
      <c r="E813" s="0" t="s">
        <v>261</v>
      </c>
      <c r="F813" s="0" t="s">
        <v>1167</v>
      </c>
      <c r="G813" s="41" t="n">
        <v>40</v>
      </c>
      <c r="H813" s="25" t="s">
        <v>188</v>
      </c>
    </row>
    <row r="814" customFormat="false" ht="15" hidden="false" customHeight="false" outlineLevel="0" collapsed="false">
      <c r="A814" s="0" t="n">
        <v>6</v>
      </c>
      <c r="B814" s="0" t="s">
        <v>1786</v>
      </c>
      <c r="D814" s="0" t="s">
        <v>1772</v>
      </c>
      <c r="E814" s="0" t="s">
        <v>261</v>
      </c>
      <c r="F814" s="0" t="s">
        <v>813</v>
      </c>
      <c r="G814" s="41" t="n">
        <v>27</v>
      </c>
      <c r="H814" s="25" t="s">
        <v>188</v>
      </c>
    </row>
    <row r="815" customFormat="false" ht="15" hidden="false" customHeight="false" outlineLevel="0" collapsed="false">
      <c r="A815" s="0" t="n">
        <v>6</v>
      </c>
      <c r="B815" s="0" t="s">
        <v>1786</v>
      </c>
      <c r="D815" s="0" t="s">
        <v>1765</v>
      </c>
      <c r="E815" s="0" t="s">
        <v>100</v>
      </c>
      <c r="F815" s="0" t="s">
        <v>659</v>
      </c>
      <c r="G815" s="41" t="n">
        <v>2</v>
      </c>
      <c r="H815" s="25" t="s">
        <v>193</v>
      </c>
      <c r="I815" s="25" t="s">
        <v>1704</v>
      </c>
    </row>
    <row r="816" customFormat="false" ht="15" hidden="false" customHeight="false" outlineLevel="0" collapsed="false">
      <c r="A816" s="0" t="n">
        <v>6</v>
      </c>
      <c r="B816" s="0" t="s">
        <v>1786</v>
      </c>
      <c r="D816" s="0" t="s">
        <v>1765</v>
      </c>
      <c r="E816" s="0" t="s">
        <v>100</v>
      </c>
      <c r="F816" s="0" t="s">
        <v>656</v>
      </c>
      <c r="G816" s="41" t="n">
        <v>1</v>
      </c>
      <c r="H816" s="25" t="s">
        <v>197</v>
      </c>
      <c r="I816" s="25" t="s">
        <v>1716</v>
      </c>
    </row>
    <row r="817" customFormat="false" ht="15" hidden="false" customHeight="false" outlineLevel="0" collapsed="false">
      <c r="A817" s="0" t="n">
        <v>6</v>
      </c>
      <c r="B817" s="0" t="s">
        <v>1786</v>
      </c>
      <c r="D817" s="0" t="s">
        <v>1766</v>
      </c>
      <c r="E817" s="0" t="s">
        <v>100</v>
      </c>
      <c r="F817" s="0" t="s">
        <v>788</v>
      </c>
      <c r="G817" s="41" t="n">
        <v>20</v>
      </c>
      <c r="H817" s="25" t="s">
        <v>202</v>
      </c>
    </row>
    <row r="818" customFormat="false" ht="15" hidden="false" customHeight="false" outlineLevel="0" collapsed="false">
      <c r="A818" s="0" t="n">
        <v>6</v>
      </c>
      <c r="B818" s="0" t="s">
        <v>1787</v>
      </c>
      <c r="D818" s="0" t="s">
        <v>1770</v>
      </c>
      <c r="E818" s="0" t="s">
        <v>261</v>
      </c>
      <c r="F818" s="0" t="s">
        <v>1540</v>
      </c>
      <c r="G818" s="41" t="n">
        <v>14</v>
      </c>
      <c r="H818" s="25" t="s">
        <v>188</v>
      </c>
    </row>
    <row r="819" customFormat="false" ht="15" hidden="false" customHeight="false" outlineLevel="0" collapsed="false">
      <c r="A819" s="0" t="n">
        <v>6</v>
      </c>
      <c r="B819" s="0" t="s">
        <v>1787</v>
      </c>
      <c r="D819" s="0" t="s">
        <v>1776</v>
      </c>
      <c r="E819" s="0" t="s">
        <v>261</v>
      </c>
      <c r="F819" s="0" t="s">
        <v>667</v>
      </c>
      <c r="G819" s="41" t="n">
        <v>3</v>
      </c>
      <c r="H819" s="25" t="s">
        <v>188</v>
      </c>
    </row>
    <row r="820" customFormat="false" ht="15" hidden="false" customHeight="false" outlineLevel="0" collapsed="false">
      <c r="A820" s="0" t="n">
        <v>6</v>
      </c>
      <c r="B820" s="0" t="s">
        <v>1787</v>
      </c>
      <c r="D820" s="0" t="s">
        <v>1781</v>
      </c>
      <c r="E820" s="0" t="s">
        <v>261</v>
      </c>
      <c r="F820" s="0" t="s">
        <v>797</v>
      </c>
      <c r="G820" s="41" t="n">
        <v>7</v>
      </c>
      <c r="H820" s="25" t="s">
        <v>188</v>
      </c>
    </row>
    <row r="821" customFormat="false" ht="15" hidden="false" customHeight="false" outlineLevel="0" collapsed="false">
      <c r="A821" s="0" t="n">
        <v>6</v>
      </c>
      <c r="B821" s="0" t="s">
        <v>1787</v>
      </c>
      <c r="D821" s="0" t="s">
        <v>1762</v>
      </c>
      <c r="E821" s="0" t="s">
        <v>261</v>
      </c>
      <c r="F821" s="0" t="s">
        <v>703</v>
      </c>
      <c r="G821" s="41" t="n">
        <v>4</v>
      </c>
      <c r="H821" s="25" t="s">
        <v>188</v>
      </c>
    </row>
    <row r="822" customFormat="false" ht="15" hidden="false" customHeight="false" outlineLevel="0" collapsed="false">
      <c r="A822" s="0" t="n">
        <v>6</v>
      </c>
      <c r="B822" s="0" t="s">
        <v>1787</v>
      </c>
      <c r="D822" s="0" t="s">
        <v>1788</v>
      </c>
      <c r="E822" s="0" t="s">
        <v>261</v>
      </c>
      <c r="F822" s="0" t="s">
        <v>664</v>
      </c>
      <c r="G822" s="41" t="n">
        <v>21</v>
      </c>
      <c r="H822" s="25" t="s">
        <v>188</v>
      </c>
    </row>
    <row r="823" customFormat="false" ht="15" hidden="false" customHeight="false" outlineLevel="0" collapsed="false">
      <c r="A823" s="0" t="n">
        <v>6</v>
      </c>
      <c r="B823" s="0" t="s">
        <v>1787</v>
      </c>
      <c r="D823" s="0" t="s">
        <v>1765</v>
      </c>
      <c r="E823" s="0" t="s">
        <v>100</v>
      </c>
      <c r="F823" s="0" t="s">
        <v>659</v>
      </c>
      <c r="G823" s="41" t="n">
        <v>2</v>
      </c>
      <c r="H823" s="25" t="s">
        <v>193</v>
      </c>
      <c r="I823" s="25" t="s">
        <v>1704</v>
      </c>
    </row>
    <row r="824" customFormat="false" ht="15" hidden="false" customHeight="false" outlineLevel="0" collapsed="false">
      <c r="A824" s="0" t="n">
        <v>6</v>
      </c>
      <c r="B824" s="0" t="s">
        <v>1787</v>
      </c>
      <c r="D824" s="0" t="s">
        <v>1765</v>
      </c>
      <c r="E824" s="0" t="s">
        <v>100</v>
      </c>
      <c r="F824" s="0" t="s">
        <v>656</v>
      </c>
      <c r="G824" s="41" t="n">
        <v>1</v>
      </c>
      <c r="H824" s="25" t="s">
        <v>197</v>
      </c>
      <c r="I824" s="25" t="s">
        <v>1716</v>
      </c>
    </row>
    <row r="825" customFormat="false" ht="15" hidden="false" customHeight="false" outlineLevel="0" collapsed="false">
      <c r="A825" s="0" t="n">
        <v>6</v>
      </c>
      <c r="B825" s="0" t="s">
        <v>1787</v>
      </c>
      <c r="D825" s="0" t="s">
        <v>1766</v>
      </c>
      <c r="E825" s="0" t="s">
        <v>100</v>
      </c>
      <c r="F825" s="0" t="s">
        <v>679</v>
      </c>
      <c r="G825" s="41" t="n">
        <v>30</v>
      </c>
      <c r="H825" s="25" t="s">
        <v>202</v>
      </c>
    </row>
    <row r="826" customFormat="false" ht="15" hidden="false" customHeight="false" outlineLevel="0" collapsed="false">
      <c r="A826" s="0" t="n">
        <v>6</v>
      </c>
      <c r="B826" s="0" t="s">
        <v>1789</v>
      </c>
      <c r="D826" s="0" t="s">
        <v>1790</v>
      </c>
      <c r="E826" s="0" t="s">
        <v>655</v>
      </c>
      <c r="F826" s="0" t="s">
        <v>659</v>
      </c>
      <c r="G826" s="41" t="n">
        <v>2</v>
      </c>
      <c r="H826" s="25" t="s">
        <v>193</v>
      </c>
    </row>
    <row r="827" customFormat="false" ht="15" hidden="false" customHeight="false" outlineLevel="0" collapsed="false">
      <c r="A827" s="0" t="n">
        <v>6</v>
      </c>
      <c r="B827" s="0" t="s">
        <v>1789</v>
      </c>
      <c r="D827" s="0" t="s">
        <v>1791</v>
      </c>
      <c r="E827" s="0" t="s">
        <v>655</v>
      </c>
      <c r="F827" s="0" t="s">
        <v>667</v>
      </c>
      <c r="G827" s="41" t="n">
        <v>3</v>
      </c>
      <c r="H827" s="25" t="s">
        <v>193</v>
      </c>
    </row>
    <row r="828" customFormat="false" ht="15" hidden="false" customHeight="false" outlineLevel="0" collapsed="false">
      <c r="A828" s="0" t="n">
        <v>6</v>
      </c>
      <c r="B828" s="0" t="s">
        <v>1789</v>
      </c>
      <c r="D828" s="0" t="s">
        <v>1792</v>
      </c>
      <c r="E828" s="0" t="s">
        <v>655</v>
      </c>
      <c r="F828" s="0" t="s">
        <v>659</v>
      </c>
      <c r="G828" s="41" t="n">
        <v>2</v>
      </c>
      <c r="H828" s="25" t="s">
        <v>193</v>
      </c>
    </row>
    <row r="829" customFormat="false" ht="15" hidden="false" customHeight="false" outlineLevel="0" collapsed="false">
      <c r="A829" s="0" t="n">
        <v>6</v>
      </c>
      <c r="B829" s="0" t="s">
        <v>1789</v>
      </c>
      <c r="D829" s="0" t="s">
        <v>1793</v>
      </c>
      <c r="E829" s="0" t="s">
        <v>655</v>
      </c>
      <c r="F829" s="0" t="s">
        <v>1540</v>
      </c>
      <c r="G829" s="41" t="n">
        <v>14</v>
      </c>
      <c r="H829" s="25" t="s">
        <v>193</v>
      </c>
    </row>
    <row r="830" customFormat="false" ht="15" hidden="false" customHeight="false" outlineLevel="0" collapsed="false">
      <c r="A830" s="0" t="n">
        <v>6</v>
      </c>
      <c r="B830" s="0" t="s">
        <v>1789</v>
      </c>
      <c r="D830" s="0" t="s">
        <v>1794</v>
      </c>
      <c r="E830" s="0" t="s">
        <v>655</v>
      </c>
      <c r="F830" s="0" t="s">
        <v>861</v>
      </c>
      <c r="G830" s="41" t="n">
        <v>15</v>
      </c>
      <c r="H830" s="25" t="s">
        <v>193</v>
      </c>
    </row>
    <row r="831" customFormat="false" ht="15" hidden="false" customHeight="false" outlineLevel="0" collapsed="false">
      <c r="A831" s="0" t="n">
        <v>6</v>
      </c>
      <c r="B831" s="0" t="s">
        <v>1789</v>
      </c>
      <c r="D831" s="0" t="s">
        <v>1795</v>
      </c>
      <c r="E831" s="0" t="s">
        <v>655</v>
      </c>
      <c r="F831" s="0" t="s">
        <v>797</v>
      </c>
      <c r="G831" s="41" t="n">
        <v>7</v>
      </c>
      <c r="H831" s="25" t="s">
        <v>193</v>
      </c>
    </row>
    <row r="832" customFormat="false" ht="15" hidden="false" customHeight="false" outlineLevel="0" collapsed="false">
      <c r="A832" s="0" t="n">
        <v>6</v>
      </c>
      <c r="B832" s="0" t="s">
        <v>1789</v>
      </c>
      <c r="D832" s="0" t="s">
        <v>1796</v>
      </c>
      <c r="E832" s="0" t="s">
        <v>655</v>
      </c>
      <c r="F832" s="0" t="s">
        <v>935</v>
      </c>
      <c r="G832" s="41" t="n">
        <v>9</v>
      </c>
      <c r="H832" s="25" t="s">
        <v>193</v>
      </c>
    </row>
    <row r="833" customFormat="false" ht="15" hidden="false" customHeight="false" outlineLevel="0" collapsed="false">
      <c r="A833" s="0" t="n">
        <v>6</v>
      </c>
      <c r="B833" s="0" t="s">
        <v>1789</v>
      </c>
      <c r="D833" s="0" t="s">
        <v>1797</v>
      </c>
      <c r="E833" s="0" t="s">
        <v>655</v>
      </c>
      <c r="F833" s="0" t="s">
        <v>659</v>
      </c>
      <c r="G833" s="41" t="n">
        <v>2</v>
      </c>
      <c r="H833" s="25" t="s">
        <v>193</v>
      </c>
    </row>
    <row r="834" customFormat="false" ht="15" hidden="false" customHeight="false" outlineLevel="0" collapsed="false">
      <c r="A834" s="0" t="n">
        <v>6</v>
      </c>
      <c r="B834" s="0" t="s">
        <v>1789</v>
      </c>
      <c r="D834" s="0" t="s">
        <v>1798</v>
      </c>
      <c r="E834" s="0" t="s">
        <v>655</v>
      </c>
      <c r="F834" s="0" t="s">
        <v>659</v>
      </c>
      <c r="G834" s="41" t="n">
        <v>2</v>
      </c>
      <c r="H834" s="25" t="s">
        <v>193</v>
      </c>
    </row>
    <row r="835" customFormat="false" ht="15" hidden="false" customHeight="false" outlineLevel="0" collapsed="false">
      <c r="A835" s="0" t="n">
        <v>6</v>
      </c>
      <c r="B835" s="0" t="s">
        <v>1789</v>
      </c>
      <c r="D835" s="0" t="s">
        <v>1799</v>
      </c>
      <c r="E835" s="0" t="s">
        <v>655</v>
      </c>
      <c r="F835" s="0" t="s">
        <v>656</v>
      </c>
      <c r="G835" s="41" t="n">
        <v>1</v>
      </c>
      <c r="H835" s="25" t="s">
        <v>193</v>
      </c>
    </row>
    <row r="836" customFormat="false" ht="15" hidden="false" customHeight="false" outlineLevel="0" collapsed="false">
      <c r="A836" s="0" t="n">
        <v>6</v>
      </c>
      <c r="B836" s="0" t="s">
        <v>1789</v>
      </c>
      <c r="D836" s="0" t="s">
        <v>1800</v>
      </c>
      <c r="E836" s="0" t="s">
        <v>655</v>
      </c>
      <c r="F836" s="0" t="s">
        <v>667</v>
      </c>
      <c r="G836" s="41" t="n">
        <v>3</v>
      </c>
      <c r="H836" s="25" t="s">
        <v>193</v>
      </c>
    </row>
    <row r="837" customFormat="false" ht="15" hidden="false" customHeight="false" outlineLevel="0" collapsed="false">
      <c r="A837" s="0" t="n">
        <v>6</v>
      </c>
      <c r="B837" s="0" t="s">
        <v>1789</v>
      </c>
      <c r="D837" s="0" t="s">
        <v>1801</v>
      </c>
      <c r="E837" s="0" t="s">
        <v>655</v>
      </c>
      <c r="F837" s="0" t="s">
        <v>659</v>
      </c>
      <c r="G837" s="41" t="n">
        <v>2</v>
      </c>
      <c r="H837" s="25" t="s">
        <v>193</v>
      </c>
    </row>
    <row r="838" customFormat="false" ht="15" hidden="false" customHeight="false" outlineLevel="0" collapsed="false">
      <c r="A838" s="0" t="n">
        <v>6</v>
      </c>
      <c r="B838" s="0" t="s">
        <v>1789</v>
      </c>
      <c r="D838" s="0" t="s">
        <v>1802</v>
      </c>
      <c r="E838" s="0" t="s">
        <v>655</v>
      </c>
      <c r="F838" s="0" t="s">
        <v>781</v>
      </c>
      <c r="G838" s="41" t="n">
        <v>8</v>
      </c>
      <c r="H838" s="25" t="s">
        <v>193</v>
      </c>
    </row>
    <row r="839" customFormat="false" ht="15" hidden="false" customHeight="false" outlineLevel="0" collapsed="false">
      <c r="A839" s="0" t="n">
        <v>6</v>
      </c>
      <c r="B839" s="0" t="s">
        <v>1789</v>
      </c>
      <c r="D839" s="0" t="s">
        <v>1803</v>
      </c>
      <c r="E839" s="0" t="s">
        <v>655</v>
      </c>
      <c r="F839" s="0" t="s">
        <v>1745</v>
      </c>
      <c r="G839" s="41" t="n">
        <v>132</v>
      </c>
      <c r="H839" s="25" t="s">
        <v>202</v>
      </c>
    </row>
    <row r="840" customFormat="false" ht="15" hidden="false" customHeight="false" outlineLevel="0" collapsed="false">
      <c r="A840" s="0" t="n">
        <v>6</v>
      </c>
      <c r="B840" s="0" t="s">
        <v>1789</v>
      </c>
      <c r="D840" s="0" t="s">
        <v>1804</v>
      </c>
      <c r="E840" s="0" t="s">
        <v>655</v>
      </c>
      <c r="F840" s="0" t="s">
        <v>667</v>
      </c>
      <c r="G840" s="41" t="n">
        <v>3</v>
      </c>
      <c r="H840" s="25" t="s">
        <v>207</v>
      </c>
    </row>
    <row r="841" customFormat="false" ht="15" hidden="false" customHeight="false" outlineLevel="0" collapsed="false">
      <c r="A841" s="0" t="n">
        <v>6</v>
      </c>
      <c r="B841" s="0" t="s">
        <v>1805</v>
      </c>
      <c r="D841" s="0" t="s">
        <v>1806</v>
      </c>
      <c r="E841" s="0" t="s">
        <v>674</v>
      </c>
      <c r="F841" s="0" t="s">
        <v>836</v>
      </c>
      <c r="G841" s="41" t="n">
        <v>10</v>
      </c>
      <c r="H841" s="25" t="s">
        <v>188</v>
      </c>
    </row>
    <row r="842" customFormat="false" ht="15" hidden="false" customHeight="false" outlineLevel="0" collapsed="false">
      <c r="A842" s="0" t="n">
        <v>6</v>
      </c>
      <c r="B842" s="0" t="s">
        <v>1805</v>
      </c>
      <c r="D842" s="0" t="s">
        <v>1807</v>
      </c>
      <c r="E842" s="0" t="s">
        <v>674</v>
      </c>
      <c r="F842" s="0" t="s">
        <v>656</v>
      </c>
      <c r="G842" s="41" t="n">
        <v>1</v>
      </c>
      <c r="H842" s="25" t="s">
        <v>188</v>
      </c>
    </row>
    <row r="843" customFormat="false" ht="15" hidden="false" customHeight="false" outlineLevel="0" collapsed="false">
      <c r="A843" s="0" t="n">
        <v>6</v>
      </c>
      <c r="B843" s="0" t="s">
        <v>1805</v>
      </c>
      <c r="D843" s="0" t="s">
        <v>1808</v>
      </c>
      <c r="E843" s="0" t="s">
        <v>674</v>
      </c>
      <c r="F843" s="0" t="s">
        <v>1720</v>
      </c>
      <c r="G843" s="41" t="n">
        <v>192</v>
      </c>
      <c r="H843" s="25" t="s">
        <v>188</v>
      </c>
    </row>
    <row r="844" customFormat="false" ht="15" hidden="false" customHeight="false" outlineLevel="0" collapsed="false">
      <c r="A844" s="0" t="n">
        <v>6</v>
      </c>
      <c r="B844" s="0" t="s">
        <v>1805</v>
      </c>
      <c r="D844" s="0" t="s">
        <v>1809</v>
      </c>
      <c r="E844" s="0" t="s">
        <v>674</v>
      </c>
      <c r="F844" s="0" t="s">
        <v>1785</v>
      </c>
      <c r="G844" s="41" t="n">
        <v>41</v>
      </c>
      <c r="H844" s="25" t="s">
        <v>188</v>
      </c>
    </row>
    <row r="845" customFormat="false" ht="15" hidden="false" customHeight="false" outlineLevel="0" collapsed="false">
      <c r="A845" s="0" t="n">
        <v>6</v>
      </c>
      <c r="B845" s="0" t="s">
        <v>1805</v>
      </c>
      <c r="D845" s="0" t="s">
        <v>1810</v>
      </c>
      <c r="E845" s="0" t="s">
        <v>674</v>
      </c>
      <c r="F845" s="0" t="s">
        <v>1811</v>
      </c>
      <c r="G845" s="41" t="n">
        <v>55</v>
      </c>
      <c r="H845" s="25" t="s">
        <v>188</v>
      </c>
    </row>
    <row r="846" customFormat="false" ht="15" hidden="false" customHeight="false" outlineLevel="0" collapsed="false">
      <c r="A846" s="0" t="n">
        <v>6</v>
      </c>
      <c r="B846" s="0" t="s">
        <v>1805</v>
      </c>
      <c r="D846" s="0" t="s">
        <v>1812</v>
      </c>
      <c r="E846" s="0" t="s">
        <v>674</v>
      </c>
      <c r="F846" s="0" t="s">
        <v>992</v>
      </c>
      <c r="G846" s="41" t="n">
        <v>80</v>
      </c>
      <c r="H846" s="25" t="s">
        <v>188</v>
      </c>
    </row>
    <row r="847" customFormat="false" ht="15" hidden="false" customHeight="false" outlineLevel="0" collapsed="false">
      <c r="A847" s="0" t="n">
        <v>6</v>
      </c>
      <c r="B847" s="0" t="s">
        <v>1805</v>
      </c>
      <c r="D847" s="0" t="s">
        <v>1813</v>
      </c>
      <c r="E847" s="0" t="s">
        <v>674</v>
      </c>
      <c r="F847" s="0" t="s">
        <v>1814</v>
      </c>
      <c r="G847" s="41" t="n">
        <v>126</v>
      </c>
      <c r="H847" s="25" t="s">
        <v>188</v>
      </c>
    </row>
    <row r="848" customFormat="false" ht="15" hidden="false" customHeight="false" outlineLevel="0" collapsed="false">
      <c r="A848" s="0" t="n">
        <v>6</v>
      </c>
      <c r="B848" s="0" t="s">
        <v>1805</v>
      </c>
      <c r="D848" s="0" t="s">
        <v>1815</v>
      </c>
      <c r="E848" s="0" t="s">
        <v>674</v>
      </c>
      <c r="F848" s="0" t="s">
        <v>1816</v>
      </c>
      <c r="G848" s="41" t="n">
        <v>105</v>
      </c>
      <c r="H848" s="25" t="s">
        <v>188</v>
      </c>
    </row>
    <row r="849" customFormat="false" ht="15" hidden="false" customHeight="false" outlineLevel="0" collapsed="false">
      <c r="A849" s="0" t="n">
        <v>6</v>
      </c>
      <c r="B849" s="0" t="s">
        <v>1805</v>
      </c>
      <c r="D849" s="0" t="s">
        <v>1817</v>
      </c>
      <c r="E849" s="0" t="s">
        <v>674</v>
      </c>
      <c r="F849" s="0" t="s">
        <v>679</v>
      </c>
      <c r="G849" s="41" t="n">
        <v>30</v>
      </c>
      <c r="H849" s="25" t="s">
        <v>188</v>
      </c>
    </row>
    <row r="850" customFormat="false" ht="15" hidden="false" customHeight="false" outlineLevel="0" collapsed="false">
      <c r="A850" s="0" t="n">
        <v>7</v>
      </c>
      <c r="B850" s="0" t="s">
        <v>1818</v>
      </c>
      <c r="D850" s="0" t="s">
        <v>1819</v>
      </c>
      <c r="E850" s="0" t="s">
        <v>674</v>
      </c>
      <c r="F850" s="0" t="s">
        <v>1820</v>
      </c>
      <c r="G850" s="41" t="n">
        <v>475</v>
      </c>
      <c r="H850" s="25" t="s">
        <v>188</v>
      </c>
    </row>
    <row r="851" customFormat="false" ht="15" hidden="false" customHeight="false" outlineLevel="0" collapsed="false">
      <c r="A851" s="0" t="n">
        <v>7</v>
      </c>
      <c r="B851" s="0" t="s">
        <v>1818</v>
      </c>
      <c r="D851" s="0" t="s">
        <v>1821</v>
      </c>
      <c r="E851" s="0" t="s">
        <v>674</v>
      </c>
      <c r="F851" s="0" t="s">
        <v>1071</v>
      </c>
      <c r="G851" s="41" t="n">
        <v>320</v>
      </c>
      <c r="H851" s="25" t="s">
        <v>188</v>
      </c>
    </row>
    <row r="852" customFormat="false" ht="15" hidden="false" customHeight="false" outlineLevel="0" collapsed="false">
      <c r="A852" s="0" t="n">
        <v>7</v>
      </c>
      <c r="B852" s="0" t="s">
        <v>1818</v>
      </c>
      <c r="D852" s="0" t="s">
        <v>1822</v>
      </c>
      <c r="E852" s="0" t="s">
        <v>261</v>
      </c>
      <c r="F852" s="0" t="s">
        <v>1823</v>
      </c>
      <c r="G852" s="41" t="n">
        <v>210</v>
      </c>
      <c r="H852" s="25" t="s">
        <v>188</v>
      </c>
    </row>
    <row r="853" customFormat="false" ht="15" hidden="false" customHeight="false" outlineLevel="0" collapsed="false">
      <c r="A853" s="0" t="n">
        <v>7</v>
      </c>
      <c r="B853" s="0" t="s">
        <v>1818</v>
      </c>
      <c r="D853" s="0" t="s">
        <v>1824</v>
      </c>
      <c r="E853" s="0" t="s">
        <v>100</v>
      </c>
      <c r="F853" s="0" t="s">
        <v>716</v>
      </c>
      <c r="G853" s="41" t="n">
        <v>12</v>
      </c>
      <c r="H853" s="25" t="s">
        <v>207</v>
      </c>
    </row>
    <row r="854" customFormat="false" ht="15" hidden="false" customHeight="false" outlineLevel="0" collapsed="false">
      <c r="A854" s="0" t="n">
        <v>7</v>
      </c>
      <c r="B854" s="0" t="s">
        <v>1818</v>
      </c>
      <c r="D854" s="0" t="s">
        <v>1825</v>
      </c>
      <c r="E854" s="0" t="s">
        <v>100</v>
      </c>
      <c r="F854" s="0" t="s">
        <v>1826</v>
      </c>
      <c r="G854" s="41" t="n">
        <v>49</v>
      </c>
      <c r="H854" s="25" t="s">
        <v>202</v>
      </c>
    </row>
    <row r="855" customFormat="false" ht="15" hidden="false" customHeight="false" outlineLevel="0" collapsed="false">
      <c r="A855" s="0" t="n">
        <v>7</v>
      </c>
      <c r="B855" s="0" t="s">
        <v>1818</v>
      </c>
      <c r="D855" s="0" t="s">
        <v>1717</v>
      </c>
      <c r="E855" s="0" t="s">
        <v>100</v>
      </c>
      <c r="F855" s="0" t="s">
        <v>1706</v>
      </c>
      <c r="G855" s="41" t="n">
        <v>59</v>
      </c>
      <c r="H855" s="25" t="s">
        <v>202</v>
      </c>
    </row>
    <row r="856" customFormat="false" ht="15" hidden="false" customHeight="false" outlineLevel="0" collapsed="false">
      <c r="A856" s="0" t="n">
        <v>7</v>
      </c>
      <c r="B856" s="0" t="s">
        <v>1818</v>
      </c>
      <c r="D856" s="0" t="s">
        <v>1827</v>
      </c>
      <c r="E856" s="0" t="s">
        <v>1828</v>
      </c>
      <c r="F856" s="0" t="s">
        <v>1829</v>
      </c>
      <c r="G856" s="41" t="n">
        <v>10</v>
      </c>
      <c r="H856" s="25" t="s">
        <v>197</v>
      </c>
      <c r="I856" s="25" t="s">
        <v>1830</v>
      </c>
    </row>
    <row r="857" customFormat="false" ht="15" hidden="false" customHeight="false" outlineLevel="0" collapsed="false">
      <c r="A857" s="0" t="n">
        <v>7</v>
      </c>
      <c r="B857" s="0" t="s">
        <v>1818</v>
      </c>
      <c r="D857" s="0" t="s">
        <v>1753</v>
      </c>
      <c r="E857" s="0" t="s">
        <v>655</v>
      </c>
      <c r="F857" s="0" t="s">
        <v>836</v>
      </c>
      <c r="G857" s="41" t="n">
        <v>10</v>
      </c>
      <c r="H857" s="25" t="s">
        <v>193</v>
      </c>
      <c r="I857" s="25" t="s">
        <v>1704</v>
      </c>
    </row>
    <row r="858" customFormat="false" ht="15" hidden="false" customHeight="false" outlineLevel="0" collapsed="false">
      <c r="A858" s="0" t="n">
        <v>7</v>
      </c>
      <c r="B858" s="0" t="s">
        <v>1831</v>
      </c>
      <c r="D858" s="0" t="s">
        <v>1832</v>
      </c>
      <c r="E858" s="0" t="s">
        <v>674</v>
      </c>
      <c r="F858" s="0" t="s">
        <v>1833</v>
      </c>
      <c r="G858" s="41" t="n">
        <v>78</v>
      </c>
      <c r="H858" s="25" t="s">
        <v>188</v>
      </c>
    </row>
    <row r="859" customFormat="false" ht="15" hidden="false" customHeight="false" outlineLevel="0" collapsed="false">
      <c r="A859" s="0" t="n">
        <v>7</v>
      </c>
      <c r="B859" s="0" t="s">
        <v>1831</v>
      </c>
      <c r="D859" s="0" t="s">
        <v>1834</v>
      </c>
      <c r="E859" s="0" t="s">
        <v>261</v>
      </c>
      <c r="F859" s="0" t="s">
        <v>1835</v>
      </c>
      <c r="G859" s="41" t="n">
        <v>64</v>
      </c>
      <c r="H859" s="25" t="s">
        <v>188</v>
      </c>
    </row>
    <row r="860" customFormat="false" ht="15" hidden="false" customHeight="false" outlineLevel="0" collapsed="false">
      <c r="A860" s="0" t="n">
        <v>7</v>
      </c>
      <c r="B860" s="0" t="s">
        <v>1831</v>
      </c>
      <c r="D860" s="0" t="s">
        <v>1824</v>
      </c>
      <c r="E860" s="0" t="s">
        <v>100</v>
      </c>
      <c r="F860" s="0" t="s">
        <v>829</v>
      </c>
      <c r="G860" s="41" t="n">
        <v>6</v>
      </c>
      <c r="H860" s="25" t="s">
        <v>207</v>
      </c>
    </row>
    <row r="861" customFormat="false" ht="15" hidden="false" customHeight="false" outlineLevel="0" collapsed="false">
      <c r="A861" s="0" t="n">
        <v>7</v>
      </c>
      <c r="B861" s="0" t="s">
        <v>1831</v>
      </c>
      <c r="D861" s="0" t="s">
        <v>1717</v>
      </c>
      <c r="E861" s="0" t="s">
        <v>100</v>
      </c>
      <c r="F861" s="0" t="s">
        <v>795</v>
      </c>
      <c r="G861" s="41" t="n">
        <v>44</v>
      </c>
      <c r="H861" s="25" t="s">
        <v>202</v>
      </c>
    </row>
    <row r="862" customFormat="false" ht="15" hidden="false" customHeight="false" outlineLevel="0" collapsed="false">
      <c r="A862" s="0" t="n">
        <v>7</v>
      </c>
      <c r="B862" s="0" t="s">
        <v>1831</v>
      </c>
      <c r="D862" s="0" t="s">
        <v>1836</v>
      </c>
      <c r="E862" s="0" t="s">
        <v>1837</v>
      </c>
      <c r="F862" s="0" t="s">
        <v>1838</v>
      </c>
      <c r="G862" s="41" t="n">
        <v>4</v>
      </c>
      <c r="H862" s="25" t="s">
        <v>197</v>
      </c>
      <c r="I862" s="25" t="s">
        <v>1839</v>
      </c>
    </row>
    <row r="863" customFormat="false" ht="15" hidden="false" customHeight="false" outlineLevel="0" collapsed="false">
      <c r="A863" s="0" t="n">
        <v>7</v>
      </c>
      <c r="B863" s="0" t="s">
        <v>1831</v>
      </c>
      <c r="D863" s="0" t="s">
        <v>1753</v>
      </c>
      <c r="E863" s="0" t="s">
        <v>655</v>
      </c>
      <c r="F863" s="0" t="s">
        <v>703</v>
      </c>
      <c r="G863" s="41" t="n">
        <v>4</v>
      </c>
      <c r="H863" s="25" t="s">
        <v>193</v>
      </c>
      <c r="I863" s="25" t="s">
        <v>1704</v>
      </c>
    </row>
    <row r="864" customFormat="false" ht="15" hidden="false" customHeight="false" outlineLevel="0" collapsed="false">
      <c r="A864" s="0" t="n">
        <v>7</v>
      </c>
      <c r="B864" s="0" t="s">
        <v>1840</v>
      </c>
      <c r="D864" s="0" t="s">
        <v>1841</v>
      </c>
      <c r="E864" s="0" t="s">
        <v>674</v>
      </c>
      <c r="F864" s="0" t="s">
        <v>950</v>
      </c>
      <c r="G864" s="41" t="n">
        <v>16</v>
      </c>
      <c r="H864" s="25" t="s">
        <v>188</v>
      </c>
    </row>
    <row r="865" customFormat="false" ht="15" hidden="false" customHeight="false" outlineLevel="0" collapsed="false">
      <c r="A865" s="0" t="n">
        <v>7</v>
      </c>
      <c r="B865" s="0" t="s">
        <v>1840</v>
      </c>
      <c r="D865" s="0" t="s">
        <v>1842</v>
      </c>
      <c r="E865" s="0" t="s">
        <v>261</v>
      </c>
      <c r="F865" s="0" t="s">
        <v>1843</v>
      </c>
      <c r="G865" s="41" t="n">
        <v>3026</v>
      </c>
      <c r="H865" s="25" t="s">
        <v>188</v>
      </c>
    </row>
    <row r="866" customFormat="false" ht="15" hidden="false" customHeight="false" outlineLevel="0" collapsed="false">
      <c r="A866" s="0" t="n">
        <v>7</v>
      </c>
      <c r="B866" s="0" t="s">
        <v>1840</v>
      </c>
      <c r="D866" s="0" t="s">
        <v>1844</v>
      </c>
      <c r="E866" s="0" t="s">
        <v>261</v>
      </c>
      <c r="F866" s="0" t="s">
        <v>1777</v>
      </c>
      <c r="G866" s="41" t="n">
        <v>35</v>
      </c>
      <c r="H866" s="25" t="s">
        <v>188</v>
      </c>
    </row>
    <row r="867" customFormat="false" ht="15" hidden="false" customHeight="false" outlineLevel="0" collapsed="false">
      <c r="A867" s="0" t="n">
        <v>7</v>
      </c>
      <c r="B867" s="0" t="s">
        <v>1840</v>
      </c>
      <c r="D867" s="0" t="s">
        <v>1845</v>
      </c>
      <c r="E867" s="0" t="s">
        <v>655</v>
      </c>
      <c r="F867" s="0" t="s">
        <v>950</v>
      </c>
      <c r="G867" s="41" t="n">
        <v>16</v>
      </c>
      <c r="H867" s="25" t="s">
        <v>193</v>
      </c>
      <c r="I867" s="25" t="s">
        <v>1704</v>
      </c>
    </row>
    <row r="868" customFormat="false" ht="15" hidden="false" customHeight="false" outlineLevel="0" collapsed="false">
      <c r="A868" s="0" t="n">
        <v>7</v>
      </c>
      <c r="B868" s="0" t="s">
        <v>1840</v>
      </c>
      <c r="D868" s="0" t="s">
        <v>1846</v>
      </c>
      <c r="E868" s="0" t="s">
        <v>1837</v>
      </c>
      <c r="F868" s="0" t="s">
        <v>1847</v>
      </c>
      <c r="G868" s="41" t="n">
        <v>14</v>
      </c>
      <c r="H868" s="25" t="s">
        <v>197</v>
      </c>
      <c r="I868" s="25" t="s">
        <v>1716</v>
      </c>
    </row>
    <row r="869" customFormat="false" ht="15" hidden="false" customHeight="false" outlineLevel="0" collapsed="false">
      <c r="A869" s="0" t="n">
        <v>7</v>
      </c>
      <c r="B869" s="0" t="s">
        <v>1840</v>
      </c>
      <c r="D869" s="0" t="s">
        <v>1848</v>
      </c>
      <c r="E869" s="0" t="s">
        <v>100</v>
      </c>
      <c r="F869" s="0" t="s">
        <v>659</v>
      </c>
      <c r="G869" s="41" t="n">
        <v>2</v>
      </c>
      <c r="H869" s="25" t="s">
        <v>218</v>
      </c>
    </row>
    <row r="870" customFormat="false" ht="15" hidden="false" customHeight="false" outlineLevel="0" collapsed="false">
      <c r="A870" s="0" t="n">
        <v>7</v>
      </c>
      <c r="B870" s="0" t="s">
        <v>1840</v>
      </c>
      <c r="D870" s="0" t="s">
        <v>1849</v>
      </c>
      <c r="E870" s="0" t="s">
        <v>100</v>
      </c>
      <c r="F870" s="0" t="s">
        <v>659</v>
      </c>
      <c r="G870" s="41" t="n">
        <v>2</v>
      </c>
      <c r="H870" s="25" t="s">
        <v>212</v>
      </c>
      <c r="I870" s="25" t="s">
        <v>1850</v>
      </c>
    </row>
    <row r="871" customFormat="false" ht="15" hidden="false" customHeight="false" outlineLevel="0" collapsed="false">
      <c r="A871" s="0" t="n">
        <v>7</v>
      </c>
      <c r="B871" s="0" t="s">
        <v>1840</v>
      </c>
      <c r="D871" s="0" t="s">
        <v>1851</v>
      </c>
      <c r="E871" s="0" t="s">
        <v>100</v>
      </c>
      <c r="F871" s="0" t="s">
        <v>659</v>
      </c>
      <c r="G871" s="41" t="n">
        <v>2</v>
      </c>
      <c r="H871" s="25" t="s">
        <v>212</v>
      </c>
      <c r="I871" s="25" t="s">
        <v>1852</v>
      </c>
    </row>
    <row r="872" customFormat="false" ht="15" hidden="false" customHeight="false" outlineLevel="0" collapsed="false">
      <c r="A872" s="0" t="n">
        <v>7</v>
      </c>
      <c r="B872" s="0" t="s">
        <v>1840</v>
      </c>
      <c r="D872" s="0" t="s">
        <v>1853</v>
      </c>
      <c r="E872" s="0" t="s">
        <v>100</v>
      </c>
      <c r="F872" s="0" t="s">
        <v>659</v>
      </c>
      <c r="G872" s="41" t="n">
        <v>2</v>
      </c>
      <c r="H872" s="25" t="s">
        <v>193</v>
      </c>
      <c r="I872" s="25" t="s">
        <v>1704</v>
      </c>
    </row>
    <row r="873" customFormat="false" ht="15" hidden="false" customHeight="false" outlineLevel="0" collapsed="false">
      <c r="A873" s="0" t="n">
        <v>7</v>
      </c>
      <c r="B873" s="0" t="s">
        <v>1840</v>
      </c>
      <c r="D873" s="0" t="s">
        <v>1717</v>
      </c>
      <c r="E873" s="0" t="s">
        <v>100</v>
      </c>
      <c r="F873" s="0" t="s">
        <v>797</v>
      </c>
      <c r="G873" s="41" t="n">
        <v>7</v>
      </c>
      <c r="H873" s="25" t="s">
        <v>202</v>
      </c>
    </row>
    <row r="874" customFormat="false" ht="15" hidden="false" customHeight="false" outlineLevel="0" collapsed="false">
      <c r="A874" s="0" t="n">
        <v>7</v>
      </c>
      <c r="B874" s="0" t="s">
        <v>1840</v>
      </c>
      <c r="D874" s="0" t="s">
        <v>1854</v>
      </c>
      <c r="E874" s="0" t="s">
        <v>655</v>
      </c>
      <c r="F874" s="0" t="s">
        <v>1855</v>
      </c>
      <c r="G874" s="41" t="n">
        <v>29</v>
      </c>
      <c r="H874" s="25" t="s">
        <v>202</v>
      </c>
    </row>
    <row r="875" customFormat="false" ht="15" hidden="false" customHeight="false" outlineLevel="0" collapsed="false">
      <c r="A875" s="0" t="n">
        <v>7</v>
      </c>
      <c r="B875" s="0" t="s">
        <v>1840</v>
      </c>
      <c r="D875" s="0" t="s">
        <v>1824</v>
      </c>
      <c r="E875" s="0" t="s">
        <v>655</v>
      </c>
      <c r="F875" s="0" t="s">
        <v>781</v>
      </c>
      <c r="G875" s="41" t="n">
        <v>8</v>
      </c>
      <c r="H875" s="25" t="s">
        <v>207</v>
      </c>
    </row>
    <row r="876" customFormat="false" ht="15" hidden="false" customHeight="false" outlineLevel="0" collapsed="false">
      <c r="A876" s="0" t="n">
        <v>7</v>
      </c>
      <c r="B876" s="0" t="s">
        <v>1840</v>
      </c>
      <c r="D876" s="0" t="s">
        <v>1721</v>
      </c>
      <c r="E876" s="0" t="s">
        <v>655</v>
      </c>
      <c r="F876" s="0" t="s">
        <v>656</v>
      </c>
      <c r="G876" s="41" t="n">
        <v>1</v>
      </c>
      <c r="H876" s="25" t="s">
        <v>193</v>
      </c>
      <c r="I876" s="25" t="s">
        <v>1704</v>
      </c>
    </row>
    <row r="877" customFormat="false" ht="15" hidden="false" customHeight="false" outlineLevel="0" collapsed="false">
      <c r="A877" s="0" t="n">
        <v>7</v>
      </c>
      <c r="B877" s="0" t="s">
        <v>1840</v>
      </c>
      <c r="D877" s="0" t="s">
        <v>1856</v>
      </c>
      <c r="E877" s="0" t="s">
        <v>1837</v>
      </c>
      <c r="F877" s="0" t="s">
        <v>1857</v>
      </c>
      <c r="G877" s="41" t="n">
        <v>1</v>
      </c>
      <c r="H877" s="25" t="s">
        <v>197</v>
      </c>
      <c r="I877" s="25" t="s">
        <v>1858</v>
      </c>
    </row>
    <row r="878" customFormat="false" ht="15" hidden="false" customHeight="false" outlineLevel="0" collapsed="false">
      <c r="A878" s="0" t="n">
        <v>7</v>
      </c>
      <c r="B878" s="0" t="s">
        <v>1859</v>
      </c>
      <c r="D878" s="0" t="s">
        <v>1860</v>
      </c>
      <c r="E878" s="0" t="s">
        <v>655</v>
      </c>
      <c r="F878" s="0" t="s">
        <v>1732</v>
      </c>
      <c r="G878" s="41" t="n">
        <v>45</v>
      </c>
      <c r="H878" s="25" t="s">
        <v>202</v>
      </c>
    </row>
    <row r="879" customFormat="false" ht="15" hidden="false" customHeight="false" outlineLevel="0" collapsed="false">
      <c r="A879" s="0" t="n">
        <v>7</v>
      </c>
      <c r="B879" s="0" t="s">
        <v>1859</v>
      </c>
      <c r="D879" s="0" t="s">
        <v>1861</v>
      </c>
      <c r="E879" s="0" t="s">
        <v>655</v>
      </c>
      <c r="F879" s="0" t="s">
        <v>659</v>
      </c>
      <c r="G879" s="41" t="n">
        <v>2</v>
      </c>
      <c r="H879" s="25" t="s">
        <v>193</v>
      </c>
      <c r="I879" s="25" t="s">
        <v>1704</v>
      </c>
    </row>
    <row r="880" customFormat="false" ht="15" hidden="false" customHeight="false" outlineLevel="0" collapsed="false">
      <c r="A880" s="0" t="n">
        <v>7</v>
      </c>
      <c r="B880" s="0" t="s">
        <v>1859</v>
      </c>
      <c r="D880" s="0" t="s">
        <v>1862</v>
      </c>
      <c r="E880" s="0" t="s">
        <v>655</v>
      </c>
      <c r="F880" s="0" t="s">
        <v>656</v>
      </c>
      <c r="G880" s="41" t="n">
        <v>1</v>
      </c>
      <c r="H880" s="25" t="s">
        <v>193</v>
      </c>
      <c r="I880" s="25" t="s">
        <v>1704</v>
      </c>
    </row>
    <row r="881" customFormat="false" ht="15" hidden="false" customHeight="false" outlineLevel="0" collapsed="false">
      <c r="A881" s="0" t="n">
        <v>7</v>
      </c>
      <c r="B881" s="0" t="s">
        <v>1859</v>
      </c>
      <c r="D881" s="0" t="s">
        <v>1863</v>
      </c>
      <c r="E881" s="0" t="s">
        <v>655</v>
      </c>
      <c r="F881" s="0" t="s">
        <v>656</v>
      </c>
      <c r="G881" s="41" t="n">
        <v>1</v>
      </c>
      <c r="H881" s="25" t="s">
        <v>197</v>
      </c>
      <c r="I881" s="25" t="s">
        <v>1830</v>
      </c>
    </row>
    <row r="882" customFormat="false" ht="15" hidden="false" customHeight="false" outlineLevel="0" collapsed="false">
      <c r="A882" s="0" t="n">
        <v>7</v>
      </c>
      <c r="B882" s="0" t="s">
        <v>1859</v>
      </c>
      <c r="D882" s="0" t="s">
        <v>1864</v>
      </c>
      <c r="E882" s="0" t="s">
        <v>655</v>
      </c>
      <c r="F882" s="0" t="s">
        <v>656</v>
      </c>
      <c r="G882" s="41" t="n">
        <v>1</v>
      </c>
      <c r="H882" s="25" t="s">
        <v>197</v>
      </c>
      <c r="I882" s="25" t="s">
        <v>1830</v>
      </c>
    </row>
    <row r="883" customFormat="false" ht="15" hidden="false" customHeight="false" outlineLevel="0" collapsed="false">
      <c r="A883" s="0" t="n">
        <v>7</v>
      </c>
      <c r="B883" s="0" t="s">
        <v>1859</v>
      </c>
      <c r="D883" s="0" t="s">
        <v>1865</v>
      </c>
      <c r="E883" s="0" t="s">
        <v>655</v>
      </c>
      <c r="F883" s="0" t="s">
        <v>667</v>
      </c>
      <c r="G883" s="41" t="n">
        <v>3</v>
      </c>
      <c r="H883" s="25" t="s">
        <v>193</v>
      </c>
    </row>
    <row r="884" customFormat="false" ht="15" hidden="false" customHeight="false" outlineLevel="0" collapsed="false">
      <c r="A884" s="0" t="n">
        <v>7</v>
      </c>
      <c r="B884" s="0" t="s">
        <v>1859</v>
      </c>
      <c r="D884" s="0" t="s">
        <v>1866</v>
      </c>
      <c r="E884" s="0" t="s">
        <v>261</v>
      </c>
      <c r="F884" s="0" t="s">
        <v>788</v>
      </c>
      <c r="G884" s="41" t="n">
        <v>20</v>
      </c>
      <c r="H884" s="25" t="s">
        <v>188</v>
      </c>
    </row>
    <row r="885" customFormat="false" ht="15" hidden="false" customHeight="false" outlineLevel="0" collapsed="false">
      <c r="A885" s="0" t="n">
        <v>7</v>
      </c>
      <c r="B885" s="0" t="s">
        <v>1859</v>
      </c>
      <c r="D885" s="0" t="s">
        <v>1867</v>
      </c>
      <c r="E885" s="0" t="s">
        <v>261</v>
      </c>
      <c r="F885" s="0" t="s">
        <v>1732</v>
      </c>
      <c r="G885" s="41" t="n">
        <v>45</v>
      </c>
      <c r="H885" s="25" t="s">
        <v>188</v>
      </c>
    </row>
    <row r="886" customFormat="false" ht="15" hidden="false" customHeight="false" outlineLevel="0" collapsed="false">
      <c r="A886" s="0" t="n">
        <v>7</v>
      </c>
      <c r="B886" s="0" t="s">
        <v>1859</v>
      </c>
      <c r="D886" s="0" t="s">
        <v>1868</v>
      </c>
      <c r="E886" s="0" t="s">
        <v>261</v>
      </c>
      <c r="F886" s="0" t="s">
        <v>679</v>
      </c>
      <c r="G886" s="41" t="n">
        <v>30</v>
      </c>
      <c r="H886" s="25" t="s">
        <v>188</v>
      </c>
    </row>
    <row r="887" customFormat="false" ht="15" hidden="false" customHeight="false" outlineLevel="0" collapsed="false">
      <c r="A887" s="0" t="n">
        <v>7</v>
      </c>
      <c r="B887" s="0" t="s">
        <v>1859</v>
      </c>
      <c r="D887" s="0" t="s">
        <v>1869</v>
      </c>
      <c r="E887" s="0" t="s">
        <v>261</v>
      </c>
      <c r="F887" s="0" t="s">
        <v>735</v>
      </c>
      <c r="G887" s="41" t="n">
        <v>150</v>
      </c>
      <c r="H887" s="25" t="s">
        <v>188</v>
      </c>
    </row>
    <row r="888" customFormat="false" ht="15" hidden="false" customHeight="false" outlineLevel="0" collapsed="false">
      <c r="A888" s="0" t="n">
        <v>7</v>
      </c>
      <c r="B888" s="0" t="s">
        <v>1870</v>
      </c>
      <c r="D888" s="0" t="s">
        <v>1871</v>
      </c>
      <c r="E888" s="0" t="s">
        <v>674</v>
      </c>
      <c r="F888" s="0" t="s">
        <v>1833</v>
      </c>
      <c r="G888" s="41" t="n">
        <v>78</v>
      </c>
      <c r="H888" s="25" t="s">
        <v>188</v>
      </c>
    </row>
    <row r="889" customFormat="false" ht="15" hidden="false" customHeight="false" outlineLevel="0" collapsed="false">
      <c r="A889" s="0" t="n">
        <v>7</v>
      </c>
      <c r="B889" s="0" t="s">
        <v>1870</v>
      </c>
      <c r="D889" s="0" t="s">
        <v>1872</v>
      </c>
      <c r="E889" s="0" t="s">
        <v>674</v>
      </c>
      <c r="F889" s="0" t="s">
        <v>1835</v>
      </c>
      <c r="G889" s="41" t="n">
        <v>64</v>
      </c>
      <c r="H889" s="25" t="s">
        <v>188</v>
      </c>
    </row>
    <row r="890" customFormat="false" ht="15" hidden="false" customHeight="false" outlineLevel="0" collapsed="false">
      <c r="A890" s="0" t="n">
        <v>7</v>
      </c>
      <c r="B890" s="0" t="s">
        <v>1870</v>
      </c>
      <c r="D890" s="0" t="s">
        <v>1873</v>
      </c>
      <c r="E890" s="0" t="s">
        <v>655</v>
      </c>
      <c r="F890" s="0" t="s">
        <v>659</v>
      </c>
      <c r="G890" s="41" t="n">
        <v>2</v>
      </c>
      <c r="H890" s="25" t="s">
        <v>207</v>
      </c>
    </row>
    <row r="891" customFormat="false" ht="15" hidden="false" customHeight="false" outlineLevel="0" collapsed="false">
      <c r="A891" s="0" t="n">
        <v>7</v>
      </c>
      <c r="B891" s="0" t="s">
        <v>1870</v>
      </c>
      <c r="D891" s="0" t="s">
        <v>1766</v>
      </c>
      <c r="E891" s="0" t="s">
        <v>655</v>
      </c>
      <c r="F891" s="0" t="s">
        <v>781</v>
      </c>
      <c r="G891" s="41" t="n">
        <v>8</v>
      </c>
      <c r="H891" s="25" t="s">
        <v>202</v>
      </c>
    </row>
    <row r="892" customFormat="false" ht="15" hidden="false" customHeight="false" outlineLevel="0" collapsed="false">
      <c r="A892" s="0" t="n">
        <v>7</v>
      </c>
      <c r="B892" s="0" t="s">
        <v>1870</v>
      </c>
      <c r="D892" s="0" t="s">
        <v>1864</v>
      </c>
      <c r="E892" s="0" t="s">
        <v>655</v>
      </c>
      <c r="F892" s="0" t="s">
        <v>659</v>
      </c>
      <c r="G892" s="41" t="n">
        <v>2</v>
      </c>
      <c r="H892" s="25" t="s">
        <v>197</v>
      </c>
      <c r="I892" s="25" t="s">
        <v>1839</v>
      </c>
    </row>
    <row r="893" customFormat="false" ht="15" hidden="false" customHeight="false" outlineLevel="0" collapsed="false">
      <c r="A893" s="0" t="n">
        <v>7</v>
      </c>
      <c r="B893" s="0" t="s">
        <v>1870</v>
      </c>
      <c r="D893" s="0" t="s">
        <v>1862</v>
      </c>
      <c r="E893" s="0" t="s">
        <v>655</v>
      </c>
      <c r="F893" s="0" t="s">
        <v>659</v>
      </c>
      <c r="G893" s="41" t="n">
        <v>2</v>
      </c>
      <c r="H893" s="25" t="s">
        <v>193</v>
      </c>
      <c r="I893" s="25" t="s">
        <v>1704</v>
      </c>
    </row>
    <row r="894" customFormat="false" ht="15" hidden="false" customHeight="false" outlineLevel="0" collapsed="false">
      <c r="A894" s="0" t="n">
        <v>7</v>
      </c>
      <c r="B894" s="0" t="s">
        <v>1874</v>
      </c>
      <c r="D894" s="0" t="s">
        <v>1875</v>
      </c>
      <c r="E894" s="0" t="s">
        <v>261</v>
      </c>
      <c r="F894" s="0" t="s">
        <v>1876</v>
      </c>
      <c r="G894" s="41" t="n">
        <v>0.5</v>
      </c>
      <c r="H894" s="25" t="s">
        <v>188</v>
      </c>
    </row>
    <row r="895" customFormat="false" ht="15" hidden="false" customHeight="false" outlineLevel="0" collapsed="false">
      <c r="A895" s="0" t="n">
        <v>7</v>
      </c>
      <c r="B895" s="0" t="s">
        <v>1874</v>
      </c>
      <c r="D895" s="0" t="s">
        <v>1877</v>
      </c>
      <c r="E895" s="0" t="s">
        <v>261</v>
      </c>
      <c r="F895" s="0" t="s">
        <v>1876</v>
      </c>
      <c r="G895" s="41" t="n">
        <v>0.5</v>
      </c>
      <c r="H895" s="25" t="s">
        <v>188</v>
      </c>
    </row>
    <row r="896" customFormat="false" ht="15" hidden="false" customHeight="false" outlineLevel="0" collapsed="false">
      <c r="A896" s="0" t="n">
        <v>7</v>
      </c>
      <c r="B896" s="0" t="s">
        <v>1874</v>
      </c>
      <c r="D896" s="0" t="s">
        <v>1878</v>
      </c>
      <c r="E896" s="0" t="s">
        <v>261</v>
      </c>
      <c r="F896" s="0" t="s">
        <v>1741</v>
      </c>
      <c r="G896" s="41" t="n">
        <v>17</v>
      </c>
      <c r="H896" s="25" t="s">
        <v>188</v>
      </c>
    </row>
    <row r="897" customFormat="false" ht="15" hidden="false" customHeight="false" outlineLevel="0" collapsed="false">
      <c r="A897" s="0" t="n">
        <v>7</v>
      </c>
      <c r="B897" s="0" t="s">
        <v>1874</v>
      </c>
      <c r="D897" s="0" t="s">
        <v>1879</v>
      </c>
      <c r="E897" s="0" t="s">
        <v>261</v>
      </c>
      <c r="F897" s="0" t="s">
        <v>836</v>
      </c>
      <c r="G897" s="41" t="n">
        <v>10</v>
      </c>
      <c r="H897" s="25" t="s">
        <v>188</v>
      </c>
    </row>
    <row r="898" customFormat="false" ht="15" hidden="false" customHeight="false" outlineLevel="0" collapsed="false">
      <c r="A898" s="0" t="n">
        <v>7</v>
      </c>
      <c r="B898" s="0" t="s">
        <v>1874</v>
      </c>
      <c r="D898" s="0" t="s">
        <v>1880</v>
      </c>
      <c r="E898" s="0" t="s">
        <v>261</v>
      </c>
      <c r="F898" s="0" t="s">
        <v>950</v>
      </c>
      <c r="G898" s="41" t="n">
        <v>16</v>
      </c>
      <c r="H898" s="25" t="s">
        <v>188</v>
      </c>
    </row>
    <row r="899" customFormat="false" ht="15" hidden="false" customHeight="false" outlineLevel="0" collapsed="false">
      <c r="A899" s="0" t="n">
        <v>7</v>
      </c>
      <c r="B899" s="0" t="s">
        <v>1874</v>
      </c>
      <c r="D899" s="0" t="s">
        <v>1881</v>
      </c>
      <c r="E899" s="0" t="s">
        <v>655</v>
      </c>
      <c r="F899" s="0" t="s">
        <v>667</v>
      </c>
      <c r="G899" s="41" t="n">
        <v>3</v>
      </c>
      <c r="H899" s="25" t="s">
        <v>212</v>
      </c>
      <c r="I899" s="25" t="s">
        <v>1882</v>
      </c>
    </row>
    <row r="900" customFormat="false" ht="15" hidden="false" customHeight="false" outlineLevel="0" collapsed="false">
      <c r="A900" s="0" t="n">
        <v>7</v>
      </c>
      <c r="B900" s="0" t="s">
        <v>1874</v>
      </c>
      <c r="D900" s="0" t="s">
        <v>1883</v>
      </c>
      <c r="E900" s="0" t="s">
        <v>655</v>
      </c>
      <c r="F900" s="0" t="s">
        <v>656</v>
      </c>
      <c r="G900" s="41" t="n">
        <v>1</v>
      </c>
      <c r="H900" s="25" t="s">
        <v>212</v>
      </c>
      <c r="I900" s="25" t="s">
        <v>1882</v>
      </c>
    </row>
    <row r="901" customFormat="false" ht="15" hidden="false" customHeight="false" outlineLevel="0" collapsed="false">
      <c r="A901" s="0" t="n">
        <v>7</v>
      </c>
      <c r="B901" s="0" t="s">
        <v>1874</v>
      </c>
      <c r="D901" s="0" t="s">
        <v>1884</v>
      </c>
      <c r="E901" s="0" t="s">
        <v>655</v>
      </c>
      <c r="F901" s="0" t="s">
        <v>656</v>
      </c>
      <c r="G901" s="41" t="n">
        <v>1</v>
      </c>
      <c r="H901" s="25" t="s">
        <v>218</v>
      </c>
    </row>
    <row r="902" customFormat="false" ht="15" hidden="false" customHeight="false" outlineLevel="0" collapsed="false">
      <c r="A902" s="0" t="n">
        <v>7</v>
      </c>
      <c r="B902" s="0" t="s">
        <v>1874</v>
      </c>
      <c r="D902" s="0" t="s">
        <v>1885</v>
      </c>
      <c r="E902" s="0" t="s">
        <v>655</v>
      </c>
      <c r="F902" s="0" t="s">
        <v>829</v>
      </c>
      <c r="G902" s="41" t="n">
        <v>6</v>
      </c>
      <c r="H902" s="25" t="s">
        <v>207</v>
      </c>
    </row>
    <row r="903" customFormat="false" ht="15" hidden="false" customHeight="false" outlineLevel="0" collapsed="false">
      <c r="A903" s="0" t="n">
        <v>7</v>
      </c>
      <c r="B903" s="0" t="s">
        <v>1874</v>
      </c>
      <c r="D903" s="0" t="s">
        <v>1886</v>
      </c>
      <c r="E903" s="0" t="s">
        <v>655</v>
      </c>
      <c r="F903" s="0" t="s">
        <v>659</v>
      </c>
      <c r="G903" s="41" t="n">
        <v>2</v>
      </c>
      <c r="H903" s="25" t="s">
        <v>207</v>
      </c>
    </row>
    <row r="904" customFormat="false" ht="15" hidden="false" customHeight="false" outlineLevel="0" collapsed="false">
      <c r="A904" s="0" t="n">
        <v>7</v>
      </c>
      <c r="B904" s="0" t="s">
        <v>1874</v>
      </c>
      <c r="D904" s="0" t="s">
        <v>1887</v>
      </c>
      <c r="E904" s="0" t="s">
        <v>655</v>
      </c>
      <c r="F904" s="0" t="s">
        <v>935</v>
      </c>
      <c r="G904" s="41" t="n">
        <v>9</v>
      </c>
      <c r="H904" s="25" t="s">
        <v>193</v>
      </c>
      <c r="I904" s="25" t="s">
        <v>1704</v>
      </c>
    </row>
    <row r="905" customFormat="false" ht="15" hidden="false" customHeight="false" outlineLevel="0" collapsed="false">
      <c r="A905" s="0" t="n">
        <v>7</v>
      </c>
      <c r="B905" s="0" t="s">
        <v>1874</v>
      </c>
      <c r="D905" s="0" t="s">
        <v>1888</v>
      </c>
      <c r="E905" s="0" t="s">
        <v>655</v>
      </c>
      <c r="F905" s="0" t="s">
        <v>667</v>
      </c>
      <c r="G905" s="41" t="n">
        <v>3</v>
      </c>
      <c r="H905" s="25" t="s">
        <v>193</v>
      </c>
      <c r="I905" s="25" t="s">
        <v>1704</v>
      </c>
    </row>
    <row r="906" customFormat="false" ht="15" hidden="false" customHeight="false" outlineLevel="0" collapsed="false">
      <c r="A906" s="0" t="n">
        <v>7</v>
      </c>
      <c r="B906" s="0" t="s">
        <v>1874</v>
      </c>
      <c r="D906" s="0" t="s">
        <v>1889</v>
      </c>
      <c r="E906" s="0" t="s">
        <v>655</v>
      </c>
      <c r="F906" s="0" t="s">
        <v>690</v>
      </c>
      <c r="G906" s="41" t="n">
        <v>5</v>
      </c>
      <c r="H906" s="25" t="s">
        <v>193</v>
      </c>
      <c r="I906" s="25" t="s">
        <v>1704</v>
      </c>
    </row>
    <row r="907" customFormat="false" ht="15" hidden="false" customHeight="false" outlineLevel="0" collapsed="false">
      <c r="A907" s="0" t="n">
        <v>7</v>
      </c>
      <c r="B907" s="0" t="s">
        <v>1874</v>
      </c>
      <c r="D907" s="0" t="s">
        <v>1890</v>
      </c>
      <c r="E907" s="0" t="s">
        <v>655</v>
      </c>
      <c r="F907" s="0" t="s">
        <v>829</v>
      </c>
      <c r="G907" s="41" t="n">
        <v>6</v>
      </c>
      <c r="H907" s="25" t="s">
        <v>193</v>
      </c>
    </row>
    <row r="908" customFormat="false" ht="15" hidden="false" customHeight="false" outlineLevel="0" collapsed="false">
      <c r="A908" s="0" t="n">
        <v>7</v>
      </c>
      <c r="B908" s="0" t="s">
        <v>1874</v>
      </c>
      <c r="D908" s="0" t="s">
        <v>1891</v>
      </c>
      <c r="E908" s="0" t="s">
        <v>655</v>
      </c>
      <c r="F908" s="0" t="s">
        <v>667</v>
      </c>
      <c r="G908" s="41" t="n">
        <v>3</v>
      </c>
      <c r="H908" s="25" t="s">
        <v>193</v>
      </c>
    </row>
    <row r="909" customFormat="false" ht="15" hidden="false" customHeight="false" outlineLevel="0" collapsed="false">
      <c r="A909" s="0" t="n">
        <v>7</v>
      </c>
      <c r="B909" s="0" t="s">
        <v>1874</v>
      </c>
      <c r="D909" s="0" t="s">
        <v>1892</v>
      </c>
      <c r="E909" s="0" t="s">
        <v>655</v>
      </c>
      <c r="F909" s="0" t="s">
        <v>781</v>
      </c>
      <c r="G909" s="41" t="n">
        <v>8</v>
      </c>
      <c r="H909" s="25" t="s">
        <v>193</v>
      </c>
    </row>
    <row r="910" customFormat="false" ht="15" hidden="false" customHeight="false" outlineLevel="0" collapsed="false">
      <c r="A910" s="0" t="n">
        <v>7</v>
      </c>
      <c r="B910" s="0" t="s">
        <v>1893</v>
      </c>
      <c r="D910" s="0" t="s">
        <v>1894</v>
      </c>
      <c r="E910" s="0" t="s">
        <v>655</v>
      </c>
      <c r="F910" s="0" t="s">
        <v>690</v>
      </c>
      <c r="G910" s="41" t="n">
        <v>5</v>
      </c>
      <c r="H910" s="25" t="s">
        <v>202</v>
      </c>
    </row>
    <row r="911" customFormat="false" ht="15" hidden="false" customHeight="false" outlineLevel="0" collapsed="false">
      <c r="A911" s="0" t="n">
        <v>7</v>
      </c>
      <c r="B911" s="0" t="s">
        <v>1893</v>
      </c>
      <c r="D911" s="0" t="s">
        <v>1895</v>
      </c>
      <c r="E911" s="0" t="s">
        <v>655</v>
      </c>
      <c r="F911" s="0" t="s">
        <v>667</v>
      </c>
      <c r="G911" s="41" t="n">
        <v>3</v>
      </c>
      <c r="H911" s="25" t="s">
        <v>202</v>
      </c>
    </row>
    <row r="912" customFormat="false" ht="15" hidden="false" customHeight="false" outlineLevel="0" collapsed="false">
      <c r="A912" s="0" t="n">
        <v>7</v>
      </c>
      <c r="B912" s="0" t="s">
        <v>1893</v>
      </c>
      <c r="D912" s="0" t="s">
        <v>1896</v>
      </c>
      <c r="E912" s="0" t="s">
        <v>655</v>
      </c>
      <c r="F912" s="0" t="s">
        <v>656</v>
      </c>
      <c r="G912" s="41" t="n">
        <v>1</v>
      </c>
      <c r="H912" s="25" t="s">
        <v>193</v>
      </c>
      <c r="I912" s="25" t="s">
        <v>1704</v>
      </c>
    </row>
    <row r="913" customFormat="false" ht="15" hidden="false" customHeight="false" outlineLevel="0" collapsed="false">
      <c r="A913" s="0" t="n">
        <v>7</v>
      </c>
      <c r="B913" s="0" t="s">
        <v>1893</v>
      </c>
      <c r="D913" s="0" t="s">
        <v>1897</v>
      </c>
      <c r="E913" s="0" t="s">
        <v>655</v>
      </c>
      <c r="F913" s="0" t="s">
        <v>836</v>
      </c>
      <c r="G913" s="41" t="n">
        <v>10</v>
      </c>
      <c r="H913" s="25" t="s">
        <v>193</v>
      </c>
      <c r="I913" s="25" t="s">
        <v>1704</v>
      </c>
    </row>
    <row r="914" customFormat="false" ht="15" hidden="false" customHeight="false" outlineLevel="0" collapsed="false">
      <c r="A914" s="0" t="n">
        <v>7</v>
      </c>
      <c r="B914" s="0" t="s">
        <v>1893</v>
      </c>
      <c r="D914" s="0" t="s">
        <v>1898</v>
      </c>
      <c r="E914" s="0" t="s">
        <v>655</v>
      </c>
      <c r="F914" s="0" t="s">
        <v>829</v>
      </c>
      <c r="G914" s="41" t="n">
        <v>6</v>
      </c>
      <c r="H914" s="25" t="s">
        <v>193</v>
      </c>
      <c r="I914" s="25" t="s">
        <v>1704</v>
      </c>
    </row>
    <row r="915" customFormat="false" ht="15" hidden="false" customHeight="false" outlineLevel="0" collapsed="false">
      <c r="A915" s="0" t="n">
        <v>7</v>
      </c>
      <c r="B915" s="0" t="s">
        <v>1893</v>
      </c>
      <c r="D915" s="0" t="s">
        <v>1899</v>
      </c>
      <c r="E915" s="0" t="s">
        <v>655</v>
      </c>
      <c r="F915" s="0" t="s">
        <v>667</v>
      </c>
      <c r="G915" s="41" t="n">
        <v>3</v>
      </c>
      <c r="H915" s="25" t="s">
        <v>193</v>
      </c>
      <c r="I915" s="25" t="s">
        <v>1704</v>
      </c>
    </row>
    <row r="916" customFormat="false" ht="15" hidden="false" customHeight="false" outlineLevel="0" collapsed="false">
      <c r="A916" s="0" t="n">
        <v>7</v>
      </c>
      <c r="B916" s="0" t="s">
        <v>1893</v>
      </c>
      <c r="D916" s="0" t="s">
        <v>1900</v>
      </c>
      <c r="E916" s="0" t="s">
        <v>655</v>
      </c>
      <c r="F916" s="0" t="s">
        <v>656</v>
      </c>
      <c r="G916" s="41" t="n">
        <v>1</v>
      </c>
      <c r="H916" s="25" t="s">
        <v>193</v>
      </c>
      <c r="I916" s="25" t="s">
        <v>1704</v>
      </c>
    </row>
    <row r="917" customFormat="false" ht="15" hidden="false" customHeight="false" outlineLevel="0" collapsed="false">
      <c r="A917" s="0" t="n">
        <v>7</v>
      </c>
      <c r="B917" s="0" t="s">
        <v>1893</v>
      </c>
      <c r="D917" s="0" t="s">
        <v>1901</v>
      </c>
      <c r="E917" s="0" t="s">
        <v>655</v>
      </c>
      <c r="F917" s="0" t="s">
        <v>659</v>
      </c>
      <c r="G917" s="41" t="n">
        <v>2</v>
      </c>
      <c r="H917" s="25" t="s">
        <v>193</v>
      </c>
    </row>
    <row r="918" customFormat="false" ht="15" hidden="false" customHeight="false" outlineLevel="0" collapsed="false">
      <c r="A918" s="0" t="n">
        <v>7</v>
      </c>
      <c r="B918" s="0" t="s">
        <v>1893</v>
      </c>
      <c r="D918" s="0" t="s">
        <v>1902</v>
      </c>
      <c r="E918" s="0" t="s">
        <v>261</v>
      </c>
      <c r="F918" s="0" t="s">
        <v>690</v>
      </c>
      <c r="G918" s="41" t="n">
        <v>5</v>
      </c>
      <c r="H918" s="25" t="s">
        <v>188</v>
      </c>
    </row>
    <row r="919" customFormat="false" ht="15" hidden="false" customHeight="false" outlineLevel="0" collapsed="false">
      <c r="A919" s="0" t="n">
        <v>7</v>
      </c>
      <c r="B919" s="0" t="s">
        <v>1893</v>
      </c>
      <c r="D919" s="0" t="s">
        <v>1903</v>
      </c>
      <c r="E919" s="0" t="s">
        <v>261</v>
      </c>
      <c r="F919" s="0" t="s">
        <v>675</v>
      </c>
      <c r="G919" s="41" t="n">
        <v>200</v>
      </c>
      <c r="H919" s="25" t="s">
        <v>188</v>
      </c>
    </row>
    <row r="920" customFormat="false" ht="15" hidden="false" customHeight="false" outlineLevel="0" collapsed="false">
      <c r="A920" s="0" t="n">
        <v>7</v>
      </c>
      <c r="B920" s="0" t="s">
        <v>1893</v>
      </c>
      <c r="D920" s="0" t="s">
        <v>1904</v>
      </c>
      <c r="E920" s="0" t="s">
        <v>261</v>
      </c>
      <c r="F920" s="0" t="s">
        <v>1774</v>
      </c>
      <c r="G920" s="41" t="n">
        <v>22</v>
      </c>
      <c r="H920" s="25" t="s">
        <v>188</v>
      </c>
    </row>
    <row r="921" customFormat="false" ht="15" hidden="false" customHeight="false" outlineLevel="0" collapsed="false">
      <c r="A921" s="0" t="n">
        <v>7</v>
      </c>
      <c r="B921" s="0" t="s">
        <v>1893</v>
      </c>
      <c r="D921" s="0" t="s">
        <v>1905</v>
      </c>
      <c r="E921" s="0" t="s">
        <v>261</v>
      </c>
      <c r="F921" s="0" t="s">
        <v>1906</v>
      </c>
      <c r="G921" s="41" t="n">
        <v>75</v>
      </c>
      <c r="H921" s="25" t="s">
        <v>188</v>
      </c>
    </row>
    <row r="922" customFormat="false" ht="15" hidden="false" customHeight="false" outlineLevel="0" collapsed="false">
      <c r="A922" s="0" t="n">
        <v>7</v>
      </c>
      <c r="B922" s="0" t="s">
        <v>1893</v>
      </c>
      <c r="D922" s="0" t="s">
        <v>1907</v>
      </c>
      <c r="E922" s="0" t="s">
        <v>261</v>
      </c>
      <c r="F922" s="0" t="s">
        <v>861</v>
      </c>
      <c r="G922" s="41" t="n">
        <v>15</v>
      </c>
      <c r="H922" s="25" t="s">
        <v>188</v>
      </c>
    </row>
    <row r="923" customFormat="false" ht="15" hidden="false" customHeight="false" outlineLevel="0" collapsed="false">
      <c r="A923" s="0" t="n">
        <v>7</v>
      </c>
      <c r="B923" s="0" t="s">
        <v>1893</v>
      </c>
      <c r="D923" s="0" t="s">
        <v>1908</v>
      </c>
      <c r="E923" s="0" t="s">
        <v>261</v>
      </c>
      <c r="F923" s="0" t="s">
        <v>1909</v>
      </c>
      <c r="G923" s="41" t="n">
        <v>335</v>
      </c>
      <c r="H923" s="25" t="s">
        <v>188</v>
      </c>
    </row>
    <row r="924" customFormat="false" ht="15" hidden="false" customHeight="false" outlineLevel="0" collapsed="false">
      <c r="A924" s="0" t="n">
        <v>7</v>
      </c>
      <c r="B924" s="0" t="s">
        <v>1893</v>
      </c>
      <c r="D924" s="0" t="s">
        <v>1910</v>
      </c>
      <c r="E924" s="0" t="s">
        <v>261</v>
      </c>
      <c r="F924" s="0" t="s">
        <v>690</v>
      </c>
      <c r="G924" s="41" t="n">
        <v>5</v>
      </c>
      <c r="H924" s="25" t="s">
        <v>188</v>
      </c>
    </row>
    <row r="925" customFormat="false" ht="15" hidden="false" customHeight="false" outlineLevel="0" collapsed="false">
      <c r="A925" s="0" t="n">
        <v>8</v>
      </c>
      <c r="B925" s="0" t="s">
        <v>1911</v>
      </c>
      <c r="C925" s="0" t="s">
        <v>1243</v>
      </c>
      <c r="D925" s="0" t="s">
        <v>1912</v>
      </c>
      <c r="E925" s="0" t="s">
        <v>655</v>
      </c>
      <c r="F925" s="0" t="s">
        <v>659</v>
      </c>
      <c r="G925" s="41" t="n">
        <v>2</v>
      </c>
      <c r="H925" s="25" t="s">
        <v>98</v>
      </c>
    </row>
    <row r="926" customFormat="false" ht="15" hidden="false" customHeight="false" outlineLevel="0" collapsed="false">
      <c r="A926" s="0" t="n">
        <v>8</v>
      </c>
      <c r="B926" s="0" t="s">
        <v>1911</v>
      </c>
      <c r="C926" s="0" t="s">
        <v>1245</v>
      </c>
      <c r="D926" s="0" t="s">
        <v>1913</v>
      </c>
      <c r="E926" s="0" t="s">
        <v>655</v>
      </c>
      <c r="F926" s="0" t="s">
        <v>656</v>
      </c>
      <c r="G926" s="41" t="n">
        <v>1</v>
      </c>
      <c r="H926" s="25" t="s">
        <v>106</v>
      </c>
    </row>
    <row r="927" customFormat="false" ht="15" hidden="false" customHeight="false" outlineLevel="0" collapsed="false">
      <c r="A927" s="0" t="n">
        <v>8</v>
      </c>
      <c r="B927" s="0" t="s">
        <v>1911</v>
      </c>
      <c r="C927" s="0" t="s">
        <v>1247</v>
      </c>
      <c r="D927" s="0" t="s">
        <v>1332</v>
      </c>
      <c r="E927" s="0" t="s">
        <v>655</v>
      </c>
      <c r="F927" s="0" t="s">
        <v>656</v>
      </c>
      <c r="G927" s="41" t="n">
        <v>1</v>
      </c>
      <c r="H927" s="25" t="s">
        <v>113</v>
      </c>
    </row>
    <row r="928" customFormat="false" ht="15" hidden="false" customHeight="false" outlineLevel="0" collapsed="false">
      <c r="A928" s="0" t="n">
        <v>8</v>
      </c>
      <c r="B928" s="0" t="s">
        <v>1911</v>
      </c>
      <c r="C928" s="0" t="s">
        <v>1249</v>
      </c>
      <c r="D928" s="0" t="s">
        <v>1914</v>
      </c>
      <c r="E928" s="0" t="s">
        <v>655</v>
      </c>
      <c r="F928" s="0" t="s">
        <v>1915</v>
      </c>
      <c r="G928" s="41" t="n">
        <v>111</v>
      </c>
      <c r="H928" s="25" t="s">
        <v>123</v>
      </c>
    </row>
    <row r="929" customFormat="false" ht="15" hidden="false" customHeight="false" outlineLevel="0" collapsed="false">
      <c r="A929" s="0" t="n">
        <v>8</v>
      </c>
      <c r="B929" s="0" t="s">
        <v>1911</v>
      </c>
      <c r="C929" s="0" t="s">
        <v>1251</v>
      </c>
      <c r="D929" s="0" t="s">
        <v>1290</v>
      </c>
      <c r="E929" s="0" t="s">
        <v>655</v>
      </c>
      <c r="F929" s="0" t="s">
        <v>781</v>
      </c>
      <c r="G929" s="41" t="n">
        <v>8</v>
      </c>
      <c r="H929" s="25" t="s">
        <v>149</v>
      </c>
    </row>
    <row r="930" customFormat="false" ht="15" hidden="false" customHeight="false" outlineLevel="0" collapsed="false">
      <c r="A930" s="0" t="n">
        <v>8</v>
      </c>
      <c r="B930" s="0" t="s">
        <v>1911</v>
      </c>
      <c r="C930" s="0" t="s">
        <v>1253</v>
      </c>
      <c r="D930" s="0" t="s">
        <v>1916</v>
      </c>
      <c r="E930" s="0" t="s">
        <v>655</v>
      </c>
      <c r="F930" s="0" t="s">
        <v>781</v>
      </c>
      <c r="G930" s="41" t="n">
        <v>8</v>
      </c>
      <c r="H930" s="25" t="s">
        <v>156</v>
      </c>
    </row>
    <row r="931" customFormat="false" ht="15" hidden="false" customHeight="false" outlineLevel="0" collapsed="false">
      <c r="A931" s="0" t="n">
        <v>8</v>
      </c>
      <c r="B931" s="0" t="s">
        <v>1911</v>
      </c>
      <c r="C931" s="0" t="s">
        <v>1255</v>
      </c>
      <c r="D931" s="0" t="s">
        <v>1917</v>
      </c>
      <c r="E931" s="0" t="s">
        <v>655</v>
      </c>
      <c r="F931" s="0" t="s">
        <v>829</v>
      </c>
      <c r="G931" s="41" t="n">
        <v>6</v>
      </c>
      <c r="H931" s="25" t="s">
        <v>156</v>
      </c>
    </row>
    <row r="932" customFormat="false" ht="15" hidden="false" customHeight="false" outlineLevel="0" collapsed="false">
      <c r="A932" s="0" t="n">
        <v>8</v>
      </c>
      <c r="B932" s="0" t="s">
        <v>1911</v>
      </c>
      <c r="C932" s="0" t="s">
        <v>1257</v>
      </c>
      <c r="D932" s="0" t="s">
        <v>1918</v>
      </c>
      <c r="E932" s="0" t="s">
        <v>655</v>
      </c>
      <c r="F932" s="0" t="s">
        <v>703</v>
      </c>
      <c r="G932" s="41" t="n">
        <v>4</v>
      </c>
      <c r="H932" s="25" t="s">
        <v>156</v>
      </c>
    </row>
    <row r="933" customFormat="false" ht="15" hidden="false" customHeight="false" outlineLevel="0" collapsed="false">
      <c r="A933" s="0" t="n">
        <v>8</v>
      </c>
      <c r="B933" s="0" t="s">
        <v>1911</v>
      </c>
      <c r="C933" s="0" t="s">
        <v>1258</v>
      </c>
      <c r="D933" s="0" t="s">
        <v>1919</v>
      </c>
      <c r="E933" s="0" t="s">
        <v>261</v>
      </c>
      <c r="F933" s="0" t="s">
        <v>724</v>
      </c>
      <c r="G933" s="41" t="n">
        <v>1100</v>
      </c>
      <c r="H933" s="25" t="s">
        <v>178</v>
      </c>
    </row>
    <row r="934" customFormat="false" ht="15" hidden="false" customHeight="false" outlineLevel="0" collapsed="false">
      <c r="A934" s="0" t="n">
        <v>8</v>
      </c>
      <c r="B934" s="0" t="s">
        <v>1911</v>
      </c>
      <c r="C934" s="0" t="s">
        <v>1260</v>
      </c>
      <c r="D934" s="0" t="s">
        <v>1920</v>
      </c>
      <c r="E934" s="0" t="s">
        <v>261</v>
      </c>
      <c r="F934" s="0" t="s">
        <v>941</v>
      </c>
      <c r="G934" s="41" t="n">
        <v>350</v>
      </c>
      <c r="H934" s="25" t="s">
        <v>178</v>
      </c>
    </row>
    <row r="935" customFormat="false" ht="15" hidden="false" customHeight="false" outlineLevel="0" collapsed="false">
      <c r="A935" s="0" t="n">
        <v>8</v>
      </c>
      <c r="B935" s="0" t="s">
        <v>1911</v>
      </c>
      <c r="C935" s="0" t="s">
        <v>1262</v>
      </c>
      <c r="D935" s="0" t="s">
        <v>1921</v>
      </c>
      <c r="E935" s="0" t="s">
        <v>655</v>
      </c>
      <c r="F935" s="0" t="s">
        <v>656</v>
      </c>
      <c r="G935" s="41" t="n">
        <v>1</v>
      </c>
      <c r="H935" s="25" t="s">
        <v>98</v>
      </c>
    </row>
    <row r="936" customFormat="false" ht="15" hidden="false" customHeight="false" outlineLevel="0" collapsed="false">
      <c r="A936" s="0" t="n">
        <v>8</v>
      </c>
      <c r="B936" s="0" t="s">
        <v>1922</v>
      </c>
      <c r="D936" s="0" t="s">
        <v>1923</v>
      </c>
      <c r="E936" s="0" t="s">
        <v>655</v>
      </c>
      <c r="F936" s="0" t="s">
        <v>656</v>
      </c>
      <c r="G936" s="41" t="n">
        <v>1</v>
      </c>
      <c r="H936" s="25" t="s">
        <v>98</v>
      </c>
    </row>
    <row r="937" customFormat="false" ht="15" hidden="false" customHeight="false" outlineLevel="0" collapsed="false">
      <c r="A937" s="0" t="n">
        <v>8</v>
      </c>
      <c r="B937" s="0" t="s">
        <v>1922</v>
      </c>
      <c r="D937" s="0" t="s">
        <v>1914</v>
      </c>
      <c r="E937" s="0" t="s">
        <v>655</v>
      </c>
      <c r="F937" s="0" t="s">
        <v>1924</v>
      </c>
      <c r="G937" s="41" t="n">
        <v>36</v>
      </c>
      <c r="H937" s="25" t="s">
        <v>123</v>
      </c>
    </row>
    <row r="938" customFormat="false" ht="15" hidden="false" customHeight="false" outlineLevel="0" collapsed="false">
      <c r="A938" s="0" t="n">
        <v>8</v>
      </c>
      <c r="B938" s="0" t="s">
        <v>1922</v>
      </c>
      <c r="D938" s="0" t="s">
        <v>1290</v>
      </c>
      <c r="E938" s="0" t="s">
        <v>655</v>
      </c>
      <c r="F938" s="0" t="s">
        <v>690</v>
      </c>
      <c r="G938" s="41" t="n">
        <v>5</v>
      </c>
      <c r="H938" s="25" t="s">
        <v>149</v>
      </c>
    </row>
    <row r="939" customFormat="false" ht="15" hidden="false" customHeight="false" outlineLevel="0" collapsed="false">
      <c r="A939" s="0" t="n">
        <v>8</v>
      </c>
      <c r="B939" s="0" t="s">
        <v>1922</v>
      </c>
      <c r="D939" s="0" t="s">
        <v>1916</v>
      </c>
      <c r="E939" s="0" t="s">
        <v>655</v>
      </c>
      <c r="F939" s="0" t="s">
        <v>703</v>
      </c>
      <c r="G939" s="41" t="n">
        <v>4</v>
      </c>
      <c r="H939" s="25" t="s">
        <v>156</v>
      </c>
    </row>
    <row r="940" customFormat="false" ht="15" hidden="false" customHeight="false" outlineLevel="0" collapsed="false">
      <c r="A940" s="0" t="n">
        <v>8</v>
      </c>
      <c r="B940" s="0" t="s">
        <v>1922</v>
      </c>
      <c r="D940" s="0" t="s">
        <v>1918</v>
      </c>
      <c r="E940" s="0" t="s">
        <v>655</v>
      </c>
      <c r="F940" s="0" t="s">
        <v>690</v>
      </c>
      <c r="G940" s="41" t="n">
        <v>5</v>
      </c>
      <c r="H940" s="25" t="s">
        <v>156</v>
      </c>
    </row>
    <row r="941" customFormat="false" ht="15" hidden="false" customHeight="false" outlineLevel="0" collapsed="false">
      <c r="A941" s="0" t="n">
        <v>8</v>
      </c>
      <c r="B941" s="0" t="s">
        <v>1922</v>
      </c>
      <c r="D941" s="0" t="s">
        <v>1919</v>
      </c>
      <c r="E941" s="0" t="s">
        <v>261</v>
      </c>
      <c r="F941" s="0" t="s">
        <v>876</v>
      </c>
      <c r="G941" s="41" t="n">
        <v>300</v>
      </c>
      <c r="H941" s="25" t="s">
        <v>178</v>
      </c>
    </row>
    <row r="942" customFormat="false" ht="15" hidden="false" customHeight="false" outlineLevel="0" collapsed="false">
      <c r="A942" s="0" t="n">
        <v>8</v>
      </c>
      <c r="B942" s="0" t="s">
        <v>1922</v>
      </c>
      <c r="D942" s="0" t="s">
        <v>1920</v>
      </c>
      <c r="E942" s="0" t="s">
        <v>261</v>
      </c>
      <c r="F942" s="0" t="s">
        <v>1209</v>
      </c>
      <c r="G942" s="41" t="n">
        <v>250</v>
      </c>
      <c r="H942" s="25" t="s">
        <v>178</v>
      </c>
    </row>
    <row r="943" customFormat="false" ht="15" hidden="false" customHeight="false" outlineLevel="0" collapsed="false">
      <c r="A943" s="0" t="n">
        <v>8</v>
      </c>
      <c r="B943" s="0" t="s">
        <v>1925</v>
      </c>
      <c r="D943" s="0" t="s">
        <v>1926</v>
      </c>
      <c r="E943" s="0" t="s">
        <v>100</v>
      </c>
      <c r="F943" s="0" t="s">
        <v>656</v>
      </c>
      <c r="G943" s="41" t="n">
        <v>1</v>
      </c>
      <c r="H943" s="25" t="s">
        <v>98</v>
      </c>
    </row>
    <row r="944" customFormat="false" ht="15" hidden="false" customHeight="false" outlineLevel="0" collapsed="false">
      <c r="A944" s="0" t="n">
        <v>8</v>
      </c>
      <c r="B944" s="0" t="s">
        <v>1925</v>
      </c>
      <c r="D944" s="0" t="s">
        <v>1927</v>
      </c>
      <c r="E944" s="0" t="s">
        <v>100</v>
      </c>
      <c r="F944" s="0" t="s">
        <v>656</v>
      </c>
      <c r="G944" s="41" t="n">
        <v>1</v>
      </c>
      <c r="H944" s="25" t="s">
        <v>183</v>
      </c>
    </row>
    <row r="945" customFormat="false" ht="15" hidden="false" customHeight="false" outlineLevel="0" collapsed="false">
      <c r="A945" s="0" t="n">
        <v>8</v>
      </c>
      <c r="B945" s="0" t="s">
        <v>1925</v>
      </c>
      <c r="D945" s="0" t="s">
        <v>1928</v>
      </c>
      <c r="E945" s="0" t="s">
        <v>100</v>
      </c>
      <c r="F945" s="0" t="s">
        <v>656</v>
      </c>
      <c r="G945" s="41" t="n">
        <v>1</v>
      </c>
      <c r="H945" s="25" t="s">
        <v>156</v>
      </c>
    </row>
    <row r="946" customFormat="false" ht="15" hidden="false" customHeight="false" outlineLevel="0" collapsed="false">
      <c r="A946" s="0" t="n">
        <v>8</v>
      </c>
      <c r="B946" s="0" t="s">
        <v>1925</v>
      </c>
      <c r="D946" s="0" t="s">
        <v>1929</v>
      </c>
      <c r="E946" s="0" t="s">
        <v>100</v>
      </c>
      <c r="F946" s="0" t="s">
        <v>656</v>
      </c>
      <c r="G946" s="41" t="n">
        <v>1</v>
      </c>
      <c r="H946" s="25" t="s">
        <v>118</v>
      </c>
    </row>
    <row r="947" customFormat="false" ht="15" hidden="false" customHeight="false" outlineLevel="0" collapsed="false">
      <c r="A947" s="0" t="n">
        <v>8</v>
      </c>
      <c r="B947" s="0" t="s">
        <v>1925</v>
      </c>
      <c r="D947" s="0" t="s">
        <v>1930</v>
      </c>
      <c r="E947" s="0" t="s">
        <v>100</v>
      </c>
      <c r="F947" s="0" t="s">
        <v>667</v>
      </c>
      <c r="G947" s="41" t="n">
        <v>3</v>
      </c>
      <c r="H947" s="25" t="s">
        <v>156</v>
      </c>
    </row>
    <row r="948" customFormat="false" ht="15" hidden="false" customHeight="false" outlineLevel="0" collapsed="false">
      <c r="A948" s="0" t="n">
        <v>8</v>
      </c>
      <c r="B948" s="0" t="s">
        <v>1925</v>
      </c>
      <c r="D948" s="0" t="s">
        <v>1931</v>
      </c>
      <c r="E948" s="0" t="s">
        <v>100</v>
      </c>
      <c r="F948" s="0" t="s">
        <v>667</v>
      </c>
      <c r="G948" s="41" t="n">
        <v>3</v>
      </c>
      <c r="H948" s="25" t="s">
        <v>149</v>
      </c>
    </row>
    <row r="949" customFormat="false" ht="15" hidden="false" customHeight="false" outlineLevel="0" collapsed="false">
      <c r="A949" s="0" t="n">
        <v>8</v>
      </c>
      <c r="B949" s="0" t="s">
        <v>1925</v>
      </c>
      <c r="D949" s="0" t="s">
        <v>1932</v>
      </c>
      <c r="E949" s="0" t="s">
        <v>100</v>
      </c>
      <c r="F949" s="0" t="s">
        <v>788</v>
      </c>
      <c r="G949" s="41" t="n">
        <v>20</v>
      </c>
      <c r="H949" s="25" t="s">
        <v>123</v>
      </c>
    </row>
    <row r="950" customFormat="false" ht="15" hidden="false" customHeight="false" outlineLevel="0" collapsed="false">
      <c r="A950" s="0" t="n">
        <v>8</v>
      </c>
      <c r="B950" s="0" t="s">
        <v>1925</v>
      </c>
      <c r="D950" s="0" t="s">
        <v>1933</v>
      </c>
      <c r="E950" s="0" t="s">
        <v>261</v>
      </c>
      <c r="F950" s="0" t="s">
        <v>788</v>
      </c>
      <c r="G950" s="41" t="n">
        <v>20</v>
      </c>
      <c r="H950" s="25" t="s">
        <v>178</v>
      </c>
    </row>
    <row r="951" customFormat="false" ht="15" hidden="false" customHeight="false" outlineLevel="0" collapsed="false">
      <c r="A951" s="0" t="n">
        <v>8</v>
      </c>
      <c r="B951" s="0" t="s">
        <v>1925</v>
      </c>
      <c r="D951" s="0" t="s">
        <v>1934</v>
      </c>
      <c r="E951" s="0" t="s">
        <v>261</v>
      </c>
      <c r="F951" s="0" t="s">
        <v>735</v>
      </c>
      <c r="G951" s="41" t="n">
        <v>150</v>
      </c>
      <c r="H951" s="25" t="s">
        <v>178</v>
      </c>
    </row>
    <row r="952" customFormat="false" ht="15" hidden="false" customHeight="false" outlineLevel="0" collapsed="false">
      <c r="A952" s="0" t="n">
        <v>8</v>
      </c>
      <c r="B952" s="0" t="s">
        <v>1925</v>
      </c>
      <c r="D952" s="0" t="s">
        <v>1935</v>
      </c>
      <c r="E952" s="0" t="s">
        <v>261</v>
      </c>
      <c r="F952" s="0" t="s">
        <v>1936</v>
      </c>
      <c r="G952" s="41" t="n">
        <v>130</v>
      </c>
      <c r="H952" s="25" t="s">
        <v>178</v>
      </c>
    </row>
    <row r="953" customFormat="false" ht="15" hidden="false" customHeight="false" outlineLevel="0" collapsed="false">
      <c r="A953" s="0" t="n">
        <v>8</v>
      </c>
      <c r="B953" s="0" t="s">
        <v>1925</v>
      </c>
      <c r="D953" s="0" t="s">
        <v>1937</v>
      </c>
      <c r="E953" s="0" t="s">
        <v>100</v>
      </c>
      <c r="F953" s="0" t="s">
        <v>836</v>
      </c>
      <c r="G953" s="41" t="n">
        <v>10</v>
      </c>
      <c r="H953" s="25" t="s">
        <v>178</v>
      </c>
    </row>
    <row r="954" customFormat="false" ht="15" hidden="false" customHeight="false" outlineLevel="0" collapsed="false">
      <c r="A954" s="0" t="n">
        <v>8</v>
      </c>
      <c r="B954" s="0" t="s">
        <v>1925</v>
      </c>
      <c r="D954" s="0" t="s">
        <v>1935</v>
      </c>
      <c r="E954" s="0" t="s">
        <v>100</v>
      </c>
      <c r="F954" s="0" t="s">
        <v>800</v>
      </c>
      <c r="G954" s="41" t="n">
        <v>400</v>
      </c>
      <c r="H954" s="25" t="s">
        <v>178</v>
      </c>
    </row>
    <row r="955" customFormat="false" ht="15" hidden="false" customHeight="false" outlineLevel="0" collapsed="false">
      <c r="A955" s="0" t="n">
        <v>8</v>
      </c>
      <c r="B955" s="0" t="s">
        <v>1925</v>
      </c>
      <c r="D955" s="0" t="s">
        <v>1938</v>
      </c>
      <c r="E955" s="0" t="s">
        <v>100</v>
      </c>
      <c r="F955" s="0" t="s">
        <v>667</v>
      </c>
      <c r="G955" s="41" t="n">
        <v>3</v>
      </c>
      <c r="H955" s="25" t="s">
        <v>156</v>
      </c>
    </row>
    <row r="956" customFormat="false" ht="15" hidden="false" customHeight="false" outlineLevel="0" collapsed="false">
      <c r="A956" s="0" t="n">
        <v>8</v>
      </c>
      <c r="B956" s="0" t="s">
        <v>1939</v>
      </c>
      <c r="D956" s="0" t="s">
        <v>1926</v>
      </c>
      <c r="E956" s="0" t="s">
        <v>100</v>
      </c>
      <c r="F956" s="0" t="s">
        <v>656</v>
      </c>
      <c r="G956" s="41" t="n">
        <v>1</v>
      </c>
      <c r="H956" s="25" t="s">
        <v>98</v>
      </c>
    </row>
    <row r="957" customFormat="false" ht="15" hidden="false" customHeight="false" outlineLevel="0" collapsed="false">
      <c r="A957" s="0" t="n">
        <v>8</v>
      </c>
      <c r="B957" s="0" t="s">
        <v>1939</v>
      </c>
      <c r="D957" s="0" t="s">
        <v>1927</v>
      </c>
      <c r="E957" s="0" t="s">
        <v>100</v>
      </c>
      <c r="F957" s="0" t="s">
        <v>656</v>
      </c>
      <c r="G957" s="41" t="n">
        <v>1</v>
      </c>
      <c r="H957" s="25" t="s">
        <v>183</v>
      </c>
    </row>
    <row r="958" customFormat="false" ht="15" hidden="false" customHeight="false" outlineLevel="0" collapsed="false">
      <c r="A958" s="0" t="n">
        <v>8</v>
      </c>
      <c r="B958" s="0" t="s">
        <v>1939</v>
      </c>
      <c r="D958" s="0" t="s">
        <v>1928</v>
      </c>
      <c r="E958" s="0" t="s">
        <v>100</v>
      </c>
      <c r="F958" s="0" t="s">
        <v>656</v>
      </c>
      <c r="G958" s="41" t="n">
        <v>1</v>
      </c>
      <c r="H958" s="25" t="s">
        <v>156</v>
      </c>
    </row>
    <row r="959" customFormat="false" ht="15" hidden="false" customHeight="false" outlineLevel="0" collapsed="false">
      <c r="A959" s="0" t="n">
        <v>8</v>
      </c>
      <c r="B959" s="0" t="s">
        <v>1939</v>
      </c>
      <c r="D959" s="0" t="s">
        <v>1929</v>
      </c>
      <c r="E959" s="0" t="s">
        <v>100</v>
      </c>
      <c r="F959" s="0" t="s">
        <v>656</v>
      </c>
      <c r="G959" s="41" t="n">
        <v>1</v>
      </c>
      <c r="H959" s="25" t="s">
        <v>118</v>
      </c>
    </row>
    <row r="960" customFormat="false" ht="15" hidden="false" customHeight="false" outlineLevel="0" collapsed="false">
      <c r="A960" s="0" t="n">
        <v>8</v>
      </c>
      <c r="B960" s="0" t="s">
        <v>1939</v>
      </c>
      <c r="D960" s="0" t="s">
        <v>1930</v>
      </c>
      <c r="E960" s="0" t="s">
        <v>100</v>
      </c>
      <c r="F960" s="0" t="s">
        <v>667</v>
      </c>
      <c r="G960" s="41" t="n">
        <v>3</v>
      </c>
      <c r="H960" s="25" t="s">
        <v>156</v>
      </c>
    </row>
    <row r="961" customFormat="false" ht="15" hidden="false" customHeight="false" outlineLevel="0" collapsed="false">
      <c r="A961" s="0" t="n">
        <v>8</v>
      </c>
      <c r="B961" s="0" t="s">
        <v>1939</v>
      </c>
      <c r="C961" s="0" t="s">
        <v>656</v>
      </c>
      <c r="D961" s="0" t="s">
        <v>1931</v>
      </c>
      <c r="E961" s="0" t="s">
        <v>100</v>
      </c>
      <c r="F961" s="0" t="s">
        <v>667</v>
      </c>
      <c r="G961" s="41" t="n">
        <v>3</v>
      </c>
      <c r="H961" s="25" t="s">
        <v>149</v>
      </c>
    </row>
    <row r="962" customFormat="false" ht="15" hidden="false" customHeight="false" outlineLevel="0" collapsed="false">
      <c r="A962" s="0" t="n">
        <v>8</v>
      </c>
      <c r="B962" s="0" t="s">
        <v>1939</v>
      </c>
      <c r="D962" s="0" t="s">
        <v>1932</v>
      </c>
      <c r="E962" s="0" t="s">
        <v>100</v>
      </c>
      <c r="F962" s="0" t="s">
        <v>788</v>
      </c>
      <c r="G962" s="41" t="n">
        <v>20</v>
      </c>
      <c r="H962" s="25" t="s">
        <v>123</v>
      </c>
    </row>
    <row r="963" customFormat="false" ht="15" hidden="false" customHeight="false" outlineLevel="0" collapsed="false">
      <c r="A963" s="0" t="n">
        <v>8</v>
      </c>
      <c r="B963" s="0" t="s">
        <v>1939</v>
      </c>
      <c r="D963" s="0" t="s">
        <v>1933</v>
      </c>
      <c r="E963" s="0" t="s">
        <v>261</v>
      </c>
      <c r="F963" s="0" t="s">
        <v>788</v>
      </c>
      <c r="G963" s="41" t="n">
        <v>20</v>
      </c>
      <c r="H963" s="25" t="s">
        <v>178</v>
      </c>
    </row>
    <row r="964" customFormat="false" ht="15" hidden="false" customHeight="false" outlineLevel="0" collapsed="false">
      <c r="A964" s="0" t="n">
        <v>8</v>
      </c>
      <c r="B964" s="0" t="s">
        <v>1939</v>
      </c>
      <c r="D964" s="0" t="s">
        <v>1934</v>
      </c>
      <c r="E964" s="0" t="s">
        <v>261</v>
      </c>
      <c r="F964" s="0" t="s">
        <v>735</v>
      </c>
      <c r="G964" s="41" t="n">
        <v>150</v>
      </c>
      <c r="H964" s="25" t="s">
        <v>178</v>
      </c>
    </row>
    <row r="965" customFormat="false" ht="15" hidden="false" customHeight="false" outlineLevel="0" collapsed="false">
      <c r="A965" s="0" t="n">
        <v>8</v>
      </c>
      <c r="B965" s="0" t="s">
        <v>1939</v>
      </c>
      <c r="D965" s="0" t="s">
        <v>1935</v>
      </c>
      <c r="E965" s="0" t="s">
        <v>261</v>
      </c>
      <c r="F965" s="0" t="s">
        <v>1936</v>
      </c>
      <c r="G965" s="41" t="n">
        <v>130</v>
      </c>
      <c r="H965" s="25" t="s">
        <v>178</v>
      </c>
    </row>
    <row r="966" customFormat="false" ht="15" hidden="false" customHeight="false" outlineLevel="0" collapsed="false">
      <c r="A966" s="0" t="n">
        <v>8</v>
      </c>
      <c r="B966" s="0" t="s">
        <v>1939</v>
      </c>
      <c r="D966" s="0" t="s">
        <v>1937</v>
      </c>
      <c r="E966" s="0" t="s">
        <v>100</v>
      </c>
      <c r="F966" s="0" t="s">
        <v>836</v>
      </c>
      <c r="G966" s="41" t="n">
        <v>10</v>
      </c>
      <c r="H966" s="25" t="s">
        <v>178</v>
      </c>
    </row>
    <row r="967" customFormat="false" ht="15" hidden="false" customHeight="false" outlineLevel="0" collapsed="false">
      <c r="A967" s="0" t="n">
        <v>8</v>
      </c>
      <c r="B967" s="0" t="s">
        <v>1939</v>
      </c>
      <c r="D967" s="0" t="s">
        <v>1935</v>
      </c>
      <c r="E967" s="0" t="s">
        <v>100</v>
      </c>
      <c r="F967" s="0" t="s">
        <v>800</v>
      </c>
      <c r="G967" s="41" t="n">
        <v>400</v>
      </c>
      <c r="H967" s="25" t="s">
        <v>178</v>
      </c>
    </row>
    <row r="968" customFormat="false" ht="15" hidden="false" customHeight="false" outlineLevel="0" collapsed="false">
      <c r="A968" s="0" t="n">
        <v>8</v>
      </c>
      <c r="B968" s="0" t="s">
        <v>1939</v>
      </c>
      <c r="D968" s="0" t="s">
        <v>1938</v>
      </c>
      <c r="E968" s="0" t="s">
        <v>100</v>
      </c>
      <c r="F968" s="0" t="s">
        <v>667</v>
      </c>
      <c r="G968" s="41" t="n">
        <v>3</v>
      </c>
      <c r="H968" s="25" t="s">
        <v>156</v>
      </c>
    </row>
  </sheetData>
  <autoFilter ref="A4:I96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2026-10-28T10:21:43Z</dcterms:created>
  <dc:creator>openpyxl</dc:creator>
  <dc:description/>
  <dc:language>en-US</dc:language>
  <cp:lastModifiedBy/>
  <dcterms:modified xsi:type="dcterms:W3CDTF">2026-10-28T10:21:43Z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