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П" sheetId="1" state="visible" r:id="rId3"/>
    <sheet name="Помесячно" sheetId="2" state="visible" r:id="rId4"/>
  </sheets>
  <definedNames>
    <definedName function="false" hidden="false" localSheetId="0" name="_xlnm.Print_Titles" vbProcedure="false">КП!$5:$5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<sst xmlns="http://schemas.openxmlformats.org/spreadsheetml/2006/main" count="403" uniqueCount="231">
  <si>
    <t xml:space="preserve">КОММЕРЧЕСКОЕ ПРЕДЛОЖЕНИЕ ООО «НЕОСТРОЙ»</t>
  </si>
  <si>
    <t xml:space="preserve">Техническое обслуживание установок АПС, АУПТ и СОУЭ производственных подразделений филиала АО «РИР Энерго» — «Воронежская генерация», период оказания услуг: 01.01.2027–31.12.2027 (закупка № 637, лот 1, спецификация 1)</t>
  </si>
  <si>
    <t xml:space="preserve">Цены — руб. без НДС; НДС 22 % начисляется на итог. Количество оборудования — по Приложениям 1–8 ТЗ.</t>
  </si>
  <si>
    <t xml:space="preserve">№</t>
  </si>
  <si>
    <t xml:space="preserve">Наименование услуги / материала</t>
  </si>
  <si>
    <t xml:space="preserve">Ед. изм.</t>
  </si>
  <si>
    <t xml:space="preserve">Кол-во</t>
  </si>
  <si>
    <t xml:space="preserve">Цена за ед. в месяц, руб. без НДС</t>
  </si>
  <si>
    <t xml:space="preserve">Стоимость в месяц, руб. без НДС</t>
  </si>
  <si>
    <t xml:space="preserve">Кол-во месяцев</t>
  </si>
  <si>
    <t xml:space="preserve">Стоимость за период, руб. без НДС</t>
  </si>
  <si>
    <t xml:space="preserve">Примечание</t>
  </si>
  <si>
    <t xml:space="preserve">1.</t>
  </si>
  <si>
    <t xml:space="preserve">ПП ТЭЦ-1 (ул. Лебедева, 2) — АПС, СОУЭ (Прил. 1)</t>
  </si>
  <si>
    <t xml:space="preserve">1.1</t>
  </si>
  <si>
    <t xml:space="preserve">ТО прибора приёмно-контрольного, пульта, прибора управления (С2000М, Сигнал-20П/10, Гранит, С2000-АСПТ, Рубеж-20П и др.)</t>
  </si>
  <si>
    <t xml:space="preserve">шт</t>
  </si>
  <si>
    <t xml:space="preserve">1.2</t>
  </si>
  <si>
    <t xml:space="preserve">ТО блока системы (С2000-КДЛ, СП1/СП2, КПБ, БКИ, ПИ, ПТ, БРИЗ, барьеры искрозащиты и др.)</t>
  </si>
  <si>
    <t xml:space="preserve">1.3</t>
  </si>
  <si>
    <t xml:space="preserve">ТО источника электропитания резервированного (РИП, Скат, ИВЭПР, ББП)</t>
  </si>
  <si>
    <t xml:space="preserve">1.4</t>
  </si>
  <si>
    <t xml:space="preserve">ТО аккумуляторной батареи (контроль напряжения и ёмкости)</t>
  </si>
  <si>
    <t xml:space="preserve">1.5</t>
  </si>
  <si>
    <t xml:space="preserve">ТО извещателя пожарного автоматического точечного (дымового, теплового)</t>
  </si>
  <si>
    <t xml:space="preserve">1.6</t>
  </si>
  <si>
    <t xml:space="preserve">ТО извещателя пожарного пламени (Спектрон, Пульсар, Набат)</t>
  </si>
  <si>
    <t xml:space="preserve">1.7</t>
  </si>
  <si>
    <t xml:space="preserve">ТО извещателя пожарного ручного, УДП, ЭДУ</t>
  </si>
  <si>
    <t xml:space="preserve">1.8</t>
  </si>
  <si>
    <t xml:space="preserve">ТО оповещателя (светового, звукового, речевого, табло «Выход»)</t>
  </si>
  <si>
    <t xml:space="preserve">1.9</t>
  </si>
  <si>
    <t xml:space="preserve">ТО прибора речевого оповещения СОУЭ (Орфей, Рокот, Соната)</t>
  </si>
  <si>
    <t xml:space="preserve">1.10</t>
  </si>
  <si>
    <t xml:space="preserve">ТО шлейфов сигнализации и линий связи (осмотр, измерение параметров)</t>
  </si>
  <si>
    <t xml:space="preserve">100 м</t>
  </si>
  <si>
    <t xml:space="preserve">1.11</t>
  </si>
  <si>
    <t xml:space="preserve">ТО коробок коммутационных/распределительных, шкафов, автоматов питания</t>
  </si>
  <si>
    <t xml:space="preserve">Итого по разделу</t>
  </si>
  <si>
    <t xml:space="preserve">2.</t>
  </si>
  <si>
    <t xml:space="preserve">ПГУ-223 ПП ТЭЦ-1 — АПС, управление АУПТ (Прил. 2)</t>
  </si>
  <si>
    <t xml:space="preserve">2.1</t>
  </si>
  <si>
    <t xml:space="preserve">2.2</t>
  </si>
  <si>
    <t xml:space="preserve">2.3</t>
  </si>
  <si>
    <t xml:space="preserve">2.4</t>
  </si>
  <si>
    <t xml:space="preserve">2.5</t>
  </si>
  <si>
    <t xml:space="preserve">2.6</t>
  </si>
  <si>
    <t xml:space="preserve">ТО извещателя пожарного во взрывозащищённом/искробезопасном исполнении</t>
  </si>
  <si>
    <t xml:space="preserve">2.7</t>
  </si>
  <si>
    <t xml:space="preserve">2.8</t>
  </si>
  <si>
    <t xml:space="preserve">ТО линейного теплового извещателя (термокабель)</t>
  </si>
  <si>
    <t xml:space="preserve">2.9</t>
  </si>
  <si>
    <t xml:space="preserve">2.10</t>
  </si>
  <si>
    <t xml:space="preserve">ТО извещателя охранного (магнитоконтактного, ИК) в составе систем</t>
  </si>
  <si>
    <t xml:space="preserve">2.11</t>
  </si>
  <si>
    <t xml:space="preserve">2.12</t>
  </si>
  <si>
    <t xml:space="preserve">Сопровождение ПО АРМ «Орион Про» (резервное копирование баз, проверка связи)</t>
  </si>
  <si>
    <t xml:space="preserve">к-т</t>
  </si>
  <si>
    <t xml:space="preserve">2.13</t>
  </si>
  <si>
    <t xml:space="preserve">3.</t>
  </si>
  <si>
    <t xml:space="preserve">ПП ТЭЦ-2, старая часть (пр. Ясный, 1а) — АПС, СОУЭ (Прил. 3)</t>
  </si>
  <si>
    <t xml:space="preserve">3.1</t>
  </si>
  <si>
    <t xml:space="preserve">3.2</t>
  </si>
  <si>
    <t xml:space="preserve">3.3</t>
  </si>
  <si>
    <t xml:space="preserve">3.4</t>
  </si>
  <si>
    <t xml:space="preserve">3.5</t>
  </si>
  <si>
    <t xml:space="preserve">3.6</t>
  </si>
  <si>
    <t xml:space="preserve">3.7</t>
  </si>
  <si>
    <t xml:space="preserve">ТО извещателя пожарного дымового линейного ИПДЛ</t>
  </si>
  <si>
    <t xml:space="preserve">3.8</t>
  </si>
  <si>
    <t xml:space="preserve">3.9</t>
  </si>
  <si>
    <t xml:space="preserve">3.10</t>
  </si>
  <si>
    <t xml:space="preserve">3.11</t>
  </si>
  <si>
    <t xml:space="preserve">3.12</t>
  </si>
  <si>
    <t xml:space="preserve">3.13</t>
  </si>
  <si>
    <t xml:space="preserve">3.14</t>
  </si>
  <si>
    <t xml:space="preserve">4.</t>
  </si>
  <si>
    <t xml:space="preserve">ПГУ-115 ПП ТЭЦ-2 — АПС, порошковое АУПТ (Прил. 4)</t>
  </si>
  <si>
    <t xml:space="preserve">4.1</t>
  </si>
  <si>
    <t xml:space="preserve">4.2</t>
  </si>
  <si>
    <t xml:space="preserve">4.3</t>
  </si>
  <si>
    <t xml:space="preserve">4.4</t>
  </si>
  <si>
    <t xml:space="preserve">4.5</t>
  </si>
  <si>
    <t xml:space="preserve">4.6</t>
  </si>
  <si>
    <t xml:space="preserve">4.7</t>
  </si>
  <si>
    <t xml:space="preserve">4.8</t>
  </si>
  <si>
    <t xml:space="preserve">ТО модуля порошкового пожаротушения (Буран-8взр)</t>
  </si>
  <si>
    <t xml:space="preserve">4.9</t>
  </si>
  <si>
    <t xml:space="preserve">4.10</t>
  </si>
  <si>
    <t xml:space="preserve">5.</t>
  </si>
  <si>
    <t xml:space="preserve">ПП Тепловые сети (ул. С. Перовской, 7; Пешестрелецкая, 84; Ясный, 1а; Лебедева, 2) — АПС, СОУЭ (Прил. 5)</t>
  </si>
  <si>
    <t xml:space="preserve">5.1</t>
  </si>
  <si>
    <t xml:space="preserve">5.2</t>
  </si>
  <si>
    <t xml:space="preserve">5.3</t>
  </si>
  <si>
    <t xml:space="preserve">5.4</t>
  </si>
  <si>
    <t xml:space="preserve">5.5</t>
  </si>
  <si>
    <t xml:space="preserve">5.6</t>
  </si>
  <si>
    <t xml:space="preserve">5.7</t>
  </si>
  <si>
    <t xml:space="preserve">5.8</t>
  </si>
  <si>
    <t xml:space="preserve">5.9</t>
  </si>
  <si>
    <t xml:space="preserve">6.</t>
  </si>
  <si>
    <t xml:space="preserve">АУПТ ПП ТЭЦ-1 — водяное пожаротушение (Прил. 6)</t>
  </si>
  <si>
    <t xml:space="preserve">6.1</t>
  </si>
  <si>
    <t xml:space="preserve">ТО трубопроводов АУПТ (течи, уклоны, крепления, окраска)</t>
  </si>
  <si>
    <t xml:space="preserve">6.2</t>
  </si>
  <si>
    <t xml:space="preserve">ТО запорной арматуры с ручным приводом (задвижки, затворы, вентили, клапаны, краны)</t>
  </si>
  <si>
    <t xml:space="preserve">6.3</t>
  </si>
  <si>
    <t xml:space="preserve">ТО задвижки/затвора с электроприводом и схемой управления</t>
  </si>
  <si>
    <t xml:space="preserve">6.4</t>
  </si>
  <si>
    <t xml:space="preserve">ТО оросителя, пеногенератора, лафетного ствола (осмотр, очистка)</t>
  </si>
  <si>
    <t xml:space="preserve">6.5</t>
  </si>
  <si>
    <t xml:space="preserve">ТО манометра, сигнализатора/реле давления</t>
  </si>
  <si>
    <t xml:space="preserve">7.</t>
  </si>
  <si>
    <t xml:space="preserve">АУПТ ПП ТЭЦ-2 — водяное и пенное пожаротушение (Прил. 7)</t>
  </si>
  <si>
    <t xml:space="preserve">7.1</t>
  </si>
  <si>
    <t xml:space="preserve">7.2</t>
  </si>
  <si>
    <t xml:space="preserve">7.3</t>
  </si>
  <si>
    <t xml:space="preserve">7.4</t>
  </si>
  <si>
    <t xml:space="preserve">7.5</t>
  </si>
  <si>
    <t xml:space="preserve">7.6</t>
  </si>
  <si>
    <t xml:space="preserve">ТО насосного агрегата пожаротушения</t>
  </si>
  <si>
    <t xml:space="preserve">7.7</t>
  </si>
  <si>
    <t xml:space="preserve">ТО бака (пенообразователя, мембранного)</t>
  </si>
  <si>
    <t xml:space="preserve">8.</t>
  </si>
  <si>
    <t xml:space="preserve">ПП Городские тепловые сети (Кольцовская, 78; Плехановская, 17; Туполева, 31к; Б. Хмельницкого, 79к) — АПС, СОУЭ (Прил. 8)</t>
  </si>
  <si>
    <t xml:space="preserve">8.1</t>
  </si>
  <si>
    <t xml:space="preserve">8.2</t>
  </si>
  <si>
    <t xml:space="preserve">8.3</t>
  </si>
  <si>
    <t xml:space="preserve">8.4</t>
  </si>
  <si>
    <t xml:space="preserve">8.5</t>
  </si>
  <si>
    <t xml:space="preserve">8.6</t>
  </si>
  <si>
    <t xml:space="preserve">8.7</t>
  </si>
  <si>
    <t xml:space="preserve">8.8</t>
  </si>
  <si>
    <t xml:space="preserve">8.9</t>
  </si>
  <si>
    <t xml:space="preserve">ИТОГО РЕГЛАМЕНТНОЕ ТЕХНИЧЕСКОЕ ОБСЛУЖИВАНИЕ</t>
  </si>
  <si>
    <t xml:space="preserve">9.</t>
  </si>
  <si>
    <t xml:space="preserve">Разовые работы 2027 года (по Приложению 10 ТЗ)</t>
  </si>
  <si>
    <t xml:space="preserve">9.1</t>
  </si>
  <si>
    <t xml:space="preserve">Гидравлические испытания (опрессовка) и промывка трубопроводов АУПТ (системы ГК, ПГУ-115, ВК, МН) — ПП ТЭЦ-2</t>
  </si>
  <si>
    <t xml:space="preserve">м</t>
  </si>
  <si>
    <t xml:space="preserve">июль–август 2027</t>
  </si>
  <si>
    <t xml:space="preserve">9.2</t>
  </si>
  <si>
    <t xml:space="preserve">Опробование АУПТ с реальным пуском (составление программы, пуск, акт) — ПП ТЭЦ-2</t>
  </si>
  <si>
    <t xml:space="preserve">система</t>
  </si>
  <si>
    <t xml:space="preserve">август 2027</t>
  </si>
  <si>
    <t xml:space="preserve">9.3</t>
  </si>
  <si>
    <t xml:space="preserve">Поверка манометров АУПТ с демонтажем/монтажем и опломбированием — ПП ТЭЦ-1, ТЭЦ-2</t>
  </si>
  <si>
    <t xml:space="preserve">май 2027</t>
  </si>
  <si>
    <t xml:space="preserve">9.4</t>
  </si>
  <si>
    <t xml:space="preserve">Измерение сопротивления металлосвязи (заземления) оборудования АПС/СОУЭ с протоколами ЭТЛ — Все объекты АПС</t>
  </si>
  <si>
    <t xml:space="preserve">точка</t>
  </si>
  <si>
    <t xml:space="preserve">июнь 2027</t>
  </si>
  <si>
    <t xml:space="preserve">9.5</t>
  </si>
  <si>
    <t xml:space="preserve">Измерение сопротивления заземляющих устройств (по объектам) — Все объекты АПС</t>
  </si>
  <si>
    <t xml:space="preserve">объект</t>
  </si>
  <si>
    <t xml:space="preserve">ИТОГО РАЗОВЫЕ РАБОТЫ</t>
  </si>
  <si>
    <t xml:space="preserve">10.</t>
  </si>
  <si>
    <t xml:space="preserve">Материалы и оборудование для плановой и предупредительной замены (ЗИП) — лимит на 2027 год</t>
  </si>
  <si>
    <t xml:space="preserve">Замена — по согласованным с Заказчиком дефектным ведомостям; оплата по факту</t>
  </si>
  <si>
    <t xml:space="preserve">10.1</t>
  </si>
  <si>
    <t xml:space="preserve">Извещатель дымовой ИП 212-141 (Рубеж) или аналог</t>
  </si>
  <si>
    <t xml:space="preserve">цена за ед., вкл. доставку; работы по замене — в цене ТО</t>
  </si>
  <si>
    <t xml:space="preserve">10.2</t>
  </si>
  <si>
    <t xml:space="preserve">Извещатель адресный ДИП-34А-04 (Болид)</t>
  </si>
  <si>
    <t xml:space="preserve">10.3</t>
  </si>
  <si>
    <t xml:space="preserve">Извещатель тепловой ИП 103-5/1-А3</t>
  </si>
  <si>
    <t xml:space="preserve">10.4</t>
  </si>
  <si>
    <t xml:space="preserve">Извещатель ручной ИПР 513-10 (Рубеж)</t>
  </si>
  <si>
    <t xml:space="preserve">10.5</t>
  </si>
  <si>
    <t xml:space="preserve">Извещатель ручной адресный ИПР 513-3АМ (Болид)</t>
  </si>
  <si>
    <t xml:space="preserve">10.6</t>
  </si>
  <si>
    <t xml:space="preserve">Оповещатель светозвуковой Маяк-12-КП</t>
  </si>
  <si>
    <t xml:space="preserve">10.7</t>
  </si>
  <si>
    <t xml:space="preserve">Табло «Выход» Молния-12</t>
  </si>
  <si>
    <t xml:space="preserve">10.8</t>
  </si>
  <si>
    <t xml:space="preserve">Оповещатель звуковой Маяк-12-3М</t>
  </si>
  <si>
    <t xml:space="preserve">10.9</t>
  </si>
  <si>
    <t xml:space="preserve">Аккумулятор 12 В 7 А·ч Delta DTM 1207</t>
  </si>
  <si>
    <t xml:space="preserve">10.10</t>
  </si>
  <si>
    <t xml:space="preserve">Аккумулятор 12 В 12 А·ч Delta DTM 1212</t>
  </si>
  <si>
    <t xml:space="preserve">10.11</t>
  </si>
  <si>
    <t xml:space="preserve">Аккумулятор 12 В 17 А·ч Delta DTM 1217</t>
  </si>
  <si>
    <t xml:space="preserve">10.12</t>
  </si>
  <si>
    <t xml:space="preserve">Аккумулятор 12 В 40 А·ч Delta DTM 1240 L</t>
  </si>
  <si>
    <t xml:space="preserve">10.13</t>
  </si>
  <si>
    <t xml:space="preserve">Источник питания РИП-12 исп.01 (Болид)</t>
  </si>
  <si>
    <t xml:space="preserve">10.14</t>
  </si>
  <si>
    <t xml:space="preserve">Кабель КПСнг(А)-FRLS 1×2×0,75</t>
  </si>
  <si>
    <t xml:space="preserve">10.15</t>
  </si>
  <si>
    <t xml:space="preserve">Манометр МП-100 0–1,6 МПа</t>
  </si>
  <si>
    <t xml:space="preserve">10.16</t>
  </si>
  <si>
    <t xml:space="preserve">Ороситель спринклерный СВН-15 (68 °С)</t>
  </si>
  <si>
    <t xml:space="preserve">10.17</t>
  </si>
  <si>
    <t xml:space="preserve">Ороситель дренчерный ДВН-15</t>
  </si>
  <si>
    <t xml:space="preserve">ИТОГО ЗИП</t>
  </si>
  <si>
    <t xml:space="preserve">ИТОГО без НДС</t>
  </si>
  <si>
    <t xml:space="preserve">НДС 22 %</t>
  </si>
  <si>
    <t xml:space="preserve">ИТОГО с НДС</t>
  </si>
  <si>
    <t xml:space="preserve">в т.ч. регламентное ТО в месяц без НДС / с НДС</t>
  </si>
  <si>
    <t xml:space="preserve">Период оказания услуг: 01.01.2027–31.12.2027. Объём — Приложения 1–10 к ТЗ.</t>
  </si>
  <si>
    <t xml:space="preserve">Оплата: ежемесячно, в течение 7 рабочих дней после подписания акта оказанных услуг. Аванс не требуется.</t>
  </si>
  <si>
    <t xml:space="preserve">Материалы и оборудование для замены (ЗИП) — по согласованным дефектным ведомостям, оплата по факту в пределах лимита.</t>
  </si>
  <si>
    <t xml:space="preserve">Цены за единицу оборудования фиксированы на 2027 год. При изменении состава оборудования стоимость пересчитывается по цене за единицу.</t>
  </si>
  <si>
    <t xml:space="preserve">Лицензия МЧС России на деятельность по монтажу, ТО и ремонту средств обеспечения пожарной безопасности — имеется.</t>
  </si>
  <si>
    <t xml:space="preserve">Генеральный директор ООО «НЕОСТРОЙ»  ________________  Р. В. Улогов</t>
  </si>
  <si>
    <t xml:space="preserve">Исполнитель: Каменев Алексей, +7 921 370-86-27, contact@neostroi.com</t>
  </si>
  <si>
    <t xml:space="preserve">СТОИМОСТЬ УСЛУГ ПО МЕСЯЦАМ 2027 г. (для актов), руб.</t>
  </si>
  <si>
    <t xml:space="preserve">Месяц</t>
  </si>
  <si>
    <t xml:space="preserve">Регламентное ТО, б/НДС</t>
  </si>
  <si>
    <t xml:space="preserve">Разовые работы, б/НДС</t>
  </si>
  <si>
    <t xml:space="preserve">Итого б/НДС</t>
  </si>
  <si>
    <t xml:space="preserve">Итого с НДС</t>
  </si>
  <si>
    <t xml:space="preserve">Состав разовых работ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</si>
  <si>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</si>
  <si>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</si>
  <si>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</si>
  <si>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</si>
  <si>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</si>
  <si>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Поверка манометров</t>
  </si>
  <si>
    <t xml:space="preserve">Июнь</t>
  </si>
  <si>
    <t xml:space="preserve">Измерения ЭТЛ (металлосвязь, заземляющие устройства)</t>
  </si>
  <si>
    <t xml:space="preserve">Июль</t>
  </si>
  <si>
    <t xml:space="preserve">Гидроиспытания и промывка ТЭЦ-2 (50 %)</t>
  </si>
  <si>
    <t xml:space="preserve">Август</t>
  </si>
  <si>
    <t xml:space="preserve">Гидроиспытания и промывка ТЭЦ-2 (50 %), опробование с пуском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</si>
  <si>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</si>
  <si>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</si>
  <si>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</si>
  <si>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</si>
  <si>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Итого</t>
  </si>
  <si>
    <t xml:space="preserve">Материалы ЗИП выставляются дополнительно по факту замены (лимит — раздел ЗИП листа «КП»).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</si>
</sst>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#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sz val="9"/>
      <name val="Cambria"/>
      <family val="0"/>
      <charset val="1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7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</row>
    <row r="5" customFormat="false" ht="48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s">
        <v>12</v>
      </c>
      <c r="B6" s="6" t="s">
        <v>13</v>
      </c>
      <c r="C6" s="5"/>
      <c r="D6" s="5"/>
      <c r="E6" s="5"/>
      <c r="F6" s="5"/>
      <c r="G6" s="5"/>
      <c r="H6" s="5"/>
      <c r="I6" s="5"/>
    </row>
    <row r="7" customFormat="false" ht="31.3" hidden="false" customHeight="false" outlineLevel="0" collapsed="false">
      <c r="A7" s="7" t="s">
        <v>14</v>
      </c>
      <c r="B7" s="7" t="s">
        <v>15</v>
      </c>
      <c r="C7" s="7" t="s">
        <v>16</v>
      </c>
      <c r="D7" s="8" t="n">
        <v>34</v>
      </c>
      <c r="E7" s="9" t="n">
        <v>3620.43</v>
      </c>
      <c r="F7" s="9" t="n">
        <f aca="false">ROUND(D7*E7,2)</f>
        <v>123094.62</v>
      </c>
      <c r="G7" s="7" t="n">
        <v>12</v>
      </c>
      <c r="H7" s="9" t="n">
        <f aca="false">F7*G7</f>
        <v>1477135.44</v>
      </c>
      <c r="I7" s="7"/>
    </row>
    <row r="8" customFormat="false" ht="31.3" hidden="false" customHeight="false" outlineLevel="0" collapsed="false">
      <c r="A8" s="7" t="s">
        <v>17</v>
      </c>
      <c r="B8" s="7" t="s">
        <v>18</v>
      </c>
      <c r="C8" s="7" t="s">
        <v>16</v>
      </c>
      <c r="D8" s="8" t="n">
        <v>12</v>
      </c>
      <c r="E8" s="9" t="n">
        <v>240.35</v>
      </c>
      <c r="F8" s="9" t="n">
        <f aca="false">ROUND(D8*E8,2)</f>
        <v>2884.2</v>
      </c>
      <c r="G8" s="7" t="n">
        <v>12</v>
      </c>
      <c r="H8" s="9" t="n">
        <f aca="false">F8*G8</f>
        <v>34610.4</v>
      </c>
      <c r="I8" s="7"/>
    </row>
    <row r="9" customFormat="false" ht="16.4" hidden="false" customHeight="false" outlineLevel="0" collapsed="false">
      <c r="A9" s="7" t="s">
        <v>19</v>
      </c>
      <c r="B9" s="7" t="s">
        <v>20</v>
      </c>
      <c r="C9" s="7" t="s">
        <v>16</v>
      </c>
      <c r="D9" s="8" t="n">
        <v>9</v>
      </c>
      <c r="E9" s="9" t="n">
        <v>493.35</v>
      </c>
      <c r="F9" s="9" t="n">
        <f aca="false">ROUND(D9*E9,2)</f>
        <v>4440.15</v>
      </c>
      <c r="G9" s="7" t="n">
        <v>12</v>
      </c>
      <c r="H9" s="9" t="n">
        <f aca="false">F9*G9</f>
        <v>53281.8</v>
      </c>
      <c r="I9" s="7"/>
    </row>
    <row r="10" customFormat="false" ht="16.4" hidden="false" customHeight="false" outlineLevel="0" collapsed="false">
      <c r="A10" s="7" t="s">
        <v>21</v>
      </c>
      <c r="B10" s="7" t="s">
        <v>22</v>
      </c>
      <c r="C10" s="7" t="s">
        <v>16</v>
      </c>
      <c r="D10" s="8" t="n">
        <v>21</v>
      </c>
      <c r="E10" s="9" t="n">
        <v>240.35</v>
      </c>
      <c r="F10" s="9" t="n">
        <f aca="false">ROUND(D10*E10,2)</f>
        <v>5047.35</v>
      </c>
      <c r="G10" s="7" t="n">
        <v>12</v>
      </c>
      <c r="H10" s="9" t="n">
        <f aca="false">F10*G10</f>
        <v>60568.2</v>
      </c>
      <c r="I10" s="7"/>
    </row>
    <row r="11" customFormat="false" ht="31.3" hidden="false" customHeight="false" outlineLevel="0" collapsed="false">
      <c r="A11" s="7" t="s">
        <v>23</v>
      </c>
      <c r="B11" s="7" t="s">
        <v>24</v>
      </c>
      <c r="C11" s="7" t="s">
        <v>16</v>
      </c>
      <c r="D11" s="8" t="n">
        <v>1318</v>
      </c>
      <c r="E11" s="9" t="n">
        <v>101.2</v>
      </c>
      <c r="F11" s="9" t="n">
        <f aca="false">ROUND(D11*E11,2)</f>
        <v>133381.6</v>
      </c>
      <c r="G11" s="7" t="n">
        <v>12</v>
      </c>
      <c r="H11" s="9" t="n">
        <f aca="false">F11*G11</f>
        <v>1600579.2</v>
      </c>
      <c r="I11" s="7"/>
    </row>
    <row r="12" customFormat="false" ht="16.4" hidden="false" customHeight="false" outlineLevel="0" collapsed="false">
      <c r="A12" s="7" t="s">
        <v>25</v>
      </c>
      <c r="B12" s="7" t="s">
        <v>26</v>
      </c>
      <c r="C12" s="7" t="s">
        <v>16</v>
      </c>
      <c r="D12" s="8" t="n">
        <v>12</v>
      </c>
      <c r="E12" s="9" t="n">
        <v>126.5</v>
      </c>
      <c r="F12" s="9" t="n">
        <f aca="false">ROUND(D12*E12,2)</f>
        <v>1518</v>
      </c>
      <c r="G12" s="7" t="n">
        <v>12</v>
      </c>
      <c r="H12" s="9" t="n">
        <f aca="false">F12*G12</f>
        <v>18216</v>
      </c>
      <c r="I12" s="7"/>
    </row>
    <row r="13" customFormat="false" ht="16.4" hidden="false" customHeight="false" outlineLevel="0" collapsed="false">
      <c r="A13" s="7" t="s">
        <v>27</v>
      </c>
      <c r="B13" s="7" t="s">
        <v>28</v>
      </c>
      <c r="C13" s="7" t="s">
        <v>16</v>
      </c>
      <c r="D13" s="8" t="n">
        <v>144</v>
      </c>
      <c r="E13" s="9" t="n">
        <v>88.55</v>
      </c>
      <c r="F13" s="9" t="n">
        <f aca="false">ROUND(D13*E13,2)</f>
        <v>12751.2</v>
      </c>
      <c r="G13" s="7" t="n">
        <v>12</v>
      </c>
      <c r="H13" s="9" t="n">
        <f aca="false">F13*G13</f>
        <v>153014.4</v>
      </c>
      <c r="I13" s="7"/>
    </row>
    <row r="14" customFormat="false" ht="16.4" hidden="false" customHeight="false" outlineLevel="0" collapsed="false">
      <c r="A14" s="7" t="s">
        <v>29</v>
      </c>
      <c r="B14" s="7" t="s">
        <v>30</v>
      </c>
      <c r="C14" s="7" t="s">
        <v>16</v>
      </c>
      <c r="D14" s="8" t="n">
        <v>205</v>
      </c>
      <c r="E14" s="9" t="n">
        <v>123.97</v>
      </c>
      <c r="F14" s="9" t="n">
        <f aca="false">ROUND(D14*E14,2)</f>
        <v>25413.85</v>
      </c>
      <c r="G14" s="7" t="n">
        <v>12</v>
      </c>
      <c r="H14" s="9" t="n">
        <f aca="false">F14*G14</f>
        <v>304966.2</v>
      </c>
      <c r="I14" s="7"/>
    </row>
    <row r="15" customFormat="false" ht="16.4" hidden="false" customHeight="false" outlineLevel="0" collapsed="false">
      <c r="A15" s="7" t="s">
        <v>31</v>
      </c>
      <c r="B15" s="7" t="s">
        <v>32</v>
      </c>
      <c r="C15" s="7" t="s">
        <v>16</v>
      </c>
      <c r="D15" s="8" t="n">
        <v>4</v>
      </c>
      <c r="E15" s="9" t="n">
        <v>1265</v>
      </c>
      <c r="F15" s="9" t="n">
        <f aca="false">ROUND(D15*E15,2)</f>
        <v>5060</v>
      </c>
      <c r="G15" s="7" t="n">
        <v>12</v>
      </c>
      <c r="H15" s="9" t="n">
        <f aca="false">F15*G15</f>
        <v>60720</v>
      </c>
      <c r="I15" s="7"/>
    </row>
    <row r="16" customFormat="false" ht="16.4" hidden="false" customHeight="false" outlineLevel="0" collapsed="false">
      <c r="A16" s="7" t="s">
        <v>33</v>
      </c>
      <c r="B16" s="7" t="s">
        <v>34</v>
      </c>
      <c r="C16" s="7" t="s">
        <v>35</v>
      </c>
      <c r="D16" s="8" t="n">
        <v>162.2</v>
      </c>
      <c r="E16" s="9" t="n">
        <v>25.3</v>
      </c>
      <c r="F16" s="9" t="n">
        <f aca="false">ROUND(D16*E16,2)</f>
        <v>4103.66</v>
      </c>
      <c r="G16" s="7" t="n">
        <v>12</v>
      </c>
      <c r="H16" s="9" t="n">
        <f aca="false">F16*G16</f>
        <v>49243.92</v>
      </c>
      <c r="I16" s="7"/>
    </row>
    <row r="17" customFormat="false" ht="31.3" hidden="false" customHeight="false" outlineLevel="0" collapsed="false">
      <c r="A17" s="7" t="s">
        <v>36</v>
      </c>
      <c r="B17" s="7" t="s">
        <v>37</v>
      </c>
      <c r="C17" s="7" t="s">
        <v>16</v>
      </c>
      <c r="D17" s="8" t="n">
        <v>201</v>
      </c>
      <c r="E17" s="9" t="n">
        <v>25.3</v>
      </c>
      <c r="F17" s="9" t="n">
        <f aca="false">ROUND(D17*E17,2)</f>
        <v>5085.3</v>
      </c>
      <c r="G17" s="7" t="n">
        <v>12</v>
      </c>
      <c r="H17" s="9" t="n">
        <f aca="false">F17*G17</f>
        <v>61023.6</v>
      </c>
      <c r="I17" s="7"/>
    </row>
    <row r="18" customFormat="false" ht="15" hidden="false" customHeight="false" outlineLevel="0" collapsed="false">
      <c r="A18" s="10"/>
      <c r="B18" s="11" t="s">
        <v>38</v>
      </c>
      <c r="C18" s="10"/>
      <c r="D18" s="10"/>
      <c r="E18" s="10"/>
      <c r="F18" s="12" t="n">
        <f aca="false">SUM(F7:F17)</f>
        <v>322779.93</v>
      </c>
      <c r="G18" s="10"/>
      <c r="H18" s="12" t="n">
        <f aca="false">SUM(H7:H17)</f>
        <v>3873359.16</v>
      </c>
      <c r="I18" s="10"/>
    </row>
    <row r="19" customFormat="false" ht="15" hidden="false" customHeight="false" outlineLevel="0" collapsed="false">
      <c r="A19" s="5" t="s">
        <v>39</v>
      </c>
      <c r="B19" s="6" t="s">
        <v>40</v>
      </c>
      <c r="C19" s="5"/>
      <c r="D19" s="5"/>
      <c r="E19" s="5"/>
      <c r="F19" s="5"/>
      <c r="G19" s="5"/>
      <c r="H19" s="5"/>
      <c r="I19" s="5"/>
    </row>
    <row r="20" customFormat="false" ht="31.3" hidden="false" customHeight="false" outlineLevel="0" collapsed="false">
      <c r="A20" s="7" t="s">
        <v>41</v>
      </c>
      <c r="B20" s="7" t="s">
        <v>15</v>
      </c>
      <c r="C20" s="7" t="s">
        <v>16</v>
      </c>
      <c r="D20" s="8" t="n">
        <v>22</v>
      </c>
      <c r="E20" s="9" t="n">
        <v>3620.43</v>
      </c>
      <c r="F20" s="9" t="n">
        <f aca="false">ROUND(D20*E20,2)</f>
        <v>79649.46</v>
      </c>
      <c r="G20" s="7" t="n">
        <v>12</v>
      </c>
      <c r="H20" s="9" t="n">
        <f aca="false">F20*G20</f>
        <v>955793.52</v>
      </c>
      <c r="I20" s="7"/>
    </row>
    <row r="21" customFormat="false" ht="31.3" hidden="false" customHeight="false" outlineLevel="0" collapsed="false">
      <c r="A21" s="7" t="s">
        <v>42</v>
      </c>
      <c r="B21" s="7" t="s">
        <v>18</v>
      </c>
      <c r="C21" s="7" t="s">
        <v>16</v>
      </c>
      <c r="D21" s="8" t="n">
        <v>45</v>
      </c>
      <c r="E21" s="9" t="n">
        <v>240.35</v>
      </c>
      <c r="F21" s="9" t="n">
        <f aca="false">ROUND(D21*E21,2)</f>
        <v>10815.75</v>
      </c>
      <c r="G21" s="7" t="n">
        <v>12</v>
      </c>
      <c r="H21" s="9" t="n">
        <f aca="false">F21*G21</f>
        <v>129789</v>
      </c>
      <c r="I21" s="7"/>
    </row>
    <row r="22" customFormat="false" ht="16.4" hidden="false" customHeight="false" outlineLevel="0" collapsed="false">
      <c r="A22" s="7" t="s">
        <v>43</v>
      </c>
      <c r="B22" s="7" t="s">
        <v>20</v>
      </c>
      <c r="C22" s="7" t="s">
        <v>16</v>
      </c>
      <c r="D22" s="8" t="n">
        <v>26</v>
      </c>
      <c r="E22" s="9" t="n">
        <v>493.35</v>
      </c>
      <c r="F22" s="9" t="n">
        <f aca="false">ROUND(D22*E22,2)</f>
        <v>12827.1</v>
      </c>
      <c r="G22" s="7" t="n">
        <v>12</v>
      </c>
      <c r="H22" s="9" t="n">
        <f aca="false">F22*G22</f>
        <v>153925.2</v>
      </c>
      <c r="I22" s="7"/>
    </row>
    <row r="23" customFormat="false" ht="16.4" hidden="false" customHeight="false" outlineLevel="0" collapsed="false">
      <c r="A23" s="7" t="s">
        <v>44</v>
      </c>
      <c r="B23" s="7" t="s">
        <v>22</v>
      </c>
      <c r="C23" s="7" t="s">
        <v>16</v>
      </c>
      <c r="D23" s="8" t="n">
        <v>35</v>
      </c>
      <c r="E23" s="9" t="n">
        <v>240.35</v>
      </c>
      <c r="F23" s="9" t="n">
        <f aca="false">ROUND(D23*E23,2)</f>
        <v>8412.25</v>
      </c>
      <c r="G23" s="7" t="n">
        <v>12</v>
      </c>
      <c r="H23" s="9" t="n">
        <f aca="false">F23*G23</f>
        <v>100947</v>
      </c>
      <c r="I23" s="7"/>
    </row>
    <row r="24" customFormat="false" ht="31.3" hidden="false" customHeight="false" outlineLevel="0" collapsed="false">
      <c r="A24" s="7" t="s">
        <v>45</v>
      </c>
      <c r="B24" s="7" t="s">
        <v>24</v>
      </c>
      <c r="C24" s="7" t="s">
        <v>16</v>
      </c>
      <c r="D24" s="8" t="n">
        <v>436</v>
      </c>
      <c r="E24" s="9" t="n">
        <v>101.2</v>
      </c>
      <c r="F24" s="9" t="n">
        <f aca="false">ROUND(D24*E24,2)</f>
        <v>44123.2</v>
      </c>
      <c r="G24" s="7" t="n">
        <v>12</v>
      </c>
      <c r="H24" s="9" t="n">
        <f aca="false">F24*G24</f>
        <v>529478.4</v>
      </c>
      <c r="I24" s="7"/>
    </row>
    <row r="25" customFormat="false" ht="31.3" hidden="false" customHeight="false" outlineLevel="0" collapsed="false">
      <c r="A25" s="7" t="s">
        <v>46</v>
      </c>
      <c r="B25" s="7" t="s">
        <v>47</v>
      </c>
      <c r="C25" s="7" t="s">
        <v>16</v>
      </c>
      <c r="D25" s="8" t="n">
        <v>12</v>
      </c>
      <c r="E25" s="9" t="n">
        <v>246.68</v>
      </c>
      <c r="F25" s="9" t="n">
        <f aca="false">ROUND(D25*E25,2)</f>
        <v>2960.16</v>
      </c>
      <c r="G25" s="7" t="n">
        <v>12</v>
      </c>
      <c r="H25" s="9" t="n">
        <f aca="false">F25*G25</f>
        <v>35521.92</v>
      </c>
      <c r="I25" s="7"/>
    </row>
    <row r="26" customFormat="false" ht="16.4" hidden="false" customHeight="false" outlineLevel="0" collapsed="false">
      <c r="A26" s="7" t="s">
        <v>48</v>
      </c>
      <c r="B26" s="7" t="s">
        <v>26</v>
      </c>
      <c r="C26" s="7" t="s">
        <v>16</v>
      </c>
      <c r="D26" s="8" t="n">
        <v>14</v>
      </c>
      <c r="E26" s="9" t="n">
        <v>126.5</v>
      </c>
      <c r="F26" s="9" t="n">
        <f aca="false">ROUND(D26*E26,2)</f>
        <v>1771</v>
      </c>
      <c r="G26" s="7" t="n">
        <v>12</v>
      </c>
      <c r="H26" s="9" t="n">
        <f aca="false">F26*G26</f>
        <v>21252</v>
      </c>
      <c r="I26" s="7"/>
    </row>
    <row r="27" customFormat="false" ht="16.4" hidden="false" customHeight="false" outlineLevel="0" collapsed="false">
      <c r="A27" s="7" t="s">
        <v>49</v>
      </c>
      <c r="B27" s="7" t="s">
        <v>50</v>
      </c>
      <c r="C27" s="7" t="s">
        <v>35</v>
      </c>
      <c r="D27" s="8" t="n">
        <v>14.2</v>
      </c>
      <c r="E27" s="9" t="n">
        <v>379.5</v>
      </c>
      <c r="F27" s="9" t="n">
        <f aca="false">ROUND(D27*E27,2)</f>
        <v>5388.9</v>
      </c>
      <c r="G27" s="7" t="n">
        <v>12</v>
      </c>
      <c r="H27" s="9" t="n">
        <f aca="false">F27*G27</f>
        <v>64666.8</v>
      </c>
      <c r="I27" s="7"/>
    </row>
    <row r="28" customFormat="false" ht="16.4" hidden="false" customHeight="false" outlineLevel="0" collapsed="false">
      <c r="A28" s="7" t="s">
        <v>51</v>
      </c>
      <c r="B28" s="7" t="s">
        <v>28</v>
      </c>
      <c r="C28" s="7" t="s">
        <v>16</v>
      </c>
      <c r="D28" s="8" t="n">
        <v>201</v>
      </c>
      <c r="E28" s="9" t="n">
        <v>88.55</v>
      </c>
      <c r="F28" s="9" t="n">
        <f aca="false">ROUND(D28*E28,2)</f>
        <v>17798.55</v>
      </c>
      <c r="G28" s="7" t="n">
        <v>12</v>
      </c>
      <c r="H28" s="9" t="n">
        <f aca="false">F28*G28</f>
        <v>213582.6</v>
      </c>
      <c r="I28" s="7"/>
    </row>
    <row r="29" customFormat="false" ht="16.4" hidden="false" customHeight="false" outlineLevel="0" collapsed="false">
      <c r="A29" s="7" t="s">
        <v>52</v>
      </c>
      <c r="B29" s="7" t="s">
        <v>53</v>
      </c>
      <c r="C29" s="7" t="s">
        <v>16</v>
      </c>
      <c r="D29" s="8" t="n">
        <v>190</v>
      </c>
      <c r="E29" s="9" t="n">
        <v>75.9</v>
      </c>
      <c r="F29" s="9" t="n">
        <f aca="false">ROUND(D29*E29,2)</f>
        <v>14421</v>
      </c>
      <c r="G29" s="7" t="n">
        <v>12</v>
      </c>
      <c r="H29" s="9" t="n">
        <f aca="false">F29*G29</f>
        <v>173052</v>
      </c>
      <c r="I29" s="7"/>
    </row>
    <row r="30" customFormat="false" ht="16.4" hidden="false" customHeight="false" outlineLevel="0" collapsed="false">
      <c r="A30" s="7" t="s">
        <v>54</v>
      </c>
      <c r="B30" s="7" t="s">
        <v>30</v>
      </c>
      <c r="C30" s="7" t="s">
        <v>16</v>
      </c>
      <c r="D30" s="8" t="n">
        <v>283</v>
      </c>
      <c r="E30" s="9" t="n">
        <v>123.97</v>
      </c>
      <c r="F30" s="9" t="n">
        <f aca="false">ROUND(D30*E30,2)</f>
        <v>35083.51</v>
      </c>
      <c r="G30" s="7" t="n">
        <v>12</v>
      </c>
      <c r="H30" s="9" t="n">
        <f aca="false">F30*G30</f>
        <v>421002.12</v>
      </c>
      <c r="I30" s="7"/>
    </row>
    <row r="31" customFormat="false" ht="31.3" hidden="false" customHeight="false" outlineLevel="0" collapsed="false">
      <c r="A31" s="7" t="s">
        <v>55</v>
      </c>
      <c r="B31" s="7" t="s">
        <v>56</v>
      </c>
      <c r="C31" s="7" t="s">
        <v>57</v>
      </c>
      <c r="D31" s="8" t="n">
        <v>1</v>
      </c>
      <c r="E31" s="9" t="n">
        <v>4301</v>
      </c>
      <c r="F31" s="9" t="n">
        <f aca="false">ROUND(D31*E31,2)</f>
        <v>4301</v>
      </c>
      <c r="G31" s="7" t="n">
        <v>12</v>
      </c>
      <c r="H31" s="9" t="n">
        <f aca="false">F31*G31</f>
        <v>51612</v>
      </c>
      <c r="I31" s="7"/>
    </row>
    <row r="32" customFormat="false" ht="16.4" hidden="false" customHeight="false" outlineLevel="0" collapsed="false">
      <c r="A32" s="7" t="s">
        <v>58</v>
      </c>
      <c r="B32" s="7" t="s">
        <v>34</v>
      </c>
      <c r="C32" s="7" t="s">
        <v>35</v>
      </c>
      <c r="D32" s="8" t="n">
        <v>121.505</v>
      </c>
      <c r="E32" s="9" t="n">
        <v>25.3</v>
      </c>
      <c r="F32" s="9" t="n">
        <f aca="false">ROUND(D32*E32,2)</f>
        <v>3074.08</v>
      </c>
      <c r="G32" s="7" t="n">
        <v>12</v>
      </c>
      <c r="H32" s="9" t="n">
        <f aca="false">F32*G32</f>
        <v>36888.96</v>
      </c>
      <c r="I32" s="7"/>
    </row>
    <row r="33" customFormat="false" ht="15" hidden="false" customHeight="false" outlineLevel="0" collapsed="false">
      <c r="A33" s="10"/>
      <c r="B33" s="11" t="s">
        <v>38</v>
      </c>
      <c r="C33" s="10"/>
      <c r="D33" s="10"/>
      <c r="E33" s="10"/>
      <c r="F33" s="12" t="n">
        <f aca="false">SUM(F20:F32)</f>
        <v>240625.96</v>
      </c>
      <c r="G33" s="10"/>
      <c r="H33" s="12" t="n">
        <f aca="false">SUM(H20:H32)</f>
        <v>2887511.52</v>
      </c>
      <c r="I33" s="10"/>
    </row>
    <row r="34" customFormat="false" ht="15" hidden="false" customHeight="false" outlineLevel="0" collapsed="false">
      <c r="A34" s="5" t="s">
        <v>59</v>
      </c>
      <c r="B34" s="6" t="s">
        <v>60</v>
      </c>
      <c r="C34" s="5"/>
      <c r="D34" s="5"/>
      <c r="E34" s="5"/>
      <c r="F34" s="5"/>
      <c r="G34" s="5"/>
      <c r="H34" s="5"/>
      <c r="I34" s="5"/>
    </row>
    <row r="35" customFormat="false" ht="31.3" hidden="false" customHeight="false" outlineLevel="0" collapsed="false">
      <c r="A35" s="7" t="s">
        <v>61</v>
      </c>
      <c r="B35" s="7" t="s">
        <v>15</v>
      </c>
      <c r="C35" s="7" t="s">
        <v>16</v>
      </c>
      <c r="D35" s="8" t="n">
        <v>22</v>
      </c>
      <c r="E35" s="9" t="n">
        <v>3620.43</v>
      </c>
      <c r="F35" s="9" t="n">
        <f aca="false">ROUND(D35*E35,2)</f>
        <v>79649.46</v>
      </c>
      <c r="G35" s="7" t="n">
        <v>12</v>
      </c>
      <c r="H35" s="9" t="n">
        <f aca="false">F35*G35</f>
        <v>955793.52</v>
      </c>
      <c r="I35" s="7"/>
    </row>
    <row r="36" customFormat="false" ht="31.3" hidden="false" customHeight="false" outlineLevel="0" collapsed="false">
      <c r="A36" s="7" t="s">
        <v>62</v>
      </c>
      <c r="B36" s="7" t="s">
        <v>18</v>
      </c>
      <c r="C36" s="7" t="s">
        <v>16</v>
      </c>
      <c r="D36" s="8" t="n">
        <v>34</v>
      </c>
      <c r="E36" s="9" t="n">
        <v>240.35</v>
      </c>
      <c r="F36" s="9" t="n">
        <f aca="false">ROUND(D36*E36,2)</f>
        <v>8171.9</v>
      </c>
      <c r="G36" s="7" t="n">
        <v>12</v>
      </c>
      <c r="H36" s="9" t="n">
        <f aca="false">F36*G36</f>
        <v>98062.8</v>
      </c>
      <c r="I36" s="7"/>
    </row>
    <row r="37" customFormat="false" ht="16.4" hidden="false" customHeight="false" outlineLevel="0" collapsed="false">
      <c r="A37" s="7" t="s">
        <v>63</v>
      </c>
      <c r="B37" s="7" t="s">
        <v>20</v>
      </c>
      <c r="C37" s="7" t="s">
        <v>16</v>
      </c>
      <c r="D37" s="8" t="n">
        <v>19</v>
      </c>
      <c r="E37" s="9" t="n">
        <v>493.35</v>
      </c>
      <c r="F37" s="9" t="n">
        <f aca="false">ROUND(D37*E37,2)</f>
        <v>9373.65</v>
      </c>
      <c r="G37" s="7" t="n">
        <v>12</v>
      </c>
      <c r="H37" s="9" t="n">
        <f aca="false">F37*G37</f>
        <v>112483.8</v>
      </c>
      <c r="I37" s="7"/>
    </row>
    <row r="38" customFormat="false" ht="16.4" hidden="false" customHeight="false" outlineLevel="0" collapsed="false">
      <c r="A38" s="7" t="s">
        <v>64</v>
      </c>
      <c r="B38" s="7" t="s">
        <v>22</v>
      </c>
      <c r="C38" s="7" t="s">
        <v>16</v>
      </c>
      <c r="D38" s="8" t="n">
        <v>14</v>
      </c>
      <c r="E38" s="9" t="n">
        <v>240.35</v>
      </c>
      <c r="F38" s="9" t="n">
        <f aca="false">ROUND(D38*E38,2)</f>
        <v>3364.9</v>
      </c>
      <c r="G38" s="7" t="n">
        <v>12</v>
      </c>
      <c r="H38" s="9" t="n">
        <f aca="false">F38*G38</f>
        <v>40378.8</v>
      </c>
      <c r="I38" s="7"/>
    </row>
    <row r="39" customFormat="false" ht="31.3" hidden="false" customHeight="false" outlineLevel="0" collapsed="false">
      <c r="A39" s="7" t="s">
        <v>65</v>
      </c>
      <c r="B39" s="7" t="s">
        <v>24</v>
      </c>
      <c r="C39" s="7" t="s">
        <v>16</v>
      </c>
      <c r="D39" s="8" t="n">
        <v>773</v>
      </c>
      <c r="E39" s="9" t="n">
        <v>101.2</v>
      </c>
      <c r="F39" s="9" t="n">
        <f aca="false">ROUND(D39*E39,2)</f>
        <v>78227.6</v>
      </c>
      <c r="G39" s="7" t="n">
        <v>12</v>
      </c>
      <c r="H39" s="9" t="n">
        <f aca="false">F39*G39</f>
        <v>938731.2</v>
      </c>
      <c r="I39" s="7"/>
    </row>
    <row r="40" customFormat="false" ht="31.3" hidden="false" customHeight="false" outlineLevel="0" collapsed="false">
      <c r="A40" s="7" t="s">
        <v>66</v>
      </c>
      <c r="B40" s="7" t="s">
        <v>47</v>
      </c>
      <c r="C40" s="7" t="s">
        <v>16</v>
      </c>
      <c r="D40" s="8" t="n">
        <v>25</v>
      </c>
      <c r="E40" s="9" t="n">
        <v>246.68</v>
      </c>
      <c r="F40" s="9" t="n">
        <f aca="false">ROUND(D40*E40,2)</f>
        <v>6167</v>
      </c>
      <c r="G40" s="7" t="n">
        <v>12</v>
      </c>
      <c r="H40" s="9" t="n">
        <f aca="false">F40*G40</f>
        <v>74004</v>
      </c>
      <c r="I40" s="7"/>
    </row>
    <row r="41" customFormat="false" ht="16.4" hidden="false" customHeight="false" outlineLevel="0" collapsed="false">
      <c r="A41" s="7" t="s">
        <v>67</v>
      </c>
      <c r="B41" s="7" t="s">
        <v>68</v>
      </c>
      <c r="C41" s="7" t="s">
        <v>57</v>
      </c>
      <c r="D41" s="8" t="n">
        <v>5</v>
      </c>
      <c r="E41" s="9" t="n">
        <v>506</v>
      </c>
      <c r="F41" s="9" t="n">
        <f aca="false">ROUND(D41*E41,2)</f>
        <v>2530</v>
      </c>
      <c r="G41" s="7" t="n">
        <v>12</v>
      </c>
      <c r="H41" s="9" t="n">
        <f aca="false">F41*G41</f>
        <v>30360</v>
      </c>
      <c r="I41" s="7"/>
    </row>
    <row r="42" customFormat="false" ht="16.4" hidden="false" customHeight="false" outlineLevel="0" collapsed="false">
      <c r="A42" s="7" t="s">
        <v>69</v>
      </c>
      <c r="B42" s="7" t="s">
        <v>50</v>
      </c>
      <c r="C42" s="7" t="s">
        <v>35</v>
      </c>
      <c r="D42" s="8" t="n">
        <v>5</v>
      </c>
      <c r="E42" s="9" t="n">
        <v>379.5</v>
      </c>
      <c r="F42" s="9" t="n">
        <f aca="false">ROUND(D42*E42,2)</f>
        <v>1897.5</v>
      </c>
      <c r="G42" s="7" t="n">
        <v>12</v>
      </c>
      <c r="H42" s="9" t="n">
        <f aca="false">F42*G42</f>
        <v>22770</v>
      </c>
      <c r="I42" s="7"/>
    </row>
    <row r="43" customFormat="false" ht="16.4" hidden="false" customHeight="false" outlineLevel="0" collapsed="false">
      <c r="A43" s="7" t="s">
        <v>70</v>
      </c>
      <c r="B43" s="7" t="s">
        <v>28</v>
      </c>
      <c r="C43" s="7" t="s">
        <v>16</v>
      </c>
      <c r="D43" s="8" t="n">
        <v>95</v>
      </c>
      <c r="E43" s="9" t="n">
        <v>88.55</v>
      </c>
      <c r="F43" s="9" t="n">
        <f aca="false">ROUND(D43*E43,2)</f>
        <v>8412.25</v>
      </c>
      <c r="G43" s="7" t="n">
        <v>12</v>
      </c>
      <c r="H43" s="9" t="n">
        <f aca="false">F43*G43</f>
        <v>100947</v>
      </c>
      <c r="I43" s="7"/>
    </row>
    <row r="44" customFormat="false" ht="16.4" hidden="false" customHeight="false" outlineLevel="0" collapsed="false">
      <c r="A44" s="7" t="s">
        <v>71</v>
      </c>
      <c r="B44" s="7" t="s">
        <v>53</v>
      </c>
      <c r="C44" s="7" t="s">
        <v>16</v>
      </c>
      <c r="D44" s="8" t="n">
        <v>34</v>
      </c>
      <c r="E44" s="9" t="n">
        <v>75.9</v>
      </c>
      <c r="F44" s="9" t="n">
        <f aca="false">ROUND(D44*E44,2)</f>
        <v>2580.6</v>
      </c>
      <c r="G44" s="7" t="n">
        <v>12</v>
      </c>
      <c r="H44" s="9" t="n">
        <f aca="false">F44*G44</f>
        <v>30967.2</v>
      </c>
      <c r="I44" s="7"/>
    </row>
    <row r="45" customFormat="false" ht="16.4" hidden="false" customHeight="false" outlineLevel="0" collapsed="false">
      <c r="A45" s="7" t="s">
        <v>72</v>
      </c>
      <c r="B45" s="7" t="s">
        <v>30</v>
      </c>
      <c r="C45" s="7" t="s">
        <v>16</v>
      </c>
      <c r="D45" s="8" t="n">
        <v>144</v>
      </c>
      <c r="E45" s="9" t="n">
        <v>123.97</v>
      </c>
      <c r="F45" s="9" t="n">
        <f aca="false">ROUND(D45*E45,2)</f>
        <v>17851.68</v>
      </c>
      <c r="G45" s="7" t="n">
        <v>12</v>
      </c>
      <c r="H45" s="9" t="n">
        <f aca="false">F45*G45</f>
        <v>214220.16</v>
      </c>
      <c r="I45" s="7"/>
    </row>
    <row r="46" customFormat="false" ht="16.4" hidden="false" customHeight="false" outlineLevel="0" collapsed="false">
      <c r="A46" s="7" t="s">
        <v>73</v>
      </c>
      <c r="B46" s="7" t="s">
        <v>32</v>
      </c>
      <c r="C46" s="7" t="s">
        <v>16</v>
      </c>
      <c r="D46" s="8" t="n">
        <v>1</v>
      </c>
      <c r="E46" s="9" t="n">
        <v>1265</v>
      </c>
      <c r="F46" s="9" t="n">
        <f aca="false">ROUND(D46*E46,2)</f>
        <v>1265</v>
      </c>
      <c r="G46" s="7" t="n">
        <v>12</v>
      </c>
      <c r="H46" s="9" t="n">
        <f aca="false">F46*G46</f>
        <v>15180</v>
      </c>
      <c r="I46" s="7"/>
    </row>
    <row r="47" customFormat="false" ht="31.3" hidden="false" customHeight="false" outlineLevel="0" collapsed="false">
      <c r="A47" s="7" t="s">
        <v>74</v>
      </c>
      <c r="B47" s="7" t="s">
        <v>56</v>
      </c>
      <c r="C47" s="7" t="s">
        <v>57</v>
      </c>
      <c r="D47" s="8" t="n">
        <v>1</v>
      </c>
      <c r="E47" s="9" t="n">
        <v>4301</v>
      </c>
      <c r="F47" s="9" t="n">
        <f aca="false">ROUND(D47*E47,2)</f>
        <v>4301</v>
      </c>
      <c r="G47" s="7" t="n">
        <v>12</v>
      </c>
      <c r="H47" s="9" t="n">
        <f aca="false">F47*G47</f>
        <v>51612</v>
      </c>
      <c r="I47" s="7"/>
    </row>
    <row r="48" customFormat="false" ht="16.4" hidden="false" customHeight="false" outlineLevel="0" collapsed="false">
      <c r="A48" s="7" t="s">
        <v>75</v>
      </c>
      <c r="B48" s="7" t="s">
        <v>34</v>
      </c>
      <c r="C48" s="7" t="s">
        <v>35</v>
      </c>
      <c r="D48" s="8" t="n">
        <v>83.1</v>
      </c>
      <c r="E48" s="9" t="n">
        <v>25.3</v>
      </c>
      <c r="F48" s="9" t="n">
        <f aca="false">ROUND(D48*E48,2)</f>
        <v>2102.43</v>
      </c>
      <c r="G48" s="7" t="n">
        <v>12</v>
      </c>
      <c r="H48" s="9" t="n">
        <f aca="false">F48*G48</f>
        <v>25229.16</v>
      </c>
      <c r="I48" s="7"/>
    </row>
    <row r="49" customFormat="false" ht="15" hidden="false" customHeight="false" outlineLevel="0" collapsed="false">
      <c r="A49" s="10"/>
      <c r="B49" s="11" t="s">
        <v>38</v>
      </c>
      <c r="C49" s="10"/>
      <c r="D49" s="10"/>
      <c r="E49" s="10"/>
      <c r="F49" s="12" t="n">
        <f aca="false">SUM(F35:F48)</f>
        <v>225894.97</v>
      </c>
      <c r="G49" s="10"/>
      <c r="H49" s="12" t="n">
        <f aca="false">SUM(H35:H48)</f>
        <v>2710739.64</v>
      </c>
      <c r="I49" s="10"/>
    </row>
    <row r="50" customFormat="false" ht="15" hidden="false" customHeight="false" outlineLevel="0" collapsed="false">
      <c r="A50" s="5" t="s">
        <v>76</v>
      </c>
      <c r="B50" s="6" t="s">
        <v>77</v>
      </c>
      <c r="C50" s="5"/>
      <c r="D50" s="5"/>
      <c r="E50" s="5"/>
      <c r="F50" s="5"/>
      <c r="G50" s="5"/>
      <c r="H50" s="5"/>
      <c r="I50" s="5"/>
    </row>
    <row r="51" customFormat="false" ht="31.3" hidden="false" customHeight="false" outlineLevel="0" collapsed="false">
      <c r="A51" s="7" t="s">
        <v>78</v>
      </c>
      <c r="B51" s="7" t="s">
        <v>15</v>
      </c>
      <c r="C51" s="7" t="s">
        <v>16</v>
      </c>
      <c r="D51" s="8" t="n">
        <v>5</v>
      </c>
      <c r="E51" s="9" t="n">
        <v>3620.43</v>
      </c>
      <c r="F51" s="9" t="n">
        <f aca="false">ROUND(D51*E51,2)</f>
        <v>18102.15</v>
      </c>
      <c r="G51" s="7" t="n">
        <v>12</v>
      </c>
      <c r="H51" s="9" t="n">
        <f aca="false">F51*G51</f>
        <v>217225.8</v>
      </c>
      <c r="I51" s="7"/>
    </row>
    <row r="52" customFormat="false" ht="31.3" hidden="false" customHeight="false" outlineLevel="0" collapsed="false">
      <c r="A52" s="7" t="s">
        <v>79</v>
      </c>
      <c r="B52" s="7" t="s">
        <v>18</v>
      </c>
      <c r="C52" s="7" t="s">
        <v>16</v>
      </c>
      <c r="D52" s="8" t="n">
        <v>47</v>
      </c>
      <c r="E52" s="9" t="n">
        <v>240.35</v>
      </c>
      <c r="F52" s="9" t="n">
        <f aca="false">ROUND(D52*E52,2)</f>
        <v>11296.45</v>
      </c>
      <c r="G52" s="7" t="n">
        <v>12</v>
      </c>
      <c r="H52" s="9" t="n">
        <f aca="false">F52*G52</f>
        <v>135557.4</v>
      </c>
      <c r="I52" s="7"/>
    </row>
    <row r="53" customFormat="false" ht="16.4" hidden="false" customHeight="false" outlineLevel="0" collapsed="false">
      <c r="A53" s="7" t="s">
        <v>80</v>
      </c>
      <c r="B53" s="7" t="s">
        <v>20</v>
      </c>
      <c r="C53" s="7" t="s">
        <v>16</v>
      </c>
      <c r="D53" s="8" t="n">
        <v>3</v>
      </c>
      <c r="E53" s="9" t="n">
        <v>493.35</v>
      </c>
      <c r="F53" s="9" t="n">
        <f aca="false">ROUND(D53*E53,2)</f>
        <v>1480.05</v>
      </c>
      <c r="G53" s="7" t="n">
        <v>12</v>
      </c>
      <c r="H53" s="9" t="n">
        <f aca="false">F53*G53</f>
        <v>17760.6</v>
      </c>
      <c r="I53" s="7"/>
    </row>
    <row r="54" customFormat="false" ht="31.3" hidden="false" customHeight="false" outlineLevel="0" collapsed="false">
      <c r="A54" s="7" t="s">
        <v>81</v>
      </c>
      <c r="B54" s="7" t="s">
        <v>24</v>
      </c>
      <c r="C54" s="7" t="s">
        <v>16</v>
      </c>
      <c r="D54" s="8" t="n">
        <v>157</v>
      </c>
      <c r="E54" s="9" t="n">
        <v>101.2</v>
      </c>
      <c r="F54" s="9" t="n">
        <f aca="false">ROUND(D54*E54,2)</f>
        <v>15888.4</v>
      </c>
      <c r="G54" s="7" t="n">
        <v>12</v>
      </c>
      <c r="H54" s="9" t="n">
        <f aca="false">F54*G54</f>
        <v>190660.8</v>
      </c>
      <c r="I54" s="7"/>
    </row>
    <row r="55" customFormat="false" ht="31.3" hidden="false" customHeight="false" outlineLevel="0" collapsed="false">
      <c r="A55" s="7" t="s">
        <v>82</v>
      </c>
      <c r="B55" s="7" t="s">
        <v>47</v>
      </c>
      <c r="C55" s="7" t="s">
        <v>16</v>
      </c>
      <c r="D55" s="8" t="n">
        <v>4</v>
      </c>
      <c r="E55" s="9" t="n">
        <v>246.68</v>
      </c>
      <c r="F55" s="9" t="n">
        <f aca="false">ROUND(D55*E55,2)</f>
        <v>986.72</v>
      </c>
      <c r="G55" s="7" t="n">
        <v>12</v>
      </c>
      <c r="H55" s="9" t="n">
        <f aca="false">F55*G55</f>
        <v>11840.64</v>
      </c>
      <c r="I55" s="7"/>
    </row>
    <row r="56" customFormat="false" ht="16.4" hidden="false" customHeight="false" outlineLevel="0" collapsed="false">
      <c r="A56" s="7" t="s">
        <v>83</v>
      </c>
      <c r="B56" s="7" t="s">
        <v>28</v>
      </c>
      <c r="C56" s="7" t="s">
        <v>16</v>
      </c>
      <c r="D56" s="8" t="n">
        <v>16</v>
      </c>
      <c r="E56" s="9" t="n">
        <v>88.55</v>
      </c>
      <c r="F56" s="9" t="n">
        <f aca="false">ROUND(D56*E56,2)</f>
        <v>1416.8</v>
      </c>
      <c r="G56" s="7" t="n">
        <v>12</v>
      </c>
      <c r="H56" s="9" t="n">
        <f aca="false">F56*G56</f>
        <v>17001.6</v>
      </c>
      <c r="I56" s="7"/>
    </row>
    <row r="57" customFormat="false" ht="16.4" hidden="false" customHeight="false" outlineLevel="0" collapsed="false">
      <c r="A57" s="7" t="s">
        <v>84</v>
      </c>
      <c r="B57" s="7" t="s">
        <v>30</v>
      </c>
      <c r="C57" s="7" t="s">
        <v>16</v>
      </c>
      <c r="D57" s="8" t="n">
        <v>45</v>
      </c>
      <c r="E57" s="9" t="n">
        <v>123.97</v>
      </c>
      <c r="F57" s="9" t="n">
        <f aca="false">ROUND(D57*E57,2)</f>
        <v>5578.65</v>
      </c>
      <c r="G57" s="7" t="n">
        <v>12</v>
      </c>
      <c r="H57" s="9" t="n">
        <f aca="false">F57*G57</f>
        <v>66943.8</v>
      </c>
      <c r="I57" s="7"/>
    </row>
    <row r="58" customFormat="false" ht="16.4" hidden="false" customHeight="false" outlineLevel="0" collapsed="false">
      <c r="A58" s="7" t="s">
        <v>85</v>
      </c>
      <c r="B58" s="7" t="s">
        <v>86</v>
      </c>
      <c r="C58" s="7" t="s">
        <v>16</v>
      </c>
      <c r="D58" s="8" t="n">
        <v>4</v>
      </c>
      <c r="E58" s="9" t="n">
        <v>1138.5</v>
      </c>
      <c r="F58" s="9" t="n">
        <f aca="false">ROUND(D58*E58,2)</f>
        <v>4554</v>
      </c>
      <c r="G58" s="7" t="n">
        <v>12</v>
      </c>
      <c r="H58" s="9" t="n">
        <f aca="false">F58*G58</f>
        <v>54648</v>
      </c>
      <c r="I58" s="7"/>
    </row>
    <row r="59" customFormat="false" ht="31.3" hidden="false" customHeight="false" outlineLevel="0" collapsed="false">
      <c r="A59" s="7" t="s">
        <v>87</v>
      </c>
      <c r="B59" s="7" t="s">
        <v>56</v>
      </c>
      <c r="C59" s="7" t="s">
        <v>57</v>
      </c>
      <c r="D59" s="8" t="n">
        <v>1</v>
      </c>
      <c r="E59" s="9" t="n">
        <v>4301</v>
      </c>
      <c r="F59" s="9" t="n">
        <f aca="false">ROUND(D59*E59,2)</f>
        <v>4301</v>
      </c>
      <c r="G59" s="7" t="n">
        <v>12</v>
      </c>
      <c r="H59" s="9" t="n">
        <f aca="false">F59*G59</f>
        <v>51612</v>
      </c>
      <c r="I59" s="7"/>
    </row>
    <row r="60" customFormat="false" ht="16.4" hidden="false" customHeight="false" outlineLevel="0" collapsed="false">
      <c r="A60" s="7" t="s">
        <v>88</v>
      </c>
      <c r="B60" s="7" t="s">
        <v>34</v>
      </c>
      <c r="C60" s="7" t="s">
        <v>35</v>
      </c>
      <c r="D60" s="8" t="n">
        <v>30.8</v>
      </c>
      <c r="E60" s="9" t="n">
        <v>25.3</v>
      </c>
      <c r="F60" s="9" t="n">
        <f aca="false">ROUND(D60*E60,2)</f>
        <v>779.24</v>
      </c>
      <c r="G60" s="7" t="n">
        <v>12</v>
      </c>
      <c r="H60" s="9" t="n">
        <f aca="false">F60*G60</f>
        <v>9350.88</v>
      </c>
      <c r="I60" s="7"/>
    </row>
    <row r="61" customFormat="false" ht="15" hidden="false" customHeight="false" outlineLevel="0" collapsed="false">
      <c r="A61" s="10"/>
      <c r="B61" s="11" t="s">
        <v>38</v>
      </c>
      <c r="C61" s="10"/>
      <c r="D61" s="10"/>
      <c r="E61" s="10"/>
      <c r="F61" s="12" t="n">
        <f aca="false">SUM(F51:F60)</f>
        <v>64383.46</v>
      </c>
      <c r="G61" s="10"/>
      <c r="H61" s="12" t="n">
        <f aca="false">SUM(H51:H60)</f>
        <v>772601.52</v>
      </c>
      <c r="I61" s="10"/>
    </row>
    <row r="62" customFormat="false" ht="15" hidden="false" customHeight="false" outlineLevel="0" collapsed="false">
      <c r="A62" s="5" t="s">
        <v>89</v>
      </c>
      <c r="B62" s="6" t="s">
        <v>90</v>
      </c>
      <c r="C62" s="5"/>
      <c r="D62" s="5"/>
      <c r="E62" s="5"/>
      <c r="F62" s="5"/>
      <c r="G62" s="5"/>
      <c r="H62" s="5"/>
      <c r="I62" s="5"/>
    </row>
    <row r="63" customFormat="false" ht="31.3" hidden="false" customHeight="false" outlineLevel="0" collapsed="false">
      <c r="A63" s="7" t="s">
        <v>91</v>
      </c>
      <c r="B63" s="7" t="s">
        <v>15</v>
      </c>
      <c r="C63" s="7" t="s">
        <v>16</v>
      </c>
      <c r="D63" s="8" t="n">
        <v>31</v>
      </c>
      <c r="E63" s="9" t="n">
        <v>3620.43</v>
      </c>
      <c r="F63" s="9" t="n">
        <f aca="false">ROUND(D63*E63,2)</f>
        <v>112233.33</v>
      </c>
      <c r="G63" s="7" t="n">
        <v>12</v>
      </c>
      <c r="H63" s="9" t="n">
        <f aca="false">F63*G63</f>
        <v>1346799.96</v>
      </c>
      <c r="I63" s="7"/>
    </row>
    <row r="64" customFormat="false" ht="31.3" hidden="false" customHeight="false" outlineLevel="0" collapsed="false">
      <c r="A64" s="7" t="s">
        <v>92</v>
      </c>
      <c r="B64" s="7" t="s">
        <v>18</v>
      </c>
      <c r="C64" s="7" t="s">
        <v>16</v>
      </c>
      <c r="D64" s="8" t="n">
        <v>7</v>
      </c>
      <c r="E64" s="9" t="n">
        <v>240.35</v>
      </c>
      <c r="F64" s="9" t="n">
        <f aca="false">ROUND(D64*E64,2)</f>
        <v>1682.45</v>
      </c>
      <c r="G64" s="7" t="n">
        <v>12</v>
      </c>
      <c r="H64" s="9" t="n">
        <f aca="false">F64*G64</f>
        <v>20189.4</v>
      </c>
      <c r="I64" s="7"/>
    </row>
    <row r="65" customFormat="false" ht="16.4" hidden="false" customHeight="false" outlineLevel="0" collapsed="false">
      <c r="A65" s="7" t="s">
        <v>93</v>
      </c>
      <c r="B65" s="7" t="s">
        <v>20</v>
      </c>
      <c r="C65" s="7" t="s">
        <v>16</v>
      </c>
      <c r="D65" s="8" t="n">
        <v>9</v>
      </c>
      <c r="E65" s="9" t="n">
        <v>493.35</v>
      </c>
      <c r="F65" s="9" t="n">
        <f aca="false">ROUND(D65*E65,2)</f>
        <v>4440.15</v>
      </c>
      <c r="G65" s="7" t="n">
        <v>12</v>
      </c>
      <c r="H65" s="9" t="n">
        <f aca="false">F65*G65</f>
        <v>53281.8</v>
      </c>
      <c r="I65" s="7"/>
    </row>
    <row r="66" customFormat="false" ht="16.4" hidden="false" customHeight="false" outlineLevel="0" collapsed="false">
      <c r="A66" s="7" t="s">
        <v>94</v>
      </c>
      <c r="B66" s="7" t="s">
        <v>22</v>
      </c>
      <c r="C66" s="7" t="s">
        <v>16</v>
      </c>
      <c r="D66" s="8" t="n">
        <v>4</v>
      </c>
      <c r="E66" s="9" t="n">
        <v>240.35</v>
      </c>
      <c r="F66" s="9" t="n">
        <f aca="false">ROUND(D66*E66,2)</f>
        <v>961.4</v>
      </c>
      <c r="G66" s="7" t="n">
        <v>12</v>
      </c>
      <c r="H66" s="9" t="n">
        <f aca="false">F66*G66</f>
        <v>11536.8</v>
      </c>
      <c r="I66" s="7"/>
    </row>
    <row r="67" customFormat="false" ht="31.3" hidden="false" customHeight="false" outlineLevel="0" collapsed="false">
      <c r="A67" s="7" t="s">
        <v>95</v>
      </c>
      <c r="B67" s="7" t="s">
        <v>24</v>
      </c>
      <c r="C67" s="7" t="s">
        <v>16</v>
      </c>
      <c r="D67" s="8" t="n">
        <v>698</v>
      </c>
      <c r="E67" s="9" t="n">
        <v>101.2</v>
      </c>
      <c r="F67" s="9" t="n">
        <f aca="false">ROUND(D67*E67,2)</f>
        <v>70637.6</v>
      </c>
      <c r="G67" s="7" t="n">
        <v>12</v>
      </c>
      <c r="H67" s="9" t="n">
        <f aca="false">F67*G67</f>
        <v>847651.2</v>
      </c>
      <c r="I67" s="7"/>
    </row>
    <row r="68" customFormat="false" ht="31.3" hidden="false" customHeight="false" outlineLevel="0" collapsed="false">
      <c r="A68" s="7" t="s">
        <v>96</v>
      </c>
      <c r="B68" s="7" t="s">
        <v>47</v>
      </c>
      <c r="C68" s="7" t="s">
        <v>16</v>
      </c>
      <c r="D68" s="8" t="n">
        <v>29</v>
      </c>
      <c r="E68" s="9" t="n">
        <v>246.68</v>
      </c>
      <c r="F68" s="9" t="n">
        <f aca="false">ROUND(D68*E68,2)</f>
        <v>7153.72</v>
      </c>
      <c r="G68" s="7" t="n">
        <v>12</v>
      </c>
      <c r="H68" s="9" t="n">
        <f aca="false">F68*G68</f>
        <v>85844.64</v>
      </c>
      <c r="I68" s="7"/>
    </row>
    <row r="69" customFormat="false" ht="16.4" hidden="false" customHeight="false" outlineLevel="0" collapsed="false">
      <c r="A69" s="7" t="s">
        <v>97</v>
      </c>
      <c r="B69" s="7" t="s">
        <v>28</v>
      </c>
      <c r="C69" s="7" t="s">
        <v>16</v>
      </c>
      <c r="D69" s="8" t="n">
        <v>83</v>
      </c>
      <c r="E69" s="9" t="n">
        <v>88.55</v>
      </c>
      <c r="F69" s="9" t="n">
        <f aca="false">ROUND(D69*E69,2)</f>
        <v>7349.65</v>
      </c>
      <c r="G69" s="7" t="n">
        <v>12</v>
      </c>
      <c r="H69" s="9" t="n">
        <f aca="false">F69*G69</f>
        <v>88195.8</v>
      </c>
      <c r="I69" s="7"/>
    </row>
    <row r="70" customFormat="false" ht="16.4" hidden="false" customHeight="false" outlineLevel="0" collapsed="false">
      <c r="A70" s="7" t="s">
        <v>98</v>
      </c>
      <c r="B70" s="7" t="s">
        <v>30</v>
      </c>
      <c r="C70" s="7" t="s">
        <v>16</v>
      </c>
      <c r="D70" s="8" t="n">
        <v>162</v>
      </c>
      <c r="E70" s="9" t="n">
        <v>123.97</v>
      </c>
      <c r="F70" s="9" t="n">
        <f aca="false">ROUND(D70*E70,2)</f>
        <v>20083.14</v>
      </c>
      <c r="G70" s="7" t="n">
        <v>12</v>
      </c>
      <c r="H70" s="9" t="n">
        <f aca="false">F70*G70</f>
        <v>240997.68</v>
      </c>
      <c r="I70" s="7"/>
    </row>
    <row r="71" customFormat="false" ht="16.4" hidden="false" customHeight="false" outlineLevel="0" collapsed="false">
      <c r="A71" s="7" t="s">
        <v>99</v>
      </c>
      <c r="B71" s="7" t="s">
        <v>34</v>
      </c>
      <c r="C71" s="7" t="s">
        <v>35</v>
      </c>
      <c r="D71" s="8" t="n">
        <v>94.75</v>
      </c>
      <c r="E71" s="9" t="n">
        <v>25.3</v>
      </c>
      <c r="F71" s="9" t="n">
        <f aca="false">ROUND(D71*E71,2)</f>
        <v>2397.18</v>
      </c>
      <c r="G71" s="7" t="n">
        <v>12</v>
      </c>
      <c r="H71" s="9" t="n">
        <f aca="false">F71*G71</f>
        <v>28766.16</v>
      </c>
      <c r="I71" s="7"/>
    </row>
    <row r="72" customFormat="false" ht="15" hidden="false" customHeight="false" outlineLevel="0" collapsed="false">
      <c r="A72" s="10"/>
      <c r="B72" s="11" t="s">
        <v>38</v>
      </c>
      <c r="C72" s="10"/>
      <c r="D72" s="10"/>
      <c r="E72" s="10"/>
      <c r="F72" s="12" t="n">
        <f aca="false">SUM(F63:F71)</f>
        <v>226938.62</v>
      </c>
      <c r="G72" s="10"/>
      <c r="H72" s="12" t="n">
        <f aca="false">SUM(H63:H71)</f>
        <v>2723263.44</v>
      </c>
      <c r="I72" s="10"/>
    </row>
    <row r="73" customFormat="false" ht="15" hidden="false" customHeight="false" outlineLevel="0" collapsed="false">
      <c r="A73" s="5" t="s">
        <v>100</v>
      </c>
      <c r="B73" s="6" t="s">
        <v>101</v>
      </c>
      <c r="C73" s="5"/>
      <c r="D73" s="5"/>
      <c r="E73" s="5"/>
      <c r="F73" s="5"/>
      <c r="G73" s="5"/>
      <c r="H73" s="5"/>
      <c r="I73" s="5"/>
    </row>
    <row r="74" customFormat="false" ht="16.4" hidden="false" customHeight="false" outlineLevel="0" collapsed="false">
      <c r="A74" s="7" t="s">
        <v>102</v>
      </c>
      <c r="B74" s="7" t="s">
        <v>103</v>
      </c>
      <c r="C74" s="7" t="s">
        <v>35</v>
      </c>
      <c r="D74" s="8" t="n">
        <v>43.23</v>
      </c>
      <c r="E74" s="9" t="n">
        <v>506</v>
      </c>
      <c r="F74" s="9" t="n">
        <f aca="false">ROUND(D74*E74,2)</f>
        <v>21874.38</v>
      </c>
      <c r="G74" s="7" t="n">
        <v>12</v>
      </c>
      <c r="H74" s="9" t="n">
        <f aca="false">F74*G74</f>
        <v>262492.56</v>
      </c>
      <c r="I74" s="7"/>
    </row>
    <row r="75" customFormat="false" ht="31.3" hidden="false" customHeight="false" outlineLevel="0" collapsed="false">
      <c r="A75" s="7" t="s">
        <v>104</v>
      </c>
      <c r="B75" s="7" t="s">
        <v>105</v>
      </c>
      <c r="C75" s="7" t="s">
        <v>16</v>
      </c>
      <c r="D75" s="8" t="n">
        <v>119</v>
      </c>
      <c r="E75" s="9" t="n">
        <v>379.5</v>
      </c>
      <c r="F75" s="9" t="n">
        <f aca="false">ROUND(D75*E75,2)</f>
        <v>45160.5</v>
      </c>
      <c r="G75" s="7" t="n">
        <v>12</v>
      </c>
      <c r="H75" s="9" t="n">
        <f aca="false">F75*G75</f>
        <v>541926</v>
      </c>
      <c r="I75" s="7"/>
    </row>
    <row r="76" customFormat="false" ht="16.4" hidden="false" customHeight="false" outlineLevel="0" collapsed="false">
      <c r="A76" s="7" t="s">
        <v>106</v>
      </c>
      <c r="B76" s="7" t="s">
        <v>107</v>
      </c>
      <c r="C76" s="7" t="s">
        <v>16</v>
      </c>
      <c r="D76" s="8" t="n">
        <v>31</v>
      </c>
      <c r="E76" s="9" t="n">
        <v>1960.75</v>
      </c>
      <c r="F76" s="9" t="n">
        <f aca="false">ROUND(D76*E76,2)</f>
        <v>60783.25</v>
      </c>
      <c r="G76" s="7" t="n">
        <v>12</v>
      </c>
      <c r="H76" s="9" t="n">
        <f aca="false">F76*G76</f>
        <v>729399</v>
      </c>
      <c r="I76" s="7"/>
    </row>
    <row r="77" customFormat="false" ht="16.4" hidden="false" customHeight="false" outlineLevel="0" collapsed="false">
      <c r="A77" s="7" t="s">
        <v>108</v>
      </c>
      <c r="B77" s="7" t="s">
        <v>109</v>
      </c>
      <c r="C77" s="7" t="s">
        <v>16</v>
      </c>
      <c r="D77" s="8" t="n">
        <v>738</v>
      </c>
      <c r="E77" s="9" t="n">
        <v>35.42</v>
      </c>
      <c r="F77" s="9" t="n">
        <f aca="false">ROUND(D77*E77,2)</f>
        <v>26139.96</v>
      </c>
      <c r="G77" s="7" t="n">
        <v>12</v>
      </c>
      <c r="H77" s="9" t="n">
        <f aca="false">F77*G77</f>
        <v>313679.52</v>
      </c>
      <c r="I77" s="7"/>
    </row>
    <row r="78" customFormat="false" ht="16.4" hidden="false" customHeight="false" outlineLevel="0" collapsed="false">
      <c r="A78" s="7" t="s">
        <v>110</v>
      </c>
      <c r="B78" s="7" t="s">
        <v>111</v>
      </c>
      <c r="C78" s="7" t="s">
        <v>16</v>
      </c>
      <c r="D78" s="8" t="n">
        <v>4</v>
      </c>
      <c r="E78" s="9" t="n">
        <v>349.14</v>
      </c>
      <c r="F78" s="9" t="n">
        <f aca="false">ROUND(D78*E78,2)</f>
        <v>1396.56</v>
      </c>
      <c r="G78" s="7" t="n">
        <v>12</v>
      </c>
      <c r="H78" s="9" t="n">
        <f aca="false">F78*G78</f>
        <v>16758.72</v>
      </c>
      <c r="I78" s="7"/>
    </row>
    <row r="79" customFormat="false" ht="15" hidden="false" customHeight="false" outlineLevel="0" collapsed="false">
      <c r="A79" s="10"/>
      <c r="B79" s="11" t="s">
        <v>38</v>
      </c>
      <c r="C79" s="10"/>
      <c r="D79" s="10"/>
      <c r="E79" s="10"/>
      <c r="F79" s="12" t="n">
        <f aca="false">SUM(F74:F78)</f>
        <v>155354.65</v>
      </c>
      <c r="G79" s="10"/>
      <c r="H79" s="12" t="n">
        <f aca="false">SUM(H74:H78)</f>
        <v>1864255.8</v>
      </c>
      <c r="I79" s="10"/>
    </row>
    <row r="80" customFormat="false" ht="15" hidden="false" customHeight="false" outlineLevel="0" collapsed="false">
      <c r="A80" s="5" t="s">
        <v>112</v>
      </c>
      <c r="B80" s="6" t="s">
        <v>113</v>
      </c>
      <c r="C80" s="5"/>
      <c r="D80" s="5"/>
      <c r="E80" s="5"/>
      <c r="F80" s="5"/>
      <c r="G80" s="5"/>
      <c r="H80" s="5"/>
      <c r="I80" s="5"/>
    </row>
    <row r="81" customFormat="false" ht="16.4" hidden="false" customHeight="false" outlineLevel="0" collapsed="false">
      <c r="A81" s="7" t="s">
        <v>114</v>
      </c>
      <c r="B81" s="7" t="s">
        <v>103</v>
      </c>
      <c r="C81" s="7" t="s">
        <v>35</v>
      </c>
      <c r="D81" s="8" t="n">
        <v>53.12</v>
      </c>
      <c r="E81" s="9" t="n">
        <v>506</v>
      </c>
      <c r="F81" s="9" t="n">
        <f aca="false">ROUND(D81*E81,2)</f>
        <v>26878.72</v>
      </c>
      <c r="G81" s="7" t="n">
        <v>12</v>
      </c>
      <c r="H81" s="9" t="n">
        <f aca="false">F81*G81</f>
        <v>322544.64</v>
      </c>
      <c r="I81" s="7"/>
    </row>
    <row r="82" customFormat="false" ht="31.3" hidden="false" customHeight="false" outlineLevel="0" collapsed="false">
      <c r="A82" s="7" t="s">
        <v>115</v>
      </c>
      <c r="B82" s="7" t="s">
        <v>105</v>
      </c>
      <c r="C82" s="7" t="s">
        <v>16</v>
      </c>
      <c r="D82" s="8" t="n">
        <v>98</v>
      </c>
      <c r="E82" s="9" t="n">
        <v>379.5</v>
      </c>
      <c r="F82" s="9" t="n">
        <f aca="false">ROUND(D82*E82,2)</f>
        <v>37191</v>
      </c>
      <c r="G82" s="7" t="n">
        <v>12</v>
      </c>
      <c r="H82" s="9" t="n">
        <f aca="false">F82*G82</f>
        <v>446292</v>
      </c>
      <c r="I82" s="7"/>
    </row>
    <row r="83" customFormat="false" ht="16.4" hidden="false" customHeight="false" outlineLevel="0" collapsed="false">
      <c r="A83" s="7" t="s">
        <v>116</v>
      </c>
      <c r="B83" s="7" t="s">
        <v>107</v>
      </c>
      <c r="C83" s="7" t="s">
        <v>16</v>
      </c>
      <c r="D83" s="8" t="n">
        <v>33</v>
      </c>
      <c r="E83" s="9" t="n">
        <v>1960.75</v>
      </c>
      <c r="F83" s="9" t="n">
        <f aca="false">ROUND(D83*E83,2)</f>
        <v>64704.75</v>
      </c>
      <c r="G83" s="7" t="n">
        <v>12</v>
      </c>
      <c r="H83" s="9" t="n">
        <f aca="false">F83*G83</f>
        <v>776457</v>
      </c>
      <c r="I83" s="7"/>
    </row>
    <row r="84" customFormat="false" ht="16.4" hidden="false" customHeight="false" outlineLevel="0" collapsed="false">
      <c r="A84" s="7" t="s">
        <v>117</v>
      </c>
      <c r="B84" s="7" t="s">
        <v>109</v>
      </c>
      <c r="C84" s="7" t="s">
        <v>16</v>
      </c>
      <c r="D84" s="8" t="n">
        <v>249</v>
      </c>
      <c r="E84" s="9" t="n">
        <v>35.42</v>
      </c>
      <c r="F84" s="9" t="n">
        <f aca="false">ROUND(D84*E84,2)</f>
        <v>8819.58</v>
      </c>
      <c r="G84" s="7" t="n">
        <v>12</v>
      </c>
      <c r="H84" s="9" t="n">
        <f aca="false">F84*G84</f>
        <v>105834.96</v>
      </c>
      <c r="I84" s="7"/>
    </row>
    <row r="85" customFormat="false" ht="16.4" hidden="false" customHeight="false" outlineLevel="0" collapsed="false">
      <c r="A85" s="7" t="s">
        <v>118</v>
      </c>
      <c r="B85" s="7" t="s">
        <v>111</v>
      </c>
      <c r="C85" s="7" t="s">
        <v>16</v>
      </c>
      <c r="D85" s="8" t="n">
        <v>36</v>
      </c>
      <c r="E85" s="9" t="n">
        <v>349.14</v>
      </c>
      <c r="F85" s="9" t="n">
        <f aca="false">ROUND(D85*E85,2)</f>
        <v>12569.04</v>
      </c>
      <c r="G85" s="7" t="n">
        <v>12</v>
      </c>
      <c r="H85" s="9" t="n">
        <f aca="false">F85*G85</f>
        <v>150828.48</v>
      </c>
      <c r="I85" s="7"/>
    </row>
    <row r="86" customFormat="false" ht="16.4" hidden="false" customHeight="false" outlineLevel="0" collapsed="false">
      <c r="A86" s="7" t="s">
        <v>119</v>
      </c>
      <c r="B86" s="7" t="s">
        <v>120</v>
      </c>
      <c r="C86" s="7" t="s">
        <v>16</v>
      </c>
      <c r="D86" s="8" t="n">
        <v>8</v>
      </c>
      <c r="E86" s="9" t="n">
        <v>6694.38</v>
      </c>
      <c r="F86" s="9" t="n">
        <f aca="false">ROUND(D86*E86,2)</f>
        <v>53555.04</v>
      </c>
      <c r="G86" s="7" t="n">
        <v>12</v>
      </c>
      <c r="H86" s="9" t="n">
        <f aca="false">F86*G86</f>
        <v>642660.48</v>
      </c>
      <c r="I86" s="7"/>
    </row>
    <row r="87" customFormat="false" ht="16.4" hidden="false" customHeight="false" outlineLevel="0" collapsed="false">
      <c r="A87" s="7" t="s">
        <v>121</v>
      </c>
      <c r="B87" s="7" t="s">
        <v>122</v>
      </c>
      <c r="C87" s="7" t="s">
        <v>16</v>
      </c>
      <c r="D87" s="8" t="n">
        <v>3</v>
      </c>
      <c r="E87" s="9" t="n">
        <v>759</v>
      </c>
      <c r="F87" s="9" t="n">
        <f aca="false">ROUND(D87*E87,2)</f>
        <v>2277</v>
      </c>
      <c r="G87" s="7" t="n">
        <v>12</v>
      </c>
      <c r="H87" s="9" t="n">
        <f aca="false">F87*G87</f>
        <v>27324</v>
      </c>
      <c r="I87" s="7"/>
    </row>
    <row r="88" customFormat="false" ht="15" hidden="false" customHeight="false" outlineLevel="0" collapsed="false">
      <c r="A88" s="10"/>
      <c r="B88" s="11" t="s">
        <v>38</v>
      </c>
      <c r="C88" s="10"/>
      <c r="D88" s="10"/>
      <c r="E88" s="10"/>
      <c r="F88" s="12" t="n">
        <f aca="false">SUM(F81:F87)</f>
        <v>205995.13</v>
      </c>
      <c r="G88" s="10"/>
      <c r="H88" s="12" t="n">
        <f aca="false">SUM(H81:H87)</f>
        <v>2471941.56</v>
      </c>
      <c r="I88" s="10"/>
    </row>
    <row r="89" customFormat="false" ht="15" hidden="false" customHeight="false" outlineLevel="0" collapsed="false">
      <c r="A89" s="5" t="s">
        <v>123</v>
      </c>
      <c r="B89" s="6" t="s">
        <v>124</v>
      </c>
      <c r="C89" s="5"/>
      <c r="D89" s="5"/>
      <c r="E89" s="5"/>
      <c r="F89" s="5"/>
      <c r="G89" s="5"/>
      <c r="H89" s="5"/>
      <c r="I89" s="5"/>
    </row>
    <row r="90" customFormat="false" ht="31.3" hidden="false" customHeight="false" outlineLevel="0" collapsed="false">
      <c r="A90" s="7" t="s">
        <v>125</v>
      </c>
      <c r="B90" s="7" t="s">
        <v>15</v>
      </c>
      <c r="C90" s="7" t="s">
        <v>16</v>
      </c>
      <c r="D90" s="8" t="n">
        <v>6</v>
      </c>
      <c r="E90" s="9" t="n">
        <v>3620.43</v>
      </c>
      <c r="F90" s="9" t="n">
        <f aca="false">ROUND(D90*E90,2)</f>
        <v>21722.58</v>
      </c>
      <c r="G90" s="7" t="n">
        <v>12</v>
      </c>
      <c r="H90" s="9" t="n">
        <f aca="false">F90*G90</f>
        <v>260670.96</v>
      </c>
      <c r="I90" s="7"/>
    </row>
    <row r="91" customFormat="false" ht="31.3" hidden="false" customHeight="false" outlineLevel="0" collapsed="false">
      <c r="A91" s="7" t="s">
        <v>126</v>
      </c>
      <c r="B91" s="7" t="s">
        <v>18</v>
      </c>
      <c r="C91" s="7" t="s">
        <v>16</v>
      </c>
      <c r="D91" s="8" t="n">
        <v>1</v>
      </c>
      <c r="E91" s="9" t="n">
        <v>240.35</v>
      </c>
      <c r="F91" s="9" t="n">
        <f aca="false">ROUND(D91*E91,2)</f>
        <v>240.35</v>
      </c>
      <c r="G91" s="7" t="n">
        <v>12</v>
      </c>
      <c r="H91" s="9" t="n">
        <f aca="false">F91*G91</f>
        <v>2884.2</v>
      </c>
      <c r="I91" s="7"/>
    </row>
    <row r="92" customFormat="false" ht="16.4" hidden="false" customHeight="false" outlineLevel="0" collapsed="false">
      <c r="A92" s="7" t="s">
        <v>127</v>
      </c>
      <c r="B92" s="7" t="s">
        <v>20</v>
      </c>
      <c r="C92" s="7" t="s">
        <v>16</v>
      </c>
      <c r="D92" s="8" t="n">
        <v>1</v>
      </c>
      <c r="E92" s="9" t="n">
        <v>493.35</v>
      </c>
      <c r="F92" s="9" t="n">
        <f aca="false">ROUND(D92*E92,2)</f>
        <v>493.35</v>
      </c>
      <c r="G92" s="7" t="n">
        <v>12</v>
      </c>
      <c r="H92" s="9" t="n">
        <f aca="false">F92*G92</f>
        <v>5920.2</v>
      </c>
      <c r="I92" s="7"/>
    </row>
    <row r="93" customFormat="false" ht="16.4" hidden="false" customHeight="false" outlineLevel="0" collapsed="false">
      <c r="A93" s="7" t="s">
        <v>128</v>
      </c>
      <c r="B93" s="7" t="s">
        <v>22</v>
      </c>
      <c r="C93" s="7" t="s">
        <v>16</v>
      </c>
      <c r="D93" s="8" t="n">
        <v>2</v>
      </c>
      <c r="E93" s="9" t="n">
        <v>240.35</v>
      </c>
      <c r="F93" s="9" t="n">
        <f aca="false">ROUND(D93*E93,2)</f>
        <v>480.7</v>
      </c>
      <c r="G93" s="7" t="n">
        <v>12</v>
      </c>
      <c r="H93" s="9" t="n">
        <f aca="false">F93*G93</f>
        <v>5768.4</v>
      </c>
      <c r="I93" s="7"/>
    </row>
    <row r="94" customFormat="false" ht="31.3" hidden="false" customHeight="false" outlineLevel="0" collapsed="false">
      <c r="A94" s="7" t="s">
        <v>129</v>
      </c>
      <c r="B94" s="7" t="s">
        <v>24</v>
      </c>
      <c r="C94" s="7" t="s">
        <v>16</v>
      </c>
      <c r="D94" s="8" t="n">
        <v>187</v>
      </c>
      <c r="E94" s="9" t="n">
        <v>101.2</v>
      </c>
      <c r="F94" s="9" t="n">
        <f aca="false">ROUND(D94*E94,2)</f>
        <v>18924.4</v>
      </c>
      <c r="G94" s="7" t="n">
        <v>12</v>
      </c>
      <c r="H94" s="9" t="n">
        <f aca="false">F94*G94</f>
        <v>227092.8</v>
      </c>
      <c r="I94" s="7"/>
    </row>
    <row r="95" customFormat="false" ht="16.4" hidden="false" customHeight="false" outlineLevel="0" collapsed="false">
      <c r="A95" s="7" t="s">
        <v>130</v>
      </c>
      <c r="B95" s="7" t="s">
        <v>28</v>
      </c>
      <c r="C95" s="7" t="s">
        <v>16</v>
      </c>
      <c r="D95" s="8" t="n">
        <v>19</v>
      </c>
      <c r="E95" s="9" t="n">
        <v>88.55</v>
      </c>
      <c r="F95" s="9" t="n">
        <f aca="false">ROUND(D95*E95,2)</f>
        <v>1682.45</v>
      </c>
      <c r="G95" s="7" t="n">
        <v>12</v>
      </c>
      <c r="H95" s="9" t="n">
        <f aca="false">F95*G95</f>
        <v>20189.4</v>
      </c>
      <c r="I95" s="7"/>
    </row>
    <row r="96" customFormat="false" ht="16.4" hidden="false" customHeight="false" outlineLevel="0" collapsed="false">
      <c r="A96" s="7" t="s">
        <v>131</v>
      </c>
      <c r="B96" s="7" t="s">
        <v>30</v>
      </c>
      <c r="C96" s="7" t="s">
        <v>16</v>
      </c>
      <c r="D96" s="8" t="n">
        <v>41</v>
      </c>
      <c r="E96" s="9" t="n">
        <v>123.97</v>
      </c>
      <c r="F96" s="9" t="n">
        <f aca="false">ROUND(D96*E96,2)</f>
        <v>5082.77</v>
      </c>
      <c r="G96" s="7" t="n">
        <v>12</v>
      </c>
      <c r="H96" s="9" t="n">
        <f aca="false">F96*G96</f>
        <v>60993.24</v>
      </c>
      <c r="I96" s="7"/>
    </row>
    <row r="97" customFormat="false" ht="16.4" hidden="false" customHeight="false" outlineLevel="0" collapsed="false">
      <c r="A97" s="7" t="s">
        <v>132</v>
      </c>
      <c r="B97" s="7" t="s">
        <v>34</v>
      </c>
      <c r="C97" s="7" t="s">
        <v>35</v>
      </c>
      <c r="D97" s="8" t="n">
        <v>34.2</v>
      </c>
      <c r="E97" s="9" t="n">
        <v>25.3</v>
      </c>
      <c r="F97" s="9" t="n">
        <f aca="false">ROUND(D97*E97,2)</f>
        <v>865.26</v>
      </c>
      <c r="G97" s="7" t="n">
        <v>12</v>
      </c>
      <c r="H97" s="9" t="n">
        <f aca="false">F97*G97</f>
        <v>10383.12</v>
      </c>
      <c r="I97" s="7"/>
    </row>
    <row r="98" customFormat="false" ht="31.3" hidden="false" customHeight="false" outlineLevel="0" collapsed="false">
      <c r="A98" s="7" t="s">
        <v>133</v>
      </c>
      <c r="B98" s="7" t="s">
        <v>37</v>
      </c>
      <c r="C98" s="7" t="s">
        <v>16</v>
      </c>
      <c r="D98" s="8" t="n">
        <v>2</v>
      </c>
      <c r="E98" s="9" t="n">
        <v>25.3</v>
      </c>
      <c r="F98" s="9" t="n">
        <f aca="false">ROUND(D98*E98,2)</f>
        <v>50.6</v>
      </c>
      <c r="G98" s="7" t="n">
        <v>12</v>
      </c>
      <c r="H98" s="9" t="n">
        <f aca="false">F98*G98</f>
        <v>607.2</v>
      </c>
      <c r="I98" s="7"/>
    </row>
    <row r="99" customFormat="false" ht="15" hidden="false" customHeight="false" outlineLevel="0" collapsed="false">
      <c r="A99" s="10"/>
      <c r="B99" s="11" t="s">
        <v>38</v>
      </c>
      <c r="C99" s="10"/>
      <c r="D99" s="10"/>
      <c r="E99" s="10"/>
      <c r="F99" s="12" t="n">
        <f aca="false">SUM(F90:F98)</f>
        <v>49542.46</v>
      </c>
      <c r="G99" s="10"/>
      <c r="H99" s="12" t="n">
        <f aca="false">SUM(H90:H98)</f>
        <v>594509.52</v>
      </c>
      <c r="I99" s="10"/>
    </row>
    <row r="100" customFormat="false" ht="15" hidden="false" customHeight="false" outlineLevel="0" collapsed="false">
      <c r="A100" s="6"/>
      <c r="B100" s="6" t="s">
        <v>134</v>
      </c>
      <c r="C100" s="6"/>
      <c r="D100" s="6"/>
      <c r="E100" s="6"/>
      <c r="F100" s="13" t="n">
        <f aca="false">F18+F33+F49+F61+F72+F79+F88+F99</f>
        <v>1491515.18</v>
      </c>
      <c r="G100" s="6"/>
      <c r="H100" s="13" t="n">
        <f aca="false">H18+H33+H49+H61+H72+H79+H88+H99</f>
        <v>17898182.16</v>
      </c>
      <c r="I100" s="6"/>
    </row>
    <row r="102" customFormat="false" ht="15" hidden="false" customHeight="false" outlineLevel="0" collapsed="false">
      <c r="A102" s="5" t="s">
        <v>135</v>
      </c>
      <c r="B102" s="6" t="s">
        <v>136</v>
      </c>
      <c r="C102" s="5"/>
      <c r="D102" s="5"/>
      <c r="E102" s="5"/>
      <c r="F102" s="5"/>
      <c r="G102" s="5"/>
      <c r="H102" s="5"/>
      <c r="I102" s="5"/>
    </row>
    <row r="103" customFormat="false" ht="31.3" hidden="false" customHeight="false" outlineLevel="0" collapsed="false">
      <c r="A103" s="7" t="s">
        <v>137</v>
      </c>
      <c r="B103" s="7" t="s">
        <v>138</v>
      </c>
      <c r="C103" s="7" t="s">
        <v>139</v>
      </c>
      <c r="D103" s="7" t="n">
        <v>5312</v>
      </c>
      <c r="E103" s="9" t="n">
        <v>180</v>
      </c>
      <c r="F103" s="9" t="n">
        <f aca="false">ROUND(D103*E103,2)</f>
        <v>956160</v>
      </c>
      <c r="G103" s="7" t="n">
        <v>1</v>
      </c>
      <c r="H103" s="9" t="n">
        <f aca="false">F103*G103</f>
        <v>956160</v>
      </c>
      <c r="I103" s="7" t="s">
        <v>140</v>
      </c>
    </row>
    <row r="104" customFormat="false" ht="31.3" hidden="false" customHeight="false" outlineLevel="0" collapsed="false">
      <c r="A104" s="7" t="s">
        <v>141</v>
      </c>
      <c r="B104" s="7" t="s">
        <v>142</v>
      </c>
      <c r="C104" s="7" t="s">
        <v>143</v>
      </c>
      <c r="D104" s="7" t="n">
        <v>4</v>
      </c>
      <c r="E104" s="9" t="n">
        <v>33000</v>
      </c>
      <c r="F104" s="9" t="n">
        <f aca="false">ROUND(D104*E104,2)</f>
        <v>132000</v>
      </c>
      <c r="G104" s="7" t="n">
        <v>1</v>
      </c>
      <c r="H104" s="9" t="n">
        <f aca="false">F104*G104</f>
        <v>132000</v>
      </c>
      <c r="I104" s="7" t="s">
        <v>144</v>
      </c>
    </row>
    <row r="105" customFormat="false" ht="31.3" hidden="false" customHeight="false" outlineLevel="0" collapsed="false">
      <c r="A105" s="7" t="s">
        <v>145</v>
      </c>
      <c r="B105" s="7" t="s">
        <v>146</v>
      </c>
      <c r="C105" s="7" t="s">
        <v>16</v>
      </c>
      <c r="D105" s="7" t="n">
        <v>35</v>
      </c>
      <c r="E105" s="9" t="n">
        <v>800</v>
      </c>
      <c r="F105" s="9" t="n">
        <f aca="false">ROUND(D105*E105,2)</f>
        <v>28000</v>
      </c>
      <c r="G105" s="7" t="n">
        <v>1</v>
      </c>
      <c r="H105" s="9" t="n">
        <f aca="false">F105*G105</f>
        <v>28000</v>
      </c>
      <c r="I105" s="7" t="s">
        <v>147</v>
      </c>
    </row>
    <row r="106" customFormat="false" ht="31.3" hidden="false" customHeight="false" outlineLevel="0" collapsed="false">
      <c r="A106" s="7" t="s">
        <v>148</v>
      </c>
      <c r="B106" s="7" t="s">
        <v>149</v>
      </c>
      <c r="C106" s="7" t="s">
        <v>150</v>
      </c>
      <c r="D106" s="7" t="n">
        <v>395</v>
      </c>
      <c r="E106" s="9" t="n">
        <v>115</v>
      </c>
      <c r="F106" s="9" t="n">
        <f aca="false">ROUND(D106*E106,2)</f>
        <v>45425</v>
      </c>
      <c r="G106" s="7" t="n">
        <v>1</v>
      </c>
      <c r="H106" s="9" t="n">
        <f aca="false">F106*G106</f>
        <v>45425</v>
      </c>
      <c r="I106" s="7" t="s">
        <v>151</v>
      </c>
    </row>
    <row r="107" customFormat="false" ht="31.3" hidden="false" customHeight="false" outlineLevel="0" collapsed="false">
      <c r="A107" s="7" t="s">
        <v>152</v>
      </c>
      <c r="B107" s="7" t="s">
        <v>153</v>
      </c>
      <c r="C107" s="7" t="s">
        <v>154</v>
      </c>
      <c r="D107" s="7" t="n">
        <v>10</v>
      </c>
      <c r="E107" s="9" t="n">
        <v>4500</v>
      </c>
      <c r="F107" s="9" t="n">
        <f aca="false">ROUND(D107*E107,2)</f>
        <v>45000</v>
      </c>
      <c r="G107" s="7" t="n">
        <v>1</v>
      </c>
      <c r="H107" s="9" t="n">
        <f aca="false">F107*G107</f>
        <v>45000</v>
      </c>
      <c r="I107" s="7" t="s">
        <v>151</v>
      </c>
    </row>
    <row r="108" customFormat="false" ht="15" hidden="false" customHeight="false" outlineLevel="0" collapsed="false">
      <c r="A108" s="6"/>
      <c r="B108" s="6" t="s">
        <v>155</v>
      </c>
      <c r="C108" s="6"/>
      <c r="D108" s="6"/>
      <c r="E108" s="6"/>
      <c r="F108" s="6"/>
      <c r="G108" s="6"/>
      <c r="H108" s="13" t="n">
        <f aca="false">SUM(H103:H107)</f>
        <v>1206585</v>
      </c>
      <c r="I108" s="6"/>
    </row>
    <row r="110" customFormat="false" ht="15" hidden="false" customHeight="false" outlineLevel="0" collapsed="false">
      <c r="A110" s="5" t="s">
        <v>156</v>
      </c>
      <c r="B110" s="6" t="s">
        <v>157</v>
      </c>
      <c r="C110" s="5"/>
      <c r="D110" s="5"/>
      <c r="E110" s="5"/>
      <c r="F110" s="5"/>
      <c r="G110" s="5"/>
      <c r="H110" s="5"/>
      <c r="I110" s="5" t="s">
        <v>158</v>
      </c>
    </row>
    <row r="111" customFormat="false" ht="31.3" hidden="false" customHeight="false" outlineLevel="0" collapsed="false">
      <c r="A111" s="7" t="s">
        <v>159</v>
      </c>
      <c r="B111" s="7" t="s">
        <v>160</v>
      </c>
      <c r="C111" s="7" t="s">
        <v>16</v>
      </c>
      <c r="D111" s="7" t="n">
        <v>71</v>
      </c>
      <c r="E111" s="9" t="n">
        <v>488.52</v>
      </c>
      <c r="F111" s="9" t="n">
        <f aca="false">ROUND(D111*E111,2)</f>
        <v>34684.92</v>
      </c>
      <c r="G111" s="7" t="n">
        <v>1</v>
      </c>
      <c r="H111" s="9" t="n">
        <f aca="false">F111*G111</f>
        <v>34684.92</v>
      </c>
      <c r="I111" s="7" t="s">
        <v>161</v>
      </c>
    </row>
    <row r="112" customFormat="false" ht="31.3" hidden="false" customHeight="false" outlineLevel="0" collapsed="false">
      <c r="A112" s="7" t="s">
        <v>162</v>
      </c>
      <c r="B112" s="7" t="s">
        <v>163</v>
      </c>
      <c r="C112" s="7" t="s">
        <v>16</v>
      </c>
      <c r="D112" s="7" t="n">
        <v>18</v>
      </c>
      <c r="E112" s="9" t="n">
        <v>1318.63</v>
      </c>
      <c r="F112" s="9" t="n">
        <f aca="false">ROUND(D112*E112,2)</f>
        <v>23735.34</v>
      </c>
      <c r="G112" s="7" t="n">
        <v>1</v>
      </c>
      <c r="H112" s="9" t="n">
        <f aca="false">F112*G112</f>
        <v>23735.34</v>
      </c>
      <c r="I112" s="7" t="s">
        <v>161</v>
      </c>
    </row>
    <row r="113" customFormat="false" ht="31.3" hidden="false" customHeight="false" outlineLevel="0" collapsed="false">
      <c r="A113" s="7" t="s">
        <v>164</v>
      </c>
      <c r="B113" s="7" t="s">
        <v>165</v>
      </c>
      <c r="C113" s="7" t="s">
        <v>16</v>
      </c>
      <c r="D113" s="7" t="n">
        <v>36</v>
      </c>
      <c r="E113" s="9" t="n">
        <v>96.72</v>
      </c>
      <c r="F113" s="9" t="n">
        <f aca="false">ROUND(D113*E113,2)</f>
        <v>3481.92</v>
      </c>
      <c r="G113" s="7" t="n">
        <v>1</v>
      </c>
      <c r="H113" s="9" t="n">
        <f aca="false">F113*G113</f>
        <v>3481.92</v>
      </c>
      <c r="I113" s="7" t="s">
        <v>161</v>
      </c>
    </row>
    <row r="114" customFormat="false" ht="31.3" hidden="false" customHeight="false" outlineLevel="0" collapsed="false">
      <c r="A114" s="7" t="s">
        <v>166</v>
      </c>
      <c r="B114" s="7" t="s">
        <v>167</v>
      </c>
      <c r="C114" s="7" t="s">
        <v>16</v>
      </c>
      <c r="D114" s="7" t="n">
        <v>6</v>
      </c>
      <c r="E114" s="9" t="n">
        <v>318.03</v>
      </c>
      <c r="F114" s="9" t="n">
        <f aca="false">ROUND(D114*E114,2)</f>
        <v>1908.18</v>
      </c>
      <c r="G114" s="7" t="n">
        <v>1</v>
      </c>
      <c r="H114" s="9" t="n">
        <f aca="false">F114*G114</f>
        <v>1908.18</v>
      </c>
      <c r="I114" s="7" t="s">
        <v>161</v>
      </c>
    </row>
    <row r="115" customFormat="false" ht="31.3" hidden="false" customHeight="false" outlineLevel="0" collapsed="false">
      <c r="A115" s="7" t="s">
        <v>168</v>
      </c>
      <c r="B115" s="7" t="s">
        <v>169</v>
      </c>
      <c r="C115" s="7" t="s">
        <v>16</v>
      </c>
      <c r="D115" s="7" t="n">
        <v>3</v>
      </c>
      <c r="E115" s="9" t="n">
        <v>936</v>
      </c>
      <c r="F115" s="9" t="n">
        <f aca="false">ROUND(D115*E115,2)</f>
        <v>2808</v>
      </c>
      <c r="G115" s="7" t="n">
        <v>1</v>
      </c>
      <c r="H115" s="9" t="n">
        <f aca="false">F115*G115</f>
        <v>2808</v>
      </c>
      <c r="I115" s="7" t="s">
        <v>161</v>
      </c>
    </row>
    <row r="116" customFormat="false" ht="31.3" hidden="false" customHeight="false" outlineLevel="0" collapsed="false">
      <c r="A116" s="7" t="s">
        <v>170</v>
      </c>
      <c r="B116" s="7" t="s">
        <v>171</v>
      </c>
      <c r="C116" s="7" t="s">
        <v>16</v>
      </c>
      <c r="D116" s="7" t="n">
        <v>9</v>
      </c>
      <c r="E116" s="9" t="n">
        <v>727.87</v>
      </c>
      <c r="F116" s="9" t="n">
        <f aca="false">ROUND(D116*E116,2)</f>
        <v>6550.83</v>
      </c>
      <c r="G116" s="7" t="n">
        <v>1</v>
      </c>
      <c r="H116" s="9" t="n">
        <f aca="false">F116*G116</f>
        <v>6550.83</v>
      </c>
      <c r="I116" s="7" t="s">
        <v>161</v>
      </c>
    </row>
    <row r="117" customFormat="false" ht="31.3" hidden="false" customHeight="false" outlineLevel="0" collapsed="false">
      <c r="A117" s="7" t="s">
        <v>172</v>
      </c>
      <c r="B117" s="7" t="s">
        <v>173</v>
      </c>
      <c r="C117" s="7" t="s">
        <v>16</v>
      </c>
      <c r="D117" s="7" t="n">
        <v>4</v>
      </c>
      <c r="E117" s="9" t="n">
        <v>291.8</v>
      </c>
      <c r="F117" s="9" t="n">
        <f aca="false">ROUND(D117*E117,2)</f>
        <v>1167.2</v>
      </c>
      <c r="G117" s="7" t="n">
        <v>1</v>
      </c>
      <c r="H117" s="9" t="n">
        <f aca="false">F117*G117</f>
        <v>1167.2</v>
      </c>
      <c r="I117" s="7" t="s">
        <v>161</v>
      </c>
    </row>
    <row r="118" customFormat="false" ht="31.3" hidden="false" customHeight="false" outlineLevel="0" collapsed="false">
      <c r="A118" s="7" t="s">
        <v>174</v>
      </c>
      <c r="B118" s="7" t="s">
        <v>175</v>
      </c>
      <c r="C118" s="7" t="s">
        <v>16</v>
      </c>
      <c r="D118" s="7" t="n">
        <v>4</v>
      </c>
      <c r="E118" s="9" t="n">
        <v>289.65</v>
      </c>
      <c r="F118" s="9" t="n">
        <f aca="false">ROUND(D118*E118,2)</f>
        <v>1158.6</v>
      </c>
      <c r="G118" s="7" t="n">
        <v>1</v>
      </c>
      <c r="H118" s="9" t="n">
        <f aca="false">F118*G118</f>
        <v>1158.6</v>
      </c>
      <c r="I118" s="7" t="s">
        <v>161</v>
      </c>
    </row>
    <row r="119" customFormat="false" ht="31.3" hidden="false" customHeight="false" outlineLevel="0" collapsed="false">
      <c r="A119" s="7" t="s">
        <v>176</v>
      </c>
      <c r="B119" s="7" t="s">
        <v>177</v>
      </c>
      <c r="C119" s="7" t="s">
        <v>16</v>
      </c>
      <c r="D119" s="7" t="n">
        <v>10</v>
      </c>
      <c r="E119" s="9" t="n">
        <v>1649.18</v>
      </c>
      <c r="F119" s="9" t="n">
        <f aca="false">ROUND(D119*E119,2)</f>
        <v>16491.8</v>
      </c>
      <c r="G119" s="7" t="n">
        <v>1</v>
      </c>
      <c r="H119" s="9" t="n">
        <f aca="false">F119*G119</f>
        <v>16491.8</v>
      </c>
      <c r="I119" s="7" t="s">
        <v>161</v>
      </c>
    </row>
    <row r="120" customFormat="false" ht="31.3" hidden="false" customHeight="false" outlineLevel="0" collapsed="false">
      <c r="A120" s="7" t="s">
        <v>178</v>
      </c>
      <c r="B120" s="7" t="s">
        <v>179</v>
      </c>
      <c r="C120" s="7" t="s">
        <v>16</v>
      </c>
      <c r="D120" s="7" t="n">
        <v>5</v>
      </c>
      <c r="E120" s="9" t="n">
        <v>3001.64</v>
      </c>
      <c r="F120" s="9" t="n">
        <f aca="false">ROUND(D120*E120,2)</f>
        <v>15008.2</v>
      </c>
      <c r="G120" s="7" t="n">
        <v>1</v>
      </c>
      <c r="H120" s="9" t="n">
        <f aca="false">F120*G120</f>
        <v>15008.2</v>
      </c>
      <c r="I120" s="7" t="s">
        <v>161</v>
      </c>
    </row>
    <row r="121" customFormat="false" ht="31.3" hidden="false" customHeight="false" outlineLevel="0" collapsed="false">
      <c r="A121" s="7" t="s">
        <v>180</v>
      </c>
      <c r="B121" s="7" t="s">
        <v>181</v>
      </c>
      <c r="C121" s="7" t="s">
        <v>16</v>
      </c>
      <c r="D121" s="7" t="n">
        <v>3</v>
      </c>
      <c r="E121" s="9" t="n">
        <v>3952.46</v>
      </c>
      <c r="F121" s="9" t="n">
        <f aca="false">ROUND(D121*E121,2)</f>
        <v>11857.38</v>
      </c>
      <c r="G121" s="7" t="n">
        <v>1</v>
      </c>
      <c r="H121" s="9" t="n">
        <f aca="false">F121*G121</f>
        <v>11857.38</v>
      </c>
      <c r="I121" s="7" t="s">
        <v>161</v>
      </c>
    </row>
    <row r="122" customFormat="false" ht="31.3" hidden="false" customHeight="false" outlineLevel="0" collapsed="false">
      <c r="A122" s="7" t="s">
        <v>182</v>
      </c>
      <c r="B122" s="7" t="s">
        <v>183</v>
      </c>
      <c r="C122" s="7" t="s">
        <v>16</v>
      </c>
      <c r="D122" s="7" t="n">
        <v>2</v>
      </c>
      <c r="E122" s="9" t="n">
        <v>10876.77</v>
      </c>
      <c r="F122" s="9" t="n">
        <f aca="false">ROUND(D122*E122,2)</f>
        <v>21753.54</v>
      </c>
      <c r="G122" s="7" t="n">
        <v>1</v>
      </c>
      <c r="H122" s="9" t="n">
        <f aca="false">F122*G122</f>
        <v>21753.54</v>
      </c>
      <c r="I122" s="7" t="s">
        <v>161</v>
      </c>
    </row>
    <row r="123" customFormat="false" ht="31.3" hidden="false" customHeight="false" outlineLevel="0" collapsed="false">
      <c r="A123" s="7" t="s">
        <v>184</v>
      </c>
      <c r="B123" s="7" t="s">
        <v>185</v>
      </c>
      <c r="C123" s="7" t="s">
        <v>16</v>
      </c>
      <c r="D123" s="7" t="n">
        <v>2</v>
      </c>
      <c r="E123" s="9" t="n">
        <v>5504.2</v>
      </c>
      <c r="F123" s="9" t="n">
        <f aca="false">ROUND(D123*E123,2)</f>
        <v>11008.4</v>
      </c>
      <c r="G123" s="7" t="n">
        <v>1</v>
      </c>
      <c r="H123" s="9" t="n">
        <f aca="false">F123*G123</f>
        <v>11008.4</v>
      </c>
      <c r="I123" s="7" t="s">
        <v>161</v>
      </c>
    </row>
    <row r="124" customFormat="false" ht="31.3" hidden="false" customHeight="false" outlineLevel="0" collapsed="false">
      <c r="A124" s="7" t="s">
        <v>186</v>
      </c>
      <c r="B124" s="7" t="s">
        <v>187</v>
      </c>
      <c r="C124" s="7" t="s">
        <v>139</v>
      </c>
      <c r="D124" s="7" t="n">
        <v>263</v>
      </c>
      <c r="E124" s="9" t="n">
        <v>29.48</v>
      </c>
      <c r="F124" s="9" t="n">
        <f aca="false">ROUND(D124*E124,2)</f>
        <v>7753.24</v>
      </c>
      <c r="G124" s="7" t="n">
        <v>1</v>
      </c>
      <c r="H124" s="9" t="n">
        <f aca="false">F124*G124</f>
        <v>7753.24</v>
      </c>
      <c r="I124" s="7" t="s">
        <v>161</v>
      </c>
    </row>
    <row r="125" customFormat="false" ht="31.3" hidden="false" customHeight="false" outlineLevel="0" collapsed="false">
      <c r="A125" s="7" t="s">
        <v>188</v>
      </c>
      <c r="B125" s="7" t="s">
        <v>189</v>
      </c>
      <c r="C125" s="7" t="s">
        <v>16</v>
      </c>
      <c r="D125" s="7" t="n">
        <v>4</v>
      </c>
      <c r="E125" s="9" t="n">
        <v>659.02</v>
      </c>
      <c r="F125" s="9" t="n">
        <f aca="false">ROUND(D125*E125,2)</f>
        <v>2636.08</v>
      </c>
      <c r="G125" s="7" t="n">
        <v>1</v>
      </c>
      <c r="H125" s="9" t="n">
        <f aca="false">F125*G125</f>
        <v>2636.08</v>
      </c>
      <c r="I125" s="7" t="s">
        <v>161</v>
      </c>
    </row>
    <row r="126" customFormat="false" ht="31.3" hidden="false" customHeight="false" outlineLevel="0" collapsed="false">
      <c r="A126" s="7" t="s">
        <v>190</v>
      </c>
      <c r="B126" s="7" t="s">
        <v>191</v>
      </c>
      <c r="C126" s="7" t="s">
        <v>16</v>
      </c>
      <c r="D126" s="7" t="n">
        <v>10</v>
      </c>
      <c r="E126" s="9" t="n">
        <v>413.11</v>
      </c>
      <c r="F126" s="9" t="n">
        <f aca="false">ROUND(D126*E126,2)</f>
        <v>4131.1</v>
      </c>
      <c r="G126" s="7" t="n">
        <v>1</v>
      </c>
      <c r="H126" s="9" t="n">
        <f aca="false">F126*G126</f>
        <v>4131.1</v>
      </c>
      <c r="I126" s="7" t="s">
        <v>161</v>
      </c>
    </row>
    <row r="127" customFormat="false" ht="31.3" hidden="false" customHeight="false" outlineLevel="0" collapsed="false">
      <c r="A127" s="7" t="s">
        <v>192</v>
      </c>
      <c r="B127" s="7" t="s">
        <v>193</v>
      </c>
      <c r="C127" s="7" t="s">
        <v>16</v>
      </c>
      <c r="D127" s="7" t="n">
        <v>5</v>
      </c>
      <c r="E127" s="9" t="n">
        <v>242.62</v>
      </c>
      <c r="F127" s="9" t="n">
        <f aca="false">ROUND(D127*E127,2)</f>
        <v>1213.1</v>
      </c>
      <c r="G127" s="7" t="n">
        <v>1</v>
      </c>
      <c r="H127" s="9" t="n">
        <f aca="false">F127*G127</f>
        <v>1213.1</v>
      </c>
      <c r="I127" s="7" t="s">
        <v>161</v>
      </c>
    </row>
    <row r="128" customFormat="false" ht="15" hidden="false" customHeight="false" outlineLevel="0" collapsed="false">
      <c r="A128" s="6"/>
      <c r="B128" s="6" t="s">
        <v>194</v>
      </c>
      <c r="C128" s="6"/>
      <c r="D128" s="6"/>
      <c r="E128" s="6"/>
      <c r="F128" s="6"/>
      <c r="G128" s="6"/>
      <c r="H128" s="13" t="n">
        <f aca="false">SUM(H111:H127)</f>
        <v>167347.83</v>
      </c>
      <c r="I128" s="6"/>
    </row>
    <row r="130" customFormat="false" ht="15" hidden="false" customHeight="false" outlineLevel="0" collapsed="false">
      <c r="A130" s="10"/>
      <c r="B130" s="14" t="s">
        <v>195</v>
      </c>
      <c r="C130" s="10"/>
      <c r="D130" s="10"/>
      <c r="E130" s="10"/>
      <c r="F130" s="10"/>
      <c r="G130" s="10"/>
      <c r="H130" s="15" t="n">
        <f aca="false">H100+H108+H128</f>
        <v>19272114.99</v>
      </c>
      <c r="I130" s="10"/>
    </row>
    <row r="131" customFormat="false" ht="15" hidden="false" customHeight="false" outlineLevel="0" collapsed="false">
      <c r="A131" s="10"/>
      <c r="B131" s="14" t="s">
        <v>196</v>
      </c>
      <c r="C131" s="10"/>
      <c r="D131" s="10"/>
      <c r="E131" s="10"/>
      <c r="F131" s="10"/>
      <c r="G131" s="10"/>
      <c r="H131" s="15" t="n">
        <f aca="false">ROUND(H130*0.22,2)</f>
        <v>4239865.3</v>
      </c>
      <c r="I131" s="10"/>
    </row>
    <row r="132" customFormat="false" ht="15" hidden="false" customHeight="false" outlineLevel="0" collapsed="false">
      <c r="A132" s="10"/>
      <c r="B132" s="14" t="s">
        <v>197</v>
      </c>
      <c r="C132" s="10"/>
      <c r="D132" s="10"/>
      <c r="E132" s="10"/>
      <c r="F132" s="10"/>
      <c r="G132" s="10"/>
      <c r="H132" s="15" t="n">
        <f aca="false">H130+H131</f>
        <v>23511980.29</v>
      </c>
      <c r="I132" s="10"/>
    </row>
    <row r="133" customFormat="false" ht="15" hidden="false" customHeight="false" outlineLevel="0" collapsed="false">
      <c r="B133" s="0" t="s">
        <v>198</v>
      </c>
      <c r="F133" s="16" t="n">
        <f aca="false">F100</f>
        <v>1491515.18</v>
      </c>
      <c r="H133" s="16" t="n">
        <f aca="false">ROUND(F100*1.22,2)</f>
        <v>1819648.52</v>
      </c>
    </row>
    <row r="135" customFormat="false" ht="30" hidden="false" customHeight="true" outlineLevel="0" collapsed="false">
      <c r="B135" s="2" t="s">
        <v>199</v>
      </c>
      <c r="C135" s="2"/>
      <c r="D135" s="2"/>
      <c r="E135" s="2"/>
      <c r="F135" s="2"/>
      <c r="G135" s="2"/>
      <c r="H135" s="2"/>
      <c r="I135" s="2"/>
    </row>
    <row r="136" customFormat="false" ht="30" hidden="false" customHeight="true" outlineLevel="0" collapsed="false">
      <c r="B136" s="2" t="s">
        <v>200</v>
      </c>
      <c r="C136" s="2"/>
      <c r="D136" s="2"/>
      <c r="E136" s="2"/>
      <c r="F136" s="2"/>
      <c r="G136" s="2"/>
      <c r="H136" s="2"/>
      <c r="I136" s="2"/>
    </row>
    <row r="137" customFormat="false" ht="30" hidden="false" customHeight="true" outlineLevel="0" collapsed="false">
      <c r="B137" s="2" t="s">
        <v>201</v>
      </c>
      <c r="C137" s="2"/>
      <c r="D137" s="2"/>
      <c r="E137" s="2"/>
      <c r="F137" s="2"/>
      <c r="G137" s="2"/>
      <c r="H137" s="2"/>
      <c r="I137" s="2"/>
    </row>
    <row r="138" customFormat="false" ht="30" hidden="false" customHeight="true" outlineLevel="0" collapsed="false">
      <c r="B138" s="2" t="s">
        <v>202</v>
      </c>
      <c r="C138" s="2"/>
      <c r="D138" s="2"/>
      <c r="E138" s="2"/>
      <c r="F138" s="2"/>
      <c r="G138" s="2"/>
      <c r="H138" s="2"/>
      <c r="I138" s="2"/>
    </row>
    <row r="139" customFormat="false" ht="30" hidden="false" customHeight="true" outlineLevel="0" collapsed="false">
      <c r="B139" s="2" t="s">
        <v>203</v>
      </c>
      <c r="C139" s="2"/>
      <c r="D139" s="2"/>
      <c r="E139" s="2"/>
      <c r="F139" s="2"/>
      <c r="G139" s="2"/>
      <c r="H139" s="2"/>
      <c r="I139" s="2"/>
    </row>
    <row r="141" customFormat="false" ht="15" hidden="false" customHeight="false" outlineLevel="0" collapsed="false">
      <c r="B141" s="0" t="s">
        <v>204</v>
      </c>
    </row>
    <row r="142" customFormat="false" ht="15" hidden="false" customHeight="false" outlineLevel="0" collapsed="false">
      <c r="B142" s="17" t="s">
        <v>205</v>
      </c>
    </row>
  </sheetData>
  <mergeCells count="6">
    <mergeCell ref="A2:I2"/>
    <mergeCell ref="B135:I135"/>
    <mergeCell ref="B136:I136"/>
    <mergeCell ref="B137:I137"/>
    <mergeCell ref="B138:I138"/>
    <mergeCell ref="B139:I1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8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8" t="s">
        <v>206</v>
      </c>
    </row>
    <row r="3" customFormat="false" ht="31.3" hidden="false" customHeight="false" outlineLevel="0" collapsed="false">
      <c r="A3" s="19" t="s">
        <v>207</v>
      </c>
      <c r="B3" s="19" t="s">
        <v>208</v>
      </c>
      <c r="C3" s="19" t="s">
        <v>209</v>
      </c>
      <c r="D3" s="19" t="s">
        <v>210</v>
      </c>
      <c r="E3" s="19" t="s">
        <v>196</v>
      </c>
      <c r="F3" s="19" t="s">
        <v>211</v>
      </c>
      <c r="G3" s="19" t="s">
        <v>212</v>
      </c>
    </row>
    <row r="4" customFormat="false" ht="15" hidden="false" customHeight="false" outlineLevel="0" collapsed="false">
      <c r="A4" s="10" t="s">
        <v>213</v>
      </c>
      <c r="B4" s="12" t="n">
        <f aca="false">КП!F100</f>
        <v>1491515.18</v>
      </c>
      <c r="C4" s="12" t="n">
        <v>0</v>
      </c>
      <c r="D4" s="12" t="n">
        <f aca="false">B4+C4</f>
        <v>1491515.18</v>
      </c>
      <c r="E4" s="12" t="n">
        <f aca="false">ROUND(D4*0.22,2)</f>
        <v>328133.34</v>
      </c>
      <c r="F4" s="12" t="n">
        <f aca="false">D4+E4</f>
        <v>1819648.52</v>
      </c>
      <c r="G4" s="10"/>
    </row>
    <row r="5" customFormat="false" ht="15" hidden="false" customHeight="false" outlineLevel="0" collapsed="false">
      <c r="A5" s="10" t="s">
        <v>214</v>
      </c>
      <c r="B5" s="12" t="n">
        <f aca="false">КП!F100</f>
        <v>1491515.18</v>
      </c>
      <c r="C5" s="12" t="n">
        <v>0</v>
      </c>
      <c r="D5" s="12" t="n">
        <f aca="false">B5+C5</f>
        <v>1491515.18</v>
      </c>
      <c r="E5" s="12" t="n">
        <f aca="false">ROUND(D5*0.22,2)</f>
        <v>328133.34</v>
      </c>
      <c r="F5" s="12" t="n">
        <f aca="false">D5+E5</f>
        <v>1819648.52</v>
      </c>
      <c r="G5" s="10"/>
    </row>
    <row r="6" customFormat="false" ht="15" hidden="false" customHeight="false" outlineLevel="0" collapsed="false">
      <c r="A6" s="10" t="s">
        <v>215</v>
      </c>
      <c r="B6" s="12" t="n">
        <f aca="false">КП!F100</f>
        <v>1491515.18</v>
      </c>
      <c r="C6" s="12" t="n">
        <v>0</v>
      </c>
      <c r="D6" s="12" t="n">
        <f aca="false">B6+C6</f>
        <v>1491515.18</v>
      </c>
      <c r="E6" s="12" t="n">
        <f aca="false">ROUND(D6*0.22,2)</f>
        <v>328133.34</v>
      </c>
      <c r="F6" s="12" t="n">
        <f aca="false">D6+E6</f>
        <v>1819648.52</v>
      </c>
      <c r="G6" s="10"/>
    </row>
    <row r="7" customFormat="false" ht="15" hidden="false" customHeight="false" outlineLevel="0" collapsed="false">
      <c r="A7" s="10" t="s">
        <v>216</v>
      </c>
      <c r="B7" s="12" t="n">
        <f aca="false">КП!F100</f>
        <v>1491515.18</v>
      </c>
      <c r="C7" s="12" t="n">
        <v>0</v>
      </c>
      <c r="D7" s="12" t="n">
        <f aca="false">B7+C7</f>
        <v>1491515.18</v>
      </c>
      <c r="E7" s="12" t="n">
        <f aca="false">ROUND(D7*0.22,2)</f>
        <v>328133.34</v>
      </c>
      <c r="F7" s="12" t="n">
        <f aca="false">D7+E7</f>
        <v>1819648.52</v>
      </c>
      <c r="G7" s="10"/>
    </row>
    <row r="8" customFormat="false" ht="15" hidden="false" customHeight="false" outlineLevel="0" collapsed="false">
      <c r="A8" s="10" t="s">
        <v>217</v>
      </c>
      <c r="B8" s="12" t="n">
        <f aca="false">КП!F100</f>
        <v>1491515.18</v>
      </c>
      <c r="C8" s="12" t="n">
        <v>28000</v>
      </c>
      <c r="D8" s="12" t="n">
        <f aca="false">B8+C8</f>
        <v>1519515.18</v>
      </c>
      <c r="E8" s="12" t="n">
        <f aca="false">ROUND(D8*0.22,2)</f>
        <v>334293.34</v>
      </c>
      <c r="F8" s="12" t="n">
        <f aca="false">D8+E8</f>
        <v>1853808.52</v>
      </c>
      <c r="G8" s="10" t="s">
        <v>218</v>
      </c>
    </row>
    <row r="9" customFormat="false" ht="15" hidden="false" customHeight="false" outlineLevel="0" collapsed="false">
      <c r="A9" s="10" t="s">
        <v>219</v>
      </c>
      <c r="B9" s="12" t="n">
        <f aca="false">КП!F100</f>
        <v>1491515.18</v>
      </c>
      <c r="C9" s="12" t="n">
        <v>90425</v>
      </c>
      <c r="D9" s="12" t="n">
        <f aca="false">B9+C9</f>
        <v>1581940.18</v>
      </c>
      <c r="E9" s="12" t="n">
        <f aca="false">ROUND(D9*0.22,2)</f>
        <v>348026.84</v>
      </c>
      <c r="F9" s="12" t="n">
        <f aca="false">D9+E9</f>
        <v>1929967.02</v>
      </c>
      <c r="G9" s="10" t="s">
        <v>220</v>
      </c>
    </row>
    <row r="10" customFormat="false" ht="15" hidden="false" customHeight="false" outlineLevel="0" collapsed="false">
      <c r="A10" s="10" t="s">
        <v>221</v>
      </c>
      <c r="B10" s="12" t="n">
        <f aca="false">КП!F100</f>
        <v>1491515.18</v>
      </c>
      <c r="C10" s="12" t="n">
        <v>478080</v>
      </c>
      <c r="D10" s="12" t="n">
        <f aca="false">B10+C10</f>
        <v>1969595.18</v>
      </c>
      <c r="E10" s="12" t="n">
        <f aca="false">ROUND(D10*0.22,2)</f>
        <v>433310.94</v>
      </c>
      <c r="F10" s="12" t="n">
        <f aca="false">D10+E10</f>
        <v>2402906.12</v>
      </c>
      <c r="G10" s="10" t="s">
        <v>222</v>
      </c>
    </row>
    <row r="11" customFormat="false" ht="15" hidden="false" customHeight="false" outlineLevel="0" collapsed="false">
      <c r="A11" s="10" t="s">
        <v>223</v>
      </c>
      <c r="B11" s="12" t="n">
        <f aca="false">КП!F100</f>
        <v>1491515.18</v>
      </c>
      <c r="C11" s="12" t="n">
        <v>610080</v>
      </c>
      <c r="D11" s="12" t="n">
        <f aca="false">B11+C11</f>
        <v>2101595.18</v>
      </c>
      <c r="E11" s="12" t="n">
        <f aca="false">ROUND(D11*0.22,2)</f>
        <v>462350.94</v>
      </c>
      <c r="F11" s="12" t="n">
        <f aca="false">D11+E11</f>
        <v>2563946.12</v>
      </c>
      <c r="G11" s="10" t="s">
        <v>224</v>
      </c>
    </row>
    <row r="12" customFormat="false" ht="15" hidden="false" customHeight="false" outlineLevel="0" collapsed="false">
      <c r="A12" s="10" t="s">
        <v>225</v>
      </c>
      <c r="B12" s="12" t="n">
        <f aca="false">КП!F100</f>
        <v>1491515.18</v>
      </c>
      <c r="C12" s="12" t="n">
        <v>0</v>
      </c>
      <c r="D12" s="12" t="n">
        <f aca="false">B12+C12</f>
        <v>1491515.18</v>
      </c>
      <c r="E12" s="12" t="n">
        <f aca="false">ROUND(D12*0.22,2)</f>
        <v>328133.34</v>
      </c>
      <c r="F12" s="12" t="n">
        <f aca="false">D12+E12</f>
        <v>1819648.52</v>
      </c>
      <c r="G12" s="10"/>
    </row>
    <row r="13" customFormat="false" ht="15" hidden="false" customHeight="false" outlineLevel="0" collapsed="false">
      <c r="A13" s="10" t="s">
        <v>226</v>
      </c>
      <c r="B13" s="12" t="n">
        <f aca="false">КП!F100</f>
        <v>1491515.18</v>
      </c>
      <c r="C13" s="12" t="n">
        <v>0</v>
      </c>
      <c r="D13" s="12" t="n">
        <f aca="false">B13+C13</f>
        <v>1491515.18</v>
      </c>
      <c r="E13" s="12" t="n">
        <f aca="false">ROUND(D13*0.22,2)</f>
        <v>328133.34</v>
      </c>
      <c r="F13" s="12" t="n">
        <f aca="false">D13+E13</f>
        <v>1819648.52</v>
      </c>
      <c r="G13" s="10"/>
    </row>
    <row r="14" customFormat="false" ht="15" hidden="false" customHeight="false" outlineLevel="0" collapsed="false">
      <c r="A14" s="10" t="s">
        <v>227</v>
      </c>
      <c r="B14" s="12" t="n">
        <f aca="false">КП!F100</f>
        <v>1491515.18</v>
      </c>
      <c r="C14" s="12" t="n">
        <v>0</v>
      </c>
      <c r="D14" s="12" t="n">
        <f aca="false">B14+C14</f>
        <v>1491515.18</v>
      </c>
      <c r="E14" s="12" t="n">
        <f aca="false">ROUND(D14*0.22,2)</f>
        <v>328133.34</v>
      </c>
      <c r="F14" s="12" t="n">
        <f aca="false">D14+E14</f>
        <v>1819648.52</v>
      </c>
      <c r="G14" s="10"/>
    </row>
    <row r="15" customFormat="false" ht="15" hidden="false" customHeight="false" outlineLevel="0" collapsed="false">
      <c r="A15" s="10" t="s">
        <v>228</v>
      </c>
      <c r="B15" s="12" t="n">
        <f aca="false">КП!F100</f>
        <v>1491515.18</v>
      </c>
      <c r="C15" s="12" t="n">
        <v>0</v>
      </c>
      <c r="D15" s="12" t="n">
        <f aca="false">B15+C15</f>
        <v>1491515.18</v>
      </c>
      <c r="E15" s="12" t="n">
        <f aca="false">ROUND(D15*0.22,2)</f>
        <v>328133.34</v>
      </c>
      <c r="F15" s="12" t="n">
        <f aca="false">D15+E15</f>
        <v>1819648.52</v>
      </c>
      <c r="G15" s="10"/>
    </row>
    <row r="16" customFormat="false" ht="15" hidden="false" customHeight="false" outlineLevel="0" collapsed="false">
      <c r="A16" s="20" t="s">
        <v>229</v>
      </c>
      <c r="B16" s="21" t="n">
        <f aca="false">SUM(B4:B15)</f>
        <v>17898182.16</v>
      </c>
      <c r="C16" s="21" t="n">
        <f aca="false">SUM(C4:C15)</f>
        <v>1206585</v>
      </c>
      <c r="D16" s="21" t="n">
        <f aca="false">SUM(D4:D15)</f>
        <v>19104767.16</v>
      </c>
      <c r="E16" s="21" t="n">
        <f aca="false">SUM(E4:E15)</f>
        <v>4203048.78</v>
      </c>
      <c r="F16" s="21" t="n">
        <f aca="false">SUM(F4:F15)</f>
        <v>23307815.94</v>
      </c>
    </row>
    <row r="18" customFormat="false" ht="15" hidden="false" customHeight="false" outlineLevel="0" collapsed="false">
      <c r="A18" s="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2026-10-28T10:21:44Z</dcterms:created>
  <dc:creator>openpyxl</dc:creator>
  <dc:description/>
  <dc:language>en-US</dc:language>
  <cp:lastModifiedBy/>
  <dcterms:modified xsi:type="dcterms:W3CDTF">2026-10-28T10:21:44Z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