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" sheetId="1" state="visible" r:id="rId1"/>
    <sheet xmlns:r="http://schemas.openxmlformats.org/officeDocument/2006/relationships" name="Свод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Косвенные" sheetId="5" state="visible" r:id="rId5"/>
    <sheet xmlns:r="http://schemas.openxmlformats.org/officeDocument/2006/relationships" name="Риски и вопросы" sheetId="6" state="visible" r:id="rId6"/>
    <sheet xmlns:r="http://schemas.openxmlformats.org/officeDocument/2006/relationships" name="Цены материалов (источники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АГМ, ограждение склада Р70, 389-785</t>
        </is>
      </c>
    </row>
    <row r="3">
      <c r="A3" s="2" t="inlineStr">
        <is>
          <t>Заказчик</t>
        </is>
      </c>
      <c r="B3" t="inlineStr">
        <is>
          <t>ООО «АГМ», завод, Санкт-Петербург</t>
        </is>
      </c>
    </row>
    <row r="4">
      <c r="A4" s="2" t="inlineStr">
        <is>
          <t>Объект</t>
        </is>
      </c>
      <c r="B4" t="inlineStr">
        <is>
          <t>Склад хозимущества Р70, под трансформаторной</t>
        </is>
      </c>
    </row>
    <row r="5">
      <c r="A5" s="2" t="inlineStr">
        <is>
          <t>Номер</t>
        </is>
      </c>
      <c r="B5" t="inlineStr">
        <is>
          <t>389-785, Bidzaar, сделка 1816</t>
        </is>
      </c>
    </row>
    <row r="6">
      <c r="A6" s="2" t="inlineStr">
        <is>
          <t>Предмет</t>
        </is>
      </c>
      <c r="B6" t="inlineStr">
        <is>
          <t>Ограждение: демонтаж сетки, каркас 60×60 RAL 7035, дверь, переделка секций</t>
        </is>
      </c>
    </row>
    <row r="7">
      <c r="A7" s="2" t="inlineStr">
        <is>
          <t>Регион цены</t>
        </is>
      </c>
      <c r="B7" t="inlineStr">
        <is>
          <t>Санкт-Петербург, колонки H и L тарификатора</t>
        </is>
      </c>
    </row>
    <row r="8">
      <c r="A8" s="2" t="inlineStr">
        <is>
          <t>НМЦК</t>
        </is>
      </c>
      <c r="B8" t="inlineStr">
        <is>
          <t>не указана</t>
        </is>
      </c>
    </row>
    <row r="9">
      <c r="A9" s="2" t="inlineStr">
        <is>
          <t>Оплата</t>
        </is>
      </c>
      <c r="B9" t="inlineStr">
        <is>
          <t>100 % через 30 календарных дней после выполнения, аванса нет</t>
        </is>
      </c>
    </row>
    <row r="10">
      <c r="A10" s="2" t="inlineStr">
        <is>
          <t>Тип тендера</t>
        </is>
      </c>
      <c r="B10" t="inlineStr">
        <is>
          <t>Крупные сети и девелоперы — конкурентный тендер (в справочнике есть объекты АГМ)</t>
        </is>
      </c>
    </row>
    <row r="11">
      <c r="A11" s="2" t="inlineStr">
        <is>
          <t>Срок подачи</t>
        </is>
      </c>
      <c r="B11" t="inlineStr">
        <is>
          <t>2026-11-03 12:00 Москва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АГМ, ограждение склада Р70, 389-785</t>
        </is>
      </c>
    </row>
    <row r="3">
      <c r="A3" s="2" t="inlineStr">
        <is>
          <t>Материалы, с/с</t>
        </is>
      </c>
      <c r="B3" s="3" t="n">
        <v>50065.58706240001</v>
      </c>
    </row>
    <row r="4">
      <c r="A4" s="2" t="inlineStr">
        <is>
          <t>Оплата бригадам</t>
        </is>
      </c>
      <c r="B4" s="3" t="n">
        <v>102621.2</v>
      </c>
    </row>
    <row r="5">
      <c r="A5" s="2" t="inlineStr">
        <is>
          <t>Расходники</t>
        </is>
      </c>
      <c r="B5" s="3" t="n">
        <v>3078.636</v>
      </c>
    </row>
    <row r="6">
      <c r="A6" s="2" t="inlineStr">
        <is>
          <t>Прочие косвенные без резервов</t>
        </is>
      </c>
      <c r="B6" s="3" t="n">
        <v>6000</v>
      </c>
    </row>
    <row r="7">
      <c r="A7" s="2" t="inlineStr">
        <is>
          <t>Резерв гарантии 1,5 %</t>
        </is>
      </c>
      <c r="B7" s="3" t="n">
        <v>2426.481345936</v>
      </c>
    </row>
    <row r="8">
      <c r="A8" s="2" t="inlineStr">
        <is>
          <t>Резерв рисков 3 %</t>
        </is>
      </c>
      <c r="B8" s="3" t="n">
        <v>4852.962691872001</v>
      </c>
    </row>
    <row r="9">
      <c r="A9" s="2" t="inlineStr">
        <is>
          <t>Полная себестоимость</t>
        </is>
      </c>
      <c r="B9" s="3" t="n">
        <v>169044.867100208</v>
      </c>
    </row>
    <row r="10">
      <c r="A10" s="2" t="inlineStr">
        <is>
          <t>КП работы</t>
        </is>
      </c>
      <c r="B10" s="3" t="n">
        <v>177794</v>
      </c>
    </row>
    <row r="11">
      <c r="A11" s="2" t="inlineStr">
        <is>
          <t>КП материалы</t>
        </is>
      </c>
      <c r="B11" s="3" t="n">
        <v>52588.25588544001</v>
      </c>
    </row>
    <row r="12">
      <c r="A12" s="2" t="inlineStr">
        <is>
          <t>КП без НДС</t>
        </is>
      </c>
      <c r="B12" s="3" t="n">
        <v>230382.25588544</v>
      </c>
    </row>
    <row r="13">
      <c r="A13" s="2" t="inlineStr">
        <is>
          <t>НДС 22 %</t>
        </is>
      </c>
      <c r="B13" s="3" t="n">
        <v>50684.0962947968</v>
      </c>
    </row>
    <row r="14">
      <c r="A14" s="2" t="inlineStr">
        <is>
          <t>КП с НДС</t>
        </is>
      </c>
      <c r="B14" s="3" t="n">
        <v>281066.3521802368</v>
      </c>
    </row>
    <row r="15">
      <c r="A15" s="2" t="inlineStr">
        <is>
          <t>Наценка на полную с/с</t>
        </is>
      </c>
      <c r="B15" s="4" t="n">
        <v>0.3628467982341743</v>
      </c>
    </row>
    <row r="16">
      <c r="A16" s="2" t="inlineStr">
        <is>
          <t>Маржа</t>
        </is>
      </c>
      <c r="B16" s="4" t="n">
        <v>0.2662418099410081</v>
      </c>
    </row>
    <row r="17">
      <c r="A17" s="2" t="inlineStr">
        <is>
          <t>Тип тендера</t>
        </is>
      </c>
      <c r="B17" t="inlineStr">
        <is>
          <t>Крупные сети — конкурентный, цель 30–40 %</t>
        </is>
      </c>
    </row>
    <row r="18">
      <c r="A18" s="2" t="inlineStr">
        <is>
          <t>НМЦК</t>
        </is>
      </c>
      <c r="B18" t="inlineStr">
        <is>
          <t>не указана</t>
        </is>
      </c>
    </row>
    <row r="22">
      <c r="A22" t="inlineStr">
        <is>
          <t>Сценарий переторжки −5 %: маржа</t>
        </is>
      </c>
      <c r="B22" s="4" t="n">
        <v>0.22762295783264</v>
      </c>
    </row>
    <row r="23">
      <c r="A23" t="inlineStr">
        <is>
          <t>Сценарий переторжки −10 %: маржа</t>
        </is>
      </c>
      <c r="B23" s="4" t="n">
        <v>0.1847131221566756</v>
      </c>
    </row>
    <row r="24">
      <c r="A24" t="inlineStr">
        <is>
          <t>Минимальная цена при наценке 15 %</t>
        </is>
      </c>
      <c r="B24" s="3" t="n">
        <v>194401.5971652392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8" customWidth="1" min="4" max="4"/>
    <col width="8" customWidth="1" min="5" max="5"/>
    <col width="12" customWidth="1" min="6" max="6"/>
    <col width="14" customWidth="1" min="7" max="7"/>
    <col width="16" customWidth="1" min="8" max="8"/>
    <col width="16" customWidth="1" min="9" max="9"/>
    <col width="16" customWidth="1" min="10" max="10"/>
    <col width="8" customWidth="1" min="11" max="11"/>
  </cols>
  <sheetData>
    <row r="1" ht="32" customHeight="1">
      <c r="A1" s="5" t="inlineStr">
        <is>
          <t>№</t>
        </is>
      </c>
      <c r="B1" s="5" t="inlineStr">
        <is>
          <t>Позиция формы</t>
        </is>
      </c>
      <c r="C1" s="5" t="inlineStr">
        <is>
          <t>Артикул</t>
        </is>
      </c>
      <c r="D1" s="5" t="inlineStr">
        <is>
          <t>Метка</t>
        </is>
      </c>
      <c r="E1" s="5" t="inlineStr">
        <is>
          <t>Ед.</t>
        </is>
      </c>
      <c r="F1" s="5" t="inlineStr">
        <is>
          <t>Объём</t>
        </is>
      </c>
      <c r="G1" s="5" t="inlineStr">
        <is>
          <t>Цена КП</t>
        </is>
      </c>
      <c r="H1" s="5" t="inlineStr">
        <is>
          <t>Оплата бригаде</t>
        </is>
      </c>
      <c r="I1" s="5" t="inlineStr">
        <is>
          <t>Сумма КП</t>
        </is>
      </c>
      <c r="J1" s="5" t="inlineStr">
        <is>
          <t>Сумма бригаде</t>
        </is>
      </c>
      <c r="K1" s="5" t="inlineStr">
        <is>
          <t>Код</t>
        </is>
      </c>
    </row>
    <row r="2">
      <c r="A2" s="6" t="n">
        <v>1</v>
      </c>
      <c r="B2" s="6" t="inlineStr">
        <is>
          <t>Демонтаж секции сетки 1000×1560</t>
        </is>
      </c>
      <c r="C2" s="6" t="inlineStr">
        <is>
          <t>11.1.4</t>
        </is>
      </c>
      <c r="D2" s="6" t="inlineStr">
        <is>
          <t>аналог</t>
        </is>
      </c>
      <c r="E2" s="6" t="inlineStr">
        <is>
          <t>секция</t>
        </is>
      </c>
      <c r="F2" s="6" t="n">
        <v>1</v>
      </c>
      <c r="G2" s="7" t="n">
        <v>450</v>
      </c>
      <c r="H2" s="7" t="n">
        <v>280</v>
      </c>
      <c r="I2" s="7">
        <f>F2*G2</f>
        <v/>
      </c>
      <c r="J2" s="7">
        <f>F2*H2</f>
        <v/>
      </c>
      <c r="K2" s="6" t="inlineStr">
        <is>
          <t>SVA</t>
        </is>
      </c>
    </row>
    <row r="3">
      <c r="A3" s="6" t="n">
        <v>2</v>
      </c>
      <c r="B3" s="6" t="inlineStr">
        <is>
          <t>Каркас 60×60, изготовление и монтаж</t>
        </is>
      </c>
      <c r="C3" s="6" t="inlineStr">
        <is>
          <t>5.1.15</t>
        </is>
      </c>
      <c r="D3" s="6" t="inlineStr">
        <is>
          <t>аналог</t>
        </is>
      </c>
      <c r="E3" s="6" t="inlineStr">
        <is>
          <t>мп</t>
        </is>
      </c>
      <c r="F3" s="6" t="n">
        <v>87.04000000000001</v>
      </c>
      <c r="G3" s="7" t="n">
        <v>1600</v>
      </c>
      <c r="H3" s="7" t="n">
        <v>930</v>
      </c>
      <c r="I3" s="7">
        <f>F3*G3</f>
        <v/>
      </c>
      <c r="J3" s="7">
        <f>F3*H3</f>
        <v/>
      </c>
      <c r="K3" s="6" t="inlineStr">
        <is>
          <t>SVA</t>
        </is>
      </c>
    </row>
    <row r="4">
      <c r="A4" s="6" t="n">
        <v>3</v>
      </c>
      <c r="B4" s="6" t="inlineStr">
        <is>
          <t>Каркас двери</t>
        </is>
      </c>
      <c r="C4" s="6" t="inlineStr">
        <is>
          <t>5.1.15</t>
        </is>
      </c>
      <c r="D4" s="6" t="inlineStr">
        <is>
          <t>аналог</t>
        </is>
      </c>
      <c r="E4" s="6" t="inlineStr">
        <is>
          <t>мп</t>
        </is>
      </c>
      <c r="F4" s="6" t="n">
        <v>5.8</v>
      </c>
      <c r="G4" s="7" t="n">
        <v>1600</v>
      </c>
      <c r="H4" s="7" t="n">
        <v>930</v>
      </c>
      <c r="I4" s="7">
        <f>F4*G4</f>
        <v/>
      </c>
      <c r="J4" s="7">
        <f>F4*H4</f>
        <v/>
      </c>
      <c r="K4" s="6" t="inlineStr">
        <is>
          <t>SVA</t>
        </is>
      </c>
    </row>
    <row r="5">
      <c r="A5" s="6" t="n">
        <v>4</v>
      </c>
      <c r="B5" s="6" t="inlineStr">
        <is>
          <t>Переделка секций</t>
        </is>
      </c>
      <c r="C5" s="6" t="inlineStr">
        <is>
          <t>13.50</t>
        </is>
      </c>
      <c r="D5" s="6" t="inlineStr">
        <is>
          <t>аналог</t>
        </is>
      </c>
      <c r="E5" s="6" t="inlineStr">
        <is>
          <t>мп</t>
        </is>
      </c>
      <c r="F5" s="6" t="n">
        <v>16</v>
      </c>
      <c r="G5" s="7" t="n">
        <v>1800</v>
      </c>
      <c r="H5" s="7" t="n">
        <v>1000</v>
      </c>
      <c r="I5" s="7">
        <f>F5*G5</f>
        <v/>
      </c>
      <c r="J5" s="7">
        <f>F5*H5</f>
        <v/>
      </c>
      <c r="K5" s="6" t="inlineStr">
        <is>
          <t>SVA</t>
        </is>
      </c>
    </row>
    <row r="6">
      <c r="A6" s="6" t="n">
        <v>5</v>
      </c>
      <c r="B6" s="6" t="inlineStr">
        <is>
          <t>Сборка и монтаж ограждения</t>
        </is>
      </c>
      <c r="C6" s="6" t="inlineStr">
        <is>
          <t>5.1.15</t>
        </is>
      </c>
      <c r="D6" s="6" t="inlineStr">
        <is>
          <t>входит в п.2</t>
        </is>
      </c>
      <c r="E6" s="6" t="inlineStr">
        <is>
          <t>компл</t>
        </is>
      </c>
      <c r="F6" s="6" t="n">
        <v>0</v>
      </c>
      <c r="G6" s="7" t="n">
        <v>0</v>
      </c>
      <c r="H6" s="7" t="n">
        <v>0</v>
      </c>
      <c r="I6" s="7">
        <f>F6*G6</f>
        <v/>
      </c>
      <c r="J6" s="7">
        <f>F6*H6</f>
        <v/>
      </c>
      <c r="K6" s="6" t="inlineStr">
        <is>
          <t>SVA</t>
        </is>
      </c>
    </row>
    <row r="7">
      <c r="H7" t="inlineStr">
        <is>
          <t>Итого</t>
        </is>
      </c>
      <c r="I7" s="3">
        <f>SUM(I2:I6)</f>
        <v/>
      </c>
      <c r="J7" s="3">
        <f>SUM(J2:J6)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8" customWidth="1" min="4" max="4"/>
    <col width="12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40" customWidth="1" min="14" max="14"/>
    <col width="28" customWidth="1" min="15" max="15"/>
  </cols>
  <sheetData>
    <row r="1" ht="32" customHeight="1">
      <c r="A1" s="5" t="inlineStr">
        <is>
          <t>№</t>
        </is>
      </c>
      <c r="B1" s="5" t="inlineStr">
        <is>
          <t>Материал</t>
        </is>
      </c>
      <c r="C1" s="5" t="inlineStr">
        <is>
          <t>Категория</t>
        </is>
      </c>
      <c r="D1" s="5" t="inlineStr">
        <is>
          <t>Ед.</t>
        </is>
      </c>
      <c r="E1" s="5" t="inlineStr">
        <is>
          <t>Кол-во</t>
        </is>
      </c>
      <c r="F1" s="5" t="inlineStr">
        <is>
          <t>Закупка б/НДС</t>
        </is>
      </c>
      <c r="G1" s="5" t="inlineStr">
        <is>
          <t>Отходы</t>
        </is>
      </c>
      <c r="H1" s="5" t="inlineStr">
        <is>
          <t>С/с ед.</t>
        </is>
      </c>
      <c r="I1" s="5" t="inlineStr">
        <is>
          <t>Наценка</t>
        </is>
      </c>
      <c r="J1" s="5" t="inlineStr">
        <is>
          <t>Цена КП ед.</t>
        </is>
      </c>
      <c r="K1" s="5" t="inlineStr">
        <is>
          <t>Сумма с/с</t>
        </is>
      </c>
      <c r="L1" s="5" t="inlineStr">
        <is>
          <t>Сумма КП</t>
        </is>
      </c>
      <c r="M1" s="5" t="inlineStr">
        <is>
          <t>Потолок розницы</t>
        </is>
      </c>
      <c r="N1" s="5" t="inlineStr">
        <is>
          <t>Источник</t>
        </is>
      </c>
      <c r="O1" s="5" t="inlineStr">
        <is>
          <t>Пометка</t>
        </is>
      </c>
    </row>
    <row r="2">
      <c r="A2" s="6" t="n">
        <v>1</v>
      </c>
      <c r="B2" s="6" t="inlineStr">
        <is>
          <t>Труба 60×60×2</t>
        </is>
      </c>
      <c r="C2" s="6" t="inlineStr">
        <is>
          <t>Металлопрокат</t>
        </is>
      </c>
      <c r="D2" s="6" t="inlineStr">
        <is>
          <t>м</t>
        </is>
      </c>
      <c r="E2" s="6" t="n">
        <v>108.84</v>
      </c>
      <c r="F2" s="7" t="n">
        <v>206</v>
      </c>
      <c r="G2" s="8" t="n">
        <v>0.05</v>
      </c>
      <c r="H2" s="7">
        <f>F2*(1+G2)*(1+0.03)*(1+0.04)</f>
        <v/>
      </c>
      <c r="I2" s="8" t="n">
        <v>0.1</v>
      </c>
      <c r="J2" s="7">
        <f>MIN(H2*(1+I2),M2)</f>
        <v/>
      </c>
      <c r="K2" s="7">
        <f>E2*H2</f>
        <v/>
      </c>
      <c r="L2" s="7">
        <f>E2*J2</f>
        <v/>
      </c>
      <c r="M2" s="7" t="n">
        <v>228</v>
      </c>
      <c r="N2" s="6" t="inlineStr">
        <is>
          <t>100труб 206 ₽/м; База металлопроката 228 ₽/м</t>
        </is>
      </c>
      <c r="O2" s="6" t="inlineStr">
        <is>
          <t>прайс металлобазы, без НДС</t>
        </is>
      </c>
    </row>
    <row r="3">
      <c r="A3" s="6" t="n">
        <v>2</v>
      </c>
      <c r="B3" s="6" t="inlineStr">
        <is>
          <t>Покраска RAL 7035</t>
        </is>
      </c>
      <c r="C3" s="6" t="inlineStr">
        <is>
          <t>ЛКМ</t>
        </is>
      </c>
      <c r="D3" s="6" t="inlineStr">
        <is>
          <t>м</t>
        </is>
      </c>
      <c r="E3" s="6" t="n">
        <v>108.84</v>
      </c>
      <c r="F3" s="7" t="n">
        <v>180</v>
      </c>
      <c r="G3" s="8" t="n">
        <v>0.05</v>
      </c>
      <c r="H3" s="7">
        <f>F3*(1+G3)*(1+0.03)*(1+0.04)</f>
        <v/>
      </c>
      <c r="I3" s="8" t="n">
        <v>0.12</v>
      </c>
      <c r="J3" s="7">
        <f>H3*(1+I3)</f>
        <v/>
      </c>
      <c r="K3" s="7">
        <f>E3*H3</f>
        <v/>
      </c>
      <c r="L3" s="7">
        <f>E3*J3</f>
        <v/>
      </c>
      <c r="M3" s="7" t="n"/>
      <c r="N3" s="6" t="inlineStr">
        <is>
          <t>нет прайса порошковой окраски малой партии</t>
        </is>
      </c>
      <c r="O3" s="6" t="inlineStr">
        <is>
          <t>оценка</t>
        </is>
      </c>
    </row>
    <row r="4">
      <c r="A4" s="6" t="n">
        <v>3</v>
      </c>
      <c r="B4" s="6" t="inlineStr">
        <is>
          <t>Замок двери</t>
        </is>
      </c>
      <c r="C4" s="6" t="inlineStr">
        <is>
          <t>Металлопрокат и метизы</t>
        </is>
      </c>
      <c r="D4" s="6" t="inlineStr">
        <is>
          <t>шт</t>
        </is>
      </c>
      <c r="E4" s="6" t="n">
        <v>1</v>
      </c>
      <c r="F4" s="7" t="n">
        <v>2500</v>
      </c>
      <c r="G4" s="8" t="n">
        <v>0.05</v>
      </c>
      <c r="H4" s="7">
        <f>F4*(1+G4)*(1+0.03)*(1+0.04)</f>
        <v/>
      </c>
      <c r="I4" s="8" t="n">
        <v>0.1</v>
      </c>
      <c r="J4" s="7">
        <f>H4*(1+I4)</f>
        <v/>
      </c>
      <c r="K4" s="7">
        <f>E4*H4</f>
        <v/>
      </c>
      <c r="L4" s="7">
        <f>E4*J4</f>
        <v/>
      </c>
      <c r="M4" s="7" t="n"/>
      <c r="N4" s="6" t="inlineStr">
        <is>
          <t>нет артикула в ТЗ</t>
        </is>
      </c>
      <c r="O4" s="6" t="inlineStr">
        <is>
          <t>оценка</t>
        </is>
      </c>
    </row>
    <row r="5">
      <c r="J5" t="inlineStr">
        <is>
          <t>Итого</t>
        </is>
      </c>
      <c r="K5">
        <f>SUM(K2:K4)</f>
        <v/>
      </c>
      <c r="L5">
        <f>SUM(L2:L4)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6" customWidth="1" min="3" max="3"/>
  </cols>
  <sheetData>
    <row r="1" ht="32" customHeight="1">
      <c r="A1" s="5" t="inlineStr">
        <is>
          <t>Статья</t>
        </is>
      </c>
      <c r="B1" s="5" t="inlineStr">
        <is>
          <t>Расчёт</t>
        </is>
      </c>
      <c r="C1" s="5" t="inlineStr">
        <is>
          <t>Сумма</t>
        </is>
      </c>
    </row>
    <row r="2">
      <c r="A2" t="inlineStr">
        <is>
          <t>Расходники к работам</t>
        </is>
      </c>
      <c r="B2" t="inlineStr">
        <is>
          <t>Электромонтажник 2 % и сварщик 3 % от оплаты бригаде по коду</t>
        </is>
      </c>
      <c r="C2" s="3" t="n">
        <v>3078.64</v>
      </c>
    </row>
    <row r="3">
      <c r="A3" t="inlineStr">
        <is>
          <t>Вывоз демонтированной сетки</t>
        </is>
      </c>
      <c r="B3" t="inlineStr">
        <is>
          <t>Оценка одного вывоза, контейнер не нормирован</t>
        </is>
      </c>
      <c r="C3" s="3" t="n">
        <v>6000</v>
      </c>
    </row>
    <row r="4">
      <c r="A4" t="inlineStr">
        <is>
          <t>Резерв гарантии 1,5 %</t>
        </is>
      </c>
      <c r="B4" t="inlineStr">
        <is>
          <t>От материалов с/с + бригада + расходники + прочие косвенные этой страницы</t>
        </is>
      </c>
      <c r="C4" s="3" t="n">
        <v>2426.48</v>
      </c>
    </row>
    <row r="5">
      <c r="A5" t="inlineStr">
        <is>
          <t>Резерв рисков 3 %</t>
        </is>
      </c>
      <c r="B5" t="inlineStr">
        <is>
          <t>Короткий объект на действующем заводе, ночные окна не заложены в цену</t>
        </is>
      </c>
      <c r="C5" s="3" t="n">
        <v>4852.96</v>
      </c>
    </row>
    <row r="6">
      <c r="A6" t="inlineStr">
        <is>
          <t>Итого косвенные</t>
        </is>
      </c>
      <c r="C6" s="3">
        <f>SUM(C2:C5)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40" customWidth="1" min="4" max="4"/>
    <col width="50" customWidth="1" min="5" max="5"/>
  </cols>
  <sheetData>
    <row r="1" ht="32" customHeight="1">
      <c r="A1" s="5" t="inlineStr">
        <is>
          <t>№</t>
        </is>
      </c>
      <c r="B1" s="5" t="inlineStr">
        <is>
          <t>Описание</t>
        </is>
      </c>
      <c r="C1" s="5" t="inlineStr">
        <is>
          <t>Влияние, руб.</t>
        </is>
      </c>
      <c r="D1" s="5" t="inlineStr">
        <is>
          <t>Что спросить</t>
        </is>
      </c>
      <c r="E1" s="5" t="inlineStr">
        <is>
          <t>Допущение</t>
        </is>
      </c>
    </row>
    <row r="2" ht="36" customHeight="1">
      <c r="A2" s="9" t="n">
        <v>1</v>
      </c>
      <c r="B2" s="9" t="inlineStr">
        <is>
          <t>Длина рамы принята по габариту секции 1000×1560, периметр 5,12 м. Чертежа нет.</t>
        </is>
      </c>
      <c r="C2" s="9" t="n">
        <v>4484.208000000001</v>
      </c>
      <c r="D2" s="9" t="inlineStr">
        <is>
          <t>Дать чертёж или длину профиля.</t>
        </is>
      </c>
      <c r="E2" s="9" t="inlineStr">
        <is>
          <t>5,12 м на раму, 5,8 м на дверь, 1 м на переделку секции.</t>
        </is>
      </c>
    </row>
    <row r="3" ht="36" customHeight="1">
      <c r="A3" s="9" t="n">
        <v>2</v>
      </c>
      <c r="B3" s="9" t="inlineStr">
        <is>
          <t>Покраска RAL 7035 малой партией — оценка 180 ₽/м без НДС.</t>
        </is>
      </c>
      <c r="C3" s="9" t="n">
        <v>19591</v>
      </c>
      <c r="D3" s="9" t="inlineStr">
        <is>
          <t>Кто красит и какой слой.</t>
        </is>
      </c>
      <c r="E3" s="9" t="inlineStr">
        <is>
          <t>Порошок, не эмаль на объекте.</t>
        </is>
      </c>
    </row>
    <row r="4" ht="36" customHeight="1">
      <c r="A4" s="9" t="n">
        <v>3</v>
      </c>
      <c r="B4" s="9" t="inlineStr">
        <is>
          <t>П.5 формы «сборка и монтаж» сидит внутри расценки 5.1.15, второй раз не считается.</t>
        </is>
      </c>
      <c r="C4" s="9" t="n">
        <v>0</v>
      </c>
      <c r="D4" s="9" t="inlineStr"/>
      <c r="E4" s="9" t="inlineStr">
        <is>
          <t>Объём п.5 в бюджете 0, чтобы не задвоить.</t>
        </is>
      </c>
    </row>
    <row r="5" ht="36" customHeight="1">
      <c r="A5" s="9" t="n">
        <v>4</v>
      </c>
      <c r="B5" s="9" t="inlineStr">
        <is>
          <t>Ночные смены в форме спрашиваются, в ТЗ как обязательные не подтверждены.</t>
        </is>
      </c>
      <c r="C5" s="9" t="n">
        <v>0</v>
      </c>
      <c r="D5" s="9" t="inlineStr">
        <is>
          <t>Нужны ли ночные окна и на сколько %.</t>
        </is>
      </c>
      <c r="E5" s="9" t="inlineStr">
        <is>
          <t>Ночной коэффициент не включён.</t>
        </is>
      </c>
    </row>
    <row r="6" ht="36" customHeight="1">
      <c r="A6" s="9" t="n">
        <v>5</v>
      </c>
      <c r="B6" s="9" t="inlineStr">
        <is>
          <t>Оплата 100 % через 30 дней, аванса нет. В с/с материалов 4 % стоимости денег.</t>
        </is>
      </c>
      <c r="C6" s="9" t="n">
        <v>0</v>
      </c>
      <c r="D6" s="9" t="inlineStr"/>
      <c r="E6" s="9" t="inlineStr">
        <is>
          <t>2 % в месяц × 2 месяца.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5" customWidth="1" min="3" max="3"/>
    <col width="14" customWidth="1" min="4" max="4"/>
    <col width="14" customWidth="1" min="5" max="5"/>
    <col width="14" customWidth="1" min="6" max="6"/>
    <col width="8" customWidth="1" min="7" max="7"/>
    <col width="30" customWidth="1" min="8" max="8"/>
  </cols>
  <sheetData>
    <row r="1" ht="32" customHeight="1">
      <c r="A1" s="5" t="inlineStr">
        <is>
          <t>Материал</t>
        </is>
      </c>
      <c r="B1" s="5" t="inlineStr">
        <is>
          <t>Магазин</t>
        </is>
      </c>
      <c r="C1" s="5" t="inlineStr">
        <is>
          <t>URL</t>
        </is>
      </c>
      <c r="D1" s="5" t="inlineStr">
        <is>
          <t>Дата</t>
        </is>
      </c>
      <c r="E1" s="5" t="inlineStr">
        <is>
          <t>С НДС</t>
        </is>
      </c>
      <c r="F1" s="5" t="inlineStr">
        <is>
          <t>Без НДС</t>
        </is>
      </c>
      <c r="G1" s="5" t="inlineStr">
        <is>
          <t>Ед.</t>
        </is>
      </c>
      <c r="H1" s="5" t="inlineStr">
        <is>
          <t>Пометка</t>
        </is>
      </c>
    </row>
    <row r="2">
      <c r="A2" t="inlineStr">
        <is>
          <t>Труба 60×60×2</t>
        </is>
      </c>
      <c r="B2" t="inlineStr">
        <is>
          <t>100труб / База металлопроката</t>
        </is>
      </c>
      <c r="C2" t="inlineStr">
        <is>
          <t>https://www.100trub.ru/catalog/truby-profilnye-stalnye/</t>
        </is>
      </c>
      <c r="D2" t="inlineStr">
        <is>
          <t>2026-10-28</t>
        </is>
      </c>
      <c r="F2" t="n">
        <v>206</v>
      </c>
      <c r="G2" t="inlineStr">
        <is>
          <t>м</t>
        </is>
      </c>
      <c r="H2" t="inlineStr">
        <is>
          <t>прайс металлобазы, без НДС</t>
        </is>
      </c>
    </row>
    <row r="3">
      <c r="A3" t="inlineStr">
        <is>
          <t>Покраска RAL 7035</t>
        </is>
      </c>
      <c r="B3" t="inlineStr">
        <is>
          <t>оценка</t>
        </is>
      </c>
      <c r="C3" t="inlineStr"/>
      <c r="D3" t="inlineStr">
        <is>
          <t>2026-10-28</t>
        </is>
      </c>
      <c r="F3" t="n">
        <v>180</v>
      </c>
      <c r="G3" t="inlineStr">
        <is>
          <t>м</t>
        </is>
      </c>
      <c r="H3" t="inlineStr">
        <is>
          <t>оценка</t>
        </is>
      </c>
    </row>
    <row r="4">
      <c r="A4" t="inlineStr">
        <is>
          <t>Замок двери</t>
        </is>
      </c>
      <c r="B4" t="inlineStr">
        <is>
          <t>оценка</t>
        </is>
      </c>
      <c r="C4" t="inlineStr"/>
      <c r="D4" t="inlineStr">
        <is>
          <t>2026-10-28</t>
        </is>
      </c>
      <c r="F4" t="n">
        <v>2500</v>
      </c>
      <c r="G4" t="inlineStr">
        <is>
          <t>шт</t>
        </is>
      </c>
      <c r="H4" t="inlineStr">
        <is>
          <t>оценка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2026-10-28T14:55:43Z</dcterms:created>
  <dcterms:modified xmlns:dcterms="http://purl.org/dc/terms/" xmlns:xsi="http://www.w3.org/2001/XMLSchema-instance" xsi:type="dcterms:W3CDTF">2026-10-28T14:55:43Z</dcterms:modified>
</cp:coreProperties>
</file>