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1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Print_Area" localSheetId="0">'КП'!$A$1:$M$31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1">
    <font>
      <name val="Arial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sz val="8"/>
    </font>
    <font>
      <name val="돋움"/>
      <charset val="129"/>
      <family val="3"/>
      <sz val="8"/>
    </font>
    <font>
      <name val="Arial"/>
      <family val="2"/>
      <b val="1"/>
      <sz val="10"/>
    </font>
    <font>
      <name val="Arial Cyr"/>
      <charset val="204"/>
      <family val="2"/>
      <sz val="12"/>
    </font>
    <font>
      <name val="돋움"/>
      <charset val="129"/>
      <family val="3"/>
      <color theme="1"/>
      <sz val="11"/>
    </font>
    <font>
      <name val="돋움"/>
      <charset val="129"/>
      <family val="3"/>
      <sz val="11"/>
    </font>
    <font>
      <name val="Times New Roman"/>
      <charset val="204"/>
      <family val="1"/>
      <sz val="12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맑은 고딕"/>
      <charset val="129"/>
      <family val="3"/>
      <b val="1"/>
      <sz val="10"/>
    </font>
    <font>
      <name val="Cambria"/>
      <charset val="204"/>
      <family val="1"/>
      <color rgb="FFFF0000"/>
      <sz val="12"/>
      <scheme val="maj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charset val="204"/>
      <family val="2"/>
      <i val="1"/>
      <sz val="8"/>
    </font>
    <font>
      <name val="Arial"/>
      <charset val="204"/>
      <family val="2"/>
      <b val="1"/>
      <i val="1"/>
      <sz val="10"/>
    </font>
    <font>
      <name val="Arial"/>
      <charset val="204"/>
      <family val="2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18" fillId="0" borderId="0"/>
    <xf numFmtId="0" fontId="5" fillId="0" borderId="0" applyAlignment="1">
      <alignment wrapText="1"/>
    </xf>
    <xf numFmtId="0" fontId="6" fillId="0" borderId="0" applyAlignment="1">
      <alignment vertical="center"/>
    </xf>
    <xf numFmtId="0" fontId="7" fillId="0" borderId="0" applyProtection="1">
      <protection locked="0" hidden="0"/>
    </xf>
    <xf numFmtId="43" fontId="18" fillId="0" borderId="0"/>
  </cellStyleXfs>
  <cellXfs count="8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9" fillId="3" borderId="1" pivotButton="0" quotePrefix="0" xfId="0"/>
    <xf numFmtId="0" fontId="0" fillId="0" borderId="0" pivotButton="0" quotePrefix="0" xfId="0"/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6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top"/>
    </xf>
    <xf numFmtId="0" fontId="9" fillId="3" borderId="5" applyAlignment="1" pivotButton="0" quotePrefix="0" xfId="0">
      <alignment wrapText="1"/>
    </xf>
    <xf numFmtId="49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/>
    </xf>
    <xf numFmtId="2" fontId="17" fillId="0" borderId="1" applyAlignment="1" pivotButton="0" quotePrefix="0" xfId="0">
      <alignment horizontal="center" vertical="center"/>
    </xf>
    <xf numFmtId="164" fontId="17" fillId="0" borderId="1" applyAlignment="1" pivotButton="0" quotePrefix="0" xfId="4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4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15" fillId="3" borderId="2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14" fillId="0" borderId="2" applyAlignment="1" pivotButton="0" quotePrefix="0" xfId="0">
      <alignment horizontal="center" vertical="center"/>
    </xf>
    <xf numFmtId="14" fontId="14" fillId="0" borderId="3" applyAlignment="1" pivotButton="0" quotePrefix="0" xfId="0">
      <alignment horizontal="center" vertical="center"/>
    </xf>
    <xf numFmtId="14" fontId="14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2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164" fontId="17" fillId="0" borderId="1" applyAlignment="1" pivotButton="0" quotePrefix="0" xfId="4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4" fontId="14" fillId="0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</cellXfs>
  <cellStyles count="5">
    <cellStyle name="Обычный" xfId="0" builtinId="0"/>
    <cellStyle name="Обычный 2 2" xfId="1"/>
    <cellStyle name="표준 11" xfId="2"/>
    <cellStyle name=" _수량및 단가 산출내용표_간지_추가품셈1_석고부두 수량산출서49 2" xfId="3"/>
    <cellStyle name="Финансовый" xfId="4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N39"/>
  <sheetViews>
    <sheetView showGridLines="0" tabSelected="1" zoomScale="114" zoomScaleNormal="115" zoomScaleSheetLayoutView="100" workbookViewId="0">
      <selection activeCell="B3" sqref="B3"/>
    </sheetView>
  </sheetViews>
  <sheetFormatPr baseColWidth="8" defaultColWidth="10.6640625" defaultRowHeight="11.25"/>
  <cols>
    <col width="7.6640625" customWidth="1" style="19" min="1" max="1"/>
    <col width="69.5" customWidth="1" style="1" min="2" max="2"/>
    <col width="11.5" customWidth="1" style="3" min="3" max="3"/>
    <col width="13.6640625" customWidth="1" style="3" min="4" max="4"/>
    <col width="15" customWidth="1" style="1" min="5" max="5"/>
    <col width="17.6640625" customWidth="1" style="1" min="6" max="6"/>
    <col width="9.5" customWidth="1" style="1" min="7" max="7"/>
    <col width="15.1640625" customWidth="1" style="1" min="8" max="8"/>
    <col width="17" customWidth="1" style="1" min="9" max="9"/>
    <col width="19.1640625" customWidth="1" style="1" min="10" max="10"/>
    <col width="15.6640625" customWidth="1" style="1" min="11" max="11"/>
    <col width="16.1640625" customWidth="1" style="1" min="12" max="12"/>
    <col width="21.5" customWidth="1" style="1" min="13" max="13"/>
    <col width="10.6640625" customWidth="1" style="1" min="14" max="14"/>
  </cols>
  <sheetData>
    <row r="1" ht="15" customHeight="1" s="19">
      <c r="A1" s="14" t="n"/>
      <c r="B1" s="15" t="n"/>
      <c r="C1" s="1" t="n"/>
      <c r="D1" s="1" t="n"/>
    </row>
    <row r="2" s="19">
      <c r="B2" s="37" t="n"/>
      <c r="L2" s="37" t="n"/>
    </row>
    <row r="3" ht="20.1" customHeight="1" s="19">
      <c r="B3" s="18" t="inlineStr">
        <is>
          <t>Наименование организации ООО "НЕОСТРОЙ"</t>
        </is>
      </c>
      <c r="F3" s="38" t="inlineStr">
        <is>
          <t>Дата КП</t>
        </is>
      </c>
      <c r="G3" s="71" t="n"/>
      <c r="H3" s="39" t="inlineStr">
        <is>
          <t>2026-10-28</t>
        </is>
      </c>
      <c r="J3" s="38" t="inlineStr">
        <is>
          <t>Валюта</t>
        </is>
      </c>
      <c r="K3" s="71" t="n"/>
      <c r="L3" s="37" t="n"/>
    </row>
    <row r="4" ht="20.1" customHeight="1" s="19">
      <c r="B4" s="30" t="inlineStr">
        <is>
          <t>ИНН 7810974565</t>
        </is>
      </c>
      <c r="C4" s="20" t="n"/>
      <c r="D4" s="20" t="n"/>
      <c r="E4" s="20" t="n"/>
      <c r="F4" s="40" t="n"/>
      <c r="G4" s="72" t="n"/>
      <c r="H4" s="42" t="n"/>
      <c r="J4" s="43" t="inlineStr">
        <is>
          <t>Рубли</t>
        </is>
      </c>
      <c r="K4" s="72" t="n"/>
      <c r="L4" s="37" t="n"/>
    </row>
    <row r="5" ht="27" customFormat="1" customHeight="1" s="1">
      <c r="A5" s="73" t="inlineStr">
        <is>
          <t>Установка ограждения склада хранения хозяйственного имущества (Р70 под трансформаторной подстанцией)</t>
        </is>
      </c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1" t="n"/>
    </row>
    <row r="6" ht="20.25" customHeight="1" s="19">
      <c r="A6" s="53" t="inlineStr">
        <is>
          <t>№</t>
        </is>
      </c>
      <c r="B6" s="7" t="inlineStr">
        <is>
          <t>Description / Описание</t>
        </is>
      </c>
      <c r="C6" s="7" t="inlineStr">
        <is>
          <t>Material / Материалы</t>
        </is>
      </c>
      <c r="D6" s="74" t="n"/>
      <c r="E6" s="74" t="n"/>
      <c r="F6" s="71" t="n"/>
      <c r="G6" s="7" t="inlineStr">
        <is>
          <t>Labor expenses / Трудозатрат</t>
        </is>
      </c>
      <c r="H6" s="74" t="n"/>
      <c r="I6" s="74" t="n"/>
      <c r="J6" s="71" t="n"/>
      <c r="K6" s="7" t="inlineStr">
        <is>
          <t>Other exp. / Пр. затраты</t>
        </is>
      </c>
      <c r="L6" s="71" t="n"/>
      <c r="M6" s="5" t="inlineStr">
        <is>
          <t>Total
 Всего
(RUB)</t>
        </is>
      </c>
    </row>
    <row r="7" ht="48.95" customHeight="1" s="19">
      <c r="A7" s="75" t="n"/>
      <c r="B7" s="75" t="n"/>
      <c r="C7" s="4" t="inlineStr">
        <is>
          <t>Unit 
Ед. изм.</t>
        </is>
      </c>
      <c r="D7" s="5" t="inlineStr">
        <is>
          <t>Quantity
Кол-во</t>
        </is>
      </c>
      <c r="E7" s="4" t="inlineStr">
        <is>
          <t>Unit price
Цена
(RUB)</t>
        </is>
      </c>
      <c r="F7" s="4" t="inlineStr">
        <is>
          <t>Amount
Сумма
(RUB)</t>
        </is>
      </c>
      <c r="G7" s="4" t="inlineStr">
        <is>
          <t>Unit 
Ед. изм.</t>
        </is>
      </c>
      <c r="H7" s="5" t="inlineStr">
        <is>
          <t>Quantity
Кол-во</t>
        </is>
      </c>
      <c r="I7" s="4" t="inlineStr">
        <is>
          <t>Unit price
Цена
(RUB)</t>
        </is>
      </c>
      <c r="J7" s="4" t="inlineStr">
        <is>
          <t>Amount
Сумма
(RUB)</t>
        </is>
      </c>
      <c r="K7" s="4" t="inlineStr">
        <is>
          <t>Unit price
Цена
(RUB)</t>
        </is>
      </c>
      <c r="L7" s="4" t="inlineStr">
        <is>
          <t>Amount
Сумма
(RUB)</t>
        </is>
      </c>
      <c r="M7" s="75" t="n"/>
    </row>
    <row r="8" ht="42.95" customHeight="1" s="19">
      <c r="A8" s="31" t="inlineStr">
        <is>
          <t>1</t>
        </is>
      </c>
      <c r="B8" s="33" t="inlineStr">
        <is>
          <t>Демонтаж существующей сетки и демонтаж секции размерностью 1000 мм*1560 (мм) с креплениями ( перемещение из туннеля Р31) 54-58 штук со 2 ряда по высоте.</t>
        </is>
      </c>
      <c r="C8" s="34" t="inlineStr">
        <is>
          <t xml:space="preserve">компл. </t>
        </is>
      </c>
      <c r="D8" s="35" t="n">
        <v>1</v>
      </c>
      <c r="E8" s="76" t="n">
        <v>0</v>
      </c>
      <c r="F8" s="76">
        <f>E8*D8</f>
        <v/>
      </c>
      <c r="G8" s="34">
        <f>C8</f>
        <v/>
      </c>
      <c r="H8" s="35">
        <f>D8</f>
        <v/>
      </c>
      <c r="I8" s="76" t="n">
        <v>450</v>
      </c>
      <c r="J8" s="76">
        <f>I8*H8</f>
        <v/>
      </c>
      <c r="K8" s="76" t="n"/>
      <c r="L8" s="76" t="n"/>
      <c r="M8" s="76">
        <f>J8+F8</f>
        <v/>
      </c>
    </row>
    <row r="9" ht="29.1" customHeight="1" s="19">
      <c r="A9" s="31" t="inlineStr">
        <is>
          <t>2</t>
        </is>
      </c>
      <c r="B9" s="33" t="inlineStr">
        <is>
          <t>Изгоовление каркаса для ограждение и раму (трофиль 60х60 цвет по  RAL 7035)</t>
        </is>
      </c>
      <c r="C9" s="34" t="inlineStr">
        <is>
          <t>шт.</t>
        </is>
      </c>
      <c r="D9" s="35" t="n">
        <v>17</v>
      </c>
      <c r="E9" s="76" t="n">
        <v>2328.33</v>
      </c>
      <c r="F9" s="76">
        <f>E9*D9</f>
        <v/>
      </c>
      <c r="G9" s="34">
        <f>C9</f>
        <v/>
      </c>
      <c r="H9" s="35">
        <f>D9</f>
        <v/>
      </c>
      <c r="I9" s="76" t="n">
        <v>8192</v>
      </c>
      <c r="J9" s="76">
        <f>I9*H9</f>
        <v/>
      </c>
      <c r="K9" s="76" t="n"/>
      <c r="L9" s="76" t="n"/>
      <c r="M9" s="76">
        <f>J9+F9</f>
        <v/>
      </c>
    </row>
    <row r="10" ht="20.1" customHeight="1" s="19">
      <c r="A10" s="31" t="inlineStr">
        <is>
          <t>3</t>
        </is>
      </c>
      <c r="B10" s="33" t="inlineStr">
        <is>
          <t>Изгоовление каркаса двери с замком (цвет по  RAL 7035)</t>
        </is>
      </c>
      <c r="C10" s="34" t="inlineStr">
        <is>
          <t>шт</t>
        </is>
      </c>
      <c r="D10" s="35" t="n">
        <v>1</v>
      </c>
      <c r="E10" s="76" t="n">
        <v>5730.65</v>
      </c>
      <c r="F10" s="76">
        <f>E10*D10</f>
        <v/>
      </c>
      <c r="G10" s="34">
        <f>C10</f>
        <v/>
      </c>
      <c r="H10" s="35">
        <f>D10</f>
        <v/>
      </c>
      <c r="I10" s="76" t="n">
        <v>9280</v>
      </c>
      <c r="J10" s="76">
        <f>I10*H10</f>
        <v/>
      </c>
      <c r="K10" s="76" t="n"/>
      <c r="L10" s="76" t="n"/>
      <c r="M10" s="76">
        <f>J10+F10</f>
        <v/>
      </c>
    </row>
    <row r="11" ht="18.95" customHeight="1" s="19">
      <c r="A11" s="31" t="inlineStr">
        <is>
          <t>4</t>
        </is>
      </c>
      <c r="B11" s="33" t="inlineStr">
        <is>
          <t xml:space="preserve">Переделка части секций под размер </t>
        </is>
      </c>
      <c r="C11" s="34" t="inlineStr">
        <is>
          <t>шт</t>
        </is>
      </c>
      <c r="D11" s="35" t="n">
        <v>16</v>
      </c>
      <c r="E11" s="76" t="n">
        <v>454.75</v>
      </c>
      <c r="F11" s="76">
        <f>E11*D11</f>
        <v/>
      </c>
      <c r="G11" s="34">
        <f>C11</f>
        <v/>
      </c>
      <c r="H11" s="35">
        <f>D11</f>
        <v/>
      </c>
      <c r="I11" s="76" t="n">
        <v>1800</v>
      </c>
      <c r="J11" s="76">
        <f>I11*H11</f>
        <v/>
      </c>
      <c r="K11" s="76" t="n"/>
      <c r="L11" s="76" t="n"/>
      <c r="M11" s="76">
        <f>J11+F11</f>
        <v/>
      </c>
    </row>
    <row r="12" ht="18.95" customHeight="1" s="19">
      <c r="A12" s="31" t="inlineStr">
        <is>
          <t>5</t>
        </is>
      </c>
      <c r="B12" s="33" t="inlineStr">
        <is>
          <t xml:space="preserve">Сборка и монтаж ограждения </t>
        </is>
      </c>
      <c r="C12" s="34" t="inlineStr">
        <is>
          <t xml:space="preserve">компл. </t>
        </is>
      </c>
      <c r="D12" s="35" t="n">
        <v>1</v>
      </c>
      <c r="E12" s="76" t="n">
        <v>0</v>
      </c>
      <c r="F12" s="76">
        <f>E12*D12</f>
        <v/>
      </c>
      <c r="G12" s="34">
        <f>C12</f>
        <v/>
      </c>
      <c r="H12" s="35">
        <f>D12</f>
        <v/>
      </c>
      <c r="I12" s="76" t="n">
        <v>0</v>
      </c>
      <c r="J12" s="76">
        <f>I12*H12</f>
        <v/>
      </c>
      <c r="K12" s="76" t="n"/>
      <c r="L12" s="76" t="n"/>
      <c r="M12" s="76">
        <f>J12+F12</f>
        <v/>
      </c>
    </row>
    <row r="13" ht="15" customFormat="1" customHeight="1" s="63">
      <c r="A13" s="6" t="n"/>
      <c r="B13" s="6" t="inlineStr">
        <is>
          <t>Total direct cost / Итого прямые затраты:</t>
        </is>
      </c>
      <c r="C13" s="7" t="n"/>
      <c r="D13" s="7" t="n"/>
      <c r="E13" s="77" t="n"/>
      <c r="F13" s="78">
        <f>SUM(F8:F12)</f>
        <v/>
      </c>
      <c r="G13" s="7" t="n"/>
      <c r="H13" s="7" t="n"/>
      <c r="I13" s="79" t="n"/>
      <c r="J13" s="78">
        <f>SUM(J8:J12)</f>
        <v/>
      </c>
      <c r="K13" s="79" t="n"/>
      <c r="L13" s="78" t="n"/>
      <c r="M13" s="78">
        <f>SUM(M8:M12)</f>
        <v/>
      </c>
    </row>
    <row r="14" ht="28.5" customFormat="1" customHeight="1" s="63">
      <c r="B14" s="10" t="inlineStr">
        <is>
          <t>※ Цены указаны без НДС 22%</t>
        </is>
      </c>
      <c r="C14" s="11" t="n"/>
      <c r="D14" s="11" t="n"/>
      <c r="E14" s="80" t="n"/>
      <c r="F14" s="80" t="n"/>
      <c r="G14" s="11" t="n"/>
      <c r="H14" s="11" t="n"/>
      <c r="I14" s="80" t="n"/>
      <c r="J14" s="80" t="n"/>
      <c r="K14" s="80" t="n"/>
      <c r="L14" s="81" t="inlineStr">
        <is>
          <t>Grand Total / Общий итог :</t>
        </is>
      </c>
      <c r="M14" s="81">
        <f>M13</f>
        <v/>
      </c>
    </row>
    <row r="15" ht="54.75" customFormat="1" customHeight="1" s="63">
      <c r="A15" s="55" t="inlineStr">
        <is>
          <t>Дата завершения работ</t>
        </is>
      </c>
      <c r="B15" s="71" t="n"/>
      <c r="C15" s="82" t="n"/>
      <c r="D15" s="74" t="n"/>
      <c r="E15" s="74" t="n"/>
      <c r="F15" s="71" t="n"/>
      <c r="G15" s="22" t="n"/>
      <c r="H15" s="22" t="n"/>
      <c r="I15" s="83" t="n"/>
      <c r="J15" s="83" t="n"/>
      <c r="K15" s="84" t="n"/>
    </row>
    <row r="16" ht="15" customFormat="1" customHeight="1" s="63">
      <c r="A16" s="55" t="inlineStr">
        <is>
          <t>Срок поставки материалов (в календарных днях)</t>
        </is>
      </c>
      <c r="B16" s="71" t="n"/>
      <c r="C16" s="59" t="n">
        <v>7</v>
      </c>
      <c r="D16" s="74" t="n"/>
      <c r="E16" s="74" t="n"/>
      <c r="F16" s="71" t="n"/>
      <c r="G16" s="63" t="n"/>
      <c r="H16" s="63" t="n"/>
      <c r="I16" s="63" t="n"/>
      <c r="J16" s="63" t="n"/>
      <c r="K16" s="27" t="n"/>
      <c r="L16" s="27" t="n"/>
      <c r="M16" s="27" t="n"/>
    </row>
    <row r="17" ht="21.75" customHeight="1" s="19">
      <c r="A17" s="52" t="inlineStr">
        <is>
          <t>Срок проведения работ с учетом работы в ночные смены(в календарных днях)</t>
        </is>
      </c>
      <c r="B17" s="71" t="n"/>
      <c r="C17" s="59" t="n">
        <v>10</v>
      </c>
      <c r="D17" s="74" t="n"/>
      <c r="E17" s="74" t="n"/>
      <c r="F17" s="71" t="n"/>
      <c r="G17" s="63" t="n"/>
      <c r="H17" s="63" t="n"/>
      <c r="I17" s="63" t="n"/>
      <c r="J17" s="63" t="n"/>
      <c r="K17" s="27" t="n"/>
      <c r="L17" s="27" t="n"/>
      <c r="M17" s="27" t="n"/>
    </row>
    <row r="18" ht="20.1" customHeight="1" s="19">
      <c r="A18" s="55" t="inlineStr">
        <is>
          <t>Общий срок выполнения проекта, включая поставку материалов и проведение работ (в календарных днях)</t>
        </is>
      </c>
      <c r="B18" s="71" t="n"/>
      <c r="C18" s="59" t="n">
        <v>14</v>
      </c>
      <c r="D18" s="74" t="n"/>
      <c r="E18" s="74" t="n"/>
      <c r="F18" s="71" t="n"/>
      <c r="G18" s="63" t="n"/>
      <c r="H18" s="63" t="n"/>
      <c r="I18" s="63" t="n"/>
      <c r="J18" s="63" t="n"/>
      <c r="K18" s="27" t="n"/>
      <c r="L18" s="27" t="n"/>
      <c r="M18" s="27" t="n"/>
    </row>
    <row r="19" ht="20.1" customHeight="1" s="19">
      <c r="A19" s="55" t="inlineStr">
        <is>
          <t>Гарантийный срок на материалы (в месяцах)</t>
        </is>
      </c>
      <c r="B19" s="71" t="n"/>
      <c r="C19" s="59" t="n">
        <v>12</v>
      </c>
      <c r="D19" s="74" t="n"/>
      <c r="E19" s="74" t="n"/>
      <c r="F19" s="71" t="n"/>
      <c r="G19" s="27" t="n"/>
      <c r="H19" s="27" t="n"/>
      <c r="I19" s="27" t="n"/>
      <c r="J19" s="27" t="n"/>
      <c r="K19" s="63" t="n"/>
      <c r="L19" s="63" t="n"/>
      <c r="M19" s="63" t="n"/>
    </row>
    <row r="20" ht="20.1" customHeight="1" s="19">
      <c r="A20" s="55" t="inlineStr">
        <is>
          <t>Количество вовлечённых сотрудников (общее и с разделением на должности)</t>
        </is>
      </c>
      <c r="B20" s="71" t="n"/>
      <c r="C20" s="59" t="inlineStr">
        <is>
          <t>3: сварщик, монтажник МК, разнорабочий</t>
        </is>
      </c>
      <c r="D20" s="74" t="n"/>
      <c r="E20" s="74" t="n"/>
      <c r="F20" s="71" t="n"/>
      <c r="G20" s="27" t="n"/>
      <c r="H20" s="27" t="n"/>
      <c r="I20" s="27" t="n"/>
      <c r="J20" s="27" t="n"/>
      <c r="K20" s="63" t="n"/>
      <c r="L20" s="63" t="n"/>
      <c r="M20" s="63" t="n"/>
    </row>
    <row r="21">
      <c r="A21" s="55" t="inlineStr">
        <is>
          <t>Гарантийный срок на работы (в месяцах)</t>
        </is>
      </c>
      <c r="B21" s="71" t="n"/>
      <c r="C21" s="59" t="n">
        <v>12</v>
      </c>
      <c r="D21" s="74" t="n"/>
      <c r="E21" s="74" t="n"/>
      <c r="F21" s="71" t="n"/>
      <c r="G21" s="27" t="n"/>
      <c r="H21" s="27" t="n"/>
      <c r="I21" s="27" t="n"/>
      <c r="J21" s="27" t="n"/>
      <c r="K21" s="63" t="n"/>
      <c r="L21" s="63" t="inlineStr">
        <is>
          <t xml:space="preserve"> </t>
        </is>
      </c>
      <c r="M21" s="63" t="n"/>
    </row>
    <row r="22">
      <c r="A22" s="55" t="inlineStr">
        <is>
          <t>Предоставляемые документы</t>
        </is>
      </c>
      <c r="B22" s="71" t="n"/>
      <c r="C22" s="59" t="inlineStr">
        <is>
          <t>Паспорта на профиль и замок, акт, фотофиксация</t>
        </is>
      </c>
      <c r="D22" s="74" t="n"/>
      <c r="E22" s="74" t="n"/>
      <c r="F22" s="71" t="n"/>
      <c r="G22" s="27" t="n"/>
      <c r="H22" s="27" t="n"/>
      <c r="I22" s="27" t="n"/>
      <c r="J22" s="27" t="n"/>
      <c r="K22" s="63" t="n"/>
      <c r="L22" s="63" t="n"/>
      <c r="M22" s="63" t="n"/>
    </row>
    <row r="23">
      <c r="A23" s="55" t="inlineStr">
        <is>
          <t>Срок действия КП</t>
        </is>
      </c>
      <c r="B23" s="71" t="n"/>
      <c r="C23" s="65" t="n">
        <v>14</v>
      </c>
      <c r="D23" s="74" t="n"/>
      <c r="E23" s="74" t="n"/>
      <c r="F23" s="71" t="n"/>
      <c r="G23" s="27" t="n"/>
      <c r="H23" s="27" t="n"/>
      <c r="I23" s="27" t="n"/>
      <c r="J23" s="27" t="n"/>
      <c r="K23" s="63" t="n"/>
      <c r="L23" s="63" t="n"/>
      <c r="M23" s="63" t="n"/>
    </row>
    <row r="24">
      <c r="A24" s="55" t="inlineStr">
        <is>
          <t>Комментарии</t>
        </is>
      </c>
      <c r="B24" s="71" t="n"/>
      <c r="C24" s="66" t="inlineStr">
        <is>
          <t>Длина рам принята по секции 1000×1560. Ночные смены в цену не входили. П.5 входит в п.2.</t>
        </is>
      </c>
      <c r="D24" s="74" t="n"/>
      <c r="E24" s="74" t="n"/>
      <c r="F24" s="71" t="n"/>
      <c r="G24" s="27" t="n"/>
      <c r="H24" s="27" t="n"/>
      <c r="I24" s="27" t="n"/>
      <c r="J24" s="27" t="n"/>
      <c r="K24" s="63" t="n"/>
      <c r="L24" s="63" t="n"/>
      <c r="M24" s="63" t="n"/>
    </row>
    <row r="25">
      <c r="A25" s="63" t="n"/>
      <c r="B25" s="64" t="inlineStr">
        <is>
          <t xml:space="preserve">Условия оплаты: 100% оплата после окончания работ/выполнения услуг в течение 30 календарных дней при условии предоставления всех оригиналов корректных первичных документов согласно законодательству РФ (акт выполненных работ/оказанных услуг, КС-2 и КС-3 отчет об оказанных услугах, оригинал договора на выполнение работ/оказания услуг, а также иные документы согласно законодательству РФ). Если выполнение работ/услуг сопряжено с поставкой товаров (материалов, оборудования и т.д.), то оплата за товары и работы/услуги осуществляется совместно после окончания работ/выполнения услуг (документы на поставку товаров в таком случае могут оформляться отдельно). Если стоимость товаров/работ/услуг номинирована в иностранной валюте, то курс пересчета в рубли для оплаты фиксируется на дату первичных документов (ТОРГ-12 и счет-фактура, либо УПД, акт выполненных работ/оказанных услуг). Фиксация курса на дату оплаты невозможна.           </t>
        </is>
      </c>
      <c r="K25" s="63" t="n"/>
      <c r="L25" s="63" t="n"/>
      <c r="M25" s="63" t="n"/>
    </row>
    <row r="26">
      <c r="A26" s="63" t="n"/>
      <c r="B26" s="63" t="inlineStr">
        <is>
          <t>С техническим заданием (спецификацией на закупку) и приложениями к нему ознакомлены и согласны. Срок действия КП - 2 месяца.</t>
        </is>
      </c>
      <c r="K26" s="63" t="n"/>
      <c r="L26" s="63" t="n"/>
      <c r="M26" s="63" t="n"/>
    </row>
    <row r="27">
      <c r="B27" s="64" t="inlineStr">
        <is>
          <t>Вся продукция отгружается с полным пакетом документов: паспорт на изделие, контроль ОТК, сертификат на материалы и др.</t>
        </is>
      </c>
    </row>
    <row r="28" ht="12.75" customHeight="1" s="19">
      <c r="B28" s="26" t="inlineStr">
        <is>
          <t>ООО «НЕОСТРОЙ»</t>
        </is>
      </c>
      <c r="C28" s="27" t="n"/>
      <c r="D28" s="27" t="n"/>
      <c r="E28" s="27" t="n"/>
    </row>
    <row r="29" ht="12.75" customHeight="1" s="19">
      <c r="B29" s="28" t="inlineStr">
        <is>
          <t>Генеральный директор ______________ Улогов Р.В.</t>
        </is>
      </c>
      <c r="C29" s="27" t="n"/>
      <c r="D29" s="27" t="n"/>
      <c r="E29" s="27" t="n"/>
    </row>
    <row r="30" ht="12.75" customHeight="1" s="19">
      <c r="B30" s="29" t="inlineStr">
        <is>
          <t>М.П.</t>
        </is>
      </c>
    </row>
    <row r="31"/>
    <row r="32" ht="9.949999999999999" customHeight="1" s="19">
      <c r="B32" s="44" t="n"/>
    </row>
    <row r="33" ht="9.949999999999999" customHeight="1" s="19"/>
    <row r="34"/>
    <row r="35"/>
    <row r="36"/>
    <row r="37"/>
    <row r="38">
      <c r="A38" s="63" t="n"/>
    </row>
    <row r="39">
      <c r="A39" s="63" t="n"/>
    </row>
  </sheetData>
  <mergeCells count="38">
    <mergeCell ref="F4:G4"/>
    <mergeCell ref="A24:B24"/>
    <mergeCell ref="C23:F23"/>
    <mergeCell ref="A5:M5"/>
    <mergeCell ref="A15:B15"/>
    <mergeCell ref="C17:F17"/>
    <mergeCell ref="B32:M33"/>
    <mergeCell ref="H4:I4"/>
    <mergeCell ref="A6:A7"/>
    <mergeCell ref="C19:F19"/>
    <mergeCell ref="F3:G3"/>
    <mergeCell ref="C18:F18"/>
    <mergeCell ref="A16:B16"/>
    <mergeCell ref="C6:F6"/>
    <mergeCell ref="M6:M7"/>
    <mergeCell ref="C15:F15"/>
    <mergeCell ref="C24:F24"/>
    <mergeCell ref="A18:B18"/>
    <mergeCell ref="B6:B7"/>
    <mergeCell ref="A21:B21"/>
    <mergeCell ref="J4:K4"/>
    <mergeCell ref="C20:F20"/>
    <mergeCell ref="B26:J26"/>
    <mergeCell ref="C16:F16"/>
    <mergeCell ref="A23:B23"/>
    <mergeCell ref="A17:B17"/>
    <mergeCell ref="B2:K2"/>
    <mergeCell ref="A22:B22"/>
    <mergeCell ref="H3:I3"/>
    <mergeCell ref="C22:F22"/>
    <mergeCell ref="G6:J6"/>
    <mergeCell ref="B25:J25"/>
    <mergeCell ref="A20:B20"/>
    <mergeCell ref="J3:K3"/>
    <mergeCell ref="A19:B19"/>
    <mergeCell ref="C21:F21"/>
    <mergeCell ref="B27:J27"/>
    <mergeCell ref="K6:L6"/>
  </mergeCells>
  <printOptions horizontalCentered="1"/>
  <pageMargins left="0.1968503937007874" right="0.1574803149606299" top="0.3937007874015748" bottom="0.1968503937007874" header="0.3149606299212598" footer="0.1181102362204725"/>
  <pageSetup orientation="landscape" paperSize="9" scale="55" fitToHeight="2"/>
  <rowBreaks count="1" manualBreakCount="1">
    <brk id="31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Sihwan</dc:creator>
  <dcterms:created xmlns:dcterms="http://purl.org/dc/terms/" xmlns:xsi="http://www.w3.org/2001/XMLSchema-instance" xsi:type="dcterms:W3CDTF">2015-01-12T12:27:40Z</dcterms:created>
  <dcterms:modified xmlns:dcterms="http://purl.org/dc/terms/" xmlns:xsi="http://www.w3.org/2001/XMLSchema-instance" xsi:type="dcterms:W3CDTF">2026-10-28T14:55:43Z</dcterms:modified>
  <cp:lastModifiedBy>Novikov Konstantin</cp:lastModifiedBy>
  <cp:revision>1</cp:revision>
  <cp:lastPrinted>2025-12-17T12:30:59Z</cp:lastPrinted>
</cp:coreProperties>
</file>