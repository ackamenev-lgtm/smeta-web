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Расчет стоимости услуг" sheetId="1" state="visible" r:id="rId3"/>
  </sheets>
  <definedNames>
    <definedName function="false" hidden="false" localSheetId="0" name="_xlnm.Print_Area" vbProcedure="false">'Расчет стоимости услуг'!$A$1:$F$43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<sst xmlns="http://schemas.openxmlformats.org/spreadsheetml/2006/main" count="78" uniqueCount="50">
  <si>
    <t xml:space="preserve">Приложение № 2</t>
  </si>
  <si>
    <t xml:space="preserve">к Контракту № ______</t>
  </si>
  <si>
    <t xml:space="preserve">от ___________ 20___ г.</t>
  </si>
  <si>
    <t xml:space="preserve">Снижение от НМЦК, % (служебная ячейка, при печати скрыть колонку H)</t>
  </si>
  <si>
    <t xml:space="preserve">Расчет стоимости услуг</t>
  </si>
  <si>
    <t xml:space="preserve">№ п/п</t>
  </si>
  <si>
    <t xml:space="preserve">Наименование и виды услуг</t>
  </si>
  <si>
    <t xml:space="preserve">Ед. изм.</t>
  </si>
  <si>
    <t xml:space="preserve">Кол-во ед. услуг</t>
  </si>
  <si>
    <t xml:space="preserve">Цена за единицу с учетом НДС (руб.)</t>
  </si>
  <si>
    <t xml:space="preserve">Общая стоимость с учетом НДС (руб.)</t>
  </si>
  <si>
    <t xml:space="preserve">НМЦК позиции, год (служ.)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</si>
  <si>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диспетчеризации здания по адресу: ул. Бабушкина д.30 стр.1</t>
  </si>
  <si>
    <t xml:space="preserve">мес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</si>
  <si>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теплоснабжения (в т. ч. индивидуальный тепловой пункт (ИТП) здания, наружные сети между объектовой котельной и зданием) здания по адресу: ул. Бабушкина д.30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</si>
  <si>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холодного и горячего водоснабжения и водоотведения здания по адресу: ул. Бабушкина д.30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</si>
  <si>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наружных сетей водоснабжения и общесплавной канализации до границ балансовой принадлежности и эксплуатационной ответственности, в т. ч. ливневая канализация по адресу: ул. Бабушкина д.30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</si>
  <si>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внутреннего электроснабжения здания по адресу: ул. Бабушкина д.30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</si>
  <si>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сети наружного электроснабжения (наружные кабельные линии от РТП до ГРЩ здания) по адресу: ул. Бабушкина д. 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</si>
  <si>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наружного освещения (в т. ч. архитектурная подсветка) по адресу: ул. Бабушкина д. 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</si>
  <si>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автоматизированной системы холодоснабжения ледовых полей здания по адресу: ул. Бабушкина д. 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</si>
  <si>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вентиляции, осушения и обогрева ледовых полей здания по адресу: ул. Бабушкина д. 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</si>
  <si>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общеобменной вентиляции здания по адресу: ул. Бабушкина д. 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</si>
  <si>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кондиционирования воздуха помещений здания по адресу: ул. Бабушкина д. 30 стр.1</t>
  </si>
  <si>
    <t xml:space="preserve">Техническое обслуживание сбалансированных промышленных секционных ворот здания по адресу: ул. Бабушкина д. 30 стр.1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</si>
  <si>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 общеобменной вентиляции здания по адресу: Железнодорожный пр. д. 32 лит. А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</si>
  <si>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отопления и горячего водоснабжения здания по адресу: Железнодорожный пр. д. 32 лит. А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</si>
  <si>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водоснабжения и водоотведения здания по адресу: Железнодорожный пр. д. 32 лит. А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</si>
  <si>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наружных сетей водоснабжения и общесплавной канализации до границ балансовой принадлежности и эксплуатационной ответственности (в т.ч. водомерный узел в отдельно стоящем здании, дренажная система стадиона) по адресу: Железнодорожный пр. д. 32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</si>
  <si>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внутреннего электроснабжения здания по адресу: Железнодорожный пр. д. 32 лит. А</t>
  </si>
  <si>
    <t xml:space="preserve">Техническое обслуживание и техническая эксплуатация сетей наружного электроснабжения (наружные кабельные линии от ТП до ГРЩ здания, сети временной инфраструктуры) по адресу: Железнодорожный пр. д. 32</t>
  </si>
  <si>
    <t xml:space="preserve">Техническое обслуживание и техническая эксплуатация системы наружного освещения (в т. ч. наружные кабельные сети) по адресу: Железнодорожный пр. д. 32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</si>
  <si>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тепловых сетей индивидуального теплового пункта по адресу: ул. Седова д. 55 корп. 2</t>
  </si>
  <si>
    <t xml:space="preserve">Техническое обслуживание и техническая эксплуатация систем узла учета индивидуального теплового пункта по адресу: ул. Седова д. 55 корп. 2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</si>
  <si>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наружных внеплощадочных сетей теплоснабжения и горячего водоснабжения между индивидуальным тепловым пунктом и Физкультурно-оздоровительным комплексом по адресу: ул. Седова д. 55 корп. 2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</si>
  <si>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водоснабжения и водоотведения гаража (в т. ч. подводящие наружные сети водоснабжения от Физкультурно-оздоровительного комплекса и выпуски общесплавной канализации) по адресу: Железнодорожный пр., земельный участок 32, кадастровый номер 78:12:0007127:3430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</si>
  <si>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внутреннего электроснабжения здания (в т. ч. подводящая наружная кабельная линия от ГРЩ Физкультурно-оздоровительного комплекса) по адресу: Железнодорожный пр., земельный участок 32, кадастровый номер 78:12:0007127:3430</t>
  </si>
  <si>
    <t xml:space="preserve">Техническое обслуживание сбалансированные промышленные секционные ворота здания по адресу: Железнодорожный пр., земельный участок 32, кадастровый номер 78:12:0007127:3430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</si>
  <si>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горячего и холодного водоснабжения и водоотведения модульного здания по адресу: пр. Обуховской Обороны, кадастровый номер 78:12:0007021:3303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</si>
  <si>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дренажной системы плоскостного физкультурно-спортивного сооружения по адресу: пр. Обуховской Обороны, кадастровый номер 78:12:0007021:3303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</si>
  <si>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системы внутреннего электроснабжения модульного здания по адресу: пр. Обуховской Обороны, кадастровый номер 78:12:0007021:3303</t>
  </si>
  <si>
    <t xml:space="preserve">Техническое обслуживание и техническая эксплуатация систем, сетей инженерно-технического обеспечения их элементов, оборудования сети наружного электроснабжения (наружные кабельные линии от КК до ВРУ модульного здания) по адресу: пр. Обуховской Обороны, кадастровый номер 78:12:0007021:3303</t>
  </si>
  <si>
    <t xml:space="preserve">Итого:</t>
  </si>
  <si>
    <t xml:space="preserve">в т.ч. НДС 22 %</t>
  </si>
  <si>
    <t xml:space="preserve">ЗАКАЗЧИК:</t>
  </si>
  <si>
    <t xml:space="preserve">ИСПОЛНИТЕЛЬ:</t>
  </si>
  <si>
    <t xml:space="preserve">Главный инженер СПб ГБУ «ЦФКСиЗ Невского района»</t>
  </si>
  <si>
    <t xml:space="preserve">Генеральный директор ООО «НЕОСТРОЙ»</t>
  </si>
  <si>
    <t xml:space="preserve">_________________ /О. В. Бойцов /</t>
  </si>
  <si>
    <t xml:space="preserve">_________________ / Р. В. Улогов 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</si>
</sst>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6" min="5" style="0" width="18"/>
    <col collapsed="false" customWidth="true" hidden="false" outlineLevel="0" max="7" min="7" style="0" width="3"/>
    <col collapsed="false" customWidth="true" hidden="false" outlineLevel="0" max="8" min="8" style="0" width="16"/>
  </cols>
  <sheetData>
    <row r="1" customFormat="false" ht="15" hidden="false" customHeight="false" outlineLevel="0" collapsed="false">
      <c r="F1" s="1" t="s">
        <v>0</v>
      </c>
    </row>
    <row r="2" customFormat="false" ht="15" hidden="false" customHeight="false" outlineLevel="0" collapsed="false">
      <c r="F2" s="1" t="s">
        <v>1</v>
      </c>
    </row>
    <row r="3" customFormat="false" ht="15" hidden="false" customHeight="false" outlineLevel="0" collapsed="false">
      <c r="F3" s="1" t="s">
        <v>2</v>
      </c>
      <c r="H3" s="2" t="s">
        <v>3</v>
      </c>
    </row>
    <row r="4" customFormat="false" ht="15" hidden="false" customHeight="false" outlineLevel="0" collapsed="false">
      <c r="H4" s="3" t="n">
        <v>0</v>
      </c>
    </row>
    <row r="5" customFormat="false" ht="18.65" hidden="false" customHeight="true" outlineLevel="0" collapsed="false">
      <c r="A5" s="4" t="s">
        <v>4</v>
      </c>
      <c r="B5" s="4"/>
      <c r="C5" s="4"/>
      <c r="D5" s="4"/>
      <c r="E5" s="4"/>
      <c r="F5" s="4"/>
    </row>
    <row r="7" customFormat="false" ht="45" hidden="false" customHeight="tru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/>
      <c r="H7" s="5" t="s">
        <v>11</v>
      </c>
    </row>
    <row r="8" customFormat="false" ht="63.75" hidden="false" customHeight="true" outlineLevel="0" collapsed="false">
      <c r="A8" s="6" t="n">
        <v>1</v>
      </c>
      <c r="B8" s="7" t="s">
        <v>12</v>
      </c>
      <c r="C8" s="6" t="s">
        <v>13</v>
      </c>
      <c r="D8" s="6" t="n">
        <v>12</v>
      </c>
      <c r="E8" s="8" t="n">
        <f aca="false">ROUND(H8/12*(1-$H$4),2)</f>
        <v>131099.06</v>
      </c>
      <c r="F8" s="8" t="n">
        <f aca="false">ROUND(D8*E8,2)</f>
        <v>1573188.72</v>
      </c>
      <c r="H8" s="9" t="n">
        <v>1573188.72</v>
      </c>
    </row>
    <row r="9" customFormat="false" ht="78" hidden="false" customHeight="true" outlineLevel="0" collapsed="false">
      <c r="A9" s="6" t="n">
        <v>2</v>
      </c>
      <c r="B9" s="7" t="s">
        <v>14</v>
      </c>
      <c r="C9" s="6" t="s">
        <v>13</v>
      </c>
      <c r="D9" s="6" t="n">
        <v>12</v>
      </c>
      <c r="E9" s="8" t="n">
        <f aca="false">ROUND(H9/12*(1-$H$4),2)</f>
        <v>126507.22</v>
      </c>
      <c r="F9" s="8" t="n">
        <f aca="false">ROUND(D9*E9,2)</f>
        <v>1518086.64</v>
      </c>
      <c r="H9" s="9" t="n">
        <v>1518086.64</v>
      </c>
    </row>
    <row r="10" customFormat="false" ht="63.75" hidden="false" customHeight="true" outlineLevel="0" collapsed="false">
      <c r="A10" s="6" t="n">
        <v>3</v>
      </c>
      <c r="B10" s="7" t="s">
        <v>15</v>
      </c>
      <c r="C10" s="6" t="s">
        <v>13</v>
      </c>
      <c r="D10" s="6" t="n">
        <v>12</v>
      </c>
      <c r="E10" s="8" t="n">
        <f aca="false">ROUND(H10/12*(1-$H$4),2)</f>
        <v>135314.8</v>
      </c>
      <c r="F10" s="8" t="n">
        <f aca="false">ROUND(D10*E10,2)</f>
        <v>1623777.6</v>
      </c>
      <c r="H10" s="9" t="n">
        <v>1623777.6</v>
      </c>
    </row>
    <row r="11" customFormat="false" ht="91.5" hidden="false" customHeight="true" outlineLevel="0" collapsed="false">
      <c r="A11" s="6" t="n">
        <v>4</v>
      </c>
      <c r="B11" s="7" t="s">
        <v>16</v>
      </c>
      <c r="C11" s="6" t="s">
        <v>13</v>
      </c>
      <c r="D11" s="6" t="n">
        <v>12</v>
      </c>
      <c r="E11" s="8" t="n">
        <f aca="false">ROUND(H11/12*(1-$H$4),2)</f>
        <v>80137.67</v>
      </c>
      <c r="F11" s="8" t="n">
        <f aca="false">ROUND(D11*E11,2)</f>
        <v>961652.04</v>
      </c>
      <c r="H11" s="9" t="n">
        <v>961652.04</v>
      </c>
    </row>
    <row r="12" customFormat="false" ht="63.75" hidden="false" customHeight="true" outlineLevel="0" collapsed="false">
      <c r="A12" s="6" t="n">
        <v>5</v>
      </c>
      <c r="B12" s="7" t="s">
        <v>17</v>
      </c>
      <c r="C12" s="6" t="s">
        <v>13</v>
      </c>
      <c r="D12" s="6" t="n">
        <v>12</v>
      </c>
      <c r="E12" s="8" t="n">
        <f aca="false">ROUND(H12/12*(1-$H$4),2)</f>
        <v>127988.24</v>
      </c>
      <c r="F12" s="8" t="n">
        <f aca="false">ROUND(D12*E12,2)</f>
        <v>1535858.88</v>
      </c>
      <c r="H12" s="9" t="n">
        <v>1535858.88</v>
      </c>
    </row>
    <row r="13" customFormat="false" ht="78" hidden="false" customHeight="true" outlineLevel="0" collapsed="false">
      <c r="A13" s="6" t="n">
        <v>6</v>
      </c>
      <c r="B13" s="7" t="s">
        <v>18</v>
      </c>
      <c r="C13" s="6" t="s">
        <v>13</v>
      </c>
      <c r="D13" s="6" t="n">
        <v>12</v>
      </c>
      <c r="E13" s="8" t="n">
        <f aca="false">ROUND(H13/12*(1-$H$4),2)</f>
        <v>85112.68</v>
      </c>
      <c r="F13" s="8" t="n">
        <f aca="false">ROUND(D13*E13,2)</f>
        <v>1021352.16</v>
      </c>
      <c r="H13" s="9" t="n">
        <v>1021352.16</v>
      </c>
    </row>
    <row r="14" customFormat="false" ht="63.75" hidden="false" customHeight="true" outlineLevel="0" collapsed="false">
      <c r="A14" s="6" t="n">
        <v>7</v>
      </c>
      <c r="B14" s="7" t="s">
        <v>19</v>
      </c>
      <c r="C14" s="6" t="s">
        <v>13</v>
      </c>
      <c r="D14" s="6" t="n">
        <v>12</v>
      </c>
      <c r="E14" s="8" t="n">
        <f aca="false">ROUND(H14/12*(1-$H$4),2)</f>
        <v>53474.66</v>
      </c>
      <c r="F14" s="8" t="n">
        <f aca="false">ROUND(D14*E14,2)</f>
        <v>641695.92</v>
      </c>
      <c r="H14" s="9" t="n">
        <v>641695.92</v>
      </c>
    </row>
    <row r="15" customFormat="false" ht="63.75" hidden="false" customHeight="true" outlineLevel="0" collapsed="false">
      <c r="A15" s="6" t="n">
        <v>8</v>
      </c>
      <c r="B15" s="7" t="s">
        <v>20</v>
      </c>
      <c r="C15" s="6" t="s">
        <v>13</v>
      </c>
      <c r="D15" s="6" t="n">
        <v>12</v>
      </c>
      <c r="E15" s="8" t="n">
        <f aca="false">ROUND(H15/12*(1-$H$4),2)</f>
        <v>457386.42</v>
      </c>
      <c r="F15" s="8" t="n">
        <f aca="false">ROUND(D15*E15,2)</f>
        <v>5488637.04</v>
      </c>
      <c r="H15" s="9" t="n">
        <v>5488637.04</v>
      </c>
    </row>
    <row r="16" customFormat="false" ht="63.75" hidden="false" customHeight="true" outlineLevel="0" collapsed="false">
      <c r="A16" s="6" t="n">
        <v>9</v>
      </c>
      <c r="B16" s="7" t="s">
        <v>21</v>
      </c>
      <c r="C16" s="6" t="s">
        <v>13</v>
      </c>
      <c r="D16" s="6" t="n">
        <v>12</v>
      </c>
      <c r="E16" s="8" t="n">
        <f aca="false">ROUND(H16/12*(1-$H$4),2)</f>
        <v>82683.55</v>
      </c>
      <c r="F16" s="8" t="n">
        <f aca="false">ROUND(D16*E16,2)</f>
        <v>992202.6</v>
      </c>
      <c r="H16" s="9" t="n">
        <v>992202.6</v>
      </c>
    </row>
    <row r="17" customFormat="false" ht="63.75" hidden="false" customHeight="true" outlineLevel="0" collapsed="false">
      <c r="A17" s="6" t="n">
        <v>10</v>
      </c>
      <c r="B17" s="7" t="s">
        <v>22</v>
      </c>
      <c r="C17" s="6" t="s">
        <v>13</v>
      </c>
      <c r="D17" s="6" t="n">
        <v>12</v>
      </c>
      <c r="E17" s="8" t="n">
        <f aca="false">ROUND(H17/12*(1-$H$4),2)</f>
        <v>79091.31</v>
      </c>
      <c r="F17" s="8" t="n">
        <f aca="false">ROUND(D17*E17,2)</f>
        <v>949095.72</v>
      </c>
      <c r="H17" s="9" t="n">
        <v>949095.72</v>
      </c>
    </row>
    <row r="18" customFormat="false" ht="63.75" hidden="false" customHeight="true" outlineLevel="0" collapsed="false">
      <c r="A18" s="6" t="n">
        <v>11</v>
      </c>
      <c r="B18" s="7" t="s">
        <v>23</v>
      </c>
      <c r="C18" s="6" t="s">
        <v>13</v>
      </c>
      <c r="D18" s="6" t="n">
        <v>12</v>
      </c>
      <c r="E18" s="8" t="n">
        <f aca="false">ROUND(H18/12*(1-$H$4),2)</f>
        <v>75201.2</v>
      </c>
      <c r="F18" s="8" t="n">
        <f aca="false">ROUND(D18*E18,2)</f>
        <v>902414.4</v>
      </c>
      <c r="H18" s="9" t="n">
        <v>902414.4</v>
      </c>
    </row>
    <row r="19" customFormat="false" ht="36" hidden="false" customHeight="true" outlineLevel="0" collapsed="false">
      <c r="A19" s="6" t="n">
        <v>12</v>
      </c>
      <c r="B19" s="7" t="s">
        <v>24</v>
      </c>
      <c r="C19" s="6" t="s">
        <v>13</v>
      </c>
      <c r="D19" s="6" t="n">
        <v>12</v>
      </c>
      <c r="E19" s="8" t="n">
        <f aca="false">ROUND(H19/12*(1-$H$4),2)</f>
        <v>24373.04</v>
      </c>
      <c r="F19" s="8" t="n">
        <f aca="false">ROUND(D19*E19,2)</f>
        <v>292476.48</v>
      </c>
      <c r="H19" s="9" t="n">
        <v>292476.48</v>
      </c>
    </row>
    <row r="20" customFormat="false" ht="63.75" hidden="false" customHeight="true" outlineLevel="0" collapsed="false">
      <c r="A20" s="6" t="n">
        <v>13</v>
      </c>
      <c r="B20" s="7" t="s">
        <v>25</v>
      </c>
      <c r="C20" s="6" t="s">
        <v>13</v>
      </c>
      <c r="D20" s="6" t="n">
        <v>12</v>
      </c>
      <c r="E20" s="8" t="n">
        <f aca="false">ROUND(H20/12*(1-$H$4),2)</f>
        <v>52116.49</v>
      </c>
      <c r="F20" s="8" t="n">
        <f aca="false">ROUND(D20*E20,2)</f>
        <v>625397.88</v>
      </c>
      <c r="H20" s="9" t="n">
        <v>625397.88</v>
      </c>
    </row>
    <row r="21" customFormat="false" ht="63.75" hidden="false" customHeight="true" outlineLevel="0" collapsed="false">
      <c r="A21" s="6" t="n">
        <v>14</v>
      </c>
      <c r="B21" s="7" t="s">
        <v>26</v>
      </c>
      <c r="C21" s="6" t="s">
        <v>13</v>
      </c>
      <c r="D21" s="6" t="n">
        <v>12</v>
      </c>
      <c r="E21" s="8" t="n">
        <f aca="false">ROUND(H21/12*(1-$H$4),2)</f>
        <v>54520.21</v>
      </c>
      <c r="F21" s="8" t="n">
        <f aca="false">ROUND(D21*E21,2)</f>
        <v>654242.52</v>
      </c>
      <c r="H21" s="9" t="n">
        <v>654242.52</v>
      </c>
    </row>
    <row r="22" customFormat="false" ht="63.75" hidden="false" customHeight="true" outlineLevel="0" collapsed="false">
      <c r="A22" s="6" t="n">
        <v>15</v>
      </c>
      <c r="B22" s="7" t="s">
        <v>27</v>
      </c>
      <c r="C22" s="6" t="s">
        <v>13</v>
      </c>
      <c r="D22" s="6" t="n">
        <v>12</v>
      </c>
      <c r="E22" s="8" t="n">
        <f aca="false">ROUND(H22/12*(1-$H$4),2)</f>
        <v>21891.46</v>
      </c>
      <c r="F22" s="8" t="n">
        <f aca="false">ROUND(D22*E22,2)</f>
        <v>262697.52</v>
      </c>
      <c r="H22" s="9" t="n">
        <v>262697.52</v>
      </c>
    </row>
    <row r="23" customFormat="false" ht="105.75" hidden="false" customHeight="true" outlineLevel="0" collapsed="false">
      <c r="A23" s="6" t="n">
        <v>16</v>
      </c>
      <c r="B23" s="7" t="s">
        <v>28</v>
      </c>
      <c r="C23" s="6" t="s">
        <v>13</v>
      </c>
      <c r="D23" s="6" t="n">
        <v>12</v>
      </c>
      <c r="E23" s="8" t="n">
        <f aca="false">ROUND(H23/12*(1-$H$4),2)</f>
        <v>52175.66</v>
      </c>
      <c r="F23" s="8" t="n">
        <f aca="false">ROUND(D23*E23,2)</f>
        <v>626107.92</v>
      </c>
      <c r="H23" s="9" t="n">
        <v>626107.92</v>
      </c>
    </row>
    <row r="24" customFormat="false" ht="63.75" hidden="false" customHeight="true" outlineLevel="0" collapsed="false">
      <c r="A24" s="6" t="n">
        <v>17</v>
      </c>
      <c r="B24" s="7" t="s">
        <v>29</v>
      </c>
      <c r="C24" s="6" t="s">
        <v>13</v>
      </c>
      <c r="D24" s="6" t="n">
        <v>12</v>
      </c>
      <c r="E24" s="8" t="n">
        <f aca="false">ROUND(H24/12*(1-$H$4),2)</f>
        <v>47734.15</v>
      </c>
      <c r="F24" s="8" t="n">
        <f aca="false">ROUND(D24*E24,2)</f>
        <v>572809.8</v>
      </c>
      <c r="H24" s="9" t="n">
        <v>572809.8</v>
      </c>
    </row>
    <row r="25" customFormat="false" ht="63.75" hidden="false" customHeight="true" outlineLevel="0" collapsed="false">
      <c r="A25" s="6" t="n">
        <v>18</v>
      </c>
      <c r="B25" s="7" t="s">
        <v>30</v>
      </c>
      <c r="C25" s="6" t="s">
        <v>13</v>
      </c>
      <c r="D25" s="6" t="n">
        <v>12</v>
      </c>
      <c r="E25" s="8" t="n">
        <f aca="false">ROUND(H25/12*(1-$H$4),2)</f>
        <v>45556.39</v>
      </c>
      <c r="F25" s="8" t="n">
        <f aca="false">ROUND(D25*E25,2)</f>
        <v>546676.68</v>
      </c>
      <c r="H25" s="9" t="n">
        <v>546676.68</v>
      </c>
    </row>
    <row r="26" customFormat="false" ht="49.5" hidden="false" customHeight="true" outlineLevel="0" collapsed="false">
      <c r="A26" s="6" t="n">
        <v>19</v>
      </c>
      <c r="B26" s="7" t="s">
        <v>31</v>
      </c>
      <c r="C26" s="6" t="s">
        <v>13</v>
      </c>
      <c r="D26" s="6" t="n">
        <v>12</v>
      </c>
      <c r="E26" s="8" t="n">
        <f aca="false">ROUND(H26/12*(1-$H$4),2)</f>
        <v>69755.09</v>
      </c>
      <c r="F26" s="8" t="n">
        <f aca="false">ROUND(D26*E26,2)</f>
        <v>837061.08</v>
      </c>
      <c r="H26" s="9" t="n">
        <v>837061.08</v>
      </c>
    </row>
    <row r="27" customFormat="false" ht="63.75" hidden="false" customHeight="true" outlineLevel="0" collapsed="false">
      <c r="A27" s="6" t="n">
        <v>20</v>
      </c>
      <c r="B27" s="7" t="s">
        <v>32</v>
      </c>
      <c r="C27" s="6" t="s">
        <v>13</v>
      </c>
      <c r="D27" s="6" t="n">
        <v>12</v>
      </c>
      <c r="E27" s="8" t="n">
        <f aca="false">ROUND(H27/12*(1-$H$4),2)</f>
        <v>10174.83</v>
      </c>
      <c r="F27" s="8" t="n">
        <f aca="false">ROUND(D27*E27,2)</f>
        <v>122097.96</v>
      </c>
      <c r="H27" s="9" t="n">
        <v>122097.96</v>
      </c>
    </row>
    <row r="28" customFormat="false" ht="49.5" hidden="false" customHeight="true" outlineLevel="0" collapsed="false">
      <c r="A28" s="6" t="n">
        <v>21</v>
      </c>
      <c r="B28" s="7" t="s">
        <v>33</v>
      </c>
      <c r="C28" s="6" t="s">
        <v>13</v>
      </c>
      <c r="D28" s="6" t="n">
        <v>12</v>
      </c>
      <c r="E28" s="8" t="n">
        <f aca="false">ROUND(H28/12*(1-$H$4),2)</f>
        <v>16970.55</v>
      </c>
      <c r="F28" s="8" t="n">
        <f aca="false">ROUND(D28*E28,2)</f>
        <v>203646.6</v>
      </c>
      <c r="H28" s="9" t="n">
        <v>203646.6</v>
      </c>
    </row>
    <row r="29" customFormat="false" ht="91.5" hidden="false" customHeight="true" outlineLevel="0" collapsed="false">
      <c r="A29" s="6" t="n">
        <v>22</v>
      </c>
      <c r="B29" s="7" t="s">
        <v>34</v>
      </c>
      <c r="C29" s="6" t="s">
        <v>13</v>
      </c>
      <c r="D29" s="6" t="n">
        <v>12</v>
      </c>
      <c r="E29" s="8" t="n">
        <f aca="false">ROUND(H29/12*(1-$H$4),2)</f>
        <v>66809.71</v>
      </c>
      <c r="F29" s="8" t="n">
        <f aca="false">ROUND(D29*E29,2)</f>
        <v>801716.52</v>
      </c>
      <c r="H29" s="9" t="n">
        <v>801716.52</v>
      </c>
    </row>
    <row r="30" customFormat="false" ht="105.75" hidden="false" customHeight="true" outlineLevel="0" collapsed="false">
      <c r="A30" s="6" t="n">
        <v>23</v>
      </c>
      <c r="B30" s="7" t="s">
        <v>35</v>
      </c>
      <c r="C30" s="6" t="s">
        <v>13</v>
      </c>
      <c r="D30" s="6" t="n">
        <v>12</v>
      </c>
      <c r="E30" s="8" t="n">
        <f aca="false">ROUND(H30/12*(1-$H$4),2)</f>
        <v>27518.58</v>
      </c>
      <c r="F30" s="8" t="n">
        <f aca="false">ROUND(D30*E30,2)</f>
        <v>330222.96</v>
      </c>
      <c r="H30" s="9" t="n">
        <v>330222.96</v>
      </c>
    </row>
    <row r="31" customFormat="false" ht="91.5" hidden="false" customHeight="true" outlineLevel="0" collapsed="false">
      <c r="A31" s="6" t="n">
        <v>24</v>
      </c>
      <c r="B31" s="7" t="s">
        <v>36</v>
      </c>
      <c r="C31" s="6" t="s">
        <v>13</v>
      </c>
      <c r="D31" s="6" t="n">
        <v>12</v>
      </c>
      <c r="E31" s="8" t="n">
        <f aca="false">ROUND(H31/12*(1-$H$4),2)</f>
        <v>26889.8</v>
      </c>
      <c r="F31" s="8" t="n">
        <f aca="false">ROUND(D31*E31,2)</f>
        <v>322677.6</v>
      </c>
      <c r="H31" s="9" t="n">
        <v>322677.6</v>
      </c>
    </row>
    <row r="32" customFormat="false" ht="49.5" hidden="false" customHeight="true" outlineLevel="0" collapsed="false">
      <c r="A32" s="6" t="n">
        <v>25</v>
      </c>
      <c r="B32" s="7" t="s">
        <v>37</v>
      </c>
      <c r="C32" s="6" t="s">
        <v>13</v>
      </c>
      <c r="D32" s="6" t="n">
        <v>12</v>
      </c>
      <c r="E32" s="8" t="n">
        <f aca="false">ROUND(H32/12*(1-$H$4),2)</f>
        <v>22935.32</v>
      </c>
      <c r="F32" s="8" t="n">
        <f aca="false">ROUND(D32*E32,2)</f>
        <v>275223.84</v>
      </c>
      <c r="H32" s="9" t="n">
        <v>275223.84</v>
      </c>
    </row>
    <row r="33" customFormat="false" ht="78" hidden="false" customHeight="true" outlineLevel="0" collapsed="false">
      <c r="A33" s="6" t="n">
        <v>26</v>
      </c>
      <c r="B33" s="7" t="s">
        <v>38</v>
      </c>
      <c r="C33" s="6" t="s">
        <v>13</v>
      </c>
      <c r="D33" s="6" t="n">
        <v>12</v>
      </c>
      <c r="E33" s="8" t="n">
        <f aca="false">ROUND(H33/12*(1-$H$4),2)</f>
        <v>15123.75</v>
      </c>
      <c r="F33" s="8" t="n">
        <f aca="false">ROUND(D33*E33,2)</f>
        <v>181485</v>
      </c>
      <c r="H33" s="9" t="n">
        <v>181485</v>
      </c>
    </row>
    <row r="34" customFormat="false" ht="78" hidden="false" customHeight="true" outlineLevel="0" collapsed="false">
      <c r="A34" s="6" t="n">
        <v>27</v>
      </c>
      <c r="B34" s="7" t="s">
        <v>39</v>
      </c>
      <c r="C34" s="6" t="s">
        <v>13</v>
      </c>
      <c r="D34" s="6" t="n">
        <v>12</v>
      </c>
      <c r="E34" s="8" t="n">
        <f aca="false">ROUND(H34/12*(1-$H$4),2)</f>
        <v>10820.33</v>
      </c>
      <c r="F34" s="8" t="n">
        <f aca="false">ROUND(D34*E34,2)</f>
        <v>129843.96</v>
      </c>
      <c r="H34" s="9" t="n">
        <v>129843.96</v>
      </c>
    </row>
    <row r="35" customFormat="false" ht="78" hidden="false" customHeight="true" outlineLevel="0" collapsed="false">
      <c r="A35" s="6" t="n">
        <v>28</v>
      </c>
      <c r="B35" s="7" t="s">
        <v>40</v>
      </c>
      <c r="C35" s="6" t="s">
        <v>13</v>
      </c>
      <c r="D35" s="6" t="n">
        <v>12</v>
      </c>
      <c r="E35" s="8" t="n">
        <f aca="false">ROUND(H35/12*(1-$H$4),2)</f>
        <v>19645.35</v>
      </c>
      <c r="F35" s="8" t="n">
        <f aca="false">ROUND(D35*E35,2)</f>
        <v>235744.2</v>
      </c>
      <c r="H35" s="9" t="n">
        <v>235744.2</v>
      </c>
    </row>
    <row r="36" customFormat="false" ht="78" hidden="false" customHeight="true" outlineLevel="0" collapsed="false">
      <c r="A36" s="6" t="n">
        <v>29</v>
      </c>
      <c r="B36" s="7" t="s">
        <v>41</v>
      </c>
      <c r="C36" s="6" t="s">
        <v>13</v>
      </c>
      <c r="D36" s="6" t="n">
        <v>12</v>
      </c>
      <c r="E36" s="8" t="n">
        <f aca="false">ROUND(H36/12*(1-$H$4),2)</f>
        <v>17389.74</v>
      </c>
      <c r="F36" s="8" t="n">
        <f aca="false">ROUND(D36*E36,2)</f>
        <v>208676.88</v>
      </c>
      <c r="H36" s="9" t="n">
        <v>208676.88</v>
      </c>
    </row>
    <row r="37" customFormat="false" ht="16.4" hidden="false" customHeight="false" outlineLevel="0" collapsed="false">
      <c r="A37" s="7"/>
      <c r="B37" s="10" t="s">
        <v>42</v>
      </c>
      <c r="C37" s="7"/>
      <c r="D37" s="7"/>
      <c r="E37" s="7"/>
      <c r="F37" s="8" t="n">
        <f aca="false">SUM(F8:F36)</f>
        <v>24436767.12</v>
      </c>
      <c r="H37" s="9" t="n">
        <f aca="false">SUM(H8:H36)</f>
        <v>24436767.12</v>
      </c>
    </row>
    <row r="38" customFormat="false" ht="16.4" hidden="false" customHeight="false" outlineLevel="0" collapsed="false">
      <c r="A38" s="7"/>
      <c r="B38" s="7" t="s">
        <v>43</v>
      </c>
      <c r="C38" s="7"/>
      <c r="D38" s="7"/>
      <c r="E38" s="7"/>
      <c r="F38" s="8" t="n">
        <f aca="false">ROUND(F37*22/122,2)</f>
        <v>4406630.14</v>
      </c>
    </row>
    <row r="40" customFormat="false" ht="15" hidden="false" customHeight="false" outlineLevel="0" collapsed="false">
      <c r="A40" s="0" t="s">
        <v>44</v>
      </c>
      <c r="D40" s="0" t="s">
        <v>45</v>
      </c>
    </row>
    <row r="41" customFormat="false" ht="15" hidden="false" customHeight="false" outlineLevel="0" collapsed="false">
      <c r="A41" s="0" t="s">
        <v>46</v>
      </c>
      <c r="D41" s="0" t="s">
        <v>47</v>
      </c>
    </row>
    <row r="43" customFormat="false" ht="15" hidden="false" customHeight="false" outlineLevel="0" collapsed="false">
      <c r="A43" s="0" t="s">
        <v>48</v>
      </c>
      <c r="D43" s="0" t="s">
        <v>49</v>
      </c>
    </row>
  </sheetData>
  <mergeCells count="1">
    <mergeCell ref="A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2026-10-28T10:19:04Z</dcterms:created>
  <dc:creator>openpyxl</dc:creator>
  <dc:description/>
  <dc:language>en-US</dc:language>
  <cp:lastModifiedBy/>
  <dcterms:modified xsi:type="dcterms:W3CDTF">2026-10-28T10:19:04Z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