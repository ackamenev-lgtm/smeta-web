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Свод" sheetId="1" state="visible" r:id="rId3"/>
    <sheet name="Паспорт тендера" sheetId="2" state="visible" r:id="rId4"/>
    <sheet name="Персонал" sheetId="3" state="visible" r:id="rId5"/>
    <sheet name="Работы" sheetId="4" state="visible" r:id="rId6"/>
    <sheet name="Материалы" sheetId="5" state="visible" r:id="rId7"/>
    <sheet name="Цены (источники)" sheetId="6" state="visible" r:id="rId8"/>
    <sheet name="Косвенные" sheetId="7" state="visible" r:id="rId9"/>
    <sheet name="Риски и вопросы" sheetId="8" state="visible" r:id="rId10"/>
    <sheet name="Добавить в тарификатор" sheetId="9" state="visible" r:id="rId11"/>
    <sheet name="Карта реализации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<sst xmlns="http://schemas.openxmlformats.org/spreadsheetml/2006/main" count="750" uniqueCount="576">
  <si>
    <t xml:space="preserve">СВОД: ТО инженерных систем ЦФКСиЗ Невского района, 2027 (44-ФЗ)</t>
  </si>
  <si>
    <t xml:space="preserve">Внутренний документ НЕОСТРОЙ — заказчику не передавать. Все суммы без НДС, если не указано иное. Сценарий штата — Б (базовый).</t>
  </si>
  <si>
    <t xml:space="preserve">НМЦК с НДС</t>
  </si>
  <si>
    <t xml:space="preserve">НМЦК без НДС</t>
  </si>
  <si>
    <t xml:space="preserve">Снижение от НМЦК в форме, % (ввод)</t>
  </si>
  <si>
    <t xml:space="preserve">Себестоимость по статьям</t>
  </si>
  <si>
    <t xml:space="preserve">руб/год</t>
  </si>
  <si>
    <t xml:space="preserve">доля</t>
  </si>
  <si>
    <t xml:space="preserve">руб/мес</t>
  </si>
  <si>
    <t xml:space="preserve">ФОТ персонала (сценарий Б)</t>
  </si>
  <si>
    <t xml:space="preserve">Работы субподрядом / лаборатории (тарификатор, колонка L)</t>
  </si>
  <si>
    <t xml:space="preserve">Расходники к работам субподряда (ELM/SAN/VEN/HOL 2 % к оплате бригаде)</t>
  </si>
  <si>
    <t xml:space="preserve">Материалы и ЗИП (лимит 2,5 млн с НДС + приборы)</t>
  </si>
  <si>
    <t xml:space="preserve">Затраты до косвенных финансовых и резервов (база для резервов)</t>
  </si>
  <si>
    <t xml:space="preserve">Косвенные (вкл. БГ, финансирование, резервы)</t>
  </si>
  <si>
    <t xml:space="preserve">ПОЛНАЯ СЕБЕСТОИМОСТЬ</t>
  </si>
  <si>
    <t xml:space="preserve">Цена и результат</t>
  </si>
  <si>
    <t xml:space="preserve">КП с НДС (сумма формы «Расчёт стоимости услуг»)</t>
  </si>
  <si>
    <t xml:space="preserve">КП без НДС</t>
  </si>
  <si>
    <t xml:space="preserve">Наценка на с/с (КП/с/с − 1)</t>
  </si>
  <si>
    <t xml:space="preserve">Маржа (1 − с/с/КП)</t>
  </si>
  <si>
    <t xml:space="preserve">Прибыль / убыток, руб</t>
  </si>
  <si>
    <t xml:space="preserve">КП к НМЦК</t>
  </si>
  <si>
    <t xml:space="preserve">С/с к НМЦК без НДС</t>
  </si>
  <si>
    <t xml:space="preserve">Проверка по типу тендера (44-ФЗ: наценка 15–30 %)</t>
  </si>
  <si>
    <t xml:space="preserve">Допустимое снижение = НМЦК − с/с × 1,15 (руб без НДС)</t>
  </si>
  <si>
    <t xml:space="preserve">ВЫВОД</t>
  </si>
  <si>
    <t xml:space="preserve">Сценарии цены</t>
  </si>
  <si>
    <t xml:space="preserve">КП б/НДС</t>
  </si>
  <si>
    <t xml:space="preserve">КП с НДС</t>
  </si>
  <si>
    <t xml:space="preserve">Наценка</t>
  </si>
  <si>
    <t xml:space="preserve">Маржа</t>
  </si>
  <si>
    <t xml:space="preserve">Прибыль, руб</t>
  </si>
  <si>
    <t xml:space="preserve">К НМЦК</t>
  </si>
  <si>
    <t xml:space="preserve">Базовый (цена формы)</t>
  </si>
  <si>
    <t xml:space="preserve">Переторжка / снижение −5 %</t>
  </si>
  <si>
    <t xml:space="preserve">Снижение −10 %</t>
  </si>
  <si>
    <t xml:space="preserve">Минимальная цена (наценка 15 %)</t>
  </si>
  <si>
    <t xml:space="preserve">Безубыточность (с/с)</t>
  </si>
  <si>
    <t xml:space="preserve">Сценарии штата (остальные статьи — как в базовом)</t>
  </si>
  <si>
    <t xml:space="preserve">ФОТ/год</t>
  </si>
  <si>
    <t xml:space="preserve">Числ., чел</t>
  </si>
  <si>
    <t xml:space="preserve">С/с полная</t>
  </si>
  <si>
    <t xml:space="preserve">С/с к НМЦК б/НДС</t>
  </si>
  <si>
    <t xml:space="preserve">Убыток при цене = НМЦК</t>
  </si>
  <si>
    <t xml:space="preserve">Наценка при НМЦК</t>
  </si>
  <si>
    <t xml:space="preserve">А — минимальный (2 инженера, 2 поста)</t>
  </si>
  <si>
    <t xml:space="preserve">Б — базовый (4 инженера, 3 поста)</t>
  </si>
  <si>
    <t xml:space="preserve">В — буквально по ТЗ (4 инженера, 4 поста)</t>
  </si>
  <si>
    <t xml:space="preserve">С/с сценариев А и В: ФОТ заменён, резервы 1 % + 3 % пересчитаны на разницу ФОТ (приближённо).</t>
  </si>
  <si>
    <t xml:space="preserve">Точка безубыточности по зарплате</t>
  </si>
  <si>
    <t xml:space="preserve">Допустимый ФОТ при цене = НМЦК (НМЦК − все прочие статьи, руб/год)</t>
  </si>
  <si>
    <t xml:space="preserve">Средняя зарплата на руки, руб/мес при численности Б</t>
  </si>
  <si>
    <t xml:space="preserve">Средняя зарплата на руки по сценарию Б (для сравнения)</t>
  </si>
  <si>
    <t xml:space="preserve">Средняя зарплата на руки при численности А (2 поста)</t>
  </si>
  <si>
    <t xml:space="preserve">Структура с/с: материалы / работы (субподряд + расходники) / персонал / косвенные</t>
  </si>
  <si>
    <t xml:space="preserve">Материалы</t>
  </si>
  <si>
    <t xml:space="preserve">Работы субподряда + расходники</t>
  </si>
  <si>
    <t xml:space="preserve">Персонал (ФОТ)</t>
  </si>
  <si>
    <t xml:space="preserve">Косвенные</t>
  </si>
  <si>
    <t xml:space="preserve">Наценка на материалы (для реестра)</t>
  </si>
  <si>
    <t xml:space="preserve">Наценка на работы и услуги (КП − материалы) / (с/с − материалы) − 1</t>
  </si>
  <si>
    <t xml:space="preserve">ПАСПОРТ ТЕНДЕРА</t>
  </si>
  <si>
    <t xml:space="preserve">Заказчик</t>
  </si>
  <si>
    <t xml:space="preserve">СПб ГБУ «Центр физической культуры, спорта и здоровья Невского района» (ИНН 7811588192), 192148, СПб, Железнодорожный пр., д. 32, лит. А</t>
  </si>
  <si>
    <t xml:space="preserve">Контроль / размещение</t>
  </si>
  <si>
    <t xml:space="preserve">Администрация Невского района СПб; извещение от 14.10.2026; ИКЗ 262781158819278110100100220018110247</t>
  </si>
  <si>
    <t xml:space="preserve">Способ / закон</t>
  </si>
  <si>
    <t xml:space="preserve">Открытый конкурс в электронной форме, 44-ФЗ. Критерии: цена 60 %, квалификация 40 % (общая цена исполненных договоров ТО зданий с ТО инженерных систем)</t>
  </si>
  <si>
    <t xml:space="preserve">Предмет</t>
  </si>
  <si>
    <t xml:space="preserve">Техническое обслуживание и техническая эксплуатация систем инженерно-технического обеспечения зданий и сооружений ЦФКСиЗ Невского района (29 позиций, мес × 12)</t>
  </si>
  <si>
    <t xml:space="preserve">Объекты</t>
  </si>
  <si>
    <t xml:space="preserve">ул. Бабушкина 30 стр.1 (ФОК с 2 ледовыми аренами); Железнодорожный пр. 32 лит. А (ФОК) и гараж (кад. 78:12:0007127:3430); ИТП ул. Седова 55 к.2 и внеплощадочные теплосети; стадион с модульным зданием, пр. Обуховской Обороны (кад. 78:12:0007021:3303)</t>
  </si>
  <si>
    <t xml:space="preserve">НМЦК с НДС 22 %, руб.</t>
  </si>
  <si>
    <t xml:space="preserve">НМЦК без НДС, руб.</t>
  </si>
  <si>
    <t xml:space="preserve">Срок оказания услуг</t>
  </si>
  <si>
    <t xml:space="preserve">01.01.2027 – 31.12.2027, круглосуточно</t>
  </si>
  <si>
    <t xml:space="preserve">Цена</t>
  </si>
  <si>
    <t xml:space="preserve">Твёрдая; оплата помесячно в течение 7 р.д. после подписания документа о приёмке (документ — до 3 р.д. после месяца, приёмка до 20 р.д.); декабрь — до 25.12.2027. Аванса нет</t>
  </si>
  <si>
    <t xml:space="preserve">Обеспечение заявки</t>
  </si>
  <si>
    <t xml:space="preserve">Не указано в извлечённых документах — проверить в извещении на ЭТП</t>
  </si>
  <si>
    <t xml:space="preserve">Обеспечение исполнения</t>
  </si>
  <si>
    <t xml:space="preserve">10 % НМЦК = 2 443 676,71 руб. (БГ или деньги); антидемпинг ×1,5 при снижении ≥ 25 %</t>
  </si>
  <si>
    <t xml:space="preserve">Гарантия на услуги</t>
  </si>
  <si>
    <t xml:space="preserve">3 месяца</t>
  </si>
  <si>
    <t xml:space="preserve">Материалы / ЗИП</t>
  </si>
  <si>
    <t xml:space="preserve">Запчасти и материалы для планового и аварийного ремонта — в цене, в пределах 2 500 000 руб. с НДС; закупает Исполнитель, ежемесячная справка-отчёт по рыночным ценам СПб (п. 4.5–4.7 ТЗ)</t>
  </si>
  <si>
    <t xml:space="preserve">Отходы</t>
  </si>
  <si>
    <t xml:space="preserve">Вывоз и утилизация отходов (лампы, аккумуляторы, нефтепродукты и т.п.) — за Исполнителем (п. 4.9)</t>
  </si>
  <si>
    <t xml:space="preserve">Требование к участнику (допуск)</t>
  </si>
  <si>
    <t xml:space="preserve">ПП РФ 2571, поз. 14: опыт исполненного договора на ТО зданий/сооружений ≥ 20 % НМЦК (≈ 4 887 353 руб.) за 5 лет; договор должен быть заключён по 44-ФЗ или 223-ФЗ</t>
  </si>
  <si>
    <t xml:space="preserve">СМП / СОНКО</t>
  </si>
  <si>
    <t xml:space="preserve">Обязательное привлечение субподрядчиков из СМП/СОНКО на 30 % цены контракта (если участник не СМП); штраф 5 % от объёма недопривлечения</t>
  </si>
  <si>
    <t xml:space="preserve">Штрафы</t>
  </si>
  <si>
    <t xml:space="preserve">5 % цены контракта (цена 3–50 млн), за нестоимостные нарушения 5 000 руб.; пеня 1/300 ключевой ставки</t>
  </si>
  <si>
    <t xml:space="preserve">Персонал (Прил. 7 ТЗ)</t>
  </si>
  <si>
    <t xml:space="preserve">5/2: инженер вентиляции (IV гр.), инженер ответственный за ТЭУ (А.1, Б.8.2), инженер холодильного оборудования ледовых арен (IV гр.), инженер КИПиА (IV гр.). Круглосуточно: оператор-диспетчер (профстандарт АДС), техник-оператор автоматики (III гр. + оператор диспетчерской лифтов), электромонтёр (IV гр.), слесарь-сантехник (аттест. ремонтный персонал ТЭУ). По необходимости: координатор, инженер ОТ/высота, 2 монтажника с вышкой, специалист сварочного производства, ответственные по ОПО</t>
  </si>
  <si>
    <t xml:space="preserve">Основное оборудование</t>
  </si>
  <si>
    <t xml:space="preserve">2 холодильные машины МВ 570.37-Т (Эйркул) по 562,5 кВт, по 3 винтовых компрессора HSK 85 (R507A, 40 % этиленгликоль), конденсаторы Guntner, НТМ-модули с пластинчатыми теплообменниками; ~10 приточных и ~12 вытяжных установок, 4 осушителя RL-71R; сплит-системы К1–К6 (8 наружных / 15 внутренних блоков); 4 роллетных ворот Alutech + 1 секционные в гараже; 3 ИТП, УУТЭ Седова</t>
  </si>
  <si>
    <t xml:space="preserve">Тип тендера (лист «Тип тендера»)</t>
  </si>
  <si>
    <t xml:space="preserve">Госзакупки 44-ФЗ / 223-ФЗ: наценка 15–30 %</t>
  </si>
  <si>
    <t xml:space="preserve">Промт / метод</t>
  </si>
  <si>
    <t xml:space="preserve">Основной промт НЕОСТРОЙ (шаги 1–11). Структура «Книги проекта» (ПРОМТ_CLAUDE_CODE) не применима: сметы/ВОР в лоте нет, НМЦК — по анализу рынка помесячно</t>
  </si>
  <si>
    <t xml:space="preserve">Дата расчёта</t>
  </si>
  <si>
    <t xml:space="preserve">28.10.2026</t>
  </si>
  <si>
    <t xml:space="preserve">Позиции формы «Расчёт стоимости услуг» (Прил. 2 к контракту)</t>
  </si>
  <si>
    <t xml:space="preserve">№</t>
  </si>
  <si>
    <t xml:space="preserve">Позиция</t>
  </si>
  <si>
    <t xml:space="preserve">НМЦК позиции, год, с НДС</t>
  </si>
  <si>
    <t xml:space="preserve">НМЦК, мес, с НДС</t>
  </si>
  <si>
    <t xml:space="preserve">Цена КП за мес с НДС (округл.)</t>
  </si>
  <si>
    <t xml:space="preserve">КП, год, с НДС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</si>
  <si>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диспетчеризации здания по адресу: ул. Бабушкина д.30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</si>
  <si>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теплоснабжения (в т. ч. индивидуальный тепловой пункт (ИТП) здания, наружные сети между объектовой котельной и зданием) здания по адресу: ул. Бабушкина д.30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</si>
  <si>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холодного и горячего водоснабжения и водоотведения здания по адресу: ул. Бабушкина д.30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</si>
  <si>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наружных сетей водоснабжения и общесплавной канализации до границ балансовой принадлежности и эксплуатационной ответственности, в т. ч. ливневая канализация по адресу: ул. Бабушкина д.30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</si>
  <si>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внутреннего электроснабжения здания по адресу: ул. Бабушкина д.30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</si>
  <si>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сети наружного электроснабжения (наружные кабельные линии от РТП до ГРЩ здания) по адресу: ул. Бабушкина д. 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</si>
  <si>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наружного освещения (в т. ч. архитектурная подсветка) по адресу: ул. Бабушкина д. 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</si>
  <si>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автоматизированной системы холодоснабжения ледовых полей здания по адресу: ул. Бабушкина д. 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</si>
  <si>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вентиляции, осушения и обогрева ледовых полей здания по адресу: ул. Бабушкина д. 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</si>
  <si>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общеобменной вентиляции здания по адресу: ул. Бабушкина д. 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</si>
  <si>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кондиционирования воздуха помещений здания по адресу: ул. Бабушкина д. 30 стр.1</t>
  </si>
  <si>
    <t xml:space="preserve">Техническое обслуживание сбалансированных промышленных секционных ворот здания по адресу: ул. Бабушкина д. 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</si>
  <si>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 общеобменной вентиляции здания по адресу: Железнодорожный пр. д. 32 лит. А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</si>
  <si>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отопления и горячего водоснабжения здания по адресу: Железнодорожный пр. д. 32 лит. А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</si>
  <si>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водоснабжения и водоотведения здания по адресу: Железнодорожный пр. д. 32 лит. А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</si>
  <si>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наружных сетей водоснабжения и общесплавной канализации до границ балансовой принадлежности и эксплуатационной ответственности (в т.ч. водомерный узел в отдельно стоящем здании, дренажная система стадиона) по адресу: Железнодорожный пр. д. 32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</si>
  <si>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внутреннего электроснабжения здания по адресу: Железнодорожный пр. д. 32 лит. А</t>
  </si>
  <si>
    <t xml:space="preserve">Техническое обслуживание и техническая эксплуатация сетей наружного электроснабжения (наружные кабельные линии от ТП до ГРЩ здания, сети временной инфраструктуры) по адресу: Железнодорожный пр. д. 32</t>
  </si>
  <si>
    <t xml:space="preserve">Техническое обслуживание и техническая эксплуатация системы наружного освещения (в т. ч. наружные кабельные сети) по адресу: Железнодорожный пр. д. 32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</si>
  <si>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тепловых сетей индивидуального теплового пункта по адресу: ул. Седова д. 55 корп. 2</t>
  </si>
  <si>
    <t xml:space="preserve">Техническое обслуживание и техническая эксплуатация систем узла учета индивидуального теплового пункта по адресу: ул. Седова д. 55 корп. 2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</si>
  <si>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наружных внеплощадочных сетей теплоснабжения и горячего водоснабжения между индивидуальным тепловым пунктом и Физкультурно-оздоровительным комплексом по адресу: ул. Седова д. 55 корп. 2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</si>
  <si>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водоснабжения и водоотведения гаража (в т. ч. подводящие наружные сети водоснабжения от Физкультурно-оздоровительного комплекса и выпуски общесплавной канализации) по адресу: Железнодорожный пр., земельный участок 32, кадастровый номер 78:12:0007127:3430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</si>
  <si>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внутреннего электроснабжения здания (в т. ч. подводящая наружная кабельная линия от ГРЩ Физкультурно-оздоровительного комплекса) по адресу: Железнодорожный пр., земельный участок 32, кадастровый номер 78:12:0007127:3430</t>
  </si>
  <si>
    <t xml:space="preserve">Техническое обслуживание сбалансированные промышленные секционные ворота здания по адресу: Железнодорожный пр., земельный участок 32, кадастровый номер 78:12:0007127:3430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</si>
  <si>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горячего и холодного водоснабжения и водоотведения модульного здания по адресу: пр. Обуховской Обороны, кадастровый номер 78:12:0007021:3303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</si>
  <si>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дренажной системы плоскостного физкультурно-спортивного сооружения по адресу: пр. Обуховской Обороны, кадастровый номер 78:12:0007021:3303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</si>
  <si>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внутреннего электроснабжения модульного здания по адресу: пр. Обуховской Обороны, кадастровый номер 78:12:0007021:3303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</si>
  <si>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сети наружного электроснабжения (наружные кабельные линии от КК до ВРУ модульного здания) по адресу: пр. Обуховской Обороны, кадастровый номер 78:12:0007021:3303</t>
  </si>
  <si>
    <t xml:space="preserve">Итого</t>
  </si>
  <si>
    <t xml:space="preserve">ПЕРСОНАЛ И ФОТ (на руки → ФОТ × 1,5; × 14/12 на отпуска/замены в годовом расчёте)</t>
  </si>
  <si>
    <t xml:space="preserve">Сценарии: А — минимальный (2 инженера с совмещением, 2 круглосуточных поста); Б — базовый (4 инженера, 3 поста: диспетчер = техник-оператор автоматики); В — буквально по ТЗ (4 поста, координатор 1,0).</t>
  </si>
  <si>
    <t xml:space="preserve">Коэф. ФОТ (налоги)</t>
  </si>
  <si>
    <t xml:space="preserve">Коэф. отпусков (мес/год)</t>
  </si>
  <si>
    <t xml:space="preserve">Должность / требование ТЗ</t>
  </si>
  <si>
    <t xml:space="preserve">График</t>
  </si>
  <si>
    <t xml:space="preserve">На руки, руб/мес</t>
  </si>
  <si>
    <t xml:space="preserve">Кол-во А</t>
  </si>
  <si>
    <t xml:space="preserve">Кол-во Б</t>
  </si>
  <si>
    <t xml:space="preserve">Кол-во В</t>
  </si>
  <si>
    <t xml:space="preserve">ФОТ/мес Б</t>
  </si>
  <si>
    <t xml:space="preserve">ФОТ/год А</t>
  </si>
  <si>
    <t xml:space="preserve">ФОТ/год Б</t>
  </si>
  <si>
    <t xml:space="preserve">ФОТ/год В</t>
  </si>
  <si>
    <t xml:space="preserve">Обоснование ставки (источники — лист «Цены (источники)»)</t>
  </si>
  <si>
    <t xml:space="preserve">Инженер холодильного оборудования ледовых арен (IV гр. ЭБ), отв. за холодильную установку</t>
  </si>
  <si>
    <t xml:space="preserve">5/2</t>
  </si>
  <si>
    <t xml:space="preserve">рынок 75–130 тыс. (Звёздный лёд от 75, Динамо от 80, EhS от 125, Зенит-Арена от 130); винтовые машины 562 кВт → 120</t>
  </si>
  <si>
    <t xml:space="preserve">Инженер, ответственный за ТЭУ (А.1, Б.8.2 ОПО)</t>
  </si>
  <si>
    <t xml:space="preserve">рынок 100–140 тыс. (Миракс 110, Дивайс от 100, Газпром перераб. 100–140 до налогов)</t>
  </si>
  <si>
    <t xml:space="preserve">Инженер по вентиляции (IV гр. ЭБ)</t>
  </si>
  <si>
    <t xml:space="preserve">оценка в коридоре инженеров ТО 90–110 тыс.; в сценарии А функции — у инженера ТЭУ</t>
  </si>
  <si>
    <t xml:space="preserve">Инженер КИПиА (IV гр. ЭБ)</t>
  </si>
  <si>
    <t xml:space="preserve">рынок 96–106 (СПб ГБУ ДУОАН, до налогов), Кип-Хауз от 100; в сценарии А — у холодильщика</t>
  </si>
  <si>
    <t xml:space="preserve">Оператор-диспетчер (профстандарт АДС, 4 ур.)</t>
  </si>
  <si>
    <t xml:space="preserve">1/3 сутки</t>
  </si>
  <si>
    <t xml:space="preserve">рынок 35–52 тыс. (Fort Group, ТСБ, Vertical Hotels) → 55 с учётом ночей и квалификации</t>
  </si>
  <si>
    <t xml:space="preserve">Техник-оператор автоматики (III гр. ЭБ + оператор диспетчерской лифтов); в сц. Б совмещает диспетчера</t>
  </si>
  <si>
    <t xml:space="preserve">диспетчер 35–52 + доплата за III гр. и лифты</t>
  </si>
  <si>
    <t xml:space="preserve">Электромонтёр по обслуживанию электроустановок (IV гр.)</t>
  </si>
  <si>
    <t xml:space="preserve">рынок 45–98 тыс. (СПбГУ 45 до налогов, ПЛК 59, Алмаз от 65, ГОИ от 98) → 75</t>
  </si>
  <si>
    <t xml:space="preserve">Слесарь-сантехник (аттест. ремонтный персонал ТЭУ)</t>
  </si>
  <si>
    <t xml:space="preserve">рынок 55–110 тыс. (НЕОСТРОЙ ТРК Лето от 55, Содружество 68, ЛСР от 70)</t>
  </si>
  <si>
    <t xml:space="preserve">Координатор / руководитель проекта (доля ставки)</t>
  </si>
  <si>
    <t xml:space="preserve">штатный руководитель проектов НЕОСТРОЙ, оценка</t>
  </si>
  <si>
    <t xml:space="preserve">Доплаты ответственным: ОПО (А.1/Б.8.2, замы), ОТ, работы на высоте, сварка, электрохозяйство</t>
  </si>
  <si>
    <t xml:space="preserve">—</t>
  </si>
  <si>
    <t xml:space="preserve">оценка: 10 тыс./мес за функцию</t>
  </si>
  <si>
    <t xml:space="preserve">Доплата за совмещение: электромонтёр = оператор-диспетчер (сц. А)</t>
  </si>
  <si>
    <t xml:space="preserve">оценка</t>
  </si>
  <si>
    <t xml:space="preserve">Численность физлиц (без доплат), чел.</t>
  </si>
  <si>
    <t xml:space="preserve">Круглосуточный пост: 8 760 ч/год ÷ 4 чел. = 2 190 ч/чел. (сутки через трое) при норме ~1 970 ч → переработка оплачивается в ставке; отпуска закрыты коэффициентом 14/12. Ставки целые.</t>
  </si>
  <si>
    <t xml:space="preserve">РЕГЛАМЕНТНЫЕ РАБОТЫ ПО ТЗ (год) — цены и нормы из тарификатора v2 (СПб, без НДС)</t>
  </si>
  <si>
    <t xml:space="preserve">Исполнитель «штат» — работа выполняется персоналом из листа «Персонал» (в с/с не добавляется, чел.-ч — для проверки загрузки). «Субподряд» — оплата бригаде/лаборатории (колонка L тарификатора) в с/с. Оранжевые — объём оценочный (в ТЗ не дан).</t>
  </si>
  <si>
    <t xml:space="preserve">Позиция ТЗ / система</t>
  </si>
  <si>
    <t xml:space="preserve">Работа</t>
  </si>
  <si>
    <t xml:space="preserve">Артикул</t>
  </si>
  <si>
    <t xml:space="preserve">Метка</t>
  </si>
  <si>
    <t xml:space="preserve">Ед.</t>
  </si>
  <si>
    <t xml:space="preserve">Кол-во/год</t>
  </si>
  <si>
    <t xml:space="preserve">Цена тариф. H, руб/ед</t>
  </si>
  <si>
    <t xml:space="preserve">Бригада L, руб/ед</t>
  </si>
  <si>
    <t xml:space="preserve">Норма, ч/ед</t>
  </si>
  <si>
    <t xml:space="preserve">Чел.-ч</t>
  </si>
  <si>
    <t xml:space="preserve">Исполнитель</t>
  </si>
  <si>
    <t xml:space="preserve">Рыночная стоимость (H×кол.)</t>
  </si>
  <si>
    <t xml:space="preserve">С/с (субподряд L×кол.)</t>
  </si>
  <si>
    <t xml:space="preserve">Маржа строки, руб</t>
  </si>
  <si>
    <t xml:space="preserve">Основание объёма</t>
  </si>
  <si>
    <t xml:space="preserve">5, 17, 24, 28</t>
  </si>
  <si>
    <t xml:space="preserve">Электроизмерения и техотчёт ЭТЛ — ФОК Бабушкина 30 (3 условных блока по 2–3 тыс. м²)</t>
  </si>
  <si>
    <t xml:space="preserve">10.6.6</t>
  </si>
  <si>
    <t xml:space="preserve">аналог</t>
  </si>
  <si>
    <t xml:space="preserve">шт</t>
  </si>
  <si>
    <t xml:space="preserve">субподряд</t>
  </si>
  <si>
    <t xml:space="preserve">ТЗ: электроизмерения аккредитованной ЭТЛ 1 раз в год; площади не даны</t>
  </si>
  <si>
    <t xml:space="preserve">17</t>
  </si>
  <si>
    <t xml:space="preserve">Электроизмерения и техотчёт ЭТЛ — ФОК Железнодорожный 32 (2 блока)</t>
  </si>
  <si>
    <t xml:space="preserve">то же; площадь не дана</t>
  </si>
  <si>
    <t xml:space="preserve">24, 28, 20</t>
  </si>
  <si>
    <t xml:space="preserve">Электроизмерения ЭТЛ — гараж, модульное здание, ИТП Седова</t>
  </si>
  <si>
    <t xml:space="preserve">10.6.5</t>
  </si>
  <si>
    <t xml:space="preserve">точно</t>
  </si>
  <si>
    <t xml:space="preserve">усл</t>
  </si>
  <si>
    <t xml:space="preserve">ТЗ 1 раз/год</t>
  </si>
  <si>
    <t xml:space="preserve">6, 7, 18, 19, 29</t>
  </si>
  <si>
    <t xml:space="preserve">Протоколы испытаний наружных КЛ и сетей освещения</t>
  </si>
  <si>
    <t xml:space="preserve">10.6.11</t>
  </si>
  <si>
    <t xml:space="preserve">3 наружные КЛ + 3 сети освещения</t>
  </si>
  <si>
    <t xml:space="preserve">5, 17</t>
  </si>
  <si>
    <t xml:space="preserve">Организация испытаний диэлектрических СИЗ (2 раза в год)</t>
  </si>
  <si>
    <t xml:space="preserve">10.5.N1</t>
  </si>
  <si>
    <t xml:space="preserve">компл</t>
  </si>
  <si>
    <t xml:space="preserve">4 комплекта × 2</t>
  </si>
  <si>
    <t xml:space="preserve">2, 3, 8, 14, 20</t>
  </si>
  <si>
    <t xml:space="preserve">Поверка/замена манометров</t>
  </si>
  <si>
    <t xml:space="preserve">9.2.96</t>
  </si>
  <si>
    <t xml:space="preserve">по перечню оборудования 71 шт. + ИТП ~10 (оценка)</t>
  </si>
  <si>
    <t xml:space="preserve">2, 14, 20</t>
  </si>
  <si>
    <t xml:space="preserve">Подготовка ИТП к отопительному сезону (ревизия, промывка, опрессовка, акт)</t>
  </si>
  <si>
    <t xml:space="preserve">9.2.N6</t>
  </si>
  <si>
    <t xml:space="preserve">штат</t>
  </si>
  <si>
    <t xml:space="preserve">3 ИТП (Бабушкина, ЖД32, Седова) × 1/год</t>
  </si>
  <si>
    <t xml:space="preserve">21</t>
  </si>
  <si>
    <t xml:space="preserve">Гидроиспытание и промывка УУТЭ</t>
  </si>
  <si>
    <t xml:space="preserve">9.2.7</t>
  </si>
  <si>
    <t xml:space="preserve">3 узла учёта × 1/год</t>
  </si>
  <si>
    <t xml:space="preserve">22, 2</t>
  </si>
  <si>
    <t xml:space="preserve">Опрессовка участков тепловой сети с актом</t>
  </si>
  <si>
    <t xml:space="preserve">11.4.N3</t>
  </si>
  <si>
    <t xml:space="preserve">Седова–ЖД32 и Бабушкина</t>
  </si>
  <si>
    <t xml:space="preserve">Гидропневмопромывка тепловых сетей</t>
  </si>
  <si>
    <t xml:space="preserve">9.2.8</t>
  </si>
  <si>
    <t xml:space="preserve">мп</t>
  </si>
  <si>
    <t xml:space="preserve">ТЗ: прочистка теплосетей ≥1/год; протяжённость не дана — оценка 600 м</t>
  </si>
  <si>
    <t xml:space="preserve">4, 16, 23</t>
  </si>
  <si>
    <t xml:space="preserve">Гидродинамическая промывка наружной канализации до 250 мм</t>
  </si>
  <si>
    <t xml:space="preserve">11.2.11</t>
  </si>
  <si>
    <t xml:space="preserve">ТЗ ≥1/год; протяжённость не дана — оценка 650 м</t>
  </si>
  <si>
    <t xml:space="preserve">4, 16, 27</t>
  </si>
  <si>
    <t xml:space="preserve">Гидродинамическая промывка ливнёвки и дренажа стадионов до 150 мм</t>
  </si>
  <si>
    <t xml:space="preserve">11.2.10</t>
  </si>
  <si>
    <t xml:space="preserve">оценка 400 м</t>
  </si>
  <si>
    <t xml:space="preserve">4</t>
  </si>
  <si>
    <t xml:space="preserve">Очистка дождеприёмных колодцев К-2 (с заменой фильтропатронов — материал из лимита ЗИП)</t>
  </si>
  <si>
    <t xml:space="preserve">11.2.2</t>
  </si>
  <si>
    <t xml:space="preserve">ТЗ 1/год; кол-во колодцев не дано — оценка 20</t>
  </si>
  <si>
    <t xml:space="preserve">9, 10, 13</t>
  </si>
  <si>
    <t xml:space="preserve">Очистка воздуховодов от горючих отложений</t>
  </si>
  <si>
    <t xml:space="preserve">9.3.64</t>
  </si>
  <si>
    <t xml:space="preserve">м2</t>
  </si>
  <si>
    <t xml:space="preserve">ТЗ 1/год; площадь не дана — оценка 300 м²</t>
  </si>
  <si>
    <t xml:space="preserve">Аэродинамические испытания (замер расходов воздуха) систем вентиляции</t>
  </si>
  <si>
    <t xml:space="preserve">17.N2</t>
  </si>
  <si>
    <t xml:space="preserve">система</t>
  </si>
  <si>
    <t xml:space="preserve">ТЗ 1/год; ~19 систем Бабушкина + 4 ЖД32 + 2 прочие</t>
  </si>
  <si>
    <t xml:space="preserve">12</t>
  </si>
  <si>
    <t xml:space="preserve">ТО роллетных ворот Alutech (Бабушкина) 2 раза в год</t>
  </si>
  <si>
    <t xml:space="preserve">12.5.N2</t>
  </si>
  <si>
    <t xml:space="preserve">4 ворот × 2 (в форме — «секционные»; по перечню — роллетные)</t>
  </si>
  <si>
    <t xml:space="preserve">25</t>
  </si>
  <si>
    <t xml:space="preserve">ТО секционных ворот гаража 2 раза в год</t>
  </si>
  <si>
    <t xml:space="preserve">12.5.N1</t>
  </si>
  <si>
    <t xml:space="preserve">1 ворота × 2</t>
  </si>
  <si>
    <t xml:space="preserve">11</t>
  </si>
  <si>
    <t xml:space="preserve">ТО сплит-систем (внутренний блок) 2 раза в год</t>
  </si>
  <si>
    <t xml:space="preserve">НЕТ-1</t>
  </si>
  <si>
    <t xml:space="preserve">нет в тариф.</t>
  </si>
  <si>
    <t xml:space="preserve">15 внутр. блоков (К1–К6) × 2; цена — рынок (оценка), бригада = 1,5 ч × 1 200</t>
  </si>
  <si>
    <t xml:space="preserve">Мойка теплообменников наружных блоков 2 раза в год</t>
  </si>
  <si>
    <t xml:space="preserve">9.3.N27</t>
  </si>
  <si>
    <t xml:space="preserve">7–8 наружных блоков × 2</t>
  </si>
  <si>
    <t xml:space="preserve">8, 2</t>
  </si>
  <si>
    <t xml:space="preserve">Промывка разборных пластинчатых теплообменников</t>
  </si>
  <si>
    <t xml:space="preserve">НЕТ-2</t>
  </si>
  <si>
    <t xml:space="preserve">ТЗ 1/год; ~10 ПТО (ледовые поля, НТМ, ИТП); цена — рынок (оценка), бригада = 6 ч × 850</t>
  </si>
  <si>
    <t xml:space="preserve">8</t>
  </si>
  <si>
    <t xml:space="preserve">Лабораторный анализ масла винтовых компрессоров HSK 85</t>
  </si>
  <si>
    <t xml:space="preserve">НЕТ-3</t>
  </si>
  <si>
    <t xml:space="preserve">проба</t>
  </si>
  <si>
    <t xml:space="preserve">6 компрессоров × 2/год (регламент 2 500 ч); оценка</t>
  </si>
  <si>
    <t xml:space="preserve">Замена масла и фильтров винтовых компрессоров (5 000 ч)</t>
  </si>
  <si>
    <t xml:space="preserve">НЕТ-4</t>
  </si>
  <si>
    <t xml:space="preserve">компр.</t>
  </si>
  <si>
    <t xml:space="preserve">6 компрессоров × 1/год (моточасы не даны); бригада = 8 ч × 1 200; масло — из лимита ЗИП</t>
  </si>
  <si>
    <t xml:space="preserve">Диагностика утечек хладагента течеискателем (ежеквартально)</t>
  </si>
  <si>
    <t xml:space="preserve">9.3.9</t>
  </si>
  <si>
    <t xml:space="preserve">2 машины × 4</t>
  </si>
  <si>
    <t xml:space="preserve">9, 10</t>
  </si>
  <si>
    <t xml:space="preserve">ТО приточных установок 5–20 тыс. м³/ч (ежемесячно)</t>
  </si>
  <si>
    <t xml:space="preserve">9.3.N11</t>
  </si>
  <si>
    <t xml:space="preserve">ПВ1.1, ПВ2.1, ПВ3, ПВ4, ПВ5.1 × 12</t>
  </si>
  <si>
    <t xml:space="preserve">10, 13</t>
  </si>
  <si>
    <t xml:space="preserve">ТО приточных установок до 5 тыс. м³/ч (ежемесячно)</t>
  </si>
  <si>
    <t xml:space="preserve">9.3.N10</t>
  </si>
  <si>
    <t xml:space="preserve">П7–П9, П1, П2 (ЖД32) × 12</t>
  </si>
  <si>
    <t xml:space="preserve">ТО вытяжных установок (ежеквартально)</t>
  </si>
  <si>
    <t xml:space="preserve">9.3.N12</t>
  </si>
  <si>
    <t xml:space="preserve">~12 вытяжных × 4</t>
  </si>
  <si>
    <t xml:space="preserve">Замена фильтров приточных установок (без стоимости фильтров)</t>
  </si>
  <si>
    <t xml:space="preserve">9.3.N14</t>
  </si>
  <si>
    <t xml:space="preserve">10 ПУ × 4</t>
  </si>
  <si>
    <t xml:space="preserve">9</t>
  </si>
  <si>
    <t xml:space="preserve">ТО осушителей воздуха RL-71R (ежеквартально)</t>
  </si>
  <si>
    <t xml:space="preserve">9.3.N15</t>
  </si>
  <si>
    <t xml:space="preserve">4 осушителя × 4</t>
  </si>
  <si>
    <t xml:space="preserve">в т.ч. чел.-ч штата (проверка загрузки)</t>
  </si>
  <si>
    <t xml:space="preserve">Фонд времени 4 инженеров 5/2, ч/год (1 970 × 4); загрузка регламентом, %</t>
  </si>
  <si>
    <t xml:space="preserve">МАТЕРИАЛЫ И ЗИП</t>
  </si>
  <si>
    <t xml:space="preserve">Параметры: доставка СПб</t>
  </si>
  <si>
    <t xml:space="preserve">стоимость денег, %/мес</t>
  </si>
  <si>
    <t xml:space="preserve">резерв роста, %/мес сверх 2 мес</t>
  </si>
  <si>
    <t xml:space="preserve">Кол-во</t>
  </si>
  <si>
    <t xml:space="preserve">Цена с НДС (медиана)</t>
  </si>
  <si>
    <t xml:space="preserve">Закупка б/НДС</t>
  </si>
  <si>
    <t xml:space="preserve">Мес. до закупки</t>
  </si>
  <si>
    <t xml:space="preserve">Коэф. роста+деньги</t>
  </si>
  <si>
    <t xml:space="preserve">С/с ед.</t>
  </si>
  <si>
    <t xml:space="preserve">С/с итого</t>
  </si>
  <si>
    <t xml:space="preserve">Цена КП итого б/НДС</t>
  </si>
  <si>
    <t xml:space="preserve">В счёт лимита ЗИП?</t>
  </si>
  <si>
    <t xml:space="preserve">Источник / примечание</t>
  </si>
  <si>
    <t xml:space="preserve">Лимит запчастей и материалов для планового и аварийного ремонта (п. 4.5 ТЗ) — 2 500 000 с НДС</t>
  </si>
  <si>
    <t xml:space="preserve">Состав по факту, по рыночным ценам СПб с ежемесячной справкой. В КП без наценки (цена = с/с)</t>
  </si>
  <si>
    <t xml:space="preserve">в т.ч. масло Bitzer BSE170 10 л для замены масла 6 компрессоров (~20 л на компрессор — уточнить по паспорту HSK 85)</t>
  </si>
  <si>
    <t xml:space="preserve">кан.</t>
  </si>
  <si>
    <t xml:space="preserve">да (справочно)</t>
  </si>
  <si>
    <t xml:space="preserve">Цены (источники) №1–3; запросить КП дилера Bitzer</t>
  </si>
  <si>
    <t xml:space="preserve">в т.ч. фильтры приточных установок (10 ПУ × 4 замены)</t>
  </si>
  <si>
    <t xml:space="preserve">НЕТ ЦЕНЫ: типоразмеры фильтров в ТЗ не даны — запросить КП; оценка 6 000/компл. с НДС</t>
  </si>
  <si>
    <t xml:space="preserve">Гигрометр психрометрический ВИТ-1 с поверкой (2 арены + 2 резерв)</t>
  </si>
  <si>
    <t xml:space="preserve">нет</t>
  </si>
  <si>
    <t xml:space="preserve">Цены (источники) №4–6; требование ТЗ — приборы Исполнителя</t>
  </si>
  <si>
    <t xml:space="preserve">Термометр-щуп/ИК testo 104-IR для замеров льда (по 1 на арену)</t>
  </si>
  <si>
    <t xml:space="preserve">Цены (источники) №7–9</t>
  </si>
  <si>
    <t xml:space="preserve">Итого в с/с (лимит ЗИП + приборы Исполнителя; справочные строки «в т.ч.» не суммируются)</t>
  </si>
  <si>
    <t xml:space="preserve">Проверка лимита: масло + фильтры (с/с) от лимита б/НДС, %</t>
  </si>
  <si>
    <t xml:space="preserve">Остаток лимита на ремонты/ЗИП, руб б/НДС</t>
  </si>
  <si>
    <t xml:space="preserve">Приборы (гигрометры, термометры) отнесены в с/с полностью (закупка до старта); в цену заказчика отдельной строкой не выходят — распределены в помесячную цену.</t>
  </si>
  <si>
    <t xml:space="preserve">ИСТОЧНИКИ ЦЕН (дата обращения 28.10.2026)</t>
  </si>
  <si>
    <t xml:space="preserve">Источник / магазин</t>
  </si>
  <si>
    <t xml:space="preserve">URL</t>
  </si>
  <si>
    <t xml:space="preserve">Цена, руб</t>
  </si>
  <si>
    <t xml:space="preserve">С НДС / без</t>
  </si>
  <si>
    <t xml:space="preserve">Примечание</t>
  </si>
  <si>
    <t xml:space="preserve">Масло Bitzer BSE170, 10 л</t>
  </si>
  <si>
    <t xml:space="preserve">Геофрост (прайс 26.09.2026)</t>
  </si>
  <si>
    <t xml:space="preserve">https://geofrost.ru/prices/sections/oilbitzer.pdf</t>
  </si>
  <si>
    <t xml:space="preserve">с НДС</t>
  </si>
  <si>
    <t xml:space="preserve">медиана → в расчёт</t>
  </si>
  <si>
    <t xml:space="preserve">Холод СПб</t>
  </si>
  <si>
    <t xml:space="preserve">https://holod-spb.ru/product/kompressornoe-maslo-dlya-vintovyh-kompressorov-bitzer-bse170-915115-05-10-l/</t>
  </si>
  <si>
    <t xml:space="preserve">ХолодПС</t>
  </si>
  <si>
    <t xml:space="preserve">https://holodps.ru/catalog/refrigeration-oils/bitzer/bse-170-10.html</t>
  </si>
  <si>
    <t xml:space="preserve">запросить КП у дилера Bitzer</t>
  </si>
  <si>
    <t xml:space="preserve">Гигрометр психрометрический ВИТ-1 (0…+25 °С) с поверкой</t>
  </si>
  <si>
    <t xml:space="preserve">СОЮЗ-ПРИБОР</t>
  </si>
  <si>
    <t xml:space="preserve">https://www.souz-pribor.ru/product/vit-2/</t>
  </si>
  <si>
    <t xml:space="preserve">ВИТ-1 — для ледовых арен</t>
  </si>
  <si>
    <t xml:space="preserve">Гигрометр психрометрический ВИТ-2 с поверкой (аналог)</t>
  </si>
  <si>
    <t xml:space="preserve">МЕРАТЭК СПб</t>
  </si>
  <si>
    <t xml:space="preserve">https://spb.mera-tek.ru/catalog/termometry/vit-2-15-40-s-gigrometr/</t>
  </si>
  <si>
    <t xml:space="preserve">МАКСПРОФИТ СПб</t>
  </si>
  <si>
    <t xml:space="preserve">https://spb.mprofit.ru/catalog/gigrometr-psikhrometricheskiy-vit-2-s-poverkoy/</t>
  </si>
  <si>
    <t xml:space="preserve">Термометр-щуп + ИК testo 104-IR</t>
  </si>
  <si>
    <t xml:space="preserve">testo-rus</t>
  </si>
  <si>
    <t xml:space="preserve">https://kzn.testo-rus.ru/cat/termometry-kontaktnye-testo/</t>
  </si>
  <si>
    <t xml:space="preserve">ПРИБОР-24</t>
  </si>
  <si>
    <t xml:space="preserve">https://pribori24.ru/prod/infrakrasnyj-termometr-testo-104-ir/</t>
  </si>
  <si>
    <t xml:space="preserve">https://www.souz-pribor.ru/catalog/energy_laboratory/pirometry-infrakrasnye-termometry/filter/brand_testo/</t>
  </si>
  <si>
    <t xml:space="preserve">БГ на исполнение 44-ФЗ, % годовых</t>
  </si>
  <si>
    <t xml:space="preserve">trillioncredit.ru / vitte.app / 1000bankov.ru</t>
  </si>
  <si>
    <t xml:space="preserve">ВТБ от 1,85 %, Сбер от 1,99 %, средн. 2,8–3,2 %</t>
  </si>
  <si>
    <t xml:space="preserve">в расчёт 3,5 % (консервативно)</t>
  </si>
  <si>
    <t xml:space="preserve">Зарплата: дежурный электромонтёр 1/3</t>
  </si>
  <si>
    <t xml:space="preserve">СПбГУ / ПЛК / Алмаз / ГОИ</t>
  </si>
  <si>
    <t xml:space="preserve">hr.spbu.ru/vacansii/37262; dreamjob.ru/employers/391947/vakansii/133311030; spb.hh.ru/vacancy/136581090; dreamjob.ru/employers/195386/vakansii/136592632</t>
  </si>
  <si>
    <t xml:space="preserve">на руки</t>
  </si>
  <si>
    <t xml:space="preserve">45–98 тыс.</t>
  </si>
  <si>
    <t xml:space="preserve">Зарплата: диспетчер 1/3</t>
  </si>
  <si>
    <t xml:space="preserve">Fort Group / ТСБ / Vertical Hotels</t>
  </si>
  <si>
    <t xml:space="preserve">dreamjob.ru/employers/53998/vakansii/134804781; dreamjob.ru/employers/323252/vakansii/136230142; dreamjob.ru/employers/518065/vakansii/135423459</t>
  </si>
  <si>
    <t xml:space="preserve">35–52 тыс.</t>
  </si>
  <si>
    <t xml:space="preserve">Зарплата: слесарь-сантехник 1/3</t>
  </si>
  <si>
    <t xml:space="preserve">Содружество Столиц / ЛСР / Атлантик Сити</t>
  </si>
  <si>
    <t xml:space="preserve">dreamjob.ru/employers/5976513/vakansii/135489062; dreamjob.ru/employers/109771/vakansii/135310231</t>
  </si>
  <si>
    <t xml:space="preserve">55–110 тыс.</t>
  </si>
  <si>
    <t xml:space="preserve">Зарплата: инженер-холодильщик</t>
  </si>
  <si>
    <t xml:space="preserve">Звёздный лёд / Динамо / EhS / Зенит-Арена</t>
  </si>
  <si>
    <t xml:space="preserve">spb.careerist.ru/vakansii/inzhener-kholodilnogo-oborudovaniya-zenit-arena-88279982.html; dreamjob.ru/employers/1000537/vakansii/134162627; spb.hh.ru/vacancy/136501745</t>
  </si>
  <si>
    <t xml:space="preserve">75–130 тыс.</t>
  </si>
  <si>
    <t xml:space="preserve">Зарплата: инженер КИПиА</t>
  </si>
  <si>
    <t xml:space="preserve">СПб ГБУ ДУОАН / Кип-Хауз</t>
  </si>
  <si>
    <t xml:space="preserve">spb.hh.ru/vacancy/136339294; dreamjob.ru/employers/6225392/vakansii/136562402</t>
  </si>
  <si>
    <t xml:space="preserve">96–106 тыс.</t>
  </si>
  <si>
    <t xml:space="preserve">Зарплата: теплотехник / отв. за ТЭУ</t>
  </si>
  <si>
    <t xml:space="preserve">Миракс / Газпром переработка / Дивайс</t>
  </si>
  <si>
    <t xml:space="preserve">nesiditsa.ru/vacancy/137236867; spb.hh.ru/vacancy/136483066; spb.hh.ru/vacancy/135604111</t>
  </si>
  <si>
    <t xml:space="preserve">100–140 тыс.</t>
  </si>
  <si>
    <t xml:space="preserve">Зарплата: прочие сверки</t>
  </si>
  <si>
    <t xml:space="preserve">hh.ru</t>
  </si>
  <si>
    <t xml:space="preserve">spb.hh.ru/vacancy/136555184; spb.hh.ru/vacancy/137141601</t>
  </si>
  <si>
    <t xml:space="preserve">КОСВЕННЫЕ ЗАТРАТЫ ПРОЕКТА (год, руб. без НДС)</t>
  </si>
  <si>
    <t xml:space="preserve">Статья</t>
  </si>
  <si>
    <t xml:space="preserve">Ставка, руб</t>
  </si>
  <si>
    <t xml:space="preserve">Сумма, руб</t>
  </si>
  <si>
    <t xml:space="preserve">Основание / расчёт</t>
  </si>
  <si>
    <t xml:space="preserve">Спецодежда и СИЗ персонала</t>
  </si>
  <si>
    <t xml:space="preserve">чел</t>
  </si>
  <si>
    <t xml:space="preserve">оценка: комплект летн./зимн. + обувь + СИЗ</t>
  </si>
  <si>
    <t xml:space="preserve">Приборы и инструмент (мегаомметр, клещи, тепловизор, течеискатель, набор слесаря)</t>
  </si>
  <si>
    <t xml:space="preserve">оценка; часть — в наличии у НЕОСТРОЙ</t>
  </si>
  <si>
    <t xml:space="preserve">ПО и модем для ежедневного снятия показаний УУТЭ Седова</t>
  </si>
  <si>
    <t xml:space="preserve">оценка; требование ТЗ</t>
  </si>
  <si>
    <t xml:space="preserve">Мобильная связь дежурных постов</t>
  </si>
  <si>
    <t xml:space="preserve">мес·пост</t>
  </si>
  <si>
    <t xml:space="preserve">4 номера × 12 мес</t>
  </si>
  <si>
    <t xml:space="preserve">Аттестация РТН А.1 / Б.8.2 (руководитель, отв. и замы ОПО)</t>
  </si>
  <si>
    <t xml:space="preserve">оценка; ТЗ — без совмещения, сроки — 3 дня после заключения</t>
  </si>
  <si>
    <t xml:space="preserve">Проверка знаний ЭБ (II–IV гр.)</t>
  </si>
  <si>
    <t xml:space="preserve">Обучение ОТ (все), работы на высоте</t>
  </si>
  <si>
    <t xml:space="preserve">Удостоверения: оператор диспетчерской лифтов, оператор подъёмных платформ (НОК)</t>
  </si>
  <si>
    <t xml:space="preserve">Аттестация технологии сварки (НАКС) / специалист сварочного производства</t>
  </si>
  <si>
    <t xml:space="preserve">оценка; требование ТЗ — запросить КП аттестационного центра</t>
  </si>
  <si>
    <t xml:space="preserve">Медосмотры</t>
  </si>
  <si>
    <t xml:space="preserve">Разъездной автомобиль (аренда + ГСМ) между 4 площадками</t>
  </si>
  <si>
    <t xml:space="preserve">мес</t>
  </si>
  <si>
    <t xml:space="preserve">Вывоз и утилизация отходов (лампы, аккумуляторы, масла)</t>
  </si>
  <si>
    <t xml:space="preserve">оценка; проверяемая услуга — запросить КП лицензиата</t>
  </si>
  <si>
    <t xml:space="preserve">Регламенты, инструкции, актуализация схем, ПТО-документация</t>
  </si>
  <si>
    <t xml:space="preserve">оценка: ТЗ — регламенты 30 дн., инструкции 15 дн., схемы 30 дн. после ПТО</t>
  </si>
  <si>
    <t xml:space="preserve">Высотные работы: 2 монтажника по необходимости (10 смен × 2 чел × 8 ч × 850)</t>
  </si>
  <si>
    <t xml:space="preserve">чел.-ч</t>
  </si>
  <si>
    <t xml:space="preserve">ставка ELM/NAR тарификатора 850 руб/ч; кол-во смен — оценка</t>
  </si>
  <si>
    <t xml:space="preserve">Аренда вышки/автовышки</t>
  </si>
  <si>
    <t xml:space="preserve">сут</t>
  </si>
  <si>
    <t xml:space="preserve">Испытания СИЗ в ЭТЛ (стоимость испытаний)</t>
  </si>
  <si>
    <t xml:space="preserve">Итого прямые косвенные</t>
  </si>
  <si>
    <t xml:space="preserve">Банковская гарантия исполнения 10 % НМЦК, 13 мес</t>
  </si>
  <si>
    <t xml:space="preserve">руб</t>
  </si>
  <si>
    <t xml:space="preserve">ставка 3,5 % годовых (рынок 1,85–5 %), срок контракта + 1 мес</t>
  </si>
  <si>
    <t xml:space="preserve">Финансирование кассового разрыва (без аванса, оплата ~1,5–2 мес после месяца)</t>
  </si>
  <si>
    <t xml:space="preserve">мес оборота</t>
  </si>
  <si>
    <t xml:space="preserve">средний остаток долга = 1,75 мес. затрат × 2 %/мес × 12 мес (затраты без финансирования и резервов)</t>
  </si>
  <si>
    <t xml:space="preserve">Резерв на гарантийные обязательства (гарантия 3 мес)</t>
  </si>
  <si>
    <t xml:space="preserve">1 % — нижняя граница: гарантия на услуги короткая</t>
  </si>
  <si>
    <t xml:space="preserve">Резерв на риски (штрафы 5 %, аварии сверх лимита, неизвестные моточасы)</t>
  </si>
  <si>
    <t xml:space="preserve">3 % — минимум диапазона 3–5 %, т.к. лимит ЗИП ограничен договором</t>
  </si>
  <si>
    <t xml:space="preserve">ИТОГО косвенные</t>
  </si>
  <si>
    <t xml:space="preserve">РИСКИ И ВОПРОСЫ</t>
  </si>
  <si>
    <t xml:space="preserve">Описание</t>
  </si>
  <si>
    <t xml:space="preserve">Влияние на цену, руб/год</t>
  </si>
  <si>
    <t xml:space="preserve">Что спросить у заказчика</t>
  </si>
  <si>
    <t xml:space="preserve">Допущение в расчёте</t>
  </si>
  <si>
    <t xml:space="preserve">ДОПУСК: ПП 2571 поз. 14 — нужен исполненный договор ТО зданий ≥ 20 % НМЦК (~4,89 млн), заключённый по 44-ФЗ или 223-ФЗ. Все договоры КТО НЕОСТРОЙ (Тандер, Агроторг, Дикси, СПБ-ЛЕТО) — коммерческие; 223-ФЗ договоры (Ленэнерго, Тепловые сети Гатчина) — ремонт, не ТО. Риск отклонения заявки</t>
  </si>
  <si>
    <t xml:space="preserve">заявка отклоняется</t>
  </si>
  <si>
    <t xml:space="preserve">Проверить, есть ли у Тандер/Агроторг/ЛЕТО закупка по 223-ФЗ (АО «Тандер» и ООО «Агроторг» закупают по 223-ФЗ только в отдельных случаях) — если нет, участие невозможно</t>
  </si>
  <si>
    <t xml:space="preserve">Трактовка круглосуточных постов: 4 должности (диспетчер, техник-оператор, электромонтёр, сантехник) могут читаться как 4 отдельных поста по 4 чел.</t>
  </si>
  <si>
    <t xml:space="preserve">Допускается ли совмещение оператора-диспетчера и техника-оператора автоматики (и электромонтёра) одним лицом на смене?</t>
  </si>
  <si>
    <t xml:space="preserve">Сценарий Б — 3 поста (диспетчер = техник-оператор)</t>
  </si>
  <si>
    <t xml:space="preserve">Лимит ЗИП 2,5 млн с НДС: аварийные ремонты «входят в цену». Если аварийная замена (компрессор, насос, ПТО) превысит лимит — за счёт Исполнителя?</t>
  </si>
  <si>
    <t xml:space="preserve">Подтвердить, что сверх лимита 2,5 млн запчасти оплачиваются отдельно (доп. соглашение / капремонт)</t>
  </si>
  <si>
    <t xml:space="preserve">Лимит расходуется полностью, сверх — не несём (резерв на риски 3 %)</t>
  </si>
  <si>
    <t xml:space="preserve">Капитальный ремонт винтовых компрессоров по регламенту 30 000 ч (разборка) — моточасы машин неизвестны</t>
  </si>
  <si>
    <t xml:space="preserve">Текущие моточасы компрессоров HSK 85, дата последнего ТО/замены масла, есть ли сервисный договор с Эйркул</t>
  </si>
  <si>
    <t xml:space="preserve">Капремонт компрессоров в 2027 не наступает</t>
  </si>
  <si>
    <t xml:space="preserve">Объёмы регламента не даны: площади для ЭТЛ, протяжённость сетей для промывки, кол-во колодцев К-2, СИ для поверки</t>
  </si>
  <si>
    <t xml:space="preserve">Площади зданий, протяжённость наружных сетей канализации/теплосетей, кол-во дождеприёмных колодцев и СИ</t>
  </si>
  <si>
    <t xml:space="preserve">Оценочные объёмы (оранжевые на листе «Работы»)</t>
  </si>
  <si>
    <t xml:space="preserve">Обязательное привлечение СМП/СОНКО 30 % (если НЕОСТРОЙ не СМП) — штраф 5 % недопривлечения</t>
  </si>
  <si>
    <t xml:space="preserve">НЕОСТРОЙ (ОГРН 2023) — вероятно СМП: проверить в Реестре МСП, тогда требование выполняется участием</t>
  </si>
  <si>
    <t xml:space="preserve">Аттестации РТН (А.1, Б.8.2), НАКС, удостоверения лифтов/НОК — к началу оказания услуг (3 дня после заключения)</t>
  </si>
  <si>
    <t xml:space="preserve">Достаточно ли действующих аттестаций на дату начала (01.01.2027)?</t>
  </si>
  <si>
    <t xml:space="preserve">Аттестации проводятся в декабре 2026 за счёт НЕОСТРОЙ</t>
  </si>
  <si>
    <t xml:space="preserve">Штрафы 5 % цены за каждое нарушение, 5 000 за нестоимостные; уведомление об аварии 15 минут</t>
  </si>
  <si>
    <t xml:space="preserve">Покрывается резервом рисков 3 % частично</t>
  </si>
  <si>
    <t xml:space="preserve">Запуск ледовых арен: замеры льда/влажности каждые 3 ч с 8 до 23 и 3 обхода в сутки — нагрузка на дежурную смену</t>
  </si>
  <si>
    <t xml:space="preserve">Сезонность ледовых арен (месяцы работы льда) — можно ли сокращать замеры вне сезона?</t>
  </si>
  <si>
    <t xml:space="preserve">Выполняет дежурная смена без доп. штата</t>
  </si>
  <si>
    <t xml:space="preserve">Требование 1 подписанта/координатора и 3 ИТР по ОТ — возможно, требуется больше ИТР, чем в сценарии Б</t>
  </si>
  <si>
    <t xml:space="preserve">Обязательно ли постоянное присутствие координатора на объекте?</t>
  </si>
  <si>
    <t xml:space="preserve">Координатор 0,5 ставки</t>
  </si>
  <si>
    <t xml:space="preserve">В форме позиция 12 — «секционные ворота», в перечне оборудования — 4 роллетных ворот Alutech</t>
  </si>
  <si>
    <t xml:space="preserve">Уточнить тип и количество ворот на Бабушкина 30</t>
  </si>
  <si>
    <t xml:space="preserve">По перечню — 4 роллетных</t>
  </si>
  <si>
    <t xml:space="preserve">Дата регистрации НЕОСТРОЙ — 2023 (ОГРН 1237800040939): договоры 2020–2022 в файле опыта, вероятно, исполнены другим юрлицом</t>
  </si>
  <si>
    <t xml:space="preserve">В форму опыта включены договоры 2023–2025</t>
  </si>
  <si>
    <t xml:space="preserve">ДОБАВИТЬ В ТАРИФИКАТОР</t>
  </si>
  <si>
    <t xml:space="preserve">Спец.</t>
  </si>
  <si>
    <t xml:space="preserve">Рынок СПб (оценка), руб</t>
  </si>
  <si>
    <t xml:space="preserve">Бригада = норма × ставка</t>
  </si>
  <si>
    <t xml:space="preserve">Норма, ч</t>
  </si>
  <si>
    <t xml:space="preserve">Ставка, руб/ч</t>
  </si>
  <si>
    <t xml:space="preserve">ТО настенной сплит-системы (внутр. блок: чистка фильтров, теплообменника, дренажа, проверка давления)</t>
  </si>
  <si>
    <t xml:space="preserve">HOL</t>
  </si>
  <si>
    <t xml:space="preserve">рынок 2 500–4 000 (сервисы кондиционеров СПб) — найти 2–3 прайса</t>
  </si>
  <si>
    <t xml:space="preserve">Промывка разборного пластинчатого теплообменника (разборка, химическая/механическая очистка пластин, сборка, опрессовка)</t>
  </si>
  <si>
    <t xml:space="preserve">SAN</t>
  </si>
  <si>
    <t xml:space="preserve">рынок 10 000–30 000 в зависимости от кол-ва пластин; химия отдельно</t>
  </si>
  <si>
    <t xml:space="preserve">Лабораторный анализ холодильного масла (проба, отправка, заключение)</t>
  </si>
  <si>
    <t xml:space="preserve">лабораторная услуга — запросить прайс лабораторий</t>
  </si>
  <si>
    <t xml:space="preserve">Замена масла и фильтров винтового компрессора Bitzer HSK (без масла)</t>
  </si>
  <si>
    <t xml:space="preserve">оценка; сверить с прайсом сервисных центров Bitzer</t>
  </si>
  <si>
    <t xml:space="preserve">Ежемесячное ТО холодильной машины 500+ кВт (винтовые компрессоры, конденсатор, НТМ)</t>
  </si>
  <si>
    <t xml:space="preserve">маш./мес</t>
  </si>
  <si>
    <t xml:space="preserve">нет данных</t>
  </si>
  <si>
    <t xml:space="preserve">в лоте — штатный инженер; для коммерческих лотов нужна расценка</t>
  </si>
  <si>
    <t xml:space="preserve">Круглосуточный дежурный пост (1 чел. на смене), месяц</t>
  </si>
  <si>
    <t xml:space="preserve">пост/мес</t>
  </si>
  <si>
    <t xml:space="preserve">SAN/ELM</t>
  </si>
  <si>
    <t xml:space="preserve">ставка поста = 4 чел. 1/3 × на руки × 1,5 × 14/12; добавить блок «Эксплуатация» в тарификатор</t>
  </si>
  <si>
    <t xml:space="preserve">Обход ледовой арены с замером температуры льда и влажности (каждые 3 ч)</t>
  </si>
  <si>
    <t xml:space="preserve">сутки</t>
  </si>
  <si>
    <t xml:space="preserve">обычно в составе дежурства</t>
  </si>
  <si>
    <t xml:space="preserve">КАРТА РЕАЛИЗАЦИИ: контрольные точки и кэш-план (руб. без НДС)</t>
  </si>
  <si>
    <t xml:space="preserve">Срок</t>
  </si>
  <si>
    <t xml:space="preserve">Контрольная точка / действие</t>
  </si>
  <si>
    <t xml:space="preserve">Ответственный</t>
  </si>
  <si>
    <t xml:space="preserve">до подачи заявки</t>
  </si>
  <si>
    <t xml:space="preserve">Решение ГД об участии; проверка допуска (договор ТО по 44/223-ФЗ ≥ 4,89 млн)</t>
  </si>
  <si>
    <t xml:space="preserve">ГД, тендерный отдел</t>
  </si>
  <si>
    <t xml:space="preserve">Запрос КП: ЭТЛ, гидропромывка, ворота, сервис Bitzer/анализ масла, вывоз отходов, БГ</t>
  </si>
  <si>
    <t xml:space="preserve">Снабжение</t>
  </si>
  <si>
    <t xml:space="preserve">подписание + 3 дня</t>
  </si>
  <si>
    <t xml:space="preserve">Приказы об ответственных (ОПО, ТЭУ, электрохозяйство, ОТ), аттестации РТН, НАКС</t>
  </si>
  <si>
    <t xml:space="preserve">Координатор</t>
  </si>
  <si>
    <t xml:space="preserve">декабрь 2026</t>
  </si>
  <si>
    <t xml:space="preserve">Найм: 4 инженера + 12 чел. дежурных смен (сц. Б), медосмотры, обучение, спецодежда</t>
  </si>
  <si>
    <t xml:space="preserve">HR, координатор</t>
  </si>
  <si>
    <t xml:space="preserve">до 31.12.2026</t>
  </si>
  <si>
    <t xml:space="preserve">Получение БГ 10 % НМЦК, закупка приборов (гигрометры, термометры), ПО УУТЭ</t>
  </si>
  <si>
    <t xml:space="preserve">Финансы, снабжение</t>
  </si>
  <si>
    <t xml:space="preserve">январь 2027</t>
  </si>
  <si>
    <t xml:space="preserve">Приём объектов, ПТО (первичное техническое освидетельствование), диспетчерская на Бабушкина 30</t>
  </si>
  <si>
    <t xml:space="preserve">Инженеры</t>
  </si>
  <si>
    <t xml:space="preserve">до 30 дней</t>
  </si>
  <si>
    <t xml:space="preserve">Регламенты, актуализация схем; инструкции — 15 дней</t>
  </si>
  <si>
    <t xml:space="preserve">Инженеры, ПТО</t>
  </si>
  <si>
    <t xml:space="preserve">ежемесячно</t>
  </si>
  <si>
    <t xml:space="preserve">Фотоотчёт, справка по ЗИП, документ о приёмке до 3 р.д.</t>
  </si>
  <si>
    <t xml:space="preserve">по графику</t>
  </si>
  <si>
    <t xml:space="preserve">Ворота и сплиты 2 раза/год; ЭТЛ, аэродинамика, промывки, очистка воздуховодов 1 раз/год; подготовка ИТП — июнь–август</t>
  </si>
  <si>
    <t xml:space="preserve">Инженеры, субподряд</t>
  </si>
  <si>
    <t xml:space="preserve">Кэш-план</t>
  </si>
  <si>
    <t xml:space="preserve">дек.26</t>
  </si>
  <si>
    <t xml:space="preserve">янв.27</t>
  </si>
  <si>
    <t xml:space="preserve">фев.27</t>
  </si>
  <si>
    <t xml:space="preserve">мар.27</t>
  </si>
  <si>
    <t xml:space="preserve">апр.27</t>
  </si>
  <si>
    <t xml:space="preserve">май.27</t>
  </si>
  <si>
    <t xml:space="preserve">июн.27</t>
  </si>
  <si>
    <t xml:space="preserve">июл.27</t>
  </si>
  <si>
    <t xml:space="preserve">авг.27</t>
  </si>
  <si>
    <t xml:space="preserve">сен.27</t>
  </si>
  <si>
    <t xml:space="preserve">окт.27</t>
  </si>
  <si>
    <t xml:space="preserve">ноя.27</t>
  </si>
  <si>
    <t xml:space="preserve">дек.27</t>
  </si>
  <si>
    <t xml:space="preserve">янв.28</t>
  </si>
  <si>
    <t xml:space="preserve">Поступления (акт месяца m → оплата m+2; декабрь 2027 — в декабре)</t>
  </si>
  <si>
    <t xml:space="preserve">Расходы (мобилизация в дек.26; затраты равномерно)</t>
  </si>
  <si>
    <t xml:space="preserve">Сальдо месяца</t>
  </si>
  <si>
    <t xml:space="preserve">Накопленное сальдо</t>
  </si>
  <si>
    <t xml:space="preserve">Максимальный кассовый разрыв</t>
  </si>
  <si>
    <t xml:space="preserve">Поступление за месяц m — в месяце m+2 (документ 3 р.д. + приёмка до 20 р.д. + оплата 7 р.д.); за декабрь 2027 — до 25.12.2027, за ноябрь 2027 — в январе 2028.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</si>
</sst>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%"/>
    <numFmt numFmtId="167" formatCode="#,##0"/>
    <numFmt numFmtId="168" formatCode="General"/>
    <numFmt numFmtId="169" formatCode="0.00%"/>
    <numFmt numFmtId="170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i val="true"/>
      <sz val="9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5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8" min="3" style="0" width="17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0" t="s">
        <v>1</v>
      </c>
    </row>
    <row r="3" customFormat="false" ht="15" hidden="false" customHeight="false" outlineLevel="0" collapsed="false">
      <c r="B3" s="0" t="s">
        <v>2</v>
      </c>
      <c r="C3" s="2" t="n">
        <f aca="false">'Паспорт тендера'!B8</f>
        <v>24436767.12</v>
      </c>
    </row>
    <row r="4" customFormat="false" ht="15" hidden="false" customHeight="false" outlineLevel="0" collapsed="false">
      <c r="B4" s="0" t="s">
        <v>3</v>
      </c>
      <c r="C4" s="2" t="n">
        <f aca="false">C3/1.22</f>
        <v>20030136.9836066</v>
      </c>
    </row>
    <row r="5" customFormat="false" ht="16.4" hidden="false" customHeight="false" outlineLevel="0" collapsed="false">
      <c r="B5" s="3" t="s">
        <v>4</v>
      </c>
      <c r="C5" s="4" t="n">
        <v>0</v>
      </c>
    </row>
    <row r="7" customFormat="false" ht="16.4" hidden="false" customHeight="false" outlineLevel="0" collapsed="false">
      <c r="B7" s="5" t="s">
        <v>5</v>
      </c>
      <c r="C7" s="6" t="s">
        <v>6</v>
      </c>
      <c r="D7" s="6" t="s">
        <v>7</v>
      </c>
      <c r="E7" s="6" t="s">
        <v>8</v>
      </c>
    </row>
    <row r="8" customFormat="false" ht="16.4" hidden="false" customHeight="false" outlineLevel="0" collapsed="false">
      <c r="B8" s="6" t="s">
        <v>9</v>
      </c>
      <c r="C8" s="7" t="n">
        <f aca="false">Персонал!J17</f>
        <v>29085000</v>
      </c>
      <c r="D8" s="8" t="n">
        <f aca="false">C8/$C$14</f>
        <v>0.78462300660272</v>
      </c>
      <c r="E8" s="7" t="n">
        <f aca="false">C8/12</f>
        <v>2423750</v>
      </c>
    </row>
    <row r="9" customFormat="false" ht="16.4" hidden="false" customHeight="false" outlineLevel="0" collapsed="false">
      <c r="B9" s="6" t="s">
        <v>10</v>
      </c>
      <c r="C9" s="7" t="n">
        <f aca="false">Работы!N33</f>
        <v>1043980</v>
      </c>
      <c r="D9" s="8" t="n">
        <f aca="false">C9/$C$14</f>
        <v>0.0281633393994536</v>
      </c>
      <c r="E9" s="7" t="n">
        <f aca="false">C9/12</f>
        <v>86998.3333333333</v>
      </c>
    </row>
    <row r="10" customFormat="false" ht="31.3" hidden="false" customHeight="false" outlineLevel="0" collapsed="false">
      <c r="B10" s="6" t="s">
        <v>11</v>
      </c>
      <c r="C10" s="7" t="n">
        <f aca="false">C9*0.02</f>
        <v>20879.6</v>
      </c>
      <c r="D10" s="8" t="n">
        <f aca="false">C10/$C$14</f>
        <v>0.000563266787989072</v>
      </c>
      <c r="E10" s="7" t="n">
        <f aca="false">C10/12</f>
        <v>1739.96666666667</v>
      </c>
    </row>
    <row r="11" customFormat="false" ht="16.4" hidden="false" customHeight="false" outlineLevel="0" collapsed="false">
      <c r="B11" s="6" t="s">
        <v>12</v>
      </c>
      <c r="C11" s="7" t="n">
        <f aca="false">Материалы!J10</f>
        <v>2085513.86491803</v>
      </c>
      <c r="D11" s="8" t="n">
        <f aca="false">C11/$C$14</f>
        <v>0.0562606896683392</v>
      </c>
      <c r="E11" s="7" t="n">
        <f aca="false">C11/12</f>
        <v>173792.822076503</v>
      </c>
    </row>
    <row r="12" customFormat="false" ht="31.3" hidden="false" customHeight="false" outlineLevel="0" collapsed="false">
      <c r="B12" s="9" t="s">
        <v>13</v>
      </c>
      <c r="C12" s="7" t="n">
        <f aca="false">SUM(C8:C11)+Косвенные!F20</f>
        <v>34396373.464918</v>
      </c>
      <c r="D12" s="6"/>
      <c r="E12" s="6"/>
    </row>
    <row r="13" customFormat="false" ht="16.4" hidden="false" customHeight="false" outlineLevel="0" collapsed="false">
      <c r="B13" s="6" t="s">
        <v>14</v>
      </c>
      <c r="C13" s="7" t="n">
        <f aca="false">Косвенные!F25</f>
        <v>4833384.08519885</v>
      </c>
      <c r="D13" s="8" t="n">
        <f aca="false">C13/$C$14</f>
        <v>0.130389697541498</v>
      </c>
      <c r="E13" s="7" t="n">
        <f aca="false">C13/12</f>
        <v>402782.007099904</v>
      </c>
    </row>
    <row r="14" customFormat="false" ht="16.4" hidden="false" customHeight="false" outlineLevel="0" collapsed="false">
      <c r="B14" s="5" t="s">
        <v>15</v>
      </c>
      <c r="C14" s="10" t="n">
        <f aca="false">SUM(C8:C11)+C13</f>
        <v>37068757.5501169</v>
      </c>
      <c r="D14" s="8" t="n">
        <f aca="false">C14/$C$14</f>
        <v>1</v>
      </c>
      <c r="E14" s="7" t="n">
        <f aca="false">C14/12</f>
        <v>3089063.12917641</v>
      </c>
    </row>
    <row r="16" customFormat="false" ht="15" hidden="false" customHeight="false" outlineLevel="0" collapsed="false">
      <c r="B16" s="11" t="s">
        <v>16</v>
      </c>
    </row>
    <row r="17" customFormat="false" ht="16.4" hidden="false" customHeight="false" outlineLevel="0" collapsed="false">
      <c r="B17" s="6" t="s">
        <v>17</v>
      </c>
      <c r="C17" s="12" t="n">
        <f aca="false">'Паспорт тендера'!F57</f>
        <v>24436767.12</v>
      </c>
    </row>
    <row r="18" customFormat="false" ht="16.4" hidden="false" customHeight="false" outlineLevel="0" collapsed="false">
      <c r="B18" s="6" t="s">
        <v>18</v>
      </c>
      <c r="C18" s="12" t="n">
        <f aca="false">C17/1.22</f>
        <v>20030136.9836066</v>
      </c>
    </row>
    <row r="19" customFormat="false" ht="16.4" hidden="false" customHeight="false" outlineLevel="0" collapsed="false">
      <c r="B19" s="6" t="s">
        <v>19</v>
      </c>
      <c r="C19" s="8" t="n">
        <f aca="false">C18/C14-1</f>
        <v>-0.459649087064063</v>
      </c>
    </row>
    <row r="20" customFormat="false" ht="16.4" hidden="false" customHeight="false" outlineLevel="0" collapsed="false">
      <c r="B20" s="6" t="s">
        <v>20</v>
      </c>
      <c r="C20" s="8" t="n">
        <f aca="false">1-C14/C18</f>
        <v>-0.850649228233207</v>
      </c>
    </row>
    <row r="21" customFormat="false" ht="16.4" hidden="false" customHeight="false" outlineLevel="0" collapsed="false">
      <c r="B21" s="6" t="s">
        <v>21</v>
      </c>
      <c r="C21" s="12" t="n">
        <f aca="false">C18-C14</f>
        <v>-17038620.5665103</v>
      </c>
    </row>
    <row r="22" customFormat="false" ht="16.4" hidden="false" customHeight="false" outlineLevel="0" collapsed="false">
      <c r="B22" s="6" t="s">
        <v>22</v>
      </c>
      <c r="C22" s="8" t="n">
        <f aca="false">C18/C4-1</f>
        <v>0</v>
      </c>
    </row>
    <row r="23" customFormat="false" ht="16.4" hidden="false" customHeight="false" outlineLevel="0" collapsed="false">
      <c r="B23" s="6" t="s">
        <v>23</v>
      </c>
      <c r="C23" s="8" t="n">
        <f aca="false">C14/C4</f>
        <v>1.85064922823321</v>
      </c>
    </row>
    <row r="24" customFormat="false" ht="31.3" hidden="false" customHeight="false" outlineLevel="0" collapsed="false">
      <c r="B24" s="6" t="s">
        <v>24</v>
      </c>
      <c r="C24" s="6" t="str">
        <f aca="false">IF(C19&lt;0,"УБЫТОК: с/с выше цены",IF(C19&lt;0.15,"ниже 15 % — согласование ГД",IF(C19&gt;0.3,"выше диапазона","в диапазоне")))</f>
        <v>УБЫТОК: с/с выше цены</v>
      </c>
    </row>
    <row r="25" customFormat="false" ht="16.4" hidden="false" customHeight="false" outlineLevel="0" collapsed="false">
      <c r="B25" s="6" t="s">
        <v>25</v>
      </c>
      <c r="C25" s="12" t="n">
        <f aca="false">C4-C14*1.15</f>
        <v>-22598934.1990279</v>
      </c>
    </row>
    <row r="26" customFormat="false" ht="31.5" hidden="false" customHeight="true" outlineLevel="0" collapsed="false">
      <c r="B26" s="5" t="s">
        <v>26</v>
      </c>
      <c r="C26" s="13" t="str">
        <f aca="false">IF(C14&gt;C4,"НЕ УЧАСТВОВАТЬ: с/с выше НМЦК; участие только в минус на "&amp;TEXT(C14-C4,"# ##0")&amp;" руб б/НДС (решение ГД)",IF(C25&lt;0,"Участвовать только с согласования ГД (наценка &lt; 15 % даже по НМЦК)","Участвовать; минимальная цена — с/с × 1,15"))</f>
        <v>НЕ УЧАСТВОВАТЬ: с/с выше НМЦК; участие только в минус на 17038 621 руб б/НДС (решение ГД)</v>
      </c>
      <c r="D26" s="13"/>
      <c r="E26" s="13"/>
      <c r="F26" s="13"/>
      <c r="G26" s="13"/>
      <c r="H26" s="13"/>
    </row>
    <row r="28" customFormat="false" ht="16.4" hidden="false" customHeight="false" outlineLevel="0" collapsed="false">
      <c r="B28" s="5" t="s">
        <v>27</v>
      </c>
      <c r="C28" s="14" t="s">
        <v>28</v>
      </c>
      <c r="D28" s="14" t="s">
        <v>29</v>
      </c>
      <c r="E28" s="14" t="s">
        <v>30</v>
      </c>
      <c r="F28" s="14" t="s">
        <v>31</v>
      </c>
      <c r="G28" s="14" t="s">
        <v>32</v>
      </c>
      <c r="H28" s="14" t="s">
        <v>33</v>
      </c>
    </row>
    <row r="29" customFormat="false" ht="16.4" hidden="false" customHeight="false" outlineLevel="0" collapsed="false">
      <c r="B29" s="6" t="s">
        <v>34</v>
      </c>
      <c r="C29" s="7" t="n">
        <f aca="false">C18</f>
        <v>20030136.9836066</v>
      </c>
      <c r="D29" s="7" t="n">
        <f aca="false">C29*1.22</f>
        <v>24436767.12</v>
      </c>
      <c r="E29" s="8" t="n">
        <f aca="false">C29/$C$14-1</f>
        <v>-0.459649087064063</v>
      </c>
      <c r="F29" s="8" t="n">
        <f aca="false">1-$C$14/C29</f>
        <v>-0.850649228233207</v>
      </c>
      <c r="G29" s="7" t="n">
        <f aca="false">C29-$C$14</f>
        <v>-17038620.5665103</v>
      </c>
      <c r="H29" s="8" t="n">
        <f aca="false">C29/$C$4-1</f>
        <v>0</v>
      </c>
    </row>
    <row r="30" customFormat="false" ht="16.4" hidden="false" customHeight="false" outlineLevel="0" collapsed="false">
      <c r="B30" s="6" t="s">
        <v>35</v>
      </c>
      <c r="C30" s="7" t="n">
        <f aca="false">C18*0.95</f>
        <v>19028630.1344262</v>
      </c>
      <c r="D30" s="7" t="n">
        <f aca="false">C30*1.22</f>
        <v>23214928.764</v>
      </c>
      <c r="E30" s="8" t="n">
        <f aca="false">C30/$C$14-1</f>
        <v>-0.48666663271086</v>
      </c>
      <c r="F30" s="8" t="n">
        <f aca="false">1-$C$14/C30</f>
        <v>-0.94805181919285</v>
      </c>
      <c r="G30" s="7" t="n">
        <f aca="false">C30-$C$14</f>
        <v>-18040127.4156907</v>
      </c>
      <c r="H30" s="8" t="n">
        <f aca="false">C30/$C$4-1</f>
        <v>-0.0500000000000003</v>
      </c>
    </row>
    <row r="31" customFormat="false" ht="16.4" hidden="false" customHeight="false" outlineLevel="0" collapsed="false">
      <c r="B31" s="6" t="s">
        <v>36</v>
      </c>
      <c r="C31" s="7" t="n">
        <f aca="false">C18*0.9</f>
        <v>18027123.2852459</v>
      </c>
      <c r="D31" s="7" t="n">
        <f aca="false">C31*1.22</f>
        <v>21993090.408</v>
      </c>
      <c r="E31" s="8" t="n">
        <f aca="false">C31/$C$14-1</f>
        <v>-0.513684178357657</v>
      </c>
      <c r="F31" s="8" t="n">
        <f aca="false">1-$C$14/C31</f>
        <v>-1.05627692025912</v>
      </c>
      <c r="G31" s="7" t="n">
        <f aca="false">C31-$C$14</f>
        <v>-19041634.264871</v>
      </c>
      <c r="H31" s="8" t="n">
        <f aca="false">C31/$C$4-1</f>
        <v>-0.1</v>
      </c>
    </row>
    <row r="32" customFormat="false" ht="16.4" hidden="false" customHeight="false" outlineLevel="0" collapsed="false">
      <c r="B32" s="6" t="s">
        <v>37</v>
      </c>
      <c r="C32" s="7" t="n">
        <f aca="false">C14*1.15</f>
        <v>42629071.1826344</v>
      </c>
      <c r="D32" s="7" t="n">
        <f aca="false">C32*1.22</f>
        <v>52007466.842814</v>
      </c>
      <c r="E32" s="8" t="n">
        <f aca="false">C32/$C$14-1</f>
        <v>0.15</v>
      </c>
      <c r="F32" s="8" t="n">
        <f aca="false">1-$C$14/C32</f>
        <v>0.130434782608696</v>
      </c>
      <c r="G32" s="7" t="n">
        <f aca="false">C32-$C$14</f>
        <v>5560313.63251753</v>
      </c>
      <c r="H32" s="8" t="n">
        <f aca="false">C32/$C$4-1</f>
        <v>1.12824661246819</v>
      </c>
    </row>
    <row r="33" customFormat="false" ht="16.4" hidden="false" customHeight="false" outlineLevel="0" collapsed="false">
      <c r="B33" s="6" t="s">
        <v>38</v>
      </c>
      <c r="C33" s="7" t="n">
        <f aca="false">C14</f>
        <v>37068757.5501169</v>
      </c>
      <c r="D33" s="7" t="n">
        <f aca="false">C33*1.22</f>
        <v>45223884.2111426</v>
      </c>
      <c r="E33" s="8" t="n">
        <f aca="false">C33/$C$14-1</f>
        <v>0</v>
      </c>
      <c r="F33" s="8" t="n">
        <f aca="false">1-$C$14/C33</f>
        <v>0</v>
      </c>
      <c r="G33" s="7" t="n">
        <f aca="false">C33-$C$14</f>
        <v>0</v>
      </c>
      <c r="H33" s="8" t="n">
        <f aca="false">C33/$C$4-1</f>
        <v>0.850649228233207</v>
      </c>
    </row>
    <row r="35" customFormat="false" ht="31.3" hidden="false" customHeight="false" outlineLevel="0" collapsed="false">
      <c r="B35" s="5" t="s">
        <v>39</v>
      </c>
      <c r="C35" s="14" t="s">
        <v>40</v>
      </c>
      <c r="D35" s="14" t="s">
        <v>41</v>
      </c>
      <c r="E35" s="14" t="s">
        <v>42</v>
      </c>
      <c r="F35" s="14" t="s">
        <v>43</v>
      </c>
      <c r="G35" s="14" t="s">
        <v>44</v>
      </c>
      <c r="H35" s="14" t="s">
        <v>45</v>
      </c>
    </row>
    <row r="36" customFormat="false" ht="16.4" hidden="false" customHeight="false" outlineLevel="0" collapsed="false">
      <c r="B36" s="6" t="s">
        <v>46</v>
      </c>
      <c r="C36" s="7" t="n">
        <f aca="false">Персонал!I17</f>
        <v>20265000</v>
      </c>
      <c r="D36" s="6" t="n">
        <f aca="false">Персонал!E18</f>
        <v>10.5</v>
      </c>
      <c r="E36" s="7" t="n">
        <f aca="false">($C$14-$C$8+C36)+(C36-$C$8)*0.04</f>
        <v>27895957.5501169</v>
      </c>
      <c r="F36" s="8" t="n">
        <f aca="false">E36/$C$4</f>
        <v>1.39269928972268</v>
      </c>
      <c r="G36" s="7" t="n">
        <f aca="false">$C$4-E36</f>
        <v>-7865820.56651033</v>
      </c>
      <c r="H36" s="8" t="n">
        <f aca="false">$C$4/E36-1</f>
        <v>-0.281969907373815</v>
      </c>
    </row>
    <row r="37" customFormat="false" ht="16.4" hidden="false" customHeight="false" outlineLevel="0" collapsed="false">
      <c r="B37" s="6" t="s">
        <v>47</v>
      </c>
      <c r="C37" s="7" t="n">
        <f aca="false">Персонал!J17</f>
        <v>29085000</v>
      </c>
      <c r="D37" s="6" t="n">
        <f aca="false">Персонал!F18</f>
        <v>16.5</v>
      </c>
      <c r="E37" s="7" t="n">
        <f aca="false">($C$14-$C$8+C37)+(C37-$C$8)*0.04</f>
        <v>37068757.5501169</v>
      </c>
      <c r="F37" s="8" t="n">
        <f aca="false">E37/$C$4</f>
        <v>1.85064922823321</v>
      </c>
      <c r="G37" s="7" t="n">
        <f aca="false">$C$4-E37</f>
        <v>-17038620.5665103</v>
      </c>
      <c r="H37" s="8" t="n">
        <f aca="false">$C$4/E37-1</f>
        <v>-0.459649087064063</v>
      </c>
    </row>
    <row r="38" customFormat="false" ht="16.4" hidden="false" customHeight="false" outlineLevel="0" collapsed="false">
      <c r="B38" s="6" t="s">
        <v>48</v>
      </c>
      <c r="C38" s="7" t="n">
        <f aca="false">Персонал!K17</f>
        <v>35280000</v>
      </c>
      <c r="D38" s="6" t="n">
        <f aca="false">Персонал!G18</f>
        <v>21</v>
      </c>
      <c r="E38" s="7" t="n">
        <f aca="false">($C$14-$C$8+C38)+(C38-$C$8)*0.04</f>
        <v>43511557.5501169</v>
      </c>
      <c r="F38" s="8" t="n">
        <f aca="false">E38/$C$4</f>
        <v>2.17230454218703</v>
      </c>
      <c r="G38" s="7" t="n">
        <f aca="false">$C$4-E38</f>
        <v>-23481420.5665103</v>
      </c>
      <c r="H38" s="8" t="n">
        <f aca="false">$C$4/E38-1</f>
        <v>-0.539659389105166</v>
      </c>
    </row>
    <row r="39" customFormat="false" ht="26.85" hidden="false" customHeight="false" outlineLevel="0" collapsed="false">
      <c r="B39" s="15" t="s">
        <v>49</v>
      </c>
    </row>
    <row r="41" customFormat="false" ht="16.4" hidden="false" customHeight="false" outlineLevel="0" collapsed="false">
      <c r="B41" s="16" t="s">
        <v>50</v>
      </c>
    </row>
    <row r="42" customFormat="false" ht="31.3" hidden="false" customHeight="false" outlineLevel="0" collapsed="false">
      <c r="B42" s="6" t="s">
        <v>51</v>
      </c>
      <c r="C42" s="7" t="n">
        <f aca="false">C4-(C14-C8)</f>
        <v>12046379.4334897</v>
      </c>
    </row>
    <row r="43" customFormat="false" ht="16.4" hidden="false" customHeight="false" outlineLevel="0" collapsed="false">
      <c r="B43" s="6" t="s">
        <v>52</v>
      </c>
      <c r="C43" s="7" t="n">
        <f aca="false">C42/1.5/14/Персонал!F18</f>
        <v>34765.885810937</v>
      </c>
    </row>
    <row r="44" customFormat="false" ht="16.4" hidden="false" customHeight="false" outlineLevel="0" collapsed="false">
      <c r="B44" s="6" t="s">
        <v>53</v>
      </c>
      <c r="C44" s="7" t="n">
        <f aca="false">Персонал!J17/1.5/14/Персонал!F18</f>
        <v>83939.3939393939</v>
      </c>
    </row>
    <row r="45" customFormat="false" ht="16.4" hidden="false" customHeight="false" outlineLevel="0" collapsed="false">
      <c r="B45" s="6" t="s">
        <v>54</v>
      </c>
      <c r="C45" s="7" t="n">
        <f aca="false">C42/1.5/14/Персонал!E18</f>
        <v>54632.1062743296</v>
      </c>
    </row>
    <row r="47" customFormat="false" ht="31.3" hidden="false" customHeight="false" outlineLevel="0" collapsed="false">
      <c r="B47" s="16" t="s">
        <v>55</v>
      </c>
    </row>
    <row r="48" customFormat="false" ht="16.4" hidden="false" customHeight="false" outlineLevel="0" collapsed="false">
      <c r="B48" s="6" t="s">
        <v>56</v>
      </c>
      <c r="C48" s="7" t="n">
        <f aca="false">C11</f>
        <v>2085513.86491803</v>
      </c>
      <c r="D48" s="8" t="n">
        <f aca="false">C48/$C$14</f>
        <v>0.0562606896683392</v>
      </c>
    </row>
    <row r="49" customFormat="false" ht="16.4" hidden="false" customHeight="false" outlineLevel="0" collapsed="false">
      <c r="B49" s="6" t="s">
        <v>57</v>
      </c>
      <c r="C49" s="7" t="n">
        <f aca="false">C9+C10</f>
        <v>1064859.6</v>
      </c>
      <c r="D49" s="8" t="n">
        <f aca="false">C49/$C$14</f>
        <v>0.0287266061874427</v>
      </c>
    </row>
    <row r="50" customFormat="false" ht="16.4" hidden="false" customHeight="false" outlineLevel="0" collapsed="false">
      <c r="B50" s="6" t="s">
        <v>58</v>
      </c>
      <c r="C50" s="7" t="n">
        <f aca="false">C8</f>
        <v>29085000</v>
      </c>
      <c r="D50" s="8" t="n">
        <f aca="false">C50/$C$14</f>
        <v>0.78462300660272</v>
      </c>
    </row>
    <row r="51" customFormat="false" ht="16.4" hidden="false" customHeight="false" outlineLevel="0" collapsed="false">
      <c r="B51" s="6" t="s">
        <v>59</v>
      </c>
      <c r="C51" s="7" t="n">
        <f aca="false">C13</f>
        <v>4833384.08519885</v>
      </c>
      <c r="D51" s="8" t="n">
        <f aca="false">C51/$C$14</f>
        <v>0.130389697541498</v>
      </c>
    </row>
    <row r="53" customFormat="false" ht="16.4" hidden="false" customHeight="false" outlineLevel="0" collapsed="false">
      <c r="B53" s="3" t="s">
        <v>60</v>
      </c>
      <c r="C53" s="17" t="n">
        <f aca="false">Материалы!K10/Материалы!J5-1</f>
        <v>0</v>
      </c>
    </row>
    <row r="54" customFormat="false" ht="31.3" hidden="false" customHeight="false" outlineLevel="0" collapsed="false">
      <c r="B54" s="3" t="s">
        <v>61</v>
      </c>
      <c r="C54" s="18" t="n">
        <f aca="false">(C18-Материалы!K10)/(C14-C11)-1</f>
        <v>-0.486012308705802</v>
      </c>
    </row>
  </sheetData>
  <mergeCells count="1">
    <mergeCell ref="C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5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8"/>
  </cols>
  <sheetData>
    <row r="1" customFormat="false" ht="16.15" hidden="false" customHeight="false" outlineLevel="0" collapsed="false">
      <c r="A1" s="1" t="s">
        <v>62</v>
      </c>
    </row>
    <row r="3" customFormat="false" ht="31.3" hidden="false" customHeight="false" outlineLevel="0" collapsed="false">
      <c r="A3" s="5" t="s">
        <v>63</v>
      </c>
      <c r="B3" s="6" t="s">
        <v>64</v>
      </c>
    </row>
    <row r="4" customFormat="false" ht="31.3" hidden="false" customHeight="false" outlineLevel="0" collapsed="false">
      <c r="A4" s="5" t="s">
        <v>65</v>
      </c>
      <c r="B4" s="6" t="s">
        <v>66</v>
      </c>
    </row>
    <row r="5" customFormat="false" ht="31.3" hidden="false" customHeight="false" outlineLevel="0" collapsed="false">
      <c r="A5" s="5" t="s">
        <v>67</v>
      </c>
      <c r="B5" s="6" t="s">
        <v>68</v>
      </c>
    </row>
    <row r="6" customFormat="false" ht="31.3" hidden="false" customHeight="false" outlineLevel="0" collapsed="false">
      <c r="A6" s="5" t="s">
        <v>69</v>
      </c>
      <c r="B6" s="6" t="s">
        <v>70</v>
      </c>
    </row>
    <row r="7" customFormat="false" ht="46.25" hidden="false" customHeight="false" outlineLevel="0" collapsed="false">
      <c r="A7" s="5" t="s">
        <v>71</v>
      </c>
      <c r="B7" s="6" t="s">
        <v>72</v>
      </c>
    </row>
    <row r="8" customFormat="false" ht="16.4" hidden="false" customHeight="false" outlineLevel="0" collapsed="false">
      <c r="A8" s="5" t="s">
        <v>73</v>
      </c>
      <c r="B8" s="12" t="n">
        <v>24436767.12</v>
      </c>
    </row>
    <row r="9" customFormat="false" ht="16.4" hidden="false" customHeight="false" outlineLevel="0" collapsed="false">
      <c r="A9" s="5" t="s">
        <v>74</v>
      </c>
      <c r="B9" s="12" t="n">
        <f aca="false">B8/1.22</f>
        <v>20030136.9836066</v>
      </c>
    </row>
    <row r="10" customFormat="false" ht="16.4" hidden="false" customHeight="false" outlineLevel="0" collapsed="false">
      <c r="A10" s="5" t="s">
        <v>75</v>
      </c>
      <c r="B10" s="6" t="s">
        <v>76</v>
      </c>
    </row>
    <row r="11" customFormat="false" ht="31.3" hidden="false" customHeight="false" outlineLevel="0" collapsed="false">
      <c r="A11" s="5" t="s">
        <v>77</v>
      </c>
      <c r="B11" s="6" t="s">
        <v>78</v>
      </c>
    </row>
    <row r="12" customFormat="false" ht="16.4" hidden="false" customHeight="false" outlineLevel="0" collapsed="false">
      <c r="A12" s="5" t="s">
        <v>79</v>
      </c>
      <c r="B12" s="6" t="s">
        <v>80</v>
      </c>
    </row>
    <row r="13" customFormat="false" ht="16.4" hidden="false" customHeight="false" outlineLevel="0" collapsed="false">
      <c r="A13" s="5" t="s">
        <v>81</v>
      </c>
      <c r="B13" s="6" t="s">
        <v>82</v>
      </c>
    </row>
    <row r="14" customFormat="false" ht="16.4" hidden="false" customHeight="false" outlineLevel="0" collapsed="false">
      <c r="A14" s="5" t="s">
        <v>83</v>
      </c>
      <c r="B14" s="6" t="s">
        <v>84</v>
      </c>
    </row>
    <row r="15" customFormat="false" ht="31.3" hidden="false" customHeight="false" outlineLevel="0" collapsed="false">
      <c r="A15" s="5" t="s">
        <v>85</v>
      </c>
      <c r="B15" s="6" t="s">
        <v>86</v>
      </c>
    </row>
    <row r="16" customFormat="false" ht="16.4" hidden="false" customHeight="false" outlineLevel="0" collapsed="false">
      <c r="A16" s="5" t="s">
        <v>87</v>
      </c>
      <c r="B16" s="6" t="s">
        <v>88</v>
      </c>
    </row>
    <row r="17" customFormat="false" ht="31.3" hidden="false" customHeight="false" outlineLevel="0" collapsed="false">
      <c r="A17" s="5" t="s">
        <v>89</v>
      </c>
      <c r="B17" s="6" t="s">
        <v>90</v>
      </c>
    </row>
    <row r="18" customFormat="false" ht="31.3" hidden="false" customHeight="false" outlineLevel="0" collapsed="false">
      <c r="A18" s="5" t="s">
        <v>91</v>
      </c>
      <c r="B18" s="6" t="s">
        <v>92</v>
      </c>
    </row>
    <row r="19" customFormat="false" ht="31.3" hidden="false" customHeight="false" outlineLevel="0" collapsed="false">
      <c r="A19" s="5" t="s">
        <v>93</v>
      </c>
      <c r="B19" s="6" t="s">
        <v>94</v>
      </c>
    </row>
    <row r="20" customFormat="false" ht="91" hidden="false" customHeight="false" outlineLevel="0" collapsed="false">
      <c r="A20" s="5" t="s">
        <v>95</v>
      </c>
      <c r="B20" s="6" t="s">
        <v>96</v>
      </c>
    </row>
    <row r="21" customFormat="false" ht="61.15" hidden="false" customHeight="false" outlineLevel="0" collapsed="false">
      <c r="A21" s="5" t="s">
        <v>97</v>
      </c>
      <c r="B21" s="6" t="s">
        <v>98</v>
      </c>
    </row>
    <row r="22" customFormat="false" ht="16.4" hidden="false" customHeight="false" outlineLevel="0" collapsed="false">
      <c r="A22" s="5" t="s">
        <v>99</v>
      </c>
      <c r="B22" s="6" t="s">
        <v>100</v>
      </c>
    </row>
    <row r="23" customFormat="false" ht="31.3" hidden="false" customHeight="false" outlineLevel="0" collapsed="false">
      <c r="A23" s="5" t="s">
        <v>101</v>
      </c>
      <c r="B23" s="6" t="s">
        <v>102</v>
      </c>
    </row>
    <row r="24" customFormat="false" ht="16.4" hidden="false" customHeight="false" outlineLevel="0" collapsed="false">
      <c r="A24" s="5" t="s">
        <v>103</v>
      </c>
      <c r="B24" s="6" t="s">
        <v>104</v>
      </c>
    </row>
    <row r="26" customFormat="false" ht="31.3" hidden="false" customHeight="false" outlineLevel="0" collapsed="false">
      <c r="A26" s="16" t="s">
        <v>105</v>
      </c>
    </row>
    <row r="27" customFormat="false" ht="45" hidden="false" customHeight="true" outlineLevel="0" collapsed="false">
      <c r="A27" s="14" t="s">
        <v>106</v>
      </c>
      <c r="B27" s="14" t="s">
        <v>107</v>
      </c>
      <c r="C27" s="14" t="s">
        <v>108</v>
      </c>
      <c r="D27" s="14" t="s">
        <v>109</v>
      </c>
      <c r="E27" s="14" t="s">
        <v>110</v>
      </c>
      <c r="F27" s="14" t="s">
        <v>111</v>
      </c>
    </row>
    <row r="28" customFormat="false" ht="46.25" hidden="false" customHeight="false" outlineLevel="0" collapsed="false">
      <c r="A28" s="6" t="n">
        <v>1</v>
      </c>
      <c r="B28" s="6" t="s">
        <v>112</v>
      </c>
      <c r="C28" s="12" t="n">
        <v>1573188.72</v>
      </c>
      <c r="D28" s="12" t="n">
        <f aca="false">C28/12</f>
        <v>131099.06</v>
      </c>
      <c r="E28" s="12" t="n">
        <f aca="false">ROUND(D28*(1-Свод!$C$5),2)</f>
        <v>131099.06</v>
      </c>
      <c r="F28" s="12" t="n">
        <f aca="false">ROUND(E28*12,2)</f>
        <v>1573188.72</v>
      </c>
    </row>
    <row r="29" customFormat="false" ht="61.15" hidden="false" customHeight="false" outlineLevel="0" collapsed="false">
      <c r="A29" s="6" t="n">
        <v>2</v>
      </c>
      <c r="B29" s="6" t="s">
        <v>113</v>
      </c>
      <c r="C29" s="12" t="n">
        <v>1518086.64</v>
      </c>
      <c r="D29" s="12" t="n">
        <f aca="false">C29/12</f>
        <v>126507.22</v>
      </c>
      <c r="E29" s="12" t="n">
        <f aca="false">ROUND(D29*(1-Свод!$C$5),2)</f>
        <v>126507.22</v>
      </c>
      <c r="F29" s="12" t="n">
        <f aca="false">ROUND(E29*12,2)</f>
        <v>1518086.64</v>
      </c>
    </row>
    <row r="30" customFormat="false" ht="46.25" hidden="false" customHeight="false" outlineLevel="0" collapsed="false">
      <c r="A30" s="6" t="n">
        <v>3</v>
      </c>
      <c r="B30" s="6" t="s">
        <v>114</v>
      </c>
      <c r="C30" s="12" t="n">
        <v>1623777.6</v>
      </c>
      <c r="D30" s="12" t="n">
        <f aca="false">C30/12</f>
        <v>135314.8</v>
      </c>
      <c r="E30" s="12" t="n">
        <f aca="false">ROUND(D30*(1-Свод!$C$5),2)</f>
        <v>135314.8</v>
      </c>
      <c r="F30" s="12" t="n">
        <f aca="false">ROUND(E30*12,2)</f>
        <v>1623777.6</v>
      </c>
    </row>
    <row r="31" customFormat="false" ht="61.15" hidden="false" customHeight="false" outlineLevel="0" collapsed="false">
      <c r="A31" s="6" t="n">
        <v>4</v>
      </c>
      <c r="B31" s="6" t="s">
        <v>115</v>
      </c>
      <c r="C31" s="12" t="n">
        <v>961652.04</v>
      </c>
      <c r="D31" s="12" t="n">
        <f aca="false">C31/12</f>
        <v>80137.67</v>
      </c>
      <c r="E31" s="12" t="n">
        <f aca="false">ROUND(D31*(1-Свод!$C$5),2)</f>
        <v>80137.67</v>
      </c>
      <c r="F31" s="12" t="n">
        <f aca="false">ROUND(E31*12,2)</f>
        <v>961652.04</v>
      </c>
    </row>
    <row r="32" customFormat="false" ht="46.25" hidden="false" customHeight="false" outlineLevel="0" collapsed="false">
      <c r="A32" s="6" t="n">
        <v>5</v>
      </c>
      <c r="B32" s="6" t="s">
        <v>116</v>
      </c>
      <c r="C32" s="12" t="n">
        <v>1535858.88</v>
      </c>
      <c r="D32" s="12" t="n">
        <f aca="false">C32/12</f>
        <v>127988.24</v>
      </c>
      <c r="E32" s="12" t="n">
        <f aca="false">ROUND(D32*(1-Свод!$C$5),2)</f>
        <v>127988.24</v>
      </c>
      <c r="F32" s="12" t="n">
        <f aca="false">ROUND(E32*12,2)</f>
        <v>1535858.88</v>
      </c>
    </row>
    <row r="33" customFormat="false" ht="46.25" hidden="false" customHeight="false" outlineLevel="0" collapsed="false">
      <c r="A33" s="6" t="n">
        <v>6</v>
      </c>
      <c r="B33" s="6" t="s">
        <v>117</v>
      </c>
      <c r="C33" s="12" t="n">
        <v>1021352.16</v>
      </c>
      <c r="D33" s="12" t="n">
        <f aca="false">C33/12</f>
        <v>85112.68</v>
      </c>
      <c r="E33" s="12" t="n">
        <f aca="false">ROUND(D33*(1-Свод!$C$5),2)</f>
        <v>85112.68</v>
      </c>
      <c r="F33" s="12" t="n">
        <f aca="false">ROUND(E33*12,2)</f>
        <v>1021352.16</v>
      </c>
    </row>
    <row r="34" customFormat="false" ht="46.25" hidden="false" customHeight="false" outlineLevel="0" collapsed="false">
      <c r="A34" s="6" t="n">
        <v>7</v>
      </c>
      <c r="B34" s="6" t="s">
        <v>118</v>
      </c>
      <c r="C34" s="12" t="n">
        <v>641695.92</v>
      </c>
      <c r="D34" s="12" t="n">
        <f aca="false">C34/12</f>
        <v>53474.66</v>
      </c>
      <c r="E34" s="12" t="n">
        <f aca="false">ROUND(D34*(1-Свод!$C$5),2)</f>
        <v>53474.66</v>
      </c>
      <c r="F34" s="12" t="n">
        <f aca="false">ROUND(E34*12,2)</f>
        <v>641695.92</v>
      </c>
    </row>
    <row r="35" customFormat="false" ht="46.25" hidden="false" customHeight="false" outlineLevel="0" collapsed="false">
      <c r="A35" s="6" t="n">
        <v>8</v>
      </c>
      <c r="B35" s="6" t="s">
        <v>119</v>
      </c>
      <c r="C35" s="12" t="n">
        <v>5488637.04</v>
      </c>
      <c r="D35" s="12" t="n">
        <f aca="false">C35/12</f>
        <v>457386.42</v>
      </c>
      <c r="E35" s="12" t="n">
        <f aca="false">ROUND(D35*(1-Свод!$C$5),2)</f>
        <v>457386.42</v>
      </c>
      <c r="F35" s="12" t="n">
        <f aca="false">ROUND(E35*12,2)</f>
        <v>5488637.04</v>
      </c>
    </row>
    <row r="36" customFormat="false" ht="46.25" hidden="false" customHeight="false" outlineLevel="0" collapsed="false">
      <c r="A36" s="6" t="n">
        <v>9</v>
      </c>
      <c r="B36" s="6" t="s">
        <v>120</v>
      </c>
      <c r="C36" s="12" t="n">
        <v>992202.6</v>
      </c>
      <c r="D36" s="12" t="n">
        <f aca="false">C36/12</f>
        <v>82683.55</v>
      </c>
      <c r="E36" s="12" t="n">
        <f aca="false">ROUND(D36*(1-Свод!$C$5),2)</f>
        <v>82683.55</v>
      </c>
      <c r="F36" s="12" t="n">
        <f aca="false">ROUND(E36*12,2)</f>
        <v>992202.6</v>
      </c>
    </row>
    <row r="37" customFormat="false" ht="46.25" hidden="false" customHeight="false" outlineLevel="0" collapsed="false">
      <c r="A37" s="6" t="n">
        <v>10</v>
      </c>
      <c r="B37" s="6" t="s">
        <v>121</v>
      </c>
      <c r="C37" s="12" t="n">
        <v>949095.72</v>
      </c>
      <c r="D37" s="12" t="n">
        <f aca="false">C37/12</f>
        <v>79091.31</v>
      </c>
      <c r="E37" s="12" t="n">
        <f aca="false">ROUND(D37*(1-Свод!$C$5),2)</f>
        <v>79091.31</v>
      </c>
      <c r="F37" s="12" t="n">
        <f aca="false">ROUND(E37*12,2)</f>
        <v>949095.72</v>
      </c>
    </row>
    <row r="38" customFormat="false" ht="46.25" hidden="false" customHeight="false" outlineLevel="0" collapsed="false">
      <c r="A38" s="6" t="n">
        <v>11</v>
      </c>
      <c r="B38" s="6" t="s">
        <v>122</v>
      </c>
      <c r="C38" s="12" t="n">
        <v>902414.4</v>
      </c>
      <c r="D38" s="12" t="n">
        <f aca="false">C38/12</f>
        <v>75201.2</v>
      </c>
      <c r="E38" s="12" t="n">
        <f aca="false">ROUND(D38*(1-Свод!$C$5),2)</f>
        <v>75201.2</v>
      </c>
      <c r="F38" s="12" t="n">
        <f aca="false">ROUND(E38*12,2)</f>
        <v>902414.4</v>
      </c>
    </row>
    <row r="39" customFormat="false" ht="31.3" hidden="false" customHeight="false" outlineLevel="0" collapsed="false">
      <c r="A39" s="6" t="n">
        <v>12</v>
      </c>
      <c r="B39" s="6" t="s">
        <v>123</v>
      </c>
      <c r="C39" s="12" t="n">
        <v>292476.48</v>
      </c>
      <c r="D39" s="12" t="n">
        <f aca="false">C39/12</f>
        <v>24373.04</v>
      </c>
      <c r="E39" s="12" t="n">
        <f aca="false">ROUND(D39*(1-Свод!$C$5),2)</f>
        <v>24373.04</v>
      </c>
      <c r="F39" s="12" t="n">
        <f aca="false">ROUND(E39*12,2)</f>
        <v>292476.48</v>
      </c>
    </row>
    <row r="40" customFormat="false" ht="46.25" hidden="false" customHeight="false" outlineLevel="0" collapsed="false">
      <c r="A40" s="6" t="n">
        <v>13</v>
      </c>
      <c r="B40" s="6" t="s">
        <v>124</v>
      </c>
      <c r="C40" s="12" t="n">
        <v>625397.88</v>
      </c>
      <c r="D40" s="12" t="n">
        <f aca="false">C40/12</f>
        <v>52116.49</v>
      </c>
      <c r="E40" s="12" t="n">
        <f aca="false">ROUND(D40*(1-Свод!$C$5),2)</f>
        <v>52116.49</v>
      </c>
      <c r="F40" s="12" t="n">
        <f aca="false">ROUND(E40*12,2)</f>
        <v>625397.88</v>
      </c>
    </row>
    <row r="41" customFormat="false" ht="46.25" hidden="false" customHeight="false" outlineLevel="0" collapsed="false">
      <c r="A41" s="6" t="n">
        <v>14</v>
      </c>
      <c r="B41" s="6" t="s">
        <v>125</v>
      </c>
      <c r="C41" s="12" t="n">
        <v>654242.52</v>
      </c>
      <c r="D41" s="12" t="n">
        <f aca="false">C41/12</f>
        <v>54520.21</v>
      </c>
      <c r="E41" s="12" t="n">
        <f aca="false">ROUND(D41*(1-Свод!$C$5),2)</f>
        <v>54520.21</v>
      </c>
      <c r="F41" s="12" t="n">
        <f aca="false">ROUND(E41*12,2)</f>
        <v>654242.52</v>
      </c>
    </row>
    <row r="42" customFormat="false" ht="46.25" hidden="false" customHeight="false" outlineLevel="0" collapsed="false">
      <c r="A42" s="6" t="n">
        <v>15</v>
      </c>
      <c r="B42" s="6" t="s">
        <v>126</v>
      </c>
      <c r="C42" s="12" t="n">
        <v>262697.52</v>
      </c>
      <c r="D42" s="12" t="n">
        <f aca="false">C42/12</f>
        <v>21891.46</v>
      </c>
      <c r="E42" s="12" t="n">
        <f aca="false">ROUND(D42*(1-Свод!$C$5),2)</f>
        <v>21891.46</v>
      </c>
      <c r="F42" s="12" t="n">
        <f aca="false">ROUND(E42*12,2)</f>
        <v>262697.52</v>
      </c>
    </row>
    <row r="43" customFormat="false" ht="76.1" hidden="false" customHeight="false" outlineLevel="0" collapsed="false">
      <c r="A43" s="6" t="n">
        <v>16</v>
      </c>
      <c r="B43" s="6" t="s">
        <v>127</v>
      </c>
      <c r="C43" s="12" t="n">
        <v>626107.92</v>
      </c>
      <c r="D43" s="12" t="n">
        <f aca="false">C43/12</f>
        <v>52175.66</v>
      </c>
      <c r="E43" s="12" t="n">
        <f aca="false">ROUND(D43*(1-Свод!$C$5),2)</f>
        <v>52175.66</v>
      </c>
      <c r="F43" s="12" t="n">
        <f aca="false">ROUND(E43*12,2)</f>
        <v>626107.92</v>
      </c>
    </row>
    <row r="44" customFormat="false" ht="46.25" hidden="false" customHeight="false" outlineLevel="0" collapsed="false">
      <c r="A44" s="6" t="n">
        <v>17</v>
      </c>
      <c r="B44" s="6" t="s">
        <v>128</v>
      </c>
      <c r="C44" s="12" t="n">
        <v>572809.8</v>
      </c>
      <c r="D44" s="12" t="n">
        <f aca="false">C44/12</f>
        <v>47734.15</v>
      </c>
      <c r="E44" s="12" t="n">
        <f aca="false">ROUND(D44*(1-Свод!$C$5),2)</f>
        <v>47734.15</v>
      </c>
      <c r="F44" s="12" t="n">
        <f aca="false">ROUND(E44*12,2)</f>
        <v>572809.8</v>
      </c>
    </row>
    <row r="45" customFormat="false" ht="46.25" hidden="false" customHeight="false" outlineLevel="0" collapsed="false">
      <c r="A45" s="6" t="n">
        <v>18</v>
      </c>
      <c r="B45" s="6" t="s">
        <v>129</v>
      </c>
      <c r="C45" s="12" t="n">
        <v>546676.68</v>
      </c>
      <c r="D45" s="12" t="n">
        <f aca="false">C45/12</f>
        <v>45556.39</v>
      </c>
      <c r="E45" s="12" t="n">
        <f aca="false">ROUND(D45*(1-Свод!$C$5),2)</f>
        <v>45556.39</v>
      </c>
      <c r="F45" s="12" t="n">
        <f aca="false">ROUND(E45*12,2)</f>
        <v>546676.68</v>
      </c>
    </row>
    <row r="46" customFormat="false" ht="31.3" hidden="false" customHeight="false" outlineLevel="0" collapsed="false">
      <c r="A46" s="6" t="n">
        <v>19</v>
      </c>
      <c r="B46" s="6" t="s">
        <v>130</v>
      </c>
      <c r="C46" s="12" t="n">
        <v>837061.08</v>
      </c>
      <c r="D46" s="12" t="n">
        <f aca="false">C46/12</f>
        <v>69755.09</v>
      </c>
      <c r="E46" s="12" t="n">
        <f aca="false">ROUND(D46*(1-Свод!$C$5),2)</f>
        <v>69755.09</v>
      </c>
      <c r="F46" s="12" t="n">
        <f aca="false">ROUND(E46*12,2)</f>
        <v>837061.08</v>
      </c>
    </row>
    <row r="47" customFormat="false" ht="46.25" hidden="false" customHeight="false" outlineLevel="0" collapsed="false">
      <c r="A47" s="6" t="n">
        <v>20</v>
      </c>
      <c r="B47" s="6" t="s">
        <v>131</v>
      </c>
      <c r="C47" s="12" t="n">
        <v>122097.96</v>
      </c>
      <c r="D47" s="12" t="n">
        <f aca="false">C47/12</f>
        <v>10174.83</v>
      </c>
      <c r="E47" s="12" t="n">
        <f aca="false">ROUND(D47*(1-Свод!$C$5),2)</f>
        <v>10174.83</v>
      </c>
      <c r="F47" s="12" t="n">
        <f aca="false">ROUND(E47*12,2)</f>
        <v>122097.96</v>
      </c>
    </row>
    <row r="48" customFormat="false" ht="31.3" hidden="false" customHeight="false" outlineLevel="0" collapsed="false">
      <c r="A48" s="6" t="n">
        <v>21</v>
      </c>
      <c r="B48" s="6" t="s">
        <v>132</v>
      </c>
      <c r="C48" s="12" t="n">
        <v>203646.6</v>
      </c>
      <c r="D48" s="12" t="n">
        <f aca="false">C48/12</f>
        <v>16970.55</v>
      </c>
      <c r="E48" s="12" t="n">
        <f aca="false">ROUND(D48*(1-Свод!$C$5),2)</f>
        <v>16970.55</v>
      </c>
      <c r="F48" s="12" t="n">
        <f aca="false">ROUND(E48*12,2)</f>
        <v>203646.6</v>
      </c>
    </row>
    <row r="49" customFormat="false" ht="61.15" hidden="false" customHeight="false" outlineLevel="0" collapsed="false">
      <c r="A49" s="6" t="n">
        <v>22</v>
      </c>
      <c r="B49" s="6" t="s">
        <v>133</v>
      </c>
      <c r="C49" s="12" t="n">
        <v>801716.52</v>
      </c>
      <c r="D49" s="12" t="n">
        <f aca="false">C49/12</f>
        <v>66809.71</v>
      </c>
      <c r="E49" s="12" t="n">
        <f aca="false">ROUND(D49*(1-Свод!$C$5),2)</f>
        <v>66809.71</v>
      </c>
      <c r="F49" s="12" t="n">
        <f aca="false">ROUND(E49*12,2)</f>
        <v>801716.52</v>
      </c>
    </row>
    <row r="50" customFormat="false" ht="76.1" hidden="false" customHeight="false" outlineLevel="0" collapsed="false">
      <c r="A50" s="6" t="n">
        <v>23</v>
      </c>
      <c r="B50" s="6" t="s">
        <v>134</v>
      </c>
      <c r="C50" s="12" t="n">
        <v>330222.96</v>
      </c>
      <c r="D50" s="12" t="n">
        <f aca="false">C50/12</f>
        <v>27518.58</v>
      </c>
      <c r="E50" s="12" t="n">
        <f aca="false">ROUND(D50*(1-Свод!$C$5),2)</f>
        <v>27518.58</v>
      </c>
      <c r="F50" s="12" t="n">
        <f aca="false">ROUND(E50*12,2)</f>
        <v>330222.96</v>
      </c>
    </row>
    <row r="51" customFormat="false" ht="61.15" hidden="false" customHeight="false" outlineLevel="0" collapsed="false">
      <c r="A51" s="6" t="n">
        <v>24</v>
      </c>
      <c r="B51" s="6" t="s">
        <v>135</v>
      </c>
      <c r="C51" s="12" t="n">
        <v>322677.6</v>
      </c>
      <c r="D51" s="12" t="n">
        <f aca="false">C51/12</f>
        <v>26889.8</v>
      </c>
      <c r="E51" s="12" t="n">
        <f aca="false">ROUND(D51*(1-Свод!$C$5),2)</f>
        <v>26889.8</v>
      </c>
      <c r="F51" s="12" t="n">
        <f aca="false">ROUND(E51*12,2)</f>
        <v>322677.6</v>
      </c>
    </row>
    <row r="52" customFormat="false" ht="31.3" hidden="false" customHeight="false" outlineLevel="0" collapsed="false">
      <c r="A52" s="6" t="n">
        <v>25</v>
      </c>
      <c r="B52" s="6" t="s">
        <v>136</v>
      </c>
      <c r="C52" s="12" t="n">
        <v>275223.84</v>
      </c>
      <c r="D52" s="12" t="n">
        <f aca="false">C52/12</f>
        <v>22935.32</v>
      </c>
      <c r="E52" s="12" t="n">
        <f aca="false">ROUND(D52*(1-Свод!$C$5),2)</f>
        <v>22935.32</v>
      </c>
      <c r="F52" s="12" t="n">
        <f aca="false">ROUND(E52*12,2)</f>
        <v>275223.84</v>
      </c>
    </row>
    <row r="53" customFormat="false" ht="61.15" hidden="false" customHeight="false" outlineLevel="0" collapsed="false">
      <c r="A53" s="6" t="n">
        <v>26</v>
      </c>
      <c r="B53" s="6" t="s">
        <v>137</v>
      </c>
      <c r="C53" s="12" t="n">
        <v>181485</v>
      </c>
      <c r="D53" s="12" t="n">
        <f aca="false">C53/12</f>
        <v>15123.75</v>
      </c>
      <c r="E53" s="12" t="n">
        <f aca="false">ROUND(D53*(1-Свод!$C$5),2)</f>
        <v>15123.75</v>
      </c>
      <c r="F53" s="12" t="n">
        <f aca="false">ROUND(E53*12,2)</f>
        <v>181485</v>
      </c>
    </row>
    <row r="54" customFormat="false" ht="46.25" hidden="false" customHeight="false" outlineLevel="0" collapsed="false">
      <c r="A54" s="6" t="n">
        <v>27</v>
      </c>
      <c r="B54" s="6" t="s">
        <v>138</v>
      </c>
      <c r="C54" s="12" t="n">
        <v>129843.96</v>
      </c>
      <c r="D54" s="12" t="n">
        <f aca="false">C54/12</f>
        <v>10820.33</v>
      </c>
      <c r="E54" s="12" t="n">
        <f aca="false">ROUND(D54*(1-Свод!$C$5),2)</f>
        <v>10820.33</v>
      </c>
      <c r="F54" s="12" t="n">
        <f aca="false">ROUND(E54*12,2)</f>
        <v>129843.96</v>
      </c>
    </row>
    <row r="55" customFormat="false" ht="46.25" hidden="false" customHeight="false" outlineLevel="0" collapsed="false">
      <c r="A55" s="6" t="n">
        <v>28</v>
      </c>
      <c r="B55" s="6" t="s">
        <v>139</v>
      </c>
      <c r="C55" s="12" t="n">
        <v>235744.2</v>
      </c>
      <c r="D55" s="12" t="n">
        <f aca="false">C55/12</f>
        <v>19645.35</v>
      </c>
      <c r="E55" s="12" t="n">
        <f aca="false">ROUND(D55*(1-Свод!$C$5),2)</f>
        <v>19645.35</v>
      </c>
      <c r="F55" s="12" t="n">
        <f aca="false">ROUND(E55*12,2)</f>
        <v>235744.2</v>
      </c>
    </row>
    <row r="56" customFormat="false" ht="61.15" hidden="false" customHeight="false" outlineLevel="0" collapsed="false">
      <c r="A56" s="6" t="n">
        <v>29</v>
      </c>
      <c r="B56" s="6" t="s">
        <v>140</v>
      </c>
      <c r="C56" s="12" t="n">
        <v>208676.88</v>
      </c>
      <c r="D56" s="12" t="n">
        <f aca="false">C56/12</f>
        <v>17389.74</v>
      </c>
      <c r="E56" s="12" t="n">
        <f aca="false">ROUND(D56*(1-Свод!$C$5),2)</f>
        <v>17389.74</v>
      </c>
      <c r="F56" s="12" t="n">
        <f aca="false">ROUND(E56*12,2)</f>
        <v>208676.88</v>
      </c>
    </row>
    <row r="57" customFormat="false" ht="16.4" hidden="false" customHeight="false" outlineLevel="0" collapsed="false">
      <c r="A57" s="6"/>
      <c r="B57" s="5" t="s">
        <v>141</v>
      </c>
      <c r="C57" s="19" t="n">
        <f aca="false">SUM(C28:C56)</f>
        <v>24436767.12</v>
      </c>
      <c r="D57" s="6"/>
      <c r="E57" s="6"/>
      <c r="F57" s="19" t="n">
        <f aca="false">SUM(F28:F56)</f>
        <v>24436767.12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7" min="5" style="0" width="9"/>
    <col collapsed="false" customWidth="true" hidden="false" outlineLevel="0" max="8" min="8" style="0" width="14"/>
    <col collapsed="false" customWidth="true" hidden="false" outlineLevel="0" max="11" min="9" style="0" width="15"/>
    <col collapsed="false" customWidth="true" hidden="false" outlineLevel="0" max="12" min="12" style="0" width="60"/>
  </cols>
  <sheetData>
    <row r="1" customFormat="false" ht="16.15" hidden="false" customHeight="false" outlineLevel="0" collapsed="false">
      <c r="A1" s="1" t="s">
        <v>142</v>
      </c>
    </row>
    <row r="2" customFormat="false" ht="31.5" hidden="false" customHeight="true" outlineLevel="0" collapsed="false">
      <c r="A2" s="20" t="s">
        <v>143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15" hidden="false" customHeight="false" outlineLevel="0" collapsed="false">
      <c r="A3" s="0" t="s">
        <v>144</v>
      </c>
      <c r="C3" s="21" t="n">
        <v>1.5</v>
      </c>
      <c r="D3" s="22" t="s">
        <v>145</v>
      </c>
      <c r="F3" s="21" t="n">
        <v>14</v>
      </c>
    </row>
    <row r="5" customFormat="false" ht="45" hidden="false" customHeight="true" outlineLevel="0" collapsed="false">
      <c r="A5" s="14" t="s">
        <v>106</v>
      </c>
      <c r="B5" s="14" t="s">
        <v>146</v>
      </c>
      <c r="C5" s="14" t="s">
        <v>147</v>
      </c>
      <c r="D5" s="14" t="s">
        <v>148</v>
      </c>
      <c r="E5" s="14" t="s">
        <v>149</v>
      </c>
      <c r="F5" s="14" t="s">
        <v>150</v>
      </c>
      <c r="G5" s="14" t="s">
        <v>151</v>
      </c>
      <c r="H5" s="14" t="s">
        <v>152</v>
      </c>
      <c r="I5" s="14" t="s">
        <v>153</v>
      </c>
      <c r="J5" s="14" t="s">
        <v>154</v>
      </c>
      <c r="K5" s="14" t="s">
        <v>155</v>
      </c>
      <c r="L5" s="14" t="s">
        <v>156</v>
      </c>
    </row>
    <row r="6" customFormat="false" ht="31.3" hidden="false" customHeight="false" outlineLevel="0" collapsed="false">
      <c r="A6" s="6" t="n">
        <v>1</v>
      </c>
      <c r="B6" s="6" t="s">
        <v>157</v>
      </c>
      <c r="C6" s="6" t="s">
        <v>158</v>
      </c>
      <c r="D6" s="23" t="n">
        <v>120000</v>
      </c>
      <c r="E6" s="24" t="n">
        <v>1</v>
      </c>
      <c r="F6" s="24" t="n">
        <v>1</v>
      </c>
      <c r="G6" s="24" t="n">
        <v>1</v>
      </c>
      <c r="H6" s="7" t="n">
        <f aca="false">D6*F6*$C$3</f>
        <v>180000</v>
      </c>
      <c r="I6" s="7" t="n">
        <f aca="false">D6*E6*$C$3*$F$3</f>
        <v>2520000</v>
      </c>
      <c r="J6" s="7" t="n">
        <f aca="false">D6*F6*$C$3*$F$3</f>
        <v>2520000</v>
      </c>
      <c r="K6" s="7" t="n">
        <f aca="false">D6*G6*$C$3*$F$3</f>
        <v>2520000</v>
      </c>
      <c r="L6" s="6" t="s">
        <v>159</v>
      </c>
    </row>
    <row r="7" customFormat="false" ht="31.3" hidden="false" customHeight="false" outlineLevel="0" collapsed="false">
      <c r="A7" s="6" t="n">
        <v>2</v>
      </c>
      <c r="B7" s="6" t="s">
        <v>160</v>
      </c>
      <c r="C7" s="6" t="s">
        <v>158</v>
      </c>
      <c r="D7" s="23" t="n">
        <v>110000</v>
      </c>
      <c r="E7" s="24" t="n">
        <v>1</v>
      </c>
      <c r="F7" s="24" t="n">
        <v>1</v>
      </c>
      <c r="G7" s="24" t="n">
        <v>1</v>
      </c>
      <c r="H7" s="7" t="n">
        <f aca="false">D7*F7*$C$3</f>
        <v>165000</v>
      </c>
      <c r="I7" s="7" t="n">
        <f aca="false">D7*E7*$C$3*$F$3</f>
        <v>2310000</v>
      </c>
      <c r="J7" s="7" t="n">
        <f aca="false">D7*F7*$C$3*$F$3</f>
        <v>2310000</v>
      </c>
      <c r="K7" s="7" t="n">
        <f aca="false">D7*G7*$C$3*$F$3</f>
        <v>2310000</v>
      </c>
      <c r="L7" s="6" t="s">
        <v>161</v>
      </c>
    </row>
    <row r="8" customFormat="false" ht="31.3" hidden="false" customHeight="false" outlineLevel="0" collapsed="false">
      <c r="A8" s="6" t="n">
        <v>3</v>
      </c>
      <c r="B8" s="6" t="s">
        <v>162</v>
      </c>
      <c r="C8" s="6" t="s">
        <v>158</v>
      </c>
      <c r="D8" s="23" t="n">
        <v>95000</v>
      </c>
      <c r="E8" s="24" t="n">
        <v>0</v>
      </c>
      <c r="F8" s="24" t="n">
        <v>1</v>
      </c>
      <c r="G8" s="24" t="n">
        <v>1</v>
      </c>
      <c r="H8" s="7" t="n">
        <f aca="false">D8*F8*$C$3</f>
        <v>142500</v>
      </c>
      <c r="I8" s="7" t="n">
        <f aca="false">D8*E8*$C$3*$F$3</f>
        <v>0</v>
      </c>
      <c r="J8" s="7" t="n">
        <f aca="false">D8*F8*$C$3*$F$3</f>
        <v>1995000</v>
      </c>
      <c r="K8" s="7" t="n">
        <f aca="false">D8*G8*$C$3*$F$3</f>
        <v>1995000</v>
      </c>
      <c r="L8" s="6" t="s">
        <v>163</v>
      </c>
    </row>
    <row r="9" customFormat="false" ht="31.3" hidden="false" customHeight="false" outlineLevel="0" collapsed="false">
      <c r="A9" s="6" t="n">
        <v>4</v>
      </c>
      <c r="B9" s="6" t="s">
        <v>164</v>
      </c>
      <c r="C9" s="6" t="s">
        <v>158</v>
      </c>
      <c r="D9" s="23" t="n">
        <v>105000</v>
      </c>
      <c r="E9" s="24" t="n">
        <v>0</v>
      </c>
      <c r="F9" s="24" t="n">
        <v>1</v>
      </c>
      <c r="G9" s="24" t="n">
        <v>1</v>
      </c>
      <c r="H9" s="7" t="n">
        <f aca="false">D9*F9*$C$3</f>
        <v>157500</v>
      </c>
      <c r="I9" s="7" t="n">
        <f aca="false">D9*E9*$C$3*$F$3</f>
        <v>0</v>
      </c>
      <c r="J9" s="7" t="n">
        <f aca="false">D9*F9*$C$3*$F$3</f>
        <v>2205000</v>
      </c>
      <c r="K9" s="7" t="n">
        <f aca="false">D9*G9*$C$3*$F$3</f>
        <v>2205000</v>
      </c>
      <c r="L9" s="6" t="s">
        <v>165</v>
      </c>
    </row>
    <row r="10" customFormat="false" ht="31.3" hidden="false" customHeight="false" outlineLevel="0" collapsed="false">
      <c r="A10" s="6" t="n">
        <v>5</v>
      </c>
      <c r="B10" s="6" t="s">
        <v>166</v>
      </c>
      <c r="C10" s="6" t="s">
        <v>167</v>
      </c>
      <c r="D10" s="23" t="n">
        <v>55000</v>
      </c>
      <c r="E10" s="24" t="n">
        <v>0</v>
      </c>
      <c r="F10" s="24" t="n">
        <v>0</v>
      </c>
      <c r="G10" s="24" t="n">
        <v>4</v>
      </c>
      <c r="H10" s="7" t="n">
        <f aca="false">D10*F10*$C$3</f>
        <v>0</v>
      </c>
      <c r="I10" s="7" t="n">
        <f aca="false">D10*E10*$C$3*$F$3</f>
        <v>0</v>
      </c>
      <c r="J10" s="7" t="n">
        <f aca="false">D10*F10*$C$3*$F$3</f>
        <v>0</v>
      </c>
      <c r="K10" s="7" t="n">
        <f aca="false">D10*G10*$C$3*$F$3</f>
        <v>4620000</v>
      </c>
      <c r="L10" s="6" t="s">
        <v>168</v>
      </c>
    </row>
    <row r="11" customFormat="false" ht="46.25" hidden="false" customHeight="false" outlineLevel="0" collapsed="false">
      <c r="A11" s="6" t="n">
        <v>6</v>
      </c>
      <c r="B11" s="6" t="s">
        <v>169</v>
      </c>
      <c r="C11" s="6" t="s">
        <v>167</v>
      </c>
      <c r="D11" s="23" t="n">
        <v>60000</v>
      </c>
      <c r="E11" s="24" t="n">
        <v>0</v>
      </c>
      <c r="F11" s="24" t="n">
        <v>4</v>
      </c>
      <c r="G11" s="24" t="n">
        <v>4</v>
      </c>
      <c r="H11" s="7" t="n">
        <f aca="false">D11*F11*$C$3</f>
        <v>360000</v>
      </c>
      <c r="I11" s="7" t="n">
        <f aca="false">D11*E11*$C$3*$F$3</f>
        <v>0</v>
      </c>
      <c r="J11" s="7" t="n">
        <f aca="false">D11*F11*$C$3*$F$3</f>
        <v>5040000</v>
      </c>
      <c r="K11" s="7" t="n">
        <f aca="false">D11*G11*$C$3*$F$3</f>
        <v>5040000</v>
      </c>
      <c r="L11" s="6" t="s">
        <v>170</v>
      </c>
    </row>
    <row r="12" customFormat="false" ht="31.3" hidden="false" customHeight="false" outlineLevel="0" collapsed="false">
      <c r="A12" s="6" t="n">
        <v>7</v>
      </c>
      <c r="B12" s="6" t="s">
        <v>171</v>
      </c>
      <c r="C12" s="6" t="s">
        <v>167</v>
      </c>
      <c r="D12" s="23" t="n">
        <v>75000</v>
      </c>
      <c r="E12" s="24" t="n">
        <v>4</v>
      </c>
      <c r="F12" s="24" t="n">
        <v>4</v>
      </c>
      <c r="G12" s="24" t="n">
        <v>4</v>
      </c>
      <c r="H12" s="7" t="n">
        <f aca="false">D12*F12*$C$3</f>
        <v>450000</v>
      </c>
      <c r="I12" s="7" t="n">
        <f aca="false">D12*E12*$C$3*$F$3</f>
        <v>6300000</v>
      </c>
      <c r="J12" s="7" t="n">
        <f aca="false">D12*F12*$C$3*$F$3</f>
        <v>6300000</v>
      </c>
      <c r="K12" s="7" t="n">
        <f aca="false">D12*G12*$C$3*$F$3</f>
        <v>6300000</v>
      </c>
      <c r="L12" s="6" t="s">
        <v>172</v>
      </c>
    </row>
    <row r="13" customFormat="false" ht="31.3" hidden="false" customHeight="false" outlineLevel="0" collapsed="false">
      <c r="A13" s="6" t="n">
        <v>8</v>
      </c>
      <c r="B13" s="6" t="s">
        <v>173</v>
      </c>
      <c r="C13" s="6" t="s">
        <v>167</v>
      </c>
      <c r="D13" s="23" t="n">
        <v>70000</v>
      </c>
      <c r="E13" s="24" t="n">
        <v>4</v>
      </c>
      <c r="F13" s="24" t="n">
        <v>4</v>
      </c>
      <c r="G13" s="24" t="n">
        <v>4</v>
      </c>
      <c r="H13" s="7" t="n">
        <f aca="false">D13*F13*$C$3</f>
        <v>420000</v>
      </c>
      <c r="I13" s="7" t="n">
        <f aca="false">D13*E13*$C$3*$F$3</f>
        <v>5880000</v>
      </c>
      <c r="J13" s="7" t="n">
        <f aca="false">D13*F13*$C$3*$F$3</f>
        <v>5880000</v>
      </c>
      <c r="K13" s="7" t="n">
        <f aca="false">D13*G13*$C$3*$F$3</f>
        <v>5880000</v>
      </c>
      <c r="L13" s="6" t="s">
        <v>174</v>
      </c>
    </row>
    <row r="14" customFormat="false" ht="16.4" hidden="false" customHeight="false" outlineLevel="0" collapsed="false">
      <c r="A14" s="6" t="n">
        <v>9</v>
      </c>
      <c r="B14" s="6" t="s">
        <v>175</v>
      </c>
      <c r="C14" s="6" t="s">
        <v>158</v>
      </c>
      <c r="D14" s="23" t="n">
        <v>150000</v>
      </c>
      <c r="E14" s="24" t="n">
        <v>0.5</v>
      </c>
      <c r="F14" s="24" t="n">
        <v>0.5</v>
      </c>
      <c r="G14" s="24" t="n">
        <v>1</v>
      </c>
      <c r="H14" s="7" t="n">
        <f aca="false">D14*F14*$C$3</f>
        <v>112500</v>
      </c>
      <c r="I14" s="7" t="n">
        <f aca="false">D14*E14*$C$3*$F$3</f>
        <v>1575000</v>
      </c>
      <c r="J14" s="7" t="n">
        <f aca="false">D14*F14*$C$3*$F$3</f>
        <v>1575000</v>
      </c>
      <c r="K14" s="7" t="n">
        <f aca="false">D14*G14*$C$3*$F$3</f>
        <v>3150000</v>
      </c>
      <c r="L14" s="6" t="s">
        <v>176</v>
      </c>
    </row>
    <row r="15" customFormat="false" ht="31.3" hidden="false" customHeight="false" outlineLevel="0" collapsed="false">
      <c r="A15" s="6" t="n">
        <v>10</v>
      </c>
      <c r="B15" s="6" t="s">
        <v>177</v>
      </c>
      <c r="C15" s="6" t="s">
        <v>178</v>
      </c>
      <c r="D15" s="23" t="n">
        <v>10000</v>
      </c>
      <c r="E15" s="24" t="n">
        <v>4</v>
      </c>
      <c r="F15" s="24" t="n">
        <v>6</v>
      </c>
      <c r="G15" s="24" t="n">
        <v>6</v>
      </c>
      <c r="H15" s="7" t="n">
        <f aca="false">D15*F15*$C$3</f>
        <v>90000</v>
      </c>
      <c r="I15" s="7" t="n">
        <f aca="false">D15*E15*$C$3*$F$3</f>
        <v>840000</v>
      </c>
      <c r="J15" s="7" t="n">
        <f aca="false">D15*F15*$C$3*$F$3</f>
        <v>1260000</v>
      </c>
      <c r="K15" s="7" t="n">
        <f aca="false">D15*G15*$C$3*$F$3</f>
        <v>1260000</v>
      </c>
      <c r="L15" s="6" t="s">
        <v>179</v>
      </c>
    </row>
    <row r="16" customFormat="false" ht="31.3" hidden="false" customHeight="false" outlineLevel="0" collapsed="false">
      <c r="A16" s="6" t="n">
        <v>11</v>
      </c>
      <c r="B16" s="6" t="s">
        <v>180</v>
      </c>
      <c r="C16" s="6" t="s">
        <v>178</v>
      </c>
      <c r="D16" s="23" t="n">
        <v>10000</v>
      </c>
      <c r="E16" s="24" t="n">
        <v>4</v>
      </c>
      <c r="F16" s="24" t="n">
        <v>0</v>
      </c>
      <c r="G16" s="24" t="n">
        <v>0</v>
      </c>
      <c r="H16" s="7" t="n">
        <f aca="false">D16*F16*$C$3</f>
        <v>0</v>
      </c>
      <c r="I16" s="7" t="n">
        <f aca="false">D16*E16*$C$3*$F$3</f>
        <v>840000</v>
      </c>
      <c r="J16" s="7" t="n">
        <f aca="false">D16*F16*$C$3*$F$3</f>
        <v>0</v>
      </c>
      <c r="K16" s="7" t="n">
        <f aca="false">D16*G16*$C$3*$F$3</f>
        <v>0</v>
      </c>
      <c r="L16" s="6" t="s">
        <v>181</v>
      </c>
    </row>
    <row r="17" customFormat="false" ht="16.4" hidden="false" customHeight="false" outlineLevel="0" collapsed="false">
      <c r="A17" s="6"/>
      <c r="B17" s="5" t="s">
        <v>141</v>
      </c>
      <c r="C17" s="6"/>
      <c r="D17" s="6"/>
      <c r="E17" s="6"/>
      <c r="F17" s="6"/>
      <c r="G17" s="6"/>
      <c r="H17" s="10" t="n">
        <f aca="false">SUM(H6:H16)</f>
        <v>2077500</v>
      </c>
      <c r="I17" s="10" t="n">
        <f aca="false">SUM(I6:I16)</f>
        <v>20265000</v>
      </c>
      <c r="J17" s="10" t="n">
        <f aca="false">SUM(J6:J16)</f>
        <v>29085000</v>
      </c>
      <c r="K17" s="10" t="n">
        <f aca="false">SUM(K6:K16)</f>
        <v>35280000</v>
      </c>
      <c r="L17" s="6"/>
    </row>
    <row r="18" customFormat="false" ht="16.4" hidden="false" customHeight="false" outlineLevel="0" collapsed="false">
      <c r="B18" s="16" t="s">
        <v>182</v>
      </c>
      <c r="E18" s="22" t="n">
        <f aca="false">SUM(E6:E14)</f>
        <v>10.5</v>
      </c>
      <c r="F18" s="22" t="n">
        <f aca="false">SUM(F6:F14)</f>
        <v>16.5</v>
      </c>
      <c r="G18" s="22" t="n">
        <f aca="false">SUM(G6:G14)</f>
        <v>21</v>
      </c>
    </row>
    <row r="20" customFormat="false" ht="30" hidden="false" customHeight="true" outlineLevel="0" collapsed="false">
      <c r="B20" s="20" t="s">
        <v>183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</row>
  </sheetData>
  <mergeCells count="2">
    <mergeCell ref="A2:L2"/>
    <mergeCell ref="B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4" min="13" style="0" width="15"/>
    <col collapsed="false" customWidth="true" hidden="false" outlineLevel="0" max="15" min="15" style="0" width="14"/>
    <col collapsed="false" customWidth="true" hidden="false" outlineLevel="0" max="16" min="16" style="0" width="48"/>
  </cols>
  <sheetData>
    <row r="1" customFormat="false" ht="16.15" hidden="false" customHeight="false" outlineLevel="0" collapsed="false">
      <c r="A1" s="1" t="s">
        <v>184</v>
      </c>
    </row>
    <row r="2" customFormat="false" ht="31.5" hidden="false" customHeight="true" outlineLevel="0" collapsed="false">
      <c r="A2" s="20" t="s">
        <v>185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4" customFormat="false" ht="45" hidden="false" customHeight="true" outlineLevel="0" collapsed="false">
      <c r="A4" s="14" t="s">
        <v>106</v>
      </c>
      <c r="B4" s="14" t="s">
        <v>186</v>
      </c>
      <c r="C4" s="14" t="s">
        <v>187</v>
      </c>
      <c r="D4" s="14" t="s">
        <v>188</v>
      </c>
      <c r="E4" s="14" t="s">
        <v>189</v>
      </c>
      <c r="F4" s="14" t="s">
        <v>190</v>
      </c>
      <c r="G4" s="14" t="s">
        <v>191</v>
      </c>
      <c r="H4" s="14" t="s">
        <v>192</v>
      </c>
      <c r="I4" s="14" t="s">
        <v>193</v>
      </c>
      <c r="J4" s="14" t="s">
        <v>194</v>
      </c>
      <c r="K4" s="14" t="s">
        <v>195</v>
      </c>
      <c r="L4" s="14" t="s">
        <v>196</v>
      </c>
      <c r="M4" s="14" t="s">
        <v>197</v>
      </c>
      <c r="N4" s="14" t="s">
        <v>198</v>
      </c>
      <c r="O4" s="14" t="s">
        <v>199</v>
      </c>
      <c r="P4" s="14" t="s">
        <v>200</v>
      </c>
    </row>
    <row r="5" customFormat="false" ht="31.3" hidden="false" customHeight="false" outlineLevel="0" collapsed="false">
      <c r="A5" s="6" t="n">
        <v>1</v>
      </c>
      <c r="B5" s="6" t="s">
        <v>201</v>
      </c>
      <c r="C5" s="6" t="s">
        <v>202</v>
      </c>
      <c r="D5" s="6" t="s">
        <v>203</v>
      </c>
      <c r="E5" s="6" t="s">
        <v>204</v>
      </c>
      <c r="F5" s="6" t="s">
        <v>205</v>
      </c>
      <c r="G5" s="25" t="n">
        <v>3</v>
      </c>
      <c r="H5" s="7" t="n">
        <v>59734</v>
      </c>
      <c r="I5" s="7" t="n">
        <v>25000</v>
      </c>
      <c r="J5" s="6" t="n">
        <v>32</v>
      </c>
      <c r="K5" s="6" t="n">
        <f aca="false">G5*J5</f>
        <v>96</v>
      </c>
      <c r="L5" s="6" t="s">
        <v>206</v>
      </c>
      <c r="M5" s="7" t="n">
        <f aca="false">G5*H5</f>
        <v>179202</v>
      </c>
      <c r="N5" s="7" t="n">
        <f aca="false">IF(L5="субподряд",G5*I5,0)</f>
        <v>75000</v>
      </c>
      <c r="O5" s="7" t="n">
        <f aca="false">M5-N5</f>
        <v>104202</v>
      </c>
      <c r="P5" s="6" t="s">
        <v>207</v>
      </c>
    </row>
    <row r="6" customFormat="false" ht="31.3" hidden="false" customHeight="false" outlineLevel="0" collapsed="false">
      <c r="A6" s="6" t="n">
        <v>2</v>
      </c>
      <c r="B6" s="6" t="s">
        <v>208</v>
      </c>
      <c r="C6" s="6" t="s">
        <v>209</v>
      </c>
      <c r="D6" s="6" t="s">
        <v>203</v>
      </c>
      <c r="E6" s="6" t="s">
        <v>204</v>
      </c>
      <c r="F6" s="6" t="s">
        <v>205</v>
      </c>
      <c r="G6" s="25" t="n">
        <v>2</v>
      </c>
      <c r="H6" s="7" t="n">
        <v>59734</v>
      </c>
      <c r="I6" s="7" t="n">
        <v>25000</v>
      </c>
      <c r="J6" s="6" t="n">
        <v>32</v>
      </c>
      <c r="K6" s="6" t="n">
        <f aca="false">G6*J6</f>
        <v>64</v>
      </c>
      <c r="L6" s="6" t="s">
        <v>206</v>
      </c>
      <c r="M6" s="7" t="n">
        <f aca="false">G6*H6</f>
        <v>119468</v>
      </c>
      <c r="N6" s="7" t="n">
        <f aca="false">IF(L6="субподряд",G6*I6,0)</f>
        <v>50000</v>
      </c>
      <c r="O6" s="7" t="n">
        <f aca="false">M6-N6</f>
        <v>69468</v>
      </c>
      <c r="P6" s="6" t="s">
        <v>210</v>
      </c>
    </row>
    <row r="7" customFormat="false" ht="31.3" hidden="false" customHeight="false" outlineLevel="0" collapsed="false">
      <c r="A7" s="6" t="n">
        <v>3</v>
      </c>
      <c r="B7" s="6" t="s">
        <v>211</v>
      </c>
      <c r="C7" s="6" t="s">
        <v>212</v>
      </c>
      <c r="D7" s="6" t="s">
        <v>213</v>
      </c>
      <c r="E7" s="6" t="s">
        <v>214</v>
      </c>
      <c r="F7" s="6" t="s">
        <v>215</v>
      </c>
      <c r="G7" s="25" t="n">
        <v>3</v>
      </c>
      <c r="H7" s="7" t="n">
        <v>44800</v>
      </c>
      <c r="I7" s="7" t="n">
        <v>18000</v>
      </c>
      <c r="J7" s="6" t="n">
        <v>24</v>
      </c>
      <c r="K7" s="6" t="n">
        <f aca="false">G7*J7</f>
        <v>72</v>
      </c>
      <c r="L7" s="6" t="s">
        <v>206</v>
      </c>
      <c r="M7" s="7" t="n">
        <f aca="false">G7*H7</f>
        <v>134400</v>
      </c>
      <c r="N7" s="7" t="n">
        <f aca="false">IF(L7="субподряд",G7*I7,0)</f>
        <v>54000</v>
      </c>
      <c r="O7" s="7" t="n">
        <f aca="false">M7-N7</f>
        <v>80400</v>
      </c>
      <c r="P7" s="6" t="s">
        <v>216</v>
      </c>
    </row>
    <row r="8" customFormat="false" ht="31.3" hidden="false" customHeight="false" outlineLevel="0" collapsed="false">
      <c r="A8" s="6" t="n">
        <v>4</v>
      </c>
      <c r="B8" s="6" t="s">
        <v>217</v>
      </c>
      <c r="C8" s="6" t="s">
        <v>218</v>
      </c>
      <c r="D8" s="6" t="s">
        <v>219</v>
      </c>
      <c r="E8" s="6" t="s">
        <v>204</v>
      </c>
      <c r="F8" s="6" t="s">
        <v>205</v>
      </c>
      <c r="G8" s="25" t="n">
        <v>6</v>
      </c>
      <c r="H8" s="7" t="n">
        <v>11200</v>
      </c>
      <c r="I8" s="7" t="n">
        <v>4800</v>
      </c>
      <c r="J8" s="6" t="n">
        <v>6</v>
      </c>
      <c r="K8" s="6" t="n">
        <f aca="false">G8*J8</f>
        <v>36</v>
      </c>
      <c r="L8" s="6" t="s">
        <v>206</v>
      </c>
      <c r="M8" s="7" t="n">
        <f aca="false">G8*H8</f>
        <v>67200</v>
      </c>
      <c r="N8" s="7" t="n">
        <f aca="false">IF(L8="субподряд",G8*I8,0)</f>
        <v>28800</v>
      </c>
      <c r="O8" s="7" t="n">
        <f aca="false">M8-N8</f>
        <v>38400</v>
      </c>
      <c r="P8" s="6" t="s">
        <v>220</v>
      </c>
    </row>
    <row r="9" customFormat="false" ht="31.3" hidden="false" customHeight="false" outlineLevel="0" collapsed="false">
      <c r="A9" s="6" t="n">
        <v>5</v>
      </c>
      <c r="B9" s="6" t="s">
        <v>221</v>
      </c>
      <c r="C9" s="6" t="s">
        <v>222</v>
      </c>
      <c r="D9" s="6" t="s">
        <v>223</v>
      </c>
      <c r="E9" s="6" t="s">
        <v>214</v>
      </c>
      <c r="F9" s="6" t="s">
        <v>224</v>
      </c>
      <c r="G9" s="25" t="n">
        <v>8</v>
      </c>
      <c r="H9" s="7" t="n">
        <v>1500</v>
      </c>
      <c r="I9" s="7" t="n">
        <v>900</v>
      </c>
      <c r="J9" s="6" t="n">
        <v>1</v>
      </c>
      <c r="K9" s="6" t="n">
        <f aca="false">G9*J9</f>
        <v>8</v>
      </c>
      <c r="L9" s="6" t="s">
        <v>206</v>
      </c>
      <c r="M9" s="7" t="n">
        <f aca="false">G9*H9</f>
        <v>12000</v>
      </c>
      <c r="N9" s="7" t="n">
        <f aca="false">IF(L9="субподряд",G9*I9,0)</f>
        <v>7200</v>
      </c>
      <c r="O9" s="7" t="n">
        <f aca="false">M9-N9</f>
        <v>4800</v>
      </c>
      <c r="P9" s="6" t="s">
        <v>225</v>
      </c>
    </row>
    <row r="10" customFormat="false" ht="31.3" hidden="false" customHeight="false" outlineLevel="0" collapsed="false">
      <c r="A10" s="6" t="n">
        <v>6</v>
      </c>
      <c r="B10" s="6" t="s">
        <v>226</v>
      </c>
      <c r="C10" s="6" t="s">
        <v>227</v>
      </c>
      <c r="D10" s="6" t="s">
        <v>228</v>
      </c>
      <c r="E10" s="6" t="s">
        <v>214</v>
      </c>
      <c r="F10" s="6" t="s">
        <v>205</v>
      </c>
      <c r="G10" s="25" t="n">
        <v>80</v>
      </c>
      <c r="H10" s="7" t="n">
        <v>800</v>
      </c>
      <c r="I10" s="7" t="n">
        <v>496</v>
      </c>
      <c r="J10" s="6" t="n">
        <v>0.5</v>
      </c>
      <c r="K10" s="6" t="n">
        <f aca="false">G10*J10</f>
        <v>40</v>
      </c>
      <c r="L10" s="6" t="s">
        <v>206</v>
      </c>
      <c r="M10" s="7" t="n">
        <f aca="false">G10*H10</f>
        <v>64000</v>
      </c>
      <c r="N10" s="7" t="n">
        <f aca="false">IF(L10="субподряд",G10*I10,0)</f>
        <v>39680</v>
      </c>
      <c r="O10" s="7" t="n">
        <f aca="false">M10-N10</f>
        <v>24320</v>
      </c>
      <c r="P10" s="6" t="s">
        <v>229</v>
      </c>
    </row>
    <row r="11" customFormat="false" ht="31.3" hidden="false" customHeight="false" outlineLevel="0" collapsed="false">
      <c r="A11" s="6" t="n">
        <v>7</v>
      </c>
      <c r="B11" s="6" t="s">
        <v>230</v>
      </c>
      <c r="C11" s="6" t="s">
        <v>231</v>
      </c>
      <c r="D11" s="6" t="s">
        <v>232</v>
      </c>
      <c r="E11" s="6" t="s">
        <v>214</v>
      </c>
      <c r="F11" s="6" t="s">
        <v>215</v>
      </c>
      <c r="G11" s="6" t="n">
        <v>3</v>
      </c>
      <c r="H11" s="7" t="n">
        <v>45000</v>
      </c>
      <c r="I11" s="7" t="n">
        <v>27900</v>
      </c>
      <c r="J11" s="6" t="n">
        <v>32</v>
      </c>
      <c r="K11" s="6" t="n">
        <f aca="false">G11*J11</f>
        <v>96</v>
      </c>
      <c r="L11" s="6" t="s">
        <v>233</v>
      </c>
      <c r="M11" s="7" t="n">
        <f aca="false">G11*H11</f>
        <v>135000</v>
      </c>
      <c r="N11" s="7" t="n">
        <f aca="false">IF(L11="субподряд",G11*I11,0)</f>
        <v>0</v>
      </c>
      <c r="O11" s="7" t="n">
        <f aca="false">M11-N11</f>
        <v>135000</v>
      </c>
      <c r="P11" s="6" t="s">
        <v>234</v>
      </c>
    </row>
    <row r="12" customFormat="false" ht="16.4" hidden="false" customHeight="false" outlineLevel="0" collapsed="false">
      <c r="A12" s="6" t="n">
        <v>8</v>
      </c>
      <c r="B12" s="6" t="s">
        <v>235</v>
      </c>
      <c r="C12" s="6" t="s">
        <v>236</v>
      </c>
      <c r="D12" s="6" t="s">
        <v>237</v>
      </c>
      <c r="E12" s="6" t="s">
        <v>214</v>
      </c>
      <c r="F12" s="6" t="s">
        <v>205</v>
      </c>
      <c r="G12" s="6" t="n">
        <v>3</v>
      </c>
      <c r="H12" s="7" t="n">
        <v>12000</v>
      </c>
      <c r="I12" s="7" t="n">
        <v>7440</v>
      </c>
      <c r="J12" s="6" t="n">
        <v>8</v>
      </c>
      <c r="K12" s="6" t="n">
        <f aca="false">G12*J12</f>
        <v>24</v>
      </c>
      <c r="L12" s="6" t="s">
        <v>233</v>
      </c>
      <c r="M12" s="7" t="n">
        <f aca="false">G12*H12</f>
        <v>36000</v>
      </c>
      <c r="N12" s="7" t="n">
        <f aca="false">IF(L12="субподряд",G12*I12,0)</f>
        <v>0</v>
      </c>
      <c r="O12" s="7" t="n">
        <f aca="false">M12-N12</f>
        <v>36000</v>
      </c>
      <c r="P12" s="6" t="s">
        <v>238</v>
      </c>
    </row>
    <row r="13" customFormat="false" ht="16.4" hidden="false" customHeight="false" outlineLevel="0" collapsed="false">
      <c r="A13" s="6" t="n">
        <v>9</v>
      </c>
      <c r="B13" s="6" t="s">
        <v>239</v>
      </c>
      <c r="C13" s="6" t="s">
        <v>240</v>
      </c>
      <c r="D13" s="6" t="s">
        <v>241</v>
      </c>
      <c r="E13" s="6" t="s">
        <v>214</v>
      </c>
      <c r="F13" s="6" t="s">
        <v>215</v>
      </c>
      <c r="G13" s="6" t="n">
        <v>2</v>
      </c>
      <c r="H13" s="7" t="n">
        <v>9000</v>
      </c>
      <c r="I13" s="7" t="n">
        <v>5500</v>
      </c>
      <c r="J13" s="6" t="n">
        <v>6</v>
      </c>
      <c r="K13" s="6" t="n">
        <f aca="false">G13*J13</f>
        <v>12</v>
      </c>
      <c r="L13" s="6" t="s">
        <v>233</v>
      </c>
      <c r="M13" s="7" t="n">
        <f aca="false">G13*H13</f>
        <v>18000</v>
      </c>
      <c r="N13" s="7" t="n">
        <f aca="false">IF(L13="субподряд",G13*I13,0)</f>
        <v>0</v>
      </c>
      <c r="O13" s="7" t="n">
        <f aca="false">M13-N13</f>
        <v>18000</v>
      </c>
      <c r="P13" s="6" t="s">
        <v>242</v>
      </c>
    </row>
    <row r="14" customFormat="false" ht="31.3" hidden="false" customHeight="false" outlineLevel="0" collapsed="false">
      <c r="A14" s="6" t="n">
        <v>10</v>
      </c>
      <c r="B14" s="6" t="s">
        <v>239</v>
      </c>
      <c r="C14" s="6" t="s">
        <v>243</v>
      </c>
      <c r="D14" s="6" t="s">
        <v>244</v>
      </c>
      <c r="E14" s="6" t="s">
        <v>204</v>
      </c>
      <c r="F14" s="6" t="s">
        <v>245</v>
      </c>
      <c r="G14" s="25" t="n">
        <v>600</v>
      </c>
      <c r="H14" s="7" t="n">
        <v>45</v>
      </c>
      <c r="I14" s="7" t="n">
        <v>28</v>
      </c>
      <c r="J14" s="6" t="n">
        <v>0.03</v>
      </c>
      <c r="K14" s="6" t="n">
        <f aca="false">G14*J14</f>
        <v>18</v>
      </c>
      <c r="L14" s="6" t="s">
        <v>206</v>
      </c>
      <c r="M14" s="7" t="n">
        <f aca="false">G14*H14</f>
        <v>27000</v>
      </c>
      <c r="N14" s="7" t="n">
        <f aca="false">IF(L14="субподряд",G14*I14,0)</f>
        <v>16800</v>
      </c>
      <c r="O14" s="7" t="n">
        <f aca="false">M14-N14</f>
        <v>10200</v>
      </c>
      <c r="P14" s="6" t="s">
        <v>246</v>
      </c>
    </row>
    <row r="15" customFormat="false" ht="31.3" hidden="false" customHeight="false" outlineLevel="0" collapsed="false">
      <c r="A15" s="6" t="n">
        <v>11</v>
      </c>
      <c r="B15" s="6" t="s">
        <v>247</v>
      </c>
      <c r="C15" s="6" t="s">
        <v>248</v>
      </c>
      <c r="D15" s="6" t="s">
        <v>249</v>
      </c>
      <c r="E15" s="6" t="s">
        <v>214</v>
      </c>
      <c r="F15" s="6" t="s">
        <v>245</v>
      </c>
      <c r="G15" s="25" t="n">
        <v>650</v>
      </c>
      <c r="H15" s="7" t="n">
        <v>260</v>
      </c>
      <c r="I15" s="7" t="n">
        <v>170</v>
      </c>
      <c r="J15" s="6" t="n">
        <v>0.07</v>
      </c>
      <c r="K15" s="6" t="n">
        <f aca="false">G15*J15</f>
        <v>45.5</v>
      </c>
      <c r="L15" s="6" t="s">
        <v>206</v>
      </c>
      <c r="M15" s="7" t="n">
        <f aca="false">G15*H15</f>
        <v>169000</v>
      </c>
      <c r="N15" s="7" t="n">
        <f aca="false">IF(L15="субподряд",G15*I15,0)</f>
        <v>110500</v>
      </c>
      <c r="O15" s="7" t="n">
        <f aca="false">M15-N15</f>
        <v>58500</v>
      </c>
      <c r="P15" s="6" t="s">
        <v>250</v>
      </c>
    </row>
    <row r="16" customFormat="false" ht="31.3" hidden="false" customHeight="false" outlineLevel="0" collapsed="false">
      <c r="A16" s="6" t="n">
        <v>12</v>
      </c>
      <c r="B16" s="6" t="s">
        <v>251</v>
      </c>
      <c r="C16" s="6" t="s">
        <v>252</v>
      </c>
      <c r="D16" s="6" t="s">
        <v>253</v>
      </c>
      <c r="E16" s="6" t="s">
        <v>214</v>
      </c>
      <c r="F16" s="6" t="s">
        <v>245</v>
      </c>
      <c r="G16" s="25" t="n">
        <v>400</v>
      </c>
      <c r="H16" s="7" t="n">
        <v>200</v>
      </c>
      <c r="I16" s="7" t="n">
        <v>130</v>
      </c>
      <c r="J16" s="6" t="n">
        <v>0.05</v>
      </c>
      <c r="K16" s="6" t="n">
        <f aca="false">G16*J16</f>
        <v>20</v>
      </c>
      <c r="L16" s="6" t="s">
        <v>206</v>
      </c>
      <c r="M16" s="7" t="n">
        <f aca="false">G16*H16</f>
        <v>80000</v>
      </c>
      <c r="N16" s="7" t="n">
        <f aca="false">IF(L16="субподряд",G16*I16,0)</f>
        <v>52000</v>
      </c>
      <c r="O16" s="7" t="n">
        <f aca="false">M16-N16</f>
        <v>28000</v>
      </c>
      <c r="P16" s="6" t="s">
        <v>254</v>
      </c>
    </row>
    <row r="17" customFormat="false" ht="46.25" hidden="false" customHeight="false" outlineLevel="0" collapsed="false">
      <c r="A17" s="6" t="n">
        <v>13</v>
      </c>
      <c r="B17" s="6" t="s">
        <v>255</v>
      </c>
      <c r="C17" s="6" t="s">
        <v>256</v>
      </c>
      <c r="D17" s="6" t="s">
        <v>257</v>
      </c>
      <c r="E17" s="6" t="s">
        <v>204</v>
      </c>
      <c r="F17" s="6" t="s">
        <v>205</v>
      </c>
      <c r="G17" s="25" t="n">
        <v>20</v>
      </c>
      <c r="H17" s="7" t="n">
        <v>6000</v>
      </c>
      <c r="I17" s="7" t="n">
        <v>3800</v>
      </c>
      <c r="J17" s="6" t="n">
        <v>4</v>
      </c>
      <c r="K17" s="6" t="n">
        <f aca="false">G17*J17</f>
        <v>80</v>
      </c>
      <c r="L17" s="6" t="s">
        <v>206</v>
      </c>
      <c r="M17" s="7" t="n">
        <f aca="false">G17*H17</f>
        <v>120000</v>
      </c>
      <c r="N17" s="7" t="n">
        <f aca="false">IF(L17="субподряд",G17*I17,0)</f>
        <v>76000</v>
      </c>
      <c r="O17" s="7" t="n">
        <f aca="false">M17-N17</f>
        <v>44000</v>
      </c>
      <c r="P17" s="6" t="s">
        <v>258</v>
      </c>
    </row>
    <row r="18" customFormat="false" ht="16.4" hidden="false" customHeight="false" outlineLevel="0" collapsed="false">
      <c r="A18" s="6" t="n">
        <v>14</v>
      </c>
      <c r="B18" s="6" t="s">
        <v>259</v>
      </c>
      <c r="C18" s="6" t="s">
        <v>260</v>
      </c>
      <c r="D18" s="6" t="s">
        <v>261</v>
      </c>
      <c r="E18" s="6" t="s">
        <v>204</v>
      </c>
      <c r="F18" s="6" t="s">
        <v>262</v>
      </c>
      <c r="G18" s="25" t="n">
        <v>300</v>
      </c>
      <c r="H18" s="7" t="n">
        <v>180</v>
      </c>
      <c r="I18" s="7" t="n">
        <v>108</v>
      </c>
      <c r="J18" s="6" t="n">
        <v>0.15</v>
      </c>
      <c r="K18" s="6" t="n">
        <f aca="false">G18*J18</f>
        <v>45</v>
      </c>
      <c r="L18" s="6" t="s">
        <v>206</v>
      </c>
      <c r="M18" s="7" t="n">
        <f aca="false">G18*H18</f>
        <v>54000</v>
      </c>
      <c r="N18" s="7" t="n">
        <f aca="false">IF(L18="субподряд",G18*I18,0)</f>
        <v>32400</v>
      </c>
      <c r="O18" s="7" t="n">
        <f aca="false">M18-N18</f>
        <v>21600</v>
      </c>
      <c r="P18" s="6" t="s">
        <v>263</v>
      </c>
    </row>
    <row r="19" customFormat="false" ht="31.3" hidden="false" customHeight="false" outlineLevel="0" collapsed="false">
      <c r="A19" s="6" t="n">
        <v>15</v>
      </c>
      <c r="B19" s="6" t="s">
        <v>259</v>
      </c>
      <c r="C19" s="6" t="s">
        <v>264</v>
      </c>
      <c r="D19" s="6" t="s">
        <v>265</v>
      </c>
      <c r="E19" s="6" t="s">
        <v>214</v>
      </c>
      <c r="F19" s="6" t="s">
        <v>266</v>
      </c>
      <c r="G19" s="25" t="n">
        <v>25</v>
      </c>
      <c r="H19" s="7" t="n">
        <v>15000</v>
      </c>
      <c r="I19" s="7" t="n">
        <v>9000</v>
      </c>
      <c r="J19" s="6" t="n">
        <v>12</v>
      </c>
      <c r="K19" s="6" t="n">
        <f aca="false">G19*J19</f>
        <v>300</v>
      </c>
      <c r="L19" s="6" t="s">
        <v>206</v>
      </c>
      <c r="M19" s="7" t="n">
        <f aca="false">G19*H19</f>
        <v>375000</v>
      </c>
      <c r="N19" s="7" t="n">
        <f aca="false">IF(L19="субподряд",G19*I19,0)</f>
        <v>225000</v>
      </c>
      <c r="O19" s="7" t="n">
        <f aca="false">M19-N19</f>
        <v>150000</v>
      </c>
      <c r="P19" s="6" t="s">
        <v>267</v>
      </c>
    </row>
    <row r="20" customFormat="false" ht="31.3" hidden="false" customHeight="false" outlineLevel="0" collapsed="false">
      <c r="A20" s="6" t="n">
        <v>16</v>
      </c>
      <c r="B20" s="6" t="s">
        <v>268</v>
      </c>
      <c r="C20" s="6" t="s">
        <v>269</v>
      </c>
      <c r="D20" s="6" t="s">
        <v>270</v>
      </c>
      <c r="E20" s="6" t="s">
        <v>214</v>
      </c>
      <c r="F20" s="6" t="s">
        <v>215</v>
      </c>
      <c r="G20" s="6" t="n">
        <v>8</v>
      </c>
      <c r="H20" s="7" t="n">
        <v>4000</v>
      </c>
      <c r="I20" s="7" t="n">
        <v>2400</v>
      </c>
      <c r="J20" s="6" t="n">
        <v>2</v>
      </c>
      <c r="K20" s="6" t="n">
        <f aca="false">G20*J20</f>
        <v>16</v>
      </c>
      <c r="L20" s="6" t="s">
        <v>206</v>
      </c>
      <c r="M20" s="7" t="n">
        <f aca="false">G20*H20</f>
        <v>32000</v>
      </c>
      <c r="N20" s="7" t="n">
        <f aca="false">IF(L20="субподряд",G20*I20,0)</f>
        <v>19200</v>
      </c>
      <c r="O20" s="7" t="n">
        <f aca="false">M20-N20</f>
        <v>12800</v>
      </c>
      <c r="P20" s="6" t="s">
        <v>271</v>
      </c>
    </row>
    <row r="21" customFormat="false" ht="16.4" hidden="false" customHeight="false" outlineLevel="0" collapsed="false">
      <c r="A21" s="6" t="n">
        <v>17</v>
      </c>
      <c r="B21" s="6" t="s">
        <v>272</v>
      </c>
      <c r="C21" s="6" t="s">
        <v>273</v>
      </c>
      <c r="D21" s="6" t="s">
        <v>274</v>
      </c>
      <c r="E21" s="6" t="s">
        <v>214</v>
      </c>
      <c r="F21" s="6" t="s">
        <v>215</v>
      </c>
      <c r="G21" s="6" t="n">
        <v>2</v>
      </c>
      <c r="H21" s="7" t="n">
        <v>5000</v>
      </c>
      <c r="I21" s="7" t="n">
        <v>3000</v>
      </c>
      <c r="J21" s="6" t="n">
        <v>2.5</v>
      </c>
      <c r="K21" s="6" t="n">
        <f aca="false">G21*J21</f>
        <v>5</v>
      </c>
      <c r="L21" s="6" t="s">
        <v>206</v>
      </c>
      <c r="M21" s="7" t="n">
        <f aca="false">G21*H21</f>
        <v>10000</v>
      </c>
      <c r="N21" s="7" t="n">
        <f aca="false">IF(L21="субподряд",G21*I21,0)</f>
        <v>6000</v>
      </c>
      <c r="O21" s="7" t="n">
        <f aca="false">M21-N21</f>
        <v>4000</v>
      </c>
      <c r="P21" s="6" t="s">
        <v>275</v>
      </c>
    </row>
    <row r="22" customFormat="false" ht="31.3" hidden="false" customHeight="false" outlineLevel="0" collapsed="false">
      <c r="A22" s="6" t="n">
        <v>18</v>
      </c>
      <c r="B22" s="6" t="s">
        <v>276</v>
      </c>
      <c r="C22" s="6" t="s">
        <v>277</v>
      </c>
      <c r="D22" s="26" t="s">
        <v>278</v>
      </c>
      <c r="E22" s="26" t="s">
        <v>279</v>
      </c>
      <c r="F22" s="6" t="s">
        <v>205</v>
      </c>
      <c r="G22" s="25" t="n">
        <v>30</v>
      </c>
      <c r="H22" s="27" t="n">
        <v>3000</v>
      </c>
      <c r="I22" s="27" t="n">
        <v>1800</v>
      </c>
      <c r="J22" s="6" t="n">
        <v>1.5</v>
      </c>
      <c r="K22" s="6" t="n">
        <f aca="false">G22*J22</f>
        <v>45</v>
      </c>
      <c r="L22" s="6" t="s">
        <v>206</v>
      </c>
      <c r="M22" s="7" t="n">
        <f aca="false">G22*H22</f>
        <v>90000</v>
      </c>
      <c r="N22" s="7" t="n">
        <f aca="false">IF(L22="субподряд",G22*I22,0)</f>
        <v>54000</v>
      </c>
      <c r="O22" s="7" t="n">
        <f aca="false">M22-N22</f>
        <v>36000</v>
      </c>
      <c r="P22" s="6" t="s">
        <v>280</v>
      </c>
    </row>
    <row r="23" customFormat="false" ht="31.3" hidden="false" customHeight="false" outlineLevel="0" collapsed="false">
      <c r="A23" s="6" t="n">
        <v>19</v>
      </c>
      <c r="B23" s="6" t="s">
        <v>276</v>
      </c>
      <c r="C23" s="6" t="s">
        <v>281</v>
      </c>
      <c r="D23" s="6" t="s">
        <v>282</v>
      </c>
      <c r="E23" s="6" t="s">
        <v>214</v>
      </c>
      <c r="F23" s="6" t="s">
        <v>205</v>
      </c>
      <c r="G23" s="6" t="n">
        <v>14</v>
      </c>
      <c r="H23" s="7" t="n">
        <v>2000</v>
      </c>
      <c r="I23" s="7" t="n">
        <v>1200</v>
      </c>
      <c r="J23" s="6" t="n">
        <v>1</v>
      </c>
      <c r="K23" s="6" t="n">
        <f aca="false">G23*J23</f>
        <v>14</v>
      </c>
      <c r="L23" s="6" t="s">
        <v>206</v>
      </c>
      <c r="M23" s="7" t="n">
        <f aca="false">G23*H23</f>
        <v>28000</v>
      </c>
      <c r="N23" s="7" t="n">
        <f aca="false">IF(L23="субподряд",G23*I23,0)</f>
        <v>16800</v>
      </c>
      <c r="O23" s="7" t="n">
        <f aca="false">M23-N23</f>
        <v>11200</v>
      </c>
      <c r="P23" s="6" t="s">
        <v>283</v>
      </c>
    </row>
    <row r="24" customFormat="false" ht="31.3" hidden="false" customHeight="false" outlineLevel="0" collapsed="false">
      <c r="A24" s="6" t="n">
        <v>20</v>
      </c>
      <c r="B24" s="6" t="s">
        <v>284</v>
      </c>
      <c r="C24" s="6" t="s">
        <v>285</v>
      </c>
      <c r="D24" s="26" t="s">
        <v>286</v>
      </c>
      <c r="E24" s="26" t="s">
        <v>279</v>
      </c>
      <c r="F24" s="6" t="s">
        <v>205</v>
      </c>
      <c r="G24" s="25" t="n">
        <v>10</v>
      </c>
      <c r="H24" s="27" t="n">
        <v>15000</v>
      </c>
      <c r="I24" s="27" t="n">
        <v>5100</v>
      </c>
      <c r="J24" s="6" t="n">
        <v>6</v>
      </c>
      <c r="K24" s="6" t="n">
        <f aca="false">G24*J24</f>
        <v>60</v>
      </c>
      <c r="L24" s="6" t="s">
        <v>206</v>
      </c>
      <c r="M24" s="7" t="n">
        <f aca="false">G24*H24</f>
        <v>150000</v>
      </c>
      <c r="N24" s="7" t="n">
        <f aca="false">IF(L24="субподряд",G24*I24,0)</f>
        <v>51000</v>
      </c>
      <c r="O24" s="7" t="n">
        <f aca="false">M24-N24</f>
        <v>99000</v>
      </c>
      <c r="P24" s="6" t="s">
        <v>287</v>
      </c>
    </row>
    <row r="25" customFormat="false" ht="31.3" hidden="false" customHeight="false" outlineLevel="0" collapsed="false">
      <c r="A25" s="6" t="n">
        <v>21</v>
      </c>
      <c r="B25" s="6" t="s">
        <v>288</v>
      </c>
      <c r="C25" s="6" t="s">
        <v>289</v>
      </c>
      <c r="D25" s="26" t="s">
        <v>290</v>
      </c>
      <c r="E25" s="26" t="s">
        <v>279</v>
      </c>
      <c r="F25" s="6" t="s">
        <v>291</v>
      </c>
      <c r="G25" s="25" t="n">
        <v>12</v>
      </c>
      <c r="H25" s="27" t="n">
        <v>6000</v>
      </c>
      <c r="I25" s="27" t="n">
        <v>6000</v>
      </c>
      <c r="J25" s="6" t="n">
        <v>0</v>
      </c>
      <c r="K25" s="6" t="n">
        <f aca="false">G25*J25</f>
        <v>0</v>
      </c>
      <c r="L25" s="6" t="s">
        <v>206</v>
      </c>
      <c r="M25" s="7" t="n">
        <f aca="false">G25*H25</f>
        <v>72000</v>
      </c>
      <c r="N25" s="7" t="n">
        <f aca="false">IF(L25="субподряд",G25*I25,0)</f>
        <v>72000</v>
      </c>
      <c r="O25" s="7" t="n">
        <f aca="false">M25-N25</f>
        <v>0</v>
      </c>
      <c r="P25" s="6" t="s">
        <v>292</v>
      </c>
    </row>
    <row r="26" customFormat="false" ht="31.3" hidden="false" customHeight="false" outlineLevel="0" collapsed="false">
      <c r="A26" s="6" t="n">
        <v>22</v>
      </c>
      <c r="B26" s="6" t="s">
        <v>288</v>
      </c>
      <c r="C26" s="6" t="s">
        <v>293</v>
      </c>
      <c r="D26" s="26" t="s">
        <v>294</v>
      </c>
      <c r="E26" s="26" t="s">
        <v>279</v>
      </c>
      <c r="F26" s="6" t="s">
        <v>295</v>
      </c>
      <c r="G26" s="25" t="n">
        <v>6</v>
      </c>
      <c r="H26" s="27" t="n">
        <v>25000</v>
      </c>
      <c r="I26" s="27" t="n">
        <v>9600</v>
      </c>
      <c r="J26" s="6" t="n">
        <v>8</v>
      </c>
      <c r="K26" s="6" t="n">
        <f aca="false">G26*J26</f>
        <v>48</v>
      </c>
      <c r="L26" s="6" t="s">
        <v>206</v>
      </c>
      <c r="M26" s="7" t="n">
        <f aca="false">G26*H26</f>
        <v>150000</v>
      </c>
      <c r="N26" s="7" t="n">
        <f aca="false">IF(L26="субподряд",G26*I26,0)</f>
        <v>57600</v>
      </c>
      <c r="O26" s="7" t="n">
        <f aca="false">M26-N26</f>
        <v>92400</v>
      </c>
      <c r="P26" s="6" t="s">
        <v>296</v>
      </c>
    </row>
    <row r="27" customFormat="false" ht="31.3" hidden="false" customHeight="false" outlineLevel="0" collapsed="false">
      <c r="A27" s="6" t="n">
        <v>23</v>
      </c>
      <c r="B27" s="6" t="s">
        <v>288</v>
      </c>
      <c r="C27" s="6" t="s">
        <v>297</v>
      </c>
      <c r="D27" s="6" t="s">
        <v>298</v>
      </c>
      <c r="E27" s="6" t="s">
        <v>204</v>
      </c>
      <c r="F27" s="6" t="s">
        <v>205</v>
      </c>
      <c r="G27" s="6" t="n">
        <v>8</v>
      </c>
      <c r="H27" s="7" t="n">
        <v>4000</v>
      </c>
      <c r="I27" s="7" t="n">
        <v>2400</v>
      </c>
      <c r="J27" s="6" t="n">
        <v>1</v>
      </c>
      <c r="K27" s="6" t="n">
        <f aca="false">G27*J27</f>
        <v>8</v>
      </c>
      <c r="L27" s="6" t="s">
        <v>233</v>
      </c>
      <c r="M27" s="7" t="n">
        <f aca="false">G27*H27</f>
        <v>32000</v>
      </c>
      <c r="N27" s="7" t="n">
        <f aca="false">IF(L27="субподряд",G27*I27,0)</f>
        <v>0</v>
      </c>
      <c r="O27" s="7" t="n">
        <f aca="false">M27-N27</f>
        <v>32000</v>
      </c>
      <c r="P27" s="6" t="s">
        <v>299</v>
      </c>
    </row>
    <row r="28" customFormat="false" ht="31.3" hidden="false" customHeight="false" outlineLevel="0" collapsed="false">
      <c r="A28" s="6" t="n">
        <v>24</v>
      </c>
      <c r="B28" s="6" t="s">
        <v>300</v>
      </c>
      <c r="C28" s="6" t="s">
        <v>301</v>
      </c>
      <c r="D28" s="6" t="s">
        <v>302</v>
      </c>
      <c r="E28" s="6" t="s">
        <v>214</v>
      </c>
      <c r="F28" s="6" t="s">
        <v>205</v>
      </c>
      <c r="G28" s="6" t="n">
        <v>60</v>
      </c>
      <c r="H28" s="7" t="n">
        <v>7000</v>
      </c>
      <c r="I28" s="7" t="n">
        <v>4200</v>
      </c>
      <c r="J28" s="6" t="n">
        <v>4.5</v>
      </c>
      <c r="K28" s="6" t="n">
        <f aca="false">G28*J28</f>
        <v>270</v>
      </c>
      <c r="L28" s="6" t="s">
        <v>233</v>
      </c>
      <c r="M28" s="7" t="n">
        <f aca="false">G28*H28</f>
        <v>420000</v>
      </c>
      <c r="N28" s="7" t="n">
        <f aca="false">IF(L28="субподряд",G28*I28,0)</f>
        <v>0</v>
      </c>
      <c r="O28" s="7" t="n">
        <f aca="false">M28-N28</f>
        <v>420000</v>
      </c>
      <c r="P28" s="6" t="s">
        <v>303</v>
      </c>
    </row>
    <row r="29" customFormat="false" ht="31.3" hidden="false" customHeight="false" outlineLevel="0" collapsed="false">
      <c r="A29" s="6" t="n">
        <v>25</v>
      </c>
      <c r="B29" s="6" t="s">
        <v>304</v>
      </c>
      <c r="C29" s="6" t="s">
        <v>305</v>
      </c>
      <c r="D29" s="6" t="s">
        <v>306</v>
      </c>
      <c r="E29" s="6" t="s">
        <v>214</v>
      </c>
      <c r="F29" s="6" t="s">
        <v>205</v>
      </c>
      <c r="G29" s="6" t="n">
        <v>60</v>
      </c>
      <c r="H29" s="7" t="n">
        <v>5500</v>
      </c>
      <c r="I29" s="7" t="n">
        <v>3300</v>
      </c>
      <c r="J29" s="6" t="n">
        <v>3</v>
      </c>
      <c r="K29" s="6" t="n">
        <f aca="false">G29*J29</f>
        <v>180</v>
      </c>
      <c r="L29" s="6" t="s">
        <v>233</v>
      </c>
      <c r="M29" s="7" t="n">
        <f aca="false">G29*H29</f>
        <v>330000</v>
      </c>
      <c r="N29" s="7" t="n">
        <f aca="false">IF(L29="субподряд",G29*I29,0)</f>
        <v>0</v>
      </c>
      <c r="O29" s="7" t="n">
        <f aca="false">M29-N29</f>
        <v>330000</v>
      </c>
      <c r="P29" s="6" t="s">
        <v>307</v>
      </c>
    </row>
    <row r="30" customFormat="false" ht="16.4" hidden="false" customHeight="false" outlineLevel="0" collapsed="false">
      <c r="A30" s="6" t="n">
        <v>26</v>
      </c>
      <c r="B30" s="6" t="s">
        <v>259</v>
      </c>
      <c r="C30" s="6" t="s">
        <v>308</v>
      </c>
      <c r="D30" s="6" t="s">
        <v>309</v>
      </c>
      <c r="E30" s="6" t="s">
        <v>214</v>
      </c>
      <c r="F30" s="6" t="s">
        <v>205</v>
      </c>
      <c r="G30" s="6" t="n">
        <v>48</v>
      </c>
      <c r="H30" s="7" t="n">
        <v>2500</v>
      </c>
      <c r="I30" s="7" t="n">
        <v>1500</v>
      </c>
      <c r="J30" s="6" t="n">
        <v>1.5</v>
      </c>
      <c r="K30" s="6" t="n">
        <f aca="false">G30*J30</f>
        <v>72</v>
      </c>
      <c r="L30" s="6" t="s">
        <v>233</v>
      </c>
      <c r="M30" s="7" t="n">
        <f aca="false">G30*H30</f>
        <v>120000</v>
      </c>
      <c r="N30" s="7" t="n">
        <f aca="false">IF(L30="субподряд",G30*I30,0)</f>
        <v>0</v>
      </c>
      <c r="O30" s="7" t="n">
        <f aca="false">M30-N30</f>
        <v>120000</v>
      </c>
      <c r="P30" s="6" t="s">
        <v>310</v>
      </c>
    </row>
    <row r="31" customFormat="false" ht="31.3" hidden="false" customHeight="false" outlineLevel="0" collapsed="false">
      <c r="A31" s="6" t="n">
        <v>27</v>
      </c>
      <c r="B31" s="6" t="s">
        <v>259</v>
      </c>
      <c r="C31" s="6" t="s">
        <v>311</v>
      </c>
      <c r="D31" s="6" t="s">
        <v>312</v>
      </c>
      <c r="E31" s="6" t="s">
        <v>214</v>
      </c>
      <c r="F31" s="6" t="s">
        <v>224</v>
      </c>
      <c r="G31" s="6" t="n">
        <v>40</v>
      </c>
      <c r="H31" s="7" t="n">
        <v>800</v>
      </c>
      <c r="I31" s="7" t="n">
        <v>480</v>
      </c>
      <c r="J31" s="6" t="n">
        <v>0.5</v>
      </c>
      <c r="K31" s="6" t="n">
        <f aca="false">G31*J31</f>
        <v>20</v>
      </c>
      <c r="L31" s="6" t="s">
        <v>233</v>
      </c>
      <c r="M31" s="7" t="n">
        <f aca="false">G31*H31</f>
        <v>32000</v>
      </c>
      <c r="N31" s="7" t="n">
        <f aca="false">IF(L31="субподряд",G31*I31,0)</f>
        <v>0</v>
      </c>
      <c r="O31" s="7" t="n">
        <f aca="false">M31-N31</f>
        <v>32000</v>
      </c>
      <c r="P31" s="6" t="s">
        <v>313</v>
      </c>
    </row>
    <row r="32" customFormat="false" ht="16.4" hidden="false" customHeight="false" outlineLevel="0" collapsed="false">
      <c r="A32" s="6" t="n">
        <v>28</v>
      </c>
      <c r="B32" s="6" t="s">
        <v>314</v>
      </c>
      <c r="C32" s="6" t="s">
        <v>315</v>
      </c>
      <c r="D32" s="6" t="s">
        <v>316</v>
      </c>
      <c r="E32" s="6" t="s">
        <v>204</v>
      </c>
      <c r="F32" s="6" t="s">
        <v>205</v>
      </c>
      <c r="G32" s="6" t="n">
        <v>16</v>
      </c>
      <c r="H32" s="7" t="n">
        <v>8000</v>
      </c>
      <c r="I32" s="7" t="n">
        <v>4800</v>
      </c>
      <c r="J32" s="6" t="n">
        <v>3.5</v>
      </c>
      <c r="K32" s="6" t="n">
        <f aca="false">G32*J32</f>
        <v>56</v>
      </c>
      <c r="L32" s="6" t="s">
        <v>233</v>
      </c>
      <c r="M32" s="7" t="n">
        <f aca="false">G32*H32</f>
        <v>128000</v>
      </c>
      <c r="N32" s="7" t="n">
        <f aca="false">IF(L32="субподряд",G32*I32,0)</f>
        <v>0</v>
      </c>
      <c r="O32" s="7" t="n">
        <f aca="false">M32-N32</f>
        <v>128000</v>
      </c>
      <c r="P32" s="6" t="s">
        <v>317</v>
      </c>
    </row>
    <row r="33" customFormat="false" ht="16.4" hidden="false" customHeight="false" outlineLevel="0" collapsed="false">
      <c r="A33" s="6"/>
      <c r="B33" s="6"/>
      <c r="C33" s="5" t="s">
        <v>141</v>
      </c>
      <c r="D33" s="6"/>
      <c r="E33" s="6"/>
      <c r="F33" s="6"/>
      <c r="G33" s="6"/>
      <c r="H33" s="6"/>
      <c r="I33" s="6"/>
      <c r="J33" s="6"/>
      <c r="K33" s="10" t="n">
        <f aca="false">SUM(K5:K32)</f>
        <v>1750.5</v>
      </c>
      <c r="L33" s="6"/>
      <c r="M33" s="10" t="n">
        <f aca="false">SUM(M5:M32)</f>
        <v>3184270</v>
      </c>
      <c r="N33" s="10" t="n">
        <f aca="false">SUM(N5:N32)</f>
        <v>1043980</v>
      </c>
      <c r="O33" s="10" t="n">
        <f aca="false">SUM(O5:O32)</f>
        <v>2140290</v>
      </c>
      <c r="P33" s="6"/>
    </row>
    <row r="34" customFormat="false" ht="16.4" hidden="false" customHeight="false" outlineLevel="0" collapsed="false">
      <c r="A34" s="6"/>
      <c r="B34" s="6"/>
      <c r="C34" s="6" t="s">
        <v>318</v>
      </c>
      <c r="D34" s="6"/>
      <c r="E34" s="6"/>
      <c r="F34" s="6"/>
      <c r="G34" s="6"/>
      <c r="H34" s="6"/>
      <c r="I34" s="6"/>
      <c r="J34" s="6"/>
      <c r="K34" s="7" t="n">
        <f aca="false">SUMIF(L5:L32,"штат",K5:K32)</f>
        <v>738</v>
      </c>
      <c r="L34" s="6"/>
      <c r="M34" s="6"/>
      <c r="N34" s="6"/>
      <c r="O34" s="6"/>
      <c r="P34" s="6"/>
    </row>
    <row r="35" customFormat="false" ht="31.3" hidden="false" customHeight="false" outlineLevel="0" collapsed="false">
      <c r="A35" s="6"/>
      <c r="B35" s="6"/>
      <c r="C35" s="6" t="s">
        <v>319</v>
      </c>
      <c r="D35" s="6"/>
      <c r="E35" s="6"/>
      <c r="F35" s="6"/>
      <c r="G35" s="6"/>
      <c r="H35" s="6"/>
      <c r="I35" s="6"/>
      <c r="J35" s="6"/>
      <c r="K35" s="7" t="n">
        <v>7880</v>
      </c>
      <c r="L35" s="6"/>
      <c r="M35" s="8" t="n">
        <f aca="false">K34/K35</f>
        <v>0.0936548223350254</v>
      </c>
      <c r="N35" s="6"/>
      <c r="O35" s="6"/>
      <c r="P35" s="6"/>
    </row>
  </sheetData>
  <mergeCells count="1"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1" min="10" style="0" width="15"/>
    <col collapsed="false" customWidth="true" hidden="false" outlineLevel="0" max="12" min="12" style="0" width="12"/>
    <col collapsed="false" customWidth="true" hidden="false" outlineLevel="0" max="13" min="13" style="0" width="50"/>
  </cols>
  <sheetData>
    <row r="1" customFormat="false" ht="16.15" hidden="false" customHeight="false" outlineLevel="0" collapsed="false">
      <c r="A1" s="1" t="s">
        <v>320</v>
      </c>
    </row>
    <row r="2" customFormat="false" ht="15" hidden="false" customHeight="false" outlineLevel="0" collapsed="false">
      <c r="A2" s="0" t="s">
        <v>321</v>
      </c>
      <c r="D2" s="4" t="n">
        <v>0.03</v>
      </c>
      <c r="E2" s="22" t="s">
        <v>322</v>
      </c>
      <c r="G2" s="4" t="n">
        <v>0.02</v>
      </c>
      <c r="H2" s="22" t="s">
        <v>323</v>
      </c>
      <c r="J2" s="28" t="n">
        <v>0.0125</v>
      </c>
    </row>
    <row r="4" customFormat="false" ht="45" hidden="false" customHeight="true" outlineLevel="0" collapsed="false">
      <c r="A4" s="14" t="s">
        <v>106</v>
      </c>
      <c r="B4" s="14" t="s">
        <v>107</v>
      </c>
      <c r="C4" s="14" t="s">
        <v>190</v>
      </c>
      <c r="D4" s="14" t="s">
        <v>324</v>
      </c>
      <c r="E4" s="14" t="s">
        <v>325</v>
      </c>
      <c r="F4" s="14" t="s">
        <v>326</v>
      </c>
      <c r="G4" s="14" t="s">
        <v>327</v>
      </c>
      <c r="H4" s="14" t="s">
        <v>328</v>
      </c>
      <c r="I4" s="14" t="s">
        <v>329</v>
      </c>
      <c r="J4" s="14" t="s">
        <v>330</v>
      </c>
      <c r="K4" s="14" t="s">
        <v>331</v>
      </c>
      <c r="L4" s="14" t="s">
        <v>332</v>
      </c>
      <c r="M4" s="14" t="s">
        <v>333</v>
      </c>
    </row>
    <row r="5" customFormat="false" ht="31.3" hidden="false" customHeight="false" outlineLevel="0" collapsed="false">
      <c r="A5" s="6" t="n">
        <v>1</v>
      </c>
      <c r="B5" s="6" t="s">
        <v>334</v>
      </c>
      <c r="C5" s="6" t="s">
        <v>215</v>
      </c>
      <c r="D5" s="6" t="n">
        <v>1</v>
      </c>
      <c r="E5" s="7" t="n">
        <v>2500000</v>
      </c>
      <c r="F5" s="7" t="n">
        <f aca="false">E5/1.22</f>
        <v>2049180.32786885</v>
      </c>
      <c r="G5" s="6" t="s">
        <v>178</v>
      </c>
      <c r="H5" s="29" t="n">
        <v>1</v>
      </c>
      <c r="I5" s="7" t="n">
        <f aca="false">F5</f>
        <v>2049180.32786885</v>
      </c>
      <c r="J5" s="7" t="n">
        <f aca="false">D5*I5</f>
        <v>2049180.32786885</v>
      </c>
      <c r="K5" s="7" t="n">
        <f aca="false">D5*F5</f>
        <v>2049180.32786885</v>
      </c>
      <c r="L5" s="6" t="s">
        <v>178</v>
      </c>
      <c r="M5" s="6" t="s">
        <v>335</v>
      </c>
    </row>
    <row r="6" customFormat="false" ht="46.25" hidden="false" customHeight="false" outlineLevel="0" collapsed="false">
      <c r="A6" s="6" t="n">
        <v>2</v>
      </c>
      <c r="B6" s="6" t="s">
        <v>336</v>
      </c>
      <c r="C6" s="6" t="s">
        <v>337</v>
      </c>
      <c r="D6" s="6" t="n">
        <v>12</v>
      </c>
      <c r="E6" s="7" t="n">
        <v>45885.47</v>
      </c>
      <c r="F6" s="7" t="n">
        <f aca="false">E6/1.22</f>
        <v>37611.0409836066</v>
      </c>
      <c r="G6" s="6" t="n">
        <v>8</v>
      </c>
      <c r="H6" s="29" t="n">
        <f aca="false">1+MAX(0,G6-2)*$J$2+$G$2</f>
        <v>1.095</v>
      </c>
      <c r="I6" s="7" t="n">
        <f aca="false">F6*(1+$D$2)*H6</f>
        <v>42419.6125733607</v>
      </c>
      <c r="J6" s="7" t="n">
        <f aca="false">D6*I6</f>
        <v>509035.350880328</v>
      </c>
      <c r="K6" s="7" t="n">
        <f aca="false">0</f>
        <v>0</v>
      </c>
      <c r="L6" s="6" t="s">
        <v>338</v>
      </c>
      <c r="M6" s="6" t="s">
        <v>339</v>
      </c>
    </row>
    <row r="7" customFormat="false" ht="31.3" hidden="false" customHeight="false" outlineLevel="0" collapsed="false">
      <c r="A7" s="6" t="n">
        <v>3</v>
      </c>
      <c r="B7" s="6" t="s">
        <v>340</v>
      </c>
      <c r="C7" s="6" t="s">
        <v>224</v>
      </c>
      <c r="D7" s="6" t="n">
        <v>40</v>
      </c>
      <c r="E7" s="30" t="n">
        <v>6000</v>
      </c>
      <c r="F7" s="7" t="n">
        <f aca="false">E7/1.22</f>
        <v>4918.03278688525</v>
      </c>
      <c r="G7" s="6" t="n">
        <v>8</v>
      </c>
      <c r="H7" s="29" t="n">
        <f aca="false">1+MAX(0,G7-2)*$J$2+$G$2</f>
        <v>1.095</v>
      </c>
      <c r="I7" s="7" t="n">
        <f aca="false">F7*(1+$D$2)*H7</f>
        <v>5546.80327868853</v>
      </c>
      <c r="J7" s="7" t="n">
        <f aca="false">D7*I7</f>
        <v>221872.131147541</v>
      </c>
      <c r="K7" s="7" t="n">
        <f aca="false">0</f>
        <v>0</v>
      </c>
      <c r="L7" s="6" t="s">
        <v>338</v>
      </c>
      <c r="M7" s="6" t="s">
        <v>341</v>
      </c>
    </row>
    <row r="8" customFormat="false" ht="31.3" hidden="false" customHeight="false" outlineLevel="0" collapsed="false">
      <c r="A8" s="6" t="n">
        <v>4</v>
      </c>
      <c r="B8" s="6" t="s">
        <v>342</v>
      </c>
      <c r="C8" s="6" t="s">
        <v>205</v>
      </c>
      <c r="D8" s="6" t="n">
        <v>4</v>
      </c>
      <c r="E8" s="7" t="n">
        <v>1803</v>
      </c>
      <c r="F8" s="7" t="n">
        <f aca="false">E8/1.22</f>
        <v>1477.86885245902</v>
      </c>
      <c r="G8" s="6" t="n">
        <v>1</v>
      </c>
      <c r="H8" s="29" t="n">
        <f aca="false">1+MAX(0,G8-2)*$J$2+$G$2</f>
        <v>1.02</v>
      </c>
      <c r="I8" s="7" t="n">
        <f aca="false">F8*(1+$D$2)*H8</f>
        <v>1552.64901639344</v>
      </c>
      <c r="J8" s="7" t="n">
        <f aca="false">D8*I8</f>
        <v>6210.59606557377</v>
      </c>
      <c r="K8" s="7" t="n">
        <f aca="false">0</f>
        <v>0</v>
      </c>
      <c r="L8" s="6" t="s">
        <v>343</v>
      </c>
      <c r="M8" s="6" t="s">
        <v>344</v>
      </c>
    </row>
    <row r="9" customFormat="false" ht="31.3" hidden="false" customHeight="false" outlineLevel="0" collapsed="false">
      <c r="A9" s="6" t="n">
        <v>5</v>
      </c>
      <c r="B9" s="6" t="s">
        <v>345</v>
      </c>
      <c r="C9" s="6" t="s">
        <v>205</v>
      </c>
      <c r="D9" s="6" t="n">
        <v>2</v>
      </c>
      <c r="E9" s="7" t="n">
        <v>17490</v>
      </c>
      <c r="F9" s="7" t="n">
        <f aca="false">E9/1.22</f>
        <v>14336.0655737705</v>
      </c>
      <c r="G9" s="6" t="n">
        <v>1</v>
      </c>
      <c r="H9" s="29" t="n">
        <f aca="false">1+MAX(0,G9-2)*$J$2+$G$2</f>
        <v>1.02</v>
      </c>
      <c r="I9" s="7" t="n">
        <f aca="false">F9*(1+$D$2)*H9</f>
        <v>15061.4704918033</v>
      </c>
      <c r="J9" s="7" t="n">
        <f aca="false">D9*I9</f>
        <v>30122.9409836066</v>
      </c>
      <c r="K9" s="7" t="n">
        <f aca="false">0</f>
        <v>0</v>
      </c>
      <c r="L9" s="6" t="s">
        <v>343</v>
      </c>
      <c r="M9" s="6" t="s">
        <v>346</v>
      </c>
    </row>
    <row r="10" customFormat="false" ht="46.25" hidden="false" customHeight="false" outlineLevel="0" collapsed="false">
      <c r="A10" s="6"/>
      <c r="B10" s="5" t="s">
        <v>347</v>
      </c>
      <c r="C10" s="6"/>
      <c r="D10" s="6"/>
      <c r="E10" s="6"/>
      <c r="F10" s="6"/>
      <c r="G10" s="6"/>
      <c r="H10" s="6"/>
      <c r="I10" s="6"/>
      <c r="J10" s="10" t="n">
        <f aca="false">J5+J8+J9</f>
        <v>2085513.86491803</v>
      </c>
      <c r="K10" s="10" t="n">
        <f aca="false">K5</f>
        <v>2049180.32786885</v>
      </c>
      <c r="L10" s="6"/>
      <c r="M10" s="6"/>
    </row>
    <row r="11" customFormat="false" ht="31.3" hidden="false" customHeight="false" outlineLevel="0" collapsed="false">
      <c r="A11" s="6"/>
      <c r="B11" s="6" t="s">
        <v>348</v>
      </c>
      <c r="C11" s="6"/>
      <c r="D11" s="6"/>
      <c r="E11" s="6"/>
      <c r="F11" s="6"/>
      <c r="G11" s="6"/>
      <c r="H11" s="6"/>
      <c r="I11" s="6"/>
      <c r="J11" s="8" t="n">
        <f aca="false">(J6+J7)/J5</f>
        <v>0.3566828512296</v>
      </c>
      <c r="K11" s="6"/>
      <c r="L11" s="6"/>
      <c r="M11" s="6"/>
    </row>
    <row r="12" customFormat="false" ht="16.4" hidden="false" customHeight="false" outlineLevel="0" collapsed="false">
      <c r="A12" s="6"/>
      <c r="B12" s="6" t="s">
        <v>349</v>
      </c>
      <c r="C12" s="6"/>
      <c r="D12" s="6"/>
      <c r="E12" s="6"/>
      <c r="F12" s="6"/>
      <c r="G12" s="6"/>
      <c r="H12" s="6"/>
      <c r="I12" s="6"/>
      <c r="J12" s="7" t="n">
        <f aca="false">J5-J6-J7</f>
        <v>1318272.84584098</v>
      </c>
      <c r="K12" s="6"/>
      <c r="L12" s="6"/>
      <c r="M12" s="6"/>
    </row>
    <row r="14" customFormat="false" ht="16.4" hidden="false" customHeight="true" outlineLevel="0" collapsed="false">
      <c r="B14" s="20" t="s">
        <v>350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</sheetData>
  <mergeCells count="1">
    <mergeCell ref="B14:M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" t="s">
        <v>351</v>
      </c>
    </row>
    <row r="3" customFormat="false" ht="45" hidden="false" customHeight="true" outlineLevel="0" collapsed="false">
      <c r="A3" s="14" t="s">
        <v>106</v>
      </c>
      <c r="B3" s="14" t="s">
        <v>107</v>
      </c>
      <c r="C3" s="14" t="s">
        <v>352</v>
      </c>
      <c r="D3" s="14" t="s">
        <v>353</v>
      </c>
      <c r="E3" s="14" t="s">
        <v>354</v>
      </c>
      <c r="F3" s="14" t="s">
        <v>355</v>
      </c>
      <c r="G3" s="14" t="s">
        <v>356</v>
      </c>
    </row>
    <row r="4" customFormat="false" ht="16.4" hidden="false" customHeight="false" outlineLevel="0" collapsed="false">
      <c r="A4" s="6" t="n">
        <v>1</v>
      </c>
      <c r="B4" s="6" t="s">
        <v>357</v>
      </c>
      <c r="C4" s="6" t="s">
        <v>358</v>
      </c>
      <c r="D4" s="6" t="s">
        <v>359</v>
      </c>
      <c r="E4" s="12" t="n">
        <v>45885.47</v>
      </c>
      <c r="F4" s="6" t="s">
        <v>360</v>
      </c>
      <c r="G4" s="6" t="s">
        <v>361</v>
      </c>
    </row>
    <row r="5" customFormat="false" ht="31.3" hidden="false" customHeight="false" outlineLevel="0" collapsed="false">
      <c r="A5" s="6" t="n">
        <v>2</v>
      </c>
      <c r="B5" s="6" t="s">
        <v>357</v>
      </c>
      <c r="C5" s="6" t="s">
        <v>362</v>
      </c>
      <c r="D5" s="6" t="s">
        <v>363</v>
      </c>
      <c r="E5" s="12" t="n">
        <v>37700</v>
      </c>
      <c r="F5" s="6" t="s">
        <v>360</v>
      </c>
      <c r="G5" s="6"/>
    </row>
    <row r="6" customFormat="false" ht="16.4" hidden="false" customHeight="false" outlineLevel="0" collapsed="false">
      <c r="A6" s="6" t="n">
        <v>3</v>
      </c>
      <c r="B6" s="6" t="s">
        <v>357</v>
      </c>
      <c r="C6" s="6" t="s">
        <v>364</v>
      </c>
      <c r="D6" s="6" t="s">
        <v>365</v>
      </c>
      <c r="E6" s="12" t="n">
        <v>62900</v>
      </c>
      <c r="F6" s="6" t="s">
        <v>360</v>
      </c>
      <c r="G6" s="6" t="s">
        <v>366</v>
      </c>
    </row>
    <row r="7" customFormat="false" ht="31.3" hidden="false" customHeight="false" outlineLevel="0" collapsed="false">
      <c r="A7" s="6" t="n">
        <v>4</v>
      </c>
      <c r="B7" s="6" t="s">
        <v>367</v>
      </c>
      <c r="C7" s="6" t="s">
        <v>368</v>
      </c>
      <c r="D7" s="6" t="s">
        <v>369</v>
      </c>
      <c r="E7" s="12" t="n">
        <v>1730</v>
      </c>
      <c r="F7" s="6" t="s">
        <v>360</v>
      </c>
      <c r="G7" s="6" t="s">
        <v>370</v>
      </c>
    </row>
    <row r="8" customFormat="false" ht="31.3" hidden="false" customHeight="false" outlineLevel="0" collapsed="false">
      <c r="A8" s="6" t="n">
        <v>5</v>
      </c>
      <c r="B8" s="6" t="s">
        <v>371</v>
      </c>
      <c r="C8" s="6" t="s">
        <v>372</v>
      </c>
      <c r="D8" s="6" t="s">
        <v>373</v>
      </c>
      <c r="E8" s="12" t="n">
        <v>1803</v>
      </c>
      <c r="F8" s="6" t="s">
        <v>360</v>
      </c>
      <c r="G8" s="6" t="s">
        <v>361</v>
      </c>
    </row>
    <row r="9" customFormat="false" ht="31.3" hidden="false" customHeight="false" outlineLevel="0" collapsed="false">
      <c r="A9" s="6" t="n">
        <v>6</v>
      </c>
      <c r="B9" s="6" t="s">
        <v>371</v>
      </c>
      <c r="C9" s="6" t="s">
        <v>374</v>
      </c>
      <c r="D9" s="6" t="s">
        <v>375</v>
      </c>
      <c r="E9" s="12" t="n">
        <v>2408</v>
      </c>
      <c r="F9" s="6" t="s">
        <v>360</v>
      </c>
      <c r="G9" s="6"/>
    </row>
    <row r="10" customFormat="false" ht="16.4" hidden="false" customHeight="false" outlineLevel="0" collapsed="false">
      <c r="A10" s="6" t="n">
        <v>7</v>
      </c>
      <c r="B10" s="6" t="s">
        <v>376</v>
      </c>
      <c r="C10" s="6" t="s">
        <v>377</v>
      </c>
      <c r="D10" s="6" t="s">
        <v>378</v>
      </c>
      <c r="E10" s="12" t="n">
        <v>17490</v>
      </c>
      <c r="F10" s="6" t="s">
        <v>360</v>
      </c>
      <c r="G10" s="6" t="s">
        <v>361</v>
      </c>
    </row>
    <row r="11" customFormat="false" ht="16.4" hidden="false" customHeight="false" outlineLevel="0" collapsed="false">
      <c r="A11" s="6" t="n">
        <v>8</v>
      </c>
      <c r="B11" s="6" t="s">
        <v>376</v>
      </c>
      <c r="C11" s="6" t="s">
        <v>379</v>
      </c>
      <c r="D11" s="6" t="s">
        <v>380</v>
      </c>
      <c r="E11" s="12" t="n">
        <v>17420</v>
      </c>
      <c r="F11" s="6" t="s">
        <v>360</v>
      </c>
      <c r="G11" s="6"/>
    </row>
    <row r="12" customFormat="false" ht="31.3" hidden="false" customHeight="false" outlineLevel="0" collapsed="false">
      <c r="A12" s="6" t="n">
        <v>9</v>
      </c>
      <c r="B12" s="6" t="s">
        <v>376</v>
      </c>
      <c r="C12" s="6" t="s">
        <v>368</v>
      </c>
      <c r="D12" s="6" t="s">
        <v>381</v>
      </c>
      <c r="E12" s="12" t="n">
        <v>19253</v>
      </c>
      <c r="F12" s="6" t="s">
        <v>360</v>
      </c>
      <c r="G12" s="6"/>
    </row>
    <row r="13" customFormat="false" ht="31.3" hidden="false" customHeight="false" outlineLevel="0" collapsed="false">
      <c r="A13" s="6" t="n">
        <v>10</v>
      </c>
      <c r="B13" s="6" t="s">
        <v>382</v>
      </c>
      <c r="C13" s="6" t="s">
        <v>383</v>
      </c>
      <c r="D13" s="6" t="s">
        <v>384</v>
      </c>
      <c r="E13" s="8" t="n">
        <v>0.035</v>
      </c>
      <c r="F13" s="6" t="s">
        <v>178</v>
      </c>
      <c r="G13" s="6" t="s">
        <v>385</v>
      </c>
    </row>
    <row r="14" customFormat="false" ht="46.25" hidden="false" customHeight="false" outlineLevel="0" collapsed="false">
      <c r="A14" s="6" t="n">
        <v>11</v>
      </c>
      <c r="B14" s="6" t="s">
        <v>386</v>
      </c>
      <c r="C14" s="6" t="s">
        <v>387</v>
      </c>
      <c r="D14" s="6" t="s">
        <v>388</v>
      </c>
      <c r="E14" s="12" t="n">
        <v>75000</v>
      </c>
      <c r="F14" s="6" t="s">
        <v>389</v>
      </c>
      <c r="G14" s="6" t="s">
        <v>390</v>
      </c>
    </row>
    <row r="15" customFormat="false" ht="46.25" hidden="false" customHeight="false" outlineLevel="0" collapsed="false">
      <c r="A15" s="6" t="n">
        <v>12</v>
      </c>
      <c r="B15" s="6" t="s">
        <v>391</v>
      </c>
      <c r="C15" s="6" t="s">
        <v>392</v>
      </c>
      <c r="D15" s="6" t="s">
        <v>393</v>
      </c>
      <c r="E15" s="12" t="n">
        <v>55000</v>
      </c>
      <c r="F15" s="6" t="s">
        <v>389</v>
      </c>
      <c r="G15" s="6" t="s">
        <v>394</v>
      </c>
    </row>
    <row r="16" customFormat="false" ht="31.3" hidden="false" customHeight="false" outlineLevel="0" collapsed="false">
      <c r="A16" s="6" t="n">
        <v>13</v>
      </c>
      <c r="B16" s="6" t="s">
        <v>395</v>
      </c>
      <c r="C16" s="6" t="s">
        <v>396</v>
      </c>
      <c r="D16" s="6" t="s">
        <v>397</v>
      </c>
      <c r="E16" s="12" t="n">
        <v>70000</v>
      </c>
      <c r="F16" s="6" t="s">
        <v>389</v>
      </c>
      <c r="G16" s="6" t="s">
        <v>398</v>
      </c>
    </row>
    <row r="17" customFormat="false" ht="46.25" hidden="false" customHeight="false" outlineLevel="0" collapsed="false">
      <c r="A17" s="6" t="n">
        <v>14</v>
      </c>
      <c r="B17" s="6" t="s">
        <v>399</v>
      </c>
      <c r="C17" s="6" t="s">
        <v>400</v>
      </c>
      <c r="D17" s="6" t="s">
        <v>401</v>
      </c>
      <c r="E17" s="12" t="n">
        <v>120000</v>
      </c>
      <c r="F17" s="6" t="s">
        <v>389</v>
      </c>
      <c r="G17" s="6" t="s">
        <v>402</v>
      </c>
    </row>
    <row r="18" customFormat="false" ht="31.3" hidden="false" customHeight="false" outlineLevel="0" collapsed="false">
      <c r="A18" s="6" t="n">
        <v>15</v>
      </c>
      <c r="B18" s="6" t="s">
        <v>403</v>
      </c>
      <c r="C18" s="6" t="s">
        <v>404</v>
      </c>
      <c r="D18" s="6" t="s">
        <v>405</v>
      </c>
      <c r="E18" s="12" t="n">
        <v>105000</v>
      </c>
      <c r="F18" s="6" t="s">
        <v>389</v>
      </c>
      <c r="G18" s="6" t="s">
        <v>406</v>
      </c>
    </row>
    <row r="19" customFormat="false" ht="31.3" hidden="false" customHeight="false" outlineLevel="0" collapsed="false">
      <c r="A19" s="6" t="n">
        <v>16</v>
      </c>
      <c r="B19" s="6" t="s">
        <v>407</v>
      </c>
      <c r="C19" s="6" t="s">
        <v>408</v>
      </c>
      <c r="D19" s="6" t="s">
        <v>409</v>
      </c>
      <c r="E19" s="12" t="n">
        <v>110000</v>
      </c>
      <c r="F19" s="6" t="s">
        <v>389</v>
      </c>
      <c r="G19" s="6" t="s">
        <v>410</v>
      </c>
    </row>
    <row r="20" customFormat="false" ht="16.4" hidden="false" customHeight="false" outlineLevel="0" collapsed="false">
      <c r="A20" s="6" t="n">
        <v>17</v>
      </c>
      <c r="B20" s="6" t="s">
        <v>411</v>
      </c>
      <c r="C20" s="6" t="s">
        <v>412</v>
      </c>
      <c r="D20" s="6" t="s">
        <v>413</v>
      </c>
      <c r="E20" s="6"/>
      <c r="F20" s="6" t="s">
        <v>178</v>
      </c>
      <c r="G2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70"/>
  </cols>
  <sheetData>
    <row r="1" customFormat="false" ht="16.15" hidden="false" customHeight="false" outlineLevel="0" collapsed="false">
      <c r="A1" s="1" t="s">
        <v>414</v>
      </c>
    </row>
    <row r="3" customFormat="false" ht="45" hidden="false" customHeight="true" outlineLevel="0" collapsed="false">
      <c r="A3" s="14" t="s">
        <v>106</v>
      </c>
      <c r="B3" s="14" t="s">
        <v>415</v>
      </c>
      <c r="C3" s="14" t="s">
        <v>324</v>
      </c>
      <c r="D3" s="14" t="s">
        <v>190</v>
      </c>
      <c r="E3" s="14" t="s">
        <v>416</v>
      </c>
      <c r="F3" s="14" t="s">
        <v>417</v>
      </c>
      <c r="G3" s="14" t="s">
        <v>418</v>
      </c>
    </row>
    <row r="4" customFormat="false" ht="16.4" hidden="false" customHeight="false" outlineLevel="0" collapsed="false">
      <c r="A4" s="6" t="n">
        <v>1</v>
      </c>
      <c r="B4" s="6" t="s">
        <v>419</v>
      </c>
      <c r="C4" s="6" t="n">
        <f aca="false">Персонал!F18</f>
        <v>16.5</v>
      </c>
      <c r="D4" s="6" t="s">
        <v>420</v>
      </c>
      <c r="E4" s="30" t="n">
        <v>15000</v>
      </c>
      <c r="F4" s="7" t="n">
        <f aca="false">C4*E4</f>
        <v>247500</v>
      </c>
      <c r="G4" s="6" t="s">
        <v>421</v>
      </c>
    </row>
    <row r="5" customFormat="false" ht="31.3" hidden="false" customHeight="false" outlineLevel="0" collapsed="false">
      <c r="A5" s="6" t="n">
        <v>2</v>
      </c>
      <c r="B5" s="6" t="s">
        <v>422</v>
      </c>
      <c r="C5" s="6" t="n">
        <v>1</v>
      </c>
      <c r="D5" s="6" t="s">
        <v>224</v>
      </c>
      <c r="E5" s="30" t="n">
        <v>300000</v>
      </c>
      <c r="F5" s="7" t="n">
        <f aca="false">C5*E5</f>
        <v>300000</v>
      </c>
      <c r="G5" s="6" t="s">
        <v>423</v>
      </c>
    </row>
    <row r="6" customFormat="false" ht="31.3" hidden="false" customHeight="false" outlineLevel="0" collapsed="false">
      <c r="A6" s="6" t="n">
        <v>3</v>
      </c>
      <c r="B6" s="6" t="s">
        <v>424</v>
      </c>
      <c r="C6" s="6" t="n">
        <v>1</v>
      </c>
      <c r="D6" s="6" t="s">
        <v>215</v>
      </c>
      <c r="E6" s="30" t="n">
        <v>30000</v>
      </c>
      <c r="F6" s="7" t="n">
        <f aca="false">C6*E6</f>
        <v>30000</v>
      </c>
      <c r="G6" s="6" t="s">
        <v>425</v>
      </c>
    </row>
    <row r="7" customFormat="false" ht="16.4" hidden="false" customHeight="false" outlineLevel="0" collapsed="false">
      <c r="A7" s="6" t="n">
        <v>4</v>
      </c>
      <c r="B7" s="6" t="s">
        <v>426</v>
      </c>
      <c r="C7" s="6" t="n">
        <v>48</v>
      </c>
      <c r="D7" s="6" t="s">
        <v>427</v>
      </c>
      <c r="E7" s="7" t="n">
        <v>500</v>
      </c>
      <c r="F7" s="7" t="n">
        <f aca="false">C7*E7</f>
        <v>24000</v>
      </c>
      <c r="G7" s="6" t="s">
        <v>428</v>
      </c>
    </row>
    <row r="8" customFormat="false" ht="31.3" hidden="false" customHeight="false" outlineLevel="0" collapsed="false">
      <c r="A8" s="6" t="n">
        <v>5</v>
      </c>
      <c r="B8" s="6" t="s">
        <v>429</v>
      </c>
      <c r="C8" s="6" t="n">
        <v>4</v>
      </c>
      <c r="D8" s="6" t="s">
        <v>420</v>
      </c>
      <c r="E8" s="30" t="n">
        <v>15000</v>
      </c>
      <c r="F8" s="7" t="n">
        <f aca="false">C8*E8</f>
        <v>60000</v>
      </c>
      <c r="G8" s="6" t="s">
        <v>430</v>
      </c>
    </row>
    <row r="9" customFormat="false" ht="16.4" hidden="false" customHeight="false" outlineLevel="0" collapsed="false">
      <c r="A9" s="6" t="n">
        <v>6</v>
      </c>
      <c r="B9" s="6" t="s">
        <v>431</v>
      </c>
      <c r="C9" s="6" t="n">
        <v>12</v>
      </c>
      <c r="D9" s="6" t="s">
        <v>420</v>
      </c>
      <c r="E9" s="30" t="n">
        <v>6000</v>
      </c>
      <c r="F9" s="7" t="n">
        <f aca="false">C9*E9</f>
        <v>72000</v>
      </c>
      <c r="G9" s="6" t="s">
        <v>181</v>
      </c>
    </row>
    <row r="10" customFormat="false" ht="16.4" hidden="false" customHeight="false" outlineLevel="0" collapsed="false">
      <c r="A10" s="6" t="n">
        <v>7</v>
      </c>
      <c r="B10" s="6" t="s">
        <v>432</v>
      </c>
      <c r="C10" s="6" t="n">
        <f aca="false">Персонал!F18</f>
        <v>16.5</v>
      </c>
      <c r="D10" s="6" t="s">
        <v>420</v>
      </c>
      <c r="E10" s="30" t="n">
        <v>4000</v>
      </c>
      <c r="F10" s="7" t="n">
        <f aca="false">C10*E10</f>
        <v>66000</v>
      </c>
      <c r="G10" s="6" t="s">
        <v>181</v>
      </c>
    </row>
    <row r="11" customFormat="false" ht="31.3" hidden="false" customHeight="false" outlineLevel="0" collapsed="false">
      <c r="A11" s="6" t="n">
        <v>8</v>
      </c>
      <c r="B11" s="6" t="s">
        <v>433</v>
      </c>
      <c r="C11" s="6" t="n">
        <v>6</v>
      </c>
      <c r="D11" s="6" t="s">
        <v>420</v>
      </c>
      <c r="E11" s="30" t="n">
        <v>12000</v>
      </c>
      <c r="F11" s="7" t="n">
        <f aca="false">C11*E11</f>
        <v>72000</v>
      </c>
      <c r="G11" s="6" t="s">
        <v>181</v>
      </c>
    </row>
    <row r="12" customFormat="false" ht="31.3" hidden="false" customHeight="false" outlineLevel="0" collapsed="false">
      <c r="A12" s="6" t="n">
        <v>9</v>
      </c>
      <c r="B12" s="6" t="s">
        <v>434</v>
      </c>
      <c r="C12" s="6" t="n">
        <v>1</v>
      </c>
      <c r="D12" s="6" t="s">
        <v>215</v>
      </c>
      <c r="E12" s="30" t="n">
        <v>150000</v>
      </c>
      <c r="F12" s="7" t="n">
        <f aca="false">C12*E12</f>
        <v>150000</v>
      </c>
      <c r="G12" s="6" t="s">
        <v>435</v>
      </c>
    </row>
    <row r="13" customFormat="false" ht="16.4" hidden="false" customHeight="false" outlineLevel="0" collapsed="false">
      <c r="A13" s="6" t="n">
        <v>10</v>
      </c>
      <c r="B13" s="6" t="s">
        <v>436</v>
      </c>
      <c r="C13" s="6" t="n">
        <f aca="false">Персонал!F18</f>
        <v>16.5</v>
      </c>
      <c r="D13" s="6" t="s">
        <v>420</v>
      </c>
      <c r="E13" s="30" t="n">
        <v>3000</v>
      </c>
      <c r="F13" s="7" t="n">
        <f aca="false">C13*E13</f>
        <v>49500</v>
      </c>
      <c r="G13" s="6" t="s">
        <v>181</v>
      </c>
    </row>
    <row r="14" customFormat="false" ht="31.3" hidden="false" customHeight="false" outlineLevel="0" collapsed="false">
      <c r="A14" s="6" t="n">
        <v>11</v>
      </c>
      <c r="B14" s="6" t="s">
        <v>437</v>
      </c>
      <c r="C14" s="6" t="n">
        <v>12</v>
      </c>
      <c r="D14" s="6" t="s">
        <v>438</v>
      </c>
      <c r="E14" s="30" t="n">
        <v>40000</v>
      </c>
      <c r="F14" s="7" t="n">
        <f aca="false">C14*E14</f>
        <v>480000</v>
      </c>
      <c r="G14" s="6" t="s">
        <v>181</v>
      </c>
    </row>
    <row r="15" customFormat="false" ht="31.3" hidden="false" customHeight="false" outlineLevel="0" collapsed="false">
      <c r="A15" s="6" t="n">
        <v>12</v>
      </c>
      <c r="B15" s="6" t="s">
        <v>439</v>
      </c>
      <c r="C15" s="6" t="n">
        <v>12</v>
      </c>
      <c r="D15" s="6" t="s">
        <v>438</v>
      </c>
      <c r="E15" s="30" t="n">
        <v>15000</v>
      </c>
      <c r="F15" s="7" t="n">
        <f aca="false">C15*E15</f>
        <v>180000</v>
      </c>
      <c r="G15" s="6" t="s">
        <v>440</v>
      </c>
    </row>
    <row r="16" customFormat="false" ht="31.3" hidden="false" customHeight="false" outlineLevel="0" collapsed="false">
      <c r="A16" s="6" t="n">
        <v>13</v>
      </c>
      <c r="B16" s="6" t="s">
        <v>441</v>
      </c>
      <c r="C16" s="6" t="n">
        <v>1</v>
      </c>
      <c r="D16" s="6" t="s">
        <v>215</v>
      </c>
      <c r="E16" s="30" t="n">
        <v>150000</v>
      </c>
      <c r="F16" s="7" t="n">
        <f aca="false">C16*E16</f>
        <v>150000</v>
      </c>
      <c r="G16" s="6" t="s">
        <v>442</v>
      </c>
    </row>
    <row r="17" customFormat="false" ht="31.3" hidden="false" customHeight="false" outlineLevel="0" collapsed="false">
      <c r="A17" s="6" t="n">
        <v>14</v>
      </c>
      <c r="B17" s="6" t="s">
        <v>443</v>
      </c>
      <c r="C17" s="6" t="n">
        <v>160</v>
      </c>
      <c r="D17" s="6" t="s">
        <v>444</v>
      </c>
      <c r="E17" s="30" t="n">
        <v>850</v>
      </c>
      <c r="F17" s="7" t="n">
        <f aca="false">C17*E17</f>
        <v>136000</v>
      </c>
      <c r="G17" s="6" t="s">
        <v>445</v>
      </c>
    </row>
    <row r="18" customFormat="false" ht="16.4" hidden="false" customHeight="false" outlineLevel="0" collapsed="false">
      <c r="A18" s="6" t="n">
        <v>15</v>
      </c>
      <c r="B18" s="6" t="s">
        <v>446</v>
      </c>
      <c r="C18" s="6" t="n">
        <v>10</v>
      </c>
      <c r="D18" s="6" t="s">
        <v>447</v>
      </c>
      <c r="E18" s="30" t="n">
        <v>12000</v>
      </c>
      <c r="F18" s="7" t="n">
        <f aca="false">C18*E18</f>
        <v>120000</v>
      </c>
      <c r="G18" s="6" t="s">
        <v>181</v>
      </c>
    </row>
    <row r="19" customFormat="false" ht="16.4" hidden="false" customHeight="false" outlineLevel="0" collapsed="false">
      <c r="A19" s="6" t="n">
        <v>16</v>
      </c>
      <c r="B19" s="6" t="s">
        <v>448</v>
      </c>
      <c r="C19" s="6" t="n">
        <v>8</v>
      </c>
      <c r="D19" s="6" t="s">
        <v>224</v>
      </c>
      <c r="E19" s="30" t="n">
        <v>3000</v>
      </c>
      <c r="F19" s="7" t="n">
        <f aca="false">C19*E19</f>
        <v>24000</v>
      </c>
      <c r="G19" s="6" t="s">
        <v>181</v>
      </c>
    </row>
    <row r="20" customFormat="false" ht="16.4" hidden="false" customHeight="false" outlineLevel="0" collapsed="false">
      <c r="A20" s="6"/>
      <c r="B20" s="5" t="s">
        <v>449</v>
      </c>
      <c r="C20" s="6"/>
      <c r="D20" s="6"/>
      <c r="E20" s="6"/>
      <c r="F20" s="31" t="n">
        <f aca="false">SUM(F4:F19)</f>
        <v>2161000</v>
      </c>
      <c r="G20" s="6"/>
    </row>
    <row r="21" customFormat="false" ht="16.4" hidden="false" customHeight="false" outlineLevel="0" collapsed="false">
      <c r="A21" s="6" t="n">
        <v>17</v>
      </c>
      <c r="B21" s="6" t="s">
        <v>450</v>
      </c>
      <c r="C21" s="7" t="n">
        <f aca="false">'Паспорт тендера'!B8*0.1</f>
        <v>2443676.712</v>
      </c>
      <c r="D21" s="6" t="s">
        <v>451</v>
      </c>
      <c r="E21" s="8" t="n">
        <f aca="false">'Цены (источники)'!E13</f>
        <v>0.035</v>
      </c>
      <c r="F21" s="7" t="n">
        <f aca="false">C21*E21*13/12</f>
        <v>92656.07533</v>
      </c>
      <c r="G21" s="6" t="s">
        <v>452</v>
      </c>
    </row>
    <row r="22" customFormat="false" ht="31.3" hidden="false" customHeight="false" outlineLevel="0" collapsed="false">
      <c r="A22" s="6" t="n">
        <v>18</v>
      </c>
      <c r="B22" s="6" t="s">
        <v>453</v>
      </c>
      <c r="C22" s="6" t="n">
        <v>1.75</v>
      </c>
      <c r="D22" s="6" t="s">
        <v>454</v>
      </c>
      <c r="E22" s="8" t="n">
        <v>0.02</v>
      </c>
      <c r="F22" s="7" t="n">
        <f aca="false">Свод!C12/12*C22*E22*12</f>
        <v>1203873.07127213</v>
      </c>
      <c r="G22" s="6" t="s">
        <v>455</v>
      </c>
    </row>
    <row r="23" customFormat="false" ht="16.4" hidden="false" customHeight="false" outlineLevel="0" collapsed="false">
      <c r="A23" s="6" t="n">
        <v>19</v>
      </c>
      <c r="B23" s="6" t="s">
        <v>456</v>
      </c>
      <c r="C23" s="7" t="n">
        <f aca="false">Свод!C12</f>
        <v>34396373.464918</v>
      </c>
      <c r="D23" s="6" t="s">
        <v>451</v>
      </c>
      <c r="E23" s="8" t="n">
        <v>0.01</v>
      </c>
      <c r="F23" s="7" t="n">
        <f aca="false">C23*E23</f>
        <v>343963.73464918</v>
      </c>
      <c r="G23" s="6" t="s">
        <v>457</v>
      </c>
    </row>
    <row r="24" customFormat="false" ht="31.3" hidden="false" customHeight="false" outlineLevel="0" collapsed="false">
      <c r="A24" s="6" t="n">
        <v>20</v>
      </c>
      <c r="B24" s="6" t="s">
        <v>458</v>
      </c>
      <c r="C24" s="7" t="n">
        <f aca="false">Свод!C12</f>
        <v>34396373.464918</v>
      </c>
      <c r="D24" s="6" t="s">
        <v>451</v>
      </c>
      <c r="E24" s="8" t="n">
        <v>0.03</v>
      </c>
      <c r="F24" s="7" t="n">
        <f aca="false">C24*E24</f>
        <v>1031891.20394754</v>
      </c>
      <c r="G24" s="6" t="s">
        <v>459</v>
      </c>
    </row>
    <row r="25" customFormat="false" ht="16.4" hidden="false" customHeight="false" outlineLevel="0" collapsed="false">
      <c r="A25" s="6"/>
      <c r="B25" s="5" t="s">
        <v>460</v>
      </c>
      <c r="C25" s="6"/>
      <c r="D25" s="6"/>
      <c r="E25" s="6"/>
      <c r="F25" s="10" t="n">
        <f aca="false">F20+SUM(F21:F24)</f>
        <v>4833384.08519885</v>
      </c>
      <c r="G2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5" min="5" style="0" width="50"/>
  </cols>
  <sheetData>
    <row r="1" customFormat="false" ht="16.15" hidden="false" customHeight="false" outlineLevel="0" collapsed="false">
      <c r="A1" s="1" t="s">
        <v>461</v>
      </c>
    </row>
    <row r="3" customFormat="false" ht="45" hidden="false" customHeight="true" outlineLevel="0" collapsed="false">
      <c r="A3" s="14" t="s">
        <v>106</v>
      </c>
      <c r="B3" s="14" t="s">
        <v>462</v>
      </c>
      <c r="C3" s="14" t="s">
        <v>463</v>
      </c>
      <c r="D3" s="14" t="s">
        <v>464</v>
      </c>
      <c r="E3" s="14" t="s">
        <v>465</v>
      </c>
    </row>
    <row r="4" customFormat="false" ht="91" hidden="false" customHeight="false" outlineLevel="0" collapsed="false">
      <c r="A4" s="6" t="n">
        <v>1</v>
      </c>
      <c r="B4" s="6" t="s">
        <v>466</v>
      </c>
      <c r="C4" s="26" t="s">
        <v>467</v>
      </c>
      <c r="D4" s="6" t="s">
        <v>178</v>
      </c>
      <c r="E4" s="6" t="s">
        <v>468</v>
      </c>
    </row>
    <row r="5" customFormat="false" ht="46.25" hidden="false" customHeight="false" outlineLevel="0" collapsed="false">
      <c r="A5" s="6" t="n">
        <v>2</v>
      </c>
      <c r="B5" s="6" t="s">
        <v>469</v>
      </c>
      <c r="C5" s="7" t="n">
        <f aca="false">Свод!E38-Свод!E37</f>
        <v>6442800</v>
      </c>
      <c r="D5" s="6" t="s">
        <v>470</v>
      </c>
      <c r="E5" s="6" t="s">
        <v>471</v>
      </c>
    </row>
    <row r="6" customFormat="false" ht="46.25" hidden="false" customHeight="false" outlineLevel="0" collapsed="false">
      <c r="A6" s="6" t="n">
        <v>3</v>
      </c>
      <c r="B6" s="6" t="s">
        <v>472</v>
      </c>
      <c r="C6" s="7" t="n">
        <f aca="false">Материалы!J5*0.3</f>
        <v>614754.098360656</v>
      </c>
      <c r="D6" s="6" t="s">
        <v>473</v>
      </c>
      <c r="E6" s="6" t="s">
        <v>474</v>
      </c>
    </row>
    <row r="7" customFormat="false" ht="31.3" hidden="false" customHeight="false" outlineLevel="0" collapsed="false">
      <c r="A7" s="6" t="n">
        <v>4</v>
      </c>
      <c r="B7" s="6" t="s">
        <v>475</v>
      </c>
      <c r="C7" s="7" t="n">
        <f aca="false">6*600000/1.22</f>
        <v>2950819.67213115</v>
      </c>
      <c r="D7" s="6" t="s">
        <v>476</v>
      </c>
      <c r="E7" s="6" t="s">
        <v>477</v>
      </c>
    </row>
    <row r="8" customFormat="false" ht="31.3" hidden="false" customHeight="false" outlineLevel="0" collapsed="false">
      <c r="A8" s="6" t="n">
        <v>5</v>
      </c>
      <c r="B8" s="6" t="s">
        <v>478</v>
      </c>
      <c r="C8" s="7" t="n">
        <f aca="false">Работы!N33*0.3</f>
        <v>313194</v>
      </c>
      <c r="D8" s="6" t="s">
        <v>479</v>
      </c>
      <c r="E8" s="6" t="s">
        <v>480</v>
      </c>
    </row>
    <row r="9" customFormat="false" ht="46.25" hidden="false" customHeight="false" outlineLevel="0" collapsed="false">
      <c r="A9" s="6" t="n">
        <v>6</v>
      </c>
      <c r="B9" s="6" t="s">
        <v>481</v>
      </c>
      <c r="C9" s="7" t="n">
        <f aca="false">Свод!C18*0.3*0.05</f>
        <v>300452.054754098</v>
      </c>
      <c r="D9" s="6" t="s">
        <v>178</v>
      </c>
      <c r="E9" s="6" t="s">
        <v>482</v>
      </c>
    </row>
    <row r="10" customFormat="false" ht="31.3" hidden="false" customHeight="false" outlineLevel="0" collapsed="false">
      <c r="A10" s="6" t="n">
        <v>7</v>
      </c>
      <c r="B10" s="6" t="s">
        <v>483</v>
      </c>
      <c r="C10" s="7" t="n">
        <f aca="false">Косвенные!F8+Косвенные!F12</f>
        <v>210000</v>
      </c>
      <c r="D10" s="6" t="s">
        <v>484</v>
      </c>
      <c r="E10" s="6" t="s">
        <v>485</v>
      </c>
    </row>
    <row r="11" customFormat="false" ht="31.3" hidden="false" customHeight="false" outlineLevel="0" collapsed="false">
      <c r="A11" s="6" t="n">
        <v>8</v>
      </c>
      <c r="B11" s="6" t="s">
        <v>486</v>
      </c>
      <c r="C11" s="7" t="n">
        <f aca="false">Свод!C18*0.05</f>
        <v>1001506.84918033</v>
      </c>
      <c r="D11" s="6" t="s">
        <v>178</v>
      </c>
      <c r="E11" s="6" t="s">
        <v>487</v>
      </c>
    </row>
    <row r="12" customFormat="false" ht="31.3" hidden="false" customHeight="false" outlineLevel="0" collapsed="false">
      <c r="A12" s="6" t="n">
        <v>9</v>
      </c>
      <c r="B12" s="6" t="s">
        <v>488</v>
      </c>
      <c r="C12" s="7" t="n">
        <v>0</v>
      </c>
      <c r="D12" s="6" t="s">
        <v>489</v>
      </c>
      <c r="E12" s="6" t="s">
        <v>490</v>
      </c>
    </row>
    <row r="13" customFormat="false" ht="31.3" hidden="false" customHeight="false" outlineLevel="0" collapsed="false">
      <c r="A13" s="6" t="n">
        <v>10</v>
      </c>
      <c r="B13" s="6" t="s">
        <v>491</v>
      </c>
      <c r="C13" s="7" t="n">
        <f aca="false">Персонал!D14*Персонал!C3*Персонал!F3*0.5</f>
        <v>1575000</v>
      </c>
      <c r="D13" s="6" t="s">
        <v>492</v>
      </c>
      <c r="E13" s="6" t="s">
        <v>493</v>
      </c>
    </row>
    <row r="14" customFormat="false" ht="31.3" hidden="false" customHeight="false" outlineLevel="0" collapsed="false">
      <c r="A14" s="6" t="n">
        <v>11</v>
      </c>
      <c r="B14" s="6" t="s">
        <v>494</v>
      </c>
      <c r="C14" s="7" t="n">
        <v>0</v>
      </c>
      <c r="D14" s="6" t="s">
        <v>495</v>
      </c>
      <c r="E14" s="6" t="s">
        <v>496</v>
      </c>
    </row>
    <row r="15" customFormat="false" ht="46.25" hidden="false" customHeight="false" outlineLevel="0" collapsed="false">
      <c r="A15" s="6" t="n">
        <v>12</v>
      </c>
      <c r="B15" s="6" t="s">
        <v>497</v>
      </c>
      <c r="C15" s="7" t="n">
        <v>0</v>
      </c>
      <c r="D15" s="6" t="s">
        <v>178</v>
      </c>
      <c r="E15" s="6" t="s">
        <v>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6" min="5" style="0" width="16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55"/>
  </cols>
  <sheetData>
    <row r="1" customFormat="false" ht="16.15" hidden="false" customHeight="false" outlineLevel="0" collapsed="false">
      <c r="A1" s="1" t="s">
        <v>499</v>
      </c>
    </row>
    <row r="3" customFormat="false" ht="45" hidden="false" customHeight="true" outlineLevel="0" collapsed="false">
      <c r="A3" s="14" t="s">
        <v>106</v>
      </c>
      <c r="B3" s="14" t="s">
        <v>187</v>
      </c>
      <c r="C3" s="14" t="s">
        <v>190</v>
      </c>
      <c r="D3" s="14" t="s">
        <v>500</v>
      </c>
      <c r="E3" s="14" t="s">
        <v>501</v>
      </c>
      <c r="F3" s="14" t="s">
        <v>502</v>
      </c>
      <c r="G3" s="14" t="s">
        <v>503</v>
      </c>
      <c r="H3" s="14" t="s">
        <v>504</v>
      </c>
      <c r="I3" s="14" t="s">
        <v>356</v>
      </c>
    </row>
    <row r="4" customFormat="false" ht="31.3" hidden="false" customHeight="false" outlineLevel="0" collapsed="false">
      <c r="A4" s="6" t="n">
        <v>1</v>
      </c>
      <c r="B4" s="6" t="s">
        <v>505</v>
      </c>
      <c r="C4" s="6" t="s">
        <v>205</v>
      </c>
      <c r="D4" s="6" t="s">
        <v>506</v>
      </c>
      <c r="E4" s="7" t="n">
        <v>3000</v>
      </c>
      <c r="F4" s="7" t="n">
        <f aca="false">G4*H4</f>
        <v>1800</v>
      </c>
      <c r="G4" s="6" t="n">
        <v>1.5</v>
      </c>
      <c r="H4" s="6" t="n">
        <v>1200</v>
      </c>
      <c r="I4" s="6" t="s">
        <v>507</v>
      </c>
    </row>
    <row r="5" customFormat="false" ht="46.25" hidden="false" customHeight="false" outlineLevel="0" collapsed="false">
      <c r="A5" s="6" t="n">
        <v>2</v>
      </c>
      <c r="B5" s="6" t="s">
        <v>508</v>
      </c>
      <c r="C5" s="6" t="s">
        <v>205</v>
      </c>
      <c r="D5" s="6" t="s">
        <v>509</v>
      </c>
      <c r="E5" s="7" t="n">
        <v>15000</v>
      </c>
      <c r="F5" s="7" t="n">
        <f aca="false">G5*H5</f>
        <v>5100</v>
      </c>
      <c r="G5" s="6" t="n">
        <v>6</v>
      </c>
      <c r="H5" s="6" t="n">
        <v>850</v>
      </c>
      <c r="I5" s="6" t="s">
        <v>510</v>
      </c>
    </row>
    <row r="6" customFormat="false" ht="31.3" hidden="false" customHeight="false" outlineLevel="0" collapsed="false">
      <c r="A6" s="6" t="n">
        <v>3</v>
      </c>
      <c r="B6" s="6" t="s">
        <v>511</v>
      </c>
      <c r="C6" s="6" t="s">
        <v>291</v>
      </c>
      <c r="D6" s="6" t="s">
        <v>506</v>
      </c>
      <c r="E6" s="7" t="n">
        <v>6000</v>
      </c>
      <c r="F6" s="7" t="s">
        <v>178</v>
      </c>
      <c r="G6" s="6" t="n">
        <v>0</v>
      </c>
      <c r="H6" s="6" t="n">
        <v>0</v>
      </c>
      <c r="I6" s="6" t="s">
        <v>512</v>
      </c>
    </row>
    <row r="7" customFormat="false" ht="31.3" hidden="false" customHeight="false" outlineLevel="0" collapsed="false">
      <c r="A7" s="6" t="n">
        <v>4</v>
      </c>
      <c r="B7" s="6" t="s">
        <v>513</v>
      </c>
      <c r="C7" s="6" t="s">
        <v>295</v>
      </c>
      <c r="D7" s="6" t="s">
        <v>506</v>
      </c>
      <c r="E7" s="7" t="n">
        <v>25000</v>
      </c>
      <c r="F7" s="7" t="n">
        <f aca="false">G7*H7</f>
        <v>9600</v>
      </c>
      <c r="G7" s="6" t="n">
        <v>8</v>
      </c>
      <c r="H7" s="6" t="n">
        <v>1200</v>
      </c>
      <c r="I7" s="6" t="s">
        <v>514</v>
      </c>
    </row>
    <row r="8" customFormat="false" ht="31.3" hidden="false" customHeight="false" outlineLevel="0" collapsed="false">
      <c r="A8" s="6" t="n">
        <v>5</v>
      </c>
      <c r="B8" s="6" t="s">
        <v>515</v>
      </c>
      <c r="C8" s="6" t="s">
        <v>516</v>
      </c>
      <c r="D8" s="6" t="s">
        <v>506</v>
      </c>
      <c r="E8" s="7" t="s">
        <v>517</v>
      </c>
      <c r="F8" s="7" t="n">
        <f aca="false">G8*H8</f>
        <v>19200</v>
      </c>
      <c r="G8" s="6" t="n">
        <v>16</v>
      </c>
      <c r="H8" s="6" t="n">
        <v>1200</v>
      </c>
      <c r="I8" s="6" t="s">
        <v>518</v>
      </c>
    </row>
    <row r="9" customFormat="false" ht="31.3" hidden="false" customHeight="false" outlineLevel="0" collapsed="false">
      <c r="A9" s="6" t="n">
        <v>6</v>
      </c>
      <c r="B9" s="6" t="s">
        <v>519</v>
      </c>
      <c r="C9" s="6" t="s">
        <v>520</v>
      </c>
      <c r="D9" s="6" t="s">
        <v>521</v>
      </c>
      <c r="E9" s="7" t="s">
        <v>517</v>
      </c>
      <c r="F9" s="7" t="s">
        <v>178</v>
      </c>
      <c r="G9" s="6" t="n">
        <v>730</v>
      </c>
      <c r="H9" s="6"/>
      <c r="I9" s="6" t="s">
        <v>522</v>
      </c>
    </row>
    <row r="10" customFormat="false" ht="31.3" hidden="false" customHeight="false" outlineLevel="0" collapsed="false">
      <c r="A10" s="6" t="n">
        <v>7</v>
      </c>
      <c r="B10" s="6" t="s">
        <v>523</v>
      </c>
      <c r="C10" s="6" t="s">
        <v>524</v>
      </c>
      <c r="D10" s="6" t="s">
        <v>506</v>
      </c>
      <c r="E10" s="7" t="s">
        <v>517</v>
      </c>
      <c r="F10" s="7" t="n">
        <f aca="false">G10*H10</f>
        <v>1800</v>
      </c>
      <c r="G10" s="6" t="n">
        <v>1.5</v>
      </c>
      <c r="H10" s="6" t="n">
        <v>1200</v>
      </c>
      <c r="I10" s="6" t="s">
        <v>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22"/>
    <col collapsed="false" customWidth="true" hidden="false" outlineLevel="0" max="15" min="4" style="0" width="13"/>
  </cols>
  <sheetData>
    <row r="1" customFormat="false" ht="16.15" hidden="false" customHeight="false" outlineLevel="0" collapsed="false">
      <c r="A1" s="1" t="s">
        <v>526</v>
      </c>
    </row>
    <row r="3" customFormat="false" ht="45" hidden="false" customHeight="true" outlineLevel="0" collapsed="false">
      <c r="A3" s="14" t="s">
        <v>527</v>
      </c>
      <c r="B3" s="14" t="s">
        <v>528</v>
      </c>
      <c r="C3" s="14" t="s">
        <v>529</v>
      </c>
    </row>
    <row r="4" customFormat="false" ht="31.3" hidden="false" customHeight="false" outlineLevel="0" collapsed="false">
      <c r="A4" s="6" t="s">
        <v>530</v>
      </c>
      <c r="B4" s="6" t="s">
        <v>531</v>
      </c>
      <c r="C4" s="6" t="s">
        <v>532</v>
      </c>
    </row>
    <row r="5" customFormat="false" ht="31.3" hidden="false" customHeight="false" outlineLevel="0" collapsed="false">
      <c r="A5" s="6" t="s">
        <v>530</v>
      </c>
      <c r="B5" s="6" t="s">
        <v>533</v>
      </c>
      <c r="C5" s="6" t="s">
        <v>534</v>
      </c>
    </row>
    <row r="6" customFormat="false" ht="31.3" hidden="false" customHeight="false" outlineLevel="0" collapsed="false">
      <c r="A6" s="6" t="s">
        <v>535</v>
      </c>
      <c r="B6" s="6" t="s">
        <v>536</v>
      </c>
      <c r="C6" s="6" t="s">
        <v>537</v>
      </c>
    </row>
    <row r="7" customFormat="false" ht="31.3" hidden="false" customHeight="false" outlineLevel="0" collapsed="false">
      <c r="A7" s="6" t="s">
        <v>538</v>
      </c>
      <c r="B7" s="6" t="s">
        <v>539</v>
      </c>
      <c r="C7" s="6" t="s">
        <v>540</v>
      </c>
    </row>
    <row r="8" customFormat="false" ht="31.3" hidden="false" customHeight="false" outlineLevel="0" collapsed="false">
      <c r="A8" s="6" t="s">
        <v>541</v>
      </c>
      <c r="B8" s="6" t="s">
        <v>542</v>
      </c>
      <c r="C8" s="6" t="s">
        <v>543</v>
      </c>
    </row>
    <row r="9" customFormat="false" ht="31.3" hidden="false" customHeight="false" outlineLevel="0" collapsed="false">
      <c r="A9" s="6" t="s">
        <v>544</v>
      </c>
      <c r="B9" s="6" t="s">
        <v>545</v>
      </c>
      <c r="C9" s="6" t="s">
        <v>546</v>
      </c>
    </row>
    <row r="10" customFormat="false" ht="16.4" hidden="false" customHeight="false" outlineLevel="0" collapsed="false">
      <c r="A10" s="6" t="s">
        <v>547</v>
      </c>
      <c r="B10" s="6" t="s">
        <v>548</v>
      </c>
      <c r="C10" s="6" t="s">
        <v>549</v>
      </c>
    </row>
    <row r="11" customFormat="false" ht="16.4" hidden="false" customHeight="false" outlineLevel="0" collapsed="false">
      <c r="A11" s="6" t="s">
        <v>550</v>
      </c>
      <c r="B11" s="6" t="s">
        <v>551</v>
      </c>
      <c r="C11" s="6" t="s">
        <v>537</v>
      </c>
    </row>
    <row r="12" customFormat="false" ht="31.3" hidden="false" customHeight="false" outlineLevel="0" collapsed="false">
      <c r="A12" s="6" t="s">
        <v>552</v>
      </c>
      <c r="B12" s="6" t="s">
        <v>553</v>
      </c>
      <c r="C12" s="6" t="s">
        <v>554</v>
      </c>
    </row>
    <row r="15" customFormat="false" ht="15" hidden="false" customHeight="false" outlineLevel="0" collapsed="false">
      <c r="A15" s="11" t="s">
        <v>555</v>
      </c>
    </row>
    <row r="16" customFormat="false" ht="16.4" hidden="false" customHeight="false" outlineLevel="0" collapsed="false">
      <c r="A16" s="5" t="s">
        <v>415</v>
      </c>
      <c r="B16" s="14" t="s">
        <v>556</v>
      </c>
      <c r="C16" s="14" t="s">
        <v>557</v>
      </c>
      <c r="D16" s="14" t="s">
        <v>558</v>
      </c>
      <c r="E16" s="14" t="s">
        <v>559</v>
      </c>
      <c r="F16" s="14" t="s">
        <v>560</v>
      </c>
      <c r="G16" s="14" t="s">
        <v>561</v>
      </c>
      <c r="H16" s="14" t="s">
        <v>562</v>
      </c>
      <c r="I16" s="14" t="s">
        <v>563</v>
      </c>
      <c r="J16" s="14" t="s">
        <v>564</v>
      </c>
      <c r="K16" s="14" t="s">
        <v>565</v>
      </c>
      <c r="L16" s="14" t="s">
        <v>566</v>
      </c>
      <c r="M16" s="14" t="s">
        <v>567</v>
      </c>
      <c r="N16" s="14" t="s">
        <v>568</v>
      </c>
      <c r="O16" s="14" t="s">
        <v>569</v>
      </c>
    </row>
    <row r="17" customFormat="false" ht="46.25" hidden="false" customHeight="false" outlineLevel="0" collapsed="false">
      <c r="A17" s="6" t="s">
        <v>570</v>
      </c>
      <c r="B17" s="7" t="n">
        <v>0</v>
      </c>
      <c r="C17" s="7" t="n">
        <v>0</v>
      </c>
      <c r="D17" s="7" t="n">
        <v>0</v>
      </c>
      <c r="E17" s="7" t="n">
        <f aca="false">Свод!$C$18/12</f>
        <v>1669178.08196721</v>
      </c>
      <c r="F17" s="7" t="n">
        <f aca="false">Свод!$C$18/12</f>
        <v>1669178.08196721</v>
      </c>
      <c r="G17" s="7" t="n">
        <f aca="false">Свод!$C$18/12</f>
        <v>1669178.08196721</v>
      </c>
      <c r="H17" s="7" t="n">
        <f aca="false">Свод!$C$18/12</f>
        <v>1669178.08196721</v>
      </c>
      <c r="I17" s="7" t="n">
        <f aca="false">Свод!$C$18/12</f>
        <v>1669178.08196721</v>
      </c>
      <c r="J17" s="7" t="n">
        <f aca="false">Свод!$C$18/12</f>
        <v>1669178.08196721</v>
      </c>
      <c r="K17" s="7" t="n">
        <f aca="false">Свод!$C$18/12</f>
        <v>1669178.08196721</v>
      </c>
      <c r="L17" s="7" t="n">
        <f aca="false">Свод!$C$18/12</f>
        <v>1669178.08196721</v>
      </c>
      <c r="M17" s="7" t="n">
        <f aca="false">Свод!$C$18/12</f>
        <v>1669178.08196721</v>
      </c>
      <c r="N17" s="7" t="n">
        <f aca="false">Свод!$C$18/12*2</f>
        <v>3338356.16393443</v>
      </c>
      <c r="O17" s="7" t="n">
        <f aca="false">Свод!$C$18/12</f>
        <v>1669178.08196721</v>
      </c>
    </row>
    <row r="18" customFormat="false" ht="31.3" hidden="false" customHeight="false" outlineLevel="0" collapsed="false">
      <c r="A18" s="6" t="s">
        <v>571</v>
      </c>
      <c r="B18" s="7" t="n">
        <f aca="false">(Косвенные!F21+Материалы!J8+Материалы!J9+Косвенные!F4+Косвенные!F5+SUM(Косвенные!F8:F13))</f>
        <v>1145989.61237918</v>
      </c>
      <c r="C18" s="7" t="n">
        <f aca="false">(Свод!$C$14-(Косвенные!F21+Материалы!J8+Материалы!J9+Косвенные!F4+Косвенные!F5+SUM(Косвенные!F8:F13)))/12</f>
        <v>2993563.99481148</v>
      </c>
      <c r="D18" s="7" t="n">
        <f aca="false">(Свод!$C$14-(Косвенные!F21+Материалы!J8+Материалы!J9+Косвенные!F4+Косвенные!F5+SUM(Косвенные!F8:F13)))/12</f>
        <v>2993563.99481148</v>
      </c>
      <c r="E18" s="7" t="n">
        <f aca="false">(Свод!$C$14-(Косвенные!F21+Материалы!J8+Материалы!J9+Косвенные!F4+Косвенные!F5+SUM(Косвенные!F8:F13)))/12</f>
        <v>2993563.99481148</v>
      </c>
      <c r="F18" s="7" t="n">
        <f aca="false">(Свод!$C$14-(Косвенные!F21+Материалы!J8+Материалы!J9+Косвенные!F4+Косвенные!F5+SUM(Косвенные!F8:F13)))/12</f>
        <v>2993563.99481148</v>
      </c>
      <c r="G18" s="7" t="n">
        <f aca="false">(Свод!$C$14-(Косвенные!F21+Материалы!J8+Материалы!J9+Косвенные!F4+Косвенные!F5+SUM(Косвенные!F8:F13)))/12</f>
        <v>2993563.99481148</v>
      </c>
      <c r="H18" s="7" t="n">
        <f aca="false">(Свод!$C$14-(Косвенные!F21+Материалы!J8+Материалы!J9+Косвенные!F4+Косвенные!F5+SUM(Косвенные!F8:F13)))/12</f>
        <v>2993563.99481148</v>
      </c>
      <c r="I18" s="7" t="n">
        <f aca="false">(Свод!$C$14-(Косвенные!F21+Материалы!J8+Материалы!J9+Косвенные!F4+Косвенные!F5+SUM(Косвенные!F8:F13)))/12</f>
        <v>2993563.99481148</v>
      </c>
      <c r="J18" s="7" t="n">
        <f aca="false">(Свод!$C$14-(Косвенные!F21+Материалы!J8+Материалы!J9+Косвенные!F4+Косвенные!F5+SUM(Косвенные!F8:F13)))/12</f>
        <v>2993563.99481148</v>
      </c>
      <c r="K18" s="7" t="n">
        <f aca="false">(Свод!$C$14-(Косвенные!F21+Материалы!J8+Материалы!J9+Косвенные!F4+Косвенные!F5+SUM(Косвенные!F8:F13)))/12</f>
        <v>2993563.99481148</v>
      </c>
      <c r="L18" s="7" t="n">
        <f aca="false">(Свод!$C$14-(Косвенные!F21+Материалы!J8+Материалы!J9+Косвенные!F4+Косвенные!F5+SUM(Косвенные!F8:F13)))/12</f>
        <v>2993563.99481148</v>
      </c>
      <c r="M18" s="7" t="n">
        <f aca="false">(Свод!$C$14-(Косвенные!F21+Материалы!J8+Материалы!J9+Косвенные!F4+Косвенные!F5+SUM(Косвенные!F8:F13)))/12</f>
        <v>2993563.99481148</v>
      </c>
      <c r="N18" s="7" t="n">
        <f aca="false">(Свод!$C$14-(Косвенные!F21+Материалы!J8+Материалы!J9+Косвенные!F4+Косвенные!F5+SUM(Косвенные!F8:F13)))/12</f>
        <v>2993563.99481148</v>
      </c>
      <c r="O18" s="7" t="n">
        <v>0</v>
      </c>
    </row>
    <row r="19" customFormat="false" ht="16.4" hidden="false" customHeight="false" outlineLevel="0" collapsed="false">
      <c r="A19" s="6" t="s">
        <v>572</v>
      </c>
      <c r="B19" s="7" t="n">
        <f aca="false">B17-B18</f>
        <v>-1145989.61237918</v>
      </c>
      <c r="C19" s="7" t="n">
        <f aca="false">C17-C18</f>
        <v>-2993563.99481148</v>
      </c>
      <c r="D19" s="7" t="n">
        <f aca="false">D17-D18</f>
        <v>-2993563.99481148</v>
      </c>
      <c r="E19" s="7" t="n">
        <f aca="false">E17-E18</f>
        <v>-1324385.91284426</v>
      </c>
      <c r="F19" s="7" t="n">
        <f aca="false">F17-F18</f>
        <v>-1324385.91284426</v>
      </c>
      <c r="G19" s="7" t="n">
        <f aca="false">G17-G18</f>
        <v>-1324385.91284426</v>
      </c>
      <c r="H19" s="7" t="n">
        <f aca="false">H17-H18</f>
        <v>-1324385.91284426</v>
      </c>
      <c r="I19" s="7" t="n">
        <f aca="false">I17-I18</f>
        <v>-1324385.91284426</v>
      </c>
      <c r="J19" s="7" t="n">
        <f aca="false">J17-J18</f>
        <v>-1324385.91284426</v>
      </c>
      <c r="K19" s="7" t="n">
        <f aca="false">K17-K18</f>
        <v>-1324385.91284426</v>
      </c>
      <c r="L19" s="7" t="n">
        <f aca="false">L17-L18</f>
        <v>-1324385.91284426</v>
      </c>
      <c r="M19" s="7" t="n">
        <f aca="false">M17-M18</f>
        <v>-1324385.91284426</v>
      </c>
      <c r="N19" s="7" t="n">
        <f aca="false">N17-N18</f>
        <v>344792.16912295</v>
      </c>
      <c r="O19" s="7" t="n">
        <f aca="false">O17-O18</f>
        <v>1669178.08196721</v>
      </c>
    </row>
    <row r="20" customFormat="false" ht="16.4" hidden="false" customHeight="false" outlineLevel="0" collapsed="false">
      <c r="A20" s="6" t="s">
        <v>573</v>
      </c>
      <c r="B20" s="7" t="n">
        <f aca="false">B19</f>
        <v>-1145989.61237918</v>
      </c>
      <c r="C20" s="7" t="n">
        <f aca="false">B20+C19</f>
        <v>-4139553.60719066</v>
      </c>
      <c r="D20" s="7" t="n">
        <f aca="false">C20+D19</f>
        <v>-7133117.60200213</v>
      </c>
      <c r="E20" s="7" t="n">
        <f aca="false">D20+E19</f>
        <v>-8457503.51484639</v>
      </c>
      <c r="F20" s="7" t="n">
        <f aca="false">E20+F19</f>
        <v>-9781889.42769066</v>
      </c>
      <c r="G20" s="7" t="n">
        <f aca="false">F20+G19</f>
        <v>-11106275.3405349</v>
      </c>
      <c r="H20" s="7" t="n">
        <f aca="false">G20+H19</f>
        <v>-12430661.2533792</v>
      </c>
      <c r="I20" s="7" t="n">
        <f aca="false">H20+I19</f>
        <v>-13755047.1662234</v>
      </c>
      <c r="J20" s="7" t="n">
        <f aca="false">I20+J19</f>
        <v>-15079433.0790677</v>
      </c>
      <c r="K20" s="7" t="n">
        <f aca="false">J20+K19</f>
        <v>-16403818.991912</v>
      </c>
      <c r="L20" s="7" t="n">
        <f aca="false">K20+L19</f>
        <v>-17728204.9047562</v>
      </c>
      <c r="M20" s="7" t="n">
        <f aca="false">L20+M19</f>
        <v>-19052590.8176005</v>
      </c>
      <c r="N20" s="7" t="n">
        <f aca="false">M20+N19</f>
        <v>-18707798.6484775</v>
      </c>
      <c r="O20" s="7" t="n">
        <f aca="false">N20+O19</f>
        <v>-17038620.5665103</v>
      </c>
    </row>
    <row r="22" customFormat="false" ht="15" hidden="false" customHeight="false" outlineLevel="0" collapsed="false">
      <c r="A22" s="11" t="s">
        <v>574</v>
      </c>
      <c r="B22" s="32" t="n">
        <f aca="false">-MIN(B20:O20)</f>
        <v>19052590.8176005</v>
      </c>
    </row>
    <row r="23" customFormat="false" ht="30" hidden="false" customHeight="true" outlineLevel="0" collapsed="false">
      <c r="A23" s="20" t="s">
        <v>575</v>
      </c>
      <c r="B23" s="20"/>
      <c r="C23" s="20"/>
      <c r="D23" s="20"/>
      <c r="E23" s="20"/>
      <c r="F23" s="20"/>
      <c r="G23" s="20"/>
      <c r="H23" s="20"/>
      <c r="I23" s="20"/>
      <c r="J23" s="20"/>
    </row>
  </sheetData>
  <mergeCells count="1">
    <mergeCell ref="A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2026-10-28T10:19:04Z</dcterms:created>
  <dc:creator>openpyxl</dc:creator>
  <dc:description/>
  <dc:language>en-US</dc:language>
  <cp:lastModifiedBy/>
  <dcterms:modified xsi:type="dcterms:W3CDTF">2026-10-28T10:19:04Z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