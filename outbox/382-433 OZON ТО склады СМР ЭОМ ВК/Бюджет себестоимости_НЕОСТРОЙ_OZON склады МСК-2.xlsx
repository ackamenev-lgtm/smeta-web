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:r="http://schemas.openxmlformats.org/officeDocument/2006/relationships" xmlns="http://schemas.openxmlformats.org/spreadsheetml/2006/main">
  <workbookPr updateLinks="always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Расходники" sheetId="3" state="visible" r:id="rId3"/>
    <sheet xmlns:r="http://schemas.openxmlformats.org/officeDocument/2006/relationships" name="Работы" sheetId="4" state="visible" r:id="rId4"/>
    <sheet xmlns:r="http://schemas.openxmlformats.org/officeDocument/2006/relationships" name="Материалы" sheetId="5" state="visible" r:id="rId5"/>
    <sheet xmlns:r="http://schemas.openxmlformats.org/officeDocument/2006/relationships" name="Косвенные" sheetId="6" state="visible" r:id="rId6"/>
    <sheet xmlns:r="http://schemas.openxmlformats.org/officeDocument/2006/relationships" name="Форма" sheetId="7" state="visible" r:id="rId7"/>
    <sheet xmlns:r="http://schemas.openxmlformats.org/officeDocument/2006/relationships" name="КП" sheetId="8" state="visible" r:id="rId8"/>
    <sheet xmlns:r="http://schemas.openxmlformats.org/officeDocument/2006/relationships" name="Паспорт тендера" sheetId="9" state="visible" r:id="rId9"/>
    <sheet xmlns:r="http://schemas.openxmlformats.org/officeDocument/2006/relationships" name="Цены материалов (источники)" sheetId="10" state="visible" r:id="rId10"/>
    <sheet xmlns:r="http://schemas.openxmlformats.org/officeDocument/2006/relationships" name="Риски и вопросы" sheetId="11" state="visible" r:id="rId11"/>
    <sheet xmlns:r="http://schemas.openxmlformats.org/officeDocument/2006/relationships" name="Добавить в тарификатор" sheetId="12" state="visible" r:id="rId12"/>
  </sheets>
  <externalReferences>
    <externalReference r:id="rIdExt"/>
  </externalReferences>
  <definedNames>
    <definedName name="VAT_DIV">Параметры!$B$4</definedName>
    <definedName name="DELIV">Параметры!$B$5</definedName>
    <definedName name="GROWTH">Параметры!$B$6</definedName>
    <definedName name="MONEY">Параметры!$B$7</definedName>
    <definedName name="P_LOG">Параметры!$B$8</definedName>
    <definedName name="P_ITR">Параметры!$B$9</definedName>
    <definedName name="P_HOLD">Параметры!$B$10</definedName>
    <definedName name="P_WAR">Параметры!$B$11</definedName>
    <definedName name="P_RISK">Параметры!$B$12</definedName>
    <definedName name="_xlnm._FilterDatabase" localSheetId="0" hidden="1">'Свод'!$A$3:$B$3</definedName>
    <definedName name="_xlnm._FilterDatabase" localSheetId="1" hidden="1">'Параметры'!$A$3:$C$3</definedName>
    <definedName name="_xlnm._FilterDatabase" localSheetId="2" hidden="1">'Расходники'!$A$3:$C$3</definedName>
    <definedName name="_xlnm._FilterDatabase" localSheetId="3" hidden="1">'Работы'!$A$3:$U$3</definedName>
    <definedName name="_xlnm._FilterDatabase" localSheetId="4" hidden="1">'Материалы'!$A$3:$V$3</definedName>
    <definedName name="_xlnm._FilterDatabase" localSheetId="5" hidden="1">'Косвенные'!$A$3:$C$3</definedName>
    <definedName name="_xlnm._FilterDatabase" localSheetId="6" hidden="1">'Форма'!$A$1:$AA$670</definedName>
    <definedName name="_xlnm._FilterDatabase" localSheetId="7" hidden="1">'КП'!$A$4:$G$4</definedName>
    <definedName name="_xlnm._FilterDatabase" localSheetId="8" hidden="1">'Паспорт тендера'!$A$3:$B$3</definedName>
    <definedName name="_xlnm._FilterDatabase" localSheetId="9" hidden="1">'Цены материалов (источники)'!$A$3:$H$3</definedName>
    <definedName name="_xlnm._FilterDatabase" localSheetId="10" hidden="1">'Риски и вопросы'!$A$3:$E$3</definedName>
    <definedName name="_xlnm._FilterDatabase" localSheetId="11" hidden="1">'Добавить в тарификатор'!$A$3:$F$3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0"/>
    </font>
    <font>
      <name val="Calibri"/>
      <sz val="10"/>
    </font>
    <font>
      <b val="1"/>
      <color rgb="001F4E7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4" fontId="3" fillId="4" borderId="1" pivotButton="0" quotePrefix="0" xfId="0"/>
    <xf numFmtId="0" fontId="5" fillId="0" borderId="1" pivotButton="0" quotePrefix="0" xfId="0"/>
    <xf numFmtId="4" fontId="5" fillId="4" borderId="1" pivotButton="0" quotePrefix="0" xfId="0"/>
    <xf numFmtId="164" fontId="3" fillId="4" borderId="1" pivotButton="0" quotePrefix="0" xfId="0"/>
    <xf numFmtId="0" fontId="0" fillId="0" borderId="0" applyAlignment="1" pivotButton="0" quotePrefix="0" xfId="0">
      <alignment vertical="center" wrapText="1"/>
    </xf>
    <xf numFmtId="0" fontId="0" fillId="0" borderId="1" pivotButton="0" quotePrefix="0" xfId="0"/>
    <xf numFmtId="4" fontId="3" fillId="3" borderId="1" pivotButton="0" quotePrefix="0" xfId="0"/>
    <xf numFmtId="164" fontId="3" fillId="3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center" wrapText="1"/>
    </xf>
    <xf numFmtId="1" fontId="3" fillId="3" borderId="1" pivotButton="0" quotePrefix="0" xfId="0"/>
    <xf numFmtId="0" fontId="5" fillId="0" borderId="0" pivotButton="0" quotePrefix="0" xfId="0"/>
    <xf numFmtId="4" fontId="3" fillId="0" borderId="1" pivotButton="0" quotePrefix="0" xfId="0"/>
    <xf numFmtId="4" fontId="5" fillId="0" borderId="1" pivotButton="0" quotePrefix="0" xfId="0"/>
    <xf numFmtId="4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Relationship Id="rIdExt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
  <Relationship Id="rId1" Type="http://schemas.openxmlformats.org/officeDocument/2006/relationships/externalLinkPath" Target="&#1060;&#1086;&#1088;&#1084;&#1072; &#1076;&#1083;&#1103; &#1079;&#1072;&#1087;&#1086;&#1083;&#1085;&#1077;&#1085;&#1080;&#1103; &#1077;&#1076;&#1080;&#1085;&#1080;&#1095;&#1085;&#1099;&#1077; &#1088;&#1072;&#1089;&#1094;&#1077;&#1085;&#1082;&#1080;_&#1053;&#1045;&#1054;&#1057;&#1058;&#1056;&#1054;&#1049;.xlsx" TargetMode="External"/>
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Лист1"/>
    </sheetNames>
    <sheetDataSet>
      <sheetData sheetId="0">
        <row r="2">
          <cell r="G2">
            <v>2</v>
          </cell>
        </row>
        <row r="3">
          <cell r="G3">
            <v>2</v>
          </cell>
        </row>
        <row r="4">
          <cell r="G4">
            <v>2</v>
          </cell>
        </row>
        <row r="5">
          <cell r="G5">
            <v>2</v>
          </cell>
        </row>
        <row r="6">
          <cell r="G6">
            <v>20</v>
          </cell>
        </row>
        <row r="7">
          <cell r="G7">
            <v>20</v>
          </cell>
        </row>
        <row r="8">
          <cell r="G8">
            <v>20</v>
          </cell>
        </row>
        <row r="9">
          <cell r="G9">
            <v>20</v>
          </cell>
        </row>
        <row r="10">
          <cell r="G10">
            <v>20</v>
          </cell>
        </row>
        <row r="11">
          <cell r="G11">
            <v>20</v>
          </cell>
        </row>
        <row r="12">
          <cell r="G12">
            <v>20</v>
          </cell>
        </row>
        <row r="13">
          <cell r="G13">
            <v>20</v>
          </cell>
        </row>
        <row r="14">
          <cell r="G14">
            <v>20</v>
          </cell>
        </row>
        <row r="15">
          <cell r="G15">
            <v>20</v>
          </cell>
        </row>
        <row r="16">
          <cell r="G16">
            <v>20</v>
          </cell>
        </row>
        <row r="17">
          <cell r="G17">
            <v>20</v>
          </cell>
        </row>
        <row r="18">
          <cell r="G18">
            <v>20</v>
          </cell>
        </row>
        <row r="19">
          <cell r="G19">
            <v>20</v>
          </cell>
        </row>
        <row r="20">
          <cell r="G20">
            <v>20</v>
          </cell>
        </row>
        <row r="21">
          <cell r="G21">
            <v>20</v>
          </cell>
        </row>
        <row r="22">
          <cell r="G22">
            <v>20</v>
          </cell>
        </row>
        <row r="23">
          <cell r="G23">
            <v>20</v>
          </cell>
        </row>
        <row r="24">
          <cell r="G24">
            <v>20</v>
          </cell>
        </row>
        <row r="25">
          <cell r="G25">
            <v>20</v>
          </cell>
        </row>
        <row r="26">
          <cell r="G26">
            <v>20</v>
          </cell>
        </row>
        <row r="27">
          <cell r="G27">
            <v>20</v>
          </cell>
        </row>
        <row r="28">
          <cell r="G28">
            <v>1</v>
          </cell>
        </row>
        <row r="29">
          <cell r="G29">
            <v>50</v>
          </cell>
        </row>
        <row r="30">
          <cell r="G30">
            <v>50</v>
          </cell>
        </row>
        <row r="31">
          <cell r="G31">
            <v>50</v>
          </cell>
        </row>
        <row r="32">
          <cell r="G32">
            <v>50</v>
          </cell>
        </row>
        <row r="33">
          <cell r="G33">
            <v>50</v>
          </cell>
        </row>
        <row r="34">
          <cell r="G34">
            <v>50</v>
          </cell>
        </row>
        <row r="35">
          <cell r="G35">
            <v>150</v>
          </cell>
        </row>
        <row r="36">
          <cell r="G36">
            <v>150</v>
          </cell>
        </row>
        <row r="37">
          <cell r="G37">
            <v>150</v>
          </cell>
        </row>
        <row r="38">
          <cell r="G38">
            <v>150</v>
          </cell>
        </row>
        <row r="39">
          <cell r="G39">
            <v>150</v>
          </cell>
        </row>
        <row r="40">
          <cell r="G40">
            <v>150</v>
          </cell>
        </row>
        <row r="41">
          <cell r="G41">
            <v>150</v>
          </cell>
        </row>
        <row r="42">
          <cell r="G42">
            <v>150</v>
          </cell>
        </row>
        <row r="43">
          <cell r="G43">
            <v>150</v>
          </cell>
        </row>
        <row r="44">
          <cell r="G44">
            <v>150</v>
          </cell>
        </row>
        <row r="45">
          <cell r="G45">
            <v>300</v>
          </cell>
        </row>
        <row r="46">
          <cell r="G46">
            <v>500</v>
          </cell>
        </row>
        <row r="47">
          <cell r="G47">
            <v>500</v>
          </cell>
        </row>
        <row r="48">
          <cell r="G48">
            <v>500</v>
          </cell>
        </row>
        <row r="49">
          <cell r="G49">
            <v>500</v>
          </cell>
        </row>
        <row r="50">
          <cell r="G50">
            <v>500</v>
          </cell>
        </row>
        <row r="51">
          <cell r="G51">
            <v>200</v>
          </cell>
        </row>
        <row r="52">
          <cell r="G52">
            <v>50</v>
          </cell>
        </row>
        <row r="53">
          <cell r="G53">
            <v>50</v>
          </cell>
        </row>
        <row r="54">
          <cell r="G54">
            <v>50</v>
          </cell>
        </row>
        <row r="55">
          <cell r="G55">
            <v>50</v>
          </cell>
        </row>
        <row r="56">
          <cell r="G56">
            <v>100</v>
          </cell>
        </row>
        <row r="57">
          <cell r="G57">
            <v>100</v>
          </cell>
        </row>
        <row r="58">
          <cell r="G58">
            <v>100</v>
          </cell>
        </row>
        <row r="59">
          <cell r="G59">
            <v>100</v>
          </cell>
        </row>
        <row r="60">
          <cell r="G60">
            <v>100</v>
          </cell>
        </row>
        <row r="61">
          <cell r="G61">
            <v>100</v>
          </cell>
        </row>
        <row r="62">
          <cell r="G62">
            <v>100</v>
          </cell>
        </row>
        <row r="63">
          <cell r="G63">
            <v>100</v>
          </cell>
        </row>
        <row r="64">
          <cell r="G64">
            <v>100</v>
          </cell>
        </row>
        <row r="65">
          <cell r="G65">
            <v>100</v>
          </cell>
        </row>
        <row r="66">
          <cell r="G66">
            <v>100</v>
          </cell>
        </row>
        <row r="67">
          <cell r="G67">
            <v>100</v>
          </cell>
        </row>
        <row r="68">
          <cell r="G68">
            <v>100</v>
          </cell>
        </row>
        <row r="69">
          <cell r="G69">
            <v>100</v>
          </cell>
        </row>
        <row r="70">
          <cell r="G70">
            <v>100</v>
          </cell>
        </row>
        <row r="71">
          <cell r="G71">
            <v>100</v>
          </cell>
        </row>
        <row r="72">
          <cell r="G72">
            <v>100</v>
          </cell>
        </row>
        <row r="73">
          <cell r="G73">
            <v>100</v>
          </cell>
        </row>
        <row r="74">
          <cell r="G74">
            <v>100</v>
          </cell>
        </row>
        <row r="75">
          <cell r="G75">
            <v>100</v>
          </cell>
        </row>
        <row r="76">
          <cell r="G76">
            <v>100</v>
          </cell>
        </row>
        <row r="77">
          <cell r="G77">
            <v>100</v>
          </cell>
        </row>
        <row r="78">
          <cell r="G78">
            <v>100</v>
          </cell>
        </row>
        <row r="79">
          <cell r="G79">
            <v>100</v>
          </cell>
        </row>
        <row r="80">
          <cell r="G80">
            <v>100</v>
          </cell>
        </row>
        <row r="81">
          <cell r="G81">
            <v>100</v>
          </cell>
        </row>
        <row r="82">
          <cell r="G82">
            <v>100</v>
          </cell>
        </row>
        <row r="83">
          <cell r="G83">
            <v>100</v>
          </cell>
        </row>
        <row r="84">
          <cell r="G84">
            <v>100</v>
          </cell>
        </row>
        <row r="85">
          <cell r="G85">
            <v>100</v>
          </cell>
        </row>
        <row r="86">
          <cell r="G86">
            <v>100</v>
          </cell>
        </row>
        <row r="87">
          <cell r="G87">
            <v>100</v>
          </cell>
        </row>
        <row r="88">
          <cell r="G88">
            <v>100</v>
          </cell>
        </row>
        <row r="89">
          <cell r="G89">
            <v>100</v>
          </cell>
        </row>
        <row r="90">
          <cell r="G90">
            <v>100</v>
          </cell>
        </row>
        <row r="91">
          <cell r="G91">
            <v>100</v>
          </cell>
        </row>
        <row r="92">
          <cell r="G92">
            <v>100</v>
          </cell>
        </row>
        <row r="93">
          <cell r="G93">
            <v>100</v>
          </cell>
        </row>
        <row r="94">
          <cell r="G94">
            <v>100</v>
          </cell>
        </row>
        <row r="95">
          <cell r="G95">
            <v>100</v>
          </cell>
        </row>
        <row r="96">
          <cell r="G96">
            <v>100</v>
          </cell>
        </row>
        <row r="97">
          <cell r="G97">
            <v>100</v>
          </cell>
        </row>
        <row r="98">
          <cell r="G98">
            <v>100</v>
          </cell>
        </row>
        <row r="99">
          <cell r="G99">
            <v>100</v>
          </cell>
        </row>
        <row r="100">
          <cell r="G100">
            <v>100</v>
          </cell>
        </row>
        <row r="101">
          <cell r="G101">
            <v>100</v>
          </cell>
        </row>
        <row r="102">
          <cell r="G102">
            <v>100</v>
          </cell>
        </row>
        <row r="103">
          <cell r="G103">
            <v>100</v>
          </cell>
        </row>
        <row r="104">
          <cell r="G104">
            <v>100</v>
          </cell>
        </row>
        <row r="105">
          <cell r="G105">
            <v>100</v>
          </cell>
        </row>
        <row r="106">
          <cell r="G106">
            <v>100</v>
          </cell>
        </row>
        <row r="107">
          <cell r="G107">
            <v>100</v>
          </cell>
        </row>
        <row r="108">
          <cell r="G108">
            <v>100</v>
          </cell>
        </row>
        <row r="109">
          <cell r="G109">
            <v>100</v>
          </cell>
        </row>
        <row r="110">
          <cell r="G110">
            <v>100</v>
          </cell>
        </row>
        <row r="111">
          <cell r="G111">
            <v>100</v>
          </cell>
        </row>
        <row r="112">
          <cell r="G112">
            <v>100</v>
          </cell>
        </row>
        <row r="113">
          <cell r="G113">
            <v>100</v>
          </cell>
        </row>
        <row r="114">
          <cell r="G114">
            <v>100</v>
          </cell>
        </row>
        <row r="115">
          <cell r="G115">
            <v>100</v>
          </cell>
        </row>
        <row r="116">
          <cell r="G116">
            <v>100</v>
          </cell>
        </row>
        <row r="117">
          <cell r="G117">
            <v>100</v>
          </cell>
        </row>
        <row r="118">
          <cell r="G118">
            <v>100</v>
          </cell>
        </row>
        <row r="119">
          <cell r="G119">
            <v>100</v>
          </cell>
        </row>
        <row r="120">
          <cell r="G120">
            <v>100</v>
          </cell>
        </row>
        <row r="121">
          <cell r="G121">
            <v>100</v>
          </cell>
        </row>
        <row r="122">
          <cell r="G122">
            <v>100</v>
          </cell>
        </row>
        <row r="123">
          <cell r="G123">
            <v>100</v>
          </cell>
        </row>
        <row r="124">
          <cell r="G124">
            <v>100</v>
          </cell>
        </row>
        <row r="125">
          <cell r="G125">
            <v>100</v>
          </cell>
        </row>
        <row r="126">
          <cell r="G126">
            <v>100</v>
          </cell>
        </row>
        <row r="127">
          <cell r="G127">
            <v>100</v>
          </cell>
        </row>
        <row r="128">
          <cell r="G128">
            <v>100</v>
          </cell>
        </row>
        <row r="129">
          <cell r="G129">
            <v>100</v>
          </cell>
        </row>
        <row r="130">
          <cell r="G130">
            <v>100</v>
          </cell>
        </row>
        <row r="131">
          <cell r="G131">
            <v>100</v>
          </cell>
        </row>
        <row r="132">
          <cell r="G132">
            <v>100</v>
          </cell>
        </row>
        <row r="133">
          <cell r="G133">
            <v>100</v>
          </cell>
        </row>
        <row r="134">
          <cell r="G134">
            <v>100</v>
          </cell>
        </row>
        <row r="135">
          <cell r="G135">
            <v>100</v>
          </cell>
        </row>
        <row r="136">
          <cell r="G136">
            <v>100</v>
          </cell>
        </row>
        <row r="137">
          <cell r="G137">
            <v>100</v>
          </cell>
        </row>
        <row r="138">
          <cell r="G138">
            <v>100</v>
          </cell>
        </row>
        <row r="139">
          <cell r="G139">
            <v>100</v>
          </cell>
        </row>
        <row r="140">
          <cell r="G140">
            <v>100</v>
          </cell>
        </row>
        <row r="141">
          <cell r="G141">
            <v>100</v>
          </cell>
        </row>
        <row r="142">
          <cell r="G142">
            <v>100</v>
          </cell>
        </row>
        <row r="143">
          <cell r="G143">
            <v>100</v>
          </cell>
        </row>
        <row r="144">
          <cell r="G144">
            <v>100</v>
          </cell>
        </row>
        <row r="145">
          <cell r="G145">
            <v>100</v>
          </cell>
        </row>
        <row r="146">
          <cell r="G146">
            <v>100</v>
          </cell>
        </row>
        <row r="147">
          <cell r="G147">
            <v>100</v>
          </cell>
        </row>
        <row r="148">
          <cell r="G148">
            <v>100</v>
          </cell>
        </row>
        <row r="149">
          <cell r="G149">
            <v>100</v>
          </cell>
        </row>
        <row r="150">
          <cell r="G150">
            <v>100</v>
          </cell>
        </row>
        <row r="151">
          <cell r="G151">
            <v>100</v>
          </cell>
        </row>
        <row r="152">
          <cell r="G152">
            <v>100</v>
          </cell>
        </row>
        <row r="153">
          <cell r="G153">
            <v>100</v>
          </cell>
        </row>
        <row r="154">
          <cell r="G154">
            <v>100</v>
          </cell>
        </row>
        <row r="155">
          <cell r="G155">
            <v>100</v>
          </cell>
        </row>
        <row r="156">
          <cell r="G156">
            <v>100</v>
          </cell>
        </row>
        <row r="157">
          <cell r="G157">
            <v>100</v>
          </cell>
        </row>
        <row r="158">
          <cell r="G158">
            <v>100</v>
          </cell>
        </row>
        <row r="159">
          <cell r="G159">
            <v>100</v>
          </cell>
        </row>
        <row r="160">
          <cell r="G160">
            <v>100</v>
          </cell>
        </row>
        <row r="161">
          <cell r="G161">
            <v>100</v>
          </cell>
        </row>
        <row r="162">
          <cell r="G162">
            <v>100</v>
          </cell>
        </row>
        <row r="163">
          <cell r="G163">
            <v>100</v>
          </cell>
        </row>
        <row r="164">
          <cell r="G164">
            <v>100</v>
          </cell>
        </row>
        <row r="165">
          <cell r="G165">
            <v>100</v>
          </cell>
        </row>
        <row r="166">
          <cell r="G166">
            <v>100</v>
          </cell>
        </row>
        <row r="167">
          <cell r="G167">
            <v>100</v>
          </cell>
        </row>
        <row r="168">
          <cell r="G168">
            <v>100</v>
          </cell>
        </row>
        <row r="169">
          <cell r="G169">
            <v>100</v>
          </cell>
        </row>
        <row r="170">
          <cell r="G170">
            <v>100</v>
          </cell>
        </row>
        <row r="171">
          <cell r="G171">
            <v>100</v>
          </cell>
        </row>
        <row r="172">
          <cell r="G172">
            <v>100</v>
          </cell>
        </row>
        <row r="173">
          <cell r="G173">
            <v>100</v>
          </cell>
        </row>
        <row r="174">
          <cell r="G174">
            <v>100</v>
          </cell>
        </row>
        <row r="175">
          <cell r="G175">
            <v>100</v>
          </cell>
        </row>
        <row r="176">
          <cell r="G176">
            <v>100</v>
          </cell>
        </row>
        <row r="177">
          <cell r="G177">
            <v>100</v>
          </cell>
        </row>
        <row r="178">
          <cell r="G178">
            <v>100</v>
          </cell>
        </row>
        <row r="179">
          <cell r="G179">
            <v>100</v>
          </cell>
        </row>
        <row r="180">
          <cell r="G180">
            <v>100</v>
          </cell>
        </row>
        <row r="181">
          <cell r="G181">
            <v>100</v>
          </cell>
        </row>
        <row r="182">
          <cell r="G182">
            <v>100</v>
          </cell>
        </row>
        <row r="183">
          <cell r="G183">
            <v>100</v>
          </cell>
        </row>
        <row r="184">
          <cell r="G184">
            <v>100</v>
          </cell>
        </row>
        <row r="185">
          <cell r="G185">
            <v>100</v>
          </cell>
        </row>
        <row r="186">
          <cell r="G186">
            <v>200</v>
          </cell>
        </row>
        <row r="187">
          <cell r="G187">
            <v>200</v>
          </cell>
        </row>
        <row r="188">
          <cell r="G188">
            <v>200</v>
          </cell>
        </row>
        <row r="189">
          <cell r="G189">
            <v>200</v>
          </cell>
        </row>
        <row r="190">
          <cell r="G190">
            <v>200</v>
          </cell>
        </row>
        <row r="191">
          <cell r="G191">
            <v>200</v>
          </cell>
        </row>
        <row r="192">
          <cell r="G192">
            <v>200</v>
          </cell>
        </row>
        <row r="193">
          <cell r="G193">
            <v>200</v>
          </cell>
        </row>
        <row r="194">
          <cell r="G194">
            <v>200</v>
          </cell>
        </row>
        <row r="195">
          <cell r="G195">
            <v>200</v>
          </cell>
        </row>
        <row r="196">
          <cell r="G196">
            <v>200</v>
          </cell>
        </row>
        <row r="197">
          <cell r="G197">
            <v>200</v>
          </cell>
        </row>
        <row r="198">
          <cell r="G198">
            <v>200</v>
          </cell>
        </row>
        <row r="199">
          <cell r="G199">
            <v>200</v>
          </cell>
        </row>
        <row r="200">
          <cell r="G200">
            <v>200</v>
          </cell>
        </row>
        <row r="201">
          <cell r="G201">
            <v>200</v>
          </cell>
        </row>
        <row r="202">
          <cell r="G202">
            <v>200</v>
          </cell>
        </row>
        <row r="203">
          <cell r="G203">
            <v>200</v>
          </cell>
        </row>
        <row r="204">
          <cell r="G204">
            <v>200</v>
          </cell>
        </row>
        <row r="205">
          <cell r="G205">
            <v>200</v>
          </cell>
        </row>
        <row r="206">
          <cell r="G206">
            <v>200</v>
          </cell>
        </row>
        <row r="207">
          <cell r="G207">
            <v>200</v>
          </cell>
        </row>
        <row r="208">
          <cell r="G208">
            <v>200</v>
          </cell>
        </row>
        <row r="209">
          <cell r="G209">
            <v>200</v>
          </cell>
        </row>
        <row r="210">
          <cell r="G210">
            <v>200</v>
          </cell>
        </row>
        <row r="211">
          <cell r="G211">
            <v>200</v>
          </cell>
        </row>
        <row r="212">
          <cell r="G212">
            <v>200</v>
          </cell>
        </row>
        <row r="213">
          <cell r="G213">
            <v>200</v>
          </cell>
        </row>
        <row r="214">
          <cell r="G214">
            <v>200</v>
          </cell>
        </row>
        <row r="215">
          <cell r="G215">
            <v>200</v>
          </cell>
        </row>
        <row r="216">
          <cell r="G216">
            <v>200</v>
          </cell>
        </row>
        <row r="217">
          <cell r="G217">
            <v>200</v>
          </cell>
        </row>
        <row r="218">
          <cell r="G218">
            <v>200</v>
          </cell>
        </row>
        <row r="219">
          <cell r="G219">
            <v>200</v>
          </cell>
        </row>
        <row r="220">
          <cell r="G220">
            <v>200</v>
          </cell>
        </row>
        <row r="221">
          <cell r="G221">
            <v>200</v>
          </cell>
        </row>
        <row r="222">
          <cell r="G222">
            <v>200</v>
          </cell>
        </row>
        <row r="223">
          <cell r="G223">
            <v>200</v>
          </cell>
        </row>
        <row r="224">
          <cell r="G224">
            <v>200</v>
          </cell>
        </row>
        <row r="225">
          <cell r="G225">
            <v>200</v>
          </cell>
        </row>
        <row r="226">
          <cell r="G226">
            <v>200</v>
          </cell>
        </row>
        <row r="227">
          <cell r="G227">
            <v>200</v>
          </cell>
        </row>
        <row r="228">
          <cell r="G228">
            <v>200</v>
          </cell>
        </row>
        <row r="229">
          <cell r="G229">
            <v>200</v>
          </cell>
        </row>
        <row r="230">
          <cell r="G230">
            <v>200</v>
          </cell>
        </row>
        <row r="231">
          <cell r="G231">
            <v>200</v>
          </cell>
        </row>
        <row r="232">
          <cell r="G232">
            <v>200</v>
          </cell>
        </row>
        <row r="233">
          <cell r="G233">
            <v>200</v>
          </cell>
        </row>
        <row r="234">
          <cell r="G234">
            <v>200</v>
          </cell>
        </row>
        <row r="235">
          <cell r="G235">
            <v>200</v>
          </cell>
        </row>
        <row r="236">
          <cell r="G236">
            <v>200</v>
          </cell>
        </row>
        <row r="237">
          <cell r="G237">
            <v>200</v>
          </cell>
        </row>
        <row r="238">
          <cell r="G238">
            <v>200</v>
          </cell>
        </row>
        <row r="239">
          <cell r="G239">
            <v>200</v>
          </cell>
        </row>
        <row r="240">
          <cell r="G240">
            <v>200</v>
          </cell>
        </row>
        <row r="241">
          <cell r="G241">
            <v>200</v>
          </cell>
        </row>
        <row r="242">
          <cell r="G242">
            <v>200</v>
          </cell>
        </row>
        <row r="243">
          <cell r="G243">
            <v>200</v>
          </cell>
        </row>
        <row r="244">
          <cell r="G244">
            <v>200</v>
          </cell>
        </row>
        <row r="245">
          <cell r="G245">
            <v>200</v>
          </cell>
        </row>
        <row r="246">
          <cell r="G246">
            <v>200</v>
          </cell>
        </row>
        <row r="247">
          <cell r="G247">
            <v>200</v>
          </cell>
        </row>
        <row r="248">
          <cell r="G248">
            <v>200</v>
          </cell>
        </row>
        <row r="249">
          <cell r="G249">
            <v>200</v>
          </cell>
        </row>
        <row r="250">
          <cell r="G250">
            <v>200</v>
          </cell>
        </row>
        <row r="251">
          <cell r="G251">
            <v>200</v>
          </cell>
        </row>
        <row r="252">
          <cell r="G252">
            <v>200</v>
          </cell>
        </row>
        <row r="253">
          <cell r="G253">
            <v>200</v>
          </cell>
        </row>
        <row r="254">
          <cell r="G254">
            <v>200</v>
          </cell>
        </row>
        <row r="255">
          <cell r="G255">
            <v>200</v>
          </cell>
        </row>
        <row r="256">
          <cell r="G256">
            <v>200</v>
          </cell>
        </row>
        <row r="257">
          <cell r="G257">
            <v>200</v>
          </cell>
        </row>
        <row r="258">
          <cell r="G258">
            <v>200</v>
          </cell>
        </row>
        <row r="259">
          <cell r="G259">
            <v>200</v>
          </cell>
        </row>
        <row r="260">
          <cell r="G260">
            <v>200</v>
          </cell>
        </row>
        <row r="261">
          <cell r="G261">
            <v>200</v>
          </cell>
        </row>
        <row r="262">
          <cell r="G262">
            <v>200</v>
          </cell>
        </row>
        <row r="263">
          <cell r="G263">
            <v>200</v>
          </cell>
        </row>
        <row r="264">
          <cell r="G264">
            <v>200</v>
          </cell>
        </row>
        <row r="265">
          <cell r="G265">
            <v>200</v>
          </cell>
        </row>
        <row r="266">
          <cell r="G266">
            <v>200</v>
          </cell>
        </row>
        <row r="267">
          <cell r="G267">
            <v>200</v>
          </cell>
        </row>
        <row r="268">
          <cell r="G268">
            <v>200</v>
          </cell>
        </row>
        <row r="269">
          <cell r="G269">
            <v>200</v>
          </cell>
        </row>
        <row r="270">
          <cell r="G270">
            <v>200</v>
          </cell>
        </row>
        <row r="271">
          <cell r="G271">
            <v>200</v>
          </cell>
        </row>
        <row r="272">
          <cell r="G272">
            <v>200</v>
          </cell>
        </row>
        <row r="273">
          <cell r="G273">
            <v>200</v>
          </cell>
        </row>
        <row r="274">
          <cell r="G274">
            <v>200</v>
          </cell>
        </row>
        <row r="275">
          <cell r="G275">
            <v>200</v>
          </cell>
        </row>
        <row r="276">
          <cell r="G276">
            <v>200</v>
          </cell>
        </row>
        <row r="277">
          <cell r="G277">
            <v>200</v>
          </cell>
        </row>
        <row r="278">
          <cell r="G278">
            <v>200</v>
          </cell>
        </row>
        <row r="279">
          <cell r="G279">
            <v>200</v>
          </cell>
        </row>
        <row r="280">
          <cell r="G280">
            <v>200</v>
          </cell>
        </row>
        <row r="281">
          <cell r="G281">
            <v>200</v>
          </cell>
        </row>
        <row r="282">
          <cell r="G282">
            <v>200</v>
          </cell>
        </row>
        <row r="283">
          <cell r="G283">
            <v>200</v>
          </cell>
        </row>
        <row r="284">
          <cell r="G284">
            <v>200</v>
          </cell>
        </row>
        <row r="285">
          <cell r="G285">
            <v>200</v>
          </cell>
        </row>
        <row r="286">
          <cell r="G286">
            <v>200</v>
          </cell>
        </row>
        <row r="287">
          <cell r="G287">
            <v>200</v>
          </cell>
        </row>
        <row r="288">
          <cell r="G288">
            <v>200</v>
          </cell>
        </row>
        <row r="289">
          <cell r="G289">
            <v>200</v>
          </cell>
        </row>
        <row r="290">
          <cell r="G290">
            <v>200</v>
          </cell>
        </row>
        <row r="291">
          <cell r="G291">
            <v>200</v>
          </cell>
        </row>
        <row r="292">
          <cell r="G292">
            <v>200</v>
          </cell>
        </row>
        <row r="293">
          <cell r="G293">
            <v>200</v>
          </cell>
        </row>
        <row r="294">
          <cell r="G294">
            <v>200</v>
          </cell>
        </row>
        <row r="295">
          <cell r="G295">
            <v>30</v>
          </cell>
        </row>
        <row r="296">
          <cell r="G296">
            <v>30</v>
          </cell>
        </row>
        <row r="297">
          <cell r="G297">
            <v>30</v>
          </cell>
        </row>
        <row r="298">
          <cell r="G298">
            <v>30</v>
          </cell>
        </row>
        <row r="299">
          <cell r="G299">
            <v>30</v>
          </cell>
        </row>
        <row r="300">
          <cell r="G300">
            <v>30</v>
          </cell>
        </row>
        <row r="301">
          <cell r="G301">
            <v>30</v>
          </cell>
        </row>
        <row r="302">
          <cell r="G302">
            <v>30</v>
          </cell>
        </row>
        <row r="303">
          <cell r="G303">
            <v>30</v>
          </cell>
        </row>
        <row r="304">
          <cell r="G304">
            <v>30</v>
          </cell>
        </row>
        <row r="305">
          <cell r="G305">
            <v>30</v>
          </cell>
        </row>
        <row r="306">
          <cell r="G306">
            <v>30</v>
          </cell>
        </row>
        <row r="307">
          <cell r="G307">
            <v>30</v>
          </cell>
        </row>
        <row r="308">
          <cell r="G308">
            <v>30</v>
          </cell>
        </row>
        <row r="309">
          <cell r="G309">
            <v>30</v>
          </cell>
        </row>
        <row r="310">
          <cell r="G310">
            <v>30</v>
          </cell>
        </row>
        <row r="311">
          <cell r="G311">
            <v>30</v>
          </cell>
        </row>
        <row r="312">
          <cell r="G312">
            <v>30</v>
          </cell>
        </row>
        <row r="313">
          <cell r="G313">
            <v>30</v>
          </cell>
        </row>
        <row r="314">
          <cell r="G314">
            <v>30</v>
          </cell>
        </row>
        <row r="315">
          <cell r="G315">
            <v>30</v>
          </cell>
        </row>
        <row r="316">
          <cell r="G316">
            <v>30</v>
          </cell>
        </row>
        <row r="317">
          <cell r="G317">
            <v>30</v>
          </cell>
        </row>
        <row r="318">
          <cell r="G318">
            <v>30</v>
          </cell>
        </row>
        <row r="319">
          <cell r="G319">
            <v>30</v>
          </cell>
        </row>
        <row r="320">
          <cell r="G320">
            <v>30</v>
          </cell>
        </row>
        <row r="321">
          <cell r="G321">
            <v>30</v>
          </cell>
        </row>
        <row r="322">
          <cell r="G322">
            <v>30</v>
          </cell>
        </row>
        <row r="323">
          <cell r="G323">
            <v>30</v>
          </cell>
        </row>
        <row r="324">
          <cell r="G324">
            <v>30</v>
          </cell>
        </row>
        <row r="325">
          <cell r="G325">
            <v>30</v>
          </cell>
        </row>
        <row r="326">
          <cell r="G326">
            <v>30</v>
          </cell>
        </row>
        <row r="327">
          <cell r="G327">
            <v>30</v>
          </cell>
        </row>
        <row r="328">
          <cell r="G328">
            <v>30</v>
          </cell>
        </row>
        <row r="329">
          <cell r="G329">
            <v>30</v>
          </cell>
        </row>
        <row r="330">
          <cell r="G330">
            <v>30</v>
          </cell>
        </row>
        <row r="331">
          <cell r="G331">
            <v>30</v>
          </cell>
        </row>
        <row r="332">
          <cell r="G332">
            <v>30</v>
          </cell>
        </row>
        <row r="333">
          <cell r="G333">
            <v>30</v>
          </cell>
        </row>
        <row r="334">
          <cell r="G334">
            <v>30</v>
          </cell>
        </row>
        <row r="335">
          <cell r="G335">
            <v>30</v>
          </cell>
        </row>
        <row r="336">
          <cell r="G336">
            <v>30</v>
          </cell>
        </row>
        <row r="337">
          <cell r="G337">
            <v>30</v>
          </cell>
        </row>
        <row r="338">
          <cell r="G338">
            <v>30</v>
          </cell>
        </row>
        <row r="339">
          <cell r="G339">
            <v>30</v>
          </cell>
        </row>
        <row r="340">
          <cell r="G340">
            <v>30</v>
          </cell>
        </row>
        <row r="341">
          <cell r="G341">
            <v>30</v>
          </cell>
        </row>
        <row r="342">
          <cell r="G342">
            <v>30</v>
          </cell>
        </row>
        <row r="343">
          <cell r="G343">
            <v>30</v>
          </cell>
        </row>
        <row r="344">
          <cell r="G344">
            <v>30</v>
          </cell>
        </row>
        <row r="345">
          <cell r="G345">
            <v>30</v>
          </cell>
        </row>
        <row r="346">
          <cell r="G346">
            <v>30</v>
          </cell>
        </row>
        <row r="347">
          <cell r="G347">
            <v>30</v>
          </cell>
        </row>
        <row r="348">
          <cell r="G348">
            <v>30</v>
          </cell>
        </row>
        <row r="349">
          <cell r="G349">
            <v>30</v>
          </cell>
        </row>
        <row r="350">
          <cell r="G350">
            <v>30</v>
          </cell>
        </row>
        <row r="351">
          <cell r="G351">
            <v>30</v>
          </cell>
        </row>
        <row r="352">
          <cell r="G352">
            <v>30</v>
          </cell>
        </row>
        <row r="353">
          <cell r="G353">
            <v>30</v>
          </cell>
        </row>
        <row r="354">
          <cell r="G354">
            <v>30</v>
          </cell>
        </row>
        <row r="355">
          <cell r="G355">
            <v>30</v>
          </cell>
        </row>
        <row r="356">
          <cell r="G356">
            <v>30</v>
          </cell>
        </row>
        <row r="357">
          <cell r="G357">
            <v>30</v>
          </cell>
        </row>
        <row r="358">
          <cell r="G358">
            <v>30</v>
          </cell>
        </row>
        <row r="359">
          <cell r="G359">
            <v>30</v>
          </cell>
        </row>
        <row r="360">
          <cell r="G360">
            <v>30</v>
          </cell>
        </row>
        <row r="361">
          <cell r="G361">
            <v>30</v>
          </cell>
        </row>
        <row r="362">
          <cell r="G362">
            <v>30</v>
          </cell>
        </row>
        <row r="363">
          <cell r="G363">
            <v>30</v>
          </cell>
        </row>
        <row r="364">
          <cell r="G364">
            <v>30</v>
          </cell>
        </row>
        <row r="365">
          <cell r="G365">
            <v>30</v>
          </cell>
        </row>
        <row r="366">
          <cell r="G366">
            <v>30</v>
          </cell>
        </row>
        <row r="367">
          <cell r="G367">
            <v>30</v>
          </cell>
        </row>
        <row r="368">
          <cell r="G368">
            <v>30</v>
          </cell>
        </row>
        <row r="369">
          <cell r="G369">
            <v>30</v>
          </cell>
        </row>
        <row r="370">
          <cell r="G370">
            <v>30</v>
          </cell>
        </row>
        <row r="371">
          <cell r="G371">
            <v>30</v>
          </cell>
        </row>
        <row r="372">
          <cell r="G372">
            <v>30</v>
          </cell>
        </row>
        <row r="373">
          <cell r="G373">
            <v>30</v>
          </cell>
        </row>
        <row r="374">
          <cell r="G374">
            <v>30</v>
          </cell>
        </row>
        <row r="375">
          <cell r="G375">
            <v>30</v>
          </cell>
        </row>
        <row r="376">
          <cell r="G376">
            <v>30</v>
          </cell>
        </row>
        <row r="377">
          <cell r="G377">
            <v>30</v>
          </cell>
        </row>
        <row r="378">
          <cell r="G378">
            <v>30</v>
          </cell>
        </row>
        <row r="379">
          <cell r="G379">
            <v>30</v>
          </cell>
        </row>
        <row r="380">
          <cell r="G380">
            <v>30</v>
          </cell>
        </row>
        <row r="381">
          <cell r="G381">
            <v>30</v>
          </cell>
        </row>
        <row r="382">
          <cell r="G382">
            <v>30</v>
          </cell>
        </row>
        <row r="383">
          <cell r="G383">
            <v>30</v>
          </cell>
        </row>
        <row r="384">
          <cell r="G384">
            <v>30</v>
          </cell>
        </row>
        <row r="385">
          <cell r="G385">
            <v>30</v>
          </cell>
        </row>
        <row r="386">
          <cell r="G386">
            <v>30</v>
          </cell>
        </row>
        <row r="387">
          <cell r="G387">
            <v>30</v>
          </cell>
        </row>
        <row r="388">
          <cell r="G388">
            <v>30</v>
          </cell>
        </row>
        <row r="389">
          <cell r="G389">
            <v>30</v>
          </cell>
        </row>
        <row r="390">
          <cell r="G390">
            <v>30</v>
          </cell>
        </row>
        <row r="391">
          <cell r="G391">
            <v>30</v>
          </cell>
        </row>
        <row r="392">
          <cell r="G392">
            <v>30</v>
          </cell>
        </row>
        <row r="393">
          <cell r="G393">
            <v>30</v>
          </cell>
        </row>
        <row r="394">
          <cell r="G394">
            <v>30</v>
          </cell>
        </row>
        <row r="395">
          <cell r="G395">
            <v>30</v>
          </cell>
        </row>
        <row r="396">
          <cell r="G396">
            <v>30</v>
          </cell>
        </row>
        <row r="397">
          <cell r="G397">
            <v>30</v>
          </cell>
        </row>
        <row r="398">
          <cell r="G398">
            <v>30</v>
          </cell>
        </row>
        <row r="399">
          <cell r="G399">
            <v>30</v>
          </cell>
        </row>
        <row r="400">
          <cell r="G400">
            <v>30</v>
          </cell>
        </row>
        <row r="401">
          <cell r="G401">
            <v>30</v>
          </cell>
        </row>
        <row r="402">
          <cell r="G402">
            <v>30</v>
          </cell>
        </row>
        <row r="403">
          <cell r="G403">
            <v>30</v>
          </cell>
        </row>
        <row r="404">
          <cell r="G404">
            <v>30</v>
          </cell>
        </row>
        <row r="405">
          <cell r="G405">
            <v>30</v>
          </cell>
        </row>
        <row r="406">
          <cell r="G406">
            <v>30</v>
          </cell>
        </row>
        <row r="407">
          <cell r="G407">
            <v>30</v>
          </cell>
        </row>
        <row r="408">
          <cell r="G408">
            <v>30</v>
          </cell>
        </row>
        <row r="409">
          <cell r="G409">
            <v>30</v>
          </cell>
        </row>
        <row r="410">
          <cell r="G410">
            <v>30</v>
          </cell>
        </row>
        <row r="411">
          <cell r="G411">
            <v>30</v>
          </cell>
        </row>
        <row r="412">
          <cell r="G412">
            <v>30</v>
          </cell>
        </row>
        <row r="413">
          <cell r="G413">
            <v>30</v>
          </cell>
        </row>
        <row r="414">
          <cell r="G414">
            <v>30</v>
          </cell>
        </row>
        <row r="415">
          <cell r="G415">
            <v>30</v>
          </cell>
        </row>
        <row r="416">
          <cell r="G416">
            <v>30</v>
          </cell>
        </row>
        <row r="417">
          <cell r="G417">
            <v>30</v>
          </cell>
        </row>
        <row r="418">
          <cell r="G418">
            <v>30</v>
          </cell>
        </row>
        <row r="419">
          <cell r="G419">
            <v>30</v>
          </cell>
        </row>
        <row r="420">
          <cell r="G420">
            <v>30</v>
          </cell>
        </row>
        <row r="421">
          <cell r="G421">
            <v>30</v>
          </cell>
        </row>
        <row r="422">
          <cell r="G422">
            <v>30</v>
          </cell>
        </row>
        <row r="423">
          <cell r="G423">
            <v>30</v>
          </cell>
        </row>
        <row r="424">
          <cell r="G424">
            <v>30</v>
          </cell>
        </row>
        <row r="425">
          <cell r="G425">
            <v>30</v>
          </cell>
        </row>
        <row r="426">
          <cell r="G426">
            <v>30</v>
          </cell>
        </row>
        <row r="427">
          <cell r="G427">
            <v>30</v>
          </cell>
        </row>
        <row r="428">
          <cell r="G428">
            <v>30</v>
          </cell>
        </row>
        <row r="429">
          <cell r="G429">
            <v>30</v>
          </cell>
        </row>
        <row r="430">
          <cell r="G430">
            <v>30</v>
          </cell>
        </row>
        <row r="431">
          <cell r="G431">
            <v>30</v>
          </cell>
        </row>
        <row r="432">
          <cell r="G432">
            <v>30</v>
          </cell>
        </row>
        <row r="433">
          <cell r="G433">
            <v>30</v>
          </cell>
        </row>
        <row r="434">
          <cell r="G434">
            <v>30</v>
          </cell>
        </row>
        <row r="435">
          <cell r="G435">
            <v>30</v>
          </cell>
        </row>
        <row r="436">
          <cell r="G436">
            <v>30</v>
          </cell>
        </row>
        <row r="437">
          <cell r="G437">
            <v>30</v>
          </cell>
        </row>
        <row r="438">
          <cell r="G438">
            <v>30</v>
          </cell>
        </row>
        <row r="439">
          <cell r="G439">
            <v>30</v>
          </cell>
        </row>
        <row r="440">
          <cell r="G440">
            <v>30</v>
          </cell>
        </row>
        <row r="441">
          <cell r="G441">
            <v>30</v>
          </cell>
        </row>
        <row r="442">
          <cell r="G442">
            <v>30</v>
          </cell>
        </row>
        <row r="443">
          <cell r="G443">
            <v>30</v>
          </cell>
        </row>
        <row r="444">
          <cell r="G444">
            <v>30</v>
          </cell>
        </row>
        <row r="445">
          <cell r="G445">
            <v>30</v>
          </cell>
        </row>
        <row r="446">
          <cell r="G446">
            <v>30</v>
          </cell>
        </row>
        <row r="447">
          <cell r="G447">
            <v>30</v>
          </cell>
        </row>
        <row r="448">
          <cell r="G448">
            <v>30</v>
          </cell>
        </row>
        <row r="449">
          <cell r="G449">
            <v>30</v>
          </cell>
        </row>
        <row r="450">
          <cell r="G450">
            <v>30</v>
          </cell>
        </row>
        <row r="451">
          <cell r="G451">
            <v>30</v>
          </cell>
        </row>
        <row r="452">
          <cell r="G452">
            <v>30</v>
          </cell>
        </row>
        <row r="453">
          <cell r="G453">
            <v>30</v>
          </cell>
        </row>
        <row r="454">
          <cell r="G454">
            <v>30</v>
          </cell>
        </row>
        <row r="455">
          <cell r="G455">
            <v>30</v>
          </cell>
        </row>
        <row r="456">
          <cell r="G456">
            <v>30</v>
          </cell>
        </row>
        <row r="457">
          <cell r="G457">
            <v>30</v>
          </cell>
        </row>
        <row r="458">
          <cell r="G458">
            <v>30</v>
          </cell>
        </row>
        <row r="459">
          <cell r="G459">
            <v>30</v>
          </cell>
        </row>
        <row r="460">
          <cell r="G460">
            <v>30</v>
          </cell>
        </row>
        <row r="461">
          <cell r="G461">
            <v>30</v>
          </cell>
        </row>
        <row r="462">
          <cell r="G462">
            <v>30</v>
          </cell>
        </row>
        <row r="463">
          <cell r="G463">
            <v>30</v>
          </cell>
        </row>
        <row r="464">
          <cell r="G464">
            <v>30</v>
          </cell>
        </row>
        <row r="465">
          <cell r="G465">
            <v>30</v>
          </cell>
        </row>
        <row r="466">
          <cell r="G466">
            <v>30</v>
          </cell>
        </row>
        <row r="467">
          <cell r="G467">
            <v>30</v>
          </cell>
        </row>
        <row r="468">
          <cell r="G468">
            <v>2</v>
          </cell>
        </row>
        <row r="469">
          <cell r="G469">
            <v>2</v>
          </cell>
        </row>
        <row r="470">
          <cell r="G470">
            <v>2</v>
          </cell>
        </row>
        <row r="471">
          <cell r="G471">
            <v>100</v>
          </cell>
        </row>
        <row r="472">
          <cell r="G472">
            <v>100</v>
          </cell>
        </row>
        <row r="473">
          <cell r="G473">
            <v>100</v>
          </cell>
        </row>
        <row r="474">
          <cell r="G474">
            <v>100</v>
          </cell>
        </row>
        <row r="475">
          <cell r="G475">
            <v>100</v>
          </cell>
        </row>
        <row r="476">
          <cell r="G476">
            <v>100</v>
          </cell>
        </row>
        <row r="477">
          <cell r="G477">
            <v>100</v>
          </cell>
        </row>
        <row r="478">
          <cell r="G478">
            <v>100</v>
          </cell>
        </row>
        <row r="479">
          <cell r="G479">
            <v>100</v>
          </cell>
        </row>
        <row r="480">
          <cell r="G480">
            <v>100</v>
          </cell>
        </row>
        <row r="481">
          <cell r="G481">
            <v>100</v>
          </cell>
        </row>
        <row r="482">
          <cell r="G482">
            <v>100</v>
          </cell>
        </row>
        <row r="483">
          <cell r="G483">
            <v>100</v>
          </cell>
        </row>
        <row r="484">
          <cell r="G484">
            <v>100</v>
          </cell>
        </row>
        <row r="485">
          <cell r="G485">
            <v>100</v>
          </cell>
        </row>
        <row r="486">
          <cell r="G486">
            <v>100</v>
          </cell>
        </row>
        <row r="487">
          <cell r="G487">
            <v>100</v>
          </cell>
        </row>
        <row r="488">
          <cell r="G488">
            <v>100</v>
          </cell>
        </row>
        <row r="489">
          <cell r="G489">
            <v>100</v>
          </cell>
        </row>
        <row r="490">
          <cell r="G490">
            <v>100</v>
          </cell>
        </row>
        <row r="491">
          <cell r="G491">
            <v>100</v>
          </cell>
        </row>
        <row r="492">
          <cell r="G492">
            <v>100</v>
          </cell>
        </row>
        <row r="493">
          <cell r="G493">
            <v>100</v>
          </cell>
        </row>
        <row r="494">
          <cell r="G494">
            <v>100</v>
          </cell>
        </row>
        <row r="495">
          <cell r="G495">
            <v>100</v>
          </cell>
        </row>
        <row r="496">
          <cell r="G496">
            <v>100</v>
          </cell>
        </row>
        <row r="497">
          <cell r="G497">
            <v>100</v>
          </cell>
        </row>
        <row r="498">
          <cell r="G498">
            <v>100</v>
          </cell>
        </row>
        <row r="499">
          <cell r="G499">
            <v>100</v>
          </cell>
        </row>
        <row r="500">
          <cell r="G500">
            <v>100</v>
          </cell>
        </row>
        <row r="501">
          <cell r="G501">
            <v>100</v>
          </cell>
        </row>
        <row r="502">
          <cell r="G502">
            <v>100</v>
          </cell>
        </row>
        <row r="503">
          <cell r="G503">
            <v>100</v>
          </cell>
        </row>
        <row r="504">
          <cell r="G504">
            <v>100</v>
          </cell>
        </row>
        <row r="505">
          <cell r="G505">
            <v>100</v>
          </cell>
        </row>
        <row r="506">
          <cell r="G506">
            <v>100</v>
          </cell>
        </row>
        <row r="507">
          <cell r="G507">
            <v>100</v>
          </cell>
        </row>
        <row r="508">
          <cell r="G508">
            <v>100</v>
          </cell>
        </row>
        <row r="509">
          <cell r="G509">
            <v>100</v>
          </cell>
        </row>
        <row r="510">
          <cell r="G510">
            <v>100</v>
          </cell>
        </row>
        <row r="511">
          <cell r="G511">
            <v>100</v>
          </cell>
        </row>
        <row r="512">
          <cell r="G512">
            <v>100</v>
          </cell>
        </row>
        <row r="513">
          <cell r="G513">
            <v>100</v>
          </cell>
        </row>
        <row r="514">
          <cell r="G514">
            <v>100</v>
          </cell>
        </row>
        <row r="515">
          <cell r="G515">
            <v>100</v>
          </cell>
        </row>
        <row r="516">
          <cell r="G516">
            <v>100</v>
          </cell>
        </row>
        <row r="517">
          <cell r="G517">
            <v>100</v>
          </cell>
        </row>
        <row r="518">
          <cell r="G518">
            <v>100</v>
          </cell>
        </row>
        <row r="519">
          <cell r="G519">
            <v>100</v>
          </cell>
        </row>
        <row r="520">
          <cell r="G520">
            <v>100</v>
          </cell>
        </row>
        <row r="521">
          <cell r="G521">
            <v>100</v>
          </cell>
        </row>
        <row r="522">
          <cell r="G522">
            <v>100</v>
          </cell>
        </row>
        <row r="523">
          <cell r="G523">
            <v>100</v>
          </cell>
        </row>
        <row r="524">
          <cell r="G524">
            <v>100</v>
          </cell>
        </row>
        <row r="525">
          <cell r="G525">
            <v>100</v>
          </cell>
        </row>
        <row r="526">
          <cell r="G526">
            <v>100</v>
          </cell>
        </row>
        <row r="527">
          <cell r="G527">
            <v>100</v>
          </cell>
        </row>
        <row r="528">
          <cell r="G528">
            <v>100</v>
          </cell>
        </row>
        <row r="529">
          <cell r="G529">
            <v>100</v>
          </cell>
        </row>
        <row r="530">
          <cell r="G530">
            <v>100</v>
          </cell>
        </row>
        <row r="531">
          <cell r="G531">
            <v>100</v>
          </cell>
        </row>
        <row r="532">
          <cell r="G532">
            <v>100</v>
          </cell>
        </row>
        <row r="533">
          <cell r="G533">
            <v>100</v>
          </cell>
        </row>
        <row r="534">
          <cell r="G534">
            <v>100</v>
          </cell>
        </row>
        <row r="535">
          <cell r="G535">
            <v>100</v>
          </cell>
        </row>
        <row r="536">
          <cell r="G536">
            <v>100</v>
          </cell>
        </row>
        <row r="537">
          <cell r="G537">
            <v>100</v>
          </cell>
        </row>
        <row r="538">
          <cell r="G538">
            <v>100</v>
          </cell>
        </row>
        <row r="539">
          <cell r="G539">
            <v>100</v>
          </cell>
        </row>
        <row r="540">
          <cell r="G540">
            <v>100</v>
          </cell>
        </row>
        <row r="541">
          <cell r="G541">
            <v>100</v>
          </cell>
        </row>
        <row r="542">
          <cell r="G542">
            <v>100</v>
          </cell>
        </row>
        <row r="543">
          <cell r="G543">
            <v>100</v>
          </cell>
        </row>
        <row r="544">
          <cell r="G544">
            <v>100</v>
          </cell>
        </row>
        <row r="545">
          <cell r="G545">
            <v>100</v>
          </cell>
        </row>
        <row r="546">
          <cell r="G546">
            <v>100</v>
          </cell>
        </row>
        <row r="547">
          <cell r="G547">
            <v>100</v>
          </cell>
        </row>
        <row r="548">
          <cell r="G548">
            <v>100</v>
          </cell>
        </row>
        <row r="549">
          <cell r="G549">
            <v>100</v>
          </cell>
        </row>
        <row r="550">
          <cell r="G550">
            <v>100</v>
          </cell>
        </row>
        <row r="551">
          <cell r="G551">
            <v>100</v>
          </cell>
        </row>
        <row r="552">
          <cell r="G552">
            <v>100</v>
          </cell>
        </row>
        <row r="553">
          <cell r="G553">
            <v>100</v>
          </cell>
        </row>
        <row r="554">
          <cell r="G554">
            <v>100</v>
          </cell>
        </row>
        <row r="555">
          <cell r="G555">
            <v>100</v>
          </cell>
        </row>
        <row r="556">
          <cell r="G556">
            <v>100</v>
          </cell>
        </row>
        <row r="557">
          <cell r="G557">
            <v>100</v>
          </cell>
        </row>
        <row r="558">
          <cell r="G558">
            <v>100</v>
          </cell>
        </row>
        <row r="559">
          <cell r="G559">
            <v>100</v>
          </cell>
        </row>
        <row r="560">
          <cell r="G560">
            <v>100</v>
          </cell>
        </row>
        <row r="561">
          <cell r="G561">
            <v>100</v>
          </cell>
        </row>
        <row r="562">
          <cell r="G562">
            <v>100</v>
          </cell>
        </row>
        <row r="563">
          <cell r="G563">
            <v>100</v>
          </cell>
        </row>
        <row r="564">
          <cell r="G564">
            <v>100</v>
          </cell>
        </row>
        <row r="565">
          <cell r="G565">
            <v>100</v>
          </cell>
        </row>
        <row r="566">
          <cell r="G566">
            <v>100</v>
          </cell>
        </row>
        <row r="567">
          <cell r="G567">
            <v>100</v>
          </cell>
        </row>
        <row r="568">
          <cell r="G568">
            <v>100</v>
          </cell>
        </row>
        <row r="569">
          <cell r="G569">
            <v>100</v>
          </cell>
        </row>
        <row r="570">
          <cell r="G570">
            <v>100</v>
          </cell>
        </row>
        <row r="571">
          <cell r="G571">
            <v>100</v>
          </cell>
        </row>
        <row r="572">
          <cell r="G572">
            <v>100</v>
          </cell>
        </row>
        <row r="573">
          <cell r="G573">
            <v>100</v>
          </cell>
        </row>
        <row r="574">
          <cell r="G574">
            <v>100</v>
          </cell>
        </row>
        <row r="575">
          <cell r="G575">
            <v>100</v>
          </cell>
        </row>
        <row r="576">
          <cell r="G576">
            <v>100</v>
          </cell>
        </row>
        <row r="577">
          <cell r="G577">
            <v>100</v>
          </cell>
        </row>
        <row r="578">
          <cell r="G578">
            <v>100</v>
          </cell>
        </row>
        <row r="579">
          <cell r="G579">
            <v>100</v>
          </cell>
        </row>
        <row r="580">
          <cell r="G580">
            <v>100</v>
          </cell>
        </row>
        <row r="581">
          <cell r="G581">
            <v>100</v>
          </cell>
        </row>
        <row r="582">
          <cell r="G582">
            <v>100</v>
          </cell>
        </row>
        <row r="583">
          <cell r="G583">
            <v>100</v>
          </cell>
        </row>
        <row r="584">
          <cell r="G584">
            <v>100</v>
          </cell>
        </row>
        <row r="585">
          <cell r="G585">
            <v>100</v>
          </cell>
        </row>
        <row r="586">
          <cell r="G586">
            <v>100</v>
          </cell>
        </row>
        <row r="587">
          <cell r="G587">
            <v>100</v>
          </cell>
        </row>
        <row r="588">
          <cell r="G588">
            <v>100</v>
          </cell>
        </row>
        <row r="589">
          <cell r="G589">
            <v>100</v>
          </cell>
        </row>
        <row r="590">
          <cell r="G590">
            <v>100</v>
          </cell>
        </row>
        <row r="591">
          <cell r="G591">
            <v>100</v>
          </cell>
        </row>
        <row r="592">
          <cell r="G592">
            <v>100</v>
          </cell>
        </row>
        <row r="593">
          <cell r="G593">
            <v>100</v>
          </cell>
        </row>
        <row r="594">
          <cell r="G594">
            <v>100</v>
          </cell>
        </row>
        <row r="595">
          <cell r="G595">
            <v>100</v>
          </cell>
        </row>
        <row r="596">
          <cell r="G596">
            <v>100</v>
          </cell>
        </row>
        <row r="597">
          <cell r="G597">
            <v>100</v>
          </cell>
        </row>
        <row r="598">
          <cell r="G598">
            <v>100</v>
          </cell>
        </row>
        <row r="599">
          <cell r="G599">
            <v>100</v>
          </cell>
        </row>
        <row r="600">
          <cell r="G600">
            <v>100</v>
          </cell>
        </row>
        <row r="601">
          <cell r="G601">
            <v>100</v>
          </cell>
        </row>
        <row r="602">
          <cell r="G602">
            <v>100</v>
          </cell>
        </row>
        <row r="603">
          <cell r="G603">
            <v>100</v>
          </cell>
        </row>
        <row r="604">
          <cell r="G604">
            <v>100</v>
          </cell>
        </row>
        <row r="605">
          <cell r="G605">
            <v>100</v>
          </cell>
        </row>
        <row r="606">
          <cell r="G606">
            <v>100</v>
          </cell>
        </row>
        <row r="607">
          <cell r="G607">
            <v>100</v>
          </cell>
        </row>
        <row r="608">
          <cell r="G608">
            <v>100</v>
          </cell>
        </row>
        <row r="609">
          <cell r="G609">
            <v>100</v>
          </cell>
        </row>
        <row r="610">
          <cell r="G610">
            <v>100</v>
          </cell>
        </row>
        <row r="611">
          <cell r="G611">
            <v>100</v>
          </cell>
        </row>
        <row r="612">
          <cell r="G612">
            <v>100</v>
          </cell>
        </row>
        <row r="613">
          <cell r="G613">
            <v>100</v>
          </cell>
        </row>
        <row r="614">
          <cell r="G614">
            <v>100</v>
          </cell>
        </row>
        <row r="615">
          <cell r="G615">
            <v>100</v>
          </cell>
        </row>
        <row r="616">
          <cell r="G616">
            <v>100</v>
          </cell>
        </row>
        <row r="617">
          <cell r="G617">
            <v>100</v>
          </cell>
        </row>
        <row r="618">
          <cell r="G618">
            <v>100</v>
          </cell>
        </row>
        <row r="619">
          <cell r="G619">
            <v>100</v>
          </cell>
        </row>
        <row r="620">
          <cell r="G620">
            <v>100</v>
          </cell>
        </row>
        <row r="621">
          <cell r="G621">
            <v>100</v>
          </cell>
        </row>
        <row r="622">
          <cell r="G622">
            <v>100</v>
          </cell>
        </row>
        <row r="623">
          <cell r="G623">
            <v>100</v>
          </cell>
        </row>
        <row r="624">
          <cell r="G624">
            <v>100</v>
          </cell>
        </row>
        <row r="625">
          <cell r="G625">
            <v>100</v>
          </cell>
        </row>
        <row r="626">
          <cell r="G626">
            <v>100</v>
          </cell>
        </row>
        <row r="627">
          <cell r="G627">
            <v>100</v>
          </cell>
        </row>
        <row r="628">
          <cell r="G628">
            <v>100</v>
          </cell>
        </row>
        <row r="629">
          <cell r="G629">
            <v>100</v>
          </cell>
        </row>
        <row r="630">
          <cell r="G630">
            <v>100</v>
          </cell>
        </row>
        <row r="631">
          <cell r="G631">
            <v>100</v>
          </cell>
        </row>
        <row r="632">
          <cell r="G632">
            <v>100</v>
          </cell>
        </row>
        <row r="633">
          <cell r="G633">
            <v>100</v>
          </cell>
        </row>
        <row r="634">
          <cell r="G634">
            <v>100</v>
          </cell>
        </row>
        <row r="635">
          <cell r="G635">
            <v>100</v>
          </cell>
        </row>
        <row r="636">
          <cell r="G636">
            <v>100</v>
          </cell>
        </row>
        <row r="637">
          <cell r="G637">
            <v>100</v>
          </cell>
        </row>
        <row r="638">
          <cell r="G638">
            <v>100</v>
          </cell>
        </row>
        <row r="639">
          <cell r="G639">
            <v>100</v>
          </cell>
        </row>
        <row r="640">
          <cell r="G640">
            <v>100</v>
          </cell>
        </row>
        <row r="641">
          <cell r="G641">
            <v>100</v>
          </cell>
        </row>
        <row r="642">
          <cell r="G642">
            <v>100</v>
          </cell>
        </row>
        <row r="643">
          <cell r="G643">
            <v>100</v>
          </cell>
        </row>
        <row r="644">
          <cell r="G644">
            <v>100</v>
          </cell>
        </row>
        <row r="645">
          <cell r="G645">
            <v>100</v>
          </cell>
        </row>
        <row r="646">
          <cell r="G646">
            <v>100</v>
          </cell>
        </row>
        <row r="647">
          <cell r="G647">
            <v>100</v>
          </cell>
        </row>
        <row r="648">
          <cell r="G648">
            <v>100</v>
          </cell>
        </row>
        <row r="649">
          <cell r="G649">
            <v>100</v>
          </cell>
        </row>
        <row r="650">
          <cell r="G650">
            <v>100</v>
          </cell>
        </row>
        <row r="651">
          <cell r="G651">
            <v>100</v>
          </cell>
        </row>
        <row r="652">
          <cell r="G652">
            <v>100</v>
          </cell>
        </row>
        <row r="653">
          <cell r="G653">
            <v>100</v>
          </cell>
        </row>
        <row r="654">
          <cell r="G654">
            <v>100</v>
          </cell>
        </row>
        <row r="655">
          <cell r="G655">
            <v>100</v>
          </cell>
        </row>
        <row r="656">
          <cell r="G656">
            <v>100</v>
          </cell>
        </row>
        <row r="657">
          <cell r="G657">
            <v>100</v>
          </cell>
        </row>
        <row r="658">
          <cell r="G658">
            <v>100</v>
          </cell>
        </row>
        <row r="659">
          <cell r="G659">
            <v>100</v>
          </cell>
        </row>
        <row r="660">
          <cell r="G660">
            <v>100</v>
          </cell>
        </row>
        <row r="661">
          <cell r="G661">
            <v>100</v>
          </cell>
        </row>
        <row r="662">
          <cell r="G662">
            <v>100</v>
          </cell>
        </row>
        <row r="663">
          <cell r="G663">
            <v>100</v>
          </cell>
        </row>
        <row r="664">
          <cell r="G664">
            <v>100</v>
          </cell>
        </row>
        <row r="665">
          <cell r="G665">
            <v>100</v>
          </cell>
        </row>
        <row r="666">
          <cell r="G666">
            <v>100</v>
          </cell>
        </row>
        <row r="667">
          <cell r="G667">
            <v>100</v>
          </cell>
        </row>
        <row r="668">
          <cell r="G668">
            <v>100</v>
          </cell>
        </row>
        <row r="669">
          <cell r="G669">
            <v>100</v>
          </cell>
        </row>
        <row r="670">
          <cell r="G670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2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" t="inlineStr">
        <is>
          <t>Бюджет себестоимости — OZON склады МСК-2</t>
        </is>
      </c>
    </row>
    <row r="2"/>
    <row r="3" ht="32" customHeight="1">
      <c r="A3" s="2" t="inlineStr">
        <is>
          <t>Статья</t>
        </is>
      </c>
      <c r="B3" s="2" t="inlineStr">
        <is>
          <t>Значение</t>
        </is>
      </c>
    </row>
    <row r="4">
      <c r="A4" s="3" t="inlineStr">
        <is>
          <t>Материалы, с/с</t>
        </is>
      </c>
      <c r="B4" s="4">
        <f>SUM(Материалы!S4:S800)</f>
        <v/>
      </c>
    </row>
    <row r="5">
      <c r="A5" s="3" t="inlineStr">
        <is>
          <t>Оплата бригадам</t>
        </is>
      </c>
      <c r="B5" s="4">
        <f>SUM(Работы!L4:L800)</f>
        <v/>
      </c>
    </row>
    <row r="6">
      <c r="A6" s="3" t="inlineStr">
        <is>
          <t>Расходники</t>
        </is>
      </c>
      <c r="B6" s="4">
        <f>SUM(Работы!M4:M800)</f>
        <v/>
      </c>
    </row>
    <row r="7">
      <c r="A7" s="3" t="inlineStr">
        <is>
          <t>Косвенные</t>
        </is>
      </c>
      <c r="B7" s="4">
        <f>Косвенные!C9</f>
        <v/>
      </c>
    </row>
    <row r="8">
      <c r="A8" s="5" t="inlineStr">
        <is>
          <t>Полная себестоимость</t>
        </is>
      </c>
      <c r="B8" s="6">
        <f>B4+B5+B6+B7</f>
        <v/>
      </c>
    </row>
    <row r="9">
      <c r="A9" s="3" t="inlineStr">
        <is>
          <t>КП работ (с косвенными)</t>
        </is>
      </c>
      <c r="B9" s="4">
        <f>SUM(Работы!Q4:Q800)</f>
        <v/>
      </c>
    </row>
    <row r="10">
      <c r="A10" s="3" t="inlineStr">
        <is>
          <t>КП материалов</t>
        </is>
      </c>
      <c r="B10" s="4">
        <f>SUM(Материалы!T4:T800)</f>
        <v/>
      </c>
    </row>
    <row r="11">
      <c r="A11" s="5" t="inlineStr">
        <is>
          <t>КП без НДС</t>
        </is>
      </c>
      <c r="B11" s="6">
        <f>B9+B10</f>
        <v/>
      </c>
    </row>
    <row r="12">
      <c r="A12" s="3" t="inlineStr">
        <is>
          <t>НДС 22 %</t>
        </is>
      </c>
      <c r="B12" s="4">
        <f>B11*(VAT_DIV-1)</f>
        <v/>
      </c>
    </row>
    <row r="13">
      <c r="A13" s="5" t="inlineStr">
        <is>
          <t>КП с НДС</t>
        </is>
      </c>
      <c r="B13" s="6">
        <f>B11*VAT_DIV</f>
        <v/>
      </c>
    </row>
    <row r="14">
      <c r="A14" s="3" t="inlineStr">
        <is>
          <t>Наценка на с/с</t>
        </is>
      </c>
      <c r="B14" s="7">
        <f>IF(B8=0,0,B11/B8-1)</f>
        <v/>
      </c>
    </row>
    <row r="15">
      <c r="A15" s="3" t="inlineStr">
        <is>
          <t>Маржа</t>
        </is>
      </c>
      <c r="B15" s="7">
        <f>IF(B11=0,0,1-B8/B11)</f>
        <v/>
      </c>
    </row>
    <row r="16">
      <c r="A16" s="3" t="inlineStr">
        <is>
          <t>Диапазон типа тендера</t>
        </is>
      </c>
      <c r="B16" s="3" t="inlineStr">
        <is>
          <t>15% – 25%</t>
        </is>
      </c>
    </row>
    <row r="17">
      <c r="A17" s="3" t="inlineStr">
        <is>
          <t>Переторжка −5 % (КП б/НДС)</t>
        </is>
      </c>
      <c r="B17" s="4">
        <f>B11*0.95</f>
        <v/>
      </c>
    </row>
    <row r="18">
      <c r="A18" s="3" t="inlineStr">
        <is>
          <t>Маржа при −5 %</t>
        </is>
      </c>
      <c r="B18" s="7">
        <f>IF(B17=0,0,1-B8/B17)</f>
        <v/>
      </c>
    </row>
    <row r="19">
      <c r="A19" s="3" t="inlineStr">
        <is>
          <t>Переторжка −10 % (КП б/НДС)</t>
        </is>
      </c>
      <c r="B19" s="4">
        <f>B11*0.9</f>
        <v/>
      </c>
    </row>
    <row r="20">
      <c r="A20" s="3" t="inlineStr">
        <is>
          <t>Маржа при −10 %</t>
        </is>
      </c>
      <c r="B20" s="7">
        <f>IF(B19=0,0,1-B8/B19)</f>
        <v/>
      </c>
    </row>
    <row r="21">
      <c r="A21" s="3" t="inlineStr">
        <is>
          <t>Минимальная цена, наценка 15 %</t>
        </is>
      </c>
      <c r="B21" s="4">
        <f>B8*1.15</f>
        <v/>
      </c>
    </row>
    <row r="22">
      <c r="A22" s="3" t="inlineStr">
        <is>
          <t>Трудоёмкость, чел.-ч</t>
        </is>
      </c>
      <c r="B22" s="4">
        <f>SUM(Работы!U4:U800)</f>
        <v/>
      </c>
    </row>
    <row r="23">
      <c r="A23" s="3" t="inlineStr">
        <is>
          <t>Проверка: сумма единичных цен × объём</t>
        </is>
      </c>
      <c r="B23" s="4">
        <f>SUMPRODUCT(Работы!T4:T672,Работы!D4:D672)</f>
        <v/>
      </c>
    </row>
    <row r="24">
      <c r="A24" s="3" t="inlineStr">
        <is>
          <t>Расхождение проверки и КП</t>
        </is>
      </c>
      <c r="B24" s="4">
        <f>B23-B11</f>
        <v/>
      </c>
    </row>
    <row r="25"/>
    <row r="26">
      <c r="A26" s="8" t="inlineStr">
        <is>
          <t>Жёлтые ячейки — ввод. Зелёные — формулы. Объём на листе «Форма», колонка G. Заказчику этот файл не передавать.</t>
        </is>
      </c>
    </row>
  </sheetData>
  <autoFilter ref="A3:B3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5" customWidth="1" min="3" max="3"/>
  </cols>
  <sheetData>
    <row r="1">
      <c r="A1" s="1" t="inlineStr">
        <is>
          <t>Параметры расчёта — жёлтые ячейки можно менять, остальное пересчитается</t>
        </is>
      </c>
    </row>
    <row r="2"/>
    <row r="3" ht="32" customHeight="1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Что это</t>
        </is>
      </c>
    </row>
    <row r="4">
      <c r="A4" s="9" t="inlineStr">
        <is>
          <t>НДС, делитель</t>
        </is>
      </c>
      <c r="B4" s="10" t="n">
        <v>1.22</v>
      </c>
      <c r="C4" s="9" t="inlineStr">
        <is>
          <t>Цена с НДС делится на это число</t>
        </is>
      </c>
    </row>
    <row r="5">
      <c r="A5" s="9" t="inlineStr">
        <is>
          <t>Доставка</t>
        </is>
      </c>
      <c r="B5" s="11" t="n">
        <v>0.05</v>
      </c>
      <c r="C5" s="9" t="inlineStr">
        <is>
          <t>Подмосковье, доля к закупке</t>
        </is>
      </c>
    </row>
    <row r="6">
      <c r="A6" s="9" t="inlineStr">
        <is>
          <t>Резерв роста</t>
        </is>
      </c>
      <c r="B6" s="11" t="n">
        <v>0</v>
      </c>
      <c r="C6" s="9" t="inlineStr">
        <is>
          <t>0: закупка под заявку</t>
        </is>
      </c>
    </row>
    <row r="7">
      <c r="A7" s="9" t="inlineStr">
        <is>
          <t>Стоимость денег</t>
        </is>
      </c>
      <c r="B7" s="11" t="n">
        <v>0.04</v>
      </c>
      <c r="C7" s="9" t="inlineStr">
        <is>
          <t>Постоплата около 2 месяцев</t>
        </is>
      </c>
    </row>
    <row r="8">
      <c r="A8" s="9" t="inlineStr">
        <is>
          <t>Разъезды</t>
        </is>
      </c>
      <c r="B8" s="11" t="n">
        <v>0.1</v>
      </c>
      <c r="C8" s="9" t="inlineStr">
        <is>
          <t>Доля от оплаты бригадам</t>
        </is>
      </c>
    </row>
    <row r="9">
      <c r="A9" s="9" t="inlineStr">
        <is>
          <t>Мастер на заявках</t>
        </is>
      </c>
      <c r="B9" s="11" t="n">
        <v>0.08</v>
      </c>
      <c r="C9" s="9" t="inlineStr">
        <is>
          <t>Доля от оплаты бригадам</t>
        </is>
      </c>
    </row>
    <row r="10">
      <c r="A10" s="9" t="inlineStr">
        <is>
          <t>Удержание цены</t>
        </is>
      </c>
      <c r="B10" s="11" t="n">
        <v>0.04</v>
      </c>
      <c r="C10" s="9" t="inlineStr">
        <is>
          <t>Доля от закупки материалов без НДС</t>
        </is>
      </c>
    </row>
    <row r="11">
      <c r="A11" s="9" t="inlineStr">
        <is>
          <t>Гарантия</t>
        </is>
      </c>
      <c r="B11" s="11" t="n">
        <v>0.015</v>
      </c>
      <c r="C11" s="9" t="inlineStr">
        <is>
          <t>Доля от бригады и закупки</t>
        </is>
      </c>
    </row>
    <row r="12">
      <c r="A12" s="9" t="inlineStr">
        <is>
          <t>Риски склада</t>
        </is>
      </c>
      <c r="B12" s="11" t="n">
        <v>0.03</v>
      </c>
      <c r="C12" s="9" t="inlineStr">
        <is>
          <t>Доля от бригады и закупки</t>
        </is>
      </c>
    </row>
  </sheetData>
  <autoFilter ref="A3:C3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</cols>
  <sheetData>
    <row r="1">
      <c r="A1" s="12" t="inlineStr">
        <is>
          <t>Процент расходников к оплате бригаде. Жёлтое можно менять.</t>
        </is>
      </c>
    </row>
    <row r="2"/>
    <row r="3" ht="32" customHeight="1">
      <c r="A3" s="2" t="inlineStr">
        <is>
          <t>Код</t>
        </is>
      </c>
      <c r="B3" s="2" t="inlineStr">
        <is>
          <t>Процент</t>
        </is>
      </c>
      <c r="C3" s="2" t="inlineStr">
        <is>
          <t>Кто</t>
        </is>
      </c>
    </row>
    <row r="4">
      <c r="A4" s="9" t="inlineStr">
        <is>
          <t>BET</t>
        </is>
      </c>
      <c r="B4" s="11" t="n">
        <v>0.02</v>
      </c>
      <c r="C4" s="9" t="inlineStr">
        <is>
          <t>Бетонщик / арматурщик</t>
        </is>
      </c>
    </row>
    <row r="5">
      <c r="A5" s="9" t="inlineStr">
        <is>
          <t>BLG</t>
        </is>
      </c>
      <c r="B5" s="11" t="n">
        <v>0.02</v>
      </c>
      <c r="C5" s="9" t="inlineStr">
        <is>
          <t>Благоустройство</t>
        </is>
      </c>
    </row>
    <row r="6">
      <c r="A6" s="9" t="inlineStr">
        <is>
          <t>DER</t>
        </is>
      </c>
      <c r="B6" s="11" t="n">
        <v>0.02</v>
      </c>
      <c r="C6" s="9" t="inlineStr">
        <is>
          <t>Дезинфектор (ОЗДС)</t>
        </is>
      </c>
    </row>
    <row r="7">
      <c r="A7" s="9" t="inlineStr">
        <is>
          <t>DVR</t>
        </is>
      </c>
      <c r="B7" s="11" t="n">
        <v>0.02</v>
      </c>
      <c r="C7" s="9" t="inlineStr">
        <is>
          <t>Двери, окна, перегородки</t>
        </is>
      </c>
    </row>
    <row r="8">
      <c r="A8" s="9" t="inlineStr">
        <is>
          <t>ELM</t>
        </is>
      </c>
      <c r="B8" s="11" t="n">
        <v>0.02</v>
      </c>
      <c r="C8" s="9" t="inlineStr">
        <is>
          <t>Электромонтажник</t>
        </is>
      </c>
    </row>
    <row r="9">
      <c r="A9" s="9" t="inlineStr">
        <is>
          <t>ETL</t>
        </is>
      </c>
      <c r="B9" s="11" t="n">
        <v>0.01</v>
      </c>
      <c r="C9" s="9" t="inlineStr">
        <is>
          <t>Электролаборатория / ПНР</t>
        </is>
      </c>
    </row>
    <row r="10">
      <c r="A10" s="9" t="inlineStr">
        <is>
          <t>FAS</t>
        </is>
      </c>
      <c r="B10" s="11" t="n">
        <v>0.02</v>
      </c>
      <c r="C10" s="9" t="inlineStr">
        <is>
          <t>Фасадчик / промальп</t>
        </is>
      </c>
    </row>
    <row r="11">
      <c r="A11" s="9" t="inlineStr">
        <is>
          <t>HOL</t>
        </is>
      </c>
      <c r="B11" s="11" t="n">
        <v>0.02</v>
      </c>
      <c r="C11" s="9" t="inlineStr">
        <is>
          <t>Холодильщик / кондиционеры</t>
        </is>
      </c>
    </row>
    <row r="12">
      <c r="A12" s="9" t="inlineStr">
        <is>
          <t>KAM</t>
        </is>
      </c>
      <c r="B12" s="11" t="n">
        <v>0.02</v>
      </c>
      <c r="C12" s="9" t="inlineStr">
        <is>
          <t>Каменщик</t>
        </is>
      </c>
    </row>
    <row r="13">
      <c r="A13" s="9" t="inlineStr">
        <is>
          <t>KRO</t>
        </is>
      </c>
      <c r="B13" s="11" t="n">
        <v>0.02</v>
      </c>
      <c r="C13" s="9" t="inlineStr">
        <is>
          <t>Кровельщик</t>
        </is>
      </c>
    </row>
    <row r="14">
      <c r="A14" s="9" t="inlineStr">
        <is>
          <t>NAR</t>
        </is>
      </c>
      <c r="B14" s="11" t="n">
        <v>0.02</v>
      </c>
      <c r="C14" s="9" t="inlineStr">
        <is>
          <t>Наружные сети</t>
        </is>
      </c>
    </row>
    <row r="15">
      <c r="A15" s="9" t="inlineStr">
        <is>
          <t>OTD</t>
        </is>
      </c>
      <c r="B15" s="11" t="n">
        <v>0.03</v>
      </c>
      <c r="C15" s="9" t="inlineStr">
        <is>
          <t>Отделочник</t>
        </is>
      </c>
    </row>
    <row r="16">
      <c r="A16" s="9" t="inlineStr">
        <is>
          <t>PLI</t>
        </is>
      </c>
      <c r="B16" s="11" t="n">
        <v>0.02</v>
      </c>
      <c r="C16" s="9" t="inlineStr">
        <is>
          <t>Плиточник / полы</t>
        </is>
      </c>
    </row>
    <row r="17">
      <c r="A17" s="9" t="inlineStr">
        <is>
          <t>PSM</t>
        </is>
      </c>
      <c r="B17" s="11" t="n">
        <v>0.02</v>
      </c>
      <c r="C17" s="9" t="inlineStr">
        <is>
          <t>Механик ПС / подъёмники / доки</t>
        </is>
      </c>
    </row>
    <row r="18">
      <c r="A18" s="9" t="inlineStr">
        <is>
          <t>RAZ</t>
        </is>
      </c>
      <c r="B18" s="11" t="n">
        <v>0.04</v>
      </c>
      <c r="C18" s="9" t="inlineStr">
        <is>
          <t>Разнорабочий / демонтажник</t>
        </is>
      </c>
    </row>
    <row r="19">
      <c r="A19" s="9" t="inlineStr">
        <is>
          <t>SAN</t>
        </is>
      </c>
      <c r="B19" s="11" t="n">
        <v>0.02</v>
      </c>
      <c r="C19" s="9" t="inlineStr">
        <is>
          <t>Сантехник</t>
        </is>
      </c>
    </row>
    <row r="20">
      <c r="A20" s="9" t="inlineStr">
        <is>
          <t>SVA</t>
        </is>
      </c>
      <c r="B20" s="11" t="n">
        <v>0.03</v>
      </c>
      <c r="C20" s="9" t="inlineStr">
        <is>
          <t>Сварщик / монтажник МК</t>
        </is>
      </c>
    </row>
    <row r="21">
      <c r="A21" s="9" t="inlineStr">
        <is>
          <t>VEN</t>
        </is>
      </c>
      <c r="B21" s="11" t="n">
        <v>0.02</v>
      </c>
      <c r="C21" s="9" t="inlineStr">
        <is>
          <t>Монтажник вентиляции</t>
        </is>
      </c>
    </row>
    <row r="22">
      <c r="A22" s="9" t="inlineStr">
        <is>
          <t>VOR</t>
        </is>
      </c>
      <c r="B22" s="11" t="n">
        <v>0.02</v>
      </c>
      <c r="C22" s="9" t="inlineStr">
        <is>
          <t>Ворота и автоматика</t>
        </is>
      </c>
    </row>
    <row r="23">
      <c r="A23" s="9" t="inlineStr">
        <is>
          <t>ZEM</t>
        </is>
      </c>
      <c r="B23" s="11" t="n">
        <v>0.01</v>
      </c>
      <c r="C23" s="9" t="inlineStr">
        <is>
          <t>Землекоп</t>
        </is>
      </c>
    </row>
  </sheetData>
  <autoFilter ref="A3:C3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U672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2" customWidth="1" min="4" max="4"/>
    <col width="16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6" customWidth="1" min="19" max="19"/>
    <col width="14" customWidth="1" min="20" max="20"/>
    <col width="12" customWidth="1" min="21" max="21"/>
  </cols>
  <sheetData>
    <row r="1">
      <c r="A1" s="12" t="inlineStr">
        <is>
          <t>Работы. Жёлтые — ввод (цена КП, бригада, норма). Объём берётся с листа «Форма».</t>
        </is>
      </c>
    </row>
    <row r="2"/>
    <row r="3" ht="32" customHeight="1">
      <c r="A3" s="2" t="inlineStr">
        <is>
          <t>Артикул</t>
        </is>
      </c>
      <c r="B3" s="2" t="inlineStr">
        <is>
          <t>Позиция ВОР</t>
        </is>
      </c>
      <c r="C3" s="2" t="inlineStr">
        <is>
          <t>Ед.</t>
        </is>
      </c>
      <c r="D3" s="2" t="inlineStr">
        <is>
          <t>Объём</t>
        </is>
      </c>
      <c r="E3" s="2" t="inlineStr">
        <is>
          <t>Метка</t>
        </is>
      </c>
      <c r="F3" s="2" t="inlineStr">
        <is>
          <t>Код</t>
        </is>
      </c>
      <c r="G3" s="2" t="inlineStr">
        <is>
          <t>КП тарифа</t>
        </is>
      </c>
      <c r="H3" s="2" t="inlineStr">
        <is>
          <t>Бригада</t>
        </is>
      </c>
      <c r="I3" s="2" t="inlineStr">
        <is>
          <t>Норма, чел.-ч</t>
        </is>
      </c>
      <c r="J3" s="2" t="inlineStr">
        <is>
          <t>Подтянута</t>
        </is>
      </c>
      <c r="K3" s="2" t="inlineStr">
        <is>
          <t>% расходников</t>
        </is>
      </c>
      <c r="L3" s="2" t="inlineStr">
        <is>
          <t>Оплата бригаде</t>
        </is>
      </c>
      <c r="M3" s="2" t="inlineStr">
        <is>
          <t>Расходники</t>
        </is>
      </c>
      <c r="N3" s="2" t="inlineStr">
        <is>
          <t>С/с материалов</t>
        </is>
      </c>
      <c r="O3" s="2" t="inlineStr">
        <is>
          <t>Прямая с/с</t>
        </is>
      </c>
      <c r="P3" s="2" t="inlineStr">
        <is>
          <t>Косвенные</t>
        </is>
      </c>
      <c r="Q3" s="2" t="inlineStr">
        <is>
          <t>КП работ</t>
        </is>
      </c>
      <c r="R3" s="2" t="inlineStr">
        <is>
          <t>Работа за ед.</t>
        </is>
      </c>
      <c r="S3" s="2" t="inlineStr">
        <is>
          <t>Материалы за ед.</t>
        </is>
      </c>
      <c r="T3" s="2" t="inlineStr">
        <is>
          <t>Услуга за ед.</t>
        </is>
      </c>
      <c r="U3" s="2" t="inlineStr">
        <is>
          <t>Чел.-ч</t>
        </is>
      </c>
    </row>
    <row r="4" ht="22" customHeight="1">
      <c r="A4" s="9" t="inlineStr">
        <is>
          <t>9.1.34</t>
        </is>
      </c>
      <c r="B4" s="13" t="inlineStr">
        <is>
          <t>2. Гидродинамическим спосбом включая вызов спец.техники</t>
        </is>
      </c>
      <c r="C4" s="9" t="inlineStr">
        <is>
          <t>м.п.</t>
        </is>
      </c>
      <c r="D4" s="4">
        <f>IF('Форма'!G2="","",'Форма'!G2)</f>
        <v/>
      </c>
      <c r="E4" s="9" t="inlineStr">
        <is>
          <t>точно</t>
        </is>
      </c>
      <c r="F4" s="9" t="inlineStr">
        <is>
          <t>SAN</t>
        </is>
      </c>
      <c r="G4" s="10" t="n">
        <v>202</v>
      </c>
      <c r="H4" s="10" t="n">
        <v>125</v>
      </c>
      <c r="I4" s="10" t="n">
        <v>0.08</v>
      </c>
      <c r="J4" s="9" t="inlineStr"/>
      <c r="K4" s="7">
        <f>IF(F4="",0,IFERROR(VLOOKUP(F4,Расходники!$A$4:$B$23,2,FALSE),0))</f>
        <v/>
      </c>
      <c r="L4" s="4">
        <f>H4*D4</f>
        <v/>
      </c>
      <c r="M4" s="4">
        <f>L4*K4</f>
        <v/>
      </c>
      <c r="N4" s="4">
        <f>SUMIF(Материалы!$A$4:$A$800,SUBSTITUTE(SUBSTITUTE(SUBSTITUTE(B4,"~","~~"),"*","~*"),"?","~?"),Материалы!$S$4:$S$800)</f>
        <v/>
      </c>
      <c r="O4" s="4">
        <f>L4+M4+N4</f>
        <v/>
      </c>
      <c r="P4" s="4">
        <f>IF(SUM($O$4:$O$672)=0,0,Косвенные!$C$9*O4/SUM($O$4:$O$672))</f>
        <v/>
      </c>
      <c r="Q4" s="4">
        <f>G4*D4+P4</f>
        <v/>
      </c>
      <c r="R4" s="4">
        <f>IF(D4=0,0,Q4/D4)</f>
        <v/>
      </c>
      <c r="S4" s="4">
        <f>IF(D4=0,0,SUMIF(Материалы!$A$4:$A$800,SUBSTITUTE(SUBSTITUTE(SUBSTITUTE(B4,"~","~~"),"*","~*"),"?","~?"),Материалы!$T$4:$T$800)/D4)</f>
        <v/>
      </c>
      <c r="T4" s="4">
        <f>R4+S4</f>
        <v/>
      </c>
      <c r="U4" s="4">
        <f>I4*D4</f>
        <v/>
      </c>
    </row>
    <row r="5" ht="22" customHeight="1">
      <c r="A5" s="9" t="inlineStr">
        <is>
          <t>11.2.N1</t>
        </is>
      </c>
      <c r="B5" s="13" t="inlineStr">
        <is>
          <t>3. Ручным способом с применением спец.инструмента</t>
        </is>
      </c>
      <c r="C5" s="9" t="inlineStr">
        <is>
          <t>м.п.</t>
        </is>
      </c>
      <c r="D5" s="4">
        <f>IF('Форма'!G3="","",'Форма'!G3)</f>
        <v/>
      </c>
      <c r="E5" s="9" t="inlineStr">
        <is>
          <t>аналог (11.2.N1)</t>
        </is>
      </c>
      <c r="F5" s="9" t="inlineStr">
        <is>
          <t>SAN</t>
        </is>
      </c>
      <c r="G5" s="10" t="n">
        <v>288</v>
      </c>
      <c r="H5" s="10" t="n">
        <v>172</v>
      </c>
      <c r="I5" s="10" t="n">
        <v>0.05</v>
      </c>
      <c r="J5" s="9" t="inlineStr"/>
      <c r="K5" s="7">
        <f>IF(F5="",0,IFERROR(VLOOKUP(F5,Расходники!$A$4:$B$23,2,FALSE),0))</f>
        <v/>
      </c>
      <c r="L5" s="4">
        <f>H5*D5</f>
        <v/>
      </c>
      <c r="M5" s="4">
        <f>L5*K5</f>
        <v/>
      </c>
      <c r="N5" s="4">
        <f>SUMIF(Материалы!$A$4:$A$800,SUBSTITUTE(SUBSTITUTE(SUBSTITUTE(B5,"~","~~"),"*","~*"),"?","~?"),Материалы!$S$4:$S$800)</f>
        <v/>
      </c>
      <c r="O5" s="4">
        <f>L5+M5+N5</f>
        <v/>
      </c>
      <c r="P5" s="4">
        <f>IF(SUM($O$4:$O$672)=0,0,Косвенные!$C$9*O5/SUM($O$4:$O$672))</f>
        <v/>
      </c>
      <c r="Q5" s="4">
        <f>G5*D5+P5</f>
        <v/>
      </c>
      <c r="R5" s="4">
        <f>IF(D5=0,0,Q5/D5)</f>
        <v/>
      </c>
      <c r="S5" s="4">
        <f>IF(D5=0,0,SUMIF(Материалы!$A$4:$A$800,SUBSTITUTE(SUBSTITUTE(SUBSTITUTE(B5,"~","~~"),"*","~*"),"?","~?"),Материалы!$T$4:$T$800)/D5)</f>
        <v/>
      </c>
      <c r="T5" s="4">
        <f>R5+S5</f>
        <v/>
      </c>
      <c r="U5" s="4">
        <f>I5*D5</f>
        <v/>
      </c>
    </row>
    <row r="6" ht="22" customHeight="1">
      <c r="A6" s="9" t="inlineStr"/>
      <c r="B6" s="13" t="inlineStr">
        <is>
          <t>4. Ручная очистка пескоуловителя объемом до 1м3 включая разбоку и сборку,утилизацию мусора</t>
        </is>
      </c>
      <c r="C6" s="9" t="inlineStr">
        <is>
          <t>шт.</t>
        </is>
      </c>
      <c r="D6" s="4">
        <f>IF('Форма'!G4="","",'Форма'!G4)</f>
        <v/>
      </c>
      <c r="E6" s="9" t="inlineStr">
        <is>
          <t>нет в тарификаторе</t>
        </is>
      </c>
      <c r="F6" s="9" t="inlineStr">
        <is>
          <t>SAN</t>
        </is>
      </c>
      <c r="G6" s="10" t="n">
        <v>6270</v>
      </c>
      <c r="H6" s="10" t="n">
        <v>3060</v>
      </c>
      <c r="I6" s="10" t="n">
        <v>3</v>
      </c>
      <c r="J6" s="9" t="inlineStr"/>
      <c r="K6" s="7">
        <f>IF(F6="",0,IFERROR(VLOOKUP(F6,Расходники!$A$4:$B$23,2,FALSE),0))</f>
        <v/>
      </c>
      <c r="L6" s="4">
        <f>H6*D6</f>
        <v/>
      </c>
      <c r="M6" s="4">
        <f>L6*K6</f>
        <v/>
      </c>
      <c r="N6" s="4">
        <f>SUMIF(Материалы!$A$4:$A$800,SUBSTITUTE(SUBSTITUTE(SUBSTITUTE(B6,"~","~~"),"*","~*"),"?","~?"),Материалы!$S$4:$S$800)</f>
        <v/>
      </c>
      <c r="O6" s="4">
        <f>L6+M6+N6</f>
        <v/>
      </c>
      <c r="P6" s="4">
        <f>IF(SUM($O$4:$O$672)=0,0,Косвенные!$C$9*O6/SUM($O$4:$O$672))</f>
        <v/>
      </c>
      <c r="Q6" s="4">
        <f>G6*D6+P6</f>
        <v/>
      </c>
      <c r="R6" s="4">
        <f>IF(D6=0,0,Q6/D6)</f>
        <v/>
      </c>
      <c r="S6" s="4">
        <f>IF(D6=0,0,SUMIF(Материалы!$A$4:$A$800,SUBSTITUTE(SUBSTITUTE(SUBSTITUTE(B6,"~","~~"),"*","~*"),"?","~?"),Материалы!$T$4:$T$800)/D6)</f>
        <v/>
      </c>
      <c r="T6" s="4">
        <f>R6+S6</f>
        <v/>
      </c>
      <c r="U6" s="4">
        <f>I6*D6</f>
        <v/>
      </c>
    </row>
    <row r="7" ht="22" customHeight="1">
      <c r="A7" s="9" t="inlineStr"/>
      <c r="B7" s="13" t="inlineStr">
        <is>
          <t>5. Диагностика и дефектовка: Проверка механизма подъема (пружин или гидравлики), состояния аппарели и шарнирных соединений.</t>
        </is>
      </c>
      <c r="C7" s="9" t="inlineStr">
        <is>
          <t>шт.</t>
        </is>
      </c>
      <c r="D7" s="4">
        <f>IF('Форма'!G5="","",'Форма'!G5)</f>
        <v/>
      </c>
      <c r="E7" s="9" t="inlineStr">
        <is>
          <t>нет в тарификаторе</t>
        </is>
      </c>
      <c r="F7" s="9" t="inlineStr">
        <is>
          <t>VOR</t>
        </is>
      </c>
      <c r="G7" s="10" t="n">
        <v>4710</v>
      </c>
      <c r="H7" s="10" t="n">
        <v>2160</v>
      </c>
      <c r="I7" s="10" t="n">
        <v>1.5</v>
      </c>
      <c r="J7" s="9" t="inlineStr"/>
      <c r="K7" s="7">
        <f>IF(F7="",0,IFERROR(VLOOKUP(F7,Расходники!$A$4:$B$23,2,FALSE),0))</f>
        <v/>
      </c>
      <c r="L7" s="4">
        <f>H7*D7</f>
        <v/>
      </c>
      <c r="M7" s="4">
        <f>L7*K7</f>
        <v/>
      </c>
      <c r="N7" s="4">
        <f>SUMIF(Материалы!$A$4:$A$800,SUBSTITUTE(SUBSTITUTE(SUBSTITUTE(B7,"~","~~"),"*","~*"),"?","~?"),Материалы!$S$4:$S$800)</f>
        <v/>
      </c>
      <c r="O7" s="4">
        <f>L7+M7+N7</f>
        <v/>
      </c>
      <c r="P7" s="4">
        <f>IF(SUM($O$4:$O$672)=0,0,Косвенные!$C$9*O7/SUM($O$4:$O$672))</f>
        <v/>
      </c>
      <c r="Q7" s="4">
        <f>G7*D7+P7</f>
        <v/>
      </c>
      <c r="R7" s="4">
        <f>IF(D7=0,0,Q7/D7)</f>
        <v/>
      </c>
      <c r="S7" s="4">
        <f>IF(D7=0,0,SUMIF(Материалы!$A$4:$A$800,SUBSTITUTE(SUBSTITUTE(SUBSTITUTE(B7,"~","~~"),"*","~*"),"?","~?"),Материалы!$T$4:$T$800)/D7)</f>
        <v/>
      </c>
      <c r="T7" s="4">
        <f>R7+S7</f>
        <v/>
      </c>
      <c r="U7" s="4">
        <f>I7*D7</f>
        <v/>
      </c>
    </row>
    <row r="8" ht="22" customHeight="1">
      <c r="A8" s="9" t="inlineStr"/>
      <c r="B8" s="13" t="inlineStr">
        <is>
          <t>6. Восстановление шарниров: Замена осей крепления, шплинтов, втулок и очистка петель от загрязнений.</t>
        </is>
      </c>
      <c r="C8" s="9" t="inlineStr">
        <is>
          <t>шт.</t>
        </is>
      </c>
      <c r="D8" s="4">
        <f>IF('Форма'!G6="","",'Форма'!G6)</f>
        <v/>
      </c>
      <c r="E8" s="9" t="inlineStr">
        <is>
          <t>нет в тарификаторе</t>
        </is>
      </c>
      <c r="F8" s="9" t="inlineStr">
        <is>
          <t>VOR</t>
        </is>
      </c>
      <c r="G8" s="10" t="n">
        <v>6280</v>
      </c>
      <c r="H8" s="10" t="n">
        <v>2880</v>
      </c>
      <c r="I8" s="10" t="n">
        <v>2</v>
      </c>
      <c r="J8" s="9" t="inlineStr"/>
      <c r="K8" s="7">
        <f>IF(F8="",0,IFERROR(VLOOKUP(F8,Расходники!$A$4:$B$23,2,FALSE),0))</f>
        <v/>
      </c>
      <c r="L8" s="4">
        <f>H8*D8</f>
        <v/>
      </c>
      <c r="M8" s="4">
        <f>L8*K8</f>
        <v/>
      </c>
      <c r="N8" s="4">
        <f>SUMIF(Материалы!$A$4:$A$800,SUBSTITUTE(SUBSTITUTE(SUBSTITUTE(B8,"~","~~"),"*","~*"),"?","~?"),Материалы!$S$4:$S$800)</f>
        <v/>
      </c>
      <c r="O8" s="4">
        <f>L8+M8+N8</f>
        <v/>
      </c>
      <c r="P8" s="4">
        <f>IF(SUM($O$4:$O$672)=0,0,Косвенные!$C$9*O8/SUM($O$4:$O$672))</f>
        <v/>
      </c>
      <c r="Q8" s="4">
        <f>G8*D8+P8</f>
        <v/>
      </c>
      <c r="R8" s="4">
        <f>IF(D8=0,0,Q8/D8)</f>
        <v/>
      </c>
      <c r="S8" s="4">
        <f>IF(D8=0,0,SUMIF(Материалы!$A$4:$A$800,SUBSTITUTE(SUBSTITUTE(SUBSTITUTE(B8,"~","~~"),"*","~*"),"?","~?"),Материалы!$T$4:$T$800)/D8)</f>
        <v/>
      </c>
      <c r="T8" s="4">
        <f>R8+S8</f>
        <v/>
      </c>
      <c r="U8" s="4">
        <f>I8*D8</f>
        <v/>
      </c>
    </row>
    <row r="9" ht="22" customHeight="1">
      <c r="A9" s="9" t="inlineStr"/>
      <c r="B9" s="13" t="inlineStr">
        <is>
          <t>7. Сварочные работы, усиление или замена листов с противоскользящим покрытием.</t>
        </is>
      </c>
      <c r="C9" s="9" t="inlineStr">
        <is>
          <t>шт.</t>
        </is>
      </c>
      <c r="D9" s="4">
        <f>IF('Форма'!G7="","",'Форма'!G7)</f>
        <v/>
      </c>
      <c r="E9" s="9" t="inlineStr">
        <is>
          <t>аналог (14.11)</t>
        </is>
      </c>
      <c r="F9" s="9" t="inlineStr">
        <is>
          <t>SVA</t>
        </is>
      </c>
      <c r="G9" s="10" t="n">
        <v>6840</v>
      </c>
      <c r="H9" s="10" t="n">
        <v>3240</v>
      </c>
      <c r="I9" s="10" t="n">
        <v>3</v>
      </c>
      <c r="J9" s="9" t="inlineStr"/>
      <c r="K9" s="7">
        <f>IF(F9="",0,IFERROR(VLOOKUP(F9,Расходники!$A$4:$B$23,2,FALSE),0))</f>
        <v/>
      </c>
      <c r="L9" s="4">
        <f>H9*D9</f>
        <v/>
      </c>
      <c r="M9" s="4">
        <f>L9*K9</f>
        <v/>
      </c>
      <c r="N9" s="4">
        <f>SUMIF(Материалы!$A$4:$A$800,SUBSTITUTE(SUBSTITUTE(SUBSTITUTE(B9,"~","~~"),"*","~*"),"?","~?"),Материалы!$S$4:$S$800)</f>
        <v/>
      </c>
      <c r="O9" s="4">
        <f>L9+M9+N9</f>
        <v/>
      </c>
      <c r="P9" s="4">
        <f>IF(SUM($O$4:$O$672)=0,0,Косвенные!$C$9*O9/SUM($O$4:$O$672))</f>
        <v/>
      </c>
      <c r="Q9" s="4">
        <f>G9*D9+P9</f>
        <v/>
      </c>
      <c r="R9" s="4">
        <f>IF(D9=0,0,Q9/D9)</f>
        <v/>
      </c>
      <c r="S9" s="4">
        <f>IF(D9=0,0,SUMIF(Материалы!$A$4:$A$800,SUBSTITUTE(SUBSTITUTE(SUBSTITUTE(B9,"~","~~"),"*","~*"),"?","~?"),Материалы!$T$4:$T$800)/D9)</f>
        <v/>
      </c>
      <c r="T9" s="4">
        <f>R9+S9</f>
        <v/>
      </c>
      <c r="U9" s="4">
        <f>I9*D9</f>
        <v/>
      </c>
    </row>
    <row r="10" ht="22" customHeight="1">
      <c r="A10" s="9" t="inlineStr"/>
      <c r="B10" s="13" t="inlineStr">
        <is>
          <t>8. Замена пружин для плавного опускания/поднятия.</t>
        </is>
      </c>
      <c r="C10" s="9" t="inlineStr">
        <is>
          <t>шт.</t>
        </is>
      </c>
      <c r="D10" s="4">
        <f>IF('Форма'!G8="","",'Форма'!G8)</f>
        <v/>
      </c>
      <c r="E10" s="9" t="inlineStr">
        <is>
          <t>нет в тарификаторе</t>
        </is>
      </c>
      <c r="F10" s="9" t="inlineStr">
        <is>
          <t>VOR</t>
        </is>
      </c>
      <c r="G10" s="10" t="n">
        <v>4710</v>
      </c>
      <c r="H10" s="10" t="n">
        <v>2160</v>
      </c>
      <c r="I10" s="10" t="n">
        <v>1.5</v>
      </c>
      <c r="J10" s="9" t="inlineStr"/>
      <c r="K10" s="7">
        <f>IF(F10="",0,IFERROR(VLOOKUP(F10,Расходники!$A$4:$B$23,2,FALSE),0))</f>
        <v/>
      </c>
      <c r="L10" s="4">
        <f>H10*D10</f>
        <v/>
      </c>
      <c r="M10" s="4">
        <f>L10*K10</f>
        <v/>
      </c>
      <c r="N10" s="4">
        <f>SUMIF(Материалы!$A$4:$A$800,SUBSTITUTE(SUBSTITUTE(SUBSTITUTE(B10,"~","~~"),"*","~*"),"?","~?"),Материалы!$S$4:$S$800)</f>
        <v/>
      </c>
      <c r="O10" s="4">
        <f>L10+M10+N10</f>
        <v/>
      </c>
      <c r="P10" s="4">
        <f>IF(SUM($O$4:$O$672)=0,0,Косвенные!$C$9*O10/SUM($O$4:$O$672))</f>
        <v/>
      </c>
      <c r="Q10" s="4">
        <f>G10*D10+P10</f>
        <v/>
      </c>
      <c r="R10" s="4">
        <f>IF(D10=0,0,Q10/D10)</f>
        <v/>
      </c>
      <c r="S10" s="4">
        <f>IF(D10=0,0,SUMIF(Материалы!$A$4:$A$800,SUBSTITUTE(SUBSTITUTE(SUBSTITUTE(B10,"~","~~"),"*","~*"),"?","~?"),Материалы!$T$4:$T$800)/D10)</f>
        <v/>
      </c>
      <c r="T10" s="4">
        <f>R10+S10</f>
        <v/>
      </c>
      <c r="U10" s="4">
        <f>I10*D10</f>
        <v/>
      </c>
    </row>
    <row r="11" ht="22" customHeight="1">
      <c r="A11" s="9" t="inlineStr"/>
      <c r="B11" s="13" t="inlineStr">
        <is>
          <t>9. Демонтажные работы, включая резку.</t>
        </is>
      </c>
      <c r="C11" s="9" t="inlineStr">
        <is>
          <t>шт.</t>
        </is>
      </c>
      <c r="D11" s="4">
        <f>IF('Форма'!G9="","",'Форма'!G9)</f>
        <v/>
      </c>
      <c r="E11" s="9" t="inlineStr">
        <is>
          <t>нет в тарификаторе</t>
        </is>
      </c>
      <c r="F11" s="9" t="inlineStr">
        <is>
          <t>SVA</t>
        </is>
      </c>
      <c r="G11" s="10" t="n">
        <v>5700</v>
      </c>
      <c r="H11" s="10" t="n">
        <v>2700</v>
      </c>
      <c r="I11" s="10" t="n">
        <v>2.5</v>
      </c>
      <c r="J11" s="9" t="inlineStr"/>
      <c r="K11" s="7">
        <f>IF(F11="",0,IFERROR(VLOOKUP(F11,Расходники!$A$4:$B$23,2,FALSE),0))</f>
        <v/>
      </c>
      <c r="L11" s="4">
        <f>H11*D11</f>
        <v/>
      </c>
      <c r="M11" s="4">
        <f>L11*K11</f>
        <v/>
      </c>
      <c r="N11" s="4">
        <f>SUMIF(Материалы!$A$4:$A$800,SUBSTITUTE(SUBSTITUTE(SUBSTITUTE(B11,"~","~~"),"*","~*"),"?","~?"),Материалы!$S$4:$S$800)</f>
        <v/>
      </c>
      <c r="O11" s="4">
        <f>L11+M11+N11</f>
        <v/>
      </c>
      <c r="P11" s="4">
        <f>IF(SUM($O$4:$O$672)=0,0,Косвенные!$C$9*O11/SUM($O$4:$O$672))</f>
        <v/>
      </c>
      <c r="Q11" s="4">
        <f>G11*D11+P11</f>
        <v/>
      </c>
      <c r="R11" s="4">
        <f>IF(D11=0,0,Q11/D11)</f>
        <v/>
      </c>
      <c r="S11" s="4">
        <f>IF(D11=0,0,SUMIF(Материалы!$A$4:$A$800,SUBSTITUTE(SUBSTITUTE(SUBSTITUTE(B11,"~","~~"),"*","~*"),"?","~?"),Материалы!$T$4:$T$800)/D11)</f>
        <v/>
      </c>
      <c r="T11" s="4">
        <f>R11+S11</f>
        <v/>
      </c>
      <c r="U11" s="4">
        <f>I11*D11</f>
        <v/>
      </c>
    </row>
    <row r="12" ht="22" customHeight="1">
      <c r="A12" s="9" t="inlineStr">
        <is>
          <t>9.1.3</t>
        </is>
      </c>
      <c r="B12" s="13" t="inlineStr">
        <is>
          <t>10. Замена арматуры сливного бачка типа «Компакт» (включая материалы и з/части)</t>
        </is>
      </c>
      <c r="C12" s="9" t="inlineStr">
        <is>
          <t>шт.</t>
        </is>
      </c>
      <c r="D12" s="4">
        <f>IF('Форма'!G10="","",'Форма'!G10)</f>
        <v/>
      </c>
      <c r="E12" s="9" t="inlineStr">
        <is>
          <t>точно</t>
        </is>
      </c>
      <c r="F12" s="9" t="inlineStr">
        <is>
          <t>SAN</t>
        </is>
      </c>
      <c r="G12" s="10" t="n">
        <v>1725</v>
      </c>
      <c r="H12" s="10" t="n">
        <v>1069</v>
      </c>
      <c r="I12" s="10" t="n">
        <v>0.8</v>
      </c>
      <c r="J12" s="9" t="inlineStr"/>
      <c r="K12" s="7">
        <f>IF(F12="",0,IFERROR(VLOOKUP(F12,Расходники!$A$4:$B$23,2,FALSE),0))</f>
        <v/>
      </c>
      <c r="L12" s="4">
        <f>H12*D12</f>
        <v/>
      </c>
      <c r="M12" s="4">
        <f>L12*K12</f>
        <v/>
      </c>
      <c r="N12" s="4">
        <f>SUMIF(Материалы!$A$4:$A$800,SUBSTITUTE(SUBSTITUTE(SUBSTITUTE(B12,"~","~~"),"*","~*"),"?","~?"),Материалы!$S$4:$S$800)</f>
        <v/>
      </c>
      <c r="O12" s="4">
        <f>L12+M12+N12</f>
        <v/>
      </c>
      <c r="P12" s="4">
        <f>IF(SUM($O$4:$O$672)=0,0,Косвенные!$C$9*O12/SUM($O$4:$O$672))</f>
        <v/>
      </c>
      <c r="Q12" s="4">
        <f>G12*D12+P12</f>
        <v/>
      </c>
      <c r="R12" s="4">
        <f>IF(D12=0,0,Q12/D12)</f>
        <v/>
      </c>
      <c r="S12" s="4">
        <f>IF(D12=0,0,SUMIF(Материалы!$A$4:$A$800,SUBSTITUTE(SUBSTITUTE(SUBSTITUTE(B12,"~","~~"),"*","~*"),"?","~?"),Материалы!$T$4:$T$800)/D12)</f>
        <v/>
      </c>
      <c r="T12" s="4">
        <f>R12+S12</f>
        <v/>
      </c>
      <c r="U12" s="4">
        <f>I12*D12</f>
        <v/>
      </c>
    </row>
    <row r="13" ht="22" customHeight="1">
      <c r="A13" s="9" t="inlineStr"/>
      <c r="B13" s="13" t="inlineStr">
        <is>
          <t>11. Замена сливного бачка унитаза типа «Компакт» (включая материалы и з/части)</t>
        </is>
      </c>
      <c r="C13" s="9" t="inlineStr">
        <is>
          <t>шт.</t>
        </is>
      </c>
      <c r="D13" s="4">
        <f>IF('Форма'!G11="","",'Форма'!G11)</f>
        <v/>
      </c>
      <c r="E13" s="9" t="inlineStr">
        <is>
          <t>аналог (9.1.3)</t>
        </is>
      </c>
      <c r="F13" s="9" t="inlineStr">
        <is>
          <t>SAN</t>
        </is>
      </c>
      <c r="G13" s="10" t="n">
        <v>2508</v>
      </c>
      <c r="H13" s="10" t="n">
        <v>1224</v>
      </c>
      <c r="I13" s="10" t="n">
        <v>1.2</v>
      </c>
      <c r="J13" s="9" t="inlineStr"/>
      <c r="K13" s="7">
        <f>IF(F13="",0,IFERROR(VLOOKUP(F13,Расходники!$A$4:$B$23,2,FALSE),0))</f>
        <v/>
      </c>
      <c r="L13" s="4">
        <f>H13*D13</f>
        <v/>
      </c>
      <c r="M13" s="4">
        <f>L13*K13</f>
        <v/>
      </c>
      <c r="N13" s="4">
        <f>SUMIF(Материалы!$A$4:$A$800,SUBSTITUTE(SUBSTITUTE(SUBSTITUTE(B13,"~","~~"),"*","~*"),"?","~?"),Материалы!$S$4:$S$800)</f>
        <v/>
      </c>
      <c r="O13" s="4">
        <f>L13+M13+N13</f>
        <v/>
      </c>
      <c r="P13" s="4">
        <f>IF(SUM($O$4:$O$672)=0,0,Косвенные!$C$9*O13/SUM($O$4:$O$672))</f>
        <v/>
      </c>
      <c r="Q13" s="4">
        <f>G13*D13+P13</f>
        <v/>
      </c>
      <c r="R13" s="4">
        <f>IF(D13=0,0,Q13/D13)</f>
        <v/>
      </c>
      <c r="S13" s="4">
        <f>IF(D13=0,0,SUMIF(Материалы!$A$4:$A$800,SUBSTITUTE(SUBSTITUTE(SUBSTITUTE(B13,"~","~~"),"*","~*"),"?","~?"),Материалы!$T$4:$T$800)/D13)</f>
        <v/>
      </c>
      <c r="T13" s="4">
        <f>R13+S13</f>
        <v/>
      </c>
      <c r="U13" s="4">
        <f>I13*D13</f>
        <v/>
      </c>
    </row>
    <row r="14" ht="22" customHeight="1">
      <c r="A14" s="9" t="inlineStr">
        <is>
          <t>9.1.72</t>
        </is>
      </c>
      <c r="B14" s="13" t="inlineStr">
        <is>
          <t>12. Замена унитаза типа «Компакт» (включая материалы и з/части)</t>
        </is>
      </c>
      <c r="C14" s="9" t="inlineStr">
        <is>
          <t>шт.</t>
        </is>
      </c>
      <c r="D14" s="4">
        <f>IF('Форма'!G12="","",'Форма'!G12)</f>
        <v/>
      </c>
      <c r="E14" s="9" t="inlineStr">
        <is>
          <t>точно</t>
        </is>
      </c>
      <c r="F14" s="9" t="inlineStr">
        <is>
          <t>SAN</t>
        </is>
      </c>
      <c r="G14" s="10" t="n">
        <v>3220</v>
      </c>
      <c r="H14" s="10" t="n">
        <v>1996</v>
      </c>
      <c r="I14" s="10" t="n">
        <v>2</v>
      </c>
      <c r="J14" s="9" t="inlineStr"/>
      <c r="K14" s="7">
        <f>IF(F14="",0,IFERROR(VLOOKUP(F14,Расходники!$A$4:$B$23,2,FALSE),0))</f>
        <v/>
      </c>
      <c r="L14" s="4">
        <f>H14*D14</f>
        <v/>
      </c>
      <c r="M14" s="4">
        <f>L14*K14</f>
        <v/>
      </c>
      <c r="N14" s="4">
        <f>SUMIF(Материалы!$A$4:$A$800,SUBSTITUTE(SUBSTITUTE(SUBSTITUTE(B14,"~","~~"),"*","~*"),"?","~?"),Материалы!$S$4:$S$800)</f>
        <v/>
      </c>
      <c r="O14" s="4">
        <f>L14+M14+N14</f>
        <v/>
      </c>
      <c r="P14" s="4">
        <f>IF(SUM($O$4:$O$672)=0,0,Косвенные!$C$9*O14/SUM($O$4:$O$672))</f>
        <v/>
      </c>
      <c r="Q14" s="4">
        <f>G14*D14+P14</f>
        <v/>
      </c>
      <c r="R14" s="4">
        <f>IF(D14=0,0,Q14/D14)</f>
        <v/>
      </c>
      <c r="S14" s="4">
        <f>IF(D14=0,0,SUMIF(Материалы!$A$4:$A$800,SUBSTITUTE(SUBSTITUTE(SUBSTITUTE(B14,"~","~~"),"*","~*"),"?","~?"),Материалы!$T$4:$T$800)/D14)</f>
        <v/>
      </c>
      <c r="T14" s="4">
        <f>R14+S14</f>
        <v/>
      </c>
      <c r="U14" s="4">
        <f>I14*D14</f>
        <v/>
      </c>
    </row>
    <row r="15" ht="22" customHeight="1">
      <c r="A15" s="9" t="inlineStr"/>
      <c r="B15" s="13" t="inlineStr">
        <is>
          <t>13. Замена гибкой подводки сантехнической до 60 см (включая материалы и з/части)</t>
        </is>
      </c>
      <c r="C15" s="9" t="inlineStr">
        <is>
          <t>шт.</t>
        </is>
      </c>
      <c r="D15" s="4">
        <f>IF('Форма'!G13="","",'Форма'!G13)</f>
        <v/>
      </c>
      <c r="E15" s="9" t="inlineStr">
        <is>
          <t>аналог (9.2.72)</t>
        </is>
      </c>
      <c r="F15" s="9" t="inlineStr">
        <is>
          <t>SAN</t>
        </is>
      </c>
      <c r="G15" s="10" t="n">
        <v>836</v>
      </c>
      <c r="H15" s="10" t="n">
        <v>408</v>
      </c>
      <c r="I15" s="10" t="n">
        <v>0.4</v>
      </c>
      <c r="J15" s="9" t="inlineStr"/>
      <c r="K15" s="7">
        <f>IF(F15="",0,IFERROR(VLOOKUP(F15,Расходники!$A$4:$B$23,2,FALSE),0))</f>
        <v/>
      </c>
      <c r="L15" s="4">
        <f>H15*D15</f>
        <v/>
      </c>
      <c r="M15" s="4">
        <f>L15*K15</f>
        <v/>
      </c>
      <c r="N15" s="4">
        <f>SUMIF(Материалы!$A$4:$A$800,SUBSTITUTE(SUBSTITUTE(SUBSTITUTE(B15,"~","~~"),"*","~*"),"?","~?"),Материалы!$S$4:$S$800)</f>
        <v/>
      </c>
      <c r="O15" s="4">
        <f>L15+M15+N15</f>
        <v/>
      </c>
      <c r="P15" s="4">
        <f>IF(SUM($O$4:$O$672)=0,0,Косвенные!$C$9*O15/SUM($O$4:$O$672))</f>
        <v/>
      </c>
      <c r="Q15" s="4">
        <f>G15*D15+P15</f>
        <v/>
      </c>
      <c r="R15" s="4">
        <f>IF(D15=0,0,Q15/D15)</f>
        <v/>
      </c>
      <c r="S15" s="4">
        <f>IF(D15=0,0,SUMIF(Материалы!$A$4:$A$800,SUBSTITUTE(SUBSTITUTE(SUBSTITUTE(B15,"~","~~"),"*","~*"),"?","~?"),Материалы!$T$4:$T$800)/D15)</f>
        <v/>
      </c>
      <c r="T15" s="4">
        <f>R15+S15</f>
        <v/>
      </c>
      <c r="U15" s="4">
        <f>I15*D15</f>
        <v/>
      </c>
    </row>
    <row r="16" ht="22" customHeight="1">
      <c r="A16" s="9" t="inlineStr"/>
      <c r="B16" s="13" t="inlineStr">
        <is>
          <t>14. Замена смесителя раковины (включая материалы и з/части)</t>
        </is>
      </c>
      <c r="C16" s="9" t="inlineStr">
        <is>
          <t>шт.</t>
        </is>
      </c>
      <c r="D16" s="4">
        <f>IF('Форма'!G14="","",'Форма'!G14)</f>
        <v/>
      </c>
      <c r="E16" s="9" t="inlineStr">
        <is>
          <t>нет в тарификаторе</t>
        </is>
      </c>
      <c r="F16" s="9" t="inlineStr">
        <is>
          <t>SAN</t>
        </is>
      </c>
      <c r="G16" s="10" t="n">
        <v>2090</v>
      </c>
      <c r="H16" s="10" t="n">
        <v>1020</v>
      </c>
      <c r="I16" s="10" t="n">
        <v>1</v>
      </c>
      <c r="J16" s="9" t="inlineStr"/>
      <c r="K16" s="7">
        <f>IF(F16="",0,IFERROR(VLOOKUP(F16,Расходники!$A$4:$B$23,2,FALSE),0))</f>
        <v/>
      </c>
      <c r="L16" s="4">
        <f>H16*D16</f>
        <v/>
      </c>
      <c r="M16" s="4">
        <f>L16*K16</f>
        <v/>
      </c>
      <c r="N16" s="4">
        <f>SUMIF(Материалы!$A$4:$A$800,SUBSTITUTE(SUBSTITUTE(SUBSTITUTE(B16,"~","~~"),"*","~*"),"?","~?"),Материалы!$S$4:$S$800)</f>
        <v/>
      </c>
      <c r="O16" s="4">
        <f>L16+M16+N16</f>
        <v/>
      </c>
      <c r="P16" s="4">
        <f>IF(SUM($O$4:$O$672)=0,0,Косвенные!$C$9*O16/SUM($O$4:$O$672))</f>
        <v/>
      </c>
      <c r="Q16" s="4">
        <f>G16*D16+P16</f>
        <v/>
      </c>
      <c r="R16" s="4">
        <f>IF(D16=0,0,Q16/D16)</f>
        <v/>
      </c>
      <c r="S16" s="4">
        <f>IF(D16=0,0,SUMIF(Материалы!$A$4:$A$800,SUBSTITUTE(SUBSTITUTE(SUBSTITUTE(B16,"~","~~"),"*","~*"),"?","~?"),Материалы!$T$4:$T$800)/D16)</f>
        <v/>
      </c>
      <c r="T16" s="4">
        <f>R16+S16</f>
        <v/>
      </c>
      <c r="U16" s="4">
        <f>I16*D16</f>
        <v/>
      </c>
    </row>
    <row r="17" ht="22" customHeight="1">
      <c r="A17" s="9" t="inlineStr">
        <is>
          <t>9.1.63</t>
        </is>
      </c>
      <c r="B17" s="13" t="inlineStr">
        <is>
          <t>15. Замена раковины керамической с пьедесталом (включая материалы и з/части)</t>
        </is>
      </c>
      <c r="C17" s="9" t="inlineStr">
        <is>
          <t>шт.</t>
        </is>
      </c>
      <c r="D17" s="4">
        <f>IF('Форма'!G15="","",'Форма'!G15)</f>
        <v/>
      </c>
      <c r="E17" s="9" t="inlineStr">
        <is>
          <t>точно</t>
        </is>
      </c>
      <c r="F17" s="9" t="inlineStr">
        <is>
          <t>SAN</t>
        </is>
      </c>
      <c r="G17" s="10" t="n">
        <v>2300</v>
      </c>
      <c r="H17" s="10" t="n">
        <v>1426</v>
      </c>
      <c r="I17" s="10" t="n">
        <v>1.5</v>
      </c>
      <c r="J17" s="9" t="inlineStr"/>
      <c r="K17" s="7">
        <f>IF(F17="",0,IFERROR(VLOOKUP(F17,Расходники!$A$4:$B$23,2,FALSE),0))</f>
        <v/>
      </c>
      <c r="L17" s="4">
        <f>H17*D17</f>
        <v/>
      </c>
      <c r="M17" s="4">
        <f>L17*K17</f>
        <v/>
      </c>
      <c r="N17" s="4">
        <f>SUMIF(Материалы!$A$4:$A$800,SUBSTITUTE(SUBSTITUTE(SUBSTITUTE(B17,"~","~~"),"*","~*"),"?","~?"),Материалы!$S$4:$S$800)</f>
        <v/>
      </c>
      <c r="O17" s="4">
        <f>L17+M17+N17</f>
        <v/>
      </c>
      <c r="P17" s="4">
        <f>IF(SUM($O$4:$O$672)=0,0,Косвенные!$C$9*O17/SUM($O$4:$O$672))</f>
        <v/>
      </c>
      <c r="Q17" s="4">
        <f>G17*D17+P17</f>
        <v/>
      </c>
      <c r="R17" s="4">
        <f>IF(D17=0,0,Q17/D17)</f>
        <v/>
      </c>
      <c r="S17" s="4">
        <f>IF(D17=0,0,SUMIF(Материалы!$A$4:$A$800,SUBSTITUTE(SUBSTITUTE(SUBSTITUTE(B17,"~","~~"),"*","~*"),"?","~?"),Материалы!$T$4:$T$800)/D17)</f>
        <v/>
      </c>
      <c r="T17" s="4">
        <f>R17+S17</f>
        <v/>
      </c>
      <c r="U17" s="4">
        <f>I17*D17</f>
        <v/>
      </c>
    </row>
    <row r="18" ht="22" customHeight="1">
      <c r="A18" s="9" t="inlineStr">
        <is>
          <t>9.1.64</t>
        </is>
      </c>
      <c r="B18" s="13" t="inlineStr">
        <is>
          <t>16. Замена раковины металлической (включая материалы и з/части)</t>
        </is>
      </c>
      <c r="C18" s="9" t="inlineStr">
        <is>
          <t>шт.</t>
        </is>
      </c>
      <c r="D18" s="4">
        <f>IF('Форма'!G16="","",'Форма'!G16)</f>
        <v/>
      </c>
      <c r="E18" s="9" t="inlineStr">
        <is>
          <t>точно</t>
        </is>
      </c>
      <c r="F18" s="9" t="inlineStr">
        <is>
          <t>SAN</t>
        </is>
      </c>
      <c r="G18" s="10" t="n">
        <v>2070</v>
      </c>
      <c r="H18" s="10" t="n">
        <v>1283</v>
      </c>
      <c r="I18" s="10" t="n">
        <v>1.4</v>
      </c>
      <c r="J18" s="9" t="inlineStr"/>
      <c r="K18" s="7">
        <f>IF(F18="",0,IFERROR(VLOOKUP(F18,Расходники!$A$4:$B$23,2,FALSE),0))</f>
        <v/>
      </c>
      <c r="L18" s="4">
        <f>H18*D18</f>
        <v/>
      </c>
      <c r="M18" s="4">
        <f>L18*K18</f>
        <v/>
      </c>
      <c r="N18" s="4">
        <f>SUMIF(Материалы!$A$4:$A$800,SUBSTITUTE(SUBSTITUTE(SUBSTITUTE(B18,"~","~~"),"*","~*"),"?","~?"),Материалы!$S$4:$S$800)</f>
        <v/>
      </c>
      <c r="O18" s="4">
        <f>L18+M18+N18</f>
        <v/>
      </c>
      <c r="P18" s="4">
        <f>IF(SUM($O$4:$O$672)=0,0,Косвенные!$C$9*O18/SUM($O$4:$O$672))</f>
        <v/>
      </c>
      <c r="Q18" s="4">
        <f>G18*D18+P18</f>
        <v/>
      </c>
      <c r="R18" s="4">
        <f>IF(D18=0,0,Q18/D18)</f>
        <v/>
      </c>
      <c r="S18" s="4">
        <f>IF(D18=0,0,SUMIF(Материалы!$A$4:$A$800,SUBSTITUTE(SUBSTITUTE(SUBSTITUTE(B18,"~","~~"),"*","~*"),"?","~?"),Материалы!$T$4:$T$800)/D18)</f>
        <v/>
      </c>
      <c r="T18" s="4">
        <f>R18+S18</f>
        <v/>
      </c>
      <c r="U18" s="4">
        <f>I18*D18</f>
        <v/>
      </c>
    </row>
    <row r="19" ht="22" customHeight="1">
      <c r="A19" s="9" t="inlineStr"/>
      <c r="B19" s="13" t="inlineStr">
        <is>
          <t>17. Замена смесителя для ванны с душевой лейкой (включая материалы и з/части)</t>
        </is>
      </c>
      <c r="C19" s="9" t="inlineStr">
        <is>
          <t>шт.</t>
        </is>
      </c>
      <c r="D19" s="4">
        <f>IF('Форма'!G17="","",'Форма'!G17)</f>
        <v/>
      </c>
      <c r="E19" s="9" t="inlineStr">
        <is>
          <t>нет в тарификаторе</t>
        </is>
      </c>
      <c r="F19" s="9" t="inlineStr">
        <is>
          <t>SAN</t>
        </is>
      </c>
      <c r="G19" s="10" t="n">
        <v>2508</v>
      </c>
      <c r="H19" s="10" t="n">
        <v>1224</v>
      </c>
      <c r="I19" s="10" t="n">
        <v>1.2</v>
      </c>
      <c r="J19" s="9" t="inlineStr"/>
      <c r="K19" s="7">
        <f>IF(F19="",0,IFERROR(VLOOKUP(F19,Расходники!$A$4:$B$23,2,FALSE),0))</f>
        <v/>
      </c>
      <c r="L19" s="4">
        <f>H19*D19</f>
        <v/>
      </c>
      <c r="M19" s="4">
        <f>L19*K19</f>
        <v/>
      </c>
      <c r="N19" s="4">
        <f>SUMIF(Материалы!$A$4:$A$800,SUBSTITUTE(SUBSTITUTE(SUBSTITUTE(B19,"~","~~"),"*","~*"),"?","~?"),Материалы!$S$4:$S$800)</f>
        <v/>
      </c>
      <c r="O19" s="4">
        <f>L19+M19+N19</f>
        <v/>
      </c>
      <c r="P19" s="4">
        <f>IF(SUM($O$4:$O$672)=0,0,Косвенные!$C$9*O19/SUM($O$4:$O$672))</f>
        <v/>
      </c>
      <c r="Q19" s="4">
        <f>G19*D19+P19</f>
        <v/>
      </c>
      <c r="R19" s="4">
        <f>IF(D19=0,0,Q19/D19)</f>
        <v/>
      </c>
      <c r="S19" s="4">
        <f>IF(D19=0,0,SUMIF(Материалы!$A$4:$A$800,SUBSTITUTE(SUBSTITUTE(SUBSTITUTE(B19,"~","~~"),"*","~*"),"?","~?"),Материалы!$T$4:$T$800)/D19)</f>
        <v/>
      </c>
      <c r="T19" s="4">
        <f>R19+S19</f>
        <v/>
      </c>
      <c r="U19" s="4">
        <f>I19*D19</f>
        <v/>
      </c>
    </row>
    <row r="20" ht="22" customHeight="1">
      <c r="A20" s="9" t="inlineStr"/>
      <c r="B20" s="13" t="inlineStr">
        <is>
          <t>18. Замена душевого поддона 90*90 см (включая материалы и з/части)</t>
        </is>
      </c>
      <c r="C20" s="9" t="inlineStr">
        <is>
          <t>шт.</t>
        </is>
      </c>
      <c r="D20" s="4">
        <f>IF('Форма'!G18="","",'Форма'!G18)</f>
        <v/>
      </c>
      <c r="E20" s="9" t="inlineStr">
        <is>
          <t>нет в тарификаторе</t>
        </is>
      </c>
      <c r="F20" s="9" t="inlineStr">
        <is>
          <t>SAN</t>
        </is>
      </c>
      <c r="G20" s="10" t="n">
        <v>1672</v>
      </c>
      <c r="H20" s="10" t="n">
        <v>816</v>
      </c>
      <c r="I20" s="10" t="n">
        <v>0.8</v>
      </c>
      <c r="J20" s="9" t="inlineStr"/>
      <c r="K20" s="7">
        <f>IF(F20="",0,IFERROR(VLOOKUP(F20,Расходники!$A$4:$B$23,2,FALSE),0))</f>
        <v/>
      </c>
      <c r="L20" s="4">
        <f>H20*D20</f>
        <v/>
      </c>
      <c r="M20" s="4">
        <f>L20*K20</f>
        <v/>
      </c>
      <c r="N20" s="4">
        <f>SUMIF(Материалы!$A$4:$A$800,SUBSTITUTE(SUBSTITUTE(SUBSTITUTE(B20,"~","~~"),"*","~*"),"?","~?"),Материалы!$S$4:$S$800)</f>
        <v/>
      </c>
      <c r="O20" s="4">
        <f>L20+M20+N20</f>
        <v/>
      </c>
      <c r="P20" s="4">
        <f>IF(SUM($O$4:$O$672)=0,0,Косвенные!$C$9*O20/SUM($O$4:$O$672))</f>
        <v/>
      </c>
      <c r="Q20" s="4">
        <f>G20*D20+P20</f>
        <v/>
      </c>
      <c r="R20" s="4">
        <f>IF(D20=0,0,Q20/D20)</f>
        <v/>
      </c>
      <c r="S20" s="4">
        <f>IF(D20=0,0,SUMIF(Материалы!$A$4:$A$800,SUBSTITUTE(SUBSTITUTE(SUBSTITUTE(B20,"~","~~"),"*","~*"),"?","~?"),Материалы!$T$4:$T$800)/D20)</f>
        <v/>
      </c>
      <c r="T20" s="4">
        <f>R20+S20</f>
        <v/>
      </c>
      <c r="U20" s="4">
        <f>I20*D20</f>
        <v/>
      </c>
    </row>
    <row r="21" ht="22" customHeight="1">
      <c r="A21" s="9" t="inlineStr">
        <is>
          <t>9.1.64</t>
        </is>
      </c>
      <c r="B21" s="13" t="inlineStr">
        <is>
          <t>19. Замена сифона раковины (включая материалы и з/части)</t>
        </is>
      </c>
      <c r="C21" s="9" t="inlineStr">
        <is>
          <t>шт.</t>
        </is>
      </c>
      <c r="D21" s="4">
        <f>IF('Форма'!G19="","",'Форма'!G19)</f>
        <v/>
      </c>
      <c r="E21" s="9" t="inlineStr">
        <is>
          <t>точно</t>
        </is>
      </c>
      <c r="F21" s="9" t="inlineStr">
        <is>
          <t>SAN</t>
        </is>
      </c>
      <c r="G21" s="10" t="n">
        <v>2070</v>
      </c>
      <c r="H21" s="10" t="n">
        <v>1283</v>
      </c>
      <c r="I21" s="10" t="n">
        <v>1.4</v>
      </c>
      <c r="J21" s="9" t="inlineStr"/>
      <c r="K21" s="7">
        <f>IF(F21="",0,IFERROR(VLOOKUP(F21,Расходники!$A$4:$B$23,2,FALSE),0))</f>
        <v/>
      </c>
      <c r="L21" s="4">
        <f>H21*D21</f>
        <v/>
      </c>
      <c r="M21" s="4">
        <f>L21*K21</f>
        <v/>
      </c>
      <c r="N21" s="4">
        <f>SUMIF(Материалы!$A$4:$A$800,SUBSTITUTE(SUBSTITUTE(SUBSTITUTE(B21,"~","~~"),"*","~*"),"?","~?"),Материалы!$S$4:$S$800)</f>
        <v/>
      </c>
      <c r="O21" s="4">
        <f>L21+M21+N21</f>
        <v/>
      </c>
      <c r="P21" s="4">
        <f>IF(SUM($O$4:$O$672)=0,0,Косвенные!$C$9*O21/SUM($O$4:$O$672))</f>
        <v/>
      </c>
      <c r="Q21" s="4">
        <f>G21*D21+P21</f>
        <v/>
      </c>
      <c r="R21" s="4">
        <f>IF(D21=0,0,Q21/D21)</f>
        <v/>
      </c>
      <c r="S21" s="4">
        <f>IF(D21=0,0,SUMIF(Материалы!$A$4:$A$800,SUBSTITUTE(SUBSTITUTE(SUBSTITUTE(B21,"~","~~"),"*","~*"),"?","~?"),Материалы!$T$4:$T$800)/D21)</f>
        <v/>
      </c>
      <c r="T21" s="4">
        <f>R21+S21</f>
        <v/>
      </c>
      <c r="U21" s="4">
        <f>I21*D21</f>
        <v/>
      </c>
    </row>
    <row r="22" ht="22" customHeight="1">
      <c r="A22" s="9" t="inlineStr"/>
      <c r="B22" s="13" t="inlineStr">
        <is>
          <t>20. Замена крана писсуара (включая материалы и з/части)</t>
        </is>
      </c>
      <c r="C22" s="9" t="inlineStr">
        <is>
          <t>шт.</t>
        </is>
      </c>
      <c r="D22" s="4">
        <f>IF('Форма'!G20="","",'Форма'!G20)</f>
        <v/>
      </c>
      <c r="E22" s="9" t="inlineStr">
        <is>
          <t>аналог (9.1.N12)</t>
        </is>
      </c>
      <c r="F22" s="9" t="inlineStr">
        <is>
          <t>SAN</t>
        </is>
      </c>
      <c r="G22" s="10" t="n">
        <v>1672</v>
      </c>
      <c r="H22" s="10" t="n">
        <v>816</v>
      </c>
      <c r="I22" s="10" t="n">
        <v>0.8</v>
      </c>
      <c r="J22" s="9" t="inlineStr"/>
      <c r="K22" s="7">
        <f>IF(F22="",0,IFERROR(VLOOKUP(F22,Расходники!$A$4:$B$23,2,FALSE),0))</f>
        <v/>
      </c>
      <c r="L22" s="4">
        <f>H22*D22</f>
        <v/>
      </c>
      <c r="M22" s="4">
        <f>L22*K22</f>
        <v/>
      </c>
      <c r="N22" s="4">
        <f>SUMIF(Материалы!$A$4:$A$800,SUBSTITUTE(SUBSTITUTE(SUBSTITUTE(B22,"~","~~"),"*","~*"),"?","~?"),Материалы!$S$4:$S$800)</f>
        <v/>
      </c>
      <c r="O22" s="4">
        <f>L22+M22+N22</f>
        <v/>
      </c>
      <c r="P22" s="4">
        <f>IF(SUM($O$4:$O$672)=0,0,Косвенные!$C$9*O22/SUM($O$4:$O$672))</f>
        <v/>
      </c>
      <c r="Q22" s="4">
        <f>G22*D22+P22</f>
        <v/>
      </c>
      <c r="R22" s="4">
        <f>IF(D22=0,0,Q22/D22)</f>
        <v/>
      </c>
      <c r="S22" s="4">
        <f>IF(D22=0,0,SUMIF(Материалы!$A$4:$A$800,SUBSTITUTE(SUBSTITUTE(SUBSTITUTE(B22,"~","~~"),"*","~*"),"?","~?"),Материалы!$T$4:$T$800)/D22)</f>
        <v/>
      </c>
      <c r="T22" s="4">
        <f>R22+S22</f>
        <v/>
      </c>
      <c r="U22" s="4">
        <f>I22*D22</f>
        <v/>
      </c>
    </row>
    <row r="23" ht="22" customHeight="1">
      <c r="A23" s="9" t="inlineStr">
        <is>
          <t>9.4.37</t>
        </is>
      </c>
      <c r="B23" s="13" t="inlineStr">
        <is>
          <t>21. Прокладка трубопровода ХВС, ГВС из полипропиленовых труб Ø20-32 мм (включая материалы, комплетующие и з/части) за 1 п.м.</t>
        </is>
      </c>
      <c r="C23" s="9" t="inlineStr">
        <is>
          <t>м.п.</t>
        </is>
      </c>
      <c r="D23" s="4">
        <f>IF('Форма'!G21="","",'Форма'!G21)</f>
        <v/>
      </c>
      <c r="E23" s="9" t="inlineStr">
        <is>
          <t>точно</t>
        </is>
      </c>
      <c r="F23" s="9" t="inlineStr">
        <is>
          <t>SAN</t>
        </is>
      </c>
      <c r="G23" s="10" t="n">
        <v>483</v>
      </c>
      <c r="H23" s="10" t="n">
        <v>299</v>
      </c>
      <c r="I23" s="10" t="n">
        <v>0.3</v>
      </c>
      <c r="J23" s="9" t="inlineStr"/>
      <c r="K23" s="7">
        <f>IF(F23="",0,IFERROR(VLOOKUP(F23,Расходники!$A$4:$B$23,2,FALSE),0))</f>
        <v/>
      </c>
      <c r="L23" s="4">
        <f>H23*D23</f>
        <v/>
      </c>
      <c r="M23" s="4">
        <f>L23*K23</f>
        <v/>
      </c>
      <c r="N23" s="4">
        <f>SUMIF(Материалы!$A$4:$A$800,SUBSTITUTE(SUBSTITUTE(SUBSTITUTE(B23,"~","~~"),"*","~*"),"?","~?"),Материалы!$S$4:$S$800)</f>
        <v/>
      </c>
      <c r="O23" s="4">
        <f>L23+M23+N23</f>
        <v/>
      </c>
      <c r="P23" s="4">
        <f>IF(SUM($O$4:$O$672)=0,0,Косвенные!$C$9*O23/SUM($O$4:$O$672))</f>
        <v/>
      </c>
      <c r="Q23" s="4">
        <f>G23*D23+P23</f>
        <v/>
      </c>
      <c r="R23" s="4">
        <f>IF(D23=0,0,Q23/D23)</f>
        <v/>
      </c>
      <c r="S23" s="4">
        <f>IF(D23=0,0,SUMIF(Материалы!$A$4:$A$800,SUBSTITUTE(SUBSTITUTE(SUBSTITUTE(B23,"~","~~"),"*","~*"),"?","~?"),Материалы!$T$4:$T$800)/D23)</f>
        <v/>
      </c>
      <c r="T23" s="4">
        <f>R23+S23</f>
        <v/>
      </c>
      <c r="U23" s="4">
        <f>I23*D23</f>
        <v/>
      </c>
    </row>
    <row r="24" ht="22" customHeight="1">
      <c r="A24" s="9" t="inlineStr"/>
      <c r="B24" s="13" t="inlineStr">
        <is>
          <t>22. Прокладка трубопровода внутренней канализации Ø40 мм (включая материалы и з/части) за 1 п.м.</t>
        </is>
      </c>
      <c r="C24" s="9" t="inlineStr">
        <is>
          <t>м.п.</t>
        </is>
      </c>
      <c r="D24" s="4">
        <f>IF('Форма'!G22="","",'Форма'!G22)</f>
        <v/>
      </c>
      <c r="E24" s="9" t="inlineStr">
        <is>
          <t>аналог (9.4.35)</t>
        </is>
      </c>
      <c r="F24" s="9" t="inlineStr">
        <is>
          <t>SAN</t>
        </is>
      </c>
      <c r="G24" s="10" t="n">
        <v>585.2</v>
      </c>
      <c r="H24" s="10" t="n">
        <v>285.6</v>
      </c>
      <c r="I24" s="10" t="n">
        <v>0.28</v>
      </c>
      <c r="J24" s="9" t="inlineStr"/>
      <c r="K24" s="7">
        <f>IF(F24="",0,IFERROR(VLOOKUP(F24,Расходники!$A$4:$B$23,2,FALSE),0))</f>
        <v/>
      </c>
      <c r="L24" s="4">
        <f>H24*D24</f>
        <v/>
      </c>
      <c r="M24" s="4">
        <f>L24*K24</f>
        <v/>
      </c>
      <c r="N24" s="4">
        <f>SUMIF(Материалы!$A$4:$A$800,SUBSTITUTE(SUBSTITUTE(SUBSTITUTE(B24,"~","~~"),"*","~*"),"?","~?"),Материалы!$S$4:$S$800)</f>
        <v/>
      </c>
      <c r="O24" s="4">
        <f>L24+M24+N24</f>
        <v/>
      </c>
      <c r="P24" s="4">
        <f>IF(SUM($O$4:$O$672)=0,0,Косвенные!$C$9*O24/SUM($O$4:$O$672))</f>
        <v/>
      </c>
      <c r="Q24" s="4">
        <f>G24*D24+P24</f>
        <v/>
      </c>
      <c r="R24" s="4">
        <f>IF(D24=0,0,Q24/D24)</f>
        <v/>
      </c>
      <c r="S24" s="4">
        <f>IF(D24=0,0,SUMIF(Материалы!$A$4:$A$800,SUBSTITUTE(SUBSTITUTE(SUBSTITUTE(B24,"~","~~"),"*","~*"),"?","~?"),Материалы!$T$4:$T$800)/D24)</f>
        <v/>
      </c>
      <c r="T24" s="4">
        <f>R24+S24</f>
        <v/>
      </c>
      <c r="U24" s="4">
        <f>I24*D24</f>
        <v/>
      </c>
    </row>
    <row r="25" ht="22" customHeight="1">
      <c r="A25" s="9" t="inlineStr"/>
      <c r="B25" s="13" t="inlineStr">
        <is>
          <t>23. Прокладка трубопровода внутренней канализации Ø50 мм (включая материалы и з/части) за 1 п.м.</t>
        </is>
      </c>
      <c r="C25" s="9" t="inlineStr">
        <is>
          <t>м.п.</t>
        </is>
      </c>
      <c r="D25" s="4">
        <f>IF('Форма'!G23="","",'Форма'!G23)</f>
        <v/>
      </c>
      <c r="E25" s="9" t="inlineStr">
        <is>
          <t>аналог (9.4.35)</t>
        </is>
      </c>
      <c r="F25" s="9" t="inlineStr">
        <is>
          <t>SAN</t>
        </is>
      </c>
      <c r="G25" s="10" t="n">
        <v>585.2</v>
      </c>
      <c r="H25" s="10" t="n">
        <v>285.6</v>
      </c>
      <c r="I25" s="10" t="n">
        <v>0.28</v>
      </c>
      <c r="J25" s="9" t="inlineStr"/>
      <c r="K25" s="7">
        <f>IF(F25="",0,IFERROR(VLOOKUP(F25,Расходники!$A$4:$B$23,2,FALSE),0))</f>
        <v/>
      </c>
      <c r="L25" s="4">
        <f>H25*D25</f>
        <v/>
      </c>
      <c r="M25" s="4">
        <f>L25*K25</f>
        <v/>
      </c>
      <c r="N25" s="4">
        <f>SUMIF(Материалы!$A$4:$A$800,SUBSTITUTE(SUBSTITUTE(SUBSTITUTE(B25,"~","~~"),"*","~*"),"?","~?"),Материалы!$S$4:$S$800)</f>
        <v/>
      </c>
      <c r="O25" s="4">
        <f>L25+M25+N25</f>
        <v/>
      </c>
      <c r="P25" s="4">
        <f>IF(SUM($O$4:$O$672)=0,0,Косвенные!$C$9*O25/SUM($O$4:$O$672))</f>
        <v/>
      </c>
      <c r="Q25" s="4">
        <f>G25*D25+P25</f>
        <v/>
      </c>
      <c r="R25" s="4">
        <f>IF(D25=0,0,Q25/D25)</f>
        <v/>
      </c>
      <c r="S25" s="4">
        <f>IF(D25=0,0,SUMIF(Материалы!$A$4:$A$800,SUBSTITUTE(SUBSTITUTE(SUBSTITUTE(B25,"~","~~"),"*","~*"),"?","~?"),Материалы!$T$4:$T$800)/D25)</f>
        <v/>
      </c>
      <c r="T25" s="4">
        <f>R25+S25</f>
        <v/>
      </c>
      <c r="U25" s="4">
        <f>I25*D25</f>
        <v/>
      </c>
    </row>
    <row r="26" ht="22" customHeight="1">
      <c r="A26" s="9" t="inlineStr"/>
      <c r="B26" s="13" t="inlineStr">
        <is>
          <t>24. Прокладка трубопровода внутренней канализации Ø100 мм (включая материалы и з/части) за 1 п.м.</t>
        </is>
      </c>
      <c r="C26" s="9" t="inlineStr">
        <is>
          <t>м.п.</t>
        </is>
      </c>
      <c r="D26" s="4">
        <f>IF('Форма'!G24="","",'Форма'!G24)</f>
        <v/>
      </c>
      <c r="E26" s="9" t="inlineStr">
        <is>
          <t>аналог (9.4.35)</t>
        </is>
      </c>
      <c r="F26" s="9" t="inlineStr">
        <is>
          <t>SAN</t>
        </is>
      </c>
      <c r="G26" s="10" t="n">
        <v>585.2</v>
      </c>
      <c r="H26" s="10" t="n">
        <v>285.6</v>
      </c>
      <c r="I26" s="10" t="n">
        <v>0.28</v>
      </c>
      <c r="J26" s="9" t="inlineStr"/>
      <c r="K26" s="7">
        <f>IF(F26="",0,IFERROR(VLOOKUP(F26,Расходники!$A$4:$B$23,2,FALSE),0))</f>
        <v/>
      </c>
      <c r="L26" s="4">
        <f>H26*D26</f>
        <v/>
      </c>
      <c r="M26" s="4">
        <f>L26*K26</f>
        <v/>
      </c>
      <c r="N26" s="4">
        <f>SUMIF(Материалы!$A$4:$A$800,SUBSTITUTE(SUBSTITUTE(SUBSTITUTE(B26,"~","~~"),"*","~*"),"?","~?"),Материалы!$S$4:$S$800)</f>
        <v/>
      </c>
      <c r="O26" s="4">
        <f>L26+M26+N26</f>
        <v/>
      </c>
      <c r="P26" s="4">
        <f>IF(SUM($O$4:$O$672)=0,0,Косвенные!$C$9*O26/SUM($O$4:$O$672))</f>
        <v/>
      </c>
      <c r="Q26" s="4">
        <f>G26*D26+P26</f>
        <v/>
      </c>
      <c r="R26" s="4">
        <f>IF(D26=0,0,Q26/D26)</f>
        <v/>
      </c>
      <c r="S26" s="4">
        <f>IF(D26=0,0,SUMIF(Материалы!$A$4:$A$800,SUBSTITUTE(SUBSTITUTE(SUBSTITUTE(B26,"~","~~"),"*","~*"),"?","~?"),Материалы!$T$4:$T$800)/D26)</f>
        <v/>
      </c>
      <c r="T26" s="4">
        <f>R26+S26</f>
        <v/>
      </c>
      <c r="U26" s="4">
        <f>I26*D26</f>
        <v/>
      </c>
    </row>
    <row r="27" ht="22" customHeight="1">
      <c r="A27" s="9" t="inlineStr"/>
      <c r="B27" s="13" t="inlineStr">
        <is>
          <t>25. Устранение протечек в сантехническом оборудовании (включая материалы и з/части) за 1 ед.</t>
        </is>
      </c>
      <c r="C27" s="9" t="inlineStr">
        <is>
          <t>шт.</t>
        </is>
      </c>
      <c r="D27" s="4">
        <f>IF('Форма'!G25="","",'Форма'!G25)</f>
        <v/>
      </c>
      <c r="E27" s="9" t="inlineStr">
        <is>
          <t>нет в тарификаторе</t>
        </is>
      </c>
      <c r="F27" s="9" t="inlineStr">
        <is>
          <t>SAN</t>
        </is>
      </c>
      <c r="G27" s="10" t="n">
        <v>2090</v>
      </c>
      <c r="H27" s="10" t="n">
        <v>1020</v>
      </c>
      <c r="I27" s="10" t="n">
        <v>1</v>
      </c>
      <c r="J27" s="9" t="inlineStr"/>
      <c r="K27" s="7">
        <f>IF(F27="",0,IFERROR(VLOOKUP(F27,Расходники!$A$4:$B$23,2,FALSE),0))</f>
        <v/>
      </c>
      <c r="L27" s="4">
        <f>H27*D27</f>
        <v/>
      </c>
      <c r="M27" s="4">
        <f>L27*K27</f>
        <v/>
      </c>
      <c r="N27" s="4">
        <f>SUMIF(Материалы!$A$4:$A$800,SUBSTITUTE(SUBSTITUTE(SUBSTITUTE(B27,"~","~~"),"*","~*"),"?","~?"),Материалы!$S$4:$S$800)</f>
        <v/>
      </c>
      <c r="O27" s="4">
        <f>L27+M27+N27</f>
        <v/>
      </c>
      <c r="P27" s="4">
        <f>IF(SUM($O$4:$O$672)=0,0,Косвенные!$C$9*O27/SUM($O$4:$O$672))</f>
        <v/>
      </c>
      <c r="Q27" s="4">
        <f>G27*D27+P27</f>
        <v/>
      </c>
      <c r="R27" s="4">
        <f>IF(D27=0,0,Q27/D27)</f>
        <v/>
      </c>
      <c r="S27" s="4">
        <f>IF(D27=0,0,SUMIF(Материалы!$A$4:$A$800,SUBSTITUTE(SUBSTITUTE(SUBSTITUTE(B27,"~","~~"),"*","~*"),"?","~?"),Материалы!$T$4:$T$800)/D27)</f>
        <v/>
      </c>
      <c r="T27" s="4">
        <f>R27+S27</f>
        <v/>
      </c>
      <c r="U27" s="4">
        <f>I27*D27</f>
        <v/>
      </c>
    </row>
    <row r="28" ht="22" customHeight="1">
      <c r="A28" s="9" t="inlineStr">
        <is>
          <t>9.4.N1</t>
        </is>
      </c>
      <c r="B28" s="13" t="inlineStr">
        <is>
          <t>26. Замена запорной арматуры трубопроводов (включая материалы и з/части) за 1 ед.</t>
        </is>
      </c>
      <c r="C28" s="9" t="inlineStr">
        <is>
          <t>шт.</t>
        </is>
      </c>
      <c r="D28" s="4">
        <f>IF('Форма'!G26="","",'Форма'!G26)</f>
        <v/>
      </c>
      <c r="E28" s="9" t="inlineStr">
        <is>
          <t>точно</t>
        </is>
      </c>
      <c r="F28" s="9" t="inlineStr">
        <is>
          <t>SAN</t>
        </is>
      </c>
      <c r="G28" s="10" t="n">
        <v>1380</v>
      </c>
      <c r="H28" s="10" t="n">
        <v>856</v>
      </c>
      <c r="I28" s="10" t="n">
        <v>0.8</v>
      </c>
      <c r="J28" s="9" t="inlineStr"/>
      <c r="K28" s="7">
        <f>IF(F28="",0,IFERROR(VLOOKUP(F28,Расходники!$A$4:$B$23,2,FALSE),0))</f>
        <v/>
      </c>
      <c r="L28" s="4">
        <f>H28*D28</f>
        <v/>
      </c>
      <c r="M28" s="4">
        <f>L28*K28</f>
        <v/>
      </c>
      <c r="N28" s="4">
        <f>SUMIF(Материалы!$A$4:$A$800,SUBSTITUTE(SUBSTITUTE(SUBSTITUTE(B28,"~","~~"),"*","~*"),"?","~?"),Материалы!$S$4:$S$800)</f>
        <v/>
      </c>
      <c r="O28" s="4">
        <f>L28+M28+N28</f>
        <v/>
      </c>
      <c r="P28" s="4">
        <f>IF(SUM($O$4:$O$672)=0,0,Косвенные!$C$9*O28/SUM($O$4:$O$672))</f>
        <v/>
      </c>
      <c r="Q28" s="4">
        <f>G28*D28+P28</f>
        <v/>
      </c>
      <c r="R28" s="4">
        <f>IF(D28=0,0,Q28/D28)</f>
        <v/>
      </c>
      <c r="S28" s="4">
        <f>IF(D28=0,0,SUMIF(Материалы!$A$4:$A$800,SUBSTITUTE(SUBSTITUTE(SUBSTITUTE(B28,"~","~~"),"*","~*"),"?","~?"),Материалы!$T$4:$T$800)/D28)</f>
        <v/>
      </c>
      <c r="T28" s="4">
        <f>R28+S28</f>
        <v/>
      </c>
      <c r="U28" s="4">
        <f>I28*D28</f>
        <v/>
      </c>
    </row>
    <row r="29" ht="22" customHeight="1">
      <c r="A29" s="9" t="inlineStr"/>
      <c r="B29" s="13" t="inlineStr">
        <is>
          <t>27. Подключение к системе ХВС, ГВС приборов (водонагреватель, кулер, пурифайр, стиральная машинка и т.д.) (включая материалы, комплектующие, фитинги, з/части и т.д.) за 1 ед.</t>
        </is>
      </c>
      <c r="C29" s="9" t="inlineStr">
        <is>
          <t>шт.</t>
        </is>
      </c>
      <c r="D29" s="4">
        <f>IF('Форма'!G27="","",'Форма'!G27)</f>
        <v/>
      </c>
      <c r="E29" s="9" t="inlineStr">
        <is>
          <t>нет в тарификаторе</t>
        </is>
      </c>
      <c r="F29" s="9" t="inlineStr">
        <is>
          <t>SAN</t>
        </is>
      </c>
      <c r="G29" s="10" t="n">
        <v>2508</v>
      </c>
      <c r="H29" s="10" t="n">
        <v>1224</v>
      </c>
      <c r="I29" s="10" t="n">
        <v>1.2</v>
      </c>
      <c r="J29" s="9" t="inlineStr"/>
      <c r="K29" s="7">
        <f>IF(F29="",0,IFERROR(VLOOKUP(F29,Расходники!$A$4:$B$23,2,FALSE),0))</f>
        <v/>
      </c>
      <c r="L29" s="4">
        <f>H29*D29</f>
        <v/>
      </c>
      <c r="M29" s="4">
        <f>L29*K29</f>
        <v/>
      </c>
      <c r="N29" s="4">
        <f>SUMIF(Материалы!$A$4:$A$800,SUBSTITUTE(SUBSTITUTE(SUBSTITUTE(B29,"~","~~"),"*","~*"),"?","~?"),Материалы!$S$4:$S$800)</f>
        <v/>
      </c>
      <c r="O29" s="4">
        <f>L29+M29+N29</f>
        <v/>
      </c>
      <c r="P29" s="4">
        <f>IF(SUM($O$4:$O$672)=0,0,Косвенные!$C$9*O29/SUM($O$4:$O$672))</f>
        <v/>
      </c>
      <c r="Q29" s="4">
        <f>G29*D29+P29</f>
        <v/>
      </c>
      <c r="R29" s="4">
        <f>IF(D29=0,0,Q29/D29)</f>
        <v/>
      </c>
      <c r="S29" s="4">
        <f>IF(D29=0,0,SUMIF(Материалы!$A$4:$A$800,SUBSTITUTE(SUBSTITUTE(SUBSTITUTE(B29,"~","~~"),"*","~*"),"?","~?"),Материалы!$T$4:$T$800)/D29)</f>
        <v/>
      </c>
      <c r="T29" s="4">
        <f>R29+S29</f>
        <v/>
      </c>
      <c r="U29" s="4">
        <f>I29*D29</f>
        <v/>
      </c>
    </row>
    <row r="30" ht="22" customHeight="1">
      <c r="A30" s="9" t="inlineStr"/>
      <c r="B30" s="13" t="inlineStr">
        <is>
          <t>28. Стоимость нормо-часа для работ, не вошедших в основной перечень</t>
        </is>
      </c>
      <c r="C30" s="9" t="inlineStr">
        <is>
          <t>н/час</t>
        </is>
      </c>
      <c r="D30" s="4">
        <f>IF('Форма'!G28="","",'Форма'!G28)</f>
        <v/>
      </c>
      <c r="E30" s="9" t="inlineStr">
        <is>
          <t>нет в тарификаторе</t>
        </is>
      </c>
      <c r="F30" s="9" t="inlineStr">
        <is>
          <t>SAN</t>
        </is>
      </c>
      <c r="G30" s="10" t="n">
        <v>2090</v>
      </c>
      <c r="H30" s="10" t="n">
        <v>1020</v>
      </c>
      <c r="I30" s="10" t="n">
        <v>1</v>
      </c>
      <c r="J30" s="9" t="inlineStr"/>
      <c r="K30" s="7">
        <f>IF(F30="",0,IFERROR(VLOOKUP(F30,Расходники!$A$4:$B$23,2,FALSE),0))</f>
        <v/>
      </c>
      <c r="L30" s="4">
        <f>H30*D30</f>
        <v/>
      </c>
      <c r="M30" s="4">
        <f>L30*K30</f>
        <v/>
      </c>
      <c r="N30" s="4">
        <f>SUMIF(Материалы!$A$4:$A$800,SUBSTITUTE(SUBSTITUTE(SUBSTITUTE(B30,"~","~~"),"*","~*"),"?","~?"),Материалы!$S$4:$S$800)</f>
        <v/>
      </c>
      <c r="O30" s="4">
        <f>L30+M30+N30</f>
        <v/>
      </c>
      <c r="P30" s="4">
        <f>IF(SUM($O$4:$O$672)=0,0,Косвенные!$C$9*O30/SUM($O$4:$O$672))</f>
        <v/>
      </c>
      <c r="Q30" s="4">
        <f>G30*D30+P30</f>
        <v/>
      </c>
      <c r="R30" s="4">
        <f>IF(D30=0,0,Q30/D30)</f>
        <v/>
      </c>
      <c r="S30" s="4">
        <f>IF(D30=0,0,SUMIF(Материалы!$A$4:$A$800,SUBSTITUTE(SUBSTITUTE(SUBSTITUTE(B30,"~","~~"),"*","~*"),"?","~?"),Материалы!$T$4:$T$800)/D30)</f>
        <v/>
      </c>
      <c r="T30" s="4">
        <f>R30+S30</f>
        <v/>
      </c>
      <c r="U30" s="4">
        <f>I30*D30</f>
        <v/>
      </c>
    </row>
    <row r="31" ht="22" customHeight="1">
      <c r="A31" s="9" t="inlineStr"/>
      <c r="B31" s="13" t="inlineStr">
        <is>
          <t>29. Планка примыкания верхняя, нижняя 150 х 250 с полимерным покрытием по RAL по согласованию</t>
        </is>
      </c>
      <c r="C31" s="9" t="inlineStr">
        <is>
          <t>п.м</t>
        </is>
      </c>
      <c r="D31" s="4">
        <f>IF('Форма'!G29="","",'Форма'!G29)</f>
        <v/>
      </c>
      <c r="E31" s="9" t="inlineStr">
        <is>
          <t>аналог (6.2.5)</t>
        </is>
      </c>
      <c r="F31" s="9" t="inlineStr">
        <is>
          <t>KRO</t>
        </is>
      </c>
      <c r="G31" s="10" t="n">
        <v>452.5</v>
      </c>
      <c r="H31" s="10" t="n">
        <v>237.5</v>
      </c>
      <c r="I31" s="10" t="n">
        <v>0.25</v>
      </c>
      <c r="J31" s="9" t="inlineStr"/>
      <c r="K31" s="7">
        <f>IF(F31="",0,IFERROR(VLOOKUP(F31,Расходники!$A$4:$B$23,2,FALSE),0))</f>
        <v/>
      </c>
      <c r="L31" s="4">
        <f>H31*D31</f>
        <v/>
      </c>
      <c r="M31" s="4">
        <f>L31*K31</f>
        <v/>
      </c>
      <c r="N31" s="4">
        <f>SUMIF(Материалы!$A$4:$A$800,SUBSTITUTE(SUBSTITUTE(SUBSTITUTE(B31,"~","~~"),"*","~*"),"?","~?"),Материалы!$S$4:$S$800)</f>
        <v/>
      </c>
      <c r="O31" s="4">
        <f>L31+M31+N31</f>
        <v/>
      </c>
      <c r="P31" s="4">
        <f>IF(SUM($O$4:$O$672)=0,0,Косвенные!$C$9*O31/SUM($O$4:$O$672))</f>
        <v/>
      </c>
      <c r="Q31" s="4">
        <f>G31*D31+P31</f>
        <v/>
      </c>
      <c r="R31" s="4">
        <f>IF(D31=0,0,Q31/D31)</f>
        <v/>
      </c>
      <c r="S31" s="4">
        <f>IF(D31=0,0,SUMIF(Материалы!$A$4:$A$800,SUBSTITUTE(SUBSTITUTE(SUBSTITUTE(B31,"~","~~"),"*","~*"),"?","~?"),Материалы!$T$4:$T$800)/D31)</f>
        <v/>
      </c>
      <c r="T31" s="4">
        <f>R31+S31</f>
        <v/>
      </c>
      <c r="U31" s="4">
        <f>I31*D31</f>
        <v/>
      </c>
    </row>
    <row r="32" ht="22" customHeight="1">
      <c r="A32" s="9" t="inlineStr">
        <is>
          <t>5.5.2</t>
        </is>
      </c>
      <c r="B32" s="13" t="inlineStr">
        <is>
          <t>30. Монтаж профлиста С8-115 - 0,50 окрашенный</t>
        </is>
      </c>
      <c r="C32" s="9" t="inlineStr">
        <is>
          <t>м2</t>
        </is>
      </c>
      <c r="D32" s="4">
        <f>IF('Форма'!G30="","",'Форма'!G30)</f>
        <v/>
      </c>
      <c r="E32" s="9" t="inlineStr">
        <is>
          <t>аналог (5.5.2) по готовому каркасу</t>
        </is>
      </c>
      <c r="F32" s="9" t="inlineStr">
        <is>
          <t>FAS</t>
        </is>
      </c>
      <c r="G32" s="10" t="n">
        <v>600</v>
      </c>
      <c r="H32" s="10" t="n">
        <v>350</v>
      </c>
      <c r="I32" s="10" t="n">
        <v>0.3</v>
      </c>
      <c r="J32" s="9" t="inlineStr"/>
      <c r="K32" s="7">
        <f>IF(F32="",0,IFERROR(VLOOKUP(F32,Расходники!$A$4:$B$23,2,FALSE),0))</f>
        <v/>
      </c>
      <c r="L32" s="4">
        <f>H32*D32</f>
        <v/>
      </c>
      <c r="M32" s="4">
        <f>L32*K32</f>
        <v/>
      </c>
      <c r="N32" s="4">
        <f>SUMIF(Материалы!$A$4:$A$800,SUBSTITUTE(SUBSTITUTE(SUBSTITUTE(B32,"~","~~"),"*","~*"),"?","~?"),Материалы!$S$4:$S$800)</f>
        <v/>
      </c>
      <c r="O32" s="4">
        <f>L32+M32+N32</f>
        <v/>
      </c>
      <c r="P32" s="4">
        <f>IF(SUM($O$4:$O$672)=0,0,Косвенные!$C$9*O32/SUM($O$4:$O$672))</f>
        <v/>
      </c>
      <c r="Q32" s="4">
        <f>G32*D32+P32</f>
        <v/>
      </c>
      <c r="R32" s="4">
        <f>IF(D32=0,0,Q32/D32)</f>
        <v/>
      </c>
      <c r="S32" s="4">
        <f>IF(D32=0,0,SUMIF(Материалы!$A$4:$A$800,SUBSTITUTE(SUBSTITUTE(SUBSTITUTE(B32,"~","~~"),"*","~*"),"?","~?"),Материалы!$T$4:$T$800)/D32)</f>
        <v/>
      </c>
      <c r="T32" s="4">
        <f>R32+S32</f>
        <v/>
      </c>
      <c r="U32" s="4">
        <f>I32*D32</f>
        <v/>
      </c>
    </row>
    <row r="33" ht="22" customHeight="1">
      <c r="A33" s="9" t="inlineStr">
        <is>
          <t>5.5.2</t>
        </is>
      </c>
      <c r="B33" s="13" t="inlineStr">
        <is>
          <t>31. Монтаж профлиста  С8, 0,45мм</t>
        </is>
      </c>
      <c r="C33" s="9" t="inlineStr">
        <is>
          <t>м2</t>
        </is>
      </c>
      <c r="D33" s="4">
        <f>IF('Форма'!G31="","",'Форма'!G31)</f>
        <v/>
      </c>
      <c r="E33" s="9" t="inlineStr">
        <is>
          <t>аналог (5.5.2) по готовому каркасу</t>
        </is>
      </c>
      <c r="F33" s="9" t="inlineStr">
        <is>
          <t>FAS</t>
        </is>
      </c>
      <c r="G33" s="10" t="n">
        <v>600</v>
      </c>
      <c r="H33" s="10" t="n">
        <v>350</v>
      </c>
      <c r="I33" s="10" t="n">
        <v>0.3</v>
      </c>
      <c r="J33" s="9" t="inlineStr"/>
      <c r="K33" s="7">
        <f>IF(F33="",0,IFERROR(VLOOKUP(F33,Расходники!$A$4:$B$23,2,FALSE),0))</f>
        <v/>
      </c>
      <c r="L33" s="4">
        <f>H33*D33</f>
        <v/>
      </c>
      <c r="M33" s="4">
        <f>L33*K33</f>
        <v/>
      </c>
      <c r="N33" s="4">
        <f>SUMIF(Материалы!$A$4:$A$800,SUBSTITUTE(SUBSTITUTE(SUBSTITUTE(B33,"~","~~"),"*","~*"),"?","~?"),Материалы!$S$4:$S$800)</f>
        <v/>
      </c>
      <c r="O33" s="4">
        <f>L33+M33+N33</f>
        <v/>
      </c>
      <c r="P33" s="4">
        <f>IF(SUM($O$4:$O$672)=0,0,Косвенные!$C$9*O33/SUM($O$4:$O$672))</f>
        <v/>
      </c>
      <c r="Q33" s="4">
        <f>G33*D33+P33</f>
        <v/>
      </c>
      <c r="R33" s="4">
        <f>IF(D33=0,0,Q33/D33)</f>
        <v/>
      </c>
      <c r="S33" s="4">
        <f>IF(D33=0,0,SUMIF(Материалы!$A$4:$A$800,SUBSTITUTE(SUBSTITUTE(SUBSTITUTE(B33,"~","~~"),"*","~*"),"?","~?"),Материалы!$T$4:$T$800)/D33)</f>
        <v/>
      </c>
      <c r="T33" s="4">
        <f>R33+S33</f>
        <v/>
      </c>
      <c r="U33" s="4">
        <f>I33*D33</f>
        <v/>
      </c>
    </row>
    <row r="34" ht="22" customHeight="1">
      <c r="A34" s="9" t="inlineStr">
        <is>
          <t>5.5.2</t>
        </is>
      </c>
      <c r="B34" s="13" t="inlineStr">
        <is>
          <t>32. Монтаж профлиста  С20, 0,45мм</t>
        </is>
      </c>
      <c r="C34" s="9" t="inlineStr">
        <is>
          <t>м2</t>
        </is>
      </c>
      <c r="D34" s="4">
        <f>IF('Форма'!G32="","",'Форма'!G32)</f>
        <v/>
      </c>
      <c r="E34" s="9" t="inlineStr">
        <is>
          <t>аналог (5.5.2) по готовому каркасу</t>
        </is>
      </c>
      <c r="F34" s="9" t="inlineStr">
        <is>
          <t>FAS</t>
        </is>
      </c>
      <c r="G34" s="10" t="n">
        <v>600</v>
      </c>
      <c r="H34" s="10" t="n">
        <v>350</v>
      </c>
      <c r="I34" s="10" t="n">
        <v>0.3</v>
      </c>
      <c r="J34" s="9" t="inlineStr"/>
      <c r="K34" s="7">
        <f>IF(F34="",0,IFERROR(VLOOKUP(F34,Расходники!$A$4:$B$23,2,FALSE),0))</f>
        <v/>
      </c>
      <c r="L34" s="4">
        <f>H34*D34</f>
        <v/>
      </c>
      <c r="M34" s="4">
        <f>L34*K34</f>
        <v/>
      </c>
      <c r="N34" s="4">
        <f>SUMIF(Материалы!$A$4:$A$800,SUBSTITUTE(SUBSTITUTE(SUBSTITUTE(B34,"~","~~"),"*","~*"),"?","~?"),Материалы!$S$4:$S$800)</f>
        <v/>
      </c>
      <c r="O34" s="4">
        <f>L34+M34+N34</f>
        <v/>
      </c>
      <c r="P34" s="4">
        <f>IF(SUM($O$4:$O$672)=0,0,Косвенные!$C$9*O34/SUM($O$4:$O$672))</f>
        <v/>
      </c>
      <c r="Q34" s="4">
        <f>G34*D34+P34</f>
        <v/>
      </c>
      <c r="R34" s="4">
        <f>IF(D34=0,0,Q34/D34)</f>
        <v/>
      </c>
      <c r="S34" s="4">
        <f>IF(D34=0,0,SUMIF(Материалы!$A$4:$A$800,SUBSTITUTE(SUBSTITUTE(SUBSTITUTE(B34,"~","~~"),"*","~*"),"?","~?"),Материалы!$T$4:$T$800)/D34)</f>
        <v/>
      </c>
      <c r="T34" s="4">
        <f>R34+S34</f>
        <v/>
      </c>
      <c r="U34" s="4">
        <f>I34*D34</f>
        <v/>
      </c>
    </row>
    <row r="35" ht="22" customHeight="1">
      <c r="A35" s="9" t="inlineStr"/>
      <c r="B35" s="13" t="inlineStr">
        <is>
          <t>33. Поручни из нержавеющей стали ( с 3 ригелями )</t>
        </is>
      </c>
      <c r="C35" s="9" t="inlineStr">
        <is>
          <t>м.п.</t>
        </is>
      </c>
      <c r="D35" s="4">
        <f>IF('Форма'!G33="","",'Форма'!G33)</f>
        <v/>
      </c>
      <c r="E35" s="9" t="inlineStr">
        <is>
          <t>аналог (5.1.10)</t>
        </is>
      </c>
      <c r="F35" s="9" t="inlineStr">
        <is>
          <t>SVA</t>
        </is>
      </c>
      <c r="G35" s="10" t="n">
        <v>1824</v>
      </c>
      <c r="H35" s="10" t="n">
        <v>864</v>
      </c>
      <c r="I35" s="10" t="n">
        <v>0.8</v>
      </c>
      <c r="J35" s="9" t="inlineStr"/>
      <c r="K35" s="7">
        <f>IF(F35="",0,IFERROR(VLOOKUP(F35,Расходники!$A$4:$B$23,2,FALSE),0))</f>
        <v/>
      </c>
      <c r="L35" s="4">
        <f>H35*D35</f>
        <v/>
      </c>
      <c r="M35" s="4">
        <f>L35*K35</f>
        <v/>
      </c>
      <c r="N35" s="4">
        <f>SUMIF(Материалы!$A$4:$A$800,SUBSTITUTE(SUBSTITUTE(SUBSTITUTE(B35,"~","~~"),"*","~*"),"?","~?"),Материалы!$S$4:$S$800)</f>
        <v/>
      </c>
      <c r="O35" s="4">
        <f>L35+M35+N35</f>
        <v/>
      </c>
      <c r="P35" s="4">
        <f>IF(SUM($O$4:$O$672)=0,0,Косвенные!$C$9*O35/SUM($O$4:$O$672))</f>
        <v/>
      </c>
      <c r="Q35" s="4">
        <f>G35*D35+P35</f>
        <v/>
      </c>
      <c r="R35" s="4">
        <f>IF(D35=0,0,Q35/D35)</f>
        <v/>
      </c>
      <c r="S35" s="4">
        <f>IF(D35=0,0,SUMIF(Материалы!$A$4:$A$800,SUBSTITUTE(SUBSTITUTE(SUBSTITUTE(B35,"~","~~"),"*","~*"),"?","~?"),Материалы!$T$4:$T$800)/D35)</f>
        <v/>
      </c>
      <c r="T35" s="4">
        <f>R35+S35</f>
        <v/>
      </c>
      <c r="U35" s="4">
        <f>I35*D35</f>
        <v/>
      </c>
    </row>
    <row r="36" ht="22" customHeight="1">
      <c r="A36" s="9" t="inlineStr"/>
      <c r="B36" s="13" t="inlineStr">
        <is>
          <t>34. Поручни из нержавеющей стали ( с 2 ригелями, с двойным )</t>
        </is>
      </c>
      <c r="C36" s="9" t="inlineStr">
        <is>
          <t>м.п.</t>
        </is>
      </c>
      <c r="D36" s="4">
        <f>IF('Форма'!G34="","",'Форма'!G34)</f>
        <v/>
      </c>
      <c r="E36" s="9" t="inlineStr">
        <is>
          <t>аналог (5.1.10)</t>
        </is>
      </c>
      <c r="F36" s="9" t="inlineStr">
        <is>
          <t>SVA</t>
        </is>
      </c>
      <c r="G36" s="10" t="n">
        <v>1824</v>
      </c>
      <c r="H36" s="10" t="n">
        <v>864</v>
      </c>
      <c r="I36" s="10" t="n">
        <v>0.8</v>
      </c>
      <c r="J36" s="9" t="inlineStr"/>
      <c r="K36" s="7">
        <f>IF(F36="",0,IFERROR(VLOOKUP(F36,Расходники!$A$4:$B$23,2,FALSE),0))</f>
        <v/>
      </c>
      <c r="L36" s="4">
        <f>H36*D36</f>
        <v/>
      </c>
      <c r="M36" s="4">
        <f>L36*K36</f>
        <v/>
      </c>
      <c r="N36" s="4">
        <f>SUMIF(Материалы!$A$4:$A$800,SUBSTITUTE(SUBSTITUTE(SUBSTITUTE(B36,"~","~~"),"*","~*"),"?","~?"),Материалы!$S$4:$S$800)</f>
        <v/>
      </c>
      <c r="O36" s="4">
        <f>L36+M36+N36</f>
        <v/>
      </c>
      <c r="P36" s="4">
        <f>IF(SUM($O$4:$O$672)=0,0,Косвенные!$C$9*O36/SUM($O$4:$O$672))</f>
        <v/>
      </c>
      <c r="Q36" s="4">
        <f>G36*D36+P36</f>
        <v/>
      </c>
      <c r="R36" s="4">
        <f>IF(D36=0,0,Q36/D36)</f>
        <v/>
      </c>
      <c r="S36" s="4">
        <f>IF(D36=0,0,SUMIF(Материалы!$A$4:$A$800,SUBSTITUTE(SUBSTITUTE(SUBSTITUTE(B36,"~","~~"),"*","~*"),"?","~?"),Материалы!$T$4:$T$800)/D36)</f>
        <v/>
      </c>
      <c r="T36" s="4">
        <f>R36+S36</f>
        <v/>
      </c>
      <c r="U36" s="4">
        <f>I36*D36</f>
        <v/>
      </c>
    </row>
    <row r="37" ht="22" customHeight="1">
      <c r="A37" s="9" t="inlineStr">
        <is>
          <t>7.2.25</t>
        </is>
      </c>
      <c r="B37" s="13" t="inlineStr">
        <is>
          <t>35. Керамогранит 300х300х8 мм типа "Эстима" (цвет белый )RW-01 (вкл. За основу клей, грунтовку, затирку швов)</t>
        </is>
      </c>
      <c r="C37" s="9" t="inlineStr">
        <is>
          <t>м2</t>
        </is>
      </c>
      <c r="D37" s="4">
        <f>IF('Форма'!G35="","",'Форма'!G35)</f>
        <v/>
      </c>
      <c r="E37" s="9" t="inlineStr">
        <is>
          <t>точно</t>
        </is>
      </c>
      <c r="F37" s="9" t="inlineStr">
        <is>
          <t>PLI</t>
        </is>
      </c>
      <c r="G37" s="10" t="n">
        <v>2160</v>
      </c>
      <c r="H37" s="10" t="n">
        <v>1150</v>
      </c>
      <c r="I37" s="10" t="n">
        <v>1.5</v>
      </c>
      <c r="J37" s="9" t="inlineStr">
        <is>
          <t>да</t>
        </is>
      </c>
      <c r="K37" s="7">
        <f>IF(F37="",0,IFERROR(VLOOKUP(F37,Расходники!$A$4:$B$23,2,FALSE),0))</f>
        <v/>
      </c>
      <c r="L37" s="4">
        <f>H37*D37</f>
        <v/>
      </c>
      <c r="M37" s="4">
        <f>L37*K37</f>
        <v/>
      </c>
      <c r="N37" s="4">
        <f>SUMIF(Материалы!$A$4:$A$800,SUBSTITUTE(SUBSTITUTE(SUBSTITUTE(B37,"~","~~"),"*","~*"),"?","~?"),Материалы!$S$4:$S$800)</f>
        <v/>
      </c>
      <c r="O37" s="4">
        <f>L37+M37+N37</f>
        <v/>
      </c>
      <c r="P37" s="4">
        <f>IF(SUM($O$4:$O$672)=0,0,Косвенные!$C$9*O37/SUM($O$4:$O$672))</f>
        <v/>
      </c>
      <c r="Q37" s="4">
        <f>G37*D37+P37</f>
        <v/>
      </c>
      <c r="R37" s="4">
        <f>IF(D37=0,0,Q37/D37)</f>
        <v/>
      </c>
      <c r="S37" s="4">
        <f>IF(D37=0,0,SUMIF(Материалы!$A$4:$A$800,SUBSTITUTE(SUBSTITUTE(SUBSTITUTE(B37,"~","~~"),"*","~*"),"?","~?"),Материалы!$T$4:$T$800)/D37)</f>
        <v/>
      </c>
      <c r="T37" s="4">
        <f>R37+S37</f>
        <v/>
      </c>
      <c r="U37" s="4">
        <f>I37*D37</f>
        <v/>
      </c>
    </row>
    <row r="38" ht="22" customHeight="1">
      <c r="A38" s="9" t="inlineStr">
        <is>
          <t>7.2.25</t>
        </is>
      </c>
      <c r="B38" s="13" t="inlineStr">
        <is>
          <t>36. Керамогранит 400х400х9 мм типа "Эстима" (цвет белый))RW-01 (вкл. За основу клей, грунтовку, затирку швов)</t>
        </is>
      </c>
      <c r="C38" s="9" t="inlineStr">
        <is>
          <t>м2</t>
        </is>
      </c>
      <c r="D38" s="4">
        <f>IF('Форма'!G36="","",'Форма'!G36)</f>
        <v/>
      </c>
      <c r="E38" s="9" t="inlineStr">
        <is>
          <t>точно</t>
        </is>
      </c>
      <c r="F38" s="9" t="inlineStr">
        <is>
          <t>PLI</t>
        </is>
      </c>
      <c r="G38" s="10" t="n">
        <v>2160</v>
      </c>
      <c r="H38" s="10" t="n">
        <v>1150</v>
      </c>
      <c r="I38" s="10" t="n">
        <v>1.5</v>
      </c>
      <c r="J38" s="9" t="inlineStr">
        <is>
          <t>да</t>
        </is>
      </c>
      <c r="K38" s="7">
        <f>IF(F38="",0,IFERROR(VLOOKUP(F38,Расходники!$A$4:$B$23,2,FALSE),0))</f>
        <v/>
      </c>
      <c r="L38" s="4">
        <f>H38*D38</f>
        <v/>
      </c>
      <c r="M38" s="4">
        <f>L38*K38</f>
        <v/>
      </c>
      <c r="N38" s="4">
        <f>SUMIF(Материалы!$A$4:$A$800,SUBSTITUTE(SUBSTITUTE(SUBSTITUTE(B38,"~","~~"),"*","~*"),"?","~?"),Материалы!$S$4:$S$800)</f>
        <v/>
      </c>
      <c r="O38" s="4">
        <f>L38+M38+N38</f>
        <v/>
      </c>
      <c r="P38" s="4">
        <f>IF(SUM($O$4:$O$672)=0,0,Косвенные!$C$9*O38/SUM($O$4:$O$672))</f>
        <v/>
      </c>
      <c r="Q38" s="4">
        <f>G38*D38+P38</f>
        <v/>
      </c>
      <c r="R38" s="4">
        <f>IF(D38=0,0,Q38/D38)</f>
        <v/>
      </c>
      <c r="S38" s="4">
        <f>IF(D38=0,0,SUMIF(Материалы!$A$4:$A$800,SUBSTITUTE(SUBSTITUTE(SUBSTITUTE(B38,"~","~~"),"*","~*"),"?","~?"),Материалы!$T$4:$T$800)/D38)</f>
        <v/>
      </c>
      <c r="T38" s="4">
        <f>R38+S38</f>
        <v/>
      </c>
      <c r="U38" s="4">
        <f>I38*D38</f>
        <v/>
      </c>
    </row>
    <row r="39" ht="22" customHeight="1">
      <c r="A39" s="9" t="inlineStr">
        <is>
          <t>7.2.25</t>
        </is>
      </c>
      <c r="B39" s="13" t="inlineStr">
        <is>
          <t>37. Керамогранит 600х600х10 мм типа "Эстима" (цвет белый))RW-01 (вкл. За основу клей, грунтовку, затирку швов)</t>
        </is>
      </c>
      <c r="C39" s="9" t="inlineStr">
        <is>
          <t>м2</t>
        </is>
      </c>
      <c r="D39" s="4">
        <f>IF('Форма'!G37="","",'Форма'!G37)</f>
        <v/>
      </c>
      <c r="E39" s="9" t="inlineStr">
        <is>
          <t>точно</t>
        </is>
      </c>
      <c r="F39" s="9" t="inlineStr">
        <is>
          <t>PLI</t>
        </is>
      </c>
      <c r="G39" s="10" t="n">
        <v>2160</v>
      </c>
      <c r="H39" s="10" t="n">
        <v>1150</v>
      </c>
      <c r="I39" s="10" t="n">
        <v>1.5</v>
      </c>
      <c r="J39" s="9" t="inlineStr">
        <is>
          <t>да</t>
        </is>
      </c>
      <c r="K39" s="7">
        <f>IF(F39="",0,IFERROR(VLOOKUP(F39,Расходники!$A$4:$B$23,2,FALSE),0))</f>
        <v/>
      </c>
      <c r="L39" s="4">
        <f>H39*D39</f>
        <v/>
      </c>
      <c r="M39" s="4">
        <f>L39*K39</f>
        <v/>
      </c>
      <c r="N39" s="4">
        <f>SUMIF(Материалы!$A$4:$A$800,SUBSTITUTE(SUBSTITUTE(SUBSTITUTE(B39,"~","~~"),"*","~*"),"?","~?"),Материалы!$S$4:$S$800)</f>
        <v/>
      </c>
      <c r="O39" s="4">
        <f>L39+M39+N39</f>
        <v/>
      </c>
      <c r="P39" s="4">
        <f>IF(SUM($O$4:$O$672)=0,0,Косвенные!$C$9*O39/SUM($O$4:$O$672))</f>
        <v/>
      </c>
      <c r="Q39" s="4">
        <f>G39*D39+P39</f>
        <v/>
      </c>
      <c r="R39" s="4">
        <f>IF(D39=0,0,Q39/D39)</f>
        <v/>
      </c>
      <c r="S39" s="4">
        <f>IF(D39=0,0,SUMIF(Материалы!$A$4:$A$800,SUBSTITUTE(SUBSTITUTE(SUBSTITUTE(B39,"~","~~"),"*","~*"),"?","~?"),Материалы!$T$4:$T$800)/D39)</f>
        <v/>
      </c>
      <c r="T39" s="4">
        <f>R39+S39</f>
        <v/>
      </c>
      <c r="U39" s="4">
        <f>I39*D39</f>
        <v/>
      </c>
    </row>
    <row r="40" ht="22" customHeight="1">
      <c r="A40" s="9" t="inlineStr">
        <is>
          <t>7.2.25</t>
        </is>
      </c>
      <c r="B40" s="13" t="inlineStr">
        <is>
          <t>38. Плитка керамогранита 200*200*12 мм типа "Эстима" (цвет-серый ) ST-101 (вкл. За основу клей, грунтовку, затирку швов)</t>
        </is>
      </c>
      <c r="C40" s="9" t="inlineStr">
        <is>
          <t>м2</t>
        </is>
      </c>
      <c r="D40" s="4">
        <f>IF('Форма'!G38="","",'Форма'!G38)</f>
        <v/>
      </c>
      <c r="E40" s="9" t="inlineStr">
        <is>
          <t>точно</t>
        </is>
      </c>
      <c r="F40" s="9" t="inlineStr">
        <is>
          <t>PLI</t>
        </is>
      </c>
      <c r="G40" s="10" t="n">
        <v>2160</v>
      </c>
      <c r="H40" s="10" t="n">
        <v>1150</v>
      </c>
      <c r="I40" s="10" t="n">
        <v>1.5</v>
      </c>
      <c r="J40" s="9" t="inlineStr">
        <is>
          <t>да</t>
        </is>
      </c>
      <c r="K40" s="7">
        <f>IF(F40="",0,IFERROR(VLOOKUP(F40,Расходники!$A$4:$B$23,2,FALSE),0))</f>
        <v/>
      </c>
      <c r="L40" s="4">
        <f>H40*D40</f>
        <v/>
      </c>
      <c r="M40" s="4">
        <f>L40*K40</f>
        <v/>
      </c>
      <c r="N40" s="4">
        <f>SUMIF(Материалы!$A$4:$A$800,SUBSTITUTE(SUBSTITUTE(SUBSTITUTE(B40,"~","~~"),"*","~*"),"?","~?"),Материалы!$S$4:$S$800)</f>
        <v/>
      </c>
      <c r="O40" s="4">
        <f>L40+M40+N40</f>
        <v/>
      </c>
      <c r="P40" s="4">
        <f>IF(SUM($O$4:$O$672)=0,0,Косвенные!$C$9*O40/SUM($O$4:$O$672))</f>
        <v/>
      </c>
      <c r="Q40" s="4">
        <f>G40*D40+P40</f>
        <v/>
      </c>
      <c r="R40" s="4">
        <f>IF(D40=0,0,Q40/D40)</f>
        <v/>
      </c>
      <c r="S40" s="4">
        <f>IF(D40=0,0,SUMIF(Материалы!$A$4:$A$800,SUBSTITUTE(SUBSTITUTE(SUBSTITUTE(B40,"~","~~"),"*","~*"),"?","~?"),Материалы!$T$4:$T$800)/D40)</f>
        <v/>
      </c>
      <c r="T40" s="4">
        <f>R40+S40</f>
        <v/>
      </c>
      <c r="U40" s="4">
        <f>I40*D40</f>
        <v/>
      </c>
    </row>
    <row r="41" ht="22" customHeight="1">
      <c r="A41" s="9" t="inlineStr">
        <is>
          <t>7.2.25</t>
        </is>
      </c>
      <c r="B41" s="13" t="inlineStr">
        <is>
          <t>39. Плитка керамогранита 300*300*12 мм типа "Эстима" (цвет-серый ) ST-101 (вкл. За основу клей, грунтовку, затирку швов)</t>
        </is>
      </c>
      <c r="C41" s="9" t="inlineStr">
        <is>
          <t>м2</t>
        </is>
      </c>
      <c r="D41" s="4">
        <f>IF('Форма'!G39="","",'Форма'!G39)</f>
        <v/>
      </c>
      <c r="E41" s="9" t="inlineStr">
        <is>
          <t>точно</t>
        </is>
      </c>
      <c r="F41" s="9" t="inlineStr">
        <is>
          <t>PLI</t>
        </is>
      </c>
      <c r="G41" s="10" t="n">
        <v>2160</v>
      </c>
      <c r="H41" s="10" t="n">
        <v>1150</v>
      </c>
      <c r="I41" s="10" t="n">
        <v>1.5</v>
      </c>
      <c r="J41" s="9" t="inlineStr">
        <is>
          <t>да</t>
        </is>
      </c>
      <c r="K41" s="7">
        <f>IF(F41="",0,IFERROR(VLOOKUP(F41,Расходники!$A$4:$B$23,2,FALSE),0))</f>
        <v/>
      </c>
      <c r="L41" s="4">
        <f>H41*D41</f>
        <v/>
      </c>
      <c r="M41" s="4">
        <f>L41*K41</f>
        <v/>
      </c>
      <c r="N41" s="4">
        <f>SUMIF(Материалы!$A$4:$A$800,SUBSTITUTE(SUBSTITUTE(SUBSTITUTE(B41,"~","~~"),"*","~*"),"?","~?"),Материалы!$S$4:$S$800)</f>
        <v/>
      </c>
      <c r="O41" s="4">
        <f>L41+M41+N41</f>
        <v/>
      </c>
      <c r="P41" s="4">
        <f>IF(SUM($O$4:$O$672)=0,0,Косвенные!$C$9*O41/SUM($O$4:$O$672))</f>
        <v/>
      </c>
      <c r="Q41" s="4">
        <f>G41*D41+P41</f>
        <v/>
      </c>
      <c r="R41" s="4">
        <f>IF(D41=0,0,Q41/D41)</f>
        <v/>
      </c>
      <c r="S41" s="4">
        <f>IF(D41=0,0,SUMIF(Материалы!$A$4:$A$800,SUBSTITUTE(SUBSTITUTE(SUBSTITUTE(B41,"~","~~"),"*","~*"),"?","~?"),Материалы!$T$4:$T$800)/D41)</f>
        <v/>
      </c>
      <c r="T41" s="4">
        <f>R41+S41</f>
        <v/>
      </c>
      <c r="U41" s="4">
        <f>I41*D41</f>
        <v/>
      </c>
    </row>
    <row r="42" ht="22" customHeight="1">
      <c r="A42" s="9" t="inlineStr">
        <is>
          <t>7.2.25</t>
        </is>
      </c>
      <c r="B42" s="13" t="inlineStr">
        <is>
          <t>40. Плитка керамогранита 300*300*8 мм типа "Эстима"(цвет-серый ) ST-03 (вкл. За основу клей, грунтовку, затирку швов)</t>
        </is>
      </c>
      <c r="C42" s="9" t="inlineStr">
        <is>
          <t>м2</t>
        </is>
      </c>
      <c r="D42" s="4">
        <f>IF('Форма'!G40="","",'Форма'!G40)</f>
        <v/>
      </c>
      <c r="E42" s="9" t="inlineStr">
        <is>
          <t>точно</t>
        </is>
      </c>
      <c r="F42" s="9" t="inlineStr">
        <is>
          <t>PLI</t>
        </is>
      </c>
      <c r="G42" s="10" t="n">
        <v>2160</v>
      </c>
      <c r="H42" s="10" t="n">
        <v>1150</v>
      </c>
      <c r="I42" s="10" t="n">
        <v>1.5</v>
      </c>
      <c r="J42" s="9" t="inlineStr">
        <is>
          <t>да</t>
        </is>
      </c>
      <c r="K42" s="7">
        <f>IF(F42="",0,IFERROR(VLOOKUP(F42,Расходники!$A$4:$B$23,2,FALSE),0))</f>
        <v/>
      </c>
      <c r="L42" s="4">
        <f>H42*D42</f>
        <v/>
      </c>
      <c r="M42" s="4">
        <f>L42*K42</f>
        <v/>
      </c>
      <c r="N42" s="4">
        <f>SUMIF(Материалы!$A$4:$A$800,SUBSTITUTE(SUBSTITUTE(SUBSTITUTE(B42,"~","~~"),"*","~*"),"?","~?"),Материалы!$S$4:$S$800)</f>
        <v/>
      </c>
      <c r="O42" s="4">
        <f>L42+M42+N42</f>
        <v/>
      </c>
      <c r="P42" s="4">
        <f>IF(SUM($O$4:$O$672)=0,0,Косвенные!$C$9*O42/SUM($O$4:$O$672))</f>
        <v/>
      </c>
      <c r="Q42" s="4">
        <f>G42*D42+P42</f>
        <v/>
      </c>
      <c r="R42" s="4">
        <f>IF(D42=0,0,Q42/D42)</f>
        <v/>
      </c>
      <c r="S42" s="4">
        <f>IF(D42=0,0,SUMIF(Материалы!$A$4:$A$800,SUBSTITUTE(SUBSTITUTE(SUBSTITUTE(B42,"~","~~"),"*","~*"),"?","~?"),Материалы!$T$4:$T$800)/D42)</f>
        <v/>
      </c>
      <c r="T42" s="4">
        <f>R42+S42</f>
        <v/>
      </c>
      <c r="U42" s="4">
        <f>I42*D42</f>
        <v/>
      </c>
    </row>
    <row r="43" ht="22" customHeight="1">
      <c r="A43" s="9" t="inlineStr">
        <is>
          <t>7.2.25</t>
        </is>
      </c>
      <c r="B43" s="13" t="inlineStr">
        <is>
          <t>41. Плитка Керамогранит 400х400х9 мм типа "Эстима"(цвет-серый ) ST-03 (вкл. За основу клей, грунтовку, затирку швов)</t>
        </is>
      </c>
      <c r="C43" s="9" t="inlineStr">
        <is>
          <t>м2</t>
        </is>
      </c>
      <c r="D43" s="4">
        <f>IF('Форма'!G41="","",'Форма'!G41)</f>
        <v/>
      </c>
      <c r="E43" s="9" t="inlineStr">
        <is>
          <t>точно</t>
        </is>
      </c>
      <c r="F43" s="9" t="inlineStr">
        <is>
          <t>PLI</t>
        </is>
      </c>
      <c r="G43" s="10" t="n">
        <v>2160</v>
      </c>
      <c r="H43" s="10" t="n">
        <v>1150</v>
      </c>
      <c r="I43" s="10" t="n">
        <v>1.5</v>
      </c>
      <c r="J43" s="9" t="inlineStr">
        <is>
          <t>да</t>
        </is>
      </c>
      <c r="K43" s="7">
        <f>IF(F43="",0,IFERROR(VLOOKUP(F43,Расходники!$A$4:$B$23,2,FALSE),0))</f>
        <v/>
      </c>
      <c r="L43" s="4">
        <f>H43*D43</f>
        <v/>
      </c>
      <c r="M43" s="4">
        <f>L43*K43</f>
        <v/>
      </c>
      <c r="N43" s="4">
        <f>SUMIF(Материалы!$A$4:$A$800,SUBSTITUTE(SUBSTITUTE(SUBSTITUTE(B43,"~","~~"),"*","~*"),"?","~?"),Материалы!$S$4:$S$800)</f>
        <v/>
      </c>
      <c r="O43" s="4">
        <f>L43+M43+N43</f>
        <v/>
      </c>
      <c r="P43" s="4">
        <f>IF(SUM($O$4:$O$672)=0,0,Косвенные!$C$9*O43/SUM($O$4:$O$672))</f>
        <v/>
      </c>
      <c r="Q43" s="4">
        <f>G43*D43+P43</f>
        <v/>
      </c>
      <c r="R43" s="4">
        <f>IF(D43=0,0,Q43/D43)</f>
        <v/>
      </c>
      <c r="S43" s="4">
        <f>IF(D43=0,0,SUMIF(Материалы!$A$4:$A$800,SUBSTITUTE(SUBSTITUTE(SUBSTITUTE(B43,"~","~~"),"*","~*"),"?","~?"),Материалы!$T$4:$T$800)/D43)</f>
        <v/>
      </c>
      <c r="T43" s="4">
        <f>R43+S43</f>
        <v/>
      </c>
      <c r="U43" s="4">
        <f>I43*D43</f>
        <v/>
      </c>
    </row>
    <row r="44" ht="22" customHeight="1">
      <c r="A44" s="9" t="inlineStr">
        <is>
          <t>7.2.25</t>
        </is>
      </c>
      <c r="B44" s="13" t="inlineStr">
        <is>
          <t>42. Плитка керамогранита 600*600*10 мм типа "Эстима"(цвет-серый ) ST-03 (вкл. За основу клей, грунтовку, затирку швов)</t>
        </is>
      </c>
      <c r="C44" s="9" t="inlineStr">
        <is>
          <t>м2</t>
        </is>
      </c>
      <c r="D44" s="4">
        <f>IF('Форма'!G42="","",'Форма'!G42)</f>
        <v/>
      </c>
      <c r="E44" s="9" t="inlineStr">
        <is>
          <t>точно</t>
        </is>
      </c>
      <c r="F44" s="9" t="inlineStr">
        <is>
          <t>PLI</t>
        </is>
      </c>
      <c r="G44" s="10" t="n">
        <v>2160</v>
      </c>
      <c r="H44" s="10" t="n">
        <v>1150</v>
      </c>
      <c r="I44" s="10" t="n">
        <v>1.5</v>
      </c>
      <c r="J44" s="9" t="inlineStr">
        <is>
          <t>да</t>
        </is>
      </c>
      <c r="K44" s="7">
        <f>IF(F44="",0,IFERROR(VLOOKUP(F44,Расходники!$A$4:$B$23,2,FALSE),0))</f>
        <v/>
      </c>
      <c r="L44" s="4">
        <f>H44*D44</f>
        <v/>
      </c>
      <c r="M44" s="4">
        <f>L44*K44</f>
        <v/>
      </c>
      <c r="N44" s="4">
        <f>SUMIF(Материалы!$A$4:$A$800,SUBSTITUTE(SUBSTITUTE(SUBSTITUTE(B44,"~","~~"),"*","~*"),"?","~?"),Материалы!$S$4:$S$800)</f>
        <v/>
      </c>
      <c r="O44" s="4">
        <f>L44+M44+N44</f>
        <v/>
      </c>
      <c r="P44" s="4">
        <f>IF(SUM($O$4:$O$672)=0,0,Косвенные!$C$9*O44/SUM($O$4:$O$672))</f>
        <v/>
      </c>
      <c r="Q44" s="4">
        <f>G44*D44+P44</f>
        <v/>
      </c>
      <c r="R44" s="4">
        <f>IF(D44=0,0,Q44/D44)</f>
        <v/>
      </c>
      <c r="S44" s="4">
        <f>IF(D44=0,0,SUMIF(Материалы!$A$4:$A$800,SUBSTITUTE(SUBSTITUTE(SUBSTITUTE(B44,"~","~~"),"*","~*"),"?","~?"),Материалы!$T$4:$T$800)/D44)</f>
        <v/>
      </c>
      <c r="T44" s="4">
        <f>R44+S44</f>
        <v/>
      </c>
      <c r="U44" s="4">
        <f>I44*D44</f>
        <v/>
      </c>
    </row>
    <row r="45" ht="22" customHeight="1">
      <c r="A45" s="9" t="inlineStr">
        <is>
          <t>7.2.25</t>
        </is>
      </c>
      <c r="B45" s="13" t="inlineStr">
        <is>
          <t>43. Керамогранит для пола 200х200х12 мм (полосы, PEI 4) глазурованный (полосатая) (вкл. За основу клей, грунтовку, затирку швов)</t>
        </is>
      </c>
      <c r="C45" s="9" t="inlineStr">
        <is>
          <t>м2</t>
        </is>
      </c>
      <c r="D45" s="4">
        <f>IF('Форма'!G43="","",'Форма'!G43)</f>
        <v/>
      </c>
      <c r="E45" s="9" t="inlineStr">
        <is>
          <t>точно</t>
        </is>
      </c>
      <c r="F45" s="9" t="inlineStr">
        <is>
          <t>PLI</t>
        </is>
      </c>
      <c r="G45" s="10" t="n">
        <v>2160</v>
      </c>
      <c r="H45" s="10" t="n">
        <v>1150</v>
      </c>
      <c r="I45" s="10" t="n">
        <v>1.5</v>
      </c>
      <c r="J45" s="9" t="inlineStr">
        <is>
          <t>да</t>
        </is>
      </c>
      <c r="K45" s="7">
        <f>IF(F45="",0,IFERROR(VLOOKUP(F45,Расходники!$A$4:$B$23,2,FALSE),0))</f>
        <v/>
      </c>
      <c r="L45" s="4">
        <f>H45*D45</f>
        <v/>
      </c>
      <c r="M45" s="4">
        <f>L45*K45</f>
        <v/>
      </c>
      <c r="N45" s="4">
        <f>SUMIF(Материалы!$A$4:$A$800,SUBSTITUTE(SUBSTITUTE(SUBSTITUTE(B45,"~","~~"),"*","~*"),"?","~?"),Материалы!$S$4:$S$800)</f>
        <v/>
      </c>
      <c r="O45" s="4">
        <f>L45+M45+N45</f>
        <v/>
      </c>
      <c r="P45" s="4">
        <f>IF(SUM($O$4:$O$672)=0,0,Косвенные!$C$9*O45/SUM($O$4:$O$672))</f>
        <v/>
      </c>
      <c r="Q45" s="4">
        <f>G45*D45+P45</f>
        <v/>
      </c>
      <c r="R45" s="4">
        <f>IF(D45=0,0,Q45/D45)</f>
        <v/>
      </c>
      <c r="S45" s="4">
        <f>IF(D45=0,0,SUMIF(Материалы!$A$4:$A$800,SUBSTITUTE(SUBSTITUTE(SUBSTITUTE(B45,"~","~~"),"*","~*"),"?","~?"),Материалы!$T$4:$T$800)/D45)</f>
        <v/>
      </c>
      <c r="T45" s="4">
        <f>R45+S45</f>
        <v/>
      </c>
      <c r="U45" s="4">
        <f>I45*D45</f>
        <v/>
      </c>
    </row>
    <row r="46" ht="22" customHeight="1">
      <c r="A46" s="9" t="inlineStr">
        <is>
          <t>7.2.25</t>
        </is>
      </c>
      <c r="B46" s="13" t="inlineStr">
        <is>
          <t>44. Керамогранит Техногрес 300х300х12мм соль-перец</t>
        </is>
      </c>
      <c r="C46" s="9" t="inlineStr">
        <is>
          <t>м2</t>
        </is>
      </c>
      <c r="D46" s="4">
        <f>IF('Форма'!G44="","",'Форма'!G44)</f>
        <v/>
      </c>
      <c r="E46" s="9" t="inlineStr">
        <is>
          <t>точно</t>
        </is>
      </c>
      <c r="F46" s="9" t="inlineStr">
        <is>
          <t>PLI</t>
        </is>
      </c>
      <c r="G46" s="10" t="n">
        <v>2160</v>
      </c>
      <c r="H46" s="10" t="n">
        <v>1150</v>
      </c>
      <c r="I46" s="10" t="n">
        <v>1.5</v>
      </c>
      <c r="J46" s="9" t="inlineStr">
        <is>
          <t>да</t>
        </is>
      </c>
      <c r="K46" s="7">
        <f>IF(F46="",0,IFERROR(VLOOKUP(F46,Расходники!$A$4:$B$23,2,FALSE),0))</f>
        <v/>
      </c>
      <c r="L46" s="4">
        <f>H46*D46</f>
        <v/>
      </c>
      <c r="M46" s="4">
        <f>L46*K46</f>
        <v/>
      </c>
      <c r="N46" s="4">
        <f>SUMIF(Материалы!$A$4:$A$800,SUBSTITUTE(SUBSTITUTE(SUBSTITUTE(B46,"~","~~"),"*","~*"),"?","~?"),Материалы!$S$4:$S$800)</f>
        <v/>
      </c>
      <c r="O46" s="4">
        <f>L46+M46+N46</f>
        <v/>
      </c>
      <c r="P46" s="4">
        <f>IF(SUM($O$4:$O$672)=0,0,Косвенные!$C$9*O46/SUM($O$4:$O$672))</f>
        <v/>
      </c>
      <c r="Q46" s="4">
        <f>G46*D46+P46</f>
        <v/>
      </c>
      <c r="R46" s="4">
        <f>IF(D46=0,0,Q46/D46)</f>
        <v/>
      </c>
      <c r="S46" s="4">
        <f>IF(D46=0,0,SUMIF(Материалы!$A$4:$A$800,SUBSTITUTE(SUBSTITUTE(SUBSTITUTE(B46,"~","~~"),"*","~*"),"?","~?"),Материалы!$T$4:$T$800)/D46)</f>
        <v/>
      </c>
      <c r="T46" s="4">
        <f>R46+S46</f>
        <v/>
      </c>
      <c r="U46" s="4">
        <f>I46*D46</f>
        <v/>
      </c>
    </row>
    <row r="47" ht="22" customHeight="1">
      <c r="A47" s="9" t="inlineStr">
        <is>
          <t>7.3.9</t>
        </is>
      </c>
      <c r="B47" s="13" t="inlineStr">
        <is>
          <t>45. Плинтус напольный пластиковый 55 x 22 мм типа "Идеал" с кабель каналом</t>
        </is>
      </c>
      <c r="C47" s="9" t="inlineStr">
        <is>
          <t>м.п.</t>
        </is>
      </c>
      <c r="D47" s="4">
        <f>IF('Форма'!G45="","",'Форма'!G45)</f>
        <v/>
      </c>
      <c r="E47" s="9" t="inlineStr">
        <is>
          <t>точно</t>
        </is>
      </c>
      <c r="F47" s="9" t="inlineStr">
        <is>
          <t>PLI</t>
        </is>
      </c>
      <c r="G47" s="10" t="n">
        <v>175</v>
      </c>
      <c r="H47" s="10" t="n">
        <v>105</v>
      </c>
      <c r="I47" s="10" t="n">
        <v>0.1</v>
      </c>
      <c r="J47" s="9" t="inlineStr"/>
      <c r="K47" s="7">
        <f>IF(F47="",0,IFERROR(VLOOKUP(F47,Расходники!$A$4:$B$23,2,FALSE),0))</f>
        <v/>
      </c>
      <c r="L47" s="4">
        <f>H47*D47</f>
        <v/>
      </c>
      <c r="M47" s="4">
        <f>L47*K47</f>
        <v/>
      </c>
      <c r="N47" s="4">
        <f>SUMIF(Материалы!$A$4:$A$800,SUBSTITUTE(SUBSTITUTE(SUBSTITUTE(B47,"~","~~"),"*","~*"),"?","~?"),Материалы!$S$4:$S$800)</f>
        <v/>
      </c>
      <c r="O47" s="4">
        <f>L47+M47+N47</f>
        <v/>
      </c>
      <c r="P47" s="4">
        <f>IF(SUM($O$4:$O$672)=0,0,Косвенные!$C$9*O47/SUM($O$4:$O$672))</f>
        <v/>
      </c>
      <c r="Q47" s="4">
        <f>G47*D47+P47</f>
        <v/>
      </c>
      <c r="R47" s="4">
        <f>IF(D47=0,0,Q47/D47)</f>
        <v/>
      </c>
      <c r="S47" s="4">
        <f>IF(D47=0,0,SUMIF(Материалы!$A$4:$A$800,SUBSTITUTE(SUBSTITUTE(SUBSTITUTE(B47,"~","~~"),"*","~*"),"?","~?"),Материалы!$T$4:$T$800)/D47)</f>
        <v/>
      </c>
      <c r="T47" s="4">
        <f>R47+S47</f>
        <v/>
      </c>
      <c r="U47" s="4">
        <f>I47*D47</f>
        <v/>
      </c>
    </row>
    <row r="48" ht="22" customHeight="1">
      <c r="A48" s="9" t="inlineStr">
        <is>
          <t>7.2.21</t>
        </is>
      </c>
      <c r="B48" s="13" t="inlineStr">
        <is>
          <t>46. Линолеум коммерческий толщиной не менее 2 мм (типа "Tarket" серии "Optima")</t>
        </is>
      </c>
      <c r="C48" s="9" t="inlineStr">
        <is>
          <t>м2</t>
        </is>
      </c>
      <c r="D48" s="4">
        <f>IF('Форма'!G46="","",'Форма'!G46)</f>
        <v/>
      </c>
      <c r="E48" s="9" t="inlineStr">
        <is>
          <t>точно</t>
        </is>
      </c>
      <c r="F48" s="9" t="inlineStr">
        <is>
          <t>PLI</t>
        </is>
      </c>
      <c r="G48" s="10" t="n">
        <v>450</v>
      </c>
      <c r="H48" s="10" t="n">
        <v>270</v>
      </c>
      <c r="I48" s="10" t="n">
        <v>0.25</v>
      </c>
      <c r="J48" s="9" t="inlineStr"/>
      <c r="K48" s="7">
        <f>IF(F48="",0,IFERROR(VLOOKUP(F48,Расходники!$A$4:$B$23,2,FALSE),0))</f>
        <v/>
      </c>
      <c r="L48" s="4">
        <f>H48*D48</f>
        <v/>
      </c>
      <c r="M48" s="4">
        <f>L48*K48</f>
        <v/>
      </c>
      <c r="N48" s="4">
        <f>SUMIF(Материалы!$A$4:$A$800,SUBSTITUTE(SUBSTITUTE(SUBSTITUTE(B48,"~","~~"),"*","~*"),"?","~?"),Материалы!$S$4:$S$800)</f>
        <v/>
      </c>
      <c r="O48" s="4">
        <f>L48+M48+N48</f>
        <v/>
      </c>
      <c r="P48" s="4">
        <f>IF(SUM($O$4:$O$672)=0,0,Косвенные!$C$9*O48/SUM($O$4:$O$672))</f>
        <v/>
      </c>
      <c r="Q48" s="4">
        <f>G48*D48+P48</f>
        <v/>
      </c>
      <c r="R48" s="4">
        <f>IF(D48=0,0,Q48/D48)</f>
        <v/>
      </c>
      <c r="S48" s="4">
        <f>IF(D48=0,0,SUMIF(Материалы!$A$4:$A$800,SUBSTITUTE(SUBSTITUTE(SUBSTITUTE(B48,"~","~~"),"*","~*"),"?","~?"),Материалы!$T$4:$T$800)/D48)</f>
        <v/>
      </c>
      <c r="T48" s="4">
        <f>R48+S48</f>
        <v/>
      </c>
      <c r="U48" s="4">
        <f>I48*D48</f>
        <v/>
      </c>
    </row>
    <row r="49" ht="22" customHeight="1">
      <c r="A49" s="9" t="inlineStr">
        <is>
          <t>8.2.N7</t>
        </is>
      </c>
      <c r="B49" s="13" t="inlineStr">
        <is>
          <t>47. Текстура: гладкая типа Апельсиновая корка. Цвет: RAL 7040</t>
        </is>
      </c>
      <c r="C49" s="9" t="inlineStr">
        <is>
          <t>м2</t>
        </is>
      </c>
      <c r="D49" s="4">
        <f>IF('Форма'!G47="","",'Форма'!G47)</f>
        <v/>
      </c>
      <c r="E49" s="9" t="inlineStr">
        <is>
          <t>аналог (8.2.N7)</t>
        </is>
      </c>
      <c r="F49" s="9" t="inlineStr">
        <is>
          <t>OTD</t>
        </is>
      </c>
      <c r="G49" s="10" t="n">
        <v>440</v>
      </c>
      <c r="H49" s="10" t="n">
        <v>265</v>
      </c>
      <c r="I49" s="10" t="n">
        <v>0.25</v>
      </c>
      <c r="J49" s="9" t="inlineStr"/>
      <c r="K49" s="7">
        <f>IF(F49="",0,IFERROR(VLOOKUP(F49,Расходники!$A$4:$B$23,2,FALSE),0))</f>
        <v/>
      </c>
      <c r="L49" s="4">
        <f>H49*D49</f>
        <v/>
      </c>
      <c r="M49" s="4">
        <f>L49*K49</f>
        <v/>
      </c>
      <c r="N49" s="4">
        <f>SUMIF(Материалы!$A$4:$A$800,SUBSTITUTE(SUBSTITUTE(SUBSTITUTE(B49,"~","~~"),"*","~*"),"?","~?"),Материалы!$S$4:$S$800)</f>
        <v/>
      </c>
      <c r="O49" s="4">
        <f>L49+M49+N49</f>
        <v/>
      </c>
      <c r="P49" s="4">
        <f>IF(SUM($O$4:$O$672)=0,0,Косвенные!$C$9*O49/SUM($O$4:$O$672))</f>
        <v/>
      </c>
      <c r="Q49" s="4">
        <f>G49*D49+P49</f>
        <v/>
      </c>
      <c r="R49" s="4">
        <f>IF(D49=0,0,Q49/D49)</f>
        <v/>
      </c>
      <c r="S49" s="4">
        <f>IF(D49=0,0,SUMIF(Материалы!$A$4:$A$800,SUBSTITUTE(SUBSTITUTE(SUBSTITUTE(B49,"~","~~"),"*","~*"),"?","~?"),Материалы!$T$4:$T$800)/D49)</f>
        <v/>
      </c>
      <c r="T49" s="4">
        <f>R49+S49</f>
        <v/>
      </c>
      <c r="U49" s="4">
        <f>I49*D49</f>
        <v/>
      </c>
    </row>
    <row r="50" ht="22" customHeight="1">
      <c r="A50" s="9" t="inlineStr"/>
      <c r="B50" s="13" t="inlineStr">
        <is>
          <t>48. Противоскользящие полосы</t>
        </is>
      </c>
      <c r="C50" s="9" t="inlineStr">
        <is>
          <t>м.п.</t>
        </is>
      </c>
      <c r="D50" s="4">
        <f>IF('Форма'!G48="","",'Форма'!G48)</f>
        <v/>
      </c>
      <c r="E50" s="9" t="inlineStr">
        <is>
          <t>нет в тарификаторе</t>
        </is>
      </c>
      <c r="F50" s="9" t="inlineStr">
        <is>
          <t>PLI</t>
        </is>
      </c>
      <c r="G50" s="10" t="n">
        <v>190</v>
      </c>
      <c r="H50" s="10" t="n">
        <v>108</v>
      </c>
      <c r="I50" s="10" t="n">
        <v>0.1</v>
      </c>
      <c r="J50" s="9" t="inlineStr"/>
      <c r="K50" s="7">
        <f>IF(F50="",0,IFERROR(VLOOKUP(F50,Расходники!$A$4:$B$23,2,FALSE),0))</f>
        <v/>
      </c>
      <c r="L50" s="4">
        <f>H50*D50</f>
        <v/>
      </c>
      <c r="M50" s="4">
        <f>L50*K50</f>
        <v/>
      </c>
      <c r="N50" s="4">
        <f>SUMIF(Материалы!$A$4:$A$800,SUBSTITUTE(SUBSTITUTE(SUBSTITUTE(B50,"~","~~"),"*","~*"),"?","~?"),Материалы!$S$4:$S$800)</f>
        <v/>
      </c>
      <c r="O50" s="4">
        <f>L50+M50+N50</f>
        <v/>
      </c>
      <c r="P50" s="4">
        <f>IF(SUM($O$4:$O$672)=0,0,Косвенные!$C$9*O50/SUM($O$4:$O$672))</f>
        <v/>
      </c>
      <c r="Q50" s="4">
        <f>G50*D50+P50</f>
        <v/>
      </c>
      <c r="R50" s="4">
        <f>IF(D50=0,0,Q50/D50)</f>
        <v/>
      </c>
      <c r="S50" s="4">
        <f>IF(D50=0,0,SUMIF(Материалы!$A$4:$A$800,SUBSTITUTE(SUBSTITUTE(SUBSTITUTE(B50,"~","~~"),"*","~*"),"?","~?"),Материалы!$T$4:$T$800)/D50)</f>
        <v/>
      </c>
      <c r="T50" s="4">
        <f>R50+S50</f>
        <v/>
      </c>
      <c r="U50" s="4">
        <f>I50*D50</f>
        <v/>
      </c>
    </row>
    <row r="51" ht="22" customHeight="1">
      <c r="A51" s="9" t="inlineStr"/>
      <c r="B51" s="13" t="inlineStr">
        <is>
          <t>49. Подвесной  потолок  типа  "ARMSTRONG"(комплект)</t>
        </is>
      </c>
      <c r="C51" s="9" t="inlineStr">
        <is>
          <t>м2</t>
        </is>
      </c>
      <c r="D51" s="4">
        <f>IF('Форма'!G49="","",'Форма'!G49)</f>
        <v/>
      </c>
      <c r="E51" s="9" t="inlineStr">
        <is>
          <t>нет в тарификаторе</t>
        </is>
      </c>
      <c r="F51" s="9" t="inlineStr">
        <is>
          <t>OTD</t>
        </is>
      </c>
      <c r="G51" s="10" t="n">
        <v>513</v>
      </c>
      <c r="H51" s="10" t="n">
        <v>270</v>
      </c>
      <c r="I51" s="10" t="n">
        <v>0.3</v>
      </c>
      <c r="J51" s="9" t="inlineStr"/>
      <c r="K51" s="7">
        <f>IF(F51="",0,IFERROR(VLOOKUP(F51,Расходники!$A$4:$B$23,2,FALSE),0))</f>
        <v/>
      </c>
      <c r="L51" s="4">
        <f>H51*D51</f>
        <v/>
      </c>
      <c r="M51" s="4">
        <f>L51*K51</f>
        <v/>
      </c>
      <c r="N51" s="4">
        <f>SUMIF(Материалы!$A$4:$A$800,SUBSTITUTE(SUBSTITUTE(SUBSTITUTE(B51,"~","~~"),"*","~*"),"?","~?"),Материалы!$S$4:$S$800)</f>
        <v/>
      </c>
      <c r="O51" s="4">
        <f>L51+M51+N51</f>
        <v/>
      </c>
      <c r="P51" s="4">
        <f>IF(SUM($O$4:$O$672)=0,0,Косвенные!$C$9*O51/SUM($O$4:$O$672))</f>
        <v/>
      </c>
      <c r="Q51" s="4">
        <f>G51*D51+P51</f>
        <v/>
      </c>
      <c r="R51" s="4">
        <f>IF(D51=0,0,Q51/D51)</f>
        <v/>
      </c>
      <c r="S51" s="4">
        <f>IF(D51=0,0,SUMIF(Материалы!$A$4:$A$800,SUBSTITUTE(SUBSTITUTE(SUBSTITUTE(B51,"~","~~"),"*","~*"),"?","~?"),Материалы!$T$4:$T$800)/D51)</f>
        <v/>
      </c>
      <c r="T51" s="4">
        <f>R51+S51</f>
        <v/>
      </c>
      <c r="U51" s="4">
        <f>I51*D51</f>
        <v/>
      </c>
    </row>
    <row r="52" ht="22" customHeight="1">
      <c r="A52" s="9" t="inlineStr"/>
      <c r="B52" s="13" t="inlineStr">
        <is>
          <t>50. Профильный материал для панели ЛГКЛ, направляющие, алюмин. профили ОМЕГА (вкл. крепежные элементы)</t>
        </is>
      </c>
      <c r="C52" s="9" t="inlineStr">
        <is>
          <t>м2</t>
        </is>
      </c>
      <c r="D52" s="4">
        <f>IF('Форма'!G50="","",'Форма'!G50)</f>
        <v/>
      </c>
      <c r="E52" s="9" t="inlineStr">
        <is>
          <t>аналог (8.1.22), только каркас</t>
        </is>
      </c>
      <c r="F52" s="9" t="inlineStr">
        <is>
          <t>OTD</t>
        </is>
      </c>
      <c r="G52" s="10" t="n">
        <v>598.5</v>
      </c>
      <c r="H52" s="10" t="n">
        <v>315</v>
      </c>
      <c r="I52" s="10" t="n">
        <v>0.35</v>
      </c>
      <c r="J52" s="9" t="inlineStr"/>
      <c r="K52" s="7">
        <f>IF(F52="",0,IFERROR(VLOOKUP(F52,Расходники!$A$4:$B$23,2,FALSE),0))</f>
        <v/>
      </c>
      <c r="L52" s="4">
        <f>H52*D52</f>
        <v/>
      </c>
      <c r="M52" s="4">
        <f>L52*K52</f>
        <v/>
      </c>
      <c r="N52" s="4">
        <f>SUMIF(Материалы!$A$4:$A$800,SUBSTITUTE(SUBSTITUTE(SUBSTITUTE(B52,"~","~~"),"*","~*"),"?","~?"),Материалы!$S$4:$S$800)</f>
        <v/>
      </c>
      <c r="O52" s="4">
        <f>L52+M52+N52</f>
        <v/>
      </c>
      <c r="P52" s="4">
        <f>IF(SUM($O$4:$O$672)=0,0,Косвенные!$C$9*O52/SUM($O$4:$O$672))</f>
        <v/>
      </c>
      <c r="Q52" s="4">
        <f>G52*D52+P52</f>
        <v/>
      </c>
      <c r="R52" s="4">
        <f>IF(D52=0,0,Q52/D52)</f>
        <v/>
      </c>
      <c r="S52" s="4">
        <f>IF(D52=0,0,SUMIF(Материалы!$A$4:$A$800,SUBSTITUTE(SUBSTITUTE(SUBSTITUTE(B52,"~","~~"),"*","~*"),"?","~?"),Материалы!$T$4:$T$800)/D52)</f>
        <v/>
      </c>
      <c r="T52" s="4">
        <f>R52+S52</f>
        <v/>
      </c>
      <c r="U52" s="4">
        <f>I52*D52</f>
        <v/>
      </c>
    </row>
    <row r="53" ht="22" customHeight="1">
      <c r="A53" s="9" t="inlineStr"/>
      <c r="B53" s="13" t="inlineStr">
        <is>
          <t>51. Панель ЛГКЛ (цвет RAL 6019, фактура «шагрень» или аналог) типа GYPROC (толщина 12,5 мм)</t>
        </is>
      </c>
      <c r="C53" s="9" t="inlineStr">
        <is>
          <t>м2</t>
        </is>
      </c>
      <c r="D53" s="4">
        <f>IF('Форма'!G51="","",'Форма'!G51)</f>
        <v/>
      </c>
      <c r="E53" s="9" t="inlineStr">
        <is>
          <t>аналог (8.2.17) облицовка</t>
        </is>
      </c>
      <c r="F53" s="9" t="inlineStr">
        <is>
          <t>OTD</t>
        </is>
      </c>
      <c r="G53" s="10" t="n">
        <v>598.5</v>
      </c>
      <c r="H53" s="10" t="n">
        <v>315</v>
      </c>
      <c r="I53" s="10" t="n">
        <v>0.35</v>
      </c>
      <c r="J53" s="9" t="inlineStr"/>
      <c r="K53" s="7">
        <f>IF(F53="",0,IFERROR(VLOOKUP(F53,Расходники!$A$4:$B$23,2,FALSE),0))</f>
        <v/>
      </c>
      <c r="L53" s="4">
        <f>H53*D53</f>
        <v/>
      </c>
      <c r="M53" s="4">
        <f>L53*K53</f>
        <v/>
      </c>
      <c r="N53" s="4">
        <f>SUMIF(Материалы!$A$4:$A$800,SUBSTITUTE(SUBSTITUTE(SUBSTITUTE(B53,"~","~~"),"*","~*"),"?","~?"),Материалы!$S$4:$S$800)</f>
        <v/>
      </c>
      <c r="O53" s="4">
        <f>L53+M53+N53</f>
        <v/>
      </c>
      <c r="P53" s="4">
        <f>IF(SUM($O$4:$O$672)=0,0,Косвенные!$C$9*O53/SUM($O$4:$O$672))</f>
        <v/>
      </c>
      <c r="Q53" s="4">
        <f>G53*D53+P53</f>
        <v/>
      </c>
      <c r="R53" s="4">
        <f>IF(D53=0,0,Q53/D53)</f>
        <v/>
      </c>
      <c r="S53" s="4">
        <f>IF(D53=0,0,SUMIF(Материалы!$A$4:$A$800,SUBSTITUTE(SUBSTITUTE(SUBSTITUTE(B53,"~","~~"),"*","~*"),"?","~?"),Материалы!$T$4:$T$800)/D53)</f>
        <v/>
      </c>
      <c r="T53" s="4">
        <f>R53+S53</f>
        <v/>
      </c>
      <c r="U53" s="4">
        <f>I53*D53</f>
        <v/>
      </c>
    </row>
    <row r="54" ht="22" customHeight="1">
      <c r="A54" s="9" t="inlineStr">
        <is>
          <t>7.2.25</t>
        </is>
      </c>
      <c r="B54" s="13" t="inlineStr">
        <is>
          <t>52. Кафельная настенная плитка Kerama Marazzi 200x200 ( цвет-белый) (вкл. За основу клей, грунтовку, затирку швов)</t>
        </is>
      </c>
      <c r="C54" s="9" t="inlineStr">
        <is>
          <t>м2</t>
        </is>
      </c>
      <c r="D54" s="4">
        <f>IF('Форма'!G52="","",'Форма'!G52)</f>
        <v/>
      </c>
      <c r="E54" s="9" t="inlineStr">
        <is>
          <t>точно</t>
        </is>
      </c>
      <c r="F54" s="9" t="inlineStr">
        <is>
          <t>PLI</t>
        </is>
      </c>
      <c r="G54" s="10" t="n">
        <v>2160</v>
      </c>
      <c r="H54" s="10" t="n">
        <v>1150</v>
      </c>
      <c r="I54" s="10" t="n">
        <v>1.5</v>
      </c>
      <c r="J54" s="9" t="inlineStr">
        <is>
          <t>да</t>
        </is>
      </c>
      <c r="K54" s="7">
        <f>IF(F54="",0,IFERROR(VLOOKUP(F54,Расходники!$A$4:$B$23,2,FALSE),0))</f>
        <v/>
      </c>
      <c r="L54" s="4">
        <f>H54*D54</f>
        <v/>
      </c>
      <c r="M54" s="4">
        <f>L54*K54</f>
        <v/>
      </c>
      <c r="N54" s="4">
        <f>SUMIF(Материалы!$A$4:$A$800,SUBSTITUTE(SUBSTITUTE(SUBSTITUTE(B54,"~","~~"),"*","~*"),"?","~?"),Материалы!$S$4:$S$800)</f>
        <v/>
      </c>
      <c r="O54" s="4">
        <f>L54+M54+N54</f>
        <v/>
      </c>
      <c r="P54" s="4">
        <f>IF(SUM($O$4:$O$672)=0,0,Косвенные!$C$9*O54/SUM($O$4:$O$672))</f>
        <v/>
      </c>
      <c r="Q54" s="4">
        <f>G54*D54+P54</f>
        <v/>
      </c>
      <c r="R54" s="4">
        <f>IF(D54=0,0,Q54/D54)</f>
        <v/>
      </c>
      <c r="S54" s="4">
        <f>IF(D54=0,0,SUMIF(Материалы!$A$4:$A$800,SUBSTITUTE(SUBSTITUTE(SUBSTITUTE(B54,"~","~~"),"*","~*"),"?","~?"),Материалы!$T$4:$T$800)/D54)</f>
        <v/>
      </c>
      <c r="T54" s="4">
        <f>R54+S54</f>
        <v/>
      </c>
      <c r="U54" s="4">
        <f>I54*D54</f>
        <v/>
      </c>
    </row>
    <row r="55" ht="22" customHeight="1">
      <c r="A55" s="9" t="inlineStr">
        <is>
          <t>7.2.25</t>
        </is>
      </c>
      <c r="B55" s="13" t="inlineStr">
        <is>
          <t>53. Кафельная настенная плитка Kerama Marazzi 200x300 ( цвет-белый) (вкл. За основу клей, грунтовку, затирку швов)</t>
        </is>
      </c>
      <c r="C55" s="9" t="inlineStr">
        <is>
          <t>м2</t>
        </is>
      </c>
      <c r="D55" s="4">
        <f>IF('Форма'!G53="","",'Форма'!G53)</f>
        <v/>
      </c>
      <c r="E55" s="9" t="inlineStr">
        <is>
          <t>точно</t>
        </is>
      </c>
      <c r="F55" s="9" t="inlineStr">
        <is>
          <t>PLI</t>
        </is>
      </c>
      <c r="G55" s="10" t="n">
        <v>2160</v>
      </c>
      <c r="H55" s="10" t="n">
        <v>1150</v>
      </c>
      <c r="I55" s="10" t="n">
        <v>1.5</v>
      </c>
      <c r="J55" s="9" t="inlineStr">
        <is>
          <t>да</t>
        </is>
      </c>
      <c r="K55" s="7">
        <f>IF(F55="",0,IFERROR(VLOOKUP(F55,Расходники!$A$4:$B$23,2,FALSE),0))</f>
        <v/>
      </c>
      <c r="L55" s="4">
        <f>H55*D55</f>
        <v/>
      </c>
      <c r="M55" s="4">
        <f>L55*K55</f>
        <v/>
      </c>
      <c r="N55" s="4">
        <f>SUMIF(Материалы!$A$4:$A$800,SUBSTITUTE(SUBSTITUTE(SUBSTITUTE(B55,"~","~~"),"*","~*"),"?","~?"),Материалы!$S$4:$S$800)</f>
        <v/>
      </c>
      <c r="O55" s="4">
        <f>L55+M55+N55</f>
        <v/>
      </c>
      <c r="P55" s="4">
        <f>IF(SUM($O$4:$O$672)=0,0,Косвенные!$C$9*O55/SUM($O$4:$O$672))</f>
        <v/>
      </c>
      <c r="Q55" s="4">
        <f>G55*D55+P55</f>
        <v/>
      </c>
      <c r="R55" s="4">
        <f>IF(D55=0,0,Q55/D55)</f>
        <v/>
      </c>
      <c r="S55" s="4">
        <f>IF(D55=0,0,SUMIF(Материалы!$A$4:$A$800,SUBSTITUTE(SUBSTITUTE(SUBSTITUTE(B55,"~","~~"),"*","~*"),"?","~?"),Материалы!$T$4:$T$800)/D55)</f>
        <v/>
      </c>
      <c r="T55" s="4">
        <f>R55+S55</f>
        <v/>
      </c>
      <c r="U55" s="4">
        <f>I55*D55</f>
        <v/>
      </c>
    </row>
    <row r="56" ht="22" customHeight="1">
      <c r="A56" s="9" t="inlineStr">
        <is>
          <t>7.2.25</t>
        </is>
      </c>
      <c r="B56" s="13" t="inlineStr">
        <is>
          <t>54. Кафельная настенная плитка Kerama Marazzi 200x200 (оранжевый) (вкл. За основу клей, грунтовку, затирку швов)</t>
        </is>
      </c>
      <c r="C56" s="9" t="inlineStr">
        <is>
          <t>м2</t>
        </is>
      </c>
      <c r="D56" s="4">
        <f>IF('Форма'!G54="","",'Форма'!G54)</f>
        <v/>
      </c>
      <c r="E56" s="9" t="inlineStr">
        <is>
          <t>точно</t>
        </is>
      </c>
      <c r="F56" s="9" t="inlineStr">
        <is>
          <t>PLI</t>
        </is>
      </c>
      <c r="G56" s="10" t="n">
        <v>2160</v>
      </c>
      <c r="H56" s="10" t="n">
        <v>1150</v>
      </c>
      <c r="I56" s="10" t="n">
        <v>1.5</v>
      </c>
      <c r="J56" s="9" t="inlineStr">
        <is>
          <t>да</t>
        </is>
      </c>
      <c r="K56" s="7">
        <f>IF(F56="",0,IFERROR(VLOOKUP(F56,Расходники!$A$4:$B$23,2,FALSE),0))</f>
        <v/>
      </c>
      <c r="L56" s="4">
        <f>H56*D56</f>
        <v/>
      </c>
      <c r="M56" s="4">
        <f>L56*K56</f>
        <v/>
      </c>
      <c r="N56" s="4">
        <f>SUMIF(Материалы!$A$4:$A$800,SUBSTITUTE(SUBSTITUTE(SUBSTITUTE(B56,"~","~~"),"*","~*"),"?","~?"),Материалы!$S$4:$S$800)</f>
        <v/>
      </c>
      <c r="O56" s="4">
        <f>L56+M56+N56</f>
        <v/>
      </c>
      <c r="P56" s="4">
        <f>IF(SUM($O$4:$O$672)=0,0,Косвенные!$C$9*O56/SUM($O$4:$O$672))</f>
        <v/>
      </c>
      <c r="Q56" s="4">
        <f>G56*D56+P56</f>
        <v/>
      </c>
      <c r="R56" s="4">
        <f>IF(D56=0,0,Q56/D56)</f>
        <v/>
      </c>
      <c r="S56" s="4">
        <f>IF(D56=0,0,SUMIF(Материалы!$A$4:$A$800,SUBSTITUTE(SUBSTITUTE(SUBSTITUTE(B56,"~","~~"),"*","~*"),"?","~?"),Материалы!$T$4:$T$800)/D56)</f>
        <v/>
      </c>
      <c r="T56" s="4">
        <f>R56+S56</f>
        <v/>
      </c>
      <c r="U56" s="4">
        <f>I56*D56</f>
        <v/>
      </c>
    </row>
    <row r="57" ht="22" customHeight="1">
      <c r="A57" s="9" t="inlineStr">
        <is>
          <t>7.2.25</t>
        </is>
      </c>
      <c r="B57" s="13" t="inlineStr">
        <is>
          <t>55. Кафельная настенная плитка 200x200 (цвет серый, RAL ) (вкл. За основу клей, грунтовку, затирку швов белого цвета)</t>
        </is>
      </c>
      <c r="C57" s="9" t="inlineStr">
        <is>
          <t>м2</t>
        </is>
      </c>
      <c r="D57" s="4">
        <f>IF('Форма'!G55="","",'Форма'!G55)</f>
        <v/>
      </c>
      <c r="E57" s="9" t="inlineStr">
        <is>
          <t>точно</t>
        </is>
      </c>
      <c r="F57" s="9" t="inlineStr">
        <is>
          <t>PLI</t>
        </is>
      </c>
      <c r="G57" s="10" t="n">
        <v>2160</v>
      </c>
      <c r="H57" s="10" t="n">
        <v>1150</v>
      </c>
      <c r="I57" s="10" t="n">
        <v>1.5</v>
      </c>
      <c r="J57" s="9" t="inlineStr">
        <is>
          <t>да</t>
        </is>
      </c>
      <c r="K57" s="7">
        <f>IF(F57="",0,IFERROR(VLOOKUP(F57,Расходники!$A$4:$B$23,2,FALSE),0))</f>
        <v/>
      </c>
      <c r="L57" s="4">
        <f>H57*D57</f>
        <v/>
      </c>
      <c r="M57" s="4">
        <f>L57*K57</f>
        <v/>
      </c>
      <c r="N57" s="4">
        <f>SUMIF(Материалы!$A$4:$A$800,SUBSTITUTE(SUBSTITUTE(SUBSTITUTE(B57,"~","~~"),"*","~*"),"?","~?"),Материалы!$S$4:$S$800)</f>
        <v/>
      </c>
      <c r="O57" s="4">
        <f>L57+M57+N57</f>
        <v/>
      </c>
      <c r="P57" s="4">
        <f>IF(SUM($O$4:$O$672)=0,0,Косвенные!$C$9*O57/SUM($O$4:$O$672))</f>
        <v/>
      </c>
      <c r="Q57" s="4">
        <f>G57*D57+P57</f>
        <v/>
      </c>
      <c r="R57" s="4">
        <f>IF(D57=0,0,Q57/D57)</f>
        <v/>
      </c>
      <c r="S57" s="4">
        <f>IF(D57=0,0,SUMIF(Материалы!$A$4:$A$800,SUBSTITUTE(SUBSTITUTE(SUBSTITUTE(B57,"~","~~"),"*","~*"),"?","~?"),Материалы!$T$4:$T$800)/D57)</f>
        <v/>
      </c>
      <c r="T57" s="4">
        <f>R57+S57</f>
        <v/>
      </c>
      <c r="U57" s="4">
        <f>I57*D57</f>
        <v/>
      </c>
    </row>
    <row r="58" ht="22" customHeight="1">
      <c r="A58" s="9" t="inlineStr">
        <is>
          <t>5.4.2</t>
        </is>
      </c>
      <c r="B58" s="13" t="inlineStr">
        <is>
          <t>56. Сэндвич панель толщина 120 мм (ППУ) или аналог</t>
        </is>
      </c>
      <c r="C58" s="9" t="inlineStr">
        <is>
          <t>м2</t>
        </is>
      </c>
      <c r="D58" s="4">
        <f>IF('Форма'!G56="","",'Форма'!G56)</f>
        <v/>
      </c>
      <c r="E58" s="9" t="inlineStr">
        <is>
          <t>аналог (5.4.2), в тарифе работа без панели</t>
        </is>
      </c>
      <c r="F58" s="9" t="inlineStr">
        <is>
          <t>FAS</t>
        </is>
      </c>
      <c r="G58" s="10" t="n">
        <v>1450</v>
      </c>
      <c r="H58" s="10" t="n">
        <v>840</v>
      </c>
      <c r="I58" s="10" t="n">
        <v>0.7</v>
      </c>
      <c r="J58" s="9" t="inlineStr"/>
      <c r="K58" s="7">
        <f>IF(F58="",0,IFERROR(VLOOKUP(F58,Расходники!$A$4:$B$23,2,FALSE),0))</f>
        <v/>
      </c>
      <c r="L58" s="4">
        <f>H58*D58</f>
        <v/>
      </c>
      <c r="M58" s="4">
        <f>L58*K58</f>
        <v/>
      </c>
      <c r="N58" s="4">
        <f>SUMIF(Материалы!$A$4:$A$800,SUBSTITUTE(SUBSTITUTE(SUBSTITUTE(B58,"~","~~"),"*","~*"),"?","~?"),Материалы!$S$4:$S$800)</f>
        <v/>
      </c>
      <c r="O58" s="4">
        <f>L58+M58+N58</f>
        <v/>
      </c>
      <c r="P58" s="4">
        <f>IF(SUM($O$4:$O$672)=0,0,Косвенные!$C$9*O58/SUM($O$4:$O$672))</f>
        <v/>
      </c>
      <c r="Q58" s="4">
        <f>G58*D58+P58</f>
        <v/>
      </c>
      <c r="R58" s="4">
        <f>IF(D58=0,0,Q58/D58)</f>
        <v/>
      </c>
      <c r="S58" s="4">
        <f>IF(D58=0,0,SUMIF(Материалы!$A$4:$A$800,SUBSTITUTE(SUBSTITUTE(SUBSTITUTE(B58,"~","~~"),"*","~*"),"?","~?"),Материалы!$T$4:$T$800)/D58)</f>
        <v/>
      </c>
      <c r="T58" s="4">
        <f>R58+S58</f>
        <v/>
      </c>
      <c r="U58" s="4">
        <f>I58*D58</f>
        <v/>
      </c>
    </row>
    <row r="59" ht="22" customHeight="1">
      <c r="A59" s="9" t="inlineStr">
        <is>
          <t>5.4.2</t>
        </is>
      </c>
      <c r="B59" s="13" t="inlineStr">
        <is>
          <t>57. Сендвич-панель стеновая ППУ (ПИР) 100мм или аналог</t>
        </is>
      </c>
      <c r="C59" s="9" t="inlineStr">
        <is>
          <t>м2</t>
        </is>
      </c>
      <c r="D59" s="4">
        <f>IF('Форма'!G57="","",'Форма'!G57)</f>
        <v/>
      </c>
      <c r="E59" s="9" t="inlineStr">
        <is>
          <t>аналог (5.4.2), в тарифе работа без панели</t>
        </is>
      </c>
      <c r="F59" s="9" t="inlineStr">
        <is>
          <t>FAS</t>
        </is>
      </c>
      <c r="G59" s="10" t="n">
        <v>1450</v>
      </c>
      <c r="H59" s="10" t="n">
        <v>840</v>
      </c>
      <c r="I59" s="10" t="n">
        <v>0.7</v>
      </c>
      <c r="J59" s="9" t="inlineStr"/>
      <c r="K59" s="7">
        <f>IF(F59="",0,IFERROR(VLOOKUP(F59,Расходники!$A$4:$B$23,2,FALSE),0))</f>
        <v/>
      </c>
      <c r="L59" s="4">
        <f>H59*D59</f>
        <v/>
      </c>
      <c r="M59" s="4">
        <f>L59*K59</f>
        <v/>
      </c>
      <c r="N59" s="4">
        <f>SUMIF(Материалы!$A$4:$A$800,SUBSTITUTE(SUBSTITUTE(SUBSTITUTE(B59,"~","~~"),"*","~*"),"?","~?"),Материалы!$S$4:$S$800)</f>
        <v/>
      </c>
      <c r="O59" s="4">
        <f>L59+M59+N59</f>
        <v/>
      </c>
      <c r="P59" s="4">
        <f>IF(SUM($O$4:$O$672)=0,0,Косвенные!$C$9*O59/SUM($O$4:$O$672))</f>
        <v/>
      </c>
      <c r="Q59" s="4">
        <f>G59*D59+P59</f>
        <v/>
      </c>
      <c r="R59" s="4">
        <f>IF(D59=0,0,Q59/D59)</f>
        <v/>
      </c>
      <c r="S59" s="4">
        <f>IF(D59=0,0,SUMIF(Материалы!$A$4:$A$800,SUBSTITUTE(SUBSTITUTE(SUBSTITUTE(B59,"~","~~"),"*","~*"),"?","~?"),Материалы!$T$4:$T$800)/D59)</f>
        <v/>
      </c>
      <c r="T59" s="4">
        <f>R59+S59</f>
        <v/>
      </c>
      <c r="U59" s="4">
        <f>I59*D59</f>
        <v/>
      </c>
    </row>
    <row r="60" ht="22" customHeight="1">
      <c r="A60" s="9" t="inlineStr">
        <is>
          <t>5.4.2</t>
        </is>
      </c>
      <c r="B60" s="13" t="inlineStr">
        <is>
          <t>58. Сэндвич панели стеновые | толщина 80 мм | базальтовые, трехслойные металлические, негорючие (огнестойкость по ei - 45)/ или аналог</t>
        </is>
      </c>
      <c r="C60" s="9" t="inlineStr">
        <is>
          <t>м2</t>
        </is>
      </c>
      <c r="D60" s="4">
        <f>IF('Форма'!G58="","",'Форма'!G58)</f>
        <v/>
      </c>
      <c r="E60" s="9" t="inlineStr">
        <is>
          <t>аналог (5.4.2), в тарифе работа без панели</t>
        </is>
      </c>
      <c r="F60" s="9" t="inlineStr">
        <is>
          <t>FAS</t>
        </is>
      </c>
      <c r="G60" s="10" t="n">
        <v>1450</v>
      </c>
      <c r="H60" s="10" t="n">
        <v>840</v>
      </c>
      <c r="I60" s="10" t="n">
        <v>0.7</v>
      </c>
      <c r="J60" s="9" t="inlineStr"/>
      <c r="K60" s="7">
        <f>IF(F60="",0,IFERROR(VLOOKUP(F60,Расходники!$A$4:$B$23,2,FALSE),0))</f>
        <v/>
      </c>
      <c r="L60" s="4">
        <f>H60*D60</f>
        <v/>
      </c>
      <c r="M60" s="4">
        <f>L60*K60</f>
        <v/>
      </c>
      <c r="N60" s="4">
        <f>SUMIF(Материалы!$A$4:$A$800,SUBSTITUTE(SUBSTITUTE(SUBSTITUTE(B60,"~","~~"),"*","~*"),"?","~?"),Материалы!$S$4:$S$800)</f>
        <v/>
      </c>
      <c r="O60" s="4">
        <f>L60+M60+N60</f>
        <v/>
      </c>
      <c r="P60" s="4">
        <f>IF(SUM($O$4:$O$672)=0,0,Косвенные!$C$9*O60/SUM($O$4:$O$672))</f>
        <v/>
      </c>
      <c r="Q60" s="4">
        <f>G60*D60+P60</f>
        <v/>
      </c>
      <c r="R60" s="4">
        <f>IF(D60=0,0,Q60/D60)</f>
        <v/>
      </c>
      <c r="S60" s="4">
        <f>IF(D60=0,0,SUMIF(Материалы!$A$4:$A$800,SUBSTITUTE(SUBSTITUTE(SUBSTITUTE(B60,"~","~~"),"*","~*"),"?","~?"),Материалы!$T$4:$T$800)/D60)</f>
        <v/>
      </c>
      <c r="T60" s="4">
        <f>R60+S60</f>
        <v/>
      </c>
      <c r="U60" s="4">
        <f>I60*D60</f>
        <v/>
      </c>
    </row>
    <row r="61" ht="22" customHeight="1">
      <c r="A61" s="9" t="inlineStr"/>
      <c r="B61" s="13" t="inlineStr">
        <is>
          <t>59. Профильный  материал  для  гипсокартона, направляющие (вкл. крепежные элементы)</t>
        </is>
      </c>
      <c r="C61" s="9" t="inlineStr">
        <is>
          <t>м2</t>
        </is>
      </c>
      <c r="D61" s="4">
        <f>IF('Форма'!G59="","",'Форма'!G59)</f>
        <v/>
      </c>
      <c r="E61" s="9" t="inlineStr">
        <is>
          <t>аналог (8.1.22), только каркас</t>
        </is>
      </c>
      <c r="F61" s="9" t="inlineStr">
        <is>
          <t>OTD</t>
        </is>
      </c>
      <c r="G61" s="10" t="n">
        <v>598.5</v>
      </c>
      <c r="H61" s="10" t="n">
        <v>315</v>
      </c>
      <c r="I61" s="10" t="n">
        <v>0.35</v>
      </c>
      <c r="J61" s="9" t="inlineStr"/>
      <c r="K61" s="7">
        <f>IF(F61="",0,IFERROR(VLOOKUP(F61,Расходники!$A$4:$B$23,2,FALSE),0))</f>
        <v/>
      </c>
      <c r="L61" s="4">
        <f>H61*D61</f>
        <v/>
      </c>
      <c r="M61" s="4">
        <f>L61*K61</f>
        <v/>
      </c>
      <c r="N61" s="4">
        <f>SUMIF(Материалы!$A$4:$A$800,SUBSTITUTE(SUBSTITUTE(SUBSTITUTE(B61,"~","~~"),"*","~*"),"?","~?"),Материалы!$S$4:$S$800)</f>
        <v/>
      </c>
      <c r="O61" s="4">
        <f>L61+M61+N61</f>
        <v/>
      </c>
      <c r="P61" s="4">
        <f>IF(SUM($O$4:$O$672)=0,0,Косвенные!$C$9*O61/SUM($O$4:$O$672))</f>
        <v/>
      </c>
      <c r="Q61" s="4">
        <f>G61*D61+P61</f>
        <v/>
      </c>
      <c r="R61" s="4">
        <f>IF(D61=0,0,Q61/D61)</f>
        <v/>
      </c>
      <c r="S61" s="4">
        <f>IF(D61=0,0,SUMIF(Материалы!$A$4:$A$800,SUBSTITUTE(SUBSTITUTE(SUBSTITUTE(B61,"~","~~"),"*","~*"),"?","~?"),Материалы!$T$4:$T$800)/D61)</f>
        <v/>
      </c>
      <c r="T61" s="4">
        <f>R61+S61</f>
        <v/>
      </c>
      <c r="U61" s="4">
        <f>I61*D61</f>
        <v/>
      </c>
    </row>
    <row r="62" ht="22" customHeight="1">
      <c r="A62" s="9" t="inlineStr"/>
      <c r="B62" s="13" t="inlineStr">
        <is>
          <t>60. Гипсокартон ГКЛВ (влагостойкий гипсокартон) типа Knauf (толщина 10мм)</t>
        </is>
      </c>
      <c r="C62" s="9" t="inlineStr">
        <is>
          <t>м2</t>
        </is>
      </c>
      <c r="D62" s="4">
        <f>IF('Форма'!G60="","",'Форма'!G60)</f>
        <v/>
      </c>
      <c r="E62" s="9" t="inlineStr">
        <is>
          <t>аналог (8.2.17) облицовка</t>
        </is>
      </c>
      <c r="F62" s="9" t="inlineStr">
        <is>
          <t>OTD</t>
        </is>
      </c>
      <c r="G62" s="10" t="n">
        <v>598.5</v>
      </c>
      <c r="H62" s="10" t="n">
        <v>315</v>
      </c>
      <c r="I62" s="10" t="n">
        <v>0.35</v>
      </c>
      <c r="J62" s="9" t="inlineStr"/>
      <c r="K62" s="7">
        <f>IF(F62="",0,IFERROR(VLOOKUP(F62,Расходники!$A$4:$B$23,2,FALSE),0))</f>
        <v/>
      </c>
      <c r="L62" s="4">
        <f>H62*D62</f>
        <v/>
      </c>
      <c r="M62" s="4">
        <f>L62*K62</f>
        <v/>
      </c>
      <c r="N62" s="4">
        <f>SUMIF(Материалы!$A$4:$A$800,SUBSTITUTE(SUBSTITUTE(SUBSTITUTE(B62,"~","~~"),"*","~*"),"?","~?"),Материалы!$S$4:$S$800)</f>
        <v/>
      </c>
      <c r="O62" s="4">
        <f>L62+M62+N62</f>
        <v/>
      </c>
      <c r="P62" s="4">
        <f>IF(SUM($O$4:$O$672)=0,0,Косвенные!$C$9*O62/SUM($O$4:$O$672))</f>
        <v/>
      </c>
      <c r="Q62" s="4">
        <f>G62*D62+P62</f>
        <v/>
      </c>
      <c r="R62" s="4">
        <f>IF(D62=0,0,Q62/D62)</f>
        <v/>
      </c>
      <c r="S62" s="4">
        <f>IF(D62=0,0,SUMIF(Материалы!$A$4:$A$800,SUBSTITUTE(SUBSTITUTE(SUBSTITUTE(B62,"~","~~"),"*","~*"),"?","~?"),Материалы!$T$4:$T$800)/D62)</f>
        <v/>
      </c>
      <c r="T62" s="4">
        <f>R62+S62</f>
        <v/>
      </c>
      <c r="U62" s="4">
        <f>I62*D62</f>
        <v/>
      </c>
    </row>
    <row r="63" ht="22" customHeight="1">
      <c r="A63" s="9" t="inlineStr"/>
      <c r="B63" s="13" t="inlineStr">
        <is>
          <t>61. Гипсокартон ГКЛ (обычный гипсокартон) типа Knauf (толщина 10мм)</t>
        </is>
      </c>
      <c r="C63" s="9" t="inlineStr">
        <is>
          <t>м2</t>
        </is>
      </c>
      <c r="D63" s="4">
        <f>IF('Форма'!G61="","",'Форма'!G61)</f>
        <v/>
      </c>
      <c r="E63" s="9" t="inlineStr">
        <is>
          <t>аналог (8.2.17) облицовка</t>
        </is>
      </c>
      <c r="F63" s="9" t="inlineStr">
        <is>
          <t>OTD</t>
        </is>
      </c>
      <c r="G63" s="10" t="n">
        <v>598.5</v>
      </c>
      <c r="H63" s="10" t="n">
        <v>315</v>
      </c>
      <c r="I63" s="10" t="n">
        <v>0.35</v>
      </c>
      <c r="J63" s="9" t="inlineStr"/>
      <c r="K63" s="7">
        <f>IF(F63="",0,IFERROR(VLOOKUP(F63,Расходники!$A$4:$B$23,2,FALSE),0))</f>
        <v/>
      </c>
      <c r="L63" s="4">
        <f>H63*D63</f>
        <v/>
      </c>
      <c r="M63" s="4">
        <f>L63*K63</f>
        <v/>
      </c>
      <c r="N63" s="4">
        <f>SUMIF(Материалы!$A$4:$A$800,SUBSTITUTE(SUBSTITUTE(SUBSTITUTE(B63,"~","~~"),"*","~*"),"?","~?"),Материалы!$S$4:$S$800)</f>
        <v/>
      </c>
      <c r="O63" s="4">
        <f>L63+M63+N63</f>
        <v/>
      </c>
      <c r="P63" s="4">
        <f>IF(SUM($O$4:$O$672)=0,0,Косвенные!$C$9*O63/SUM($O$4:$O$672))</f>
        <v/>
      </c>
      <c r="Q63" s="4">
        <f>G63*D63+P63</f>
        <v/>
      </c>
      <c r="R63" s="4">
        <f>IF(D63=0,0,Q63/D63)</f>
        <v/>
      </c>
      <c r="S63" s="4">
        <f>IF(D63=0,0,SUMIF(Материалы!$A$4:$A$800,SUBSTITUTE(SUBSTITUTE(SUBSTITUTE(B63,"~","~~"),"*","~*"),"?","~?"),Материалы!$T$4:$T$800)/D63)</f>
        <v/>
      </c>
      <c r="T63" s="4">
        <f>R63+S63</f>
        <v/>
      </c>
      <c r="U63" s="4">
        <f>I63*D63</f>
        <v/>
      </c>
    </row>
    <row r="64" ht="22" customHeight="1">
      <c r="A64" s="9" t="inlineStr"/>
      <c r="B64" s="13" t="inlineStr">
        <is>
          <t>62. профиль для монтажа гипсокартона ПН 50х40 (вкл. крепежные элементы)</t>
        </is>
      </c>
      <c r="C64" s="9" t="inlineStr">
        <is>
          <t>м.п.</t>
        </is>
      </c>
      <c r="D64" s="4">
        <f>IF('Форма'!G62="","",'Форма'!G62)</f>
        <v/>
      </c>
      <c r="E64" s="9" t="inlineStr">
        <is>
          <t>нет в тарификаторе</t>
        </is>
      </c>
      <c r="F64" s="9" t="inlineStr">
        <is>
          <t>OTD</t>
        </is>
      </c>
      <c r="G64" s="10" t="n">
        <v>205.2</v>
      </c>
      <c r="H64" s="10" t="n">
        <v>108</v>
      </c>
      <c r="I64" s="10" t="n">
        <v>0.12</v>
      </c>
      <c r="J64" s="9" t="inlineStr"/>
      <c r="K64" s="7">
        <f>IF(F64="",0,IFERROR(VLOOKUP(F64,Расходники!$A$4:$B$23,2,FALSE),0))</f>
        <v/>
      </c>
      <c r="L64" s="4">
        <f>H64*D64</f>
        <v/>
      </c>
      <c r="M64" s="4">
        <f>L64*K64</f>
        <v/>
      </c>
      <c r="N64" s="4">
        <f>SUMIF(Материалы!$A$4:$A$800,SUBSTITUTE(SUBSTITUTE(SUBSTITUTE(B64,"~","~~"),"*","~*"),"?","~?"),Материалы!$S$4:$S$800)</f>
        <v/>
      </c>
      <c r="O64" s="4">
        <f>L64+M64+N64</f>
        <v/>
      </c>
      <c r="P64" s="4">
        <f>IF(SUM($O$4:$O$672)=0,0,Косвенные!$C$9*O64/SUM($O$4:$O$672))</f>
        <v/>
      </c>
      <c r="Q64" s="4">
        <f>G64*D64+P64</f>
        <v/>
      </c>
      <c r="R64" s="4">
        <f>IF(D64=0,0,Q64/D64)</f>
        <v/>
      </c>
      <c r="S64" s="4">
        <f>IF(D64=0,0,SUMIF(Материалы!$A$4:$A$800,SUBSTITUTE(SUBSTITUTE(SUBSTITUTE(B64,"~","~~"),"*","~*"),"?","~?"),Материалы!$T$4:$T$800)/D64)</f>
        <v/>
      </c>
      <c r="T64" s="4">
        <f>R64+S64</f>
        <v/>
      </c>
      <c r="U64" s="4">
        <f>I64*D64</f>
        <v/>
      </c>
    </row>
    <row r="65" ht="22" customHeight="1">
      <c r="A65" s="9" t="inlineStr"/>
      <c r="B65" s="13" t="inlineStr">
        <is>
          <t>63. профиль для монтажа гипсокартона ПС 50х50 (вкл. крепежные элементы)</t>
        </is>
      </c>
      <c r="C65" s="9" t="inlineStr">
        <is>
          <t>м.п.</t>
        </is>
      </c>
      <c r="D65" s="4">
        <f>IF('Форма'!G63="","",'Форма'!G63)</f>
        <v/>
      </c>
      <c r="E65" s="9" t="inlineStr">
        <is>
          <t>нет в тарификаторе</t>
        </is>
      </c>
      <c r="F65" s="9" t="inlineStr">
        <is>
          <t>OTD</t>
        </is>
      </c>
      <c r="G65" s="10" t="n">
        <v>205.2</v>
      </c>
      <c r="H65" s="10" t="n">
        <v>108</v>
      </c>
      <c r="I65" s="10" t="n">
        <v>0.12</v>
      </c>
      <c r="J65" s="9" t="inlineStr"/>
      <c r="K65" s="7">
        <f>IF(F65="",0,IFERROR(VLOOKUP(F65,Расходники!$A$4:$B$23,2,FALSE),0))</f>
        <v/>
      </c>
      <c r="L65" s="4">
        <f>H65*D65</f>
        <v/>
      </c>
      <c r="M65" s="4">
        <f>L65*K65</f>
        <v/>
      </c>
      <c r="N65" s="4">
        <f>SUMIF(Материалы!$A$4:$A$800,SUBSTITUTE(SUBSTITUTE(SUBSTITUTE(B65,"~","~~"),"*","~*"),"?","~?"),Материалы!$S$4:$S$800)</f>
        <v/>
      </c>
      <c r="O65" s="4">
        <f>L65+M65+N65</f>
        <v/>
      </c>
      <c r="P65" s="4">
        <f>IF(SUM($O$4:$O$672)=0,0,Косвенные!$C$9*O65/SUM($O$4:$O$672))</f>
        <v/>
      </c>
      <c r="Q65" s="4">
        <f>G65*D65+P65</f>
        <v/>
      </c>
      <c r="R65" s="4">
        <f>IF(D65=0,0,Q65/D65)</f>
        <v/>
      </c>
      <c r="S65" s="4">
        <f>IF(D65=0,0,SUMIF(Материалы!$A$4:$A$800,SUBSTITUTE(SUBSTITUTE(SUBSTITUTE(B65,"~","~~"),"*","~*"),"?","~?"),Материалы!$T$4:$T$800)/D65)</f>
        <v/>
      </c>
      <c r="T65" s="4">
        <f>R65+S65</f>
        <v/>
      </c>
      <c r="U65" s="4">
        <f>I65*D65</f>
        <v/>
      </c>
    </row>
    <row r="66" ht="22" customHeight="1">
      <c r="A66" s="9" t="inlineStr">
        <is>
          <t>8.2.34</t>
        </is>
      </c>
      <c r="B66" s="13" t="inlineStr">
        <is>
          <t>64. Краска-эмаль типа Хамерайт (цвет по выбору) в 2 слоя</t>
        </is>
      </c>
      <c r="C66" s="9" t="inlineStr">
        <is>
          <t>м2</t>
        </is>
      </c>
      <c r="D66" s="4">
        <f>IF('Форма'!G64="","",'Форма'!G64)</f>
        <v/>
      </c>
      <c r="E66" s="9" t="inlineStr">
        <is>
          <t>аналог (8.2.34)</t>
        </is>
      </c>
      <c r="F66" s="9" t="inlineStr">
        <is>
          <t>OTD</t>
        </is>
      </c>
      <c r="G66" s="10" t="n">
        <v>360</v>
      </c>
      <c r="H66" s="10" t="n">
        <v>210</v>
      </c>
      <c r="I66" s="10" t="n">
        <v>0.2</v>
      </c>
      <c r="J66" s="9" t="inlineStr"/>
      <c r="K66" s="7">
        <f>IF(F66="",0,IFERROR(VLOOKUP(F66,Расходники!$A$4:$B$23,2,FALSE),0))</f>
        <v/>
      </c>
      <c r="L66" s="4">
        <f>H66*D66</f>
        <v/>
      </c>
      <c r="M66" s="4">
        <f>L66*K66</f>
        <v/>
      </c>
      <c r="N66" s="4">
        <f>SUMIF(Материалы!$A$4:$A$800,SUBSTITUTE(SUBSTITUTE(SUBSTITUTE(B66,"~","~~"),"*","~*"),"?","~?"),Материалы!$S$4:$S$800)</f>
        <v/>
      </c>
      <c r="O66" s="4">
        <f>L66+M66+N66</f>
        <v/>
      </c>
      <c r="P66" s="4">
        <f>IF(SUM($O$4:$O$672)=0,0,Косвенные!$C$9*O66/SUM($O$4:$O$672))</f>
        <v/>
      </c>
      <c r="Q66" s="4">
        <f>G66*D66+P66</f>
        <v/>
      </c>
      <c r="R66" s="4">
        <f>IF(D66=0,0,Q66/D66)</f>
        <v/>
      </c>
      <c r="S66" s="4">
        <f>IF(D66=0,0,SUMIF(Материалы!$A$4:$A$800,SUBSTITUTE(SUBSTITUTE(SUBSTITUTE(B66,"~","~~"),"*","~*"),"?","~?"),Материалы!$T$4:$T$800)/D66)</f>
        <v/>
      </c>
      <c r="T66" s="4">
        <f>R66+S66</f>
        <v/>
      </c>
      <c r="U66" s="4">
        <f>I66*D66</f>
        <v/>
      </c>
    </row>
    <row r="67" ht="22" customHeight="1">
      <c r="A67" s="9" t="inlineStr">
        <is>
          <t>8.2.34</t>
        </is>
      </c>
      <c r="B67" s="13" t="inlineStr">
        <is>
          <t>65. Краска водоэмульсионная типа Dufa Mattlatex Russia (цвет по выбору) в 2 слоя</t>
        </is>
      </c>
      <c r="C67" s="9" t="inlineStr">
        <is>
          <t>м2</t>
        </is>
      </c>
      <c r="D67" s="4">
        <f>IF('Форма'!G65="","",'Форма'!G65)</f>
        <v/>
      </c>
      <c r="E67" s="9" t="inlineStr">
        <is>
          <t>аналог (8.2.34)</t>
        </is>
      </c>
      <c r="F67" s="9" t="inlineStr">
        <is>
          <t>OTD</t>
        </is>
      </c>
      <c r="G67" s="10" t="n">
        <v>360</v>
      </c>
      <c r="H67" s="10" t="n">
        <v>210</v>
      </c>
      <c r="I67" s="10" t="n">
        <v>0.2</v>
      </c>
      <c r="J67" s="9" t="inlineStr"/>
      <c r="K67" s="7">
        <f>IF(F67="",0,IFERROR(VLOOKUP(F67,Расходники!$A$4:$B$23,2,FALSE),0))</f>
        <v/>
      </c>
      <c r="L67" s="4">
        <f>H67*D67</f>
        <v/>
      </c>
      <c r="M67" s="4">
        <f>L67*K67</f>
        <v/>
      </c>
      <c r="N67" s="4">
        <f>SUMIF(Материалы!$A$4:$A$800,SUBSTITUTE(SUBSTITUTE(SUBSTITUTE(B67,"~","~~"),"*","~*"),"?","~?"),Материалы!$S$4:$S$800)</f>
        <v/>
      </c>
      <c r="O67" s="4">
        <f>L67+M67+N67</f>
        <v/>
      </c>
      <c r="P67" s="4">
        <f>IF(SUM($O$4:$O$672)=0,0,Косвенные!$C$9*O67/SUM($O$4:$O$672))</f>
        <v/>
      </c>
      <c r="Q67" s="4">
        <f>G67*D67+P67</f>
        <v/>
      </c>
      <c r="R67" s="4">
        <f>IF(D67=0,0,Q67/D67)</f>
        <v/>
      </c>
      <c r="S67" s="4">
        <f>IF(D67=0,0,SUMIF(Материалы!$A$4:$A$800,SUBSTITUTE(SUBSTITUTE(SUBSTITUTE(B67,"~","~~"),"*","~*"),"?","~?"),Материалы!$T$4:$T$800)/D67)</f>
        <v/>
      </c>
      <c r="T67" s="4">
        <f>R67+S67</f>
        <v/>
      </c>
      <c r="U67" s="4">
        <f>I67*D67</f>
        <v/>
      </c>
    </row>
    <row r="68" ht="22" customHeight="1">
      <c r="A68" s="9" t="inlineStr">
        <is>
          <t>5.5.18</t>
        </is>
      </c>
      <c r="B68" s="13" t="inlineStr">
        <is>
          <t>66. Краска водоэмульсионная наружная типа Dufa Fassadenfarbe (цвет по выбору) в 2 слоя.</t>
        </is>
      </c>
      <c r="C68" s="9" t="inlineStr">
        <is>
          <t>м2</t>
        </is>
      </c>
      <c r="D68" s="4">
        <f>IF('Форма'!G66="","",'Форма'!G66)</f>
        <v/>
      </c>
      <c r="E68" s="9" t="inlineStr">
        <is>
          <t>аналог (5.5.18)</t>
        </is>
      </c>
      <c r="F68" s="9" t="inlineStr">
        <is>
          <t>OTD</t>
        </is>
      </c>
      <c r="G68" s="10" t="n">
        <v>380</v>
      </c>
      <c r="H68" s="10" t="n">
        <v>220</v>
      </c>
      <c r="I68" s="10" t="n">
        <v>0.2</v>
      </c>
      <c r="J68" s="9" t="inlineStr"/>
      <c r="K68" s="7">
        <f>IF(F68="",0,IFERROR(VLOOKUP(F68,Расходники!$A$4:$B$23,2,FALSE),0))</f>
        <v/>
      </c>
      <c r="L68" s="4">
        <f>H68*D68</f>
        <v/>
      </c>
      <c r="M68" s="4">
        <f>L68*K68</f>
        <v/>
      </c>
      <c r="N68" s="4">
        <f>SUMIF(Материалы!$A$4:$A$800,SUBSTITUTE(SUBSTITUTE(SUBSTITUTE(B68,"~","~~"),"*","~*"),"?","~?"),Материалы!$S$4:$S$800)</f>
        <v/>
      </c>
      <c r="O68" s="4">
        <f>L68+M68+N68</f>
        <v/>
      </c>
      <c r="P68" s="4">
        <f>IF(SUM($O$4:$O$672)=0,0,Косвенные!$C$9*O68/SUM($O$4:$O$672))</f>
        <v/>
      </c>
      <c r="Q68" s="4">
        <f>G68*D68+P68</f>
        <v/>
      </c>
      <c r="R68" s="4">
        <f>IF(D68=0,0,Q68/D68)</f>
        <v/>
      </c>
      <c r="S68" s="4">
        <f>IF(D68=0,0,SUMIF(Материалы!$A$4:$A$800,SUBSTITUTE(SUBSTITUTE(SUBSTITUTE(B68,"~","~~"),"*","~*"),"?","~?"),Материалы!$T$4:$T$800)/D68)</f>
        <v/>
      </c>
      <c r="T68" s="4">
        <f>R68+S68</f>
        <v/>
      </c>
      <c r="U68" s="4">
        <f>I68*D68</f>
        <v/>
      </c>
    </row>
    <row r="69" ht="22" customHeight="1">
      <c r="A69" s="9" t="inlineStr"/>
      <c r="B69" s="13" t="inlineStr">
        <is>
          <t>67. Штукатурка наружная типа "KNAUF sockelputz"</t>
        </is>
      </c>
      <c r="C69" s="9" t="inlineStr">
        <is>
          <t>м2</t>
        </is>
      </c>
      <c r="D69" s="4">
        <f>IF('Форма'!G67="","",'Форма'!G67)</f>
        <v/>
      </c>
      <c r="E69" s="9" t="inlineStr">
        <is>
          <t>нет в тарификаторе</t>
        </is>
      </c>
      <c r="F69" s="9" t="inlineStr">
        <is>
          <t>OTD</t>
        </is>
      </c>
      <c r="G69" s="10" t="n">
        <v>940.5</v>
      </c>
      <c r="H69" s="10" t="n">
        <v>495</v>
      </c>
      <c r="I69" s="10" t="n">
        <v>0.55</v>
      </c>
      <c r="J69" s="9" t="inlineStr"/>
      <c r="K69" s="7">
        <f>IF(F69="",0,IFERROR(VLOOKUP(F69,Расходники!$A$4:$B$23,2,FALSE),0))</f>
        <v/>
      </c>
      <c r="L69" s="4">
        <f>H69*D69</f>
        <v/>
      </c>
      <c r="M69" s="4">
        <f>L69*K69</f>
        <v/>
      </c>
      <c r="N69" s="4">
        <f>SUMIF(Материалы!$A$4:$A$800,SUBSTITUTE(SUBSTITUTE(SUBSTITUTE(B69,"~","~~"),"*","~*"),"?","~?"),Материалы!$S$4:$S$800)</f>
        <v/>
      </c>
      <c r="O69" s="4">
        <f>L69+M69+N69</f>
        <v/>
      </c>
      <c r="P69" s="4">
        <f>IF(SUM($O$4:$O$672)=0,0,Косвенные!$C$9*O69/SUM($O$4:$O$672))</f>
        <v/>
      </c>
      <c r="Q69" s="4">
        <f>G69*D69+P69</f>
        <v/>
      </c>
      <c r="R69" s="4">
        <f>IF(D69=0,0,Q69/D69)</f>
        <v/>
      </c>
      <c r="S69" s="4">
        <f>IF(D69=0,0,SUMIF(Материалы!$A$4:$A$800,SUBSTITUTE(SUBSTITUTE(SUBSTITUTE(B69,"~","~~"),"*","~*"),"?","~?"),Материалы!$T$4:$T$800)/D69)</f>
        <v/>
      </c>
      <c r="T69" s="4">
        <f>R69+S69</f>
        <v/>
      </c>
      <c r="U69" s="4">
        <f>I69*D69</f>
        <v/>
      </c>
    </row>
    <row r="70" ht="22" customHeight="1">
      <c r="A70" s="9" t="inlineStr">
        <is>
          <t>8.2.38</t>
        </is>
      </c>
      <c r="B70" s="13" t="inlineStr">
        <is>
          <t>68. Шпаклевка типа UNIS фасадная</t>
        </is>
      </c>
      <c r="C70" s="9" t="inlineStr">
        <is>
          <t>м2</t>
        </is>
      </c>
      <c r="D70" s="4">
        <f>IF('Форма'!G68="","",'Форма'!G68)</f>
        <v/>
      </c>
      <c r="E70" s="9" t="inlineStr">
        <is>
          <t>аналог (8.2.38)</t>
        </is>
      </c>
      <c r="F70" s="9" t="inlineStr">
        <is>
          <t>OTD</t>
        </is>
      </c>
      <c r="G70" s="10" t="n">
        <v>540</v>
      </c>
      <c r="H70" s="10" t="n">
        <v>310</v>
      </c>
      <c r="I70" s="10" t="n">
        <v>0.45</v>
      </c>
      <c r="J70" s="9" t="inlineStr">
        <is>
          <t>да</t>
        </is>
      </c>
      <c r="K70" s="7">
        <f>IF(F70="",0,IFERROR(VLOOKUP(F70,Расходники!$A$4:$B$23,2,FALSE),0))</f>
        <v/>
      </c>
      <c r="L70" s="4">
        <f>H70*D70</f>
        <v/>
      </c>
      <c r="M70" s="4">
        <f>L70*K70</f>
        <v/>
      </c>
      <c r="N70" s="4">
        <f>SUMIF(Материалы!$A$4:$A$800,SUBSTITUTE(SUBSTITUTE(SUBSTITUTE(B70,"~","~~"),"*","~*"),"?","~?"),Материалы!$S$4:$S$800)</f>
        <v/>
      </c>
      <c r="O70" s="4">
        <f>L70+M70+N70</f>
        <v/>
      </c>
      <c r="P70" s="4">
        <f>IF(SUM($O$4:$O$672)=0,0,Косвенные!$C$9*O70/SUM($O$4:$O$672))</f>
        <v/>
      </c>
      <c r="Q70" s="4">
        <f>G70*D70+P70</f>
        <v/>
      </c>
      <c r="R70" s="4">
        <f>IF(D70=0,0,Q70/D70)</f>
        <v/>
      </c>
      <c r="S70" s="4">
        <f>IF(D70=0,0,SUMIF(Материалы!$A$4:$A$800,SUBSTITUTE(SUBSTITUTE(SUBSTITUTE(B70,"~","~~"),"*","~*"),"?","~?"),Материалы!$T$4:$T$800)/D70)</f>
        <v/>
      </c>
      <c r="T70" s="4">
        <f>R70+S70</f>
        <v/>
      </c>
      <c r="U70" s="4">
        <f>I70*D70</f>
        <v/>
      </c>
    </row>
    <row r="71" ht="22" customHeight="1">
      <c r="A71" s="9" t="inlineStr">
        <is>
          <t>5.5.14</t>
        </is>
      </c>
      <c r="B71" s="13" t="inlineStr">
        <is>
          <t>69. Грунтовка типа UNIS универсальная в 2 слоя</t>
        </is>
      </c>
      <c r="C71" s="9" t="inlineStr">
        <is>
          <t>м2</t>
        </is>
      </c>
      <c r="D71" s="4">
        <f>IF('Форма'!G69="","",'Форма'!G69)</f>
        <v/>
      </c>
      <c r="E71" s="9" t="inlineStr">
        <is>
          <t>точно</t>
        </is>
      </c>
      <c r="F71" s="9" t="inlineStr">
        <is>
          <t>OTD</t>
        </is>
      </c>
      <c r="G71" s="10" t="n">
        <v>80</v>
      </c>
      <c r="H71" s="10" t="n">
        <v>46</v>
      </c>
      <c r="I71" s="10" t="n">
        <v>0.04</v>
      </c>
      <c r="J71" s="9" t="inlineStr"/>
      <c r="K71" s="7">
        <f>IF(F71="",0,IFERROR(VLOOKUP(F71,Расходники!$A$4:$B$23,2,FALSE),0))</f>
        <v/>
      </c>
      <c r="L71" s="4">
        <f>H71*D71</f>
        <v/>
      </c>
      <c r="M71" s="4">
        <f>L71*K71</f>
        <v/>
      </c>
      <c r="N71" s="4">
        <f>SUMIF(Материалы!$A$4:$A$800,SUBSTITUTE(SUBSTITUTE(SUBSTITUTE(B71,"~","~~"),"*","~*"),"?","~?"),Материалы!$S$4:$S$800)</f>
        <v/>
      </c>
      <c r="O71" s="4">
        <f>L71+M71+N71</f>
        <v/>
      </c>
      <c r="P71" s="4">
        <f>IF(SUM($O$4:$O$672)=0,0,Косвенные!$C$9*O71/SUM($O$4:$O$672))</f>
        <v/>
      </c>
      <c r="Q71" s="4">
        <f>G71*D71+P71</f>
        <v/>
      </c>
      <c r="R71" s="4">
        <f>IF(D71=0,0,Q71/D71)</f>
        <v/>
      </c>
      <c r="S71" s="4">
        <f>IF(D71=0,0,SUMIF(Материалы!$A$4:$A$800,SUBSTITUTE(SUBSTITUTE(SUBSTITUTE(B71,"~","~~"),"*","~*"),"?","~?"),Материалы!$T$4:$T$800)/D71)</f>
        <v/>
      </c>
      <c r="T71" s="4">
        <f>R71+S71</f>
        <v/>
      </c>
      <c r="U71" s="4">
        <f>I71*D71</f>
        <v/>
      </c>
    </row>
    <row r="72" ht="22" customHeight="1">
      <c r="A72" s="9" t="inlineStr"/>
      <c r="B72" s="13" t="inlineStr">
        <is>
          <t>70. Штукатурка внутренняя типа "KNAUF MP 75"</t>
        </is>
      </c>
      <c r="C72" s="9" t="inlineStr">
        <is>
          <t>м2</t>
        </is>
      </c>
      <c r="D72" s="4">
        <f>IF('Форма'!G70="","",'Форма'!G70)</f>
        <v/>
      </c>
      <c r="E72" s="9" t="inlineStr">
        <is>
          <t>нет в тарификаторе</t>
        </is>
      </c>
      <c r="F72" s="9" t="inlineStr">
        <is>
          <t>OTD</t>
        </is>
      </c>
      <c r="G72" s="10" t="n">
        <v>940.5</v>
      </c>
      <c r="H72" s="10" t="n">
        <v>495</v>
      </c>
      <c r="I72" s="10" t="n">
        <v>0.55</v>
      </c>
      <c r="J72" s="9" t="inlineStr"/>
      <c r="K72" s="7">
        <f>IF(F72="",0,IFERROR(VLOOKUP(F72,Расходники!$A$4:$B$23,2,FALSE),0))</f>
        <v/>
      </c>
      <c r="L72" s="4">
        <f>H72*D72</f>
        <v/>
      </c>
      <c r="M72" s="4">
        <f>L72*K72</f>
        <v/>
      </c>
      <c r="N72" s="4">
        <f>SUMIF(Материалы!$A$4:$A$800,SUBSTITUTE(SUBSTITUTE(SUBSTITUTE(B72,"~","~~"),"*","~*"),"?","~?"),Материалы!$S$4:$S$800)</f>
        <v/>
      </c>
      <c r="O72" s="4">
        <f>L72+M72+N72</f>
        <v/>
      </c>
      <c r="P72" s="4">
        <f>IF(SUM($O$4:$O$672)=0,0,Косвенные!$C$9*O72/SUM($O$4:$O$672))</f>
        <v/>
      </c>
      <c r="Q72" s="4">
        <f>G72*D72+P72</f>
        <v/>
      </c>
      <c r="R72" s="4">
        <f>IF(D72=0,0,Q72/D72)</f>
        <v/>
      </c>
      <c r="S72" s="4">
        <f>IF(D72=0,0,SUMIF(Материалы!$A$4:$A$800,SUBSTITUTE(SUBSTITUTE(SUBSTITUTE(B72,"~","~~"),"*","~*"),"?","~?"),Материалы!$T$4:$T$800)/D72)</f>
        <v/>
      </c>
      <c r="T72" s="4">
        <f>R72+S72</f>
        <v/>
      </c>
      <c r="U72" s="4">
        <f>I72*D72</f>
        <v/>
      </c>
    </row>
    <row r="73" ht="22" customHeight="1">
      <c r="A73" s="9" t="inlineStr">
        <is>
          <t>8.2.38</t>
        </is>
      </c>
      <c r="B73" s="13" t="inlineStr">
        <is>
          <t>71. Шпаклевка гипсовая типа "Unis БЛИК"</t>
        </is>
      </c>
      <c r="C73" s="9" t="inlineStr">
        <is>
          <t>м2</t>
        </is>
      </c>
      <c r="D73" s="4">
        <f>IF('Форма'!G71="","",'Форма'!G71)</f>
        <v/>
      </c>
      <c r="E73" s="9" t="inlineStr">
        <is>
          <t>аналог (8.2.38)</t>
        </is>
      </c>
      <c r="F73" s="9" t="inlineStr">
        <is>
          <t>OTD</t>
        </is>
      </c>
      <c r="G73" s="10" t="n">
        <v>540</v>
      </c>
      <c r="H73" s="10" t="n">
        <v>310</v>
      </c>
      <c r="I73" s="10" t="n">
        <v>0.45</v>
      </c>
      <c r="J73" s="9" t="inlineStr">
        <is>
          <t>да</t>
        </is>
      </c>
      <c r="K73" s="7">
        <f>IF(F73="",0,IFERROR(VLOOKUP(F73,Расходники!$A$4:$B$23,2,FALSE),0))</f>
        <v/>
      </c>
      <c r="L73" s="4">
        <f>H73*D73</f>
        <v/>
      </c>
      <c r="M73" s="4">
        <f>L73*K73</f>
        <v/>
      </c>
      <c r="N73" s="4">
        <f>SUMIF(Материалы!$A$4:$A$800,SUBSTITUTE(SUBSTITUTE(SUBSTITUTE(B73,"~","~~"),"*","~*"),"?","~?"),Материалы!$S$4:$S$800)</f>
        <v/>
      </c>
      <c r="O73" s="4">
        <f>L73+M73+N73</f>
        <v/>
      </c>
      <c r="P73" s="4">
        <f>IF(SUM($O$4:$O$672)=0,0,Косвенные!$C$9*O73/SUM($O$4:$O$672))</f>
        <v/>
      </c>
      <c r="Q73" s="4">
        <f>G73*D73+P73</f>
        <v/>
      </c>
      <c r="R73" s="4">
        <f>IF(D73=0,0,Q73/D73)</f>
        <v/>
      </c>
      <c r="S73" s="4">
        <f>IF(D73=0,0,SUMIF(Материалы!$A$4:$A$800,SUBSTITUTE(SUBSTITUTE(SUBSTITUTE(B73,"~","~~"),"*","~*"),"?","~?"),Материалы!$T$4:$T$800)/D73)</f>
        <v/>
      </c>
      <c r="T73" s="4">
        <f>R73+S73</f>
        <v/>
      </c>
      <c r="U73" s="4">
        <f>I73*D73</f>
        <v/>
      </c>
    </row>
    <row r="74" ht="22" customHeight="1">
      <c r="A74" s="9" t="inlineStr"/>
      <c r="B74" s="13" t="inlineStr">
        <is>
          <t>72. Панель Випрок ламинированная 3000х1200х12,5</t>
        </is>
      </c>
      <c r="C74" s="9" t="inlineStr">
        <is>
          <t>м2</t>
        </is>
      </c>
      <c r="D74" s="4">
        <f>IF('Форма'!G72="","",'Форма'!G72)</f>
        <v/>
      </c>
      <c r="E74" s="9" t="inlineStr">
        <is>
          <t>аналог (8.2.17) облицовка</t>
        </is>
      </c>
      <c r="F74" s="9" t="inlineStr">
        <is>
          <t>OTD</t>
        </is>
      </c>
      <c r="G74" s="10" t="n">
        <v>598.5</v>
      </c>
      <c r="H74" s="10" t="n">
        <v>315</v>
      </c>
      <c r="I74" s="10" t="n">
        <v>0.35</v>
      </c>
      <c r="J74" s="9" t="inlineStr"/>
      <c r="K74" s="7">
        <f>IF(F74="",0,IFERROR(VLOOKUP(F74,Расходники!$A$4:$B$23,2,FALSE),0))</f>
        <v/>
      </c>
      <c r="L74" s="4">
        <f>H74*D74</f>
        <v/>
      </c>
      <c r="M74" s="4">
        <f>L74*K74</f>
        <v/>
      </c>
      <c r="N74" s="4">
        <f>SUMIF(Материалы!$A$4:$A$800,SUBSTITUTE(SUBSTITUTE(SUBSTITUTE(B74,"~","~~"),"*","~*"),"?","~?"),Материалы!$S$4:$S$800)</f>
        <v/>
      </c>
      <c r="O74" s="4">
        <f>L74+M74+N74</f>
        <v/>
      </c>
      <c r="P74" s="4">
        <f>IF(SUM($O$4:$O$672)=0,0,Косвенные!$C$9*O74/SUM($O$4:$O$672))</f>
        <v/>
      </c>
      <c r="Q74" s="4">
        <f>G74*D74+P74</f>
        <v/>
      </c>
      <c r="R74" s="4">
        <f>IF(D74=0,0,Q74/D74)</f>
        <v/>
      </c>
      <c r="S74" s="4">
        <f>IF(D74=0,0,SUMIF(Материалы!$A$4:$A$800,SUBSTITUTE(SUBSTITUTE(SUBSTITUTE(B74,"~","~~"),"*","~*"),"?","~?"),Материалы!$T$4:$T$800)/D74)</f>
        <v/>
      </c>
      <c r="T74" s="4">
        <f>R74+S74</f>
        <v/>
      </c>
      <c r="U74" s="4">
        <f>I74*D74</f>
        <v/>
      </c>
    </row>
    <row r="75" ht="22" customHeight="1">
      <c r="A75" s="9" t="inlineStr"/>
      <c r="B75" s="13" t="inlineStr">
        <is>
          <t>73. Профиль Кнауф ПН 100х40з3000</t>
        </is>
      </c>
      <c r="C75" s="9" t="inlineStr">
        <is>
          <t>п.м</t>
        </is>
      </c>
      <c r="D75" s="4">
        <f>IF('Форма'!G73="","",'Форма'!G73)</f>
        <v/>
      </c>
      <c r="E75" s="9" t="inlineStr">
        <is>
          <t>нет в тарификаторе</t>
        </is>
      </c>
      <c r="F75" s="9" t="inlineStr">
        <is>
          <t>OTD</t>
        </is>
      </c>
      <c r="G75" s="10" t="n">
        <v>256.5</v>
      </c>
      <c r="H75" s="10" t="n">
        <v>135</v>
      </c>
      <c r="I75" s="10" t="n">
        <v>0.15</v>
      </c>
      <c r="J75" s="9" t="inlineStr"/>
      <c r="K75" s="7">
        <f>IF(F75="",0,IFERROR(VLOOKUP(F75,Расходники!$A$4:$B$23,2,FALSE),0))</f>
        <v/>
      </c>
      <c r="L75" s="4">
        <f>H75*D75</f>
        <v/>
      </c>
      <c r="M75" s="4">
        <f>L75*K75</f>
        <v/>
      </c>
      <c r="N75" s="4">
        <f>SUMIF(Материалы!$A$4:$A$800,SUBSTITUTE(SUBSTITUTE(SUBSTITUTE(B75,"~","~~"),"*","~*"),"?","~?"),Материалы!$S$4:$S$800)</f>
        <v/>
      </c>
      <c r="O75" s="4">
        <f>L75+M75+N75</f>
        <v/>
      </c>
      <c r="P75" s="4">
        <f>IF(SUM($O$4:$O$672)=0,0,Косвенные!$C$9*O75/SUM($O$4:$O$672))</f>
        <v/>
      </c>
      <c r="Q75" s="4">
        <f>G75*D75+P75</f>
        <v/>
      </c>
      <c r="R75" s="4">
        <f>IF(D75=0,0,Q75/D75)</f>
        <v/>
      </c>
      <c r="S75" s="4">
        <f>IF(D75=0,0,SUMIF(Материалы!$A$4:$A$800,SUBSTITUTE(SUBSTITUTE(SUBSTITUTE(B75,"~","~~"),"*","~*"),"?","~?"),Материалы!$T$4:$T$800)/D75)</f>
        <v/>
      </c>
      <c r="T75" s="4">
        <f>R75+S75</f>
        <v/>
      </c>
      <c r="U75" s="4">
        <f>I75*D75</f>
        <v/>
      </c>
    </row>
    <row r="76" ht="22" customHeight="1">
      <c r="A76" s="9" t="inlineStr"/>
      <c r="B76" s="13" t="inlineStr">
        <is>
          <t>74. Профиль  Кнауф ПС 100x50х3000</t>
        </is>
      </c>
      <c r="C76" s="9" t="inlineStr">
        <is>
          <t>п.м</t>
        </is>
      </c>
      <c r="D76" s="4">
        <f>IF('Форма'!G74="","",'Форма'!G74)</f>
        <v/>
      </c>
      <c r="E76" s="9" t="inlineStr">
        <is>
          <t>нет в тарификаторе</t>
        </is>
      </c>
      <c r="F76" s="9" t="inlineStr">
        <is>
          <t>OTD</t>
        </is>
      </c>
      <c r="G76" s="10" t="n">
        <v>256.5</v>
      </c>
      <c r="H76" s="10" t="n">
        <v>135</v>
      </c>
      <c r="I76" s="10" t="n">
        <v>0.15</v>
      </c>
      <c r="J76" s="9" t="inlineStr"/>
      <c r="K76" s="7">
        <f>IF(F76="",0,IFERROR(VLOOKUP(F76,Расходники!$A$4:$B$23,2,FALSE),0))</f>
        <v/>
      </c>
      <c r="L76" s="4">
        <f>H76*D76</f>
        <v/>
      </c>
      <c r="M76" s="4">
        <f>L76*K76</f>
        <v/>
      </c>
      <c r="N76" s="4">
        <f>SUMIF(Материалы!$A$4:$A$800,SUBSTITUTE(SUBSTITUTE(SUBSTITUTE(B76,"~","~~"),"*","~*"),"?","~?"),Материалы!$S$4:$S$800)</f>
        <v/>
      </c>
      <c r="O76" s="4">
        <f>L76+M76+N76</f>
        <v/>
      </c>
      <c r="P76" s="4">
        <f>IF(SUM($O$4:$O$672)=0,0,Косвенные!$C$9*O76/SUM($O$4:$O$672))</f>
        <v/>
      </c>
      <c r="Q76" s="4">
        <f>G76*D76+P76</f>
        <v/>
      </c>
      <c r="R76" s="4">
        <f>IF(D76=0,0,Q76/D76)</f>
        <v/>
      </c>
      <c r="S76" s="4">
        <f>IF(D76=0,0,SUMIF(Материалы!$A$4:$A$800,SUBSTITUTE(SUBSTITUTE(SUBSTITUTE(B76,"~","~~"),"*","~*"),"?","~?"),Материалы!$T$4:$T$800)/D76)</f>
        <v/>
      </c>
      <c r="T76" s="4">
        <f>R76+S76</f>
        <v/>
      </c>
      <c r="U76" s="4">
        <f>I76*D76</f>
        <v/>
      </c>
    </row>
    <row r="77" ht="22" customHeight="1">
      <c r="A77" s="9" t="inlineStr"/>
      <c r="B77" s="13" t="inlineStr">
        <is>
          <t>75. Лента уплотнительная 50 мм</t>
        </is>
      </c>
      <c r="C77" s="9" t="inlineStr">
        <is>
          <t>м.п.</t>
        </is>
      </c>
      <c r="D77" s="4">
        <f>IF('Форма'!G75="","",'Форма'!G75)</f>
        <v/>
      </c>
      <c r="E77" s="9" t="inlineStr">
        <is>
          <t>нет в тарификаторе</t>
        </is>
      </c>
      <c r="F77" s="9" t="inlineStr">
        <is>
          <t>OTD</t>
        </is>
      </c>
      <c r="G77" s="10" t="n">
        <v>85.5</v>
      </c>
      <c r="H77" s="10" t="n">
        <v>45</v>
      </c>
      <c r="I77" s="10" t="n">
        <v>0.05</v>
      </c>
      <c r="J77" s="9" t="inlineStr"/>
      <c r="K77" s="7">
        <f>IF(F77="",0,IFERROR(VLOOKUP(F77,Расходники!$A$4:$B$23,2,FALSE),0))</f>
        <v/>
      </c>
      <c r="L77" s="4">
        <f>H77*D77</f>
        <v/>
      </c>
      <c r="M77" s="4">
        <f>L77*K77</f>
        <v/>
      </c>
      <c r="N77" s="4">
        <f>SUMIF(Материалы!$A$4:$A$800,SUBSTITUTE(SUBSTITUTE(SUBSTITUTE(B77,"~","~~"),"*","~*"),"?","~?"),Материалы!$S$4:$S$800)</f>
        <v/>
      </c>
      <c r="O77" s="4">
        <f>L77+M77+N77</f>
        <v/>
      </c>
      <c r="P77" s="4">
        <f>IF(SUM($O$4:$O$672)=0,0,Косвенные!$C$9*O77/SUM($O$4:$O$672))</f>
        <v/>
      </c>
      <c r="Q77" s="4">
        <f>G77*D77+P77</f>
        <v/>
      </c>
      <c r="R77" s="4">
        <f>IF(D77=0,0,Q77/D77)</f>
        <v/>
      </c>
      <c r="S77" s="4">
        <f>IF(D77=0,0,SUMIF(Материалы!$A$4:$A$800,SUBSTITUTE(SUBSTITUTE(SUBSTITUTE(B77,"~","~~"),"*","~*"),"?","~?"),Материалы!$T$4:$T$800)/D77)</f>
        <v/>
      </c>
      <c r="T77" s="4">
        <f>R77+S77</f>
        <v/>
      </c>
      <c r="U77" s="4">
        <f>I77*D77</f>
        <v/>
      </c>
    </row>
    <row r="78" ht="22" customHeight="1">
      <c r="A78" s="9" t="inlineStr"/>
      <c r="B78" s="13" t="inlineStr">
        <is>
          <t>76. Уголок пластиковый 25х25 мм</t>
        </is>
      </c>
      <c r="C78" s="9" t="inlineStr">
        <is>
          <t>м.п.</t>
        </is>
      </c>
      <c r="D78" s="4">
        <f>IF('Форма'!G76="","",'Форма'!G76)</f>
        <v/>
      </c>
      <c r="E78" s="9" t="inlineStr">
        <is>
          <t>нет в тарификаторе</t>
        </is>
      </c>
      <c r="F78" s="9" t="inlineStr">
        <is>
          <t>OTD</t>
        </is>
      </c>
      <c r="G78" s="10" t="n">
        <v>136.8</v>
      </c>
      <c r="H78" s="10" t="n">
        <v>72</v>
      </c>
      <c r="I78" s="10" t="n">
        <v>0.08</v>
      </c>
      <c r="J78" s="9" t="inlineStr"/>
      <c r="K78" s="7">
        <f>IF(F78="",0,IFERROR(VLOOKUP(F78,Расходники!$A$4:$B$23,2,FALSE),0))</f>
        <v/>
      </c>
      <c r="L78" s="4">
        <f>H78*D78</f>
        <v/>
      </c>
      <c r="M78" s="4">
        <f>L78*K78</f>
        <v/>
      </c>
      <c r="N78" s="4">
        <f>SUMIF(Материалы!$A$4:$A$800,SUBSTITUTE(SUBSTITUTE(SUBSTITUTE(B78,"~","~~"),"*","~*"),"?","~?"),Материалы!$S$4:$S$800)</f>
        <v/>
      </c>
      <c r="O78" s="4">
        <f>L78+M78+N78</f>
        <v/>
      </c>
      <c r="P78" s="4">
        <f>IF(SUM($O$4:$O$672)=0,0,Косвенные!$C$9*O78/SUM($O$4:$O$672))</f>
        <v/>
      </c>
      <c r="Q78" s="4">
        <f>G78*D78+P78</f>
        <v/>
      </c>
      <c r="R78" s="4">
        <f>IF(D78=0,0,Q78/D78)</f>
        <v/>
      </c>
      <c r="S78" s="4">
        <f>IF(D78=0,0,SUMIF(Материалы!$A$4:$A$800,SUBSTITUTE(SUBSTITUTE(SUBSTITUTE(B78,"~","~~"),"*","~*"),"?","~?"),Материалы!$T$4:$T$800)/D78)</f>
        <v/>
      </c>
      <c r="T78" s="4">
        <f>R78+S78</f>
        <v/>
      </c>
      <c r="U78" s="4">
        <f>I78*D78</f>
        <v/>
      </c>
    </row>
    <row r="79" ht="22" customHeight="1">
      <c r="A79" s="9" t="inlineStr">
        <is>
          <t>8.2.38</t>
        </is>
      </c>
      <c r="B79" s="13" t="inlineStr">
        <is>
          <t>77. Полимерная шпатлевка LR для внутренних работ. Рекомендуется для устранения мельчайших дефектов поверхности. CERESIT CT 127 (или аналог)</t>
        </is>
      </c>
      <c r="C79" s="9" t="inlineStr">
        <is>
          <t>м2</t>
        </is>
      </c>
      <c r="D79" s="4">
        <f>IF('Форма'!G77="","",'Форма'!G77)</f>
        <v/>
      </c>
      <c r="E79" s="9" t="inlineStr">
        <is>
          <t>аналог (8.2.38)</t>
        </is>
      </c>
      <c r="F79" s="9" t="inlineStr">
        <is>
          <t>OTD</t>
        </is>
      </c>
      <c r="G79" s="10" t="n">
        <v>540</v>
      </c>
      <c r="H79" s="10" t="n">
        <v>310</v>
      </c>
      <c r="I79" s="10" t="n">
        <v>0.45</v>
      </c>
      <c r="J79" s="9" t="inlineStr">
        <is>
          <t>да</t>
        </is>
      </c>
      <c r="K79" s="7">
        <f>IF(F79="",0,IFERROR(VLOOKUP(F79,Расходники!$A$4:$B$23,2,FALSE),0))</f>
        <v/>
      </c>
      <c r="L79" s="4">
        <f>H79*D79</f>
        <v/>
      </c>
      <c r="M79" s="4">
        <f>L79*K79</f>
        <v/>
      </c>
      <c r="N79" s="4">
        <f>SUMIF(Материалы!$A$4:$A$800,SUBSTITUTE(SUBSTITUTE(SUBSTITUTE(B79,"~","~~"),"*","~*"),"?","~?"),Материалы!$S$4:$S$800)</f>
        <v/>
      </c>
      <c r="O79" s="4">
        <f>L79+M79+N79</f>
        <v/>
      </c>
      <c r="P79" s="4">
        <f>IF(SUM($O$4:$O$672)=0,0,Косвенные!$C$9*O79/SUM($O$4:$O$672))</f>
        <v/>
      </c>
      <c r="Q79" s="4">
        <f>G79*D79+P79</f>
        <v/>
      </c>
      <c r="R79" s="4">
        <f>IF(D79=0,0,Q79/D79)</f>
        <v/>
      </c>
      <c r="S79" s="4">
        <f>IF(D79=0,0,SUMIF(Материалы!$A$4:$A$800,SUBSTITUTE(SUBSTITUTE(SUBSTITUTE(B79,"~","~~"),"*","~*"),"?","~?"),Материалы!$T$4:$T$800)/D79)</f>
        <v/>
      </c>
      <c r="T79" s="4">
        <f>R79+S79</f>
        <v/>
      </c>
      <c r="U79" s="4">
        <f>I79*D79</f>
        <v/>
      </c>
    </row>
    <row r="80" ht="22" customHeight="1">
      <c r="A80" s="9" t="inlineStr">
        <is>
          <t>8.2.38</t>
        </is>
      </c>
      <c r="B80" s="13" t="inlineStr">
        <is>
          <t>78. Полимерная шпатлевка KR для внутренних работ. Применяется для заделки трещин выбоин и др. дефектов поверхностей. CERESIT CT 127 (или аналог)</t>
        </is>
      </c>
      <c r="C80" s="9" t="inlineStr">
        <is>
          <t>м2</t>
        </is>
      </c>
      <c r="D80" s="4">
        <f>IF('Форма'!G78="","",'Форма'!G78)</f>
        <v/>
      </c>
      <c r="E80" s="9" t="inlineStr">
        <is>
          <t>аналог (8.2.38)</t>
        </is>
      </c>
      <c r="F80" s="9" t="inlineStr">
        <is>
          <t>OTD</t>
        </is>
      </c>
      <c r="G80" s="10" t="n">
        <v>540</v>
      </c>
      <c r="H80" s="10" t="n">
        <v>310</v>
      </c>
      <c r="I80" s="10" t="n">
        <v>0.45</v>
      </c>
      <c r="J80" s="9" t="inlineStr">
        <is>
          <t>да</t>
        </is>
      </c>
      <c r="K80" s="7">
        <f>IF(F80="",0,IFERROR(VLOOKUP(F80,Расходники!$A$4:$B$23,2,FALSE),0))</f>
        <v/>
      </c>
      <c r="L80" s="4">
        <f>H80*D80</f>
        <v/>
      </c>
      <c r="M80" s="4">
        <f>L80*K80</f>
        <v/>
      </c>
      <c r="N80" s="4">
        <f>SUMIF(Материалы!$A$4:$A$800,SUBSTITUTE(SUBSTITUTE(SUBSTITUTE(B80,"~","~~"),"*","~*"),"?","~?"),Материалы!$S$4:$S$800)</f>
        <v/>
      </c>
      <c r="O80" s="4">
        <f>L80+M80+N80</f>
        <v/>
      </c>
      <c r="P80" s="4">
        <f>IF(SUM($O$4:$O$672)=0,0,Косвенные!$C$9*O80/SUM($O$4:$O$672))</f>
        <v/>
      </c>
      <c r="Q80" s="4">
        <f>G80*D80+P80</f>
        <v/>
      </c>
      <c r="R80" s="4">
        <f>IF(D80=0,0,Q80/D80)</f>
        <v/>
      </c>
      <c r="S80" s="4">
        <f>IF(D80=0,0,SUMIF(Материалы!$A$4:$A$800,SUBSTITUTE(SUBSTITUTE(SUBSTITUTE(B80,"~","~~"),"*","~*"),"?","~?"),Материалы!$T$4:$T$800)/D80)</f>
        <v/>
      </c>
      <c r="T80" s="4">
        <f>R80+S80</f>
        <v/>
      </c>
      <c r="U80" s="4">
        <f>I80*D80</f>
        <v/>
      </c>
    </row>
    <row r="81" ht="22" customHeight="1">
      <c r="A81" s="9" t="inlineStr"/>
      <c r="B81" s="13" t="inlineStr">
        <is>
          <t>79. Фасадная финишная шпаклевка, серая. Рекомендуется для выравнивания поверхностей фасадов зданий , заделки выбоин , трещин, раковин слоем до 6 мм . CERESIT CT 225 (или аналог)</t>
        </is>
      </c>
      <c r="C81" s="9" t="inlineStr">
        <is>
          <t>м2</t>
        </is>
      </c>
      <c r="D81" s="4">
        <f>IF('Форма'!G79="","",'Форма'!G79)</f>
        <v/>
      </c>
      <c r="E81" s="9" t="inlineStr">
        <is>
          <t>аналог (9.1.64), единица приведена к нормо-часам</t>
        </is>
      </c>
      <c r="F81" s="9" t="inlineStr">
        <is>
          <t>SAN</t>
        </is>
      </c>
      <c r="G81" s="10" t="n">
        <v>2926</v>
      </c>
      <c r="H81" s="10" t="n">
        <v>1428</v>
      </c>
      <c r="I81" s="10" t="n">
        <v>1.4</v>
      </c>
      <c r="J81" s="9" t="inlineStr"/>
      <c r="K81" s="7">
        <f>IF(F81="",0,IFERROR(VLOOKUP(F81,Расходники!$A$4:$B$23,2,FALSE),0))</f>
        <v/>
      </c>
      <c r="L81" s="4">
        <f>H81*D81</f>
        <v/>
      </c>
      <c r="M81" s="4">
        <f>L81*K81</f>
        <v/>
      </c>
      <c r="N81" s="4">
        <f>SUMIF(Материалы!$A$4:$A$800,SUBSTITUTE(SUBSTITUTE(SUBSTITUTE(B81,"~","~~"),"*","~*"),"?","~?"),Материалы!$S$4:$S$800)</f>
        <v/>
      </c>
      <c r="O81" s="4">
        <f>L81+M81+N81</f>
        <v/>
      </c>
      <c r="P81" s="4">
        <f>IF(SUM($O$4:$O$672)=0,0,Косвенные!$C$9*O81/SUM($O$4:$O$672))</f>
        <v/>
      </c>
      <c r="Q81" s="4">
        <f>G81*D81+P81</f>
        <v/>
      </c>
      <c r="R81" s="4">
        <f>IF(D81=0,0,Q81/D81)</f>
        <v/>
      </c>
      <c r="S81" s="4">
        <f>IF(D81=0,0,SUMIF(Материалы!$A$4:$A$800,SUBSTITUTE(SUBSTITUTE(SUBSTITUTE(B81,"~","~~"),"*","~*"),"?","~?"),Материалы!$T$4:$T$800)/D81)</f>
        <v/>
      </c>
      <c r="T81" s="4">
        <f>R81+S81</f>
        <v/>
      </c>
      <c r="U81" s="4">
        <f>I81*D81</f>
        <v/>
      </c>
    </row>
    <row r="82" ht="22" customHeight="1">
      <c r="A82" s="9" t="inlineStr">
        <is>
          <t>8.2.N7</t>
        </is>
      </c>
      <c r="B82" s="13" t="inlineStr">
        <is>
          <t xml:space="preserve">80. Финишная полимерная шпаклевка для внутренних работ.Рекомендуется для шпаклевания штукатурных и бетонных поверхностей стен и потолков перед оклейкой обоев или окраской. CERESIT </t>
        </is>
      </c>
      <c r="C82" s="9" t="inlineStr">
        <is>
          <t>м2</t>
        </is>
      </c>
      <c r="D82" s="4">
        <f>IF('Форма'!G80="","",'Форма'!G80)</f>
        <v/>
      </c>
      <c r="E82" s="9" t="inlineStr">
        <is>
          <t>аналог (8.2.N7)</t>
        </is>
      </c>
      <c r="F82" s="9" t="inlineStr">
        <is>
          <t>OTD</t>
        </is>
      </c>
      <c r="G82" s="10" t="n">
        <v>440</v>
      </c>
      <c r="H82" s="10" t="n">
        <v>265</v>
      </c>
      <c r="I82" s="10" t="n">
        <v>0.25</v>
      </c>
      <c r="J82" s="9" t="inlineStr"/>
      <c r="K82" s="7">
        <f>IF(F82="",0,IFERROR(VLOOKUP(F82,Расходники!$A$4:$B$23,2,FALSE),0))</f>
        <v/>
      </c>
      <c r="L82" s="4">
        <f>H82*D82</f>
        <v/>
      </c>
      <c r="M82" s="4">
        <f>L82*K82</f>
        <v/>
      </c>
      <c r="N82" s="4">
        <f>SUMIF(Материалы!$A$4:$A$800,SUBSTITUTE(SUBSTITUTE(SUBSTITUTE(B82,"~","~~"),"*","~*"),"?","~?"),Материалы!$S$4:$S$800)</f>
        <v/>
      </c>
      <c r="O82" s="4">
        <f>L82+M82+N82</f>
        <v/>
      </c>
      <c r="P82" s="4">
        <f>IF(SUM($O$4:$O$672)=0,0,Косвенные!$C$9*O82/SUM($O$4:$O$672))</f>
        <v/>
      </c>
      <c r="Q82" s="4">
        <f>G82*D82+P82</f>
        <v/>
      </c>
      <c r="R82" s="4">
        <f>IF(D82=0,0,Q82/D82)</f>
        <v/>
      </c>
      <c r="S82" s="4">
        <f>IF(D82=0,0,SUMIF(Материалы!$A$4:$A$800,SUBSTITUTE(SUBSTITUTE(SUBSTITUTE(B82,"~","~~"),"*","~*"),"?","~?"),Материалы!$T$4:$T$800)/D82)</f>
        <v/>
      </c>
      <c r="T82" s="4">
        <f>R82+S82</f>
        <v/>
      </c>
      <c r="U82" s="4">
        <f>I82*D82</f>
        <v/>
      </c>
    </row>
    <row r="83" ht="22" customHeight="1">
      <c r="A83" s="9" t="inlineStr">
        <is>
          <t>5.5.14</t>
        </is>
      </c>
      <c r="B83" s="13" t="inlineStr">
        <is>
          <t>81. Грунтовка для обработки гладких оснований . Рекомендуется для обработки слабо впитывающих Оснований к нанесению различных отделочных материалов перед нанесением гипсовых и цеме</t>
        </is>
      </c>
      <c r="C83" s="9" t="inlineStr">
        <is>
          <t>м2</t>
        </is>
      </c>
      <c r="D83" s="4">
        <f>IF('Форма'!G81="","",'Форма'!G81)</f>
        <v/>
      </c>
      <c r="E83" s="9" t="inlineStr">
        <is>
          <t>точно</t>
        </is>
      </c>
      <c r="F83" s="9" t="inlineStr">
        <is>
          <t>OTD</t>
        </is>
      </c>
      <c r="G83" s="10" t="n">
        <v>80</v>
      </c>
      <c r="H83" s="10" t="n">
        <v>46</v>
      </c>
      <c r="I83" s="10" t="n">
        <v>0.04</v>
      </c>
      <c r="J83" s="9" t="inlineStr"/>
      <c r="K83" s="7">
        <f>IF(F83="",0,IFERROR(VLOOKUP(F83,Расходники!$A$4:$B$23,2,FALSE),0))</f>
        <v/>
      </c>
      <c r="L83" s="4">
        <f>H83*D83</f>
        <v/>
      </c>
      <c r="M83" s="4">
        <f>L83*K83</f>
        <v/>
      </c>
      <c r="N83" s="4">
        <f>SUMIF(Материалы!$A$4:$A$800,SUBSTITUTE(SUBSTITUTE(SUBSTITUTE(B83,"~","~~"),"*","~*"),"?","~?"),Материалы!$S$4:$S$800)</f>
        <v/>
      </c>
      <c r="O83" s="4">
        <f>L83+M83+N83</f>
        <v/>
      </c>
      <c r="P83" s="4">
        <f>IF(SUM($O$4:$O$672)=0,0,Косвенные!$C$9*O83/SUM($O$4:$O$672))</f>
        <v/>
      </c>
      <c r="Q83" s="4">
        <f>G83*D83+P83</f>
        <v/>
      </c>
      <c r="R83" s="4">
        <f>IF(D83=0,0,Q83/D83)</f>
        <v/>
      </c>
      <c r="S83" s="4">
        <f>IF(D83=0,0,SUMIF(Материалы!$A$4:$A$800,SUBSTITUTE(SUBSTITUTE(SUBSTITUTE(B83,"~","~~"),"*","~*"),"?","~?"),Материалы!$T$4:$T$800)/D83)</f>
        <v/>
      </c>
      <c r="T83" s="4">
        <f>R83+S83</f>
        <v/>
      </c>
      <c r="U83" s="4">
        <f>I83*D83</f>
        <v/>
      </c>
    </row>
    <row r="84" ht="22" customHeight="1">
      <c r="A84" s="9" t="inlineStr"/>
      <c r="B84" s="13" t="inlineStr">
        <is>
          <t>82. Универсальная самовыравнивающаяся смесь . Финишный ровнитель для тщательного выравнивания и последующей укладки декоративных напольных покрытий, нанесения тонкослойных наливных</t>
        </is>
      </c>
      <c r="C84" s="9" t="inlineStr">
        <is>
          <t>м2</t>
        </is>
      </c>
      <c r="D84" s="4">
        <f>IF('Форма'!G82="","",'Форма'!G82)</f>
        <v/>
      </c>
      <c r="E84" s="9" t="inlineStr">
        <is>
          <t>нет в тарификаторе</t>
        </is>
      </c>
      <c r="F84" s="9" t="inlineStr">
        <is>
          <t>OTD</t>
        </is>
      </c>
      <c r="G84" s="10" t="n">
        <v>940.5</v>
      </c>
      <c r="H84" s="10" t="n">
        <v>495</v>
      </c>
      <c r="I84" s="10" t="n">
        <v>0.55</v>
      </c>
      <c r="J84" s="9" t="inlineStr"/>
      <c r="K84" s="7">
        <f>IF(F84="",0,IFERROR(VLOOKUP(F84,Расходники!$A$4:$B$23,2,FALSE),0))</f>
        <v/>
      </c>
      <c r="L84" s="4">
        <f>H84*D84</f>
        <v/>
      </c>
      <c r="M84" s="4">
        <f>L84*K84</f>
        <v/>
      </c>
      <c r="N84" s="4">
        <f>SUMIF(Материалы!$A$4:$A$800,SUBSTITUTE(SUBSTITUTE(SUBSTITUTE(B84,"~","~~"),"*","~*"),"?","~?"),Материалы!$S$4:$S$800)</f>
        <v/>
      </c>
      <c r="O84" s="4">
        <f>L84+M84+N84</f>
        <v/>
      </c>
      <c r="P84" s="4">
        <f>IF(SUM($O$4:$O$672)=0,0,Косвенные!$C$9*O84/SUM($O$4:$O$672))</f>
        <v/>
      </c>
      <c r="Q84" s="4">
        <f>G84*D84+P84</f>
        <v/>
      </c>
      <c r="R84" s="4">
        <f>IF(D84=0,0,Q84/D84)</f>
        <v/>
      </c>
      <c r="S84" s="4">
        <f>IF(D84=0,0,SUMIF(Материалы!$A$4:$A$800,SUBSTITUTE(SUBSTITUTE(SUBSTITUTE(B84,"~","~~"),"*","~*"),"?","~?"),Материалы!$T$4:$T$800)/D84)</f>
        <v/>
      </c>
      <c r="T84" s="4">
        <f>R84+S84</f>
        <v/>
      </c>
      <c r="U84" s="4">
        <f>I84*D84</f>
        <v/>
      </c>
    </row>
    <row r="85" ht="22" customHeight="1">
      <c r="A85" s="9" t="inlineStr"/>
      <c r="B85" s="13" t="inlineStr">
        <is>
          <t>83. Уголок пластиковый 25х25 мм</t>
        </is>
      </c>
      <c r="C85" s="9" t="inlineStr">
        <is>
          <t>м.п.</t>
        </is>
      </c>
      <c r="D85" s="4">
        <f>IF('Форма'!G83="","",'Форма'!G83)</f>
        <v/>
      </c>
      <c r="E85" s="9" t="inlineStr">
        <is>
          <t>нет в тарификаторе</t>
        </is>
      </c>
      <c r="F85" s="9" t="inlineStr">
        <is>
          <t>OTD</t>
        </is>
      </c>
      <c r="G85" s="10" t="n">
        <v>136.8</v>
      </c>
      <c r="H85" s="10" t="n">
        <v>72</v>
      </c>
      <c r="I85" s="10" t="n">
        <v>0.08</v>
      </c>
      <c r="J85" s="9" t="inlineStr"/>
      <c r="K85" s="7">
        <f>IF(F85="",0,IFERROR(VLOOKUP(F85,Расходники!$A$4:$B$23,2,FALSE),0))</f>
        <v/>
      </c>
      <c r="L85" s="4">
        <f>H85*D85</f>
        <v/>
      </c>
      <c r="M85" s="4">
        <f>L85*K85</f>
        <v/>
      </c>
      <c r="N85" s="4">
        <f>SUMIF(Материалы!$A$4:$A$800,SUBSTITUTE(SUBSTITUTE(SUBSTITUTE(B85,"~","~~"),"*","~*"),"?","~?"),Материалы!$S$4:$S$800)</f>
        <v/>
      </c>
      <c r="O85" s="4">
        <f>L85+M85+N85</f>
        <v/>
      </c>
      <c r="P85" s="4">
        <f>IF(SUM($O$4:$O$672)=0,0,Косвенные!$C$9*O85/SUM($O$4:$O$672))</f>
        <v/>
      </c>
      <c r="Q85" s="4">
        <f>G85*D85+P85</f>
        <v/>
      </c>
      <c r="R85" s="4">
        <f>IF(D85=0,0,Q85/D85)</f>
        <v/>
      </c>
      <c r="S85" s="4">
        <f>IF(D85=0,0,SUMIF(Материалы!$A$4:$A$800,SUBSTITUTE(SUBSTITUTE(SUBSTITUTE(B85,"~","~~"),"*","~*"),"?","~?"),Материалы!$T$4:$T$800)/D85)</f>
        <v/>
      </c>
      <c r="T85" s="4">
        <f>R85+S85</f>
        <v/>
      </c>
      <c r="U85" s="4">
        <f>I85*D85</f>
        <v/>
      </c>
    </row>
    <row r="86" ht="22" customHeight="1">
      <c r="A86" s="9" t="inlineStr"/>
      <c r="B86" s="13" t="inlineStr">
        <is>
          <t>84. Уголок пластиковый 40х40 мм</t>
        </is>
      </c>
      <c r="C86" s="9" t="inlineStr">
        <is>
          <t>м.п.</t>
        </is>
      </c>
      <c r="D86" s="4">
        <f>IF('Форма'!G84="","",'Форма'!G84)</f>
        <v/>
      </c>
      <c r="E86" s="9" t="inlineStr">
        <is>
          <t>нет в тарификаторе</t>
        </is>
      </c>
      <c r="F86" s="9" t="inlineStr">
        <is>
          <t>OTD</t>
        </is>
      </c>
      <c r="G86" s="10" t="n">
        <v>136.8</v>
      </c>
      <c r="H86" s="10" t="n">
        <v>72</v>
      </c>
      <c r="I86" s="10" t="n">
        <v>0.08</v>
      </c>
      <c r="J86" s="9" t="inlineStr"/>
      <c r="K86" s="7">
        <f>IF(F86="",0,IFERROR(VLOOKUP(F86,Расходники!$A$4:$B$23,2,FALSE),0))</f>
        <v/>
      </c>
      <c r="L86" s="4">
        <f>H86*D86</f>
        <v/>
      </c>
      <c r="M86" s="4">
        <f>L86*K86</f>
        <v/>
      </c>
      <c r="N86" s="4">
        <f>SUMIF(Материалы!$A$4:$A$800,SUBSTITUTE(SUBSTITUTE(SUBSTITUTE(B86,"~","~~"),"*","~*"),"?","~?"),Материалы!$S$4:$S$800)</f>
        <v/>
      </c>
      <c r="O86" s="4">
        <f>L86+M86+N86</f>
        <v/>
      </c>
      <c r="P86" s="4">
        <f>IF(SUM($O$4:$O$672)=0,0,Косвенные!$C$9*O86/SUM($O$4:$O$672))</f>
        <v/>
      </c>
      <c r="Q86" s="4">
        <f>G86*D86+P86</f>
        <v/>
      </c>
      <c r="R86" s="4">
        <f>IF(D86=0,0,Q86/D86)</f>
        <v/>
      </c>
      <c r="S86" s="4">
        <f>IF(D86=0,0,SUMIF(Материалы!$A$4:$A$800,SUBSTITUTE(SUBSTITUTE(SUBSTITUTE(B86,"~","~~"),"*","~*"),"?","~?"),Материалы!$T$4:$T$800)/D86)</f>
        <v/>
      </c>
      <c r="T86" s="4">
        <f>R86+S86</f>
        <v/>
      </c>
      <c r="U86" s="4">
        <f>I86*D86</f>
        <v/>
      </c>
    </row>
    <row r="87" ht="22" customHeight="1">
      <c r="A87" s="9" t="inlineStr"/>
      <c r="B87" s="13" t="inlineStr">
        <is>
          <t>85. Уголок пластиковый 60х60 мм</t>
        </is>
      </c>
      <c r="C87" s="9" t="inlineStr">
        <is>
          <t>м.п.</t>
        </is>
      </c>
      <c r="D87" s="4">
        <f>IF('Форма'!G85="","",'Форма'!G85)</f>
        <v/>
      </c>
      <c r="E87" s="9" t="inlineStr">
        <is>
          <t>нет в тарификаторе</t>
        </is>
      </c>
      <c r="F87" s="9" t="inlineStr">
        <is>
          <t>OTD</t>
        </is>
      </c>
      <c r="G87" s="10" t="n">
        <v>136.8</v>
      </c>
      <c r="H87" s="10" t="n">
        <v>72</v>
      </c>
      <c r="I87" s="10" t="n">
        <v>0.08</v>
      </c>
      <c r="J87" s="9" t="inlineStr"/>
      <c r="K87" s="7">
        <f>IF(F87="",0,IFERROR(VLOOKUP(F87,Расходники!$A$4:$B$23,2,FALSE),0))</f>
        <v/>
      </c>
      <c r="L87" s="4">
        <f>H87*D87</f>
        <v/>
      </c>
      <c r="M87" s="4">
        <f>L87*K87</f>
        <v/>
      </c>
      <c r="N87" s="4">
        <f>SUMIF(Материалы!$A$4:$A$800,SUBSTITUTE(SUBSTITUTE(SUBSTITUTE(B87,"~","~~"),"*","~*"),"?","~?"),Материалы!$S$4:$S$800)</f>
        <v/>
      </c>
      <c r="O87" s="4">
        <f>L87+M87+N87</f>
        <v/>
      </c>
      <c r="P87" s="4">
        <f>IF(SUM($O$4:$O$672)=0,0,Косвенные!$C$9*O87/SUM($O$4:$O$672))</f>
        <v/>
      </c>
      <c r="Q87" s="4">
        <f>G87*D87+P87</f>
        <v/>
      </c>
      <c r="R87" s="4">
        <f>IF(D87=0,0,Q87/D87)</f>
        <v/>
      </c>
      <c r="S87" s="4">
        <f>IF(D87=0,0,SUMIF(Материалы!$A$4:$A$800,SUBSTITUTE(SUBSTITUTE(SUBSTITUTE(B87,"~","~~"),"*","~*"),"?","~?"),Материалы!$T$4:$T$800)/D87)</f>
        <v/>
      </c>
      <c r="T87" s="4">
        <f>R87+S87</f>
        <v/>
      </c>
      <c r="U87" s="4">
        <f>I87*D87</f>
        <v/>
      </c>
    </row>
    <row r="88" ht="22" customHeight="1">
      <c r="A88" s="9" t="inlineStr"/>
      <c r="B88" s="13" t="inlineStr">
        <is>
          <t xml:space="preserve">86. Алмазное бурение. Диаметр отверстия от 50 мм до 200 мм включительно (Бетон) </t>
        </is>
      </c>
      <c r="C88" s="9" t="inlineStr">
        <is>
          <t>см.</t>
        </is>
      </c>
      <c r="D88" s="4">
        <f>IF('Форма'!G86="","",'Форма'!G86)</f>
        <v/>
      </c>
      <c r="E88" s="9" t="inlineStr">
        <is>
          <t>нет в тарификаторе</t>
        </is>
      </c>
      <c r="F88" s="9" t="inlineStr">
        <is>
          <t>BET</t>
        </is>
      </c>
      <c r="G88" s="10" t="n">
        <v>95</v>
      </c>
      <c r="H88" s="10" t="n">
        <v>55</v>
      </c>
      <c r="I88" s="10" t="n">
        <v>0.08</v>
      </c>
      <c r="J88" s="9" t="inlineStr"/>
      <c r="K88" s="7">
        <f>IF(F88="",0,IFERROR(VLOOKUP(F88,Расходники!$A$4:$B$23,2,FALSE),0))</f>
        <v/>
      </c>
      <c r="L88" s="4">
        <f>H88*D88</f>
        <v/>
      </c>
      <c r="M88" s="4">
        <f>L88*K88</f>
        <v/>
      </c>
      <c r="N88" s="4">
        <f>SUMIF(Материалы!$A$4:$A$800,SUBSTITUTE(SUBSTITUTE(SUBSTITUTE(B88,"~","~~"),"*","~*"),"?","~?"),Материалы!$S$4:$S$800)</f>
        <v/>
      </c>
      <c r="O88" s="4">
        <f>L88+M88+N88</f>
        <v/>
      </c>
      <c r="P88" s="4">
        <f>IF(SUM($O$4:$O$672)=0,0,Косвенные!$C$9*O88/SUM($O$4:$O$672))</f>
        <v/>
      </c>
      <c r="Q88" s="4">
        <f>G88*D88+P88</f>
        <v/>
      </c>
      <c r="R88" s="4">
        <f>IF(D88=0,0,Q88/D88)</f>
        <v/>
      </c>
      <c r="S88" s="4">
        <f>IF(D88=0,0,SUMIF(Материалы!$A$4:$A$800,SUBSTITUTE(SUBSTITUTE(SUBSTITUTE(B88,"~","~~"),"*","~*"),"?","~?"),Материалы!$T$4:$T$800)/D88)</f>
        <v/>
      </c>
      <c r="T88" s="4">
        <f>R88+S88</f>
        <v/>
      </c>
      <c r="U88" s="4">
        <f>I88*D88</f>
        <v/>
      </c>
    </row>
    <row r="89" ht="22" customHeight="1">
      <c r="A89" s="9" t="inlineStr"/>
      <c r="B89" s="13" t="inlineStr">
        <is>
          <t>87. Стопор дверной типа Amig 103</t>
        </is>
      </c>
      <c r="C89" s="9" t="inlineStr">
        <is>
          <t>шт.</t>
        </is>
      </c>
      <c r="D89" s="4">
        <f>IF('Форма'!G87="","",'Форма'!G87)</f>
        <v/>
      </c>
      <c r="E89" s="9" t="inlineStr">
        <is>
          <t>аналог (12.7.N5)</t>
        </is>
      </c>
      <c r="F89" s="9" t="inlineStr">
        <is>
          <t>DVR</t>
        </is>
      </c>
      <c r="G89" s="10" t="n">
        <v>570</v>
      </c>
      <c r="H89" s="10" t="n">
        <v>285</v>
      </c>
      <c r="I89" s="10" t="n">
        <v>0.3</v>
      </c>
      <c r="J89" s="9" t="inlineStr"/>
      <c r="K89" s="7">
        <f>IF(F89="",0,IFERROR(VLOOKUP(F89,Расходники!$A$4:$B$23,2,FALSE),0))</f>
        <v/>
      </c>
      <c r="L89" s="4">
        <f>H89*D89</f>
        <v/>
      </c>
      <c r="M89" s="4">
        <f>L89*K89</f>
        <v/>
      </c>
      <c r="N89" s="4">
        <f>SUMIF(Материалы!$A$4:$A$800,SUBSTITUTE(SUBSTITUTE(SUBSTITUTE(B89,"~","~~"),"*","~*"),"?","~?"),Материалы!$S$4:$S$800)</f>
        <v/>
      </c>
      <c r="O89" s="4">
        <f>L89+M89+N89</f>
        <v/>
      </c>
      <c r="P89" s="4">
        <f>IF(SUM($O$4:$O$672)=0,0,Косвенные!$C$9*O89/SUM($O$4:$O$672))</f>
        <v/>
      </c>
      <c r="Q89" s="4">
        <f>G89*D89+P89</f>
        <v/>
      </c>
      <c r="R89" s="4">
        <f>IF(D89=0,0,Q89/D89)</f>
        <v/>
      </c>
      <c r="S89" s="4">
        <f>IF(D89=0,0,SUMIF(Материалы!$A$4:$A$800,SUBSTITUTE(SUBSTITUTE(SUBSTITUTE(B89,"~","~~"),"*","~*"),"?","~?"),Материалы!$T$4:$T$800)/D89)</f>
        <v/>
      </c>
      <c r="T89" s="4">
        <f>R89+S89</f>
        <v/>
      </c>
      <c r="U89" s="4">
        <f>I89*D89</f>
        <v/>
      </c>
    </row>
    <row r="90" ht="22" customHeight="1">
      <c r="A90" s="9" t="inlineStr"/>
      <c r="B90" s="13" t="inlineStr">
        <is>
          <t>88. Шпингалет APEX 100 мм.</t>
        </is>
      </c>
      <c r="C90" s="9" t="inlineStr">
        <is>
          <t>шт.</t>
        </is>
      </c>
      <c r="D90" s="4">
        <f>IF('Форма'!G88="","",'Форма'!G88)</f>
        <v/>
      </c>
      <c r="E90" s="9" t="inlineStr">
        <is>
          <t>аналог (12.7.N5)</t>
        </is>
      </c>
      <c r="F90" s="9" t="inlineStr">
        <is>
          <t>DVR</t>
        </is>
      </c>
      <c r="G90" s="10" t="n">
        <v>570</v>
      </c>
      <c r="H90" s="10" t="n">
        <v>285</v>
      </c>
      <c r="I90" s="10" t="n">
        <v>0.3</v>
      </c>
      <c r="J90" s="9" t="inlineStr"/>
      <c r="K90" s="7">
        <f>IF(F90="",0,IFERROR(VLOOKUP(F90,Расходники!$A$4:$B$23,2,FALSE),0))</f>
        <v/>
      </c>
      <c r="L90" s="4">
        <f>H90*D90</f>
        <v/>
      </c>
      <c r="M90" s="4">
        <f>L90*K90</f>
        <v/>
      </c>
      <c r="N90" s="4">
        <f>SUMIF(Материалы!$A$4:$A$800,SUBSTITUTE(SUBSTITUTE(SUBSTITUTE(B90,"~","~~"),"*","~*"),"?","~?"),Материалы!$S$4:$S$800)</f>
        <v/>
      </c>
      <c r="O90" s="4">
        <f>L90+M90+N90</f>
        <v/>
      </c>
      <c r="P90" s="4">
        <f>IF(SUM($O$4:$O$672)=0,0,Косвенные!$C$9*O90/SUM($O$4:$O$672))</f>
        <v/>
      </c>
      <c r="Q90" s="4">
        <f>G90*D90+P90</f>
        <v/>
      </c>
      <c r="R90" s="4">
        <f>IF(D90=0,0,Q90/D90)</f>
        <v/>
      </c>
      <c r="S90" s="4">
        <f>IF(D90=0,0,SUMIF(Материалы!$A$4:$A$800,SUBSTITUTE(SUBSTITUTE(SUBSTITUTE(B90,"~","~~"),"*","~*"),"?","~?"),Материалы!$T$4:$T$800)/D90)</f>
        <v/>
      </c>
      <c r="T90" s="4">
        <f>R90+S90</f>
        <v/>
      </c>
      <c r="U90" s="4">
        <f>I90*D90</f>
        <v/>
      </c>
    </row>
    <row r="91" ht="22" customHeight="1">
      <c r="A91" s="9" t="inlineStr"/>
      <c r="B91" s="13" t="inlineStr">
        <is>
          <t>89. Наличники дверные пвх</t>
        </is>
      </c>
      <c r="C91" s="9" t="inlineStr">
        <is>
          <t>м.п.</t>
        </is>
      </c>
      <c r="D91" s="4">
        <f>IF('Форма'!G89="","",'Форма'!G89)</f>
        <v/>
      </c>
      <c r="E91" s="9" t="inlineStr">
        <is>
          <t>аналог (12.7.N5)</t>
        </is>
      </c>
      <c r="F91" s="9" t="inlineStr">
        <is>
          <t>DVR</t>
        </is>
      </c>
      <c r="G91" s="10" t="n">
        <v>570</v>
      </c>
      <c r="H91" s="10" t="n">
        <v>285</v>
      </c>
      <c r="I91" s="10" t="n">
        <v>0.3</v>
      </c>
      <c r="J91" s="9" t="inlineStr"/>
      <c r="K91" s="7">
        <f>IF(F91="",0,IFERROR(VLOOKUP(F91,Расходники!$A$4:$B$23,2,FALSE),0))</f>
        <v/>
      </c>
      <c r="L91" s="4">
        <f>H91*D91</f>
        <v/>
      </c>
      <c r="M91" s="4">
        <f>L91*K91</f>
        <v/>
      </c>
      <c r="N91" s="4">
        <f>SUMIF(Материалы!$A$4:$A$800,SUBSTITUTE(SUBSTITUTE(SUBSTITUTE(B91,"~","~~"),"*","~*"),"?","~?"),Материалы!$S$4:$S$800)</f>
        <v/>
      </c>
      <c r="O91" s="4">
        <f>L91+M91+N91</f>
        <v/>
      </c>
      <c r="P91" s="4">
        <f>IF(SUM($O$4:$O$672)=0,0,Косвенные!$C$9*O91/SUM($O$4:$O$672))</f>
        <v/>
      </c>
      <c r="Q91" s="4">
        <f>G91*D91+P91</f>
        <v/>
      </c>
      <c r="R91" s="4">
        <f>IF(D91=0,0,Q91/D91)</f>
        <v/>
      </c>
      <c r="S91" s="4">
        <f>IF(D91=0,0,SUMIF(Материалы!$A$4:$A$800,SUBSTITUTE(SUBSTITUTE(SUBSTITUTE(B91,"~","~~"),"*","~*"),"?","~?"),Материалы!$T$4:$T$800)/D91)</f>
        <v/>
      </c>
      <c r="T91" s="4">
        <f>R91+S91</f>
        <v/>
      </c>
      <c r="U91" s="4">
        <f>I91*D91</f>
        <v/>
      </c>
    </row>
    <row r="92" ht="22" customHeight="1">
      <c r="A92" s="9" t="inlineStr"/>
      <c r="B92" s="13" t="inlineStr">
        <is>
          <t>90. Засов дверной (Москва-№6)</t>
        </is>
      </c>
      <c r="C92" s="9" t="inlineStr">
        <is>
          <t>шт.</t>
        </is>
      </c>
      <c r="D92" s="4">
        <f>IF('Форма'!G90="","",'Форма'!G90)</f>
        <v/>
      </c>
      <c r="E92" s="9" t="inlineStr">
        <is>
          <t>аналог (12.7.N5)</t>
        </is>
      </c>
      <c r="F92" s="9" t="inlineStr">
        <is>
          <t>DVR</t>
        </is>
      </c>
      <c r="G92" s="10" t="n">
        <v>570</v>
      </c>
      <c r="H92" s="10" t="n">
        <v>285</v>
      </c>
      <c r="I92" s="10" t="n">
        <v>0.3</v>
      </c>
      <c r="J92" s="9" t="inlineStr"/>
      <c r="K92" s="7">
        <f>IF(F92="",0,IFERROR(VLOOKUP(F92,Расходники!$A$4:$B$23,2,FALSE),0))</f>
        <v/>
      </c>
      <c r="L92" s="4">
        <f>H92*D92</f>
        <v/>
      </c>
      <c r="M92" s="4">
        <f>L92*K92</f>
        <v/>
      </c>
      <c r="N92" s="4">
        <f>SUMIF(Материалы!$A$4:$A$800,SUBSTITUTE(SUBSTITUTE(SUBSTITUTE(B92,"~","~~"),"*","~*"),"?","~?"),Материалы!$S$4:$S$800)</f>
        <v/>
      </c>
      <c r="O92" s="4">
        <f>L92+M92+N92</f>
        <v/>
      </c>
      <c r="P92" s="4">
        <f>IF(SUM($O$4:$O$672)=0,0,Косвенные!$C$9*O92/SUM($O$4:$O$672))</f>
        <v/>
      </c>
      <c r="Q92" s="4">
        <f>G92*D92+P92</f>
        <v/>
      </c>
      <c r="R92" s="4">
        <f>IF(D92=0,0,Q92/D92)</f>
        <v/>
      </c>
      <c r="S92" s="4">
        <f>IF(D92=0,0,SUMIF(Материалы!$A$4:$A$800,SUBSTITUTE(SUBSTITUTE(SUBSTITUTE(B92,"~","~~"),"*","~*"),"?","~?"),Материалы!$T$4:$T$800)/D92)</f>
        <v/>
      </c>
      <c r="T92" s="4">
        <f>R92+S92</f>
        <v/>
      </c>
      <c r="U92" s="4">
        <f>I92*D92</f>
        <v/>
      </c>
    </row>
    <row r="93" ht="22" customHeight="1">
      <c r="A93" s="9" t="inlineStr"/>
      <c r="B93" s="13" t="inlineStr">
        <is>
          <t>91. Упор дверной напольный "Крит" УД-П60/50-Цн</t>
        </is>
      </c>
      <c r="C93" s="9" t="inlineStr">
        <is>
          <t>шт.</t>
        </is>
      </c>
      <c r="D93" s="4">
        <f>IF('Форма'!G91="","",'Форма'!G91)</f>
        <v/>
      </c>
      <c r="E93" s="9" t="inlineStr">
        <is>
          <t>аналог (12.7.N5)</t>
        </is>
      </c>
      <c r="F93" s="9" t="inlineStr">
        <is>
          <t>DVR</t>
        </is>
      </c>
      <c r="G93" s="10" t="n">
        <v>570</v>
      </c>
      <c r="H93" s="10" t="n">
        <v>285</v>
      </c>
      <c r="I93" s="10" t="n">
        <v>0.3</v>
      </c>
      <c r="J93" s="9" t="inlineStr"/>
      <c r="K93" s="7">
        <f>IF(F93="",0,IFERROR(VLOOKUP(F93,Расходники!$A$4:$B$23,2,FALSE),0))</f>
        <v/>
      </c>
      <c r="L93" s="4">
        <f>H93*D93</f>
        <v/>
      </c>
      <c r="M93" s="4">
        <f>L93*K93</f>
        <v/>
      </c>
      <c r="N93" s="4">
        <f>SUMIF(Материалы!$A$4:$A$800,SUBSTITUTE(SUBSTITUTE(SUBSTITUTE(B93,"~","~~"),"*","~*"),"?","~?"),Материалы!$S$4:$S$800)</f>
        <v/>
      </c>
      <c r="O93" s="4">
        <f>L93+M93+N93</f>
        <v/>
      </c>
      <c r="P93" s="4">
        <f>IF(SUM($O$4:$O$672)=0,0,Косвенные!$C$9*O93/SUM($O$4:$O$672))</f>
        <v/>
      </c>
      <c r="Q93" s="4">
        <f>G93*D93+P93</f>
        <v/>
      </c>
      <c r="R93" s="4">
        <f>IF(D93=0,0,Q93/D93)</f>
        <v/>
      </c>
      <c r="S93" s="4">
        <f>IF(D93=0,0,SUMIF(Материалы!$A$4:$A$800,SUBSTITUTE(SUBSTITUTE(SUBSTITUTE(B93,"~","~~"),"*","~*"),"?","~?"),Материалы!$T$4:$T$800)/D93)</f>
        <v/>
      </c>
      <c r="T93" s="4">
        <f>R93+S93</f>
        <v/>
      </c>
      <c r="U93" s="4">
        <f>I93*D93</f>
        <v/>
      </c>
    </row>
    <row r="94" ht="22" customHeight="1">
      <c r="A94" s="9" t="inlineStr"/>
      <c r="B94" s="13" t="inlineStr">
        <is>
          <t>92. Фиксатор (стопор) открытого положения двери типа Palladium "КН" (любой цвет по RAL)</t>
        </is>
      </c>
      <c r="C94" s="9" t="inlineStr">
        <is>
          <t>шт.</t>
        </is>
      </c>
      <c r="D94" s="4">
        <f>IF('Форма'!G92="","",'Форма'!G92)</f>
        <v/>
      </c>
      <c r="E94" s="9" t="inlineStr">
        <is>
          <t>аналог (12.7.N5)</t>
        </is>
      </c>
      <c r="F94" s="9" t="inlineStr">
        <is>
          <t>DVR</t>
        </is>
      </c>
      <c r="G94" s="10" t="n">
        <v>570</v>
      </c>
      <c r="H94" s="10" t="n">
        <v>285</v>
      </c>
      <c r="I94" s="10" t="n">
        <v>0.3</v>
      </c>
      <c r="J94" s="9" t="inlineStr"/>
      <c r="K94" s="7">
        <f>IF(F94="",0,IFERROR(VLOOKUP(F94,Расходники!$A$4:$B$23,2,FALSE),0))</f>
        <v/>
      </c>
      <c r="L94" s="4">
        <f>H94*D94</f>
        <v/>
      </c>
      <c r="M94" s="4">
        <f>L94*K94</f>
        <v/>
      </c>
      <c r="N94" s="4">
        <f>SUMIF(Материалы!$A$4:$A$800,SUBSTITUTE(SUBSTITUTE(SUBSTITUTE(B94,"~","~~"),"*","~*"),"?","~?"),Материалы!$S$4:$S$800)</f>
        <v/>
      </c>
      <c r="O94" s="4">
        <f>L94+M94+N94</f>
        <v/>
      </c>
      <c r="P94" s="4">
        <f>IF(SUM($O$4:$O$672)=0,0,Косвенные!$C$9*O94/SUM($O$4:$O$672))</f>
        <v/>
      </c>
      <c r="Q94" s="4">
        <f>G94*D94+P94</f>
        <v/>
      </c>
      <c r="R94" s="4">
        <f>IF(D94=0,0,Q94/D94)</f>
        <v/>
      </c>
      <c r="S94" s="4">
        <f>IF(D94=0,0,SUMIF(Материалы!$A$4:$A$800,SUBSTITUTE(SUBSTITUTE(SUBSTITUTE(B94,"~","~~"),"*","~*"),"?","~?"),Материалы!$T$4:$T$800)/D94)</f>
        <v/>
      </c>
      <c r="T94" s="4">
        <f>R94+S94</f>
        <v/>
      </c>
      <c r="U94" s="4">
        <f>I94*D94</f>
        <v/>
      </c>
    </row>
    <row r="95" ht="22" customHeight="1">
      <c r="A95" s="9" t="inlineStr">
        <is>
          <t>10.3.19</t>
        </is>
      </c>
      <c r="B95" s="13" t="inlineStr">
        <is>
          <t>93. Концевой выключатель кнопочного типа "Elfin limit switch 050f02"</t>
        </is>
      </c>
      <c r="C95" s="9" t="inlineStr">
        <is>
          <t>шт.</t>
        </is>
      </c>
      <c r="D95" s="4">
        <f>IF('Форма'!G93="","",'Форма'!G93)</f>
        <v/>
      </c>
      <c r="E95" s="9" t="inlineStr">
        <is>
          <t>аналог (10.3.19)</t>
        </is>
      </c>
      <c r="F95" s="9" t="inlineStr">
        <is>
          <t>ELM</t>
        </is>
      </c>
      <c r="G95" s="10" t="n">
        <v>544</v>
      </c>
      <c r="H95" s="10" t="n">
        <v>330</v>
      </c>
      <c r="I95" s="10" t="n">
        <v>0.4</v>
      </c>
      <c r="J95" s="9" t="inlineStr">
        <is>
          <t>да</t>
        </is>
      </c>
      <c r="K95" s="7">
        <f>IF(F95="",0,IFERROR(VLOOKUP(F95,Расходники!$A$4:$B$23,2,FALSE),0))</f>
        <v/>
      </c>
      <c r="L95" s="4">
        <f>H95*D95</f>
        <v/>
      </c>
      <c r="M95" s="4">
        <f>L95*K95</f>
        <v/>
      </c>
      <c r="N95" s="4">
        <f>SUMIF(Материалы!$A$4:$A$800,SUBSTITUTE(SUBSTITUTE(SUBSTITUTE(B95,"~","~~"),"*","~*"),"?","~?"),Материалы!$S$4:$S$800)</f>
        <v/>
      </c>
      <c r="O95" s="4">
        <f>L95+M95+N95</f>
        <v/>
      </c>
      <c r="P95" s="4">
        <f>IF(SUM($O$4:$O$672)=0,0,Косвенные!$C$9*O95/SUM($O$4:$O$672))</f>
        <v/>
      </c>
      <c r="Q95" s="4">
        <f>G95*D95+P95</f>
        <v/>
      </c>
      <c r="R95" s="4">
        <f>IF(D95=0,0,Q95/D95)</f>
        <v/>
      </c>
      <c r="S95" s="4">
        <f>IF(D95=0,0,SUMIF(Материалы!$A$4:$A$800,SUBSTITUTE(SUBSTITUTE(SUBSTITUTE(B95,"~","~~"),"*","~*"),"?","~?"),Материалы!$T$4:$T$800)/D95)</f>
        <v/>
      </c>
      <c r="T95" s="4">
        <f>R95+S95</f>
        <v/>
      </c>
      <c r="U95" s="4">
        <f>I95*D95</f>
        <v/>
      </c>
    </row>
    <row r="96" ht="22" customHeight="1">
      <c r="A96" s="9" t="inlineStr">
        <is>
          <t>12.7.4</t>
        </is>
      </c>
      <c r="B96" s="13" t="inlineStr">
        <is>
          <t>94. Петля СТН (белая) "Сатурн"</t>
        </is>
      </c>
      <c r="C96" s="9" t="inlineStr">
        <is>
          <t>шт.</t>
        </is>
      </c>
      <c r="D96" s="4">
        <f>IF('Форма'!G94="","",'Форма'!G94)</f>
        <v/>
      </c>
      <c r="E96" s="9" t="inlineStr">
        <is>
          <t>аналог (12.7.4)</t>
        </is>
      </c>
      <c r="F96" s="9" t="inlineStr">
        <is>
          <t>DVR</t>
        </is>
      </c>
      <c r="G96" s="10" t="n">
        <v>690</v>
      </c>
      <c r="H96" s="10" t="n">
        <v>428</v>
      </c>
      <c r="I96" s="10" t="n">
        <v>0.4</v>
      </c>
      <c r="J96" s="9" t="inlineStr"/>
      <c r="K96" s="7">
        <f>IF(F96="",0,IFERROR(VLOOKUP(F96,Расходники!$A$4:$B$23,2,FALSE),0))</f>
        <v/>
      </c>
      <c r="L96" s="4">
        <f>H96*D96</f>
        <v/>
      </c>
      <c r="M96" s="4">
        <f>L96*K96</f>
        <v/>
      </c>
      <c r="N96" s="4">
        <f>SUMIF(Материалы!$A$4:$A$800,SUBSTITUTE(SUBSTITUTE(SUBSTITUTE(B96,"~","~~"),"*","~*"),"?","~?"),Материалы!$S$4:$S$800)</f>
        <v/>
      </c>
      <c r="O96" s="4">
        <f>L96+M96+N96</f>
        <v/>
      </c>
      <c r="P96" s="4">
        <f>IF(SUM($O$4:$O$672)=0,0,Косвенные!$C$9*O96/SUM($O$4:$O$672))</f>
        <v/>
      </c>
      <c r="Q96" s="4">
        <f>G96*D96+P96</f>
        <v/>
      </c>
      <c r="R96" s="4">
        <f>IF(D96=0,0,Q96/D96)</f>
        <v/>
      </c>
      <c r="S96" s="4">
        <f>IF(D96=0,0,SUMIF(Материалы!$A$4:$A$800,SUBSTITUTE(SUBSTITUTE(SUBSTITUTE(B96,"~","~~"),"*","~*"),"?","~?"),Материалы!$T$4:$T$800)/D96)</f>
        <v/>
      </c>
      <c r="T96" s="4">
        <f>R96+S96</f>
        <v/>
      </c>
      <c r="U96" s="4">
        <f>I96*D96</f>
        <v/>
      </c>
    </row>
    <row r="97" ht="22" customHeight="1">
      <c r="A97" s="9" t="inlineStr">
        <is>
          <t>12.7.4</t>
        </is>
      </c>
      <c r="B97" s="13" t="inlineStr">
        <is>
          <t>95. Петля дверная трёхсекционная с крепежом</t>
        </is>
      </c>
      <c r="C97" s="9" t="inlineStr">
        <is>
          <t>шт.</t>
        </is>
      </c>
      <c r="D97" s="4">
        <f>IF('Форма'!G95="","",'Форма'!G95)</f>
        <v/>
      </c>
      <c r="E97" s="9" t="inlineStr">
        <is>
          <t>аналог (12.7.4)</t>
        </is>
      </c>
      <c r="F97" s="9" t="inlineStr">
        <is>
          <t>DVR</t>
        </is>
      </c>
      <c r="G97" s="10" t="n">
        <v>690</v>
      </c>
      <c r="H97" s="10" t="n">
        <v>428</v>
      </c>
      <c r="I97" s="10" t="n">
        <v>0.4</v>
      </c>
      <c r="J97" s="9" t="inlineStr"/>
      <c r="K97" s="7">
        <f>IF(F97="",0,IFERROR(VLOOKUP(F97,Расходники!$A$4:$B$23,2,FALSE),0))</f>
        <v/>
      </c>
      <c r="L97" s="4">
        <f>H97*D97</f>
        <v/>
      </c>
      <c r="M97" s="4">
        <f>L97*K97</f>
        <v/>
      </c>
      <c r="N97" s="4">
        <f>SUMIF(Материалы!$A$4:$A$800,SUBSTITUTE(SUBSTITUTE(SUBSTITUTE(B97,"~","~~"),"*","~*"),"?","~?"),Материалы!$S$4:$S$800)</f>
        <v/>
      </c>
      <c r="O97" s="4">
        <f>L97+M97+N97</f>
        <v/>
      </c>
      <c r="P97" s="4">
        <f>IF(SUM($O$4:$O$672)=0,0,Косвенные!$C$9*O97/SUM($O$4:$O$672))</f>
        <v/>
      </c>
      <c r="Q97" s="4">
        <f>G97*D97+P97</f>
        <v/>
      </c>
      <c r="R97" s="4">
        <f>IF(D97=0,0,Q97/D97)</f>
        <v/>
      </c>
      <c r="S97" s="4">
        <f>IF(D97=0,0,SUMIF(Материалы!$A$4:$A$800,SUBSTITUTE(SUBSTITUTE(SUBSTITUTE(B97,"~","~~"),"*","~*"),"?","~?"),Материалы!$T$4:$T$800)/D97)</f>
        <v/>
      </c>
      <c r="T97" s="4">
        <f>R97+S97</f>
        <v/>
      </c>
      <c r="U97" s="4">
        <f>I97*D97</f>
        <v/>
      </c>
    </row>
    <row r="98" ht="22" customHeight="1">
      <c r="A98" s="9" t="inlineStr">
        <is>
          <t>12.7.4</t>
        </is>
      </c>
      <c r="B98" s="13" t="inlineStr">
        <is>
          <t>96. Петля типа FT 65</t>
        </is>
      </c>
      <c r="C98" s="9" t="inlineStr">
        <is>
          <t>шт.</t>
        </is>
      </c>
      <c r="D98" s="4">
        <f>IF('Форма'!G96="","",'Форма'!G96)</f>
        <v/>
      </c>
      <c r="E98" s="9" t="inlineStr">
        <is>
          <t>аналог (12.7.4)</t>
        </is>
      </c>
      <c r="F98" s="9" t="inlineStr">
        <is>
          <t>DVR</t>
        </is>
      </c>
      <c r="G98" s="10" t="n">
        <v>690</v>
      </c>
      <c r="H98" s="10" t="n">
        <v>428</v>
      </c>
      <c r="I98" s="10" t="n">
        <v>0.4</v>
      </c>
      <c r="J98" s="9" t="inlineStr"/>
      <c r="K98" s="7">
        <f>IF(F98="",0,IFERROR(VLOOKUP(F98,Расходники!$A$4:$B$23,2,FALSE),0))</f>
        <v/>
      </c>
      <c r="L98" s="4">
        <f>H98*D98</f>
        <v/>
      </c>
      <c r="M98" s="4">
        <f>L98*K98</f>
        <v/>
      </c>
      <c r="N98" s="4">
        <f>SUMIF(Материалы!$A$4:$A$800,SUBSTITUTE(SUBSTITUTE(SUBSTITUTE(B98,"~","~~"),"*","~*"),"?","~?"),Материалы!$S$4:$S$800)</f>
        <v/>
      </c>
      <c r="O98" s="4">
        <f>L98+M98+N98</f>
        <v/>
      </c>
      <c r="P98" s="4">
        <f>IF(SUM($O$4:$O$672)=0,0,Косвенные!$C$9*O98/SUM($O$4:$O$672))</f>
        <v/>
      </c>
      <c r="Q98" s="4">
        <f>G98*D98+P98</f>
        <v/>
      </c>
      <c r="R98" s="4">
        <f>IF(D98=0,0,Q98/D98)</f>
        <v/>
      </c>
      <c r="S98" s="4">
        <f>IF(D98=0,0,SUMIF(Материалы!$A$4:$A$800,SUBSTITUTE(SUBSTITUTE(SUBSTITUTE(B98,"~","~~"),"*","~*"),"?","~?"),Материалы!$T$4:$T$800)/D98)</f>
        <v/>
      </c>
      <c r="T98" s="4">
        <f>R98+S98</f>
        <v/>
      </c>
      <c r="U98" s="4">
        <f>I98*D98</f>
        <v/>
      </c>
    </row>
    <row r="99" ht="22" customHeight="1">
      <c r="A99" s="9" t="inlineStr">
        <is>
          <t>12.7.4</t>
        </is>
      </c>
      <c r="B99" s="13" t="inlineStr">
        <is>
          <t>97. Петля карточная типа Amig-1007-100*70 (латунь) универс.</t>
        </is>
      </c>
      <c r="C99" s="9" t="inlineStr">
        <is>
          <t>шт.</t>
        </is>
      </c>
      <c r="D99" s="4">
        <f>IF('Форма'!G97="","",'Форма'!G97)</f>
        <v/>
      </c>
      <c r="E99" s="9" t="inlineStr">
        <is>
          <t>аналог (12.7.4)</t>
        </is>
      </c>
      <c r="F99" s="9" t="inlineStr">
        <is>
          <t>DVR</t>
        </is>
      </c>
      <c r="G99" s="10" t="n">
        <v>690</v>
      </c>
      <c r="H99" s="10" t="n">
        <v>428</v>
      </c>
      <c r="I99" s="10" t="n">
        <v>0.4</v>
      </c>
      <c r="J99" s="9" t="inlineStr"/>
      <c r="K99" s="7">
        <f>IF(F99="",0,IFERROR(VLOOKUP(F99,Расходники!$A$4:$B$23,2,FALSE),0))</f>
        <v/>
      </c>
      <c r="L99" s="4">
        <f>H99*D99</f>
        <v/>
      </c>
      <c r="M99" s="4">
        <f>L99*K99</f>
        <v/>
      </c>
      <c r="N99" s="4">
        <f>SUMIF(Материалы!$A$4:$A$800,SUBSTITUTE(SUBSTITUTE(SUBSTITUTE(B99,"~","~~"),"*","~*"),"?","~?"),Материалы!$S$4:$S$800)</f>
        <v/>
      </c>
      <c r="O99" s="4">
        <f>L99+M99+N99</f>
        <v/>
      </c>
      <c r="P99" s="4">
        <f>IF(SUM($O$4:$O$672)=0,0,Косвенные!$C$9*O99/SUM($O$4:$O$672))</f>
        <v/>
      </c>
      <c r="Q99" s="4">
        <f>G99*D99+P99</f>
        <v/>
      </c>
      <c r="R99" s="4">
        <f>IF(D99=0,0,Q99/D99)</f>
        <v/>
      </c>
      <c r="S99" s="4">
        <f>IF(D99=0,0,SUMIF(Материалы!$A$4:$A$800,SUBSTITUTE(SUBSTITUTE(SUBSTITUTE(B99,"~","~~"),"*","~*"),"?","~?"),Материалы!$T$4:$T$800)/D99)</f>
        <v/>
      </c>
      <c r="T99" s="4">
        <f>R99+S99</f>
        <v/>
      </c>
      <c r="U99" s="4">
        <f>I99*D99</f>
        <v/>
      </c>
    </row>
    <row r="100" ht="22" customHeight="1">
      <c r="A100" s="9" t="inlineStr">
        <is>
          <t>12.7.4</t>
        </is>
      </c>
      <c r="B100" s="13" t="inlineStr">
        <is>
          <t>98. Петля карточная типа Apecs 120*80-F-B4-Steel-CR(хром)</t>
        </is>
      </c>
      <c r="C100" s="9" t="inlineStr">
        <is>
          <t>шт.</t>
        </is>
      </c>
      <c r="D100" s="4">
        <f>IF('Форма'!G98="","",'Форма'!G98)</f>
        <v/>
      </c>
      <c r="E100" s="9" t="inlineStr">
        <is>
          <t>аналог (12.7.4)</t>
        </is>
      </c>
      <c r="F100" s="9" t="inlineStr">
        <is>
          <t>DVR</t>
        </is>
      </c>
      <c r="G100" s="10" t="n">
        <v>690</v>
      </c>
      <c r="H100" s="10" t="n">
        <v>428</v>
      </c>
      <c r="I100" s="10" t="n">
        <v>0.4</v>
      </c>
      <c r="J100" s="9" t="inlineStr"/>
      <c r="K100" s="7">
        <f>IF(F100="",0,IFERROR(VLOOKUP(F100,Расходники!$A$4:$B$23,2,FALSE),0))</f>
        <v/>
      </c>
      <c r="L100" s="4">
        <f>H100*D100</f>
        <v/>
      </c>
      <c r="M100" s="4">
        <f>L100*K100</f>
        <v/>
      </c>
      <c r="N100" s="4">
        <f>SUMIF(Материалы!$A$4:$A$800,SUBSTITUTE(SUBSTITUTE(SUBSTITUTE(B100,"~","~~"),"*","~*"),"?","~?"),Материалы!$S$4:$S$800)</f>
        <v/>
      </c>
      <c r="O100" s="4">
        <f>L100+M100+N100</f>
        <v/>
      </c>
      <c r="P100" s="4">
        <f>IF(SUM($O$4:$O$672)=0,0,Косвенные!$C$9*O100/SUM($O$4:$O$672))</f>
        <v/>
      </c>
      <c r="Q100" s="4">
        <f>G100*D100+P100</f>
        <v/>
      </c>
      <c r="R100" s="4">
        <f>IF(D100=0,0,Q100/D100)</f>
        <v/>
      </c>
      <c r="S100" s="4">
        <f>IF(D100=0,0,SUMIF(Материалы!$A$4:$A$800,SUBSTITUTE(SUBSTITUTE(SUBSTITUTE(B100,"~","~~"),"*","~*"),"?","~?"),Материалы!$T$4:$T$800)/D100)</f>
        <v/>
      </c>
      <c r="T100" s="4">
        <f>R100+S100</f>
        <v/>
      </c>
      <c r="U100" s="4">
        <f>I100*D100</f>
        <v/>
      </c>
    </row>
    <row r="101" ht="22" customHeight="1">
      <c r="A101" s="9" t="inlineStr">
        <is>
          <t>12.7.4</t>
        </is>
      </c>
      <c r="B101" s="13" t="inlineStr">
        <is>
          <t>99. Петля под навесной замок</t>
        </is>
      </c>
      <c r="C101" s="9" t="inlineStr">
        <is>
          <t>шт.</t>
        </is>
      </c>
      <c r="D101" s="4">
        <f>IF('Форма'!G99="","",'Форма'!G99)</f>
        <v/>
      </c>
      <c r="E101" s="9" t="inlineStr">
        <is>
          <t>аналог (12.7.4)</t>
        </is>
      </c>
      <c r="F101" s="9" t="inlineStr">
        <is>
          <t>DVR</t>
        </is>
      </c>
      <c r="G101" s="10" t="n">
        <v>690</v>
      </c>
      <c r="H101" s="10" t="n">
        <v>428</v>
      </c>
      <c r="I101" s="10" t="n">
        <v>0.4</v>
      </c>
      <c r="J101" s="9" t="inlineStr"/>
      <c r="K101" s="7">
        <f>IF(F101="",0,IFERROR(VLOOKUP(F101,Расходники!$A$4:$B$23,2,FALSE),0))</f>
        <v/>
      </c>
      <c r="L101" s="4">
        <f>H101*D101</f>
        <v/>
      </c>
      <c r="M101" s="4">
        <f>L101*K101</f>
        <v/>
      </c>
      <c r="N101" s="4">
        <f>SUMIF(Материалы!$A$4:$A$800,SUBSTITUTE(SUBSTITUTE(SUBSTITUTE(B101,"~","~~"),"*","~*"),"?","~?"),Материалы!$S$4:$S$800)</f>
        <v/>
      </c>
      <c r="O101" s="4">
        <f>L101+M101+N101</f>
        <v/>
      </c>
      <c r="P101" s="4">
        <f>IF(SUM($O$4:$O$672)=0,0,Косвенные!$C$9*O101/SUM($O$4:$O$672))</f>
        <v/>
      </c>
      <c r="Q101" s="4">
        <f>G101*D101+P101</f>
        <v/>
      </c>
      <c r="R101" s="4">
        <f>IF(D101=0,0,Q101/D101)</f>
        <v/>
      </c>
      <c r="S101" s="4">
        <f>IF(D101=0,0,SUMIF(Материалы!$A$4:$A$800,SUBSTITUTE(SUBSTITUTE(SUBSTITUTE(B101,"~","~~"),"*","~*"),"?","~?"),Материалы!$T$4:$T$800)/D101)</f>
        <v/>
      </c>
      <c r="T101" s="4">
        <f>R101+S101</f>
        <v/>
      </c>
      <c r="U101" s="4">
        <f>I101*D101</f>
        <v/>
      </c>
    </row>
    <row r="102" ht="22" customHeight="1">
      <c r="A102" s="9" t="inlineStr">
        <is>
          <t>12.7.4</t>
        </is>
      </c>
      <c r="B102" s="13" t="inlineStr">
        <is>
          <t>100. Металлическая петля под металоконструкцию d16</t>
        </is>
      </c>
      <c r="C102" s="9" t="inlineStr">
        <is>
          <t>шт.</t>
        </is>
      </c>
      <c r="D102" s="4">
        <f>IF('Форма'!G100="","",'Форма'!G100)</f>
        <v/>
      </c>
      <c r="E102" s="9" t="inlineStr">
        <is>
          <t>аналог (12.7.4)</t>
        </is>
      </c>
      <c r="F102" s="9" t="inlineStr">
        <is>
          <t>DVR</t>
        </is>
      </c>
      <c r="G102" s="10" t="n">
        <v>690</v>
      </c>
      <c r="H102" s="10" t="n">
        <v>428</v>
      </c>
      <c r="I102" s="10" t="n">
        <v>0.4</v>
      </c>
      <c r="J102" s="9" t="inlineStr"/>
      <c r="K102" s="7">
        <f>IF(F102="",0,IFERROR(VLOOKUP(F102,Расходники!$A$4:$B$23,2,FALSE),0))</f>
        <v/>
      </c>
      <c r="L102" s="4">
        <f>H102*D102</f>
        <v/>
      </c>
      <c r="M102" s="4">
        <f>L102*K102</f>
        <v/>
      </c>
      <c r="N102" s="4">
        <f>SUMIF(Материалы!$A$4:$A$800,SUBSTITUTE(SUBSTITUTE(SUBSTITUTE(B102,"~","~~"),"*","~*"),"?","~?"),Материалы!$S$4:$S$800)</f>
        <v/>
      </c>
      <c r="O102" s="4">
        <f>L102+M102+N102</f>
        <v/>
      </c>
      <c r="P102" s="4">
        <f>IF(SUM($O$4:$O$672)=0,0,Косвенные!$C$9*O102/SUM($O$4:$O$672))</f>
        <v/>
      </c>
      <c r="Q102" s="4">
        <f>G102*D102+P102</f>
        <v/>
      </c>
      <c r="R102" s="4">
        <f>IF(D102=0,0,Q102/D102)</f>
        <v/>
      </c>
      <c r="S102" s="4">
        <f>IF(D102=0,0,SUMIF(Материалы!$A$4:$A$800,SUBSTITUTE(SUBSTITUTE(SUBSTITUTE(B102,"~","~~"),"*","~*"),"?","~?"),Материалы!$T$4:$T$800)/D102)</f>
        <v/>
      </c>
      <c r="T102" s="4">
        <f>R102+S102</f>
        <v/>
      </c>
      <c r="U102" s="4">
        <f>I102*D102</f>
        <v/>
      </c>
    </row>
    <row r="103" ht="22" customHeight="1">
      <c r="A103" s="9" t="inlineStr"/>
      <c r="B103" s="13" t="inlineStr">
        <is>
          <t>101. Дверь глухая пластиковая "Капелли", 900х2000, белая, комплект наличников и доборов на две стороны</t>
        </is>
      </c>
      <c r="C103" s="9" t="inlineStr">
        <is>
          <t>шт.</t>
        </is>
      </c>
      <c r="D103" s="4">
        <f>IF('Форма'!G101="","",'Форма'!G101)</f>
        <v/>
      </c>
      <c r="E103" s="9" t="inlineStr">
        <is>
          <t>нет в тарификаторе</t>
        </is>
      </c>
      <c r="F103" s="9" t="inlineStr">
        <is>
          <t>DVR</t>
        </is>
      </c>
      <c r="G103" s="10" t="n">
        <v>3800</v>
      </c>
      <c r="H103" s="10" t="n">
        <v>1900</v>
      </c>
      <c r="I103" s="10" t="n">
        <v>2</v>
      </c>
      <c r="J103" s="9" t="inlineStr"/>
      <c r="K103" s="7">
        <f>IF(F103="",0,IFERROR(VLOOKUP(F103,Расходники!$A$4:$B$23,2,FALSE),0))</f>
        <v/>
      </c>
      <c r="L103" s="4">
        <f>H103*D103</f>
        <v/>
      </c>
      <c r="M103" s="4">
        <f>L103*K103</f>
        <v/>
      </c>
      <c r="N103" s="4">
        <f>SUMIF(Материалы!$A$4:$A$800,SUBSTITUTE(SUBSTITUTE(SUBSTITUTE(B103,"~","~~"),"*","~*"),"?","~?"),Материалы!$S$4:$S$800)</f>
        <v/>
      </c>
      <c r="O103" s="4">
        <f>L103+M103+N103</f>
        <v/>
      </c>
      <c r="P103" s="4">
        <f>IF(SUM($O$4:$O$672)=0,0,Косвенные!$C$9*O103/SUM($O$4:$O$672))</f>
        <v/>
      </c>
      <c r="Q103" s="4">
        <f>G103*D103+P103</f>
        <v/>
      </c>
      <c r="R103" s="4">
        <f>IF(D103=0,0,Q103/D103)</f>
        <v/>
      </c>
      <c r="S103" s="4">
        <f>IF(D103=0,0,SUMIF(Материалы!$A$4:$A$800,SUBSTITUTE(SUBSTITUTE(SUBSTITUTE(B103,"~","~~"),"*","~*"),"?","~?"),Материалы!$T$4:$T$800)/D103)</f>
        <v/>
      </c>
      <c r="T103" s="4">
        <f>R103+S103</f>
        <v/>
      </c>
      <c r="U103" s="4">
        <f>I103*D103</f>
        <v/>
      </c>
    </row>
    <row r="104" ht="22" customHeight="1">
      <c r="A104" s="9" t="inlineStr"/>
      <c r="B104" s="13" t="inlineStr">
        <is>
          <t>102. Дверей металлопластиковая одностворчатая глухая 900х2000, комплект наличников и доборов на две стороны</t>
        </is>
      </c>
      <c r="C104" s="9" t="inlineStr">
        <is>
          <t>шт.</t>
        </is>
      </c>
      <c r="D104" s="4">
        <f>IF('Форма'!G102="","",'Форма'!G102)</f>
        <v/>
      </c>
      <c r="E104" s="9" t="inlineStr">
        <is>
          <t>нет в тарификаторе</t>
        </is>
      </c>
      <c r="F104" s="9" t="inlineStr">
        <is>
          <t>SAN</t>
        </is>
      </c>
      <c r="G104" s="10" t="n">
        <v>731.5</v>
      </c>
      <c r="H104" s="10" t="n">
        <v>357</v>
      </c>
      <c r="I104" s="10" t="n">
        <v>0.35</v>
      </c>
      <c r="J104" s="9" t="inlineStr"/>
      <c r="K104" s="7">
        <f>IF(F104="",0,IFERROR(VLOOKUP(F104,Расходники!$A$4:$B$23,2,FALSE),0))</f>
        <v/>
      </c>
      <c r="L104" s="4">
        <f>H104*D104</f>
        <v/>
      </c>
      <c r="M104" s="4">
        <f>L104*K104</f>
        <v/>
      </c>
      <c r="N104" s="4">
        <f>SUMIF(Материалы!$A$4:$A$800,SUBSTITUTE(SUBSTITUTE(SUBSTITUTE(B104,"~","~~"),"*","~*"),"?","~?"),Материалы!$S$4:$S$800)</f>
        <v/>
      </c>
      <c r="O104" s="4">
        <f>L104+M104+N104</f>
        <v/>
      </c>
      <c r="P104" s="4">
        <f>IF(SUM($O$4:$O$672)=0,0,Косвенные!$C$9*O104/SUM($O$4:$O$672))</f>
        <v/>
      </c>
      <c r="Q104" s="4">
        <f>G104*D104+P104</f>
        <v/>
      </c>
      <c r="R104" s="4">
        <f>IF(D104=0,0,Q104/D104)</f>
        <v/>
      </c>
      <c r="S104" s="4">
        <f>IF(D104=0,0,SUMIF(Материалы!$A$4:$A$800,SUBSTITUTE(SUBSTITUTE(SUBSTITUTE(B104,"~","~~"),"*","~*"),"?","~?"),Материалы!$T$4:$T$800)/D104)</f>
        <v/>
      </c>
      <c r="T104" s="4">
        <f>R104+S104</f>
        <v/>
      </c>
      <c r="U104" s="4">
        <f>I104*D104</f>
        <v/>
      </c>
    </row>
    <row r="105" ht="22" customHeight="1">
      <c r="A105" s="9" t="inlineStr"/>
      <c r="B105" s="13" t="inlineStr">
        <is>
          <t>103. Двери однопольные деревянные гладкие (типа Alavus, mod 200) размер полотна:  725х2040 мм Цвет  -  белый,  RAL-9016.  9010 Дверные стопоры (ограничители)- настенные.</t>
        </is>
      </c>
      <c r="C105" s="9" t="inlineStr">
        <is>
          <t>шт.</t>
        </is>
      </c>
      <c r="D105" s="4">
        <f>IF('Форма'!G103="","",'Форма'!G103)</f>
        <v/>
      </c>
      <c r="E105" s="9" t="inlineStr">
        <is>
          <t>аналог (12.7)</t>
        </is>
      </c>
      <c r="F105" s="9" t="inlineStr">
        <is>
          <t>DVR</t>
        </is>
      </c>
      <c r="G105" s="10" t="n">
        <v>3040</v>
      </c>
      <c r="H105" s="10" t="n">
        <v>1520</v>
      </c>
      <c r="I105" s="10" t="n">
        <v>1.6</v>
      </c>
      <c r="J105" s="9" t="inlineStr"/>
      <c r="K105" s="7">
        <f>IF(F105="",0,IFERROR(VLOOKUP(F105,Расходники!$A$4:$B$23,2,FALSE),0))</f>
        <v/>
      </c>
      <c r="L105" s="4">
        <f>H105*D105</f>
        <v/>
      </c>
      <c r="M105" s="4">
        <f>L105*K105</f>
        <v/>
      </c>
      <c r="N105" s="4">
        <f>SUMIF(Материалы!$A$4:$A$800,SUBSTITUTE(SUBSTITUTE(SUBSTITUTE(B105,"~","~~"),"*","~*"),"?","~?"),Материалы!$S$4:$S$800)</f>
        <v/>
      </c>
      <c r="O105" s="4">
        <f>L105+M105+N105</f>
        <v/>
      </c>
      <c r="P105" s="4">
        <f>IF(SUM($O$4:$O$672)=0,0,Косвенные!$C$9*O105/SUM($O$4:$O$672))</f>
        <v/>
      </c>
      <c r="Q105" s="4">
        <f>G105*D105+P105</f>
        <v/>
      </c>
      <c r="R105" s="4">
        <f>IF(D105=0,0,Q105/D105)</f>
        <v/>
      </c>
      <c r="S105" s="4">
        <f>IF(D105=0,0,SUMIF(Материалы!$A$4:$A$800,SUBSTITUTE(SUBSTITUTE(SUBSTITUTE(B105,"~","~~"),"*","~*"),"?","~?"),Материалы!$T$4:$T$800)/D105)</f>
        <v/>
      </c>
      <c r="T105" s="4">
        <f>R105+S105</f>
        <v/>
      </c>
      <c r="U105" s="4">
        <f>I105*D105</f>
        <v/>
      </c>
    </row>
    <row r="106" ht="22" customHeight="1">
      <c r="A106" s="9" t="inlineStr"/>
      <c r="B106" s="13" t="inlineStr">
        <is>
          <t>104. Двери однопольные деревянные гладкие (типа Alavus, mod 200) размер полотна:  825х2040 мм Цвет  -  белый,  RAL-9016.  9010 Дверные стопоры (ограничители)- настенные.</t>
        </is>
      </c>
      <c r="C106" s="9" t="inlineStr">
        <is>
          <t>шт.</t>
        </is>
      </c>
      <c r="D106" s="4">
        <f>IF('Форма'!G104="","",'Форма'!G104)</f>
        <v/>
      </c>
      <c r="E106" s="9" t="inlineStr">
        <is>
          <t>аналог (12.7)</t>
        </is>
      </c>
      <c r="F106" s="9" t="inlineStr">
        <is>
          <t>DVR</t>
        </is>
      </c>
      <c r="G106" s="10" t="n">
        <v>3040</v>
      </c>
      <c r="H106" s="10" t="n">
        <v>1520</v>
      </c>
      <c r="I106" s="10" t="n">
        <v>1.6</v>
      </c>
      <c r="J106" s="9" t="inlineStr"/>
      <c r="K106" s="7">
        <f>IF(F106="",0,IFERROR(VLOOKUP(F106,Расходники!$A$4:$B$23,2,FALSE),0))</f>
        <v/>
      </c>
      <c r="L106" s="4">
        <f>H106*D106</f>
        <v/>
      </c>
      <c r="M106" s="4">
        <f>L106*K106</f>
        <v/>
      </c>
      <c r="N106" s="4">
        <f>SUMIF(Материалы!$A$4:$A$800,SUBSTITUTE(SUBSTITUTE(SUBSTITUTE(B106,"~","~~"),"*","~*"),"?","~?"),Материалы!$S$4:$S$800)</f>
        <v/>
      </c>
      <c r="O106" s="4">
        <f>L106+M106+N106</f>
        <v/>
      </c>
      <c r="P106" s="4">
        <f>IF(SUM($O$4:$O$672)=0,0,Косвенные!$C$9*O106/SUM($O$4:$O$672))</f>
        <v/>
      </c>
      <c r="Q106" s="4">
        <f>G106*D106+P106</f>
        <v/>
      </c>
      <c r="R106" s="4">
        <f>IF(D106=0,0,Q106/D106)</f>
        <v/>
      </c>
      <c r="S106" s="4">
        <f>IF(D106=0,0,SUMIF(Материалы!$A$4:$A$800,SUBSTITUTE(SUBSTITUTE(SUBSTITUTE(B106,"~","~~"),"*","~*"),"?","~?"),Материалы!$T$4:$T$800)/D106)</f>
        <v/>
      </c>
      <c r="T106" s="4">
        <f>R106+S106</f>
        <v/>
      </c>
      <c r="U106" s="4">
        <f>I106*D106</f>
        <v/>
      </c>
    </row>
    <row r="107" ht="22" customHeight="1">
      <c r="A107" s="9" t="inlineStr"/>
      <c r="B107" s="13" t="inlineStr">
        <is>
          <t>105. Двери однопольные деревянные гладкие (типа Alavus, mod 200) размер полотна:  925х2040 мм Цвет  -  белый,  RAL-9016.  9010 Дверные стопоры (ограничители)- настенные.</t>
        </is>
      </c>
      <c r="C107" s="9" t="inlineStr">
        <is>
          <t>шт.</t>
        </is>
      </c>
      <c r="D107" s="4">
        <f>IF('Форма'!G105="","",'Форма'!G105)</f>
        <v/>
      </c>
      <c r="E107" s="9" t="inlineStr">
        <is>
          <t>аналог (12.7)</t>
        </is>
      </c>
      <c r="F107" s="9" t="inlineStr">
        <is>
          <t>DVR</t>
        </is>
      </c>
      <c r="G107" s="10" t="n">
        <v>3040</v>
      </c>
      <c r="H107" s="10" t="n">
        <v>1520</v>
      </c>
      <c r="I107" s="10" t="n">
        <v>1.6</v>
      </c>
      <c r="J107" s="9" t="inlineStr"/>
      <c r="K107" s="7">
        <f>IF(F107="",0,IFERROR(VLOOKUP(F107,Расходники!$A$4:$B$23,2,FALSE),0))</f>
        <v/>
      </c>
      <c r="L107" s="4">
        <f>H107*D107</f>
        <v/>
      </c>
      <c r="M107" s="4">
        <f>L107*K107</f>
        <v/>
      </c>
      <c r="N107" s="4">
        <f>SUMIF(Материалы!$A$4:$A$800,SUBSTITUTE(SUBSTITUTE(SUBSTITUTE(B107,"~","~~"),"*","~*"),"?","~?"),Материалы!$S$4:$S$800)</f>
        <v/>
      </c>
      <c r="O107" s="4">
        <f>L107+M107+N107</f>
        <v/>
      </c>
      <c r="P107" s="4">
        <f>IF(SUM($O$4:$O$672)=0,0,Косвенные!$C$9*O107/SUM($O$4:$O$672))</f>
        <v/>
      </c>
      <c r="Q107" s="4">
        <f>G107*D107+P107</f>
        <v/>
      </c>
      <c r="R107" s="4">
        <f>IF(D107=0,0,Q107/D107)</f>
        <v/>
      </c>
      <c r="S107" s="4">
        <f>IF(D107=0,0,SUMIF(Материалы!$A$4:$A$800,SUBSTITUTE(SUBSTITUTE(SUBSTITUTE(B107,"~","~~"),"*","~*"),"?","~?"),Материалы!$T$4:$T$800)/D107)</f>
        <v/>
      </c>
      <c r="T107" s="4">
        <f>R107+S107</f>
        <v/>
      </c>
      <c r="U107" s="4">
        <f>I107*D107</f>
        <v/>
      </c>
    </row>
    <row r="108" ht="22" customHeight="1">
      <c r="A108" s="9" t="inlineStr"/>
      <c r="B108" s="13" t="inlineStr">
        <is>
          <t>106. Двери однопольные деревянные гладкие (типа Alavus, mod 200) размер полотна:  1025х2040 мм Цвет  -  белый,  RAL-9016.  9010 Дверные стопоры (ограничители)- настенные.</t>
        </is>
      </c>
      <c r="C108" s="9" t="inlineStr">
        <is>
          <t>шт.</t>
        </is>
      </c>
      <c r="D108" s="4">
        <f>IF('Форма'!G106="","",'Форма'!G106)</f>
        <v/>
      </c>
      <c r="E108" s="9" t="inlineStr">
        <is>
          <t>аналог (12.7)</t>
        </is>
      </c>
      <c r="F108" s="9" t="inlineStr">
        <is>
          <t>DVR</t>
        </is>
      </c>
      <c r="G108" s="10" t="n">
        <v>3040</v>
      </c>
      <c r="H108" s="10" t="n">
        <v>1520</v>
      </c>
      <c r="I108" s="10" t="n">
        <v>1.6</v>
      </c>
      <c r="J108" s="9" t="inlineStr"/>
      <c r="K108" s="7">
        <f>IF(F108="",0,IFERROR(VLOOKUP(F108,Расходники!$A$4:$B$23,2,FALSE),0))</f>
        <v/>
      </c>
      <c r="L108" s="4">
        <f>H108*D108</f>
        <v/>
      </c>
      <c r="M108" s="4">
        <f>L108*K108</f>
        <v/>
      </c>
      <c r="N108" s="4">
        <f>SUMIF(Материалы!$A$4:$A$800,SUBSTITUTE(SUBSTITUTE(SUBSTITUTE(B108,"~","~~"),"*","~*"),"?","~?"),Материалы!$S$4:$S$800)</f>
        <v/>
      </c>
      <c r="O108" s="4">
        <f>L108+M108+N108</f>
        <v/>
      </c>
      <c r="P108" s="4">
        <f>IF(SUM($O$4:$O$672)=0,0,Косвенные!$C$9*O108/SUM($O$4:$O$672))</f>
        <v/>
      </c>
      <c r="Q108" s="4">
        <f>G108*D108+P108</f>
        <v/>
      </c>
      <c r="R108" s="4">
        <f>IF(D108=0,0,Q108/D108)</f>
        <v/>
      </c>
      <c r="S108" s="4">
        <f>IF(D108=0,0,SUMIF(Материалы!$A$4:$A$800,SUBSTITUTE(SUBSTITUTE(SUBSTITUTE(B108,"~","~~"),"*","~*"),"?","~?"),Материалы!$T$4:$T$800)/D108)</f>
        <v/>
      </c>
      <c r="T108" s="4">
        <f>R108+S108</f>
        <v/>
      </c>
      <c r="U108" s="4">
        <f>I108*D108</f>
        <v/>
      </c>
    </row>
    <row r="109" ht="22" customHeight="1">
      <c r="A109" s="9" t="inlineStr">
        <is>
          <t>12.3.26</t>
        </is>
      </c>
      <c r="B109" s="13" t="inlineStr">
        <is>
          <t>107. Дверь металлическая  противопожарная, изолированная минераловатой (типа Гефест 01) Размер  прохода: 700 х2100мм. Огнестойкость REI-60 (60 мин). Цвет – серый, RAL–7038.Производ</t>
        </is>
      </c>
      <c r="C109" s="9" t="inlineStr">
        <is>
          <t>шт.</t>
        </is>
      </c>
      <c r="D109" s="4">
        <f>IF('Форма'!G107="","",'Форма'!G107)</f>
        <v/>
      </c>
      <c r="E109" s="9" t="inlineStr">
        <is>
          <t>точно</t>
        </is>
      </c>
      <c r="F109" s="9" t="inlineStr">
        <is>
          <t>DVR</t>
        </is>
      </c>
      <c r="G109" s="10" t="n">
        <v>10925</v>
      </c>
      <c r="H109" s="10" t="n">
        <v>6774</v>
      </c>
      <c r="I109" s="10" t="n">
        <v>5</v>
      </c>
      <c r="J109" s="9" t="inlineStr"/>
      <c r="K109" s="7">
        <f>IF(F109="",0,IFERROR(VLOOKUP(F109,Расходники!$A$4:$B$23,2,FALSE),0))</f>
        <v/>
      </c>
      <c r="L109" s="4">
        <f>H109*D109</f>
        <v/>
      </c>
      <c r="M109" s="4">
        <f>L109*K109</f>
        <v/>
      </c>
      <c r="N109" s="4">
        <f>SUMIF(Материалы!$A$4:$A$800,SUBSTITUTE(SUBSTITUTE(SUBSTITUTE(B109,"~","~~"),"*","~*"),"?","~?"),Материалы!$S$4:$S$800)</f>
        <v/>
      </c>
      <c r="O109" s="4">
        <f>L109+M109+N109</f>
        <v/>
      </c>
      <c r="P109" s="4">
        <f>IF(SUM($O$4:$O$672)=0,0,Косвенные!$C$9*O109/SUM($O$4:$O$672))</f>
        <v/>
      </c>
      <c r="Q109" s="4">
        <f>G109*D109+P109</f>
        <v/>
      </c>
      <c r="R109" s="4">
        <f>IF(D109=0,0,Q109/D109)</f>
        <v/>
      </c>
      <c r="S109" s="4">
        <f>IF(D109=0,0,SUMIF(Материалы!$A$4:$A$800,SUBSTITUTE(SUBSTITUTE(SUBSTITUTE(B109,"~","~~"),"*","~*"),"?","~?"),Материалы!$T$4:$T$800)/D109)</f>
        <v/>
      </c>
      <c r="T109" s="4">
        <f>R109+S109</f>
        <v/>
      </c>
      <c r="U109" s="4">
        <f>I109*D109</f>
        <v/>
      </c>
    </row>
    <row r="110" ht="22" customHeight="1">
      <c r="A110" s="9" t="inlineStr">
        <is>
          <t>12.3.26</t>
        </is>
      </c>
      <c r="B110" s="13" t="inlineStr">
        <is>
          <t>108. Дверь металлическая  противопожарная, изолированная минераловатой (типа Гефест 01) Размер  прохода: 800 х2100мм. Огнестойкость REI-60 (60 мин). Цвет – серый, RAL–7038.Производ</t>
        </is>
      </c>
      <c r="C110" s="9" t="inlineStr">
        <is>
          <t>шт.</t>
        </is>
      </c>
      <c r="D110" s="4">
        <f>IF('Форма'!G108="","",'Форма'!G108)</f>
        <v/>
      </c>
      <c r="E110" s="9" t="inlineStr">
        <is>
          <t>точно</t>
        </is>
      </c>
      <c r="F110" s="9" t="inlineStr">
        <is>
          <t>DVR</t>
        </is>
      </c>
      <c r="G110" s="10" t="n">
        <v>10925</v>
      </c>
      <c r="H110" s="10" t="n">
        <v>6774</v>
      </c>
      <c r="I110" s="10" t="n">
        <v>5</v>
      </c>
      <c r="J110" s="9" t="inlineStr"/>
      <c r="K110" s="7">
        <f>IF(F110="",0,IFERROR(VLOOKUP(F110,Расходники!$A$4:$B$23,2,FALSE),0))</f>
        <v/>
      </c>
      <c r="L110" s="4">
        <f>H110*D110</f>
        <v/>
      </c>
      <c r="M110" s="4">
        <f>L110*K110</f>
        <v/>
      </c>
      <c r="N110" s="4">
        <f>SUMIF(Материалы!$A$4:$A$800,SUBSTITUTE(SUBSTITUTE(SUBSTITUTE(B110,"~","~~"),"*","~*"),"?","~?"),Материалы!$S$4:$S$800)</f>
        <v/>
      </c>
      <c r="O110" s="4">
        <f>L110+M110+N110</f>
        <v/>
      </c>
      <c r="P110" s="4">
        <f>IF(SUM($O$4:$O$672)=0,0,Косвенные!$C$9*O110/SUM($O$4:$O$672))</f>
        <v/>
      </c>
      <c r="Q110" s="4">
        <f>G110*D110+P110</f>
        <v/>
      </c>
      <c r="R110" s="4">
        <f>IF(D110=0,0,Q110/D110)</f>
        <v/>
      </c>
      <c r="S110" s="4">
        <f>IF(D110=0,0,SUMIF(Материалы!$A$4:$A$800,SUBSTITUTE(SUBSTITUTE(SUBSTITUTE(B110,"~","~~"),"*","~*"),"?","~?"),Материалы!$T$4:$T$800)/D110)</f>
        <v/>
      </c>
      <c r="T110" s="4">
        <f>R110+S110</f>
        <v/>
      </c>
      <c r="U110" s="4">
        <f>I110*D110</f>
        <v/>
      </c>
    </row>
    <row r="111" ht="22" customHeight="1">
      <c r="A111" s="9" t="inlineStr">
        <is>
          <t>12.3.26</t>
        </is>
      </c>
      <c r="B111" s="13" t="inlineStr">
        <is>
          <t>109. Дверь металлическая  противопожарная, изолированная минераловатой (типа Гефест 01) Размер  прохода: 900 х2100мм. Огнестойкость REI-60 (60 мин). Цвет – серый, RAL–7038.Производ</t>
        </is>
      </c>
      <c r="C111" s="9" t="inlineStr">
        <is>
          <t>шт.</t>
        </is>
      </c>
      <c r="D111" s="4">
        <f>IF('Форма'!G109="","",'Форма'!G109)</f>
        <v/>
      </c>
      <c r="E111" s="9" t="inlineStr">
        <is>
          <t>точно</t>
        </is>
      </c>
      <c r="F111" s="9" t="inlineStr">
        <is>
          <t>DVR</t>
        </is>
      </c>
      <c r="G111" s="10" t="n">
        <v>10925</v>
      </c>
      <c r="H111" s="10" t="n">
        <v>6774</v>
      </c>
      <c r="I111" s="10" t="n">
        <v>5</v>
      </c>
      <c r="J111" s="9" t="inlineStr"/>
      <c r="K111" s="7">
        <f>IF(F111="",0,IFERROR(VLOOKUP(F111,Расходники!$A$4:$B$23,2,FALSE),0))</f>
        <v/>
      </c>
      <c r="L111" s="4">
        <f>H111*D111</f>
        <v/>
      </c>
      <c r="M111" s="4">
        <f>L111*K111</f>
        <v/>
      </c>
      <c r="N111" s="4">
        <f>SUMIF(Материалы!$A$4:$A$800,SUBSTITUTE(SUBSTITUTE(SUBSTITUTE(B111,"~","~~"),"*","~*"),"?","~?"),Материалы!$S$4:$S$800)</f>
        <v/>
      </c>
      <c r="O111" s="4">
        <f>L111+M111+N111</f>
        <v/>
      </c>
      <c r="P111" s="4">
        <f>IF(SUM($O$4:$O$672)=0,0,Косвенные!$C$9*O111/SUM($O$4:$O$672))</f>
        <v/>
      </c>
      <c r="Q111" s="4">
        <f>G111*D111+P111</f>
        <v/>
      </c>
      <c r="R111" s="4">
        <f>IF(D111=0,0,Q111/D111)</f>
        <v/>
      </c>
      <c r="S111" s="4">
        <f>IF(D111=0,0,SUMIF(Материалы!$A$4:$A$800,SUBSTITUTE(SUBSTITUTE(SUBSTITUTE(B111,"~","~~"),"*","~*"),"?","~?"),Материалы!$T$4:$T$800)/D111)</f>
        <v/>
      </c>
      <c r="T111" s="4">
        <f>R111+S111</f>
        <v/>
      </c>
      <c r="U111" s="4">
        <f>I111*D111</f>
        <v/>
      </c>
    </row>
    <row r="112" ht="22" customHeight="1">
      <c r="A112" s="9" t="inlineStr">
        <is>
          <t>12.3.26</t>
        </is>
      </c>
      <c r="B112" s="13" t="inlineStr">
        <is>
          <t>110. Дверь металлическая  противопожарная, изолированная минераловатой (типа Гефест 01) Размер  прохода: 1000 х2100мм. Огнестойкость REI-60 (60 мин). Цвет – серый, RAL–7038.Произво</t>
        </is>
      </c>
      <c r="C112" s="9" t="inlineStr">
        <is>
          <t>шт.</t>
        </is>
      </c>
      <c r="D112" s="4">
        <f>IF('Форма'!G110="","",'Форма'!G110)</f>
        <v/>
      </c>
      <c r="E112" s="9" t="inlineStr">
        <is>
          <t>точно</t>
        </is>
      </c>
      <c r="F112" s="9" t="inlineStr">
        <is>
          <t>DVR</t>
        </is>
      </c>
      <c r="G112" s="10" t="n">
        <v>10925</v>
      </c>
      <c r="H112" s="10" t="n">
        <v>6774</v>
      </c>
      <c r="I112" s="10" t="n">
        <v>5</v>
      </c>
      <c r="J112" s="9" t="inlineStr"/>
      <c r="K112" s="7">
        <f>IF(F112="",0,IFERROR(VLOOKUP(F112,Расходники!$A$4:$B$23,2,FALSE),0))</f>
        <v/>
      </c>
      <c r="L112" s="4">
        <f>H112*D112</f>
        <v/>
      </c>
      <c r="M112" s="4">
        <f>L112*K112</f>
        <v/>
      </c>
      <c r="N112" s="4">
        <f>SUMIF(Материалы!$A$4:$A$800,SUBSTITUTE(SUBSTITUTE(SUBSTITUTE(B112,"~","~~"),"*","~*"),"?","~?"),Материалы!$S$4:$S$800)</f>
        <v/>
      </c>
      <c r="O112" s="4">
        <f>L112+M112+N112</f>
        <v/>
      </c>
      <c r="P112" s="4">
        <f>IF(SUM($O$4:$O$672)=0,0,Косвенные!$C$9*O112/SUM($O$4:$O$672))</f>
        <v/>
      </c>
      <c r="Q112" s="4">
        <f>G112*D112+P112</f>
        <v/>
      </c>
      <c r="R112" s="4">
        <f>IF(D112=0,0,Q112/D112)</f>
        <v/>
      </c>
      <c r="S112" s="4">
        <f>IF(D112=0,0,SUMIF(Материалы!$A$4:$A$800,SUBSTITUTE(SUBSTITUTE(SUBSTITUTE(B112,"~","~~"),"*","~*"),"?","~?"),Материалы!$T$4:$T$800)/D112)</f>
        <v/>
      </c>
      <c r="T112" s="4">
        <f>R112+S112</f>
        <v/>
      </c>
      <c r="U112" s="4">
        <f>I112*D112</f>
        <v/>
      </c>
    </row>
    <row r="113" ht="22" customHeight="1">
      <c r="A113" s="9" t="inlineStr">
        <is>
          <t>12.3.25</t>
        </is>
      </c>
      <c r="B113" s="13" t="inlineStr">
        <is>
          <t>111. Двери металлические противопожарные, изолированные минераловатой (типа Гефест 01) Размер  прохода: 1100  х2100мм. Огнестойкость REI-60 (60 мин). Цвет – серый,  RAL–7038. Произ</t>
        </is>
      </c>
      <c r="C113" s="9" t="inlineStr">
        <is>
          <t>шт.</t>
        </is>
      </c>
      <c r="D113" s="4">
        <f>IF('Форма'!G111="","",'Форма'!G111)</f>
        <v/>
      </c>
      <c r="E113" s="9" t="inlineStr">
        <is>
          <t>точно</t>
        </is>
      </c>
      <c r="F113" s="9" t="inlineStr">
        <is>
          <t>DVR</t>
        </is>
      </c>
      <c r="G113" s="10" t="n">
        <v>14950</v>
      </c>
      <c r="H113" s="10" t="n">
        <v>9269</v>
      </c>
      <c r="I113" s="10" t="n">
        <v>7</v>
      </c>
      <c r="J113" s="9" t="inlineStr"/>
      <c r="K113" s="7">
        <f>IF(F113="",0,IFERROR(VLOOKUP(F113,Расходники!$A$4:$B$23,2,FALSE),0))</f>
        <v/>
      </c>
      <c r="L113" s="4">
        <f>H113*D113</f>
        <v/>
      </c>
      <c r="M113" s="4">
        <f>L113*K113</f>
        <v/>
      </c>
      <c r="N113" s="4">
        <f>SUMIF(Материалы!$A$4:$A$800,SUBSTITUTE(SUBSTITUTE(SUBSTITUTE(B113,"~","~~"),"*","~*"),"?","~?"),Материалы!$S$4:$S$800)</f>
        <v/>
      </c>
      <c r="O113" s="4">
        <f>L113+M113+N113</f>
        <v/>
      </c>
      <c r="P113" s="4">
        <f>IF(SUM($O$4:$O$672)=0,0,Косвенные!$C$9*O113/SUM($O$4:$O$672))</f>
        <v/>
      </c>
      <c r="Q113" s="4">
        <f>G113*D113+P113</f>
        <v/>
      </c>
      <c r="R113" s="4">
        <f>IF(D113=0,0,Q113/D113)</f>
        <v/>
      </c>
      <c r="S113" s="4">
        <f>IF(D113=0,0,SUMIF(Материалы!$A$4:$A$800,SUBSTITUTE(SUBSTITUTE(SUBSTITUTE(B113,"~","~~"),"*","~*"),"?","~?"),Материалы!$T$4:$T$800)/D113)</f>
        <v/>
      </c>
      <c r="T113" s="4">
        <f>R113+S113</f>
        <v/>
      </c>
      <c r="U113" s="4">
        <f>I113*D113</f>
        <v/>
      </c>
    </row>
    <row r="114" ht="22" customHeight="1">
      <c r="A114" s="9" t="inlineStr">
        <is>
          <t>12.3.25</t>
        </is>
      </c>
      <c r="B114" s="13" t="inlineStr">
        <is>
          <t>112. Двери металлические противопожарные, изолированные минераловатой (типа Гефест 01) Размер  прохода: 1200  х2100мм. Огнестойкость REI-60 (60 мин). Цвет – серый,  RAL–7038. Произ</t>
        </is>
      </c>
      <c r="C114" s="9" t="inlineStr">
        <is>
          <t>шт.</t>
        </is>
      </c>
      <c r="D114" s="4">
        <f>IF('Форма'!G112="","",'Форма'!G112)</f>
        <v/>
      </c>
      <c r="E114" s="9" t="inlineStr">
        <is>
          <t>точно</t>
        </is>
      </c>
      <c r="F114" s="9" t="inlineStr">
        <is>
          <t>DVR</t>
        </is>
      </c>
      <c r="G114" s="10" t="n">
        <v>14950</v>
      </c>
      <c r="H114" s="10" t="n">
        <v>9269</v>
      </c>
      <c r="I114" s="10" t="n">
        <v>7</v>
      </c>
      <c r="J114" s="9" t="inlineStr"/>
      <c r="K114" s="7">
        <f>IF(F114="",0,IFERROR(VLOOKUP(F114,Расходники!$A$4:$B$23,2,FALSE),0))</f>
        <v/>
      </c>
      <c r="L114" s="4">
        <f>H114*D114</f>
        <v/>
      </c>
      <c r="M114" s="4">
        <f>L114*K114</f>
        <v/>
      </c>
      <c r="N114" s="4">
        <f>SUMIF(Материалы!$A$4:$A$800,SUBSTITUTE(SUBSTITUTE(SUBSTITUTE(B114,"~","~~"),"*","~*"),"?","~?"),Материалы!$S$4:$S$800)</f>
        <v/>
      </c>
      <c r="O114" s="4">
        <f>L114+M114+N114</f>
        <v/>
      </c>
      <c r="P114" s="4">
        <f>IF(SUM($O$4:$O$672)=0,0,Косвенные!$C$9*O114/SUM($O$4:$O$672))</f>
        <v/>
      </c>
      <c r="Q114" s="4">
        <f>G114*D114+P114</f>
        <v/>
      </c>
      <c r="R114" s="4">
        <f>IF(D114=0,0,Q114/D114)</f>
        <v/>
      </c>
      <c r="S114" s="4">
        <f>IF(D114=0,0,SUMIF(Материалы!$A$4:$A$800,SUBSTITUTE(SUBSTITUTE(SUBSTITUTE(B114,"~","~~"),"*","~*"),"?","~?"),Материалы!$T$4:$T$800)/D114)</f>
        <v/>
      </c>
      <c r="T114" s="4">
        <f>R114+S114</f>
        <v/>
      </c>
      <c r="U114" s="4">
        <f>I114*D114</f>
        <v/>
      </c>
    </row>
    <row r="115" ht="22" customHeight="1">
      <c r="A115" s="9" t="inlineStr">
        <is>
          <t>12.3.25</t>
        </is>
      </c>
      <c r="B115" s="13" t="inlineStr">
        <is>
          <t>113. Двери металлические противопожарные, изолированные минераловатой (типа Гефест 01) Размер  прохода: 1300  х2100мм. Огнестойкость REI-60 (60 мин). Цвет – серый,  RAL–7038. Произ</t>
        </is>
      </c>
      <c r="C115" s="9" t="inlineStr">
        <is>
          <t>шт.</t>
        </is>
      </c>
      <c r="D115" s="4">
        <f>IF('Форма'!G113="","",'Форма'!G113)</f>
        <v/>
      </c>
      <c r="E115" s="9" t="inlineStr">
        <is>
          <t>точно</t>
        </is>
      </c>
      <c r="F115" s="9" t="inlineStr">
        <is>
          <t>DVR</t>
        </is>
      </c>
      <c r="G115" s="10" t="n">
        <v>14950</v>
      </c>
      <c r="H115" s="10" t="n">
        <v>9269</v>
      </c>
      <c r="I115" s="10" t="n">
        <v>7</v>
      </c>
      <c r="J115" s="9" t="inlineStr"/>
      <c r="K115" s="7">
        <f>IF(F115="",0,IFERROR(VLOOKUP(F115,Расходники!$A$4:$B$23,2,FALSE),0))</f>
        <v/>
      </c>
      <c r="L115" s="4">
        <f>H115*D115</f>
        <v/>
      </c>
      <c r="M115" s="4">
        <f>L115*K115</f>
        <v/>
      </c>
      <c r="N115" s="4">
        <f>SUMIF(Материалы!$A$4:$A$800,SUBSTITUTE(SUBSTITUTE(SUBSTITUTE(B115,"~","~~"),"*","~*"),"?","~?"),Материалы!$S$4:$S$800)</f>
        <v/>
      </c>
      <c r="O115" s="4">
        <f>L115+M115+N115</f>
        <v/>
      </c>
      <c r="P115" s="4">
        <f>IF(SUM($O$4:$O$672)=0,0,Косвенные!$C$9*O115/SUM($O$4:$O$672))</f>
        <v/>
      </c>
      <c r="Q115" s="4">
        <f>G115*D115+P115</f>
        <v/>
      </c>
      <c r="R115" s="4">
        <f>IF(D115=0,0,Q115/D115)</f>
        <v/>
      </c>
      <c r="S115" s="4">
        <f>IF(D115=0,0,SUMIF(Материалы!$A$4:$A$800,SUBSTITUTE(SUBSTITUTE(SUBSTITUTE(B115,"~","~~"),"*","~*"),"?","~?"),Материалы!$T$4:$T$800)/D115)</f>
        <v/>
      </c>
      <c r="T115" s="4">
        <f>R115+S115</f>
        <v/>
      </c>
      <c r="U115" s="4">
        <f>I115*D115</f>
        <v/>
      </c>
    </row>
    <row r="116" ht="22" customHeight="1">
      <c r="A116" s="9" t="inlineStr">
        <is>
          <t>12.3.25</t>
        </is>
      </c>
      <c r="B116" s="13" t="inlineStr">
        <is>
          <t>114. Двери металлические противопожарные, изолированные минераловатой (типа Гефест 01) Размер  прохода: 1400  х2100мм. Огнестойкость REI-60 (60 мин). Цвет – серый,  RAL–7038. Произ</t>
        </is>
      </c>
      <c r="C116" s="9" t="inlineStr">
        <is>
          <t>шт.</t>
        </is>
      </c>
      <c r="D116" s="4">
        <f>IF('Форма'!G114="","",'Форма'!G114)</f>
        <v/>
      </c>
      <c r="E116" s="9" t="inlineStr">
        <is>
          <t>точно</t>
        </is>
      </c>
      <c r="F116" s="9" t="inlineStr">
        <is>
          <t>DVR</t>
        </is>
      </c>
      <c r="G116" s="10" t="n">
        <v>14950</v>
      </c>
      <c r="H116" s="10" t="n">
        <v>9269</v>
      </c>
      <c r="I116" s="10" t="n">
        <v>7</v>
      </c>
      <c r="J116" s="9" t="inlineStr"/>
      <c r="K116" s="7">
        <f>IF(F116="",0,IFERROR(VLOOKUP(F116,Расходники!$A$4:$B$23,2,FALSE),0))</f>
        <v/>
      </c>
      <c r="L116" s="4">
        <f>H116*D116</f>
        <v/>
      </c>
      <c r="M116" s="4">
        <f>L116*K116</f>
        <v/>
      </c>
      <c r="N116" s="4">
        <f>SUMIF(Материалы!$A$4:$A$800,SUBSTITUTE(SUBSTITUTE(SUBSTITUTE(B116,"~","~~"),"*","~*"),"?","~?"),Материалы!$S$4:$S$800)</f>
        <v/>
      </c>
      <c r="O116" s="4">
        <f>L116+M116+N116</f>
        <v/>
      </c>
      <c r="P116" s="4">
        <f>IF(SUM($O$4:$O$672)=0,0,Косвенные!$C$9*O116/SUM($O$4:$O$672))</f>
        <v/>
      </c>
      <c r="Q116" s="4">
        <f>G116*D116+P116</f>
        <v/>
      </c>
      <c r="R116" s="4">
        <f>IF(D116=0,0,Q116/D116)</f>
        <v/>
      </c>
      <c r="S116" s="4">
        <f>IF(D116=0,0,SUMIF(Материалы!$A$4:$A$800,SUBSTITUTE(SUBSTITUTE(SUBSTITUTE(B116,"~","~~"),"*","~*"),"?","~?"),Материалы!$T$4:$T$800)/D116)</f>
        <v/>
      </c>
      <c r="T116" s="4">
        <f>R116+S116</f>
        <v/>
      </c>
      <c r="U116" s="4">
        <f>I116*D116</f>
        <v/>
      </c>
    </row>
    <row r="117" ht="22" customHeight="1">
      <c r="A117" s="9" t="inlineStr">
        <is>
          <t>12.3.25</t>
        </is>
      </c>
      <c r="B117" s="13" t="inlineStr">
        <is>
          <t>115. 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</t>
        </is>
      </c>
      <c r="C117" s="9" t="inlineStr">
        <is>
          <t>шт.</t>
        </is>
      </c>
      <c r="D117" s="4">
        <f>IF('Форма'!G115="","",'Форма'!G115)</f>
        <v/>
      </c>
      <c r="E117" s="9" t="inlineStr">
        <is>
          <t>точно</t>
        </is>
      </c>
      <c r="F117" s="9" t="inlineStr">
        <is>
          <t>DVR</t>
        </is>
      </c>
      <c r="G117" s="10" t="n">
        <v>14950</v>
      </c>
      <c r="H117" s="10" t="n">
        <v>9269</v>
      </c>
      <c r="I117" s="10" t="n">
        <v>7</v>
      </c>
      <c r="J117" s="9" t="inlineStr"/>
      <c r="K117" s="7">
        <f>IF(F117="",0,IFERROR(VLOOKUP(F117,Расходники!$A$4:$B$23,2,FALSE),0))</f>
        <v/>
      </c>
      <c r="L117" s="4">
        <f>H117*D117</f>
        <v/>
      </c>
      <c r="M117" s="4">
        <f>L117*K117</f>
        <v/>
      </c>
      <c r="N117" s="4">
        <f>SUMIF(Материалы!$A$4:$A$800,SUBSTITUTE(SUBSTITUTE(SUBSTITUTE(B117,"~","~~"),"*","~*"),"?","~?"),Материалы!$S$4:$S$800)</f>
        <v/>
      </c>
      <c r="O117" s="4">
        <f>L117+M117+N117</f>
        <v/>
      </c>
      <c r="P117" s="4">
        <f>IF(SUM($O$4:$O$672)=0,0,Косвенные!$C$9*O117/SUM($O$4:$O$672))</f>
        <v/>
      </c>
      <c r="Q117" s="4">
        <f>G117*D117+P117</f>
        <v/>
      </c>
      <c r="R117" s="4">
        <f>IF(D117=0,0,Q117/D117)</f>
        <v/>
      </c>
      <c r="S117" s="4">
        <f>IF(D117=0,0,SUMIF(Материалы!$A$4:$A$800,SUBSTITUTE(SUBSTITUTE(SUBSTITUTE(B117,"~","~~"),"*","~*"),"?","~?"),Материалы!$T$4:$T$800)/D117)</f>
        <v/>
      </c>
      <c r="T117" s="4">
        <f>R117+S117</f>
        <v/>
      </c>
      <c r="U117" s="4">
        <f>I117*D117</f>
        <v/>
      </c>
    </row>
    <row r="118" ht="22" customHeight="1">
      <c r="A118" s="9" t="inlineStr">
        <is>
          <t>12.3.25</t>
        </is>
      </c>
      <c r="B118" s="13" t="inlineStr">
        <is>
          <t>116. 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</t>
        </is>
      </c>
      <c r="C118" s="9" t="inlineStr">
        <is>
          <t>шт.</t>
        </is>
      </c>
      <c r="D118" s="4">
        <f>IF('Форма'!G116="","",'Форма'!G116)</f>
        <v/>
      </c>
      <c r="E118" s="9" t="inlineStr">
        <is>
          <t>точно</t>
        </is>
      </c>
      <c r="F118" s="9" t="inlineStr">
        <is>
          <t>DVR</t>
        </is>
      </c>
      <c r="G118" s="10" t="n">
        <v>14950</v>
      </c>
      <c r="H118" s="10" t="n">
        <v>9269</v>
      </c>
      <c r="I118" s="10" t="n">
        <v>7</v>
      </c>
      <c r="J118" s="9" t="inlineStr"/>
      <c r="K118" s="7">
        <f>IF(F118="",0,IFERROR(VLOOKUP(F118,Расходники!$A$4:$B$23,2,FALSE),0))</f>
        <v/>
      </c>
      <c r="L118" s="4">
        <f>H118*D118</f>
        <v/>
      </c>
      <c r="M118" s="4">
        <f>L118*K118</f>
        <v/>
      </c>
      <c r="N118" s="4">
        <f>SUMIF(Материалы!$A$4:$A$800,SUBSTITUTE(SUBSTITUTE(SUBSTITUTE(B118,"~","~~"),"*","~*"),"?","~?"),Материалы!$S$4:$S$800)</f>
        <v/>
      </c>
      <c r="O118" s="4">
        <f>L118+M118+N118</f>
        <v/>
      </c>
      <c r="P118" s="4">
        <f>IF(SUM($O$4:$O$672)=0,0,Косвенные!$C$9*O118/SUM($O$4:$O$672))</f>
        <v/>
      </c>
      <c r="Q118" s="4">
        <f>G118*D118+P118</f>
        <v/>
      </c>
      <c r="R118" s="4">
        <f>IF(D118=0,0,Q118/D118)</f>
        <v/>
      </c>
      <c r="S118" s="4">
        <f>IF(D118=0,0,SUMIF(Материалы!$A$4:$A$800,SUBSTITUTE(SUBSTITUTE(SUBSTITUTE(B118,"~","~~"),"*","~*"),"?","~?"),Материалы!$T$4:$T$800)/D118)</f>
        <v/>
      </c>
      <c r="T118" s="4">
        <f>R118+S118</f>
        <v/>
      </c>
      <c r="U118" s="4">
        <f>I118*D118</f>
        <v/>
      </c>
    </row>
    <row r="119" ht="22" customHeight="1">
      <c r="A119" s="9" t="inlineStr">
        <is>
          <t>12.3.25</t>
        </is>
      </c>
      <c r="B119" s="13" t="inlineStr">
        <is>
          <t>117. Двери металлические противопожарные, изолированные минераловатой (типа Гефест 01) Размер  прохода: 1600  х2100мм. Огнестойкость REI-60 (60 мин). Цвет – серый,  RAL–7038. Произ</t>
        </is>
      </c>
      <c r="C119" s="9" t="inlineStr">
        <is>
          <t>шт.</t>
        </is>
      </c>
      <c r="D119" s="4">
        <f>IF('Форма'!G117="","",'Форма'!G117)</f>
        <v/>
      </c>
      <c r="E119" s="9" t="inlineStr">
        <is>
          <t>точно</t>
        </is>
      </c>
      <c r="F119" s="9" t="inlineStr">
        <is>
          <t>DVR</t>
        </is>
      </c>
      <c r="G119" s="10" t="n">
        <v>14950</v>
      </c>
      <c r="H119" s="10" t="n">
        <v>9269</v>
      </c>
      <c r="I119" s="10" t="n">
        <v>7</v>
      </c>
      <c r="J119" s="9" t="inlineStr"/>
      <c r="K119" s="7">
        <f>IF(F119="",0,IFERROR(VLOOKUP(F119,Расходники!$A$4:$B$23,2,FALSE),0))</f>
        <v/>
      </c>
      <c r="L119" s="4">
        <f>H119*D119</f>
        <v/>
      </c>
      <c r="M119" s="4">
        <f>L119*K119</f>
        <v/>
      </c>
      <c r="N119" s="4">
        <f>SUMIF(Материалы!$A$4:$A$800,SUBSTITUTE(SUBSTITUTE(SUBSTITUTE(B119,"~","~~"),"*","~*"),"?","~?"),Материалы!$S$4:$S$800)</f>
        <v/>
      </c>
      <c r="O119" s="4">
        <f>L119+M119+N119</f>
        <v/>
      </c>
      <c r="P119" s="4">
        <f>IF(SUM($O$4:$O$672)=0,0,Косвенные!$C$9*O119/SUM($O$4:$O$672))</f>
        <v/>
      </c>
      <c r="Q119" s="4">
        <f>G119*D119+P119</f>
        <v/>
      </c>
      <c r="R119" s="4">
        <f>IF(D119=0,0,Q119/D119)</f>
        <v/>
      </c>
      <c r="S119" s="4">
        <f>IF(D119=0,0,SUMIF(Материалы!$A$4:$A$800,SUBSTITUTE(SUBSTITUTE(SUBSTITUTE(B119,"~","~~"),"*","~*"),"?","~?"),Материалы!$T$4:$T$800)/D119)</f>
        <v/>
      </c>
      <c r="T119" s="4">
        <f>R119+S119</f>
        <v/>
      </c>
      <c r="U119" s="4">
        <f>I119*D119</f>
        <v/>
      </c>
    </row>
    <row r="120" ht="22" customHeight="1">
      <c r="A120" s="9" t="inlineStr">
        <is>
          <t>12.3.26</t>
        </is>
      </c>
      <c r="B120" s="13" t="inlineStr">
        <is>
          <t>118. Дверь металлическая одностворчатая техническая, изолированная минеральной плитой. (типа Оптима ТХ-2)Дверной  блок:  600х2000 мм. Лист стали: 2  мм. Цвет –  серый, RAL–7038. Дв</t>
        </is>
      </c>
      <c r="C120" s="9" t="inlineStr">
        <is>
          <t>шт.</t>
        </is>
      </c>
      <c r="D120" s="4">
        <f>IF('Форма'!G118="","",'Форма'!G118)</f>
        <v/>
      </c>
      <c r="E120" s="9" t="inlineStr">
        <is>
          <t>аналог (12.3.26)</t>
        </is>
      </c>
      <c r="F120" s="9" t="inlineStr">
        <is>
          <t>DVR</t>
        </is>
      </c>
      <c r="G120" s="10" t="n">
        <v>10925</v>
      </c>
      <c r="H120" s="10" t="n">
        <v>6774</v>
      </c>
      <c r="I120" s="10" t="n">
        <v>5</v>
      </c>
      <c r="J120" s="9" t="inlineStr"/>
      <c r="K120" s="7">
        <f>IF(F120="",0,IFERROR(VLOOKUP(F120,Расходники!$A$4:$B$23,2,FALSE),0))</f>
        <v/>
      </c>
      <c r="L120" s="4">
        <f>H120*D120</f>
        <v/>
      </c>
      <c r="M120" s="4">
        <f>L120*K120</f>
        <v/>
      </c>
      <c r="N120" s="4">
        <f>SUMIF(Материалы!$A$4:$A$800,SUBSTITUTE(SUBSTITUTE(SUBSTITUTE(B120,"~","~~"),"*","~*"),"?","~?"),Материалы!$S$4:$S$800)</f>
        <v/>
      </c>
      <c r="O120" s="4">
        <f>L120+M120+N120</f>
        <v/>
      </c>
      <c r="P120" s="4">
        <f>IF(SUM($O$4:$O$672)=0,0,Косвенные!$C$9*O120/SUM($O$4:$O$672))</f>
        <v/>
      </c>
      <c r="Q120" s="4">
        <f>G120*D120+P120</f>
        <v/>
      </c>
      <c r="R120" s="4">
        <f>IF(D120=0,0,Q120/D120)</f>
        <v/>
      </c>
      <c r="S120" s="4">
        <f>IF(D120=0,0,SUMIF(Материалы!$A$4:$A$800,SUBSTITUTE(SUBSTITUTE(SUBSTITUTE(B120,"~","~~"),"*","~*"),"?","~?"),Материалы!$T$4:$T$800)/D120)</f>
        <v/>
      </c>
      <c r="T120" s="4">
        <f>R120+S120</f>
        <v/>
      </c>
      <c r="U120" s="4">
        <f>I120*D120</f>
        <v/>
      </c>
    </row>
    <row r="121" ht="22" customHeight="1">
      <c r="A121" s="9" t="inlineStr">
        <is>
          <t>12.3.26</t>
        </is>
      </c>
      <c r="B121" s="13" t="inlineStr">
        <is>
          <t>119. Дверь металлическая одностворчатая техническая, изолированная минеральной плитой. (типа Оптима ТХ-2)Дверной  блок:  800х2000 мм. Лист стали: 2  мм. Цвет –  серый, RAL–7038. Дв</t>
        </is>
      </c>
      <c r="C121" s="9" t="inlineStr">
        <is>
          <t>шт.</t>
        </is>
      </c>
      <c r="D121" s="4">
        <f>IF('Форма'!G119="","",'Форма'!G119)</f>
        <v/>
      </c>
      <c r="E121" s="9" t="inlineStr">
        <is>
          <t>аналог (12.3.26)</t>
        </is>
      </c>
      <c r="F121" s="9" t="inlineStr">
        <is>
          <t>DVR</t>
        </is>
      </c>
      <c r="G121" s="10" t="n">
        <v>10925</v>
      </c>
      <c r="H121" s="10" t="n">
        <v>6774</v>
      </c>
      <c r="I121" s="10" t="n">
        <v>5</v>
      </c>
      <c r="J121" s="9" t="inlineStr"/>
      <c r="K121" s="7">
        <f>IF(F121="",0,IFERROR(VLOOKUP(F121,Расходники!$A$4:$B$23,2,FALSE),0))</f>
        <v/>
      </c>
      <c r="L121" s="4">
        <f>H121*D121</f>
        <v/>
      </c>
      <c r="M121" s="4">
        <f>L121*K121</f>
        <v/>
      </c>
      <c r="N121" s="4">
        <f>SUMIF(Материалы!$A$4:$A$800,SUBSTITUTE(SUBSTITUTE(SUBSTITUTE(B121,"~","~~"),"*","~*"),"?","~?"),Материалы!$S$4:$S$800)</f>
        <v/>
      </c>
      <c r="O121" s="4">
        <f>L121+M121+N121</f>
        <v/>
      </c>
      <c r="P121" s="4">
        <f>IF(SUM($O$4:$O$672)=0,0,Косвенные!$C$9*O121/SUM($O$4:$O$672))</f>
        <v/>
      </c>
      <c r="Q121" s="4">
        <f>G121*D121+P121</f>
        <v/>
      </c>
      <c r="R121" s="4">
        <f>IF(D121=0,0,Q121/D121)</f>
        <v/>
      </c>
      <c r="S121" s="4">
        <f>IF(D121=0,0,SUMIF(Материалы!$A$4:$A$800,SUBSTITUTE(SUBSTITUTE(SUBSTITUTE(B121,"~","~~"),"*","~*"),"?","~?"),Материалы!$T$4:$T$800)/D121)</f>
        <v/>
      </c>
      <c r="T121" s="4">
        <f>R121+S121</f>
        <v/>
      </c>
      <c r="U121" s="4">
        <f>I121*D121</f>
        <v/>
      </c>
    </row>
    <row r="122" ht="22" customHeight="1">
      <c r="A122" s="9" t="inlineStr">
        <is>
          <t>12.3.26</t>
        </is>
      </c>
      <c r="B122" s="13" t="inlineStr">
        <is>
          <t>120. Дверной  блок:  900х2000 мм. Лист стали: 2  мм. Цвет –  серый, RAL–7038. Дверные стопоры (ограничители) – напольные.</t>
        </is>
      </c>
      <c r="C122" s="9" t="inlineStr">
        <is>
          <t>шт.</t>
        </is>
      </c>
      <c r="D122" s="4">
        <f>IF('Форма'!G120="","",'Форма'!G120)</f>
        <v/>
      </c>
      <c r="E122" s="9" t="inlineStr">
        <is>
          <t>аналог (12.3.26)</t>
        </is>
      </c>
      <c r="F122" s="9" t="inlineStr">
        <is>
          <t>DVR</t>
        </is>
      </c>
      <c r="G122" s="10" t="n">
        <v>10925</v>
      </c>
      <c r="H122" s="10" t="n">
        <v>6774</v>
      </c>
      <c r="I122" s="10" t="n">
        <v>5</v>
      </c>
      <c r="J122" s="9" t="inlineStr"/>
      <c r="K122" s="7">
        <f>IF(F122="",0,IFERROR(VLOOKUP(F122,Расходники!$A$4:$B$23,2,FALSE),0))</f>
        <v/>
      </c>
      <c r="L122" s="4">
        <f>H122*D122</f>
        <v/>
      </c>
      <c r="M122" s="4">
        <f>L122*K122</f>
        <v/>
      </c>
      <c r="N122" s="4">
        <f>SUMIF(Материалы!$A$4:$A$800,SUBSTITUTE(SUBSTITUTE(SUBSTITUTE(B122,"~","~~"),"*","~*"),"?","~?"),Материалы!$S$4:$S$800)</f>
        <v/>
      </c>
      <c r="O122" s="4">
        <f>L122+M122+N122</f>
        <v/>
      </c>
      <c r="P122" s="4">
        <f>IF(SUM($O$4:$O$672)=0,0,Косвенные!$C$9*O122/SUM($O$4:$O$672))</f>
        <v/>
      </c>
      <c r="Q122" s="4">
        <f>G122*D122+P122</f>
        <v/>
      </c>
      <c r="R122" s="4">
        <f>IF(D122=0,0,Q122/D122)</f>
        <v/>
      </c>
      <c r="S122" s="4">
        <f>IF(D122=0,0,SUMIF(Материалы!$A$4:$A$800,SUBSTITUTE(SUBSTITUTE(SUBSTITUTE(B122,"~","~~"),"*","~*"),"?","~?"),Материалы!$T$4:$T$800)/D122)</f>
        <v/>
      </c>
      <c r="T122" s="4">
        <f>R122+S122</f>
        <v/>
      </c>
      <c r="U122" s="4">
        <f>I122*D122</f>
        <v/>
      </c>
    </row>
    <row r="123" ht="22" customHeight="1">
      <c r="A123" s="9" t="inlineStr"/>
      <c r="B123" s="13" t="inlineStr">
        <is>
          <t>121. Металлическая круглая труба Ду50 (60х3,5мм)</t>
        </is>
      </c>
      <c r="C123" s="9" t="inlineStr">
        <is>
          <t>м.п.</t>
        </is>
      </c>
      <c r="D123" s="4">
        <f>IF('Форма'!G121="","",'Форма'!G121)</f>
        <v/>
      </c>
      <c r="E123" s="9" t="inlineStr">
        <is>
          <t>аналог (14.11)</t>
        </is>
      </c>
      <c r="F123" s="9" t="inlineStr">
        <is>
          <t>SVA</t>
        </is>
      </c>
      <c r="G123" s="10" t="n">
        <v>1001.93</v>
      </c>
      <c r="H123" s="10" t="n">
        <v>474.6</v>
      </c>
      <c r="I123" s="10" t="n">
        <v>0.439</v>
      </c>
      <c r="J123" s="9" t="inlineStr"/>
      <c r="K123" s="7">
        <f>IF(F123="",0,IFERROR(VLOOKUP(F123,Расходники!$A$4:$B$23,2,FALSE),0))</f>
        <v/>
      </c>
      <c r="L123" s="4">
        <f>H123*D123</f>
        <v/>
      </c>
      <c r="M123" s="4">
        <f>L123*K123</f>
        <v/>
      </c>
      <c r="N123" s="4">
        <f>SUMIF(Материалы!$A$4:$A$800,SUBSTITUTE(SUBSTITUTE(SUBSTITUTE(B123,"~","~~"),"*","~*"),"?","~?"),Материалы!$S$4:$S$800)</f>
        <v/>
      </c>
      <c r="O123" s="4">
        <f>L123+M123+N123</f>
        <v/>
      </c>
      <c r="P123" s="4">
        <f>IF(SUM($O$4:$O$672)=0,0,Косвенные!$C$9*O123/SUM($O$4:$O$672))</f>
        <v/>
      </c>
      <c r="Q123" s="4">
        <f>G123*D123+P123</f>
        <v/>
      </c>
      <c r="R123" s="4">
        <f>IF(D123=0,0,Q123/D123)</f>
        <v/>
      </c>
      <c r="S123" s="4">
        <f>IF(D123=0,0,SUMIF(Материалы!$A$4:$A$800,SUBSTITUTE(SUBSTITUTE(SUBSTITUTE(B123,"~","~~"),"*","~*"),"?","~?"),Материалы!$T$4:$T$800)/D123)</f>
        <v/>
      </c>
      <c r="T123" s="4">
        <f>R123+S123</f>
        <v/>
      </c>
      <c r="U123" s="4">
        <f>I123*D123</f>
        <v/>
      </c>
    </row>
    <row r="124" ht="22" customHeight="1">
      <c r="A124" s="9" t="inlineStr"/>
      <c r="B124" s="13" t="inlineStr">
        <is>
          <t>122. Металлическая круглая труба Ду65 (75,5х4,0мм)</t>
        </is>
      </c>
      <c r="C124" s="9" t="inlineStr">
        <is>
          <t>м.п.</t>
        </is>
      </c>
      <c r="D124" s="4">
        <f>IF('Форма'!G122="","",'Форма'!G122)</f>
        <v/>
      </c>
      <c r="E124" s="9" t="inlineStr">
        <is>
          <t>аналог (14.11)</t>
        </is>
      </c>
      <c r="F124" s="9" t="inlineStr">
        <is>
          <t>SVA</t>
        </is>
      </c>
      <c r="G124" s="10" t="n">
        <v>1225.21</v>
      </c>
      <c r="H124" s="10" t="n">
        <v>580.36</v>
      </c>
      <c r="I124" s="10" t="n">
        <v>0.537</v>
      </c>
      <c r="J124" s="9" t="inlineStr"/>
      <c r="K124" s="7">
        <f>IF(F124="",0,IFERROR(VLOOKUP(F124,Расходники!$A$4:$B$23,2,FALSE),0))</f>
        <v/>
      </c>
      <c r="L124" s="4">
        <f>H124*D124</f>
        <v/>
      </c>
      <c r="M124" s="4">
        <f>L124*K124</f>
        <v/>
      </c>
      <c r="N124" s="4">
        <f>SUMIF(Материалы!$A$4:$A$800,SUBSTITUTE(SUBSTITUTE(SUBSTITUTE(B124,"~","~~"),"*","~*"),"?","~?"),Материалы!$S$4:$S$800)</f>
        <v/>
      </c>
      <c r="O124" s="4">
        <f>L124+M124+N124</f>
        <v/>
      </c>
      <c r="P124" s="4">
        <f>IF(SUM($O$4:$O$672)=0,0,Косвенные!$C$9*O124/SUM($O$4:$O$672))</f>
        <v/>
      </c>
      <c r="Q124" s="4">
        <f>G124*D124+P124</f>
        <v/>
      </c>
      <c r="R124" s="4">
        <f>IF(D124=0,0,Q124/D124)</f>
        <v/>
      </c>
      <c r="S124" s="4">
        <f>IF(D124=0,0,SUMIF(Материалы!$A$4:$A$800,SUBSTITUTE(SUBSTITUTE(SUBSTITUTE(B124,"~","~~"),"*","~*"),"?","~?"),Материалы!$T$4:$T$800)/D124)</f>
        <v/>
      </c>
      <c r="T124" s="4">
        <f>R124+S124</f>
        <v/>
      </c>
      <c r="U124" s="4">
        <f>I124*D124</f>
        <v/>
      </c>
    </row>
    <row r="125" ht="22" customHeight="1">
      <c r="A125" s="9" t="inlineStr"/>
      <c r="B125" s="13" t="inlineStr">
        <is>
          <t>123. Металлическая круглая труба Ду80 (88,5х4,0мм)</t>
        </is>
      </c>
      <c r="C125" s="9" t="inlineStr">
        <is>
          <t>м.п.</t>
        </is>
      </c>
      <c r="D125" s="4">
        <f>IF('Форма'!G123="","",'Форма'!G123)</f>
        <v/>
      </c>
      <c r="E125" s="9" t="inlineStr">
        <is>
          <t>аналог (14.11)</t>
        </is>
      </c>
      <c r="F125" s="9" t="inlineStr">
        <is>
          <t>SVA</t>
        </is>
      </c>
      <c r="G125" s="10" t="n">
        <v>1356.78</v>
      </c>
      <c r="H125" s="10" t="n">
        <v>642.6799999999999</v>
      </c>
      <c r="I125" s="10" t="n">
        <v>0.595</v>
      </c>
      <c r="J125" s="9" t="inlineStr"/>
      <c r="K125" s="7">
        <f>IF(F125="",0,IFERROR(VLOOKUP(F125,Расходники!$A$4:$B$23,2,FALSE),0))</f>
        <v/>
      </c>
      <c r="L125" s="4">
        <f>H125*D125</f>
        <v/>
      </c>
      <c r="M125" s="4">
        <f>L125*K125</f>
        <v/>
      </c>
      <c r="N125" s="4">
        <f>SUMIF(Материалы!$A$4:$A$800,SUBSTITUTE(SUBSTITUTE(SUBSTITUTE(B125,"~","~~"),"*","~*"),"?","~?"),Материалы!$S$4:$S$800)</f>
        <v/>
      </c>
      <c r="O125" s="4">
        <f>L125+M125+N125</f>
        <v/>
      </c>
      <c r="P125" s="4">
        <f>IF(SUM($O$4:$O$672)=0,0,Косвенные!$C$9*O125/SUM($O$4:$O$672))</f>
        <v/>
      </c>
      <c r="Q125" s="4">
        <f>G125*D125+P125</f>
        <v/>
      </c>
      <c r="R125" s="4">
        <f>IF(D125=0,0,Q125/D125)</f>
        <v/>
      </c>
      <c r="S125" s="4">
        <f>IF(D125=0,0,SUMIF(Материалы!$A$4:$A$800,SUBSTITUTE(SUBSTITUTE(SUBSTITUTE(B125,"~","~~"),"*","~*"),"?","~?"),Материалы!$T$4:$T$800)/D125)</f>
        <v/>
      </c>
      <c r="T125" s="4">
        <f>R125+S125</f>
        <v/>
      </c>
      <c r="U125" s="4">
        <f>I125*D125</f>
        <v/>
      </c>
    </row>
    <row r="126" ht="22" customHeight="1">
      <c r="A126" s="9" t="inlineStr"/>
      <c r="B126" s="13" t="inlineStr">
        <is>
          <t>124. Металлическая круглая труба Ду90 (101,3х4,5мм)</t>
        </is>
      </c>
      <c r="C126" s="9" t="inlineStr">
        <is>
          <t>м.п.</t>
        </is>
      </c>
      <c r="D126" s="4">
        <f>IF('Форма'!G124="","",'Форма'!G124)</f>
        <v/>
      </c>
      <c r="E126" s="9" t="inlineStr">
        <is>
          <t>аналог (14.11)</t>
        </is>
      </c>
      <c r="F126" s="9" t="inlineStr">
        <is>
          <t>SVA</t>
        </is>
      </c>
      <c r="G126" s="10" t="n">
        <v>1603.72</v>
      </c>
      <c r="H126" s="10" t="n">
        <v>759.66</v>
      </c>
      <c r="I126" s="10" t="n">
        <v>0.703</v>
      </c>
      <c r="J126" s="9" t="inlineStr"/>
      <c r="K126" s="7">
        <f>IF(F126="",0,IFERROR(VLOOKUP(F126,Расходники!$A$4:$B$23,2,FALSE),0))</f>
        <v/>
      </c>
      <c r="L126" s="4">
        <f>H126*D126</f>
        <v/>
      </c>
      <c r="M126" s="4">
        <f>L126*K126</f>
        <v/>
      </c>
      <c r="N126" s="4">
        <f>SUMIF(Материалы!$A$4:$A$800,SUBSTITUTE(SUBSTITUTE(SUBSTITUTE(B126,"~","~~"),"*","~*"),"?","~?"),Материалы!$S$4:$S$800)</f>
        <v/>
      </c>
      <c r="O126" s="4">
        <f>L126+M126+N126</f>
        <v/>
      </c>
      <c r="P126" s="4">
        <f>IF(SUM($O$4:$O$672)=0,0,Косвенные!$C$9*O126/SUM($O$4:$O$672))</f>
        <v/>
      </c>
      <c r="Q126" s="4">
        <f>G126*D126+P126</f>
        <v/>
      </c>
      <c r="R126" s="4">
        <f>IF(D126=0,0,Q126/D126)</f>
        <v/>
      </c>
      <c r="S126" s="4">
        <f>IF(D126=0,0,SUMIF(Материалы!$A$4:$A$800,SUBSTITUTE(SUBSTITUTE(SUBSTITUTE(B126,"~","~~"),"*","~*"),"?","~?"),Материалы!$T$4:$T$800)/D126)</f>
        <v/>
      </c>
      <c r="T126" s="4">
        <f>R126+S126</f>
        <v/>
      </c>
      <c r="U126" s="4">
        <f>I126*D126</f>
        <v/>
      </c>
    </row>
    <row r="127" ht="22" customHeight="1">
      <c r="A127" s="9" t="inlineStr"/>
      <c r="B127" s="13" t="inlineStr">
        <is>
          <t>125. Металлическая круглая труба Ду100 (114х4,5мм)</t>
        </is>
      </c>
      <c r="C127" s="9" t="inlineStr">
        <is>
          <t>м.п.</t>
        </is>
      </c>
      <c r="D127" s="4">
        <f>IF('Форма'!G125="","",'Форма'!G125)</f>
        <v/>
      </c>
      <c r="E127" s="9" t="inlineStr">
        <is>
          <t>аналог (14.11)</t>
        </is>
      </c>
      <c r="F127" s="9" t="inlineStr">
        <is>
          <t>SVA</t>
        </is>
      </c>
      <c r="G127" s="10" t="n">
        <v>1748.31</v>
      </c>
      <c r="H127" s="10" t="n">
        <v>828.15</v>
      </c>
      <c r="I127" s="10" t="n">
        <v>0.767</v>
      </c>
      <c r="J127" s="9" t="inlineStr"/>
      <c r="K127" s="7">
        <f>IF(F127="",0,IFERROR(VLOOKUP(F127,Расходники!$A$4:$B$23,2,FALSE),0))</f>
        <v/>
      </c>
      <c r="L127" s="4">
        <f>H127*D127</f>
        <v/>
      </c>
      <c r="M127" s="4">
        <f>L127*K127</f>
        <v/>
      </c>
      <c r="N127" s="4">
        <f>SUMIF(Материалы!$A$4:$A$800,SUBSTITUTE(SUBSTITUTE(SUBSTITUTE(B127,"~","~~"),"*","~*"),"?","~?"),Материалы!$S$4:$S$800)</f>
        <v/>
      </c>
      <c r="O127" s="4">
        <f>L127+M127+N127</f>
        <v/>
      </c>
      <c r="P127" s="4">
        <f>IF(SUM($O$4:$O$672)=0,0,Косвенные!$C$9*O127/SUM($O$4:$O$672))</f>
        <v/>
      </c>
      <c r="Q127" s="4">
        <f>G127*D127+P127</f>
        <v/>
      </c>
      <c r="R127" s="4">
        <f>IF(D127=0,0,Q127/D127)</f>
        <v/>
      </c>
      <c r="S127" s="4">
        <f>IF(D127=0,0,SUMIF(Материалы!$A$4:$A$800,SUBSTITUTE(SUBSTITUTE(SUBSTITUTE(B127,"~","~~"),"*","~*"),"?","~?"),Материалы!$T$4:$T$800)/D127)</f>
        <v/>
      </c>
      <c r="T127" s="4">
        <f>R127+S127</f>
        <v/>
      </c>
      <c r="U127" s="4">
        <f>I127*D127</f>
        <v/>
      </c>
    </row>
    <row r="128" ht="22" customHeight="1">
      <c r="A128" s="9" t="inlineStr"/>
      <c r="B128" s="13" t="inlineStr">
        <is>
          <t>126. Металлическая профилированная труба 25х25x2 мм</t>
        </is>
      </c>
      <c r="C128" s="9" t="inlineStr">
        <is>
          <t>м.п.</t>
        </is>
      </c>
      <c r="D128" s="4">
        <f>IF('Форма'!G126="","",'Форма'!G126)</f>
        <v/>
      </c>
      <c r="E128" s="9" t="inlineStr">
        <is>
          <t>аналог (5.1.4 / 14.11)</t>
        </is>
      </c>
      <c r="F128" s="9" t="inlineStr">
        <is>
          <t>SVA</t>
        </is>
      </c>
      <c r="G128" s="10" t="n">
        <v>649.8</v>
      </c>
      <c r="H128" s="10" t="n">
        <v>307.8</v>
      </c>
      <c r="I128" s="10" t="n">
        <v>0.285</v>
      </c>
      <c r="J128" s="9" t="inlineStr"/>
      <c r="K128" s="7">
        <f>IF(F128="",0,IFERROR(VLOOKUP(F128,Расходники!$A$4:$B$23,2,FALSE),0))</f>
        <v/>
      </c>
      <c r="L128" s="4">
        <f>H128*D128</f>
        <v/>
      </c>
      <c r="M128" s="4">
        <f>L128*K128</f>
        <v/>
      </c>
      <c r="N128" s="4">
        <f>SUMIF(Материалы!$A$4:$A$800,SUBSTITUTE(SUBSTITUTE(SUBSTITUTE(B128,"~","~~"),"*","~*"),"?","~?"),Материалы!$S$4:$S$800)</f>
        <v/>
      </c>
      <c r="O128" s="4">
        <f>L128+M128+N128</f>
        <v/>
      </c>
      <c r="P128" s="4">
        <f>IF(SUM($O$4:$O$672)=0,0,Косвенные!$C$9*O128/SUM($O$4:$O$672))</f>
        <v/>
      </c>
      <c r="Q128" s="4">
        <f>G128*D128+P128</f>
        <v/>
      </c>
      <c r="R128" s="4">
        <f>IF(D128=0,0,Q128/D128)</f>
        <v/>
      </c>
      <c r="S128" s="4">
        <f>IF(D128=0,0,SUMIF(Материалы!$A$4:$A$800,SUBSTITUTE(SUBSTITUTE(SUBSTITUTE(B128,"~","~~"),"*","~*"),"?","~?"),Материалы!$T$4:$T$800)/D128)</f>
        <v/>
      </c>
      <c r="T128" s="4">
        <f>R128+S128</f>
        <v/>
      </c>
      <c r="U128" s="4">
        <f>I128*D128</f>
        <v/>
      </c>
    </row>
    <row r="129" ht="22" customHeight="1">
      <c r="A129" s="9" t="inlineStr"/>
      <c r="B129" s="13" t="inlineStr">
        <is>
          <t>127. Металлическая профилированная труба 40х20x2 мм</t>
        </is>
      </c>
      <c r="C129" s="9" t="inlineStr">
        <is>
          <t>м.п.</t>
        </is>
      </c>
      <c r="D129" s="4">
        <f>IF('Форма'!G127="","",'Форма'!G127)</f>
        <v/>
      </c>
      <c r="E129" s="9" t="inlineStr">
        <is>
          <t>аналог (5.1.4 / 14.11)</t>
        </is>
      </c>
      <c r="F129" s="9" t="inlineStr">
        <is>
          <t>SVA</t>
        </is>
      </c>
      <c r="G129" s="10" t="n">
        <v>682.01</v>
      </c>
      <c r="H129" s="10" t="n">
        <v>323.06</v>
      </c>
      <c r="I129" s="10" t="n">
        <v>0.299</v>
      </c>
      <c r="J129" s="9" t="inlineStr"/>
      <c r="K129" s="7">
        <f>IF(F129="",0,IFERROR(VLOOKUP(F129,Расходники!$A$4:$B$23,2,FALSE),0))</f>
        <v/>
      </c>
      <c r="L129" s="4">
        <f>H129*D129</f>
        <v/>
      </c>
      <c r="M129" s="4">
        <f>L129*K129</f>
        <v/>
      </c>
      <c r="N129" s="4">
        <f>SUMIF(Материалы!$A$4:$A$800,SUBSTITUTE(SUBSTITUTE(SUBSTITUTE(B129,"~","~~"),"*","~*"),"?","~?"),Материалы!$S$4:$S$800)</f>
        <v/>
      </c>
      <c r="O129" s="4">
        <f>L129+M129+N129</f>
        <v/>
      </c>
      <c r="P129" s="4">
        <f>IF(SUM($O$4:$O$672)=0,0,Косвенные!$C$9*O129/SUM($O$4:$O$672))</f>
        <v/>
      </c>
      <c r="Q129" s="4">
        <f>G129*D129+P129</f>
        <v/>
      </c>
      <c r="R129" s="4">
        <f>IF(D129=0,0,Q129/D129)</f>
        <v/>
      </c>
      <c r="S129" s="4">
        <f>IF(D129=0,0,SUMIF(Материалы!$A$4:$A$800,SUBSTITUTE(SUBSTITUTE(SUBSTITUTE(B129,"~","~~"),"*","~*"),"?","~?"),Материалы!$T$4:$T$800)/D129)</f>
        <v/>
      </c>
      <c r="T129" s="4">
        <f>R129+S129</f>
        <v/>
      </c>
      <c r="U129" s="4">
        <f>I129*D129</f>
        <v/>
      </c>
    </row>
    <row r="130" ht="22" customHeight="1">
      <c r="A130" s="9" t="inlineStr"/>
      <c r="B130" s="13" t="inlineStr">
        <is>
          <t>128. Металлическая профилированная труба 40х25x2 мм</t>
        </is>
      </c>
      <c r="C130" s="9" t="inlineStr">
        <is>
          <t>м.п.</t>
        </is>
      </c>
      <c r="D130" s="4">
        <f>IF('Форма'!G128="","",'Форма'!G128)</f>
        <v/>
      </c>
      <c r="E130" s="9" t="inlineStr">
        <is>
          <t>аналог (5.1.4 / 14.11)</t>
        </is>
      </c>
      <c r="F130" s="9" t="inlineStr">
        <is>
          <t>SVA</t>
        </is>
      </c>
      <c r="G130" s="10" t="n">
        <v>698.12</v>
      </c>
      <c r="H130" s="10" t="n">
        <v>330.69</v>
      </c>
      <c r="I130" s="10" t="n">
        <v>0.306</v>
      </c>
      <c r="J130" s="9" t="inlineStr"/>
      <c r="K130" s="7">
        <f>IF(F130="",0,IFERROR(VLOOKUP(F130,Расходники!$A$4:$B$23,2,FALSE),0))</f>
        <v/>
      </c>
      <c r="L130" s="4">
        <f>H130*D130</f>
        <v/>
      </c>
      <c r="M130" s="4">
        <f>L130*K130</f>
        <v/>
      </c>
      <c r="N130" s="4">
        <f>SUMIF(Материалы!$A$4:$A$800,SUBSTITUTE(SUBSTITUTE(SUBSTITUTE(B130,"~","~~"),"*","~*"),"?","~?"),Материалы!$S$4:$S$800)</f>
        <v/>
      </c>
      <c r="O130" s="4">
        <f>L130+M130+N130</f>
        <v/>
      </c>
      <c r="P130" s="4">
        <f>IF(SUM($O$4:$O$672)=0,0,Косвенные!$C$9*O130/SUM($O$4:$O$672))</f>
        <v/>
      </c>
      <c r="Q130" s="4">
        <f>G130*D130+P130</f>
        <v/>
      </c>
      <c r="R130" s="4">
        <f>IF(D130=0,0,Q130/D130)</f>
        <v/>
      </c>
      <c r="S130" s="4">
        <f>IF(D130=0,0,SUMIF(Материалы!$A$4:$A$800,SUBSTITUTE(SUBSTITUTE(SUBSTITUTE(B130,"~","~~"),"*","~*"),"?","~?"),Материалы!$T$4:$T$800)/D130)</f>
        <v/>
      </c>
      <c r="T130" s="4">
        <f>R130+S130</f>
        <v/>
      </c>
      <c r="U130" s="4">
        <f>I130*D130</f>
        <v/>
      </c>
    </row>
    <row r="131" ht="22" customHeight="1">
      <c r="A131" s="9" t="inlineStr"/>
      <c r="B131" s="13" t="inlineStr">
        <is>
          <t>129. Металлическая профилированная труба 40х40х2 мм</t>
        </is>
      </c>
      <c r="C131" s="9" t="inlineStr">
        <is>
          <t>м.п.</t>
        </is>
      </c>
      <c r="D131" s="4">
        <f>IF('Форма'!G129="","",'Форма'!G129)</f>
        <v/>
      </c>
      <c r="E131" s="9" t="inlineStr">
        <is>
          <t>аналог (5.1.4 / 14.11)</t>
        </is>
      </c>
      <c r="F131" s="9" t="inlineStr">
        <is>
          <t>SVA</t>
        </is>
      </c>
      <c r="G131" s="10" t="n">
        <v>746.4400000000001</v>
      </c>
      <c r="H131" s="10" t="n">
        <v>353.58</v>
      </c>
      <c r="I131" s="10" t="n">
        <v>0.327</v>
      </c>
      <c r="J131" s="9" t="inlineStr"/>
      <c r="K131" s="7">
        <f>IF(F131="",0,IFERROR(VLOOKUP(F131,Расходники!$A$4:$B$23,2,FALSE),0))</f>
        <v/>
      </c>
      <c r="L131" s="4">
        <f>H131*D131</f>
        <v/>
      </c>
      <c r="M131" s="4">
        <f>L131*K131</f>
        <v/>
      </c>
      <c r="N131" s="4">
        <f>SUMIF(Материалы!$A$4:$A$800,SUBSTITUTE(SUBSTITUTE(SUBSTITUTE(B131,"~","~~"),"*","~*"),"?","~?"),Материалы!$S$4:$S$800)</f>
        <v/>
      </c>
      <c r="O131" s="4">
        <f>L131+M131+N131</f>
        <v/>
      </c>
      <c r="P131" s="4">
        <f>IF(SUM($O$4:$O$672)=0,0,Косвенные!$C$9*O131/SUM($O$4:$O$672))</f>
        <v/>
      </c>
      <c r="Q131" s="4">
        <f>G131*D131+P131</f>
        <v/>
      </c>
      <c r="R131" s="4">
        <f>IF(D131=0,0,Q131/D131)</f>
        <v/>
      </c>
      <c r="S131" s="4">
        <f>IF(D131=0,0,SUMIF(Материалы!$A$4:$A$800,SUBSTITUTE(SUBSTITUTE(SUBSTITUTE(B131,"~","~~"),"*","~*"),"?","~?"),Материалы!$T$4:$T$800)/D131)</f>
        <v/>
      </c>
      <c r="T131" s="4">
        <f>R131+S131</f>
        <v/>
      </c>
      <c r="U131" s="4">
        <f>I131*D131</f>
        <v/>
      </c>
    </row>
    <row r="132" ht="22" customHeight="1">
      <c r="A132" s="9" t="inlineStr"/>
      <c r="B132" s="13" t="inlineStr">
        <is>
          <t>130. Металлическая профилированная труба 50х25х2 мм</t>
        </is>
      </c>
      <c r="C132" s="9" t="inlineStr">
        <is>
          <t>м.п.</t>
        </is>
      </c>
      <c r="D132" s="4">
        <f>IF('Форма'!G130="","",'Форма'!G130)</f>
        <v/>
      </c>
      <c r="E132" s="9" t="inlineStr">
        <is>
          <t>аналог (5.1.4 / 14.11)</t>
        </is>
      </c>
      <c r="F132" s="9" t="inlineStr">
        <is>
          <t>SVA</t>
        </is>
      </c>
      <c r="G132" s="10" t="n">
        <v>730.34</v>
      </c>
      <c r="H132" s="10" t="n">
        <v>345.95</v>
      </c>
      <c r="I132" s="10" t="n">
        <v>0.32</v>
      </c>
      <c r="J132" s="9" t="inlineStr"/>
      <c r="K132" s="7">
        <f>IF(F132="",0,IFERROR(VLOOKUP(F132,Расходники!$A$4:$B$23,2,FALSE),0))</f>
        <v/>
      </c>
      <c r="L132" s="4">
        <f>H132*D132</f>
        <v/>
      </c>
      <c r="M132" s="4">
        <f>L132*K132</f>
        <v/>
      </c>
      <c r="N132" s="4">
        <f>SUMIF(Материалы!$A$4:$A$800,SUBSTITUTE(SUBSTITUTE(SUBSTITUTE(B132,"~","~~"),"*","~*"),"?","~?"),Материалы!$S$4:$S$800)</f>
        <v/>
      </c>
      <c r="O132" s="4">
        <f>L132+M132+N132</f>
        <v/>
      </c>
      <c r="P132" s="4">
        <f>IF(SUM($O$4:$O$672)=0,0,Косвенные!$C$9*O132/SUM($O$4:$O$672))</f>
        <v/>
      </c>
      <c r="Q132" s="4">
        <f>G132*D132+P132</f>
        <v/>
      </c>
      <c r="R132" s="4">
        <f>IF(D132=0,0,Q132/D132)</f>
        <v/>
      </c>
      <c r="S132" s="4">
        <f>IF(D132=0,0,SUMIF(Материалы!$A$4:$A$800,SUBSTITUTE(SUBSTITUTE(SUBSTITUTE(B132,"~","~~"),"*","~*"),"?","~?"),Материалы!$T$4:$T$800)/D132)</f>
        <v/>
      </c>
      <c r="T132" s="4">
        <f>R132+S132</f>
        <v/>
      </c>
      <c r="U132" s="4">
        <f>I132*D132</f>
        <v/>
      </c>
    </row>
    <row r="133" ht="22" customHeight="1">
      <c r="A133" s="9" t="inlineStr"/>
      <c r="B133" s="13" t="inlineStr">
        <is>
          <t>131. Металлическая профилированная труба 60х40х2 мм</t>
        </is>
      </c>
      <c r="C133" s="9" t="inlineStr">
        <is>
          <t>м.п.</t>
        </is>
      </c>
      <c r="D133" s="4">
        <f>IF('Форма'!G131="","",'Форма'!G131)</f>
        <v/>
      </c>
      <c r="E133" s="9" t="inlineStr">
        <is>
          <t>аналог (5.1.4 / 14.11)</t>
        </is>
      </c>
      <c r="F133" s="9" t="inlineStr">
        <is>
          <t>SVA</t>
        </is>
      </c>
      <c r="G133" s="10" t="n">
        <v>810.88</v>
      </c>
      <c r="H133" s="10" t="n">
        <v>384.1</v>
      </c>
      <c r="I133" s="10" t="n">
        <v>0.356</v>
      </c>
      <c r="J133" s="9" t="inlineStr"/>
      <c r="K133" s="7">
        <f>IF(F133="",0,IFERROR(VLOOKUP(F133,Расходники!$A$4:$B$23,2,FALSE),0))</f>
        <v/>
      </c>
      <c r="L133" s="4">
        <f>H133*D133</f>
        <v/>
      </c>
      <c r="M133" s="4">
        <f>L133*K133</f>
        <v/>
      </c>
      <c r="N133" s="4">
        <f>SUMIF(Материалы!$A$4:$A$800,SUBSTITUTE(SUBSTITUTE(SUBSTITUTE(B133,"~","~~"),"*","~*"),"?","~?"),Материалы!$S$4:$S$800)</f>
        <v/>
      </c>
      <c r="O133" s="4">
        <f>L133+M133+N133</f>
        <v/>
      </c>
      <c r="P133" s="4">
        <f>IF(SUM($O$4:$O$672)=0,0,Косвенные!$C$9*O133/SUM($O$4:$O$672))</f>
        <v/>
      </c>
      <c r="Q133" s="4">
        <f>G133*D133+P133</f>
        <v/>
      </c>
      <c r="R133" s="4">
        <f>IF(D133=0,0,Q133/D133)</f>
        <v/>
      </c>
      <c r="S133" s="4">
        <f>IF(D133=0,0,SUMIF(Материалы!$A$4:$A$800,SUBSTITUTE(SUBSTITUTE(SUBSTITUTE(B133,"~","~~"),"*","~*"),"?","~?"),Материалы!$T$4:$T$800)/D133)</f>
        <v/>
      </c>
      <c r="T133" s="4">
        <f>R133+S133</f>
        <v/>
      </c>
      <c r="U133" s="4">
        <f>I133*D133</f>
        <v/>
      </c>
    </row>
    <row r="134" ht="22" customHeight="1">
      <c r="A134" s="9" t="inlineStr"/>
      <c r="B134" s="13" t="inlineStr">
        <is>
          <t>132. Металлическая профилированная труба 50х50х2 мм</t>
        </is>
      </c>
      <c r="C134" s="9" t="inlineStr">
        <is>
          <t>м.п.</t>
        </is>
      </c>
      <c r="D134" s="4">
        <f>IF('Форма'!G132="","",'Форма'!G132)</f>
        <v/>
      </c>
      <c r="E134" s="9" t="inlineStr">
        <is>
          <t>аналог (5.1.4 / 14.11)</t>
        </is>
      </c>
      <c r="F134" s="9" t="inlineStr">
        <is>
          <t>SVA</t>
        </is>
      </c>
      <c r="G134" s="10" t="n">
        <v>810.88</v>
      </c>
      <c r="H134" s="10" t="n">
        <v>384.1</v>
      </c>
      <c r="I134" s="10" t="n">
        <v>0.356</v>
      </c>
      <c r="J134" s="9" t="inlineStr"/>
      <c r="K134" s="7">
        <f>IF(F134="",0,IFERROR(VLOOKUP(F134,Расходники!$A$4:$B$23,2,FALSE),0))</f>
        <v/>
      </c>
      <c r="L134" s="4">
        <f>H134*D134</f>
        <v/>
      </c>
      <c r="M134" s="4">
        <f>L134*K134</f>
        <v/>
      </c>
      <c r="N134" s="4">
        <f>SUMIF(Материалы!$A$4:$A$800,SUBSTITUTE(SUBSTITUTE(SUBSTITUTE(B134,"~","~~"),"*","~*"),"?","~?"),Материалы!$S$4:$S$800)</f>
        <v/>
      </c>
      <c r="O134" s="4">
        <f>L134+M134+N134</f>
        <v/>
      </c>
      <c r="P134" s="4">
        <f>IF(SUM($O$4:$O$672)=0,0,Косвенные!$C$9*O134/SUM($O$4:$O$672))</f>
        <v/>
      </c>
      <c r="Q134" s="4">
        <f>G134*D134+P134</f>
        <v/>
      </c>
      <c r="R134" s="4">
        <f>IF(D134=0,0,Q134/D134)</f>
        <v/>
      </c>
      <c r="S134" s="4">
        <f>IF(D134=0,0,SUMIF(Материалы!$A$4:$A$800,SUBSTITUTE(SUBSTITUTE(SUBSTITUTE(B134,"~","~~"),"*","~*"),"?","~?"),Материалы!$T$4:$T$800)/D134)</f>
        <v/>
      </c>
      <c r="T134" s="4">
        <f>R134+S134</f>
        <v/>
      </c>
      <c r="U134" s="4">
        <f>I134*D134</f>
        <v/>
      </c>
    </row>
    <row r="135" ht="22" customHeight="1">
      <c r="A135" s="9" t="inlineStr"/>
      <c r="B135" s="13" t="inlineStr">
        <is>
          <t>133. Металлическая профилированная труба 60х60x2 мм</t>
        </is>
      </c>
      <c r="C135" s="9" t="inlineStr">
        <is>
          <t>м.п.</t>
        </is>
      </c>
      <c r="D135" s="4">
        <f>IF('Форма'!G133="","",'Форма'!G133)</f>
        <v/>
      </c>
      <c r="E135" s="9" t="inlineStr">
        <is>
          <t>аналог (5.1.4 / 14.11)</t>
        </is>
      </c>
      <c r="F135" s="9" t="inlineStr">
        <is>
          <t>SVA</t>
        </is>
      </c>
      <c r="G135" s="10" t="n">
        <v>875.3099999999999</v>
      </c>
      <c r="H135" s="10" t="n">
        <v>414.62</v>
      </c>
      <c r="I135" s="10" t="n">
        <v>0.384</v>
      </c>
      <c r="J135" s="9" t="inlineStr"/>
      <c r="K135" s="7">
        <f>IF(F135="",0,IFERROR(VLOOKUP(F135,Расходники!$A$4:$B$23,2,FALSE),0))</f>
        <v/>
      </c>
      <c r="L135" s="4">
        <f>H135*D135</f>
        <v/>
      </c>
      <c r="M135" s="4">
        <f>L135*K135</f>
        <v/>
      </c>
      <c r="N135" s="4">
        <f>SUMIF(Материалы!$A$4:$A$800,SUBSTITUTE(SUBSTITUTE(SUBSTITUTE(B135,"~","~~"),"*","~*"),"?","~?"),Материалы!$S$4:$S$800)</f>
        <v/>
      </c>
      <c r="O135" s="4">
        <f>L135+M135+N135</f>
        <v/>
      </c>
      <c r="P135" s="4">
        <f>IF(SUM($O$4:$O$672)=0,0,Косвенные!$C$9*O135/SUM($O$4:$O$672))</f>
        <v/>
      </c>
      <c r="Q135" s="4">
        <f>G135*D135+P135</f>
        <v/>
      </c>
      <c r="R135" s="4">
        <f>IF(D135=0,0,Q135/D135)</f>
        <v/>
      </c>
      <c r="S135" s="4">
        <f>IF(D135=0,0,SUMIF(Материалы!$A$4:$A$800,SUBSTITUTE(SUBSTITUTE(SUBSTITUTE(B135,"~","~~"),"*","~*"),"?","~?"),Материалы!$T$4:$T$800)/D135)</f>
        <v/>
      </c>
      <c r="T135" s="4">
        <f>R135+S135</f>
        <v/>
      </c>
      <c r="U135" s="4">
        <f>I135*D135</f>
        <v/>
      </c>
    </row>
    <row r="136" ht="22" customHeight="1">
      <c r="A136" s="9" t="inlineStr"/>
      <c r="B136" s="13" t="inlineStr">
        <is>
          <t>134. Металлическая профилированная труба 80х60x2 мм</t>
        </is>
      </c>
      <c r="C136" s="9" t="inlineStr">
        <is>
          <t>м.п.</t>
        </is>
      </c>
      <c r="D136" s="4">
        <f>IF('Форма'!G134="","",'Форма'!G134)</f>
        <v/>
      </c>
      <c r="E136" s="9" t="inlineStr">
        <is>
          <t>аналог (5.1.4 / 14.11)</t>
        </is>
      </c>
      <c r="F136" s="9" t="inlineStr">
        <is>
          <t>SVA</t>
        </is>
      </c>
      <c r="G136" s="10" t="n">
        <v>939.74</v>
      </c>
      <c r="H136" s="10" t="n">
        <v>445.14</v>
      </c>
      <c r="I136" s="10" t="n">
        <v>0.412</v>
      </c>
      <c r="J136" s="9" t="inlineStr"/>
      <c r="K136" s="7">
        <f>IF(F136="",0,IFERROR(VLOOKUP(F136,Расходники!$A$4:$B$23,2,FALSE),0))</f>
        <v/>
      </c>
      <c r="L136" s="4">
        <f>H136*D136</f>
        <v/>
      </c>
      <c r="M136" s="4">
        <f>L136*K136</f>
        <v/>
      </c>
      <c r="N136" s="4">
        <f>SUMIF(Материалы!$A$4:$A$800,SUBSTITUTE(SUBSTITUTE(SUBSTITUTE(B136,"~","~~"),"*","~*"),"?","~?"),Материалы!$S$4:$S$800)</f>
        <v/>
      </c>
      <c r="O136" s="4">
        <f>L136+M136+N136</f>
        <v/>
      </c>
      <c r="P136" s="4">
        <f>IF(SUM($O$4:$O$672)=0,0,Косвенные!$C$9*O136/SUM($O$4:$O$672))</f>
        <v/>
      </c>
      <c r="Q136" s="4">
        <f>G136*D136+P136</f>
        <v/>
      </c>
      <c r="R136" s="4">
        <f>IF(D136=0,0,Q136/D136)</f>
        <v/>
      </c>
      <c r="S136" s="4">
        <f>IF(D136=0,0,SUMIF(Материалы!$A$4:$A$800,SUBSTITUTE(SUBSTITUTE(SUBSTITUTE(B136,"~","~~"),"*","~*"),"?","~?"),Материалы!$T$4:$T$800)/D136)</f>
        <v/>
      </c>
      <c r="T136" s="4">
        <f>R136+S136</f>
        <v/>
      </c>
      <c r="U136" s="4">
        <f>I136*D136</f>
        <v/>
      </c>
    </row>
    <row r="137" ht="22" customHeight="1">
      <c r="A137" s="9" t="inlineStr"/>
      <c r="B137" s="13" t="inlineStr">
        <is>
          <t>135. Металлическая профилированная труба 80х80x4 мм</t>
        </is>
      </c>
      <c r="C137" s="9" t="inlineStr">
        <is>
          <t>м.п.</t>
        </is>
      </c>
      <c r="D137" s="4">
        <f>IF('Форма'!G135="","",'Форма'!G135)</f>
        <v/>
      </c>
      <c r="E137" s="9" t="inlineStr">
        <is>
          <t>аналог (5.1.4 / 14.11)</t>
        </is>
      </c>
      <c r="F137" s="9" t="inlineStr">
        <is>
          <t>SVA</t>
        </is>
      </c>
      <c r="G137" s="10" t="n">
        <v>1480.98</v>
      </c>
      <c r="H137" s="10" t="n">
        <v>701.52</v>
      </c>
      <c r="I137" s="10" t="n">
        <v>0.65</v>
      </c>
      <c r="J137" s="9" t="inlineStr"/>
      <c r="K137" s="7">
        <f>IF(F137="",0,IFERROR(VLOOKUP(F137,Расходники!$A$4:$B$23,2,FALSE),0))</f>
        <v/>
      </c>
      <c r="L137" s="4">
        <f>H137*D137</f>
        <v/>
      </c>
      <c r="M137" s="4">
        <f>L137*K137</f>
        <v/>
      </c>
      <c r="N137" s="4">
        <f>SUMIF(Материалы!$A$4:$A$800,SUBSTITUTE(SUBSTITUTE(SUBSTITUTE(B137,"~","~~"),"*","~*"),"?","~?"),Материалы!$S$4:$S$800)</f>
        <v/>
      </c>
      <c r="O137" s="4">
        <f>L137+M137+N137</f>
        <v/>
      </c>
      <c r="P137" s="4">
        <f>IF(SUM($O$4:$O$672)=0,0,Косвенные!$C$9*O137/SUM($O$4:$O$672))</f>
        <v/>
      </c>
      <c r="Q137" s="4">
        <f>G137*D137+P137</f>
        <v/>
      </c>
      <c r="R137" s="4">
        <f>IF(D137=0,0,Q137/D137)</f>
        <v/>
      </c>
      <c r="S137" s="4">
        <f>IF(D137=0,0,SUMIF(Материалы!$A$4:$A$800,SUBSTITUTE(SUBSTITUTE(SUBSTITUTE(B137,"~","~~"),"*","~*"),"?","~?"),Материалы!$T$4:$T$800)/D137)</f>
        <v/>
      </c>
      <c r="T137" s="4">
        <f>R137+S137</f>
        <v/>
      </c>
      <c r="U137" s="4">
        <f>I137*D137</f>
        <v/>
      </c>
    </row>
    <row r="138" ht="22" customHeight="1">
      <c r="A138" s="9" t="inlineStr"/>
      <c r="B138" s="13" t="inlineStr">
        <is>
          <t>136. Металлическая профилированная труба 100х100x5 мм</t>
        </is>
      </c>
      <c r="C138" s="9" t="inlineStr">
        <is>
          <t>м.п.</t>
        </is>
      </c>
      <c r="D138" s="4">
        <f>IF('Форма'!G136="","",'Форма'!G136)</f>
        <v/>
      </c>
      <c r="E138" s="9" t="inlineStr">
        <is>
          <t>аналог (5.1.4 / 14.11)</t>
        </is>
      </c>
      <c r="F138" s="9" t="inlineStr">
        <is>
          <t>SVA</t>
        </is>
      </c>
      <c r="G138" s="10" t="n">
        <v>2031.88</v>
      </c>
      <c r="H138" s="10" t="n">
        <v>962.47</v>
      </c>
      <c r="I138" s="10" t="n">
        <v>0.891</v>
      </c>
      <c r="J138" s="9" t="inlineStr"/>
      <c r="K138" s="7">
        <f>IF(F138="",0,IFERROR(VLOOKUP(F138,Расходники!$A$4:$B$23,2,FALSE),0))</f>
        <v/>
      </c>
      <c r="L138" s="4">
        <f>H138*D138</f>
        <v/>
      </c>
      <c r="M138" s="4">
        <f>L138*K138</f>
        <v/>
      </c>
      <c r="N138" s="4">
        <f>SUMIF(Материалы!$A$4:$A$800,SUBSTITUTE(SUBSTITUTE(SUBSTITUTE(B138,"~","~~"),"*","~*"),"?","~?"),Материалы!$S$4:$S$800)</f>
        <v/>
      </c>
      <c r="O138" s="4">
        <f>L138+M138+N138</f>
        <v/>
      </c>
      <c r="P138" s="4">
        <f>IF(SUM($O$4:$O$672)=0,0,Косвенные!$C$9*O138/SUM($O$4:$O$672))</f>
        <v/>
      </c>
      <c r="Q138" s="4">
        <f>G138*D138+P138</f>
        <v/>
      </c>
      <c r="R138" s="4">
        <f>IF(D138=0,0,Q138/D138)</f>
        <v/>
      </c>
      <c r="S138" s="4">
        <f>IF(D138=0,0,SUMIF(Материалы!$A$4:$A$800,SUBSTITUTE(SUBSTITUTE(SUBSTITUTE(B138,"~","~~"),"*","~*"),"?","~?"),Материалы!$T$4:$T$800)/D138)</f>
        <v/>
      </c>
      <c r="T138" s="4">
        <f>R138+S138</f>
        <v/>
      </c>
      <c r="U138" s="4">
        <f>I138*D138</f>
        <v/>
      </c>
    </row>
    <row r="139" ht="22" customHeight="1">
      <c r="A139" s="9" t="inlineStr"/>
      <c r="B139" s="13" t="inlineStr">
        <is>
          <t>137. Металлическая профилированная труба 60х60x4 мм</t>
        </is>
      </c>
      <c r="C139" s="9" t="inlineStr">
        <is>
          <t>м.п.</t>
        </is>
      </c>
      <c r="D139" s="4">
        <f>IF('Форма'!G137="","",'Форма'!G137)</f>
        <v/>
      </c>
      <c r="E139" s="9" t="inlineStr">
        <is>
          <t>аналог (5.1.4 / 14.11)</t>
        </is>
      </c>
      <c r="F139" s="9" t="inlineStr">
        <is>
          <t>SVA</t>
        </is>
      </c>
      <c r="G139" s="10" t="n">
        <v>1223.25</v>
      </c>
      <c r="H139" s="10" t="n">
        <v>579.4299999999999</v>
      </c>
      <c r="I139" s="10" t="n">
        <v>0.537</v>
      </c>
      <c r="J139" s="9" t="inlineStr"/>
      <c r="K139" s="7">
        <f>IF(F139="",0,IFERROR(VLOOKUP(F139,Расходники!$A$4:$B$23,2,FALSE),0))</f>
        <v/>
      </c>
      <c r="L139" s="4">
        <f>H139*D139</f>
        <v/>
      </c>
      <c r="M139" s="4">
        <f>L139*K139</f>
        <v/>
      </c>
      <c r="N139" s="4">
        <f>SUMIF(Материалы!$A$4:$A$800,SUBSTITUTE(SUBSTITUTE(SUBSTITUTE(B139,"~","~~"),"*","~*"),"?","~?"),Материалы!$S$4:$S$800)</f>
        <v/>
      </c>
      <c r="O139" s="4">
        <f>L139+M139+N139</f>
        <v/>
      </c>
      <c r="P139" s="4">
        <f>IF(SUM($O$4:$O$672)=0,0,Косвенные!$C$9*O139/SUM($O$4:$O$672))</f>
        <v/>
      </c>
      <c r="Q139" s="4">
        <f>G139*D139+P139</f>
        <v/>
      </c>
      <c r="R139" s="4">
        <f>IF(D139=0,0,Q139/D139)</f>
        <v/>
      </c>
      <c r="S139" s="4">
        <f>IF(D139=0,0,SUMIF(Материалы!$A$4:$A$800,SUBSTITUTE(SUBSTITUTE(SUBSTITUTE(B139,"~","~~"),"*","~*"),"?","~?"),Материалы!$T$4:$T$800)/D139)</f>
        <v/>
      </c>
      <c r="T139" s="4">
        <f>R139+S139</f>
        <v/>
      </c>
      <c r="U139" s="4">
        <f>I139*D139</f>
        <v/>
      </c>
    </row>
    <row r="140" ht="22" customHeight="1">
      <c r="A140" s="9" t="inlineStr"/>
      <c r="B140" s="13" t="inlineStr">
        <is>
          <t>138. Уголок стальной 25х25х4 мм</t>
        </is>
      </c>
      <c r="C140" s="9" t="inlineStr">
        <is>
          <t>м.п.</t>
        </is>
      </c>
      <c r="D140" s="4">
        <f>IF('Форма'!G138="","",'Форма'!G138)</f>
        <v/>
      </c>
      <c r="E140" s="9" t="inlineStr">
        <is>
          <t>аналог (14.11)</t>
        </is>
      </c>
      <c r="F140" s="9" t="inlineStr">
        <is>
          <t>SVA</t>
        </is>
      </c>
      <c r="G140" s="10" t="n">
        <v>389.88</v>
      </c>
      <c r="H140" s="10" t="n">
        <v>184.68</v>
      </c>
      <c r="I140" s="10" t="n">
        <v>0.171</v>
      </c>
      <c r="J140" s="9" t="inlineStr"/>
      <c r="K140" s="7">
        <f>IF(F140="",0,IFERROR(VLOOKUP(F140,Расходники!$A$4:$B$23,2,FALSE),0))</f>
        <v/>
      </c>
      <c r="L140" s="4">
        <f>H140*D140</f>
        <v/>
      </c>
      <c r="M140" s="4">
        <f>L140*K140</f>
        <v/>
      </c>
      <c r="N140" s="4">
        <f>SUMIF(Материалы!$A$4:$A$800,SUBSTITUTE(SUBSTITUTE(SUBSTITUTE(B140,"~","~~"),"*","~*"),"?","~?"),Материалы!$S$4:$S$800)</f>
        <v/>
      </c>
      <c r="O140" s="4">
        <f>L140+M140+N140</f>
        <v/>
      </c>
      <c r="P140" s="4">
        <f>IF(SUM($O$4:$O$672)=0,0,Косвенные!$C$9*O140/SUM($O$4:$O$672))</f>
        <v/>
      </c>
      <c r="Q140" s="4">
        <f>G140*D140+P140</f>
        <v/>
      </c>
      <c r="R140" s="4">
        <f>IF(D140=0,0,Q140/D140)</f>
        <v/>
      </c>
      <c r="S140" s="4">
        <f>IF(D140=0,0,SUMIF(Материалы!$A$4:$A$800,SUBSTITUTE(SUBSTITUTE(SUBSTITUTE(B140,"~","~~"),"*","~*"),"?","~?"),Материалы!$T$4:$T$800)/D140)</f>
        <v/>
      </c>
      <c r="T140" s="4">
        <f>R140+S140</f>
        <v/>
      </c>
      <c r="U140" s="4">
        <f>I140*D140</f>
        <v/>
      </c>
    </row>
    <row r="141" ht="22" customHeight="1">
      <c r="A141" s="9" t="inlineStr"/>
      <c r="B141" s="13" t="inlineStr">
        <is>
          <t>139. Уголок стальной 35х35х4 мм</t>
        </is>
      </c>
      <c r="C141" s="9" t="inlineStr">
        <is>
          <t>м.п.</t>
        </is>
      </c>
      <c r="D141" s="4">
        <f>IF('Форма'!G139="","",'Форма'!G139)</f>
        <v/>
      </c>
      <c r="E141" s="9" t="inlineStr">
        <is>
          <t>аналог (14.11)</t>
        </is>
      </c>
      <c r="F141" s="9" t="inlineStr">
        <is>
          <t>SVA</t>
        </is>
      </c>
      <c r="G141" s="10" t="n">
        <v>428.54</v>
      </c>
      <c r="H141" s="10" t="n">
        <v>202.99</v>
      </c>
      <c r="I141" s="10" t="n">
        <v>0.188</v>
      </c>
      <c r="J141" s="9" t="inlineStr"/>
      <c r="K141" s="7">
        <f>IF(F141="",0,IFERROR(VLOOKUP(F141,Расходники!$A$4:$B$23,2,FALSE),0))</f>
        <v/>
      </c>
      <c r="L141" s="4">
        <f>H141*D141</f>
        <v/>
      </c>
      <c r="M141" s="4">
        <f>L141*K141</f>
        <v/>
      </c>
      <c r="N141" s="4">
        <f>SUMIF(Материалы!$A$4:$A$800,SUBSTITUTE(SUBSTITUTE(SUBSTITUTE(B141,"~","~~"),"*","~*"),"?","~?"),Материалы!$S$4:$S$800)</f>
        <v/>
      </c>
      <c r="O141" s="4">
        <f>L141+M141+N141</f>
        <v/>
      </c>
      <c r="P141" s="4">
        <f>IF(SUM($O$4:$O$672)=0,0,Косвенные!$C$9*O141/SUM($O$4:$O$672))</f>
        <v/>
      </c>
      <c r="Q141" s="4">
        <f>G141*D141+P141</f>
        <v/>
      </c>
      <c r="R141" s="4">
        <f>IF(D141=0,0,Q141/D141)</f>
        <v/>
      </c>
      <c r="S141" s="4">
        <f>IF(D141=0,0,SUMIF(Материалы!$A$4:$A$800,SUBSTITUTE(SUBSTITUTE(SUBSTITUTE(B141,"~","~~"),"*","~*"),"?","~?"),Материалы!$T$4:$T$800)/D141)</f>
        <v/>
      </c>
      <c r="T141" s="4">
        <f>R141+S141</f>
        <v/>
      </c>
      <c r="U141" s="4">
        <f>I141*D141</f>
        <v/>
      </c>
    </row>
    <row r="142" ht="22" customHeight="1">
      <c r="A142" s="9" t="inlineStr"/>
      <c r="B142" s="13" t="inlineStr">
        <is>
          <t>140. Уголок стальной 45х45х4 мм</t>
        </is>
      </c>
      <c r="C142" s="9" t="inlineStr">
        <is>
          <t>м.п.</t>
        </is>
      </c>
      <c r="D142" s="4">
        <f>IF('Форма'!G140="","",'Форма'!G140)</f>
        <v/>
      </c>
      <c r="E142" s="9" t="inlineStr">
        <is>
          <t>аналог (14.11)</t>
        </is>
      </c>
      <c r="F142" s="9" t="inlineStr">
        <is>
          <t>SVA</t>
        </is>
      </c>
      <c r="G142" s="10" t="n">
        <v>467.2</v>
      </c>
      <c r="H142" s="10" t="n">
        <v>221.3</v>
      </c>
      <c r="I142" s="10" t="n">
        <v>0.205</v>
      </c>
      <c r="J142" s="9" t="inlineStr"/>
      <c r="K142" s="7">
        <f>IF(F142="",0,IFERROR(VLOOKUP(F142,Расходники!$A$4:$B$23,2,FALSE),0))</f>
        <v/>
      </c>
      <c r="L142" s="4">
        <f>H142*D142</f>
        <v/>
      </c>
      <c r="M142" s="4">
        <f>L142*K142</f>
        <v/>
      </c>
      <c r="N142" s="4">
        <f>SUMIF(Материалы!$A$4:$A$800,SUBSTITUTE(SUBSTITUTE(SUBSTITUTE(B142,"~","~~"),"*","~*"),"?","~?"),Материалы!$S$4:$S$800)</f>
        <v/>
      </c>
      <c r="O142" s="4">
        <f>L142+M142+N142</f>
        <v/>
      </c>
      <c r="P142" s="4">
        <f>IF(SUM($O$4:$O$672)=0,0,Косвенные!$C$9*O142/SUM($O$4:$O$672))</f>
        <v/>
      </c>
      <c r="Q142" s="4">
        <f>G142*D142+P142</f>
        <v/>
      </c>
      <c r="R142" s="4">
        <f>IF(D142=0,0,Q142/D142)</f>
        <v/>
      </c>
      <c r="S142" s="4">
        <f>IF(D142=0,0,SUMIF(Материалы!$A$4:$A$800,SUBSTITUTE(SUBSTITUTE(SUBSTITUTE(B142,"~","~~"),"*","~*"),"?","~?"),Материалы!$T$4:$T$800)/D142)</f>
        <v/>
      </c>
      <c r="T142" s="4">
        <f>R142+S142</f>
        <v/>
      </c>
      <c r="U142" s="4">
        <f>I142*D142</f>
        <v/>
      </c>
    </row>
    <row r="143" ht="22" customHeight="1">
      <c r="A143" s="9" t="inlineStr"/>
      <c r="B143" s="13" t="inlineStr">
        <is>
          <t>141. Уголок стальной 50х50х5 мм</t>
        </is>
      </c>
      <c r="C143" s="9" t="inlineStr">
        <is>
          <t>м.п.</t>
        </is>
      </c>
      <c r="D143" s="4">
        <f>IF('Форма'!G141="","",'Форма'!G141)</f>
        <v/>
      </c>
      <c r="E143" s="9" t="inlineStr">
        <is>
          <t>аналог (14.11)</t>
        </is>
      </c>
      <c r="F143" s="9" t="inlineStr">
        <is>
          <t>SVA</t>
        </is>
      </c>
      <c r="G143" s="10" t="n">
        <v>530.5</v>
      </c>
      <c r="H143" s="10" t="n">
        <v>251.29</v>
      </c>
      <c r="I143" s="10" t="n">
        <v>0.233</v>
      </c>
      <c r="J143" s="9" t="inlineStr"/>
      <c r="K143" s="7">
        <f>IF(F143="",0,IFERROR(VLOOKUP(F143,Расходники!$A$4:$B$23,2,FALSE),0))</f>
        <v/>
      </c>
      <c r="L143" s="4">
        <f>H143*D143</f>
        <v/>
      </c>
      <c r="M143" s="4">
        <f>L143*K143</f>
        <v/>
      </c>
      <c r="N143" s="4">
        <f>SUMIF(Материалы!$A$4:$A$800,SUBSTITUTE(SUBSTITUTE(SUBSTITUTE(B143,"~","~~"),"*","~*"),"?","~?"),Материалы!$S$4:$S$800)</f>
        <v/>
      </c>
      <c r="O143" s="4">
        <f>L143+M143+N143</f>
        <v/>
      </c>
      <c r="P143" s="4">
        <f>IF(SUM($O$4:$O$672)=0,0,Косвенные!$C$9*O143/SUM($O$4:$O$672))</f>
        <v/>
      </c>
      <c r="Q143" s="4">
        <f>G143*D143+P143</f>
        <v/>
      </c>
      <c r="R143" s="4">
        <f>IF(D143=0,0,Q143/D143)</f>
        <v/>
      </c>
      <c r="S143" s="4">
        <f>IF(D143=0,0,SUMIF(Материалы!$A$4:$A$800,SUBSTITUTE(SUBSTITUTE(SUBSTITUTE(B143,"~","~~"),"*","~*"),"?","~?"),Материалы!$T$4:$T$800)/D143)</f>
        <v/>
      </c>
      <c r="T143" s="4">
        <f>R143+S143</f>
        <v/>
      </c>
      <c r="U143" s="4">
        <f>I143*D143</f>
        <v/>
      </c>
    </row>
    <row r="144" ht="22" customHeight="1">
      <c r="A144" s="9" t="inlineStr"/>
      <c r="B144" s="13" t="inlineStr">
        <is>
          <t>142. Уголок стальной 63х63х6 мм</t>
        </is>
      </c>
      <c r="C144" s="9" t="inlineStr">
        <is>
          <t>м.п.</t>
        </is>
      </c>
      <c r="D144" s="4">
        <f>IF('Форма'!G142="","",'Форма'!G142)</f>
        <v/>
      </c>
      <c r="E144" s="9" t="inlineStr">
        <is>
          <t>аналог (14.11)</t>
        </is>
      </c>
      <c r="F144" s="9" t="inlineStr">
        <is>
          <t>SVA</t>
        </is>
      </c>
      <c r="G144" s="10" t="n">
        <v>648.9</v>
      </c>
      <c r="H144" s="10" t="n">
        <v>307.37</v>
      </c>
      <c r="I144" s="10" t="n">
        <v>0.285</v>
      </c>
      <c r="J144" s="9" t="inlineStr"/>
      <c r="K144" s="7">
        <f>IF(F144="",0,IFERROR(VLOOKUP(F144,Расходники!$A$4:$B$23,2,FALSE),0))</f>
        <v/>
      </c>
      <c r="L144" s="4">
        <f>H144*D144</f>
        <v/>
      </c>
      <c r="M144" s="4">
        <f>L144*K144</f>
        <v/>
      </c>
      <c r="N144" s="4">
        <f>SUMIF(Материалы!$A$4:$A$800,SUBSTITUTE(SUBSTITUTE(SUBSTITUTE(B144,"~","~~"),"*","~*"),"?","~?"),Материалы!$S$4:$S$800)</f>
        <v/>
      </c>
      <c r="O144" s="4">
        <f>L144+M144+N144</f>
        <v/>
      </c>
      <c r="P144" s="4">
        <f>IF(SUM($O$4:$O$672)=0,0,Косвенные!$C$9*O144/SUM($O$4:$O$672))</f>
        <v/>
      </c>
      <c r="Q144" s="4">
        <f>G144*D144+P144</f>
        <v/>
      </c>
      <c r="R144" s="4">
        <f>IF(D144=0,0,Q144/D144)</f>
        <v/>
      </c>
      <c r="S144" s="4">
        <f>IF(D144=0,0,SUMIF(Материалы!$A$4:$A$800,SUBSTITUTE(SUBSTITUTE(SUBSTITUTE(B144,"~","~~"),"*","~*"),"?","~?"),Материалы!$T$4:$T$800)/D144)</f>
        <v/>
      </c>
      <c r="T144" s="4">
        <f>R144+S144</f>
        <v/>
      </c>
      <c r="U144" s="4">
        <f>I144*D144</f>
        <v/>
      </c>
    </row>
    <row r="145" ht="22" customHeight="1">
      <c r="A145" s="9" t="inlineStr"/>
      <c r="B145" s="13" t="inlineStr">
        <is>
          <t>143. Уголок стальной 75х75х6 мм</t>
        </is>
      </c>
      <c r="C145" s="9" t="inlineStr">
        <is>
          <t>м.п.</t>
        </is>
      </c>
      <c r="D145" s="4">
        <f>IF('Форма'!G143="","",'Форма'!G143)</f>
        <v/>
      </c>
      <c r="E145" s="9" t="inlineStr">
        <is>
          <t>аналог (14.11)</t>
        </is>
      </c>
      <c r="F145" s="9" t="inlineStr">
        <is>
          <t>SVA</t>
        </is>
      </c>
      <c r="G145" s="10" t="n">
        <v>718.48</v>
      </c>
      <c r="H145" s="10" t="n">
        <v>340.33</v>
      </c>
      <c r="I145" s="10" t="n">
        <v>0.315</v>
      </c>
      <c r="J145" s="9" t="inlineStr"/>
      <c r="K145" s="7">
        <f>IF(F145="",0,IFERROR(VLOOKUP(F145,Расходники!$A$4:$B$23,2,FALSE),0))</f>
        <v/>
      </c>
      <c r="L145" s="4">
        <f>H145*D145</f>
        <v/>
      </c>
      <c r="M145" s="4">
        <f>L145*K145</f>
        <v/>
      </c>
      <c r="N145" s="4">
        <f>SUMIF(Материалы!$A$4:$A$800,SUBSTITUTE(SUBSTITUTE(SUBSTITUTE(B145,"~","~~"),"*","~*"),"?","~?"),Материалы!$S$4:$S$800)</f>
        <v/>
      </c>
      <c r="O145" s="4">
        <f>L145+M145+N145</f>
        <v/>
      </c>
      <c r="P145" s="4">
        <f>IF(SUM($O$4:$O$672)=0,0,Косвенные!$C$9*O145/SUM($O$4:$O$672))</f>
        <v/>
      </c>
      <c r="Q145" s="4">
        <f>G145*D145+P145</f>
        <v/>
      </c>
      <c r="R145" s="4">
        <f>IF(D145=0,0,Q145/D145)</f>
        <v/>
      </c>
      <c r="S145" s="4">
        <f>IF(D145=0,0,SUMIF(Материалы!$A$4:$A$800,SUBSTITUTE(SUBSTITUTE(SUBSTITUTE(B145,"~","~~"),"*","~*"),"?","~?"),Материалы!$T$4:$T$800)/D145)</f>
        <v/>
      </c>
      <c r="T145" s="4">
        <f>R145+S145</f>
        <v/>
      </c>
      <c r="U145" s="4">
        <f>I145*D145</f>
        <v/>
      </c>
    </row>
    <row r="146" ht="22" customHeight="1">
      <c r="A146" s="9" t="inlineStr"/>
      <c r="B146" s="13" t="inlineStr">
        <is>
          <t>144. Уголок стальной 100х100х7 мм</t>
        </is>
      </c>
      <c r="C146" s="9" t="inlineStr">
        <is>
          <t>м.п.</t>
        </is>
      </c>
      <c r="D146" s="4">
        <f>IF('Форма'!G144="","",'Форма'!G144)</f>
        <v/>
      </c>
      <c r="E146" s="9" t="inlineStr">
        <is>
          <t>аналог (14.11)</t>
        </is>
      </c>
      <c r="F146" s="9" t="inlineStr">
        <is>
          <t>SVA</t>
        </is>
      </c>
      <c r="G146" s="10" t="n">
        <v>953.83</v>
      </c>
      <c r="H146" s="10" t="n">
        <v>451.81</v>
      </c>
      <c r="I146" s="10" t="n">
        <v>0.418</v>
      </c>
      <c r="J146" s="9" t="inlineStr"/>
      <c r="K146" s="7">
        <f>IF(F146="",0,IFERROR(VLOOKUP(F146,Расходники!$A$4:$B$23,2,FALSE),0))</f>
        <v/>
      </c>
      <c r="L146" s="4">
        <f>H146*D146</f>
        <v/>
      </c>
      <c r="M146" s="4">
        <f>L146*K146</f>
        <v/>
      </c>
      <c r="N146" s="4">
        <f>SUMIF(Материалы!$A$4:$A$800,SUBSTITUTE(SUBSTITUTE(SUBSTITUTE(B146,"~","~~"),"*","~*"),"?","~?"),Материалы!$S$4:$S$800)</f>
        <v/>
      </c>
      <c r="O146" s="4">
        <f>L146+M146+N146</f>
        <v/>
      </c>
      <c r="P146" s="4">
        <f>IF(SUM($O$4:$O$672)=0,0,Косвенные!$C$9*O146/SUM($O$4:$O$672))</f>
        <v/>
      </c>
      <c r="Q146" s="4">
        <f>G146*D146+P146</f>
        <v/>
      </c>
      <c r="R146" s="4">
        <f>IF(D146=0,0,Q146/D146)</f>
        <v/>
      </c>
      <c r="S146" s="4">
        <f>IF(D146=0,0,SUMIF(Материалы!$A$4:$A$800,SUBSTITUTE(SUBSTITUTE(SUBSTITUTE(B146,"~","~~"),"*","~*"),"?","~?"),Материалы!$T$4:$T$800)/D146)</f>
        <v/>
      </c>
      <c r="T146" s="4">
        <f>R146+S146</f>
        <v/>
      </c>
      <c r="U146" s="4">
        <f>I146*D146</f>
        <v/>
      </c>
    </row>
    <row r="147" ht="22" customHeight="1">
      <c r="A147" s="9" t="inlineStr"/>
      <c r="B147" s="13" t="inlineStr">
        <is>
          <t>145. Отбойник угловой усиленный ОУУ-76 высота 350 мм.</t>
        </is>
      </c>
      <c r="C147" s="9" t="inlineStr">
        <is>
          <t>м.п.</t>
        </is>
      </c>
      <c r="D147" s="4">
        <f>IF('Форма'!G145="","",'Форма'!G145)</f>
        <v/>
      </c>
      <c r="E147" s="9" t="inlineStr">
        <is>
          <t>аналог (5.1.15)</t>
        </is>
      </c>
      <c r="F147" s="9" t="inlineStr">
        <is>
          <t>SVA</t>
        </is>
      </c>
      <c r="G147" s="10" t="n">
        <v>2736</v>
      </c>
      <c r="H147" s="10" t="n">
        <v>1296</v>
      </c>
      <c r="I147" s="10" t="n">
        <v>1.2</v>
      </c>
      <c r="J147" s="9" t="inlineStr"/>
      <c r="K147" s="7">
        <f>IF(F147="",0,IFERROR(VLOOKUP(F147,Расходники!$A$4:$B$23,2,FALSE),0))</f>
        <v/>
      </c>
      <c r="L147" s="4">
        <f>H147*D147</f>
        <v/>
      </c>
      <c r="M147" s="4">
        <f>L147*K147</f>
        <v/>
      </c>
      <c r="N147" s="4">
        <f>SUMIF(Материалы!$A$4:$A$800,SUBSTITUTE(SUBSTITUTE(SUBSTITUTE(B147,"~","~~"),"*","~*"),"?","~?"),Материалы!$S$4:$S$800)</f>
        <v/>
      </c>
      <c r="O147" s="4">
        <f>L147+M147+N147</f>
        <v/>
      </c>
      <c r="P147" s="4">
        <f>IF(SUM($O$4:$O$672)=0,0,Косвенные!$C$9*O147/SUM($O$4:$O$672))</f>
        <v/>
      </c>
      <c r="Q147" s="4">
        <f>G147*D147+P147</f>
        <v/>
      </c>
      <c r="R147" s="4">
        <f>IF(D147=0,0,Q147/D147)</f>
        <v/>
      </c>
      <c r="S147" s="4">
        <f>IF(D147=0,0,SUMIF(Материалы!$A$4:$A$800,SUBSTITUTE(SUBSTITUTE(SUBSTITUTE(B147,"~","~~"),"*","~*"),"?","~?"),Материалы!$T$4:$T$800)/D147)</f>
        <v/>
      </c>
      <c r="T147" s="4">
        <f>R147+S147</f>
        <v/>
      </c>
      <c r="U147" s="4">
        <f>I147*D147</f>
        <v/>
      </c>
    </row>
    <row r="148" ht="22" customHeight="1">
      <c r="A148" s="9" t="inlineStr"/>
      <c r="B148" s="13" t="inlineStr">
        <is>
          <t>146. Прямой колесоотбойник КО-159.1.000 СБ</t>
        </is>
      </c>
      <c r="C148" s="9" t="inlineStr">
        <is>
          <t>шт</t>
        </is>
      </c>
      <c r="D148" s="4">
        <f>IF('Форма'!G146="","",'Форма'!G146)</f>
        <v/>
      </c>
      <c r="E148" s="9" t="inlineStr">
        <is>
          <t>аналог (5.1.15)</t>
        </is>
      </c>
      <c r="F148" s="9" t="inlineStr">
        <is>
          <t>SVA</t>
        </is>
      </c>
      <c r="G148" s="10" t="n">
        <v>2736</v>
      </c>
      <c r="H148" s="10" t="n">
        <v>1296</v>
      </c>
      <c r="I148" s="10" t="n">
        <v>1.2</v>
      </c>
      <c r="J148" s="9" t="inlineStr"/>
      <c r="K148" s="7">
        <f>IF(F148="",0,IFERROR(VLOOKUP(F148,Расходники!$A$4:$B$23,2,FALSE),0))</f>
        <v/>
      </c>
      <c r="L148" s="4">
        <f>H148*D148</f>
        <v/>
      </c>
      <c r="M148" s="4">
        <f>L148*K148</f>
        <v/>
      </c>
      <c r="N148" s="4">
        <f>SUMIF(Материалы!$A$4:$A$800,SUBSTITUTE(SUBSTITUTE(SUBSTITUTE(B148,"~","~~"),"*","~*"),"?","~?"),Материалы!$S$4:$S$800)</f>
        <v/>
      </c>
      <c r="O148" s="4">
        <f>L148+M148+N148</f>
        <v/>
      </c>
      <c r="P148" s="4">
        <f>IF(SUM($O$4:$O$672)=0,0,Косвенные!$C$9*O148/SUM($O$4:$O$672))</f>
        <v/>
      </c>
      <c r="Q148" s="4">
        <f>G148*D148+P148</f>
        <v/>
      </c>
      <c r="R148" s="4">
        <f>IF(D148=0,0,Q148/D148)</f>
        <v/>
      </c>
      <c r="S148" s="4">
        <f>IF(D148=0,0,SUMIF(Материалы!$A$4:$A$800,SUBSTITUTE(SUBSTITUTE(SUBSTITUTE(B148,"~","~~"),"*","~*"),"?","~?"),Материалы!$T$4:$T$800)/D148)</f>
        <v/>
      </c>
      <c r="T148" s="4">
        <f>R148+S148</f>
        <v/>
      </c>
      <c r="U148" s="4">
        <f>I148*D148</f>
        <v/>
      </c>
    </row>
    <row r="149" ht="22" customHeight="1">
      <c r="A149" s="9" t="inlineStr"/>
      <c r="B149" s="13" t="inlineStr">
        <is>
          <t>147. Защита пожарных шкафов ЗПШ-06</t>
        </is>
      </c>
      <c r="C149" s="9" t="inlineStr">
        <is>
          <t>шт</t>
        </is>
      </c>
      <c r="D149" s="4">
        <f>IF('Форма'!G147="","",'Форма'!G147)</f>
        <v/>
      </c>
      <c r="E149" s="9" t="inlineStr">
        <is>
          <t>аналог (5.1.15)</t>
        </is>
      </c>
      <c r="F149" s="9" t="inlineStr">
        <is>
          <t>SVA</t>
        </is>
      </c>
      <c r="G149" s="10" t="n">
        <v>2736</v>
      </c>
      <c r="H149" s="10" t="n">
        <v>1296</v>
      </c>
      <c r="I149" s="10" t="n">
        <v>1.2</v>
      </c>
      <c r="J149" s="9" t="inlineStr"/>
      <c r="K149" s="7">
        <f>IF(F149="",0,IFERROR(VLOOKUP(F149,Расходники!$A$4:$B$23,2,FALSE),0))</f>
        <v/>
      </c>
      <c r="L149" s="4">
        <f>H149*D149</f>
        <v/>
      </c>
      <c r="M149" s="4">
        <f>L149*K149</f>
        <v/>
      </c>
      <c r="N149" s="4">
        <f>SUMIF(Материалы!$A$4:$A$800,SUBSTITUTE(SUBSTITUTE(SUBSTITUTE(B149,"~","~~"),"*","~*"),"?","~?"),Материалы!$S$4:$S$800)</f>
        <v/>
      </c>
      <c r="O149" s="4">
        <f>L149+M149+N149</f>
        <v/>
      </c>
      <c r="P149" s="4">
        <f>IF(SUM($O$4:$O$672)=0,0,Косвенные!$C$9*O149/SUM($O$4:$O$672))</f>
        <v/>
      </c>
      <c r="Q149" s="4">
        <f>G149*D149+P149</f>
        <v/>
      </c>
      <c r="R149" s="4">
        <f>IF(D149=0,0,Q149/D149)</f>
        <v/>
      </c>
      <c r="S149" s="4">
        <f>IF(D149=0,0,SUMIF(Материалы!$A$4:$A$800,SUBSTITUTE(SUBSTITUTE(SUBSTITUTE(B149,"~","~~"),"*","~*"),"?","~?"),Материалы!$T$4:$T$800)/D149)</f>
        <v/>
      </c>
      <c r="T149" s="4">
        <f>R149+S149</f>
        <v/>
      </c>
      <c r="U149" s="4">
        <f>I149*D149</f>
        <v/>
      </c>
    </row>
    <row r="150" ht="22" customHeight="1">
      <c r="A150" s="9" t="inlineStr"/>
      <c r="B150" s="13" t="inlineStr">
        <is>
          <t>148. Защита пожарных шкафов ЗПШ-04</t>
        </is>
      </c>
      <c r="C150" s="9" t="inlineStr">
        <is>
          <t>шт</t>
        </is>
      </c>
      <c r="D150" s="4">
        <f>IF('Форма'!G148="","",'Форма'!G148)</f>
        <v/>
      </c>
      <c r="E150" s="9" t="inlineStr">
        <is>
          <t>аналог (5.1.15)</t>
        </is>
      </c>
      <c r="F150" s="9" t="inlineStr">
        <is>
          <t>SVA</t>
        </is>
      </c>
      <c r="G150" s="10" t="n">
        <v>2736</v>
      </c>
      <c r="H150" s="10" t="n">
        <v>1296</v>
      </c>
      <c r="I150" s="10" t="n">
        <v>1.2</v>
      </c>
      <c r="J150" s="9" t="inlineStr"/>
      <c r="K150" s="7">
        <f>IF(F150="",0,IFERROR(VLOOKUP(F150,Расходники!$A$4:$B$23,2,FALSE),0))</f>
        <v/>
      </c>
      <c r="L150" s="4">
        <f>H150*D150</f>
        <v/>
      </c>
      <c r="M150" s="4">
        <f>L150*K150</f>
        <v/>
      </c>
      <c r="N150" s="4">
        <f>SUMIF(Материалы!$A$4:$A$800,SUBSTITUTE(SUBSTITUTE(SUBSTITUTE(B150,"~","~~"),"*","~*"),"?","~?"),Материалы!$S$4:$S$800)</f>
        <v/>
      </c>
      <c r="O150" s="4">
        <f>L150+M150+N150</f>
        <v/>
      </c>
      <c r="P150" s="4">
        <f>IF(SUM($O$4:$O$672)=0,0,Косвенные!$C$9*O150/SUM($O$4:$O$672))</f>
        <v/>
      </c>
      <c r="Q150" s="4">
        <f>G150*D150+P150</f>
        <v/>
      </c>
      <c r="R150" s="4">
        <f>IF(D150=0,0,Q150/D150)</f>
        <v/>
      </c>
      <c r="S150" s="4">
        <f>IF(D150=0,0,SUMIF(Материалы!$A$4:$A$800,SUBSTITUTE(SUBSTITUTE(SUBSTITUTE(B150,"~","~~"),"*","~*"),"?","~?"),Материалы!$T$4:$T$800)/D150)</f>
        <v/>
      </c>
      <c r="T150" s="4">
        <f>R150+S150</f>
        <v/>
      </c>
      <c r="U150" s="4">
        <f>I150*D150</f>
        <v/>
      </c>
    </row>
    <row r="151" ht="22" customHeight="1">
      <c r="A151" s="9" t="inlineStr"/>
      <c r="B151" s="13" t="inlineStr">
        <is>
          <t>149. Отбойник П-образный ОПП-1</t>
        </is>
      </c>
      <c r="C151" s="9" t="inlineStr">
        <is>
          <t>шт</t>
        </is>
      </c>
      <c r="D151" s="4">
        <f>IF('Форма'!G149="","",'Форма'!G149)</f>
        <v/>
      </c>
      <c r="E151" s="9" t="inlineStr">
        <is>
          <t>аналог (5.1.15)</t>
        </is>
      </c>
      <c r="F151" s="9" t="inlineStr">
        <is>
          <t>SVA</t>
        </is>
      </c>
      <c r="G151" s="10" t="n">
        <v>2736</v>
      </c>
      <c r="H151" s="10" t="n">
        <v>1296</v>
      </c>
      <c r="I151" s="10" t="n">
        <v>1.2</v>
      </c>
      <c r="J151" s="9" t="inlineStr"/>
      <c r="K151" s="7">
        <f>IF(F151="",0,IFERROR(VLOOKUP(F151,Расходники!$A$4:$B$23,2,FALSE),0))</f>
        <v/>
      </c>
      <c r="L151" s="4">
        <f>H151*D151</f>
        <v/>
      </c>
      <c r="M151" s="4">
        <f>L151*K151</f>
        <v/>
      </c>
      <c r="N151" s="4">
        <f>SUMIF(Материалы!$A$4:$A$800,SUBSTITUTE(SUBSTITUTE(SUBSTITUTE(B151,"~","~~"),"*","~*"),"?","~?"),Материалы!$S$4:$S$800)</f>
        <v/>
      </c>
      <c r="O151" s="4">
        <f>L151+M151+N151</f>
        <v/>
      </c>
      <c r="P151" s="4">
        <f>IF(SUM($O$4:$O$672)=0,0,Косвенные!$C$9*O151/SUM($O$4:$O$672))</f>
        <v/>
      </c>
      <c r="Q151" s="4">
        <f>G151*D151+P151</f>
        <v/>
      </c>
      <c r="R151" s="4">
        <f>IF(D151=0,0,Q151/D151)</f>
        <v/>
      </c>
      <c r="S151" s="4">
        <f>IF(D151=0,0,SUMIF(Материалы!$A$4:$A$800,SUBSTITUTE(SUBSTITUTE(SUBSTITUTE(B151,"~","~~"),"*","~*"),"?","~?"),Материалы!$T$4:$T$800)/D151)</f>
        <v/>
      </c>
      <c r="T151" s="4">
        <f>R151+S151</f>
        <v/>
      </c>
      <c r="U151" s="4">
        <f>I151*D151</f>
        <v/>
      </c>
    </row>
    <row r="152" ht="22" customHeight="1">
      <c r="A152" s="9" t="inlineStr"/>
      <c r="B152" s="13" t="inlineStr">
        <is>
          <t>150. Колесоотбойник Ø159, направляющий (КМН-2ОТВ1П-159.2200-4,0)</t>
        </is>
      </c>
      <c r="C152" s="9" t="inlineStr">
        <is>
          <t>шт</t>
        </is>
      </c>
      <c r="D152" s="4">
        <f>IF('Форма'!G150="","",'Форма'!G150)</f>
        <v/>
      </c>
      <c r="E152" s="9" t="inlineStr">
        <is>
          <t>аналог (5.1.15)</t>
        </is>
      </c>
      <c r="F152" s="9" t="inlineStr">
        <is>
          <t>SVA</t>
        </is>
      </c>
      <c r="G152" s="10" t="n">
        <v>2736</v>
      </c>
      <c r="H152" s="10" t="n">
        <v>1296</v>
      </c>
      <c r="I152" s="10" t="n">
        <v>1.2</v>
      </c>
      <c r="J152" s="9" t="inlineStr"/>
      <c r="K152" s="7">
        <f>IF(F152="",0,IFERROR(VLOOKUP(F152,Расходники!$A$4:$B$23,2,FALSE),0))</f>
        <v/>
      </c>
      <c r="L152" s="4">
        <f>H152*D152</f>
        <v/>
      </c>
      <c r="M152" s="4">
        <f>L152*K152</f>
        <v/>
      </c>
      <c r="N152" s="4">
        <f>SUMIF(Материалы!$A$4:$A$800,SUBSTITUTE(SUBSTITUTE(SUBSTITUTE(B152,"~","~~"),"*","~*"),"?","~?"),Материалы!$S$4:$S$800)</f>
        <v/>
      </c>
      <c r="O152" s="4">
        <f>L152+M152+N152</f>
        <v/>
      </c>
      <c r="P152" s="4">
        <f>IF(SUM($O$4:$O$672)=0,0,Косвенные!$C$9*O152/SUM($O$4:$O$672))</f>
        <v/>
      </c>
      <c r="Q152" s="4">
        <f>G152*D152+P152</f>
        <v/>
      </c>
      <c r="R152" s="4">
        <f>IF(D152=0,0,Q152/D152)</f>
        <v/>
      </c>
      <c r="S152" s="4">
        <f>IF(D152=0,0,SUMIF(Материалы!$A$4:$A$800,SUBSTITUTE(SUBSTITUTE(SUBSTITUTE(B152,"~","~~"),"*","~*"),"?","~?"),Материалы!$T$4:$T$800)/D152)</f>
        <v/>
      </c>
      <c r="T152" s="4">
        <f>R152+S152</f>
        <v/>
      </c>
      <c r="U152" s="4">
        <f>I152*D152</f>
        <v/>
      </c>
    </row>
    <row r="153" ht="22" customHeight="1">
      <c r="A153" s="9" t="inlineStr"/>
      <c r="B153" s="13" t="inlineStr">
        <is>
          <t>151. Отбойник металлический для защиты пожарных шкафов ОЗ-4.76/ ST-97</t>
        </is>
      </c>
      <c r="C153" s="9" t="inlineStr">
        <is>
          <t>шт</t>
        </is>
      </c>
      <c r="D153" s="4">
        <f>IF('Форма'!G151="","",'Форма'!G151)</f>
        <v/>
      </c>
      <c r="E153" s="9" t="inlineStr">
        <is>
          <t>аналог (5.1.15)</t>
        </is>
      </c>
      <c r="F153" s="9" t="inlineStr">
        <is>
          <t>SVA</t>
        </is>
      </c>
      <c r="G153" s="10" t="n">
        <v>2736</v>
      </c>
      <c r="H153" s="10" t="n">
        <v>1296</v>
      </c>
      <c r="I153" s="10" t="n">
        <v>1.2</v>
      </c>
      <c r="J153" s="9" t="inlineStr"/>
      <c r="K153" s="7">
        <f>IF(F153="",0,IFERROR(VLOOKUP(F153,Расходники!$A$4:$B$23,2,FALSE),0))</f>
        <v/>
      </c>
      <c r="L153" s="4">
        <f>H153*D153</f>
        <v/>
      </c>
      <c r="M153" s="4">
        <f>L153*K153</f>
        <v/>
      </c>
      <c r="N153" s="4">
        <f>SUMIF(Материалы!$A$4:$A$800,SUBSTITUTE(SUBSTITUTE(SUBSTITUTE(B153,"~","~~"),"*","~*"),"?","~?"),Материалы!$S$4:$S$800)</f>
        <v/>
      </c>
      <c r="O153" s="4">
        <f>L153+M153+N153</f>
        <v/>
      </c>
      <c r="P153" s="4">
        <f>IF(SUM($O$4:$O$672)=0,0,Косвенные!$C$9*O153/SUM($O$4:$O$672))</f>
        <v/>
      </c>
      <c r="Q153" s="4">
        <f>G153*D153+P153</f>
        <v/>
      </c>
      <c r="R153" s="4">
        <f>IF(D153=0,0,Q153/D153)</f>
        <v/>
      </c>
      <c r="S153" s="4">
        <f>IF(D153=0,0,SUMIF(Материалы!$A$4:$A$800,SUBSTITUTE(SUBSTITUTE(SUBSTITUTE(B153,"~","~~"),"*","~*"),"?","~?"),Материалы!$T$4:$T$800)/D153)</f>
        <v/>
      </c>
      <c r="T153" s="4">
        <f>R153+S153</f>
        <v/>
      </c>
      <c r="U153" s="4">
        <f>I153*D153</f>
        <v/>
      </c>
    </row>
    <row r="154" ht="22" customHeight="1">
      <c r="A154" s="9" t="inlineStr"/>
      <c r="B154" s="13" t="inlineStr">
        <is>
          <t>152. Химический анкер Sormat ITH40 (или аналог)</t>
        </is>
      </c>
      <c r="C154" s="9" t="inlineStr">
        <is>
          <t>шт</t>
        </is>
      </c>
      <c r="D154" s="4">
        <f>IF('Форма'!G152="","",'Форма'!G152)</f>
        <v/>
      </c>
      <c r="E154" s="9" t="inlineStr">
        <is>
          <t>аналог (5.1.15)</t>
        </is>
      </c>
      <c r="F154" s="9" t="inlineStr">
        <is>
          <t>SVA</t>
        </is>
      </c>
      <c r="G154" s="10" t="n">
        <v>2736</v>
      </c>
      <c r="H154" s="10" t="n">
        <v>1296</v>
      </c>
      <c r="I154" s="10" t="n">
        <v>1.2</v>
      </c>
      <c r="J154" s="9" t="inlineStr"/>
      <c r="K154" s="7">
        <f>IF(F154="",0,IFERROR(VLOOKUP(F154,Расходники!$A$4:$B$23,2,FALSE),0))</f>
        <v/>
      </c>
      <c r="L154" s="4">
        <f>H154*D154</f>
        <v/>
      </c>
      <c r="M154" s="4">
        <f>L154*K154</f>
        <v/>
      </c>
      <c r="N154" s="4">
        <f>SUMIF(Материалы!$A$4:$A$800,SUBSTITUTE(SUBSTITUTE(SUBSTITUTE(B154,"~","~~"),"*","~*"),"?","~?"),Материалы!$S$4:$S$800)</f>
        <v/>
      </c>
      <c r="O154" s="4">
        <f>L154+M154+N154</f>
        <v/>
      </c>
      <c r="P154" s="4">
        <f>IF(SUM($O$4:$O$672)=0,0,Косвенные!$C$9*O154/SUM($O$4:$O$672))</f>
        <v/>
      </c>
      <c r="Q154" s="4">
        <f>G154*D154+P154</f>
        <v/>
      </c>
      <c r="R154" s="4">
        <f>IF(D154=0,0,Q154/D154)</f>
        <v/>
      </c>
      <c r="S154" s="4">
        <f>IF(D154=0,0,SUMIF(Материалы!$A$4:$A$800,SUBSTITUTE(SUBSTITUTE(SUBSTITUTE(B154,"~","~~"),"*","~*"),"?","~?"),Материалы!$T$4:$T$800)/D154)</f>
        <v/>
      </c>
      <c r="T154" s="4">
        <f>R154+S154</f>
        <v/>
      </c>
      <c r="U154" s="4">
        <f>I154*D154</f>
        <v/>
      </c>
    </row>
    <row r="155" ht="22" customHeight="1">
      <c r="A155" s="9" t="inlineStr"/>
      <c r="B155" s="13" t="inlineStr">
        <is>
          <t>153. Металическая полоса 25х4 мм</t>
        </is>
      </c>
      <c r="C155" s="9" t="inlineStr">
        <is>
          <t>м.п.</t>
        </is>
      </c>
      <c r="D155" s="4">
        <f>IF('Форма'!G153="","",'Форма'!G153)</f>
        <v/>
      </c>
      <c r="E155" s="9" t="inlineStr">
        <is>
          <t>аналог (14.11)</t>
        </is>
      </c>
      <c r="F155" s="9" t="inlineStr">
        <is>
          <t>SVA</t>
        </is>
      </c>
      <c r="G155" s="10" t="n">
        <v>342</v>
      </c>
      <c r="H155" s="10" t="n">
        <v>162</v>
      </c>
      <c r="I155" s="10" t="n">
        <v>0.15</v>
      </c>
      <c r="J155" s="9" t="inlineStr"/>
      <c r="K155" s="7">
        <f>IF(F155="",0,IFERROR(VLOOKUP(F155,Расходники!$A$4:$B$23,2,FALSE),0))</f>
        <v/>
      </c>
      <c r="L155" s="4">
        <f>H155*D155</f>
        <v/>
      </c>
      <c r="M155" s="4">
        <f>L155*K155</f>
        <v/>
      </c>
      <c r="N155" s="4">
        <f>SUMIF(Материалы!$A$4:$A$800,SUBSTITUTE(SUBSTITUTE(SUBSTITUTE(B155,"~","~~"),"*","~*"),"?","~?"),Материалы!$S$4:$S$800)</f>
        <v/>
      </c>
      <c r="O155" s="4">
        <f>L155+M155+N155</f>
        <v/>
      </c>
      <c r="P155" s="4">
        <f>IF(SUM($O$4:$O$672)=0,0,Косвенные!$C$9*O155/SUM($O$4:$O$672))</f>
        <v/>
      </c>
      <c r="Q155" s="4">
        <f>G155*D155+P155</f>
        <v/>
      </c>
      <c r="R155" s="4">
        <f>IF(D155=0,0,Q155/D155)</f>
        <v/>
      </c>
      <c r="S155" s="4">
        <f>IF(D155=0,0,SUMIF(Материалы!$A$4:$A$800,SUBSTITUTE(SUBSTITUTE(SUBSTITUTE(B155,"~","~~"),"*","~*"),"?","~?"),Материалы!$T$4:$T$800)/D155)</f>
        <v/>
      </c>
      <c r="T155" s="4">
        <f>R155+S155</f>
        <v/>
      </c>
      <c r="U155" s="4">
        <f>I155*D155</f>
        <v/>
      </c>
    </row>
    <row r="156" ht="22" customHeight="1">
      <c r="A156" s="9" t="inlineStr"/>
      <c r="B156" s="13" t="inlineStr">
        <is>
          <t>154. Металическая полоса 40х4 мм</t>
        </is>
      </c>
      <c r="C156" s="9" t="inlineStr">
        <is>
          <t>м.п.</t>
        </is>
      </c>
      <c r="D156" s="4">
        <f>IF('Форма'!G154="","",'Форма'!G154)</f>
        <v/>
      </c>
      <c r="E156" s="9" t="inlineStr">
        <is>
          <t>аналог (14.11)</t>
        </is>
      </c>
      <c r="F156" s="9" t="inlineStr">
        <is>
          <t>SVA</t>
        </is>
      </c>
      <c r="G156" s="10" t="n">
        <v>342</v>
      </c>
      <c r="H156" s="10" t="n">
        <v>162</v>
      </c>
      <c r="I156" s="10" t="n">
        <v>0.15</v>
      </c>
      <c r="J156" s="9" t="inlineStr"/>
      <c r="K156" s="7">
        <f>IF(F156="",0,IFERROR(VLOOKUP(F156,Расходники!$A$4:$B$23,2,FALSE),0))</f>
        <v/>
      </c>
      <c r="L156" s="4">
        <f>H156*D156</f>
        <v/>
      </c>
      <c r="M156" s="4">
        <f>L156*K156</f>
        <v/>
      </c>
      <c r="N156" s="4">
        <f>SUMIF(Материалы!$A$4:$A$800,SUBSTITUTE(SUBSTITUTE(SUBSTITUTE(B156,"~","~~"),"*","~*"),"?","~?"),Материалы!$S$4:$S$800)</f>
        <v/>
      </c>
      <c r="O156" s="4">
        <f>L156+M156+N156</f>
        <v/>
      </c>
      <c r="P156" s="4">
        <f>IF(SUM($O$4:$O$672)=0,0,Косвенные!$C$9*O156/SUM($O$4:$O$672))</f>
        <v/>
      </c>
      <c r="Q156" s="4">
        <f>G156*D156+P156</f>
        <v/>
      </c>
      <c r="R156" s="4">
        <f>IF(D156=0,0,Q156/D156)</f>
        <v/>
      </c>
      <c r="S156" s="4">
        <f>IF(D156=0,0,SUMIF(Материалы!$A$4:$A$800,SUBSTITUTE(SUBSTITUTE(SUBSTITUTE(B156,"~","~~"),"*","~*"),"?","~?"),Материалы!$T$4:$T$800)/D156)</f>
        <v/>
      </c>
      <c r="T156" s="4">
        <f>R156+S156</f>
        <v/>
      </c>
      <c r="U156" s="4">
        <f>I156*D156</f>
        <v/>
      </c>
    </row>
    <row r="157" ht="22" customHeight="1">
      <c r="A157" s="9" t="inlineStr"/>
      <c r="B157" s="13" t="inlineStr">
        <is>
          <t>155. Металическая полоса 50х5 мм</t>
        </is>
      </c>
      <c r="C157" s="9" t="inlineStr">
        <is>
          <t>м.п.</t>
        </is>
      </c>
      <c r="D157" s="4">
        <f>IF('Форма'!G155="","",'Форма'!G155)</f>
        <v/>
      </c>
      <c r="E157" s="9" t="inlineStr">
        <is>
          <t>аналог (14.11)</t>
        </is>
      </c>
      <c r="F157" s="9" t="inlineStr">
        <is>
          <t>SVA</t>
        </is>
      </c>
      <c r="G157" s="10" t="n">
        <v>342</v>
      </c>
      <c r="H157" s="10" t="n">
        <v>162</v>
      </c>
      <c r="I157" s="10" t="n">
        <v>0.15</v>
      </c>
      <c r="J157" s="9" t="inlineStr"/>
      <c r="K157" s="7">
        <f>IF(F157="",0,IFERROR(VLOOKUP(F157,Расходники!$A$4:$B$23,2,FALSE),0))</f>
        <v/>
      </c>
      <c r="L157" s="4">
        <f>H157*D157</f>
        <v/>
      </c>
      <c r="M157" s="4">
        <f>L157*K157</f>
        <v/>
      </c>
      <c r="N157" s="4">
        <f>SUMIF(Материалы!$A$4:$A$800,SUBSTITUTE(SUBSTITUTE(SUBSTITUTE(B157,"~","~~"),"*","~*"),"?","~?"),Материалы!$S$4:$S$800)</f>
        <v/>
      </c>
      <c r="O157" s="4">
        <f>L157+M157+N157</f>
        <v/>
      </c>
      <c r="P157" s="4">
        <f>IF(SUM($O$4:$O$672)=0,0,Косвенные!$C$9*O157/SUM($O$4:$O$672))</f>
        <v/>
      </c>
      <c r="Q157" s="4">
        <f>G157*D157+P157</f>
        <v/>
      </c>
      <c r="R157" s="4">
        <f>IF(D157=0,0,Q157/D157)</f>
        <v/>
      </c>
      <c r="S157" s="4">
        <f>IF(D157=0,0,SUMIF(Материалы!$A$4:$A$800,SUBSTITUTE(SUBSTITUTE(SUBSTITUTE(B157,"~","~~"),"*","~*"),"?","~?"),Материалы!$T$4:$T$800)/D157)</f>
        <v/>
      </c>
      <c r="T157" s="4">
        <f>R157+S157</f>
        <v/>
      </c>
      <c r="U157" s="4">
        <f>I157*D157</f>
        <v/>
      </c>
    </row>
    <row r="158" ht="22" customHeight="1">
      <c r="A158" s="9" t="inlineStr"/>
      <c r="B158" s="13" t="inlineStr">
        <is>
          <t>156. Оцинкованная сетка “Рабица” 1 500 мм высота</t>
        </is>
      </c>
      <c r="C158" s="9" t="inlineStr">
        <is>
          <t>м.п.</t>
        </is>
      </c>
      <c r="D158" s="4">
        <f>IF('Форма'!G156="","",'Форма'!G156)</f>
        <v/>
      </c>
      <c r="E158" s="9" t="inlineStr">
        <is>
          <t>нет в тарификаторе</t>
        </is>
      </c>
      <c r="F158" s="9" t="inlineStr">
        <is>
          <t>SVA</t>
        </is>
      </c>
      <c r="G158" s="10" t="n">
        <v>456</v>
      </c>
      <c r="H158" s="10" t="n">
        <v>216</v>
      </c>
      <c r="I158" s="10" t="n">
        <v>0.2</v>
      </c>
      <c r="J158" s="9" t="inlineStr"/>
      <c r="K158" s="7">
        <f>IF(F158="",0,IFERROR(VLOOKUP(F158,Расходники!$A$4:$B$23,2,FALSE),0))</f>
        <v/>
      </c>
      <c r="L158" s="4">
        <f>H158*D158</f>
        <v/>
      </c>
      <c r="M158" s="4">
        <f>L158*K158</f>
        <v/>
      </c>
      <c r="N158" s="4">
        <f>SUMIF(Материалы!$A$4:$A$800,SUBSTITUTE(SUBSTITUTE(SUBSTITUTE(B158,"~","~~"),"*","~*"),"?","~?"),Материалы!$S$4:$S$800)</f>
        <v/>
      </c>
      <c r="O158" s="4">
        <f>L158+M158+N158</f>
        <v/>
      </c>
      <c r="P158" s="4">
        <f>IF(SUM($O$4:$O$672)=0,0,Косвенные!$C$9*O158/SUM($O$4:$O$672))</f>
        <v/>
      </c>
      <c r="Q158" s="4">
        <f>G158*D158+P158</f>
        <v/>
      </c>
      <c r="R158" s="4">
        <f>IF(D158=0,0,Q158/D158)</f>
        <v/>
      </c>
      <c r="S158" s="4">
        <f>IF(D158=0,0,SUMIF(Материалы!$A$4:$A$800,SUBSTITUTE(SUBSTITUTE(SUBSTITUTE(B158,"~","~~"),"*","~*"),"?","~?"),Материалы!$T$4:$T$800)/D158)</f>
        <v/>
      </c>
      <c r="T158" s="4">
        <f>R158+S158</f>
        <v/>
      </c>
      <c r="U158" s="4">
        <f>I158*D158</f>
        <v/>
      </c>
    </row>
    <row r="159" ht="22" customHeight="1">
      <c r="A159" s="9" t="inlineStr"/>
      <c r="B159" s="13" t="inlineStr">
        <is>
          <t>157. Оцинкованная сетка “Рабица” 1 800 мм высота</t>
        </is>
      </c>
      <c r="C159" s="9" t="inlineStr">
        <is>
          <t>м.п.</t>
        </is>
      </c>
      <c r="D159" s="4">
        <f>IF('Форма'!G157="","",'Форма'!G157)</f>
        <v/>
      </c>
      <c r="E159" s="9" t="inlineStr">
        <is>
          <t>нет в тарификаторе</t>
        </is>
      </c>
      <c r="F159" s="9" t="inlineStr">
        <is>
          <t>SVA</t>
        </is>
      </c>
      <c r="G159" s="10" t="n">
        <v>456</v>
      </c>
      <c r="H159" s="10" t="n">
        <v>216</v>
      </c>
      <c r="I159" s="10" t="n">
        <v>0.2</v>
      </c>
      <c r="J159" s="9" t="inlineStr"/>
      <c r="K159" s="7">
        <f>IF(F159="",0,IFERROR(VLOOKUP(F159,Расходники!$A$4:$B$23,2,FALSE),0))</f>
        <v/>
      </c>
      <c r="L159" s="4">
        <f>H159*D159</f>
        <v/>
      </c>
      <c r="M159" s="4">
        <f>L159*K159</f>
        <v/>
      </c>
      <c r="N159" s="4">
        <f>SUMIF(Материалы!$A$4:$A$800,SUBSTITUTE(SUBSTITUTE(SUBSTITUTE(B159,"~","~~"),"*","~*"),"?","~?"),Материалы!$S$4:$S$800)</f>
        <v/>
      </c>
      <c r="O159" s="4">
        <f>L159+M159+N159</f>
        <v/>
      </c>
      <c r="P159" s="4">
        <f>IF(SUM($O$4:$O$672)=0,0,Косвенные!$C$9*O159/SUM($O$4:$O$672))</f>
        <v/>
      </c>
      <c r="Q159" s="4">
        <f>G159*D159+P159</f>
        <v/>
      </c>
      <c r="R159" s="4">
        <f>IF(D159=0,0,Q159/D159)</f>
        <v/>
      </c>
      <c r="S159" s="4">
        <f>IF(D159=0,0,SUMIF(Материалы!$A$4:$A$800,SUBSTITUTE(SUBSTITUTE(SUBSTITUTE(B159,"~","~~"),"*","~*"),"?","~?"),Материалы!$T$4:$T$800)/D159)</f>
        <v/>
      </c>
      <c r="T159" s="4">
        <f>R159+S159</f>
        <v/>
      </c>
      <c r="U159" s="4">
        <f>I159*D159</f>
        <v/>
      </c>
    </row>
    <row r="160" ht="22" customHeight="1">
      <c r="A160" s="9" t="inlineStr"/>
      <c r="B160" s="13" t="inlineStr">
        <is>
          <t>158. Оцинкованная сетка “Рабица” 2 000 мм высота</t>
        </is>
      </c>
      <c r="C160" s="9" t="inlineStr">
        <is>
          <t>м.п.</t>
        </is>
      </c>
      <c r="D160" s="4">
        <f>IF('Форма'!G158="","",'Форма'!G158)</f>
        <v/>
      </c>
      <c r="E160" s="9" t="inlineStr">
        <is>
          <t>нет в тарификаторе</t>
        </is>
      </c>
      <c r="F160" s="9" t="inlineStr">
        <is>
          <t>SVA</t>
        </is>
      </c>
      <c r="G160" s="10" t="n">
        <v>456</v>
      </c>
      <c r="H160" s="10" t="n">
        <v>216</v>
      </c>
      <c r="I160" s="10" t="n">
        <v>0.2</v>
      </c>
      <c r="J160" s="9" t="inlineStr"/>
      <c r="K160" s="7">
        <f>IF(F160="",0,IFERROR(VLOOKUP(F160,Расходники!$A$4:$B$23,2,FALSE),0))</f>
        <v/>
      </c>
      <c r="L160" s="4">
        <f>H160*D160</f>
        <v/>
      </c>
      <c r="M160" s="4">
        <f>L160*K160</f>
        <v/>
      </c>
      <c r="N160" s="4">
        <f>SUMIF(Материалы!$A$4:$A$800,SUBSTITUTE(SUBSTITUTE(SUBSTITUTE(B160,"~","~~"),"*","~*"),"?","~?"),Материалы!$S$4:$S$800)</f>
        <v/>
      </c>
      <c r="O160" s="4">
        <f>L160+M160+N160</f>
        <v/>
      </c>
      <c r="P160" s="4">
        <f>IF(SUM($O$4:$O$672)=0,0,Косвенные!$C$9*O160/SUM($O$4:$O$672))</f>
        <v/>
      </c>
      <c r="Q160" s="4">
        <f>G160*D160+P160</f>
        <v/>
      </c>
      <c r="R160" s="4">
        <f>IF(D160=0,0,Q160/D160)</f>
        <v/>
      </c>
      <c r="S160" s="4">
        <f>IF(D160=0,0,SUMIF(Материалы!$A$4:$A$800,SUBSTITUTE(SUBSTITUTE(SUBSTITUTE(B160,"~","~~"),"*","~*"),"?","~?"),Материалы!$T$4:$T$800)/D160)</f>
        <v/>
      </c>
      <c r="T160" s="4">
        <f>R160+S160</f>
        <v/>
      </c>
      <c r="U160" s="4">
        <f>I160*D160</f>
        <v/>
      </c>
    </row>
    <row r="161" ht="22" customHeight="1">
      <c r="A161" s="9" t="inlineStr"/>
      <c r="B161" s="13" t="inlineStr">
        <is>
          <t>159. Рифленый лист (черный металл) толщина 5 мм</t>
        </is>
      </c>
      <c r="C161" s="9" t="inlineStr">
        <is>
          <t>м2</t>
        </is>
      </c>
      <c r="D161" s="4">
        <f>IF('Форма'!G159="","",'Форма'!G159)</f>
        <v/>
      </c>
      <c r="E161" s="9" t="inlineStr">
        <is>
          <t>аналог (5.1.4)</t>
        </is>
      </c>
      <c r="F161" s="9" t="inlineStr">
        <is>
          <t>SVA</t>
        </is>
      </c>
      <c r="G161" s="10" t="n">
        <v>1464.9</v>
      </c>
      <c r="H161" s="10" t="n">
        <v>693.9</v>
      </c>
      <c r="I161" s="10" t="n">
        <v>0.643</v>
      </c>
      <c r="J161" s="9" t="inlineStr"/>
      <c r="K161" s="7">
        <f>IF(F161="",0,IFERROR(VLOOKUP(F161,Расходники!$A$4:$B$23,2,FALSE),0))</f>
        <v/>
      </c>
      <c r="L161" s="4">
        <f>H161*D161</f>
        <v/>
      </c>
      <c r="M161" s="4">
        <f>L161*K161</f>
        <v/>
      </c>
      <c r="N161" s="4">
        <f>SUMIF(Материалы!$A$4:$A$800,SUBSTITUTE(SUBSTITUTE(SUBSTITUTE(B161,"~","~~"),"*","~*"),"?","~?"),Материалы!$S$4:$S$800)</f>
        <v/>
      </c>
      <c r="O161" s="4">
        <f>L161+M161+N161</f>
        <v/>
      </c>
      <c r="P161" s="4">
        <f>IF(SUM($O$4:$O$672)=0,0,Косвенные!$C$9*O161/SUM($O$4:$O$672))</f>
        <v/>
      </c>
      <c r="Q161" s="4">
        <f>G161*D161+P161</f>
        <v/>
      </c>
      <c r="R161" s="4">
        <f>IF(D161=0,0,Q161/D161)</f>
        <v/>
      </c>
      <c r="S161" s="4">
        <f>IF(D161=0,0,SUMIF(Материалы!$A$4:$A$800,SUBSTITUTE(SUBSTITUTE(SUBSTITUTE(B161,"~","~~"),"*","~*"),"?","~?"),Материалы!$T$4:$T$800)/D161)</f>
        <v/>
      </c>
      <c r="T161" s="4">
        <f>R161+S161</f>
        <v/>
      </c>
      <c r="U161" s="4">
        <f>I161*D161</f>
        <v/>
      </c>
    </row>
    <row r="162" ht="22" customHeight="1">
      <c r="A162" s="9" t="inlineStr"/>
      <c r="B162" s="13" t="inlineStr">
        <is>
          <t>160. Рифленый лист (черный металл) толщина 3 мм</t>
        </is>
      </c>
      <c r="C162" s="9" t="inlineStr">
        <is>
          <t>м2</t>
        </is>
      </c>
      <c r="D162" s="4">
        <f>IF('Форма'!G160="","",'Форма'!G160)</f>
        <v/>
      </c>
      <c r="E162" s="9" t="inlineStr">
        <is>
          <t>аналог (5.1.4)</t>
        </is>
      </c>
      <c r="F162" s="9" t="inlineStr">
        <is>
          <t>SVA</t>
        </is>
      </c>
      <c r="G162" s="10" t="n">
        <v>1106.94</v>
      </c>
      <c r="H162" s="10" t="n">
        <v>524.34</v>
      </c>
      <c r="I162" s="10" t="n">
        <v>0.485</v>
      </c>
      <c r="J162" s="9" t="inlineStr"/>
      <c r="K162" s="7">
        <f>IF(F162="",0,IFERROR(VLOOKUP(F162,Расходники!$A$4:$B$23,2,FALSE),0))</f>
        <v/>
      </c>
      <c r="L162" s="4">
        <f>H162*D162</f>
        <v/>
      </c>
      <c r="M162" s="4">
        <f>L162*K162</f>
        <v/>
      </c>
      <c r="N162" s="4">
        <f>SUMIF(Материалы!$A$4:$A$800,SUBSTITUTE(SUBSTITUTE(SUBSTITUTE(B162,"~","~~"),"*","~*"),"?","~?"),Материалы!$S$4:$S$800)</f>
        <v/>
      </c>
      <c r="O162" s="4">
        <f>L162+M162+N162</f>
        <v/>
      </c>
      <c r="P162" s="4">
        <f>IF(SUM($O$4:$O$672)=0,0,Косвенные!$C$9*O162/SUM($O$4:$O$672))</f>
        <v/>
      </c>
      <c r="Q162" s="4">
        <f>G162*D162+P162</f>
        <v/>
      </c>
      <c r="R162" s="4">
        <f>IF(D162=0,0,Q162/D162)</f>
        <v/>
      </c>
      <c r="S162" s="4">
        <f>IF(D162=0,0,SUMIF(Материалы!$A$4:$A$800,SUBSTITUTE(SUBSTITUTE(SUBSTITUTE(B162,"~","~~"),"*","~*"),"?","~?"),Материалы!$T$4:$T$800)/D162)</f>
        <v/>
      </c>
      <c r="T162" s="4">
        <f>R162+S162</f>
        <v/>
      </c>
      <c r="U162" s="4">
        <f>I162*D162</f>
        <v/>
      </c>
    </row>
    <row r="163" ht="22" customHeight="1">
      <c r="A163" s="9" t="inlineStr"/>
      <c r="B163" s="13" t="inlineStr">
        <is>
          <t>161. Лист гладкий (черный металл) толщина 5 мм</t>
        </is>
      </c>
      <c r="C163" s="9" t="inlineStr">
        <is>
          <t>м2</t>
        </is>
      </c>
      <c r="D163" s="4">
        <f>IF('Форма'!G161="","",'Форма'!G161)</f>
        <v/>
      </c>
      <c r="E163" s="9" t="inlineStr">
        <is>
          <t>аналог (5.1.4)</t>
        </is>
      </c>
      <c r="F163" s="9" t="inlineStr">
        <is>
          <t>SVA</t>
        </is>
      </c>
      <c r="G163" s="10" t="n">
        <v>1464.9</v>
      </c>
      <c r="H163" s="10" t="n">
        <v>693.9</v>
      </c>
      <c r="I163" s="10" t="n">
        <v>0.643</v>
      </c>
      <c r="J163" s="9" t="inlineStr"/>
      <c r="K163" s="7">
        <f>IF(F163="",0,IFERROR(VLOOKUP(F163,Расходники!$A$4:$B$23,2,FALSE),0))</f>
        <v/>
      </c>
      <c r="L163" s="4">
        <f>H163*D163</f>
        <v/>
      </c>
      <c r="M163" s="4">
        <f>L163*K163</f>
        <v/>
      </c>
      <c r="N163" s="4">
        <f>SUMIF(Материалы!$A$4:$A$800,SUBSTITUTE(SUBSTITUTE(SUBSTITUTE(B163,"~","~~"),"*","~*"),"?","~?"),Материалы!$S$4:$S$800)</f>
        <v/>
      </c>
      <c r="O163" s="4">
        <f>L163+M163+N163</f>
        <v/>
      </c>
      <c r="P163" s="4">
        <f>IF(SUM($O$4:$O$672)=0,0,Косвенные!$C$9*O163/SUM($O$4:$O$672))</f>
        <v/>
      </c>
      <c r="Q163" s="4">
        <f>G163*D163+P163</f>
        <v/>
      </c>
      <c r="R163" s="4">
        <f>IF(D163=0,0,Q163/D163)</f>
        <v/>
      </c>
      <c r="S163" s="4">
        <f>IF(D163=0,0,SUMIF(Материалы!$A$4:$A$800,SUBSTITUTE(SUBSTITUTE(SUBSTITUTE(B163,"~","~~"),"*","~*"),"?","~?"),Материалы!$T$4:$T$800)/D163)</f>
        <v/>
      </c>
      <c r="T163" s="4">
        <f>R163+S163</f>
        <v/>
      </c>
      <c r="U163" s="4">
        <f>I163*D163</f>
        <v/>
      </c>
    </row>
    <row r="164" ht="22" customHeight="1">
      <c r="A164" s="9" t="inlineStr"/>
      <c r="B164" s="13" t="inlineStr">
        <is>
          <t>162. Лист гладкий (черный металл) толщина 3 мм</t>
        </is>
      </c>
      <c r="C164" s="9" t="inlineStr">
        <is>
          <t>м2</t>
        </is>
      </c>
      <c r="D164" s="4">
        <f>IF('Форма'!G162="","",'Форма'!G162)</f>
        <v/>
      </c>
      <c r="E164" s="9" t="inlineStr">
        <is>
          <t>аналог (5.1.4)</t>
        </is>
      </c>
      <c r="F164" s="9" t="inlineStr">
        <is>
          <t>SVA</t>
        </is>
      </c>
      <c r="G164" s="10" t="n">
        <v>1106.94</v>
      </c>
      <c r="H164" s="10" t="n">
        <v>524.34</v>
      </c>
      <c r="I164" s="10" t="n">
        <v>0.485</v>
      </c>
      <c r="J164" s="9" t="inlineStr"/>
      <c r="K164" s="7">
        <f>IF(F164="",0,IFERROR(VLOOKUP(F164,Расходники!$A$4:$B$23,2,FALSE),0))</f>
        <v/>
      </c>
      <c r="L164" s="4">
        <f>H164*D164</f>
        <v/>
      </c>
      <c r="M164" s="4">
        <f>L164*K164</f>
        <v/>
      </c>
      <c r="N164" s="4">
        <f>SUMIF(Материалы!$A$4:$A$800,SUBSTITUTE(SUBSTITUTE(SUBSTITUTE(B164,"~","~~"),"*","~*"),"?","~?"),Материалы!$S$4:$S$800)</f>
        <v/>
      </c>
      <c r="O164" s="4">
        <f>L164+M164+N164</f>
        <v/>
      </c>
      <c r="P164" s="4">
        <f>IF(SUM($O$4:$O$672)=0,0,Косвенные!$C$9*O164/SUM($O$4:$O$672))</f>
        <v/>
      </c>
      <c r="Q164" s="4">
        <f>G164*D164+P164</f>
        <v/>
      </c>
      <c r="R164" s="4">
        <f>IF(D164=0,0,Q164/D164)</f>
        <v/>
      </c>
      <c r="S164" s="4">
        <f>IF(D164=0,0,SUMIF(Материалы!$A$4:$A$800,SUBSTITUTE(SUBSTITUTE(SUBSTITUTE(B164,"~","~~"),"*","~*"),"?","~?"),Материалы!$T$4:$T$800)/D164)</f>
        <v/>
      </c>
      <c r="T164" s="4">
        <f>R164+S164</f>
        <v/>
      </c>
      <c r="U164" s="4">
        <f>I164*D164</f>
        <v/>
      </c>
    </row>
    <row r="165" ht="22" customHeight="1">
      <c r="A165" s="9" t="inlineStr"/>
      <c r="B165" s="13" t="inlineStr">
        <is>
          <t>163. Оцинкованный лист гладкий толщиной 0.55 мм</t>
        </is>
      </c>
      <c r="C165" s="9" t="inlineStr">
        <is>
          <t>м2</t>
        </is>
      </c>
      <c r="D165" s="4">
        <f>IF('Форма'!G163="","",'Форма'!G163)</f>
        <v/>
      </c>
      <c r="E165" s="9" t="inlineStr">
        <is>
          <t>аналог (5.1.4)</t>
        </is>
      </c>
      <c r="F165" s="9" t="inlineStr">
        <is>
          <t>SVA</t>
        </is>
      </c>
      <c r="G165" s="10" t="n">
        <v>668.4400000000001</v>
      </c>
      <c r="H165" s="10" t="n">
        <v>316.63</v>
      </c>
      <c r="I165" s="10" t="n">
        <v>0.293</v>
      </c>
      <c r="J165" s="9" t="inlineStr"/>
      <c r="K165" s="7">
        <f>IF(F165="",0,IFERROR(VLOOKUP(F165,Расходники!$A$4:$B$23,2,FALSE),0))</f>
        <v/>
      </c>
      <c r="L165" s="4">
        <f>H165*D165</f>
        <v/>
      </c>
      <c r="M165" s="4">
        <f>L165*K165</f>
        <v/>
      </c>
      <c r="N165" s="4">
        <f>SUMIF(Материалы!$A$4:$A$800,SUBSTITUTE(SUBSTITUTE(SUBSTITUTE(B165,"~","~~"),"*","~*"),"?","~?"),Материалы!$S$4:$S$800)</f>
        <v/>
      </c>
      <c r="O165" s="4">
        <f>L165+M165+N165</f>
        <v/>
      </c>
      <c r="P165" s="4">
        <f>IF(SUM($O$4:$O$672)=0,0,Косвенные!$C$9*O165/SUM($O$4:$O$672))</f>
        <v/>
      </c>
      <c r="Q165" s="4">
        <f>G165*D165+P165</f>
        <v/>
      </c>
      <c r="R165" s="4">
        <f>IF(D165=0,0,Q165/D165)</f>
        <v/>
      </c>
      <c r="S165" s="4">
        <f>IF(D165=0,0,SUMIF(Материалы!$A$4:$A$800,SUBSTITUTE(SUBSTITUTE(SUBSTITUTE(B165,"~","~~"),"*","~*"),"?","~?"),Материалы!$T$4:$T$800)/D165)</f>
        <v/>
      </c>
      <c r="T165" s="4">
        <f>R165+S165</f>
        <v/>
      </c>
      <c r="U165" s="4">
        <f>I165*D165</f>
        <v/>
      </c>
    </row>
    <row r="166" ht="22" customHeight="1">
      <c r="A166" s="9" t="inlineStr"/>
      <c r="B166" s="13" t="inlineStr">
        <is>
          <t>164. Лист рифленый нержавеющая сталь 1,5 мм</t>
        </is>
      </c>
      <c r="C166" s="9" t="inlineStr">
        <is>
          <t>м2</t>
        </is>
      </c>
      <c r="D166" s="4">
        <f>IF('Форма'!G164="","",'Форма'!G164)</f>
        <v/>
      </c>
      <c r="E166" s="9" t="inlineStr">
        <is>
          <t>аналог (5.1.4)</t>
        </is>
      </c>
      <c r="F166" s="9" t="inlineStr">
        <is>
          <t>SVA</t>
        </is>
      </c>
      <c r="G166" s="10" t="n">
        <v>838.47</v>
      </c>
      <c r="H166" s="10" t="n">
        <v>397.17</v>
      </c>
      <c r="I166" s="10" t="n">
        <v>0.368</v>
      </c>
      <c r="J166" s="9" t="inlineStr"/>
      <c r="K166" s="7">
        <f>IF(F166="",0,IFERROR(VLOOKUP(F166,Расходники!$A$4:$B$23,2,FALSE),0))</f>
        <v/>
      </c>
      <c r="L166" s="4">
        <f>H166*D166</f>
        <v/>
      </c>
      <c r="M166" s="4">
        <f>L166*K166</f>
        <v/>
      </c>
      <c r="N166" s="4">
        <f>SUMIF(Материалы!$A$4:$A$800,SUBSTITUTE(SUBSTITUTE(SUBSTITUTE(B166,"~","~~"),"*","~*"),"?","~?"),Материалы!$S$4:$S$800)</f>
        <v/>
      </c>
      <c r="O166" s="4">
        <f>L166+M166+N166</f>
        <v/>
      </c>
      <c r="P166" s="4">
        <f>IF(SUM($O$4:$O$672)=0,0,Косвенные!$C$9*O166/SUM($O$4:$O$672))</f>
        <v/>
      </c>
      <c r="Q166" s="4">
        <f>G166*D166+P166</f>
        <v/>
      </c>
      <c r="R166" s="4">
        <f>IF(D166=0,0,Q166/D166)</f>
        <v/>
      </c>
      <c r="S166" s="4">
        <f>IF(D166=0,0,SUMIF(Материалы!$A$4:$A$800,SUBSTITUTE(SUBSTITUTE(SUBSTITUTE(B166,"~","~~"),"*","~*"),"?","~?"),Материалы!$T$4:$T$800)/D166)</f>
        <v/>
      </c>
      <c r="T166" s="4">
        <f>R166+S166</f>
        <v/>
      </c>
      <c r="U166" s="4">
        <f>I166*D166</f>
        <v/>
      </c>
    </row>
    <row r="167" ht="22" customHeight="1">
      <c r="A167" s="9" t="inlineStr"/>
      <c r="B167" s="13" t="inlineStr">
        <is>
          <t>165. Алюминиевый рифленый лист с пятью рифлями«квинтет», толщиной 2 мм.</t>
        </is>
      </c>
      <c r="C167" s="9" t="inlineStr">
        <is>
          <t>м2</t>
        </is>
      </c>
      <c r="D167" s="4">
        <f>IF('Форма'!G165="","",'Форма'!G165)</f>
        <v/>
      </c>
      <c r="E167" s="9" t="inlineStr">
        <is>
          <t>аналог (5.1.4)</t>
        </is>
      </c>
      <c r="F167" s="9" t="inlineStr">
        <is>
          <t>SVA</t>
        </is>
      </c>
      <c r="G167" s="10" t="n">
        <v>693.12</v>
      </c>
      <c r="H167" s="10" t="n">
        <v>328.32</v>
      </c>
      <c r="I167" s="10" t="n">
        <v>0.304</v>
      </c>
      <c r="J167" s="9" t="inlineStr"/>
      <c r="K167" s="7">
        <f>IF(F167="",0,IFERROR(VLOOKUP(F167,Расходники!$A$4:$B$23,2,FALSE),0))</f>
        <v/>
      </c>
      <c r="L167" s="4">
        <f>H167*D167</f>
        <v/>
      </c>
      <c r="M167" s="4">
        <f>L167*K167</f>
        <v/>
      </c>
      <c r="N167" s="4">
        <f>SUMIF(Материалы!$A$4:$A$800,SUBSTITUTE(SUBSTITUTE(SUBSTITUTE(B167,"~","~~"),"*","~*"),"?","~?"),Материалы!$S$4:$S$800)</f>
        <v/>
      </c>
      <c r="O167" s="4">
        <f>L167+M167+N167</f>
        <v/>
      </c>
      <c r="P167" s="4">
        <f>IF(SUM($O$4:$O$672)=0,0,Косвенные!$C$9*O167/SUM($O$4:$O$672))</f>
        <v/>
      </c>
      <c r="Q167" s="4">
        <f>G167*D167+P167</f>
        <v/>
      </c>
      <c r="R167" s="4">
        <f>IF(D167=0,0,Q167/D167)</f>
        <v/>
      </c>
      <c r="S167" s="4">
        <f>IF(D167=0,0,SUMIF(Материалы!$A$4:$A$800,SUBSTITUTE(SUBSTITUTE(SUBSTITUTE(B167,"~","~~"),"*","~*"),"?","~?"),Материалы!$T$4:$T$800)/D167)</f>
        <v/>
      </c>
      <c r="T167" s="4">
        <f>R167+S167</f>
        <v/>
      </c>
      <c r="U167" s="4">
        <f>I167*D167</f>
        <v/>
      </c>
    </row>
    <row r="168" ht="22" customHeight="1">
      <c r="A168" s="9" t="inlineStr"/>
      <c r="B168" s="13" t="inlineStr">
        <is>
          <t>166. Лист гладкий (черный металл) толщина 10 мм.</t>
        </is>
      </c>
      <c r="C168" s="9" t="inlineStr">
        <is>
          <t>м2</t>
        </is>
      </c>
      <c r="D168" s="4">
        <f>IF('Форма'!G166="","",'Форма'!G166)</f>
        <v/>
      </c>
      <c r="E168" s="9" t="inlineStr">
        <is>
          <t>аналог (5.1.4)</t>
        </is>
      </c>
      <c r="F168" s="9" t="inlineStr">
        <is>
          <t>SVA</t>
        </is>
      </c>
      <c r="G168" s="10" t="n">
        <v>2359.8</v>
      </c>
      <c r="H168" s="10" t="n">
        <v>1117.8</v>
      </c>
      <c r="I168" s="10" t="n">
        <v>1.035</v>
      </c>
      <c r="J168" s="9" t="inlineStr"/>
      <c r="K168" s="7">
        <f>IF(F168="",0,IFERROR(VLOOKUP(F168,Расходники!$A$4:$B$23,2,FALSE),0))</f>
        <v/>
      </c>
      <c r="L168" s="4">
        <f>H168*D168</f>
        <v/>
      </c>
      <c r="M168" s="4">
        <f>L168*K168</f>
        <v/>
      </c>
      <c r="N168" s="4">
        <f>SUMIF(Материалы!$A$4:$A$800,SUBSTITUTE(SUBSTITUTE(SUBSTITUTE(B168,"~","~~"),"*","~*"),"?","~?"),Материалы!$S$4:$S$800)</f>
        <v/>
      </c>
      <c r="O168" s="4">
        <f>L168+M168+N168</f>
        <v/>
      </c>
      <c r="P168" s="4">
        <f>IF(SUM($O$4:$O$672)=0,0,Косвенные!$C$9*O168/SUM($O$4:$O$672))</f>
        <v/>
      </c>
      <c r="Q168" s="4">
        <f>G168*D168+P168</f>
        <v/>
      </c>
      <c r="R168" s="4">
        <f>IF(D168=0,0,Q168/D168)</f>
        <v/>
      </c>
      <c r="S168" s="4">
        <f>IF(D168=0,0,SUMIF(Материалы!$A$4:$A$800,SUBSTITUTE(SUBSTITUTE(SUBSTITUTE(B168,"~","~~"),"*","~*"),"?","~?"),Материалы!$T$4:$T$800)/D168)</f>
        <v/>
      </c>
      <c r="T168" s="4">
        <f>R168+S168</f>
        <v/>
      </c>
      <c r="U168" s="4">
        <f>I168*D168</f>
        <v/>
      </c>
    </row>
    <row r="169" ht="22" customHeight="1">
      <c r="A169" s="9" t="inlineStr"/>
      <c r="B169" s="13" t="inlineStr">
        <is>
          <t>167. Пластина металлическая 360х200х20мм,4 отверстия Д18-22мм</t>
        </is>
      </c>
      <c r="C169" s="9" t="inlineStr">
        <is>
          <t>шт.</t>
        </is>
      </c>
      <c r="D169" s="4">
        <f>IF('Форма'!G167="","",'Форма'!G167)</f>
        <v/>
      </c>
      <c r="E169" s="9" t="inlineStr">
        <is>
          <t>аналог (14.11)</t>
        </is>
      </c>
      <c r="F169" s="9" t="inlineStr">
        <is>
          <t>SVA</t>
        </is>
      </c>
      <c r="G169" s="10" t="n">
        <v>912</v>
      </c>
      <c r="H169" s="10" t="n">
        <v>432</v>
      </c>
      <c r="I169" s="10" t="n">
        <v>0.4</v>
      </c>
      <c r="J169" s="9" t="inlineStr"/>
      <c r="K169" s="7">
        <f>IF(F169="",0,IFERROR(VLOOKUP(F169,Расходники!$A$4:$B$23,2,FALSE),0))</f>
        <v/>
      </c>
      <c r="L169" s="4">
        <f>H169*D169</f>
        <v/>
      </c>
      <c r="M169" s="4">
        <f>L169*K169</f>
        <v/>
      </c>
      <c r="N169" s="4">
        <f>SUMIF(Материалы!$A$4:$A$800,SUBSTITUTE(SUBSTITUTE(SUBSTITUTE(B169,"~","~~"),"*","~*"),"?","~?"),Материалы!$S$4:$S$800)</f>
        <v/>
      </c>
      <c r="O169" s="4">
        <f>L169+M169+N169</f>
        <v/>
      </c>
      <c r="P169" s="4">
        <f>IF(SUM($O$4:$O$672)=0,0,Косвенные!$C$9*O169/SUM($O$4:$O$672))</f>
        <v/>
      </c>
      <c r="Q169" s="4">
        <f>G169*D169+P169</f>
        <v/>
      </c>
      <c r="R169" s="4">
        <f>IF(D169=0,0,Q169/D169)</f>
        <v/>
      </c>
      <c r="S169" s="4">
        <f>IF(D169=0,0,SUMIF(Материалы!$A$4:$A$800,SUBSTITUTE(SUBSTITUTE(SUBSTITUTE(B169,"~","~~"),"*","~*"),"?","~?"),Материалы!$T$4:$T$800)/D169)</f>
        <v/>
      </c>
      <c r="T169" s="4">
        <f>R169+S169</f>
        <v/>
      </c>
      <c r="U169" s="4">
        <f>I169*D169</f>
        <v/>
      </c>
    </row>
    <row r="170" ht="22" customHeight="1">
      <c r="A170" s="9" t="inlineStr"/>
      <c r="B170" s="13" t="inlineStr">
        <is>
          <t>168. лист гладкий (черный металл) толщина 4 мм</t>
        </is>
      </c>
      <c r="C170" s="9" t="inlineStr">
        <is>
          <t>м2</t>
        </is>
      </c>
      <c r="D170" s="4">
        <f>IF('Форма'!G168="","",'Форма'!G168)</f>
        <v/>
      </c>
      <c r="E170" s="9" t="inlineStr">
        <is>
          <t>аналог (5.1.4)</t>
        </is>
      </c>
      <c r="F170" s="9" t="inlineStr">
        <is>
          <t>SVA</t>
        </is>
      </c>
      <c r="G170" s="10" t="n">
        <v>1285.92</v>
      </c>
      <c r="H170" s="10" t="n">
        <v>609.12</v>
      </c>
      <c r="I170" s="10" t="n">
        <v>0.5639999999999999</v>
      </c>
      <c r="J170" s="9" t="inlineStr"/>
      <c r="K170" s="7">
        <f>IF(F170="",0,IFERROR(VLOOKUP(F170,Расходники!$A$4:$B$23,2,FALSE),0))</f>
        <v/>
      </c>
      <c r="L170" s="4">
        <f>H170*D170</f>
        <v/>
      </c>
      <c r="M170" s="4">
        <f>L170*K170</f>
        <v/>
      </c>
      <c r="N170" s="4">
        <f>SUMIF(Материалы!$A$4:$A$800,SUBSTITUTE(SUBSTITUTE(SUBSTITUTE(B170,"~","~~"),"*","~*"),"?","~?"),Материалы!$S$4:$S$800)</f>
        <v/>
      </c>
      <c r="O170" s="4">
        <f>L170+M170+N170</f>
        <v/>
      </c>
      <c r="P170" s="4">
        <f>IF(SUM($O$4:$O$672)=0,0,Косвенные!$C$9*O170/SUM($O$4:$O$672))</f>
        <v/>
      </c>
      <c r="Q170" s="4">
        <f>G170*D170+P170</f>
        <v/>
      </c>
      <c r="R170" s="4">
        <f>IF(D170=0,0,Q170/D170)</f>
        <v/>
      </c>
      <c r="S170" s="4">
        <f>IF(D170=0,0,SUMIF(Материалы!$A$4:$A$800,SUBSTITUTE(SUBSTITUTE(SUBSTITUTE(B170,"~","~~"),"*","~*"),"?","~?"),Материалы!$T$4:$T$800)/D170)</f>
        <v/>
      </c>
      <c r="T170" s="4">
        <f>R170+S170</f>
        <v/>
      </c>
      <c r="U170" s="4">
        <f>I170*D170</f>
        <v/>
      </c>
    </row>
    <row r="171" ht="22" customHeight="1">
      <c r="A171" s="9" t="inlineStr"/>
      <c r="B171" s="13" t="inlineStr">
        <is>
          <t>169. Металлическая сетка 100х100х4 мм</t>
        </is>
      </c>
      <c r="C171" s="9" t="inlineStr">
        <is>
          <t>м.п.</t>
        </is>
      </c>
      <c r="D171" s="4">
        <f>IF('Форма'!G169="","",'Форма'!G169)</f>
        <v/>
      </c>
      <c r="E171" s="9" t="inlineStr">
        <is>
          <t>нет в тарификаторе</t>
        </is>
      </c>
      <c r="F171" s="9" t="inlineStr">
        <is>
          <t>SVA</t>
        </is>
      </c>
      <c r="G171" s="10" t="n">
        <v>456</v>
      </c>
      <c r="H171" s="10" t="n">
        <v>216</v>
      </c>
      <c r="I171" s="10" t="n">
        <v>0.2</v>
      </c>
      <c r="J171" s="9" t="inlineStr"/>
      <c r="K171" s="7">
        <f>IF(F171="",0,IFERROR(VLOOKUP(F171,Расходники!$A$4:$B$23,2,FALSE),0))</f>
        <v/>
      </c>
      <c r="L171" s="4">
        <f>H171*D171</f>
        <v/>
      </c>
      <c r="M171" s="4">
        <f>L171*K171</f>
        <v/>
      </c>
      <c r="N171" s="4">
        <f>SUMIF(Материалы!$A$4:$A$800,SUBSTITUTE(SUBSTITUTE(SUBSTITUTE(B171,"~","~~"),"*","~*"),"?","~?"),Материалы!$S$4:$S$800)</f>
        <v/>
      </c>
      <c r="O171" s="4">
        <f>L171+M171+N171</f>
        <v/>
      </c>
      <c r="P171" s="4">
        <f>IF(SUM($O$4:$O$672)=0,0,Косвенные!$C$9*O171/SUM($O$4:$O$672))</f>
        <v/>
      </c>
      <c r="Q171" s="4">
        <f>G171*D171+P171</f>
        <v/>
      </c>
      <c r="R171" s="4">
        <f>IF(D171=0,0,Q171/D171)</f>
        <v/>
      </c>
      <c r="S171" s="4">
        <f>IF(D171=0,0,SUMIF(Материалы!$A$4:$A$800,SUBSTITUTE(SUBSTITUTE(SUBSTITUTE(B171,"~","~~"),"*","~*"),"?","~?"),Материалы!$T$4:$T$800)/D171)</f>
        <v/>
      </c>
      <c r="T171" s="4">
        <f>R171+S171</f>
        <v/>
      </c>
      <c r="U171" s="4">
        <f>I171*D171</f>
        <v/>
      </c>
    </row>
    <row r="172" ht="22" customHeight="1">
      <c r="A172" s="9" t="inlineStr"/>
      <c r="B172" s="13" t="inlineStr">
        <is>
          <t>170. Металлическая сетка 50х50х4 мм</t>
        </is>
      </c>
      <c r="C172" s="9" t="inlineStr">
        <is>
          <t>м.п.</t>
        </is>
      </c>
      <c r="D172" s="4">
        <f>IF('Форма'!G170="","",'Форма'!G170)</f>
        <v/>
      </c>
      <c r="E172" s="9" t="inlineStr">
        <is>
          <t>нет в тарификаторе</t>
        </is>
      </c>
      <c r="F172" s="9" t="inlineStr">
        <is>
          <t>SVA</t>
        </is>
      </c>
      <c r="G172" s="10" t="n">
        <v>456</v>
      </c>
      <c r="H172" s="10" t="n">
        <v>216</v>
      </c>
      <c r="I172" s="10" t="n">
        <v>0.2</v>
      </c>
      <c r="J172" s="9" t="inlineStr"/>
      <c r="K172" s="7">
        <f>IF(F172="",0,IFERROR(VLOOKUP(F172,Расходники!$A$4:$B$23,2,FALSE),0))</f>
        <v/>
      </c>
      <c r="L172" s="4">
        <f>H172*D172</f>
        <v/>
      </c>
      <c r="M172" s="4">
        <f>L172*K172</f>
        <v/>
      </c>
      <c r="N172" s="4">
        <f>SUMIF(Материалы!$A$4:$A$800,SUBSTITUTE(SUBSTITUTE(SUBSTITUTE(B172,"~","~~"),"*","~*"),"?","~?"),Материалы!$S$4:$S$800)</f>
        <v/>
      </c>
      <c r="O172" s="4">
        <f>L172+M172+N172</f>
        <v/>
      </c>
      <c r="P172" s="4">
        <f>IF(SUM($O$4:$O$672)=0,0,Косвенные!$C$9*O172/SUM($O$4:$O$672))</f>
        <v/>
      </c>
      <c r="Q172" s="4">
        <f>G172*D172+P172</f>
        <v/>
      </c>
      <c r="R172" s="4">
        <f>IF(D172=0,0,Q172/D172)</f>
        <v/>
      </c>
      <c r="S172" s="4">
        <f>IF(D172=0,0,SUMIF(Материалы!$A$4:$A$800,SUBSTITUTE(SUBSTITUTE(SUBSTITUTE(B172,"~","~~"),"*","~*"),"?","~?"),Материалы!$T$4:$T$800)/D172)</f>
        <v/>
      </c>
      <c r="T172" s="4">
        <f>R172+S172</f>
        <v/>
      </c>
      <c r="U172" s="4">
        <f>I172*D172</f>
        <v/>
      </c>
    </row>
    <row r="173" ht="22" customHeight="1">
      <c r="A173" s="9" t="inlineStr"/>
      <c r="B173" s="13" t="inlineStr">
        <is>
          <t>171. Арматурная сталь с сечением 6 мм</t>
        </is>
      </c>
      <c r="C173" s="9" t="inlineStr">
        <is>
          <t>м.п.</t>
        </is>
      </c>
      <c r="D173" s="4">
        <f>IF('Форма'!G171="","",'Форма'!G171)</f>
        <v/>
      </c>
      <c r="E173" s="9" t="inlineStr">
        <is>
          <t>нет в тарификаторе</t>
        </is>
      </c>
      <c r="F173" s="9" t="inlineStr">
        <is>
          <t>BET</t>
        </is>
      </c>
      <c r="G173" s="10" t="n">
        <v>136.8</v>
      </c>
      <c r="H173" s="10" t="n">
        <v>76</v>
      </c>
      <c r="I173" s="10" t="n">
        <v>0.08</v>
      </c>
      <c r="J173" s="9" t="inlineStr"/>
      <c r="K173" s="7">
        <f>IF(F173="",0,IFERROR(VLOOKUP(F173,Расходники!$A$4:$B$23,2,FALSE),0))</f>
        <v/>
      </c>
      <c r="L173" s="4">
        <f>H173*D173</f>
        <v/>
      </c>
      <c r="M173" s="4">
        <f>L173*K173</f>
        <v/>
      </c>
      <c r="N173" s="4">
        <f>SUMIF(Материалы!$A$4:$A$800,SUBSTITUTE(SUBSTITUTE(SUBSTITUTE(B173,"~","~~"),"*","~*"),"?","~?"),Материалы!$S$4:$S$800)</f>
        <v/>
      </c>
      <c r="O173" s="4">
        <f>L173+M173+N173</f>
        <v/>
      </c>
      <c r="P173" s="4">
        <f>IF(SUM($O$4:$O$672)=0,0,Косвенные!$C$9*O173/SUM($O$4:$O$672))</f>
        <v/>
      </c>
      <c r="Q173" s="4">
        <f>G173*D173+P173</f>
        <v/>
      </c>
      <c r="R173" s="4">
        <f>IF(D173=0,0,Q173/D173)</f>
        <v/>
      </c>
      <c r="S173" s="4">
        <f>IF(D173=0,0,SUMIF(Материалы!$A$4:$A$800,SUBSTITUTE(SUBSTITUTE(SUBSTITUTE(B173,"~","~~"),"*","~*"),"?","~?"),Материалы!$T$4:$T$800)/D173)</f>
        <v/>
      </c>
      <c r="T173" s="4">
        <f>R173+S173</f>
        <v/>
      </c>
      <c r="U173" s="4">
        <f>I173*D173</f>
        <v/>
      </c>
    </row>
    <row r="174" ht="22" customHeight="1">
      <c r="A174" s="9" t="inlineStr"/>
      <c r="B174" s="13" t="inlineStr">
        <is>
          <t>172. Арматурная сталь с сечением 8 мм</t>
        </is>
      </c>
      <c r="C174" s="9" t="inlineStr">
        <is>
          <t>м.п.</t>
        </is>
      </c>
      <c r="D174" s="4">
        <f>IF('Форма'!G172="","",'Форма'!G172)</f>
        <v/>
      </c>
      <c r="E174" s="9" t="inlineStr">
        <is>
          <t>нет в тарификаторе</t>
        </is>
      </c>
      <c r="F174" s="9" t="inlineStr">
        <is>
          <t>BET</t>
        </is>
      </c>
      <c r="G174" s="10" t="n">
        <v>136.8</v>
      </c>
      <c r="H174" s="10" t="n">
        <v>76</v>
      </c>
      <c r="I174" s="10" t="n">
        <v>0.08</v>
      </c>
      <c r="J174" s="9" t="inlineStr"/>
      <c r="K174" s="7">
        <f>IF(F174="",0,IFERROR(VLOOKUP(F174,Расходники!$A$4:$B$23,2,FALSE),0))</f>
        <v/>
      </c>
      <c r="L174" s="4">
        <f>H174*D174</f>
        <v/>
      </c>
      <c r="M174" s="4">
        <f>L174*K174</f>
        <v/>
      </c>
      <c r="N174" s="4">
        <f>SUMIF(Материалы!$A$4:$A$800,SUBSTITUTE(SUBSTITUTE(SUBSTITUTE(B174,"~","~~"),"*","~*"),"?","~?"),Материалы!$S$4:$S$800)</f>
        <v/>
      </c>
      <c r="O174" s="4">
        <f>L174+M174+N174</f>
        <v/>
      </c>
      <c r="P174" s="4">
        <f>IF(SUM($O$4:$O$672)=0,0,Косвенные!$C$9*O174/SUM($O$4:$O$672))</f>
        <v/>
      </c>
      <c r="Q174" s="4">
        <f>G174*D174+P174</f>
        <v/>
      </c>
      <c r="R174" s="4">
        <f>IF(D174=0,0,Q174/D174)</f>
        <v/>
      </c>
      <c r="S174" s="4">
        <f>IF(D174=0,0,SUMIF(Материалы!$A$4:$A$800,SUBSTITUTE(SUBSTITUTE(SUBSTITUTE(B174,"~","~~"),"*","~*"),"?","~?"),Материалы!$T$4:$T$800)/D174)</f>
        <v/>
      </c>
      <c r="T174" s="4">
        <f>R174+S174</f>
        <v/>
      </c>
      <c r="U174" s="4">
        <f>I174*D174</f>
        <v/>
      </c>
    </row>
    <row r="175" ht="22" customHeight="1">
      <c r="A175" s="9" t="inlineStr"/>
      <c r="B175" s="13" t="inlineStr">
        <is>
          <t>173. Арматурная сталь с сечением 10 мм</t>
        </is>
      </c>
      <c r="C175" s="9" t="inlineStr">
        <is>
          <t>м.п.</t>
        </is>
      </c>
      <c r="D175" s="4">
        <f>IF('Форма'!G173="","",'Форма'!G173)</f>
        <v/>
      </c>
      <c r="E175" s="9" t="inlineStr">
        <is>
          <t>нет в тарификаторе</t>
        </is>
      </c>
      <c r="F175" s="9" t="inlineStr">
        <is>
          <t>BET</t>
        </is>
      </c>
      <c r="G175" s="10" t="n">
        <v>136.8</v>
      </c>
      <c r="H175" s="10" t="n">
        <v>76</v>
      </c>
      <c r="I175" s="10" t="n">
        <v>0.08</v>
      </c>
      <c r="J175" s="9" t="inlineStr"/>
      <c r="K175" s="7">
        <f>IF(F175="",0,IFERROR(VLOOKUP(F175,Расходники!$A$4:$B$23,2,FALSE),0))</f>
        <v/>
      </c>
      <c r="L175" s="4">
        <f>H175*D175</f>
        <v/>
      </c>
      <c r="M175" s="4">
        <f>L175*K175</f>
        <v/>
      </c>
      <c r="N175" s="4">
        <f>SUMIF(Материалы!$A$4:$A$800,SUBSTITUTE(SUBSTITUTE(SUBSTITUTE(B175,"~","~~"),"*","~*"),"?","~?"),Материалы!$S$4:$S$800)</f>
        <v/>
      </c>
      <c r="O175" s="4">
        <f>L175+M175+N175</f>
        <v/>
      </c>
      <c r="P175" s="4">
        <f>IF(SUM($O$4:$O$672)=0,0,Косвенные!$C$9*O175/SUM($O$4:$O$672))</f>
        <v/>
      </c>
      <c r="Q175" s="4">
        <f>G175*D175+P175</f>
        <v/>
      </c>
      <c r="R175" s="4">
        <f>IF(D175=0,0,Q175/D175)</f>
        <v/>
      </c>
      <c r="S175" s="4">
        <f>IF(D175=0,0,SUMIF(Материалы!$A$4:$A$800,SUBSTITUTE(SUBSTITUTE(SUBSTITUTE(B175,"~","~~"),"*","~*"),"?","~?"),Материалы!$T$4:$T$800)/D175)</f>
        <v/>
      </c>
      <c r="T175" s="4">
        <f>R175+S175</f>
        <v/>
      </c>
      <c r="U175" s="4">
        <f>I175*D175</f>
        <v/>
      </c>
    </row>
    <row r="176" ht="22" customHeight="1">
      <c r="A176" s="9" t="inlineStr"/>
      <c r="B176" s="13" t="inlineStr">
        <is>
          <t>174. Арматурная сталь с сечением 12 мм</t>
        </is>
      </c>
      <c r="C176" s="9" t="inlineStr">
        <is>
          <t>м.п.</t>
        </is>
      </c>
      <c r="D176" s="4">
        <f>IF('Форма'!G174="","",'Форма'!G174)</f>
        <v/>
      </c>
      <c r="E176" s="9" t="inlineStr">
        <is>
          <t>нет в тарификаторе</t>
        </is>
      </c>
      <c r="F176" s="9" t="inlineStr">
        <is>
          <t>BET</t>
        </is>
      </c>
      <c r="G176" s="10" t="n">
        <v>136.8</v>
      </c>
      <c r="H176" s="10" t="n">
        <v>76</v>
      </c>
      <c r="I176" s="10" t="n">
        <v>0.08</v>
      </c>
      <c r="J176" s="9" t="inlineStr"/>
      <c r="K176" s="7">
        <f>IF(F176="",0,IFERROR(VLOOKUP(F176,Расходники!$A$4:$B$23,2,FALSE),0))</f>
        <v/>
      </c>
      <c r="L176" s="4">
        <f>H176*D176</f>
        <v/>
      </c>
      <c r="M176" s="4">
        <f>L176*K176</f>
        <v/>
      </c>
      <c r="N176" s="4">
        <f>SUMIF(Материалы!$A$4:$A$800,SUBSTITUTE(SUBSTITUTE(SUBSTITUTE(B176,"~","~~"),"*","~*"),"?","~?"),Материалы!$S$4:$S$800)</f>
        <v/>
      </c>
      <c r="O176" s="4">
        <f>L176+M176+N176</f>
        <v/>
      </c>
      <c r="P176" s="4">
        <f>IF(SUM($O$4:$O$672)=0,0,Косвенные!$C$9*O176/SUM($O$4:$O$672))</f>
        <v/>
      </c>
      <c r="Q176" s="4">
        <f>G176*D176+P176</f>
        <v/>
      </c>
      <c r="R176" s="4">
        <f>IF(D176=0,0,Q176/D176)</f>
        <v/>
      </c>
      <c r="S176" s="4">
        <f>IF(D176=0,0,SUMIF(Материалы!$A$4:$A$800,SUBSTITUTE(SUBSTITUTE(SUBSTITUTE(B176,"~","~~"),"*","~*"),"?","~?"),Материалы!$T$4:$T$800)/D176)</f>
        <v/>
      </c>
      <c r="T176" s="4">
        <f>R176+S176</f>
        <v/>
      </c>
      <c r="U176" s="4">
        <f>I176*D176</f>
        <v/>
      </c>
    </row>
    <row r="177" ht="22" customHeight="1">
      <c r="A177" s="9" t="inlineStr"/>
      <c r="B177" s="13" t="inlineStr">
        <is>
          <t>175. Арматурная сталь с сечением 14 мм</t>
        </is>
      </c>
      <c r="C177" s="9" t="inlineStr">
        <is>
          <t>м.п.</t>
        </is>
      </c>
      <c r="D177" s="4">
        <f>IF('Форма'!G175="","",'Форма'!G175)</f>
        <v/>
      </c>
      <c r="E177" s="9" t="inlineStr">
        <is>
          <t>нет в тарификаторе</t>
        </is>
      </c>
      <c r="F177" s="9" t="inlineStr">
        <is>
          <t>BET</t>
        </is>
      </c>
      <c r="G177" s="10" t="n">
        <v>136.8</v>
      </c>
      <c r="H177" s="10" t="n">
        <v>76</v>
      </c>
      <c r="I177" s="10" t="n">
        <v>0.08</v>
      </c>
      <c r="J177" s="9" t="inlineStr"/>
      <c r="K177" s="7">
        <f>IF(F177="",0,IFERROR(VLOOKUP(F177,Расходники!$A$4:$B$23,2,FALSE),0))</f>
        <v/>
      </c>
      <c r="L177" s="4">
        <f>H177*D177</f>
        <v/>
      </c>
      <c r="M177" s="4">
        <f>L177*K177</f>
        <v/>
      </c>
      <c r="N177" s="4">
        <f>SUMIF(Материалы!$A$4:$A$800,SUBSTITUTE(SUBSTITUTE(SUBSTITUTE(B177,"~","~~"),"*","~*"),"?","~?"),Материалы!$S$4:$S$800)</f>
        <v/>
      </c>
      <c r="O177" s="4">
        <f>L177+M177+N177</f>
        <v/>
      </c>
      <c r="P177" s="4">
        <f>IF(SUM($O$4:$O$672)=0,0,Косвенные!$C$9*O177/SUM($O$4:$O$672))</f>
        <v/>
      </c>
      <c r="Q177" s="4">
        <f>G177*D177+P177</f>
        <v/>
      </c>
      <c r="R177" s="4">
        <f>IF(D177=0,0,Q177/D177)</f>
        <v/>
      </c>
      <c r="S177" s="4">
        <f>IF(D177=0,0,SUMIF(Материалы!$A$4:$A$800,SUBSTITUTE(SUBSTITUTE(SUBSTITUTE(B177,"~","~~"),"*","~*"),"?","~?"),Материалы!$T$4:$T$800)/D177)</f>
        <v/>
      </c>
      <c r="T177" s="4">
        <f>R177+S177</f>
        <v/>
      </c>
      <c r="U177" s="4">
        <f>I177*D177</f>
        <v/>
      </c>
    </row>
    <row r="178" ht="22" customHeight="1">
      <c r="A178" s="9" t="inlineStr"/>
      <c r="B178" s="13" t="inlineStr">
        <is>
          <t>176. Арматурная сталь с сечением 16 мм</t>
        </is>
      </c>
      <c r="C178" s="9" t="inlineStr">
        <is>
          <t>м.п.</t>
        </is>
      </c>
      <c r="D178" s="4">
        <f>IF('Форма'!G176="","",'Форма'!G176)</f>
        <v/>
      </c>
      <c r="E178" s="9" t="inlineStr">
        <is>
          <t>нет в тарификаторе</t>
        </is>
      </c>
      <c r="F178" s="9" t="inlineStr">
        <is>
          <t>BET</t>
        </is>
      </c>
      <c r="G178" s="10" t="n">
        <v>136.8</v>
      </c>
      <c r="H178" s="10" t="n">
        <v>76</v>
      </c>
      <c r="I178" s="10" t="n">
        <v>0.08</v>
      </c>
      <c r="J178" s="9" t="inlineStr"/>
      <c r="K178" s="7">
        <f>IF(F178="",0,IFERROR(VLOOKUP(F178,Расходники!$A$4:$B$23,2,FALSE),0))</f>
        <v/>
      </c>
      <c r="L178" s="4">
        <f>H178*D178</f>
        <v/>
      </c>
      <c r="M178" s="4">
        <f>L178*K178</f>
        <v/>
      </c>
      <c r="N178" s="4">
        <f>SUMIF(Материалы!$A$4:$A$800,SUBSTITUTE(SUBSTITUTE(SUBSTITUTE(B178,"~","~~"),"*","~*"),"?","~?"),Материалы!$S$4:$S$800)</f>
        <v/>
      </c>
      <c r="O178" s="4">
        <f>L178+M178+N178</f>
        <v/>
      </c>
      <c r="P178" s="4">
        <f>IF(SUM($O$4:$O$672)=0,0,Косвенные!$C$9*O178/SUM($O$4:$O$672))</f>
        <v/>
      </c>
      <c r="Q178" s="4">
        <f>G178*D178+P178</f>
        <v/>
      </c>
      <c r="R178" s="4">
        <f>IF(D178=0,0,Q178/D178)</f>
        <v/>
      </c>
      <c r="S178" s="4">
        <f>IF(D178=0,0,SUMIF(Материалы!$A$4:$A$800,SUBSTITUTE(SUBSTITUTE(SUBSTITUTE(B178,"~","~~"),"*","~*"),"?","~?"),Материалы!$T$4:$T$800)/D178)</f>
        <v/>
      </c>
      <c r="T178" s="4">
        <f>R178+S178</f>
        <v/>
      </c>
      <c r="U178" s="4">
        <f>I178*D178</f>
        <v/>
      </c>
    </row>
    <row r="179" ht="22" customHeight="1">
      <c r="A179" s="9" t="inlineStr"/>
      <c r="B179" s="13" t="inlineStr">
        <is>
          <t>177. Контейнерная площадки для размещения двух контейнеров с равными створкамы (Габаритные размеры: Ш 2,0 х Д 3,0 х В 2,0 м)</t>
        </is>
      </c>
      <c r="C179" s="9" t="inlineStr">
        <is>
          <t>шт.</t>
        </is>
      </c>
      <c r="D179" s="4">
        <f>IF('Форма'!G177="","",'Форма'!G177)</f>
        <v/>
      </c>
      <c r="E179" s="9" t="inlineStr">
        <is>
          <t>аналог (5.1.4)</t>
        </is>
      </c>
      <c r="F179" s="9" t="inlineStr">
        <is>
          <t>SVA</t>
        </is>
      </c>
      <c r="G179" s="10" t="n">
        <v>36480</v>
      </c>
      <c r="H179" s="10" t="n">
        <v>17280</v>
      </c>
      <c r="I179" s="10" t="n">
        <v>16</v>
      </c>
      <c r="J179" s="9" t="inlineStr"/>
      <c r="K179" s="7">
        <f>IF(F179="",0,IFERROR(VLOOKUP(F179,Расходники!$A$4:$B$23,2,FALSE),0))</f>
        <v/>
      </c>
      <c r="L179" s="4">
        <f>H179*D179</f>
        <v/>
      </c>
      <c r="M179" s="4">
        <f>L179*K179</f>
        <v/>
      </c>
      <c r="N179" s="4">
        <f>SUMIF(Материалы!$A$4:$A$800,SUBSTITUTE(SUBSTITUTE(SUBSTITUTE(B179,"~","~~"),"*","~*"),"?","~?"),Материалы!$S$4:$S$800)</f>
        <v/>
      </c>
      <c r="O179" s="4">
        <f>L179+M179+N179</f>
        <v/>
      </c>
      <c r="P179" s="4">
        <f>IF(SUM($O$4:$O$672)=0,0,Косвенные!$C$9*O179/SUM($O$4:$O$672))</f>
        <v/>
      </c>
      <c r="Q179" s="4">
        <f>G179*D179+P179</f>
        <v/>
      </c>
      <c r="R179" s="4">
        <f>IF(D179=0,0,Q179/D179)</f>
        <v/>
      </c>
      <c r="S179" s="4">
        <f>IF(D179=0,0,SUMIF(Материалы!$A$4:$A$800,SUBSTITUTE(SUBSTITUTE(SUBSTITUTE(B179,"~","~~"),"*","~*"),"?","~?"),Материалы!$T$4:$T$800)/D179)</f>
        <v/>
      </c>
      <c r="T179" s="4">
        <f>R179+S179</f>
        <v/>
      </c>
      <c r="U179" s="4">
        <f>I179*D179</f>
        <v/>
      </c>
    </row>
    <row r="180" ht="22" customHeight="1">
      <c r="A180" s="9" t="inlineStr"/>
      <c r="B180" s="13" t="inlineStr">
        <is>
          <t>178. Контейнерная площадки для размещения трёх контейнеров с равными створкамы (Габаритные размеры: Ш 2,0 х Д 6,0 х В 2,0 м)</t>
        </is>
      </c>
      <c r="C180" s="9" t="inlineStr">
        <is>
          <t>шт.</t>
        </is>
      </c>
      <c r="D180" s="4">
        <f>IF('Форма'!G178="","",'Форма'!G178)</f>
        <v/>
      </c>
      <c r="E180" s="9" t="inlineStr">
        <is>
          <t>аналог (5.1.4)</t>
        </is>
      </c>
      <c r="F180" s="9" t="inlineStr">
        <is>
          <t>SVA</t>
        </is>
      </c>
      <c r="G180" s="10" t="n">
        <v>36480</v>
      </c>
      <c r="H180" s="10" t="n">
        <v>17280</v>
      </c>
      <c r="I180" s="10" t="n">
        <v>16</v>
      </c>
      <c r="J180" s="9" t="inlineStr"/>
      <c r="K180" s="7">
        <f>IF(F180="",0,IFERROR(VLOOKUP(F180,Расходники!$A$4:$B$23,2,FALSE),0))</f>
        <v/>
      </c>
      <c r="L180" s="4">
        <f>H180*D180</f>
        <v/>
      </c>
      <c r="M180" s="4">
        <f>L180*K180</f>
        <v/>
      </c>
      <c r="N180" s="4">
        <f>SUMIF(Материалы!$A$4:$A$800,SUBSTITUTE(SUBSTITUTE(SUBSTITUTE(B180,"~","~~"),"*","~*"),"?","~?"),Материалы!$S$4:$S$800)</f>
        <v/>
      </c>
      <c r="O180" s="4">
        <f>L180+M180+N180</f>
        <v/>
      </c>
      <c r="P180" s="4">
        <f>IF(SUM($O$4:$O$672)=0,0,Косвенные!$C$9*O180/SUM($O$4:$O$672))</f>
        <v/>
      </c>
      <c r="Q180" s="4">
        <f>G180*D180+P180</f>
        <v/>
      </c>
      <c r="R180" s="4">
        <f>IF(D180=0,0,Q180/D180)</f>
        <v/>
      </c>
      <c r="S180" s="4">
        <f>IF(D180=0,0,SUMIF(Материалы!$A$4:$A$800,SUBSTITUTE(SUBSTITUTE(SUBSTITUTE(B180,"~","~~"),"*","~*"),"?","~?"),Материалы!$T$4:$T$800)/D180)</f>
        <v/>
      </c>
      <c r="T180" s="4">
        <f>R180+S180</f>
        <v/>
      </c>
      <c r="U180" s="4">
        <f>I180*D180</f>
        <v/>
      </c>
    </row>
    <row r="181" ht="22" customHeight="1">
      <c r="A181" s="9" t="inlineStr"/>
      <c r="B181" s="13" t="inlineStr">
        <is>
          <t>179. Помещение для курения   (Габаритные размеры: Ш 2,0 х Д 8,0 х В 2,0 м) включая деревянные лавочки</t>
        </is>
      </c>
      <c r="C181" s="9" t="inlineStr">
        <is>
          <t>шт.</t>
        </is>
      </c>
      <c r="D181" s="4">
        <f>IF('Форма'!G179="","",'Форма'!G179)</f>
        <v/>
      </c>
      <c r="E181" s="9" t="inlineStr">
        <is>
          <t>аналог (5.1.4)</t>
        </is>
      </c>
      <c r="F181" s="9" t="inlineStr">
        <is>
          <t>SVA</t>
        </is>
      </c>
      <c r="G181" s="10" t="n">
        <v>36480</v>
      </c>
      <c r="H181" s="10" t="n">
        <v>17280</v>
      </c>
      <c r="I181" s="10" t="n">
        <v>16</v>
      </c>
      <c r="J181" s="9" t="inlineStr"/>
      <c r="K181" s="7">
        <f>IF(F181="",0,IFERROR(VLOOKUP(F181,Расходники!$A$4:$B$23,2,FALSE),0))</f>
        <v/>
      </c>
      <c r="L181" s="4">
        <f>H181*D181</f>
        <v/>
      </c>
      <c r="M181" s="4">
        <f>L181*K181</f>
        <v/>
      </c>
      <c r="N181" s="4">
        <f>SUMIF(Материалы!$A$4:$A$800,SUBSTITUTE(SUBSTITUTE(SUBSTITUTE(B181,"~","~~"),"*","~*"),"?","~?"),Материалы!$S$4:$S$800)</f>
        <v/>
      </c>
      <c r="O181" s="4">
        <f>L181+M181+N181</f>
        <v/>
      </c>
      <c r="P181" s="4">
        <f>IF(SUM($O$4:$O$672)=0,0,Косвенные!$C$9*O181/SUM($O$4:$O$672))</f>
        <v/>
      </c>
      <c r="Q181" s="4">
        <f>G181*D181+P181</f>
        <v/>
      </c>
      <c r="R181" s="4">
        <f>IF(D181=0,0,Q181/D181)</f>
        <v/>
      </c>
      <c r="S181" s="4">
        <f>IF(D181=0,0,SUMIF(Материалы!$A$4:$A$800,SUBSTITUTE(SUBSTITUTE(SUBSTITUTE(B181,"~","~~"),"*","~*"),"?","~?"),Материалы!$T$4:$T$800)/D181)</f>
        <v/>
      </c>
      <c r="T181" s="4">
        <f>R181+S181</f>
        <v/>
      </c>
      <c r="U181" s="4">
        <f>I181*D181</f>
        <v/>
      </c>
    </row>
    <row r="182" ht="22" customHeight="1">
      <c r="A182" s="9" t="inlineStr"/>
      <c r="B182" s="13" t="inlineStr">
        <is>
          <t>180. Столб ограждения металлический 60*60*2мм L=2.000мм с приварным опорным фланцем 6*160*160мм, пластиковой заглушкой, полимерное покрытие цвет темно-зеленый (RAL 6005)</t>
        </is>
      </c>
      <c r="C182" s="9" t="inlineStr">
        <is>
          <t>п.м</t>
        </is>
      </c>
      <c r="D182" s="4">
        <f>IF('Форма'!G180="","",'Форма'!G180)</f>
        <v/>
      </c>
      <c r="E182" s="9" t="inlineStr">
        <is>
          <t>нет в тарификаторе</t>
        </is>
      </c>
      <c r="F182" s="9" t="inlineStr">
        <is>
          <t>SVA</t>
        </is>
      </c>
      <c r="G182" s="10" t="n">
        <v>798</v>
      </c>
      <c r="H182" s="10" t="n">
        <v>378</v>
      </c>
      <c r="I182" s="10" t="n">
        <v>0.35</v>
      </c>
      <c r="J182" s="9" t="inlineStr"/>
      <c r="K182" s="7">
        <f>IF(F182="",0,IFERROR(VLOOKUP(F182,Расходники!$A$4:$B$23,2,FALSE),0))</f>
        <v/>
      </c>
      <c r="L182" s="4">
        <f>H182*D182</f>
        <v/>
      </c>
      <c r="M182" s="4">
        <f>L182*K182</f>
        <v/>
      </c>
      <c r="N182" s="4">
        <f>SUMIF(Материалы!$A$4:$A$800,SUBSTITUTE(SUBSTITUTE(SUBSTITUTE(B182,"~","~~"),"*","~*"),"?","~?"),Материалы!$S$4:$S$800)</f>
        <v/>
      </c>
      <c r="O182" s="4">
        <f>L182+M182+N182</f>
        <v/>
      </c>
      <c r="P182" s="4">
        <f>IF(SUM($O$4:$O$672)=0,0,Косвенные!$C$9*O182/SUM($O$4:$O$672))</f>
        <v/>
      </c>
      <c r="Q182" s="4">
        <f>G182*D182+P182</f>
        <v/>
      </c>
      <c r="R182" s="4">
        <f>IF(D182=0,0,Q182/D182)</f>
        <v/>
      </c>
      <c r="S182" s="4">
        <f>IF(D182=0,0,SUMIF(Материалы!$A$4:$A$800,SUBSTITUTE(SUBSTITUTE(SUBSTITUTE(B182,"~","~~"),"*","~*"),"?","~?"),Материалы!$T$4:$T$800)/D182)</f>
        <v/>
      </c>
      <c r="T182" s="4">
        <f>R182+S182</f>
        <v/>
      </c>
      <c r="U182" s="4">
        <f>I182*D182</f>
        <v/>
      </c>
    </row>
    <row r="183" ht="22" customHeight="1">
      <c r="A183" s="9" t="inlineStr"/>
      <c r="B183" s="13" t="inlineStr">
        <is>
          <t>181. Анкер втулочный 16*150-180 или аналог</t>
        </is>
      </c>
      <c r="C183" s="9" t="inlineStr">
        <is>
          <t>шт</t>
        </is>
      </c>
      <c r="D183" s="4">
        <f>IF('Форма'!G181="","",'Форма'!G181)</f>
        <v/>
      </c>
      <c r="E183" s="9" t="inlineStr">
        <is>
          <t>нет в тарификаторе</t>
        </is>
      </c>
      <c r="F183" s="9" t="inlineStr">
        <is>
          <t>SVA</t>
        </is>
      </c>
      <c r="G183" s="10" t="n">
        <v>456</v>
      </c>
      <c r="H183" s="10" t="n">
        <v>216</v>
      </c>
      <c r="I183" s="10" t="n">
        <v>0.2</v>
      </c>
      <c r="J183" s="9" t="inlineStr"/>
      <c r="K183" s="7">
        <f>IF(F183="",0,IFERROR(VLOOKUP(F183,Расходники!$A$4:$B$23,2,FALSE),0))</f>
        <v/>
      </c>
      <c r="L183" s="4">
        <f>H183*D183</f>
        <v/>
      </c>
      <c r="M183" s="4">
        <f>L183*K183</f>
        <v/>
      </c>
      <c r="N183" s="4">
        <f>SUMIF(Материалы!$A$4:$A$800,SUBSTITUTE(SUBSTITUTE(SUBSTITUTE(B183,"~","~~"),"*","~*"),"?","~?"),Материалы!$S$4:$S$800)</f>
        <v/>
      </c>
      <c r="O183" s="4">
        <f>L183+M183+N183</f>
        <v/>
      </c>
      <c r="P183" s="4">
        <f>IF(SUM($O$4:$O$672)=0,0,Косвенные!$C$9*O183/SUM($O$4:$O$672))</f>
        <v/>
      </c>
      <c r="Q183" s="4">
        <f>G183*D183+P183</f>
        <v/>
      </c>
      <c r="R183" s="4">
        <f>IF(D183=0,0,Q183/D183)</f>
        <v/>
      </c>
      <c r="S183" s="4">
        <f>IF(D183=0,0,SUMIF(Материалы!$A$4:$A$800,SUBSTITUTE(SUBSTITUTE(SUBSTITUTE(B183,"~","~~"),"*","~*"),"?","~?"),Материалы!$T$4:$T$800)/D183)</f>
        <v/>
      </c>
      <c r="T183" s="4">
        <f>R183+S183</f>
        <v/>
      </c>
      <c r="U183" s="4">
        <f>I183*D183</f>
        <v/>
      </c>
    </row>
    <row r="184" ht="22" customHeight="1">
      <c r="A184" s="9" t="inlineStr"/>
      <c r="B184" s="13" t="inlineStr">
        <is>
          <t>182. Секция металлического сетчатого 3D ограждения 2.500*2.500мм (L*H), ячейка 55*200мм, пруток 4мм,  полимерное покрытие цвет темно-зеленый (RAL 6005)</t>
        </is>
      </c>
      <c r="C184" s="9" t="inlineStr">
        <is>
          <t>шт</t>
        </is>
      </c>
      <c r="D184" s="4">
        <f>IF('Форма'!G182="","",'Форма'!G182)</f>
        <v/>
      </c>
      <c r="E184" s="9" t="inlineStr">
        <is>
          <t>нет в тарификаторе</t>
        </is>
      </c>
      <c r="F184" s="9" t="inlineStr">
        <is>
          <t>SVA</t>
        </is>
      </c>
      <c r="G184" s="10" t="n">
        <v>798</v>
      </c>
      <c r="H184" s="10" t="n">
        <v>378</v>
      </c>
      <c r="I184" s="10" t="n">
        <v>0.35</v>
      </c>
      <c r="J184" s="9" t="inlineStr"/>
      <c r="K184" s="7">
        <f>IF(F184="",0,IFERROR(VLOOKUP(F184,Расходники!$A$4:$B$23,2,FALSE),0))</f>
        <v/>
      </c>
      <c r="L184" s="4">
        <f>H184*D184</f>
        <v/>
      </c>
      <c r="M184" s="4">
        <f>L184*K184</f>
        <v/>
      </c>
      <c r="N184" s="4">
        <f>SUMIF(Материалы!$A$4:$A$800,SUBSTITUTE(SUBSTITUTE(SUBSTITUTE(B184,"~","~~"),"*","~*"),"?","~?"),Материалы!$S$4:$S$800)</f>
        <v/>
      </c>
      <c r="O184" s="4">
        <f>L184+M184+N184</f>
        <v/>
      </c>
      <c r="P184" s="4">
        <f>IF(SUM($O$4:$O$672)=0,0,Косвенные!$C$9*O184/SUM($O$4:$O$672))</f>
        <v/>
      </c>
      <c r="Q184" s="4">
        <f>G184*D184+P184</f>
        <v/>
      </c>
      <c r="R184" s="4">
        <f>IF(D184=0,0,Q184/D184)</f>
        <v/>
      </c>
      <c r="S184" s="4">
        <f>IF(D184=0,0,SUMIF(Материалы!$A$4:$A$800,SUBSTITUTE(SUBSTITUTE(SUBSTITUTE(B184,"~","~~"),"*","~*"),"?","~?"),Материалы!$T$4:$T$800)/D184)</f>
        <v/>
      </c>
      <c r="T184" s="4">
        <f>R184+S184</f>
        <v/>
      </c>
      <c r="U184" s="4">
        <f>I184*D184</f>
        <v/>
      </c>
    </row>
    <row r="185" ht="22" customHeight="1">
      <c r="A185" s="9" t="inlineStr"/>
      <c r="B185" s="13" t="inlineStr">
        <is>
          <t xml:space="preserve">183. Комплект хомутов для крепления секции ограждения к столбу 60*60 концевой (стартовый) металлический штампованый 2мм, полимерное покрытие цвет темно-зеленый (RAL 6005) </t>
        </is>
      </c>
      <c r="C185" s="9" t="inlineStr">
        <is>
          <t>комплект на столб</t>
        </is>
      </c>
      <c r="D185" s="4">
        <f>IF('Форма'!G183="","",'Форма'!G183)</f>
        <v/>
      </c>
      <c r="E185" s="9" t="inlineStr">
        <is>
          <t>нет в тарификаторе</t>
        </is>
      </c>
      <c r="F185" s="9" t="inlineStr">
        <is>
          <t>SVA</t>
        </is>
      </c>
      <c r="G185" s="10" t="n">
        <v>342</v>
      </c>
      <c r="H185" s="10" t="n">
        <v>162</v>
      </c>
      <c r="I185" s="10" t="n">
        <v>0.15</v>
      </c>
      <c r="J185" s="9" t="inlineStr"/>
      <c r="K185" s="7">
        <f>IF(F185="",0,IFERROR(VLOOKUP(F185,Расходники!$A$4:$B$23,2,FALSE),0))</f>
        <v/>
      </c>
      <c r="L185" s="4">
        <f>H185*D185</f>
        <v/>
      </c>
      <c r="M185" s="4">
        <f>L185*K185</f>
        <v/>
      </c>
      <c r="N185" s="4">
        <f>SUMIF(Материалы!$A$4:$A$800,SUBSTITUTE(SUBSTITUTE(SUBSTITUTE(B185,"~","~~"),"*","~*"),"?","~?"),Материалы!$S$4:$S$800)</f>
        <v/>
      </c>
      <c r="O185" s="4">
        <f>L185+M185+N185</f>
        <v/>
      </c>
      <c r="P185" s="4">
        <f>IF(SUM($O$4:$O$672)=0,0,Косвенные!$C$9*O185/SUM($O$4:$O$672))</f>
        <v/>
      </c>
      <c r="Q185" s="4">
        <f>G185*D185+P185</f>
        <v/>
      </c>
      <c r="R185" s="4">
        <f>IF(D185=0,0,Q185/D185)</f>
        <v/>
      </c>
      <c r="S185" s="4">
        <f>IF(D185=0,0,SUMIF(Материалы!$A$4:$A$800,SUBSTITUTE(SUBSTITUTE(SUBSTITUTE(B185,"~","~~"),"*","~*"),"?","~?"),Материалы!$T$4:$T$800)/D185)</f>
        <v/>
      </c>
      <c r="T185" s="4">
        <f>R185+S185</f>
        <v/>
      </c>
      <c r="U185" s="4">
        <f>I185*D185</f>
        <v/>
      </c>
    </row>
    <row r="186" ht="22" customHeight="1">
      <c r="A186" s="9" t="inlineStr"/>
      <c r="B186" s="13" t="inlineStr">
        <is>
          <t>184. 3D сетка  Grand  Line Панель  Bastion  3x2,4, цветRal 6005 или аналогс 5 ребрами жесткости.</t>
        </is>
      </c>
      <c r="C186" s="9" t="inlineStr">
        <is>
          <t>шт</t>
        </is>
      </c>
      <c r="D186" s="4">
        <f>IF('Форма'!G184="","",'Форма'!G184)</f>
        <v/>
      </c>
      <c r="E186" s="9" t="inlineStr">
        <is>
          <t>нет в тарификаторе</t>
        </is>
      </c>
      <c r="F186" s="9" t="inlineStr">
        <is>
          <t>SVA</t>
        </is>
      </c>
      <c r="G186" s="10" t="n">
        <v>798</v>
      </c>
      <c r="H186" s="10" t="n">
        <v>378</v>
      </c>
      <c r="I186" s="10" t="n">
        <v>0.35</v>
      </c>
      <c r="J186" s="9" t="inlineStr"/>
      <c r="K186" s="7">
        <f>IF(F186="",0,IFERROR(VLOOKUP(F186,Расходники!$A$4:$B$23,2,FALSE),0))</f>
        <v/>
      </c>
      <c r="L186" s="4">
        <f>H186*D186</f>
        <v/>
      </c>
      <c r="M186" s="4">
        <f>L186*K186</f>
        <v/>
      </c>
      <c r="N186" s="4">
        <f>SUMIF(Материалы!$A$4:$A$800,SUBSTITUTE(SUBSTITUTE(SUBSTITUTE(B186,"~","~~"),"*","~*"),"?","~?"),Материалы!$S$4:$S$800)</f>
        <v/>
      </c>
      <c r="O186" s="4">
        <f>L186+M186+N186</f>
        <v/>
      </c>
      <c r="P186" s="4">
        <f>IF(SUM($O$4:$O$672)=0,0,Косвенные!$C$9*O186/SUM($O$4:$O$672))</f>
        <v/>
      </c>
      <c r="Q186" s="4">
        <f>G186*D186+P186</f>
        <v/>
      </c>
      <c r="R186" s="4">
        <f>IF(D186=0,0,Q186/D186)</f>
        <v/>
      </c>
      <c r="S186" s="4">
        <f>IF(D186=0,0,SUMIF(Материалы!$A$4:$A$800,SUBSTITUTE(SUBSTITUTE(SUBSTITUTE(B186,"~","~~"),"*","~*"),"?","~?"),Материалы!$T$4:$T$800)/D186)</f>
        <v/>
      </c>
      <c r="T186" s="4">
        <f>R186+S186</f>
        <v/>
      </c>
      <c r="U186" s="4">
        <f>I186*D186</f>
        <v/>
      </c>
    </row>
    <row r="187" ht="22" customHeight="1">
      <c r="A187" s="9" t="inlineStr"/>
      <c r="B187" s="13" t="inlineStr">
        <is>
          <t xml:space="preserve">185. Столб 60х40х1,4х2500 RAL 6005 5 отверстийМ6 (1,53/1,73/2,03) или аналог. </t>
        </is>
      </c>
      <c r="C187" s="9" t="inlineStr">
        <is>
          <t>шт</t>
        </is>
      </c>
      <c r="D187" s="4">
        <f>IF('Форма'!G185="","",'Форма'!G185)</f>
        <v/>
      </c>
      <c r="E187" s="9" t="inlineStr">
        <is>
          <t>нет в тарификаторе</t>
        </is>
      </c>
      <c r="F187" s="9" t="inlineStr">
        <is>
          <t>SVA</t>
        </is>
      </c>
      <c r="G187" s="10" t="n">
        <v>798</v>
      </c>
      <c r="H187" s="10" t="n">
        <v>378</v>
      </c>
      <c r="I187" s="10" t="n">
        <v>0.35</v>
      </c>
      <c r="J187" s="9" t="inlineStr"/>
      <c r="K187" s="7">
        <f>IF(F187="",0,IFERROR(VLOOKUP(F187,Расходники!$A$4:$B$23,2,FALSE),0))</f>
        <v/>
      </c>
      <c r="L187" s="4">
        <f>H187*D187</f>
        <v/>
      </c>
      <c r="M187" s="4">
        <f>L187*K187</f>
        <v/>
      </c>
      <c r="N187" s="4">
        <f>SUMIF(Материалы!$A$4:$A$800,SUBSTITUTE(SUBSTITUTE(SUBSTITUTE(B187,"~","~~"),"*","~*"),"?","~?"),Материалы!$S$4:$S$800)</f>
        <v/>
      </c>
      <c r="O187" s="4">
        <f>L187+M187+N187</f>
        <v/>
      </c>
      <c r="P187" s="4">
        <f>IF(SUM($O$4:$O$672)=0,0,Косвенные!$C$9*O187/SUM($O$4:$O$672))</f>
        <v/>
      </c>
      <c r="Q187" s="4">
        <f>G187*D187+P187</f>
        <v/>
      </c>
      <c r="R187" s="4">
        <f>IF(D187=0,0,Q187/D187)</f>
        <v/>
      </c>
      <c r="S187" s="4">
        <f>IF(D187=0,0,SUMIF(Материалы!$A$4:$A$800,SUBSTITUTE(SUBSTITUTE(SUBSTITUTE(B187,"~","~~"),"*","~*"),"?","~?"),Материалы!$T$4:$T$800)/D187)</f>
        <v/>
      </c>
      <c r="T187" s="4">
        <f>R187+S187</f>
        <v/>
      </c>
      <c r="U187" s="4">
        <f>I187*D187</f>
        <v/>
      </c>
    </row>
    <row r="188" ht="22" customHeight="1">
      <c r="A188" s="9" t="inlineStr">
        <is>
          <t>10.2.N3</t>
        </is>
      </c>
      <c r="B188" s="13" t="inlineStr">
        <is>
          <t>186. Кабель ВВГ нг(А) LS 5x6 мм.кв.</t>
        </is>
      </c>
      <c r="C188" s="9" t="inlineStr">
        <is>
          <t>м.п.</t>
        </is>
      </c>
      <c r="D188" s="4">
        <f>IF('Форма'!G186="","",'Форма'!G186)</f>
        <v/>
      </c>
      <c r="E188" s="9" t="inlineStr">
        <is>
          <t>точно</t>
        </is>
      </c>
      <c r="F188" s="9" t="inlineStr">
        <is>
          <t>ELM</t>
        </is>
      </c>
      <c r="G188" s="10" t="n">
        <v>260</v>
      </c>
      <c r="H188" s="10" t="n">
        <v>160</v>
      </c>
      <c r="I188" s="10" t="n">
        <v>0.12</v>
      </c>
      <c r="J188" s="9" t="inlineStr"/>
      <c r="K188" s="7">
        <f>IF(F188="",0,IFERROR(VLOOKUP(F188,Расходники!$A$4:$B$23,2,FALSE),0))</f>
        <v/>
      </c>
      <c r="L188" s="4">
        <f>H188*D188</f>
        <v/>
      </c>
      <c r="M188" s="4">
        <f>L188*K188</f>
        <v/>
      </c>
      <c r="N188" s="4">
        <f>SUMIF(Материалы!$A$4:$A$800,SUBSTITUTE(SUBSTITUTE(SUBSTITUTE(B188,"~","~~"),"*","~*"),"?","~?"),Материалы!$S$4:$S$800)</f>
        <v/>
      </c>
      <c r="O188" s="4">
        <f>L188+M188+N188</f>
        <v/>
      </c>
      <c r="P188" s="4">
        <f>IF(SUM($O$4:$O$672)=0,0,Косвенные!$C$9*O188/SUM($O$4:$O$672))</f>
        <v/>
      </c>
      <c r="Q188" s="4">
        <f>G188*D188+P188</f>
        <v/>
      </c>
      <c r="R188" s="4">
        <f>IF(D188=0,0,Q188/D188)</f>
        <v/>
      </c>
      <c r="S188" s="4">
        <f>IF(D188=0,0,SUMIF(Материалы!$A$4:$A$800,SUBSTITUTE(SUBSTITUTE(SUBSTITUTE(B188,"~","~~"),"*","~*"),"?","~?"),Материалы!$T$4:$T$800)/D188)</f>
        <v/>
      </c>
      <c r="T188" s="4">
        <f>R188+S188</f>
        <v/>
      </c>
      <c r="U188" s="4">
        <f>I188*D188</f>
        <v/>
      </c>
    </row>
    <row r="189" ht="22" customHeight="1">
      <c r="A189" s="9" t="inlineStr">
        <is>
          <t>10.2.N3</t>
        </is>
      </c>
      <c r="B189" s="13" t="inlineStr">
        <is>
          <t>187. Кабель КВВГ нг(А) LS 5x2,5 мм.кв.</t>
        </is>
      </c>
      <c r="C189" s="9" t="inlineStr">
        <is>
          <t>м.п.</t>
        </is>
      </c>
      <c r="D189" s="4">
        <f>IF('Форма'!G187="","",'Форма'!G187)</f>
        <v/>
      </c>
      <c r="E189" s="9" t="inlineStr">
        <is>
          <t>точно</t>
        </is>
      </c>
      <c r="F189" s="9" t="inlineStr">
        <is>
          <t>ELM</t>
        </is>
      </c>
      <c r="G189" s="10" t="n">
        <v>260</v>
      </c>
      <c r="H189" s="10" t="n">
        <v>160</v>
      </c>
      <c r="I189" s="10" t="n">
        <v>0.12</v>
      </c>
      <c r="J189" s="9" t="inlineStr"/>
      <c r="K189" s="7">
        <f>IF(F189="",0,IFERROR(VLOOKUP(F189,Расходники!$A$4:$B$23,2,FALSE),0))</f>
        <v/>
      </c>
      <c r="L189" s="4">
        <f>H189*D189</f>
        <v/>
      </c>
      <c r="M189" s="4">
        <f>L189*K189</f>
        <v/>
      </c>
      <c r="N189" s="4">
        <f>SUMIF(Материалы!$A$4:$A$800,SUBSTITUTE(SUBSTITUTE(SUBSTITUTE(B189,"~","~~"),"*","~*"),"?","~?"),Материалы!$S$4:$S$800)</f>
        <v/>
      </c>
      <c r="O189" s="4">
        <f>L189+M189+N189</f>
        <v/>
      </c>
      <c r="P189" s="4">
        <f>IF(SUM($O$4:$O$672)=0,0,Косвенные!$C$9*O189/SUM($O$4:$O$672))</f>
        <v/>
      </c>
      <c r="Q189" s="4">
        <f>G189*D189+P189</f>
        <v/>
      </c>
      <c r="R189" s="4">
        <f>IF(D189=0,0,Q189/D189)</f>
        <v/>
      </c>
      <c r="S189" s="4">
        <f>IF(D189=0,0,SUMIF(Материалы!$A$4:$A$800,SUBSTITUTE(SUBSTITUTE(SUBSTITUTE(B189,"~","~~"),"*","~*"),"?","~?"),Материалы!$T$4:$T$800)/D189)</f>
        <v/>
      </c>
      <c r="T189" s="4">
        <f>R189+S189</f>
        <v/>
      </c>
      <c r="U189" s="4">
        <f>I189*D189</f>
        <v/>
      </c>
    </row>
    <row r="190" ht="22" customHeight="1">
      <c r="A190" s="9" t="inlineStr">
        <is>
          <t>6.2.N2</t>
        </is>
      </c>
      <c r="B190" s="13" t="inlineStr">
        <is>
          <t>188. Кабель нагревательный саморегулирующийся 30КСТМ2-Т</t>
        </is>
      </c>
      <c r="C190" s="9" t="inlineStr">
        <is>
          <t>м.п.</t>
        </is>
      </c>
      <c r="D190" s="4">
        <f>IF('Форма'!G188="","",'Форма'!G188)</f>
        <v/>
      </c>
      <c r="E190" s="9" t="inlineStr">
        <is>
          <t>аналог (6.2.N2)</t>
        </is>
      </c>
      <c r="F190" s="9" t="inlineStr">
        <is>
          <t>ELM</t>
        </is>
      </c>
      <c r="G190" s="10" t="n">
        <v>520</v>
      </c>
      <c r="H190" s="10" t="n">
        <v>300</v>
      </c>
      <c r="I190" s="10" t="n">
        <v>0.25</v>
      </c>
      <c r="J190" s="9" t="inlineStr"/>
      <c r="K190" s="7">
        <f>IF(F190="",0,IFERROR(VLOOKUP(F190,Расходники!$A$4:$B$23,2,FALSE),0))</f>
        <v/>
      </c>
      <c r="L190" s="4">
        <f>H190*D190</f>
        <v/>
      </c>
      <c r="M190" s="4">
        <f>L190*K190</f>
        <v/>
      </c>
      <c r="N190" s="4">
        <f>SUMIF(Материалы!$A$4:$A$800,SUBSTITUTE(SUBSTITUTE(SUBSTITUTE(B190,"~","~~"),"*","~*"),"?","~?"),Материалы!$S$4:$S$800)</f>
        <v/>
      </c>
      <c r="O190" s="4">
        <f>L190+M190+N190</f>
        <v/>
      </c>
      <c r="P190" s="4">
        <f>IF(SUM($O$4:$O$672)=0,0,Косвенные!$C$9*O190/SUM($O$4:$O$672))</f>
        <v/>
      </c>
      <c r="Q190" s="4">
        <f>G190*D190+P190</f>
        <v/>
      </c>
      <c r="R190" s="4">
        <f>IF(D190=0,0,Q190/D190)</f>
        <v/>
      </c>
      <c r="S190" s="4">
        <f>IF(D190=0,0,SUMIF(Материалы!$A$4:$A$800,SUBSTITUTE(SUBSTITUTE(SUBSTITUTE(B190,"~","~~"),"*","~*"),"?","~?"),Материалы!$T$4:$T$800)/D190)</f>
        <v/>
      </c>
      <c r="T190" s="4">
        <f>R190+S190</f>
        <v/>
      </c>
      <c r="U190" s="4">
        <f>I190*D190</f>
        <v/>
      </c>
    </row>
    <row r="191" ht="22" customHeight="1">
      <c r="A191" s="9" t="inlineStr"/>
      <c r="B191" s="13" t="inlineStr">
        <is>
          <t>189. СИП-2 -0,6/1 3х 16 + 1х25 кабель</t>
        </is>
      </c>
      <c r="C191" s="9" t="inlineStr">
        <is>
          <t>м.п.</t>
        </is>
      </c>
      <c r="D191" s="4">
        <f>IF('Форма'!G189="","",'Форма'!G189)</f>
        <v/>
      </c>
      <c r="E191" s="9" t="inlineStr">
        <is>
          <t>нет в тарификаторе, прокладка СИП</t>
        </is>
      </c>
      <c r="F191" s="9" t="inlineStr">
        <is>
          <t>ELM</t>
        </is>
      </c>
      <c r="G191" s="10" t="n">
        <v>376.2</v>
      </c>
      <c r="H191" s="10" t="n">
        <v>183.6</v>
      </c>
      <c r="I191" s="10" t="n">
        <v>0.18</v>
      </c>
      <c r="J191" s="9" t="inlineStr"/>
      <c r="K191" s="7">
        <f>IF(F191="",0,IFERROR(VLOOKUP(F191,Расходники!$A$4:$B$23,2,FALSE),0))</f>
        <v/>
      </c>
      <c r="L191" s="4">
        <f>H191*D191</f>
        <v/>
      </c>
      <c r="M191" s="4">
        <f>L191*K191</f>
        <v/>
      </c>
      <c r="N191" s="4">
        <f>SUMIF(Материалы!$A$4:$A$800,SUBSTITUTE(SUBSTITUTE(SUBSTITUTE(B191,"~","~~"),"*","~*"),"?","~?"),Материалы!$S$4:$S$800)</f>
        <v/>
      </c>
      <c r="O191" s="4">
        <f>L191+M191+N191</f>
        <v/>
      </c>
      <c r="P191" s="4">
        <f>IF(SUM($O$4:$O$672)=0,0,Косвенные!$C$9*O191/SUM($O$4:$O$672))</f>
        <v/>
      </c>
      <c r="Q191" s="4">
        <f>G191*D191+P191</f>
        <v/>
      </c>
      <c r="R191" s="4">
        <f>IF(D191=0,0,Q191/D191)</f>
        <v/>
      </c>
      <c r="S191" s="4">
        <f>IF(D191=0,0,SUMIF(Материалы!$A$4:$A$800,SUBSTITUTE(SUBSTITUTE(SUBSTITUTE(B191,"~","~~"),"*","~*"),"?","~?"),Материалы!$T$4:$T$800)/D191)</f>
        <v/>
      </c>
      <c r="T191" s="4">
        <f>R191+S191</f>
        <v/>
      </c>
      <c r="U191" s="4">
        <f>I191*D191</f>
        <v/>
      </c>
    </row>
    <row r="192" ht="22" customHeight="1">
      <c r="A192" s="9" t="inlineStr"/>
      <c r="B192" s="13" t="inlineStr">
        <is>
          <t>190. СИП-2 -0,6/1 3х 25 + 1х35 кабель</t>
        </is>
      </c>
      <c r="C192" s="9" t="inlineStr">
        <is>
          <t>м.п.</t>
        </is>
      </c>
      <c r="D192" s="4">
        <f>IF('Форма'!G190="","",'Форма'!G190)</f>
        <v/>
      </c>
      <c r="E192" s="9" t="inlineStr">
        <is>
          <t>нет в тарификаторе, прокладка СИП</t>
        </is>
      </c>
      <c r="F192" s="9" t="inlineStr">
        <is>
          <t>ELM</t>
        </is>
      </c>
      <c r="G192" s="10" t="n">
        <v>376.2</v>
      </c>
      <c r="H192" s="10" t="n">
        <v>183.6</v>
      </c>
      <c r="I192" s="10" t="n">
        <v>0.18</v>
      </c>
      <c r="J192" s="9" t="inlineStr"/>
      <c r="K192" s="7">
        <f>IF(F192="",0,IFERROR(VLOOKUP(F192,Расходники!$A$4:$B$23,2,FALSE),0))</f>
        <v/>
      </c>
      <c r="L192" s="4">
        <f>H192*D192</f>
        <v/>
      </c>
      <c r="M192" s="4">
        <f>L192*K192</f>
        <v/>
      </c>
      <c r="N192" s="4">
        <f>SUMIF(Материалы!$A$4:$A$800,SUBSTITUTE(SUBSTITUTE(SUBSTITUTE(B192,"~","~~"),"*","~*"),"?","~?"),Материалы!$S$4:$S$800)</f>
        <v/>
      </c>
      <c r="O192" s="4">
        <f>L192+M192+N192</f>
        <v/>
      </c>
      <c r="P192" s="4">
        <f>IF(SUM($O$4:$O$672)=0,0,Косвенные!$C$9*O192/SUM($O$4:$O$672))</f>
        <v/>
      </c>
      <c r="Q192" s="4">
        <f>G192*D192+P192</f>
        <v/>
      </c>
      <c r="R192" s="4">
        <f>IF(D192=0,0,Q192/D192)</f>
        <v/>
      </c>
      <c r="S192" s="4">
        <f>IF(D192=0,0,SUMIF(Материалы!$A$4:$A$800,SUBSTITUTE(SUBSTITUTE(SUBSTITUTE(B192,"~","~~"),"*","~*"),"?","~?"),Материалы!$T$4:$T$800)/D192)</f>
        <v/>
      </c>
      <c r="T192" s="4">
        <f>R192+S192</f>
        <v/>
      </c>
      <c r="U192" s="4">
        <f>I192*D192</f>
        <v/>
      </c>
    </row>
    <row r="193" ht="22" customHeight="1">
      <c r="A193" s="9" t="inlineStr"/>
      <c r="B193" s="13" t="inlineStr">
        <is>
          <t>191. СИП-2 -0,6/1 3х 35 + 1х54,6 кабель</t>
        </is>
      </c>
      <c r="C193" s="9" t="inlineStr">
        <is>
          <t>м.п.</t>
        </is>
      </c>
      <c r="D193" s="4">
        <f>IF('Форма'!G191="","",'Форма'!G191)</f>
        <v/>
      </c>
      <c r="E193" s="9" t="inlineStr">
        <is>
          <t>нет в тарификаторе, прокладка СИП</t>
        </is>
      </c>
      <c r="F193" s="9" t="inlineStr">
        <is>
          <t>ELM</t>
        </is>
      </c>
      <c r="G193" s="10" t="n">
        <v>376.2</v>
      </c>
      <c r="H193" s="10" t="n">
        <v>183.6</v>
      </c>
      <c r="I193" s="10" t="n">
        <v>0.18</v>
      </c>
      <c r="J193" s="9" t="inlineStr"/>
      <c r="K193" s="7">
        <f>IF(F193="",0,IFERROR(VLOOKUP(F193,Расходники!$A$4:$B$23,2,FALSE),0))</f>
        <v/>
      </c>
      <c r="L193" s="4">
        <f>H193*D193</f>
        <v/>
      </c>
      <c r="M193" s="4">
        <f>L193*K193</f>
        <v/>
      </c>
      <c r="N193" s="4">
        <f>SUMIF(Материалы!$A$4:$A$800,SUBSTITUTE(SUBSTITUTE(SUBSTITUTE(B193,"~","~~"),"*","~*"),"?","~?"),Материалы!$S$4:$S$800)</f>
        <v/>
      </c>
      <c r="O193" s="4">
        <f>L193+M193+N193</f>
        <v/>
      </c>
      <c r="P193" s="4">
        <f>IF(SUM($O$4:$O$672)=0,0,Косвенные!$C$9*O193/SUM($O$4:$O$672))</f>
        <v/>
      </c>
      <c r="Q193" s="4">
        <f>G193*D193+P193</f>
        <v/>
      </c>
      <c r="R193" s="4">
        <f>IF(D193=0,0,Q193/D193)</f>
        <v/>
      </c>
      <c r="S193" s="4">
        <f>IF(D193=0,0,SUMIF(Материалы!$A$4:$A$800,SUBSTITUTE(SUBSTITUTE(SUBSTITUTE(B193,"~","~~"),"*","~*"),"?","~?"),Материалы!$T$4:$T$800)/D193)</f>
        <v/>
      </c>
      <c r="T193" s="4">
        <f>R193+S193</f>
        <v/>
      </c>
      <c r="U193" s="4">
        <f>I193*D193</f>
        <v/>
      </c>
    </row>
    <row r="194" ht="22" customHeight="1">
      <c r="A194" s="9" t="inlineStr"/>
      <c r="B194" s="13" t="inlineStr">
        <is>
          <t>192. СИП-2 -0,6/1 3х 50 + 1х54,6 кабель</t>
        </is>
      </c>
      <c r="C194" s="9" t="inlineStr">
        <is>
          <t>м.п.</t>
        </is>
      </c>
      <c r="D194" s="4">
        <f>IF('Форма'!G192="","",'Форма'!G192)</f>
        <v/>
      </c>
      <c r="E194" s="9" t="inlineStr">
        <is>
          <t>нет в тарификаторе, прокладка СИП</t>
        </is>
      </c>
      <c r="F194" s="9" t="inlineStr">
        <is>
          <t>ELM</t>
        </is>
      </c>
      <c r="G194" s="10" t="n">
        <v>376.2</v>
      </c>
      <c r="H194" s="10" t="n">
        <v>183.6</v>
      </c>
      <c r="I194" s="10" t="n">
        <v>0.18</v>
      </c>
      <c r="J194" s="9" t="inlineStr"/>
      <c r="K194" s="7">
        <f>IF(F194="",0,IFERROR(VLOOKUP(F194,Расходники!$A$4:$B$23,2,FALSE),0))</f>
        <v/>
      </c>
      <c r="L194" s="4">
        <f>H194*D194</f>
        <v/>
      </c>
      <c r="M194" s="4">
        <f>L194*K194</f>
        <v/>
      </c>
      <c r="N194" s="4">
        <f>SUMIF(Материалы!$A$4:$A$800,SUBSTITUTE(SUBSTITUTE(SUBSTITUTE(B194,"~","~~"),"*","~*"),"?","~?"),Материалы!$S$4:$S$800)</f>
        <v/>
      </c>
      <c r="O194" s="4">
        <f>L194+M194+N194</f>
        <v/>
      </c>
      <c r="P194" s="4">
        <f>IF(SUM($O$4:$O$672)=0,0,Косвенные!$C$9*O194/SUM($O$4:$O$672))</f>
        <v/>
      </c>
      <c r="Q194" s="4">
        <f>G194*D194+P194</f>
        <v/>
      </c>
      <c r="R194" s="4">
        <f>IF(D194=0,0,Q194/D194)</f>
        <v/>
      </c>
      <c r="S194" s="4">
        <f>IF(D194=0,0,SUMIF(Материалы!$A$4:$A$800,SUBSTITUTE(SUBSTITUTE(SUBSTITUTE(B194,"~","~~"),"*","~*"),"?","~?"),Материалы!$T$4:$T$800)/D194)</f>
        <v/>
      </c>
      <c r="T194" s="4">
        <f>R194+S194</f>
        <v/>
      </c>
      <c r="U194" s="4">
        <f>I194*D194</f>
        <v/>
      </c>
    </row>
    <row r="195" ht="22" customHeight="1">
      <c r="A195" s="9" t="inlineStr"/>
      <c r="B195" s="13" t="inlineStr">
        <is>
          <t>193. СИП-2 -0,6/1 3х 70 + 1х54,6 кабель</t>
        </is>
      </c>
      <c r="C195" s="9" t="inlineStr">
        <is>
          <t>м.п.</t>
        </is>
      </c>
      <c r="D195" s="4">
        <f>IF('Форма'!G193="","",'Форма'!G193)</f>
        <v/>
      </c>
      <c r="E195" s="9" t="inlineStr">
        <is>
          <t>нет в тарификаторе, прокладка СИП</t>
        </is>
      </c>
      <c r="F195" s="9" t="inlineStr">
        <is>
          <t>ELM</t>
        </is>
      </c>
      <c r="G195" s="10" t="n">
        <v>376.2</v>
      </c>
      <c r="H195" s="10" t="n">
        <v>183.6</v>
      </c>
      <c r="I195" s="10" t="n">
        <v>0.18</v>
      </c>
      <c r="J195" s="9" t="inlineStr"/>
      <c r="K195" s="7">
        <f>IF(F195="",0,IFERROR(VLOOKUP(F195,Расходники!$A$4:$B$23,2,FALSE),0))</f>
        <v/>
      </c>
      <c r="L195" s="4">
        <f>H195*D195</f>
        <v/>
      </c>
      <c r="M195" s="4">
        <f>L195*K195</f>
        <v/>
      </c>
      <c r="N195" s="4">
        <f>SUMIF(Материалы!$A$4:$A$800,SUBSTITUTE(SUBSTITUTE(SUBSTITUTE(B195,"~","~~"),"*","~*"),"?","~?"),Материалы!$S$4:$S$800)</f>
        <v/>
      </c>
      <c r="O195" s="4">
        <f>L195+M195+N195</f>
        <v/>
      </c>
      <c r="P195" s="4">
        <f>IF(SUM($O$4:$O$672)=0,0,Косвенные!$C$9*O195/SUM($O$4:$O$672))</f>
        <v/>
      </c>
      <c r="Q195" s="4">
        <f>G195*D195+P195</f>
        <v/>
      </c>
      <c r="R195" s="4">
        <f>IF(D195=0,0,Q195/D195)</f>
        <v/>
      </c>
      <c r="S195" s="4">
        <f>IF(D195=0,0,SUMIF(Материалы!$A$4:$A$800,SUBSTITUTE(SUBSTITUTE(SUBSTITUTE(B195,"~","~~"),"*","~*"),"?","~?"),Материалы!$T$4:$T$800)/D195)</f>
        <v/>
      </c>
      <c r="T195" s="4">
        <f>R195+S195</f>
        <v/>
      </c>
      <c r="U195" s="4">
        <f>I195*D195</f>
        <v/>
      </c>
    </row>
    <row r="196" ht="22" customHeight="1">
      <c r="A196" s="9" t="inlineStr">
        <is>
          <t>10.3.19</t>
        </is>
      </c>
      <c r="B196" s="13" t="inlineStr">
        <is>
          <t>194. Розетка одинарная наружная 220В 16А</t>
        </is>
      </c>
      <c r="C196" s="9" t="inlineStr">
        <is>
          <t>шт.</t>
        </is>
      </c>
      <c r="D196" s="4">
        <f>IF('Форма'!G194="","",'Форма'!G194)</f>
        <v/>
      </c>
      <c r="E196" s="9" t="inlineStr">
        <is>
          <t>точно</t>
        </is>
      </c>
      <c r="F196" s="9" t="inlineStr">
        <is>
          <t>ELM</t>
        </is>
      </c>
      <c r="G196" s="10" t="n">
        <v>544</v>
      </c>
      <c r="H196" s="10" t="n">
        <v>330</v>
      </c>
      <c r="I196" s="10" t="n">
        <v>0.4</v>
      </c>
      <c r="J196" s="9" t="inlineStr">
        <is>
          <t>да</t>
        </is>
      </c>
      <c r="K196" s="7">
        <f>IF(F196="",0,IFERROR(VLOOKUP(F196,Расходники!$A$4:$B$23,2,FALSE),0))</f>
        <v/>
      </c>
      <c r="L196" s="4">
        <f>H196*D196</f>
        <v/>
      </c>
      <c r="M196" s="4">
        <f>L196*K196</f>
        <v/>
      </c>
      <c r="N196" s="4">
        <f>SUMIF(Материалы!$A$4:$A$800,SUBSTITUTE(SUBSTITUTE(SUBSTITUTE(B196,"~","~~"),"*","~*"),"?","~?"),Материалы!$S$4:$S$800)</f>
        <v/>
      </c>
      <c r="O196" s="4">
        <f>L196+M196+N196</f>
        <v/>
      </c>
      <c r="P196" s="4">
        <f>IF(SUM($O$4:$O$672)=0,0,Косвенные!$C$9*O196/SUM($O$4:$O$672))</f>
        <v/>
      </c>
      <c r="Q196" s="4">
        <f>G196*D196+P196</f>
        <v/>
      </c>
      <c r="R196" s="4">
        <f>IF(D196=0,0,Q196/D196)</f>
        <v/>
      </c>
      <c r="S196" s="4">
        <f>IF(D196=0,0,SUMIF(Материалы!$A$4:$A$800,SUBSTITUTE(SUBSTITUTE(SUBSTITUTE(B196,"~","~~"),"*","~*"),"?","~?"),Материалы!$T$4:$T$800)/D196)</f>
        <v/>
      </c>
      <c r="T196" s="4">
        <f>R196+S196</f>
        <v/>
      </c>
      <c r="U196" s="4">
        <f>I196*D196</f>
        <v/>
      </c>
    </row>
    <row r="197" ht="22" customHeight="1">
      <c r="A197" s="9" t="inlineStr">
        <is>
          <t>10.3.19</t>
        </is>
      </c>
      <c r="B197" s="13" t="inlineStr">
        <is>
          <t>195. Розетка одинарная внутренняя 220В 16А</t>
        </is>
      </c>
      <c r="C197" s="9" t="inlineStr">
        <is>
          <t>шт.</t>
        </is>
      </c>
      <c r="D197" s="4">
        <f>IF('Форма'!G195="","",'Форма'!G195)</f>
        <v/>
      </c>
      <c r="E197" s="9" t="inlineStr">
        <is>
          <t>точно</t>
        </is>
      </c>
      <c r="F197" s="9" t="inlineStr">
        <is>
          <t>ELM</t>
        </is>
      </c>
      <c r="G197" s="10" t="n">
        <v>544</v>
      </c>
      <c r="H197" s="10" t="n">
        <v>330</v>
      </c>
      <c r="I197" s="10" t="n">
        <v>0.4</v>
      </c>
      <c r="J197" s="9" t="inlineStr">
        <is>
          <t>да</t>
        </is>
      </c>
      <c r="K197" s="7">
        <f>IF(F197="",0,IFERROR(VLOOKUP(F197,Расходники!$A$4:$B$23,2,FALSE),0))</f>
        <v/>
      </c>
      <c r="L197" s="4">
        <f>H197*D197</f>
        <v/>
      </c>
      <c r="M197" s="4">
        <f>L197*K197</f>
        <v/>
      </c>
      <c r="N197" s="4">
        <f>SUMIF(Материалы!$A$4:$A$800,SUBSTITUTE(SUBSTITUTE(SUBSTITUTE(B197,"~","~~"),"*","~*"),"?","~?"),Материалы!$S$4:$S$800)</f>
        <v/>
      </c>
      <c r="O197" s="4">
        <f>L197+M197+N197</f>
        <v/>
      </c>
      <c r="P197" s="4">
        <f>IF(SUM($O$4:$O$672)=0,0,Косвенные!$C$9*O197/SUM($O$4:$O$672))</f>
        <v/>
      </c>
      <c r="Q197" s="4">
        <f>G197*D197+P197</f>
        <v/>
      </c>
      <c r="R197" s="4">
        <f>IF(D197=0,0,Q197/D197)</f>
        <v/>
      </c>
      <c r="S197" s="4">
        <f>IF(D197=0,0,SUMIF(Материалы!$A$4:$A$800,SUBSTITUTE(SUBSTITUTE(SUBSTITUTE(B197,"~","~~"),"*","~*"),"?","~?"),Материалы!$T$4:$T$800)/D197)</f>
        <v/>
      </c>
      <c r="T197" s="4">
        <f>R197+S197</f>
        <v/>
      </c>
      <c r="U197" s="4">
        <f>I197*D197</f>
        <v/>
      </c>
    </row>
    <row r="198" ht="22" customHeight="1">
      <c r="A198" s="9" t="inlineStr">
        <is>
          <t>10.3.19</t>
        </is>
      </c>
      <c r="B198" s="13" t="inlineStr">
        <is>
          <t>196. Розетка двойная наружная 220В 16А</t>
        </is>
      </c>
      <c r="C198" s="9" t="inlineStr">
        <is>
          <t>шт.</t>
        </is>
      </c>
      <c r="D198" s="4">
        <f>IF('Форма'!G196="","",'Форма'!G196)</f>
        <v/>
      </c>
      <c r="E198" s="9" t="inlineStr">
        <is>
          <t>точно</t>
        </is>
      </c>
      <c r="F198" s="9" t="inlineStr">
        <is>
          <t>ELM</t>
        </is>
      </c>
      <c r="G198" s="10" t="n">
        <v>544</v>
      </c>
      <c r="H198" s="10" t="n">
        <v>330</v>
      </c>
      <c r="I198" s="10" t="n">
        <v>0.4</v>
      </c>
      <c r="J198" s="9" t="inlineStr">
        <is>
          <t>да</t>
        </is>
      </c>
      <c r="K198" s="7">
        <f>IF(F198="",0,IFERROR(VLOOKUP(F198,Расходники!$A$4:$B$23,2,FALSE),0))</f>
        <v/>
      </c>
      <c r="L198" s="4">
        <f>H198*D198</f>
        <v/>
      </c>
      <c r="M198" s="4">
        <f>L198*K198</f>
        <v/>
      </c>
      <c r="N198" s="4">
        <f>SUMIF(Материалы!$A$4:$A$800,SUBSTITUTE(SUBSTITUTE(SUBSTITUTE(B198,"~","~~"),"*","~*"),"?","~?"),Материалы!$S$4:$S$800)</f>
        <v/>
      </c>
      <c r="O198" s="4">
        <f>L198+M198+N198</f>
        <v/>
      </c>
      <c r="P198" s="4">
        <f>IF(SUM($O$4:$O$672)=0,0,Косвенные!$C$9*O198/SUM($O$4:$O$672))</f>
        <v/>
      </c>
      <c r="Q198" s="4">
        <f>G198*D198+P198</f>
        <v/>
      </c>
      <c r="R198" s="4">
        <f>IF(D198=0,0,Q198/D198)</f>
        <v/>
      </c>
      <c r="S198" s="4">
        <f>IF(D198=0,0,SUMIF(Материалы!$A$4:$A$800,SUBSTITUTE(SUBSTITUTE(SUBSTITUTE(B198,"~","~~"),"*","~*"),"?","~?"),Материалы!$T$4:$T$800)/D198)</f>
        <v/>
      </c>
      <c r="T198" s="4">
        <f>R198+S198</f>
        <v/>
      </c>
      <c r="U198" s="4">
        <f>I198*D198</f>
        <v/>
      </c>
    </row>
    <row r="199" ht="22" customHeight="1">
      <c r="A199" s="9" t="inlineStr">
        <is>
          <t>10.3.19</t>
        </is>
      </c>
      <c r="B199" s="13" t="inlineStr">
        <is>
          <t>197. Розетка двойная внутренняя 220В 16А</t>
        </is>
      </c>
      <c r="C199" s="9" t="inlineStr">
        <is>
          <t>шт.</t>
        </is>
      </c>
      <c r="D199" s="4">
        <f>IF('Форма'!G197="","",'Форма'!G197)</f>
        <v/>
      </c>
      <c r="E199" s="9" t="inlineStr">
        <is>
          <t>точно</t>
        </is>
      </c>
      <c r="F199" s="9" t="inlineStr">
        <is>
          <t>ELM</t>
        </is>
      </c>
      <c r="G199" s="10" t="n">
        <v>544</v>
      </c>
      <c r="H199" s="10" t="n">
        <v>330</v>
      </c>
      <c r="I199" s="10" t="n">
        <v>0.4</v>
      </c>
      <c r="J199" s="9" t="inlineStr">
        <is>
          <t>да</t>
        </is>
      </c>
      <c r="K199" s="7">
        <f>IF(F199="",0,IFERROR(VLOOKUP(F199,Расходники!$A$4:$B$23,2,FALSE),0))</f>
        <v/>
      </c>
      <c r="L199" s="4">
        <f>H199*D199</f>
        <v/>
      </c>
      <c r="M199" s="4">
        <f>L199*K199</f>
        <v/>
      </c>
      <c r="N199" s="4">
        <f>SUMIF(Материалы!$A$4:$A$800,SUBSTITUTE(SUBSTITUTE(SUBSTITUTE(B199,"~","~~"),"*","~*"),"?","~?"),Материалы!$S$4:$S$800)</f>
        <v/>
      </c>
      <c r="O199" s="4">
        <f>L199+M199+N199</f>
        <v/>
      </c>
      <c r="P199" s="4">
        <f>IF(SUM($O$4:$O$672)=0,0,Косвенные!$C$9*O199/SUM($O$4:$O$672))</f>
        <v/>
      </c>
      <c r="Q199" s="4">
        <f>G199*D199+P199</f>
        <v/>
      </c>
      <c r="R199" s="4">
        <f>IF(D199=0,0,Q199/D199)</f>
        <v/>
      </c>
      <c r="S199" s="4">
        <f>IF(D199=0,0,SUMIF(Материалы!$A$4:$A$800,SUBSTITUTE(SUBSTITUTE(SUBSTITUTE(B199,"~","~~"),"*","~*"),"?","~?"),Материалы!$T$4:$T$800)/D199)</f>
        <v/>
      </c>
      <c r="T199" s="4">
        <f>R199+S199</f>
        <v/>
      </c>
      <c r="U199" s="4">
        <f>I199*D199</f>
        <v/>
      </c>
    </row>
    <row r="200" ht="22" customHeight="1">
      <c r="A200" s="9" t="inlineStr">
        <is>
          <t>10.3.19</t>
        </is>
      </c>
      <c r="B200" s="13" t="inlineStr">
        <is>
          <t>198. Розетка тройная наружная 220В 16А</t>
        </is>
      </c>
      <c r="C200" s="9" t="inlineStr">
        <is>
          <t>шт.</t>
        </is>
      </c>
      <c r="D200" s="4">
        <f>IF('Форма'!G198="","",'Форма'!G198)</f>
        <v/>
      </c>
      <c r="E200" s="9" t="inlineStr">
        <is>
          <t>точно</t>
        </is>
      </c>
      <c r="F200" s="9" t="inlineStr">
        <is>
          <t>ELM</t>
        </is>
      </c>
      <c r="G200" s="10" t="n">
        <v>544</v>
      </c>
      <c r="H200" s="10" t="n">
        <v>330</v>
      </c>
      <c r="I200" s="10" t="n">
        <v>0.4</v>
      </c>
      <c r="J200" s="9" t="inlineStr">
        <is>
          <t>да</t>
        </is>
      </c>
      <c r="K200" s="7">
        <f>IF(F200="",0,IFERROR(VLOOKUP(F200,Расходники!$A$4:$B$23,2,FALSE),0))</f>
        <v/>
      </c>
      <c r="L200" s="4">
        <f>H200*D200</f>
        <v/>
      </c>
      <c r="M200" s="4">
        <f>L200*K200</f>
        <v/>
      </c>
      <c r="N200" s="4">
        <f>SUMIF(Материалы!$A$4:$A$800,SUBSTITUTE(SUBSTITUTE(SUBSTITUTE(B200,"~","~~"),"*","~*"),"?","~?"),Материалы!$S$4:$S$800)</f>
        <v/>
      </c>
      <c r="O200" s="4">
        <f>L200+M200+N200</f>
        <v/>
      </c>
      <c r="P200" s="4">
        <f>IF(SUM($O$4:$O$672)=0,0,Косвенные!$C$9*O200/SUM($O$4:$O$672))</f>
        <v/>
      </c>
      <c r="Q200" s="4">
        <f>G200*D200+P200</f>
        <v/>
      </c>
      <c r="R200" s="4">
        <f>IF(D200=0,0,Q200/D200)</f>
        <v/>
      </c>
      <c r="S200" s="4">
        <f>IF(D200=0,0,SUMIF(Материалы!$A$4:$A$800,SUBSTITUTE(SUBSTITUTE(SUBSTITUTE(B200,"~","~~"),"*","~*"),"?","~?"),Материалы!$T$4:$T$800)/D200)</f>
        <v/>
      </c>
      <c r="T200" s="4">
        <f>R200+S200</f>
        <v/>
      </c>
      <c r="U200" s="4">
        <f>I200*D200</f>
        <v/>
      </c>
    </row>
    <row r="201" ht="22" customHeight="1">
      <c r="A201" s="9" t="inlineStr">
        <is>
          <t>10.3.17</t>
        </is>
      </c>
      <c r="B201" s="13" t="inlineStr">
        <is>
          <t>199. Розетка встраиваемая 380В 32А 3P+N+E ABB</t>
        </is>
      </c>
      <c r="C201" s="9" t="inlineStr">
        <is>
          <t>шт.</t>
        </is>
      </c>
      <c r="D201" s="4">
        <f>IF('Форма'!G199="","",'Форма'!G199)</f>
        <v/>
      </c>
      <c r="E201" s="9" t="inlineStr">
        <is>
          <t>точно</t>
        </is>
      </c>
      <c r="F201" s="9" t="inlineStr">
        <is>
          <t>ELM</t>
        </is>
      </c>
      <c r="G201" s="10" t="n">
        <v>1050</v>
      </c>
      <c r="H201" s="10" t="n">
        <v>650</v>
      </c>
      <c r="I201" s="10" t="n">
        <v>0.7</v>
      </c>
      <c r="J201" s="9" t="inlineStr"/>
      <c r="K201" s="7">
        <f>IF(F201="",0,IFERROR(VLOOKUP(F201,Расходники!$A$4:$B$23,2,FALSE),0))</f>
        <v/>
      </c>
      <c r="L201" s="4">
        <f>H201*D201</f>
        <v/>
      </c>
      <c r="M201" s="4">
        <f>L201*K201</f>
        <v/>
      </c>
      <c r="N201" s="4">
        <f>SUMIF(Материалы!$A$4:$A$800,SUBSTITUTE(SUBSTITUTE(SUBSTITUTE(B201,"~","~~"),"*","~*"),"?","~?"),Материалы!$S$4:$S$800)</f>
        <v/>
      </c>
      <c r="O201" s="4">
        <f>L201+M201+N201</f>
        <v/>
      </c>
      <c r="P201" s="4">
        <f>IF(SUM($O$4:$O$672)=0,0,Косвенные!$C$9*O201/SUM($O$4:$O$672))</f>
        <v/>
      </c>
      <c r="Q201" s="4">
        <f>G201*D201+P201</f>
        <v/>
      </c>
      <c r="R201" s="4">
        <f>IF(D201=0,0,Q201/D201)</f>
        <v/>
      </c>
      <c r="S201" s="4">
        <f>IF(D201=0,0,SUMIF(Материалы!$A$4:$A$800,SUBSTITUTE(SUBSTITUTE(SUBSTITUTE(B201,"~","~~"),"*","~*"),"?","~?"),Материалы!$T$4:$T$800)/D201)</f>
        <v/>
      </c>
      <c r="T201" s="4">
        <f>R201+S201</f>
        <v/>
      </c>
      <c r="U201" s="4">
        <f>I201*D201</f>
        <v/>
      </c>
    </row>
    <row r="202" ht="22" customHeight="1">
      <c r="A202" s="9" t="inlineStr">
        <is>
          <t>10.3.17</t>
        </is>
      </c>
      <c r="B202" s="13" t="inlineStr">
        <is>
          <t>200. Розетка накладная 380В 32А 3P+N+E ABB</t>
        </is>
      </c>
      <c r="C202" s="9" t="inlineStr">
        <is>
          <t>шт.</t>
        </is>
      </c>
      <c r="D202" s="4">
        <f>IF('Форма'!G200="","",'Форма'!G200)</f>
        <v/>
      </c>
      <c r="E202" s="9" t="inlineStr">
        <is>
          <t>точно</t>
        </is>
      </c>
      <c r="F202" s="9" t="inlineStr">
        <is>
          <t>ELM</t>
        </is>
      </c>
      <c r="G202" s="10" t="n">
        <v>1050</v>
      </c>
      <c r="H202" s="10" t="n">
        <v>650</v>
      </c>
      <c r="I202" s="10" t="n">
        <v>0.7</v>
      </c>
      <c r="J202" s="9" t="inlineStr"/>
      <c r="K202" s="7">
        <f>IF(F202="",0,IFERROR(VLOOKUP(F202,Расходники!$A$4:$B$23,2,FALSE),0))</f>
        <v/>
      </c>
      <c r="L202" s="4">
        <f>H202*D202</f>
        <v/>
      </c>
      <c r="M202" s="4">
        <f>L202*K202</f>
        <v/>
      </c>
      <c r="N202" s="4">
        <f>SUMIF(Материалы!$A$4:$A$800,SUBSTITUTE(SUBSTITUTE(SUBSTITUTE(B202,"~","~~"),"*","~*"),"?","~?"),Материалы!$S$4:$S$800)</f>
        <v/>
      </c>
      <c r="O202" s="4">
        <f>L202+M202+N202</f>
        <v/>
      </c>
      <c r="P202" s="4">
        <f>IF(SUM($O$4:$O$672)=0,0,Косвенные!$C$9*O202/SUM($O$4:$O$672))</f>
        <v/>
      </c>
      <c r="Q202" s="4">
        <f>G202*D202+P202</f>
        <v/>
      </c>
      <c r="R202" s="4">
        <f>IF(D202=0,0,Q202/D202)</f>
        <v/>
      </c>
      <c r="S202" s="4">
        <f>IF(D202=0,0,SUMIF(Материалы!$A$4:$A$800,SUBSTITUTE(SUBSTITUTE(SUBSTITUTE(B202,"~","~~"),"*","~*"),"?","~?"),Материалы!$T$4:$T$800)/D202)</f>
        <v/>
      </c>
      <c r="T202" s="4">
        <f>R202+S202</f>
        <v/>
      </c>
      <c r="U202" s="4">
        <f>I202*D202</f>
        <v/>
      </c>
    </row>
    <row r="203" ht="22" customHeight="1">
      <c r="A203" s="9" t="inlineStr">
        <is>
          <t>10.3.17</t>
        </is>
      </c>
      <c r="B203" s="13" t="inlineStr">
        <is>
          <t>201. Розетка встраиваемая 380В 16А 3P+N+E ABB</t>
        </is>
      </c>
      <c r="C203" s="9" t="inlineStr">
        <is>
          <t>шт.</t>
        </is>
      </c>
      <c r="D203" s="4">
        <f>IF('Форма'!G201="","",'Форма'!G201)</f>
        <v/>
      </c>
      <c r="E203" s="9" t="inlineStr">
        <is>
          <t>точно</t>
        </is>
      </c>
      <c r="F203" s="9" t="inlineStr">
        <is>
          <t>ELM</t>
        </is>
      </c>
      <c r="G203" s="10" t="n">
        <v>1050</v>
      </c>
      <c r="H203" s="10" t="n">
        <v>650</v>
      </c>
      <c r="I203" s="10" t="n">
        <v>0.7</v>
      </c>
      <c r="J203" s="9" t="inlineStr"/>
      <c r="K203" s="7">
        <f>IF(F203="",0,IFERROR(VLOOKUP(F203,Расходники!$A$4:$B$23,2,FALSE),0))</f>
        <v/>
      </c>
      <c r="L203" s="4">
        <f>H203*D203</f>
        <v/>
      </c>
      <c r="M203" s="4">
        <f>L203*K203</f>
        <v/>
      </c>
      <c r="N203" s="4">
        <f>SUMIF(Материалы!$A$4:$A$800,SUBSTITUTE(SUBSTITUTE(SUBSTITUTE(B203,"~","~~"),"*","~*"),"?","~?"),Материалы!$S$4:$S$800)</f>
        <v/>
      </c>
      <c r="O203" s="4">
        <f>L203+M203+N203</f>
        <v/>
      </c>
      <c r="P203" s="4">
        <f>IF(SUM($O$4:$O$672)=0,0,Косвенные!$C$9*O203/SUM($O$4:$O$672))</f>
        <v/>
      </c>
      <c r="Q203" s="4">
        <f>G203*D203+P203</f>
        <v/>
      </c>
      <c r="R203" s="4">
        <f>IF(D203=0,0,Q203/D203)</f>
        <v/>
      </c>
      <c r="S203" s="4">
        <f>IF(D203=0,0,SUMIF(Материалы!$A$4:$A$800,SUBSTITUTE(SUBSTITUTE(SUBSTITUTE(B203,"~","~~"),"*","~*"),"?","~?"),Материалы!$T$4:$T$800)/D203)</f>
        <v/>
      </c>
      <c r="T203" s="4">
        <f>R203+S203</f>
        <v/>
      </c>
      <c r="U203" s="4">
        <f>I203*D203</f>
        <v/>
      </c>
    </row>
    <row r="204" ht="22" customHeight="1">
      <c r="A204" s="9" t="inlineStr">
        <is>
          <t>10.3.17</t>
        </is>
      </c>
      <c r="B204" s="13" t="inlineStr">
        <is>
          <t>202. Розетка накладная 380В 16А 3P+N+E ABB</t>
        </is>
      </c>
      <c r="C204" s="9" t="inlineStr">
        <is>
          <t>шт.</t>
        </is>
      </c>
      <c r="D204" s="4">
        <f>IF('Форма'!G202="","",'Форма'!G202)</f>
        <v/>
      </c>
      <c r="E204" s="9" t="inlineStr">
        <is>
          <t>точно</t>
        </is>
      </c>
      <c r="F204" s="9" t="inlineStr">
        <is>
          <t>ELM</t>
        </is>
      </c>
      <c r="G204" s="10" t="n">
        <v>1050</v>
      </c>
      <c r="H204" s="10" t="n">
        <v>650</v>
      </c>
      <c r="I204" s="10" t="n">
        <v>0.7</v>
      </c>
      <c r="J204" s="9" t="inlineStr"/>
      <c r="K204" s="7">
        <f>IF(F204="",0,IFERROR(VLOOKUP(F204,Расходники!$A$4:$B$23,2,FALSE),0))</f>
        <v/>
      </c>
      <c r="L204" s="4">
        <f>H204*D204</f>
        <v/>
      </c>
      <c r="M204" s="4">
        <f>L204*K204</f>
        <v/>
      </c>
      <c r="N204" s="4">
        <f>SUMIF(Материалы!$A$4:$A$800,SUBSTITUTE(SUBSTITUTE(SUBSTITUTE(B204,"~","~~"),"*","~*"),"?","~?"),Материалы!$S$4:$S$800)</f>
        <v/>
      </c>
      <c r="O204" s="4">
        <f>L204+M204+N204</f>
        <v/>
      </c>
      <c r="P204" s="4">
        <f>IF(SUM($O$4:$O$672)=0,0,Косвенные!$C$9*O204/SUM($O$4:$O$672))</f>
        <v/>
      </c>
      <c r="Q204" s="4">
        <f>G204*D204+P204</f>
        <v/>
      </c>
      <c r="R204" s="4">
        <f>IF(D204=0,0,Q204/D204)</f>
        <v/>
      </c>
      <c r="S204" s="4">
        <f>IF(D204=0,0,SUMIF(Материалы!$A$4:$A$800,SUBSTITUTE(SUBSTITUTE(SUBSTITUTE(B204,"~","~~"),"*","~*"),"?","~?"),Материалы!$T$4:$T$800)/D204)</f>
        <v/>
      </c>
      <c r="T204" s="4">
        <f>R204+S204</f>
        <v/>
      </c>
      <c r="U204" s="4">
        <f>I204*D204</f>
        <v/>
      </c>
    </row>
    <row r="205" ht="22" customHeight="1">
      <c r="A205" s="9" t="inlineStr">
        <is>
          <t>10.3.19</t>
        </is>
      </c>
      <c r="B205" s="13" t="inlineStr">
        <is>
          <t>203. Розетка двойная наружная 220В 16А IP 54</t>
        </is>
      </c>
      <c r="C205" s="9" t="inlineStr">
        <is>
          <t>шт.</t>
        </is>
      </c>
      <c r="D205" s="4">
        <f>IF('Форма'!G203="","",'Форма'!G203)</f>
        <v/>
      </c>
      <c r="E205" s="9" t="inlineStr">
        <is>
          <t>точно</t>
        </is>
      </c>
      <c r="F205" s="9" t="inlineStr">
        <is>
          <t>ELM</t>
        </is>
      </c>
      <c r="G205" s="10" t="n">
        <v>544</v>
      </c>
      <c r="H205" s="10" t="n">
        <v>330</v>
      </c>
      <c r="I205" s="10" t="n">
        <v>0.4</v>
      </c>
      <c r="J205" s="9" t="inlineStr">
        <is>
          <t>да</t>
        </is>
      </c>
      <c r="K205" s="7">
        <f>IF(F205="",0,IFERROR(VLOOKUP(F205,Расходники!$A$4:$B$23,2,FALSE),0))</f>
        <v/>
      </c>
      <c r="L205" s="4">
        <f>H205*D205</f>
        <v/>
      </c>
      <c r="M205" s="4">
        <f>L205*K205</f>
        <v/>
      </c>
      <c r="N205" s="4">
        <f>SUMIF(Материалы!$A$4:$A$800,SUBSTITUTE(SUBSTITUTE(SUBSTITUTE(B205,"~","~~"),"*","~*"),"?","~?"),Материалы!$S$4:$S$800)</f>
        <v/>
      </c>
      <c r="O205" s="4">
        <f>L205+M205+N205</f>
        <v/>
      </c>
      <c r="P205" s="4">
        <f>IF(SUM($O$4:$O$672)=0,0,Косвенные!$C$9*O205/SUM($O$4:$O$672))</f>
        <v/>
      </c>
      <c r="Q205" s="4">
        <f>G205*D205+P205</f>
        <v/>
      </c>
      <c r="R205" s="4">
        <f>IF(D205=0,0,Q205/D205)</f>
        <v/>
      </c>
      <c r="S205" s="4">
        <f>IF(D205=0,0,SUMIF(Материалы!$A$4:$A$800,SUBSTITUTE(SUBSTITUTE(SUBSTITUTE(B205,"~","~~"),"*","~*"),"?","~?"),Материалы!$T$4:$T$800)/D205)</f>
        <v/>
      </c>
      <c r="T205" s="4">
        <f>R205+S205</f>
        <v/>
      </c>
      <c r="U205" s="4">
        <f>I205*D205</f>
        <v/>
      </c>
    </row>
    <row r="206" ht="22" customHeight="1">
      <c r="A206" s="9" t="inlineStr">
        <is>
          <t>10.3.19</t>
        </is>
      </c>
      <c r="B206" s="13" t="inlineStr">
        <is>
          <t>204. Розетка одинарная наружная 220В 16А IP 54</t>
        </is>
      </c>
      <c r="C206" s="9" t="inlineStr">
        <is>
          <t>шт.</t>
        </is>
      </c>
      <c r="D206" s="4">
        <f>IF('Форма'!G204="","",'Форма'!G204)</f>
        <v/>
      </c>
      <c r="E206" s="9" t="inlineStr">
        <is>
          <t>точно</t>
        </is>
      </c>
      <c r="F206" s="9" t="inlineStr">
        <is>
          <t>ELM</t>
        </is>
      </c>
      <c r="G206" s="10" t="n">
        <v>544</v>
      </c>
      <c r="H206" s="10" t="n">
        <v>330</v>
      </c>
      <c r="I206" s="10" t="n">
        <v>0.4</v>
      </c>
      <c r="J206" s="9" t="inlineStr">
        <is>
          <t>да</t>
        </is>
      </c>
      <c r="K206" s="7">
        <f>IF(F206="",0,IFERROR(VLOOKUP(F206,Расходники!$A$4:$B$23,2,FALSE),0))</f>
        <v/>
      </c>
      <c r="L206" s="4">
        <f>H206*D206</f>
        <v/>
      </c>
      <c r="M206" s="4">
        <f>L206*K206</f>
        <v/>
      </c>
      <c r="N206" s="4">
        <f>SUMIF(Материалы!$A$4:$A$800,SUBSTITUTE(SUBSTITUTE(SUBSTITUTE(B206,"~","~~"),"*","~*"),"?","~?"),Материалы!$S$4:$S$800)</f>
        <v/>
      </c>
      <c r="O206" s="4">
        <f>L206+M206+N206</f>
        <v/>
      </c>
      <c r="P206" s="4">
        <f>IF(SUM($O$4:$O$672)=0,0,Косвенные!$C$9*O206/SUM($O$4:$O$672))</f>
        <v/>
      </c>
      <c r="Q206" s="4">
        <f>G206*D206+P206</f>
        <v/>
      </c>
      <c r="R206" s="4">
        <f>IF(D206=0,0,Q206/D206)</f>
        <v/>
      </c>
      <c r="S206" s="4">
        <f>IF(D206=0,0,SUMIF(Материалы!$A$4:$A$800,SUBSTITUTE(SUBSTITUTE(SUBSTITUTE(B206,"~","~~"),"*","~*"),"?","~?"),Материалы!$T$4:$T$800)/D206)</f>
        <v/>
      </c>
      <c r="T206" s="4">
        <f>R206+S206</f>
        <v/>
      </c>
      <c r="U206" s="4">
        <f>I206*D206</f>
        <v/>
      </c>
    </row>
    <row r="207" ht="22" customHeight="1">
      <c r="A207" s="9" t="inlineStr">
        <is>
          <t>10.3.19</t>
        </is>
      </c>
      <c r="B207" s="13" t="inlineStr">
        <is>
          <t>205. Розетка с механическим таймером типа: REXANT RX-28 11-6005 или аналог</t>
        </is>
      </c>
      <c r="C207" s="9" t="inlineStr">
        <is>
          <t>шт.</t>
        </is>
      </c>
      <c r="D207" s="4">
        <f>IF('Форма'!G205="","",'Форма'!G205)</f>
        <v/>
      </c>
      <c r="E207" s="9" t="inlineStr">
        <is>
          <t>точно</t>
        </is>
      </c>
      <c r="F207" s="9" t="inlineStr">
        <is>
          <t>ELM</t>
        </is>
      </c>
      <c r="G207" s="10" t="n">
        <v>544</v>
      </c>
      <c r="H207" s="10" t="n">
        <v>330</v>
      </c>
      <c r="I207" s="10" t="n">
        <v>0.4</v>
      </c>
      <c r="J207" s="9" t="inlineStr">
        <is>
          <t>да</t>
        </is>
      </c>
      <c r="K207" s="7">
        <f>IF(F207="",0,IFERROR(VLOOKUP(F207,Расходники!$A$4:$B$23,2,FALSE),0))</f>
        <v/>
      </c>
      <c r="L207" s="4">
        <f>H207*D207</f>
        <v/>
      </c>
      <c r="M207" s="4">
        <f>L207*K207</f>
        <v/>
      </c>
      <c r="N207" s="4">
        <f>SUMIF(Материалы!$A$4:$A$800,SUBSTITUTE(SUBSTITUTE(SUBSTITUTE(B207,"~","~~"),"*","~*"),"?","~?"),Материалы!$S$4:$S$800)</f>
        <v/>
      </c>
      <c r="O207" s="4">
        <f>L207+M207+N207</f>
        <v/>
      </c>
      <c r="P207" s="4">
        <f>IF(SUM($O$4:$O$672)=0,0,Косвенные!$C$9*O207/SUM($O$4:$O$672))</f>
        <v/>
      </c>
      <c r="Q207" s="4">
        <f>G207*D207+P207</f>
        <v/>
      </c>
      <c r="R207" s="4">
        <f>IF(D207=0,0,Q207/D207)</f>
        <v/>
      </c>
      <c r="S207" s="4">
        <f>IF(D207=0,0,SUMIF(Материалы!$A$4:$A$800,SUBSTITUTE(SUBSTITUTE(SUBSTITUTE(B207,"~","~~"),"*","~*"),"?","~?"),Материалы!$T$4:$T$800)/D207)</f>
        <v/>
      </c>
      <c r="T207" s="4">
        <f>R207+S207</f>
        <v/>
      </c>
      <c r="U207" s="4">
        <f>I207*D207</f>
        <v/>
      </c>
    </row>
    <row r="208" ht="22" customHeight="1">
      <c r="A208" s="9" t="inlineStr"/>
      <c r="B208" s="13" t="inlineStr">
        <is>
          <t>206. Розетка кабельная 125А 3Р+N+E IР67 на поверхность 415В CEWE (4125 RS6W)</t>
        </is>
      </c>
      <c r="C208" s="9" t="inlineStr">
        <is>
          <t>шт.</t>
        </is>
      </c>
      <c r="D208" s="4">
        <f>IF('Форма'!G206="","",'Форма'!G206)</f>
        <v/>
      </c>
      <c r="E208" s="9" t="inlineStr">
        <is>
          <t>аналог (10.2.N3), единица приведена к нормо-часам</t>
        </is>
      </c>
      <c r="F208" s="9" t="inlineStr">
        <is>
          <t>ELM</t>
        </is>
      </c>
      <c r="G208" s="10" t="n">
        <v>250.8</v>
      </c>
      <c r="H208" s="10" t="n">
        <v>122.4</v>
      </c>
      <c r="I208" s="10" t="n">
        <v>0.12</v>
      </c>
      <c r="J208" s="9" t="inlineStr"/>
      <c r="K208" s="7">
        <f>IF(F208="",0,IFERROR(VLOOKUP(F208,Расходники!$A$4:$B$23,2,FALSE),0))</f>
        <v/>
      </c>
      <c r="L208" s="4">
        <f>H208*D208</f>
        <v/>
      </c>
      <c r="M208" s="4">
        <f>L208*K208</f>
        <v/>
      </c>
      <c r="N208" s="4">
        <f>SUMIF(Материалы!$A$4:$A$800,SUBSTITUTE(SUBSTITUTE(SUBSTITUTE(B208,"~","~~"),"*","~*"),"?","~?"),Материалы!$S$4:$S$800)</f>
        <v/>
      </c>
      <c r="O208" s="4">
        <f>L208+M208+N208</f>
        <v/>
      </c>
      <c r="P208" s="4">
        <f>IF(SUM($O$4:$O$672)=0,0,Косвенные!$C$9*O208/SUM($O$4:$O$672))</f>
        <v/>
      </c>
      <c r="Q208" s="4">
        <f>G208*D208+P208</f>
        <v/>
      </c>
      <c r="R208" s="4">
        <f>IF(D208=0,0,Q208/D208)</f>
        <v/>
      </c>
      <c r="S208" s="4">
        <f>IF(D208=0,0,SUMIF(Материалы!$A$4:$A$800,SUBSTITUTE(SUBSTITUTE(SUBSTITUTE(B208,"~","~~"),"*","~*"),"?","~?"),Материалы!$T$4:$T$800)/D208)</f>
        <v/>
      </c>
      <c r="T208" s="4">
        <f>R208+S208</f>
        <v/>
      </c>
      <c r="U208" s="4">
        <f>I208*D208</f>
        <v/>
      </c>
    </row>
    <row r="209" ht="22" customHeight="1">
      <c r="A209" s="9" t="inlineStr">
        <is>
          <t>10.3.17</t>
        </is>
      </c>
      <c r="B209" s="13" t="inlineStr">
        <is>
          <t>207. Вилка 380В 16А 3P+N+E АВВ</t>
        </is>
      </c>
      <c r="C209" s="9" t="inlineStr">
        <is>
          <t>шт.</t>
        </is>
      </c>
      <c r="D209" s="4">
        <f>IF('Форма'!G207="","",'Форма'!G207)</f>
        <v/>
      </c>
      <c r="E209" s="9" t="inlineStr">
        <is>
          <t>точно</t>
        </is>
      </c>
      <c r="F209" s="9" t="inlineStr">
        <is>
          <t>ELM</t>
        </is>
      </c>
      <c r="G209" s="10" t="n">
        <v>1050</v>
      </c>
      <c r="H209" s="10" t="n">
        <v>650</v>
      </c>
      <c r="I209" s="10" t="n">
        <v>0.7</v>
      </c>
      <c r="J209" s="9" t="inlineStr"/>
      <c r="K209" s="7">
        <f>IF(F209="",0,IFERROR(VLOOKUP(F209,Расходники!$A$4:$B$23,2,FALSE),0))</f>
        <v/>
      </c>
      <c r="L209" s="4">
        <f>H209*D209</f>
        <v/>
      </c>
      <c r="M209" s="4">
        <f>L209*K209</f>
        <v/>
      </c>
      <c r="N209" s="4">
        <f>SUMIF(Материалы!$A$4:$A$800,SUBSTITUTE(SUBSTITUTE(SUBSTITUTE(B209,"~","~~"),"*","~*"),"?","~?"),Материалы!$S$4:$S$800)</f>
        <v/>
      </c>
      <c r="O209" s="4">
        <f>L209+M209+N209</f>
        <v/>
      </c>
      <c r="P209" s="4">
        <f>IF(SUM($O$4:$O$672)=0,0,Косвенные!$C$9*O209/SUM($O$4:$O$672))</f>
        <v/>
      </c>
      <c r="Q209" s="4">
        <f>G209*D209+P209</f>
        <v/>
      </c>
      <c r="R209" s="4">
        <f>IF(D209=0,0,Q209/D209)</f>
        <v/>
      </c>
      <c r="S209" s="4">
        <f>IF(D209=0,0,SUMIF(Материалы!$A$4:$A$800,SUBSTITUTE(SUBSTITUTE(SUBSTITUTE(B209,"~","~~"),"*","~*"),"?","~?"),Материалы!$T$4:$T$800)/D209)</f>
        <v/>
      </c>
      <c r="T209" s="4">
        <f>R209+S209</f>
        <v/>
      </c>
      <c r="U209" s="4">
        <f>I209*D209</f>
        <v/>
      </c>
    </row>
    <row r="210" ht="22" customHeight="1">
      <c r="A210" s="9" t="inlineStr">
        <is>
          <t>10.3.17</t>
        </is>
      </c>
      <c r="B210" s="13" t="inlineStr">
        <is>
          <t>208. Вилка 380В 32А 3P+N+E АВВ</t>
        </is>
      </c>
      <c r="C210" s="9" t="inlineStr">
        <is>
          <t>шт.</t>
        </is>
      </c>
      <c r="D210" s="4">
        <f>IF('Форма'!G208="","",'Форма'!G208)</f>
        <v/>
      </c>
      <c r="E210" s="9" t="inlineStr">
        <is>
          <t>точно</t>
        </is>
      </c>
      <c r="F210" s="9" t="inlineStr">
        <is>
          <t>ELM</t>
        </is>
      </c>
      <c r="G210" s="10" t="n">
        <v>1050</v>
      </c>
      <c r="H210" s="10" t="n">
        <v>650</v>
      </c>
      <c r="I210" s="10" t="n">
        <v>0.7</v>
      </c>
      <c r="J210" s="9" t="inlineStr"/>
      <c r="K210" s="7">
        <f>IF(F210="",0,IFERROR(VLOOKUP(F210,Расходники!$A$4:$B$23,2,FALSE),0))</f>
        <v/>
      </c>
      <c r="L210" s="4">
        <f>H210*D210</f>
        <v/>
      </c>
      <c r="M210" s="4">
        <f>L210*K210</f>
        <v/>
      </c>
      <c r="N210" s="4">
        <f>SUMIF(Материалы!$A$4:$A$800,SUBSTITUTE(SUBSTITUTE(SUBSTITUTE(B210,"~","~~"),"*","~*"),"?","~?"),Материалы!$S$4:$S$800)</f>
        <v/>
      </c>
      <c r="O210" s="4">
        <f>L210+M210+N210</f>
        <v/>
      </c>
      <c r="P210" s="4">
        <f>IF(SUM($O$4:$O$672)=0,0,Косвенные!$C$9*O210/SUM($O$4:$O$672))</f>
        <v/>
      </c>
      <c r="Q210" s="4">
        <f>G210*D210+P210</f>
        <v/>
      </c>
      <c r="R210" s="4">
        <f>IF(D210=0,0,Q210/D210)</f>
        <v/>
      </c>
      <c r="S210" s="4">
        <f>IF(D210=0,0,SUMIF(Материалы!$A$4:$A$800,SUBSTITUTE(SUBSTITUTE(SUBSTITUTE(B210,"~","~~"),"*","~*"),"?","~?"),Материалы!$T$4:$T$800)/D210)</f>
        <v/>
      </c>
      <c r="T210" s="4">
        <f>R210+S210</f>
        <v/>
      </c>
      <c r="U210" s="4">
        <f>I210*D210</f>
        <v/>
      </c>
    </row>
    <row r="211" ht="22" customHeight="1">
      <c r="A211" s="9" t="inlineStr">
        <is>
          <t>10.3.19</t>
        </is>
      </c>
      <c r="B211" s="13" t="inlineStr">
        <is>
          <t>209. Вилка 220В 16А 2P+E АВВ</t>
        </is>
      </c>
      <c r="C211" s="9" t="inlineStr">
        <is>
          <t>шт.</t>
        </is>
      </c>
      <c r="D211" s="4">
        <f>IF('Форма'!G209="","",'Форма'!G209)</f>
        <v/>
      </c>
      <c r="E211" s="9" t="inlineStr">
        <is>
          <t>точно</t>
        </is>
      </c>
      <c r="F211" s="9" t="inlineStr">
        <is>
          <t>ELM</t>
        </is>
      </c>
      <c r="G211" s="10" t="n">
        <v>544</v>
      </c>
      <c r="H211" s="10" t="n">
        <v>330</v>
      </c>
      <c r="I211" s="10" t="n">
        <v>0.4</v>
      </c>
      <c r="J211" s="9" t="inlineStr">
        <is>
          <t>да</t>
        </is>
      </c>
      <c r="K211" s="7">
        <f>IF(F211="",0,IFERROR(VLOOKUP(F211,Расходники!$A$4:$B$23,2,FALSE),0))</f>
        <v/>
      </c>
      <c r="L211" s="4">
        <f>H211*D211</f>
        <v/>
      </c>
      <c r="M211" s="4">
        <f>L211*K211</f>
        <v/>
      </c>
      <c r="N211" s="4">
        <f>SUMIF(Материалы!$A$4:$A$800,SUBSTITUTE(SUBSTITUTE(SUBSTITUTE(B211,"~","~~"),"*","~*"),"?","~?"),Материалы!$S$4:$S$800)</f>
        <v/>
      </c>
      <c r="O211" s="4">
        <f>L211+M211+N211</f>
        <v/>
      </c>
      <c r="P211" s="4">
        <f>IF(SUM($O$4:$O$672)=0,0,Косвенные!$C$9*O211/SUM($O$4:$O$672))</f>
        <v/>
      </c>
      <c r="Q211" s="4">
        <f>G211*D211+P211</f>
        <v/>
      </c>
      <c r="R211" s="4">
        <f>IF(D211=0,0,Q211/D211)</f>
        <v/>
      </c>
      <c r="S211" s="4">
        <f>IF(D211=0,0,SUMIF(Материалы!$A$4:$A$800,SUBSTITUTE(SUBSTITUTE(SUBSTITUTE(B211,"~","~~"),"*","~*"),"?","~?"),Материалы!$T$4:$T$800)/D211)</f>
        <v/>
      </c>
      <c r="T211" s="4">
        <f>R211+S211</f>
        <v/>
      </c>
      <c r="U211" s="4">
        <f>I211*D211</f>
        <v/>
      </c>
    </row>
    <row r="212" ht="22" customHeight="1">
      <c r="A212" s="9" t="inlineStr">
        <is>
          <t>10.3.17</t>
        </is>
      </c>
      <c r="B212" s="13" t="inlineStr">
        <is>
          <t>210. Вилка 220В 32А 2P+E АВВ</t>
        </is>
      </c>
      <c r="C212" s="9" t="inlineStr">
        <is>
          <t>шт.</t>
        </is>
      </c>
      <c r="D212" s="4">
        <f>IF('Форма'!G210="","",'Форма'!G210)</f>
        <v/>
      </c>
      <c r="E212" s="9" t="inlineStr">
        <is>
          <t>точно</t>
        </is>
      </c>
      <c r="F212" s="9" t="inlineStr">
        <is>
          <t>ELM</t>
        </is>
      </c>
      <c r="G212" s="10" t="n">
        <v>1050</v>
      </c>
      <c r="H212" s="10" t="n">
        <v>650</v>
      </c>
      <c r="I212" s="10" t="n">
        <v>0.7</v>
      </c>
      <c r="J212" s="9" t="inlineStr"/>
      <c r="K212" s="7">
        <f>IF(F212="",0,IFERROR(VLOOKUP(F212,Расходники!$A$4:$B$23,2,FALSE),0))</f>
        <v/>
      </c>
      <c r="L212" s="4">
        <f>H212*D212</f>
        <v/>
      </c>
      <c r="M212" s="4">
        <f>L212*K212</f>
        <v/>
      </c>
      <c r="N212" s="4">
        <f>SUMIF(Материалы!$A$4:$A$800,SUBSTITUTE(SUBSTITUTE(SUBSTITUTE(B212,"~","~~"),"*","~*"),"?","~?"),Материалы!$S$4:$S$800)</f>
        <v/>
      </c>
      <c r="O212" s="4">
        <f>L212+M212+N212</f>
        <v/>
      </c>
      <c r="P212" s="4">
        <f>IF(SUM($O$4:$O$672)=0,0,Косвенные!$C$9*O212/SUM($O$4:$O$672))</f>
        <v/>
      </c>
      <c r="Q212" s="4">
        <f>G212*D212+P212</f>
        <v/>
      </c>
      <c r="R212" s="4">
        <f>IF(D212=0,0,Q212/D212)</f>
        <v/>
      </c>
      <c r="S212" s="4">
        <f>IF(D212=0,0,SUMIF(Материалы!$A$4:$A$800,SUBSTITUTE(SUBSTITUTE(SUBSTITUTE(B212,"~","~~"),"*","~*"),"?","~?"),Материалы!$T$4:$T$800)/D212)</f>
        <v/>
      </c>
      <c r="T212" s="4">
        <f>R212+S212</f>
        <v/>
      </c>
      <c r="U212" s="4">
        <f>I212*D212</f>
        <v/>
      </c>
    </row>
    <row r="213" ht="22" customHeight="1">
      <c r="A213" s="9" t="inlineStr">
        <is>
          <t>10.3.19</t>
        </is>
      </c>
      <c r="B213" s="13" t="inlineStr">
        <is>
          <t>211. Вилка 220В 16А евр. прямой ввод (КОРР Германия) или аналог</t>
        </is>
      </c>
      <c r="C213" s="9" t="inlineStr">
        <is>
          <t>шт.</t>
        </is>
      </c>
      <c r="D213" s="4">
        <f>IF('Форма'!G211="","",'Форма'!G211)</f>
        <v/>
      </c>
      <c r="E213" s="9" t="inlineStr">
        <is>
          <t>точно</t>
        </is>
      </c>
      <c r="F213" s="9" t="inlineStr">
        <is>
          <t>ELM</t>
        </is>
      </c>
      <c r="G213" s="10" t="n">
        <v>544</v>
      </c>
      <c r="H213" s="10" t="n">
        <v>330</v>
      </c>
      <c r="I213" s="10" t="n">
        <v>0.4</v>
      </c>
      <c r="J213" s="9" t="inlineStr">
        <is>
          <t>да</t>
        </is>
      </c>
      <c r="K213" s="7">
        <f>IF(F213="",0,IFERROR(VLOOKUP(F213,Расходники!$A$4:$B$23,2,FALSE),0))</f>
        <v/>
      </c>
      <c r="L213" s="4">
        <f>H213*D213</f>
        <v/>
      </c>
      <c r="M213" s="4">
        <f>L213*K213</f>
        <v/>
      </c>
      <c r="N213" s="4">
        <f>SUMIF(Материалы!$A$4:$A$800,SUBSTITUTE(SUBSTITUTE(SUBSTITUTE(B213,"~","~~"),"*","~*"),"?","~?"),Материалы!$S$4:$S$800)</f>
        <v/>
      </c>
      <c r="O213" s="4">
        <f>L213+M213+N213</f>
        <v/>
      </c>
      <c r="P213" s="4">
        <f>IF(SUM($O$4:$O$672)=0,0,Косвенные!$C$9*O213/SUM($O$4:$O$672))</f>
        <v/>
      </c>
      <c r="Q213" s="4">
        <f>G213*D213+P213</f>
        <v/>
      </c>
      <c r="R213" s="4">
        <f>IF(D213=0,0,Q213/D213)</f>
        <v/>
      </c>
      <c r="S213" s="4">
        <f>IF(D213=0,0,SUMIF(Материалы!$A$4:$A$800,SUBSTITUTE(SUBSTITUTE(SUBSTITUTE(B213,"~","~~"),"*","~*"),"?","~?"),Материалы!$T$4:$T$800)/D213)</f>
        <v/>
      </c>
      <c r="T213" s="4">
        <f>R213+S213</f>
        <v/>
      </c>
      <c r="U213" s="4">
        <f>I213*D213</f>
        <v/>
      </c>
    </row>
    <row r="214" ht="22" customHeight="1">
      <c r="A214" s="9" t="inlineStr">
        <is>
          <t>10.3.19</t>
        </is>
      </c>
      <c r="B214" s="13" t="inlineStr">
        <is>
          <t>212. Вилка 220В 16А евр. боковой ввод (КОРР Германия) или аналог</t>
        </is>
      </c>
      <c r="C214" s="9" t="inlineStr">
        <is>
          <t>шт.</t>
        </is>
      </c>
      <c r="D214" s="4">
        <f>IF('Форма'!G212="","",'Форма'!G212)</f>
        <v/>
      </c>
      <c r="E214" s="9" t="inlineStr">
        <is>
          <t>точно</t>
        </is>
      </c>
      <c r="F214" s="9" t="inlineStr">
        <is>
          <t>ELM</t>
        </is>
      </c>
      <c r="G214" s="10" t="n">
        <v>544</v>
      </c>
      <c r="H214" s="10" t="n">
        <v>330</v>
      </c>
      <c r="I214" s="10" t="n">
        <v>0.4</v>
      </c>
      <c r="J214" s="9" t="inlineStr">
        <is>
          <t>да</t>
        </is>
      </c>
      <c r="K214" s="7">
        <f>IF(F214="",0,IFERROR(VLOOKUP(F214,Расходники!$A$4:$B$23,2,FALSE),0))</f>
        <v/>
      </c>
      <c r="L214" s="4">
        <f>H214*D214</f>
        <v/>
      </c>
      <c r="M214" s="4">
        <f>L214*K214</f>
        <v/>
      </c>
      <c r="N214" s="4">
        <f>SUMIF(Материалы!$A$4:$A$800,SUBSTITUTE(SUBSTITUTE(SUBSTITUTE(B214,"~","~~"),"*","~*"),"?","~?"),Материалы!$S$4:$S$800)</f>
        <v/>
      </c>
      <c r="O214" s="4">
        <f>L214+M214+N214</f>
        <v/>
      </c>
      <c r="P214" s="4">
        <f>IF(SUM($O$4:$O$672)=0,0,Косвенные!$C$9*O214/SUM($O$4:$O$672))</f>
        <v/>
      </c>
      <c r="Q214" s="4">
        <f>G214*D214+P214</f>
        <v/>
      </c>
      <c r="R214" s="4">
        <f>IF(D214=0,0,Q214/D214)</f>
        <v/>
      </c>
      <c r="S214" s="4">
        <f>IF(D214=0,0,SUMIF(Материалы!$A$4:$A$800,SUBSTITUTE(SUBSTITUTE(SUBSTITUTE(B214,"~","~~"),"*","~*"),"?","~?"),Материалы!$T$4:$T$800)/D214)</f>
        <v/>
      </c>
      <c r="T214" s="4">
        <f>R214+S214</f>
        <v/>
      </c>
      <c r="U214" s="4">
        <f>I214*D214</f>
        <v/>
      </c>
    </row>
    <row r="215" ht="22" customHeight="1">
      <c r="A215" s="9" t="inlineStr"/>
      <c r="B215" s="13" t="inlineStr">
        <is>
          <t>213. Вилка кабельная 125А 3Р+N+E IР67 переносная 415В CEWE (4125 P6W)</t>
        </is>
      </c>
      <c r="C215" s="9" t="inlineStr">
        <is>
          <t>шт.</t>
        </is>
      </c>
      <c r="D215" s="4">
        <f>IF('Форма'!G213="","",'Форма'!G213)</f>
        <v/>
      </c>
      <c r="E215" s="9" t="inlineStr">
        <is>
          <t>аналог (10.2.N3), единица приведена к нормо-часам</t>
        </is>
      </c>
      <c r="F215" s="9" t="inlineStr">
        <is>
          <t>ELM</t>
        </is>
      </c>
      <c r="G215" s="10" t="n">
        <v>250.8</v>
      </c>
      <c r="H215" s="10" t="n">
        <v>122.4</v>
      </c>
      <c r="I215" s="10" t="n">
        <v>0.12</v>
      </c>
      <c r="J215" s="9" t="inlineStr"/>
      <c r="K215" s="7">
        <f>IF(F215="",0,IFERROR(VLOOKUP(F215,Расходники!$A$4:$B$23,2,FALSE),0))</f>
        <v/>
      </c>
      <c r="L215" s="4">
        <f>H215*D215</f>
        <v/>
      </c>
      <c r="M215" s="4">
        <f>L215*K215</f>
        <v/>
      </c>
      <c r="N215" s="4">
        <f>SUMIF(Материалы!$A$4:$A$800,SUBSTITUTE(SUBSTITUTE(SUBSTITUTE(B215,"~","~~"),"*","~*"),"?","~?"),Материалы!$S$4:$S$800)</f>
        <v/>
      </c>
      <c r="O215" s="4">
        <f>L215+M215+N215</f>
        <v/>
      </c>
      <c r="P215" s="4">
        <f>IF(SUM($O$4:$O$672)=0,0,Косвенные!$C$9*O215/SUM($O$4:$O$672))</f>
        <v/>
      </c>
      <c r="Q215" s="4">
        <f>G215*D215+P215</f>
        <v/>
      </c>
      <c r="R215" s="4">
        <f>IF(D215=0,0,Q215/D215)</f>
        <v/>
      </c>
      <c r="S215" s="4">
        <f>IF(D215=0,0,SUMIF(Материалы!$A$4:$A$800,SUBSTITUTE(SUBSTITUTE(SUBSTITUTE(B215,"~","~~"),"*","~*"),"?","~?"),Материалы!$T$4:$T$800)/D215)</f>
        <v/>
      </c>
      <c r="T215" s="4">
        <f>R215+S215</f>
        <v/>
      </c>
      <c r="U215" s="4">
        <f>I215*D215</f>
        <v/>
      </c>
    </row>
    <row r="216" ht="22" customHeight="1">
      <c r="A216" s="9" t="inlineStr">
        <is>
          <t>10.3.19</t>
        </is>
      </c>
      <c r="B216" s="13" t="inlineStr">
        <is>
          <t>214. Выключатель одинарный наружный</t>
        </is>
      </c>
      <c r="C216" s="9" t="inlineStr">
        <is>
          <t>шт.</t>
        </is>
      </c>
      <c r="D216" s="4">
        <f>IF('Форма'!G214="","",'Форма'!G214)</f>
        <v/>
      </c>
      <c r="E216" s="9" t="inlineStr">
        <is>
          <t>аналог (10.3.19)</t>
        </is>
      </c>
      <c r="F216" s="9" t="inlineStr">
        <is>
          <t>ELM</t>
        </is>
      </c>
      <c r="G216" s="10" t="n">
        <v>544</v>
      </c>
      <c r="H216" s="10" t="n">
        <v>330</v>
      </c>
      <c r="I216" s="10" t="n">
        <v>0.4</v>
      </c>
      <c r="J216" s="9" t="inlineStr">
        <is>
          <t>да</t>
        </is>
      </c>
      <c r="K216" s="7">
        <f>IF(F216="",0,IFERROR(VLOOKUP(F216,Расходники!$A$4:$B$23,2,FALSE),0))</f>
        <v/>
      </c>
      <c r="L216" s="4">
        <f>H216*D216</f>
        <v/>
      </c>
      <c r="M216" s="4">
        <f>L216*K216</f>
        <v/>
      </c>
      <c r="N216" s="4">
        <f>SUMIF(Материалы!$A$4:$A$800,SUBSTITUTE(SUBSTITUTE(SUBSTITUTE(B216,"~","~~"),"*","~*"),"?","~?"),Материалы!$S$4:$S$800)</f>
        <v/>
      </c>
      <c r="O216" s="4">
        <f>L216+M216+N216</f>
        <v/>
      </c>
      <c r="P216" s="4">
        <f>IF(SUM($O$4:$O$672)=0,0,Косвенные!$C$9*O216/SUM($O$4:$O$672))</f>
        <v/>
      </c>
      <c r="Q216" s="4">
        <f>G216*D216+P216</f>
        <v/>
      </c>
      <c r="R216" s="4">
        <f>IF(D216=0,0,Q216/D216)</f>
        <v/>
      </c>
      <c r="S216" s="4">
        <f>IF(D216=0,0,SUMIF(Материалы!$A$4:$A$800,SUBSTITUTE(SUBSTITUTE(SUBSTITUTE(B216,"~","~~"),"*","~*"),"?","~?"),Материалы!$T$4:$T$800)/D216)</f>
        <v/>
      </c>
      <c r="T216" s="4">
        <f>R216+S216</f>
        <v/>
      </c>
      <c r="U216" s="4">
        <f>I216*D216</f>
        <v/>
      </c>
    </row>
    <row r="217" ht="22" customHeight="1">
      <c r="A217" s="9" t="inlineStr">
        <is>
          <t>10.3.19</t>
        </is>
      </c>
      <c r="B217" s="13" t="inlineStr">
        <is>
          <t>215. Выключатель одинарный внутренний</t>
        </is>
      </c>
      <c r="C217" s="9" t="inlineStr">
        <is>
          <t>шт.</t>
        </is>
      </c>
      <c r="D217" s="4">
        <f>IF('Форма'!G215="","",'Форма'!G215)</f>
        <v/>
      </c>
      <c r="E217" s="9" t="inlineStr">
        <is>
          <t>аналог (10.3.19)</t>
        </is>
      </c>
      <c r="F217" s="9" t="inlineStr">
        <is>
          <t>ELM</t>
        </is>
      </c>
      <c r="G217" s="10" t="n">
        <v>544</v>
      </c>
      <c r="H217" s="10" t="n">
        <v>330</v>
      </c>
      <c r="I217" s="10" t="n">
        <v>0.4</v>
      </c>
      <c r="J217" s="9" t="inlineStr">
        <is>
          <t>да</t>
        </is>
      </c>
      <c r="K217" s="7">
        <f>IF(F217="",0,IFERROR(VLOOKUP(F217,Расходники!$A$4:$B$23,2,FALSE),0))</f>
        <v/>
      </c>
      <c r="L217" s="4">
        <f>H217*D217</f>
        <v/>
      </c>
      <c r="M217" s="4">
        <f>L217*K217</f>
        <v/>
      </c>
      <c r="N217" s="4">
        <f>SUMIF(Материалы!$A$4:$A$800,SUBSTITUTE(SUBSTITUTE(SUBSTITUTE(B217,"~","~~"),"*","~*"),"?","~?"),Материалы!$S$4:$S$800)</f>
        <v/>
      </c>
      <c r="O217" s="4">
        <f>L217+M217+N217</f>
        <v/>
      </c>
      <c r="P217" s="4">
        <f>IF(SUM($O$4:$O$672)=0,0,Косвенные!$C$9*O217/SUM($O$4:$O$672))</f>
        <v/>
      </c>
      <c r="Q217" s="4">
        <f>G217*D217+P217</f>
        <v/>
      </c>
      <c r="R217" s="4">
        <f>IF(D217=0,0,Q217/D217)</f>
        <v/>
      </c>
      <c r="S217" s="4">
        <f>IF(D217=0,0,SUMIF(Материалы!$A$4:$A$800,SUBSTITUTE(SUBSTITUTE(SUBSTITUTE(B217,"~","~~"),"*","~*"),"?","~?"),Материалы!$T$4:$T$800)/D217)</f>
        <v/>
      </c>
      <c r="T217" s="4">
        <f>R217+S217</f>
        <v/>
      </c>
      <c r="U217" s="4">
        <f>I217*D217</f>
        <v/>
      </c>
    </row>
    <row r="218" ht="22" customHeight="1">
      <c r="A218" s="9" t="inlineStr">
        <is>
          <t>10.3.19</t>
        </is>
      </c>
      <c r="B218" s="13" t="inlineStr">
        <is>
          <t>216. Выключатель двойной наружный</t>
        </is>
      </c>
      <c r="C218" s="9" t="inlineStr">
        <is>
          <t>шт.</t>
        </is>
      </c>
      <c r="D218" s="4">
        <f>IF('Форма'!G216="","",'Форма'!G216)</f>
        <v/>
      </c>
      <c r="E218" s="9" t="inlineStr">
        <is>
          <t>аналог (10.3.19)</t>
        </is>
      </c>
      <c r="F218" s="9" t="inlineStr">
        <is>
          <t>ELM</t>
        </is>
      </c>
      <c r="G218" s="10" t="n">
        <v>544</v>
      </c>
      <c r="H218" s="10" t="n">
        <v>330</v>
      </c>
      <c r="I218" s="10" t="n">
        <v>0.4</v>
      </c>
      <c r="J218" s="9" t="inlineStr">
        <is>
          <t>да</t>
        </is>
      </c>
      <c r="K218" s="7">
        <f>IF(F218="",0,IFERROR(VLOOKUP(F218,Расходники!$A$4:$B$23,2,FALSE),0))</f>
        <v/>
      </c>
      <c r="L218" s="4">
        <f>H218*D218</f>
        <v/>
      </c>
      <c r="M218" s="4">
        <f>L218*K218</f>
        <v/>
      </c>
      <c r="N218" s="4">
        <f>SUMIF(Материалы!$A$4:$A$800,SUBSTITUTE(SUBSTITUTE(SUBSTITUTE(B218,"~","~~"),"*","~*"),"?","~?"),Материалы!$S$4:$S$800)</f>
        <v/>
      </c>
      <c r="O218" s="4">
        <f>L218+M218+N218</f>
        <v/>
      </c>
      <c r="P218" s="4">
        <f>IF(SUM($O$4:$O$672)=0,0,Косвенные!$C$9*O218/SUM($O$4:$O$672))</f>
        <v/>
      </c>
      <c r="Q218" s="4">
        <f>G218*D218+P218</f>
        <v/>
      </c>
      <c r="R218" s="4">
        <f>IF(D218=0,0,Q218/D218)</f>
        <v/>
      </c>
      <c r="S218" s="4">
        <f>IF(D218=0,0,SUMIF(Материалы!$A$4:$A$800,SUBSTITUTE(SUBSTITUTE(SUBSTITUTE(B218,"~","~~"),"*","~*"),"?","~?"),Материалы!$T$4:$T$800)/D218)</f>
        <v/>
      </c>
      <c r="T218" s="4">
        <f>R218+S218</f>
        <v/>
      </c>
      <c r="U218" s="4">
        <f>I218*D218</f>
        <v/>
      </c>
    </row>
    <row r="219" ht="22" customHeight="1">
      <c r="A219" s="9" t="inlineStr">
        <is>
          <t>10.3.19</t>
        </is>
      </c>
      <c r="B219" s="13" t="inlineStr">
        <is>
          <t>217. Выключатель двойной внутренний</t>
        </is>
      </c>
      <c r="C219" s="9" t="inlineStr">
        <is>
          <t>шт.</t>
        </is>
      </c>
      <c r="D219" s="4">
        <f>IF('Форма'!G217="","",'Форма'!G217)</f>
        <v/>
      </c>
      <c r="E219" s="9" t="inlineStr">
        <is>
          <t>аналог (10.3.19)</t>
        </is>
      </c>
      <c r="F219" s="9" t="inlineStr">
        <is>
          <t>ELM</t>
        </is>
      </c>
      <c r="G219" s="10" t="n">
        <v>544</v>
      </c>
      <c r="H219" s="10" t="n">
        <v>330</v>
      </c>
      <c r="I219" s="10" t="n">
        <v>0.4</v>
      </c>
      <c r="J219" s="9" t="inlineStr">
        <is>
          <t>да</t>
        </is>
      </c>
      <c r="K219" s="7">
        <f>IF(F219="",0,IFERROR(VLOOKUP(F219,Расходники!$A$4:$B$23,2,FALSE),0))</f>
        <v/>
      </c>
      <c r="L219" s="4">
        <f>H219*D219</f>
        <v/>
      </c>
      <c r="M219" s="4">
        <f>L219*K219</f>
        <v/>
      </c>
      <c r="N219" s="4">
        <f>SUMIF(Материалы!$A$4:$A$800,SUBSTITUTE(SUBSTITUTE(SUBSTITUTE(B219,"~","~~"),"*","~*"),"?","~?"),Материалы!$S$4:$S$800)</f>
        <v/>
      </c>
      <c r="O219" s="4">
        <f>L219+M219+N219</f>
        <v/>
      </c>
      <c r="P219" s="4">
        <f>IF(SUM($O$4:$O$672)=0,0,Косвенные!$C$9*O219/SUM($O$4:$O$672))</f>
        <v/>
      </c>
      <c r="Q219" s="4">
        <f>G219*D219+P219</f>
        <v/>
      </c>
      <c r="R219" s="4">
        <f>IF(D219=0,0,Q219/D219)</f>
        <v/>
      </c>
      <c r="S219" s="4">
        <f>IF(D219=0,0,SUMIF(Материалы!$A$4:$A$800,SUBSTITUTE(SUBSTITUTE(SUBSTITUTE(B219,"~","~~"),"*","~*"),"?","~?"),Материалы!$T$4:$T$800)/D219)</f>
        <v/>
      </c>
      <c r="T219" s="4">
        <f>R219+S219</f>
        <v/>
      </c>
      <c r="U219" s="4">
        <f>I219*D219</f>
        <v/>
      </c>
    </row>
    <row r="220" ht="22" customHeight="1">
      <c r="A220" s="9" t="inlineStr">
        <is>
          <t>10.3.19</t>
        </is>
      </c>
      <c r="B220" s="13" t="inlineStr">
        <is>
          <t>218. Выключатель кулачковый 25А/32А 3 пол.(Россия)</t>
        </is>
      </c>
      <c r="C220" s="9" t="inlineStr">
        <is>
          <t>шт.</t>
        </is>
      </c>
      <c r="D220" s="4">
        <f>IF('Форма'!G218="","",'Форма'!G218)</f>
        <v/>
      </c>
      <c r="E220" s="9" t="inlineStr">
        <is>
          <t>аналог (10.3.19)</t>
        </is>
      </c>
      <c r="F220" s="9" t="inlineStr">
        <is>
          <t>ELM</t>
        </is>
      </c>
      <c r="G220" s="10" t="n">
        <v>544</v>
      </c>
      <c r="H220" s="10" t="n">
        <v>330</v>
      </c>
      <c r="I220" s="10" t="n">
        <v>0.4</v>
      </c>
      <c r="J220" s="9" t="inlineStr">
        <is>
          <t>да</t>
        </is>
      </c>
      <c r="K220" s="7">
        <f>IF(F220="",0,IFERROR(VLOOKUP(F220,Расходники!$A$4:$B$23,2,FALSE),0))</f>
        <v/>
      </c>
      <c r="L220" s="4">
        <f>H220*D220</f>
        <v/>
      </c>
      <c r="M220" s="4">
        <f>L220*K220</f>
        <v/>
      </c>
      <c r="N220" s="4">
        <f>SUMIF(Материалы!$A$4:$A$800,SUBSTITUTE(SUBSTITUTE(SUBSTITUTE(B220,"~","~~"),"*","~*"),"?","~?"),Материалы!$S$4:$S$800)</f>
        <v/>
      </c>
      <c r="O220" s="4">
        <f>L220+M220+N220</f>
        <v/>
      </c>
      <c r="P220" s="4">
        <f>IF(SUM($O$4:$O$672)=0,0,Косвенные!$C$9*O220/SUM($O$4:$O$672))</f>
        <v/>
      </c>
      <c r="Q220" s="4">
        <f>G220*D220+P220</f>
        <v/>
      </c>
      <c r="R220" s="4">
        <f>IF(D220=0,0,Q220/D220)</f>
        <v/>
      </c>
      <c r="S220" s="4">
        <f>IF(D220=0,0,SUMIF(Материалы!$A$4:$A$800,SUBSTITUTE(SUBSTITUTE(SUBSTITUTE(B220,"~","~~"),"*","~*"),"?","~?"),Материалы!$T$4:$T$800)/D220)</f>
        <v/>
      </c>
      <c r="T220" s="4">
        <f>R220+S220</f>
        <v/>
      </c>
      <c r="U220" s="4">
        <f>I220*D220</f>
        <v/>
      </c>
    </row>
    <row r="221" ht="22" customHeight="1">
      <c r="A221" s="9" t="inlineStr">
        <is>
          <t>10.3.19</t>
        </is>
      </c>
      <c r="B221" s="13" t="inlineStr">
        <is>
          <t>219. Переключатель ONU1PBR 3-х поз.(1-0-2) 25 А (АВВ) или аналог</t>
        </is>
      </c>
      <c r="C221" s="9" t="inlineStr">
        <is>
          <t>шт.</t>
        </is>
      </c>
      <c r="D221" s="4">
        <f>IF('Форма'!G219="","",'Форма'!G219)</f>
        <v/>
      </c>
      <c r="E221" s="9" t="inlineStr">
        <is>
          <t>аналог (10.3.19)</t>
        </is>
      </c>
      <c r="F221" s="9" t="inlineStr">
        <is>
          <t>ELM</t>
        </is>
      </c>
      <c r="G221" s="10" t="n">
        <v>544</v>
      </c>
      <c r="H221" s="10" t="n">
        <v>330</v>
      </c>
      <c r="I221" s="10" t="n">
        <v>0.4</v>
      </c>
      <c r="J221" s="9" t="inlineStr">
        <is>
          <t>да</t>
        </is>
      </c>
      <c r="K221" s="7">
        <f>IF(F221="",0,IFERROR(VLOOKUP(F221,Расходники!$A$4:$B$23,2,FALSE),0))</f>
        <v/>
      </c>
      <c r="L221" s="4">
        <f>H221*D221</f>
        <v/>
      </c>
      <c r="M221" s="4">
        <f>L221*K221</f>
        <v/>
      </c>
      <c r="N221" s="4">
        <f>SUMIF(Материалы!$A$4:$A$800,SUBSTITUTE(SUBSTITUTE(SUBSTITUTE(B221,"~","~~"),"*","~*"),"?","~?"),Материалы!$S$4:$S$800)</f>
        <v/>
      </c>
      <c r="O221" s="4">
        <f>L221+M221+N221</f>
        <v/>
      </c>
      <c r="P221" s="4">
        <f>IF(SUM($O$4:$O$672)=0,0,Косвенные!$C$9*O221/SUM($O$4:$O$672))</f>
        <v/>
      </c>
      <c r="Q221" s="4">
        <f>G221*D221+P221</f>
        <v/>
      </c>
      <c r="R221" s="4">
        <f>IF(D221=0,0,Q221/D221)</f>
        <v/>
      </c>
      <c r="S221" s="4">
        <f>IF(D221=0,0,SUMIF(Материалы!$A$4:$A$800,SUBSTITUTE(SUBSTITUTE(SUBSTITUTE(B221,"~","~~"),"*","~*"),"?","~?"),Материалы!$T$4:$T$800)/D221)</f>
        <v/>
      </c>
      <c r="T221" s="4">
        <f>R221+S221</f>
        <v/>
      </c>
      <c r="U221" s="4">
        <f>I221*D221</f>
        <v/>
      </c>
    </row>
    <row r="222" ht="22" customHeight="1">
      <c r="A222" s="9" t="inlineStr">
        <is>
          <t>10.3.19</t>
        </is>
      </c>
      <c r="B222" s="13" t="inlineStr">
        <is>
          <t>220. Переключатель ONU1М 3-х поз.(1-0-2) 25 А (АВВ) или аналог</t>
        </is>
      </c>
      <c r="C222" s="9" t="inlineStr">
        <is>
          <t>шт.</t>
        </is>
      </c>
      <c r="D222" s="4">
        <f>IF('Форма'!G220="","",'Форма'!G220)</f>
        <v/>
      </c>
      <c r="E222" s="9" t="inlineStr">
        <is>
          <t>аналог (10.3.19)</t>
        </is>
      </c>
      <c r="F222" s="9" t="inlineStr">
        <is>
          <t>ELM</t>
        </is>
      </c>
      <c r="G222" s="10" t="n">
        <v>544</v>
      </c>
      <c r="H222" s="10" t="n">
        <v>330</v>
      </c>
      <c r="I222" s="10" t="n">
        <v>0.4</v>
      </c>
      <c r="J222" s="9" t="inlineStr">
        <is>
          <t>да</t>
        </is>
      </c>
      <c r="K222" s="7">
        <f>IF(F222="",0,IFERROR(VLOOKUP(F222,Расходники!$A$4:$B$23,2,FALSE),0))</f>
        <v/>
      </c>
      <c r="L222" s="4">
        <f>H222*D222</f>
        <v/>
      </c>
      <c r="M222" s="4">
        <f>L222*K222</f>
        <v/>
      </c>
      <c r="N222" s="4">
        <f>SUMIF(Материалы!$A$4:$A$800,SUBSTITUTE(SUBSTITUTE(SUBSTITUTE(B222,"~","~~"),"*","~*"),"?","~?"),Материалы!$S$4:$S$800)</f>
        <v/>
      </c>
      <c r="O222" s="4">
        <f>L222+M222+N222</f>
        <v/>
      </c>
      <c r="P222" s="4">
        <f>IF(SUM($O$4:$O$672)=0,0,Косвенные!$C$9*O222/SUM($O$4:$O$672))</f>
        <v/>
      </c>
      <c r="Q222" s="4">
        <f>G222*D222+P222</f>
        <v/>
      </c>
      <c r="R222" s="4">
        <f>IF(D222=0,0,Q222/D222)</f>
        <v/>
      </c>
      <c r="S222" s="4">
        <f>IF(D222=0,0,SUMIF(Материалы!$A$4:$A$800,SUBSTITUTE(SUBSTITUTE(SUBSTITUTE(B222,"~","~~"),"*","~*"),"?","~?"),Материалы!$T$4:$T$800)/D222)</f>
        <v/>
      </c>
      <c r="T222" s="4">
        <f>R222+S222</f>
        <v/>
      </c>
      <c r="U222" s="4">
        <f>I222*D222</f>
        <v/>
      </c>
    </row>
    <row r="223" ht="22" customHeight="1">
      <c r="A223" s="9" t="inlineStr"/>
      <c r="B223" s="13" t="inlineStr">
        <is>
          <t>221. Кабель-канал 20х10 мм</t>
        </is>
      </c>
      <c r="C223" s="9" t="inlineStr">
        <is>
          <t>м.п.</t>
        </is>
      </c>
      <c r="D223" s="4">
        <f>IF('Форма'!G221="","",'Форма'!G221)</f>
        <v/>
      </c>
      <c r="E223" s="9" t="inlineStr">
        <is>
          <t>нет в тарификаторе</t>
        </is>
      </c>
      <c r="F223" s="9" t="inlineStr">
        <is>
          <t>ELM</t>
        </is>
      </c>
      <c r="G223" s="10" t="n">
        <v>250.8</v>
      </c>
      <c r="H223" s="10" t="n">
        <v>122.4</v>
      </c>
      <c r="I223" s="10" t="n">
        <v>0.12</v>
      </c>
      <c r="J223" s="9" t="inlineStr"/>
      <c r="K223" s="7">
        <f>IF(F223="",0,IFERROR(VLOOKUP(F223,Расходники!$A$4:$B$23,2,FALSE),0))</f>
        <v/>
      </c>
      <c r="L223" s="4">
        <f>H223*D223</f>
        <v/>
      </c>
      <c r="M223" s="4">
        <f>L223*K223</f>
        <v/>
      </c>
      <c r="N223" s="4">
        <f>SUMIF(Материалы!$A$4:$A$800,SUBSTITUTE(SUBSTITUTE(SUBSTITUTE(B223,"~","~~"),"*","~*"),"?","~?"),Материалы!$S$4:$S$800)</f>
        <v/>
      </c>
      <c r="O223" s="4">
        <f>L223+M223+N223</f>
        <v/>
      </c>
      <c r="P223" s="4">
        <f>IF(SUM($O$4:$O$672)=0,0,Косвенные!$C$9*O223/SUM($O$4:$O$672))</f>
        <v/>
      </c>
      <c r="Q223" s="4">
        <f>G223*D223+P223</f>
        <v/>
      </c>
      <c r="R223" s="4">
        <f>IF(D223=0,0,Q223/D223)</f>
        <v/>
      </c>
      <c r="S223" s="4">
        <f>IF(D223=0,0,SUMIF(Материалы!$A$4:$A$800,SUBSTITUTE(SUBSTITUTE(SUBSTITUTE(B223,"~","~~"),"*","~*"),"?","~?"),Материалы!$T$4:$T$800)/D223)</f>
        <v/>
      </c>
      <c r="T223" s="4">
        <f>R223+S223</f>
        <v/>
      </c>
      <c r="U223" s="4">
        <f>I223*D223</f>
        <v/>
      </c>
    </row>
    <row r="224" ht="22" customHeight="1">
      <c r="A224" s="9" t="inlineStr"/>
      <c r="B224" s="13" t="inlineStr">
        <is>
          <t>222. Кабель-канал 32х16 мм</t>
        </is>
      </c>
      <c r="C224" s="9" t="inlineStr">
        <is>
          <t>м.п.</t>
        </is>
      </c>
      <c r="D224" s="4">
        <f>IF('Форма'!G222="","",'Форма'!G222)</f>
        <v/>
      </c>
      <c r="E224" s="9" t="inlineStr">
        <is>
          <t>нет в тарификаторе</t>
        </is>
      </c>
      <c r="F224" s="9" t="inlineStr">
        <is>
          <t>ELM</t>
        </is>
      </c>
      <c r="G224" s="10" t="n">
        <v>250.8</v>
      </c>
      <c r="H224" s="10" t="n">
        <v>122.4</v>
      </c>
      <c r="I224" s="10" t="n">
        <v>0.12</v>
      </c>
      <c r="J224" s="9" t="inlineStr"/>
      <c r="K224" s="7">
        <f>IF(F224="",0,IFERROR(VLOOKUP(F224,Расходники!$A$4:$B$23,2,FALSE),0))</f>
        <v/>
      </c>
      <c r="L224" s="4">
        <f>H224*D224</f>
        <v/>
      </c>
      <c r="M224" s="4">
        <f>L224*K224</f>
        <v/>
      </c>
      <c r="N224" s="4">
        <f>SUMIF(Материалы!$A$4:$A$800,SUBSTITUTE(SUBSTITUTE(SUBSTITUTE(B224,"~","~~"),"*","~*"),"?","~?"),Материалы!$S$4:$S$800)</f>
        <v/>
      </c>
      <c r="O224" s="4">
        <f>L224+M224+N224</f>
        <v/>
      </c>
      <c r="P224" s="4">
        <f>IF(SUM($O$4:$O$672)=0,0,Косвенные!$C$9*O224/SUM($O$4:$O$672))</f>
        <v/>
      </c>
      <c r="Q224" s="4">
        <f>G224*D224+P224</f>
        <v/>
      </c>
      <c r="R224" s="4">
        <f>IF(D224=0,0,Q224/D224)</f>
        <v/>
      </c>
      <c r="S224" s="4">
        <f>IF(D224=0,0,SUMIF(Материалы!$A$4:$A$800,SUBSTITUTE(SUBSTITUTE(SUBSTITUTE(B224,"~","~~"),"*","~*"),"?","~?"),Материалы!$T$4:$T$800)/D224)</f>
        <v/>
      </c>
      <c r="T224" s="4">
        <f>R224+S224</f>
        <v/>
      </c>
      <c r="U224" s="4">
        <f>I224*D224</f>
        <v/>
      </c>
    </row>
    <row r="225" ht="22" customHeight="1">
      <c r="A225" s="9" t="inlineStr"/>
      <c r="B225" s="13" t="inlineStr">
        <is>
          <t>223. Кабель-канал 60х40 мм</t>
        </is>
      </c>
      <c r="C225" s="9" t="inlineStr">
        <is>
          <t>м.п.</t>
        </is>
      </c>
      <c r="D225" s="4">
        <f>IF('Форма'!G223="","",'Форма'!G223)</f>
        <v/>
      </c>
      <c r="E225" s="9" t="inlineStr">
        <is>
          <t>нет в тарификаторе</t>
        </is>
      </c>
      <c r="F225" s="9" t="inlineStr">
        <is>
          <t>ELM</t>
        </is>
      </c>
      <c r="G225" s="10" t="n">
        <v>250.8</v>
      </c>
      <c r="H225" s="10" t="n">
        <v>122.4</v>
      </c>
      <c r="I225" s="10" t="n">
        <v>0.12</v>
      </c>
      <c r="J225" s="9" t="inlineStr"/>
      <c r="K225" s="7">
        <f>IF(F225="",0,IFERROR(VLOOKUP(F225,Расходники!$A$4:$B$23,2,FALSE),0))</f>
        <v/>
      </c>
      <c r="L225" s="4">
        <f>H225*D225</f>
        <v/>
      </c>
      <c r="M225" s="4">
        <f>L225*K225</f>
        <v/>
      </c>
      <c r="N225" s="4">
        <f>SUMIF(Материалы!$A$4:$A$800,SUBSTITUTE(SUBSTITUTE(SUBSTITUTE(B225,"~","~~"),"*","~*"),"?","~?"),Материалы!$S$4:$S$800)</f>
        <v/>
      </c>
      <c r="O225" s="4">
        <f>L225+M225+N225</f>
        <v/>
      </c>
      <c r="P225" s="4">
        <f>IF(SUM($O$4:$O$672)=0,0,Косвенные!$C$9*O225/SUM($O$4:$O$672))</f>
        <v/>
      </c>
      <c r="Q225" s="4">
        <f>G225*D225+P225</f>
        <v/>
      </c>
      <c r="R225" s="4">
        <f>IF(D225=0,0,Q225/D225)</f>
        <v/>
      </c>
      <c r="S225" s="4">
        <f>IF(D225=0,0,SUMIF(Материалы!$A$4:$A$800,SUBSTITUTE(SUBSTITUTE(SUBSTITUTE(B225,"~","~~"),"*","~*"),"?","~?"),Материалы!$T$4:$T$800)/D225)</f>
        <v/>
      </c>
      <c r="T225" s="4">
        <f>R225+S225</f>
        <v/>
      </c>
      <c r="U225" s="4">
        <f>I225*D225</f>
        <v/>
      </c>
    </row>
    <row r="226" ht="22" customHeight="1">
      <c r="A226" s="9" t="inlineStr"/>
      <c r="B226" s="13" t="inlineStr">
        <is>
          <t>224. Кабель-канал 80х40 мм</t>
        </is>
      </c>
      <c r="C226" s="9" t="inlineStr">
        <is>
          <t>м.п.</t>
        </is>
      </c>
      <c r="D226" s="4">
        <f>IF('Форма'!G224="","",'Форма'!G224)</f>
        <v/>
      </c>
      <c r="E226" s="9" t="inlineStr">
        <is>
          <t>нет в тарификаторе</t>
        </is>
      </c>
      <c r="F226" s="9" t="inlineStr">
        <is>
          <t>ELM</t>
        </is>
      </c>
      <c r="G226" s="10" t="n">
        <v>250.8</v>
      </c>
      <c r="H226" s="10" t="n">
        <v>122.4</v>
      </c>
      <c r="I226" s="10" t="n">
        <v>0.12</v>
      </c>
      <c r="J226" s="9" t="inlineStr"/>
      <c r="K226" s="7">
        <f>IF(F226="",0,IFERROR(VLOOKUP(F226,Расходники!$A$4:$B$23,2,FALSE),0))</f>
        <v/>
      </c>
      <c r="L226" s="4">
        <f>H226*D226</f>
        <v/>
      </c>
      <c r="M226" s="4">
        <f>L226*K226</f>
        <v/>
      </c>
      <c r="N226" s="4">
        <f>SUMIF(Материалы!$A$4:$A$800,SUBSTITUTE(SUBSTITUTE(SUBSTITUTE(B226,"~","~~"),"*","~*"),"?","~?"),Материалы!$S$4:$S$800)</f>
        <v/>
      </c>
      <c r="O226" s="4">
        <f>L226+M226+N226</f>
        <v/>
      </c>
      <c r="P226" s="4">
        <f>IF(SUM($O$4:$O$672)=0,0,Косвенные!$C$9*O226/SUM($O$4:$O$672))</f>
        <v/>
      </c>
      <c r="Q226" s="4">
        <f>G226*D226+P226</f>
        <v/>
      </c>
      <c r="R226" s="4">
        <f>IF(D226=0,0,Q226/D226)</f>
        <v/>
      </c>
      <c r="S226" s="4">
        <f>IF(D226=0,0,SUMIF(Материалы!$A$4:$A$800,SUBSTITUTE(SUBSTITUTE(SUBSTITUTE(B226,"~","~~"),"*","~*"),"?","~?"),Материалы!$T$4:$T$800)/D226)</f>
        <v/>
      </c>
      <c r="T226" s="4">
        <f>R226+S226</f>
        <v/>
      </c>
      <c r="U226" s="4">
        <f>I226*D226</f>
        <v/>
      </c>
    </row>
    <row r="227" ht="22" customHeight="1">
      <c r="A227" s="9" t="inlineStr"/>
      <c r="B227" s="13" t="inlineStr">
        <is>
          <t>225. Кабель-канал 80х60 мм</t>
        </is>
      </c>
      <c r="C227" s="9" t="inlineStr">
        <is>
          <t>м.п.</t>
        </is>
      </c>
      <c r="D227" s="4">
        <f>IF('Форма'!G225="","",'Форма'!G225)</f>
        <v/>
      </c>
      <c r="E227" s="9" t="inlineStr">
        <is>
          <t>нет в тарификаторе</t>
        </is>
      </c>
      <c r="F227" s="9" t="inlineStr">
        <is>
          <t>ELM</t>
        </is>
      </c>
      <c r="G227" s="10" t="n">
        <v>250.8</v>
      </c>
      <c r="H227" s="10" t="n">
        <v>122.4</v>
      </c>
      <c r="I227" s="10" t="n">
        <v>0.12</v>
      </c>
      <c r="J227" s="9" t="inlineStr"/>
      <c r="K227" s="7">
        <f>IF(F227="",0,IFERROR(VLOOKUP(F227,Расходники!$A$4:$B$23,2,FALSE),0))</f>
        <v/>
      </c>
      <c r="L227" s="4">
        <f>H227*D227</f>
        <v/>
      </c>
      <c r="M227" s="4">
        <f>L227*K227</f>
        <v/>
      </c>
      <c r="N227" s="4">
        <f>SUMIF(Материалы!$A$4:$A$800,SUBSTITUTE(SUBSTITUTE(SUBSTITUTE(B227,"~","~~"),"*","~*"),"?","~?"),Материалы!$S$4:$S$800)</f>
        <v/>
      </c>
      <c r="O227" s="4">
        <f>L227+M227+N227</f>
        <v/>
      </c>
      <c r="P227" s="4">
        <f>IF(SUM($O$4:$O$672)=0,0,Косвенные!$C$9*O227/SUM($O$4:$O$672))</f>
        <v/>
      </c>
      <c r="Q227" s="4">
        <f>G227*D227+P227</f>
        <v/>
      </c>
      <c r="R227" s="4">
        <f>IF(D227=0,0,Q227/D227)</f>
        <v/>
      </c>
      <c r="S227" s="4">
        <f>IF(D227=0,0,SUMIF(Материалы!$A$4:$A$800,SUBSTITUTE(SUBSTITUTE(SUBSTITUTE(B227,"~","~~"),"*","~*"),"?","~?"),Материалы!$T$4:$T$800)/D227)</f>
        <v/>
      </c>
      <c r="T227" s="4">
        <f>R227+S227</f>
        <v/>
      </c>
      <c r="U227" s="4">
        <f>I227*D227</f>
        <v/>
      </c>
    </row>
    <row r="228" ht="22" customHeight="1">
      <c r="A228" s="9" t="inlineStr"/>
      <c r="B228" s="13" t="inlineStr">
        <is>
          <t>226. Кабель-канал 100х60 мм</t>
        </is>
      </c>
      <c r="C228" s="9" t="inlineStr">
        <is>
          <t>м.п.</t>
        </is>
      </c>
      <c r="D228" s="4">
        <f>IF('Форма'!G226="","",'Форма'!G226)</f>
        <v/>
      </c>
      <c r="E228" s="9" t="inlineStr">
        <is>
          <t>нет в тарификаторе</t>
        </is>
      </c>
      <c r="F228" s="9" t="inlineStr">
        <is>
          <t>ELM</t>
        </is>
      </c>
      <c r="G228" s="10" t="n">
        <v>250.8</v>
      </c>
      <c r="H228" s="10" t="n">
        <v>122.4</v>
      </c>
      <c r="I228" s="10" t="n">
        <v>0.12</v>
      </c>
      <c r="J228" s="9" t="inlineStr"/>
      <c r="K228" s="7">
        <f>IF(F228="",0,IFERROR(VLOOKUP(F228,Расходники!$A$4:$B$23,2,FALSE),0))</f>
        <v/>
      </c>
      <c r="L228" s="4">
        <f>H228*D228</f>
        <v/>
      </c>
      <c r="M228" s="4">
        <f>L228*K228</f>
        <v/>
      </c>
      <c r="N228" s="4">
        <f>SUMIF(Материалы!$A$4:$A$800,SUBSTITUTE(SUBSTITUTE(SUBSTITUTE(B228,"~","~~"),"*","~*"),"?","~?"),Материалы!$S$4:$S$800)</f>
        <v/>
      </c>
      <c r="O228" s="4">
        <f>L228+M228+N228</f>
        <v/>
      </c>
      <c r="P228" s="4">
        <f>IF(SUM($O$4:$O$672)=0,0,Косвенные!$C$9*O228/SUM($O$4:$O$672))</f>
        <v/>
      </c>
      <c r="Q228" s="4">
        <f>G228*D228+P228</f>
        <v/>
      </c>
      <c r="R228" s="4">
        <f>IF(D228=0,0,Q228/D228)</f>
        <v/>
      </c>
      <c r="S228" s="4">
        <f>IF(D228=0,0,SUMIF(Материалы!$A$4:$A$800,SUBSTITUTE(SUBSTITUTE(SUBSTITUTE(B228,"~","~~"),"*","~*"),"?","~?"),Материалы!$T$4:$T$800)/D228)</f>
        <v/>
      </c>
      <c r="T228" s="4">
        <f>R228+S228</f>
        <v/>
      </c>
      <c r="U228" s="4">
        <f>I228*D228</f>
        <v/>
      </c>
    </row>
    <row r="229" ht="22" customHeight="1">
      <c r="A229" s="9" t="inlineStr"/>
      <c r="B229" s="13" t="inlineStr">
        <is>
          <t>227. Кабель-канал перф. 15х17мм</t>
        </is>
      </c>
      <c r="C229" s="9" t="inlineStr">
        <is>
          <t>м.п.</t>
        </is>
      </c>
      <c r="D229" s="4">
        <f>IF('Форма'!G227="","",'Форма'!G227)</f>
        <v/>
      </c>
      <c r="E229" s="9" t="inlineStr">
        <is>
          <t>нет в тарификаторе</t>
        </is>
      </c>
      <c r="F229" s="9" t="inlineStr">
        <is>
          <t>ELM</t>
        </is>
      </c>
      <c r="G229" s="10" t="n">
        <v>250.8</v>
      </c>
      <c r="H229" s="10" t="n">
        <v>122.4</v>
      </c>
      <c r="I229" s="10" t="n">
        <v>0.12</v>
      </c>
      <c r="J229" s="9" t="inlineStr"/>
      <c r="K229" s="7">
        <f>IF(F229="",0,IFERROR(VLOOKUP(F229,Расходники!$A$4:$B$23,2,FALSE),0))</f>
        <v/>
      </c>
      <c r="L229" s="4">
        <f>H229*D229</f>
        <v/>
      </c>
      <c r="M229" s="4">
        <f>L229*K229</f>
        <v/>
      </c>
      <c r="N229" s="4">
        <f>SUMIF(Материалы!$A$4:$A$800,SUBSTITUTE(SUBSTITUTE(SUBSTITUTE(B229,"~","~~"),"*","~*"),"?","~?"),Материалы!$S$4:$S$800)</f>
        <v/>
      </c>
      <c r="O229" s="4">
        <f>L229+M229+N229</f>
        <v/>
      </c>
      <c r="P229" s="4">
        <f>IF(SUM($O$4:$O$672)=0,0,Косвенные!$C$9*O229/SUM($O$4:$O$672))</f>
        <v/>
      </c>
      <c r="Q229" s="4">
        <f>G229*D229+P229</f>
        <v/>
      </c>
      <c r="R229" s="4">
        <f>IF(D229=0,0,Q229/D229)</f>
        <v/>
      </c>
      <c r="S229" s="4">
        <f>IF(D229=0,0,SUMIF(Материалы!$A$4:$A$800,SUBSTITUTE(SUBSTITUTE(SUBSTITUTE(B229,"~","~~"),"*","~*"),"?","~?"),Материалы!$T$4:$T$800)/D229)</f>
        <v/>
      </c>
      <c r="T229" s="4">
        <f>R229+S229</f>
        <v/>
      </c>
      <c r="U229" s="4">
        <f>I229*D229</f>
        <v/>
      </c>
    </row>
    <row r="230" ht="22" customHeight="1">
      <c r="A230" s="9" t="inlineStr"/>
      <c r="B230" s="13" t="inlineStr">
        <is>
          <t>228. Кабель-канал перф. 25х30мм</t>
        </is>
      </c>
      <c r="C230" s="9" t="inlineStr">
        <is>
          <t>м.п.</t>
        </is>
      </c>
      <c r="D230" s="4">
        <f>IF('Форма'!G228="","",'Форма'!G228)</f>
        <v/>
      </c>
      <c r="E230" s="9" t="inlineStr">
        <is>
          <t>нет в тарификаторе</t>
        </is>
      </c>
      <c r="F230" s="9" t="inlineStr">
        <is>
          <t>ELM</t>
        </is>
      </c>
      <c r="G230" s="10" t="n">
        <v>250.8</v>
      </c>
      <c r="H230" s="10" t="n">
        <v>122.4</v>
      </c>
      <c r="I230" s="10" t="n">
        <v>0.12</v>
      </c>
      <c r="J230" s="9" t="inlineStr"/>
      <c r="K230" s="7">
        <f>IF(F230="",0,IFERROR(VLOOKUP(F230,Расходники!$A$4:$B$23,2,FALSE),0))</f>
        <v/>
      </c>
      <c r="L230" s="4">
        <f>H230*D230</f>
        <v/>
      </c>
      <c r="M230" s="4">
        <f>L230*K230</f>
        <v/>
      </c>
      <c r="N230" s="4">
        <f>SUMIF(Материалы!$A$4:$A$800,SUBSTITUTE(SUBSTITUTE(SUBSTITUTE(B230,"~","~~"),"*","~*"),"?","~?"),Материалы!$S$4:$S$800)</f>
        <v/>
      </c>
      <c r="O230" s="4">
        <f>L230+M230+N230</f>
        <v/>
      </c>
      <c r="P230" s="4">
        <f>IF(SUM($O$4:$O$672)=0,0,Косвенные!$C$9*O230/SUM($O$4:$O$672))</f>
        <v/>
      </c>
      <c r="Q230" s="4">
        <f>G230*D230+P230</f>
        <v/>
      </c>
      <c r="R230" s="4">
        <f>IF(D230=0,0,Q230/D230)</f>
        <v/>
      </c>
      <c r="S230" s="4">
        <f>IF(D230=0,0,SUMIF(Материалы!$A$4:$A$800,SUBSTITUTE(SUBSTITUTE(SUBSTITUTE(B230,"~","~~"),"*","~*"),"?","~?"),Материалы!$T$4:$T$800)/D230)</f>
        <v/>
      </c>
      <c r="T230" s="4">
        <f>R230+S230</f>
        <v/>
      </c>
      <c r="U230" s="4">
        <f>I230*D230</f>
        <v/>
      </c>
    </row>
    <row r="231" ht="22" customHeight="1">
      <c r="A231" s="9" t="inlineStr"/>
      <c r="B231" s="13" t="inlineStr">
        <is>
          <t>229. Кабель-канал перф. 40х30мм</t>
        </is>
      </c>
      <c r="C231" s="9" t="inlineStr">
        <is>
          <t>м.п.</t>
        </is>
      </c>
      <c r="D231" s="4">
        <f>IF('Форма'!G229="","",'Форма'!G229)</f>
        <v/>
      </c>
      <c r="E231" s="9" t="inlineStr">
        <is>
          <t>нет в тарификаторе</t>
        </is>
      </c>
      <c r="F231" s="9" t="inlineStr">
        <is>
          <t>ELM</t>
        </is>
      </c>
      <c r="G231" s="10" t="n">
        <v>250.8</v>
      </c>
      <c r="H231" s="10" t="n">
        <v>122.4</v>
      </c>
      <c r="I231" s="10" t="n">
        <v>0.12</v>
      </c>
      <c r="J231" s="9" t="inlineStr"/>
      <c r="K231" s="7">
        <f>IF(F231="",0,IFERROR(VLOOKUP(F231,Расходники!$A$4:$B$23,2,FALSE),0))</f>
        <v/>
      </c>
      <c r="L231" s="4">
        <f>H231*D231</f>
        <v/>
      </c>
      <c r="M231" s="4">
        <f>L231*K231</f>
        <v/>
      </c>
      <c r="N231" s="4">
        <f>SUMIF(Материалы!$A$4:$A$800,SUBSTITUTE(SUBSTITUTE(SUBSTITUTE(B231,"~","~~"),"*","~*"),"?","~?"),Материалы!$S$4:$S$800)</f>
        <v/>
      </c>
      <c r="O231" s="4">
        <f>L231+M231+N231</f>
        <v/>
      </c>
      <c r="P231" s="4">
        <f>IF(SUM($O$4:$O$672)=0,0,Косвенные!$C$9*O231/SUM($O$4:$O$672))</f>
        <v/>
      </c>
      <c r="Q231" s="4">
        <f>G231*D231+P231</f>
        <v/>
      </c>
      <c r="R231" s="4">
        <f>IF(D231=0,0,Q231/D231)</f>
        <v/>
      </c>
      <c r="S231" s="4">
        <f>IF(D231=0,0,SUMIF(Материалы!$A$4:$A$800,SUBSTITUTE(SUBSTITUTE(SUBSTITUTE(B231,"~","~~"),"*","~*"),"?","~?"),Материалы!$T$4:$T$800)/D231)</f>
        <v/>
      </c>
      <c r="T231" s="4">
        <f>R231+S231</f>
        <v/>
      </c>
      <c r="U231" s="4">
        <f>I231*D231</f>
        <v/>
      </c>
    </row>
    <row r="232" ht="22" customHeight="1">
      <c r="A232" s="9" t="inlineStr"/>
      <c r="B232" s="13" t="inlineStr">
        <is>
          <t>230. Кабель-канал перф. 60х30мм</t>
        </is>
      </c>
      <c r="C232" s="9" t="inlineStr">
        <is>
          <t>м.п.</t>
        </is>
      </c>
      <c r="D232" s="4">
        <f>IF('Форма'!G230="","",'Форма'!G230)</f>
        <v/>
      </c>
      <c r="E232" s="9" t="inlineStr">
        <is>
          <t>нет в тарификаторе</t>
        </is>
      </c>
      <c r="F232" s="9" t="inlineStr">
        <is>
          <t>ELM</t>
        </is>
      </c>
      <c r="G232" s="10" t="n">
        <v>250.8</v>
      </c>
      <c r="H232" s="10" t="n">
        <v>122.4</v>
      </c>
      <c r="I232" s="10" t="n">
        <v>0.12</v>
      </c>
      <c r="J232" s="9" t="inlineStr"/>
      <c r="K232" s="7">
        <f>IF(F232="",0,IFERROR(VLOOKUP(F232,Расходники!$A$4:$B$23,2,FALSE),0))</f>
        <v/>
      </c>
      <c r="L232" s="4">
        <f>H232*D232</f>
        <v/>
      </c>
      <c r="M232" s="4">
        <f>L232*K232</f>
        <v/>
      </c>
      <c r="N232" s="4">
        <f>SUMIF(Материалы!$A$4:$A$800,SUBSTITUTE(SUBSTITUTE(SUBSTITUTE(B232,"~","~~"),"*","~*"),"?","~?"),Материалы!$S$4:$S$800)</f>
        <v/>
      </c>
      <c r="O232" s="4">
        <f>L232+M232+N232</f>
        <v/>
      </c>
      <c r="P232" s="4">
        <f>IF(SUM($O$4:$O$672)=0,0,Косвенные!$C$9*O232/SUM($O$4:$O$672))</f>
        <v/>
      </c>
      <c r="Q232" s="4">
        <f>G232*D232+P232</f>
        <v/>
      </c>
      <c r="R232" s="4">
        <f>IF(D232=0,0,Q232/D232)</f>
        <v/>
      </c>
      <c r="S232" s="4">
        <f>IF(D232=0,0,SUMIF(Материалы!$A$4:$A$800,SUBSTITUTE(SUBSTITUTE(SUBSTITUTE(B232,"~","~~"),"*","~*"),"?","~?"),Материалы!$T$4:$T$800)/D232)</f>
        <v/>
      </c>
      <c r="T232" s="4">
        <f>R232+S232</f>
        <v/>
      </c>
      <c r="U232" s="4">
        <f>I232*D232</f>
        <v/>
      </c>
    </row>
    <row r="233" ht="22" customHeight="1">
      <c r="A233" s="9" t="inlineStr"/>
      <c r="B233" s="13" t="inlineStr">
        <is>
          <t>231. Кабель-канал гибкий 16x16мм ШхВ длина 500мм</t>
        </is>
      </c>
      <c r="C233" s="9" t="inlineStr">
        <is>
          <t>м.п.</t>
        </is>
      </c>
      <c r="D233" s="4">
        <f>IF('Форма'!G231="","",'Форма'!G231)</f>
        <v/>
      </c>
      <c r="E233" s="9" t="inlineStr">
        <is>
          <t>нет в тарификаторе</t>
        </is>
      </c>
      <c r="F233" s="9" t="inlineStr">
        <is>
          <t>ELM</t>
        </is>
      </c>
      <c r="G233" s="10" t="n">
        <v>250.8</v>
      </c>
      <c r="H233" s="10" t="n">
        <v>122.4</v>
      </c>
      <c r="I233" s="10" t="n">
        <v>0.12</v>
      </c>
      <c r="J233" s="9" t="inlineStr"/>
      <c r="K233" s="7">
        <f>IF(F233="",0,IFERROR(VLOOKUP(F233,Расходники!$A$4:$B$23,2,FALSE),0))</f>
        <v/>
      </c>
      <c r="L233" s="4">
        <f>H233*D233</f>
        <v/>
      </c>
      <c r="M233" s="4">
        <f>L233*K233</f>
        <v/>
      </c>
      <c r="N233" s="4">
        <f>SUMIF(Материалы!$A$4:$A$800,SUBSTITUTE(SUBSTITUTE(SUBSTITUTE(B233,"~","~~"),"*","~*"),"?","~?"),Материалы!$S$4:$S$800)</f>
        <v/>
      </c>
      <c r="O233" s="4">
        <f>L233+M233+N233</f>
        <v/>
      </c>
      <c r="P233" s="4">
        <f>IF(SUM($O$4:$O$672)=0,0,Косвенные!$C$9*O233/SUM($O$4:$O$672))</f>
        <v/>
      </c>
      <c r="Q233" s="4">
        <f>G233*D233+P233</f>
        <v/>
      </c>
      <c r="R233" s="4">
        <f>IF(D233=0,0,Q233/D233)</f>
        <v/>
      </c>
      <c r="S233" s="4">
        <f>IF(D233=0,0,SUMIF(Материалы!$A$4:$A$800,SUBSTITUTE(SUBSTITUTE(SUBSTITUTE(B233,"~","~~"),"*","~*"),"?","~?"),Материалы!$T$4:$T$800)/D233)</f>
        <v/>
      </c>
      <c r="T233" s="4">
        <f>R233+S233</f>
        <v/>
      </c>
      <c r="U233" s="4">
        <f>I233*D233</f>
        <v/>
      </c>
    </row>
    <row r="234" ht="22" customHeight="1">
      <c r="A234" s="9" t="inlineStr"/>
      <c r="B234" s="13" t="inlineStr">
        <is>
          <t>232. Пакетные выключатели ПВ3160М3 IP00</t>
        </is>
      </c>
      <c r="C234" s="9" t="inlineStr">
        <is>
          <t>шт.</t>
        </is>
      </c>
      <c r="D234" s="4">
        <f>IF('Форма'!G232="","",'Форма'!G232)</f>
        <v/>
      </c>
      <c r="E234" s="9" t="inlineStr">
        <is>
          <t>аналог (10.2.N3), единица приведена к нормо-часам</t>
        </is>
      </c>
      <c r="F234" s="9" t="inlineStr">
        <is>
          <t>ELM</t>
        </is>
      </c>
      <c r="G234" s="10" t="n">
        <v>250.8</v>
      </c>
      <c r="H234" s="10" t="n">
        <v>122.4</v>
      </c>
      <c r="I234" s="10" t="n">
        <v>0.12</v>
      </c>
      <c r="J234" s="9" t="inlineStr"/>
      <c r="K234" s="7">
        <f>IF(F234="",0,IFERROR(VLOOKUP(F234,Расходники!$A$4:$B$23,2,FALSE),0))</f>
        <v/>
      </c>
      <c r="L234" s="4">
        <f>H234*D234</f>
        <v/>
      </c>
      <c r="M234" s="4">
        <f>L234*K234</f>
        <v/>
      </c>
      <c r="N234" s="4">
        <f>SUMIF(Материалы!$A$4:$A$800,SUBSTITUTE(SUBSTITUTE(SUBSTITUTE(B234,"~","~~"),"*","~*"),"?","~?"),Материалы!$S$4:$S$800)</f>
        <v/>
      </c>
      <c r="O234" s="4">
        <f>L234+M234+N234</f>
        <v/>
      </c>
      <c r="P234" s="4">
        <f>IF(SUM($O$4:$O$672)=0,0,Косвенные!$C$9*O234/SUM($O$4:$O$672))</f>
        <v/>
      </c>
      <c r="Q234" s="4">
        <f>G234*D234+P234</f>
        <v/>
      </c>
      <c r="R234" s="4">
        <f>IF(D234=0,0,Q234/D234)</f>
        <v/>
      </c>
      <c r="S234" s="4">
        <f>IF(D234=0,0,SUMIF(Материалы!$A$4:$A$800,SUBSTITUTE(SUBSTITUTE(SUBSTITUTE(B234,"~","~~"),"*","~*"),"?","~?"),Материалы!$T$4:$T$800)/D234)</f>
        <v/>
      </c>
      <c r="T234" s="4">
        <f>R234+S234</f>
        <v/>
      </c>
      <c r="U234" s="4">
        <f>I234*D234</f>
        <v/>
      </c>
    </row>
    <row r="235" ht="22" customHeight="1">
      <c r="A235" s="9" t="inlineStr">
        <is>
          <t>10.4.10</t>
        </is>
      </c>
      <c r="B235" s="13" t="inlineStr">
        <is>
          <t>233. Светильник светодиодный промышленный профильный «FS-MAN-DMD-AC-LED-48-110W-65-5000К-400-PP» 110Вт 5000К IP65 Драйвер выносной или аналог</t>
        </is>
      </c>
      <c r="C235" s="9" t="inlineStr">
        <is>
          <t>шт.</t>
        </is>
      </c>
      <c r="D235" s="4">
        <f>IF('Форма'!G233="","",'Форма'!G233)</f>
        <v/>
      </c>
      <c r="E235" s="9" t="inlineStr">
        <is>
          <t>аналог (10.4.10)</t>
        </is>
      </c>
      <c r="F235" s="9" t="inlineStr">
        <is>
          <t>ELM</t>
        </is>
      </c>
      <c r="G235" s="10" t="n">
        <v>2950</v>
      </c>
      <c r="H235" s="10" t="n">
        <v>1750</v>
      </c>
      <c r="I235" s="10" t="n">
        <v>1.6</v>
      </c>
      <c r="J235" s="9" t="inlineStr"/>
      <c r="K235" s="7">
        <f>IF(F235="",0,IFERROR(VLOOKUP(F235,Расходники!$A$4:$B$23,2,FALSE),0))</f>
        <v/>
      </c>
      <c r="L235" s="4">
        <f>H235*D235</f>
        <v/>
      </c>
      <c r="M235" s="4">
        <f>L235*K235</f>
        <v/>
      </c>
      <c r="N235" s="4">
        <f>SUMIF(Материалы!$A$4:$A$800,SUBSTITUTE(SUBSTITUTE(SUBSTITUTE(B235,"~","~~"),"*","~*"),"?","~?"),Материалы!$S$4:$S$800)</f>
        <v/>
      </c>
      <c r="O235" s="4">
        <f>L235+M235+N235</f>
        <v/>
      </c>
      <c r="P235" s="4">
        <f>IF(SUM($O$4:$O$672)=0,0,Косвенные!$C$9*O235/SUM($O$4:$O$672))</f>
        <v/>
      </c>
      <c r="Q235" s="4">
        <f>G235*D235+P235</f>
        <v/>
      </c>
      <c r="R235" s="4">
        <f>IF(D235=0,0,Q235/D235)</f>
        <v/>
      </c>
      <c r="S235" s="4">
        <f>IF(D235=0,0,SUMIF(Материалы!$A$4:$A$800,SUBSTITUTE(SUBSTITUTE(SUBSTITUTE(B235,"~","~~"),"*","~*"),"?","~?"),Материалы!$T$4:$T$800)/D235)</f>
        <v/>
      </c>
      <c r="T235" s="4">
        <f>R235+S235</f>
        <v/>
      </c>
      <c r="U235" s="4">
        <f>I235*D235</f>
        <v/>
      </c>
    </row>
    <row r="236" ht="22" customHeight="1">
      <c r="A236" s="9" t="inlineStr">
        <is>
          <t>10.4.10</t>
        </is>
      </c>
      <c r="B236" s="13" t="inlineStr">
        <is>
          <t>234. Светильник светодиодный промышленный профильный «FS-MAN-DMD-AC-LED-48-110W-65-5000К-400-PP-А1» 110Вт 5000К IP65 БАП 1ч Драйвер выносной или аналог</t>
        </is>
      </c>
      <c r="C236" s="9" t="inlineStr">
        <is>
          <t>шт.</t>
        </is>
      </c>
      <c r="D236" s="4">
        <f>IF('Форма'!G234="","",'Форма'!G234)</f>
        <v/>
      </c>
      <c r="E236" s="9" t="inlineStr">
        <is>
          <t>аналог (10.4.10)</t>
        </is>
      </c>
      <c r="F236" s="9" t="inlineStr">
        <is>
          <t>ELM</t>
        </is>
      </c>
      <c r="G236" s="10" t="n">
        <v>2950</v>
      </c>
      <c r="H236" s="10" t="n">
        <v>1750</v>
      </c>
      <c r="I236" s="10" t="n">
        <v>1.6</v>
      </c>
      <c r="J236" s="9" t="inlineStr"/>
      <c r="K236" s="7">
        <f>IF(F236="",0,IFERROR(VLOOKUP(F236,Расходники!$A$4:$B$23,2,FALSE),0))</f>
        <v/>
      </c>
      <c r="L236" s="4">
        <f>H236*D236</f>
        <v/>
      </c>
      <c r="M236" s="4">
        <f>L236*K236</f>
        <v/>
      </c>
      <c r="N236" s="4">
        <f>SUMIF(Материалы!$A$4:$A$800,SUBSTITUTE(SUBSTITUTE(SUBSTITUTE(B236,"~","~~"),"*","~*"),"?","~?"),Материалы!$S$4:$S$800)</f>
        <v/>
      </c>
      <c r="O236" s="4">
        <f>L236+M236+N236</f>
        <v/>
      </c>
      <c r="P236" s="4">
        <f>IF(SUM($O$4:$O$672)=0,0,Косвенные!$C$9*O236/SUM($O$4:$O$672))</f>
        <v/>
      </c>
      <c r="Q236" s="4">
        <f>G236*D236+P236</f>
        <v/>
      </c>
      <c r="R236" s="4">
        <f>IF(D236=0,0,Q236/D236)</f>
        <v/>
      </c>
      <c r="S236" s="4">
        <f>IF(D236=0,0,SUMIF(Материалы!$A$4:$A$800,SUBSTITUTE(SUBSTITUTE(SUBSTITUTE(B236,"~","~~"),"*","~*"),"?","~?"),Материалы!$T$4:$T$800)/D236)</f>
        <v/>
      </c>
      <c r="T236" s="4">
        <f>R236+S236</f>
        <v/>
      </c>
      <c r="U236" s="4">
        <f>I236*D236</f>
        <v/>
      </c>
    </row>
    <row r="237" ht="22" customHeight="1">
      <c r="A237" s="9" t="inlineStr"/>
      <c r="B237" s="13" t="inlineStr">
        <is>
          <t>235. Светильник Arlight DL-TITAN-FRAMELESS-S600x600-40W Day4000, IP40, металл или аналог</t>
        </is>
      </c>
      <c r="C237" s="9" t="inlineStr">
        <is>
          <t>шт.</t>
        </is>
      </c>
      <c r="D237" s="4">
        <f>IF('Форма'!G235="","",'Форма'!G235)</f>
        <v/>
      </c>
      <c r="E237" s="9" t="inlineStr">
        <is>
          <t>нет в тарификаторе</t>
        </is>
      </c>
      <c r="F237" s="9" t="inlineStr">
        <is>
          <t>ELM</t>
        </is>
      </c>
      <c r="G237" s="10" t="n">
        <v>1463</v>
      </c>
      <c r="H237" s="10" t="n">
        <v>714</v>
      </c>
      <c r="I237" s="10" t="n">
        <v>0.7</v>
      </c>
      <c r="J237" s="9" t="inlineStr"/>
      <c r="K237" s="7">
        <f>IF(F237="",0,IFERROR(VLOOKUP(F237,Расходники!$A$4:$B$23,2,FALSE),0))</f>
        <v/>
      </c>
      <c r="L237" s="4">
        <f>H237*D237</f>
        <v/>
      </c>
      <c r="M237" s="4">
        <f>L237*K237</f>
        <v/>
      </c>
      <c r="N237" s="4">
        <f>SUMIF(Материалы!$A$4:$A$800,SUBSTITUTE(SUBSTITUTE(SUBSTITUTE(B237,"~","~~"),"*","~*"),"?","~?"),Материалы!$S$4:$S$800)</f>
        <v/>
      </c>
      <c r="O237" s="4">
        <f>L237+M237+N237</f>
        <v/>
      </c>
      <c r="P237" s="4">
        <f>IF(SUM($O$4:$O$672)=0,0,Косвенные!$C$9*O237/SUM($O$4:$O$672))</f>
        <v/>
      </c>
      <c r="Q237" s="4">
        <f>G237*D237+P237</f>
        <v/>
      </c>
      <c r="R237" s="4">
        <f>IF(D237=0,0,Q237/D237)</f>
        <v/>
      </c>
      <c r="S237" s="4">
        <f>IF(D237=0,0,SUMIF(Материалы!$A$4:$A$800,SUBSTITUTE(SUBSTITUTE(SUBSTITUTE(B237,"~","~~"),"*","~*"),"?","~?"),Материалы!$T$4:$T$800)/D237)</f>
        <v/>
      </c>
      <c r="T237" s="4">
        <f>R237+S237</f>
        <v/>
      </c>
      <c r="U237" s="4">
        <f>I237*D237</f>
        <v/>
      </c>
    </row>
    <row r="238" ht="22" customHeight="1">
      <c r="A238" s="9" t="inlineStr"/>
      <c r="B238" s="13" t="inlineStr">
        <is>
          <t>236. Светильник аварийный ВЫХОД LED 1.5 часа</t>
        </is>
      </c>
      <c r="C238" s="9" t="inlineStr">
        <is>
          <t>шт.</t>
        </is>
      </c>
      <c r="D238" s="4">
        <f>IF('Форма'!G236="","",'Форма'!G236)</f>
        <v/>
      </c>
      <c r="E238" s="9" t="inlineStr">
        <is>
          <t>нет в тарификаторе</t>
        </is>
      </c>
      <c r="F238" s="9" t="inlineStr">
        <is>
          <t>ELM</t>
        </is>
      </c>
      <c r="G238" s="10" t="n">
        <v>1463</v>
      </c>
      <c r="H238" s="10" t="n">
        <v>714</v>
      </c>
      <c r="I238" s="10" t="n">
        <v>0.7</v>
      </c>
      <c r="J238" s="9" t="inlineStr"/>
      <c r="K238" s="7">
        <f>IF(F238="",0,IFERROR(VLOOKUP(F238,Расходники!$A$4:$B$23,2,FALSE),0))</f>
        <v/>
      </c>
      <c r="L238" s="4">
        <f>H238*D238</f>
        <v/>
      </c>
      <c r="M238" s="4">
        <f>L238*K238</f>
        <v/>
      </c>
      <c r="N238" s="4">
        <f>SUMIF(Материалы!$A$4:$A$800,SUBSTITUTE(SUBSTITUTE(SUBSTITUTE(B238,"~","~~"),"*","~*"),"?","~?"),Материалы!$S$4:$S$800)</f>
        <v/>
      </c>
      <c r="O238" s="4">
        <f>L238+M238+N238</f>
        <v/>
      </c>
      <c r="P238" s="4">
        <f>IF(SUM($O$4:$O$672)=0,0,Косвенные!$C$9*O238/SUM($O$4:$O$672))</f>
        <v/>
      </c>
      <c r="Q238" s="4">
        <f>G238*D238+P238</f>
        <v/>
      </c>
      <c r="R238" s="4">
        <f>IF(D238=0,0,Q238/D238)</f>
        <v/>
      </c>
      <c r="S238" s="4">
        <f>IF(D238=0,0,SUMIF(Материалы!$A$4:$A$800,SUBSTITUTE(SUBSTITUTE(SUBSTITUTE(B238,"~","~~"),"*","~*"),"?","~?"),Материалы!$T$4:$T$800)/D238)</f>
        <v/>
      </c>
      <c r="T238" s="4">
        <f>R238+S238</f>
        <v/>
      </c>
      <c r="U238" s="4">
        <f>I238*D238</f>
        <v/>
      </c>
    </row>
    <row r="239" ht="22" customHeight="1">
      <c r="A239" s="9" t="inlineStr"/>
      <c r="B239" s="13" t="inlineStr">
        <is>
          <t>237. Светильник типа demos 2x1х58 ЕD</t>
        </is>
      </c>
      <c r="C239" s="9" t="inlineStr">
        <is>
          <t>шт.</t>
        </is>
      </c>
      <c r="D239" s="4">
        <f>IF('Форма'!G237="","",'Форма'!G237)</f>
        <v/>
      </c>
      <c r="E239" s="9" t="inlineStr">
        <is>
          <t>нет в тарификаторе</t>
        </is>
      </c>
      <c r="F239" s="9" t="inlineStr">
        <is>
          <t>ELM</t>
        </is>
      </c>
      <c r="G239" s="10" t="n">
        <v>1463</v>
      </c>
      <c r="H239" s="10" t="n">
        <v>714</v>
      </c>
      <c r="I239" s="10" t="n">
        <v>0.7</v>
      </c>
      <c r="J239" s="9" t="inlineStr"/>
      <c r="K239" s="7">
        <f>IF(F239="",0,IFERROR(VLOOKUP(F239,Расходники!$A$4:$B$23,2,FALSE),0))</f>
        <v/>
      </c>
      <c r="L239" s="4">
        <f>H239*D239</f>
        <v/>
      </c>
      <c r="M239" s="4">
        <f>L239*K239</f>
        <v/>
      </c>
      <c r="N239" s="4">
        <f>SUMIF(Материалы!$A$4:$A$800,SUBSTITUTE(SUBSTITUTE(SUBSTITUTE(B239,"~","~~"),"*","~*"),"?","~?"),Материалы!$S$4:$S$800)</f>
        <v/>
      </c>
      <c r="O239" s="4">
        <f>L239+M239+N239</f>
        <v/>
      </c>
      <c r="P239" s="4">
        <f>IF(SUM($O$4:$O$672)=0,0,Косвенные!$C$9*O239/SUM($O$4:$O$672))</f>
        <v/>
      </c>
      <c r="Q239" s="4">
        <f>G239*D239+P239</f>
        <v/>
      </c>
      <c r="R239" s="4">
        <f>IF(D239=0,0,Q239/D239)</f>
        <v/>
      </c>
      <c r="S239" s="4">
        <f>IF(D239=0,0,SUMIF(Материалы!$A$4:$A$800,SUBSTITUTE(SUBSTITUTE(SUBSTITUTE(B239,"~","~~"),"*","~*"),"?","~?"),Материалы!$T$4:$T$800)/D239)</f>
        <v/>
      </c>
      <c r="T239" s="4">
        <f>R239+S239</f>
        <v/>
      </c>
      <c r="U239" s="4">
        <f>I239*D239</f>
        <v/>
      </c>
    </row>
    <row r="240" ht="22" customHeight="1">
      <c r="A240" s="9" t="inlineStr"/>
      <c r="B240" s="13" t="inlineStr">
        <is>
          <t>238. Светильник типа demos 1х58 ЕD</t>
        </is>
      </c>
      <c r="C240" s="9" t="inlineStr">
        <is>
          <t>шт.</t>
        </is>
      </c>
      <c r="D240" s="4">
        <f>IF('Форма'!G238="","",'Форма'!G238)</f>
        <v/>
      </c>
      <c r="E240" s="9" t="inlineStr">
        <is>
          <t>нет в тарификаторе</t>
        </is>
      </c>
      <c r="F240" s="9" t="inlineStr">
        <is>
          <t>ELM</t>
        </is>
      </c>
      <c r="G240" s="10" t="n">
        <v>1463</v>
      </c>
      <c r="H240" s="10" t="n">
        <v>714</v>
      </c>
      <c r="I240" s="10" t="n">
        <v>0.7</v>
      </c>
      <c r="J240" s="9" t="inlineStr"/>
      <c r="K240" s="7">
        <f>IF(F240="",0,IFERROR(VLOOKUP(F240,Расходники!$A$4:$B$23,2,FALSE),0))</f>
        <v/>
      </c>
      <c r="L240" s="4">
        <f>H240*D240</f>
        <v/>
      </c>
      <c r="M240" s="4">
        <f>L240*K240</f>
        <v/>
      </c>
      <c r="N240" s="4">
        <f>SUMIF(Материалы!$A$4:$A$800,SUBSTITUTE(SUBSTITUTE(SUBSTITUTE(B240,"~","~~"),"*","~*"),"?","~?"),Материалы!$S$4:$S$800)</f>
        <v/>
      </c>
      <c r="O240" s="4">
        <f>L240+M240+N240</f>
        <v/>
      </c>
      <c r="P240" s="4">
        <f>IF(SUM($O$4:$O$672)=0,0,Косвенные!$C$9*O240/SUM($O$4:$O$672))</f>
        <v/>
      </c>
      <c r="Q240" s="4">
        <f>G240*D240+P240</f>
        <v/>
      </c>
      <c r="R240" s="4">
        <f>IF(D240=0,0,Q240/D240)</f>
        <v/>
      </c>
      <c r="S240" s="4">
        <f>IF(D240=0,0,SUMIF(Материалы!$A$4:$A$800,SUBSTITUTE(SUBSTITUTE(SUBSTITUTE(B240,"~","~~"),"*","~*"),"?","~?"),Материалы!$T$4:$T$800)/D240)</f>
        <v/>
      </c>
      <c r="T240" s="4">
        <f>R240+S240</f>
        <v/>
      </c>
      <c r="U240" s="4">
        <f>I240*D240</f>
        <v/>
      </c>
    </row>
    <row r="241" ht="22" customHeight="1">
      <c r="A241" s="9" t="inlineStr"/>
      <c r="B241" s="13" t="inlineStr">
        <is>
          <t>239. Светильник типа demos 1*58 EA</t>
        </is>
      </c>
      <c r="C241" s="9" t="inlineStr">
        <is>
          <t>шт.</t>
        </is>
      </c>
      <c r="D241" s="4">
        <f>IF('Форма'!G239="","",'Форма'!G239)</f>
        <v/>
      </c>
      <c r="E241" s="9" t="inlineStr">
        <is>
          <t>нет в тарификаторе</t>
        </is>
      </c>
      <c r="F241" s="9" t="inlineStr">
        <is>
          <t>ELM</t>
        </is>
      </c>
      <c r="G241" s="10" t="n">
        <v>1463</v>
      </c>
      <c r="H241" s="10" t="n">
        <v>714</v>
      </c>
      <c r="I241" s="10" t="n">
        <v>0.7</v>
      </c>
      <c r="J241" s="9" t="inlineStr"/>
      <c r="K241" s="7">
        <f>IF(F241="",0,IFERROR(VLOOKUP(F241,Расходники!$A$4:$B$23,2,FALSE),0))</f>
        <v/>
      </c>
      <c r="L241" s="4">
        <f>H241*D241</f>
        <v/>
      </c>
      <c r="M241" s="4">
        <f>L241*K241</f>
        <v/>
      </c>
      <c r="N241" s="4">
        <f>SUMIF(Материалы!$A$4:$A$800,SUBSTITUTE(SUBSTITUTE(SUBSTITUTE(B241,"~","~~"),"*","~*"),"?","~?"),Материалы!$S$4:$S$800)</f>
        <v/>
      </c>
      <c r="O241" s="4">
        <f>L241+M241+N241</f>
        <v/>
      </c>
      <c r="P241" s="4">
        <f>IF(SUM($O$4:$O$672)=0,0,Косвенные!$C$9*O241/SUM($O$4:$O$672))</f>
        <v/>
      </c>
      <c r="Q241" s="4">
        <f>G241*D241+P241</f>
        <v/>
      </c>
      <c r="R241" s="4">
        <f>IF(D241=0,0,Q241/D241)</f>
        <v/>
      </c>
      <c r="S241" s="4">
        <f>IF(D241=0,0,SUMIF(Материалы!$A$4:$A$800,SUBSTITUTE(SUBSTITUTE(SUBSTITUTE(B241,"~","~~"),"*","~*"),"?","~?"),Материалы!$T$4:$T$800)/D241)</f>
        <v/>
      </c>
      <c r="T241" s="4">
        <f>R241+S241</f>
        <v/>
      </c>
      <c r="U241" s="4">
        <f>I241*D241</f>
        <v/>
      </c>
    </row>
    <row r="242" ht="22" customHeight="1">
      <c r="A242" s="9" t="inlineStr">
        <is>
          <t>10.4.10</t>
        </is>
      </c>
      <c r="B242" s="13" t="inlineStr">
        <is>
          <t>240. Светодиодный прожектор WOLTA WFL-100W/06 100Вт 5700К IP65</t>
        </is>
      </c>
      <c r="C242" s="9" t="inlineStr">
        <is>
          <t>шт.</t>
        </is>
      </c>
      <c r="D242" s="4">
        <f>IF('Форма'!G240="","",'Форма'!G240)</f>
        <v/>
      </c>
      <c r="E242" s="9" t="inlineStr">
        <is>
          <t>аналог (10.4.10)</t>
        </is>
      </c>
      <c r="F242" s="9" t="inlineStr">
        <is>
          <t>ELM</t>
        </is>
      </c>
      <c r="G242" s="10" t="n">
        <v>2950</v>
      </c>
      <c r="H242" s="10" t="n">
        <v>1750</v>
      </c>
      <c r="I242" s="10" t="n">
        <v>1.6</v>
      </c>
      <c r="J242" s="9" t="inlineStr"/>
      <c r="K242" s="7">
        <f>IF(F242="",0,IFERROR(VLOOKUP(F242,Расходники!$A$4:$B$23,2,FALSE),0))</f>
        <v/>
      </c>
      <c r="L242" s="4">
        <f>H242*D242</f>
        <v/>
      </c>
      <c r="M242" s="4">
        <f>L242*K242</f>
        <v/>
      </c>
      <c r="N242" s="4">
        <f>SUMIF(Материалы!$A$4:$A$800,SUBSTITUTE(SUBSTITUTE(SUBSTITUTE(B242,"~","~~"),"*","~*"),"?","~?"),Материалы!$S$4:$S$800)</f>
        <v/>
      </c>
      <c r="O242" s="4">
        <f>L242+M242+N242</f>
        <v/>
      </c>
      <c r="P242" s="4">
        <f>IF(SUM($O$4:$O$672)=0,0,Косвенные!$C$9*O242/SUM($O$4:$O$672))</f>
        <v/>
      </c>
      <c r="Q242" s="4">
        <f>G242*D242+P242</f>
        <v/>
      </c>
      <c r="R242" s="4">
        <f>IF(D242=0,0,Q242/D242)</f>
        <v/>
      </c>
      <c r="S242" s="4">
        <f>IF(D242=0,0,SUMIF(Материалы!$A$4:$A$800,SUBSTITUTE(SUBSTITUTE(SUBSTITUTE(B242,"~","~~"),"*","~*"),"?","~?"),Материалы!$T$4:$T$800)/D242)</f>
        <v/>
      </c>
      <c r="T242" s="4">
        <f>R242+S242</f>
        <v/>
      </c>
      <c r="U242" s="4">
        <f>I242*D242</f>
        <v/>
      </c>
    </row>
    <row r="243" ht="22" customHeight="1">
      <c r="A243" s="9" t="inlineStr"/>
      <c r="B243" s="13" t="inlineStr">
        <is>
          <t>241. Прожектор LED IP65, 4000К, СДО-10</t>
        </is>
      </c>
      <c r="C243" s="9" t="inlineStr">
        <is>
          <t>шт.</t>
        </is>
      </c>
      <c r="D243" s="4">
        <f>IF('Форма'!G241="","",'Форма'!G241)</f>
        <v/>
      </c>
      <c r="E243" s="9" t="inlineStr">
        <is>
          <t>нет в тарификаторе</t>
        </is>
      </c>
      <c r="F243" s="9" t="inlineStr">
        <is>
          <t>ELM</t>
        </is>
      </c>
      <c r="G243" s="10" t="n">
        <v>1463</v>
      </c>
      <c r="H243" s="10" t="n">
        <v>714</v>
      </c>
      <c r="I243" s="10" t="n">
        <v>0.7</v>
      </c>
      <c r="J243" s="9" t="inlineStr"/>
      <c r="K243" s="7">
        <f>IF(F243="",0,IFERROR(VLOOKUP(F243,Расходники!$A$4:$B$23,2,FALSE),0))</f>
        <v/>
      </c>
      <c r="L243" s="4">
        <f>H243*D243</f>
        <v/>
      </c>
      <c r="M243" s="4">
        <f>L243*K243</f>
        <v/>
      </c>
      <c r="N243" s="4">
        <f>SUMIF(Материалы!$A$4:$A$800,SUBSTITUTE(SUBSTITUTE(SUBSTITUTE(B243,"~","~~"),"*","~*"),"?","~?"),Материалы!$S$4:$S$800)</f>
        <v/>
      </c>
      <c r="O243" s="4">
        <f>L243+M243+N243</f>
        <v/>
      </c>
      <c r="P243" s="4">
        <f>IF(SUM($O$4:$O$672)=0,0,Косвенные!$C$9*O243/SUM($O$4:$O$672))</f>
        <v/>
      </c>
      <c r="Q243" s="4">
        <f>G243*D243+P243</f>
        <v/>
      </c>
      <c r="R243" s="4">
        <f>IF(D243=0,0,Q243/D243)</f>
        <v/>
      </c>
      <c r="S243" s="4">
        <f>IF(D243=0,0,SUMIF(Материалы!$A$4:$A$800,SUBSTITUTE(SUBSTITUTE(SUBSTITUTE(B243,"~","~~"),"*","~*"),"?","~?"),Материалы!$T$4:$T$800)/D243)</f>
        <v/>
      </c>
      <c r="T243" s="4">
        <f>R243+S243</f>
        <v/>
      </c>
      <c r="U243" s="4">
        <f>I243*D243</f>
        <v/>
      </c>
    </row>
    <row r="244" ht="22" customHeight="1">
      <c r="A244" s="9" t="inlineStr"/>
      <c r="B244" s="13" t="inlineStr">
        <is>
          <t>242. Прожектор LED IP65, 4000К, СДО-20</t>
        </is>
      </c>
      <c r="C244" s="9" t="inlineStr">
        <is>
          <t>шт.</t>
        </is>
      </c>
      <c r="D244" s="4">
        <f>IF('Форма'!G242="","",'Форма'!G242)</f>
        <v/>
      </c>
      <c r="E244" s="9" t="inlineStr">
        <is>
          <t>нет в тарификаторе</t>
        </is>
      </c>
      <c r="F244" s="9" t="inlineStr">
        <is>
          <t>ELM</t>
        </is>
      </c>
      <c r="G244" s="10" t="n">
        <v>1463</v>
      </c>
      <c r="H244" s="10" t="n">
        <v>714</v>
      </c>
      <c r="I244" s="10" t="n">
        <v>0.7</v>
      </c>
      <c r="J244" s="9" t="inlineStr"/>
      <c r="K244" s="7">
        <f>IF(F244="",0,IFERROR(VLOOKUP(F244,Расходники!$A$4:$B$23,2,FALSE),0))</f>
        <v/>
      </c>
      <c r="L244" s="4">
        <f>H244*D244</f>
        <v/>
      </c>
      <c r="M244" s="4">
        <f>L244*K244</f>
        <v/>
      </c>
      <c r="N244" s="4">
        <f>SUMIF(Материалы!$A$4:$A$800,SUBSTITUTE(SUBSTITUTE(SUBSTITUTE(B244,"~","~~"),"*","~*"),"?","~?"),Материалы!$S$4:$S$800)</f>
        <v/>
      </c>
      <c r="O244" s="4">
        <f>L244+M244+N244</f>
        <v/>
      </c>
      <c r="P244" s="4">
        <f>IF(SUM($O$4:$O$672)=0,0,Косвенные!$C$9*O244/SUM($O$4:$O$672))</f>
        <v/>
      </c>
      <c r="Q244" s="4">
        <f>G244*D244+P244</f>
        <v/>
      </c>
      <c r="R244" s="4">
        <f>IF(D244=0,0,Q244/D244)</f>
        <v/>
      </c>
      <c r="S244" s="4">
        <f>IF(D244=0,0,SUMIF(Материалы!$A$4:$A$800,SUBSTITUTE(SUBSTITUTE(SUBSTITUTE(B244,"~","~~"),"*","~*"),"?","~?"),Материалы!$T$4:$T$800)/D244)</f>
        <v/>
      </c>
      <c r="T244" s="4">
        <f>R244+S244</f>
        <v/>
      </c>
      <c r="U244" s="4">
        <f>I244*D244</f>
        <v/>
      </c>
    </row>
    <row r="245" ht="22" customHeight="1">
      <c r="A245" s="9" t="inlineStr"/>
      <c r="B245" s="13" t="inlineStr">
        <is>
          <t>243. Прожектор LED IP65, 4000К, СДО-30</t>
        </is>
      </c>
      <c r="C245" s="9" t="inlineStr">
        <is>
          <t>шт.</t>
        </is>
      </c>
      <c r="D245" s="4">
        <f>IF('Форма'!G243="","",'Форма'!G243)</f>
        <v/>
      </c>
      <c r="E245" s="9" t="inlineStr">
        <is>
          <t>нет в тарификаторе</t>
        </is>
      </c>
      <c r="F245" s="9" t="inlineStr">
        <is>
          <t>ELM</t>
        </is>
      </c>
      <c r="G245" s="10" t="n">
        <v>1463</v>
      </c>
      <c r="H245" s="10" t="n">
        <v>714</v>
      </c>
      <c r="I245" s="10" t="n">
        <v>0.7</v>
      </c>
      <c r="J245" s="9" t="inlineStr"/>
      <c r="K245" s="7">
        <f>IF(F245="",0,IFERROR(VLOOKUP(F245,Расходники!$A$4:$B$23,2,FALSE),0))</f>
        <v/>
      </c>
      <c r="L245" s="4">
        <f>H245*D245</f>
        <v/>
      </c>
      <c r="M245" s="4">
        <f>L245*K245</f>
        <v/>
      </c>
      <c r="N245" s="4">
        <f>SUMIF(Материалы!$A$4:$A$800,SUBSTITUTE(SUBSTITUTE(SUBSTITUTE(B245,"~","~~"),"*","~*"),"?","~?"),Материалы!$S$4:$S$800)</f>
        <v/>
      </c>
      <c r="O245" s="4">
        <f>L245+M245+N245</f>
        <v/>
      </c>
      <c r="P245" s="4">
        <f>IF(SUM($O$4:$O$672)=0,0,Косвенные!$C$9*O245/SUM($O$4:$O$672))</f>
        <v/>
      </c>
      <c r="Q245" s="4">
        <f>G245*D245+P245</f>
        <v/>
      </c>
      <c r="R245" s="4">
        <f>IF(D245=0,0,Q245/D245)</f>
        <v/>
      </c>
      <c r="S245" s="4">
        <f>IF(D245=0,0,SUMIF(Материалы!$A$4:$A$800,SUBSTITUTE(SUBSTITUTE(SUBSTITUTE(B245,"~","~~"),"*","~*"),"?","~?"),Материалы!$T$4:$T$800)/D245)</f>
        <v/>
      </c>
      <c r="T245" s="4">
        <f>R245+S245</f>
        <v/>
      </c>
      <c r="U245" s="4">
        <f>I245*D245</f>
        <v/>
      </c>
    </row>
    <row r="246" ht="22" customHeight="1">
      <c r="A246" s="9" t="inlineStr"/>
      <c r="B246" s="13" t="inlineStr">
        <is>
          <t>244. Прожектор LED IP65, 4000К, СДО-50</t>
        </is>
      </c>
      <c r="C246" s="9" t="inlineStr">
        <is>
          <t>шт.</t>
        </is>
      </c>
      <c r="D246" s="4">
        <f>IF('Форма'!G244="","",'Форма'!G244)</f>
        <v/>
      </c>
      <c r="E246" s="9" t="inlineStr">
        <is>
          <t>нет в тарификаторе</t>
        </is>
      </c>
      <c r="F246" s="9" t="inlineStr">
        <is>
          <t>ELM</t>
        </is>
      </c>
      <c r="G246" s="10" t="n">
        <v>1463</v>
      </c>
      <c r="H246" s="10" t="n">
        <v>714</v>
      </c>
      <c r="I246" s="10" t="n">
        <v>0.7</v>
      </c>
      <c r="J246" s="9" t="inlineStr"/>
      <c r="K246" s="7">
        <f>IF(F246="",0,IFERROR(VLOOKUP(F246,Расходники!$A$4:$B$23,2,FALSE),0))</f>
        <v/>
      </c>
      <c r="L246" s="4">
        <f>H246*D246</f>
        <v/>
      </c>
      <c r="M246" s="4">
        <f>L246*K246</f>
        <v/>
      </c>
      <c r="N246" s="4">
        <f>SUMIF(Материалы!$A$4:$A$800,SUBSTITUTE(SUBSTITUTE(SUBSTITUTE(B246,"~","~~"),"*","~*"),"?","~?"),Материалы!$S$4:$S$800)</f>
        <v/>
      </c>
      <c r="O246" s="4">
        <f>L246+M246+N246</f>
        <v/>
      </c>
      <c r="P246" s="4">
        <f>IF(SUM($O$4:$O$672)=0,0,Косвенные!$C$9*O246/SUM($O$4:$O$672))</f>
        <v/>
      </c>
      <c r="Q246" s="4">
        <f>G246*D246+P246</f>
        <v/>
      </c>
      <c r="R246" s="4">
        <f>IF(D246=0,0,Q246/D246)</f>
        <v/>
      </c>
      <c r="S246" s="4">
        <f>IF(D246=0,0,SUMIF(Материалы!$A$4:$A$800,SUBSTITUTE(SUBSTITUTE(SUBSTITUTE(B246,"~","~~"),"*","~*"),"?","~?"),Материалы!$T$4:$T$800)/D246)</f>
        <v/>
      </c>
      <c r="T246" s="4">
        <f>R246+S246</f>
        <v/>
      </c>
      <c r="U246" s="4">
        <f>I246*D246</f>
        <v/>
      </c>
    </row>
    <row r="247" ht="22" customHeight="1">
      <c r="A247" s="9" t="inlineStr"/>
      <c r="B247" s="13" t="inlineStr">
        <is>
          <t>245. Прожектор LED IP65, 4000К, СДО-70</t>
        </is>
      </c>
      <c r="C247" s="9" t="inlineStr">
        <is>
          <t>шт.</t>
        </is>
      </c>
      <c r="D247" s="4">
        <f>IF('Форма'!G245="","",'Форма'!G245)</f>
        <v/>
      </c>
      <c r="E247" s="9" t="inlineStr">
        <is>
          <t>нет в тарификаторе</t>
        </is>
      </c>
      <c r="F247" s="9" t="inlineStr">
        <is>
          <t>ELM</t>
        </is>
      </c>
      <c r="G247" s="10" t="n">
        <v>1463</v>
      </c>
      <c r="H247" s="10" t="n">
        <v>714</v>
      </c>
      <c r="I247" s="10" t="n">
        <v>0.7</v>
      </c>
      <c r="J247" s="9" t="inlineStr"/>
      <c r="K247" s="7">
        <f>IF(F247="",0,IFERROR(VLOOKUP(F247,Расходники!$A$4:$B$23,2,FALSE),0))</f>
        <v/>
      </c>
      <c r="L247" s="4">
        <f>H247*D247</f>
        <v/>
      </c>
      <c r="M247" s="4">
        <f>L247*K247</f>
        <v/>
      </c>
      <c r="N247" s="4">
        <f>SUMIF(Материалы!$A$4:$A$800,SUBSTITUTE(SUBSTITUTE(SUBSTITUTE(B247,"~","~~"),"*","~*"),"?","~?"),Материалы!$S$4:$S$800)</f>
        <v/>
      </c>
      <c r="O247" s="4">
        <f>L247+M247+N247</f>
        <v/>
      </c>
      <c r="P247" s="4">
        <f>IF(SUM($O$4:$O$672)=0,0,Косвенные!$C$9*O247/SUM($O$4:$O$672))</f>
        <v/>
      </c>
      <c r="Q247" s="4">
        <f>G247*D247+P247</f>
        <v/>
      </c>
      <c r="R247" s="4">
        <f>IF(D247=0,0,Q247/D247)</f>
        <v/>
      </c>
      <c r="S247" s="4">
        <f>IF(D247=0,0,SUMIF(Материалы!$A$4:$A$800,SUBSTITUTE(SUBSTITUTE(SUBSTITUTE(B247,"~","~~"),"*","~*"),"?","~?"),Материалы!$T$4:$T$800)/D247)</f>
        <v/>
      </c>
      <c r="T247" s="4">
        <f>R247+S247</f>
        <v/>
      </c>
      <c r="U247" s="4">
        <f>I247*D247</f>
        <v/>
      </c>
    </row>
    <row r="248" ht="22" customHeight="1">
      <c r="A248" s="9" t="inlineStr"/>
      <c r="B248" s="13" t="inlineStr">
        <is>
          <t>246. Светильник УО PSL 36W 3865Lm Jazzway</t>
        </is>
      </c>
      <c r="C248" s="9" t="inlineStr">
        <is>
          <t>шт.</t>
        </is>
      </c>
      <c r="D248" s="4">
        <f>IF('Форма'!G246="","",'Форма'!G246)</f>
        <v/>
      </c>
      <c r="E248" s="9" t="inlineStr">
        <is>
          <t>нет в тарификаторе</t>
        </is>
      </c>
      <c r="F248" s="9" t="inlineStr">
        <is>
          <t>ELM</t>
        </is>
      </c>
      <c r="G248" s="10" t="n">
        <v>1463</v>
      </c>
      <c r="H248" s="10" t="n">
        <v>714</v>
      </c>
      <c r="I248" s="10" t="n">
        <v>0.7</v>
      </c>
      <c r="J248" s="9" t="inlineStr"/>
      <c r="K248" s="7">
        <f>IF(F248="",0,IFERROR(VLOOKUP(F248,Расходники!$A$4:$B$23,2,FALSE),0))</f>
        <v/>
      </c>
      <c r="L248" s="4">
        <f>H248*D248</f>
        <v/>
      </c>
      <c r="M248" s="4">
        <f>L248*K248</f>
        <v/>
      </c>
      <c r="N248" s="4">
        <f>SUMIF(Материалы!$A$4:$A$800,SUBSTITUTE(SUBSTITUTE(SUBSTITUTE(B248,"~","~~"),"*","~*"),"?","~?"),Материалы!$S$4:$S$800)</f>
        <v/>
      </c>
      <c r="O248" s="4">
        <f>L248+M248+N248</f>
        <v/>
      </c>
      <c r="P248" s="4">
        <f>IF(SUM($O$4:$O$672)=0,0,Косвенные!$C$9*O248/SUM($O$4:$O$672))</f>
        <v/>
      </c>
      <c r="Q248" s="4">
        <f>G248*D248+P248</f>
        <v/>
      </c>
      <c r="R248" s="4">
        <f>IF(D248=0,0,Q248/D248)</f>
        <v/>
      </c>
      <c r="S248" s="4">
        <f>IF(D248=0,0,SUMIF(Материалы!$A$4:$A$800,SUBSTITUTE(SUBSTITUTE(SUBSTITUTE(B248,"~","~~"),"*","~*"),"?","~?"),Материалы!$T$4:$T$800)/D248)</f>
        <v/>
      </c>
      <c r="T248" s="4">
        <f>R248+S248</f>
        <v/>
      </c>
      <c r="U248" s="4">
        <f>I248*D248</f>
        <v/>
      </c>
    </row>
    <row r="249" ht="22" customHeight="1">
      <c r="A249" s="9" t="inlineStr"/>
      <c r="B249" s="13" t="inlineStr">
        <is>
          <t>247. Поворотный - светильник точечный белый MR16 GU5,3</t>
        </is>
      </c>
      <c r="C249" s="9" t="inlineStr">
        <is>
          <t>шт.</t>
        </is>
      </c>
      <c r="D249" s="4">
        <f>IF('Форма'!G247="","",'Форма'!G247)</f>
        <v/>
      </c>
      <c r="E249" s="9" t="inlineStr">
        <is>
          <t>нет в тарификаторе</t>
        </is>
      </c>
      <c r="F249" s="9" t="inlineStr">
        <is>
          <t>ELM</t>
        </is>
      </c>
      <c r="G249" s="10" t="n">
        <v>1463</v>
      </c>
      <c r="H249" s="10" t="n">
        <v>714</v>
      </c>
      <c r="I249" s="10" t="n">
        <v>0.7</v>
      </c>
      <c r="J249" s="9" t="inlineStr"/>
      <c r="K249" s="7">
        <f>IF(F249="",0,IFERROR(VLOOKUP(F249,Расходники!$A$4:$B$23,2,FALSE),0))</f>
        <v/>
      </c>
      <c r="L249" s="4">
        <f>H249*D249</f>
        <v/>
      </c>
      <c r="M249" s="4">
        <f>L249*K249</f>
        <v/>
      </c>
      <c r="N249" s="4">
        <f>SUMIF(Материалы!$A$4:$A$800,SUBSTITUTE(SUBSTITUTE(SUBSTITUTE(B249,"~","~~"),"*","~*"),"?","~?"),Материалы!$S$4:$S$800)</f>
        <v/>
      </c>
      <c r="O249" s="4">
        <f>L249+M249+N249</f>
        <v/>
      </c>
      <c r="P249" s="4">
        <f>IF(SUM($O$4:$O$672)=0,0,Косвенные!$C$9*O249/SUM($O$4:$O$672))</f>
        <v/>
      </c>
      <c r="Q249" s="4">
        <f>G249*D249+P249</f>
        <v/>
      </c>
      <c r="R249" s="4">
        <f>IF(D249=0,0,Q249/D249)</f>
        <v/>
      </c>
      <c r="S249" s="4">
        <f>IF(D249=0,0,SUMIF(Материалы!$A$4:$A$800,SUBSTITUTE(SUBSTITUTE(SUBSTITUTE(B249,"~","~~"),"*","~*"),"?","~?"),Материалы!$T$4:$T$800)/D249)</f>
        <v/>
      </c>
      <c r="T249" s="4">
        <f>R249+S249</f>
        <v/>
      </c>
      <c r="U249" s="4">
        <f>I249*D249</f>
        <v/>
      </c>
    </row>
    <row r="250" ht="22" customHeight="1">
      <c r="A250" s="9" t="inlineStr">
        <is>
          <t>10.4.10</t>
        </is>
      </c>
      <c r="B250" s="13" t="inlineStr">
        <is>
          <t>248. Светильник для высоты подвеса 12-15м. (LED, ip65, 140Вт, 16100Лм, наружн)</t>
        </is>
      </c>
      <c r="C250" s="9" t="inlineStr">
        <is>
          <t>шт.</t>
        </is>
      </c>
      <c r="D250" s="4">
        <f>IF('Форма'!G248="","",'Форма'!G248)</f>
        <v/>
      </c>
      <c r="E250" s="9" t="inlineStr">
        <is>
          <t>аналог (10.4.10)</t>
        </is>
      </c>
      <c r="F250" s="9" t="inlineStr">
        <is>
          <t>ELM</t>
        </is>
      </c>
      <c r="G250" s="10" t="n">
        <v>2950</v>
      </c>
      <c r="H250" s="10" t="n">
        <v>1750</v>
      </c>
      <c r="I250" s="10" t="n">
        <v>1.6</v>
      </c>
      <c r="J250" s="9" t="inlineStr"/>
      <c r="K250" s="7">
        <f>IF(F250="",0,IFERROR(VLOOKUP(F250,Расходники!$A$4:$B$23,2,FALSE),0))</f>
        <v/>
      </c>
      <c r="L250" s="4">
        <f>H250*D250</f>
        <v/>
      </c>
      <c r="M250" s="4">
        <f>L250*K250</f>
        <v/>
      </c>
      <c r="N250" s="4">
        <f>SUMIF(Материалы!$A$4:$A$800,SUBSTITUTE(SUBSTITUTE(SUBSTITUTE(B250,"~","~~"),"*","~*"),"?","~?"),Материалы!$S$4:$S$800)</f>
        <v/>
      </c>
      <c r="O250" s="4">
        <f>L250+M250+N250</f>
        <v/>
      </c>
      <c r="P250" s="4">
        <f>IF(SUM($O$4:$O$672)=0,0,Косвенные!$C$9*O250/SUM($O$4:$O$672))</f>
        <v/>
      </c>
      <c r="Q250" s="4">
        <f>G250*D250+P250</f>
        <v/>
      </c>
      <c r="R250" s="4">
        <f>IF(D250=0,0,Q250/D250)</f>
        <v/>
      </c>
      <c r="S250" s="4">
        <f>IF(D250=0,0,SUMIF(Материалы!$A$4:$A$800,SUBSTITUTE(SUBSTITUTE(SUBSTITUTE(B250,"~","~~"),"*","~*"),"?","~?"),Материалы!$T$4:$T$800)/D250)</f>
        <v/>
      </c>
      <c r="T250" s="4">
        <f>R250+S250</f>
        <v/>
      </c>
      <c r="U250" s="4">
        <f>I250*D250</f>
        <v/>
      </c>
    </row>
    <row r="251" ht="22" customHeight="1">
      <c r="A251" s="9" t="inlineStr">
        <is>
          <t>10.4.10</t>
        </is>
      </c>
      <c r="B251" s="13" t="inlineStr">
        <is>
          <t>249. Светильник для высоты подвеса 6 -9 м.(LED, ip65, 70Вт, 8050Лм, наружн)</t>
        </is>
      </c>
      <c r="C251" s="9" t="inlineStr">
        <is>
          <t>шт.</t>
        </is>
      </c>
      <c r="D251" s="4">
        <f>IF('Форма'!G249="","",'Форма'!G249)</f>
        <v/>
      </c>
      <c r="E251" s="9" t="inlineStr">
        <is>
          <t>аналог (10.4.10)</t>
        </is>
      </c>
      <c r="F251" s="9" t="inlineStr">
        <is>
          <t>ELM</t>
        </is>
      </c>
      <c r="G251" s="10" t="n">
        <v>2950</v>
      </c>
      <c r="H251" s="10" t="n">
        <v>1750</v>
      </c>
      <c r="I251" s="10" t="n">
        <v>1.6</v>
      </c>
      <c r="J251" s="9" t="inlineStr"/>
      <c r="K251" s="7">
        <f>IF(F251="",0,IFERROR(VLOOKUP(F251,Расходники!$A$4:$B$23,2,FALSE),0))</f>
        <v/>
      </c>
      <c r="L251" s="4">
        <f>H251*D251</f>
        <v/>
      </c>
      <c r="M251" s="4">
        <f>L251*K251</f>
        <v/>
      </c>
      <c r="N251" s="4">
        <f>SUMIF(Материалы!$A$4:$A$800,SUBSTITUTE(SUBSTITUTE(SUBSTITUTE(B251,"~","~~"),"*","~*"),"?","~?"),Материалы!$S$4:$S$800)</f>
        <v/>
      </c>
      <c r="O251" s="4">
        <f>L251+M251+N251</f>
        <v/>
      </c>
      <c r="P251" s="4">
        <f>IF(SUM($O$4:$O$672)=0,0,Косвенные!$C$9*O251/SUM($O$4:$O$672))</f>
        <v/>
      </c>
      <c r="Q251" s="4">
        <f>G251*D251+P251</f>
        <v/>
      </c>
      <c r="R251" s="4">
        <f>IF(D251=0,0,Q251/D251)</f>
        <v/>
      </c>
      <c r="S251" s="4">
        <f>IF(D251=0,0,SUMIF(Материалы!$A$4:$A$800,SUBSTITUTE(SUBSTITUTE(SUBSTITUTE(B251,"~","~~"),"*","~*"),"?","~?"),Материалы!$T$4:$T$800)/D251)</f>
        <v/>
      </c>
      <c r="T251" s="4">
        <f>R251+S251</f>
        <v/>
      </c>
      <c r="U251" s="4">
        <f>I251*D251</f>
        <v/>
      </c>
    </row>
    <row r="252" ht="22" customHeight="1">
      <c r="A252" s="9" t="inlineStr"/>
      <c r="B252" s="13" t="inlineStr">
        <is>
          <t>250. Светильник для ДОКов (LED, ip65, 35Вт, 4025Лм, наружн)</t>
        </is>
      </c>
      <c r="C252" s="9" t="inlineStr">
        <is>
          <t>шт.</t>
        </is>
      </c>
      <c r="D252" s="4">
        <f>IF('Форма'!G250="","",'Форма'!G250)</f>
        <v/>
      </c>
      <c r="E252" s="9" t="inlineStr">
        <is>
          <t>нет в тарификаторе</t>
        </is>
      </c>
      <c r="F252" s="9" t="inlineStr">
        <is>
          <t>ELM</t>
        </is>
      </c>
      <c r="G252" s="10" t="n">
        <v>1463</v>
      </c>
      <c r="H252" s="10" t="n">
        <v>714</v>
      </c>
      <c r="I252" s="10" t="n">
        <v>0.7</v>
      </c>
      <c r="J252" s="9" t="inlineStr"/>
      <c r="K252" s="7">
        <f>IF(F252="",0,IFERROR(VLOOKUP(F252,Расходники!$A$4:$B$23,2,FALSE),0))</f>
        <v/>
      </c>
      <c r="L252" s="4">
        <f>H252*D252</f>
        <v/>
      </c>
      <c r="M252" s="4">
        <f>L252*K252</f>
        <v/>
      </c>
      <c r="N252" s="4">
        <f>SUMIF(Материалы!$A$4:$A$800,SUBSTITUTE(SUBSTITUTE(SUBSTITUTE(B252,"~","~~"),"*","~*"),"?","~?"),Материалы!$S$4:$S$800)</f>
        <v/>
      </c>
      <c r="O252" s="4">
        <f>L252+M252+N252</f>
        <v/>
      </c>
      <c r="P252" s="4">
        <f>IF(SUM($O$4:$O$672)=0,0,Косвенные!$C$9*O252/SUM($O$4:$O$672))</f>
        <v/>
      </c>
      <c r="Q252" s="4">
        <f>G252*D252+P252</f>
        <v/>
      </c>
      <c r="R252" s="4">
        <f>IF(D252=0,0,Q252/D252)</f>
        <v/>
      </c>
      <c r="S252" s="4">
        <f>IF(D252=0,0,SUMIF(Материалы!$A$4:$A$800,SUBSTITUTE(SUBSTITUTE(SUBSTITUTE(B252,"~","~~"),"*","~*"),"?","~?"),Материалы!$T$4:$T$800)/D252)</f>
        <v/>
      </c>
      <c r="T252" s="4">
        <f>R252+S252</f>
        <v/>
      </c>
      <c r="U252" s="4">
        <f>I252*D252</f>
        <v/>
      </c>
    </row>
    <row r="253" ht="22" customHeight="1">
      <c r="A253" s="9" t="inlineStr"/>
      <c r="B253" s="13" t="inlineStr">
        <is>
          <t>251. Комплект подсветки LED с креплением -  (длина профиля 1 м.п.)</t>
        </is>
      </c>
      <c r="C253" s="9" t="inlineStr">
        <is>
          <t>шт.</t>
        </is>
      </c>
      <c r="D253" s="4">
        <f>IF('Форма'!G251="","",'Форма'!G251)</f>
        <v/>
      </c>
      <c r="E253" s="9" t="inlineStr">
        <is>
          <t>нет в тарификаторе</t>
        </is>
      </c>
      <c r="F253" s="9" t="inlineStr">
        <is>
          <t>ELM</t>
        </is>
      </c>
      <c r="G253" s="10" t="n">
        <v>1463</v>
      </c>
      <c r="H253" s="10" t="n">
        <v>714</v>
      </c>
      <c r="I253" s="10" t="n">
        <v>0.7</v>
      </c>
      <c r="J253" s="9" t="inlineStr"/>
      <c r="K253" s="7">
        <f>IF(F253="",0,IFERROR(VLOOKUP(F253,Расходники!$A$4:$B$23,2,FALSE),0))</f>
        <v/>
      </c>
      <c r="L253" s="4">
        <f>H253*D253</f>
        <v/>
      </c>
      <c r="M253" s="4">
        <f>L253*K253</f>
        <v/>
      </c>
      <c r="N253" s="4">
        <f>SUMIF(Материалы!$A$4:$A$800,SUBSTITUTE(SUBSTITUTE(SUBSTITUTE(B253,"~","~~"),"*","~*"),"?","~?"),Материалы!$S$4:$S$800)</f>
        <v/>
      </c>
      <c r="O253" s="4">
        <f>L253+M253+N253</f>
        <v/>
      </c>
      <c r="P253" s="4">
        <f>IF(SUM($O$4:$O$672)=0,0,Косвенные!$C$9*O253/SUM($O$4:$O$672))</f>
        <v/>
      </c>
      <c r="Q253" s="4">
        <f>G253*D253+P253</f>
        <v/>
      </c>
      <c r="R253" s="4">
        <f>IF(D253=0,0,Q253/D253)</f>
        <v/>
      </c>
      <c r="S253" s="4">
        <f>IF(D253=0,0,SUMIF(Материалы!$A$4:$A$800,SUBSTITUTE(SUBSTITUTE(SUBSTITUTE(B253,"~","~~"),"*","~*"),"?","~?"),Материалы!$T$4:$T$800)/D253)</f>
        <v/>
      </c>
      <c r="T253" s="4">
        <f>R253+S253</f>
        <v/>
      </c>
      <c r="U253" s="4">
        <f>I253*D253</f>
        <v/>
      </c>
    </row>
    <row r="254" ht="22" customHeight="1">
      <c r="A254" s="9" t="inlineStr"/>
      <c r="B254" s="13" t="inlineStr">
        <is>
          <t>252. Лампа энергосберегающая osram 13 вт</t>
        </is>
      </c>
      <c r="C254" s="9" t="inlineStr">
        <is>
          <t>шт.</t>
        </is>
      </c>
      <c r="D254" s="4">
        <f>IF('Форма'!G252="","",'Форма'!G252)</f>
        <v/>
      </c>
      <c r="E254" s="9" t="inlineStr">
        <is>
          <t>нет в тарификаторе</t>
        </is>
      </c>
      <c r="F254" s="9" t="inlineStr">
        <is>
          <t>ELM</t>
        </is>
      </c>
      <c r="G254" s="10" t="n">
        <v>313.5</v>
      </c>
      <c r="H254" s="10" t="n">
        <v>153</v>
      </c>
      <c r="I254" s="10" t="n">
        <v>0.15</v>
      </c>
      <c r="J254" s="9" t="inlineStr"/>
      <c r="K254" s="7">
        <f>IF(F254="",0,IFERROR(VLOOKUP(F254,Расходники!$A$4:$B$23,2,FALSE),0))</f>
        <v/>
      </c>
      <c r="L254" s="4">
        <f>H254*D254</f>
        <v/>
      </c>
      <c r="M254" s="4">
        <f>L254*K254</f>
        <v/>
      </c>
      <c r="N254" s="4">
        <f>SUMIF(Материалы!$A$4:$A$800,SUBSTITUTE(SUBSTITUTE(SUBSTITUTE(B254,"~","~~"),"*","~*"),"?","~?"),Материалы!$S$4:$S$800)</f>
        <v/>
      </c>
      <c r="O254" s="4">
        <f>L254+M254+N254</f>
        <v/>
      </c>
      <c r="P254" s="4">
        <f>IF(SUM($O$4:$O$672)=0,0,Косвенные!$C$9*O254/SUM($O$4:$O$672))</f>
        <v/>
      </c>
      <c r="Q254" s="4">
        <f>G254*D254+P254</f>
        <v/>
      </c>
      <c r="R254" s="4">
        <f>IF(D254=0,0,Q254/D254)</f>
        <v/>
      </c>
      <c r="S254" s="4">
        <f>IF(D254=0,0,SUMIF(Материалы!$A$4:$A$800,SUBSTITUTE(SUBSTITUTE(SUBSTITUTE(B254,"~","~~"),"*","~*"),"?","~?"),Материалы!$T$4:$T$800)/D254)</f>
        <v/>
      </c>
      <c r="T254" s="4">
        <f>R254+S254</f>
        <v/>
      </c>
      <c r="U254" s="4">
        <f>I254*D254</f>
        <v/>
      </c>
    </row>
    <row r="255" ht="22" customHeight="1">
      <c r="A255" s="9" t="inlineStr"/>
      <c r="B255" s="13" t="inlineStr">
        <is>
          <t>253. Лампа ДРЛ Osram 250 вт(Россия)</t>
        </is>
      </c>
      <c r="C255" s="9" t="inlineStr">
        <is>
          <t>шт.</t>
        </is>
      </c>
      <c r="D255" s="4">
        <f>IF('Форма'!G253="","",'Форма'!G253)</f>
        <v/>
      </c>
      <c r="E255" s="9" t="inlineStr">
        <is>
          <t>нет в тарификаторе</t>
        </is>
      </c>
      <c r="F255" s="9" t="inlineStr">
        <is>
          <t>ELM</t>
        </is>
      </c>
      <c r="G255" s="10" t="n">
        <v>313.5</v>
      </c>
      <c r="H255" s="10" t="n">
        <v>153</v>
      </c>
      <c r="I255" s="10" t="n">
        <v>0.15</v>
      </c>
      <c r="J255" s="9" t="inlineStr"/>
      <c r="K255" s="7">
        <f>IF(F255="",0,IFERROR(VLOOKUP(F255,Расходники!$A$4:$B$23,2,FALSE),0))</f>
        <v/>
      </c>
      <c r="L255" s="4">
        <f>H255*D255</f>
        <v/>
      </c>
      <c r="M255" s="4">
        <f>L255*K255</f>
        <v/>
      </c>
      <c r="N255" s="4">
        <f>SUMIF(Материалы!$A$4:$A$800,SUBSTITUTE(SUBSTITUTE(SUBSTITUTE(B255,"~","~~"),"*","~*"),"?","~?"),Материалы!$S$4:$S$800)</f>
        <v/>
      </c>
      <c r="O255" s="4">
        <f>L255+M255+N255</f>
        <v/>
      </c>
      <c r="P255" s="4">
        <f>IF(SUM($O$4:$O$672)=0,0,Косвенные!$C$9*O255/SUM($O$4:$O$672))</f>
        <v/>
      </c>
      <c r="Q255" s="4">
        <f>G255*D255+P255</f>
        <v/>
      </c>
      <c r="R255" s="4">
        <f>IF(D255=0,0,Q255/D255)</f>
        <v/>
      </c>
      <c r="S255" s="4">
        <f>IF(D255=0,0,SUMIF(Материалы!$A$4:$A$800,SUBSTITUTE(SUBSTITUTE(SUBSTITUTE(B255,"~","~~"),"*","~*"),"?","~?"),Материалы!$T$4:$T$800)/D255)</f>
        <v/>
      </c>
      <c r="T255" s="4">
        <f>R255+S255</f>
        <v/>
      </c>
      <c r="U255" s="4">
        <f>I255*D255</f>
        <v/>
      </c>
    </row>
    <row r="256" ht="22" customHeight="1">
      <c r="A256" s="9" t="inlineStr"/>
      <c r="B256" s="13" t="inlineStr">
        <is>
          <t>254. Лампа ДРЛ Osram 400 вт(Россия)</t>
        </is>
      </c>
      <c r="C256" s="9" t="inlineStr">
        <is>
          <t>шт.</t>
        </is>
      </c>
      <c r="D256" s="4">
        <f>IF('Форма'!G254="","",'Форма'!G254)</f>
        <v/>
      </c>
      <c r="E256" s="9" t="inlineStr">
        <is>
          <t>нет в тарификаторе</t>
        </is>
      </c>
      <c r="F256" s="9" t="inlineStr">
        <is>
          <t>ELM</t>
        </is>
      </c>
      <c r="G256" s="10" t="n">
        <v>313.5</v>
      </c>
      <c r="H256" s="10" t="n">
        <v>153</v>
      </c>
      <c r="I256" s="10" t="n">
        <v>0.15</v>
      </c>
      <c r="J256" s="9" t="inlineStr"/>
      <c r="K256" s="7">
        <f>IF(F256="",0,IFERROR(VLOOKUP(F256,Расходники!$A$4:$B$23,2,FALSE),0))</f>
        <v/>
      </c>
      <c r="L256" s="4">
        <f>H256*D256</f>
        <v/>
      </c>
      <c r="M256" s="4">
        <f>L256*K256</f>
        <v/>
      </c>
      <c r="N256" s="4">
        <f>SUMIF(Материалы!$A$4:$A$800,SUBSTITUTE(SUBSTITUTE(SUBSTITUTE(B256,"~","~~"),"*","~*"),"?","~?"),Материалы!$S$4:$S$800)</f>
        <v/>
      </c>
      <c r="O256" s="4">
        <f>L256+M256+N256</f>
        <v/>
      </c>
      <c r="P256" s="4">
        <f>IF(SUM($O$4:$O$672)=0,0,Косвенные!$C$9*O256/SUM($O$4:$O$672))</f>
        <v/>
      </c>
      <c r="Q256" s="4">
        <f>G256*D256+P256</f>
        <v/>
      </c>
      <c r="R256" s="4">
        <f>IF(D256=0,0,Q256/D256)</f>
        <v/>
      </c>
      <c r="S256" s="4">
        <f>IF(D256=0,0,SUMIF(Материалы!$A$4:$A$800,SUBSTITUTE(SUBSTITUTE(SUBSTITUTE(B256,"~","~~"),"*","~*"),"?","~?"),Материалы!$T$4:$T$800)/D256)</f>
        <v/>
      </c>
      <c r="T256" s="4">
        <f>R256+S256</f>
        <v/>
      </c>
      <c r="U256" s="4">
        <f>I256*D256</f>
        <v/>
      </c>
    </row>
    <row r="257" ht="22" customHeight="1">
      <c r="A257" s="9" t="inlineStr"/>
      <c r="B257" s="13" t="inlineStr">
        <is>
          <t>255. Лампа галогенная КГ-100вт 220в R7s 118мм</t>
        </is>
      </c>
      <c r="C257" s="9" t="inlineStr">
        <is>
          <t>шт.</t>
        </is>
      </c>
      <c r="D257" s="4">
        <f>IF('Форма'!G255="","",'Форма'!G255)</f>
        <v/>
      </c>
      <c r="E257" s="9" t="inlineStr">
        <is>
          <t>нет в тарификаторе</t>
        </is>
      </c>
      <c r="F257" s="9" t="inlineStr">
        <is>
          <t>ELM</t>
        </is>
      </c>
      <c r="G257" s="10" t="n">
        <v>313.5</v>
      </c>
      <c r="H257" s="10" t="n">
        <v>153</v>
      </c>
      <c r="I257" s="10" t="n">
        <v>0.15</v>
      </c>
      <c r="J257" s="9" t="inlineStr"/>
      <c r="K257" s="7">
        <f>IF(F257="",0,IFERROR(VLOOKUP(F257,Расходники!$A$4:$B$23,2,FALSE),0))</f>
        <v/>
      </c>
      <c r="L257" s="4">
        <f>H257*D257</f>
        <v/>
      </c>
      <c r="M257" s="4">
        <f>L257*K257</f>
        <v/>
      </c>
      <c r="N257" s="4">
        <f>SUMIF(Материалы!$A$4:$A$800,SUBSTITUTE(SUBSTITUTE(SUBSTITUTE(B257,"~","~~"),"*","~*"),"?","~?"),Материалы!$S$4:$S$800)</f>
        <v/>
      </c>
      <c r="O257" s="4">
        <f>L257+M257+N257</f>
        <v/>
      </c>
      <c r="P257" s="4">
        <f>IF(SUM($O$4:$O$672)=0,0,Косвенные!$C$9*O257/SUM($O$4:$O$672))</f>
        <v/>
      </c>
      <c r="Q257" s="4">
        <f>G257*D257+P257</f>
        <v/>
      </c>
      <c r="R257" s="4">
        <f>IF(D257=0,0,Q257/D257)</f>
        <v/>
      </c>
      <c r="S257" s="4">
        <f>IF(D257=0,0,SUMIF(Материалы!$A$4:$A$800,SUBSTITUTE(SUBSTITUTE(SUBSTITUTE(B257,"~","~~"),"*","~*"),"?","~?"),Материалы!$T$4:$T$800)/D257)</f>
        <v/>
      </c>
      <c r="T257" s="4">
        <f>R257+S257</f>
        <v/>
      </c>
      <c r="U257" s="4">
        <f>I257*D257</f>
        <v/>
      </c>
    </row>
    <row r="258" ht="22" customHeight="1">
      <c r="A258" s="9" t="inlineStr"/>
      <c r="B258" s="13" t="inlineStr">
        <is>
          <t>256. Лампа галогенная КГ-150вт 220в R7S 117мм</t>
        </is>
      </c>
      <c r="C258" s="9" t="inlineStr">
        <is>
          <t>шт.</t>
        </is>
      </c>
      <c r="D258" s="4">
        <f>IF('Форма'!G256="","",'Форма'!G256)</f>
        <v/>
      </c>
      <c r="E258" s="9" t="inlineStr">
        <is>
          <t>нет в тарификаторе</t>
        </is>
      </c>
      <c r="F258" s="9" t="inlineStr">
        <is>
          <t>ELM</t>
        </is>
      </c>
      <c r="G258" s="10" t="n">
        <v>313.5</v>
      </c>
      <c r="H258" s="10" t="n">
        <v>153</v>
      </c>
      <c r="I258" s="10" t="n">
        <v>0.15</v>
      </c>
      <c r="J258" s="9" t="inlineStr"/>
      <c r="K258" s="7">
        <f>IF(F258="",0,IFERROR(VLOOKUP(F258,Расходники!$A$4:$B$23,2,FALSE),0))</f>
        <v/>
      </c>
      <c r="L258" s="4">
        <f>H258*D258</f>
        <v/>
      </c>
      <c r="M258" s="4">
        <f>L258*K258</f>
        <v/>
      </c>
      <c r="N258" s="4">
        <f>SUMIF(Материалы!$A$4:$A$800,SUBSTITUTE(SUBSTITUTE(SUBSTITUTE(B258,"~","~~"),"*","~*"),"?","~?"),Материалы!$S$4:$S$800)</f>
        <v/>
      </c>
      <c r="O258" s="4">
        <f>L258+M258+N258</f>
        <v/>
      </c>
      <c r="P258" s="4">
        <f>IF(SUM($O$4:$O$672)=0,0,Косвенные!$C$9*O258/SUM($O$4:$O$672))</f>
        <v/>
      </c>
      <c r="Q258" s="4">
        <f>G258*D258+P258</f>
        <v/>
      </c>
      <c r="R258" s="4">
        <f>IF(D258=0,0,Q258/D258)</f>
        <v/>
      </c>
      <c r="S258" s="4">
        <f>IF(D258=0,0,SUMIF(Материалы!$A$4:$A$800,SUBSTITUTE(SUBSTITUTE(SUBSTITUTE(B258,"~","~~"),"*","~*"),"?","~?"),Материалы!$T$4:$T$800)/D258)</f>
        <v/>
      </c>
      <c r="T258" s="4">
        <f>R258+S258</f>
        <v/>
      </c>
      <c r="U258" s="4">
        <f>I258*D258</f>
        <v/>
      </c>
    </row>
    <row r="259" ht="22" customHeight="1">
      <c r="A259" s="9" t="inlineStr"/>
      <c r="B259" s="13" t="inlineStr">
        <is>
          <t>257. Лампа галогенная КГ-250вт 220в R7s 118мм</t>
        </is>
      </c>
      <c r="C259" s="9" t="inlineStr">
        <is>
          <t>шт.</t>
        </is>
      </c>
      <c r="D259" s="4">
        <f>IF('Форма'!G257="","",'Форма'!G257)</f>
        <v/>
      </c>
      <c r="E259" s="9" t="inlineStr">
        <is>
          <t>нет в тарификаторе</t>
        </is>
      </c>
      <c r="F259" s="9" t="inlineStr">
        <is>
          <t>ELM</t>
        </is>
      </c>
      <c r="G259" s="10" t="n">
        <v>313.5</v>
      </c>
      <c r="H259" s="10" t="n">
        <v>153</v>
      </c>
      <c r="I259" s="10" t="n">
        <v>0.15</v>
      </c>
      <c r="J259" s="9" t="inlineStr"/>
      <c r="K259" s="7">
        <f>IF(F259="",0,IFERROR(VLOOKUP(F259,Расходники!$A$4:$B$23,2,FALSE),0))</f>
        <v/>
      </c>
      <c r="L259" s="4">
        <f>H259*D259</f>
        <v/>
      </c>
      <c r="M259" s="4">
        <f>L259*K259</f>
        <v/>
      </c>
      <c r="N259" s="4">
        <f>SUMIF(Материалы!$A$4:$A$800,SUBSTITUTE(SUBSTITUTE(SUBSTITUTE(B259,"~","~~"),"*","~*"),"?","~?"),Материалы!$S$4:$S$800)</f>
        <v/>
      </c>
      <c r="O259" s="4">
        <f>L259+M259+N259</f>
        <v/>
      </c>
      <c r="P259" s="4">
        <f>IF(SUM($O$4:$O$672)=0,0,Косвенные!$C$9*O259/SUM($O$4:$O$672))</f>
        <v/>
      </c>
      <c r="Q259" s="4">
        <f>G259*D259+P259</f>
        <v/>
      </c>
      <c r="R259" s="4">
        <f>IF(D259=0,0,Q259/D259)</f>
        <v/>
      </c>
      <c r="S259" s="4">
        <f>IF(D259=0,0,SUMIF(Материалы!$A$4:$A$800,SUBSTITUTE(SUBSTITUTE(SUBSTITUTE(B259,"~","~~"),"*","~*"),"?","~?"),Материалы!$T$4:$T$800)/D259)</f>
        <v/>
      </c>
      <c r="T259" s="4">
        <f>R259+S259</f>
        <v/>
      </c>
      <c r="U259" s="4">
        <f>I259*D259</f>
        <v/>
      </c>
    </row>
    <row r="260" ht="22" customHeight="1">
      <c r="A260" s="9" t="inlineStr"/>
      <c r="B260" s="13" t="inlineStr">
        <is>
          <t>258. Лампа гал.ECO 80WR7S 20X1 OSRAM Германия или аналог</t>
        </is>
      </c>
      <c r="C260" s="9" t="inlineStr">
        <is>
          <t>шт.</t>
        </is>
      </c>
      <c r="D260" s="4">
        <f>IF('Форма'!G258="","",'Форма'!G258)</f>
        <v/>
      </c>
      <c r="E260" s="9" t="inlineStr">
        <is>
          <t>нет в тарификаторе</t>
        </is>
      </c>
      <c r="F260" s="9" t="inlineStr">
        <is>
          <t>ELM</t>
        </is>
      </c>
      <c r="G260" s="10" t="n">
        <v>313.5</v>
      </c>
      <c r="H260" s="10" t="n">
        <v>153</v>
      </c>
      <c r="I260" s="10" t="n">
        <v>0.15</v>
      </c>
      <c r="J260" s="9" t="inlineStr"/>
      <c r="K260" s="7">
        <f>IF(F260="",0,IFERROR(VLOOKUP(F260,Расходники!$A$4:$B$23,2,FALSE),0))</f>
        <v/>
      </c>
      <c r="L260" s="4">
        <f>H260*D260</f>
        <v/>
      </c>
      <c r="M260" s="4">
        <f>L260*K260</f>
        <v/>
      </c>
      <c r="N260" s="4">
        <f>SUMIF(Материалы!$A$4:$A$800,SUBSTITUTE(SUBSTITUTE(SUBSTITUTE(B260,"~","~~"),"*","~*"),"?","~?"),Материалы!$S$4:$S$800)</f>
        <v/>
      </c>
      <c r="O260" s="4">
        <f>L260+M260+N260</f>
        <v/>
      </c>
      <c r="P260" s="4">
        <f>IF(SUM($O$4:$O$672)=0,0,Косвенные!$C$9*O260/SUM($O$4:$O$672))</f>
        <v/>
      </c>
      <c r="Q260" s="4">
        <f>G260*D260+P260</f>
        <v/>
      </c>
      <c r="R260" s="4">
        <f>IF(D260=0,0,Q260/D260)</f>
        <v/>
      </c>
      <c r="S260" s="4">
        <f>IF(D260=0,0,SUMIF(Материалы!$A$4:$A$800,SUBSTITUTE(SUBSTITUTE(SUBSTITUTE(B260,"~","~~"),"*","~*"),"?","~?"),Материалы!$T$4:$T$800)/D260)</f>
        <v/>
      </c>
      <c r="T260" s="4">
        <f>R260+S260</f>
        <v/>
      </c>
      <c r="U260" s="4">
        <f>I260*D260</f>
        <v/>
      </c>
    </row>
    <row r="261" ht="22" customHeight="1">
      <c r="A261" s="9" t="inlineStr"/>
      <c r="B261" s="13" t="inlineStr">
        <is>
          <t>259. Лампа люминесцентная Osram 18вт(Россия)</t>
        </is>
      </c>
      <c r="C261" s="9" t="inlineStr">
        <is>
          <t>шт.</t>
        </is>
      </c>
      <c r="D261" s="4">
        <f>IF('Форма'!G259="","",'Форма'!G259)</f>
        <v/>
      </c>
      <c r="E261" s="9" t="inlineStr">
        <is>
          <t>нет в тарификаторе</t>
        </is>
      </c>
      <c r="F261" s="9" t="inlineStr">
        <is>
          <t>ELM</t>
        </is>
      </c>
      <c r="G261" s="10" t="n">
        <v>313.5</v>
      </c>
      <c r="H261" s="10" t="n">
        <v>153</v>
      </c>
      <c r="I261" s="10" t="n">
        <v>0.15</v>
      </c>
      <c r="J261" s="9" t="inlineStr"/>
      <c r="K261" s="7">
        <f>IF(F261="",0,IFERROR(VLOOKUP(F261,Расходники!$A$4:$B$23,2,FALSE),0))</f>
        <v/>
      </c>
      <c r="L261" s="4">
        <f>H261*D261</f>
        <v/>
      </c>
      <c r="M261" s="4">
        <f>L261*K261</f>
        <v/>
      </c>
      <c r="N261" s="4">
        <f>SUMIF(Материалы!$A$4:$A$800,SUBSTITUTE(SUBSTITUTE(SUBSTITUTE(B261,"~","~~"),"*","~*"),"?","~?"),Материалы!$S$4:$S$800)</f>
        <v/>
      </c>
      <c r="O261" s="4">
        <f>L261+M261+N261</f>
        <v/>
      </c>
      <c r="P261" s="4">
        <f>IF(SUM($O$4:$O$672)=0,0,Косвенные!$C$9*O261/SUM($O$4:$O$672))</f>
        <v/>
      </c>
      <c r="Q261" s="4">
        <f>G261*D261+P261</f>
        <v/>
      </c>
      <c r="R261" s="4">
        <f>IF(D261=0,0,Q261/D261)</f>
        <v/>
      </c>
      <c r="S261" s="4">
        <f>IF(D261=0,0,SUMIF(Материалы!$A$4:$A$800,SUBSTITUTE(SUBSTITUTE(SUBSTITUTE(B261,"~","~~"),"*","~*"),"?","~?"),Материалы!$T$4:$T$800)/D261)</f>
        <v/>
      </c>
      <c r="T261" s="4">
        <f>R261+S261</f>
        <v/>
      </c>
      <c r="U261" s="4">
        <f>I261*D261</f>
        <v/>
      </c>
    </row>
    <row r="262" ht="22" customHeight="1">
      <c r="A262" s="9" t="inlineStr"/>
      <c r="B262" s="13" t="inlineStr">
        <is>
          <t>260. Лампа люм. 36 Вт L 36/640 RU Osram(Россия)</t>
        </is>
      </c>
      <c r="C262" s="9" t="inlineStr">
        <is>
          <t>шт.</t>
        </is>
      </c>
      <c r="D262" s="4">
        <f>IF('Форма'!G260="","",'Форма'!G260)</f>
        <v/>
      </c>
      <c r="E262" s="9" t="inlineStr">
        <is>
          <t>нет в тарификаторе</t>
        </is>
      </c>
      <c r="F262" s="9" t="inlineStr">
        <is>
          <t>ELM</t>
        </is>
      </c>
      <c r="G262" s="10" t="n">
        <v>313.5</v>
      </c>
      <c r="H262" s="10" t="n">
        <v>153</v>
      </c>
      <c r="I262" s="10" t="n">
        <v>0.15</v>
      </c>
      <c r="J262" s="9" t="inlineStr"/>
      <c r="K262" s="7">
        <f>IF(F262="",0,IFERROR(VLOOKUP(F262,Расходники!$A$4:$B$23,2,FALSE),0))</f>
        <v/>
      </c>
      <c r="L262" s="4">
        <f>H262*D262</f>
        <v/>
      </c>
      <c r="M262" s="4">
        <f>L262*K262</f>
        <v/>
      </c>
      <c r="N262" s="4">
        <f>SUMIF(Материалы!$A$4:$A$800,SUBSTITUTE(SUBSTITUTE(SUBSTITUTE(B262,"~","~~"),"*","~*"),"?","~?"),Материалы!$S$4:$S$800)</f>
        <v/>
      </c>
      <c r="O262" s="4">
        <f>L262+M262+N262</f>
        <v/>
      </c>
      <c r="P262" s="4">
        <f>IF(SUM($O$4:$O$672)=0,0,Косвенные!$C$9*O262/SUM($O$4:$O$672))</f>
        <v/>
      </c>
      <c r="Q262" s="4">
        <f>G262*D262+P262</f>
        <v/>
      </c>
      <c r="R262" s="4">
        <f>IF(D262=0,0,Q262/D262)</f>
        <v/>
      </c>
      <c r="S262" s="4">
        <f>IF(D262=0,0,SUMIF(Материалы!$A$4:$A$800,SUBSTITUTE(SUBSTITUTE(SUBSTITUTE(B262,"~","~~"),"*","~*"),"?","~?"),Материалы!$T$4:$T$800)/D262)</f>
        <v/>
      </c>
      <c r="T262" s="4">
        <f>R262+S262</f>
        <v/>
      </c>
      <c r="U262" s="4">
        <f>I262*D262</f>
        <v/>
      </c>
    </row>
    <row r="263" ht="22" customHeight="1">
      <c r="A263" s="9" t="inlineStr"/>
      <c r="B263" s="13" t="inlineStr">
        <is>
          <t>261. Лампа люм. 58Вт L58W/640 G13 4000К Osram(Россия)</t>
        </is>
      </c>
      <c r="C263" s="9" t="inlineStr">
        <is>
          <t>шт.</t>
        </is>
      </c>
      <c r="D263" s="4">
        <f>IF('Форма'!G261="","",'Форма'!G261)</f>
        <v/>
      </c>
      <c r="E263" s="9" t="inlineStr">
        <is>
          <t>нет в тарификаторе</t>
        </is>
      </c>
      <c r="F263" s="9" t="inlineStr">
        <is>
          <t>ELM</t>
        </is>
      </c>
      <c r="G263" s="10" t="n">
        <v>313.5</v>
      </c>
      <c r="H263" s="10" t="n">
        <v>153</v>
      </c>
      <c r="I263" s="10" t="n">
        <v>0.15</v>
      </c>
      <c r="J263" s="9" t="inlineStr"/>
      <c r="K263" s="7">
        <f>IF(F263="",0,IFERROR(VLOOKUP(F263,Расходники!$A$4:$B$23,2,FALSE),0))</f>
        <v/>
      </c>
      <c r="L263" s="4">
        <f>H263*D263</f>
        <v/>
      </c>
      <c r="M263" s="4">
        <f>L263*K263</f>
        <v/>
      </c>
      <c r="N263" s="4">
        <f>SUMIF(Материалы!$A$4:$A$800,SUBSTITUTE(SUBSTITUTE(SUBSTITUTE(B263,"~","~~"),"*","~*"),"?","~?"),Материалы!$S$4:$S$800)</f>
        <v/>
      </c>
      <c r="O263" s="4">
        <f>L263+M263+N263</f>
        <v/>
      </c>
      <c r="P263" s="4">
        <f>IF(SUM($O$4:$O$672)=0,0,Косвенные!$C$9*O263/SUM($O$4:$O$672))</f>
        <v/>
      </c>
      <c r="Q263" s="4">
        <f>G263*D263+P263</f>
        <v/>
      </c>
      <c r="R263" s="4">
        <f>IF(D263=0,0,Q263/D263)</f>
        <v/>
      </c>
      <c r="S263" s="4">
        <f>IF(D263=0,0,SUMIF(Материалы!$A$4:$A$800,SUBSTITUTE(SUBSTITUTE(SUBSTITUTE(B263,"~","~~"),"*","~*"),"?","~?"),Материалы!$T$4:$T$800)/D263)</f>
        <v/>
      </c>
      <c r="T263" s="4">
        <f>R263+S263</f>
        <v/>
      </c>
      <c r="U263" s="4">
        <f>I263*D263</f>
        <v/>
      </c>
    </row>
    <row r="264" ht="22" customHeight="1">
      <c r="A264" s="9" t="inlineStr"/>
      <c r="B264" s="13" t="inlineStr">
        <is>
          <t>262. Лампа LED 3960\3560lm 1500мм</t>
        </is>
      </c>
      <c r="C264" s="9" t="inlineStr">
        <is>
          <t>шт.</t>
        </is>
      </c>
      <c r="D264" s="4">
        <f>IF('Форма'!G262="","",'Форма'!G262)</f>
        <v/>
      </c>
      <c r="E264" s="9" t="inlineStr">
        <is>
          <t>нет в тарификаторе</t>
        </is>
      </c>
      <c r="F264" s="9" t="inlineStr">
        <is>
          <t>ELM</t>
        </is>
      </c>
      <c r="G264" s="10" t="n">
        <v>313.5</v>
      </c>
      <c r="H264" s="10" t="n">
        <v>153</v>
      </c>
      <c r="I264" s="10" t="n">
        <v>0.15</v>
      </c>
      <c r="J264" s="9" t="inlineStr"/>
      <c r="K264" s="7">
        <f>IF(F264="",0,IFERROR(VLOOKUP(F264,Расходники!$A$4:$B$23,2,FALSE),0))</f>
        <v/>
      </c>
      <c r="L264" s="4">
        <f>H264*D264</f>
        <v/>
      </c>
      <c r="M264" s="4">
        <f>L264*K264</f>
        <v/>
      </c>
      <c r="N264" s="4">
        <f>SUMIF(Материалы!$A$4:$A$800,SUBSTITUTE(SUBSTITUTE(SUBSTITUTE(B264,"~","~~"),"*","~*"),"?","~?"),Материалы!$S$4:$S$800)</f>
        <v/>
      </c>
      <c r="O264" s="4">
        <f>L264+M264+N264</f>
        <v/>
      </c>
      <c r="P264" s="4">
        <f>IF(SUM($O$4:$O$672)=0,0,Косвенные!$C$9*O264/SUM($O$4:$O$672))</f>
        <v/>
      </c>
      <c r="Q264" s="4">
        <f>G264*D264+P264</f>
        <v/>
      </c>
      <c r="R264" s="4">
        <f>IF(D264=0,0,Q264/D264)</f>
        <v/>
      </c>
      <c r="S264" s="4">
        <f>IF(D264=0,0,SUMIF(Материалы!$A$4:$A$800,SUBSTITUTE(SUBSTITUTE(SUBSTITUTE(B264,"~","~~"),"*","~*"),"?","~?"),Материалы!$T$4:$T$800)/D264)</f>
        <v/>
      </c>
      <c r="T264" s="4">
        <f>R264+S264</f>
        <v/>
      </c>
      <c r="U264" s="4">
        <f>I264*D264</f>
        <v/>
      </c>
    </row>
    <row r="265" ht="22" customHeight="1">
      <c r="A265" s="9" t="inlineStr"/>
      <c r="B265" s="13" t="inlineStr">
        <is>
          <t>263. Лампа люминисцентная 900мм 30W T8 G13 (765)</t>
        </is>
      </c>
      <c r="C265" s="9" t="inlineStr">
        <is>
          <t>шт.</t>
        </is>
      </c>
      <c r="D265" s="4">
        <f>IF('Форма'!G263="","",'Форма'!G263)</f>
        <v/>
      </c>
      <c r="E265" s="9" t="inlineStr">
        <is>
          <t>нет в тарификаторе</t>
        </is>
      </c>
      <c r="F265" s="9" t="inlineStr">
        <is>
          <t>ELM</t>
        </is>
      </c>
      <c r="G265" s="10" t="n">
        <v>313.5</v>
      </c>
      <c r="H265" s="10" t="n">
        <v>153</v>
      </c>
      <c r="I265" s="10" t="n">
        <v>0.15</v>
      </c>
      <c r="J265" s="9" t="inlineStr"/>
      <c r="K265" s="7">
        <f>IF(F265="",0,IFERROR(VLOOKUP(F265,Расходники!$A$4:$B$23,2,FALSE),0))</f>
        <v/>
      </c>
      <c r="L265" s="4">
        <f>H265*D265</f>
        <v/>
      </c>
      <c r="M265" s="4">
        <f>L265*K265</f>
        <v/>
      </c>
      <c r="N265" s="4">
        <f>SUMIF(Материалы!$A$4:$A$800,SUBSTITUTE(SUBSTITUTE(SUBSTITUTE(B265,"~","~~"),"*","~*"),"?","~?"),Материалы!$S$4:$S$800)</f>
        <v/>
      </c>
      <c r="O265" s="4">
        <f>L265+M265+N265</f>
        <v/>
      </c>
      <c r="P265" s="4">
        <f>IF(SUM($O$4:$O$672)=0,0,Косвенные!$C$9*O265/SUM($O$4:$O$672))</f>
        <v/>
      </c>
      <c r="Q265" s="4">
        <f>G265*D265+P265</f>
        <v/>
      </c>
      <c r="R265" s="4">
        <f>IF(D265=0,0,Q265/D265)</f>
        <v/>
      </c>
      <c r="S265" s="4">
        <f>IF(D265=0,0,SUMIF(Материалы!$A$4:$A$800,SUBSTITUTE(SUBSTITUTE(SUBSTITUTE(B265,"~","~~"),"*","~*"),"?","~?"),Материалы!$T$4:$T$800)/D265)</f>
        <v/>
      </c>
      <c r="T265" s="4">
        <f>R265+S265</f>
        <v/>
      </c>
      <c r="U265" s="4">
        <f>I265*D265</f>
        <v/>
      </c>
    </row>
    <row r="266" ht="22" customHeight="1">
      <c r="A266" s="9" t="inlineStr"/>
      <c r="B266" s="13" t="inlineStr">
        <is>
          <t>264. Лампа люминисцентная 900мм 21W Т5 G5 (765) Navigator</t>
        </is>
      </c>
      <c r="C266" s="9" t="inlineStr">
        <is>
          <t>шт.</t>
        </is>
      </c>
      <c r="D266" s="4">
        <f>IF('Форма'!G264="","",'Форма'!G264)</f>
        <v/>
      </c>
      <c r="E266" s="9" t="inlineStr">
        <is>
          <t>нет в тарификаторе</t>
        </is>
      </c>
      <c r="F266" s="9" t="inlineStr">
        <is>
          <t>ELM</t>
        </is>
      </c>
      <c r="G266" s="10" t="n">
        <v>313.5</v>
      </c>
      <c r="H266" s="10" t="n">
        <v>153</v>
      </c>
      <c r="I266" s="10" t="n">
        <v>0.15</v>
      </c>
      <c r="J266" s="9" t="inlineStr"/>
      <c r="K266" s="7">
        <f>IF(F266="",0,IFERROR(VLOOKUP(F266,Расходники!$A$4:$B$23,2,FALSE),0))</f>
        <v/>
      </c>
      <c r="L266" s="4">
        <f>H266*D266</f>
        <v/>
      </c>
      <c r="M266" s="4">
        <f>L266*K266</f>
        <v/>
      </c>
      <c r="N266" s="4">
        <f>SUMIF(Материалы!$A$4:$A$800,SUBSTITUTE(SUBSTITUTE(SUBSTITUTE(B266,"~","~~"),"*","~*"),"?","~?"),Материалы!$S$4:$S$800)</f>
        <v/>
      </c>
      <c r="O266" s="4">
        <f>L266+M266+N266</f>
        <v/>
      </c>
      <c r="P266" s="4">
        <f>IF(SUM($O$4:$O$672)=0,0,Косвенные!$C$9*O266/SUM($O$4:$O$672))</f>
        <v/>
      </c>
      <c r="Q266" s="4">
        <f>G266*D266+P266</f>
        <v/>
      </c>
      <c r="R266" s="4">
        <f>IF(D266=0,0,Q266/D266)</f>
        <v/>
      </c>
      <c r="S266" s="4">
        <f>IF(D266=0,0,SUMIF(Материалы!$A$4:$A$800,SUBSTITUTE(SUBSTITUTE(SUBSTITUTE(B266,"~","~~"),"*","~*"),"?","~?"),Материалы!$T$4:$T$800)/D266)</f>
        <v/>
      </c>
      <c r="T266" s="4">
        <f>R266+S266</f>
        <v/>
      </c>
      <c r="U266" s="4">
        <f>I266*D266</f>
        <v/>
      </c>
    </row>
    <row r="267" ht="22" customHeight="1">
      <c r="A267" s="9" t="inlineStr"/>
      <c r="B267" s="13" t="inlineStr">
        <is>
          <t>265. Лампа люминисцентная 600мм 18W Т8 G13 (лампа18/840)</t>
        </is>
      </c>
      <c r="C267" s="9" t="inlineStr">
        <is>
          <t>шт.</t>
        </is>
      </c>
      <c r="D267" s="4">
        <f>IF('Форма'!G265="","",'Форма'!G265)</f>
        <v/>
      </c>
      <c r="E267" s="9" t="inlineStr">
        <is>
          <t>нет в тарификаторе</t>
        </is>
      </c>
      <c r="F267" s="9" t="inlineStr">
        <is>
          <t>ELM</t>
        </is>
      </c>
      <c r="G267" s="10" t="n">
        <v>313.5</v>
      </c>
      <c r="H267" s="10" t="n">
        <v>153</v>
      </c>
      <c r="I267" s="10" t="n">
        <v>0.15</v>
      </c>
      <c r="J267" s="9" t="inlineStr"/>
      <c r="K267" s="7">
        <f>IF(F267="",0,IFERROR(VLOOKUP(F267,Расходники!$A$4:$B$23,2,FALSE),0))</f>
        <v/>
      </c>
      <c r="L267" s="4">
        <f>H267*D267</f>
        <v/>
      </c>
      <c r="M267" s="4">
        <f>L267*K267</f>
        <v/>
      </c>
      <c r="N267" s="4">
        <f>SUMIF(Материалы!$A$4:$A$800,SUBSTITUTE(SUBSTITUTE(SUBSTITUTE(B267,"~","~~"),"*","~*"),"?","~?"),Материалы!$S$4:$S$800)</f>
        <v/>
      </c>
      <c r="O267" s="4">
        <f>L267+M267+N267</f>
        <v/>
      </c>
      <c r="P267" s="4">
        <f>IF(SUM($O$4:$O$672)=0,0,Косвенные!$C$9*O267/SUM($O$4:$O$672))</f>
        <v/>
      </c>
      <c r="Q267" s="4">
        <f>G267*D267+P267</f>
        <v/>
      </c>
      <c r="R267" s="4">
        <f>IF(D267=0,0,Q267/D267)</f>
        <v/>
      </c>
      <c r="S267" s="4">
        <f>IF(D267=0,0,SUMIF(Материалы!$A$4:$A$800,SUBSTITUTE(SUBSTITUTE(SUBSTITUTE(B267,"~","~~"),"*","~*"),"?","~?"),Материалы!$T$4:$T$800)/D267)</f>
        <v/>
      </c>
      <c r="T267" s="4">
        <f>R267+S267</f>
        <v/>
      </c>
      <c r="U267" s="4">
        <f>I267*D267</f>
        <v/>
      </c>
    </row>
    <row r="268" ht="22" customHeight="1">
      <c r="A268" s="9" t="inlineStr"/>
      <c r="B268" s="13" t="inlineStr">
        <is>
          <t>266. Светодиодная лампа Led Favourite t5 g5 18w 165-265v 1149mm glass (5800-6500 К)</t>
        </is>
      </c>
      <c r="C268" s="9" t="inlineStr">
        <is>
          <t>шт.</t>
        </is>
      </c>
      <c r="D268" s="4">
        <f>IF('Форма'!G266="","",'Форма'!G266)</f>
        <v/>
      </c>
      <c r="E268" s="9" t="inlineStr">
        <is>
          <t>нет в тарификаторе</t>
        </is>
      </c>
      <c r="F268" s="9" t="inlineStr">
        <is>
          <t>ELM</t>
        </is>
      </c>
      <c r="G268" s="10" t="n">
        <v>313.5</v>
      </c>
      <c r="H268" s="10" t="n">
        <v>153</v>
      </c>
      <c r="I268" s="10" t="n">
        <v>0.15</v>
      </c>
      <c r="J268" s="9" t="inlineStr"/>
      <c r="K268" s="7">
        <f>IF(F268="",0,IFERROR(VLOOKUP(F268,Расходники!$A$4:$B$23,2,FALSE),0))</f>
        <v/>
      </c>
      <c r="L268" s="4">
        <f>H268*D268</f>
        <v/>
      </c>
      <c r="M268" s="4">
        <f>L268*K268</f>
        <v/>
      </c>
      <c r="N268" s="4">
        <f>SUMIF(Материалы!$A$4:$A$800,SUBSTITUTE(SUBSTITUTE(SUBSTITUTE(B268,"~","~~"),"*","~*"),"?","~?"),Материалы!$S$4:$S$800)</f>
        <v/>
      </c>
      <c r="O268" s="4">
        <f>L268+M268+N268</f>
        <v/>
      </c>
      <c r="P268" s="4">
        <f>IF(SUM($O$4:$O$672)=0,0,Косвенные!$C$9*O268/SUM($O$4:$O$672))</f>
        <v/>
      </c>
      <c r="Q268" s="4">
        <f>G268*D268+P268</f>
        <v/>
      </c>
      <c r="R268" s="4">
        <f>IF(D268=0,0,Q268/D268)</f>
        <v/>
      </c>
      <c r="S268" s="4">
        <f>IF(D268=0,0,SUMIF(Материалы!$A$4:$A$800,SUBSTITUTE(SUBSTITUTE(SUBSTITUTE(B268,"~","~~"),"*","~*"),"?","~?"),Материалы!$T$4:$T$800)/D268)</f>
        <v/>
      </c>
      <c r="T268" s="4">
        <f>R268+S268</f>
        <v/>
      </c>
      <c r="U268" s="4">
        <f>I268*D268</f>
        <v/>
      </c>
    </row>
    <row r="269" ht="22" customHeight="1">
      <c r="A269" s="9" t="inlineStr"/>
      <c r="B269" s="13" t="inlineStr">
        <is>
          <t>267. Лампа люминесцентная HO 54Вт/840 54Вт T5 4000К G5 OSRAM 4099854128677</t>
        </is>
      </c>
      <c r="C269" s="9" t="inlineStr">
        <is>
          <t>шт.</t>
        </is>
      </c>
      <c r="D269" s="4">
        <f>IF('Форма'!G267="","",'Форма'!G267)</f>
        <v/>
      </c>
      <c r="E269" s="9" t="inlineStr">
        <is>
          <t>нет в тарификаторе</t>
        </is>
      </c>
      <c r="F269" s="9" t="inlineStr">
        <is>
          <t>ELM</t>
        </is>
      </c>
      <c r="G269" s="10" t="n">
        <v>313.5</v>
      </c>
      <c r="H269" s="10" t="n">
        <v>153</v>
      </c>
      <c r="I269" s="10" t="n">
        <v>0.15</v>
      </c>
      <c r="J269" s="9" t="inlineStr"/>
      <c r="K269" s="7">
        <f>IF(F269="",0,IFERROR(VLOOKUP(F269,Расходники!$A$4:$B$23,2,FALSE),0))</f>
        <v/>
      </c>
      <c r="L269" s="4">
        <f>H269*D269</f>
        <v/>
      </c>
      <c r="M269" s="4">
        <f>L269*K269</f>
        <v/>
      </c>
      <c r="N269" s="4">
        <f>SUMIF(Материалы!$A$4:$A$800,SUBSTITUTE(SUBSTITUTE(SUBSTITUTE(B269,"~","~~"),"*","~*"),"?","~?"),Материалы!$S$4:$S$800)</f>
        <v/>
      </c>
      <c r="O269" s="4">
        <f>L269+M269+N269</f>
        <v/>
      </c>
      <c r="P269" s="4">
        <f>IF(SUM($O$4:$O$672)=0,0,Косвенные!$C$9*O269/SUM($O$4:$O$672))</f>
        <v/>
      </c>
      <c r="Q269" s="4">
        <f>G269*D269+P269</f>
        <v/>
      </c>
      <c r="R269" s="4">
        <f>IF(D269=0,0,Q269/D269)</f>
        <v/>
      </c>
      <c r="S269" s="4">
        <f>IF(D269=0,0,SUMIF(Материалы!$A$4:$A$800,SUBSTITUTE(SUBSTITUTE(SUBSTITUTE(B269,"~","~~"),"*","~*"),"?","~?"),Материалы!$T$4:$T$800)/D269)</f>
        <v/>
      </c>
      <c r="T269" s="4">
        <f>R269+S269</f>
        <v/>
      </c>
      <c r="U269" s="4">
        <f>I269*D269</f>
        <v/>
      </c>
    </row>
    <row r="270" ht="22" customHeight="1">
      <c r="A270" s="9" t="inlineStr"/>
      <c r="B270" s="13" t="inlineStr">
        <is>
          <t>268. Аппарат пускорегулирующий электронный (ЭПРА) 258 для линейных ЛЛ T8</t>
        </is>
      </c>
      <c r="C270" s="9" t="inlineStr">
        <is>
          <t>шт.</t>
        </is>
      </c>
      <c r="D270" s="4">
        <f>IF('Форма'!G268="","",'Форма'!G268)</f>
        <v/>
      </c>
      <c r="E270" s="9" t="inlineStr">
        <is>
          <t>нет в тарификаторе</t>
        </is>
      </c>
      <c r="F270" s="9" t="inlineStr">
        <is>
          <t>ELM</t>
        </is>
      </c>
      <c r="G270" s="10" t="n">
        <v>313.5</v>
      </c>
      <c r="H270" s="10" t="n">
        <v>153</v>
      </c>
      <c r="I270" s="10" t="n">
        <v>0.15</v>
      </c>
      <c r="J270" s="9" t="inlineStr"/>
      <c r="K270" s="7">
        <f>IF(F270="",0,IFERROR(VLOOKUP(F270,Расходники!$A$4:$B$23,2,FALSE),0))</f>
        <v/>
      </c>
      <c r="L270" s="4">
        <f>H270*D270</f>
        <v/>
      </c>
      <c r="M270" s="4">
        <f>L270*K270</f>
        <v/>
      </c>
      <c r="N270" s="4">
        <f>SUMIF(Материалы!$A$4:$A$800,SUBSTITUTE(SUBSTITUTE(SUBSTITUTE(B270,"~","~~"),"*","~*"),"?","~?"),Материалы!$S$4:$S$800)</f>
        <v/>
      </c>
      <c r="O270" s="4">
        <f>L270+M270+N270</f>
        <v/>
      </c>
      <c r="P270" s="4">
        <f>IF(SUM($O$4:$O$672)=0,0,Косвенные!$C$9*O270/SUM($O$4:$O$672))</f>
        <v/>
      </c>
      <c r="Q270" s="4">
        <f>G270*D270+P270</f>
        <v/>
      </c>
      <c r="R270" s="4">
        <f>IF(D270=0,0,Q270/D270)</f>
        <v/>
      </c>
      <c r="S270" s="4">
        <f>IF(D270=0,0,SUMIF(Материалы!$A$4:$A$800,SUBSTITUTE(SUBSTITUTE(SUBSTITUTE(B270,"~","~~"),"*","~*"),"?","~?"),Материалы!$T$4:$T$800)/D270)</f>
        <v/>
      </c>
      <c r="T270" s="4">
        <f>R270+S270</f>
        <v/>
      </c>
      <c r="U270" s="4">
        <f>I270*D270</f>
        <v/>
      </c>
    </row>
    <row r="271" ht="22" customHeight="1">
      <c r="A271" s="9" t="inlineStr"/>
      <c r="B271" s="13" t="inlineStr">
        <is>
          <t>269. Светильник светодиодный 93 563 NLP-MS4-25-4K 25Вт 4000К 3050лм 176–264В IP20 панель универс. микропризма NAVIGATOR 93563</t>
        </is>
      </c>
      <c r="C271" s="9" t="inlineStr">
        <is>
          <t>шт.</t>
        </is>
      </c>
      <c r="D271" s="4">
        <f>IF('Форма'!G269="","",'Форма'!G269)</f>
        <v/>
      </c>
      <c r="E271" s="9" t="inlineStr">
        <is>
          <t>нет в тарификаторе</t>
        </is>
      </c>
      <c r="F271" s="9" t="inlineStr">
        <is>
          <t>ELM</t>
        </is>
      </c>
      <c r="G271" s="10" t="n">
        <v>1463</v>
      </c>
      <c r="H271" s="10" t="n">
        <v>714</v>
      </c>
      <c r="I271" s="10" t="n">
        <v>0.7</v>
      </c>
      <c r="J271" s="9" t="inlineStr"/>
      <c r="K271" s="7">
        <f>IF(F271="",0,IFERROR(VLOOKUP(F271,Расходники!$A$4:$B$23,2,FALSE),0))</f>
        <v/>
      </c>
      <c r="L271" s="4">
        <f>H271*D271</f>
        <v/>
      </c>
      <c r="M271" s="4">
        <f>L271*K271</f>
        <v/>
      </c>
      <c r="N271" s="4">
        <f>SUMIF(Материалы!$A$4:$A$800,SUBSTITUTE(SUBSTITUTE(SUBSTITUTE(B271,"~","~~"),"*","~*"),"?","~?"),Материалы!$S$4:$S$800)</f>
        <v/>
      </c>
      <c r="O271" s="4">
        <f>L271+M271+N271</f>
        <v/>
      </c>
      <c r="P271" s="4">
        <f>IF(SUM($O$4:$O$672)=0,0,Косвенные!$C$9*O271/SUM($O$4:$O$672))</f>
        <v/>
      </c>
      <c r="Q271" s="4">
        <f>G271*D271+P271</f>
        <v/>
      </c>
      <c r="R271" s="4">
        <f>IF(D271=0,0,Q271/D271)</f>
        <v/>
      </c>
      <c r="S271" s="4">
        <f>IF(D271=0,0,SUMIF(Материалы!$A$4:$A$800,SUBSTITUTE(SUBSTITUTE(SUBSTITUTE(B271,"~","~~"),"*","~*"),"?","~?"),Материалы!$T$4:$T$800)/D271)</f>
        <v/>
      </c>
      <c r="T271" s="4">
        <f>R271+S271</f>
        <v/>
      </c>
      <c r="U271" s="4">
        <f>I271*D271</f>
        <v/>
      </c>
    </row>
    <row r="272" ht="22" customHeight="1">
      <c r="A272" s="9" t="inlineStr"/>
      <c r="B272" s="13" t="inlineStr">
        <is>
          <t>270. Лампа люминисцентная 450мм 15W T8 G13 (865)</t>
        </is>
      </c>
      <c r="C272" s="9" t="inlineStr">
        <is>
          <t>шт.</t>
        </is>
      </c>
      <c r="D272" s="4">
        <f>IF('Форма'!G270="","",'Форма'!G270)</f>
        <v/>
      </c>
      <c r="E272" s="9" t="inlineStr">
        <is>
          <t>нет в тарификаторе</t>
        </is>
      </c>
      <c r="F272" s="9" t="inlineStr">
        <is>
          <t>ELM</t>
        </is>
      </c>
      <c r="G272" s="10" t="n">
        <v>313.5</v>
      </c>
      <c r="H272" s="10" t="n">
        <v>153</v>
      </c>
      <c r="I272" s="10" t="n">
        <v>0.15</v>
      </c>
      <c r="J272" s="9" t="inlineStr"/>
      <c r="K272" s="7">
        <f>IF(F272="",0,IFERROR(VLOOKUP(F272,Расходники!$A$4:$B$23,2,FALSE),0))</f>
        <v/>
      </c>
      <c r="L272" s="4">
        <f>H272*D272</f>
        <v/>
      </c>
      <c r="M272" s="4">
        <f>L272*K272</f>
        <v/>
      </c>
      <c r="N272" s="4">
        <f>SUMIF(Материалы!$A$4:$A$800,SUBSTITUTE(SUBSTITUTE(SUBSTITUTE(B272,"~","~~"),"*","~*"),"?","~?"),Материалы!$S$4:$S$800)</f>
        <v/>
      </c>
      <c r="O272" s="4">
        <f>L272+M272+N272</f>
        <v/>
      </c>
      <c r="P272" s="4">
        <f>IF(SUM($O$4:$O$672)=0,0,Косвенные!$C$9*O272/SUM($O$4:$O$672))</f>
        <v/>
      </c>
      <c r="Q272" s="4">
        <f>G272*D272+P272</f>
        <v/>
      </c>
      <c r="R272" s="4">
        <f>IF(D272=0,0,Q272/D272)</f>
        <v/>
      </c>
      <c r="S272" s="4">
        <f>IF(D272=0,0,SUMIF(Материалы!$A$4:$A$800,SUBSTITUTE(SUBSTITUTE(SUBSTITUTE(B272,"~","~~"),"*","~*"),"?","~?"),Материалы!$T$4:$T$800)/D272)</f>
        <v/>
      </c>
      <c r="T272" s="4">
        <f>R272+S272</f>
        <v/>
      </c>
      <c r="U272" s="4">
        <f>I272*D272</f>
        <v/>
      </c>
    </row>
    <row r="273" ht="22" customHeight="1">
      <c r="A273" s="9" t="inlineStr"/>
      <c r="B273" s="13" t="inlineStr">
        <is>
          <t>271. Лампа энергосберег. 15 Вт Е27</t>
        </is>
      </c>
      <c r="C273" s="9" t="inlineStr">
        <is>
          <t>шт.</t>
        </is>
      </c>
      <c r="D273" s="4">
        <f>IF('Форма'!G271="","",'Форма'!G271)</f>
        <v/>
      </c>
      <c r="E273" s="9" t="inlineStr">
        <is>
          <t>нет в тарификаторе</t>
        </is>
      </c>
      <c r="F273" s="9" t="inlineStr">
        <is>
          <t>ELM</t>
        </is>
      </c>
      <c r="G273" s="10" t="n">
        <v>313.5</v>
      </c>
      <c r="H273" s="10" t="n">
        <v>153</v>
      </c>
      <c r="I273" s="10" t="n">
        <v>0.15</v>
      </c>
      <c r="J273" s="9" t="inlineStr"/>
      <c r="K273" s="7">
        <f>IF(F273="",0,IFERROR(VLOOKUP(F273,Расходники!$A$4:$B$23,2,FALSE),0))</f>
        <v/>
      </c>
      <c r="L273" s="4">
        <f>H273*D273</f>
        <v/>
      </c>
      <c r="M273" s="4">
        <f>L273*K273</f>
        <v/>
      </c>
      <c r="N273" s="4">
        <f>SUMIF(Материалы!$A$4:$A$800,SUBSTITUTE(SUBSTITUTE(SUBSTITUTE(B273,"~","~~"),"*","~*"),"?","~?"),Материалы!$S$4:$S$800)</f>
        <v/>
      </c>
      <c r="O273" s="4">
        <f>L273+M273+N273</f>
        <v/>
      </c>
      <c r="P273" s="4">
        <f>IF(SUM($O$4:$O$672)=0,0,Косвенные!$C$9*O273/SUM($O$4:$O$672))</f>
        <v/>
      </c>
      <c r="Q273" s="4">
        <f>G273*D273+P273</f>
        <v/>
      </c>
      <c r="R273" s="4">
        <f>IF(D273=0,0,Q273/D273)</f>
        <v/>
      </c>
      <c r="S273" s="4">
        <f>IF(D273=0,0,SUMIF(Материалы!$A$4:$A$800,SUBSTITUTE(SUBSTITUTE(SUBSTITUTE(B273,"~","~~"),"*","~*"),"?","~?"),Материалы!$T$4:$T$800)/D273)</f>
        <v/>
      </c>
      <c r="T273" s="4">
        <f>R273+S273</f>
        <v/>
      </c>
      <c r="U273" s="4">
        <f>I273*D273</f>
        <v/>
      </c>
    </row>
    <row r="274" ht="22" customHeight="1">
      <c r="A274" s="9" t="inlineStr"/>
      <c r="B274" s="13" t="inlineStr">
        <is>
          <t>272. Лампа накаливания 60 Вт</t>
        </is>
      </c>
      <c r="C274" s="9" t="inlineStr">
        <is>
          <t>шт.</t>
        </is>
      </c>
      <c r="D274" s="4">
        <f>IF('Форма'!G272="","",'Форма'!G272)</f>
        <v/>
      </c>
      <c r="E274" s="9" t="inlineStr">
        <is>
          <t>нет в тарификаторе</t>
        </is>
      </c>
      <c r="F274" s="9" t="inlineStr">
        <is>
          <t>ELM</t>
        </is>
      </c>
      <c r="G274" s="10" t="n">
        <v>313.5</v>
      </c>
      <c r="H274" s="10" t="n">
        <v>153</v>
      </c>
      <c r="I274" s="10" t="n">
        <v>0.15</v>
      </c>
      <c r="J274" s="9" t="inlineStr"/>
      <c r="K274" s="7">
        <f>IF(F274="",0,IFERROR(VLOOKUP(F274,Расходники!$A$4:$B$23,2,FALSE),0))</f>
        <v/>
      </c>
      <c r="L274" s="4">
        <f>H274*D274</f>
        <v/>
      </c>
      <c r="M274" s="4">
        <f>L274*K274</f>
        <v/>
      </c>
      <c r="N274" s="4">
        <f>SUMIF(Материалы!$A$4:$A$800,SUBSTITUTE(SUBSTITUTE(SUBSTITUTE(B274,"~","~~"),"*","~*"),"?","~?"),Материалы!$S$4:$S$800)</f>
        <v/>
      </c>
      <c r="O274" s="4">
        <f>L274+M274+N274</f>
        <v/>
      </c>
      <c r="P274" s="4">
        <f>IF(SUM($O$4:$O$672)=0,0,Косвенные!$C$9*O274/SUM($O$4:$O$672))</f>
        <v/>
      </c>
      <c r="Q274" s="4">
        <f>G274*D274+P274</f>
        <v/>
      </c>
      <c r="R274" s="4">
        <f>IF(D274=0,0,Q274/D274)</f>
        <v/>
      </c>
      <c r="S274" s="4">
        <f>IF(D274=0,0,SUMIF(Материалы!$A$4:$A$800,SUBSTITUTE(SUBSTITUTE(SUBSTITUTE(B274,"~","~~"),"*","~*"),"?","~?"),Материалы!$T$4:$T$800)/D274)</f>
        <v/>
      </c>
      <c r="T274" s="4">
        <f>R274+S274</f>
        <v/>
      </c>
      <c r="U274" s="4">
        <f>I274*D274</f>
        <v/>
      </c>
    </row>
    <row r="275" ht="22" customHeight="1">
      <c r="A275" s="9" t="inlineStr"/>
      <c r="B275" s="13" t="inlineStr">
        <is>
          <t>273. Лампа светодиодная T8 G13 1200мм, 18 Вт</t>
        </is>
      </c>
      <c r="C275" s="9" t="inlineStr">
        <is>
          <t>шт.</t>
        </is>
      </c>
      <c r="D275" s="4">
        <f>IF('Форма'!G273="","",'Форма'!G273)</f>
        <v/>
      </c>
      <c r="E275" s="9" t="inlineStr">
        <is>
          <t>нет в тарификаторе</t>
        </is>
      </c>
      <c r="F275" s="9" t="inlineStr">
        <is>
          <t>ELM</t>
        </is>
      </c>
      <c r="G275" s="10" t="n">
        <v>313.5</v>
      </c>
      <c r="H275" s="10" t="n">
        <v>153</v>
      </c>
      <c r="I275" s="10" t="n">
        <v>0.15</v>
      </c>
      <c r="J275" s="9" t="inlineStr"/>
      <c r="K275" s="7">
        <f>IF(F275="",0,IFERROR(VLOOKUP(F275,Расходники!$A$4:$B$23,2,FALSE),0))</f>
        <v/>
      </c>
      <c r="L275" s="4">
        <f>H275*D275</f>
        <v/>
      </c>
      <c r="M275" s="4">
        <f>L275*K275</f>
        <v/>
      </c>
      <c r="N275" s="4">
        <f>SUMIF(Материалы!$A$4:$A$800,SUBSTITUTE(SUBSTITUTE(SUBSTITUTE(B275,"~","~~"),"*","~*"),"?","~?"),Материалы!$S$4:$S$800)</f>
        <v/>
      </c>
      <c r="O275" s="4">
        <f>L275+M275+N275</f>
        <v/>
      </c>
      <c r="P275" s="4">
        <f>IF(SUM($O$4:$O$672)=0,0,Косвенные!$C$9*O275/SUM($O$4:$O$672))</f>
        <v/>
      </c>
      <c r="Q275" s="4">
        <f>G275*D275+P275</f>
        <v/>
      </c>
      <c r="R275" s="4">
        <f>IF(D275=0,0,Q275/D275)</f>
        <v/>
      </c>
      <c r="S275" s="4">
        <f>IF(D275=0,0,SUMIF(Материалы!$A$4:$A$800,SUBSTITUTE(SUBSTITUTE(SUBSTITUTE(B275,"~","~~"),"*","~*"),"?","~?"),Материалы!$T$4:$T$800)/D275)</f>
        <v/>
      </c>
      <c r="T275" s="4">
        <f>R275+S275</f>
        <v/>
      </c>
      <c r="U275" s="4">
        <f>I275*D275</f>
        <v/>
      </c>
    </row>
    <row r="276" ht="22" customHeight="1">
      <c r="A276" s="9" t="inlineStr"/>
      <c r="B276" s="13" t="inlineStr">
        <is>
          <t>274. Лампа светодиодная E27, 7-10 Вт</t>
        </is>
      </c>
      <c r="C276" s="9" t="inlineStr">
        <is>
          <t>шт.</t>
        </is>
      </c>
      <c r="D276" s="4">
        <f>IF('Форма'!G274="","",'Форма'!G274)</f>
        <v/>
      </c>
      <c r="E276" s="9" t="inlineStr">
        <is>
          <t>нет в тарификаторе</t>
        </is>
      </c>
      <c r="F276" s="9" t="inlineStr">
        <is>
          <t>ELM</t>
        </is>
      </c>
      <c r="G276" s="10" t="n">
        <v>313.5</v>
      </c>
      <c r="H276" s="10" t="n">
        <v>153</v>
      </c>
      <c r="I276" s="10" t="n">
        <v>0.15</v>
      </c>
      <c r="J276" s="9" t="inlineStr"/>
      <c r="K276" s="7">
        <f>IF(F276="",0,IFERROR(VLOOKUP(F276,Расходники!$A$4:$B$23,2,FALSE),0))</f>
        <v/>
      </c>
      <c r="L276" s="4">
        <f>H276*D276</f>
        <v/>
      </c>
      <c r="M276" s="4">
        <f>L276*K276</f>
        <v/>
      </c>
      <c r="N276" s="4">
        <f>SUMIF(Материалы!$A$4:$A$800,SUBSTITUTE(SUBSTITUTE(SUBSTITUTE(B276,"~","~~"),"*","~*"),"?","~?"),Материалы!$S$4:$S$800)</f>
        <v/>
      </c>
      <c r="O276" s="4">
        <f>L276+M276+N276</f>
        <v/>
      </c>
      <c r="P276" s="4">
        <f>IF(SUM($O$4:$O$672)=0,0,Косвенные!$C$9*O276/SUM($O$4:$O$672))</f>
        <v/>
      </c>
      <c r="Q276" s="4">
        <f>G276*D276+P276</f>
        <v/>
      </c>
      <c r="R276" s="4">
        <f>IF(D276=0,0,Q276/D276)</f>
        <v/>
      </c>
      <c r="S276" s="4">
        <f>IF(D276=0,0,SUMIF(Материалы!$A$4:$A$800,SUBSTITUTE(SUBSTITUTE(SUBSTITUTE(B276,"~","~~"),"*","~*"),"?","~?"),Материалы!$T$4:$T$800)/D276)</f>
        <v/>
      </c>
      <c r="T276" s="4">
        <f>R276+S276</f>
        <v/>
      </c>
      <c r="U276" s="4">
        <f>I276*D276</f>
        <v/>
      </c>
    </row>
    <row r="277" ht="22" customHeight="1">
      <c r="A277" s="9" t="inlineStr"/>
      <c r="B277" s="13" t="inlineStr">
        <is>
          <t>275. Блок распределительный 4P 125A BRTC125A(АВВ) или аналог</t>
        </is>
      </c>
      <c r="C277" s="9" t="inlineStr">
        <is>
          <t>шт.</t>
        </is>
      </c>
      <c r="D277" s="4">
        <f>IF('Форма'!G275="","",'Форма'!G275)</f>
        <v/>
      </c>
      <c r="E277" s="9" t="inlineStr">
        <is>
          <t>нет в тарификаторе</t>
        </is>
      </c>
      <c r="F277" s="9" t="inlineStr">
        <is>
          <t>ELM</t>
        </is>
      </c>
      <c r="G277" s="10" t="n">
        <v>1254</v>
      </c>
      <c r="H277" s="10" t="n">
        <v>612</v>
      </c>
      <c r="I277" s="10" t="n">
        <v>0.6</v>
      </c>
      <c r="J277" s="9" t="inlineStr"/>
      <c r="K277" s="7">
        <f>IF(F277="",0,IFERROR(VLOOKUP(F277,Расходники!$A$4:$B$23,2,FALSE),0))</f>
        <v/>
      </c>
      <c r="L277" s="4">
        <f>H277*D277</f>
        <v/>
      </c>
      <c r="M277" s="4">
        <f>L277*K277</f>
        <v/>
      </c>
      <c r="N277" s="4">
        <f>SUMIF(Материалы!$A$4:$A$800,SUBSTITUTE(SUBSTITUTE(SUBSTITUTE(B277,"~","~~"),"*","~*"),"?","~?"),Материалы!$S$4:$S$800)</f>
        <v/>
      </c>
      <c r="O277" s="4">
        <f>L277+M277+N277</f>
        <v/>
      </c>
      <c r="P277" s="4">
        <f>IF(SUM($O$4:$O$672)=0,0,Косвенные!$C$9*O277/SUM($O$4:$O$672))</f>
        <v/>
      </c>
      <c r="Q277" s="4">
        <f>G277*D277+P277</f>
        <v/>
      </c>
      <c r="R277" s="4">
        <f>IF(D277=0,0,Q277/D277)</f>
        <v/>
      </c>
      <c r="S277" s="4">
        <f>IF(D277=0,0,SUMIF(Материалы!$A$4:$A$800,SUBSTITUTE(SUBSTITUTE(SUBSTITUTE(B277,"~","~~"),"*","~*"),"?","~?"),Материалы!$T$4:$T$800)/D277)</f>
        <v/>
      </c>
      <c r="T277" s="4">
        <f>R277+S277</f>
        <v/>
      </c>
      <c r="U277" s="4">
        <f>I277*D277</f>
        <v/>
      </c>
    </row>
    <row r="278" ht="22" customHeight="1">
      <c r="A278" s="9" t="inlineStr"/>
      <c r="B278" s="13" t="inlineStr">
        <is>
          <t>276. Кросс-модуль на DIN-рейку 2х7 групп 100А ШН-103</t>
        </is>
      </c>
      <c r="C278" s="9" t="inlineStr">
        <is>
          <t>шт.</t>
        </is>
      </c>
      <c r="D278" s="4">
        <f>IF('Форма'!G276="","",'Форма'!G276)</f>
        <v/>
      </c>
      <c r="E278" s="9" t="inlineStr">
        <is>
          <t>нет в тарификаторе</t>
        </is>
      </c>
      <c r="F278" s="9" t="inlineStr">
        <is>
          <t>ELM</t>
        </is>
      </c>
      <c r="G278" s="10" t="n">
        <v>1254</v>
      </c>
      <c r="H278" s="10" t="n">
        <v>612</v>
      </c>
      <c r="I278" s="10" t="n">
        <v>0.6</v>
      </c>
      <c r="J278" s="9" t="inlineStr"/>
      <c r="K278" s="7">
        <f>IF(F278="",0,IFERROR(VLOOKUP(F278,Расходники!$A$4:$B$23,2,FALSE),0))</f>
        <v/>
      </c>
      <c r="L278" s="4">
        <f>H278*D278</f>
        <v/>
      </c>
      <c r="M278" s="4">
        <f>L278*K278</f>
        <v/>
      </c>
      <c r="N278" s="4">
        <f>SUMIF(Материалы!$A$4:$A$800,SUBSTITUTE(SUBSTITUTE(SUBSTITUTE(B278,"~","~~"),"*","~*"),"?","~?"),Материалы!$S$4:$S$800)</f>
        <v/>
      </c>
      <c r="O278" s="4">
        <f>L278+M278+N278</f>
        <v/>
      </c>
      <c r="P278" s="4">
        <f>IF(SUM($O$4:$O$672)=0,0,Косвенные!$C$9*O278/SUM($O$4:$O$672))</f>
        <v/>
      </c>
      <c r="Q278" s="4">
        <f>G278*D278+P278</f>
        <v/>
      </c>
      <c r="R278" s="4">
        <f>IF(D278=0,0,Q278/D278)</f>
        <v/>
      </c>
      <c r="S278" s="4">
        <f>IF(D278=0,0,SUMIF(Материалы!$A$4:$A$800,SUBSTITUTE(SUBSTITUTE(SUBSTITUTE(B278,"~","~~"),"*","~*"),"?","~?"),Материалы!$T$4:$T$800)/D278)</f>
        <v/>
      </c>
      <c r="T278" s="4">
        <f>R278+S278</f>
        <v/>
      </c>
      <c r="U278" s="4">
        <f>I278*D278</f>
        <v/>
      </c>
    </row>
    <row r="279" ht="22" customHeight="1">
      <c r="A279" s="9" t="inlineStr"/>
      <c r="B279" s="13" t="inlineStr">
        <is>
          <t>277. Кросс-модуль на DIN-рейку 4х7 групп 100А ШН-103</t>
        </is>
      </c>
      <c r="C279" s="9" t="inlineStr">
        <is>
          <t>шт.</t>
        </is>
      </c>
      <c r="D279" s="4">
        <f>IF('Форма'!G277="","",'Форма'!G277)</f>
        <v/>
      </c>
      <c r="E279" s="9" t="inlineStr">
        <is>
          <t>нет в тарификаторе</t>
        </is>
      </c>
      <c r="F279" s="9" t="inlineStr">
        <is>
          <t>ELM</t>
        </is>
      </c>
      <c r="G279" s="10" t="n">
        <v>1254</v>
      </c>
      <c r="H279" s="10" t="n">
        <v>612</v>
      </c>
      <c r="I279" s="10" t="n">
        <v>0.6</v>
      </c>
      <c r="J279" s="9" t="inlineStr"/>
      <c r="K279" s="7">
        <f>IF(F279="",0,IFERROR(VLOOKUP(F279,Расходники!$A$4:$B$23,2,FALSE),0))</f>
        <v/>
      </c>
      <c r="L279" s="4">
        <f>H279*D279</f>
        <v/>
      </c>
      <c r="M279" s="4">
        <f>L279*K279</f>
        <v/>
      </c>
      <c r="N279" s="4">
        <f>SUMIF(Материалы!$A$4:$A$800,SUBSTITUTE(SUBSTITUTE(SUBSTITUTE(B279,"~","~~"),"*","~*"),"?","~?"),Материалы!$S$4:$S$800)</f>
        <v/>
      </c>
      <c r="O279" s="4">
        <f>L279+M279+N279</f>
        <v/>
      </c>
      <c r="P279" s="4">
        <f>IF(SUM($O$4:$O$672)=0,0,Косвенные!$C$9*O279/SUM($O$4:$O$672))</f>
        <v/>
      </c>
      <c r="Q279" s="4">
        <f>G279*D279+P279</f>
        <v/>
      </c>
      <c r="R279" s="4">
        <f>IF(D279=0,0,Q279/D279)</f>
        <v/>
      </c>
      <c r="S279" s="4">
        <f>IF(D279=0,0,SUMIF(Материалы!$A$4:$A$800,SUBSTITUTE(SUBSTITUTE(SUBSTITUTE(B279,"~","~~"),"*","~*"),"?","~?"),Материалы!$T$4:$T$800)/D279)</f>
        <v/>
      </c>
      <c r="T279" s="4">
        <f>R279+S279</f>
        <v/>
      </c>
      <c r="U279" s="4">
        <f>I279*D279</f>
        <v/>
      </c>
    </row>
    <row r="280" ht="22" customHeight="1">
      <c r="A280" s="9" t="inlineStr"/>
      <c r="B280" s="13" t="inlineStr">
        <is>
          <t>278. Шина комплектная 1ф 12 модулей 63А (АВВ) или аналог</t>
        </is>
      </c>
      <c r="C280" s="9" t="inlineStr">
        <is>
          <t>шт.</t>
        </is>
      </c>
      <c r="D280" s="4">
        <f>IF('Форма'!G278="","",'Форма'!G278)</f>
        <v/>
      </c>
      <c r="E280" s="9" t="inlineStr">
        <is>
          <t>нет в тарификаторе</t>
        </is>
      </c>
      <c r="F280" s="9" t="inlineStr">
        <is>
          <t>ELM</t>
        </is>
      </c>
      <c r="G280" s="10" t="n">
        <v>1254</v>
      </c>
      <c r="H280" s="10" t="n">
        <v>612</v>
      </c>
      <c r="I280" s="10" t="n">
        <v>0.6</v>
      </c>
      <c r="J280" s="9" t="inlineStr"/>
      <c r="K280" s="7">
        <f>IF(F280="",0,IFERROR(VLOOKUP(F280,Расходники!$A$4:$B$23,2,FALSE),0))</f>
        <v/>
      </c>
      <c r="L280" s="4">
        <f>H280*D280</f>
        <v/>
      </c>
      <c r="M280" s="4">
        <f>L280*K280</f>
        <v/>
      </c>
      <c r="N280" s="4">
        <f>SUMIF(Материалы!$A$4:$A$800,SUBSTITUTE(SUBSTITUTE(SUBSTITUTE(B280,"~","~~"),"*","~*"),"?","~?"),Материалы!$S$4:$S$800)</f>
        <v/>
      </c>
      <c r="O280" s="4">
        <f>L280+M280+N280</f>
        <v/>
      </c>
      <c r="P280" s="4">
        <f>IF(SUM($O$4:$O$672)=0,0,Косвенные!$C$9*O280/SUM($O$4:$O$672))</f>
        <v/>
      </c>
      <c r="Q280" s="4">
        <f>G280*D280+P280</f>
        <v/>
      </c>
      <c r="R280" s="4">
        <f>IF(D280=0,0,Q280/D280)</f>
        <v/>
      </c>
      <c r="S280" s="4">
        <f>IF(D280=0,0,SUMIF(Материалы!$A$4:$A$800,SUBSTITUTE(SUBSTITUTE(SUBSTITUTE(B280,"~","~~"),"*","~*"),"?","~?"),Материалы!$T$4:$T$800)/D280)</f>
        <v/>
      </c>
      <c r="T280" s="4">
        <f>R280+S280</f>
        <v/>
      </c>
      <c r="U280" s="4">
        <f>I280*D280</f>
        <v/>
      </c>
    </row>
    <row r="281" ht="22" customHeight="1">
      <c r="A281" s="9" t="inlineStr"/>
      <c r="B281" s="13" t="inlineStr">
        <is>
          <t>279. Шина комплектная 2ф 12 модулей 63А (АВВ) или аналог</t>
        </is>
      </c>
      <c r="C281" s="9" t="inlineStr">
        <is>
          <t>шт.</t>
        </is>
      </c>
      <c r="D281" s="4">
        <f>IF('Форма'!G279="","",'Форма'!G279)</f>
        <v/>
      </c>
      <c r="E281" s="9" t="inlineStr">
        <is>
          <t>нет в тарификаторе</t>
        </is>
      </c>
      <c r="F281" s="9" t="inlineStr">
        <is>
          <t>ELM</t>
        </is>
      </c>
      <c r="G281" s="10" t="n">
        <v>1254</v>
      </c>
      <c r="H281" s="10" t="n">
        <v>612</v>
      </c>
      <c r="I281" s="10" t="n">
        <v>0.6</v>
      </c>
      <c r="J281" s="9" t="inlineStr"/>
      <c r="K281" s="7">
        <f>IF(F281="",0,IFERROR(VLOOKUP(F281,Расходники!$A$4:$B$23,2,FALSE),0))</f>
        <v/>
      </c>
      <c r="L281" s="4">
        <f>H281*D281</f>
        <v/>
      </c>
      <c r="M281" s="4">
        <f>L281*K281</f>
        <v/>
      </c>
      <c r="N281" s="4">
        <f>SUMIF(Материалы!$A$4:$A$800,SUBSTITUTE(SUBSTITUTE(SUBSTITUTE(B281,"~","~~"),"*","~*"),"?","~?"),Материалы!$S$4:$S$800)</f>
        <v/>
      </c>
      <c r="O281" s="4">
        <f>L281+M281+N281</f>
        <v/>
      </c>
      <c r="P281" s="4">
        <f>IF(SUM($O$4:$O$672)=0,0,Косвенные!$C$9*O281/SUM($O$4:$O$672))</f>
        <v/>
      </c>
      <c r="Q281" s="4">
        <f>G281*D281+P281</f>
        <v/>
      </c>
      <c r="R281" s="4">
        <f>IF(D281=0,0,Q281/D281)</f>
        <v/>
      </c>
      <c r="S281" s="4">
        <f>IF(D281=0,0,SUMIF(Материалы!$A$4:$A$800,SUBSTITUTE(SUBSTITUTE(SUBSTITUTE(B281,"~","~~"),"*","~*"),"?","~?"),Материалы!$T$4:$T$800)/D281)</f>
        <v/>
      </c>
      <c r="T281" s="4">
        <f>R281+S281</f>
        <v/>
      </c>
      <c r="U281" s="4">
        <f>I281*D281</f>
        <v/>
      </c>
    </row>
    <row r="282" ht="22" customHeight="1">
      <c r="A282" s="9" t="inlineStr"/>
      <c r="B282" s="13" t="inlineStr">
        <is>
          <t>280. Шина комплектная 3ф 12 модулей 63А (АВВ) или аналог</t>
        </is>
      </c>
      <c r="C282" s="9" t="inlineStr">
        <is>
          <t>шт.</t>
        </is>
      </c>
      <c r="D282" s="4">
        <f>IF('Форма'!G280="","",'Форма'!G280)</f>
        <v/>
      </c>
      <c r="E282" s="9" t="inlineStr">
        <is>
          <t>нет в тарификаторе</t>
        </is>
      </c>
      <c r="F282" s="9" t="inlineStr">
        <is>
          <t>ELM</t>
        </is>
      </c>
      <c r="G282" s="10" t="n">
        <v>1254</v>
      </c>
      <c r="H282" s="10" t="n">
        <v>612</v>
      </c>
      <c r="I282" s="10" t="n">
        <v>0.6</v>
      </c>
      <c r="J282" s="9" t="inlineStr"/>
      <c r="K282" s="7">
        <f>IF(F282="",0,IFERROR(VLOOKUP(F282,Расходники!$A$4:$B$23,2,FALSE),0))</f>
        <v/>
      </c>
      <c r="L282" s="4">
        <f>H282*D282</f>
        <v/>
      </c>
      <c r="M282" s="4">
        <f>L282*K282</f>
        <v/>
      </c>
      <c r="N282" s="4">
        <f>SUMIF(Материалы!$A$4:$A$800,SUBSTITUTE(SUBSTITUTE(SUBSTITUTE(B282,"~","~~"),"*","~*"),"?","~?"),Материалы!$S$4:$S$800)</f>
        <v/>
      </c>
      <c r="O282" s="4">
        <f>L282+M282+N282</f>
        <v/>
      </c>
      <c r="P282" s="4">
        <f>IF(SUM($O$4:$O$672)=0,0,Косвенные!$C$9*O282/SUM($O$4:$O$672))</f>
        <v/>
      </c>
      <c r="Q282" s="4">
        <f>G282*D282+P282</f>
        <v/>
      </c>
      <c r="R282" s="4">
        <f>IF(D282=0,0,Q282/D282)</f>
        <v/>
      </c>
      <c r="S282" s="4">
        <f>IF(D282=0,0,SUMIF(Материалы!$A$4:$A$800,SUBSTITUTE(SUBSTITUTE(SUBSTITUTE(B282,"~","~~"),"*","~*"),"?","~?"),Материалы!$T$4:$T$800)/D282)</f>
        <v/>
      </c>
      <c r="T282" s="4">
        <f>R282+S282</f>
        <v/>
      </c>
      <c r="U282" s="4">
        <f>I282*D282</f>
        <v/>
      </c>
    </row>
    <row r="283" ht="22" customHeight="1">
      <c r="A283" s="9" t="inlineStr"/>
      <c r="B283" s="13" t="inlineStr">
        <is>
          <t>281. Шина нулевая на DIN-изоляции Стойка ШНИ- 8х12-12</t>
        </is>
      </c>
      <c r="C283" s="9" t="inlineStr">
        <is>
          <t>шт.</t>
        </is>
      </c>
      <c r="D283" s="4">
        <f>IF('Форма'!G281="","",'Форма'!G281)</f>
        <v/>
      </c>
      <c r="E283" s="9" t="inlineStr">
        <is>
          <t>нет в тарификаторе</t>
        </is>
      </c>
      <c r="F283" s="9" t="inlineStr">
        <is>
          <t>ELM</t>
        </is>
      </c>
      <c r="G283" s="10" t="n">
        <v>1254</v>
      </c>
      <c r="H283" s="10" t="n">
        <v>612</v>
      </c>
      <c r="I283" s="10" t="n">
        <v>0.6</v>
      </c>
      <c r="J283" s="9" t="inlineStr"/>
      <c r="K283" s="7">
        <f>IF(F283="",0,IFERROR(VLOOKUP(F283,Расходники!$A$4:$B$23,2,FALSE),0))</f>
        <v/>
      </c>
      <c r="L283" s="4">
        <f>H283*D283</f>
        <v/>
      </c>
      <c r="M283" s="4">
        <f>L283*K283</f>
        <v/>
      </c>
      <c r="N283" s="4">
        <f>SUMIF(Материалы!$A$4:$A$800,SUBSTITUTE(SUBSTITUTE(SUBSTITUTE(B283,"~","~~"),"*","~*"),"?","~?"),Материалы!$S$4:$S$800)</f>
        <v/>
      </c>
      <c r="O283" s="4">
        <f>L283+M283+N283</f>
        <v/>
      </c>
      <c r="P283" s="4">
        <f>IF(SUM($O$4:$O$672)=0,0,Косвенные!$C$9*O283/SUM($O$4:$O$672))</f>
        <v/>
      </c>
      <c r="Q283" s="4">
        <f>G283*D283+P283</f>
        <v/>
      </c>
      <c r="R283" s="4">
        <f>IF(D283=0,0,Q283/D283)</f>
        <v/>
      </c>
      <c r="S283" s="4">
        <f>IF(D283=0,0,SUMIF(Материалы!$A$4:$A$800,SUBSTITUTE(SUBSTITUTE(SUBSTITUTE(B283,"~","~~"),"*","~*"),"?","~?"),Материалы!$T$4:$T$800)/D283)</f>
        <v/>
      </c>
      <c r="T283" s="4">
        <f>R283+S283</f>
        <v/>
      </c>
      <c r="U283" s="4">
        <f>I283*D283</f>
        <v/>
      </c>
    </row>
    <row r="284" ht="22" customHeight="1">
      <c r="A284" s="9" t="inlineStr"/>
      <c r="B284" s="13" t="inlineStr">
        <is>
          <t>282. Лоток проволочный F5 Combitech 50х50х3000(DKC)</t>
        </is>
      </c>
      <c r="C284" s="9" t="inlineStr">
        <is>
          <t>шт</t>
        </is>
      </c>
      <c r="D284" s="4">
        <f>IF('Форма'!G282="","",'Форма'!G282)</f>
        <v/>
      </c>
      <c r="E284" s="9" t="inlineStr">
        <is>
          <t>аналог (10.2.31)</t>
        </is>
      </c>
      <c r="F284" s="9" t="inlineStr">
        <is>
          <t>ELM</t>
        </is>
      </c>
      <c r="G284" s="10" t="n">
        <v>731.5</v>
      </c>
      <c r="H284" s="10" t="n">
        <v>357</v>
      </c>
      <c r="I284" s="10" t="n">
        <v>0.35</v>
      </c>
      <c r="J284" s="9" t="inlineStr"/>
      <c r="K284" s="7">
        <f>IF(F284="",0,IFERROR(VLOOKUP(F284,Расходники!$A$4:$B$23,2,FALSE),0))</f>
        <v/>
      </c>
      <c r="L284" s="4">
        <f>H284*D284</f>
        <v/>
      </c>
      <c r="M284" s="4">
        <f>L284*K284</f>
        <v/>
      </c>
      <c r="N284" s="4">
        <f>SUMIF(Материалы!$A$4:$A$800,SUBSTITUTE(SUBSTITUTE(SUBSTITUTE(B284,"~","~~"),"*","~*"),"?","~?"),Материалы!$S$4:$S$800)</f>
        <v/>
      </c>
      <c r="O284" s="4">
        <f>L284+M284+N284</f>
        <v/>
      </c>
      <c r="P284" s="4">
        <f>IF(SUM($O$4:$O$672)=0,0,Косвенные!$C$9*O284/SUM($O$4:$O$672))</f>
        <v/>
      </c>
      <c r="Q284" s="4">
        <f>G284*D284+P284</f>
        <v/>
      </c>
      <c r="R284" s="4">
        <f>IF(D284=0,0,Q284/D284)</f>
        <v/>
      </c>
      <c r="S284" s="4">
        <f>IF(D284=0,0,SUMIF(Материалы!$A$4:$A$800,SUBSTITUTE(SUBSTITUTE(SUBSTITUTE(B284,"~","~~"),"*","~*"),"?","~?"),Материалы!$T$4:$T$800)/D284)</f>
        <v/>
      </c>
      <c r="T284" s="4">
        <f>R284+S284</f>
        <v/>
      </c>
      <c r="U284" s="4">
        <f>I284*D284</f>
        <v/>
      </c>
    </row>
    <row r="285" ht="22" customHeight="1">
      <c r="A285" s="9" t="inlineStr"/>
      <c r="B285" s="13" t="inlineStr">
        <is>
          <t>283. Лоток проволочный F5 Combitech 100х50х3000(DKC)</t>
        </is>
      </c>
      <c r="C285" s="9" t="inlineStr">
        <is>
          <t>шт</t>
        </is>
      </c>
      <c r="D285" s="4">
        <f>IF('Форма'!G283="","",'Форма'!G283)</f>
        <v/>
      </c>
      <c r="E285" s="9" t="inlineStr">
        <is>
          <t>аналог (10.2.31)</t>
        </is>
      </c>
      <c r="F285" s="9" t="inlineStr">
        <is>
          <t>ELM</t>
        </is>
      </c>
      <c r="G285" s="10" t="n">
        <v>731.5</v>
      </c>
      <c r="H285" s="10" t="n">
        <v>357</v>
      </c>
      <c r="I285" s="10" t="n">
        <v>0.35</v>
      </c>
      <c r="J285" s="9" t="inlineStr"/>
      <c r="K285" s="7">
        <f>IF(F285="",0,IFERROR(VLOOKUP(F285,Расходники!$A$4:$B$23,2,FALSE),0))</f>
        <v/>
      </c>
      <c r="L285" s="4">
        <f>H285*D285</f>
        <v/>
      </c>
      <c r="M285" s="4">
        <f>L285*K285</f>
        <v/>
      </c>
      <c r="N285" s="4">
        <f>SUMIF(Материалы!$A$4:$A$800,SUBSTITUTE(SUBSTITUTE(SUBSTITUTE(B285,"~","~~"),"*","~*"),"?","~?"),Материалы!$S$4:$S$800)</f>
        <v/>
      </c>
      <c r="O285" s="4">
        <f>L285+M285+N285</f>
        <v/>
      </c>
      <c r="P285" s="4">
        <f>IF(SUM($O$4:$O$672)=0,0,Косвенные!$C$9*O285/SUM($O$4:$O$672))</f>
        <v/>
      </c>
      <c r="Q285" s="4">
        <f>G285*D285+P285</f>
        <v/>
      </c>
      <c r="R285" s="4">
        <f>IF(D285=0,0,Q285/D285)</f>
        <v/>
      </c>
      <c r="S285" s="4">
        <f>IF(D285=0,0,SUMIF(Материалы!$A$4:$A$800,SUBSTITUTE(SUBSTITUTE(SUBSTITUTE(B285,"~","~~"),"*","~*"),"?","~?"),Материалы!$T$4:$T$800)/D285)</f>
        <v/>
      </c>
      <c r="T285" s="4">
        <f>R285+S285</f>
        <v/>
      </c>
      <c r="U285" s="4">
        <f>I285*D285</f>
        <v/>
      </c>
    </row>
    <row r="286" ht="22" customHeight="1">
      <c r="A286" s="9" t="inlineStr"/>
      <c r="B286" s="13" t="inlineStr">
        <is>
          <t>284. Лоток проволочный F5 Combitech 200х50х3000(DKC)</t>
        </is>
      </c>
      <c r="C286" s="9" t="inlineStr">
        <is>
          <t>шт</t>
        </is>
      </c>
      <c r="D286" s="4">
        <f>IF('Форма'!G284="","",'Форма'!G284)</f>
        <v/>
      </c>
      <c r="E286" s="9" t="inlineStr">
        <is>
          <t>аналог (10.2.31)</t>
        </is>
      </c>
      <c r="F286" s="9" t="inlineStr">
        <is>
          <t>ELM</t>
        </is>
      </c>
      <c r="G286" s="10" t="n">
        <v>731.5</v>
      </c>
      <c r="H286" s="10" t="n">
        <v>357</v>
      </c>
      <c r="I286" s="10" t="n">
        <v>0.35</v>
      </c>
      <c r="J286" s="9" t="inlineStr"/>
      <c r="K286" s="7">
        <f>IF(F286="",0,IFERROR(VLOOKUP(F286,Расходники!$A$4:$B$23,2,FALSE),0))</f>
        <v/>
      </c>
      <c r="L286" s="4">
        <f>H286*D286</f>
        <v/>
      </c>
      <c r="M286" s="4">
        <f>L286*K286</f>
        <v/>
      </c>
      <c r="N286" s="4">
        <f>SUMIF(Материалы!$A$4:$A$800,SUBSTITUTE(SUBSTITUTE(SUBSTITUTE(B286,"~","~~"),"*","~*"),"?","~?"),Материалы!$S$4:$S$800)</f>
        <v/>
      </c>
      <c r="O286" s="4">
        <f>L286+M286+N286</f>
        <v/>
      </c>
      <c r="P286" s="4">
        <f>IF(SUM($O$4:$O$672)=0,0,Косвенные!$C$9*O286/SUM($O$4:$O$672))</f>
        <v/>
      </c>
      <c r="Q286" s="4">
        <f>G286*D286+P286</f>
        <v/>
      </c>
      <c r="R286" s="4">
        <f>IF(D286=0,0,Q286/D286)</f>
        <v/>
      </c>
      <c r="S286" s="4">
        <f>IF(D286=0,0,SUMIF(Материалы!$A$4:$A$800,SUBSTITUTE(SUBSTITUTE(SUBSTITUTE(B286,"~","~~"),"*","~*"),"?","~?"),Материалы!$T$4:$T$800)/D286)</f>
        <v/>
      </c>
      <c r="T286" s="4">
        <f>R286+S286</f>
        <v/>
      </c>
      <c r="U286" s="4">
        <f>I286*D286</f>
        <v/>
      </c>
    </row>
    <row r="287" ht="22" customHeight="1">
      <c r="A287" s="9" t="inlineStr"/>
      <c r="B287" s="13" t="inlineStr">
        <is>
          <t>285. Лоток перфорированный S5 Combitech 50х50х3000(DKC)</t>
        </is>
      </c>
      <c r="C287" s="9" t="inlineStr">
        <is>
          <t>шт</t>
        </is>
      </c>
      <c r="D287" s="4">
        <f>IF('Форма'!G285="","",'Форма'!G285)</f>
        <v/>
      </c>
      <c r="E287" s="9" t="inlineStr">
        <is>
          <t>аналог (10.2.31)</t>
        </is>
      </c>
      <c r="F287" s="9" t="inlineStr">
        <is>
          <t>ELM</t>
        </is>
      </c>
      <c r="G287" s="10" t="n">
        <v>731.5</v>
      </c>
      <c r="H287" s="10" t="n">
        <v>357</v>
      </c>
      <c r="I287" s="10" t="n">
        <v>0.35</v>
      </c>
      <c r="J287" s="9" t="inlineStr"/>
      <c r="K287" s="7">
        <f>IF(F287="",0,IFERROR(VLOOKUP(F287,Расходники!$A$4:$B$23,2,FALSE),0))</f>
        <v/>
      </c>
      <c r="L287" s="4">
        <f>H287*D287</f>
        <v/>
      </c>
      <c r="M287" s="4">
        <f>L287*K287</f>
        <v/>
      </c>
      <c r="N287" s="4">
        <f>SUMIF(Материалы!$A$4:$A$800,SUBSTITUTE(SUBSTITUTE(SUBSTITUTE(B287,"~","~~"),"*","~*"),"?","~?"),Материалы!$S$4:$S$800)</f>
        <v/>
      </c>
      <c r="O287" s="4">
        <f>L287+M287+N287</f>
        <v/>
      </c>
      <c r="P287" s="4">
        <f>IF(SUM($O$4:$O$672)=0,0,Косвенные!$C$9*O287/SUM($O$4:$O$672))</f>
        <v/>
      </c>
      <c r="Q287" s="4">
        <f>G287*D287+P287</f>
        <v/>
      </c>
      <c r="R287" s="4">
        <f>IF(D287=0,0,Q287/D287)</f>
        <v/>
      </c>
      <c r="S287" s="4">
        <f>IF(D287=0,0,SUMIF(Материалы!$A$4:$A$800,SUBSTITUTE(SUBSTITUTE(SUBSTITUTE(B287,"~","~~"),"*","~*"),"?","~?"),Материалы!$T$4:$T$800)/D287)</f>
        <v/>
      </c>
      <c r="T287" s="4">
        <f>R287+S287</f>
        <v/>
      </c>
      <c r="U287" s="4">
        <f>I287*D287</f>
        <v/>
      </c>
    </row>
    <row r="288" ht="22" customHeight="1">
      <c r="A288" s="9" t="inlineStr"/>
      <c r="B288" s="13" t="inlineStr">
        <is>
          <t>286. Лоток перфорированный S5 Combitech100х50х3000 (DKC)</t>
        </is>
      </c>
      <c r="C288" s="9" t="inlineStr">
        <is>
          <t>шт</t>
        </is>
      </c>
      <c r="D288" s="4">
        <f>IF('Форма'!G286="","",'Форма'!G286)</f>
        <v/>
      </c>
      <c r="E288" s="9" t="inlineStr">
        <is>
          <t>аналог (10.2.31)</t>
        </is>
      </c>
      <c r="F288" s="9" t="inlineStr">
        <is>
          <t>ELM</t>
        </is>
      </c>
      <c r="G288" s="10" t="n">
        <v>731.5</v>
      </c>
      <c r="H288" s="10" t="n">
        <v>357</v>
      </c>
      <c r="I288" s="10" t="n">
        <v>0.35</v>
      </c>
      <c r="J288" s="9" t="inlineStr"/>
      <c r="K288" s="7">
        <f>IF(F288="",0,IFERROR(VLOOKUP(F288,Расходники!$A$4:$B$23,2,FALSE),0))</f>
        <v/>
      </c>
      <c r="L288" s="4">
        <f>H288*D288</f>
        <v/>
      </c>
      <c r="M288" s="4">
        <f>L288*K288</f>
        <v/>
      </c>
      <c r="N288" s="4">
        <f>SUMIF(Материалы!$A$4:$A$800,SUBSTITUTE(SUBSTITUTE(SUBSTITUTE(B288,"~","~~"),"*","~*"),"?","~?"),Материалы!$S$4:$S$800)</f>
        <v/>
      </c>
      <c r="O288" s="4">
        <f>L288+M288+N288</f>
        <v/>
      </c>
      <c r="P288" s="4">
        <f>IF(SUM($O$4:$O$672)=0,0,Косвенные!$C$9*O288/SUM($O$4:$O$672))</f>
        <v/>
      </c>
      <c r="Q288" s="4">
        <f>G288*D288+P288</f>
        <v/>
      </c>
      <c r="R288" s="4">
        <f>IF(D288=0,0,Q288/D288)</f>
        <v/>
      </c>
      <c r="S288" s="4">
        <f>IF(D288=0,0,SUMIF(Материалы!$A$4:$A$800,SUBSTITUTE(SUBSTITUTE(SUBSTITUTE(B288,"~","~~"),"*","~*"),"?","~?"),Материалы!$T$4:$T$800)/D288)</f>
        <v/>
      </c>
      <c r="T288" s="4">
        <f>R288+S288</f>
        <v/>
      </c>
      <c r="U288" s="4">
        <f>I288*D288</f>
        <v/>
      </c>
    </row>
    <row r="289" ht="22" customHeight="1">
      <c r="A289" s="9" t="inlineStr"/>
      <c r="B289" s="13" t="inlineStr">
        <is>
          <t>287. Лоток перфорированный S5 Combitech200х50х3000 (DKC)</t>
        </is>
      </c>
      <c r="C289" s="9" t="inlineStr">
        <is>
          <t>шт</t>
        </is>
      </c>
      <c r="D289" s="4">
        <f>IF('Форма'!G287="","",'Форма'!G287)</f>
        <v/>
      </c>
      <c r="E289" s="9" t="inlineStr">
        <is>
          <t>аналог (10.2.31)</t>
        </is>
      </c>
      <c r="F289" s="9" t="inlineStr">
        <is>
          <t>ELM</t>
        </is>
      </c>
      <c r="G289" s="10" t="n">
        <v>731.5</v>
      </c>
      <c r="H289" s="10" t="n">
        <v>357</v>
      </c>
      <c r="I289" s="10" t="n">
        <v>0.35</v>
      </c>
      <c r="J289" s="9" t="inlineStr"/>
      <c r="K289" s="7">
        <f>IF(F289="",0,IFERROR(VLOOKUP(F289,Расходники!$A$4:$B$23,2,FALSE),0))</f>
        <v/>
      </c>
      <c r="L289" s="4">
        <f>H289*D289</f>
        <v/>
      </c>
      <c r="M289" s="4">
        <f>L289*K289</f>
        <v/>
      </c>
      <c r="N289" s="4">
        <f>SUMIF(Материалы!$A$4:$A$800,SUBSTITUTE(SUBSTITUTE(SUBSTITUTE(B289,"~","~~"),"*","~*"),"?","~?"),Материалы!$S$4:$S$800)</f>
        <v/>
      </c>
      <c r="O289" s="4">
        <f>L289+M289+N289</f>
        <v/>
      </c>
      <c r="P289" s="4">
        <f>IF(SUM($O$4:$O$672)=0,0,Косвенные!$C$9*O289/SUM($O$4:$O$672))</f>
        <v/>
      </c>
      <c r="Q289" s="4">
        <f>G289*D289+P289</f>
        <v/>
      </c>
      <c r="R289" s="4">
        <f>IF(D289=0,0,Q289/D289)</f>
        <v/>
      </c>
      <c r="S289" s="4">
        <f>IF(D289=0,0,SUMIF(Материалы!$A$4:$A$800,SUBSTITUTE(SUBSTITUTE(SUBSTITUTE(B289,"~","~~"),"*","~*"),"?","~?"),Материалы!$T$4:$T$800)/D289)</f>
        <v/>
      </c>
      <c r="T289" s="4">
        <f>R289+S289</f>
        <v/>
      </c>
      <c r="U289" s="4">
        <f>I289*D289</f>
        <v/>
      </c>
    </row>
    <row r="290" ht="22" customHeight="1">
      <c r="A290" s="9" t="inlineStr"/>
      <c r="B290" s="13" t="inlineStr">
        <is>
          <t>288. крышка лотка перфорированная S5 Combitech50х15х3000 (DKC)</t>
        </is>
      </c>
      <c r="C290" s="9" t="inlineStr">
        <is>
          <t>шт</t>
        </is>
      </c>
      <c r="D290" s="4">
        <f>IF('Форма'!G288="","",'Форма'!G288)</f>
        <v/>
      </c>
      <c r="E290" s="9" t="inlineStr">
        <is>
          <t>аналог (10.2.31)</t>
        </is>
      </c>
      <c r="F290" s="9" t="inlineStr">
        <is>
          <t>ELM</t>
        </is>
      </c>
      <c r="G290" s="10" t="n">
        <v>731.5</v>
      </c>
      <c r="H290" s="10" t="n">
        <v>357</v>
      </c>
      <c r="I290" s="10" t="n">
        <v>0.35</v>
      </c>
      <c r="J290" s="9" t="inlineStr"/>
      <c r="K290" s="7">
        <f>IF(F290="",0,IFERROR(VLOOKUP(F290,Расходники!$A$4:$B$23,2,FALSE),0))</f>
        <v/>
      </c>
      <c r="L290" s="4">
        <f>H290*D290</f>
        <v/>
      </c>
      <c r="M290" s="4">
        <f>L290*K290</f>
        <v/>
      </c>
      <c r="N290" s="4">
        <f>SUMIF(Материалы!$A$4:$A$800,SUBSTITUTE(SUBSTITUTE(SUBSTITUTE(B290,"~","~~"),"*","~*"),"?","~?"),Материалы!$S$4:$S$800)</f>
        <v/>
      </c>
      <c r="O290" s="4">
        <f>L290+M290+N290</f>
        <v/>
      </c>
      <c r="P290" s="4">
        <f>IF(SUM($O$4:$O$672)=0,0,Косвенные!$C$9*O290/SUM($O$4:$O$672))</f>
        <v/>
      </c>
      <c r="Q290" s="4">
        <f>G290*D290+P290</f>
        <v/>
      </c>
      <c r="R290" s="4">
        <f>IF(D290=0,0,Q290/D290)</f>
        <v/>
      </c>
      <c r="S290" s="4">
        <f>IF(D290=0,0,SUMIF(Материалы!$A$4:$A$800,SUBSTITUTE(SUBSTITUTE(SUBSTITUTE(B290,"~","~~"),"*","~*"),"?","~?"),Материалы!$T$4:$T$800)/D290)</f>
        <v/>
      </c>
      <c r="T290" s="4">
        <f>R290+S290</f>
        <v/>
      </c>
      <c r="U290" s="4">
        <f>I290*D290</f>
        <v/>
      </c>
    </row>
    <row r="291" ht="22" customHeight="1">
      <c r="A291" s="9" t="inlineStr"/>
      <c r="B291" s="13" t="inlineStr">
        <is>
          <t>289. крышка лотка перфорированная S5 Combitech100х15х3000 (DKC)</t>
        </is>
      </c>
      <c r="C291" s="9" t="inlineStr">
        <is>
          <t>шт</t>
        </is>
      </c>
      <c r="D291" s="4">
        <f>IF('Форма'!G289="","",'Форма'!G289)</f>
        <v/>
      </c>
      <c r="E291" s="9" t="inlineStr">
        <is>
          <t>аналог (10.2.31)</t>
        </is>
      </c>
      <c r="F291" s="9" t="inlineStr">
        <is>
          <t>ELM</t>
        </is>
      </c>
      <c r="G291" s="10" t="n">
        <v>731.5</v>
      </c>
      <c r="H291" s="10" t="n">
        <v>357</v>
      </c>
      <c r="I291" s="10" t="n">
        <v>0.35</v>
      </c>
      <c r="J291" s="9" t="inlineStr"/>
      <c r="K291" s="7">
        <f>IF(F291="",0,IFERROR(VLOOKUP(F291,Расходники!$A$4:$B$23,2,FALSE),0))</f>
        <v/>
      </c>
      <c r="L291" s="4">
        <f>H291*D291</f>
        <v/>
      </c>
      <c r="M291" s="4">
        <f>L291*K291</f>
        <v/>
      </c>
      <c r="N291" s="4">
        <f>SUMIF(Материалы!$A$4:$A$800,SUBSTITUTE(SUBSTITUTE(SUBSTITUTE(B291,"~","~~"),"*","~*"),"?","~?"),Материалы!$S$4:$S$800)</f>
        <v/>
      </c>
      <c r="O291" s="4">
        <f>L291+M291+N291</f>
        <v/>
      </c>
      <c r="P291" s="4">
        <f>IF(SUM($O$4:$O$672)=0,0,Косвенные!$C$9*O291/SUM($O$4:$O$672))</f>
        <v/>
      </c>
      <c r="Q291" s="4">
        <f>G291*D291+P291</f>
        <v/>
      </c>
      <c r="R291" s="4">
        <f>IF(D291=0,0,Q291/D291)</f>
        <v/>
      </c>
      <c r="S291" s="4">
        <f>IF(D291=0,0,SUMIF(Материалы!$A$4:$A$800,SUBSTITUTE(SUBSTITUTE(SUBSTITUTE(B291,"~","~~"),"*","~*"),"?","~?"),Материалы!$T$4:$T$800)/D291)</f>
        <v/>
      </c>
      <c r="T291" s="4">
        <f>R291+S291</f>
        <v/>
      </c>
      <c r="U291" s="4">
        <f>I291*D291</f>
        <v/>
      </c>
    </row>
    <row r="292" ht="22" customHeight="1">
      <c r="A292" s="9" t="inlineStr"/>
      <c r="B292" s="13" t="inlineStr">
        <is>
          <t>290. крышка лотка перфорированная S5 Combitech200х15х3000 (DKC)</t>
        </is>
      </c>
      <c r="C292" s="9" t="inlineStr">
        <is>
          <t>шт</t>
        </is>
      </c>
      <c r="D292" s="4">
        <f>IF('Форма'!G290="","",'Форма'!G290)</f>
        <v/>
      </c>
      <c r="E292" s="9" t="inlineStr">
        <is>
          <t>аналог (10.2.31)</t>
        </is>
      </c>
      <c r="F292" s="9" t="inlineStr">
        <is>
          <t>ELM</t>
        </is>
      </c>
      <c r="G292" s="10" t="n">
        <v>731.5</v>
      </c>
      <c r="H292" s="10" t="n">
        <v>357</v>
      </c>
      <c r="I292" s="10" t="n">
        <v>0.35</v>
      </c>
      <c r="J292" s="9" t="inlineStr"/>
      <c r="K292" s="7">
        <f>IF(F292="",0,IFERROR(VLOOKUP(F292,Расходники!$A$4:$B$23,2,FALSE),0))</f>
        <v/>
      </c>
      <c r="L292" s="4">
        <f>H292*D292</f>
        <v/>
      </c>
      <c r="M292" s="4">
        <f>L292*K292</f>
        <v/>
      </c>
      <c r="N292" s="4">
        <f>SUMIF(Материалы!$A$4:$A$800,SUBSTITUTE(SUBSTITUTE(SUBSTITUTE(B292,"~","~~"),"*","~*"),"?","~?"),Материалы!$S$4:$S$800)</f>
        <v/>
      </c>
      <c r="O292" s="4">
        <f>L292+M292+N292</f>
        <v/>
      </c>
      <c r="P292" s="4">
        <f>IF(SUM($O$4:$O$672)=0,0,Косвенные!$C$9*O292/SUM($O$4:$O$672))</f>
        <v/>
      </c>
      <c r="Q292" s="4">
        <f>G292*D292+P292</f>
        <v/>
      </c>
      <c r="R292" s="4">
        <f>IF(D292=0,0,Q292/D292)</f>
        <v/>
      </c>
      <c r="S292" s="4">
        <f>IF(D292=0,0,SUMIF(Материалы!$A$4:$A$800,SUBSTITUTE(SUBSTITUTE(SUBSTITUTE(B292,"~","~~"),"*","~*"),"?","~?"),Материалы!$T$4:$T$800)/D292)</f>
        <v/>
      </c>
      <c r="T292" s="4">
        <f>R292+S292</f>
        <v/>
      </c>
      <c r="U292" s="4">
        <f>I292*D292</f>
        <v/>
      </c>
    </row>
    <row r="293" ht="22" customHeight="1">
      <c r="A293" s="9" t="inlineStr"/>
      <c r="B293" s="13" t="inlineStr">
        <is>
          <t>291. Труба ПНД Д-16</t>
        </is>
      </c>
      <c r="C293" s="9" t="inlineStr">
        <is>
          <t>м.п.</t>
        </is>
      </c>
      <c r="D293" s="4">
        <f>IF('Форма'!G291="","",'Форма'!G291)</f>
        <v/>
      </c>
      <c r="E293" s="9" t="inlineStr">
        <is>
          <t>нет в тарификаторе</t>
        </is>
      </c>
      <c r="F293" s="9" t="inlineStr">
        <is>
          <t>ELM</t>
        </is>
      </c>
      <c r="G293" s="10" t="n">
        <v>125.4</v>
      </c>
      <c r="H293" s="10" t="n">
        <v>61.2</v>
      </c>
      <c r="I293" s="10" t="n">
        <v>0.06</v>
      </c>
      <c r="J293" s="9" t="inlineStr"/>
      <c r="K293" s="7">
        <f>IF(F293="",0,IFERROR(VLOOKUP(F293,Расходники!$A$4:$B$23,2,FALSE),0))</f>
        <v/>
      </c>
      <c r="L293" s="4">
        <f>H293*D293</f>
        <v/>
      </c>
      <c r="M293" s="4">
        <f>L293*K293</f>
        <v/>
      </c>
      <c r="N293" s="4">
        <f>SUMIF(Материалы!$A$4:$A$800,SUBSTITUTE(SUBSTITUTE(SUBSTITUTE(B293,"~","~~"),"*","~*"),"?","~?"),Материалы!$S$4:$S$800)</f>
        <v/>
      </c>
      <c r="O293" s="4">
        <f>L293+M293+N293</f>
        <v/>
      </c>
      <c r="P293" s="4">
        <f>IF(SUM($O$4:$O$672)=0,0,Косвенные!$C$9*O293/SUM($O$4:$O$672))</f>
        <v/>
      </c>
      <c r="Q293" s="4">
        <f>G293*D293+P293</f>
        <v/>
      </c>
      <c r="R293" s="4">
        <f>IF(D293=0,0,Q293/D293)</f>
        <v/>
      </c>
      <c r="S293" s="4">
        <f>IF(D293=0,0,SUMIF(Материалы!$A$4:$A$800,SUBSTITUTE(SUBSTITUTE(SUBSTITUTE(B293,"~","~~"),"*","~*"),"?","~?"),Материалы!$T$4:$T$800)/D293)</f>
        <v/>
      </c>
      <c r="T293" s="4">
        <f>R293+S293</f>
        <v/>
      </c>
      <c r="U293" s="4">
        <f>I293*D293</f>
        <v/>
      </c>
    </row>
    <row r="294" ht="22" customHeight="1">
      <c r="A294" s="9" t="inlineStr"/>
      <c r="B294" s="13" t="inlineStr">
        <is>
          <t>292. Труба ПНД Д-20</t>
        </is>
      </c>
      <c r="C294" s="9" t="inlineStr">
        <is>
          <t>м.п.</t>
        </is>
      </c>
      <c r="D294" s="4">
        <f>IF('Форма'!G292="","",'Форма'!G292)</f>
        <v/>
      </c>
      <c r="E294" s="9" t="inlineStr">
        <is>
          <t>нет в тарификаторе</t>
        </is>
      </c>
      <c r="F294" s="9" t="inlineStr">
        <is>
          <t>ELM</t>
        </is>
      </c>
      <c r="G294" s="10" t="n">
        <v>125.4</v>
      </c>
      <c r="H294" s="10" t="n">
        <v>61.2</v>
      </c>
      <c r="I294" s="10" t="n">
        <v>0.06</v>
      </c>
      <c r="J294" s="9" t="inlineStr"/>
      <c r="K294" s="7">
        <f>IF(F294="",0,IFERROR(VLOOKUP(F294,Расходники!$A$4:$B$23,2,FALSE),0))</f>
        <v/>
      </c>
      <c r="L294" s="4">
        <f>H294*D294</f>
        <v/>
      </c>
      <c r="M294" s="4">
        <f>L294*K294</f>
        <v/>
      </c>
      <c r="N294" s="4">
        <f>SUMIF(Материалы!$A$4:$A$800,SUBSTITUTE(SUBSTITUTE(SUBSTITUTE(B294,"~","~~"),"*","~*"),"?","~?"),Материалы!$S$4:$S$800)</f>
        <v/>
      </c>
      <c r="O294" s="4">
        <f>L294+M294+N294</f>
        <v/>
      </c>
      <c r="P294" s="4">
        <f>IF(SUM($O$4:$O$672)=0,0,Косвенные!$C$9*O294/SUM($O$4:$O$672))</f>
        <v/>
      </c>
      <c r="Q294" s="4">
        <f>G294*D294+P294</f>
        <v/>
      </c>
      <c r="R294" s="4">
        <f>IF(D294=0,0,Q294/D294)</f>
        <v/>
      </c>
      <c r="S294" s="4">
        <f>IF(D294=0,0,SUMIF(Материалы!$A$4:$A$800,SUBSTITUTE(SUBSTITUTE(SUBSTITUTE(B294,"~","~~"),"*","~*"),"?","~?"),Материалы!$T$4:$T$800)/D294)</f>
        <v/>
      </c>
      <c r="T294" s="4">
        <f>R294+S294</f>
        <v/>
      </c>
      <c r="U294" s="4">
        <f>I294*D294</f>
        <v/>
      </c>
    </row>
    <row r="295" ht="22" customHeight="1">
      <c r="A295" s="9" t="inlineStr"/>
      <c r="B295" s="13" t="inlineStr">
        <is>
          <t>293. Труба ПНД Д-25</t>
        </is>
      </c>
      <c r="C295" s="9" t="inlineStr">
        <is>
          <t>м.п.</t>
        </is>
      </c>
      <c r="D295" s="4">
        <f>IF('Форма'!G293="","",'Форма'!G293)</f>
        <v/>
      </c>
      <c r="E295" s="9" t="inlineStr">
        <is>
          <t>нет в тарификаторе</t>
        </is>
      </c>
      <c r="F295" s="9" t="inlineStr">
        <is>
          <t>ELM</t>
        </is>
      </c>
      <c r="G295" s="10" t="n">
        <v>125.4</v>
      </c>
      <c r="H295" s="10" t="n">
        <v>61.2</v>
      </c>
      <c r="I295" s="10" t="n">
        <v>0.06</v>
      </c>
      <c r="J295" s="9" t="inlineStr"/>
      <c r="K295" s="7">
        <f>IF(F295="",0,IFERROR(VLOOKUP(F295,Расходники!$A$4:$B$23,2,FALSE),0))</f>
        <v/>
      </c>
      <c r="L295" s="4">
        <f>H295*D295</f>
        <v/>
      </c>
      <c r="M295" s="4">
        <f>L295*K295</f>
        <v/>
      </c>
      <c r="N295" s="4">
        <f>SUMIF(Материалы!$A$4:$A$800,SUBSTITUTE(SUBSTITUTE(SUBSTITUTE(B295,"~","~~"),"*","~*"),"?","~?"),Материалы!$S$4:$S$800)</f>
        <v/>
      </c>
      <c r="O295" s="4">
        <f>L295+M295+N295</f>
        <v/>
      </c>
      <c r="P295" s="4">
        <f>IF(SUM($O$4:$O$672)=0,0,Косвенные!$C$9*O295/SUM($O$4:$O$672))</f>
        <v/>
      </c>
      <c r="Q295" s="4">
        <f>G295*D295+P295</f>
        <v/>
      </c>
      <c r="R295" s="4">
        <f>IF(D295=0,0,Q295/D295)</f>
        <v/>
      </c>
      <c r="S295" s="4">
        <f>IF(D295=0,0,SUMIF(Материалы!$A$4:$A$800,SUBSTITUTE(SUBSTITUTE(SUBSTITUTE(B295,"~","~~"),"*","~*"),"?","~?"),Материалы!$T$4:$T$800)/D295)</f>
        <v/>
      </c>
      <c r="T295" s="4">
        <f>R295+S295</f>
        <v/>
      </c>
      <c r="U295" s="4">
        <f>I295*D295</f>
        <v/>
      </c>
    </row>
    <row r="296" ht="22" customHeight="1">
      <c r="A296" s="9" t="inlineStr"/>
      <c r="B296" s="13" t="inlineStr">
        <is>
          <t>294. Труба ПНД Д-32</t>
        </is>
      </c>
      <c r="C296" s="9" t="inlineStr">
        <is>
          <t>м.п.</t>
        </is>
      </c>
      <c r="D296" s="4">
        <f>IF('Форма'!G294="","",'Форма'!G294)</f>
        <v/>
      </c>
      <c r="E296" s="9" t="inlineStr">
        <is>
          <t>нет в тарификаторе</t>
        </is>
      </c>
      <c r="F296" s="9" t="inlineStr">
        <is>
          <t>ELM</t>
        </is>
      </c>
      <c r="G296" s="10" t="n">
        <v>125.4</v>
      </c>
      <c r="H296" s="10" t="n">
        <v>61.2</v>
      </c>
      <c r="I296" s="10" t="n">
        <v>0.06</v>
      </c>
      <c r="J296" s="9" t="inlineStr"/>
      <c r="K296" s="7">
        <f>IF(F296="",0,IFERROR(VLOOKUP(F296,Расходники!$A$4:$B$23,2,FALSE),0))</f>
        <v/>
      </c>
      <c r="L296" s="4">
        <f>H296*D296</f>
        <v/>
      </c>
      <c r="M296" s="4">
        <f>L296*K296</f>
        <v/>
      </c>
      <c r="N296" s="4">
        <f>SUMIF(Материалы!$A$4:$A$800,SUBSTITUTE(SUBSTITUTE(SUBSTITUTE(B296,"~","~~"),"*","~*"),"?","~?"),Материалы!$S$4:$S$800)</f>
        <v/>
      </c>
      <c r="O296" s="4">
        <f>L296+M296+N296</f>
        <v/>
      </c>
      <c r="P296" s="4">
        <f>IF(SUM($O$4:$O$672)=0,0,Косвенные!$C$9*O296/SUM($O$4:$O$672))</f>
        <v/>
      </c>
      <c r="Q296" s="4">
        <f>G296*D296+P296</f>
        <v/>
      </c>
      <c r="R296" s="4">
        <f>IF(D296=0,0,Q296/D296)</f>
        <v/>
      </c>
      <c r="S296" s="4">
        <f>IF(D296=0,0,SUMIF(Материалы!$A$4:$A$800,SUBSTITUTE(SUBSTITUTE(SUBSTITUTE(B296,"~","~~"),"*","~*"),"?","~?"),Материалы!$T$4:$T$800)/D296)</f>
        <v/>
      </c>
      <c r="T296" s="4">
        <f>R296+S296</f>
        <v/>
      </c>
      <c r="U296" s="4">
        <f>I296*D296</f>
        <v/>
      </c>
    </row>
    <row r="297" ht="22" customHeight="1">
      <c r="A297" s="9" t="inlineStr"/>
      <c r="B297" s="13" t="inlineStr">
        <is>
          <t>295. Нулевая шина медная/Шина Заземления</t>
        </is>
      </c>
      <c r="C297" s="9" t="inlineStr">
        <is>
          <t>шт.</t>
        </is>
      </c>
      <c r="D297" s="4">
        <f>IF('Форма'!G295="","",'Форма'!G295)</f>
        <v/>
      </c>
      <c r="E297" s="9" t="inlineStr">
        <is>
          <t>нет в тарификаторе</t>
        </is>
      </c>
      <c r="F297" s="9" t="inlineStr">
        <is>
          <t>ELM</t>
        </is>
      </c>
      <c r="G297" s="10" t="n">
        <v>1254</v>
      </c>
      <c r="H297" s="10" t="n">
        <v>612</v>
      </c>
      <c r="I297" s="10" t="n">
        <v>0.6</v>
      </c>
      <c r="J297" s="9" t="inlineStr"/>
      <c r="K297" s="7">
        <f>IF(F297="",0,IFERROR(VLOOKUP(F297,Расходники!$A$4:$B$23,2,FALSE),0))</f>
        <v/>
      </c>
      <c r="L297" s="4">
        <f>H297*D297</f>
        <v/>
      </c>
      <c r="M297" s="4">
        <f>L297*K297</f>
        <v/>
      </c>
      <c r="N297" s="4">
        <f>SUMIF(Материалы!$A$4:$A$800,SUBSTITUTE(SUBSTITUTE(SUBSTITUTE(B297,"~","~~"),"*","~*"),"?","~?"),Материалы!$S$4:$S$800)</f>
        <v/>
      </c>
      <c r="O297" s="4">
        <f>L297+M297+N297</f>
        <v/>
      </c>
      <c r="P297" s="4">
        <f>IF(SUM($O$4:$O$672)=0,0,Косвенные!$C$9*O297/SUM($O$4:$O$672))</f>
        <v/>
      </c>
      <c r="Q297" s="4">
        <f>G297*D297+P297</f>
        <v/>
      </c>
      <c r="R297" s="4">
        <f>IF(D297=0,0,Q297/D297)</f>
        <v/>
      </c>
      <c r="S297" s="4">
        <f>IF(D297=0,0,SUMIF(Материалы!$A$4:$A$800,SUBSTITUTE(SUBSTITUTE(SUBSTITUTE(B297,"~","~~"),"*","~*"),"?","~?"),Материалы!$T$4:$T$800)/D297)</f>
        <v/>
      </c>
      <c r="T297" s="4">
        <f>R297+S297</f>
        <v/>
      </c>
      <c r="U297" s="4">
        <f>I297*D297</f>
        <v/>
      </c>
    </row>
    <row r="298" ht="22" customHeight="1">
      <c r="A298" s="9" t="inlineStr"/>
      <c r="B298" s="13" t="inlineStr">
        <is>
          <t>296. Держатели плавких вставок габарит 00</t>
        </is>
      </c>
      <c r="C298" s="9" t="inlineStr">
        <is>
          <t>шт.</t>
        </is>
      </c>
      <c r="D298" s="4">
        <f>IF('Форма'!G296="","",'Форма'!G296)</f>
        <v/>
      </c>
      <c r="E298" s="9" t="inlineStr">
        <is>
          <t>нет в тарификаторе</t>
        </is>
      </c>
      <c r="F298" s="9" t="inlineStr">
        <is>
          <t>ELM</t>
        </is>
      </c>
      <c r="G298" s="10" t="n">
        <v>1672</v>
      </c>
      <c r="H298" s="10" t="n">
        <v>816</v>
      </c>
      <c r="I298" s="10" t="n">
        <v>0.8</v>
      </c>
      <c r="J298" s="9" t="inlineStr"/>
      <c r="K298" s="7">
        <f>IF(F298="",0,IFERROR(VLOOKUP(F298,Расходники!$A$4:$B$23,2,FALSE),0))</f>
        <v/>
      </c>
      <c r="L298" s="4">
        <f>H298*D298</f>
        <v/>
      </c>
      <c r="M298" s="4">
        <f>L298*K298</f>
        <v/>
      </c>
      <c r="N298" s="4">
        <f>SUMIF(Материалы!$A$4:$A$800,SUBSTITUTE(SUBSTITUTE(SUBSTITUTE(B298,"~","~~"),"*","~*"),"?","~?"),Материалы!$S$4:$S$800)</f>
        <v/>
      </c>
      <c r="O298" s="4">
        <f>L298+M298+N298</f>
        <v/>
      </c>
      <c r="P298" s="4">
        <f>IF(SUM($O$4:$O$672)=0,0,Косвенные!$C$9*O298/SUM($O$4:$O$672))</f>
        <v/>
      </c>
      <c r="Q298" s="4">
        <f>G298*D298+P298</f>
        <v/>
      </c>
      <c r="R298" s="4">
        <f>IF(D298=0,0,Q298/D298)</f>
        <v/>
      </c>
      <c r="S298" s="4">
        <f>IF(D298=0,0,SUMIF(Материалы!$A$4:$A$800,SUBSTITUTE(SUBSTITUTE(SUBSTITUTE(B298,"~","~~"),"*","~*"),"?","~?"),Материалы!$T$4:$T$800)/D298)</f>
        <v/>
      </c>
      <c r="T298" s="4">
        <f>R298+S298</f>
        <v/>
      </c>
      <c r="U298" s="4">
        <f>I298*D298</f>
        <v/>
      </c>
    </row>
    <row r="299" ht="22" customHeight="1">
      <c r="A299" s="9" t="inlineStr"/>
      <c r="B299" s="13" t="inlineStr">
        <is>
          <t>297. Коробка распределительная 100х100х50 IP55 6 -вводов</t>
        </is>
      </c>
      <c r="C299" s="9" t="inlineStr">
        <is>
          <t>шт.</t>
        </is>
      </c>
      <c r="D299" s="4">
        <f>IF('Форма'!G297="","",'Форма'!G297)</f>
        <v/>
      </c>
      <c r="E299" s="9" t="inlineStr">
        <is>
          <t>нет в тарификаторе</t>
        </is>
      </c>
      <c r="F299" s="9" t="inlineStr">
        <is>
          <t>ELM</t>
        </is>
      </c>
      <c r="G299" s="10" t="n">
        <v>836</v>
      </c>
      <c r="H299" s="10" t="n">
        <v>408</v>
      </c>
      <c r="I299" s="10" t="n">
        <v>0.4</v>
      </c>
      <c r="J299" s="9" t="inlineStr"/>
      <c r="K299" s="7">
        <f>IF(F299="",0,IFERROR(VLOOKUP(F299,Расходники!$A$4:$B$23,2,FALSE),0))</f>
        <v/>
      </c>
      <c r="L299" s="4">
        <f>H299*D299</f>
        <v/>
      </c>
      <c r="M299" s="4">
        <f>L299*K299</f>
        <v/>
      </c>
      <c r="N299" s="4">
        <f>SUMIF(Материалы!$A$4:$A$800,SUBSTITUTE(SUBSTITUTE(SUBSTITUTE(B299,"~","~~"),"*","~*"),"?","~?"),Материалы!$S$4:$S$800)</f>
        <v/>
      </c>
      <c r="O299" s="4">
        <f>L299+M299+N299</f>
        <v/>
      </c>
      <c r="P299" s="4">
        <f>IF(SUM($O$4:$O$672)=0,0,Косвенные!$C$9*O299/SUM($O$4:$O$672))</f>
        <v/>
      </c>
      <c r="Q299" s="4">
        <f>G299*D299+P299</f>
        <v/>
      </c>
      <c r="R299" s="4">
        <f>IF(D299=0,0,Q299/D299)</f>
        <v/>
      </c>
      <c r="S299" s="4">
        <f>IF(D299=0,0,SUMIF(Материалы!$A$4:$A$800,SUBSTITUTE(SUBSTITUTE(SUBSTITUTE(B299,"~","~~"),"*","~*"),"?","~?"),Материалы!$T$4:$T$800)/D299)</f>
        <v/>
      </c>
      <c r="T299" s="4">
        <f>R299+S299</f>
        <v/>
      </c>
      <c r="U299" s="4">
        <f>I299*D299</f>
        <v/>
      </c>
    </row>
    <row r="300" ht="22" customHeight="1">
      <c r="A300" s="9" t="inlineStr"/>
      <c r="B300" s="13" t="inlineStr">
        <is>
          <t>298. Датчики движения н/в установки Steinel или аналог</t>
        </is>
      </c>
      <c r="C300" s="9" t="inlineStr">
        <is>
          <t>шт.</t>
        </is>
      </c>
      <c r="D300" s="4">
        <f>IF('Форма'!G298="","",'Форма'!G298)</f>
        <v/>
      </c>
      <c r="E300" s="9" t="inlineStr">
        <is>
          <t>нет в тарификаторе</t>
        </is>
      </c>
      <c r="F300" s="9" t="inlineStr">
        <is>
          <t>ELM</t>
        </is>
      </c>
      <c r="G300" s="10" t="n">
        <v>1672</v>
      </c>
      <c r="H300" s="10" t="n">
        <v>816</v>
      </c>
      <c r="I300" s="10" t="n">
        <v>0.8</v>
      </c>
      <c r="J300" s="9" t="inlineStr"/>
      <c r="K300" s="7">
        <f>IF(F300="",0,IFERROR(VLOOKUP(F300,Расходники!$A$4:$B$23,2,FALSE),0))</f>
        <v/>
      </c>
      <c r="L300" s="4">
        <f>H300*D300</f>
        <v/>
      </c>
      <c r="M300" s="4">
        <f>L300*K300</f>
        <v/>
      </c>
      <c r="N300" s="4">
        <f>SUMIF(Материалы!$A$4:$A$800,SUBSTITUTE(SUBSTITUTE(SUBSTITUTE(B300,"~","~~"),"*","~*"),"?","~?"),Материалы!$S$4:$S$800)</f>
        <v/>
      </c>
      <c r="O300" s="4">
        <f>L300+M300+N300</f>
        <v/>
      </c>
      <c r="P300" s="4">
        <f>IF(SUM($O$4:$O$672)=0,0,Косвенные!$C$9*O300/SUM($O$4:$O$672))</f>
        <v/>
      </c>
      <c r="Q300" s="4">
        <f>G300*D300+P300</f>
        <v/>
      </c>
      <c r="R300" s="4">
        <f>IF(D300=0,0,Q300/D300)</f>
        <v/>
      </c>
      <c r="S300" s="4">
        <f>IF(D300=0,0,SUMIF(Материалы!$A$4:$A$800,SUBSTITUTE(SUBSTITUTE(SUBSTITUTE(B300,"~","~~"),"*","~*"),"?","~?"),Материалы!$T$4:$T$800)/D300)</f>
        <v/>
      </c>
      <c r="T300" s="4">
        <f>R300+S300</f>
        <v/>
      </c>
      <c r="U300" s="4">
        <f>I300*D300</f>
        <v/>
      </c>
    </row>
    <row r="301" ht="22" customHeight="1">
      <c r="A301" s="9" t="inlineStr"/>
      <c r="B301" s="13" t="inlineStr">
        <is>
          <t>299. Проведение приёмо-сдаточных испытаний (Технический отчёт о проведении испытаний электроустановки помещения) / услуга</t>
        </is>
      </c>
      <c r="C301" s="9" t="inlineStr">
        <is>
          <t>шт.</t>
        </is>
      </c>
      <c r="D301" s="4">
        <f>IF('Форма'!G299="","",'Форма'!G299)</f>
        <v/>
      </c>
      <c r="E301" s="9" t="inlineStr">
        <is>
          <t>нет в тарификаторе</t>
        </is>
      </c>
      <c r="F301" s="9" t="inlineStr">
        <is>
          <t>ETL</t>
        </is>
      </c>
      <c r="G301" s="10" t="n">
        <v>19980</v>
      </c>
      <c r="H301" s="10" t="n">
        <v>10080</v>
      </c>
      <c r="I301" s="10" t="n">
        <v>6</v>
      </c>
      <c r="J301" s="9" t="inlineStr"/>
      <c r="K301" s="7">
        <f>IF(F301="",0,IFERROR(VLOOKUP(F301,Расходники!$A$4:$B$23,2,FALSE),0))</f>
        <v/>
      </c>
      <c r="L301" s="4">
        <f>H301*D301</f>
        <v/>
      </c>
      <c r="M301" s="4">
        <f>L301*K301</f>
        <v/>
      </c>
      <c r="N301" s="4">
        <f>SUMIF(Материалы!$A$4:$A$800,SUBSTITUTE(SUBSTITUTE(SUBSTITUTE(B301,"~","~~"),"*","~*"),"?","~?"),Материалы!$S$4:$S$800)</f>
        <v/>
      </c>
      <c r="O301" s="4">
        <f>L301+M301+N301</f>
        <v/>
      </c>
      <c r="P301" s="4">
        <f>IF(SUM($O$4:$O$672)=0,0,Косвенные!$C$9*O301/SUM($O$4:$O$672))</f>
        <v/>
      </c>
      <c r="Q301" s="4">
        <f>G301*D301+P301</f>
        <v/>
      </c>
      <c r="R301" s="4">
        <f>IF(D301=0,0,Q301/D301)</f>
        <v/>
      </c>
      <c r="S301" s="4">
        <f>IF(D301=0,0,SUMIF(Материалы!$A$4:$A$800,SUBSTITUTE(SUBSTITUTE(SUBSTITUTE(B301,"~","~~"),"*","~*"),"?","~?"),Материалы!$T$4:$T$800)/D301)</f>
        <v/>
      </c>
      <c r="T301" s="4">
        <f>R301+S301</f>
        <v/>
      </c>
      <c r="U301" s="4">
        <f>I301*D301</f>
        <v/>
      </c>
    </row>
    <row r="302" ht="22" customHeight="1">
      <c r="A302" s="9" t="inlineStr"/>
      <c r="B302" s="13" t="inlineStr">
        <is>
          <t>300. Ламподержатель для Светильника 4*18</t>
        </is>
      </c>
      <c r="C302" s="9" t="inlineStr">
        <is>
          <t>шт.</t>
        </is>
      </c>
      <c r="D302" s="4">
        <f>IF('Форма'!G300="","",'Форма'!G300)</f>
        <v/>
      </c>
      <c r="E302" s="9" t="inlineStr">
        <is>
          <t>нет в тарификаторе</t>
        </is>
      </c>
      <c r="F302" s="9" t="inlineStr">
        <is>
          <t>ELM</t>
        </is>
      </c>
      <c r="G302" s="10" t="n">
        <v>1463</v>
      </c>
      <c r="H302" s="10" t="n">
        <v>714</v>
      </c>
      <c r="I302" s="10" t="n">
        <v>0.7</v>
      </c>
      <c r="J302" s="9" t="inlineStr"/>
      <c r="K302" s="7">
        <f>IF(F302="",0,IFERROR(VLOOKUP(F302,Расходники!$A$4:$B$23,2,FALSE),0))</f>
        <v/>
      </c>
      <c r="L302" s="4">
        <f>H302*D302</f>
        <v/>
      </c>
      <c r="M302" s="4">
        <f>L302*K302</f>
        <v/>
      </c>
      <c r="N302" s="4">
        <f>SUMIF(Материалы!$A$4:$A$800,SUBSTITUTE(SUBSTITUTE(SUBSTITUTE(B302,"~","~~"),"*","~*"),"?","~?"),Материалы!$S$4:$S$800)</f>
        <v/>
      </c>
      <c r="O302" s="4">
        <f>L302+M302+N302</f>
        <v/>
      </c>
      <c r="P302" s="4">
        <f>IF(SUM($O$4:$O$672)=0,0,Косвенные!$C$9*O302/SUM($O$4:$O$672))</f>
        <v/>
      </c>
      <c r="Q302" s="4">
        <f>G302*D302+P302</f>
        <v/>
      </c>
      <c r="R302" s="4">
        <f>IF(D302=0,0,Q302/D302)</f>
        <v/>
      </c>
      <c r="S302" s="4">
        <f>IF(D302=0,0,SUMIF(Материалы!$A$4:$A$800,SUBSTITUTE(SUBSTITUTE(SUBSTITUTE(B302,"~","~~"),"*","~*"),"?","~?"),Материалы!$T$4:$T$800)/D302)</f>
        <v/>
      </c>
      <c r="T302" s="4">
        <f>R302+S302</f>
        <v/>
      </c>
      <c r="U302" s="4">
        <f>I302*D302</f>
        <v/>
      </c>
    </row>
    <row r="303" ht="22" customHeight="1">
      <c r="A303" s="9" t="inlineStr"/>
      <c r="B303" s="13" t="inlineStr">
        <is>
          <t>301. TYCO/IEK Коробка распределительная 100х100х50мм откидная крышка 8 вводов IP54</t>
        </is>
      </c>
      <c r="C303" s="9" t="inlineStr">
        <is>
          <t>шт.</t>
        </is>
      </c>
      <c r="D303" s="4">
        <f>IF('Форма'!G301="","",'Форма'!G301)</f>
        <v/>
      </c>
      <c r="E303" s="9" t="inlineStr">
        <is>
          <t>нет в тарификаторе</t>
        </is>
      </c>
      <c r="F303" s="9" t="inlineStr">
        <is>
          <t>ELM</t>
        </is>
      </c>
      <c r="G303" s="10" t="n">
        <v>836</v>
      </c>
      <c r="H303" s="10" t="n">
        <v>408</v>
      </c>
      <c r="I303" s="10" t="n">
        <v>0.4</v>
      </c>
      <c r="J303" s="9" t="inlineStr"/>
      <c r="K303" s="7">
        <f>IF(F303="",0,IFERROR(VLOOKUP(F303,Расходники!$A$4:$B$23,2,FALSE),0))</f>
        <v/>
      </c>
      <c r="L303" s="4">
        <f>H303*D303</f>
        <v/>
      </c>
      <c r="M303" s="4">
        <f>L303*K303</f>
        <v/>
      </c>
      <c r="N303" s="4">
        <f>SUMIF(Материалы!$A$4:$A$800,SUBSTITUTE(SUBSTITUTE(SUBSTITUTE(B303,"~","~~"),"*","~*"),"?","~?"),Материалы!$S$4:$S$800)</f>
        <v/>
      </c>
      <c r="O303" s="4">
        <f>L303+M303+N303</f>
        <v/>
      </c>
      <c r="P303" s="4">
        <f>IF(SUM($O$4:$O$672)=0,0,Косвенные!$C$9*O303/SUM($O$4:$O$672))</f>
        <v/>
      </c>
      <c r="Q303" s="4">
        <f>G303*D303+P303</f>
        <v/>
      </c>
      <c r="R303" s="4">
        <f>IF(D303=0,0,Q303/D303)</f>
        <v/>
      </c>
      <c r="S303" s="4">
        <f>IF(D303=0,0,SUMIF(Материалы!$A$4:$A$800,SUBSTITUTE(SUBSTITUTE(SUBSTITUTE(B303,"~","~~"),"*","~*"),"?","~?"),Материалы!$T$4:$T$800)/D303)</f>
        <v/>
      </c>
      <c r="T303" s="4">
        <f>R303+S303</f>
        <v/>
      </c>
      <c r="U303" s="4">
        <f>I303*D303</f>
        <v/>
      </c>
    </row>
    <row r="304" ht="22" customHeight="1">
      <c r="A304" s="9" t="inlineStr"/>
      <c r="B304" s="13" t="inlineStr">
        <is>
          <t>302. TYCO/IEK Коробка распределительная 85х85х50мм откидная крышка 8 вводов IP54</t>
        </is>
      </c>
      <c r="C304" s="9" t="inlineStr">
        <is>
          <t>шт.</t>
        </is>
      </c>
      <c r="D304" s="4">
        <f>IF('Форма'!G302="","",'Форма'!G302)</f>
        <v/>
      </c>
      <c r="E304" s="9" t="inlineStr">
        <is>
          <t>нет в тарификаторе</t>
        </is>
      </c>
      <c r="F304" s="9" t="inlineStr">
        <is>
          <t>ELM</t>
        </is>
      </c>
      <c r="G304" s="10" t="n">
        <v>836</v>
      </c>
      <c r="H304" s="10" t="n">
        <v>408</v>
      </c>
      <c r="I304" s="10" t="n">
        <v>0.4</v>
      </c>
      <c r="J304" s="9" t="inlineStr"/>
      <c r="K304" s="7">
        <f>IF(F304="",0,IFERROR(VLOOKUP(F304,Расходники!$A$4:$B$23,2,FALSE),0))</f>
        <v/>
      </c>
      <c r="L304" s="4">
        <f>H304*D304</f>
        <v/>
      </c>
      <c r="M304" s="4">
        <f>L304*K304</f>
        <v/>
      </c>
      <c r="N304" s="4">
        <f>SUMIF(Материалы!$A$4:$A$800,SUBSTITUTE(SUBSTITUTE(SUBSTITUTE(B304,"~","~~"),"*","~*"),"?","~?"),Материалы!$S$4:$S$800)</f>
        <v/>
      </c>
      <c r="O304" s="4">
        <f>L304+M304+N304</f>
        <v/>
      </c>
      <c r="P304" s="4">
        <f>IF(SUM($O$4:$O$672)=0,0,Косвенные!$C$9*O304/SUM($O$4:$O$672))</f>
        <v/>
      </c>
      <c r="Q304" s="4">
        <f>G304*D304+P304</f>
        <v/>
      </c>
      <c r="R304" s="4">
        <f>IF(D304=0,0,Q304/D304)</f>
        <v/>
      </c>
      <c r="S304" s="4">
        <f>IF(D304=0,0,SUMIF(Материалы!$A$4:$A$800,SUBSTITUTE(SUBSTITUTE(SUBSTITUTE(B304,"~","~~"),"*","~*"),"?","~?"),Материалы!$T$4:$T$800)/D304)</f>
        <v/>
      </c>
      <c r="T304" s="4">
        <f>R304+S304</f>
        <v/>
      </c>
      <c r="U304" s="4">
        <f>I304*D304</f>
        <v/>
      </c>
    </row>
    <row r="305" ht="22" customHeight="1">
      <c r="A305" s="9" t="inlineStr"/>
      <c r="B305" s="13" t="inlineStr">
        <is>
          <t>303. TYCO|IEK Коробка распределительная 50х50х50мм откидная крышка IP54</t>
        </is>
      </c>
      <c r="C305" s="9" t="inlineStr">
        <is>
          <t>шт.</t>
        </is>
      </c>
      <c r="D305" s="4">
        <f>IF('Форма'!G303="","",'Форма'!G303)</f>
        <v/>
      </c>
      <c r="E305" s="9" t="inlineStr">
        <is>
          <t>нет в тарификаторе</t>
        </is>
      </c>
      <c r="F305" s="9" t="inlineStr">
        <is>
          <t>ELM</t>
        </is>
      </c>
      <c r="G305" s="10" t="n">
        <v>836</v>
      </c>
      <c r="H305" s="10" t="n">
        <v>408</v>
      </c>
      <c r="I305" s="10" t="n">
        <v>0.4</v>
      </c>
      <c r="J305" s="9" t="inlineStr"/>
      <c r="K305" s="7">
        <f>IF(F305="",0,IFERROR(VLOOKUP(F305,Расходники!$A$4:$B$23,2,FALSE),0))</f>
        <v/>
      </c>
      <c r="L305" s="4">
        <f>H305*D305</f>
        <v/>
      </c>
      <c r="M305" s="4">
        <f>L305*K305</f>
        <v/>
      </c>
      <c r="N305" s="4">
        <f>SUMIF(Материалы!$A$4:$A$800,SUBSTITUTE(SUBSTITUTE(SUBSTITUTE(B305,"~","~~"),"*","~*"),"?","~?"),Материалы!$S$4:$S$800)</f>
        <v/>
      </c>
      <c r="O305" s="4">
        <f>L305+M305+N305</f>
        <v/>
      </c>
      <c r="P305" s="4">
        <f>IF(SUM($O$4:$O$672)=0,0,Косвенные!$C$9*O305/SUM($O$4:$O$672))</f>
        <v/>
      </c>
      <c r="Q305" s="4">
        <f>G305*D305+P305</f>
        <v/>
      </c>
      <c r="R305" s="4">
        <f>IF(D305=0,0,Q305/D305)</f>
        <v/>
      </c>
      <c r="S305" s="4">
        <f>IF(D305=0,0,SUMIF(Материалы!$A$4:$A$800,SUBSTITUTE(SUBSTITUTE(SUBSTITUTE(B305,"~","~~"),"*","~*"),"?","~?"),Материалы!$T$4:$T$800)/D305)</f>
        <v/>
      </c>
      <c r="T305" s="4">
        <f>R305+S305</f>
        <v/>
      </c>
      <c r="U305" s="4">
        <f>I305*D305</f>
        <v/>
      </c>
    </row>
    <row r="306" ht="22" customHeight="1">
      <c r="A306" s="9" t="inlineStr"/>
      <c r="B306" s="13" t="inlineStr">
        <is>
          <t>304. Патрон G13 для лампы освещения</t>
        </is>
      </c>
      <c r="C306" s="9" t="inlineStr">
        <is>
          <t>шт.</t>
        </is>
      </c>
      <c r="D306" s="4">
        <f>IF('Форма'!G304="","",'Форма'!G304)</f>
        <v/>
      </c>
      <c r="E306" s="9" t="inlineStr">
        <is>
          <t>нет в тарификаторе</t>
        </is>
      </c>
      <c r="F306" s="9" t="inlineStr">
        <is>
          <t>ELM</t>
        </is>
      </c>
      <c r="G306" s="10" t="n">
        <v>313.5</v>
      </c>
      <c r="H306" s="10" t="n">
        <v>153</v>
      </c>
      <c r="I306" s="10" t="n">
        <v>0.15</v>
      </c>
      <c r="J306" s="9" t="inlineStr"/>
      <c r="K306" s="7">
        <f>IF(F306="",0,IFERROR(VLOOKUP(F306,Расходники!$A$4:$B$23,2,FALSE),0))</f>
        <v/>
      </c>
      <c r="L306" s="4">
        <f>H306*D306</f>
        <v/>
      </c>
      <c r="M306" s="4">
        <f>L306*K306</f>
        <v/>
      </c>
      <c r="N306" s="4">
        <f>SUMIF(Материалы!$A$4:$A$800,SUBSTITUTE(SUBSTITUTE(SUBSTITUTE(B306,"~","~~"),"*","~*"),"?","~?"),Материалы!$S$4:$S$800)</f>
        <v/>
      </c>
      <c r="O306" s="4">
        <f>L306+M306+N306</f>
        <v/>
      </c>
      <c r="P306" s="4">
        <f>IF(SUM($O$4:$O$672)=0,0,Косвенные!$C$9*O306/SUM($O$4:$O$672))</f>
        <v/>
      </c>
      <c r="Q306" s="4">
        <f>G306*D306+P306</f>
        <v/>
      </c>
      <c r="R306" s="4">
        <f>IF(D306=0,0,Q306/D306)</f>
        <v/>
      </c>
      <c r="S306" s="4">
        <f>IF(D306=0,0,SUMIF(Материалы!$A$4:$A$800,SUBSTITUTE(SUBSTITUTE(SUBSTITUTE(B306,"~","~~"),"*","~*"),"?","~?"),Материалы!$T$4:$T$800)/D306)</f>
        <v/>
      </c>
      <c r="T306" s="4">
        <f>R306+S306</f>
        <v/>
      </c>
      <c r="U306" s="4">
        <f>I306*D306</f>
        <v/>
      </c>
    </row>
    <row r="307" ht="22" customHeight="1">
      <c r="A307" s="9" t="inlineStr"/>
      <c r="B307" s="13" t="inlineStr">
        <is>
          <t>305. Патрон E27 для лампы освещения</t>
        </is>
      </c>
      <c r="C307" s="9" t="inlineStr">
        <is>
          <t>шт.</t>
        </is>
      </c>
      <c r="D307" s="4">
        <f>IF('Форма'!G305="","",'Форма'!G305)</f>
        <v/>
      </c>
      <c r="E307" s="9" t="inlineStr">
        <is>
          <t>нет в тарификаторе</t>
        </is>
      </c>
      <c r="F307" s="9" t="inlineStr">
        <is>
          <t>ELM</t>
        </is>
      </c>
      <c r="G307" s="10" t="n">
        <v>313.5</v>
      </c>
      <c r="H307" s="10" t="n">
        <v>153</v>
      </c>
      <c r="I307" s="10" t="n">
        <v>0.15</v>
      </c>
      <c r="J307" s="9" t="inlineStr"/>
      <c r="K307" s="7">
        <f>IF(F307="",0,IFERROR(VLOOKUP(F307,Расходники!$A$4:$B$23,2,FALSE),0))</f>
        <v/>
      </c>
      <c r="L307" s="4">
        <f>H307*D307</f>
        <v/>
      </c>
      <c r="M307" s="4">
        <f>L307*K307</f>
        <v/>
      </c>
      <c r="N307" s="4">
        <f>SUMIF(Материалы!$A$4:$A$800,SUBSTITUTE(SUBSTITUTE(SUBSTITUTE(B307,"~","~~"),"*","~*"),"?","~?"),Материалы!$S$4:$S$800)</f>
        <v/>
      </c>
      <c r="O307" s="4">
        <f>L307+M307+N307</f>
        <v/>
      </c>
      <c r="P307" s="4">
        <f>IF(SUM($O$4:$O$672)=0,0,Косвенные!$C$9*O307/SUM($O$4:$O$672))</f>
        <v/>
      </c>
      <c r="Q307" s="4">
        <f>G307*D307+P307</f>
        <v/>
      </c>
      <c r="R307" s="4">
        <f>IF(D307=0,0,Q307/D307)</f>
        <v/>
      </c>
      <c r="S307" s="4">
        <f>IF(D307=0,0,SUMIF(Материалы!$A$4:$A$800,SUBSTITUTE(SUBSTITUTE(SUBSTITUTE(B307,"~","~~"),"*","~*"),"?","~?"),Материалы!$T$4:$T$800)/D307)</f>
        <v/>
      </c>
      <c r="T307" s="4">
        <f>R307+S307</f>
        <v/>
      </c>
      <c r="U307" s="4">
        <f>I307*D307</f>
        <v/>
      </c>
    </row>
    <row r="308" ht="22" customHeight="1">
      <c r="A308" s="9" t="inlineStr"/>
      <c r="B308" s="13" t="inlineStr">
        <is>
          <t>306. Муфта соединительная, тип Стп-10-150/240</t>
        </is>
      </c>
      <c r="C308" s="9" t="inlineStr">
        <is>
          <t>шт.</t>
        </is>
      </c>
      <c r="D308" s="4">
        <f>IF('Форма'!G306="","",'Форма'!G306)</f>
        <v/>
      </c>
      <c r="E308" s="9" t="inlineStr">
        <is>
          <t>нет в тарификаторе</t>
        </is>
      </c>
      <c r="F308" s="9" t="inlineStr">
        <is>
          <t>ELM</t>
        </is>
      </c>
      <c r="G308" s="10" t="n">
        <v>836</v>
      </c>
      <c r="H308" s="10" t="n">
        <v>408</v>
      </c>
      <c r="I308" s="10" t="n">
        <v>0.4</v>
      </c>
      <c r="J308" s="9" t="inlineStr"/>
      <c r="K308" s="7">
        <f>IF(F308="",0,IFERROR(VLOOKUP(F308,Расходники!$A$4:$B$23,2,FALSE),0))</f>
        <v/>
      </c>
      <c r="L308" s="4">
        <f>H308*D308</f>
        <v/>
      </c>
      <c r="M308" s="4">
        <f>L308*K308</f>
        <v/>
      </c>
      <c r="N308" s="4">
        <f>SUMIF(Материалы!$A$4:$A$800,SUBSTITUTE(SUBSTITUTE(SUBSTITUTE(B308,"~","~~"),"*","~*"),"?","~?"),Материалы!$S$4:$S$800)</f>
        <v/>
      </c>
      <c r="O308" s="4">
        <f>L308+M308+N308</f>
        <v/>
      </c>
      <c r="P308" s="4">
        <f>IF(SUM($O$4:$O$672)=0,0,Косвенные!$C$9*O308/SUM($O$4:$O$672))</f>
        <v/>
      </c>
      <c r="Q308" s="4">
        <f>G308*D308+P308</f>
        <v/>
      </c>
      <c r="R308" s="4">
        <f>IF(D308=0,0,Q308/D308)</f>
        <v/>
      </c>
      <c r="S308" s="4">
        <f>IF(D308=0,0,SUMIF(Материалы!$A$4:$A$800,SUBSTITUTE(SUBSTITUTE(SUBSTITUTE(B308,"~","~~"),"*","~*"),"?","~?"),Материалы!$T$4:$T$800)/D308)</f>
        <v/>
      </c>
      <c r="T308" s="4">
        <f>R308+S308</f>
        <v/>
      </c>
      <c r="U308" s="4">
        <f>I308*D308</f>
        <v/>
      </c>
    </row>
    <row r="309" ht="22" customHeight="1">
      <c r="A309" s="9" t="inlineStr"/>
      <c r="B309" s="13" t="inlineStr">
        <is>
          <t>307. Аккумулятор Энергия АКБ 12-55 (12В, 55 Ач, В235×Ш229×Г138)</t>
        </is>
      </c>
      <c r="C309" s="9" t="inlineStr">
        <is>
          <t>шт.</t>
        </is>
      </c>
      <c r="D309" s="4">
        <f>IF('Форма'!G307="","",'Форма'!G307)</f>
        <v/>
      </c>
      <c r="E309" s="9" t="inlineStr">
        <is>
          <t>нет в тарификаторе</t>
        </is>
      </c>
      <c r="F309" s="9" t="inlineStr">
        <is>
          <t>ELM</t>
        </is>
      </c>
      <c r="G309" s="10" t="n">
        <v>1254</v>
      </c>
      <c r="H309" s="10" t="n">
        <v>612</v>
      </c>
      <c r="I309" s="10" t="n">
        <v>0.6</v>
      </c>
      <c r="J309" s="9" t="inlineStr"/>
      <c r="K309" s="7">
        <f>IF(F309="",0,IFERROR(VLOOKUP(F309,Расходники!$A$4:$B$23,2,FALSE),0))</f>
        <v/>
      </c>
      <c r="L309" s="4">
        <f>H309*D309</f>
        <v/>
      </c>
      <c r="M309" s="4">
        <f>L309*K309</f>
        <v/>
      </c>
      <c r="N309" s="4">
        <f>SUMIF(Материалы!$A$4:$A$800,SUBSTITUTE(SUBSTITUTE(SUBSTITUTE(B309,"~","~~"),"*","~*"),"?","~?"),Материалы!$S$4:$S$800)</f>
        <v/>
      </c>
      <c r="O309" s="4">
        <f>L309+M309+N309</f>
        <v/>
      </c>
      <c r="P309" s="4">
        <f>IF(SUM($O$4:$O$672)=0,0,Косвенные!$C$9*O309/SUM($O$4:$O$672))</f>
        <v/>
      </c>
      <c r="Q309" s="4">
        <f>G309*D309+P309</f>
        <v/>
      </c>
      <c r="R309" s="4">
        <f>IF(D309=0,0,Q309/D309)</f>
        <v/>
      </c>
      <c r="S309" s="4">
        <f>IF(D309=0,0,SUMIF(Материалы!$A$4:$A$800,SUBSTITUTE(SUBSTITUTE(SUBSTITUTE(B309,"~","~~"),"*","~*"),"?","~?"),Материалы!$T$4:$T$800)/D309)</f>
        <v/>
      </c>
      <c r="T309" s="4">
        <f>R309+S309</f>
        <v/>
      </c>
      <c r="U309" s="4">
        <f>I309*D309</f>
        <v/>
      </c>
    </row>
    <row r="310" ht="22" customHeight="1">
      <c r="A310" s="9" t="inlineStr"/>
      <c r="B310" s="13" t="inlineStr">
        <is>
          <t>308. ИБП KEOR LP 3000ВА Legrand или аналог</t>
        </is>
      </c>
      <c r="C310" s="9" t="inlineStr">
        <is>
          <t>шт.</t>
        </is>
      </c>
      <c r="D310" s="4">
        <f>IF('Форма'!G308="","",'Форма'!G308)</f>
        <v/>
      </c>
      <c r="E310" s="9" t="inlineStr">
        <is>
          <t>нет в тарификаторе</t>
        </is>
      </c>
      <c r="F310" s="9" t="inlineStr">
        <is>
          <t>ELM</t>
        </is>
      </c>
      <c r="G310" s="10" t="n">
        <v>4180</v>
      </c>
      <c r="H310" s="10" t="n">
        <v>2040</v>
      </c>
      <c r="I310" s="10" t="n">
        <v>2</v>
      </c>
      <c r="J310" s="9" t="inlineStr"/>
      <c r="K310" s="7">
        <f>IF(F310="",0,IFERROR(VLOOKUP(F310,Расходники!$A$4:$B$23,2,FALSE),0))</f>
        <v/>
      </c>
      <c r="L310" s="4">
        <f>H310*D310</f>
        <v/>
      </c>
      <c r="M310" s="4">
        <f>L310*K310</f>
        <v/>
      </c>
      <c r="N310" s="4">
        <f>SUMIF(Материалы!$A$4:$A$800,SUBSTITUTE(SUBSTITUTE(SUBSTITUTE(B310,"~","~~"),"*","~*"),"?","~?"),Материалы!$S$4:$S$800)</f>
        <v/>
      </c>
      <c r="O310" s="4">
        <f>L310+M310+N310</f>
        <v/>
      </c>
      <c r="P310" s="4">
        <f>IF(SUM($O$4:$O$672)=0,0,Косвенные!$C$9*O310/SUM($O$4:$O$672))</f>
        <v/>
      </c>
      <c r="Q310" s="4">
        <f>G310*D310+P310</f>
        <v/>
      </c>
      <c r="R310" s="4">
        <f>IF(D310=0,0,Q310/D310)</f>
        <v/>
      </c>
      <c r="S310" s="4">
        <f>IF(D310=0,0,SUMIF(Материалы!$A$4:$A$800,SUBSTITUTE(SUBSTITUTE(SUBSTITUTE(B310,"~","~~"),"*","~*"),"?","~?"),Материалы!$T$4:$T$800)/D310)</f>
        <v/>
      </c>
      <c r="T310" s="4">
        <f>R310+S310</f>
        <v/>
      </c>
      <c r="U310" s="4">
        <f>I310*D310</f>
        <v/>
      </c>
    </row>
    <row r="311" ht="22" customHeight="1">
      <c r="A311" s="9" t="inlineStr"/>
      <c r="B311" s="13" t="inlineStr">
        <is>
          <t>309. Разработка однолинейной схемы</t>
        </is>
      </c>
      <c r="C311" s="9" t="inlineStr">
        <is>
          <t>шт.</t>
        </is>
      </c>
      <c r="D311" s="4">
        <f>IF('Форма'!G309="","",'Форма'!G309)</f>
        <v/>
      </c>
      <c r="E311" s="9" t="inlineStr">
        <is>
          <t>нет в тарификаторе</t>
        </is>
      </c>
      <c r="F311" s="9" t="inlineStr">
        <is>
          <t>ETL</t>
        </is>
      </c>
      <c r="G311" s="10" t="n">
        <v>13320</v>
      </c>
      <c r="H311" s="10" t="n">
        <v>6720</v>
      </c>
      <c r="I311" s="10" t="n">
        <v>4</v>
      </c>
      <c r="J311" s="9" t="inlineStr"/>
      <c r="K311" s="7">
        <f>IF(F311="",0,IFERROR(VLOOKUP(F311,Расходники!$A$4:$B$23,2,FALSE),0))</f>
        <v/>
      </c>
      <c r="L311" s="4">
        <f>H311*D311</f>
        <v/>
      </c>
      <c r="M311" s="4">
        <f>L311*K311</f>
        <v/>
      </c>
      <c r="N311" s="4">
        <f>SUMIF(Материалы!$A$4:$A$800,SUBSTITUTE(SUBSTITUTE(SUBSTITUTE(B311,"~","~~"),"*","~*"),"?","~?"),Материалы!$S$4:$S$800)</f>
        <v/>
      </c>
      <c r="O311" s="4">
        <f>L311+M311+N311</f>
        <v/>
      </c>
      <c r="P311" s="4">
        <f>IF(SUM($O$4:$O$672)=0,0,Косвенные!$C$9*O311/SUM($O$4:$O$672))</f>
        <v/>
      </c>
      <c r="Q311" s="4">
        <f>G311*D311+P311</f>
        <v/>
      </c>
      <c r="R311" s="4">
        <f>IF(D311=0,0,Q311/D311)</f>
        <v/>
      </c>
      <c r="S311" s="4">
        <f>IF(D311=0,0,SUMIF(Материалы!$A$4:$A$800,SUBSTITUTE(SUBSTITUTE(SUBSTITUTE(B311,"~","~~"),"*","~*"),"?","~?"),Материалы!$T$4:$T$800)/D311)</f>
        <v/>
      </c>
      <c r="T311" s="4">
        <f>R311+S311</f>
        <v/>
      </c>
      <c r="U311" s="4">
        <f>I311*D311</f>
        <v/>
      </c>
    </row>
    <row r="312" ht="22" customHeight="1">
      <c r="A312" s="9" t="inlineStr">
        <is>
          <t>9.1.64</t>
        </is>
      </c>
      <c r="B312" s="13" t="inlineStr">
        <is>
          <t>310. Раковина подвесная 1-й величины ~45х36 см</t>
        </is>
      </c>
      <c r="C312" s="9" t="inlineStr">
        <is>
          <t>шт.</t>
        </is>
      </c>
      <c r="D312" s="4">
        <f>IF('Форма'!G310="","",'Форма'!G310)</f>
        <v/>
      </c>
      <c r="E312" s="9" t="inlineStr">
        <is>
          <t>точно</t>
        </is>
      </c>
      <c r="F312" s="9" t="inlineStr">
        <is>
          <t>SAN</t>
        </is>
      </c>
      <c r="G312" s="10" t="n">
        <v>2070</v>
      </c>
      <c r="H312" s="10" t="n">
        <v>1283</v>
      </c>
      <c r="I312" s="10" t="n">
        <v>1.4</v>
      </c>
      <c r="J312" s="9" t="inlineStr"/>
      <c r="K312" s="7">
        <f>IF(F312="",0,IFERROR(VLOOKUP(F312,Расходники!$A$4:$B$23,2,FALSE),0))</f>
        <v/>
      </c>
      <c r="L312" s="4">
        <f>H312*D312</f>
        <v/>
      </c>
      <c r="M312" s="4">
        <f>L312*K312</f>
        <v/>
      </c>
      <c r="N312" s="4">
        <f>SUMIF(Материалы!$A$4:$A$800,SUBSTITUTE(SUBSTITUTE(SUBSTITUTE(B312,"~","~~"),"*","~*"),"?","~?"),Материалы!$S$4:$S$800)</f>
        <v/>
      </c>
      <c r="O312" s="4">
        <f>L312+M312+N312</f>
        <v/>
      </c>
      <c r="P312" s="4">
        <f>IF(SUM($O$4:$O$672)=0,0,Косвенные!$C$9*O312/SUM($O$4:$O$672))</f>
        <v/>
      </c>
      <c r="Q312" s="4">
        <f>G312*D312+P312</f>
        <v/>
      </c>
      <c r="R312" s="4">
        <f>IF(D312=0,0,Q312/D312)</f>
        <v/>
      </c>
      <c r="S312" s="4">
        <f>IF(D312=0,0,SUMIF(Материалы!$A$4:$A$800,SUBSTITUTE(SUBSTITUTE(SUBSTITUTE(B312,"~","~~"),"*","~*"),"?","~?"),Материалы!$T$4:$T$800)/D312)</f>
        <v/>
      </c>
      <c r="T312" s="4">
        <f>R312+S312</f>
        <v/>
      </c>
      <c r="U312" s="4">
        <f>I312*D312</f>
        <v/>
      </c>
    </row>
    <row r="313" ht="22" customHeight="1">
      <c r="A313" s="9" t="inlineStr">
        <is>
          <t>9.1.64</t>
        </is>
      </c>
      <c r="B313" s="13" t="inlineStr">
        <is>
          <t>311. Раковина подвесная 2-й величины ~55х46 см</t>
        </is>
      </c>
      <c r="C313" s="9" t="inlineStr">
        <is>
          <t>шт.</t>
        </is>
      </c>
      <c r="D313" s="4">
        <f>IF('Форма'!G311="","",'Форма'!G311)</f>
        <v/>
      </c>
      <c r="E313" s="9" t="inlineStr">
        <is>
          <t>точно</t>
        </is>
      </c>
      <c r="F313" s="9" t="inlineStr">
        <is>
          <t>SAN</t>
        </is>
      </c>
      <c r="G313" s="10" t="n">
        <v>2070</v>
      </c>
      <c r="H313" s="10" t="n">
        <v>1283</v>
      </c>
      <c r="I313" s="10" t="n">
        <v>1.4</v>
      </c>
      <c r="J313" s="9" t="inlineStr"/>
      <c r="K313" s="7">
        <f>IF(F313="",0,IFERROR(VLOOKUP(F313,Расходники!$A$4:$B$23,2,FALSE),0))</f>
        <v/>
      </c>
      <c r="L313" s="4">
        <f>H313*D313</f>
        <v/>
      </c>
      <c r="M313" s="4">
        <f>L313*K313</f>
        <v/>
      </c>
      <c r="N313" s="4">
        <f>SUMIF(Материалы!$A$4:$A$800,SUBSTITUTE(SUBSTITUTE(SUBSTITUTE(B313,"~","~~"),"*","~*"),"?","~?"),Материалы!$S$4:$S$800)</f>
        <v/>
      </c>
      <c r="O313" s="4">
        <f>L313+M313+N313</f>
        <v/>
      </c>
      <c r="P313" s="4">
        <f>IF(SUM($O$4:$O$672)=0,0,Косвенные!$C$9*O313/SUM($O$4:$O$672))</f>
        <v/>
      </c>
      <c r="Q313" s="4">
        <f>G313*D313+P313</f>
        <v/>
      </c>
      <c r="R313" s="4">
        <f>IF(D313=0,0,Q313/D313)</f>
        <v/>
      </c>
      <c r="S313" s="4">
        <f>IF(D313=0,0,SUMIF(Материалы!$A$4:$A$800,SUBSTITUTE(SUBSTITUTE(SUBSTITUTE(B313,"~","~~"),"*","~*"),"?","~?"),Материалы!$T$4:$T$800)/D313)</f>
        <v/>
      </c>
      <c r="T313" s="4">
        <f>R313+S313</f>
        <v/>
      </c>
      <c r="U313" s="4">
        <f>I313*D313</f>
        <v/>
      </c>
    </row>
    <row r="314" ht="22" customHeight="1">
      <c r="A314" s="9" t="inlineStr">
        <is>
          <t>9.1.63</t>
        </is>
      </c>
      <c r="B314" s="13" t="inlineStr">
        <is>
          <t>312. Раковина на пъедестале 55х44 см</t>
        </is>
      </c>
      <c r="C314" s="9" t="inlineStr">
        <is>
          <t>шт.</t>
        </is>
      </c>
      <c r="D314" s="4">
        <f>IF('Форма'!G312="","",'Форма'!G312)</f>
        <v/>
      </c>
      <c r="E314" s="9" t="inlineStr">
        <is>
          <t>точно</t>
        </is>
      </c>
      <c r="F314" s="9" t="inlineStr">
        <is>
          <t>SAN</t>
        </is>
      </c>
      <c r="G314" s="10" t="n">
        <v>2300</v>
      </c>
      <c r="H314" s="10" t="n">
        <v>1426</v>
      </c>
      <c r="I314" s="10" t="n">
        <v>1.5</v>
      </c>
      <c r="J314" s="9" t="inlineStr"/>
      <c r="K314" s="7">
        <f>IF(F314="",0,IFERROR(VLOOKUP(F314,Расходники!$A$4:$B$23,2,FALSE),0))</f>
        <v/>
      </c>
      <c r="L314" s="4">
        <f>H314*D314</f>
        <v/>
      </c>
      <c r="M314" s="4">
        <f>L314*K314</f>
        <v/>
      </c>
      <c r="N314" s="4">
        <f>SUMIF(Материалы!$A$4:$A$800,SUBSTITUTE(SUBSTITUTE(SUBSTITUTE(B314,"~","~~"),"*","~*"),"?","~?"),Материалы!$S$4:$S$800)</f>
        <v/>
      </c>
      <c r="O314" s="4">
        <f>L314+M314+N314</f>
        <v/>
      </c>
      <c r="P314" s="4">
        <f>IF(SUM($O$4:$O$672)=0,0,Косвенные!$C$9*O314/SUM($O$4:$O$672))</f>
        <v/>
      </c>
      <c r="Q314" s="4">
        <f>G314*D314+P314</f>
        <v/>
      </c>
      <c r="R314" s="4">
        <f>IF(D314=0,0,Q314/D314)</f>
        <v/>
      </c>
      <c r="S314" s="4">
        <f>IF(D314=0,0,SUMIF(Материалы!$A$4:$A$800,SUBSTITUTE(SUBSTITUTE(SUBSTITUTE(B314,"~","~~"),"*","~*"),"?","~?"),Материалы!$T$4:$T$800)/D314)</f>
        <v/>
      </c>
      <c r="T314" s="4">
        <f>R314+S314</f>
        <v/>
      </c>
      <c r="U314" s="4">
        <f>I314*D314</f>
        <v/>
      </c>
    </row>
    <row r="315" ht="22" customHeight="1">
      <c r="A315" s="9" t="inlineStr">
        <is>
          <t>9.1.64</t>
        </is>
      </c>
      <c r="B315" s="13" t="inlineStr">
        <is>
          <t>313. Раковина угловая ~33х33 см</t>
        </is>
      </c>
      <c r="C315" s="9" t="inlineStr">
        <is>
          <t>шт.</t>
        </is>
      </c>
      <c r="D315" s="4">
        <f>IF('Форма'!G313="","",'Форма'!G313)</f>
        <v/>
      </c>
      <c r="E315" s="9" t="inlineStr">
        <is>
          <t>точно</t>
        </is>
      </c>
      <c r="F315" s="9" t="inlineStr">
        <is>
          <t>SAN</t>
        </is>
      </c>
      <c r="G315" s="10" t="n">
        <v>2070</v>
      </c>
      <c r="H315" s="10" t="n">
        <v>1283</v>
      </c>
      <c r="I315" s="10" t="n">
        <v>1.4</v>
      </c>
      <c r="J315" s="9" t="inlineStr"/>
      <c r="K315" s="7">
        <f>IF(F315="",0,IFERROR(VLOOKUP(F315,Расходники!$A$4:$B$23,2,FALSE),0))</f>
        <v/>
      </c>
      <c r="L315" s="4">
        <f>H315*D315</f>
        <v/>
      </c>
      <c r="M315" s="4">
        <f>L315*K315</f>
        <v/>
      </c>
      <c r="N315" s="4">
        <f>SUMIF(Материалы!$A$4:$A$800,SUBSTITUTE(SUBSTITUTE(SUBSTITUTE(B315,"~","~~"),"*","~*"),"?","~?"),Материалы!$S$4:$S$800)</f>
        <v/>
      </c>
      <c r="O315" s="4">
        <f>L315+M315+N315</f>
        <v/>
      </c>
      <c r="P315" s="4">
        <f>IF(SUM($O$4:$O$672)=0,0,Косвенные!$C$9*O315/SUM($O$4:$O$672))</f>
        <v/>
      </c>
      <c r="Q315" s="4">
        <f>G315*D315+P315</f>
        <v/>
      </c>
      <c r="R315" s="4">
        <f>IF(D315=0,0,Q315/D315)</f>
        <v/>
      </c>
      <c r="S315" s="4">
        <f>IF(D315=0,0,SUMIF(Материалы!$A$4:$A$800,SUBSTITUTE(SUBSTITUTE(SUBSTITUTE(B315,"~","~~"),"*","~*"),"?","~?"),Материалы!$T$4:$T$800)/D315)</f>
        <v/>
      </c>
      <c r="T315" s="4">
        <f>R315+S315</f>
        <v/>
      </c>
      <c r="U315" s="4">
        <f>I315*D315</f>
        <v/>
      </c>
    </row>
    <row r="316" ht="22" customHeight="1">
      <c r="A316" s="9" t="inlineStr">
        <is>
          <t>9.1.72</t>
        </is>
      </c>
      <c r="B316" s="13" t="inlineStr">
        <is>
          <t>314. Унитаз-компакт типа "Воротынский"</t>
        </is>
      </c>
      <c r="C316" s="9" t="inlineStr">
        <is>
          <t>шт.</t>
        </is>
      </c>
      <c r="D316" s="4">
        <f>IF('Форма'!G314="","",'Форма'!G314)</f>
        <v/>
      </c>
      <c r="E316" s="9" t="inlineStr">
        <is>
          <t>точно</t>
        </is>
      </c>
      <c r="F316" s="9" t="inlineStr">
        <is>
          <t>SAN</t>
        </is>
      </c>
      <c r="G316" s="10" t="n">
        <v>3220</v>
      </c>
      <c r="H316" s="10" t="n">
        <v>1996</v>
      </c>
      <c r="I316" s="10" t="n">
        <v>2</v>
      </c>
      <c r="J316" s="9" t="inlineStr"/>
      <c r="K316" s="7">
        <f>IF(F316="",0,IFERROR(VLOOKUP(F316,Расходники!$A$4:$B$23,2,FALSE),0))</f>
        <v/>
      </c>
      <c r="L316" s="4">
        <f>H316*D316</f>
        <v/>
      </c>
      <c r="M316" s="4">
        <f>L316*K316</f>
        <v/>
      </c>
      <c r="N316" s="4">
        <f>SUMIF(Материалы!$A$4:$A$800,SUBSTITUTE(SUBSTITUTE(SUBSTITUTE(B316,"~","~~"),"*","~*"),"?","~?"),Материалы!$S$4:$S$800)</f>
        <v/>
      </c>
      <c r="O316" s="4">
        <f>L316+M316+N316</f>
        <v/>
      </c>
      <c r="P316" s="4">
        <f>IF(SUM($O$4:$O$672)=0,0,Косвенные!$C$9*O316/SUM($O$4:$O$672))</f>
        <v/>
      </c>
      <c r="Q316" s="4">
        <f>G316*D316+P316</f>
        <v/>
      </c>
      <c r="R316" s="4">
        <f>IF(D316=0,0,Q316/D316)</f>
        <v/>
      </c>
      <c r="S316" s="4">
        <f>IF(D316=0,0,SUMIF(Материалы!$A$4:$A$800,SUBSTITUTE(SUBSTITUTE(SUBSTITUTE(B316,"~","~~"),"*","~*"),"?","~?"),Материалы!$T$4:$T$800)/D316)</f>
        <v/>
      </c>
      <c r="T316" s="4">
        <f>R316+S316</f>
        <v/>
      </c>
      <c r="U316" s="4">
        <f>I316*D316</f>
        <v/>
      </c>
    </row>
    <row r="317" ht="22" customHeight="1">
      <c r="A317" s="9" t="inlineStr">
        <is>
          <t>9.1.63</t>
        </is>
      </c>
      <c r="B317" s="13" t="inlineStr">
        <is>
          <t>315. Умывальник на пьедестале С/О по центру, С/П 47 см ПОЛУКРУГЛЫЙ (390х470х840)</t>
        </is>
      </c>
      <c r="C317" s="9" t="inlineStr">
        <is>
          <t>шт.</t>
        </is>
      </c>
      <c r="D317" s="4">
        <f>IF('Форма'!G315="","",'Форма'!G315)</f>
        <v/>
      </c>
      <c r="E317" s="9" t="inlineStr">
        <is>
          <t>точно</t>
        </is>
      </c>
      <c r="F317" s="9" t="inlineStr">
        <is>
          <t>SAN</t>
        </is>
      </c>
      <c r="G317" s="10" t="n">
        <v>2300</v>
      </c>
      <c r="H317" s="10" t="n">
        <v>1426</v>
      </c>
      <c r="I317" s="10" t="n">
        <v>1.5</v>
      </c>
      <c r="J317" s="9" t="inlineStr"/>
      <c r="K317" s="7">
        <f>IF(F317="",0,IFERROR(VLOOKUP(F317,Расходники!$A$4:$B$23,2,FALSE),0))</f>
        <v/>
      </c>
      <c r="L317" s="4">
        <f>H317*D317</f>
        <v/>
      </c>
      <c r="M317" s="4">
        <f>L317*K317</f>
        <v/>
      </c>
      <c r="N317" s="4">
        <f>SUMIF(Материалы!$A$4:$A$800,SUBSTITUTE(SUBSTITUTE(SUBSTITUTE(B317,"~","~~"),"*","~*"),"?","~?"),Материалы!$S$4:$S$800)</f>
        <v/>
      </c>
      <c r="O317" s="4">
        <f>L317+M317+N317</f>
        <v/>
      </c>
      <c r="P317" s="4">
        <f>IF(SUM($O$4:$O$672)=0,0,Косвенные!$C$9*O317/SUM($O$4:$O$672))</f>
        <v/>
      </c>
      <c r="Q317" s="4">
        <f>G317*D317+P317</f>
        <v/>
      </c>
      <c r="R317" s="4">
        <f>IF(D317=0,0,Q317/D317)</f>
        <v/>
      </c>
      <c r="S317" s="4">
        <f>IF(D317=0,0,SUMIF(Материалы!$A$4:$A$800,SUBSTITUTE(SUBSTITUTE(SUBSTITUTE(B317,"~","~~"),"*","~*"),"?","~?"),Материалы!$T$4:$T$800)/D317)</f>
        <v/>
      </c>
      <c r="T317" s="4">
        <f>R317+S317</f>
        <v/>
      </c>
      <c r="U317" s="4">
        <f>I317*D317</f>
        <v/>
      </c>
    </row>
    <row r="318" ht="22" customHeight="1">
      <c r="A318" s="9" t="inlineStr">
        <is>
          <t>9.1.72</t>
        </is>
      </c>
      <c r="B318" s="13" t="inlineStr">
        <is>
          <t>316. Напольный унитаз Sanita Эталон Стандарт или аналог</t>
        </is>
      </c>
      <c r="C318" s="9" t="inlineStr">
        <is>
          <t>шт.</t>
        </is>
      </c>
      <c r="D318" s="4">
        <f>IF('Форма'!G316="","",'Форма'!G316)</f>
        <v/>
      </c>
      <c r="E318" s="9" t="inlineStr">
        <is>
          <t>точно</t>
        </is>
      </c>
      <c r="F318" s="9" t="inlineStr">
        <is>
          <t>SAN</t>
        </is>
      </c>
      <c r="G318" s="10" t="n">
        <v>3220</v>
      </c>
      <c r="H318" s="10" t="n">
        <v>1996</v>
      </c>
      <c r="I318" s="10" t="n">
        <v>2</v>
      </c>
      <c r="J318" s="9" t="inlineStr"/>
      <c r="K318" s="7">
        <f>IF(F318="",0,IFERROR(VLOOKUP(F318,Расходники!$A$4:$B$23,2,FALSE),0))</f>
        <v/>
      </c>
      <c r="L318" s="4">
        <f>H318*D318</f>
        <v/>
      </c>
      <c r="M318" s="4">
        <f>L318*K318</f>
        <v/>
      </c>
      <c r="N318" s="4">
        <f>SUMIF(Материалы!$A$4:$A$800,SUBSTITUTE(SUBSTITUTE(SUBSTITUTE(B318,"~","~~"),"*","~*"),"?","~?"),Материалы!$S$4:$S$800)</f>
        <v/>
      </c>
      <c r="O318" s="4">
        <f>L318+M318+N318</f>
        <v/>
      </c>
      <c r="P318" s="4">
        <f>IF(SUM($O$4:$O$672)=0,0,Косвенные!$C$9*O318/SUM($O$4:$O$672))</f>
        <v/>
      </c>
      <c r="Q318" s="4">
        <f>G318*D318+P318</f>
        <v/>
      </c>
      <c r="R318" s="4">
        <f>IF(D318=0,0,Q318/D318)</f>
        <v/>
      </c>
      <c r="S318" s="4">
        <f>IF(D318=0,0,SUMIF(Материалы!$A$4:$A$800,SUBSTITUTE(SUBSTITUTE(SUBSTITUTE(B318,"~","~~"),"*","~*"),"?","~?"),Материалы!$T$4:$T$800)/D318)</f>
        <v/>
      </c>
      <c r="T318" s="4">
        <f>R318+S318</f>
        <v/>
      </c>
      <c r="U318" s="4">
        <f>I318*D318</f>
        <v/>
      </c>
    </row>
    <row r="319" ht="22" customHeight="1">
      <c r="A319" s="9" t="inlineStr"/>
      <c r="B319" s="13" t="inlineStr">
        <is>
          <t>317. Душевой поддон</t>
        </is>
      </c>
      <c r="C319" s="9" t="inlineStr">
        <is>
          <t>шт.</t>
        </is>
      </c>
      <c r="D319" s="4">
        <f>IF('Форма'!G317="","",'Форма'!G317)</f>
        <v/>
      </c>
      <c r="E319" s="9" t="inlineStr">
        <is>
          <t>нет в тарификаторе</t>
        </is>
      </c>
      <c r="F319" s="9" t="inlineStr">
        <is>
          <t>SAN</t>
        </is>
      </c>
      <c r="G319" s="10" t="n">
        <v>4180</v>
      </c>
      <c r="H319" s="10" t="n">
        <v>2040</v>
      </c>
      <c r="I319" s="10" t="n">
        <v>2</v>
      </c>
      <c r="J319" s="9" t="inlineStr"/>
      <c r="K319" s="7">
        <f>IF(F319="",0,IFERROR(VLOOKUP(F319,Расходники!$A$4:$B$23,2,FALSE),0))</f>
        <v/>
      </c>
      <c r="L319" s="4">
        <f>H319*D319</f>
        <v/>
      </c>
      <c r="M319" s="4">
        <f>L319*K319</f>
        <v/>
      </c>
      <c r="N319" s="4">
        <f>SUMIF(Материалы!$A$4:$A$800,SUBSTITUTE(SUBSTITUTE(SUBSTITUTE(B319,"~","~~"),"*","~*"),"?","~?"),Материалы!$S$4:$S$800)</f>
        <v/>
      </c>
      <c r="O319" s="4">
        <f>L319+M319+N319</f>
        <v/>
      </c>
      <c r="P319" s="4">
        <f>IF(SUM($O$4:$O$672)=0,0,Косвенные!$C$9*O319/SUM($O$4:$O$672))</f>
        <v/>
      </c>
      <c r="Q319" s="4">
        <f>G319*D319+P319</f>
        <v/>
      </c>
      <c r="R319" s="4">
        <f>IF(D319=0,0,Q319/D319)</f>
        <v/>
      </c>
      <c r="S319" s="4">
        <f>IF(D319=0,0,SUMIF(Материалы!$A$4:$A$800,SUBSTITUTE(SUBSTITUTE(SUBSTITUTE(B319,"~","~~"),"*","~*"),"?","~?"),Материалы!$T$4:$T$800)/D319)</f>
        <v/>
      </c>
      <c r="T319" s="4">
        <f>R319+S319</f>
        <v/>
      </c>
      <c r="U319" s="4">
        <f>I319*D319</f>
        <v/>
      </c>
    </row>
    <row r="320" ht="22" customHeight="1">
      <c r="A320" s="9" t="inlineStr"/>
      <c r="B320" s="13" t="inlineStr">
        <is>
          <t>318. Технологическая мойка из нержавеющей стали односекционная с размером чаши не менее 600x600x300 мм</t>
        </is>
      </c>
      <c r="C320" s="9" t="inlineStr">
        <is>
          <t>шт.</t>
        </is>
      </c>
      <c r="D320" s="4">
        <f>IF('Форма'!G318="","",'Форма'!G318)</f>
        <v/>
      </c>
      <c r="E320" s="9" t="inlineStr">
        <is>
          <t>нет в тарификаторе</t>
        </is>
      </c>
      <c r="F320" s="9" t="inlineStr">
        <is>
          <t>SAN</t>
        </is>
      </c>
      <c r="G320" s="10" t="n">
        <v>3135</v>
      </c>
      <c r="H320" s="10" t="n">
        <v>1530</v>
      </c>
      <c r="I320" s="10" t="n">
        <v>1.5</v>
      </c>
      <c r="J320" s="9" t="inlineStr"/>
      <c r="K320" s="7">
        <f>IF(F320="",0,IFERROR(VLOOKUP(F320,Расходники!$A$4:$B$23,2,FALSE),0))</f>
        <v/>
      </c>
      <c r="L320" s="4">
        <f>H320*D320</f>
        <v/>
      </c>
      <c r="M320" s="4">
        <f>L320*K320</f>
        <v/>
      </c>
      <c r="N320" s="4">
        <f>SUMIF(Материалы!$A$4:$A$800,SUBSTITUTE(SUBSTITUTE(SUBSTITUTE(B320,"~","~~"),"*","~*"),"?","~?"),Материалы!$S$4:$S$800)</f>
        <v/>
      </c>
      <c r="O320" s="4">
        <f>L320+M320+N320</f>
        <v/>
      </c>
      <c r="P320" s="4">
        <f>IF(SUM($O$4:$O$672)=0,0,Косвенные!$C$9*O320/SUM($O$4:$O$672))</f>
        <v/>
      </c>
      <c r="Q320" s="4">
        <f>G320*D320+P320</f>
        <v/>
      </c>
      <c r="R320" s="4">
        <f>IF(D320=0,0,Q320/D320)</f>
        <v/>
      </c>
      <c r="S320" s="4">
        <f>IF(D320=0,0,SUMIF(Материалы!$A$4:$A$800,SUBSTITUTE(SUBSTITUTE(SUBSTITUTE(B320,"~","~~"),"*","~*"),"?","~?"),Материалы!$T$4:$T$800)/D320)</f>
        <v/>
      </c>
      <c r="T320" s="4">
        <f>R320+S320</f>
        <v/>
      </c>
      <c r="U320" s="4">
        <f>I320*D320</f>
        <v/>
      </c>
    </row>
    <row r="321" ht="22" customHeight="1">
      <c r="A321" s="9" t="inlineStr"/>
      <c r="B321" s="13" t="inlineStr">
        <is>
          <t>319.  Стол с мойкой К-МС-П1 из нержавеющей стали, 1 чаша 1200x600x870мм в сборе со смесителем, подводкой и сифоном</t>
        </is>
      </c>
      <c r="C321" s="9" t="inlineStr">
        <is>
          <t>шт.</t>
        </is>
      </c>
      <c r="D321" s="4">
        <f>IF('Форма'!G319="","",'Форма'!G319)</f>
        <v/>
      </c>
      <c r="E321" s="9" t="inlineStr">
        <is>
          <t>нет в тарификаторе</t>
        </is>
      </c>
      <c r="F321" s="9" t="inlineStr">
        <is>
          <t>SAN</t>
        </is>
      </c>
      <c r="G321" s="10" t="n">
        <v>2090</v>
      </c>
      <c r="H321" s="10" t="n">
        <v>1020</v>
      </c>
      <c r="I321" s="10" t="n">
        <v>1</v>
      </c>
      <c r="J321" s="9" t="inlineStr"/>
      <c r="K321" s="7">
        <f>IF(F321="",0,IFERROR(VLOOKUP(F321,Расходники!$A$4:$B$23,2,FALSE),0))</f>
        <v/>
      </c>
      <c r="L321" s="4">
        <f>H321*D321</f>
        <v/>
      </c>
      <c r="M321" s="4">
        <f>L321*K321</f>
        <v/>
      </c>
      <c r="N321" s="4">
        <f>SUMIF(Материалы!$A$4:$A$800,SUBSTITUTE(SUBSTITUTE(SUBSTITUTE(B321,"~","~~"),"*","~*"),"?","~?"),Материалы!$S$4:$S$800)</f>
        <v/>
      </c>
      <c r="O321" s="4">
        <f>L321+M321+N321</f>
        <v/>
      </c>
      <c r="P321" s="4">
        <f>IF(SUM($O$4:$O$672)=0,0,Косвенные!$C$9*O321/SUM($O$4:$O$672))</f>
        <v/>
      </c>
      <c r="Q321" s="4">
        <f>G321*D321+P321</f>
        <v/>
      </c>
      <c r="R321" s="4">
        <f>IF(D321=0,0,Q321/D321)</f>
        <v/>
      </c>
      <c r="S321" s="4">
        <f>IF(D321=0,0,SUMIF(Материалы!$A$4:$A$800,SUBSTITUTE(SUBSTITUTE(SUBSTITUTE(B321,"~","~~"),"*","~*"),"?","~?"),Материалы!$T$4:$T$800)/D321)</f>
        <v/>
      </c>
      <c r="T321" s="4">
        <f>R321+S321</f>
        <v/>
      </c>
      <c r="U321" s="4">
        <f>I321*D321</f>
        <v/>
      </c>
    </row>
    <row r="322" ht="22" customHeight="1">
      <c r="A322" s="9" t="inlineStr"/>
      <c r="B322" s="13" t="inlineStr">
        <is>
          <t xml:space="preserve">320. Котломойка из нержавеющей стали  двойная 1200х800х800 </t>
        </is>
      </c>
      <c r="C322" s="9" t="inlineStr">
        <is>
          <t>шт.</t>
        </is>
      </c>
      <c r="D322" s="4">
        <f>IF('Форма'!G320="","",'Форма'!G320)</f>
        <v/>
      </c>
      <c r="E322" s="9" t="inlineStr">
        <is>
          <t>нет в тарификаторе</t>
        </is>
      </c>
      <c r="F322" s="9" t="inlineStr">
        <is>
          <t>SAN</t>
        </is>
      </c>
      <c r="G322" s="10" t="n">
        <v>5225</v>
      </c>
      <c r="H322" s="10" t="n">
        <v>2550</v>
      </c>
      <c r="I322" s="10" t="n">
        <v>2.5</v>
      </c>
      <c r="J322" s="9" t="inlineStr"/>
      <c r="K322" s="7">
        <f>IF(F322="",0,IFERROR(VLOOKUP(F322,Расходники!$A$4:$B$23,2,FALSE),0))</f>
        <v/>
      </c>
      <c r="L322" s="4">
        <f>H322*D322</f>
        <v/>
      </c>
      <c r="M322" s="4">
        <f>L322*K322</f>
        <v/>
      </c>
      <c r="N322" s="4">
        <f>SUMIF(Материалы!$A$4:$A$800,SUBSTITUTE(SUBSTITUTE(SUBSTITUTE(B322,"~","~~"),"*","~*"),"?","~?"),Материалы!$S$4:$S$800)</f>
        <v/>
      </c>
      <c r="O322" s="4">
        <f>L322+M322+N322</f>
        <v/>
      </c>
      <c r="P322" s="4">
        <f>IF(SUM($O$4:$O$672)=0,0,Косвенные!$C$9*O322/SUM($O$4:$O$672))</f>
        <v/>
      </c>
      <c r="Q322" s="4">
        <f>G322*D322+P322</f>
        <v/>
      </c>
      <c r="R322" s="4">
        <f>IF(D322=0,0,Q322/D322)</f>
        <v/>
      </c>
      <c r="S322" s="4">
        <f>IF(D322=0,0,SUMIF(Материалы!$A$4:$A$800,SUBSTITUTE(SUBSTITUTE(SUBSTITUTE(B322,"~","~~"),"*","~*"),"?","~?"),Материалы!$T$4:$T$800)/D322)</f>
        <v/>
      </c>
      <c r="T322" s="4">
        <f>R322+S322</f>
        <v/>
      </c>
      <c r="U322" s="4">
        <f>I322*D322</f>
        <v/>
      </c>
    </row>
    <row r="323" ht="22" customHeight="1">
      <c r="A323" s="9" t="inlineStr">
        <is>
          <t>9.1.60</t>
        </is>
      </c>
      <c r="B323" s="13" t="inlineStr">
        <is>
          <t>321. пескоуловитель для поломоечн.машин ОВП120 КОВП120ПМ или аналог</t>
        </is>
      </c>
      <c r="C323" s="9" t="inlineStr">
        <is>
          <t>шт.</t>
        </is>
      </c>
      <c r="D323" s="4">
        <f>IF('Форма'!G321="","",'Форма'!G321)</f>
        <v/>
      </c>
      <c r="E323" s="9" t="inlineStr">
        <is>
          <t>аналог (9.1.60)</t>
        </is>
      </c>
      <c r="F323" s="9" t="inlineStr">
        <is>
          <t>SAN</t>
        </is>
      </c>
      <c r="G323" s="10" t="n">
        <v>5750</v>
      </c>
      <c r="H323" s="10" t="n">
        <v>3565</v>
      </c>
      <c r="I323" s="10" t="n">
        <v>3</v>
      </c>
      <c r="J323" s="9" t="inlineStr"/>
      <c r="K323" s="7">
        <f>IF(F323="",0,IFERROR(VLOOKUP(F323,Расходники!$A$4:$B$23,2,FALSE),0))</f>
        <v/>
      </c>
      <c r="L323" s="4">
        <f>H323*D323</f>
        <v/>
      </c>
      <c r="M323" s="4">
        <f>L323*K323</f>
        <v/>
      </c>
      <c r="N323" s="4">
        <f>SUMIF(Материалы!$A$4:$A$800,SUBSTITUTE(SUBSTITUTE(SUBSTITUTE(B323,"~","~~"),"*","~*"),"?","~?"),Материалы!$S$4:$S$800)</f>
        <v/>
      </c>
      <c r="O323" s="4">
        <f>L323+M323+N323</f>
        <v/>
      </c>
      <c r="P323" s="4">
        <f>IF(SUM($O$4:$O$672)=0,0,Косвенные!$C$9*O323/SUM($O$4:$O$672))</f>
        <v/>
      </c>
      <c r="Q323" s="4">
        <f>G323*D323+P323</f>
        <v/>
      </c>
      <c r="R323" s="4">
        <f>IF(D323=0,0,Q323/D323)</f>
        <v/>
      </c>
      <c r="S323" s="4">
        <f>IF(D323=0,0,SUMIF(Материалы!$A$4:$A$800,SUBSTITUTE(SUBSTITUTE(SUBSTITUTE(B323,"~","~~"),"*","~*"),"?","~?"),Материалы!$T$4:$T$800)/D323)</f>
        <v/>
      </c>
      <c r="T323" s="4">
        <f>R323+S323</f>
        <v/>
      </c>
      <c r="U323" s="4">
        <f>I323*D323</f>
        <v/>
      </c>
    </row>
    <row r="324" ht="22" customHeight="1">
      <c r="A324" s="9" t="inlineStr">
        <is>
          <t>9.1.60</t>
        </is>
      </c>
      <c r="B324" s="13" t="inlineStr">
        <is>
          <t>322. Пескоуловители 0,5-30 (Стандарт)</t>
        </is>
      </c>
      <c r="C324" s="9" t="inlineStr">
        <is>
          <t>шт.</t>
        </is>
      </c>
      <c r="D324" s="4">
        <f>IF('Форма'!G322="","",'Форма'!G322)</f>
        <v/>
      </c>
      <c r="E324" s="9" t="inlineStr">
        <is>
          <t>аналог (9.1.60)</t>
        </is>
      </c>
      <c r="F324" s="9" t="inlineStr">
        <is>
          <t>SAN</t>
        </is>
      </c>
      <c r="G324" s="10" t="n">
        <v>5750</v>
      </c>
      <c r="H324" s="10" t="n">
        <v>3565</v>
      </c>
      <c r="I324" s="10" t="n">
        <v>3</v>
      </c>
      <c r="J324" s="9" t="inlineStr"/>
      <c r="K324" s="7">
        <f>IF(F324="",0,IFERROR(VLOOKUP(F324,Расходники!$A$4:$B$23,2,FALSE),0))</f>
        <v/>
      </c>
      <c r="L324" s="4">
        <f>H324*D324</f>
        <v/>
      </c>
      <c r="M324" s="4">
        <f>L324*K324</f>
        <v/>
      </c>
      <c r="N324" s="4">
        <f>SUMIF(Материалы!$A$4:$A$800,SUBSTITUTE(SUBSTITUTE(SUBSTITUTE(B324,"~","~~"),"*","~*"),"?","~?"),Материалы!$S$4:$S$800)</f>
        <v/>
      </c>
      <c r="O324" s="4">
        <f>L324+M324+N324</f>
        <v/>
      </c>
      <c r="P324" s="4">
        <f>IF(SUM($O$4:$O$672)=0,0,Косвенные!$C$9*O324/SUM($O$4:$O$672))</f>
        <v/>
      </c>
      <c r="Q324" s="4">
        <f>G324*D324+P324</f>
        <v/>
      </c>
      <c r="R324" s="4">
        <f>IF(D324=0,0,Q324/D324)</f>
        <v/>
      </c>
      <c r="S324" s="4">
        <f>IF(D324=0,0,SUMIF(Материалы!$A$4:$A$800,SUBSTITUTE(SUBSTITUTE(SUBSTITUTE(B324,"~","~~"),"*","~*"),"?","~?"),Материалы!$T$4:$T$800)/D324)</f>
        <v/>
      </c>
      <c r="T324" s="4">
        <f>R324+S324</f>
        <v/>
      </c>
      <c r="U324" s="4">
        <f>I324*D324</f>
        <v/>
      </c>
    </row>
    <row r="325" ht="22" customHeight="1">
      <c r="A325" s="9" t="inlineStr">
        <is>
          <t>9.1.60</t>
        </is>
      </c>
      <c r="B325" s="13" t="inlineStr">
        <is>
          <t>323. Пескоуловители 0,5-50 (Стандарт)</t>
        </is>
      </c>
      <c r="C325" s="9" t="inlineStr">
        <is>
          <t>шт.</t>
        </is>
      </c>
      <c r="D325" s="4">
        <f>IF('Форма'!G323="","",'Форма'!G323)</f>
        <v/>
      </c>
      <c r="E325" s="9" t="inlineStr">
        <is>
          <t>аналог (9.1.60)</t>
        </is>
      </c>
      <c r="F325" s="9" t="inlineStr">
        <is>
          <t>SAN</t>
        </is>
      </c>
      <c r="G325" s="10" t="n">
        <v>5750</v>
      </c>
      <c r="H325" s="10" t="n">
        <v>3565</v>
      </c>
      <c r="I325" s="10" t="n">
        <v>3</v>
      </c>
      <c r="J325" s="9" t="inlineStr"/>
      <c r="K325" s="7">
        <f>IF(F325="",0,IFERROR(VLOOKUP(F325,Расходники!$A$4:$B$23,2,FALSE),0))</f>
        <v/>
      </c>
      <c r="L325" s="4">
        <f>H325*D325</f>
        <v/>
      </c>
      <c r="M325" s="4">
        <f>L325*K325</f>
        <v/>
      </c>
      <c r="N325" s="4">
        <f>SUMIF(Материалы!$A$4:$A$800,SUBSTITUTE(SUBSTITUTE(SUBSTITUTE(B325,"~","~~"),"*","~*"),"?","~?"),Материалы!$S$4:$S$800)</f>
        <v/>
      </c>
      <c r="O325" s="4">
        <f>L325+M325+N325</f>
        <v/>
      </c>
      <c r="P325" s="4">
        <f>IF(SUM($O$4:$O$672)=0,0,Косвенные!$C$9*O325/SUM($O$4:$O$672))</f>
        <v/>
      </c>
      <c r="Q325" s="4">
        <f>G325*D325+P325</f>
        <v/>
      </c>
      <c r="R325" s="4">
        <f>IF(D325=0,0,Q325/D325)</f>
        <v/>
      </c>
      <c r="S325" s="4">
        <f>IF(D325=0,0,SUMIF(Материалы!$A$4:$A$800,SUBSTITUTE(SUBSTITUTE(SUBSTITUTE(B325,"~","~~"),"*","~*"),"?","~?"),Материалы!$T$4:$T$800)/D325)</f>
        <v/>
      </c>
      <c r="T325" s="4">
        <f>R325+S325</f>
        <v/>
      </c>
      <c r="U325" s="4">
        <f>I325*D325</f>
        <v/>
      </c>
    </row>
    <row r="326" ht="22" customHeight="1">
      <c r="A326" s="9" t="inlineStr">
        <is>
          <t>9.1.60</t>
        </is>
      </c>
      <c r="B326" s="13" t="inlineStr">
        <is>
          <t>324. Пескоуловители 1,0-80 (Стандарт)</t>
        </is>
      </c>
      <c r="C326" s="9" t="inlineStr">
        <is>
          <t>шт.</t>
        </is>
      </c>
      <c r="D326" s="4">
        <f>IF('Форма'!G324="","",'Форма'!G324)</f>
        <v/>
      </c>
      <c r="E326" s="9" t="inlineStr">
        <is>
          <t>аналог (9.1.60)</t>
        </is>
      </c>
      <c r="F326" s="9" t="inlineStr">
        <is>
          <t>SAN</t>
        </is>
      </c>
      <c r="G326" s="10" t="n">
        <v>5750</v>
      </c>
      <c r="H326" s="10" t="n">
        <v>3565</v>
      </c>
      <c r="I326" s="10" t="n">
        <v>3</v>
      </c>
      <c r="J326" s="9" t="inlineStr"/>
      <c r="K326" s="7">
        <f>IF(F326="",0,IFERROR(VLOOKUP(F326,Расходники!$A$4:$B$23,2,FALSE),0))</f>
        <v/>
      </c>
      <c r="L326" s="4">
        <f>H326*D326</f>
        <v/>
      </c>
      <c r="M326" s="4">
        <f>L326*K326</f>
        <v/>
      </c>
      <c r="N326" s="4">
        <f>SUMIF(Материалы!$A$4:$A$800,SUBSTITUTE(SUBSTITUTE(SUBSTITUTE(B326,"~","~~"),"*","~*"),"?","~?"),Материалы!$S$4:$S$800)</f>
        <v/>
      </c>
      <c r="O326" s="4">
        <f>L326+M326+N326</f>
        <v/>
      </c>
      <c r="P326" s="4">
        <f>IF(SUM($O$4:$O$672)=0,0,Косвенные!$C$9*O326/SUM($O$4:$O$672))</f>
        <v/>
      </c>
      <c r="Q326" s="4">
        <f>G326*D326+P326</f>
        <v/>
      </c>
      <c r="R326" s="4">
        <f>IF(D326=0,0,Q326/D326)</f>
        <v/>
      </c>
      <c r="S326" s="4">
        <f>IF(D326=0,0,SUMIF(Материалы!$A$4:$A$800,SUBSTITUTE(SUBSTITUTE(SUBSTITUTE(B326,"~","~~"),"*","~*"),"?","~?"),Материалы!$T$4:$T$800)/D326)</f>
        <v/>
      </c>
      <c r="T326" s="4">
        <f>R326+S326</f>
        <v/>
      </c>
      <c r="U326" s="4">
        <f>I326*D326</f>
        <v/>
      </c>
    </row>
    <row r="327" ht="22" customHeight="1">
      <c r="A327" s="9" t="inlineStr">
        <is>
          <t>9.1.60</t>
        </is>
      </c>
      <c r="B327" s="13" t="inlineStr">
        <is>
          <t>325. Пескоуловители 1,5-100 (Стандарт)</t>
        </is>
      </c>
      <c r="C327" s="9" t="inlineStr">
        <is>
          <t>шт.</t>
        </is>
      </c>
      <c r="D327" s="4">
        <f>IF('Форма'!G325="","",'Форма'!G325)</f>
        <v/>
      </c>
      <c r="E327" s="9" t="inlineStr">
        <is>
          <t>аналог (9.1.60)</t>
        </is>
      </c>
      <c r="F327" s="9" t="inlineStr">
        <is>
          <t>SAN</t>
        </is>
      </c>
      <c r="G327" s="10" t="n">
        <v>5750</v>
      </c>
      <c r="H327" s="10" t="n">
        <v>3565</v>
      </c>
      <c r="I327" s="10" t="n">
        <v>3</v>
      </c>
      <c r="J327" s="9" t="inlineStr"/>
      <c r="K327" s="7">
        <f>IF(F327="",0,IFERROR(VLOOKUP(F327,Расходники!$A$4:$B$23,2,FALSE),0))</f>
        <v/>
      </c>
      <c r="L327" s="4">
        <f>H327*D327</f>
        <v/>
      </c>
      <c r="M327" s="4">
        <f>L327*K327</f>
        <v/>
      </c>
      <c r="N327" s="4">
        <f>SUMIF(Материалы!$A$4:$A$800,SUBSTITUTE(SUBSTITUTE(SUBSTITUTE(B327,"~","~~"),"*","~*"),"?","~?"),Материалы!$S$4:$S$800)</f>
        <v/>
      </c>
      <c r="O327" s="4">
        <f>L327+M327+N327</f>
        <v/>
      </c>
      <c r="P327" s="4">
        <f>IF(SUM($O$4:$O$672)=0,0,Косвенные!$C$9*O327/SUM($O$4:$O$672))</f>
        <v/>
      </c>
      <c r="Q327" s="4">
        <f>G327*D327+P327</f>
        <v/>
      </c>
      <c r="R327" s="4">
        <f>IF(D327=0,0,Q327/D327)</f>
        <v/>
      </c>
      <c r="S327" s="4">
        <f>IF(D327=0,0,SUMIF(Материалы!$A$4:$A$800,SUBSTITUTE(SUBSTITUTE(SUBSTITUTE(B327,"~","~~"),"*","~*"),"?","~?"),Материалы!$T$4:$T$800)/D327)</f>
        <v/>
      </c>
      <c r="T327" s="4">
        <f>R327+S327</f>
        <v/>
      </c>
      <c r="U327" s="4">
        <f>I327*D327</f>
        <v/>
      </c>
    </row>
    <row r="328" ht="22" customHeight="1">
      <c r="A328" s="9" t="inlineStr"/>
      <c r="B328" s="13" t="inlineStr">
        <is>
          <t>326. Заглушка ПВХ наружной канализации 110</t>
        </is>
      </c>
      <c r="C328" s="9" t="inlineStr">
        <is>
          <t>шт.</t>
        </is>
      </c>
      <c r="D328" s="4">
        <f>IF('Форма'!G326="","",'Форма'!G326)</f>
        <v/>
      </c>
      <c r="E328" s="9" t="inlineStr">
        <is>
          <t>нет в тарификаторе</t>
        </is>
      </c>
      <c r="F328" s="9" t="inlineStr">
        <is>
          <t>SAN</t>
        </is>
      </c>
      <c r="G328" s="10" t="n">
        <v>731.5</v>
      </c>
      <c r="H328" s="10" t="n">
        <v>357</v>
      </c>
      <c r="I328" s="10" t="n">
        <v>0.35</v>
      </c>
      <c r="J328" s="9" t="inlineStr"/>
      <c r="K328" s="7">
        <f>IF(F328="",0,IFERROR(VLOOKUP(F328,Расходники!$A$4:$B$23,2,FALSE),0))</f>
        <v/>
      </c>
      <c r="L328" s="4">
        <f>H328*D328</f>
        <v/>
      </c>
      <c r="M328" s="4">
        <f>L328*K328</f>
        <v/>
      </c>
      <c r="N328" s="4">
        <f>SUMIF(Материалы!$A$4:$A$800,SUBSTITUTE(SUBSTITUTE(SUBSTITUTE(B328,"~","~~"),"*","~*"),"?","~?"),Материалы!$S$4:$S$800)</f>
        <v/>
      </c>
      <c r="O328" s="4">
        <f>L328+M328+N328</f>
        <v/>
      </c>
      <c r="P328" s="4">
        <f>IF(SUM($O$4:$O$672)=0,0,Косвенные!$C$9*O328/SUM($O$4:$O$672))</f>
        <v/>
      </c>
      <c r="Q328" s="4">
        <f>G328*D328+P328</f>
        <v/>
      </c>
      <c r="R328" s="4">
        <f>IF(D328=0,0,Q328/D328)</f>
        <v/>
      </c>
      <c r="S328" s="4">
        <f>IF(D328=0,0,SUMIF(Материалы!$A$4:$A$800,SUBSTITUTE(SUBSTITUTE(SUBSTITUTE(B328,"~","~~"),"*","~*"),"?","~?"),Материалы!$T$4:$T$800)/D328)</f>
        <v/>
      </c>
      <c r="T328" s="4">
        <f>R328+S328</f>
        <v/>
      </c>
      <c r="U328" s="4">
        <f>I328*D328</f>
        <v/>
      </c>
    </row>
    <row r="329" ht="22" customHeight="1">
      <c r="A329" s="9" t="inlineStr"/>
      <c r="B329" s="13" t="inlineStr">
        <is>
          <t>327. Ревизия с прямоугольным люком ПВХ наружной канализации 110</t>
        </is>
      </c>
      <c r="C329" s="9" t="inlineStr">
        <is>
          <t>шт.</t>
        </is>
      </c>
      <c r="D329" s="4">
        <f>IF('Форма'!G327="","",'Форма'!G327)</f>
        <v/>
      </c>
      <c r="E329" s="9" t="inlineStr">
        <is>
          <t>нет в тарификаторе</t>
        </is>
      </c>
      <c r="F329" s="9" t="inlineStr">
        <is>
          <t>SAN</t>
        </is>
      </c>
      <c r="G329" s="10" t="n">
        <v>731.5</v>
      </c>
      <c r="H329" s="10" t="n">
        <v>357</v>
      </c>
      <c r="I329" s="10" t="n">
        <v>0.35</v>
      </c>
      <c r="J329" s="9" t="inlineStr"/>
      <c r="K329" s="7">
        <f>IF(F329="",0,IFERROR(VLOOKUP(F329,Расходники!$A$4:$B$23,2,FALSE),0))</f>
        <v/>
      </c>
      <c r="L329" s="4">
        <f>H329*D329</f>
        <v/>
      </c>
      <c r="M329" s="4">
        <f>L329*K329</f>
        <v/>
      </c>
      <c r="N329" s="4">
        <f>SUMIF(Материалы!$A$4:$A$800,SUBSTITUTE(SUBSTITUTE(SUBSTITUTE(B329,"~","~~"),"*","~*"),"?","~?"),Материалы!$S$4:$S$800)</f>
        <v/>
      </c>
      <c r="O329" s="4">
        <f>L329+M329+N329</f>
        <v/>
      </c>
      <c r="P329" s="4">
        <f>IF(SUM($O$4:$O$672)=0,0,Косвенные!$C$9*O329/SUM($O$4:$O$672))</f>
        <v/>
      </c>
      <c r="Q329" s="4">
        <f>G329*D329+P329</f>
        <v/>
      </c>
      <c r="R329" s="4">
        <f>IF(D329=0,0,Q329/D329)</f>
        <v/>
      </c>
      <c r="S329" s="4">
        <f>IF(D329=0,0,SUMIF(Материалы!$A$4:$A$800,SUBSTITUTE(SUBSTITUTE(SUBSTITUTE(B329,"~","~~"),"*","~*"),"?","~?"),Материалы!$T$4:$T$800)/D329)</f>
        <v/>
      </c>
      <c r="T329" s="4">
        <f>R329+S329</f>
        <v/>
      </c>
      <c r="U329" s="4">
        <f>I329*D329</f>
        <v/>
      </c>
    </row>
    <row r="330" ht="22" customHeight="1">
      <c r="A330" s="9" t="inlineStr"/>
      <c r="B330" s="13" t="inlineStr">
        <is>
          <t>328. Отвод ПП внутренней канализации 50/45</t>
        </is>
      </c>
      <c r="C330" s="9" t="inlineStr">
        <is>
          <t>шт.</t>
        </is>
      </c>
      <c r="D330" s="4">
        <f>IF('Форма'!G328="","",'Форма'!G328)</f>
        <v/>
      </c>
      <c r="E330" s="9" t="inlineStr">
        <is>
          <t>нет в тарификаторе</t>
        </is>
      </c>
      <c r="F330" s="9" t="inlineStr">
        <is>
          <t>SAN</t>
        </is>
      </c>
      <c r="G330" s="10" t="n">
        <v>731.5</v>
      </c>
      <c r="H330" s="10" t="n">
        <v>357</v>
      </c>
      <c r="I330" s="10" t="n">
        <v>0.35</v>
      </c>
      <c r="J330" s="9" t="inlineStr"/>
      <c r="K330" s="7">
        <f>IF(F330="",0,IFERROR(VLOOKUP(F330,Расходники!$A$4:$B$23,2,FALSE),0))</f>
        <v/>
      </c>
      <c r="L330" s="4">
        <f>H330*D330</f>
        <v/>
      </c>
      <c r="M330" s="4">
        <f>L330*K330</f>
        <v/>
      </c>
      <c r="N330" s="4">
        <f>SUMIF(Материалы!$A$4:$A$800,SUBSTITUTE(SUBSTITUTE(SUBSTITUTE(B330,"~","~~"),"*","~*"),"?","~?"),Материалы!$S$4:$S$800)</f>
        <v/>
      </c>
      <c r="O330" s="4">
        <f>L330+M330+N330</f>
        <v/>
      </c>
      <c r="P330" s="4">
        <f>IF(SUM($O$4:$O$672)=0,0,Косвенные!$C$9*O330/SUM($O$4:$O$672))</f>
        <v/>
      </c>
      <c r="Q330" s="4">
        <f>G330*D330+P330</f>
        <v/>
      </c>
      <c r="R330" s="4">
        <f>IF(D330=0,0,Q330/D330)</f>
        <v/>
      </c>
      <c r="S330" s="4">
        <f>IF(D330=0,0,SUMIF(Материалы!$A$4:$A$800,SUBSTITUTE(SUBSTITUTE(SUBSTITUTE(B330,"~","~~"),"*","~*"),"?","~?"),Материалы!$T$4:$T$800)/D330)</f>
        <v/>
      </c>
      <c r="T330" s="4">
        <f>R330+S330</f>
        <v/>
      </c>
      <c r="U330" s="4">
        <f>I330*D330</f>
        <v/>
      </c>
    </row>
    <row r="331" ht="22" customHeight="1">
      <c r="A331" s="9" t="inlineStr"/>
      <c r="B331" s="13" t="inlineStr">
        <is>
          <t>329. Отвод ПП внутренней канализации 50/67</t>
        </is>
      </c>
      <c r="C331" s="9" t="inlineStr">
        <is>
          <t>шт.</t>
        </is>
      </c>
      <c r="D331" s="4">
        <f>IF('Форма'!G329="","",'Форма'!G329)</f>
        <v/>
      </c>
      <c r="E331" s="9" t="inlineStr">
        <is>
          <t>нет в тарификаторе</t>
        </is>
      </c>
      <c r="F331" s="9" t="inlineStr">
        <is>
          <t>SAN</t>
        </is>
      </c>
      <c r="G331" s="10" t="n">
        <v>731.5</v>
      </c>
      <c r="H331" s="10" t="n">
        <v>357</v>
      </c>
      <c r="I331" s="10" t="n">
        <v>0.35</v>
      </c>
      <c r="J331" s="9" t="inlineStr"/>
      <c r="K331" s="7">
        <f>IF(F331="",0,IFERROR(VLOOKUP(F331,Расходники!$A$4:$B$23,2,FALSE),0))</f>
        <v/>
      </c>
      <c r="L331" s="4">
        <f>H331*D331</f>
        <v/>
      </c>
      <c r="M331" s="4">
        <f>L331*K331</f>
        <v/>
      </c>
      <c r="N331" s="4">
        <f>SUMIF(Материалы!$A$4:$A$800,SUBSTITUTE(SUBSTITUTE(SUBSTITUTE(B331,"~","~~"),"*","~*"),"?","~?"),Материалы!$S$4:$S$800)</f>
        <v/>
      </c>
      <c r="O331" s="4">
        <f>L331+M331+N331</f>
        <v/>
      </c>
      <c r="P331" s="4">
        <f>IF(SUM($O$4:$O$672)=0,0,Косвенные!$C$9*O331/SUM($O$4:$O$672))</f>
        <v/>
      </c>
      <c r="Q331" s="4">
        <f>G331*D331+P331</f>
        <v/>
      </c>
      <c r="R331" s="4">
        <f>IF(D331=0,0,Q331/D331)</f>
        <v/>
      </c>
      <c r="S331" s="4">
        <f>IF(D331=0,0,SUMIF(Материалы!$A$4:$A$800,SUBSTITUTE(SUBSTITUTE(SUBSTITUTE(B331,"~","~~"),"*","~*"),"?","~?"),Материалы!$T$4:$T$800)/D331)</f>
        <v/>
      </c>
      <c r="T331" s="4">
        <f>R331+S331</f>
        <v/>
      </c>
      <c r="U331" s="4">
        <f>I331*D331</f>
        <v/>
      </c>
    </row>
    <row r="332" ht="22" customHeight="1">
      <c r="A332" s="9" t="inlineStr"/>
      <c r="B332" s="13" t="inlineStr">
        <is>
          <t>330. Отвод ПП внутренней канализации 50/87</t>
        </is>
      </c>
      <c r="C332" s="9" t="inlineStr">
        <is>
          <t>шт.</t>
        </is>
      </c>
      <c r="D332" s="4">
        <f>IF('Форма'!G330="","",'Форма'!G330)</f>
        <v/>
      </c>
      <c r="E332" s="9" t="inlineStr">
        <is>
          <t>нет в тарификаторе</t>
        </is>
      </c>
      <c r="F332" s="9" t="inlineStr">
        <is>
          <t>SAN</t>
        </is>
      </c>
      <c r="G332" s="10" t="n">
        <v>731.5</v>
      </c>
      <c r="H332" s="10" t="n">
        <v>357</v>
      </c>
      <c r="I332" s="10" t="n">
        <v>0.35</v>
      </c>
      <c r="J332" s="9" t="inlineStr"/>
      <c r="K332" s="7">
        <f>IF(F332="",0,IFERROR(VLOOKUP(F332,Расходники!$A$4:$B$23,2,FALSE),0))</f>
        <v/>
      </c>
      <c r="L332" s="4">
        <f>H332*D332</f>
        <v/>
      </c>
      <c r="M332" s="4">
        <f>L332*K332</f>
        <v/>
      </c>
      <c r="N332" s="4">
        <f>SUMIF(Материалы!$A$4:$A$800,SUBSTITUTE(SUBSTITUTE(SUBSTITUTE(B332,"~","~~"),"*","~*"),"?","~?"),Материалы!$S$4:$S$800)</f>
        <v/>
      </c>
      <c r="O332" s="4">
        <f>L332+M332+N332</f>
        <v/>
      </c>
      <c r="P332" s="4">
        <f>IF(SUM($O$4:$O$672)=0,0,Косвенные!$C$9*O332/SUM($O$4:$O$672))</f>
        <v/>
      </c>
      <c r="Q332" s="4">
        <f>G332*D332+P332</f>
        <v/>
      </c>
      <c r="R332" s="4">
        <f>IF(D332=0,0,Q332/D332)</f>
        <v/>
      </c>
      <c r="S332" s="4">
        <f>IF(D332=0,0,SUMIF(Материалы!$A$4:$A$800,SUBSTITUTE(SUBSTITUTE(SUBSTITUTE(B332,"~","~~"),"*","~*"),"?","~?"),Материалы!$T$4:$T$800)/D332)</f>
        <v/>
      </c>
      <c r="T332" s="4">
        <f>R332+S332</f>
        <v/>
      </c>
      <c r="U332" s="4">
        <f>I332*D332</f>
        <v/>
      </c>
    </row>
    <row r="333" ht="22" customHeight="1">
      <c r="A333" s="9" t="inlineStr"/>
      <c r="B333" s="13" t="inlineStr">
        <is>
          <t>331. Отвод ПП внутренней канализации 110/30</t>
        </is>
      </c>
      <c r="C333" s="9" t="inlineStr">
        <is>
          <t>шт.</t>
        </is>
      </c>
      <c r="D333" s="4">
        <f>IF('Форма'!G331="","",'Форма'!G331)</f>
        <v/>
      </c>
      <c r="E333" s="9" t="inlineStr">
        <is>
          <t>нет в тарификаторе</t>
        </is>
      </c>
      <c r="F333" s="9" t="inlineStr">
        <is>
          <t>SAN</t>
        </is>
      </c>
      <c r="G333" s="10" t="n">
        <v>731.5</v>
      </c>
      <c r="H333" s="10" t="n">
        <v>357</v>
      </c>
      <c r="I333" s="10" t="n">
        <v>0.35</v>
      </c>
      <c r="J333" s="9" t="inlineStr"/>
      <c r="K333" s="7">
        <f>IF(F333="",0,IFERROR(VLOOKUP(F333,Расходники!$A$4:$B$23,2,FALSE),0))</f>
        <v/>
      </c>
      <c r="L333" s="4">
        <f>H333*D333</f>
        <v/>
      </c>
      <c r="M333" s="4">
        <f>L333*K333</f>
        <v/>
      </c>
      <c r="N333" s="4">
        <f>SUMIF(Материалы!$A$4:$A$800,SUBSTITUTE(SUBSTITUTE(SUBSTITUTE(B333,"~","~~"),"*","~*"),"?","~?"),Материалы!$S$4:$S$800)</f>
        <v/>
      </c>
      <c r="O333" s="4">
        <f>L333+M333+N333</f>
        <v/>
      </c>
      <c r="P333" s="4">
        <f>IF(SUM($O$4:$O$672)=0,0,Косвенные!$C$9*O333/SUM($O$4:$O$672))</f>
        <v/>
      </c>
      <c r="Q333" s="4">
        <f>G333*D333+P333</f>
        <v/>
      </c>
      <c r="R333" s="4">
        <f>IF(D333=0,0,Q333/D333)</f>
        <v/>
      </c>
      <c r="S333" s="4">
        <f>IF(D333=0,0,SUMIF(Материалы!$A$4:$A$800,SUBSTITUTE(SUBSTITUTE(SUBSTITUTE(B333,"~","~~"),"*","~*"),"?","~?"),Материалы!$T$4:$T$800)/D333)</f>
        <v/>
      </c>
      <c r="T333" s="4">
        <f>R333+S333</f>
        <v/>
      </c>
      <c r="U333" s="4">
        <f>I333*D333</f>
        <v/>
      </c>
    </row>
    <row r="334" ht="22" customHeight="1">
      <c r="A334" s="9" t="inlineStr"/>
      <c r="B334" s="13" t="inlineStr">
        <is>
          <t>332. Отвод ПП внутренней канализации 110/45</t>
        </is>
      </c>
      <c r="C334" s="9" t="inlineStr">
        <is>
          <t>шт.</t>
        </is>
      </c>
      <c r="D334" s="4">
        <f>IF('Форма'!G332="","",'Форма'!G332)</f>
        <v/>
      </c>
      <c r="E334" s="9" t="inlineStr">
        <is>
          <t>нет в тарификаторе</t>
        </is>
      </c>
      <c r="F334" s="9" t="inlineStr">
        <is>
          <t>SAN</t>
        </is>
      </c>
      <c r="G334" s="10" t="n">
        <v>731.5</v>
      </c>
      <c r="H334" s="10" t="n">
        <v>357</v>
      </c>
      <c r="I334" s="10" t="n">
        <v>0.35</v>
      </c>
      <c r="J334" s="9" t="inlineStr"/>
      <c r="K334" s="7">
        <f>IF(F334="",0,IFERROR(VLOOKUP(F334,Расходники!$A$4:$B$23,2,FALSE),0))</f>
        <v/>
      </c>
      <c r="L334" s="4">
        <f>H334*D334</f>
        <v/>
      </c>
      <c r="M334" s="4">
        <f>L334*K334</f>
        <v/>
      </c>
      <c r="N334" s="4">
        <f>SUMIF(Материалы!$A$4:$A$800,SUBSTITUTE(SUBSTITUTE(SUBSTITUTE(B334,"~","~~"),"*","~*"),"?","~?"),Материалы!$S$4:$S$800)</f>
        <v/>
      </c>
      <c r="O334" s="4">
        <f>L334+M334+N334</f>
        <v/>
      </c>
      <c r="P334" s="4">
        <f>IF(SUM($O$4:$O$672)=0,0,Косвенные!$C$9*O334/SUM($O$4:$O$672))</f>
        <v/>
      </c>
      <c r="Q334" s="4">
        <f>G334*D334+P334</f>
        <v/>
      </c>
      <c r="R334" s="4">
        <f>IF(D334=0,0,Q334/D334)</f>
        <v/>
      </c>
      <c r="S334" s="4">
        <f>IF(D334=0,0,SUMIF(Материалы!$A$4:$A$800,SUBSTITUTE(SUBSTITUTE(SUBSTITUTE(B334,"~","~~"),"*","~*"),"?","~?"),Материалы!$T$4:$T$800)/D334)</f>
        <v/>
      </c>
      <c r="T334" s="4">
        <f>R334+S334</f>
        <v/>
      </c>
      <c r="U334" s="4">
        <f>I334*D334</f>
        <v/>
      </c>
    </row>
    <row r="335" ht="22" customHeight="1">
      <c r="A335" s="9" t="inlineStr"/>
      <c r="B335" s="13" t="inlineStr">
        <is>
          <t>333. Переход ПП внутренней канализации 50х40</t>
        </is>
      </c>
      <c r="C335" s="9" t="inlineStr">
        <is>
          <t>шт.</t>
        </is>
      </c>
      <c r="D335" s="4">
        <f>IF('Форма'!G333="","",'Форма'!G333)</f>
        <v/>
      </c>
      <c r="E335" s="9" t="inlineStr">
        <is>
          <t>нет в тарификаторе</t>
        </is>
      </c>
      <c r="F335" s="9" t="inlineStr">
        <is>
          <t>SAN</t>
        </is>
      </c>
      <c r="G335" s="10" t="n">
        <v>731.5</v>
      </c>
      <c r="H335" s="10" t="n">
        <v>357</v>
      </c>
      <c r="I335" s="10" t="n">
        <v>0.35</v>
      </c>
      <c r="J335" s="9" t="inlineStr"/>
      <c r="K335" s="7">
        <f>IF(F335="",0,IFERROR(VLOOKUP(F335,Расходники!$A$4:$B$23,2,FALSE),0))</f>
        <v/>
      </c>
      <c r="L335" s="4">
        <f>H335*D335</f>
        <v/>
      </c>
      <c r="M335" s="4">
        <f>L335*K335</f>
        <v/>
      </c>
      <c r="N335" s="4">
        <f>SUMIF(Материалы!$A$4:$A$800,SUBSTITUTE(SUBSTITUTE(SUBSTITUTE(B335,"~","~~"),"*","~*"),"?","~?"),Материалы!$S$4:$S$800)</f>
        <v/>
      </c>
      <c r="O335" s="4">
        <f>L335+M335+N335</f>
        <v/>
      </c>
      <c r="P335" s="4">
        <f>IF(SUM($O$4:$O$672)=0,0,Косвенные!$C$9*O335/SUM($O$4:$O$672))</f>
        <v/>
      </c>
      <c r="Q335" s="4">
        <f>G335*D335+P335</f>
        <v/>
      </c>
      <c r="R335" s="4">
        <f>IF(D335=0,0,Q335/D335)</f>
        <v/>
      </c>
      <c r="S335" s="4">
        <f>IF(D335=0,0,SUMIF(Материалы!$A$4:$A$800,SUBSTITUTE(SUBSTITUTE(SUBSTITUTE(B335,"~","~~"),"*","~*"),"?","~?"),Материалы!$T$4:$T$800)/D335)</f>
        <v/>
      </c>
      <c r="T335" s="4">
        <f>R335+S335</f>
        <v/>
      </c>
      <c r="U335" s="4">
        <f>I335*D335</f>
        <v/>
      </c>
    </row>
    <row r="336" ht="22" customHeight="1">
      <c r="A336" s="9" t="inlineStr"/>
      <c r="B336" s="13" t="inlineStr">
        <is>
          <t>334. Переход ПП внутренней канализации 110х50</t>
        </is>
      </c>
      <c r="C336" s="9" t="inlineStr">
        <is>
          <t>шт.</t>
        </is>
      </c>
      <c r="D336" s="4">
        <f>IF('Форма'!G334="","",'Форма'!G334)</f>
        <v/>
      </c>
      <c r="E336" s="9" t="inlineStr">
        <is>
          <t>нет в тарификаторе</t>
        </is>
      </c>
      <c r="F336" s="9" t="inlineStr">
        <is>
          <t>SAN</t>
        </is>
      </c>
      <c r="G336" s="10" t="n">
        <v>731.5</v>
      </c>
      <c r="H336" s="10" t="n">
        <v>357</v>
      </c>
      <c r="I336" s="10" t="n">
        <v>0.35</v>
      </c>
      <c r="J336" s="9" t="inlineStr"/>
      <c r="K336" s="7">
        <f>IF(F336="",0,IFERROR(VLOOKUP(F336,Расходники!$A$4:$B$23,2,FALSE),0))</f>
        <v/>
      </c>
      <c r="L336" s="4">
        <f>H336*D336</f>
        <v/>
      </c>
      <c r="M336" s="4">
        <f>L336*K336</f>
        <v/>
      </c>
      <c r="N336" s="4">
        <f>SUMIF(Материалы!$A$4:$A$800,SUBSTITUTE(SUBSTITUTE(SUBSTITUTE(B336,"~","~~"),"*","~*"),"?","~?"),Материалы!$S$4:$S$800)</f>
        <v/>
      </c>
      <c r="O336" s="4">
        <f>L336+M336+N336</f>
        <v/>
      </c>
      <c r="P336" s="4">
        <f>IF(SUM($O$4:$O$672)=0,0,Косвенные!$C$9*O336/SUM($O$4:$O$672))</f>
        <v/>
      </c>
      <c r="Q336" s="4">
        <f>G336*D336+P336</f>
        <v/>
      </c>
      <c r="R336" s="4">
        <f>IF(D336=0,0,Q336/D336)</f>
        <v/>
      </c>
      <c r="S336" s="4">
        <f>IF(D336=0,0,SUMIF(Материалы!$A$4:$A$800,SUBSTITUTE(SUBSTITUTE(SUBSTITUTE(B336,"~","~~"),"*","~*"),"?","~?"),Материалы!$T$4:$T$800)/D336)</f>
        <v/>
      </c>
      <c r="T336" s="4">
        <f>R336+S336</f>
        <v/>
      </c>
      <c r="U336" s="4">
        <f>I336*D336</f>
        <v/>
      </c>
    </row>
    <row r="337" ht="22" customHeight="1">
      <c r="A337" s="9" t="inlineStr"/>
      <c r="B337" s="13" t="inlineStr">
        <is>
          <t>335. Крестовина ПП внутренней канализации 50х50/45</t>
        </is>
      </c>
      <c r="C337" s="9" t="inlineStr">
        <is>
          <t>шт.</t>
        </is>
      </c>
      <c r="D337" s="4">
        <f>IF('Форма'!G335="","",'Форма'!G335)</f>
        <v/>
      </c>
      <c r="E337" s="9" t="inlineStr">
        <is>
          <t>нет в тарификаторе</t>
        </is>
      </c>
      <c r="F337" s="9" t="inlineStr">
        <is>
          <t>SAN</t>
        </is>
      </c>
      <c r="G337" s="10" t="n">
        <v>731.5</v>
      </c>
      <c r="H337" s="10" t="n">
        <v>357</v>
      </c>
      <c r="I337" s="10" t="n">
        <v>0.35</v>
      </c>
      <c r="J337" s="9" t="inlineStr"/>
      <c r="K337" s="7">
        <f>IF(F337="",0,IFERROR(VLOOKUP(F337,Расходники!$A$4:$B$23,2,FALSE),0))</f>
        <v/>
      </c>
      <c r="L337" s="4">
        <f>H337*D337</f>
        <v/>
      </c>
      <c r="M337" s="4">
        <f>L337*K337</f>
        <v/>
      </c>
      <c r="N337" s="4">
        <f>SUMIF(Материалы!$A$4:$A$800,SUBSTITUTE(SUBSTITUTE(SUBSTITUTE(B337,"~","~~"),"*","~*"),"?","~?"),Материалы!$S$4:$S$800)</f>
        <v/>
      </c>
      <c r="O337" s="4">
        <f>L337+M337+N337</f>
        <v/>
      </c>
      <c r="P337" s="4">
        <f>IF(SUM($O$4:$O$672)=0,0,Косвенные!$C$9*O337/SUM($O$4:$O$672))</f>
        <v/>
      </c>
      <c r="Q337" s="4">
        <f>G337*D337+P337</f>
        <v/>
      </c>
      <c r="R337" s="4">
        <f>IF(D337=0,0,Q337/D337)</f>
        <v/>
      </c>
      <c r="S337" s="4">
        <f>IF(D337=0,0,SUMIF(Материалы!$A$4:$A$800,SUBSTITUTE(SUBSTITUTE(SUBSTITUTE(B337,"~","~~"),"*","~*"),"?","~?"),Материалы!$T$4:$T$800)/D337)</f>
        <v/>
      </c>
      <c r="T337" s="4">
        <f>R337+S337</f>
        <v/>
      </c>
      <c r="U337" s="4">
        <f>I337*D337</f>
        <v/>
      </c>
    </row>
    <row r="338" ht="22" customHeight="1">
      <c r="A338" s="9" t="inlineStr"/>
      <c r="B338" s="13" t="inlineStr">
        <is>
          <t>336. Крестовина ПП внутренней канализации 50х50/87</t>
        </is>
      </c>
      <c r="C338" s="9" t="inlineStr">
        <is>
          <t>шт.</t>
        </is>
      </c>
      <c r="D338" s="4">
        <f>IF('Форма'!G336="","",'Форма'!G336)</f>
        <v/>
      </c>
      <c r="E338" s="9" t="inlineStr">
        <is>
          <t>нет в тарификаторе</t>
        </is>
      </c>
      <c r="F338" s="9" t="inlineStr">
        <is>
          <t>SAN</t>
        </is>
      </c>
      <c r="G338" s="10" t="n">
        <v>731.5</v>
      </c>
      <c r="H338" s="10" t="n">
        <v>357</v>
      </c>
      <c r="I338" s="10" t="n">
        <v>0.35</v>
      </c>
      <c r="J338" s="9" t="inlineStr"/>
      <c r="K338" s="7">
        <f>IF(F338="",0,IFERROR(VLOOKUP(F338,Расходники!$A$4:$B$23,2,FALSE),0))</f>
        <v/>
      </c>
      <c r="L338" s="4">
        <f>H338*D338</f>
        <v/>
      </c>
      <c r="M338" s="4">
        <f>L338*K338</f>
        <v/>
      </c>
      <c r="N338" s="4">
        <f>SUMIF(Материалы!$A$4:$A$800,SUBSTITUTE(SUBSTITUTE(SUBSTITUTE(B338,"~","~~"),"*","~*"),"?","~?"),Материалы!$S$4:$S$800)</f>
        <v/>
      </c>
      <c r="O338" s="4">
        <f>L338+M338+N338</f>
        <v/>
      </c>
      <c r="P338" s="4">
        <f>IF(SUM($O$4:$O$672)=0,0,Косвенные!$C$9*O338/SUM($O$4:$O$672))</f>
        <v/>
      </c>
      <c r="Q338" s="4">
        <f>G338*D338+P338</f>
        <v/>
      </c>
      <c r="R338" s="4">
        <f>IF(D338=0,0,Q338/D338)</f>
        <v/>
      </c>
      <c r="S338" s="4">
        <f>IF(D338=0,0,SUMIF(Материалы!$A$4:$A$800,SUBSTITUTE(SUBSTITUTE(SUBSTITUTE(B338,"~","~~"),"*","~*"),"?","~?"),Материалы!$T$4:$T$800)/D338)</f>
        <v/>
      </c>
      <c r="T338" s="4">
        <f>R338+S338</f>
        <v/>
      </c>
      <c r="U338" s="4">
        <f>I338*D338</f>
        <v/>
      </c>
    </row>
    <row r="339" ht="22" customHeight="1">
      <c r="A339" s="9" t="inlineStr"/>
      <c r="B339" s="13" t="inlineStr">
        <is>
          <t>337. Крестовина ПП внутренней канализации 110х50/45</t>
        </is>
      </c>
      <c r="C339" s="9" t="inlineStr">
        <is>
          <t>шт.</t>
        </is>
      </c>
      <c r="D339" s="4">
        <f>IF('Форма'!G337="","",'Форма'!G337)</f>
        <v/>
      </c>
      <c r="E339" s="9" t="inlineStr">
        <is>
          <t>нет в тарификаторе</t>
        </is>
      </c>
      <c r="F339" s="9" t="inlineStr">
        <is>
          <t>SAN</t>
        </is>
      </c>
      <c r="G339" s="10" t="n">
        <v>731.5</v>
      </c>
      <c r="H339" s="10" t="n">
        <v>357</v>
      </c>
      <c r="I339" s="10" t="n">
        <v>0.35</v>
      </c>
      <c r="J339" s="9" t="inlineStr"/>
      <c r="K339" s="7">
        <f>IF(F339="",0,IFERROR(VLOOKUP(F339,Расходники!$A$4:$B$23,2,FALSE),0))</f>
        <v/>
      </c>
      <c r="L339" s="4">
        <f>H339*D339</f>
        <v/>
      </c>
      <c r="M339" s="4">
        <f>L339*K339</f>
        <v/>
      </c>
      <c r="N339" s="4">
        <f>SUMIF(Материалы!$A$4:$A$800,SUBSTITUTE(SUBSTITUTE(SUBSTITUTE(B339,"~","~~"),"*","~*"),"?","~?"),Материалы!$S$4:$S$800)</f>
        <v/>
      </c>
      <c r="O339" s="4">
        <f>L339+M339+N339</f>
        <v/>
      </c>
      <c r="P339" s="4">
        <f>IF(SUM($O$4:$O$672)=0,0,Косвенные!$C$9*O339/SUM($O$4:$O$672))</f>
        <v/>
      </c>
      <c r="Q339" s="4">
        <f>G339*D339+P339</f>
        <v/>
      </c>
      <c r="R339" s="4">
        <f>IF(D339=0,0,Q339/D339)</f>
        <v/>
      </c>
      <c r="S339" s="4">
        <f>IF(D339=0,0,SUMIF(Материалы!$A$4:$A$800,SUBSTITUTE(SUBSTITUTE(SUBSTITUTE(B339,"~","~~"),"*","~*"),"?","~?"),Материалы!$T$4:$T$800)/D339)</f>
        <v/>
      </c>
      <c r="T339" s="4">
        <f>R339+S339</f>
        <v/>
      </c>
      <c r="U339" s="4">
        <f>I339*D339</f>
        <v/>
      </c>
    </row>
    <row r="340" ht="22" customHeight="1">
      <c r="A340" s="9" t="inlineStr"/>
      <c r="B340" s="13" t="inlineStr">
        <is>
          <t>338. Крестовина ПП внутренней канализации 110х50/87</t>
        </is>
      </c>
      <c r="C340" s="9" t="inlineStr">
        <is>
          <t>шт.</t>
        </is>
      </c>
      <c r="D340" s="4">
        <f>IF('Форма'!G338="","",'Форма'!G338)</f>
        <v/>
      </c>
      <c r="E340" s="9" t="inlineStr">
        <is>
          <t>нет в тарификаторе</t>
        </is>
      </c>
      <c r="F340" s="9" t="inlineStr">
        <is>
          <t>SAN</t>
        </is>
      </c>
      <c r="G340" s="10" t="n">
        <v>731.5</v>
      </c>
      <c r="H340" s="10" t="n">
        <v>357</v>
      </c>
      <c r="I340" s="10" t="n">
        <v>0.35</v>
      </c>
      <c r="J340" s="9" t="inlineStr"/>
      <c r="K340" s="7">
        <f>IF(F340="",0,IFERROR(VLOOKUP(F340,Расходники!$A$4:$B$23,2,FALSE),0))</f>
        <v/>
      </c>
      <c r="L340" s="4">
        <f>H340*D340</f>
        <v/>
      </c>
      <c r="M340" s="4">
        <f>L340*K340</f>
        <v/>
      </c>
      <c r="N340" s="4">
        <f>SUMIF(Материалы!$A$4:$A$800,SUBSTITUTE(SUBSTITUTE(SUBSTITUTE(B340,"~","~~"),"*","~*"),"?","~?"),Материалы!$S$4:$S$800)</f>
        <v/>
      </c>
      <c r="O340" s="4">
        <f>L340+M340+N340</f>
        <v/>
      </c>
      <c r="P340" s="4">
        <f>IF(SUM($O$4:$O$672)=0,0,Косвенные!$C$9*O340/SUM($O$4:$O$672))</f>
        <v/>
      </c>
      <c r="Q340" s="4">
        <f>G340*D340+P340</f>
        <v/>
      </c>
      <c r="R340" s="4">
        <f>IF(D340=0,0,Q340/D340)</f>
        <v/>
      </c>
      <c r="S340" s="4">
        <f>IF(D340=0,0,SUMIF(Материалы!$A$4:$A$800,SUBSTITUTE(SUBSTITUTE(SUBSTITUTE(B340,"~","~~"),"*","~*"),"?","~?"),Материалы!$T$4:$T$800)/D340)</f>
        <v/>
      </c>
      <c r="T340" s="4">
        <f>R340+S340</f>
        <v/>
      </c>
      <c r="U340" s="4">
        <f>I340*D340</f>
        <v/>
      </c>
    </row>
    <row r="341" ht="22" customHeight="1">
      <c r="A341" s="9" t="inlineStr"/>
      <c r="B341" s="13" t="inlineStr">
        <is>
          <t>339. Крестовина ПП внутренней канализации 110х110/45</t>
        </is>
      </c>
      <c r="C341" s="9" t="inlineStr">
        <is>
          <t>шт.</t>
        </is>
      </c>
      <c r="D341" s="4">
        <f>IF('Форма'!G339="","",'Форма'!G339)</f>
        <v/>
      </c>
      <c r="E341" s="9" t="inlineStr">
        <is>
          <t>нет в тарификаторе</t>
        </is>
      </c>
      <c r="F341" s="9" t="inlineStr">
        <is>
          <t>SAN</t>
        </is>
      </c>
      <c r="G341" s="10" t="n">
        <v>731.5</v>
      </c>
      <c r="H341" s="10" t="n">
        <v>357</v>
      </c>
      <c r="I341" s="10" t="n">
        <v>0.35</v>
      </c>
      <c r="J341" s="9" t="inlineStr"/>
      <c r="K341" s="7">
        <f>IF(F341="",0,IFERROR(VLOOKUP(F341,Расходники!$A$4:$B$23,2,FALSE),0))</f>
        <v/>
      </c>
      <c r="L341" s="4">
        <f>H341*D341</f>
        <v/>
      </c>
      <c r="M341" s="4">
        <f>L341*K341</f>
        <v/>
      </c>
      <c r="N341" s="4">
        <f>SUMIF(Материалы!$A$4:$A$800,SUBSTITUTE(SUBSTITUTE(SUBSTITUTE(B341,"~","~~"),"*","~*"),"?","~?"),Материалы!$S$4:$S$800)</f>
        <v/>
      </c>
      <c r="O341" s="4">
        <f>L341+M341+N341</f>
        <v/>
      </c>
      <c r="P341" s="4">
        <f>IF(SUM($O$4:$O$672)=0,0,Косвенные!$C$9*O341/SUM($O$4:$O$672))</f>
        <v/>
      </c>
      <c r="Q341" s="4">
        <f>G341*D341+P341</f>
        <v/>
      </c>
      <c r="R341" s="4">
        <f>IF(D341=0,0,Q341/D341)</f>
        <v/>
      </c>
      <c r="S341" s="4">
        <f>IF(D341=0,0,SUMIF(Материалы!$A$4:$A$800,SUBSTITUTE(SUBSTITUTE(SUBSTITUTE(B341,"~","~~"),"*","~*"),"?","~?"),Материалы!$T$4:$T$800)/D341)</f>
        <v/>
      </c>
      <c r="T341" s="4">
        <f>R341+S341</f>
        <v/>
      </c>
      <c r="U341" s="4">
        <f>I341*D341</f>
        <v/>
      </c>
    </row>
    <row r="342" ht="22" customHeight="1">
      <c r="A342" s="9" t="inlineStr"/>
      <c r="B342" s="13" t="inlineStr">
        <is>
          <t>340. Ревизия ПП внутренней канализации 50</t>
        </is>
      </c>
      <c r="C342" s="9" t="inlineStr">
        <is>
          <t>шт.</t>
        </is>
      </c>
      <c r="D342" s="4">
        <f>IF('Форма'!G340="","",'Форма'!G340)</f>
        <v/>
      </c>
      <c r="E342" s="9" t="inlineStr">
        <is>
          <t>нет в тарификаторе</t>
        </is>
      </c>
      <c r="F342" s="9" t="inlineStr">
        <is>
          <t>SAN</t>
        </is>
      </c>
      <c r="G342" s="10" t="n">
        <v>731.5</v>
      </c>
      <c r="H342" s="10" t="n">
        <v>357</v>
      </c>
      <c r="I342" s="10" t="n">
        <v>0.35</v>
      </c>
      <c r="J342" s="9" t="inlineStr"/>
      <c r="K342" s="7">
        <f>IF(F342="",0,IFERROR(VLOOKUP(F342,Расходники!$A$4:$B$23,2,FALSE),0))</f>
        <v/>
      </c>
      <c r="L342" s="4">
        <f>H342*D342</f>
        <v/>
      </c>
      <c r="M342" s="4">
        <f>L342*K342</f>
        <v/>
      </c>
      <c r="N342" s="4">
        <f>SUMIF(Материалы!$A$4:$A$800,SUBSTITUTE(SUBSTITUTE(SUBSTITUTE(B342,"~","~~"),"*","~*"),"?","~?"),Материалы!$S$4:$S$800)</f>
        <v/>
      </c>
      <c r="O342" s="4">
        <f>L342+M342+N342</f>
        <v/>
      </c>
      <c r="P342" s="4">
        <f>IF(SUM($O$4:$O$672)=0,0,Косвенные!$C$9*O342/SUM($O$4:$O$672))</f>
        <v/>
      </c>
      <c r="Q342" s="4">
        <f>G342*D342+P342</f>
        <v/>
      </c>
      <c r="R342" s="4">
        <f>IF(D342=0,0,Q342/D342)</f>
        <v/>
      </c>
      <c r="S342" s="4">
        <f>IF(D342=0,0,SUMIF(Материалы!$A$4:$A$800,SUBSTITUTE(SUBSTITUTE(SUBSTITUTE(B342,"~","~~"),"*","~*"),"?","~?"),Материалы!$T$4:$T$800)/D342)</f>
        <v/>
      </c>
      <c r="T342" s="4">
        <f>R342+S342</f>
        <v/>
      </c>
      <c r="U342" s="4">
        <f>I342*D342</f>
        <v/>
      </c>
    </row>
    <row r="343" ht="22" customHeight="1">
      <c r="A343" s="9" t="inlineStr"/>
      <c r="B343" s="13" t="inlineStr">
        <is>
          <t>341. Ревизия ПП внутренней канализации 110</t>
        </is>
      </c>
      <c r="C343" s="9" t="inlineStr">
        <is>
          <t>шт.</t>
        </is>
      </c>
      <c r="D343" s="4">
        <f>IF('Форма'!G341="","",'Форма'!G341)</f>
        <v/>
      </c>
      <c r="E343" s="9" t="inlineStr">
        <is>
          <t>нет в тарификаторе</t>
        </is>
      </c>
      <c r="F343" s="9" t="inlineStr">
        <is>
          <t>SAN</t>
        </is>
      </c>
      <c r="G343" s="10" t="n">
        <v>731.5</v>
      </c>
      <c r="H343" s="10" t="n">
        <v>357</v>
      </c>
      <c r="I343" s="10" t="n">
        <v>0.35</v>
      </c>
      <c r="J343" s="9" t="inlineStr"/>
      <c r="K343" s="7">
        <f>IF(F343="",0,IFERROR(VLOOKUP(F343,Расходники!$A$4:$B$23,2,FALSE),0))</f>
        <v/>
      </c>
      <c r="L343" s="4">
        <f>H343*D343</f>
        <v/>
      </c>
      <c r="M343" s="4">
        <f>L343*K343</f>
        <v/>
      </c>
      <c r="N343" s="4">
        <f>SUMIF(Материалы!$A$4:$A$800,SUBSTITUTE(SUBSTITUTE(SUBSTITUTE(B343,"~","~~"),"*","~*"),"?","~?"),Материалы!$S$4:$S$800)</f>
        <v/>
      </c>
      <c r="O343" s="4">
        <f>L343+M343+N343</f>
        <v/>
      </c>
      <c r="P343" s="4">
        <f>IF(SUM($O$4:$O$672)=0,0,Косвенные!$C$9*O343/SUM($O$4:$O$672))</f>
        <v/>
      </c>
      <c r="Q343" s="4">
        <f>G343*D343+P343</f>
        <v/>
      </c>
      <c r="R343" s="4">
        <f>IF(D343=0,0,Q343/D343)</f>
        <v/>
      </c>
      <c r="S343" s="4">
        <f>IF(D343=0,0,SUMIF(Материалы!$A$4:$A$800,SUBSTITUTE(SUBSTITUTE(SUBSTITUTE(B343,"~","~~"),"*","~*"),"?","~?"),Материалы!$T$4:$T$800)/D343)</f>
        <v/>
      </c>
      <c r="T343" s="4">
        <f>R343+S343</f>
        <v/>
      </c>
      <c r="U343" s="4">
        <f>I343*D343</f>
        <v/>
      </c>
    </row>
    <row r="344" ht="22" customHeight="1">
      <c r="A344" s="9" t="inlineStr"/>
      <c r="B344" s="13" t="inlineStr">
        <is>
          <t>342. Трубы ПВХ внутренней канализации d 32</t>
        </is>
      </c>
      <c r="C344" s="9" t="inlineStr">
        <is>
          <t>м.п.</t>
        </is>
      </c>
      <c r="D344" s="4">
        <f>IF('Форма'!G342="","",'Форма'!G342)</f>
        <v/>
      </c>
      <c r="E344" s="9" t="inlineStr">
        <is>
          <t>аналог (9.4.35)</t>
        </is>
      </c>
      <c r="F344" s="9" t="inlineStr">
        <is>
          <t>SAN</t>
        </is>
      </c>
      <c r="G344" s="10" t="n">
        <v>585.2</v>
      </c>
      <c r="H344" s="10" t="n">
        <v>285.6</v>
      </c>
      <c r="I344" s="10" t="n">
        <v>0.28</v>
      </c>
      <c r="J344" s="9" t="inlineStr"/>
      <c r="K344" s="7">
        <f>IF(F344="",0,IFERROR(VLOOKUP(F344,Расходники!$A$4:$B$23,2,FALSE),0))</f>
        <v/>
      </c>
      <c r="L344" s="4">
        <f>H344*D344</f>
        <v/>
      </c>
      <c r="M344" s="4">
        <f>L344*K344</f>
        <v/>
      </c>
      <c r="N344" s="4">
        <f>SUMIF(Материалы!$A$4:$A$800,SUBSTITUTE(SUBSTITUTE(SUBSTITUTE(B344,"~","~~"),"*","~*"),"?","~?"),Материалы!$S$4:$S$800)</f>
        <v/>
      </c>
      <c r="O344" s="4">
        <f>L344+M344+N344</f>
        <v/>
      </c>
      <c r="P344" s="4">
        <f>IF(SUM($O$4:$O$672)=0,0,Косвенные!$C$9*O344/SUM($O$4:$O$672))</f>
        <v/>
      </c>
      <c r="Q344" s="4">
        <f>G344*D344+P344</f>
        <v/>
      </c>
      <c r="R344" s="4">
        <f>IF(D344=0,0,Q344/D344)</f>
        <v/>
      </c>
      <c r="S344" s="4">
        <f>IF(D344=0,0,SUMIF(Материалы!$A$4:$A$800,SUBSTITUTE(SUBSTITUTE(SUBSTITUTE(B344,"~","~~"),"*","~*"),"?","~?"),Материалы!$T$4:$T$800)/D344)</f>
        <v/>
      </c>
      <c r="T344" s="4">
        <f>R344+S344</f>
        <v/>
      </c>
      <c r="U344" s="4">
        <f>I344*D344</f>
        <v/>
      </c>
    </row>
    <row r="345" ht="22" customHeight="1">
      <c r="A345" s="9" t="inlineStr"/>
      <c r="B345" s="13" t="inlineStr">
        <is>
          <t>343. Трубы ПВХ внутренней канализации d 40</t>
        </is>
      </c>
      <c r="C345" s="9" t="inlineStr">
        <is>
          <t>м.п.</t>
        </is>
      </c>
      <c r="D345" s="4">
        <f>IF('Форма'!G343="","",'Форма'!G343)</f>
        <v/>
      </c>
      <c r="E345" s="9" t="inlineStr">
        <is>
          <t>аналог (9.4.35)</t>
        </is>
      </c>
      <c r="F345" s="9" t="inlineStr">
        <is>
          <t>SAN</t>
        </is>
      </c>
      <c r="G345" s="10" t="n">
        <v>585.2</v>
      </c>
      <c r="H345" s="10" t="n">
        <v>285.6</v>
      </c>
      <c r="I345" s="10" t="n">
        <v>0.28</v>
      </c>
      <c r="J345" s="9" t="inlineStr"/>
      <c r="K345" s="7">
        <f>IF(F345="",0,IFERROR(VLOOKUP(F345,Расходники!$A$4:$B$23,2,FALSE),0))</f>
        <v/>
      </c>
      <c r="L345" s="4">
        <f>H345*D345</f>
        <v/>
      </c>
      <c r="M345" s="4">
        <f>L345*K345</f>
        <v/>
      </c>
      <c r="N345" s="4">
        <f>SUMIF(Материалы!$A$4:$A$800,SUBSTITUTE(SUBSTITUTE(SUBSTITUTE(B345,"~","~~"),"*","~*"),"?","~?"),Материалы!$S$4:$S$800)</f>
        <v/>
      </c>
      <c r="O345" s="4">
        <f>L345+M345+N345</f>
        <v/>
      </c>
      <c r="P345" s="4">
        <f>IF(SUM($O$4:$O$672)=0,0,Косвенные!$C$9*O345/SUM($O$4:$O$672))</f>
        <v/>
      </c>
      <c r="Q345" s="4">
        <f>G345*D345+P345</f>
        <v/>
      </c>
      <c r="R345" s="4">
        <f>IF(D345=0,0,Q345/D345)</f>
        <v/>
      </c>
      <c r="S345" s="4">
        <f>IF(D345=0,0,SUMIF(Материалы!$A$4:$A$800,SUBSTITUTE(SUBSTITUTE(SUBSTITUTE(B345,"~","~~"),"*","~*"),"?","~?"),Материалы!$T$4:$T$800)/D345)</f>
        <v/>
      </c>
      <c r="T345" s="4">
        <f>R345+S345</f>
        <v/>
      </c>
      <c r="U345" s="4">
        <f>I345*D345</f>
        <v/>
      </c>
    </row>
    <row r="346" ht="22" customHeight="1">
      <c r="A346" s="9" t="inlineStr"/>
      <c r="B346" s="13" t="inlineStr">
        <is>
          <t>344. Трубы ПВХ внутренней канализации d 50</t>
        </is>
      </c>
      <c r="C346" s="9" t="inlineStr">
        <is>
          <t>м.п.</t>
        </is>
      </c>
      <c r="D346" s="4">
        <f>IF('Форма'!G344="","",'Форма'!G344)</f>
        <v/>
      </c>
      <c r="E346" s="9" t="inlineStr">
        <is>
          <t>аналог (9.4.35)</t>
        </is>
      </c>
      <c r="F346" s="9" t="inlineStr">
        <is>
          <t>SAN</t>
        </is>
      </c>
      <c r="G346" s="10" t="n">
        <v>585.2</v>
      </c>
      <c r="H346" s="10" t="n">
        <v>285.6</v>
      </c>
      <c r="I346" s="10" t="n">
        <v>0.28</v>
      </c>
      <c r="J346" s="9" t="inlineStr"/>
      <c r="K346" s="7">
        <f>IF(F346="",0,IFERROR(VLOOKUP(F346,Расходники!$A$4:$B$23,2,FALSE),0))</f>
        <v/>
      </c>
      <c r="L346" s="4">
        <f>H346*D346</f>
        <v/>
      </c>
      <c r="M346" s="4">
        <f>L346*K346</f>
        <v/>
      </c>
      <c r="N346" s="4">
        <f>SUMIF(Материалы!$A$4:$A$800,SUBSTITUTE(SUBSTITUTE(SUBSTITUTE(B346,"~","~~"),"*","~*"),"?","~?"),Материалы!$S$4:$S$800)</f>
        <v/>
      </c>
      <c r="O346" s="4">
        <f>L346+M346+N346</f>
        <v/>
      </c>
      <c r="P346" s="4">
        <f>IF(SUM($O$4:$O$672)=0,0,Косвенные!$C$9*O346/SUM($O$4:$O$672))</f>
        <v/>
      </c>
      <c r="Q346" s="4">
        <f>G346*D346+P346</f>
        <v/>
      </c>
      <c r="R346" s="4">
        <f>IF(D346=0,0,Q346/D346)</f>
        <v/>
      </c>
      <c r="S346" s="4">
        <f>IF(D346=0,0,SUMIF(Материалы!$A$4:$A$800,SUBSTITUTE(SUBSTITUTE(SUBSTITUTE(B346,"~","~~"),"*","~*"),"?","~?"),Материалы!$T$4:$T$800)/D346)</f>
        <v/>
      </c>
      <c r="T346" s="4">
        <f>R346+S346</f>
        <v/>
      </c>
      <c r="U346" s="4">
        <f>I346*D346</f>
        <v/>
      </c>
    </row>
    <row r="347" ht="22" customHeight="1">
      <c r="A347" s="9" t="inlineStr"/>
      <c r="B347" s="13" t="inlineStr">
        <is>
          <t>345. Заглушки ВПХ d 50</t>
        </is>
      </c>
      <c r="C347" s="9" t="inlineStr">
        <is>
          <t>шт.</t>
        </is>
      </c>
      <c r="D347" s="4">
        <f>IF('Форма'!G345="","",'Форма'!G345)</f>
        <v/>
      </c>
      <c r="E347" s="9" t="inlineStr">
        <is>
          <t>нет в тарификаторе</t>
        </is>
      </c>
      <c r="F347" s="9" t="inlineStr">
        <is>
          <t>SAN</t>
        </is>
      </c>
      <c r="G347" s="10" t="n">
        <v>731.5</v>
      </c>
      <c r="H347" s="10" t="n">
        <v>357</v>
      </c>
      <c r="I347" s="10" t="n">
        <v>0.35</v>
      </c>
      <c r="J347" s="9" t="inlineStr"/>
      <c r="K347" s="7">
        <f>IF(F347="",0,IFERROR(VLOOKUP(F347,Расходники!$A$4:$B$23,2,FALSE),0))</f>
        <v/>
      </c>
      <c r="L347" s="4">
        <f>H347*D347</f>
        <v/>
      </c>
      <c r="M347" s="4">
        <f>L347*K347</f>
        <v/>
      </c>
      <c r="N347" s="4">
        <f>SUMIF(Материалы!$A$4:$A$800,SUBSTITUTE(SUBSTITUTE(SUBSTITUTE(B347,"~","~~"),"*","~*"),"?","~?"),Материалы!$S$4:$S$800)</f>
        <v/>
      </c>
      <c r="O347" s="4">
        <f>L347+M347+N347</f>
        <v/>
      </c>
      <c r="P347" s="4">
        <f>IF(SUM($O$4:$O$672)=0,0,Косвенные!$C$9*O347/SUM($O$4:$O$672))</f>
        <v/>
      </c>
      <c r="Q347" s="4">
        <f>G347*D347+P347</f>
        <v/>
      </c>
      <c r="R347" s="4">
        <f>IF(D347=0,0,Q347/D347)</f>
        <v/>
      </c>
      <c r="S347" s="4">
        <f>IF(D347=0,0,SUMIF(Материалы!$A$4:$A$800,SUBSTITUTE(SUBSTITUTE(SUBSTITUTE(B347,"~","~~"),"*","~*"),"?","~?"),Материалы!$T$4:$T$800)/D347)</f>
        <v/>
      </c>
      <c r="T347" s="4">
        <f>R347+S347</f>
        <v/>
      </c>
      <c r="U347" s="4">
        <f>I347*D347</f>
        <v/>
      </c>
    </row>
    <row r="348" ht="22" customHeight="1">
      <c r="A348" s="9" t="inlineStr"/>
      <c r="B348" s="13" t="inlineStr">
        <is>
          <t>346. трап диаметром 100 мм</t>
        </is>
      </c>
      <c r="C348" s="9" t="inlineStr">
        <is>
          <t>шт.</t>
        </is>
      </c>
      <c r="D348" s="4">
        <f>IF('Форма'!G346="","",'Форма'!G346)</f>
        <v/>
      </c>
      <c r="E348" s="9" t="inlineStr">
        <is>
          <t>нет в тарификаторе</t>
        </is>
      </c>
      <c r="F348" s="9" t="inlineStr">
        <is>
          <t>SAN</t>
        </is>
      </c>
      <c r="G348" s="10" t="n">
        <v>731.5</v>
      </c>
      <c r="H348" s="10" t="n">
        <v>357</v>
      </c>
      <c r="I348" s="10" t="n">
        <v>0.35</v>
      </c>
      <c r="J348" s="9" t="inlineStr"/>
      <c r="K348" s="7">
        <f>IF(F348="",0,IFERROR(VLOOKUP(F348,Расходники!$A$4:$B$23,2,FALSE),0))</f>
        <v/>
      </c>
      <c r="L348" s="4">
        <f>H348*D348</f>
        <v/>
      </c>
      <c r="M348" s="4">
        <f>L348*K348</f>
        <v/>
      </c>
      <c r="N348" s="4">
        <f>SUMIF(Материалы!$A$4:$A$800,SUBSTITUTE(SUBSTITUTE(SUBSTITUTE(B348,"~","~~"),"*","~*"),"?","~?"),Материалы!$S$4:$S$800)</f>
        <v/>
      </c>
      <c r="O348" s="4">
        <f>L348+M348+N348</f>
        <v/>
      </c>
      <c r="P348" s="4">
        <f>IF(SUM($O$4:$O$672)=0,0,Косвенные!$C$9*O348/SUM($O$4:$O$672))</f>
        <v/>
      </c>
      <c r="Q348" s="4">
        <f>G348*D348+P348</f>
        <v/>
      </c>
      <c r="R348" s="4">
        <f>IF(D348=0,0,Q348/D348)</f>
        <v/>
      </c>
      <c r="S348" s="4">
        <f>IF(D348=0,0,SUMIF(Материалы!$A$4:$A$800,SUBSTITUTE(SUBSTITUTE(SUBSTITUTE(B348,"~","~~"),"*","~*"),"?","~?"),Материалы!$T$4:$T$800)/D348)</f>
        <v/>
      </c>
      <c r="T348" s="4">
        <f>R348+S348</f>
        <v/>
      </c>
      <c r="U348" s="4">
        <f>I348*D348</f>
        <v/>
      </c>
    </row>
    <row r="349" ht="22" customHeight="1">
      <c r="A349" s="9" t="inlineStr"/>
      <c r="B349" s="13" t="inlineStr">
        <is>
          <t>347. трап диаметром 50 мм</t>
        </is>
      </c>
      <c r="C349" s="9" t="inlineStr">
        <is>
          <t>шт.</t>
        </is>
      </c>
      <c r="D349" s="4">
        <f>IF('Форма'!G347="","",'Форма'!G347)</f>
        <v/>
      </c>
      <c r="E349" s="9" t="inlineStr">
        <is>
          <t>нет в тарификаторе</t>
        </is>
      </c>
      <c r="F349" s="9" t="inlineStr">
        <is>
          <t>SAN</t>
        </is>
      </c>
      <c r="G349" s="10" t="n">
        <v>731.5</v>
      </c>
      <c r="H349" s="10" t="n">
        <v>357</v>
      </c>
      <c r="I349" s="10" t="n">
        <v>0.35</v>
      </c>
      <c r="J349" s="9" t="inlineStr"/>
      <c r="K349" s="7">
        <f>IF(F349="",0,IFERROR(VLOOKUP(F349,Расходники!$A$4:$B$23,2,FALSE),0))</f>
        <v/>
      </c>
      <c r="L349" s="4">
        <f>H349*D349</f>
        <v/>
      </c>
      <c r="M349" s="4">
        <f>L349*K349</f>
        <v/>
      </c>
      <c r="N349" s="4">
        <f>SUMIF(Материалы!$A$4:$A$800,SUBSTITUTE(SUBSTITUTE(SUBSTITUTE(B349,"~","~~"),"*","~*"),"?","~?"),Материалы!$S$4:$S$800)</f>
        <v/>
      </c>
      <c r="O349" s="4">
        <f>L349+M349+N349</f>
        <v/>
      </c>
      <c r="P349" s="4">
        <f>IF(SUM($O$4:$O$672)=0,0,Косвенные!$C$9*O349/SUM($O$4:$O$672))</f>
        <v/>
      </c>
      <c r="Q349" s="4">
        <f>G349*D349+P349</f>
        <v/>
      </c>
      <c r="R349" s="4">
        <f>IF(D349=0,0,Q349/D349)</f>
        <v/>
      </c>
      <c r="S349" s="4">
        <f>IF(D349=0,0,SUMIF(Материалы!$A$4:$A$800,SUBSTITUTE(SUBSTITUTE(SUBSTITUTE(B349,"~","~~"),"*","~*"),"?","~?"),Материалы!$T$4:$T$800)/D349)</f>
        <v/>
      </c>
      <c r="T349" s="4">
        <f>R349+S349</f>
        <v/>
      </c>
      <c r="U349" s="4">
        <f>I349*D349</f>
        <v/>
      </c>
    </row>
    <row r="350" ht="22" customHeight="1">
      <c r="A350" s="9" t="inlineStr"/>
      <c r="B350" s="13" t="inlineStr">
        <is>
          <t>348. Резиновые манжеты переходные для канализационных систем 50х32</t>
        </is>
      </c>
      <c r="C350" s="9" t="inlineStr">
        <is>
          <t>шт.</t>
        </is>
      </c>
      <c r="D350" s="4">
        <f>IF('Форма'!G348="","",'Форма'!G348)</f>
        <v/>
      </c>
      <c r="E350" s="9" t="inlineStr">
        <is>
          <t>нет в тарификаторе</t>
        </is>
      </c>
      <c r="F350" s="9" t="inlineStr">
        <is>
          <t>SAN</t>
        </is>
      </c>
      <c r="G350" s="10" t="n">
        <v>731.5</v>
      </c>
      <c r="H350" s="10" t="n">
        <v>357</v>
      </c>
      <c r="I350" s="10" t="n">
        <v>0.35</v>
      </c>
      <c r="J350" s="9" t="inlineStr"/>
      <c r="K350" s="7">
        <f>IF(F350="",0,IFERROR(VLOOKUP(F350,Расходники!$A$4:$B$23,2,FALSE),0))</f>
        <v/>
      </c>
      <c r="L350" s="4">
        <f>H350*D350</f>
        <v/>
      </c>
      <c r="M350" s="4">
        <f>L350*K350</f>
        <v/>
      </c>
      <c r="N350" s="4">
        <f>SUMIF(Материалы!$A$4:$A$800,SUBSTITUTE(SUBSTITUTE(SUBSTITUTE(B350,"~","~~"),"*","~*"),"?","~?"),Материалы!$S$4:$S$800)</f>
        <v/>
      </c>
      <c r="O350" s="4">
        <f>L350+M350+N350</f>
        <v/>
      </c>
      <c r="P350" s="4">
        <f>IF(SUM($O$4:$O$672)=0,0,Косвенные!$C$9*O350/SUM($O$4:$O$672))</f>
        <v/>
      </c>
      <c r="Q350" s="4">
        <f>G350*D350+P350</f>
        <v/>
      </c>
      <c r="R350" s="4">
        <f>IF(D350=0,0,Q350/D350)</f>
        <v/>
      </c>
      <c r="S350" s="4">
        <f>IF(D350=0,0,SUMIF(Материалы!$A$4:$A$800,SUBSTITUTE(SUBSTITUTE(SUBSTITUTE(B350,"~","~~"),"*","~*"),"?","~?"),Материалы!$T$4:$T$800)/D350)</f>
        <v/>
      </c>
      <c r="T350" s="4">
        <f>R350+S350</f>
        <v/>
      </c>
      <c r="U350" s="4">
        <f>I350*D350</f>
        <v/>
      </c>
    </row>
    <row r="351" ht="22" customHeight="1">
      <c r="A351" s="9" t="inlineStr"/>
      <c r="B351" s="13" t="inlineStr">
        <is>
          <t>349. Резиновые манжеты переходные для канализационных систем 50х40</t>
        </is>
      </c>
      <c r="C351" s="9" t="inlineStr">
        <is>
          <t>шт.</t>
        </is>
      </c>
      <c r="D351" s="4">
        <f>IF('Форма'!G349="","",'Форма'!G349)</f>
        <v/>
      </c>
      <c r="E351" s="9" t="inlineStr">
        <is>
          <t>нет в тарификаторе</t>
        </is>
      </c>
      <c r="F351" s="9" t="inlineStr">
        <is>
          <t>SAN</t>
        </is>
      </c>
      <c r="G351" s="10" t="n">
        <v>731.5</v>
      </c>
      <c r="H351" s="10" t="n">
        <v>357</v>
      </c>
      <c r="I351" s="10" t="n">
        <v>0.35</v>
      </c>
      <c r="J351" s="9" t="inlineStr"/>
      <c r="K351" s="7">
        <f>IF(F351="",0,IFERROR(VLOOKUP(F351,Расходники!$A$4:$B$23,2,FALSE),0))</f>
        <v/>
      </c>
      <c r="L351" s="4">
        <f>H351*D351</f>
        <v/>
      </c>
      <c r="M351" s="4">
        <f>L351*K351</f>
        <v/>
      </c>
      <c r="N351" s="4">
        <f>SUMIF(Материалы!$A$4:$A$800,SUBSTITUTE(SUBSTITUTE(SUBSTITUTE(B351,"~","~~"),"*","~*"),"?","~?"),Материалы!$S$4:$S$800)</f>
        <v/>
      </c>
      <c r="O351" s="4">
        <f>L351+M351+N351</f>
        <v/>
      </c>
      <c r="P351" s="4">
        <f>IF(SUM($O$4:$O$672)=0,0,Косвенные!$C$9*O351/SUM($O$4:$O$672))</f>
        <v/>
      </c>
      <c r="Q351" s="4">
        <f>G351*D351+P351</f>
        <v/>
      </c>
      <c r="R351" s="4">
        <f>IF(D351=0,0,Q351/D351)</f>
        <v/>
      </c>
      <c r="S351" s="4">
        <f>IF(D351=0,0,SUMIF(Материалы!$A$4:$A$800,SUBSTITUTE(SUBSTITUTE(SUBSTITUTE(B351,"~","~~"),"*","~*"),"?","~?"),Материалы!$T$4:$T$800)/D351)</f>
        <v/>
      </c>
      <c r="T351" s="4">
        <f>R351+S351</f>
        <v/>
      </c>
      <c r="U351" s="4">
        <f>I351*D351</f>
        <v/>
      </c>
    </row>
    <row r="352" ht="22" customHeight="1">
      <c r="A352" s="9" t="inlineStr"/>
      <c r="B352" s="13" t="inlineStr">
        <is>
          <t>350. обратный клапан для канализации 110 мм</t>
        </is>
      </c>
      <c r="C352" s="9" t="inlineStr">
        <is>
          <t>шт.</t>
        </is>
      </c>
      <c r="D352" s="4">
        <f>IF('Форма'!G350="","",'Форма'!G350)</f>
        <v/>
      </c>
      <c r="E352" s="9" t="inlineStr">
        <is>
          <t>аналог (9.1.N10)</t>
        </is>
      </c>
      <c r="F352" s="9" t="inlineStr">
        <is>
          <t>SAN</t>
        </is>
      </c>
      <c r="G352" s="10" t="n">
        <v>731.5</v>
      </c>
      <c r="H352" s="10" t="n">
        <v>357</v>
      </c>
      <c r="I352" s="10" t="n">
        <v>0.35</v>
      </c>
      <c r="J352" s="9" t="inlineStr"/>
      <c r="K352" s="7">
        <f>IF(F352="",0,IFERROR(VLOOKUP(F352,Расходники!$A$4:$B$23,2,FALSE),0))</f>
        <v/>
      </c>
      <c r="L352" s="4">
        <f>H352*D352</f>
        <v/>
      </c>
      <c r="M352" s="4">
        <f>L352*K352</f>
        <v/>
      </c>
      <c r="N352" s="4">
        <f>SUMIF(Материалы!$A$4:$A$800,SUBSTITUTE(SUBSTITUTE(SUBSTITUTE(B352,"~","~~"),"*","~*"),"?","~?"),Материалы!$S$4:$S$800)</f>
        <v/>
      </c>
      <c r="O352" s="4">
        <f>L352+M352+N352</f>
        <v/>
      </c>
      <c r="P352" s="4">
        <f>IF(SUM($O$4:$O$672)=0,0,Косвенные!$C$9*O352/SUM($O$4:$O$672))</f>
        <v/>
      </c>
      <c r="Q352" s="4">
        <f>G352*D352+P352</f>
        <v/>
      </c>
      <c r="R352" s="4">
        <f>IF(D352=0,0,Q352/D352)</f>
        <v/>
      </c>
      <c r="S352" s="4">
        <f>IF(D352=0,0,SUMIF(Материалы!$A$4:$A$800,SUBSTITUTE(SUBSTITUTE(SUBSTITUTE(B352,"~","~~"),"*","~*"),"?","~?"),Материалы!$T$4:$T$800)/D352)</f>
        <v/>
      </c>
      <c r="T352" s="4">
        <f>R352+S352</f>
        <v/>
      </c>
      <c r="U352" s="4">
        <f>I352*D352</f>
        <v/>
      </c>
    </row>
    <row r="353" ht="22" customHeight="1">
      <c r="A353" s="9" t="inlineStr"/>
      <c r="B353" s="13" t="inlineStr">
        <is>
          <t>351. обратный клапан для канализации 50 мм</t>
        </is>
      </c>
      <c r="C353" s="9" t="inlineStr">
        <is>
          <t>шт.</t>
        </is>
      </c>
      <c r="D353" s="4">
        <f>IF('Форма'!G351="","",'Форма'!G351)</f>
        <v/>
      </c>
      <c r="E353" s="9" t="inlineStr">
        <is>
          <t>аналог (9.1.N10)</t>
        </is>
      </c>
      <c r="F353" s="9" t="inlineStr">
        <is>
          <t>SAN</t>
        </is>
      </c>
      <c r="G353" s="10" t="n">
        <v>731.5</v>
      </c>
      <c r="H353" s="10" t="n">
        <v>357</v>
      </c>
      <c r="I353" s="10" t="n">
        <v>0.35</v>
      </c>
      <c r="J353" s="9" t="inlineStr"/>
      <c r="K353" s="7">
        <f>IF(F353="",0,IFERROR(VLOOKUP(F353,Расходники!$A$4:$B$23,2,FALSE),0))</f>
        <v/>
      </c>
      <c r="L353" s="4">
        <f>H353*D353</f>
        <v/>
      </c>
      <c r="M353" s="4">
        <f>L353*K353</f>
        <v/>
      </c>
      <c r="N353" s="4">
        <f>SUMIF(Материалы!$A$4:$A$800,SUBSTITUTE(SUBSTITUTE(SUBSTITUTE(B353,"~","~~"),"*","~*"),"?","~?"),Материалы!$S$4:$S$800)</f>
        <v/>
      </c>
      <c r="O353" s="4">
        <f>L353+M353+N353</f>
        <v/>
      </c>
      <c r="P353" s="4">
        <f>IF(SUM($O$4:$O$672)=0,0,Косвенные!$C$9*O353/SUM($O$4:$O$672))</f>
        <v/>
      </c>
      <c r="Q353" s="4">
        <f>G353*D353+P353</f>
        <v/>
      </c>
      <c r="R353" s="4">
        <f>IF(D353=0,0,Q353/D353)</f>
        <v/>
      </c>
      <c r="S353" s="4">
        <f>IF(D353=0,0,SUMIF(Материалы!$A$4:$A$800,SUBSTITUTE(SUBSTITUTE(SUBSTITUTE(B353,"~","~~"),"*","~*"),"?","~?"),Материалы!$T$4:$T$800)/D353)</f>
        <v/>
      </c>
      <c r="T353" s="4">
        <f>R353+S353</f>
        <v/>
      </c>
      <c r="U353" s="4">
        <f>I353*D353</f>
        <v/>
      </c>
    </row>
    <row r="354" ht="22" customHeight="1">
      <c r="A354" s="9" t="inlineStr"/>
      <c r="B354" s="13" t="inlineStr">
        <is>
          <t>352. Трап HL (Hutterer Lechner) 71 с решеткой из ABS,песколовкой, гидрозатвором</t>
        </is>
      </c>
      <c r="C354" s="9" t="inlineStr">
        <is>
          <t>шт.</t>
        </is>
      </c>
      <c r="D354" s="4">
        <f>IF('Форма'!G352="","",'Форма'!G352)</f>
        <v/>
      </c>
      <c r="E354" s="9" t="inlineStr">
        <is>
          <t>нет в тарификаторе</t>
        </is>
      </c>
      <c r="F354" s="9" t="inlineStr">
        <is>
          <t>SAN</t>
        </is>
      </c>
      <c r="G354" s="10" t="n">
        <v>731.5</v>
      </c>
      <c r="H354" s="10" t="n">
        <v>357</v>
      </c>
      <c r="I354" s="10" t="n">
        <v>0.35</v>
      </c>
      <c r="J354" s="9" t="inlineStr"/>
      <c r="K354" s="7">
        <f>IF(F354="",0,IFERROR(VLOOKUP(F354,Расходники!$A$4:$B$23,2,FALSE),0))</f>
        <v/>
      </c>
      <c r="L354" s="4">
        <f>H354*D354</f>
        <v/>
      </c>
      <c r="M354" s="4">
        <f>L354*K354</f>
        <v/>
      </c>
      <c r="N354" s="4">
        <f>SUMIF(Материалы!$A$4:$A$800,SUBSTITUTE(SUBSTITUTE(SUBSTITUTE(B354,"~","~~"),"*","~*"),"?","~?"),Материалы!$S$4:$S$800)</f>
        <v/>
      </c>
      <c r="O354" s="4">
        <f>L354+M354+N354</f>
        <v/>
      </c>
      <c r="P354" s="4">
        <f>IF(SUM($O$4:$O$672)=0,0,Косвенные!$C$9*O354/SUM($O$4:$O$672))</f>
        <v/>
      </c>
      <c r="Q354" s="4">
        <f>G354*D354+P354</f>
        <v/>
      </c>
      <c r="R354" s="4">
        <f>IF(D354=0,0,Q354/D354)</f>
        <v/>
      </c>
      <c r="S354" s="4">
        <f>IF(D354=0,0,SUMIF(Материалы!$A$4:$A$800,SUBSTITUTE(SUBSTITUTE(SUBSTITUTE(B354,"~","~~"),"*","~*"),"?","~?"),Материалы!$T$4:$T$800)/D354)</f>
        <v/>
      </c>
      <c r="T354" s="4">
        <f>R354+S354</f>
        <v/>
      </c>
      <c r="U354" s="4">
        <f>I354*D354</f>
        <v/>
      </c>
    </row>
    <row r="355" ht="22" customHeight="1">
      <c r="A355" s="9" t="inlineStr">
        <is>
          <t>9.4.35</t>
        </is>
      </c>
      <c r="B355" s="13" t="inlineStr">
        <is>
          <t>353. Трубы полипропиленованные d 20</t>
        </is>
      </c>
      <c r="C355" s="9" t="inlineStr">
        <is>
          <t>м.п.</t>
        </is>
      </c>
      <c r="D355" s="4">
        <f>IF('Форма'!G353="","",'Форма'!G353)</f>
        <v/>
      </c>
      <c r="E355" s="9" t="inlineStr">
        <is>
          <t>точно</t>
        </is>
      </c>
      <c r="F355" s="9" t="inlineStr">
        <is>
          <t>SAN</t>
        </is>
      </c>
      <c r="G355" s="10" t="n">
        <v>402</v>
      </c>
      <c r="H355" s="10" t="n">
        <v>250</v>
      </c>
      <c r="I355" s="10" t="n">
        <v>0.25</v>
      </c>
      <c r="J355" s="9" t="inlineStr"/>
      <c r="K355" s="7">
        <f>IF(F355="",0,IFERROR(VLOOKUP(F355,Расходники!$A$4:$B$23,2,FALSE),0))</f>
        <v/>
      </c>
      <c r="L355" s="4">
        <f>H355*D355</f>
        <v/>
      </c>
      <c r="M355" s="4">
        <f>L355*K355</f>
        <v/>
      </c>
      <c r="N355" s="4">
        <f>SUMIF(Материалы!$A$4:$A$800,SUBSTITUTE(SUBSTITUTE(SUBSTITUTE(B355,"~","~~"),"*","~*"),"?","~?"),Материалы!$S$4:$S$800)</f>
        <v/>
      </c>
      <c r="O355" s="4">
        <f>L355+M355+N355</f>
        <v/>
      </c>
      <c r="P355" s="4">
        <f>IF(SUM($O$4:$O$672)=0,0,Косвенные!$C$9*O355/SUM($O$4:$O$672))</f>
        <v/>
      </c>
      <c r="Q355" s="4">
        <f>G355*D355+P355</f>
        <v/>
      </c>
      <c r="R355" s="4">
        <f>IF(D355=0,0,Q355/D355)</f>
        <v/>
      </c>
      <c r="S355" s="4">
        <f>IF(D355=0,0,SUMIF(Материалы!$A$4:$A$800,SUBSTITUTE(SUBSTITUTE(SUBSTITUTE(B355,"~","~~"),"*","~*"),"?","~?"),Материалы!$T$4:$T$800)/D355)</f>
        <v/>
      </c>
      <c r="T355" s="4">
        <f>R355+S355</f>
        <v/>
      </c>
      <c r="U355" s="4">
        <f>I355*D355</f>
        <v/>
      </c>
    </row>
    <row r="356" ht="22" customHeight="1">
      <c r="A356" s="9" t="inlineStr">
        <is>
          <t>9.4.36</t>
        </is>
      </c>
      <c r="B356" s="13" t="inlineStr">
        <is>
          <t>354. Трубы полипропиленованные d 25</t>
        </is>
      </c>
      <c r="C356" s="9" t="inlineStr">
        <is>
          <t>м.п.</t>
        </is>
      </c>
      <c r="D356" s="4">
        <f>IF('Форма'!G354="","",'Форма'!G354)</f>
        <v/>
      </c>
      <c r="E356" s="9" t="inlineStr">
        <is>
          <t>точно</t>
        </is>
      </c>
      <c r="F356" s="9" t="inlineStr">
        <is>
          <t>SAN</t>
        </is>
      </c>
      <c r="G356" s="10" t="n">
        <v>437</v>
      </c>
      <c r="H356" s="10" t="n">
        <v>271</v>
      </c>
      <c r="I356" s="10" t="n">
        <v>0.27</v>
      </c>
      <c r="J356" s="9" t="inlineStr"/>
      <c r="K356" s="7">
        <f>IF(F356="",0,IFERROR(VLOOKUP(F356,Расходники!$A$4:$B$23,2,FALSE),0))</f>
        <v/>
      </c>
      <c r="L356" s="4">
        <f>H356*D356</f>
        <v/>
      </c>
      <c r="M356" s="4">
        <f>L356*K356</f>
        <v/>
      </c>
      <c r="N356" s="4">
        <f>SUMIF(Материалы!$A$4:$A$800,SUBSTITUTE(SUBSTITUTE(SUBSTITUTE(B356,"~","~~"),"*","~*"),"?","~?"),Материалы!$S$4:$S$800)</f>
        <v/>
      </c>
      <c r="O356" s="4">
        <f>L356+M356+N356</f>
        <v/>
      </c>
      <c r="P356" s="4">
        <f>IF(SUM($O$4:$O$672)=0,0,Косвенные!$C$9*O356/SUM($O$4:$O$672))</f>
        <v/>
      </c>
      <c r="Q356" s="4">
        <f>G356*D356+P356</f>
        <v/>
      </c>
      <c r="R356" s="4">
        <f>IF(D356=0,0,Q356/D356)</f>
        <v/>
      </c>
      <c r="S356" s="4">
        <f>IF(D356=0,0,SUMIF(Материалы!$A$4:$A$800,SUBSTITUTE(SUBSTITUTE(SUBSTITUTE(B356,"~","~~"),"*","~*"),"?","~?"),Материалы!$T$4:$T$800)/D356)</f>
        <v/>
      </c>
      <c r="T356" s="4">
        <f>R356+S356</f>
        <v/>
      </c>
      <c r="U356" s="4">
        <f>I356*D356</f>
        <v/>
      </c>
    </row>
    <row r="357" ht="22" customHeight="1">
      <c r="A357" s="9" t="inlineStr">
        <is>
          <t>9.4.37</t>
        </is>
      </c>
      <c r="B357" s="13" t="inlineStr">
        <is>
          <t>355. Трубы полипропиленованные d 32</t>
        </is>
      </c>
      <c r="C357" s="9" t="inlineStr">
        <is>
          <t>м.п.</t>
        </is>
      </c>
      <c r="D357" s="4">
        <f>IF('Форма'!G355="","",'Форма'!G355)</f>
        <v/>
      </c>
      <c r="E357" s="9" t="inlineStr">
        <is>
          <t>точно</t>
        </is>
      </c>
      <c r="F357" s="9" t="inlineStr">
        <is>
          <t>SAN</t>
        </is>
      </c>
      <c r="G357" s="10" t="n">
        <v>483</v>
      </c>
      <c r="H357" s="10" t="n">
        <v>299</v>
      </c>
      <c r="I357" s="10" t="n">
        <v>0.3</v>
      </c>
      <c r="J357" s="9" t="inlineStr"/>
      <c r="K357" s="7">
        <f>IF(F357="",0,IFERROR(VLOOKUP(F357,Расходники!$A$4:$B$23,2,FALSE),0))</f>
        <v/>
      </c>
      <c r="L357" s="4">
        <f>H357*D357</f>
        <v/>
      </c>
      <c r="M357" s="4">
        <f>L357*K357</f>
        <v/>
      </c>
      <c r="N357" s="4">
        <f>SUMIF(Материалы!$A$4:$A$800,SUBSTITUTE(SUBSTITUTE(SUBSTITUTE(B357,"~","~~"),"*","~*"),"?","~?"),Материалы!$S$4:$S$800)</f>
        <v/>
      </c>
      <c r="O357" s="4">
        <f>L357+M357+N357</f>
        <v/>
      </c>
      <c r="P357" s="4">
        <f>IF(SUM($O$4:$O$672)=0,0,Косвенные!$C$9*O357/SUM($O$4:$O$672))</f>
        <v/>
      </c>
      <c r="Q357" s="4">
        <f>G357*D357+P357</f>
        <v/>
      </c>
      <c r="R357" s="4">
        <f>IF(D357=0,0,Q357/D357)</f>
        <v/>
      </c>
      <c r="S357" s="4">
        <f>IF(D357=0,0,SUMIF(Материалы!$A$4:$A$800,SUBSTITUTE(SUBSTITUTE(SUBSTITUTE(B357,"~","~~"),"*","~*"),"?","~?"),Материалы!$T$4:$T$800)/D357)</f>
        <v/>
      </c>
      <c r="T357" s="4">
        <f>R357+S357</f>
        <v/>
      </c>
      <c r="U357" s="4">
        <f>I357*D357</f>
        <v/>
      </c>
    </row>
    <row r="358" ht="22" customHeight="1">
      <c r="A358" s="9" t="inlineStr">
        <is>
          <t>9.4.37</t>
        </is>
      </c>
      <c r="B358" s="13" t="inlineStr">
        <is>
          <t>356. Трубы полипропиленованные d 40</t>
        </is>
      </c>
      <c r="C358" s="9" t="inlineStr">
        <is>
          <t>м.п.</t>
        </is>
      </c>
      <c r="D358" s="4">
        <f>IF('Форма'!G356="","",'Форма'!G356)</f>
        <v/>
      </c>
      <c r="E358" s="9" t="inlineStr">
        <is>
          <t>аналог (9.4.37)</t>
        </is>
      </c>
      <c r="F358" s="9" t="inlineStr">
        <is>
          <t>SAN</t>
        </is>
      </c>
      <c r="G358" s="10" t="n">
        <v>483</v>
      </c>
      <c r="H358" s="10" t="n">
        <v>299</v>
      </c>
      <c r="I358" s="10" t="n">
        <v>0.3</v>
      </c>
      <c r="J358" s="9" t="inlineStr"/>
      <c r="K358" s="7">
        <f>IF(F358="",0,IFERROR(VLOOKUP(F358,Расходники!$A$4:$B$23,2,FALSE),0))</f>
        <v/>
      </c>
      <c r="L358" s="4">
        <f>H358*D358</f>
        <v/>
      </c>
      <c r="M358" s="4">
        <f>L358*K358</f>
        <v/>
      </c>
      <c r="N358" s="4">
        <f>SUMIF(Материалы!$A$4:$A$800,SUBSTITUTE(SUBSTITUTE(SUBSTITUTE(B358,"~","~~"),"*","~*"),"?","~?"),Материалы!$S$4:$S$800)</f>
        <v/>
      </c>
      <c r="O358" s="4">
        <f>L358+M358+N358</f>
        <v/>
      </c>
      <c r="P358" s="4">
        <f>IF(SUM($O$4:$O$672)=0,0,Косвенные!$C$9*O358/SUM($O$4:$O$672))</f>
        <v/>
      </c>
      <c r="Q358" s="4">
        <f>G358*D358+P358</f>
        <v/>
      </c>
      <c r="R358" s="4">
        <f>IF(D358=0,0,Q358/D358)</f>
        <v/>
      </c>
      <c r="S358" s="4">
        <f>IF(D358=0,0,SUMIF(Материалы!$A$4:$A$800,SUBSTITUTE(SUBSTITUTE(SUBSTITUTE(B358,"~","~~"),"*","~*"),"?","~?"),Материалы!$T$4:$T$800)/D358)</f>
        <v/>
      </c>
      <c r="T358" s="4">
        <f>R358+S358</f>
        <v/>
      </c>
      <c r="U358" s="4">
        <f>I358*D358</f>
        <v/>
      </c>
    </row>
    <row r="359" ht="22" customHeight="1">
      <c r="A359" s="9" t="inlineStr">
        <is>
          <t>9.4.35</t>
        </is>
      </c>
      <c r="B359" s="13" t="inlineStr">
        <is>
          <t>357. Трубы полипропиленованные армированные алюминием (стекловолокном) d 20</t>
        </is>
      </c>
      <c r="C359" s="9" t="inlineStr">
        <is>
          <t>м.п.</t>
        </is>
      </c>
      <c r="D359" s="4">
        <f>IF('Форма'!G357="","",'Форма'!G357)</f>
        <v/>
      </c>
      <c r="E359" s="9" t="inlineStr">
        <is>
          <t>точно</t>
        </is>
      </c>
      <c r="F359" s="9" t="inlineStr">
        <is>
          <t>SAN</t>
        </is>
      </c>
      <c r="G359" s="10" t="n">
        <v>402</v>
      </c>
      <c r="H359" s="10" t="n">
        <v>250</v>
      </c>
      <c r="I359" s="10" t="n">
        <v>0.25</v>
      </c>
      <c r="J359" s="9" t="inlineStr"/>
      <c r="K359" s="7">
        <f>IF(F359="",0,IFERROR(VLOOKUP(F359,Расходники!$A$4:$B$23,2,FALSE),0))</f>
        <v/>
      </c>
      <c r="L359" s="4">
        <f>H359*D359</f>
        <v/>
      </c>
      <c r="M359" s="4">
        <f>L359*K359</f>
        <v/>
      </c>
      <c r="N359" s="4">
        <f>SUMIF(Материалы!$A$4:$A$800,SUBSTITUTE(SUBSTITUTE(SUBSTITUTE(B359,"~","~~"),"*","~*"),"?","~?"),Материалы!$S$4:$S$800)</f>
        <v/>
      </c>
      <c r="O359" s="4">
        <f>L359+M359+N359</f>
        <v/>
      </c>
      <c r="P359" s="4">
        <f>IF(SUM($O$4:$O$672)=0,0,Косвенные!$C$9*O359/SUM($O$4:$O$672))</f>
        <v/>
      </c>
      <c r="Q359" s="4">
        <f>G359*D359+P359</f>
        <v/>
      </c>
      <c r="R359" s="4">
        <f>IF(D359=0,0,Q359/D359)</f>
        <v/>
      </c>
      <c r="S359" s="4">
        <f>IF(D359=0,0,SUMIF(Материалы!$A$4:$A$800,SUBSTITUTE(SUBSTITUTE(SUBSTITUTE(B359,"~","~~"),"*","~*"),"?","~?"),Материалы!$T$4:$T$800)/D359)</f>
        <v/>
      </c>
      <c r="T359" s="4">
        <f>R359+S359</f>
        <v/>
      </c>
      <c r="U359" s="4">
        <f>I359*D359</f>
        <v/>
      </c>
    </row>
    <row r="360" ht="22" customHeight="1">
      <c r="A360" s="9" t="inlineStr">
        <is>
          <t>9.4.36</t>
        </is>
      </c>
      <c r="B360" s="13" t="inlineStr">
        <is>
          <t>358. Трубы полипропиленованные армированные алюминием (стекловолокном) d 25</t>
        </is>
      </c>
      <c r="C360" s="9" t="inlineStr">
        <is>
          <t>м.п.</t>
        </is>
      </c>
      <c r="D360" s="4">
        <f>IF('Форма'!G358="","",'Форма'!G358)</f>
        <v/>
      </c>
      <c r="E360" s="9" t="inlineStr">
        <is>
          <t>точно</t>
        </is>
      </c>
      <c r="F360" s="9" t="inlineStr">
        <is>
          <t>SAN</t>
        </is>
      </c>
      <c r="G360" s="10" t="n">
        <v>437</v>
      </c>
      <c r="H360" s="10" t="n">
        <v>271</v>
      </c>
      <c r="I360" s="10" t="n">
        <v>0.27</v>
      </c>
      <c r="J360" s="9" t="inlineStr"/>
      <c r="K360" s="7">
        <f>IF(F360="",0,IFERROR(VLOOKUP(F360,Расходники!$A$4:$B$23,2,FALSE),0))</f>
        <v/>
      </c>
      <c r="L360" s="4">
        <f>H360*D360</f>
        <v/>
      </c>
      <c r="M360" s="4">
        <f>L360*K360</f>
        <v/>
      </c>
      <c r="N360" s="4">
        <f>SUMIF(Материалы!$A$4:$A$800,SUBSTITUTE(SUBSTITUTE(SUBSTITUTE(B360,"~","~~"),"*","~*"),"?","~?"),Материалы!$S$4:$S$800)</f>
        <v/>
      </c>
      <c r="O360" s="4">
        <f>L360+M360+N360</f>
        <v/>
      </c>
      <c r="P360" s="4">
        <f>IF(SUM($O$4:$O$672)=0,0,Косвенные!$C$9*O360/SUM($O$4:$O$672))</f>
        <v/>
      </c>
      <c r="Q360" s="4">
        <f>G360*D360+P360</f>
        <v/>
      </c>
      <c r="R360" s="4">
        <f>IF(D360=0,0,Q360/D360)</f>
        <v/>
      </c>
      <c r="S360" s="4">
        <f>IF(D360=0,0,SUMIF(Материалы!$A$4:$A$800,SUBSTITUTE(SUBSTITUTE(SUBSTITUTE(B360,"~","~~"),"*","~*"),"?","~?"),Материалы!$T$4:$T$800)/D360)</f>
        <v/>
      </c>
      <c r="T360" s="4">
        <f>R360+S360</f>
        <v/>
      </c>
      <c r="U360" s="4">
        <f>I360*D360</f>
        <v/>
      </c>
    </row>
    <row r="361" ht="22" customHeight="1">
      <c r="A361" s="9" t="inlineStr">
        <is>
          <t>9.4.37</t>
        </is>
      </c>
      <c r="B361" s="13" t="inlineStr">
        <is>
          <t>359. Трубы полипропиленованные армированные алюминием (стекловолокном) d 32</t>
        </is>
      </c>
      <c r="C361" s="9" t="inlineStr">
        <is>
          <t>м.п.</t>
        </is>
      </c>
      <c r="D361" s="4">
        <f>IF('Форма'!G359="","",'Форма'!G359)</f>
        <v/>
      </c>
      <c r="E361" s="9" t="inlineStr">
        <is>
          <t>точно</t>
        </is>
      </c>
      <c r="F361" s="9" t="inlineStr">
        <is>
          <t>SAN</t>
        </is>
      </c>
      <c r="G361" s="10" t="n">
        <v>483</v>
      </c>
      <c r="H361" s="10" t="n">
        <v>299</v>
      </c>
      <c r="I361" s="10" t="n">
        <v>0.3</v>
      </c>
      <c r="J361" s="9" t="inlineStr"/>
      <c r="K361" s="7">
        <f>IF(F361="",0,IFERROR(VLOOKUP(F361,Расходники!$A$4:$B$23,2,FALSE),0))</f>
        <v/>
      </c>
      <c r="L361" s="4">
        <f>H361*D361</f>
        <v/>
      </c>
      <c r="M361" s="4">
        <f>L361*K361</f>
        <v/>
      </c>
      <c r="N361" s="4">
        <f>SUMIF(Материалы!$A$4:$A$800,SUBSTITUTE(SUBSTITUTE(SUBSTITUTE(B361,"~","~~"),"*","~*"),"?","~?"),Материалы!$S$4:$S$800)</f>
        <v/>
      </c>
      <c r="O361" s="4">
        <f>L361+M361+N361</f>
        <v/>
      </c>
      <c r="P361" s="4">
        <f>IF(SUM($O$4:$O$672)=0,0,Косвенные!$C$9*O361/SUM($O$4:$O$672))</f>
        <v/>
      </c>
      <c r="Q361" s="4">
        <f>G361*D361+P361</f>
        <v/>
      </c>
      <c r="R361" s="4">
        <f>IF(D361=0,0,Q361/D361)</f>
        <v/>
      </c>
      <c r="S361" s="4">
        <f>IF(D361=0,0,SUMIF(Материалы!$A$4:$A$800,SUBSTITUTE(SUBSTITUTE(SUBSTITUTE(B361,"~","~~"),"*","~*"),"?","~?"),Материалы!$T$4:$T$800)/D361)</f>
        <v/>
      </c>
      <c r="T361" s="4">
        <f>R361+S361</f>
        <v/>
      </c>
      <c r="U361" s="4">
        <f>I361*D361</f>
        <v/>
      </c>
    </row>
    <row r="362" ht="22" customHeight="1">
      <c r="A362" s="9" t="inlineStr">
        <is>
          <t>9.4.37</t>
        </is>
      </c>
      <c r="B362" s="13" t="inlineStr">
        <is>
          <t>360. Трубы полипропиленованные армированные алюминием (стекловолокном) d 40</t>
        </is>
      </c>
      <c r="C362" s="9" t="inlineStr">
        <is>
          <t>м.п.</t>
        </is>
      </c>
      <c r="D362" s="4">
        <f>IF('Форма'!G360="","",'Форма'!G360)</f>
        <v/>
      </c>
      <c r="E362" s="9" t="inlineStr">
        <is>
          <t>аналог (9.4.37)</t>
        </is>
      </c>
      <c r="F362" s="9" t="inlineStr">
        <is>
          <t>SAN</t>
        </is>
      </c>
      <c r="G362" s="10" t="n">
        <v>483</v>
      </c>
      <c r="H362" s="10" t="n">
        <v>299</v>
      </c>
      <c r="I362" s="10" t="n">
        <v>0.3</v>
      </c>
      <c r="J362" s="9" t="inlineStr"/>
      <c r="K362" s="7">
        <f>IF(F362="",0,IFERROR(VLOOKUP(F362,Расходники!$A$4:$B$23,2,FALSE),0))</f>
        <v/>
      </c>
      <c r="L362" s="4">
        <f>H362*D362</f>
        <v/>
      </c>
      <c r="M362" s="4">
        <f>L362*K362</f>
        <v/>
      </c>
      <c r="N362" s="4">
        <f>SUMIF(Материалы!$A$4:$A$800,SUBSTITUTE(SUBSTITUTE(SUBSTITUTE(B362,"~","~~"),"*","~*"),"?","~?"),Материалы!$S$4:$S$800)</f>
        <v/>
      </c>
      <c r="O362" s="4">
        <f>L362+M362+N362</f>
        <v/>
      </c>
      <c r="P362" s="4">
        <f>IF(SUM($O$4:$O$672)=0,0,Косвенные!$C$9*O362/SUM($O$4:$O$672))</f>
        <v/>
      </c>
      <c r="Q362" s="4">
        <f>G362*D362+P362</f>
        <v/>
      </c>
      <c r="R362" s="4">
        <f>IF(D362=0,0,Q362/D362)</f>
        <v/>
      </c>
      <c r="S362" s="4">
        <f>IF(D362=0,0,SUMIF(Материалы!$A$4:$A$800,SUBSTITUTE(SUBSTITUTE(SUBSTITUTE(B362,"~","~~"),"*","~*"),"?","~?"),Материалы!$T$4:$T$800)/D362)</f>
        <v/>
      </c>
      <c r="T362" s="4">
        <f>R362+S362</f>
        <v/>
      </c>
      <c r="U362" s="4">
        <f>I362*D362</f>
        <v/>
      </c>
    </row>
    <row r="363" ht="22" customHeight="1">
      <c r="A363" s="9" t="inlineStr"/>
      <c r="B363" s="13" t="inlineStr">
        <is>
          <t>361. Муфта полипропиленовая 20</t>
        </is>
      </c>
      <c r="C363" s="9" t="inlineStr">
        <is>
          <t>шт.</t>
        </is>
      </c>
      <c r="D363" s="4">
        <f>IF('Форма'!G361="","",'Форма'!G361)</f>
        <v/>
      </c>
      <c r="E363" s="9" t="inlineStr">
        <is>
          <t>аналог (9.4.35), единица приведена к нормо-часам</t>
        </is>
      </c>
      <c r="F363" s="9" t="inlineStr">
        <is>
          <t>SAN</t>
        </is>
      </c>
      <c r="G363" s="10" t="n">
        <v>522.5</v>
      </c>
      <c r="H363" s="10" t="n">
        <v>255</v>
      </c>
      <c r="I363" s="10" t="n">
        <v>0.25</v>
      </c>
      <c r="J363" s="9" t="inlineStr"/>
      <c r="K363" s="7">
        <f>IF(F363="",0,IFERROR(VLOOKUP(F363,Расходники!$A$4:$B$23,2,FALSE),0))</f>
        <v/>
      </c>
      <c r="L363" s="4">
        <f>H363*D363</f>
        <v/>
      </c>
      <c r="M363" s="4">
        <f>L363*K363</f>
        <v/>
      </c>
      <c r="N363" s="4">
        <f>SUMIF(Материалы!$A$4:$A$800,SUBSTITUTE(SUBSTITUTE(SUBSTITUTE(B363,"~","~~"),"*","~*"),"?","~?"),Материалы!$S$4:$S$800)</f>
        <v/>
      </c>
      <c r="O363" s="4">
        <f>L363+M363+N363</f>
        <v/>
      </c>
      <c r="P363" s="4">
        <f>IF(SUM($O$4:$O$672)=0,0,Косвенные!$C$9*O363/SUM($O$4:$O$672))</f>
        <v/>
      </c>
      <c r="Q363" s="4">
        <f>G363*D363+P363</f>
        <v/>
      </c>
      <c r="R363" s="4">
        <f>IF(D363=0,0,Q363/D363)</f>
        <v/>
      </c>
      <c r="S363" s="4">
        <f>IF(D363=0,0,SUMIF(Материалы!$A$4:$A$800,SUBSTITUTE(SUBSTITUTE(SUBSTITUTE(B363,"~","~~"),"*","~*"),"?","~?"),Материалы!$T$4:$T$800)/D363)</f>
        <v/>
      </c>
      <c r="T363" s="4">
        <f>R363+S363</f>
        <v/>
      </c>
      <c r="U363" s="4">
        <f>I363*D363</f>
        <v/>
      </c>
    </row>
    <row r="364" ht="22" customHeight="1">
      <c r="A364" s="9" t="inlineStr"/>
      <c r="B364" s="13" t="inlineStr">
        <is>
          <t>362. Муфта полипропиленовая 25</t>
        </is>
      </c>
      <c r="C364" s="9" t="inlineStr">
        <is>
          <t>шт.</t>
        </is>
      </c>
      <c r="D364" s="4">
        <f>IF('Форма'!G362="","",'Форма'!G362)</f>
        <v/>
      </c>
      <c r="E364" s="9" t="inlineStr">
        <is>
          <t>аналог (9.4.36), единица приведена к нормо-часам</t>
        </is>
      </c>
      <c r="F364" s="9" t="inlineStr">
        <is>
          <t>SAN</t>
        </is>
      </c>
      <c r="G364" s="10" t="n">
        <v>564.3</v>
      </c>
      <c r="H364" s="10" t="n">
        <v>275.4</v>
      </c>
      <c r="I364" s="10" t="n">
        <v>0.27</v>
      </c>
      <c r="J364" s="9" t="inlineStr"/>
      <c r="K364" s="7">
        <f>IF(F364="",0,IFERROR(VLOOKUP(F364,Расходники!$A$4:$B$23,2,FALSE),0))</f>
        <v/>
      </c>
      <c r="L364" s="4">
        <f>H364*D364</f>
        <v/>
      </c>
      <c r="M364" s="4">
        <f>L364*K364</f>
        <v/>
      </c>
      <c r="N364" s="4">
        <f>SUMIF(Материалы!$A$4:$A$800,SUBSTITUTE(SUBSTITUTE(SUBSTITUTE(B364,"~","~~"),"*","~*"),"?","~?"),Материалы!$S$4:$S$800)</f>
        <v/>
      </c>
      <c r="O364" s="4">
        <f>L364+M364+N364</f>
        <v/>
      </c>
      <c r="P364" s="4">
        <f>IF(SUM($O$4:$O$672)=0,0,Косвенные!$C$9*O364/SUM($O$4:$O$672))</f>
        <v/>
      </c>
      <c r="Q364" s="4">
        <f>G364*D364+P364</f>
        <v/>
      </c>
      <c r="R364" s="4">
        <f>IF(D364=0,0,Q364/D364)</f>
        <v/>
      </c>
      <c r="S364" s="4">
        <f>IF(D364=0,0,SUMIF(Материалы!$A$4:$A$800,SUBSTITUTE(SUBSTITUTE(SUBSTITUTE(B364,"~","~~"),"*","~*"),"?","~?"),Материалы!$T$4:$T$800)/D364)</f>
        <v/>
      </c>
      <c r="T364" s="4">
        <f>R364+S364</f>
        <v/>
      </c>
      <c r="U364" s="4">
        <f>I364*D364</f>
        <v/>
      </c>
    </row>
    <row r="365" ht="22" customHeight="1">
      <c r="A365" s="9" t="inlineStr"/>
      <c r="B365" s="13" t="inlineStr">
        <is>
          <t>363. Муфта полипропиленовая 32</t>
        </is>
      </c>
      <c r="C365" s="9" t="inlineStr">
        <is>
          <t>шт.</t>
        </is>
      </c>
      <c r="D365" s="4">
        <f>IF('Форма'!G363="","",'Форма'!G363)</f>
        <v/>
      </c>
      <c r="E365" s="9" t="inlineStr">
        <is>
          <t>аналог (9.4.37), единица приведена к нормо-часам</t>
        </is>
      </c>
      <c r="F365" s="9" t="inlineStr">
        <is>
          <t>SAN</t>
        </is>
      </c>
      <c r="G365" s="10" t="n">
        <v>627</v>
      </c>
      <c r="H365" s="10" t="n">
        <v>306</v>
      </c>
      <c r="I365" s="10" t="n">
        <v>0.3</v>
      </c>
      <c r="J365" s="9" t="inlineStr"/>
      <c r="K365" s="7">
        <f>IF(F365="",0,IFERROR(VLOOKUP(F365,Расходники!$A$4:$B$23,2,FALSE),0))</f>
        <v/>
      </c>
      <c r="L365" s="4">
        <f>H365*D365</f>
        <v/>
      </c>
      <c r="M365" s="4">
        <f>L365*K365</f>
        <v/>
      </c>
      <c r="N365" s="4">
        <f>SUMIF(Материалы!$A$4:$A$800,SUBSTITUTE(SUBSTITUTE(SUBSTITUTE(B365,"~","~~"),"*","~*"),"?","~?"),Материалы!$S$4:$S$800)</f>
        <v/>
      </c>
      <c r="O365" s="4">
        <f>L365+M365+N365</f>
        <v/>
      </c>
      <c r="P365" s="4">
        <f>IF(SUM($O$4:$O$672)=0,0,Косвенные!$C$9*O365/SUM($O$4:$O$672))</f>
        <v/>
      </c>
      <c r="Q365" s="4">
        <f>G365*D365+P365</f>
        <v/>
      </c>
      <c r="R365" s="4">
        <f>IF(D365=0,0,Q365/D365)</f>
        <v/>
      </c>
      <c r="S365" s="4">
        <f>IF(D365=0,0,SUMIF(Материалы!$A$4:$A$800,SUBSTITUTE(SUBSTITUTE(SUBSTITUTE(B365,"~","~~"),"*","~*"),"?","~?"),Материалы!$T$4:$T$800)/D365)</f>
        <v/>
      </c>
      <c r="T365" s="4">
        <f>R365+S365</f>
        <v/>
      </c>
      <c r="U365" s="4">
        <f>I365*D365</f>
        <v/>
      </c>
    </row>
    <row r="366" ht="22" customHeight="1">
      <c r="A366" s="9" t="inlineStr"/>
      <c r="B366" s="13" t="inlineStr">
        <is>
          <t>364. Муфта полипропиленовая 40</t>
        </is>
      </c>
      <c r="C366" s="9" t="inlineStr">
        <is>
          <t>шт.</t>
        </is>
      </c>
      <c r="D366" s="4">
        <f>IF('Форма'!G364="","",'Форма'!G364)</f>
        <v/>
      </c>
      <c r="E366" s="9" t="inlineStr">
        <is>
          <t>аналог (9.4.37), единица приведена к нормо-часам</t>
        </is>
      </c>
      <c r="F366" s="9" t="inlineStr">
        <is>
          <t>SAN</t>
        </is>
      </c>
      <c r="G366" s="10" t="n">
        <v>627</v>
      </c>
      <c r="H366" s="10" t="n">
        <v>306</v>
      </c>
      <c r="I366" s="10" t="n">
        <v>0.3</v>
      </c>
      <c r="J366" s="9" t="inlineStr"/>
      <c r="K366" s="7">
        <f>IF(F366="",0,IFERROR(VLOOKUP(F366,Расходники!$A$4:$B$23,2,FALSE),0))</f>
        <v/>
      </c>
      <c r="L366" s="4">
        <f>H366*D366</f>
        <v/>
      </c>
      <c r="M366" s="4">
        <f>L366*K366</f>
        <v/>
      </c>
      <c r="N366" s="4">
        <f>SUMIF(Материалы!$A$4:$A$800,SUBSTITUTE(SUBSTITUTE(SUBSTITUTE(B366,"~","~~"),"*","~*"),"?","~?"),Материалы!$S$4:$S$800)</f>
        <v/>
      </c>
      <c r="O366" s="4">
        <f>L366+M366+N366</f>
        <v/>
      </c>
      <c r="P366" s="4">
        <f>IF(SUM($O$4:$O$672)=0,0,Косвенные!$C$9*O366/SUM($O$4:$O$672))</f>
        <v/>
      </c>
      <c r="Q366" s="4">
        <f>G366*D366+P366</f>
        <v/>
      </c>
      <c r="R366" s="4">
        <f>IF(D366=0,0,Q366/D366)</f>
        <v/>
      </c>
      <c r="S366" s="4">
        <f>IF(D366=0,0,SUMIF(Материалы!$A$4:$A$800,SUBSTITUTE(SUBSTITUTE(SUBSTITUTE(B366,"~","~~"),"*","~*"),"?","~?"),Материалы!$T$4:$T$800)/D366)</f>
        <v/>
      </c>
      <c r="T366" s="4">
        <f>R366+S366</f>
        <v/>
      </c>
      <c r="U366" s="4">
        <f>I366*D366</f>
        <v/>
      </c>
    </row>
    <row r="367" ht="22" customHeight="1">
      <c r="A367" s="9" t="inlineStr"/>
      <c r="B367" s="13" t="inlineStr">
        <is>
          <t>365. Муфта полипропиленовая комбинированная с внутренней резьбой 20*1/2"</t>
        </is>
      </c>
      <c r="C367" s="9" t="inlineStr">
        <is>
          <t>шт.</t>
        </is>
      </c>
      <c r="D367" s="4">
        <f>IF('Форма'!G365="","",'Форма'!G365)</f>
        <v/>
      </c>
      <c r="E367" s="9" t="inlineStr">
        <is>
          <t>аналог (9.4.35), единица приведена к нормо-часам</t>
        </is>
      </c>
      <c r="F367" s="9" t="inlineStr">
        <is>
          <t>SAN</t>
        </is>
      </c>
      <c r="G367" s="10" t="n">
        <v>522.5</v>
      </c>
      <c r="H367" s="10" t="n">
        <v>255</v>
      </c>
      <c r="I367" s="10" t="n">
        <v>0.25</v>
      </c>
      <c r="J367" s="9" t="inlineStr"/>
      <c r="K367" s="7">
        <f>IF(F367="",0,IFERROR(VLOOKUP(F367,Расходники!$A$4:$B$23,2,FALSE),0))</f>
        <v/>
      </c>
      <c r="L367" s="4">
        <f>H367*D367</f>
        <v/>
      </c>
      <c r="M367" s="4">
        <f>L367*K367</f>
        <v/>
      </c>
      <c r="N367" s="4">
        <f>SUMIF(Материалы!$A$4:$A$800,SUBSTITUTE(SUBSTITUTE(SUBSTITUTE(B367,"~","~~"),"*","~*"),"?","~?"),Материалы!$S$4:$S$800)</f>
        <v/>
      </c>
      <c r="O367" s="4">
        <f>L367+M367+N367</f>
        <v/>
      </c>
      <c r="P367" s="4">
        <f>IF(SUM($O$4:$O$672)=0,0,Косвенные!$C$9*O367/SUM($O$4:$O$672))</f>
        <v/>
      </c>
      <c r="Q367" s="4">
        <f>G367*D367+P367</f>
        <v/>
      </c>
      <c r="R367" s="4">
        <f>IF(D367=0,0,Q367/D367)</f>
        <v/>
      </c>
      <c r="S367" s="4">
        <f>IF(D367=0,0,SUMIF(Материалы!$A$4:$A$800,SUBSTITUTE(SUBSTITUTE(SUBSTITUTE(B367,"~","~~"),"*","~*"),"?","~?"),Материалы!$T$4:$T$800)/D367)</f>
        <v/>
      </c>
      <c r="T367" s="4">
        <f>R367+S367</f>
        <v/>
      </c>
      <c r="U367" s="4">
        <f>I367*D367</f>
        <v/>
      </c>
    </row>
    <row r="368" ht="22" customHeight="1">
      <c r="A368" s="9" t="inlineStr"/>
      <c r="B368" s="13" t="inlineStr">
        <is>
          <t>366. Муфта полипропиленовая комбинированная с внутренней резьбой 20*3/4"</t>
        </is>
      </c>
      <c r="C368" s="9" t="inlineStr">
        <is>
          <t>шт.</t>
        </is>
      </c>
      <c r="D368" s="4">
        <f>IF('Форма'!G366="","",'Форма'!G366)</f>
        <v/>
      </c>
      <c r="E368" s="9" t="inlineStr">
        <is>
          <t>аналог (9.4.35), единица приведена к нормо-часам</t>
        </is>
      </c>
      <c r="F368" s="9" t="inlineStr">
        <is>
          <t>SAN</t>
        </is>
      </c>
      <c r="G368" s="10" t="n">
        <v>522.5</v>
      </c>
      <c r="H368" s="10" t="n">
        <v>255</v>
      </c>
      <c r="I368" s="10" t="n">
        <v>0.25</v>
      </c>
      <c r="J368" s="9" t="inlineStr"/>
      <c r="K368" s="7">
        <f>IF(F368="",0,IFERROR(VLOOKUP(F368,Расходники!$A$4:$B$23,2,FALSE),0))</f>
        <v/>
      </c>
      <c r="L368" s="4">
        <f>H368*D368</f>
        <v/>
      </c>
      <c r="M368" s="4">
        <f>L368*K368</f>
        <v/>
      </c>
      <c r="N368" s="4">
        <f>SUMIF(Материалы!$A$4:$A$800,SUBSTITUTE(SUBSTITUTE(SUBSTITUTE(B368,"~","~~"),"*","~*"),"?","~?"),Материалы!$S$4:$S$800)</f>
        <v/>
      </c>
      <c r="O368" s="4">
        <f>L368+M368+N368</f>
        <v/>
      </c>
      <c r="P368" s="4">
        <f>IF(SUM($O$4:$O$672)=0,0,Косвенные!$C$9*O368/SUM($O$4:$O$672))</f>
        <v/>
      </c>
      <c r="Q368" s="4">
        <f>G368*D368+P368</f>
        <v/>
      </c>
      <c r="R368" s="4">
        <f>IF(D368=0,0,Q368/D368)</f>
        <v/>
      </c>
      <c r="S368" s="4">
        <f>IF(D368=0,0,SUMIF(Материалы!$A$4:$A$800,SUBSTITUTE(SUBSTITUTE(SUBSTITUTE(B368,"~","~~"),"*","~*"),"?","~?"),Материалы!$T$4:$T$800)/D368)</f>
        <v/>
      </c>
      <c r="T368" s="4">
        <f>R368+S368</f>
        <v/>
      </c>
      <c r="U368" s="4">
        <f>I368*D368</f>
        <v/>
      </c>
    </row>
    <row r="369" ht="22" customHeight="1">
      <c r="A369" s="9" t="inlineStr"/>
      <c r="B369" s="13" t="inlineStr">
        <is>
          <t>367. Муфта полипропиленовая комбинированная с внутренней резьбой 25*1/2"</t>
        </is>
      </c>
      <c r="C369" s="9" t="inlineStr">
        <is>
          <t>шт.</t>
        </is>
      </c>
      <c r="D369" s="4">
        <f>IF('Форма'!G367="","",'Форма'!G367)</f>
        <v/>
      </c>
      <c r="E369" s="9" t="inlineStr">
        <is>
          <t>аналог (9.4.36), единица приведена к нормо-часам</t>
        </is>
      </c>
      <c r="F369" s="9" t="inlineStr">
        <is>
          <t>SAN</t>
        </is>
      </c>
      <c r="G369" s="10" t="n">
        <v>564.3</v>
      </c>
      <c r="H369" s="10" t="n">
        <v>275.4</v>
      </c>
      <c r="I369" s="10" t="n">
        <v>0.27</v>
      </c>
      <c r="J369" s="9" t="inlineStr"/>
      <c r="K369" s="7">
        <f>IF(F369="",0,IFERROR(VLOOKUP(F369,Расходники!$A$4:$B$23,2,FALSE),0))</f>
        <v/>
      </c>
      <c r="L369" s="4">
        <f>H369*D369</f>
        <v/>
      </c>
      <c r="M369" s="4">
        <f>L369*K369</f>
        <v/>
      </c>
      <c r="N369" s="4">
        <f>SUMIF(Материалы!$A$4:$A$800,SUBSTITUTE(SUBSTITUTE(SUBSTITUTE(B369,"~","~~"),"*","~*"),"?","~?"),Материалы!$S$4:$S$800)</f>
        <v/>
      </c>
      <c r="O369" s="4">
        <f>L369+M369+N369</f>
        <v/>
      </c>
      <c r="P369" s="4">
        <f>IF(SUM($O$4:$O$672)=0,0,Косвенные!$C$9*O369/SUM($O$4:$O$672))</f>
        <v/>
      </c>
      <c r="Q369" s="4">
        <f>G369*D369+P369</f>
        <v/>
      </c>
      <c r="R369" s="4">
        <f>IF(D369=0,0,Q369/D369)</f>
        <v/>
      </c>
      <c r="S369" s="4">
        <f>IF(D369=0,0,SUMIF(Материалы!$A$4:$A$800,SUBSTITUTE(SUBSTITUTE(SUBSTITUTE(B369,"~","~~"),"*","~*"),"?","~?"),Материалы!$T$4:$T$800)/D369)</f>
        <v/>
      </c>
      <c r="T369" s="4">
        <f>R369+S369</f>
        <v/>
      </c>
      <c r="U369" s="4">
        <f>I369*D369</f>
        <v/>
      </c>
    </row>
    <row r="370" ht="22" customHeight="1">
      <c r="A370" s="9" t="inlineStr"/>
      <c r="B370" s="13" t="inlineStr">
        <is>
          <t>368. Муфта полипропиленовая комбинированная с внутренней резьбой 25*3/4"</t>
        </is>
      </c>
      <c r="C370" s="9" t="inlineStr">
        <is>
          <t>шт.</t>
        </is>
      </c>
      <c r="D370" s="4">
        <f>IF('Форма'!G368="","",'Форма'!G368)</f>
        <v/>
      </c>
      <c r="E370" s="9" t="inlineStr">
        <is>
          <t>аналог (9.4.36), единица приведена к нормо-часам</t>
        </is>
      </c>
      <c r="F370" s="9" t="inlineStr">
        <is>
          <t>SAN</t>
        </is>
      </c>
      <c r="G370" s="10" t="n">
        <v>564.3</v>
      </c>
      <c r="H370" s="10" t="n">
        <v>275.4</v>
      </c>
      <c r="I370" s="10" t="n">
        <v>0.27</v>
      </c>
      <c r="J370" s="9" t="inlineStr"/>
      <c r="K370" s="7">
        <f>IF(F370="",0,IFERROR(VLOOKUP(F370,Расходники!$A$4:$B$23,2,FALSE),0))</f>
        <v/>
      </c>
      <c r="L370" s="4">
        <f>H370*D370</f>
        <v/>
      </c>
      <c r="M370" s="4">
        <f>L370*K370</f>
        <v/>
      </c>
      <c r="N370" s="4">
        <f>SUMIF(Материалы!$A$4:$A$800,SUBSTITUTE(SUBSTITUTE(SUBSTITUTE(B370,"~","~~"),"*","~*"),"?","~?"),Материалы!$S$4:$S$800)</f>
        <v/>
      </c>
      <c r="O370" s="4">
        <f>L370+M370+N370</f>
        <v/>
      </c>
      <c r="P370" s="4">
        <f>IF(SUM($O$4:$O$672)=0,0,Косвенные!$C$9*O370/SUM($O$4:$O$672))</f>
        <v/>
      </c>
      <c r="Q370" s="4">
        <f>G370*D370+P370</f>
        <v/>
      </c>
      <c r="R370" s="4">
        <f>IF(D370=0,0,Q370/D370)</f>
        <v/>
      </c>
      <c r="S370" s="4">
        <f>IF(D370=0,0,SUMIF(Материалы!$A$4:$A$800,SUBSTITUTE(SUBSTITUTE(SUBSTITUTE(B370,"~","~~"),"*","~*"),"?","~?"),Материалы!$T$4:$T$800)/D370)</f>
        <v/>
      </c>
      <c r="T370" s="4">
        <f>R370+S370</f>
        <v/>
      </c>
      <c r="U370" s="4">
        <f>I370*D370</f>
        <v/>
      </c>
    </row>
    <row r="371" ht="22" customHeight="1">
      <c r="A371" s="9" t="inlineStr"/>
      <c r="B371" s="13" t="inlineStr">
        <is>
          <t>369. Муфта полипропиленовая комбинированная с внутренней резьбой 32*3/4"</t>
        </is>
      </c>
      <c r="C371" s="9" t="inlineStr">
        <is>
          <t>шт.</t>
        </is>
      </c>
      <c r="D371" s="4">
        <f>IF('Форма'!G369="","",'Форма'!G369)</f>
        <v/>
      </c>
      <c r="E371" s="9" t="inlineStr">
        <is>
          <t>аналог (9.4.37), единица приведена к нормо-часам</t>
        </is>
      </c>
      <c r="F371" s="9" t="inlineStr">
        <is>
          <t>SAN</t>
        </is>
      </c>
      <c r="G371" s="10" t="n">
        <v>627</v>
      </c>
      <c r="H371" s="10" t="n">
        <v>306</v>
      </c>
      <c r="I371" s="10" t="n">
        <v>0.3</v>
      </c>
      <c r="J371" s="9" t="inlineStr"/>
      <c r="K371" s="7">
        <f>IF(F371="",0,IFERROR(VLOOKUP(F371,Расходники!$A$4:$B$23,2,FALSE),0))</f>
        <v/>
      </c>
      <c r="L371" s="4">
        <f>H371*D371</f>
        <v/>
      </c>
      <c r="M371" s="4">
        <f>L371*K371</f>
        <v/>
      </c>
      <c r="N371" s="4">
        <f>SUMIF(Материалы!$A$4:$A$800,SUBSTITUTE(SUBSTITUTE(SUBSTITUTE(B371,"~","~~"),"*","~*"),"?","~?"),Материалы!$S$4:$S$800)</f>
        <v/>
      </c>
      <c r="O371" s="4">
        <f>L371+M371+N371</f>
        <v/>
      </c>
      <c r="P371" s="4">
        <f>IF(SUM($O$4:$O$672)=0,0,Косвенные!$C$9*O371/SUM($O$4:$O$672))</f>
        <v/>
      </c>
      <c r="Q371" s="4">
        <f>G371*D371+P371</f>
        <v/>
      </c>
      <c r="R371" s="4">
        <f>IF(D371=0,0,Q371/D371)</f>
        <v/>
      </c>
      <c r="S371" s="4">
        <f>IF(D371=0,0,SUMIF(Материалы!$A$4:$A$800,SUBSTITUTE(SUBSTITUTE(SUBSTITUTE(B371,"~","~~"),"*","~*"),"?","~?"),Материалы!$T$4:$T$800)/D371)</f>
        <v/>
      </c>
      <c r="T371" s="4">
        <f>R371+S371</f>
        <v/>
      </c>
      <c r="U371" s="4">
        <f>I371*D371</f>
        <v/>
      </c>
    </row>
    <row r="372" ht="22" customHeight="1">
      <c r="A372" s="9" t="inlineStr"/>
      <c r="B372" s="13" t="inlineStr">
        <is>
          <t>370. Муфта полипропиленовая комбинированная с внутренней резьбой 32*1"</t>
        </is>
      </c>
      <c r="C372" s="9" t="inlineStr">
        <is>
          <t>шт.</t>
        </is>
      </c>
      <c r="D372" s="4">
        <f>IF('Форма'!G370="","",'Форма'!G370)</f>
        <v/>
      </c>
      <c r="E372" s="9" t="inlineStr">
        <is>
          <t>аналог (9.4.37), единица приведена к нормо-часам</t>
        </is>
      </c>
      <c r="F372" s="9" t="inlineStr">
        <is>
          <t>SAN</t>
        </is>
      </c>
      <c r="G372" s="10" t="n">
        <v>627</v>
      </c>
      <c r="H372" s="10" t="n">
        <v>306</v>
      </c>
      <c r="I372" s="10" t="n">
        <v>0.3</v>
      </c>
      <c r="J372" s="9" t="inlineStr"/>
      <c r="K372" s="7">
        <f>IF(F372="",0,IFERROR(VLOOKUP(F372,Расходники!$A$4:$B$23,2,FALSE),0))</f>
        <v/>
      </c>
      <c r="L372" s="4">
        <f>H372*D372</f>
        <v/>
      </c>
      <c r="M372" s="4">
        <f>L372*K372</f>
        <v/>
      </c>
      <c r="N372" s="4">
        <f>SUMIF(Материалы!$A$4:$A$800,SUBSTITUTE(SUBSTITUTE(SUBSTITUTE(B372,"~","~~"),"*","~*"),"?","~?"),Материалы!$S$4:$S$800)</f>
        <v/>
      </c>
      <c r="O372" s="4">
        <f>L372+M372+N372</f>
        <v/>
      </c>
      <c r="P372" s="4">
        <f>IF(SUM($O$4:$O$672)=0,0,Косвенные!$C$9*O372/SUM($O$4:$O$672))</f>
        <v/>
      </c>
      <c r="Q372" s="4">
        <f>G372*D372+P372</f>
        <v/>
      </c>
      <c r="R372" s="4">
        <f>IF(D372=0,0,Q372/D372)</f>
        <v/>
      </c>
      <c r="S372" s="4">
        <f>IF(D372=0,0,SUMIF(Материалы!$A$4:$A$800,SUBSTITUTE(SUBSTITUTE(SUBSTITUTE(B372,"~","~~"),"*","~*"),"?","~?"),Материалы!$T$4:$T$800)/D372)</f>
        <v/>
      </c>
      <c r="T372" s="4">
        <f>R372+S372</f>
        <v/>
      </c>
      <c r="U372" s="4">
        <f>I372*D372</f>
        <v/>
      </c>
    </row>
    <row r="373" ht="22" customHeight="1">
      <c r="A373" s="9" t="inlineStr"/>
      <c r="B373" s="13" t="inlineStr">
        <is>
          <t>371. Муфта полипропиленовая комбинированная с наружной резьбой 20*1/2"</t>
        </is>
      </c>
      <c r="C373" s="9" t="inlineStr">
        <is>
          <t>шт.</t>
        </is>
      </c>
      <c r="D373" s="4">
        <f>IF('Форма'!G371="","",'Форма'!G371)</f>
        <v/>
      </c>
      <c r="E373" s="9" t="inlineStr">
        <is>
          <t>аналог (9.4.35), единица приведена к нормо-часам</t>
        </is>
      </c>
      <c r="F373" s="9" t="inlineStr">
        <is>
          <t>SAN</t>
        </is>
      </c>
      <c r="G373" s="10" t="n">
        <v>522.5</v>
      </c>
      <c r="H373" s="10" t="n">
        <v>255</v>
      </c>
      <c r="I373" s="10" t="n">
        <v>0.25</v>
      </c>
      <c r="J373" s="9" t="inlineStr"/>
      <c r="K373" s="7">
        <f>IF(F373="",0,IFERROR(VLOOKUP(F373,Расходники!$A$4:$B$23,2,FALSE),0))</f>
        <v/>
      </c>
      <c r="L373" s="4">
        <f>H373*D373</f>
        <v/>
      </c>
      <c r="M373" s="4">
        <f>L373*K373</f>
        <v/>
      </c>
      <c r="N373" s="4">
        <f>SUMIF(Материалы!$A$4:$A$800,SUBSTITUTE(SUBSTITUTE(SUBSTITUTE(B373,"~","~~"),"*","~*"),"?","~?"),Материалы!$S$4:$S$800)</f>
        <v/>
      </c>
      <c r="O373" s="4">
        <f>L373+M373+N373</f>
        <v/>
      </c>
      <c r="P373" s="4">
        <f>IF(SUM($O$4:$O$672)=0,0,Косвенные!$C$9*O373/SUM($O$4:$O$672))</f>
        <v/>
      </c>
      <c r="Q373" s="4">
        <f>G373*D373+P373</f>
        <v/>
      </c>
      <c r="R373" s="4">
        <f>IF(D373=0,0,Q373/D373)</f>
        <v/>
      </c>
      <c r="S373" s="4">
        <f>IF(D373=0,0,SUMIF(Материалы!$A$4:$A$800,SUBSTITUTE(SUBSTITUTE(SUBSTITUTE(B373,"~","~~"),"*","~*"),"?","~?"),Материалы!$T$4:$T$800)/D373)</f>
        <v/>
      </c>
      <c r="T373" s="4">
        <f>R373+S373</f>
        <v/>
      </c>
      <c r="U373" s="4">
        <f>I373*D373</f>
        <v/>
      </c>
    </row>
    <row r="374" ht="22" customHeight="1">
      <c r="A374" s="9" t="inlineStr"/>
      <c r="B374" s="13" t="inlineStr">
        <is>
          <t>372. Муфта полипропиленовая комбинированная с наружной резьбой 20*3/4"</t>
        </is>
      </c>
      <c r="C374" s="9" t="inlineStr">
        <is>
          <t>шт.</t>
        </is>
      </c>
      <c r="D374" s="4">
        <f>IF('Форма'!G372="","",'Форма'!G372)</f>
        <v/>
      </c>
      <c r="E374" s="9" t="inlineStr">
        <is>
          <t>аналог (9.4.35), единица приведена к нормо-часам</t>
        </is>
      </c>
      <c r="F374" s="9" t="inlineStr">
        <is>
          <t>SAN</t>
        </is>
      </c>
      <c r="G374" s="10" t="n">
        <v>522.5</v>
      </c>
      <c r="H374" s="10" t="n">
        <v>255</v>
      </c>
      <c r="I374" s="10" t="n">
        <v>0.25</v>
      </c>
      <c r="J374" s="9" t="inlineStr"/>
      <c r="K374" s="7">
        <f>IF(F374="",0,IFERROR(VLOOKUP(F374,Расходники!$A$4:$B$23,2,FALSE),0))</f>
        <v/>
      </c>
      <c r="L374" s="4">
        <f>H374*D374</f>
        <v/>
      </c>
      <c r="M374" s="4">
        <f>L374*K374</f>
        <v/>
      </c>
      <c r="N374" s="4">
        <f>SUMIF(Материалы!$A$4:$A$800,SUBSTITUTE(SUBSTITUTE(SUBSTITUTE(B374,"~","~~"),"*","~*"),"?","~?"),Материалы!$S$4:$S$800)</f>
        <v/>
      </c>
      <c r="O374" s="4">
        <f>L374+M374+N374</f>
        <v/>
      </c>
      <c r="P374" s="4">
        <f>IF(SUM($O$4:$O$672)=0,0,Косвенные!$C$9*O374/SUM($O$4:$O$672))</f>
        <v/>
      </c>
      <c r="Q374" s="4">
        <f>G374*D374+P374</f>
        <v/>
      </c>
      <c r="R374" s="4">
        <f>IF(D374=0,0,Q374/D374)</f>
        <v/>
      </c>
      <c r="S374" s="4">
        <f>IF(D374=0,0,SUMIF(Материалы!$A$4:$A$800,SUBSTITUTE(SUBSTITUTE(SUBSTITUTE(B374,"~","~~"),"*","~*"),"?","~?"),Материалы!$T$4:$T$800)/D374)</f>
        <v/>
      </c>
      <c r="T374" s="4">
        <f>R374+S374</f>
        <v/>
      </c>
      <c r="U374" s="4">
        <f>I374*D374</f>
        <v/>
      </c>
    </row>
    <row r="375" ht="22" customHeight="1">
      <c r="A375" s="9" t="inlineStr"/>
      <c r="B375" s="13" t="inlineStr">
        <is>
          <t>373. Муфта полипропиленовая комбинированная с наружной резьбой 25*1/2"</t>
        </is>
      </c>
      <c r="C375" s="9" t="inlineStr">
        <is>
          <t>шт.</t>
        </is>
      </c>
      <c r="D375" s="4">
        <f>IF('Форма'!G373="","",'Форма'!G373)</f>
        <v/>
      </c>
      <c r="E375" s="9" t="inlineStr">
        <is>
          <t>аналог (9.4.36), единица приведена к нормо-часам</t>
        </is>
      </c>
      <c r="F375" s="9" t="inlineStr">
        <is>
          <t>SAN</t>
        </is>
      </c>
      <c r="G375" s="10" t="n">
        <v>564.3</v>
      </c>
      <c r="H375" s="10" t="n">
        <v>275.4</v>
      </c>
      <c r="I375" s="10" t="n">
        <v>0.27</v>
      </c>
      <c r="J375" s="9" t="inlineStr"/>
      <c r="K375" s="7">
        <f>IF(F375="",0,IFERROR(VLOOKUP(F375,Расходники!$A$4:$B$23,2,FALSE),0))</f>
        <v/>
      </c>
      <c r="L375" s="4">
        <f>H375*D375</f>
        <v/>
      </c>
      <c r="M375" s="4">
        <f>L375*K375</f>
        <v/>
      </c>
      <c r="N375" s="4">
        <f>SUMIF(Материалы!$A$4:$A$800,SUBSTITUTE(SUBSTITUTE(SUBSTITUTE(B375,"~","~~"),"*","~*"),"?","~?"),Материалы!$S$4:$S$800)</f>
        <v/>
      </c>
      <c r="O375" s="4">
        <f>L375+M375+N375</f>
        <v/>
      </c>
      <c r="P375" s="4">
        <f>IF(SUM($O$4:$O$672)=0,0,Косвенные!$C$9*O375/SUM($O$4:$O$672))</f>
        <v/>
      </c>
      <c r="Q375" s="4">
        <f>G375*D375+P375</f>
        <v/>
      </c>
      <c r="R375" s="4">
        <f>IF(D375=0,0,Q375/D375)</f>
        <v/>
      </c>
      <c r="S375" s="4">
        <f>IF(D375=0,0,SUMIF(Материалы!$A$4:$A$800,SUBSTITUTE(SUBSTITUTE(SUBSTITUTE(B375,"~","~~"),"*","~*"),"?","~?"),Материалы!$T$4:$T$800)/D375)</f>
        <v/>
      </c>
      <c r="T375" s="4">
        <f>R375+S375</f>
        <v/>
      </c>
      <c r="U375" s="4">
        <f>I375*D375</f>
        <v/>
      </c>
    </row>
    <row r="376" ht="22" customHeight="1">
      <c r="A376" s="9" t="inlineStr"/>
      <c r="B376" s="13" t="inlineStr">
        <is>
          <t>374. Муфта полипропиленовая комбинированная с наружной резьбой 25*3/4"</t>
        </is>
      </c>
      <c r="C376" s="9" t="inlineStr">
        <is>
          <t>шт.</t>
        </is>
      </c>
      <c r="D376" s="4">
        <f>IF('Форма'!G374="","",'Форма'!G374)</f>
        <v/>
      </c>
      <c r="E376" s="9" t="inlineStr">
        <is>
          <t>аналог (9.4.36), единица приведена к нормо-часам</t>
        </is>
      </c>
      <c r="F376" s="9" t="inlineStr">
        <is>
          <t>SAN</t>
        </is>
      </c>
      <c r="G376" s="10" t="n">
        <v>564.3</v>
      </c>
      <c r="H376" s="10" t="n">
        <v>275.4</v>
      </c>
      <c r="I376" s="10" t="n">
        <v>0.27</v>
      </c>
      <c r="J376" s="9" t="inlineStr"/>
      <c r="K376" s="7">
        <f>IF(F376="",0,IFERROR(VLOOKUP(F376,Расходники!$A$4:$B$23,2,FALSE),0))</f>
        <v/>
      </c>
      <c r="L376" s="4">
        <f>H376*D376</f>
        <v/>
      </c>
      <c r="M376" s="4">
        <f>L376*K376</f>
        <v/>
      </c>
      <c r="N376" s="4">
        <f>SUMIF(Материалы!$A$4:$A$800,SUBSTITUTE(SUBSTITUTE(SUBSTITUTE(B376,"~","~~"),"*","~*"),"?","~?"),Материалы!$S$4:$S$800)</f>
        <v/>
      </c>
      <c r="O376" s="4">
        <f>L376+M376+N376</f>
        <v/>
      </c>
      <c r="P376" s="4">
        <f>IF(SUM($O$4:$O$672)=0,0,Косвенные!$C$9*O376/SUM($O$4:$O$672))</f>
        <v/>
      </c>
      <c r="Q376" s="4">
        <f>G376*D376+P376</f>
        <v/>
      </c>
      <c r="R376" s="4">
        <f>IF(D376=0,0,Q376/D376)</f>
        <v/>
      </c>
      <c r="S376" s="4">
        <f>IF(D376=0,0,SUMIF(Материалы!$A$4:$A$800,SUBSTITUTE(SUBSTITUTE(SUBSTITUTE(B376,"~","~~"),"*","~*"),"?","~?"),Материалы!$T$4:$T$800)/D376)</f>
        <v/>
      </c>
      <c r="T376" s="4">
        <f>R376+S376</f>
        <v/>
      </c>
      <c r="U376" s="4">
        <f>I376*D376</f>
        <v/>
      </c>
    </row>
    <row r="377" ht="22" customHeight="1">
      <c r="A377" s="9" t="inlineStr"/>
      <c r="B377" s="13" t="inlineStr">
        <is>
          <t>375. Муфта полипропиленовая комбинированная с наружной резьбой 32*3/4"</t>
        </is>
      </c>
      <c r="C377" s="9" t="inlineStr">
        <is>
          <t>шт.</t>
        </is>
      </c>
      <c r="D377" s="4">
        <f>IF('Форма'!G375="","",'Форма'!G375)</f>
        <v/>
      </c>
      <c r="E377" s="9" t="inlineStr">
        <is>
          <t>аналог (9.4.37), единица приведена к нормо-часам</t>
        </is>
      </c>
      <c r="F377" s="9" t="inlineStr">
        <is>
          <t>SAN</t>
        </is>
      </c>
      <c r="G377" s="10" t="n">
        <v>627</v>
      </c>
      <c r="H377" s="10" t="n">
        <v>306</v>
      </c>
      <c r="I377" s="10" t="n">
        <v>0.3</v>
      </c>
      <c r="J377" s="9" t="inlineStr"/>
      <c r="K377" s="7">
        <f>IF(F377="",0,IFERROR(VLOOKUP(F377,Расходники!$A$4:$B$23,2,FALSE),0))</f>
        <v/>
      </c>
      <c r="L377" s="4">
        <f>H377*D377</f>
        <v/>
      </c>
      <c r="M377" s="4">
        <f>L377*K377</f>
        <v/>
      </c>
      <c r="N377" s="4">
        <f>SUMIF(Материалы!$A$4:$A$800,SUBSTITUTE(SUBSTITUTE(SUBSTITUTE(B377,"~","~~"),"*","~*"),"?","~?"),Материалы!$S$4:$S$800)</f>
        <v/>
      </c>
      <c r="O377" s="4">
        <f>L377+M377+N377</f>
        <v/>
      </c>
      <c r="P377" s="4">
        <f>IF(SUM($O$4:$O$672)=0,0,Косвенные!$C$9*O377/SUM($O$4:$O$672))</f>
        <v/>
      </c>
      <c r="Q377" s="4">
        <f>G377*D377+P377</f>
        <v/>
      </c>
      <c r="R377" s="4">
        <f>IF(D377=0,0,Q377/D377)</f>
        <v/>
      </c>
      <c r="S377" s="4">
        <f>IF(D377=0,0,SUMIF(Материалы!$A$4:$A$800,SUBSTITUTE(SUBSTITUTE(SUBSTITUTE(B377,"~","~~"),"*","~*"),"?","~?"),Материалы!$T$4:$T$800)/D377)</f>
        <v/>
      </c>
      <c r="T377" s="4">
        <f>R377+S377</f>
        <v/>
      </c>
      <c r="U377" s="4">
        <f>I377*D377</f>
        <v/>
      </c>
    </row>
    <row r="378" ht="22" customHeight="1">
      <c r="A378" s="9" t="inlineStr"/>
      <c r="B378" s="13" t="inlineStr">
        <is>
          <t>376. Муфта полипропиленовая комбинированная с наружной резьбой 32*1"</t>
        </is>
      </c>
      <c r="C378" s="9" t="inlineStr">
        <is>
          <t>шт.</t>
        </is>
      </c>
      <c r="D378" s="4">
        <f>IF('Форма'!G376="","",'Форма'!G376)</f>
        <v/>
      </c>
      <c r="E378" s="9" t="inlineStr">
        <is>
          <t>аналог (9.4.37), единица приведена к нормо-часам</t>
        </is>
      </c>
      <c r="F378" s="9" t="inlineStr">
        <is>
          <t>SAN</t>
        </is>
      </c>
      <c r="G378" s="10" t="n">
        <v>627</v>
      </c>
      <c r="H378" s="10" t="n">
        <v>306</v>
      </c>
      <c r="I378" s="10" t="n">
        <v>0.3</v>
      </c>
      <c r="J378" s="9" t="inlineStr"/>
      <c r="K378" s="7">
        <f>IF(F378="",0,IFERROR(VLOOKUP(F378,Расходники!$A$4:$B$23,2,FALSE),0))</f>
        <v/>
      </c>
      <c r="L378" s="4">
        <f>H378*D378</f>
        <v/>
      </c>
      <c r="M378" s="4">
        <f>L378*K378</f>
        <v/>
      </c>
      <c r="N378" s="4">
        <f>SUMIF(Материалы!$A$4:$A$800,SUBSTITUTE(SUBSTITUTE(SUBSTITUTE(B378,"~","~~"),"*","~*"),"?","~?"),Материалы!$S$4:$S$800)</f>
        <v/>
      </c>
      <c r="O378" s="4">
        <f>L378+M378+N378</f>
        <v/>
      </c>
      <c r="P378" s="4">
        <f>IF(SUM($O$4:$O$672)=0,0,Косвенные!$C$9*O378/SUM($O$4:$O$672))</f>
        <v/>
      </c>
      <c r="Q378" s="4">
        <f>G378*D378+P378</f>
        <v/>
      </c>
      <c r="R378" s="4">
        <f>IF(D378=0,0,Q378/D378)</f>
        <v/>
      </c>
      <c r="S378" s="4">
        <f>IF(D378=0,0,SUMIF(Материалы!$A$4:$A$800,SUBSTITUTE(SUBSTITUTE(SUBSTITUTE(B378,"~","~~"),"*","~*"),"?","~?"),Материалы!$T$4:$T$800)/D378)</f>
        <v/>
      </c>
      <c r="T378" s="4">
        <f>R378+S378</f>
        <v/>
      </c>
      <c r="U378" s="4">
        <f>I378*D378</f>
        <v/>
      </c>
    </row>
    <row r="379" ht="22" customHeight="1">
      <c r="A379" s="9" t="inlineStr"/>
      <c r="B379" s="13" t="inlineStr">
        <is>
          <t>377. Муфта полипропиленовая с накидной гайкой20*1/2"</t>
        </is>
      </c>
      <c r="C379" s="9" t="inlineStr">
        <is>
          <t>шт.</t>
        </is>
      </c>
      <c r="D379" s="4">
        <f>IF('Форма'!G377="","",'Форма'!G377)</f>
        <v/>
      </c>
      <c r="E379" s="9" t="inlineStr">
        <is>
          <t>аналог (9.4.35), единица приведена к нормо-часам</t>
        </is>
      </c>
      <c r="F379" s="9" t="inlineStr">
        <is>
          <t>SAN</t>
        </is>
      </c>
      <c r="G379" s="10" t="n">
        <v>522.5</v>
      </c>
      <c r="H379" s="10" t="n">
        <v>255</v>
      </c>
      <c r="I379" s="10" t="n">
        <v>0.25</v>
      </c>
      <c r="J379" s="9" t="inlineStr"/>
      <c r="K379" s="7">
        <f>IF(F379="",0,IFERROR(VLOOKUP(F379,Расходники!$A$4:$B$23,2,FALSE),0))</f>
        <v/>
      </c>
      <c r="L379" s="4">
        <f>H379*D379</f>
        <v/>
      </c>
      <c r="M379" s="4">
        <f>L379*K379</f>
        <v/>
      </c>
      <c r="N379" s="4">
        <f>SUMIF(Материалы!$A$4:$A$800,SUBSTITUTE(SUBSTITUTE(SUBSTITUTE(B379,"~","~~"),"*","~*"),"?","~?"),Материалы!$S$4:$S$800)</f>
        <v/>
      </c>
      <c r="O379" s="4">
        <f>L379+M379+N379</f>
        <v/>
      </c>
      <c r="P379" s="4">
        <f>IF(SUM($O$4:$O$672)=0,0,Косвенные!$C$9*O379/SUM($O$4:$O$672))</f>
        <v/>
      </c>
      <c r="Q379" s="4">
        <f>G379*D379+P379</f>
        <v/>
      </c>
      <c r="R379" s="4">
        <f>IF(D379=0,0,Q379/D379)</f>
        <v/>
      </c>
      <c r="S379" s="4">
        <f>IF(D379=0,0,SUMIF(Материалы!$A$4:$A$800,SUBSTITUTE(SUBSTITUTE(SUBSTITUTE(B379,"~","~~"),"*","~*"),"?","~?"),Материалы!$T$4:$T$800)/D379)</f>
        <v/>
      </c>
      <c r="T379" s="4">
        <f>R379+S379</f>
        <v/>
      </c>
      <c r="U379" s="4">
        <f>I379*D379</f>
        <v/>
      </c>
    </row>
    <row r="380" ht="22" customHeight="1">
      <c r="A380" s="9" t="inlineStr"/>
      <c r="B380" s="13" t="inlineStr">
        <is>
          <t>378. Муфта полипропиленовая с накидной гайкой 20*3/4"</t>
        </is>
      </c>
      <c r="C380" s="9" t="inlineStr">
        <is>
          <t>шт.</t>
        </is>
      </c>
      <c r="D380" s="4">
        <f>IF('Форма'!G378="","",'Форма'!G378)</f>
        <v/>
      </c>
      <c r="E380" s="9" t="inlineStr">
        <is>
          <t>аналог (9.4.35), единица приведена к нормо-часам</t>
        </is>
      </c>
      <c r="F380" s="9" t="inlineStr">
        <is>
          <t>SAN</t>
        </is>
      </c>
      <c r="G380" s="10" t="n">
        <v>522.5</v>
      </c>
      <c r="H380" s="10" t="n">
        <v>255</v>
      </c>
      <c r="I380" s="10" t="n">
        <v>0.25</v>
      </c>
      <c r="J380" s="9" t="inlineStr"/>
      <c r="K380" s="7">
        <f>IF(F380="",0,IFERROR(VLOOKUP(F380,Расходники!$A$4:$B$23,2,FALSE),0))</f>
        <v/>
      </c>
      <c r="L380" s="4">
        <f>H380*D380</f>
        <v/>
      </c>
      <c r="M380" s="4">
        <f>L380*K380</f>
        <v/>
      </c>
      <c r="N380" s="4">
        <f>SUMIF(Материалы!$A$4:$A$800,SUBSTITUTE(SUBSTITUTE(SUBSTITUTE(B380,"~","~~"),"*","~*"),"?","~?"),Материалы!$S$4:$S$800)</f>
        <v/>
      </c>
      <c r="O380" s="4">
        <f>L380+M380+N380</f>
        <v/>
      </c>
      <c r="P380" s="4">
        <f>IF(SUM($O$4:$O$672)=0,0,Косвенные!$C$9*O380/SUM($O$4:$O$672))</f>
        <v/>
      </c>
      <c r="Q380" s="4">
        <f>G380*D380+P380</f>
        <v/>
      </c>
      <c r="R380" s="4">
        <f>IF(D380=0,0,Q380/D380)</f>
        <v/>
      </c>
      <c r="S380" s="4">
        <f>IF(D380=0,0,SUMIF(Материалы!$A$4:$A$800,SUBSTITUTE(SUBSTITUTE(SUBSTITUTE(B380,"~","~~"),"*","~*"),"?","~?"),Материалы!$T$4:$T$800)/D380)</f>
        <v/>
      </c>
      <c r="T380" s="4">
        <f>R380+S380</f>
        <v/>
      </c>
      <c r="U380" s="4">
        <f>I380*D380</f>
        <v/>
      </c>
    </row>
    <row r="381" ht="22" customHeight="1">
      <c r="A381" s="9" t="inlineStr"/>
      <c r="B381" s="13" t="inlineStr">
        <is>
          <t>379. Муфта полипропиленовая с накидной гайкой 25*3/4"</t>
        </is>
      </c>
      <c r="C381" s="9" t="inlineStr">
        <is>
          <t>шт.</t>
        </is>
      </c>
      <c r="D381" s="4">
        <f>IF('Форма'!G379="","",'Форма'!G379)</f>
        <v/>
      </c>
      <c r="E381" s="9" t="inlineStr">
        <is>
          <t>аналог (9.4.36), единица приведена к нормо-часам</t>
        </is>
      </c>
      <c r="F381" s="9" t="inlineStr">
        <is>
          <t>SAN</t>
        </is>
      </c>
      <c r="G381" s="10" t="n">
        <v>564.3</v>
      </c>
      <c r="H381" s="10" t="n">
        <v>275.4</v>
      </c>
      <c r="I381" s="10" t="n">
        <v>0.27</v>
      </c>
      <c r="J381" s="9" t="inlineStr"/>
      <c r="K381" s="7">
        <f>IF(F381="",0,IFERROR(VLOOKUP(F381,Расходники!$A$4:$B$23,2,FALSE),0))</f>
        <v/>
      </c>
      <c r="L381" s="4">
        <f>H381*D381</f>
        <v/>
      </c>
      <c r="M381" s="4">
        <f>L381*K381</f>
        <v/>
      </c>
      <c r="N381" s="4">
        <f>SUMIF(Материалы!$A$4:$A$800,SUBSTITUTE(SUBSTITUTE(SUBSTITUTE(B381,"~","~~"),"*","~*"),"?","~?"),Материалы!$S$4:$S$800)</f>
        <v/>
      </c>
      <c r="O381" s="4">
        <f>L381+M381+N381</f>
        <v/>
      </c>
      <c r="P381" s="4">
        <f>IF(SUM($O$4:$O$672)=0,0,Косвенные!$C$9*O381/SUM($O$4:$O$672))</f>
        <v/>
      </c>
      <c r="Q381" s="4">
        <f>G381*D381+P381</f>
        <v/>
      </c>
      <c r="R381" s="4">
        <f>IF(D381=0,0,Q381/D381)</f>
        <v/>
      </c>
      <c r="S381" s="4">
        <f>IF(D381=0,0,SUMIF(Материалы!$A$4:$A$800,SUBSTITUTE(SUBSTITUTE(SUBSTITUTE(B381,"~","~~"),"*","~*"),"?","~?"),Материалы!$T$4:$T$800)/D381)</f>
        <v/>
      </c>
      <c r="T381" s="4">
        <f>R381+S381</f>
        <v/>
      </c>
      <c r="U381" s="4">
        <f>I381*D381</f>
        <v/>
      </c>
    </row>
    <row r="382" ht="22" customHeight="1">
      <c r="A382" s="9" t="inlineStr"/>
      <c r="B382" s="13" t="inlineStr">
        <is>
          <t>380. Муфта полипропиленовая с накидной гайкой 25*1"</t>
        </is>
      </c>
      <c r="C382" s="9" t="inlineStr">
        <is>
          <t>шт.</t>
        </is>
      </c>
      <c r="D382" s="4">
        <f>IF('Форма'!G380="","",'Форма'!G380)</f>
        <v/>
      </c>
      <c r="E382" s="9" t="inlineStr">
        <is>
          <t>аналог (9.4.36), единица приведена к нормо-часам</t>
        </is>
      </c>
      <c r="F382" s="9" t="inlineStr">
        <is>
          <t>SAN</t>
        </is>
      </c>
      <c r="G382" s="10" t="n">
        <v>564.3</v>
      </c>
      <c r="H382" s="10" t="n">
        <v>275.4</v>
      </c>
      <c r="I382" s="10" t="n">
        <v>0.27</v>
      </c>
      <c r="J382" s="9" t="inlineStr"/>
      <c r="K382" s="7">
        <f>IF(F382="",0,IFERROR(VLOOKUP(F382,Расходники!$A$4:$B$23,2,FALSE),0))</f>
        <v/>
      </c>
      <c r="L382" s="4">
        <f>H382*D382</f>
        <v/>
      </c>
      <c r="M382" s="4">
        <f>L382*K382</f>
        <v/>
      </c>
      <c r="N382" s="4">
        <f>SUMIF(Материалы!$A$4:$A$800,SUBSTITUTE(SUBSTITUTE(SUBSTITUTE(B382,"~","~~"),"*","~*"),"?","~?"),Материалы!$S$4:$S$800)</f>
        <v/>
      </c>
      <c r="O382" s="4">
        <f>L382+M382+N382</f>
        <v/>
      </c>
      <c r="P382" s="4">
        <f>IF(SUM($O$4:$O$672)=0,0,Косвенные!$C$9*O382/SUM($O$4:$O$672))</f>
        <v/>
      </c>
      <c r="Q382" s="4">
        <f>G382*D382+P382</f>
        <v/>
      </c>
      <c r="R382" s="4">
        <f>IF(D382=0,0,Q382/D382)</f>
        <v/>
      </c>
      <c r="S382" s="4">
        <f>IF(D382=0,0,SUMIF(Материалы!$A$4:$A$800,SUBSTITUTE(SUBSTITUTE(SUBSTITUTE(B382,"~","~~"),"*","~*"),"?","~?"),Материалы!$T$4:$T$800)/D382)</f>
        <v/>
      </c>
      <c r="T382" s="4">
        <f>R382+S382</f>
        <v/>
      </c>
      <c r="U382" s="4">
        <f>I382*D382</f>
        <v/>
      </c>
    </row>
    <row r="383" ht="22" customHeight="1">
      <c r="A383" s="9" t="inlineStr"/>
      <c r="B383" s="13" t="inlineStr">
        <is>
          <t>381. Муфта полипропиленовая с накидной гайкой 32*1"</t>
        </is>
      </c>
      <c r="C383" s="9" t="inlineStr">
        <is>
          <t>шт.</t>
        </is>
      </c>
      <c r="D383" s="4">
        <f>IF('Форма'!G381="","",'Форма'!G381)</f>
        <v/>
      </c>
      <c r="E383" s="9" t="inlineStr">
        <is>
          <t>аналог (9.4.37), единица приведена к нормо-часам</t>
        </is>
      </c>
      <c r="F383" s="9" t="inlineStr">
        <is>
          <t>SAN</t>
        </is>
      </c>
      <c r="G383" s="10" t="n">
        <v>627</v>
      </c>
      <c r="H383" s="10" t="n">
        <v>306</v>
      </c>
      <c r="I383" s="10" t="n">
        <v>0.3</v>
      </c>
      <c r="J383" s="9" t="inlineStr"/>
      <c r="K383" s="7">
        <f>IF(F383="",0,IFERROR(VLOOKUP(F383,Расходники!$A$4:$B$23,2,FALSE),0))</f>
        <v/>
      </c>
      <c r="L383" s="4">
        <f>H383*D383</f>
        <v/>
      </c>
      <c r="M383" s="4">
        <f>L383*K383</f>
        <v/>
      </c>
      <c r="N383" s="4">
        <f>SUMIF(Материалы!$A$4:$A$800,SUBSTITUTE(SUBSTITUTE(SUBSTITUTE(B383,"~","~~"),"*","~*"),"?","~?"),Материалы!$S$4:$S$800)</f>
        <v/>
      </c>
      <c r="O383" s="4">
        <f>L383+M383+N383</f>
        <v/>
      </c>
      <c r="P383" s="4">
        <f>IF(SUM($O$4:$O$672)=0,0,Косвенные!$C$9*O383/SUM($O$4:$O$672))</f>
        <v/>
      </c>
      <c r="Q383" s="4">
        <f>G383*D383+P383</f>
        <v/>
      </c>
      <c r="R383" s="4">
        <f>IF(D383=0,0,Q383/D383)</f>
        <v/>
      </c>
      <c r="S383" s="4">
        <f>IF(D383=0,0,SUMIF(Материалы!$A$4:$A$800,SUBSTITUTE(SUBSTITUTE(SUBSTITUTE(B383,"~","~~"),"*","~*"),"?","~?"),Материалы!$T$4:$T$800)/D383)</f>
        <v/>
      </c>
      <c r="T383" s="4">
        <f>R383+S383</f>
        <v/>
      </c>
      <c r="U383" s="4">
        <f>I383*D383</f>
        <v/>
      </c>
    </row>
    <row r="384" ht="22" customHeight="1">
      <c r="A384" s="9" t="inlineStr"/>
      <c r="B384" s="13" t="inlineStr">
        <is>
          <t>382. Муфта переходник МП 32x26</t>
        </is>
      </c>
      <c r="C384" s="9" t="inlineStr">
        <is>
          <t>шт.</t>
        </is>
      </c>
      <c r="D384" s="4">
        <f>IF('Форма'!G382="","",'Форма'!G382)</f>
        <v/>
      </c>
      <c r="E384" s="9" t="inlineStr">
        <is>
          <t>нет в тарификаторе</t>
        </is>
      </c>
      <c r="F384" s="9" t="inlineStr">
        <is>
          <t>SAN</t>
        </is>
      </c>
      <c r="G384" s="10" t="n">
        <v>731.5</v>
      </c>
      <c r="H384" s="10" t="n">
        <v>357</v>
      </c>
      <c r="I384" s="10" t="n">
        <v>0.35</v>
      </c>
      <c r="J384" s="9" t="inlineStr"/>
      <c r="K384" s="7">
        <f>IF(F384="",0,IFERROR(VLOOKUP(F384,Расходники!$A$4:$B$23,2,FALSE),0))</f>
        <v/>
      </c>
      <c r="L384" s="4">
        <f>H384*D384</f>
        <v/>
      </c>
      <c r="M384" s="4">
        <f>L384*K384</f>
        <v/>
      </c>
      <c r="N384" s="4">
        <f>SUMIF(Материалы!$A$4:$A$800,SUBSTITUTE(SUBSTITUTE(SUBSTITUTE(B384,"~","~~"),"*","~*"),"?","~?"),Материалы!$S$4:$S$800)</f>
        <v/>
      </c>
      <c r="O384" s="4">
        <f>L384+M384+N384</f>
        <v/>
      </c>
      <c r="P384" s="4">
        <f>IF(SUM($O$4:$O$672)=0,0,Косвенные!$C$9*O384/SUM($O$4:$O$672))</f>
        <v/>
      </c>
      <c r="Q384" s="4">
        <f>G384*D384+P384</f>
        <v/>
      </c>
      <c r="R384" s="4">
        <f>IF(D384=0,0,Q384/D384)</f>
        <v/>
      </c>
      <c r="S384" s="4">
        <f>IF(D384=0,0,SUMIF(Материалы!$A$4:$A$800,SUBSTITUTE(SUBSTITUTE(SUBSTITUTE(B384,"~","~~"),"*","~*"),"?","~?"),Материалы!$T$4:$T$800)/D384)</f>
        <v/>
      </c>
      <c r="T384" s="4">
        <f>R384+S384</f>
        <v/>
      </c>
      <c r="U384" s="4">
        <f>I384*D384</f>
        <v/>
      </c>
    </row>
    <row r="385" ht="22" customHeight="1">
      <c r="A385" s="9" t="inlineStr"/>
      <c r="B385" s="13" t="inlineStr">
        <is>
          <t>383. Уголки МП d16</t>
        </is>
      </c>
      <c r="C385" s="9" t="inlineStr">
        <is>
          <t>шт.</t>
        </is>
      </c>
      <c r="D385" s="4">
        <f>IF('Форма'!G383="","",'Форма'!G383)</f>
        <v/>
      </c>
      <c r="E385" s="9" t="inlineStr">
        <is>
          <t>нет в тарификаторе</t>
        </is>
      </c>
      <c r="F385" s="9" t="inlineStr">
        <is>
          <t>SAN</t>
        </is>
      </c>
      <c r="G385" s="10" t="n">
        <v>731.5</v>
      </c>
      <c r="H385" s="10" t="n">
        <v>357</v>
      </c>
      <c r="I385" s="10" t="n">
        <v>0.35</v>
      </c>
      <c r="J385" s="9" t="inlineStr"/>
      <c r="K385" s="7">
        <f>IF(F385="",0,IFERROR(VLOOKUP(F385,Расходники!$A$4:$B$23,2,FALSE),0))</f>
        <v/>
      </c>
      <c r="L385" s="4">
        <f>H385*D385</f>
        <v/>
      </c>
      <c r="M385" s="4">
        <f>L385*K385</f>
        <v/>
      </c>
      <c r="N385" s="4">
        <f>SUMIF(Материалы!$A$4:$A$800,SUBSTITUTE(SUBSTITUTE(SUBSTITUTE(B385,"~","~~"),"*","~*"),"?","~?"),Материалы!$S$4:$S$800)</f>
        <v/>
      </c>
      <c r="O385" s="4">
        <f>L385+M385+N385</f>
        <v/>
      </c>
      <c r="P385" s="4">
        <f>IF(SUM($O$4:$O$672)=0,0,Косвенные!$C$9*O385/SUM($O$4:$O$672))</f>
        <v/>
      </c>
      <c r="Q385" s="4">
        <f>G385*D385+P385</f>
        <v/>
      </c>
      <c r="R385" s="4">
        <f>IF(D385=0,0,Q385/D385)</f>
        <v/>
      </c>
      <c r="S385" s="4">
        <f>IF(D385=0,0,SUMIF(Материалы!$A$4:$A$800,SUBSTITUTE(SUBSTITUTE(SUBSTITUTE(B385,"~","~~"),"*","~*"),"?","~?"),Материалы!$T$4:$T$800)/D385)</f>
        <v/>
      </c>
      <c r="T385" s="4">
        <f>R385+S385</f>
        <v/>
      </c>
      <c r="U385" s="4">
        <f>I385*D385</f>
        <v/>
      </c>
    </row>
    <row r="386" ht="22" customHeight="1">
      <c r="A386" s="9" t="inlineStr"/>
      <c r="B386" s="13" t="inlineStr">
        <is>
          <t>384. Уголки МП d20</t>
        </is>
      </c>
      <c r="C386" s="9" t="inlineStr">
        <is>
          <t>шт.</t>
        </is>
      </c>
      <c r="D386" s="4">
        <f>IF('Форма'!G384="","",'Форма'!G384)</f>
        <v/>
      </c>
      <c r="E386" s="9" t="inlineStr">
        <is>
          <t>нет в тарификаторе</t>
        </is>
      </c>
      <c r="F386" s="9" t="inlineStr">
        <is>
          <t>SAN</t>
        </is>
      </c>
      <c r="G386" s="10" t="n">
        <v>731.5</v>
      </c>
      <c r="H386" s="10" t="n">
        <v>357</v>
      </c>
      <c r="I386" s="10" t="n">
        <v>0.35</v>
      </c>
      <c r="J386" s="9" t="inlineStr"/>
      <c r="K386" s="7">
        <f>IF(F386="",0,IFERROR(VLOOKUP(F386,Расходники!$A$4:$B$23,2,FALSE),0))</f>
        <v/>
      </c>
      <c r="L386" s="4">
        <f>H386*D386</f>
        <v/>
      </c>
      <c r="M386" s="4">
        <f>L386*K386</f>
        <v/>
      </c>
      <c r="N386" s="4">
        <f>SUMIF(Материалы!$A$4:$A$800,SUBSTITUTE(SUBSTITUTE(SUBSTITUTE(B386,"~","~~"),"*","~*"),"?","~?"),Материалы!$S$4:$S$800)</f>
        <v/>
      </c>
      <c r="O386" s="4">
        <f>L386+M386+N386</f>
        <v/>
      </c>
      <c r="P386" s="4">
        <f>IF(SUM($O$4:$O$672)=0,0,Косвенные!$C$9*O386/SUM($O$4:$O$672))</f>
        <v/>
      </c>
      <c r="Q386" s="4">
        <f>G386*D386+P386</f>
        <v/>
      </c>
      <c r="R386" s="4">
        <f>IF(D386=0,0,Q386/D386)</f>
        <v/>
      </c>
      <c r="S386" s="4">
        <f>IF(D386=0,0,SUMIF(Материалы!$A$4:$A$800,SUBSTITUTE(SUBSTITUTE(SUBSTITUTE(B386,"~","~~"),"*","~*"),"?","~?"),Материалы!$T$4:$T$800)/D386)</f>
        <v/>
      </c>
      <c r="T386" s="4">
        <f>R386+S386</f>
        <v/>
      </c>
      <c r="U386" s="4">
        <f>I386*D386</f>
        <v/>
      </c>
    </row>
    <row r="387" ht="22" customHeight="1">
      <c r="A387" s="9" t="inlineStr"/>
      <c r="B387" s="13" t="inlineStr">
        <is>
          <t>385. Уголки МП d26</t>
        </is>
      </c>
      <c r="C387" s="9" t="inlineStr">
        <is>
          <t>шт.</t>
        </is>
      </c>
      <c r="D387" s="4">
        <f>IF('Форма'!G385="","",'Форма'!G385)</f>
        <v/>
      </c>
      <c r="E387" s="9" t="inlineStr">
        <is>
          <t>нет в тарификаторе</t>
        </is>
      </c>
      <c r="F387" s="9" t="inlineStr">
        <is>
          <t>SAN</t>
        </is>
      </c>
      <c r="G387" s="10" t="n">
        <v>731.5</v>
      </c>
      <c r="H387" s="10" t="n">
        <v>357</v>
      </c>
      <c r="I387" s="10" t="n">
        <v>0.35</v>
      </c>
      <c r="J387" s="9" t="inlineStr"/>
      <c r="K387" s="7">
        <f>IF(F387="",0,IFERROR(VLOOKUP(F387,Расходники!$A$4:$B$23,2,FALSE),0))</f>
        <v/>
      </c>
      <c r="L387" s="4">
        <f>H387*D387</f>
        <v/>
      </c>
      <c r="M387" s="4">
        <f>L387*K387</f>
        <v/>
      </c>
      <c r="N387" s="4">
        <f>SUMIF(Материалы!$A$4:$A$800,SUBSTITUTE(SUBSTITUTE(SUBSTITUTE(B387,"~","~~"),"*","~*"),"?","~?"),Материалы!$S$4:$S$800)</f>
        <v/>
      </c>
      <c r="O387" s="4">
        <f>L387+M387+N387</f>
        <v/>
      </c>
      <c r="P387" s="4">
        <f>IF(SUM($O$4:$O$672)=0,0,Косвенные!$C$9*O387/SUM($O$4:$O$672))</f>
        <v/>
      </c>
      <c r="Q387" s="4">
        <f>G387*D387+P387</f>
        <v/>
      </c>
      <c r="R387" s="4">
        <f>IF(D387=0,0,Q387/D387)</f>
        <v/>
      </c>
      <c r="S387" s="4">
        <f>IF(D387=0,0,SUMIF(Материалы!$A$4:$A$800,SUBSTITUTE(SUBSTITUTE(SUBSTITUTE(B387,"~","~~"),"*","~*"),"?","~?"),Материалы!$T$4:$T$800)/D387)</f>
        <v/>
      </c>
      <c r="T387" s="4">
        <f>R387+S387</f>
        <v/>
      </c>
      <c r="U387" s="4">
        <f>I387*D387</f>
        <v/>
      </c>
    </row>
    <row r="388" ht="22" customHeight="1">
      <c r="A388" s="9" t="inlineStr"/>
      <c r="B388" s="13" t="inlineStr">
        <is>
          <t>386. Уголки МП d32</t>
        </is>
      </c>
      <c r="C388" s="9" t="inlineStr">
        <is>
          <t>шт.</t>
        </is>
      </c>
      <c r="D388" s="4">
        <f>IF('Форма'!G386="","",'Форма'!G386)</f>
        <v/>
      </c>
      <c r="E388" s="9" t="inlineStr">
        <is>
          <t>нет в тарификаторе</t>
        </is>
      </c>
      <c r="F388" s="9" t="inlineStr">
        <is>
          <t>SAN</t>
        </is>
      </c>
      <c r="G388" s="10" t="n">
        <v>731.5</v>
      </c>
      <c r="H388" s="10" t="n">
        <v>357</v>
      </c>
      <c r="I388" s="10" t="n">
        <v>0.35</v>
      </c>
      <c r="J388" s="9" t="inlineStr"/>
      <c r="K388" s="7">
        <f>IF(F388="",0,IFERROR(VLOOKUP(F388,Расходники!$A$4:$B$23,2,FALSE),0))</f>
        <v/>
      </c>
      <c r="L388" s="4">
        <f>H388*D388</f>
        <v/>
      </c>
      <c r="M388" s="4">
        <f>L388*K388</f>
        <v/>
      </c>
      <c r="N388" s="4">
        <f>SUMIF(Материалы!$A$4:$A$800,SUBSTITUTE(SUBSTITUTE(SUBSTITUTE(B388,"~","~~"),"*","~*"),"?","~?"),Материалы!$S$4:$S$800)</f>
        <v/>
      </c>
      <c r="O388" s="4">
        <f>L388+M388+N388</f>
        <v/>
      </c>
      <c r="P388" s="4">
        <f>IF(SUM($O$4:$O$672)=0,0,Косвенные!$C$9*O388/SUM($O$4:$O$672))</f>
        <v/>
      </c>
      <c r="Q388" s="4">
        <f>G388*D388+P388</f>
        <v/>
      </c>
      <c r="R388" s="4">
        <f>IF(D388=0,0,Q388/D388)</f>
        <v/>
      </c>
      <c r="S388" s="4">
        <f>IF(D388=0,0,SUMIF(Материалы!$A$4:$A$800,SUBSTITUTE(SUBSTITUTE(SUBSTITUTE(B388,"~","~~"),"*","~*"),"?","~?"),Материалы!$T$4:$T$800)/D388)</f>
        <v/>
      </c>
      <c r="T388" s="4">
        <f>R388+S388</f>
        <v/>
      </c>
      <c r="U388" s="4">
        <f>I388*D388</f>
        <v/>
      </c>
    </row>
    <row r="389" ht="22" customHeight="1">
      <c r="A389" s="9" t="inlineStr"/>
      <c r="B389" s="13" t="inlineStr">
        <is>
          <t>387. Уголки МП с наружной резьбой d16</t>
        </is>
      </c>
      <c r="C389" s="9" t="inlineStr">
        <is>
          <t>шт.</t>
        </is>
      </c>
      <c r="D389" s="4">
        <f>IF('Форма'!G387="","",'Форма'!G387)</f>
        <v/>
      </c>
      <c r="E389" s="9" t="inlineStr">
        <is>
          <t>нет в тарификаторе</t>
        </is>
      </c>
      <c r="F389" s="9" t="inlineStr">
        <is>
          <t>SAN</t>
        </is>
      </c>
      <c r="G389" s="10" t="n">
        <v>731.5</v>
      </c>
      <c r="H389" s="10" t="n">
        <v>357</v>
      </c>
      <c r="I389" s="10" t="n">
        <v>0.35</v>
      </c>
      <c r="J389" s="9" t="inlineStr"/>
      <c r="K389" s="7">
        <f>IF(F389="",0,IFERROR(VLOOKUP(F389,Расходники!$A$4:$B$23,2,FALSE),0))</f>
        <v/>
      </c>
      <c r="L389" s="4">
        <f>H389*D389</f>
        <v/>
      </c>
      <c r="M389" s="4">
        <f>L389*K389</f>
        <v/>
      </c>
      <c r="N389" s="4">
        <f>SUMIF(Материалы!$A$4:$A$800,SUBSTITUTE(SUBSTITUTE(SUBSTITUTE(B389,"~","~~"),"*","~*"),"?","~?"),Материалы!$S$4:$S$800)</f>
        <v/>
      </c>
      <c r="O389" s="4">
        <f>L389+M389+N389</f>
        <v/>
      </c>
      <c r="P389" s="4">
        <f>IF(SUM($O$4:$O$672)=0,0,Косвенные!$C$9*O389/SUM($O$4:$O$672))</f>
        <v/>
      </c>
      <c r="Q389" s="4">
        <f>G389*D389+P389</f>
        <v/>
      </c>
      <c r="R389" s="4">
        <f>IF(D389=0,0,Q389/D389)</f>
        <v/>
      </c>
      <c r="S389" s="4">
        <f>IF(D389=0,0,SUMIF(Материалы!$A$4:$A$800,SUBSTITUTE(SUBSTITUTE(SUBSTITUTE(B389,"~","~~"),"*","~*"),"?","~?"),Материалы!$T$4:$T$800)/D389)</f>
        <v/>
      </c>
      <c r="T389" s="4">
        <f>R389+S389</f>
        <v/>
      </c>
      <c r="U389" s="4">
        <f>I389*D389</f>
        <v/>
      </c>
    </row>
    <row r="390" ht="22" customHeight="1">
      <c r="A390" s="9" t="inlineStr"/>
      <c r="B390" s="13" t="inlineStr">
        <is>
          <t>388. Уголки МП с наружной резьбой d20</t>
        </is>
      </c>
      <c r="C390" s="9" t="inlineStr">
        <is>
          <t>шт.</t>
        </is>
      </c>
      <c r="D390" s="4">
        <f>IF('Форма'!G388="","",'Форма'!G388)</f>
        <v/>
      </c>
      <c r="E390" s="9" t="inlineStr">
        <is>
          <t>нет в тарификаторе</t>
        </is>
      </c>
      <c r="F390" s="9" t="inlineStr">
        <is>
          <t>SAN</t>
        </is>
      </c>
      <c r="G390" s="10" t="n">
        <v>731.5</v>
      </c>
      <c r="H390" s="10" t="n">
        <v>357</v>
      </c>
      <c r="I390" s="10" t="n">
        <v>0.35</v>
      </c>
      <c r="J390" s="9" t="inlineStr"/>
      <c r="K390" s="7">
        <f>IF(F390="",0,IFERROR(VLOOKUP(F390,Расходники!$A$4:$B$23,2,FALSE),0))</f>
        <v/>
      </c>
      <c r="L390" s="4">
        <f>H390*D390</f>
        <v/>
      </c>
      <c r="M390" s="4">
        <f>L390*K390</f>
        <v/>
      </c>
      <c r="N390" s="4">
        <f>SUMIF(Материалы!$A$4:$A$800,SUBSTITUTE(SUBSTITUTE(SUBSTITUTE(B390,"~","~~"),"*","~*"),"?","~?"),Материалы!$S$4:$S$800)</f>
        <v/>
      </c>
      <c r="O390" s="4">
        <f>L390+M390+N390</f>
        <v/>
      </c>
      <c r="P390" s="4">
        <f>IF(SUM($O$4:$O$672)=0,0,Косвенные!$C$9*O390/SUM($O$4:$O$672))</f>
        <v/>
      </c>
      <c r="Q390" s="4">
        <f>G390*D390+P390</f>
        <v/>
      </c>
      <c r="R390" s="4">
        <f>IF(D390=0,0,Q390/D390)</f>
        <v/>
      </c>
      <c r="S390" s="4">
        <f>IF(D390=0,0,SUMIF(Материалы!$A$4:$A$800,SUBSTITUTE(SUBSTITUTE(SUBSTITUTE(B390,"~","~~"),"*","~*"),"?","~?"),Материалы!$T$4:$T$800)/D390)</f>
        <v/>
      </c>
      <c r="T390" s="4">
        <f>R390+S390</f>
        <v/>
      </c>
      <c r="U390" s="4">
        <f>I390*D390</f>
        <v/>
      </c>
    </row>
    <row r="391" ht="22" customHeight="1">
      <c r="A391" s="9" t="inlineStr"/>
      <c r="B391" s="13" t="inlineStr">
        <is>
          <t>389. Уголки МП с наружной резьбой d26</t>
        </is>
      </c>
      <c r="C391" s="9" t="inlineStr">
        <is>
          <t>шт.</t>
        </is>
      </c>
      <c r="D391" s="4">
        <f>IF('Форма'!G389="","",'Форма'!G389)</f>
        <v/>
      </c>
      <c r="E391" s="9" t="inlineStr">
        <is>
          <t>нет в тарификаторе</t>
        </is>
      </c>
      <c r="F391" s="9" t="inlineStr">
        <is>
          <t>SAN</t>
        </is>
      </c>
      <c r="G391" s="10" t="n">
        <v>731.5</v>
      </c>
      <c r="H391" s="10" t="n">
        <v>357</v>
      </c>
      <c r="I391" s="10" t="n">
        <v>0.35</v>
      </c>
      <c r="J391" s="9" t="inlineStr"/>
      <c r="K391" s="7">
        <f>IF(F391="",0,IFERROR(VLOOKUP(F391,Расходники!$A$4:$B$23,2,FALSE),0))</f>
        <v/>
      </c>
      <c r="L391" s="4">
        <f>H391*D391</f>
        <v/>
      </c>
      <c r="M391" s="4">
        <f>L391*K391</f>
        <v/>
      </c>
      <c r="N391" s="4">
        <f>SUMIF(Материалы!$A$4:$A$800,SUBSTITUTE(SUBSTITUTE(SUBSTITUTE(B391,"~","~~"),"*","~*"),"?","~?"),Материалы!$S$4:$S$800)</f>
        <v/>
      </c>
      <c r="O391" s="4">
        <f>L391+M391+N391</f>
        <v/>
      </c>
      <c r="P391" s="4">
        <f>IF(SUM($O$4:$O$672)=0,0,Косвенные!$C$9*O391/SUM($O$4:$O$672))</f>
        <v/>
      </c>
      <c r="Q391" s="4">
        <f>G391*D391+P391</f>
        <v/>
      </c>
      <c r="R391" s="4">
        <f>IF(D391=0,0,Q391/D391)</f>
        <v/>
      </c>
      <c r="S391" s="4">
        <f>IF(D391=0,0,SUMIF(Материалы!$A$4:$A$800,SUBSTITUTE(SUBSTITUTE(SUBSTITUTE(B391,"~","~~"),"*","~*"),"?","~?"),Материалы!$T$4:$T$800)/D391)</f>
        <v/>
      </c>
      <c r="T391" s="4">
        <f>R391+S391</f>
        <v/>
      </c>
      <c r="U391" s="4">
        <f>I391*D391</f>
        <v/>
      </c>
    </row>
    <row r="392" ht="22" customHeight="1">
      <c r="A392" s="9" t="inlineStr"/>
      <c r="B392" s="13" t="inlineStr">
        <is>
          <t>390. Уголки МП с наружной резьбой d32</t>
        </is>
      </c>
      <c r="C392" s="9" t="inlineStr">
        <is>
          <t>шт.</t>
        </is>
      </c>
      <c r="D392" s="4">
        <f>IF('Форма'!G390="","",'Форма'!G390)</f>
        <v/>
      </c>
      <c r="E392" s="9" t="inlineStr">
        <is>
          <t>нет в тарификаторе</t>
        </is>
      </c>
      <c r="F392" s="9" t="inlineStr">
        <is>
          <t>SAN</t>
        </is>
      </c>
      <c r="G392" s="10" t="n">
        <v>731.5</v>
      </c>
      <c r="H392" s="10" t="n">
        <v>357</v>
      </c>
      <c r="I392" s="10" t="n">
        <v>0.35</v>
      </c>
      <c r="J392" s="9" t="inlineStr"/>
      <c r="K392" s="7">
        <f>IF(F392="",0,IFERROR(VLOOKUP(F392,Расходники!$A$4:$B$23,2,FALSE),0))</f>
        <v/>
      </c>
      <c r="L392" s="4">
        <f>H392*D392</f>
        <v/>
      </c>
      <c r="M392" s="4">
        <f>L392*K392</f>
        <v/>
      </c>
      <c r="N392" s="4">
        <f>SUMIF(Материалы!$A$4:$A$800,SUBSTITUTE(SUBSTITUTE(SUBSTITUTE(B392,"~","~~"),"*","~*"),"?","~?"),Материалы!$S$4:$S$800)</f>
        <v/>
      </c>
      <c r="O392" s="4">
        <f>L392+M392+N392</f>
        <v/>
      </c>
      <c r="P392" s="4">
        <f>IF(SUM($O$4:$O$672)=0,0,Косвенные!$C$9*O392/SUM($O$4:$O$672))</f>
        <v/>
      </c>
      <c r="Q392" s="4">
        <f>G392*D392+P392</f>
        <v/>
      </c>
      <c r="R392" s="4">
        <f>IF(D392=0,0,Q392/D392)</f>
        <v/>
      </c>
      <c r="S392" s="4">
        <f>IF(D392=0,0,SUMIF(Материалы!$A$4:$A$800,SUBSTITUTE(SUBSTITUTE(SUBSTITUTE(B392,"~","~~"),"*","~*"),"?","~?"),Материалы!$T$4:$T$800)/D392)</f>
        <v/>
      </c>
      <c r="T392" s="4">
        <f>R392+S392</f>
        <v/>
      </c>
      <c r="U392" s="4">
        <f>I392*D392</f>
        <v/>
      </c>
    </row>
    <row r="393" ht="22" customHeight="1">
      <c r="A393" s="9" t="inlineStr"/>
      <c r="B393" s="13" t="inlineStr">
        <is>
          <t>391. Уголки МП с внутренней резьбой d16</t>
        </is>
      </c>
      <c r="C393" s="9" t="inlineStr">
        <is>
          <t>шт.</t>
        </is>
      </c>
      <c r="D393" s="4">
        <f>IF('Форма'!G391="","",'Форма'!G391)</f>
        <v/>
      </c>
      <c r="E393" s="9" t="inlineStr">
        <is>
          <t>нет в тарификаторе</t>
        </is>
      </c>
      <c r="F393" s="9" t="inlineStr">
        <is>
          <t>SAN</t>
        </is>
      </c>
      <c r="G393" s="10" t="n">
        <v>731.5</v>
      </c>
      <c r="H393" s="10" t="n">
        <v>357</v>
      </c>
      <c r="I393" s="10" t="n">
        <v>0.35</v>
      </c>
      <c r="J393" s="9" t="inlineStr"/>
      <c r="K393" s="7">
        <f>IF(F393="",0,IFERROR(VLOOKUP(F393,Расходники!$A$4:$B$23,2,FALSE),0))</f>
        <v/>
      </c>
      <c r="L393" s="4">
        <f>H393*D393</f>
        <v/>
      </c>
      <c r="M393" s="4">
        <f>L393*K393</f>
        <v/>
      </c>
      <c r="N393" s="4">
        <f>SUMIF(Материалы!$A$4:$A$800,SUBSTITUTE(SUBSTITUTE(SUBSTITUTE(B393,"~","~~"),"*","~*"),"?","~?"),Материалы!$S$4:$S$800)</f>
        <v/>
      </c>
      <c r="O393" s="4">
        <f>L393+M393+N393</f>
        <v/>
      </c>
      <c r="P393" s="4">
        <f>IF(SUM($O$4:$O$672)=0,0,Косвенные!$C$9*O393/SUM($O$4:$O$672))</f>
        <v/>
      </c>
      <c r="Q393" s="4">
        <f>G393*D393+P393</f>
        <v/>
      </c>
      <c r="R393" s="4">
        <f>IF(D393=0,0,Q393/D393)</f>
        <v/>
      </c>
      <c r="S393" s="4">
        <f>IF(D393=0,0,SUMIF(Материалы!$A$4:$A$800,SUBSTITUTE(SUBSTITUTE(SUBSTITUTE(B393,"~","~~"),"*","~*"),"?","~?"),Материалы!$T$4:$T$800)/D393)</f>
        <v/>
      </c>
      <c r="T393" s="4">
        <f>R393+S393</f>
        <v/>
      </c>
      <c r="U393" s="4">
        <f>I393*D393</f>
        <v/>
      </c>
    </row>
    <row r="394" ht="22" customHeight="1">
      <c r="A394" s="9" t="inlineStr"/>
      <c r="B394" s="13" t="inlineStr">
        <is>
          <t>392. Уголки МП с внутренней резьбой d20</t>
        </is>
      </c>
      <c r="C394" s="9" t="inlineStr">
        <is>
          <t>шт.</t>
        </is>
      </c>
      <c r="D394" s="4">
        <f>IF('Форма'!G392="","",'Форма'!G392)</f>
        <v/>
      </c>
      <c r="E394" s="9" t="inlineStr">
        <is>
          <t>нет в тарификаторе</t>
        </is>
      </c>
      <c r="F394" s="9" t="inlineStr">
        <is>
          <t>SAN</t>
        </is>
      </c>
      <c r="G394" s="10" t="n">
        <v>731.5</v>
      </c>
      <c r="H394" s="10" t="n">
        <v>357</v>
      </c>
      <c r="I394" s="10" t="n">
        <v>0.35</v>
      </c>
      <c r="J394" s="9" t="inlineStr"/>
      <c r="K394" s="7">
        <f>IF(F394="",0,IFERROR(VLOOKUP(F394,Расходники!$A$4:$B$23,2,FALSE),0))</f>
        <v/>
      </c>
      <c r="L394" s="4">
        <f>H394*D394</f>
        <v/>
      </c>
      <c r="M394" s="4">
        <f>L394*K394</f>
        <v/>
      </c>
      <c r="N394" s="4">
        <f>SUMIF(Материалы!$A$4:$A$800,SUBSTITUTE(SUBSTITUTE(SUBSTITUTE(B394,"~","~~"),"*","~*"),"?","~?"),Материалы!$S$4:$S$800)</f>
        <v/>
      </c>
      <c r="O394" s="4">
        <f>L394+M394+N394</f>
        <v/>
      </c>
      <c r="P394" s="4">
        <f>IF(SUM($O$4:$O$672)=0,0,Косвенные!$C$9*O394/SUM($O$4:$O$672))</f>
        <v/>
      </c>
      <c r="Q394" s="4">
        <f>G394*D394+P394</f>
        <v/>
      </c>
      <c r="R394" s="4">
        <f>IF(D394=0,0,Q394/D394)</f>
        <v/>
      </c>
      <c r="S394" s="4">
        <f>IF(D394=0,0,SUMIF(Материалы!$A$4:$A$800,SUBSTITUTE(SUBSTITUTE(SUBSTITUTE(B394,"~","~~"),"*","~*"),"?","~?"),Материалы!$T$4:$T$800)/D394)</f>
        <v/>
      </c>
      <c r="T394" s="4">
        <f>R394+S394</f>
        <v/>
      </c>
      <c r="U394" s="4">
        <f>I394*D394</f>
        <v/>
      </c>
    </row>
    <row r="395" ht="22" customHeight="1">
      <c r="A395" s="9" t="inlineStr"/>
      <c r="B395" s="13" t="inlineStr">
        <is>
          <t>393. Уголки МП с внутренней резьбой d26</t>
        </is>
      </c>
      <c r="C395" s="9" t="inlineStr">
        <is>
          <t>шт.</t>
        </is>
      </c>
      <c r="D395" s="4">
        <f>IF('Форма'!G393="","",'Форма'!G393)</f>
        <v/>
      </c>
      <c r="E395" s="9" t="inlineStr">
        <is>
          <t>нет в тарификаторе</t>
        </is>
      </c>
      <c r="F395" s="9" t="inlineStr">
        <is>
          <t>SAN</t>
        </is>
      </c>
      <c r="G395" s="10" t="n">
        <v>731.5</v>
      </c>
      <c r="H395" s="10" t="n">
        <v>357</v>
      </c>
      <c r="I395" s="10" t="n">
        <v>0.35</v>
      </c>
      <c r="J395" s="9" t="inlineStr"/>
      <c r="K395" s="7">
        <f>IF(F395="",0,IFERROR(VLOOKUP(F395,Расходники!$A$4:$B$23,2,FALSE),0))</f>
        <v/>
      </c>
      <c r="L395" s="4">
        <f>H395*D395</f>
        <v/>
      </c>
      <c r="M395" s="4">
        <f>L395*K395</f>
        <v/>
      </c>
      <c r="N395" s="4">
        <f>SUMIF(Материалы!$A$4:$A$800,SUBSTITUTE(SUBSTITUTE(SUBSTITUTE(B395,"~","~~"),"*","~*"),"?","~?"),Материалы!$S$4:$S$800)</f>
        <v/>
      </c>
      <c r="O395" s="4">
        <f>L395+M395+N395</f>
        <v/>
      </c>
      <c r="P395" s="4">
        <f>IF(SUM($O$4:$O$672)=0,0,Косвенные!$C$9*O395/SUM($O$4:$O$672))</f>
        <v/>
      </c>
      <c r="Q395" s="4">
        <f>G395*D395+P395</f>
        <v/>
      </c>
      <c r="R395" s="4">
        <f>IF(D395=0,0,Q395/D395)</f>
        <v/>
      </c>
      <c r="S395" s="4">
        <f>IF(D395=0,0,SUMIF(Материалы!$A$4:$A$800,SUBSTITUTE(SUBSTITUTE(SUBSTITUTE(B395,"~","~~"),"*","~*"),"?","~?"),Материалы!$T$4:$T$800)/D395)</f>
        <v/>
      </c>
      <c r="T395" s="4">
        <f>R395+S395</f>
        <v/>
      </c>
      <c r="U395" s="4">
        <f>I395*D395</f>
        <v/>
      </c>
    </row>
    <row r="396" ht="22" customHeight="1">
      <c r="A396" s="9" t="inlineStr"/>
      <c r="B396" s="13" t="inlineStr">
        <is>
          <t>394. Уголки МП с внутренней резьбой d32</t>
        </is>
      </c>
      <c r="C396" s="9" t="inlineStr">
        <is>
          <t>шт.</t>
        </is>
      </c>
      <c r="D396" s="4">
        <f>IF('Форма'!G394="","",'Форма'!G394)</f>
        <v/>
      </c>
      <c r="E396" s="9" t="inlineStr">
        <is>
          <t>нет в тарификаторе</t>
        </is>
      </c>
      <c r="F396" s="9" t="inlineStr">
        <is>
          <t>SAN</t>
        </is>
      </c>
      <c r="G396" s="10" t="n">
        <v>731.5</v>
      </c>
      <c r="H396" s="10" t="n">
        <v>357</v>
      </c>
      <c r="I396" s="10" t="n">
        <v>0.35</v>
      </c>
      <c r="J396" s="9" t="inlineStr"/>
      <c r="K396" s="7">
        <f>IF(F396="",0,IFERROR(VLOOKUP(F396,Расходники!$A$4:$B$23,2,FALSE),0))</f>
        <v/>
      </c>
      <c r="L396" s="4">
        <f>H396*D396</f>
        <v/>
      </c>
      <c r="M396" s="4">
        <f>L396*K396</f>
        <v/>
      </c>
      <c r="N396" s="4">
        <f>SUMIF(Материалы!$A$4:$A$800,SUBSTITUTE(SUBSTITUTE(SUBSTITUTE(B396,"~","~~"),"*","~*"),"?","~?"),Материалы!$S$4:$S$800)</f>
        <v/>
      </c>
      <c r="O396" s="4">
        <f>L396+M396+N396</f>
        <v/>
      </c>
      <c r="P396" s="4">
        <f>IF(SUM($O$4:$O$672)=0,0,Косвенные!$C$9*O396/SUM($O$4:$O$672))</f>
        <v/>
      </c>
      <c r="Q396" s="4">
        <f>G396*D396+P396</f>
        <v/>
      </c>
      <c r="R396" s="4">
        <f>IF(D396=0,0,Q396/D396)</f>
        <v/>
      </c>
      <c r="S396" s="4">
        <f>IF(D396=0,0,SUMIF(Материалы!$A$4:$A$800,SUBSTITUTE(SUBSTITUTE(SUBSTITUTE(B396,"~","~~"),"*","~*"),"?","~?"),Материалы!$T$4:$T$800)/D396)</f>
        <v/>
      </c>
      <c r="T396" s="4">
        <f>R396+S396</f>
        <v/>
      </c>
      <c r="U396" s="4">
        <f>I396*D396</f>
        <v/>
      </c>
    </row>
    <row r="397" ht="22" customHeight="1">
      <c r="A397" s="9" t="inlineStr"/>
      <c r="B397" s="13" t="inlineStr">
        <is>
          <t>395. Уголки МП с креплением d16</t>
        </is>
      </c>
      <c r="C397" s="9" t="inlineStr">
        <is>
          <t>шт.</t>
        </is>
      </c>
      <c r="D397" s="4">
        <f>IF('Форма'!G395="","",'Форма'!G395)</f>
        <v/>
      </c>
      <c r="E397" s="9" t="inlineStr">
        <is>
          <t>нет в тарификаторе</t>
        </is>
      </c>
      <c r="F397" s="9" t="inlineStr">
        <is>
          <t>SAN</t>
        </is>
      </c>
      <c r="G397" s="10" t="n">
        <v>731.5</v>
      </c>
      <c r="H397" s="10" t="n">
        <v>357</v>
      </c>
      <c r="I397" s="10" t="n">
        <v>0.35</v>
      </c>
      <c r="J397" s="9" t="inlineStr"/>
      <c r="K397" s="7">
        <f>IF(F397="",0,IFERROR(VLOOKUP(F397,Расходники!$A$4:$B$23,2,FALSE),0))</f>
        <v/>
      </c>
      <c r="L397" s="4">
        <f>H397*D397</f>
        <v/>
      </c>
      <c r="M397" s="4">
        <f>L397*K397</f>
        <v/>
      </c>
      <c r="N397" s="4">
        <f>SUMIF(Материалы!$A$4:$A$800,SUBSTITUTE(SUBSTITUTE(SUBSTITUTE(B397,"~","~~"),"*","~*"),"?","~?"),Материалы!$S$4:$S$800)</f>
        <v/>
      </c>
      <c r="O397" s="4">
        <f>L397+M397+N397</f>
        <v/>
      </c>
      <c r="P397" s="4">
        <f>IF(SUM($O$4:$O$672)=0,0,Косвенные!$C$9*O397/SUM($O$4:$O$672))</f>
        <v/>
      </c>
      <c r="Q397" s="4">
        <f>G397*D397+P397</f>
        <v/>
      </c>
      <c r="R397" s="4">
        <f>IF(D397=0,0,Q397/D397)</f>
        <v/>
      </c>
      <c r="S397" s="4">
        <f>IF(D397=0,0,SUMIF(Материалы!$A$4:$A$800,SUBSTITUTE(SUBSTITUTE(SUBSTITUTE(B397,"~","~~"),"*","~*"),"?","~?"),Материалы!$T$4:$T$800)/D397)</f>
        <v/>
      </c>
      <c r="T397" s="4">
        <f>R397+S397</f>
        <v/>
      </c>
      <c r="U397" s="4">
        <f>I397*D397</f>
        <v/>
      </c>
    </row>
    <row r="398" ht="22" customHeight="1">
      <c r="A398" s="9" t="inlineStr"/>
      <c r="B398" s="13" t="inlineStr">
        <is>
          <t>396. Уголки МП с креплением d20</t>
        </is>
      </c>
      <c r="C398" s="9" t="inlineStr">
        <is>
          <t>шт.</t>
        </is>
      </c>
      <c r="D398" s="4">
        <f>IF('Форма'!G396="","",'Форма'!G396)</f>
        <v/>
      </c>
      <c r="E398" s="9" t="inlineStr">
        <is>
          <t>нет в тарификаторе</t>
        </is>
      </c>
      <c r="F398" s="9" t="inlineStr">
        <is>
          <t>SAN</t>
        </is>
      </c>
      <c r="G398" s="10" t="n">
        <v>731.5</v>
      </c>
      <c r="H398" s="10" t="n">
        <v>357</v>
      </c>
      <c r="I398" s="10" t="n">
        <v>0.35</v>
      </c>
      <c r="J398" s="9" t="inlineStr"/>
      <c r="K398" s="7">
        <f>IF(F398="",0,IFERROR(VLOOKUP(F398,Расходники!$A$4:$B$23,2,FALSE),0))</f>
        <v/>
      </c>
      <c r="L398" s="4">
        <f>H398*D398</f>
        <v/>
      </c>
      <c r="M398" s="4">
        <f>L398*K398</f>
        <v/>
      </c>
      <c r="N398" s="4">
        <f>SUMIF(Материалы!$A$4:$A$800,SUBSTITUTE(SUBSTITUTE(SUBSTITUTE(B398,"~","~~"),"*","~*"),"?","~?"),Материалы!$S$4:$S$800)</f>
        <v/>
      </c>
      <c r="O398" s="4">
        <f>L398+M398+N398</f>
        <v/>
      </c>
      <c r="P398" s="4">
        <f>IF(SUM($O$4:$O$672)=0,0,Косвенные!$C$9*O398/SUM($O$4:$O$672))</f>
        <v/>
      </c>
      <c r="Q398" s="4">
        <f>G398*D398+P398</f>
        <v/>
      </c>
      <c r="R398" s="4">
        <f>IF(D398=0,0,Q398/D398)</f>
        <v/>
      </c>
      <c r="S398" s="4">
        <f>IF(D398=0,0,SUMIF(Материалы!$A$4:$A$800,SUBSTITUTE(SUBSTITUTE(SUBSTITUTE(B398,"~","~~"),"*","~*"),"?","~?"),Материалы!$T$4:$T$800)/D398)</f>
        <v/>
      </c>
      <c r="T398" s="4">
        <f>R398+S398</f>
        <v/>
      </c>
      <c r="U398" s="4">
        <f>I398*D398</f>
        <v/>
      </c>
    </row>
    <row r="399" ht="22" customHeight="1">
      <c r="A399" s="9" t="inlineStr"/>
      <c r="B399" s="13" t="inlineStr">
        <is>
          <t>397. Тройники соединительные МП d16</t>
        </is>
      </c>
      <c r="C399" s="9" t="inlineStr">
        <is>
          <t>шт.</t>
        </is>
      </c>
      <c r="D399" s="4">
        <f>IF('Форма'!G397="","",'Форма'!G397)</f>
        <v/>
      </c>
      <c r="E399" s="9" t="inlineStr">
        <is>
          <t>нет в тарификаторе</t>
        </is>
      </c>
      <c r="F399" s="9" t="inlineStr">
        <is>
          <t>SAN</t>
        </is>
      </c>
      <c r="G399" s="10" t="n">
        <v>731.5</v>
      </c>
      <c r="H399" s="10" t="n">
        <v>357</v>
      </c>
      <c r="I399" s="10" t="n">
        <v>0.35</v>
      </c>
      <c r="J399" s="9" t="inlineStr"/>
      <c r="K399" s="7">
        <f>IF(F399="",0,IFERROR(VLOOKUP(F399,Расходники!$A$4:$B$23,2,FALSE),0))</f>
        <v/>
      </c>
      <c r="L399" s="4">
        <f>H399*D399</f>
        <v/>
      </c>
      <c r="M399" s="4">
        <f>L399*K399</f>
        <v/>
      </c>
      <c r="N399" s="4">
        <f>SUMIF(Материалы!$A$4:$A$800,SUBSTITUTE(SUBSTITUTE(SUBSTITUTE(B399,"~","~~"),"*","~*"),"?","~?"),Материалы!$S$4:$S$800)</f>
        <v/>
      </c>
      <c r="O399" s="4">
        <f>L399+M399+N399</f>
        <v/>
      </c>
      <c r="P399" s="4">
        <f>IF(SUM($O$4:$O$672)=0,0,Косвенные!$C$9*O399/SUM($O$4:$O$672))</f>
        <v/>
      </c>
      <c r="Q399" s="4">
        <f>G399*D399+P399</f>
        <v/>
      </c>
      <c r="R399" s="4">
        <f>IF(D399=0,0,Q399/D399)</f>
        <v/>
      </c>
      <c r="S399" s="4">
        <f>IF(D399=0,0,SUMIF(Материалы!$A$4:$A$800,SUBSTITUTE(SUBSTITUTE(SUBSTITUTE(B399,"~","~~"),"*","~*"),"?","~?"),Материалы!$T$4:$T$800)/D399)</f>
        <v/>
      </c>
      <c r="T399" s="4">
        <f>R399+S399</f>
        <v/>
      </c>
      <c r="U399" s="4">
        <f>I399*D399</f>
        <v/>
      </c>
    </row>
    <row r="400" ht="22" customHeight="1">
      <c r="A400" s="9" t="inlineStr"/>
      <c r="B400" s="13" t="inlineStr">
        <is>
          <t>398. Тройники соединительные МП d20</t>
        </is>
      </c>
      <c r="C400" s="9" t="inlineStr">
        <is>
          <t>шт.</t>
        </is>
      </c>
      <c r="D400" s="4">
        <f>IF('Форма'!G398="","",'Форма'!G398)</f>
        <v/>
      </c>
      <c r="E400" s="9" t="inlineStr">
        <is>
          <t>нет в тарификаторе</t>
        </is>
      </c>
      <c r="F400" s="9" t="inlineStr">
        <is>
          <t>SAN</t>
        </is>
      </c>
      <c r="G400" s="10" t="n">
        <v>731.5</v>
      </c>
      <c r="H400" s="10" t="n">
        <v>357</v>
      </c>
      <c r="I400" s="10" t="n">
        <v>0.35</v>
      </c>
      <c r="J400" s="9" t="inlineStr"/>
      <c r="K400" s="7">
        <f>IF(F400="",0,IFERROR(VLOOKUP(F400,Расходники!$A$4:$B$23,2,FALSE),0))</f>
        <v/>
      </c>
      <c r="L400" s="4">
        <f>H400*D400</f>
        <v/>
      </c>
      <c r="M400" s="4">
        <f>L400*K400</f>
        <v/>
      </c>
      <c r="N400" s="4">
        <f>SUMIF(Материалы!$A$4:$A$800,SUBSTITUTE(SUBSTITUTE(SUBSTITUTE(B400,"~","~~"),"*","~*"),"?","~?"),Материалы!$S$4:$S$800)</f>
        <v/>
      </c>
      <c r="O400" s="4">
        <f>L400+M400+N400</f>
        <v/>
      </c>
      <c r="P400" s="4">
        <f>IF(SUM($O$4:$O$672)=0,0,Косвенные!$C$9*O400/SUM($O$4:$O$672))</f>
        <v/>
      </c>
      <c r="Q400" s="4">
        <f>G400*D400+P400</f>
        <v/>
      </c>
      <c r="R400" s="4">
        <f>IF(D400=0,0,Q400/D400)</f>
        <v/>
      </c>
      <c r="S400" s="4">
        <f>IF(D400=0,0,SUMIF(Материалы!$A$4:$A$800,SUBSTITUTE(SUBSTITUTE(SUBSTITUTE(B400,"~","~~"),"*","~*"),"?","~?"),Материалы!$T$4:$T$800)/D400)</f>
        <v/>
      </c>
      <c r="T400" s="4">
        <f>R400+S400</f>
        <v/>
      </c>
      <c r="U400" s="4">
        <f>I400*D400</f>
        <v/>
      </c>
    </row>
    <row r="401" ht="22" customHeight="1">
      <c r="A401" s="9" t="inlineStr"/>
      <c r="B401" s="13" t="inlineStr">
        <is>
          <t>399. Тройники соединительные МП d26</t>
        </is>
      </c>
      <c r="C401" s="9" t="inlineStr">
        <is>
          <t>шт.</t>
        </is>
      </c>
      <c r="D401" s="4">
        <f>IF('Форма'!G399="","",'Форма'!G399)</f>
        <v/>
      </c>
      <c r="E401" s="9" t="inlineStr">
        <is>
          <t>нет в тарификаторе</t>
        </is>
      </c>
      <c r="F401" s="9" t="inlineStr">
        <is>
          <t>SAN</t>
        </is>
      </c>
      <c r="G401" s="10" t="n">
        <v>731.5</v>
      </c>
      <c r="H401" s="10" t="n">
        <v>357</v>
      </c>
      <c r="I401" s="10" t="n">
        <v>0.35</v>
      </c>
      <c r="J401" s="9" t="inlineStr"/>
      <c r="K401" s="7">
        <f>IF(F401="",0,IFERROR(VLOOKUP(F401,Расходники!$A$4:$B$23,2,FALSE),0))</f>
        <v/>
      </c>
      <c r="L401" s="4">
        <f>H401*D401</f>
        <v/>
      </c>
      <c r="M401" s="4">
        <f>L401*K401</f>
        <v/>
      </c>
      <c r="N401" s="4">
        <f>SUMIF(Материалы!$A$4:$A$800,SUBSTITUTE(SUBSTITUTE(SUBSTITUTE(B401,"~","~~"),"*","~*"),"?","~?"),Материалы!$S$4:$S$800)</f>
        <v/>
      </c>
      <c r="O401" s="4">
        <f>L401+M401+N401</f>
        <v/>
      </c>
      <c r="P401" s="4">
        <f>IF(SUM($O$4:$O$672)=0,0,Косвенные!$C$9*O401/SUM($O$4:$O$672))</f>
        <v/>
      </c>
      <c r="Q401" s="4">
        <f>G401*D401+P401</f>
        <v/>
      </c>
      <c r="R401" s="4">
        <f>IF(D401=0,0,Q401/D401)</f>
        <v/>
      </c>
      <c r="S401" s="4">
        <f>IF(D401=0,0,SUMIF(Материалы!$A$4:$A$800,SUBSTITUTE(SUBSTITUTE(SUBSTITUTE(B401,"~","~~"),"*","~*"),"?","~?"),Материалы!$T$4:$T$800)/D401)</f>
        <v/>
      </c>
      <c r="T401" s="4">
        <f>R401+S401</f>
        <v/>
      </c>
      <c r="U401" s="4">
        <f>I401*D401</f>
        <v/>
      </c>
    </row>
    <row r="402" ht="22" customHeight="1">
      <c r="A402" s="9" t="inlineStr"/>
      <c r="B402" s="13" t="inlineStr">
        <is>
          <t>400. Тройники соединительные МП d32</t>
        </is>
      </c>
      <c r="C402" s="9" t="inlineStr">
        <is>
          <t>шт.</t>
        </is>
      </c>
      <c r="D402" s="4">
        <f>IF('Форма'!G400="","",'Форма'!G400)</f>
        <v/>
      </c>
      <c r="E402" s="9" t="inlineStr">
        <is>
          <t>нет в тарификаторе</t>
        </is>
      </c>
      <c r="F402" s="9" t="inlineStr">
        <is>
          <t>SAN</t>
        </is>
      </c>
      <c r="G402" s="10" t="n">
        <v>731.5</v>
      </c>
      <c r="H402" s="10" t="n">
        <v>357</v>
      </c>
      <c r="I402" s="10" t="n">
        <v>0.35</v>
      </c>
      <c r="J402" s="9" t="inlineStr"/>
      <c r="K402" s="7">
        <f>IF(F402="",0,IFERROR(VLOOKUP(F402,Расходники!$A$4:$B$23,2,FALSE),0))</f>
        <v/>
      </c>
      <c r="L402" s="4">
        <f>H402*D402</f>
        <v/>
      </c>
      <c r="M402" s="4">
        <f>L402*K402</f>
        <v/>
      </c>
      <c r="N402" s="4">
        <f>SUMIF(Материалы!$A$4:$A$800,SUBSTITUTE(SUBSTITUTE(SUBSTITUTE(B402,"~","~~"),"*","~*"),"?","~?"),Материалы!$S$4:$S$800)</f>
        <v/>
      </c>
      <c r="O402" s="4">
        <f>L402+M402+N402</f>
        <v/>
      </c>
      <c r="P402" s="4">
        <f>IF(SUM($O$4:$O$672)=0,0,Косвенные!$C$9*O402/SUM($O$4:$O$672))</f>
        <v/>
      </c>
      <c r="Q402" s="4">
        <f>G402*D402+P402</f>
        <v/>
      </c>
      <c r="R402" s="4">
        <f>IF(D402=0,0,Q402/D402)</f>
        <v/>
      </c>
      <c r="S402" s="4">
        <f>IF(D402=0,0,SUMIF(Материалы!$A$4:$A$800,SUBSTITUTE(SUBSTITUTE(SUBSTITUTE(B402,"~","~~"),"*","~*"),"?","~?"),Материалы!$T$4:$T$800)/D402)</f>
        <v/>
      </c>
      <c r="T402" s="4">
        <f>R402+S402</f>
        <v/>
      </c>
      <c r="U402" s="4">
        <f>I402*D402</f>
        <v/>
      </c>
    </row>
    <row r="403" ht="22" customHeight="1">
      <c r="A403" s="9" t="inlineStr"/>
      <c r="B403" s="13" t="inlineStr">
        <is>
          <t>401. Тройники переходники МП 16х20х16</t>
        </is>
      </c>
      <c r="C403" s="9" t="inlineStr">
        <is>
          <t>шт.</t>
        </is>
      </c>
      <c r="D403" s="4">
        <f>IF('Форма'!G401="","",'Форма'!G401)</f>
        <v/>
      </c>
      <c r="E403" s="9" t="inlineStr">
        <is>
          <t>нет в тарификаторе</t>
        </is>
      </c>
      <c r="F403" s="9" t="inlineStr">
        <is>
          <t>SAN</t>
        </is>
      </c>
      <c r="G403" s="10" t="n">
        <v>731.5</v>
      </c>
      <c r="H403" s="10" t="n">
        <v>357</v>
      </c>
      <c r="I403" s="10" t="n">
        <v>0.35</v>
      </c>
      <c r="J403" s="9" t="inlineStr"/>
      <c r="K403" s="7">
        <f>IF(F403="",0,IFERROR(VLOOKUP(F403,Расходники!$A$4:$B$23,2,FALSE),0))</f>
        <v/>
      </c>
      <c r="L403" s="4">
        <f>H403*D403</f>
        <v/>
      </c>
      <c r="M403" s="4">
        <f>L403*K403</f>
        <v/>
      </c>
      <c r="N403" s="4">
        <f>SUMIF(Материалы!$A$4:$A$800,SUBSTITUTE(SUBSTITUTE(SUBSTITUTE(B403,"~","~~"),"*","~*"),"?","~?"),Материалы!$S$4:$S$800)</f>
        <v/>
      </c>
      <c r="O403" s="4">
        <f>L403+M403+N403</f>
        <v/>
      </c>
      <c r="P403" s="4">
        <f>IF(SUM($O$4:$O$672)=0,0,Косвенные!$C$9*O403/SUM($O$4:$O$672))</f>
        <v/>
      </c>
      <c r="Q403" s="4">
        <f>G403*D403+P403</f>
        <v/>
      </c>
      <c r="R403" s="4">
        <f>IF(D403=0,0,Q403/D403)</f>
        <v/>
      </c>
      <c r="S403" s="4">
        <f>IF(D403=0,0,SUMIF(Материалы!$A$4:$A$800,SUBSTITUTE(SUBSTITUTE(SUBSTITUTE(B403,"~","~~"),"*","~*"),"?","~?"),Материалы!$T$4:$T$800)/D403)</f>
        <v/>
      </c>
      <c r="T403" s="4">
        <f>R403+S403</f>
        <v/>
      </c>
      <c r="U403" s="4">
        <f>I403*D403</f>
        <v/>
      </c>
    </row>
    <row r="404" ht="22" customHeight="1">
      <c r="A404" s="9" t="inlineStr"/>
      <c r="B404" s="13" t="inlineStr">
        <is>
          <t>402. Тройники переходники МП 20х16х16</t>
        </is>
      </c>
      <c r="C404" s="9" t="inlineStr">
        <is>
          <t>шт.</t>
        </is>
      </c>
      <c r="D404" s="4">
        <f>IF('Форма'!G402="","",'Форма'!G402)</f>
        <v/>
      </c>
      <c r="E404" s="9" t="inlineStr">
        <is>
          <t>нет в тарификаторе</t>
        </is>
      </c>
      <c r="F404" s="9" t="inlineStr">
        <is>
          <t>SAN</t>
        </is>
      </c>
      <c r="G404" s="10" t="n">
        <v>731.5</v>
      </c>
      <c r="H404" s="10" t="n">
        <v>357</v>
      </c>
      <c r="I404" s="10" t="n">
        <v>0.35</v>
      </c>
      <c r="J404" s="9" t="inlineStr"/>
      <c r="K404" s="7">
        <f>IF(F404="",0,IFERROR(VLOOKUP(F404,Расходники!$A$4:$B$23,2,FALSE),0))</f>
        <v/>
      </c>
      <c r="L404" s="4">
        <f>H404*D404</f>
        <v/>
      </c>
      <c r="M404" s="4">
        <f>L404*K404</f>
        <v/>
      </c>
      <c r="N404" s="4">
        <f>SUMIF(Материалы!$A$4:$A$800,SUBSTITUTE(SUBSTITUTE(SUBSTITUTE(B404,"~","~~"),"*","~*"),"?","~?"),Материалы!$S$4:$S$800)</f>
        <v/>
      </c>
      <c r="O404" s="4">
        <f>L404+M404+N404</f>
        <v/>
      </c>
      <c r="P404" s="4">
        <f>IF(SUM($O$4:$O$672)=0,0,Косвенные!$C$9*O404/SUM($O$4:$O$672))</f>
        <v/>
      </c>
      <c r="Q404" s="4">
        <f>G404*D404+P404</f>
        <v/>
      </c>
      <c r="R404" s="4">
        <f>IF(D404=0,0,Q404/D404)</f>
        <v/>
      </c>
      <c r="S404" s="4">
        <f>IF(D404=0,0,SUMIF(Материалы!$A$4:$A$800,SUBSTITUTE(SUBSTITUTE(SUBSTITUTE(B404,"~","~~"),"*","~*"),"?","~?"),Материалы!$T$4:$T$800)/D404)</f>
        <v/>
      </c>
      <c r="T404" s="4">
        <f>R404+S404</f>
        <v/>
      </c>
      <c r="U404" s="4">
        <f>I404*D404</f>
        <v/>
      </c>
    </row>
    <row r="405" ht="22" customHeight="1">
      <c r="A405" s="9" t="inlineStr"/>
      <c r="B405" s="13" t="inlineStr">
        <is>
          <t>403. Тройники переходники МП 20х16х20</t>
        </is>
      </c>
      <c r="C405" s="9" t="inlineStr">
        <is>
          <t>шт.</t>
        </is>
      </c>
      <c r="D405" s="4">
        <f>IF('Форма'!G403="","",'Форма'!G403)</f>
        <v/>
      </c>
      <c r="E405" s="9" t="inlineStr">
        <is>
          <t>нет в тарификаторе</t>
        </is>
      </c>
      <c r="F405" s="9" t="inlineStr">
        <is>
          <t>SAN</t>
        </is>
      </c>
      <c r="G405" s="10" t="n">
        <v>731.5</v>
      </c>
      <c r="H405" s="10" t="n">
        <v>357</v>
      </c>
      <c r="I405" s="10" t="n">
        <v>0.35</v>
      </c>
      <c r="J405" s="9" t="inlineStr"/>
      <c r="K405" s="7">
        <f>IF(F405="",0,IFERROR(VLOOKUP(F405,Расходники!$A$4:$B$23,2,FALSE),0))</f>
        <v/>
      </c>
      <c r="L405" s="4">
        <f>H405*D405</f>
        <v/>
      </c>
      <c r="M405" s="4">
        <f>L405*K405</f>
        <v/>
      </c>
      <c r="N405" s="4">
        <f>SUMIF(Материалы!$A$4:$A$800,SUBSTITUTE(SUBSTITUTE(SUBSTITUTE(B405,"~","~~"),"*","~*"),"?","~?"),Материалы!$S$4:$S$800)</f>
        <v/>
      </c>
      <c r="O405" s="4">
        <f>L405+M405+N405</f>
        <v/>
      </c>
      <c r="P405" s="4">
        <f>IF(SUM($O$4:$O$672)=0,0,Косвенные!$C$9*O405/SUM($O$4:$O$672))</f>
        <v/>
      </c>
      <c r="Q405" s="4">
        <f>G405*D405+P405</f>
        <v/>
      </c>
      <c r="R405" s="4">
        <f>IF(D405=0,0,Q405/D405)</f>
        <v/>
      </c>
      <c r="S405" s="4">
        <f>IF(D405=0,0,SUMIF(Материалы!$A$4:$A$800,SUBSTITUTE(SUBSTITUTE(SUBSTITUTE(B405,"~","~~"),"*","~*"),"?","~?"),Материалы!$T$4:$T$800)/D405)</f>
        <v/>
      </c>
      <c r="T405" s="4">
        <f>R405+S405</f>
        <v/>
      </c>
      <c r="U405" s="4">
        <f>I405*D405</f>
        <v/>
      </c>
    </row>
    <row r="406" ht="22" customHeight="1">
      <c r="A406" s="9" t="inlineStr"/>
      <c r="B406" s="13" t="inlineStr">
        <is>
          <t>404. Тройники переходники МП 20х20х16</t>
        </is>
      </c>
      <c r="C406" s="9" t="inlineStr">
        <is>
          <t>шт.</t>
        </is>
      </c>
      <c r="D406" s="4">
        <f>IF('Форма'!G404="","",'Форма'!G404)</f>
        <v/>
      </c>
      <c r="E406" s="9" t="inlineStr">
        <is>
          <t>нет в тарификаторе</t>
        </is>
      </c>
      <c r="F406" s="9" t="inlineStr">
        <is>
          <t>SAN</t>
        </is>
      </c>
      <c r="G406" s="10" t="n">
        <v>731.5</v>
      </c>
      <c r="H406" s="10" t="n">
        <v>357</v>
      </c>
      <c r="I406" s="10" t="n">
        <v>0.35</v>
      </c>
      <c r="J406" s="9" t="inlineStr"/>
      <c r="K406" s="7">
        <f>IF(F406="",0,IFERROR(VLOOKUP(F406,Расходники!$A$4:$B$23,2,FALSE),0))</f>
        <v/>
      </c>
      <c r="L406" s="4">
        <f>H406*D406</f>
        <v/>
      </c>
      <c r="M406" s="4">
        <f>L406*K406</f>
        <v/>
      </c>
      <c r="N406" s="4">
        <f>SUMIF(Материалы!$A$4:$A$800,SUBSTITUTE(SUBSTITUTE(SUBSTITUTE(B406,"~","~~"),"*","~*"),"?","~?"),Материалы!$S$4:$S$800)</f>
        <v/>
      </c>
      <c r="O406" s="4">
        <f>L406+M406+N406</f>
        <v/>
      </c>
      <c r="P406" s="4">
        <f>IF(SUM($O$4:$O$672)=0,0,Косвенные!$C$9*O406/SUM($O$4:$O$672))</f>
        <v/>
      </c>
      <c r="Q406" s="4">
        <f>G406*D406+P406</f>
        <v/>
      </c>
      <c r="R406" s="4">
        <f>IF(D406=0,0,Q406/D406)</f>
        <v/>
      </c>
      <c r="S406" s="4">
        <f>IF(D406=0,0,SUMIF(Материалы!$A$4:$A$800,SUBSTITUTE(SUBSTITUTE(SUBSTITUTE(B406,"~","~~"),"*","~*"),"?","~?"),Материалы!$T$4:$T$800)/D406)</f>
        <v/>
      </c>
      <c r="T406" s="4">
        <f>R406+S406</f>
        <v/>
      </c>
      <c r="U406" s="4">
        <f>I406*D406</f>
        <v/>
      </c>
    </row>
    <row r="407" ht="22" customHeight="1">
      <c r="A407" s="9" t="inlineStr"/>
      <c r="B407" s="13" t="inlineStr">
        <is>
          <t>405. Тройники переходники МП 20х26х20</t>
        </is>
      </c>
      <c r="C407" s="9" t="inlineStr">
        <is>
          <t>шт.</t>
        </is>
      </c>
      <c r="D407" s="4">
        <f>IF('Форма'!G405="","",'Форма'!G405)</f>
        <v/>
      </c>
      <c r="E407" s="9" t="inlineStr">
        <is>
          <t>нет в тарификаторе</t>
        </is>
      </c>
      <c r="F407" s="9" t="inlineStr">
        <is>
          <t>SAN</t>
        </is>
      </c>
      <c r="G407" s="10" t="n">
        <v>731.5</v>
      </c>
      <c r="H407" s="10" t="n">
        <v>357</v>
      </c>
      <c r="I407" s="10" t="n">
        <v>0.35</v>
      </c>
      <c r="J407" s="9" t="inlineStr"/>
      <c r="K407" s="7">
        <f>IF(F407="",0,IFERROR(VLOOKUP(F407,Расходники!$A$4:$B$23,2,FALSE),0))</f>
        <v/>
      </c>
      <c r="L407" s="4">
        <f>H407*D407</f>
        <v/>
      </c>
      <c r="M407" s="4">
        <f>L407*K407</f>
        <v/>
      </c>
      <c r="N407" s="4">
        <f>SUMIF(Материалы!$A$4:$A$800,SUBSTITUTE(SUBSTITUTE(SUBSTITUTE(B407,"~","~~"),"*","~*"),"?","~?"),Материалы!$S$4:$S$800)</f>
        <v/>
      </c>
      <c r="O407" s="4">
        <f>L407+M407+N407</f>
        <v/>
      </c>
      <c r="P407" s="4">
        <f>IF(SUM($O$4:$O$672)=0,0,Косвенные!$C$9*O407/SUM($O$4:$O$672))</f>
        <v/>
      </c>
      <c r="Q407" s="4">
        <f>G407*D407+P407</f>
        <v/>
      </c>
      <c r="R407" s="4">
        <f>IF(D407=0,0,Q407/D407)</f>
        <v/>
      </c>
      <c r="S407" s="4">
        <f>IF(D407=0,0,SUMIF(Материалы!$A$4:$A$800,SUBSTITUTE(SUBSTITUTE(SUBSTITUTE(B407,"~","~~"),"*","~*"),"?","~?"),Материалы!$T$4:$T$800)/D407)</f>
        <v/>
      </c>
      <c r="T407" s="4">
        <f>R407+S407</f>
        <v/>
      </c>
      <c r="U407" s="4">
        <f>I407*D407</f>
        <v/>
      </c>
    </row>
    <row r="408" ht="22" customHeight="1">
      <c r="A408" s="9" t="inlineStr"/>
      <c r="B408" s="13" t="inlineStr">
        <is>
          <t>406. Тройники переходники МП 26х16х26</t>
        </is>
      </c>
      <c r="C408" s="9" t="inlineStr">
        <is>
          <t>шт.</t>
        </is>
      </c>
      <c r="D408" s="4">
        <f>IF('Форма'!G406="","",'Форма'!G406)</f>
        <v/>
      </c>
      <c r="E408" s="9" t="inlineStr">
        <is>
          <t>нет в тарификаторе</t>
        </is>
      </c>
      <c r="F408" s="9" t="inlineStr">
        <is>
          <t>SAN</t>
        </is>
      </c>
      <c r="G408" s="10" t="n">
        <v>731.5</v>
      </c>
      <c r="H408" s="10" t="n">
        <v>357</v>
      </c>
      <c r="I408" s="10" t="n">
        <v>0.35</v>
      </c>
      <c r="J408" s="9" t="inlineStr"/>
      <c r="K408" s="7">
        <f>IF(F408="",0,IFERROR(VLOOKUP(F408,Расходники!$A$4:$B$23,2,FALSE),0))</f>
        <v/>
      </c>
      <c r="L408" s="4">
        <f>H408*D408</f>
        <v/>
      </c>
      <c r="M408" s="4">
        <f>L408*K408</f>
        <v/>
      </c>
      <c r="N408" s="4">
        <f>SUMIF(Материалы!$A$4:$A$800,SUBSTITUTE(SUBSTITUTE(SUBSTITUTE(B408,"~","~~"),"*","~*"),"?","~?"),Материалы!$S$4:$S$800)</f>
        <v/>
      </c>
      <c r="O408" s="4">
        <f>L408+M408+N408</f>
        <v/>
      </c>
      <c r="P408" s="4">
        <f>IF(SUM($O$4:$O$672)=0,0,Косвенные!$C$9*O408/SUM($O$4:$O$672))</f>
        <v/>
      </c>
      <c r="Q408" s="4">
        <f>G408*D408+P408</f>
        <v/>
      </c>
      <c r="R408" s="4">
        <f>IF(D408=0,0,Q408/D408)</f>
        <v/>
      </c>
      <c r="S408" s="4">
        <f>IF(D408=0,0,SUMIF(Материалы!$A$4:$A$800,SUBSTITUTE(SUBSTITUTE(SUBSTITUTE(B408,"~","~~"),"*","~*"),"?","~?"),Материалы!$T$4:$T$800)/D408)</f>
        <v/>
      </c>
      <c r="T408" s="4">
        <f>R408+S408</f>
        <v/>
      </c>
      <c r="U408" s="4">
        <f>I408*D408</f>
        <v/>
      </c>
    </row>
    <row r="409" ht="22" customHeight="1">
      <c r="A409" s="9" t="inlineStr"/>
      <c r="B409" s="13" t="inlineStr">
        <is>
          <t>407. Насос циркуляционный типа Grundfos UPS 25-40или аналог</t>
        </is>
      </c>
      <c r="C409" s="9" t="inlineStr">
        <is>
          <t>шт.</t>
        </is>
      </c>
      <c r="D409" s="4">
        <f>IF('Форма'!G407="","",'Форма'!G407)</f>
        <v/>
      </c>
      <c r="E409" s="9" t="inlineStr">
        <is>
          <t>аналог (9.2.89), насос на готовую врезку</t>
        </is>
      </c>
      <c r="F409" s="9" t="inlineStr">
        <is>
          <t>SAN</t>
        </is>
      </c>
      <c r="G409" s="10" t="n">
        <v>4180</v>
      </c>
      <c r="H409" s="10" t="n">
        <v>2040</v>
      </c>
      <c r="I409" s="10" t="n">
        <v>2</v>
      </c>
      <c r="J409" s="9" t="inlineStr"/>
      <c r="K409" s="7">
        <f>IF(F409="",0,IFERROR(VLOOKUP(F409,Расходники!$A$4:$B$23,2,FALSE),0))</f>
        <v/>
      </c>
      <c r="L409" s="4">
        <f>H409*D409</f>
        <v/>
      </c>
      <c r="M409" s="4">
        <f>L409*K409</f>
        <v/>
      </c>
      <c r="N409" s="4">
        <f>SUMIF(Материалы!$A$4:$A$800,SUBSTITUTE(SUBSTITUTE(SUBSTITUTE(B409,"~","~~"),"*","~*"),"?","~?"),Материалы!$S$4:$S$800)</f>
        <v/>
      </c>
      <c r="O409" s="4">
        <f>L409+M409+N409</f>
        <v/>
      </c>
      <c r="P409" s="4">
        <f>IF(SUM($O$4:$O$672)=0,0,Косвенные!$C$9*O409/SUM($O$4:$O$672))</f>
        <v/>
      </c>
      <c r="Q409" s="4">
        <f>G409*D409+P409</f>
        <v/>
      </c>
      <c r="R409" s="4">
        <f>IF(D409=0,0,Q409/D409)</f>
        <v/>
      </c>
      <c r="S409" s="4">
        <f>IF(D409=0,0,SUMIF(Материалы!$A$4:$A$800,SUBSTITUTE(SUBSTITUTE(SUBSTITUTE(B409,"~","~~"),"*","~*"),"?","~?"),Материалы!$T$4:$T$800)/D409)</f>
        <v/>
      </c>
      <c r="T409" s="4">
        <f>R409+S409</f>
        <v/>
      </c>
      <c r="U409" s="4">
        <f>I409*D409</f>
        <v/>
      </c>
    </row>
    <row r="410" ht="22" customHeight="1">
      <c r="A410" s="9" t="inlineStr">
        <is>
          <t>9.4.7</t>
        </is>
      </c>
      <c r="B410" s="13" t="inlineStr">
        <is>
          <t>408. Водонагреватель накопительный, электрический Термекс 30 или аналог</t>
        </is>
      </c>
      <c r="C410" s="9" t="inlineStr">
        <is>
          <t>шт.</t>
        </is>
      </c>
      <c r="D410" s="4">
        <f>IF('Форма'!G408="","",'Форма'!G408)</f>
        <v/>
      </c>
      <c r="E410" s="9" t="inlineStr">
        <is>
          <t>точно</t>
        </is>
      </c>
      <c r="F410" s="9" t="inlineStr">
        <is>
          <t>SAN</t>
        </is>
      </c>
      <c r="G410" s="10" t="n">
        <v>3450</v>
      </c>
      <c r="H410" s="10" t="n">
        <v>2139</v>
      </c>
      <c r="I410" s="10" t="n">
        <v>2</v>
      </c>
      <c r="J410" s="9" t="inlineStr"/>
      <c r="K410" s="7">
        <f>IF(F410="",0,IFERROR(VLOOKUP(F410,Расходники!$A$4:$B$23,2,FALSE),0))</f>
        <v/>
      </c>
      <c r="L410" s="4">
        <f>H410*D410</f>
        <v/>
      </c>
      <c r="M410" s="4">
        <f>L410*K410</f>
        <v/>
      </c>
      <c r="N410" s="4">
        <f>SUMIF(Материалы!$A$4:$A$800,SUBSTITUTE(SUBSTITUTE(SUBSTITUTE(B410,"~","~~"),"*","~*"),"?","~?"),Материалы!$S$4:$S$800)</f>
        <v/>
      </c>
      <c r="O410" s="4">
        <f>L410+M410+N410</f>
        <v/>
      </c>
      <c r="P410" s="4">
        <f>IF(SUM($O$4:$O$672)=0,0,Косвенные!$C$9*O410/SUM($O$4:$O$672))</f>
        <v/>
      </c>
      <c r="Q410" s="4">
        <f>G410*D410+P410</f>
        <v/>
      </c>
      <c r="R410" s="4">
        <f>IF(D410=0,0,Q410/D410)</f>
        <v/>
      </c>
      <c r="S410" s="4">
        <f>IF(D410=0,0,SUMIF(Материалы!$A$4:$A$800,SUBSTITUTE(SUBSTITUTE(SUBSTITUTE(B410,"~","~~"),"*","~*"),"?","~?"),Материалы!$T$4:$T$800)/D410)</f>
        <v/>
      </c>
      <c r="T410" s="4">
        <f>R410+S410</f>
        <v/>
      </c>
      <c r="U410" s="4">
        <f>I410*D410</f>
        <v/>
      </c>
    </row>
    <row r="411" ht="22" customHeight="1">
      <c r="A411" s="9" t="inlineStr">
        <is>
          <t>9.4.7</t>
        </is>
      </c>
      <c r="B411" s="13" t="inlineStr">
        <is>
          <t>409. Водонагреватель накопительный, электрический Термекс 50 или аналог</t>
        </is>
      </c>
      <c r="C411" s="9" t="inlineStr">
        <is>
          <t>шт.</t>
        </is>
      </c>
      <c r="D411" s="4">
        <f>IF('Форма'!G409="","",'Форма'!G409)</f>
        <v/>
      </c>
      <c r="E411" s="9" t="inlineStr">
        <is>
          <t>точно</t>
        </is>
      </c>
      <c r="F411" s="9" t="inlineStr">
        <is>
          <t>SAN</t>
        </is>
      </c>
      <c r="G411" s="10" t="n">
        <v>3450</v>
      </c>
      <c r="H411" s="10" t="n">
        <v>2139</v>
      </c>
      <c r="I411" s="10" t="n">
        <v>2</v>
      </c>
      <c r="J411" s="9" t="inlineStr"/>
      <c r="K411" s="7">
        <f>IF(F411="",0,IFERROR(VLOOKUP(F411,Расходники!$A$4:$B$23,2,FALSE),0))</f>
        <v/>
      </c>
      <c r="L411" s="4">
        <f>H411*D411</f>
        <v/>
      </c>
      <c r="M411" s="4">
        <f>L411*K411</f>
        <v/>
      </c>
      <c r="N411" s="4">
        <f>SUMIF(Материалы!$A$4:$A$800,SUBSTITUTE(SUBSTITUTE(SUBSTITUTE(B411,"~","~~"),"*","~*"),"?","~?"),Материалы!$S$4:$S$800)</f>
        <v/>
      </c>
      <c r="O411" s="4">
        <f>L411+M411+N411</f>
        <v/>
      </c>
      <c r="P411" s="4">
        <f>IF(SUM($O$4:$O$672)=0,0,Косвенные!$C$9*O411/SUM($O$4:$O$672))</f>
        <v/>
      </c>
      <c r="Q411" s="4">
        <f>G411*D411+P411</f>
        <v/>
      </c>
      <c r="R411" s="4">
        <f>IF(D411=0,0,Q411/D411)</f>
        <v/>
      </c>
      <c r="S411" s="4">
        <f>IF(D411=0,0,SUMIF(Материалы!$A$4:$A$800,SUBSTITUTE(SUBSTITUTE(SUBSTITUTE(B411,"~","~~"),"*","~*"),"?","~?"),Материалы!$T$4:$T$800)/D411)</f>
        <v/>
      </c>
      <c r="T411" s="4">
        <f>R411+S411</f>
        <v/>
      </c>
      <c r="U411" s="4">
        <f>I411*D411</f>
        <v/>
      </c>
    </row>
    <row r="412" ht="22" customHeight="1">
      <c r="A412" s="9" t="inlineStr">
        <is>
          <t>9.4.7</t>
        </is>
      </c>
      <c r="B412" s="13" t="inlineStr">
        <is>
          <t>410. Водонагреватель накопительный, электрический Термекс 80 или аналог</t>
        </is>
      </c>
      <c r="C412" s="9" t="inlineStr">
        <is>
          <t>шт.</t>
        </is>
      </c>
      <c r="D412" s="4">
        <f>IF('Форма'!G410="","",'Форма'!G410)</f>
        <v/>
      </c>
      <c r="E412" s="9" t="inlineStr">
        <is>
          <t>точно</t>
        </is>
      </c>
      <c r="F412" s="9" t="inlineStr">
        <is>
          <t>SAN</t>
        </is>
      </c>
      <c r="G412" s="10" t="n">
        <v>3450</v>
      </c>
      <c r="H412" s="10" t="n">
        <v>2139</v>
      </c>
      <c r="I412" s="10" t="n">
        <v>2</v>
      </c>
      <c r="J412" s="9" t="inlineStr"/>
      <c r="K412" s="7">
        <f>IF(F412="",0,IFERROR(VLOOKUP(F412,Расходники!$A$4:$B$23,2,FALSE),0))</f>
        <v/>
      </c>
      <c r="L412" s="4">
        <f>H412*D412</f>
        <v/>
      </c>
      <c r="M412" s="4">
        <f>L412*K412</f>
        <v/>
      </c>
      <c r="N412" s="4">
        <f>SUMIF(Материалы!$A$4:$A$800,SUBSTITUTE(SUBSTITUTE(SUBSTITUTE(B412,"~","~~"),"*","~*"),"?","~?"),Материалы!$S$4:$S$800)</f>
        <v/>
      </c>
      <c r="O412" s="4">
        <f>L412+M412+N412</f>
        <v/>
      </c>
      <c r="P412" s="4">
        <f>IF(SUM($O$4:$O$672)=0,0,Косвенные!$C$9*O412/SUM($O$4:$O$672))</f>
        <v/>
      </c>
      <c r="Q412" s="4">
        <f>G412*D412+P412</f>
        <v/>
      </c>
      <c r="R412" s="4">
        <f>IF(D412=0,0,Q412/D412)</f>
        <v/>
      </c>
      <c r="S412" s="4">
        <f>IF(D412=0,0,SUMIF(Материалы!$A$4:$A$800,SUBSTITUTE(SUBSTITUTE(SUBSTITUTE(B412,"~","~~"),"*","~*"),"?","~?"),Материалы!$T$4:$T$800)/D412)</f>
        <v/>
      </c>
      <c r="T412" s="4">
        <f>R412+S412</f>
        <v/>
      </c>
      <c r="U412" s="4">
        <f>I412*D412</f>
        <v/>
      </c>
    </row>
    <row r="413" ht="22" customHeight="1">
      <c r="A413" s="9" t="inlineStr">
        <is>
          <t>9.4.7</t>
        </is>
      </c>
      <c r="B413" s="13" t="inlineStr">
        <is>
          <t>411. Водонагреватель накопительный, электрический Термекс 100 или аналог</t>
        </is>
      </c>
      <c r="C413" s="9" t="inlineStr">
        <is>
          <t>шт.</t>
        </is>
      </c>
      <c r="D413" s="4">
        <f>IF('Форма'!G411="","",'Форма'!G411)</f>
        <v/>
      </c>
      <c r="E413" s="9" t="inlineStr">
        <is>
          <t>точно</t>
        </is>
      </c>
      <c r="F413" s="9" t="inlineStr">
        <is>
          <t>SAN</t>
        </is>
      </c>
      <c r="G413" s="10" t="n">
        <v>3450</v>
      </c>
      <c r="H413" s="10" t="n">
        <v>2139</v>
      </c>
      <c r="I413" s="10" t="n">
        <v>2</v>
      </c>
      <c r="J413" s="9" t="inlineStr"/>
      <c r="K413" s="7">
        <f>IF(F413="",0,IFERROR(VLOOKUP(F413,Расходники!$A$4:$B$23,2,FALSE),0))</f>
        <v/>
      </c>
      <c r="L413" s="4">
        <f>H413*D413</f>
        <v/>
      </c>
      <c r="M413" s="4">
        <f>L413*K413</f>
        <v/>
      </c>
      <c r="N413" s="4">
        <f>SUMIF(Материалы!$A$4:$A$800,SUBSTITUTE(SUBSTITUTE(SUBSTITUTE(B413,"~","~~"),"*","~*"),"?","~?"),Материалы!$S$4:$S$800)</f>
        <v/>
      </c>
      <c r="O413" s="4">
        <f>L413+M413+N413</f>
        <v/>
      </c>
      <c r="P413" s="4">
        <f>IF(SUM($O$4:$O$672)=0,0,Косвенные!$C$9*O413/SUM($O$4:$O$672))</f>
        <v/>
      </c>
      <c r="Q413" s="4">
        <f>G413*D413+P413</f>
        <v/>
      </c>
      <c r="R413" s="4">
        <f>IF(D413=0,0,Q413/D413)</f>
        <v/>
      </c>
      <c r="S413" s="4">
        <f>IF(D413=0,0,SUMIF(Материалы!$A$4:$A$800,SUBSTITUTE(SUBSTITUTE(SUBSTITUTE(B413,"~","~~"),"*","~*"),"?","~?"),Материалы!$T$4:$T$800)/D413)</f>
        <v/>
      </c>
      <c r="T413" s="4">
        <f>R413+S413</f>
        <v/>
      </c>
      <c r="U413" s="4">
        <f>I413*D413</f>
        <v/>
      </c>
    </row>
    <row r="414" ht="22" customHeight="1">
      <c r="A414" s="9" t="inlineStr">
        <is>
          <t>9.4.N1</t>
        </is>
      </c>
      <c r="B414" s="13" t="inlineStr">
        <is>
          <t>412. Кран шаровой латунь 11б27п1 Ду 15 G1/2" Ру16 ВР</t>
        </is>
      </c>
      <c r="C414" s="9" t="inlineStr">
        <is>
          <t>шт.</t>
        </is>
      </c>
      <c r="D414" s="4">
        <f>IF('Форма'!G412="","",'Форма'!G412)</f>
        <v/>
      </c>
      <c r="E414" s="9" t="inlineStr">
        <is>
          <t>точно</t>
        </is>
      </c>
      <c r="F414" s="9" t="inlineStr">
        <is>
          <t>SAN</t>
        </is>
      </c>
      <c r="G414" s="10" t="n">
        <v>1380</v>
      </c>
      <c r="H414" s="10" t="n">
        <v>856</v>
      </c>
      <c r="I414" s="10" t="n">
        <v>0.8</v>
      </c>
      <c r="J414" s="9" t="inlineStr"/>
      <c r="K414" s="7">
        <f>IF(F414="",0,IFERROR(VLOOKUP(F414,Расходники!$A$4:$B$23,2,FALSE),0))</f>
        <v/>
      </c>
      <c r="L414" s="4">
        <f>H414*D414</f>
        <v/>
      </c>
      <c r="M414" s="4">
        <f>L414*K414</f>
        <v/>
      </c>
      <c r="N414" s="4">
        <f>SUMIF(Материалы!$A$4:$A$800,SUBSTITUTE(SUBSTITUTE(SUBSTITUTE(B414,"~","~~"),"*","~*"),"?","~?"),Материалы!$S$4:$S$800)</f>
        <v/>
      </c>
      <c r="O414" s="4">
        <f>L414+M414+N414</f>
        <v/>
      </c>
      <c r="P414" s="4">
        <f>IF(SUM($O$4:$O$672)=0,0,Косвенные!$C$9*O414/SUM($O$4:$O$672))</f>
        <v/>
      </c>
      <c r="Q414" s="4">
        <f>G414*D414+P414</f>
        <v/>
      </c>
      <c r="R414" s="4">
        <f>IF(D414=0,0,Q414/D414)</f>
        <v/>
      </c>
      <c r="S414" s="4">
        <f>IF(D414=0,0,SUMIF(Материалы!$A$4:$A$800,SUBSTITUTE(SUBSTITUTE(SUBSTITUTE(B414,"~","~~"),"*","~*"),"?","~?"),Материалы!$T$4:$T$800)/D414)</f>
        <v/>
      </c>
      <c r="T414" s="4">
        <f>R414+S414</f>
        <v/>
      </c>
      <c r="U414" s="4">
        <f>I414*D414</f>
        <v/>
      </c>
    </row>
    <row r="415" ht="22" customHeight="1">
      <c r="A415" s="9" t="inlineStr">
        <is>
          <t>9.4.N1</t>
        </is>
      </c>
      <c r="B415" s="13" t="inlineStr">
        <is>
          <t>413. Кран шаровой латунь 11б27п1 Ду 20 G3/4" Ру16 ВР</t>
        </is>
      </c>
      <c r="C415" s="9" t="inlineStr">
        <is>
          <t>шт.</t>
        </is>
      </c>
      <c r="D415" s="4">
        <f>IF('Форма'!G413="","",'Форма'!G413)</f>
        <v/>
      </c>
      <c r="E415" s="9" t="inlineStr">
        <is>
          <t>точно</t>
        </is>
      </c>
      <c r="F415" s="9" t="inlineStr">
        <is>
          <t>SAN</t>
        </is>
      </c>
      <c r="G415" s="10" t="n">
        <v>1380</v>
      </c>
      <c r="H415" s="10" t="n">
        <v>856</v>
      </c>
      <c r="I415" s="10" t="n">
        <v>0.8</v>
      </c>
      <c r="J415" s="9" t="inlineStr"/>
      <c r="K415" s="7">
        <f>IF(F415="",0,IFERROR(VLOOKUP(F415,Расходники!$A$4:$B$23,2,FALSE),0))</f>
        <v/>
      </c>
      <c r="L415" s="4">
        <f>H415*D415</f>
        <v/>
      </c>
      <c r="M415" s="4">
        <f>L415*K415</f>
        <v/>
      </c>
      <c r="N415" s="4">
        <f>SUMIF(Материалы!$A$4:$A$800,SUBSTITUTE(SUBSTITUTE(SUBSTITUTE(B415,"~","~~"),"*","~*"),"?","~?"),Материалы!$S$4:$S$800)</f>
        <v/>
      </c>
      <c r="O415" s="4">
        <f>L415+M415+N415</f>
        <v/>
      </c>
      <c r="P415" s="4">
        <f>IF(SUM($O$4:$O$672)=0,0,Косвенные!$C$9*O415/SUM($O$4:$O$672))</f>
        <v/>
      </c>
      <c r="Q415" s="4">
        <f>G415*D415+P415</f>
        <v/>
      </c>
      <c r="R415" s="4">
        <f>IF(D415=0,0,Q415/D415)</f>
        <v/>
      </c>
      <c r="S415" s="4">
        <f>IF(D415=0,0,SUMIF(Материалы!$A$4:$A$800,SUBSTITUTE(SUBSTITUTE(SUBSTITUTE(B415,"~","~~"),"*","~*"),"?","~?"),Материалы!$T$4:$T$800)/D415)</f>
        <v/>
      </c>
      <c r="T415" s="4">
        <f>R415+S415</f>
        <v/>
      </c>
      <c r="U415" s="4">
        <f>I415*D415</f>
        <v/>
      </c>
    </row>
    <row r="416" ht="22" customHeight="1">
      <c r="A416" s="9" t="inlineStr">
        <is>
          <t>9.4.N1</t>
        </is>
      </c>
      <c r="B416" s="13" t="inlineStr">
        <is>
          <t>414. Кран шаровой латунь 11б27п1 Ду 25 G1" Ру16 ВР</t>
        </is>
      </c>
      <c r="C416" s="9" t="inlineStr">
        <is>
          <t>шт.</t>
        </is>
      </c>
      <c r="D416" s="4">
        <f>IF('Форма'!G414="","",'Форма'!G414)</f>
        <v/>
      </c>
      <c r="E416" s="9" t="inlineStr">
        <is>
          <t>точно</t>
        </is>
      </c>
      <c r="F416" s="9" t="inlineStr">
        <is>
          <t>SAN</t>
        </is>
      </c>
      <c r="G416" s="10" t="n">
        <v>1380</v>
      </c>
      <c r="H416" s="10" t="n">
        <v>856</v>
      </c>
      <c r="I416" s="10" t="n">
        <v>0.8</v>
      </c>
      <c r="J416" s="9" t="inlineStr"/>
      <c r="K416" s="7">
        <f>IF(F416="",0,IFERROR(VLOOKUP(F416,Расходники!$A$4:$B$23,2,FALSE),0))</f>
        <v/>
      </c>
      <c r="L416" s="4">
        <f>H416*D416</f>
        <v/>
      </c>
      <c r="M416" s="4">
        <f>L416*K416</f>
        <v/>
      </c>
      <c r="N416" s="4">
        <f>SUMIF(Материалы!$A$4:$A$800,SUBSTITUTE(SUBSTITUTE(SUBSTITUTE(B416,"~","~~"),"*","~*"),"?","~?"),Материалы!$S$4:$S$800)</f>
        <v/>
      </c>
      <c r="O416" s="4">
        <f>L416+M416+N416</f>
        <v/>
      </c>
      <c r="P416" s="4">
        <f>IF(SUM($O$4:$O$672)=0,0,Косвенные!$C$9*O416/SUM($O$4:$O$672))</f>
        <v/>
      </c>
      <c r="Q416" s="4">
        <f>G416*D416+P416</f>
        <v/>
      </c>
      <c r="R416" s="4">
        <f>IF(D416=0,0,Q416/D416)</f>
        <v/>
      </c>
      <c r="S416" s="4">
        <f>IF(D416=0,0,SUMIF(Материалы!$A$4:$A$800,SUBSTITUTE(SUBSTITUTE(SUBSTITUTE(B416,"~","~~"),"*","~*"),"?","~?"),Материалы!$T$4:$T$800)/D416)</f>
        <v/>
      </c>
      <c r="T416" s="4">
        <f>R416+S416</f>
        <v/>
      </c>
      <c r="U416" s="4">
        <f>I416*D416</f>
        <v/>
      </c>
    </row>
    <row r="417" ht="22" customHeight="1">
      <c r="A417" s="9" t="inlineStr">
        <is>
          <t>9.4.N1</t>
        </is>
      </c>
      <c r="B417" s="13" t="inlineStr">
        <is>
          <t>415. Кран шаровой латунь 11б27п1 Ду 32 G1 1/4" Ру16 ВР</t>
        </is>
      </c>
      <c r="C417" s="9" t="inlineStr">
        <is>
          <t>шт.</t>
        </is>
      </c>
      <c r="D417" s="4">
        <f>IF('Форма'!G415="","",'Форма'!G415)</f>
        <v/>
      </c>
      <c r="E417" s="9" t="inlineStr">
        <is>
          <t>аналог (9.4.N1)</t>
        </is>
      </c>
      <c r="F417" s="9" t="inlineStr">
        <is>
          <t>SAN</t>
        </is>
      </c>
      <c r="G417" s="10" t="n">
        <v>1380</v>
      </c>
      <c r="H417" s="10" t="n">
        <v>856</v>
      </c>
      <c r="I417" s="10" t="n">
        <v>0.8</v>
      </c>
      <c r="J417" s="9" t="inlineStr"/>
      <c r="K417" s="7">
        <f>IF(F417="",0,IFERROR(VLOOKUP(F417,Расходники!$A$4:$B$23,2,FALSE),0))</f>
        <v/>
      </c>
      <c r="L417" s="4">
        <f>H417*D417</f>
        <v/>
      </c>
      <c r="M417" s="4">
        <f>L417*K417</f>
        <v/>
      </c>
      <c r="N417" s="4">
        <f>SUMIF(Материалы!$A$4:$A$800,SUBSTITUTE(SUBSTITUTE(SUBSTITUTE(B417,"~","~~"),"*","~*"),"?","~?"),Материалы!$S$4:$S$800)</f>
        <v/>
      </c>
      <c r="O417" s="4">
        <f>L417+M417+N417</f>
        <v/>
      </c>
      <c r="P417" s="4">
        <f>IF(SUM($O$4:$O$672)=0,0,Косвенные!$C$9*O417/SUM($O$4:$O$672))</f>
        <v/>
      </c>
      <c r="Q417" s="4">
        <f>G417*D417+P417</f>
        <v/>
      </c>
      <c r="R417" s="4">
        <f>IF(D417=0,0,Q417/D417)</f>
        <v/>
      </c>
      <c r="S417" s="4">
        <f>IF(D417=0,0,SUMIF(Материалы!$A$4:$A$800,SUBSTITUTE(SUBSTITUTE(SUBSTITUTE(B417,"~","~~"),"*","~*"),"?","~?"),Материалы!$T$4:$T$800)/D417)</f>
        <v/>
      </c>
      <c r="T417" s="4">
        <f>R417+S417</f>
        <v/>
      </c>
      <c r="U417" s="4">
        <f>I417*D417</f>
        <v/>
      </c>
    </row>
    <row r="418" ht="22" customHeight="1">
      <c r="A418" s="9" t="inlineStr">
        <is>
          <t>9.4.N1</t>
        </is>
      </c>
      <c r="B418" s="13" t="inlineStr">
        <is>
          <t>416. Кран шаровой латунь 11б27п1 Ду 40 G1 1/2" Ру16 ВР</t>
        </is>
      </c>
      <c r="C418" s="9" t="inlineStr">
        <is>
          <t>шт.</t>
        </is>
      </c>
      <c r="D418" s="4">
        <f>IF('Форма'!G416="","",'Форма'!G416)</f>
        <v/>
      </c>
      <c r="E418" s="9" t="inlineStr">
        <is>
          <t>аналог (9.4.N1)</t>
        </is>
      </c>
      <c r="F418" s="9" t="inlineStr">
        <is>
          <t>SAN</t>
        </is>
      </c>
      <c r="G418" s="10" t="n">
        <v>1380</v>
      </c>
      <c r="H418" s="10" t="n">
        <v>856</v>
      </c>
      <c r="I418" s="10" t="n">
        <v>0.8</v>
      </c>
      <c r="J418" s="9" t="inlineStr"/>
      <c r="K418" s="7">
        <f>IF(F418="",0,IFERROR(VLOOKUP(F418,Расходники!$A$4:$B$23,2,FALSE),0))</f>
        <v/>
      </c>
      <c r="L418" s="4">
        <f>H418*D418</f>
        <v/>
      </c>
      <c r="M418" s="4">
        <f>L418*K418</f>
        <v/>
      </c>
      <c r="N418" s="4">
        <f>SUMIF(Материалы!$A$4:$A$800,SUBSTITUTE(SUBSTITUTE(SUBSTITUTE(B418,"~","~~"),"*","~*"),"?","~?"),Материалы!$S$4:$S$800)</f>
        <v/>
      </c>
      <c r="O418" s="4">
        <f>L418+M418+N418</f>
        <v/>
      </c>
      <c r="P418" s="4">
        <f>IF(SUM($O$4:$O$672)=0,0,Косвенные!$C$9*O418/SUM($O$4:$O$672))</f>
        <v/>
      </c>
      <c r="Q418" s="4">
        <f>G418*D418+P418</f>
        <v/>
      </c>
      <c r="R418" s="4">
        <f>IF(D418=0,0,Q418/D418)</f>
        <v/>
      </c>
      <c r="S418" s="4">
        <f>IF(D418=0,0,SUMIF(Материалы!$A$4:$A$800,SUBSTITUTE(SUBSTITUTE(SUBSTITUTE(B418,"~","~~"),"*","~*"),"?","~?"),Материалы!$T$4:$T$800)/D418)</f>
        <v/>
      </c>
      <c r="T418" s="4">
        <f>R418+S418</f>
        <v/>
      </c>
      <c r="U418" s="4">
        <f>I418*D418</f>
        <v/>
      </c>
    </row>
    <row r="419" ht="22" customHeight="1">
      <c r="A419" s="9" t="inlineStr">
        <is>
          <t>9.4.N1</t>
        </is>
      </c>
      <c r="B419" s="13" t="inlineStr">
        <is>
          <t>417. Кран шаровой латунь 11б27п1 Ду 50 G2" Ру16 ВР</t>
        </is>
      </c>
      <c r="C419" s="9" t="inlineStr">
        <is>
          <t>шт.</t>
        </is>
      </c>
      <c r="D419" s="4">
        <f>IF('Форма'!G417="","",'Форма'!G417)</f>
        <v/>
      </c>
      <c r="E419" s="9" t="inlineStr">
        <is>
          <t>аналог (9.4.N1)</t>
        </is>
      </c>
      <c r="F419" s="9" t="inlineStr">
        <is>
          <t>SAN</t>
        </is>
      </c>
      <c r="G419" s="10" t="n">
        <v>1380</v>
      </c>
      <c r="H419" s="10" t="n">
        <v>856</v>
      </c>
      <c r="I419" s="10" t="n">
        <v>0.8</v>
      </c>
      <c r="J419" s="9" t="inlineStr"/>
      <c r="K419" s="7">
        <f>IF(F419="",0,IFERROR(VLOOKUP(F419,Расходники!$A$4:$B$23,2,FALSE),0))</f>
        <v/>
      </c>
      <c r="L419" s="4">
        <f>H419*D419</f>
        <v/>
      </c>
      <c r="M419" s="4">
        <f>L419*K419</f>
        <v/>
      </c>
      <c r="N419" s="4">
        <f>SUMIF(Материалы!$A$4:$A$800,SUBSTITUTE(SUBSTITUTE(SUBSTITUTE(B419,"~","~~"),"*","~*"),"?","~?"),Материалы!$S$4:$S$800)</f>
        <v/>
      </c>
      <c r="O419" s="4">
        <f>L419+M419+N419</f>
        <v/>
      </c>
      <c r="P419" s="4">
        <f>IF(SUM($O$4:$O$672)=0,0,Косвенные!$C$9*O419/SUM($O$4:$O$672))</f>
        <v/>
      </c>
      <c r="Q419" s="4">
        <f>G419*D419+P419</f>
        <v/>
      </c>
      <c r="R419" s="4">
        <f>IF(D419=0,0,Q419/D419)</f>
        <v/>
      </c>
      <c r="S419" s="4">
        <f>IF(D419=0,0,SUMIF(Материалы!$A$4:$A$800,SUBSTITUTE(SUBSTITUTE(SUBSTITUTE(B419,"~","~~"),"*","~*"),"?","~?"),Материалы!$T$4:$T$800)/D419)</f>
        <v/>
      </c>
      <c r="T419" s="4">
        <f>R419+S419</f>
        <v/>
      </c>
      <c r="U419" s="4">
        <f>I419*D419</f>
        <v/>
      </c>
    </row>
    <row r="420" ht="22" customHeight="1">
      <c r="A420" s="9" t="inlineStr">
        <is>
          <t>9.4.N1</t>
        </is>
      </c>
      <c r="B420" s="13" t="inlineStr">
        <is>
          <t>418. Кран шаровой латунь 11б27п1 Ду 15 G1/2" Ру16 ВР/НР</t>
        </is>
      </c>
      <c r="C420" s="9" t="inlineStr">
        <is>
          <t>шт.</t>
        </is>
      </c>
      <c r="D420" s="4">
        <f>IF('Форма'!G418="","",'Форма'!G418)</f>
        <v/>
      </c>
      <c r="E420" s="9" t="inlineStr">
        <is>
          <t>точно</t>
        </is>
      </c>
      <c r="F420" s="9" t="inlineStr">
        <is>
          <t>SAN</t>
        </is>
      </c>
      <c r="G420" s="10" t="n">
        <v>1380</v>
      </c>
      <c r="H420" s="10" t="n">
        <v>856</v>
      </c>
      <c r="I420" s="10" t="n">
        <v>0.8</v>
      </c>
      <c r="J420" s="9" t="inlineStr"/>
      <c r="K420" s="7">
        <f>IF(F420="",0,IFERROR(VLOOKUP(F420,Расходники!$A$4:$B$23,2,FALSE),0))</f>
        <v/>
      </c>
      <c r="L420" s="4">
        <f>H420*D420</f>
        <v/>
      </c>
      <c r="M420" s="4">
        <f>L420*K420</f>
        <v/>
      </c>
      <c r="N420" s="4">
        <f>SUMIF(Материалы!$A$4:$A$800,SUBSTITUTE(SUBSTITUTE(SUBSTITUTE(B420,"~","~~"),"*","~*"),"?","~?"),Материалы!$S$4:$S$800)</f>
        <v/>
      </c>
      <c r="O420" s="4">
        <f>L420+M420+N420</f>
        <v/>
      </c>
      <c r="P420" s="4">
        <f>IF(SUM($O$4:$O$672)=0,0,Косвенные!$C$9*O420/SUM($O$4:$O$672))</f>
        <v/>
      </c>
      <c r="Q420" s="4">
        <f>G420*D420+P420</f>
        <v/>
      </c>
      <c r="R420" s="4">
        <f>IF(D420=0,0,Q420/D420)</f>
        <v/>
      </c>
      <c r="S420" s="4">
        <f>IF(D420=0,0,SUMIF(Материалы!$A$4:$A$800,SUBSTITUTE(SUBSTITUTE(SUBSTITUTE(B420,"~","~~"),"*","~*"),"?","~?"),Материалы!$T$4:$T$800)/D420)</f>
        <v/>
      </c>
      <c r="T420" s="4">
        <f>R420+S420</f>
        <v/>
      </c>
      <c r="U420" s="4">
        <f>I420*D420</f>
        <v/>
      </c>
    </row>
    <row r="421" ht="22" customHeight="1">
      <c r="A421" s="9" t="inlineStr">
        <is>
          <t>9.4.N1</t>
        </is>
      </c>
      <c r="B421" s="13" t="inlineStr">
        <is>
          <t>419. Кран шаровой латунь 11б27п1 Ду 20 G3/4" Ру16 ВР/НР</t>
        </is>
      </c>
      <c r="C421" s="9" t="inlineStr">
        <is>
          <t>шт.</t>
        </is>
      </c>
      <c r="D421" s="4">
        <f>IF('Форма'!G419="","",'Форма'!G419)</f>
        <v/>
      </c>
      <c r="E421" s="9" t="inlineStr">
        <is>
          <t>точно</t>
        </is>
      </c>
      <c r="F421" s="9" t="inlineStr">
        <is>
          <t>SAN</t>
        </is>
      </c>
      <c r="G421" s="10" t="n">
        <v>1380</v>
      </c>
      <c r="H421" s="10" t="n">
        <v>856</v>
      </c>
      <c r="I421" s="10" t="n">
        <v>0.8</v>
      </c>
      <c r="J421" s="9" t="inlineStr"/>
      <c r="K421" s="7">
        <f>IF(F421="",0,IFERROR(VLOOKUP(F421,Расходники!$A$4:$B$23,2,FALSE),0))</f>
        <v/>
      </c>
      <c r="L421" s="4">
        <f>H421*D421</f>
        <v/>
      </c>
      <c r="M421" s="4">
        <f>L421*K421</f>
        <v/>
      </c>
      <c r="N421" s="4">
        <f>SUMIF(Материалы!$A$4:$A$800,SUBSTITUTE(SUBSTITUTE(SUBSTITUTE(B421,"~","~~"),"*","~*"),"?","~?"),Материалы!$S$4:$S$800)</f>
        <v/>
      </c>
      <c r="O421" s="4">
        <f>L421+M421+N421</f>
        <v/>
      </c>
      <c r="P421" s="4">
        <f>IF(SUM($O$4:$O$672)=0,0,Косвенные!$C$9*O421/SUM($O$4:$O$672))</f>
        <v/>
      </c>
      <c r="Q421" s="4">
        <f>G421*D421+P421</f>
        <v/>
      </c>
      <c r="R421" s="4">
        <f>IF(D421=0,0,Q421/D421)</f>
        <v/>
      </c>
      <c r="S421" s="4">
        <f>IF(D421=0,0,SUMIF(Материалы!$A$4:$A$800,SUBSTITUTE(SUBSTITUTE(SUBSTITUTE(B421,"~","~~"),"*","~*"),"?","~?"),Материалы!$T$4:$T$800)/D421)</f>
        <v/>
      </c>
      <c r="T421" s="4">
        <f>R421+S421</f>
        <v/>
      </c>
      <c r="U421" s="4">
        <f>I421*D421</f>
        <v/>
      </c>
    </row>
    <row r="422" ht="22" customHeight="1">
      <c r="A422" s="9" t="inlineStr">
        <is>
          <t>9.4.N1</t>
        </is>
      </c>
      <c r="B422" s="13" t="inlineStr">
        <is>
          <t>420. Кран шаровой латунь 11б27п1 Ду 25 G1" Ру16 ВР/НР</t>
        </is>
      </c>
      <c r="C422" s="9" t="inlineStr">
        <is>
          <t>шт.</t>
        </is>
      </c>
      <c r="D422" s="4">
        <f>IF('Форма'!G420="","",'Форма'!G420)</f>
        <v/>
      </c>
      <c r="E422" s="9" t="inlineStr">
        <is>
          <t>точно</t>
        </is>
      </c>
      <c r="F422" s="9" t="inlineStr">
        <is>
          <t>SAN</t>
        </is>
      </c>
      <c r="G422" s="10" t="n">
        <v>1380</v>
      </c>
      <c r="H422" s="10" t="n">
        <v>856</v>
      </c>
      <c r="I422" s="10" t="n">
        <v>0.8</v>
      </c>
      <c r="J422" s="9" t="inlineStr"/>
      <c r="K422" s="7">
        <f>IF(F422="",0,IFERROR(VLOOKUP(F422,Расходники!$A$4:$B$23,2,FALSE),0))</f>
        <v/>
      </c>
      <c r="L422" s="4">
        <f>H422*D422</f>
        <v/>
      </c>
      <c r="M422" s="4">
        <f>L422*K422</f>
        <v/>
      </c>
      <c r="N422" s="4">
        <f>SUMIF(Материалы!$A$4:$A$800,SUBSTITUTE(SUBSTITUTE(SUBSTITUTE(B422,"~","~~"),"*","~*"),"?","~?"),Материалы!$S$4:$S$800)</f>
        <v/>
      </c>
      <c r="O422" s="4">
        <f>L422+M422+N422</f>
        <v/>
      </c>
      <c r="P422" s="4">
        <f>IF(SUM($O$4:$O$672)=0,0,Косвенные!$C$9*O422/SUM($O$4:$O$672))</f>
        <v/>
      </c>
      <c r="Q422" s="4">
        <f>G422*D422+P422</f>
        <v/>
      </c>
      <c r="R422" s="4">
        <f>IF(D422=0,0,Q422/D422)</f>
        <v/>
      </c>
      <c r="S422" s="4">
        <f>IF(D422=0,0,SUMIF(Материалы!$A$4:$A$800,SUBSTITUTE(SUBSTITUTE(SUBSTITUTE(B422,"~","~~"),"*","~*"),"?","~?"),Материалы!$T$4:$T$800)/D422)</f>
        <v/>
      </c>
      <c r="T422" s="4">
        <f>R422+S422</f>
        <v/>
      </c>
      <c r="U422" s="4">
        <f>I422*D422</f>
        <v/>
      </c>
    </row>
    <row r="423" ht="22" customHeight="1">
      <c r="A423" s="9" t="inlineStr">
        <is>
          <t>9.4.N1</t>
        </is>
      </c>
      <c r="B423" s="13" t="inlineStr">
        <is>
          <t>421. Кран шаровой латунь 11б27п1 Ду 32 G1 1/4" Ру16 ВР/НР</t>
        </is>
      </c>
      <c r="C423" s="9" t="inlineStr">
        <is>
          <t>шт.</t>
        </is>
      </c>
      <c r="D423" s="4">
        <f>IF('Форма'!G421="","",'Форма'!G421)</f>
        <v/>
      </c>
      <c r="E423" s="9" t="inlineStr">
        <is>
          <t>аналог (9.4.N1)</t>
        </is>
      </c>
      <c r="F423" s="9" t="inlineStr">
        <is>
          <t>SAN</t>
        </is>
      </c>
      <c r="G423" s="10" t="n">
        <v>1380</v>
      </c>
      <c r="H423" s="10" t="n">
        <v>856</v>
      </c>
      <c r="I423" s="10" t="n">
        <v>0.8</v>
      </c>
      <c r="J423" s="9" t="inlineStr"/>
      <c r="K423" s="7">
        <f>IF(F423="",0,IFERROR(VLOOKUP(F423,Расходники!$A$4:$B$23,2,FALSE),0))</f>
        <v/>
      </c>
      <c r="L423" s="4">
        <f>H423*D423</f>
        <v/>
      </c>
      <c r="M423" s="4">
        <f>L423*K423</f>
        <v/>
      </c>
      <c r="N423" s="4">
        <f>SUMIF(Материалы!$A$4:$A$800,SUBSTITUTE(SUBSTITUTE(SUBSTITUTE(B423,"~","~~"),"*","~*"),"?","~?"),Материалы!$S$4:$S$800)</f>
        <v/>
      </c>
      <c r="O423" s="4">
        <f>L423+M423+N423</f>
        <v/>
      </c>
      <c r="P423" s="4">
        <f>IF(SUM($O$4:$O$672)=0,0,Косвенные!$C$9*O423/SUM($O$4:$O$672))</f>
        <v/>
      </c>
      <c r="Q423" s="4">
        <f>G423*D423+P423</f>
        <v/>
      </c>
      <c r="R423" s="4">
        <f>IF(D423=0,0,Q423/D423)</f>
        <v/>
      </c>
      <c r="S423" s="4">
        <f>IF(D423=0,0,SUMIF(Материалы!$A$4:$A$800,SUBSTITUTE(SUBSTITUTE(SUBSTITUTE(B423,"~","~~"),"*","~*"),"?","~?"),Материалы!$T$4:$T$800)/D423)</f>
        <v/>
      </c>
      <c r="T423" s="4">
        <f>R423+S423</f>
        <v/>
      </c>
      <c r="U423" s="4">
        <f>I423*D423</f>
        <v/>
      </c>
    </row>
    <row r="424" ht="22" customHeight="1">
      <c r="A424" s="9" t="inlineStr">
        <is>
          <t>9.4.N1</t>
        </is>
      </c>
      <c r="B424" s="13" t="inlineStr">
        <is>
          <t>422. Кран шаровой латунь 11б27п1 Ду 40 G1 1/2" Ру16 ВР/НР</t>
        </is>
      </c>
      <c r="C424" s="9" t="inlineStr">
        <is>
          <t>шт.</t>
        </is>
      </c>
      <c r="D424" s="4">
        <f>IF('Форма'!G422="","",'Форма'!G422)</f>
        <v/>
      </c>
      <c r="E424" s="9" t="inlineStr">
        <is>
          <t>аналог (9.4.N1)</t>
        </is>
      </c>
      <c r="F424" s="9" t="inlineStr">
        <is>
          <t>SAN</t>
        </is>
      </c>
      <c r="G424" s="10" t="n">
        <v>1380</v>
      </c>
      <c r="H424" s="10" t="n">
        <v>856</v>
      </c>
      <c r="I424" s="10" t="n">
        <v>0.8</v>
      </c>
      <c r="J424" s="9" t="inlineStr"/>
      <c r="K424" s="7">
        <f>IF(F424="",0,IFERROR(VLOOKUP(F424,Расходники!$A$4:$B$23,2,FALSE),0))</f>
        <v/>
      </c>
      <c r="L424" s="4">
        <f>H424*D424</f>
        <v/>
      </c>
      <c r="M424" s="4">
        <f>L424*K424</f>
        <v/>
      </c>
      <c r="N424" s="4">
        <f>SUMIF(Материалы!$A$4:$A$800,SUBSTITUTE(SUBSTITUTE(SUBSTITUTE(B424,"~","~~"),"*","~*"),"?","~?"),Материалы!$S$4:$S$800)</f>
        <v/>
      </c>
      <c r="O424" s="4">
        <f>L424+M424+N424</f>
        <v/>
      </c>
      <c r="P424" s="4">
        <f>IF(SUM($O$4:$O$672)=0,0,Косвенные!$C$9*O424/SUM($O$4:$O$672))</f>
        <v/>
      </c>
      <c r="Q424" s="4">
        <f>G424*D424+P424</f>
        <v/>
      </c>
      <c r="R424" s="4">
        <f>IF(D424=0,0,Q424/D424)</f>
        <v/>
      </c>
      <c r="S424" s="4">
        <f>IF(D424=0,0,SUMIF(Материалы!$A$4:$A$800,SUBSTITUTE(SUBSTITUTE(SUBSTITUTE(B424,"~","~~"),"*","~*"),"?","~?"),Материалы!$T$4:$T$800)/D424)</f>
        <v/>
      </c>
      <c r="T424" s="4">
        <f>R424+S424</f>
        <v/>
      </c>
      <c r="U424" s="4">
        <f>I424*D424</f>
        <v/>
      </c>
    </row>
    <row r="425" ht="22" customHeight="1">
      <c r="A425" s="9" t="inlineStr">
        <is>
          <t>9.4.N1</t>
        </is>
      </c>
      <c r="B425" s="13" t="inlineStr">
        <is>
          <t>423. Кран шаровой латунь 11б27п1 Ду 50 G2" Ру16 ВР/НР</t>
        </is>
      </c>
      <c r="C425" s="9" t="inlineStr">
        <is>
          <t>шт.</t>
        </is>
      </c>
      <c r="D425" s="4">
        <f>IF('Форма'!G423="","",'Форма'!G423)</f>
        <v/>
      </c>
      <c r="E425" s="9" t="inlineStr">
        <is>
          <t>аналог (9.4.N1)</t>
        </is>
      </c>
      <c r="F425" s="9" t="inlineStr">
        <is>
          <t>SAN</t>
        </is>
      </c>
      <c r="G425" s="10" t="n">
        <v>1380</v>
      </c>
      <c r="H425" s="10" t="n">
        <v>856</v>
      </c>
      <c r="I425" s="10" t="n">
        <v>0.8</v>
      </c>
      <c r="J425" s="9" t="inlineStr"/>
      <c r="K425" s="7">
        <f>IF(F425="",0,IFERROR(VLOOKUP(F425,Расходники!$A$4:$B$23,2,FALSE),0))</f>
        <v/>
      </c>
      <c r="L425" s="4">
        <f>H425*D425</f>
        <v/>
      </c>
      <c r="M425" s="4">
        <f>L425*K425</f>
        <v/>
      </c>
      <c r="N425" s="4">
        <f>SUMIF(Материалы!$A$4:$A$800,SUBSTITUTE(SUBSTITUTE(SUBSTITUTE(B425,"~","~~"),"*","~*"),"?","~?"),Материалы!$S$4:$S$800)</f>
        <v/>
      </c>
      <c r="O425" s="4">
        <f>L425+M425+N425</f>
        <v/>
      </c>
      <c r="P425" s="4">
        <f>IF(SUM($O$4:$O$672)=0,0,Косвенные!$C$9*O425/SUM($O$4:$O$672))</f>
        <v/>
      </c>
      <c r="Q425" s="4">
        <f>G425*D425+P425</f>
        <v/>
      </c>
      <c r="R425" s="4">
        <f>IF(D425=0,0,Q425/D425)</f>
        <v/>
      </c>
      <c r="S425" s="4">
        <f>IF(D425=0,0,SUMIF(Материалы!$A$4:$A$800,SUBSTITUTE(SUBSTITUTE(SUBSTITUTE(B425,"~","~~"),"*","~*"),"?","~?"),Материалы!$T$4:$T$800)/D425)</f>
        <v/>
      </c>
      <c r="T425" s="4">
        <f>R425+S425</f>
        <v/>
      </c>
      <c r="U425" s="4">
        <f>I425*D425</f>
        <v/>
      </c>
    </row>
    <row r="426" ht="22" customHeight="1">
      <c r="A426" s="9" t="inlineStr">
        <is>
          <t>9.4.N1</t>
        </is>
      </c>
      <c r="B426" s="13" t="inlineStr">
        <is>
          <t>424. Кран шаровой латунь 11б27п9 Ду 15 G1/2" Ру16 ВР/"американка" полнопроходной</t>
        </is>
      </c>
      <c r="C426" s="9" t="inlineStr">
        <is>
          <t>шт.</t>
        </is>
      </c>
      <c r="D426" s="4">
        <f>IF('Форма'!G424="","",'Форма'!G424)</f>
        <v/>
      </c>
      <c r="E426" s="9" t="inlineStr">
        <is>
          <t>точно</t>
        </is>
      </c>
      <c r="F426" s="9" t="inlineStr">
        <is>
          <t>SAN</t>
        </is>
      </c>
      <c r="G426" s="10" t="n">
        <v>1380</v>
      </c>
      <c r="H426" s="10" t="n">
        <v>856</v>
      </c>
      <c r="I426" s="10" t="n">
        <v>0.8</v>
      </c>
      <c r="J426" s="9" t="inlineStr"/>
      <c r="K426" s="7">
        <f>IF(F426="",0,IFERROR(VLOOKUP(F426,Расходники!$A$4:$B$23,2,FALSE),0))</f>
        <v/>
      </c>
      <c r="L426" s="4">
        <f>H426*D426</f>
        <v/>
      </c>
      <c r="M426" s="4">
        <f>L426*K426</f>
        <v/>
      </c>
      <c r="N426" s="4">
        <f>SUMIF(Материалы!$A$4:$A$800,SUBSTITUTE(SUBSTITUTE(SUBSTITUTE(B426,"~","~~"),"*","~*"),"?","~?"),Материалы!$S$4:$S$800)</f>
        <v/>
      </c>
      <c r="O426" s="4">
        <f>L426+M426+N426</f>
        <v/>
      </c>
      <c r="P426" s="4">
        <f>IF(SUM($O$4:$O$672)=0,0,Косвенные!$C$9*O426/SUM($O$4:$O$672))</f>
        <v/>
      </c>
      <c r="Q426" s="4">
        <f>G426*D426+P426</f>
        <v/>
      </c>
      <c r="R426" s="4">
        <f>IF(D426=0,0,Q426/D426)</f>
        <v/>
      </c>
      <c r="S426" s="4">
        <f>IF(D426=0,0,SUMIF(Материалы!$A$4:$A$800,SUBSTITUTE(SUBSTITUTE(SUBSTITUTE(B426,"~","~~"),"*","~*"),"?","~?"),Материалы!$T$4:$T$800)/D426)</f>
        <v/>
      </c>
      <c r="T426" s="4">
        <f>R426+S426</f>
        <v/>
      </c>
      <c r="U426" s="4">
        <f>I426*D426</f>
        <v/>
      </c>
    </row>
    <row r="427" ht="22" customHeight="1">
      <c r="A427" s="9" t="inlineStr">
        <is>
          <t>9.4.N1</t>
        </is>
      </c>
      <c r="B427" s="13" t="inlineStr">
        <is>
          <t>425. Кран шаровой латунь 11б27п9 Ду 20 G3/4" Ру16 ВР/"американка" полнопроходной</t>
        </is>
      </c>
      <c r="C427" s="9" t="inlineStr">
        <is>
          <t>шт.</t>
        </is>
      </c>
      <c r="D427" s="4">
        <f>IF('Форма'!G425="","",'Форма'!G425)</f>
        <v/>
      </c>
      <c r="E427" s="9" t="inlineStr">
        <is>
          <t>точно</t>
        </is>
      </c>
      <c r="F427" s="9" t="inlineStr">
        <is>
          <t>SAN</t>
        </is>
      </c>
      <c r="G427" s="10" t="n">
        <v>1380</v>
      </c>
      <c r="H427" s="10" t="n">
        <v>856</v>
      </c>
      <c r="I427" s="10" t="n">
        <v>0.8</v>
      </c>
      <c r="J427" s="9" t="inlineStr"/>
      <c r="K427" s="7">
        <f>IF(F427="",0,IFERROR(VLOOKUP(F427,Расходники!$A$4:$B$23,2,FALSE),0))</f>
        <v/>
      </c>
      <c r="L427" s="4">
        <f>H427*D427</f>
        <v/>
      </c>
      <c r="M427" s="4">
        <f>L427*K427</f>
        <v/>
      </c>
      <c r="N427" s="4">
        <f>SUMIF(Материалы!$A$4:$A$800,SUBSTITUTE(SUBSTITUTE(SUBSTITUTE(B427,"~","~~"),"*","~*"),"?","~?"),Материалы!$S$4:$S$800)</f>
        <v/>
      </c>
      <c r="O427" s="4">
        <f>L427+M427+N427</f>
        <v/>
      </c>
      <c r="P427" s="4">
        <f>IF(SUM($O$4:$O$672)=0,0,Косвенные!$C$9*O427/SUM($O$4:$O$672))</f>
        <v/>
      </c>
      <c r="Q427" s="4">
        <f>G427*D427+P427</f>
        <v/>
      </c>
      <c r="R427" s="4">
        <f>IF(D427=0,0,Q427/D427)</f>
        <v/>
      </c>
      <c r="S427" s="4">
        <f>IF(D427=0,0,SUMIF(Материалы!$A$4:$A$800,SUBSTITUTE(SUBSTITUTE(SUBSTITUTE(B427,"~","~~"),"*","~*"),"?","~?"),Материалы!$T$4:$T$800)/D427)</f>
        <v/>
      </c>
      <c r="T427" s="4">
        <f>R427+S427</f>
        <v/>
      </c>
      <c r="U427" s="4">
        <f>I427*D427</f>
        <v/>
      </c>
    </row>
    <row r="428" ht="22" customHeight="1">
      <c r="A428" s="9" t="inlineStr">
        <is>
          <t>9.4.N1</t>
        </is>
      </c>
      <c r="B428" s="13" t="inlineStr">
        <is>
          <t>426. Кран шаровой латунь 11б27п9 Ду 25 G1" Ру16 ВР/"американка" полнопроходной бабочка красный Цветлит 11б27п9</t>
        </is>
      </c>
      <c r="C428" s="9" t="inlineStr">
        <is>
          <t>шт.</t>
        </is>
      </c>
      <c r="D428" s="4">
        <f>IF('Форма'!G426="","",'Форма'!G426)</f>
        <v/>
      </c>
      <c r="E428" s="9" t="inlineStr">
        <is>
          <t>точно</t>
        </is>
      </c>
      <c r="F428" s="9" t="inlineStr">
        <is>
          <t>SAN</t>
        </is>
      </c>
      <c r="G428" s="10" t="n">
        <v>1380</v>
      </c>
      <c r="H428" s="10" t="n">
        <v>856</v>
      </c>
      <c r="I428" s="10" t="n">
        <v>0.8</v>
      </c>
      <c r="J428" s="9" t="inlineStr"/>
      <c r="K428" s="7">
        <f>IF(F428="",0,IFERROR(VLOOKUP(F428,Расходники!$A$4:$B$23,2,FALSE),0))</f>
        <v/>
      </c>
      <c r="L428" s="4">
        <f>H428*D428</f>
        <v/>
      </c>
      <c r="M428" s="4">
        <f>L428*K428</f>
        <v/>
      </c>
      <c r="N428" s="4">
        <f>SUMIF(Материалы!$A$4:$A$800,SUBSTITUTE(SUBSTITUTE(SUBSTITUTE(B428,"~","~~"),"*","~*"),"?","~?"),Материалы!$S$4:$S$800)</f>
        <v/>
      </c>
      <c r="O428" s="4">
        <f>L428+M428+N428</f>
        <v/>
      </c>
      <c r="P428" s="4">
        <f>IF(SUM($O$4:$O$672)=0,0,Косвенные!$C$9*O428/SUM($O$4:$O$672))</f>
        <v/>
      </c>
      <c r="Q428" s="4">
        <f>G428*D428+P428</f>
        <v/>
      </c>
      <c r="R428" s="4">
        <f>IF(D428=0,0,Q428/D428)</f>
        <v/>
      </c>
      <c r="S428" s="4">
        <f>IF(D428=0,0,SUMIF(Материалы!$A$4:$A$800,SUBSTITUTE(SUBSTITUTE(SUBSTITUTE(B428,"~","~~"),"*","~*"),"?","~?"),Материалы!$T$4:$T$800)/D428)</f>
        <v/>
      </c>
      <c r="T428" s="4">
        <f>R428+S428</f>
        <v/>
      </c>
      <c r="U428" s="4">
        <f>I428*D428</f>
        <v/>
      </c>
    </row>
    <row r="429" ht="22" customHeight="1">
      <c r="A429" s="9" t="inlineStr">
        <is>
          <t>9.4.N1</t>
        </is>
      </c>
      <c r="B429" s="13" t="inlineStr">
        <is>
          <t>427. Кран шаровой латунь 11б27п9 Ду 32 G1 1/4" Ру16 ВР/"американка" полнопроходной бабочка красный Цветлит 11б27п9</t>
        </is>
      </c>
      <c r="C429" s="9" t="inlineStr">
        <is>
          <t>шт.</t>
        </is>
      </c>
      <c r="D429" s="4">
        <f>IF('Форма'!G427="","",'Форма'!G427)</f>
        <v/>
      </c>
      <c r="E429" s="9" t="inlineStr">
        <is>
          <t>аналог (9.4.N1)</t>
        </is>
      </c>
      <c r="F429" s="9" t="inlineStr">
        <is>
          <t>SAN</t>
        </is>
      </c>
      <c r="G429" s="10" t="n">
        <v>1380</v>
      </c>
      <c r="H429" s="10" t="n">
        <v>856</v>
      </c>
      <c r="I429" s="10" t="n">
        <v>0.8</v>
      </c>
      <c r="J429" s="9" t="inlineStr"/>
      <c r="K429" s="7">
        <f>IF(F429="",0,IFERROR(VLOOKUP(F429,Расходники!$A$4:$B$23,2,FALSE),0))</f>
        <v/>
      </c>
      <c r="L429" s="4">
        <f>H429*D429</f>
        <v/>
      </c>
      <c r="M429" s="4">
        <f>L429*K429</f>
        <v/>
      </c>
      <c r="N429" s="4">
        <f>SUMIF(Материалы!$A$4:$A$800,SUBSTITUTE(SUBSTITUTE(SUBSTITUTE(B429,"~","~~"),"*","~*"),"?","~?"),Материалы!$S$4:$S$800)</f>
        <v/>
      </c>
      <c r="O429" s="4">
        <f>L429+M429+N429</f>
        <v/>
      </c>
      <c r="P429" s="4">
        <f>IF(SUM($O$4:$O$672)=0,0,Косвенные!$C$9*O429/SUM($O$4:$O$672))</f>
        <v/>
      </c>
      <c r="Q429" s="4">
        <f>G429*D429+P429</f>
        <v/>
      </c>
      <c r="R429" s="4">
        <f>IF(D429=0,0,Q429/D429)</f>
        <v/>
      </c>
      <c r="S429" s="4">
        <f>IF(D429=0,0,SUMIF(Материалы!$A$4:$A$800,SUBSTITUTE(SUBSTITUTE(SUBSTITUTE(B429,"~","~~"),"*","~*"),"?","~?"),Материалы!$T$4:$T$800)/D429)</f>
        <v/>
      </c>
      <c r="T429" s="4">
        <f>R429+S429</f>
        <v/>
      </c>
      <c r="U429" s="4">
        <f>I429*D429</f>
        <v/>
      </c>
    </row>
    <row r="430" ht="22" customHeight="1">
      <c r="A430" s="9" t="inlineStr"/>
      <c r="B430" s="13" t="inlineStr">
        <is>
          <t>428. Желоб водосточный с порошковой окраскойd 125</t>
        </is>
      </c>
      <c r="C430" s="9" t="inlineStr">
        <is>
          <t>м.п.</t>
        </is>
      </c>
      <c r="D430" s="4">
        <f>IF('Форма'!G428="","",'Форма'!G428)</f>
        <v/>
      </c>
      <c r="E430" s="9" t="inlineStr">
        <is>
          <t>аналог (8.2.34), единица приведена к нормо-часам</t>
        </is>
      </c>
      <c r="F430" s="9" t="inlineStr">
        <is>
          <t>OTD</t>
        </is>
      </c>
      <c r="G430" s="10" t="n">
        <v>342</v>
      </c>
      <c r="H430" s="10" t="n">
        <v>180</v>
      </c>
      <c r="I430" s="10" t="n">
        <v>0.2</v>
      </c>
      <c r="J430" s="9" t="inlineStr"/>
      <c r="K430" s="7">
        <f>IF(F430="",0,IFERROR(VLOOKUP(F430,Расходники!$A$4:$B$23,2,FALSE),0))</f>
        <v/>
      </c>
      <c r="L430" s="4">
        <f>H430*D430</f>
        <v/>
      </c>
      <c r="M430" s="4">
        <f>L430*K430</f>
        <v/>
      </c>
      <c r="N430" s="4">
        <f>SUMIF(Материалы!$A$4:$A$800,SUBSTITUTE(SUBSTITUTE(SUBSTITUTE(B430,"~","~~"),"*","~*"),"?","~?"),Материалы!$S$4:$S$800)</f>
        <v/>
      </c>
      <c r="O430" s="4">
        <f>L430+M430+N430</f>
        <v/>
      </c>
      <c r="P430" s="4">
        <f>IF(SUM($O$4:$O$672)=0,0,Косвенные!$C$9*O430/SUM($O$4:$O$672))</f>
        <v/>
      </c>
      <c r="Q430" s="4">
        <f>G430*D430+P430</f>
        <v/>
      </c>
      <c r="R430" s="4">
        <f>IF(D430=0,0,Q430/D430)</f>
        <v/>
      </c>
      <c r="S430" s="4">
        <f>IF(D430=0,0,SUMIF(Материалы!$A$4:$A$800,SUBSTITUTE(SUBSTITUTE(SUBSTITUTE(B430,"~","~~"),"*","~*"),"?","~?"),Материалы!$T$4:$T$800)/D430)</f>
        <v/>
      </c>
      <c r="T430" s="4">
        <f>R430+S430</f>
        <v/>
      </c>
      <c r="U430" s="4">
        <f>I430*D430</f>
        <v/>
      </c>
    </row>
    <row r="431" ht="22" customHeight="1">
      <c r="A431" s="9" t="inlineStr"/>
      <c r="B431" s="13" t="inlineStr">
        <is>
          <t>429. Желоб водосточныйс порошковой окраской d 150</t>
        </is>
      </c>
      <c r="C431" s="9" t="inlineStr">
        <is>
          <t>м.п.</t>
        </is>
      </c>
      <c r="D431" s="4">
        <f>IF('Форма'!G429="","",'Форма'!G429)</f>
        <v/>
      </c>
      <c r="E431" s="9" t="inlineStr">
        <is>
          <t>аналог (8.2.34), единица приведена к нормо-часам</t>
        </is>
      </c>
      <c r="F431" s="9" t="inlineStr">
        <is>
          <t>OTD</t>
        </is>
      </c>
      <c r="G431" s="10" t="n">
        <v>342</v>
      </c>
      <c r="H431" s="10" t="n">
        <v>180</v>
      </c>
      <c r="I431" s="10" t="n">
        <v>0.2</v>
      </c>
      <c r="J431" s="9" t="inlineStr"/>
      <c r="K431" s="7">
        <f>IF(F431="",0,IFERROR(VLOOKUP(F431,Расходники!$A$4:$B$23,2,FALSE),0))</f>
        <v/>
      </c>
      <c r="L431" s="4">
        <f>H431*D431</f>
        <v/>
      </c>
      <c r="M431" s="4">
        <f>L431*K431</f>
        <v/>
      </c>
      <c r="N431" s="4">
        <f>SUMIF(Материалы!$A$4:$A$800,SUBSTITUTE(SUBSTITUTE(SUBSTITUTE(B431,"~","~~"),"*","~*"),"?","~?"),Материалы!$S$4:$S$800)</f>
        <v/>
      </c>
      <c r="O431" s="4">
        <f>L431+M431+N431</f>
        <v/>
      </c>
      <c r="P431" s="4">
        <f>IF(SUM($O$4:$O$672)=0,0,Косвенные!$C$9*O431/SUM($O$4:$O$672))</f>
        <v/>
      </c>
      <c r="Q431" s="4">
        <f>G431*D431+P431</f>
        <v/>
      </c>
      <c r="R431" s="4">
        <f>IF(D431=0,0,Q431/D431)</f>
        <v/>
      </c>
      <c r="S431" s="4">
        <f>IF(D431=0,0,SUMIF(Материалы!$A$4:$A$800,SUBSTITUTE(SUBSTITUTE(SUBSTITUTE(B431,"~","~~"),"*","~*"),"?","~?"),Материалы!$T$4:$T$800)/D431)</f>
        <v/>
      </c>
      <c r="T431" s="4">
        <f>R431+S431</f>
        <v/>
      </c>
      <c r="U431" s="4">
        <f>I431*D431</f>
        <v/>
      </c>
    </row>
    <row r="432" ht="22" customHeight="1">
      <c r="A432" s="9" t="inlineStr"/>
      <c r="B432" s="13" t="inlineStr">
        <is>
          <t>430. Крепление желоба с порошковой окраской d 125</t>
        </is>
      </c>
      <c r="C432" s="9" t="inlineStr">
        <is>
          <t>шт.</t>
        </is>
      </c>
      <c r="D432" s="4">
        <f>IF('Форма'!G430="","",'Форма'!G430)</f>
        <v/>
      </c>
      <c r="E432" s="9" t="inlineStr">
        <is>
          <t>аналог (8.2.34), единица приведена к нормо-часам</t>
        </is>
      </c>
      <c r="F432" s="9" t="inlineStr">
        <is>
          <t>OTD</t>
        </is>
      </c>
      <c r="G432" s="10" t="n">
        <v>342</v>
      </c>
      <c r="H432" s="10" t="n">
        <v>180</v>
      </c>
      <c r="I432" s="10" t="n">
        <v>0.2</v>
      </c>
      <c r="J432" s="9" t="inlineStr"/>
      <c r="K432" s="7">
        <f>IF(F432="",0,IFERROR(VLOOKUP(F432,Расходники!$A$4:$B$23,2,FALSE),0))</f>
        <v/>
      </c>
      <c r="L432" s="4">
        <f>H432*D432</f>
        <v/>
      </c>
      <c r="M432" s="4">
        <f>L432*K432</f>
        <v/>
      </c>
      <c r="N432" s="4">
        <f>SUMIF(Материалы!$A$4:$A$800,SUBSTITUTE(SUBSTITUTE(SUBSTITUTE(B432,"~","~~"),"*","~*"),"?","~?"),Материалы!$S$4:$S$800)</f>
        <v/>
      </c>
      <c r="O432" s="4">
        <f>L432+M432+N432</f>
        <v/>
      </c>
      <c r="P432" s="4">
        <f>IF(SUM($O$4:$O$672)=0,0,Косвенные!$C$9*O432/SUM($O$4:$O$672))</f>
        <v/>
      </c>
      <c r="Q432" s="4">
        <f>G432*D432+P432</f>
        <v/>
      </c>
      <c r="R432" s="4">
        <f>IF(D432=0,0,Q432/D432)</f>
        <v/>
      </c>
      <c r="S432" s="4">
        <f>IF(D432=0,0,SUMIF(Материалы!$A$4:$A$800,SUBSTITUTE(SUBSTITUTE(SUBSTITUTE(B432,"~","~~"),"*","~*"),"?","~?"),Материалы!$T$4:$T$800)/D432)</f>
        <v/>
      </c>
      <c r="T432" s="4">
        <f>R432+S432</f>
        <v/>
      </c>
      <c r="U432" s="4">
        <f>I432*D432</f>
        <v/>
      </c>
    </row>
    <row r="433" ht="22" customHeight="1">
      <c r="A433" s="9" t="inlineStr"/>
      <c r="B433" s="13" t="inlineStr">
        <is>
          <t>431. Крепление желоба с порошковой окраской d 150</t>
        </is>
      </c>
      <c r="C433" s="9" t="inlineStr">
        <is>
          <t>шт.</t>
        </is>
      </c>
      <c r="D433" s="4">
        <f>IF('Форма'!G431="","",'Форма'!G431)</f>
        <v/>
      </c>
      <c r="E433" s="9" t="inlineStr">
        <is>
          <t>аналог (8.2.34), единица приведена к нормо-часам</t>
        </is>
      </c>
      <c r="F433" s="9" t="inlineStr">
        <is>
          <t>OTD</t>
        </is>
      </c>
      <c r="G433" s="10" t="n">
        <v>342</v>
      </c>
      <c r="H433" s="10" t="n">
        <v>180</v>
      </c>
      <c r="I433" s="10" t="n">
        <v>0.2</v>
      </c>
      <c r="J433" s="9" t="inlineStr"/>
      <c r="K433" s="7">
        <f>IF(F433="",0,IFERROR(VLOOKUP(F433,Расходники!$A$4:$B$23,2,FALSE),0))</f>
        <v/>
      </c>
      <c r="L433" s="4">
        <f>H433*D433</f>
        <v/>
      </c>
      <c r="M433" s="4">
        <f>L433*K433</f>
        <v/>
      </c>
      <c r="N433" s="4">
        <f>SUMIF(Материалы!$A$4:$A$800,SUBSTITUTE(SUBSTITUTE(SUBSTITUTE(B433,"~","~~"),"*","~*"),"?","~?"),Материалы!$S$4:$S$800)</f>
        <v/>
      </c>
      <c r="O433" s="4">
        <f>L433+M433+N433</f>
        <v/>
      </c>
      <c r="P433" s="4">
        <f>IF(SUM($O$4:$O$672)=0,0,Косвенные!$C$9*O433/SUM($O$4:$O$672))</f>
        <v/>
      </c>
      <c r="Q433" s="4">
        <f>G433*D433+P433</f>
        <v/>
      </c>
      <c r="R433" s="4">
        <f>IF(D433=0,0,Q433/D433)</f>
        <v/>
      </c>
      <c r="S433" s="4">
        <f>IF(D433=0,0,SUMIF(Материалы!$A$4:$A$800,SUBSTITUTE(SUBSTITUTE(SUBSTITUTE(B433,"~","~~"),"*","~*"),"?","~?"),Материалы!$T$4:$T$800)/D433)</f>
        <v/>
      </c>
      <c r="T433" s="4">
        <f>R433+S433</f>
        <v/>
      </c>
      <c r="U433" s="4">
        <f>I433*D433</f>
        <v/>
      </c>
    </row>
    <row r="434" ht="22" customHeight="1">
      <c r="A434" s="9" t="inlineStr"/>
      <c r="B434" s="13" t="inlineStr">
        <is>
          <t>432. Труба водосточная из труб с порошковой окраскойd 125</t>
        </is>
      </c>
      <c r="C434" s="9" t="inlineStr">
        <is>
          <t>м.п.</t>
        </is>
      </c>
      <c r="D434" s="4">
        <f>IF('Форма'!G432="","",'Форма'!G432)</f>
        <v/>
      </c>
      <c r="E434" s="9" t="inlineStr">
        <is>
          <t>аналог (8.2.34), единица приведена к нормо-часам</t>
        </is>
      </c>
      <c r="F434" s="9" t="inlineStr">
        <is>
          <t>OTD</t>
        </is>
      </c>
      <c r="G434" s="10" t="n">
        <v>342</v>
      </c>
      <c r="H434" s="10" t="n">
        <v>180</v>
      </c>
      <c r="I434" s="10" t="n">
        <v>0.2</v>
      </c>
      <c r="J434" s="9" t="inlineStr"/>
      <c r="K434" s="7">
        <f>IF(F434="",0,IFERROR(VLOOKUP(F434,Расходники!$A$4:$B$23,2,FALSE),0))</f>
        <v/>
      </c>
      <c r="L434" s="4">
        <f>H434*D434</f>
        <v/>
      </c>
      <c r="M434" s="4">
        <f>L434*K434</f>
        <v/>
      </c>
      <c r="N434" s="4">
        <f>SUMIF(Материалы!$A$4:$A$800,SUBSTITUTE(SUBSTITUTE(SUBSTITUTE(B434,"~","~~"),"*","~*"),"?","~?"),Материалы!$S$4:$S$800)</f>
        <v/>
      </c>
      <c r="O434" s="4">
        <f>L434+M434+N434</f>
        <v/>
      </c>
      <c r="P434" s="4">
        <f>IF(SUM($O$4:$O$672)=0,0,Косвенные!$C$9*O434/SUM($O$4:$O$672))</f>
        <v/>
      </c>
      <c r="Q434" s="4">
        <f>G434*D434+P434</f>
        <v/>
      </c>
      <c r="R434" s="4">
        <f>IF(D434=0,0,Q434/D434)</f>
        <v/>
      </c>
      <c r="S434" s="4">
        <f>IF(D434=0,0,SUMIF(Материалы!$A$4:$A$800,SUBSTITUTE(SUBSTITUTE(SUBSTITUTE(B434,"~","~~"),"*","~*"),"?","~?"),Материалы!$T$4:$T$800)/D434)</f>
        <v/>
      </c>
      <c r="T434" s="4">
        <f>R434+S434</f>
        <v/>
      </c>
      <c r="U434" s="4">
        <f>I434*D434</f>
        <v/>
      </c>
    </row>
    <row r="435" ht="22" customHeight="1">
      <c r="A435" s="9" t="inlineStr"/>
      <c r="B435" s="13" t="inlineStr">
        <is>
          <t>433. Труба водосточная из труб с порошковой окраскойd 150</t>
        </is>
      </c>
      <c r="C435" s="9" t="inlineStr">
        <is>
          <t>м.п.</t>
        </is>
      </c>
      <c r="D435" s="4">
        <f>IF('Форма'!G433="","",'Форма'!G433)</f>
        <v/>
      </c>
      <c r="E435" s="9" t="inlineStr">
        <is>
          <t>аналог (8.2.34), единица приведена к нормо-часам</t>
        </is>
      </c>
      <c r="F435" s="9" t="inlineStr">
        <is>
          <t>OTD</t>
        </is>
      </c>
      <c r="G435" s="10" t="n">
        <v>342</v>
      </c>
      <c r="H435" s="10" t="n">
        <v>180</v>
      </c>
      <c r="I435" s="10" t="n">
        <v>0.2</v>
      </c>
      <c r="J435" s="9" t="inlineStr"/>
      <c r="K435" s="7">
        <f>IF(F435="",0,IFERROR(VLOOKUP(F435,Расходники!$A$4:$B$23,2,FALSE),0))</f>
        <v/>
      </c>
      <c r="L435" s="4">
        <f>H435*D435</f>
        <v/>
      </c>
      <c r="M435" s="4">
        <f>L435*K435</f>
        <v/>
      </c>
      <c r="N435" s="4">
        <f>SUMIF(Материалы!$A$4:$A$800,SUBSTITUTE(SUBSTITUTE(SUBSTITUTE(B435,"~","~~"),"*","~*"),"?","~?"),Материалы!$S$4:$S$800)</f>
        <v/>
      </c>
      <c r="O435" s="4">
        <f>L435+M435+N435</f>
        <v/>
      </c>
      <c r="P435" s="4">
        <f>IF(SUM($O$4:$O$672)=0,0,Косвенные!$C$9*O435/SUM($O$4:$O$672))</f>
        <v/>
      </c>
      <c r="Q435" s="4">
        <f>G435*D435+P435</f>
        <v/>
      </c>
      <c r="R435" s="4">
        <f>IF(D435=0,0,Q435/D435)</f>
        <v/>
      </c>
      <c r="S435" s="4">
        <f>IF(D435=0,0,SUMIF(Материалы!$A$4:$A$800,SUBSTITUTE(SUBSTITUTE(SUBSTITUTE(B435,"~","~~"),"*","~*"),"?","~?"),Материалы!$T$4:$T$800)/D435)</f>
        <v/>
      </c>
      <c r="T435" s="4">
        <f>R435+S435</f>
        <v/>
      </c>
      <c r="U435" s="4">
        <f>I435*D435</f>
        <v/>
      </c>
    </row>
    <row r="436" ht="22" customHeight="1">
      <c r="A436" s="9" t="inlineStr"/>
      <c r="B436" s="13" t="inlineStr">
        <is>
          <t>434. Угловой желоб с порошковой окраской d 125</t>
        </is>
      </c>
      <c r="C436" s="9" t="inlineStr">
        <is>
          <t>шт.</t>
        </is>
      </c>
      <c r="D436" s="4">
        <f>IF('Форма'!G434="","",'Форма'!G434)</f>
        <v/>
      </c>
      <c r="E436" s="9" t="inlineStr">
        <is>
          <t>аналог (8.2.34), единица приведена к нормо-часам</t>
        </is>
      </c>
      <c r="F436" s="9" t="inlineStr">
        <is>
          <t>OTD</t>
        </is>
      </c>
      <c r="G436" s="10" t="n">
        <v>342</v>
      </c>
      <c r="H436" s="10" t="n">
        <v>180</v>
      </c>
      <c r="I436" s="10" t="n">
        <v>0.2</v>
      </c>
      <c r="J436" s="9" t="inlineStr"/>
      <c r="K436" s="7">
        <f>IF(F436="",0,IFERROR(VLOOKUP(F436,Расходники!$A$4:$B$23,2,FALSE),0))</f>
        <v/>
      </c>
      <c r="L436" s="4">
        <f>H436*D436</f>
        <v/>
      </c>
      <c r="M436" s="4">
        <f>L436*K436</f>
        <v/>
      </c>
      <c r="N436" s="4">
        <f>SUMIF(Материалы!$A$4:$A$800,SUBSTITUTE(SUBSTITUTE(SUBSTITUTE(B436,"~","~~"),"*","~*"),"?","~?"),Материалы!$S$4:$S$800)</f>
        <v/>
      </c>
      <c r="O436" s="4">
        <f>L436+M436+N436</f>
        <v/>
      </c>
      <c r="P436" s="4">
        <f>IF(SUM($O$4:$O$672)=0,0,Косвенные!$C$9*O436/SUM($O$4:$O$672))</f>
        <v/>
      </c>
      <c r="Q436" s="4">
        <f>G436*D436+P436</f>
        <v/>
      </c>
      <c r="R436" s="4">
        <f>IF(D436=0,0,Q436/D436)</f>
        <v/>
      </c>
      <c r="S436" s="4">
        <f>IF(D436=0,0,SUMIF(Материалы!$A$4:$A$800,SUBSTITUTE(SUBSTITUTE(SUBSTITUTE(B436,"~","~~"),"*","~*"),"?","~?"),Материалы!$T$4:$T$800)/D436)</f>
        <v/>
      </c>
      <c r="T436" s="4">
        <f>R436+S436</f>
        <v/>
      </c>
      <c r="U436" s="4">
        <f>I436*D436</f>
        <v/>
      </c>
    </row>
    <row r="437" ht="22" customHeight="1">
      <c r="A437" s="9" t="inlineStr"/>
      <c r="B437" s="13" t="inlineStr">
        <is>
          <t>435. Угловой желоб с порошковой окраской d 150</t>
        </is>
      </c>
      <c r="C437" s="9" t="inlineStr">
        <is>
          <t>шт.</t>
        </is>
      </c>
      <c r="D437" s="4">
        <f>IF('Форма'!G435="","",'Форма'!G435)</f>
        <v/>
      </c>
      <c r="E437" s="9" t="inlineStr">
        <is>
          <t>аналог (8.2.34), единица приведена к нормо-часам</t>
        </is>
      </c>
      <c r="F437" s="9" t="inlineStr">
        <is>
          <t>OTD</t>
        </is>
      </c>
      <c r="G437" s="10" t="n">
        <v>342</v>
      </c>
      <c r="H437" s="10" t="n">
        <v>180</v>
      </c>
      <c r="I437" s="10" t="n">
        <v>0.2</v>
      </c>
      <c r="J437" s="9" t="inlineStr"/>
      <c r="K437" s="7">
        <f>IF(F437="",0,IFERROR(VLOOKUP(F437,Расходники!$A$4:$B$23,2,FALSE),0))</f>
        <v/>
      </c>
      <c r="L437" s="4">
        <f>H437*D437</f>
        <v/>
      </c>
      <c r="M437" s="4">
        <f>L437*K437</f>
        <v/>
      </c>
      <c r="N437" s="4">
        <f>SUMIF(Материалы!$A$4:$A$800,SUBSTITUTE(SUBSTITUTE(SUBSTITUTE(B437,"~","~~"),"*","~*"),"?","~?"),Материалы!$S$4:$S$800)</f>
        <v/>
      </c>
      <c r="O437" s="4">
        <f>L437+M437+N437</f>
        <v/>
      </c>
      <c r="P437" s="4">
        <f>IF(SUM($O$4:$O$672)=0,0,Косвенные!$C$9*O437/SUM($O$4:$O$672))</f>
        <v/>
      </c>
      <c r="Q437" s="4">
        <f>G437*D437+P437</f>
        <v/>
      </c>
      <c r="R437" s="4">
        <f>IF(D437=0,0,Q437/D437)</f>
        <v/>
      </c>
      <c r="S437" s="4">
        <f>IF(D437=0,0,SUMIF(Материалы!$A$4:$A$800,SUBSTITUTE(SUBSTITUTE(SUBSTITUTE(B437,"~","~~"),"*","~*"),"?","~?"),Материалы!$T$4:$T$800)/D437)</f>
        <v/>
      </c>
      <c r="T437" s="4">
        <f>R437+S437</f>
        <v/>
      </c>
      <c r="U437" s="4">
        <f>I437*D437</f>
        <v/>
      </c>
    </row>
    <row r="438" ht="22" customHeight="1">
      <c r="A438" s="9" t="inlineStr"/>
      <c r="B438" s="13" t="inlineStr">
        <is>
          <t>436. Воронка с порошковой окраской d 125</t>
        </is>
      </c>
      <c r="C438" s="9" t="inlineStr">
        <is>
          <t>шт.</t>
        </is>
      </c>
      <c r="D438" s="4">
        <f>IF('Форма'!G436="","",'Форма'!G436)</f>
        <v/>
      </c>
      <c r="E438" s="9" t="inlineStr">
        <is>
          <t>аналог (8.2.34), единица приведена к нормо-часам</t>
        </is>
      </c>
      <c r="F438" s="9" t="inlineStr">
        <is>
          <t>OTD</t>
        </is>
      </c>
      <c r="G438" s="10" t="n">
        <v>342</v>
      </c>
      <c r="H438" s="10" t="n">
        <v>180</v>
      </c>
      <c r="I438" s="10" t="n">
        <v>0.2</v>
      </c>
      <c r="J438" s="9" t="inlineStr"/>
      <c r="K438" s="7">
        <f>IF(F438="",0,IFERROR(VLOOKUP(F438,Расходники!$A$4:$B$23,2,FALSE),0))</f>
        <v/>
      </c>
      <c r="L438" s="4">
        <f>H438*D438</f>
        <v/>
      </c>
      <c r="M438" s="4">
        <f>L438*K438</f>
        <v/>
      </c>
      <c r="N438" s="4">
        <f>SUMIF(Материалы!$A$4:$A$800,SUBSTITUTE(SUBSTITUTE(SUBSTITUTE(B438,"~","~~"),"*","~*"),"?","~?"),Материалы!$S$4:$S$800)</f>
        <v/>
      </c>
      <c r="O438" s="4">
        <f>L438+M438+N438</f>
        <v/>
      </c>
      <c r="P438" s="4">
        <f>IF(SUM($O$4:$O$672)=0,0,Косвенные!$C$9*O438/SUM($O$4:$O$672))</f>
        <v/>
      </c>
      <c r="Q438" s="4">
        <f>G438*D438+P438</f>
        <v/>
      </c>
      <c r="R438" s="4">
        <f>IF(D438=0,0,Q438/D438)</f>
        <v/>
      </c>
      <c r="S438" s="4">
        <f>IF(D438=0,0,SUMIF(Материалы!$A$4:$A$800,SUBSTITUTE(SUBSTITUTE(SUBSTITUTE(B438,"~","~~"),"*","~*"),"?","~?"),Материалы!$T$4:$T$800)/D438)</f>
        <v/>
      </c>
      <c r="T438" s="4">
        <f>R438+S438</f>
        <v/>
      </c>
      <c r="U438" s="4">
        <f>I438*D438</f>
        <v/>
      </c>
    </row>
    <row r="439" ht="22" customHeight="1">
      <c r="A439" s="9" t="inlineStr"/>
      <c r="B439" s="13" t="inlineStr">
        <is>
          <t>437. Воронка с порошковой окраской d 150</t>
        </is>
      </c>
      <c r="C439" s="9" t="inlineStr">
        <is>
          <t>шт.</t>
        </is>
      </c>
      <c r="D439" s="4">
        <f>IF('Форма'!G437="","",'Форма'!G437)</f>
        <v/>
      </c>
      <c r="E439" s="9" t="inlineStr">
        <is>
          <t>аналог (8.2.34), единица приведена к нормо-часам</t>
        </is>
      </c>
      <c r="F439" s="9" t="inlineStr">
        <is>
          <t>OTD</t>
        </is>
      </c>
      <c r="G439" s="10" t="n">
        <v>342</v>
      </c>
      <c r="H439" s="10" t="n">
        <v>180</v>
      </c>
      <c r="I439" s="10" t="n">
        <v>0.2</v>
      </c>
      <c r="J439" s="9" t="inlineStr"/>
      <c r="K439" s="7">
        <f>IF(F439="",0,IFERROR(VLOOKUP(F439,Расходники!$A$4:$B$23,2,FALSE),0))</f>
        <v/>
      </c>
      <c r="L439" s="4">
        <f>H439*D439</f>
        <v/>
      </c>
      <c r="M439" s="4">
        <f>L439*K439</f>
        <v/>
      </c>
      <c r="N439" s="4">
        <f>SUMIF(Материалы!$A$4:$A$800,SUBSTITUTE(SUBSTITUTE(SUBSTITUTE(B439,"~","~~"),"*","~*"),"?","~?"),Материалы!$S$4:$S$800)</f>
        <v/>
      </c>
      <c r="O439" s="4">
        <f>L439+M439+N439</f>
        <v/>
      </c>
      <c r="P439" s="4">
        <f>IF(SUM($O$4:$O$672)=0,0,Косвенные!$C$9*O439/SUM($O$4:$O$672))</f>
        <v/>
      </c>
      <c r="Q439" s="4">
        <f>G439*D439+P439</f>
        <v/>
      </c>
      <c r="R439" s="4">
        <f>IF(D439=0,0,Q439/D439)</f>
        <v/>
      </c>
      <c r="S439" s="4">
        <f>IF(D439=0,0,SUMIF(Материалы!$A$4:$A$800,SUBSTITUTE(SUBSTITUTE(SUBSTITUTE(B439,"~","~~"),"*","~*"),"?","~?"),Материалы!$T$4:$T$800)/D439)</f>
        <v/>
      </c>
      <c r="T439" s="4">
        <f>R439+S439</f>
        <v/>
      </c>
      <c r="U439" s="4">
        <f>I439*D439</f>
        <v/>
      </c>
    </row>
    <row r="440" ht="22" customHeight="1">
      <c r="A440" s="9" t="inlineStr"/>
      <c r="B440" s="13" t="inlineStr">
        <is>
          <t>438. Колено с порошковой окраской d 100</t>
        </is>
      </c>
      <c r="C440" s="9" t="inlineStr">
        <is>
          <t>шт.</t>
        </is>
      </c>
      <c r="D440" s="4">
        <f>IF('Форма'!G438="","",'Форма'!G438)</f>
        <v/>
      </c>
      <c r="E440" s="9" t="inlineStr">
        <is>
          <t>аналог (8.2.34), единица приведена к нормо-часам</t>
        </is>
      </c>
      <c r="F440" s="9" t="inlineStr">
        <is>
          <t>OTD</t>
        </is>
      </c>
      <c r="G440" s="10" t="n">
        <v>342</v>
      </c>
      <c r="H440" s="10" t="n">
        <v>180</v>
      </c>
      <c r="I440" s="10" t="n">
        <v>0.2</v>
      </c>
      <c r="J440" s="9" t="inlineStr"/>
      <c r="K440" s="7">
        <f>IF(F440="",0,IFERROR(VLOOKUP(F440,Расходники!$A$4:$B$23,2,FALSE),0))</f>
        <v/>
      </c>
      <c r="L440" s="4">
        <f>H440*D440</f>
        <v/>
      </c>
      <c r="M440" s="4">
        <f>L440*K440</f>
        <v/>
      </c>
      <c r="N440" s="4">
        <f>SUMIF(Материалы!$A$4:$A$800,SUBSTITUTE(SUBSTITUTE(SUBSTITUTE(B440,"~","~~"),"*","~*"),"?","~?"),Материалы!$S$4:$S$800)</f>
        <v/>
      </c>
      <c r="O440" s="4">
        <f>L440+M440+N440</f>
        <v/>
      </c>
      <c r="P440" s="4">
        <f>IF(SUM($O$4:$O$672)=0,0,Косвенные!$C$9*O440/SUM($O$4:$O$672))</f>
        <v/>
      </c>
      <c r="Q440" s="4">
        <f>G440*D440+P440</f>
        <v/>
      </c>
      <c r="R440" s="4">
        <f>IF(D440=0,0,Q440/D440)</f>
        <v/>
      </c>
      <c r="S440" s="4">
        <f>IF(D440=0,0,SUMIF(Материалы!$A$4:$A$800,SUBSTITUTE(SUBSTITUTE(SUBSTITUTE(B440,"~","~~"),"*","~*"),"?","~?"),Материалы!$T$4:$T$800)/D440)</f>
        <v/>
      </c>
      <c r="T440" s="4">
        <f>R440+S440</f>
        <v/>
      </c>
      <c r="U440" s="4">
        <f>I440*D440</f>
        <v/>
      </c>
    </row>
    <row r="441" ht="22" customHeight="1">
      <c r="A441" s="9" t="inlineStr"/>
      <c r="B441" s="13" t="inlineStr">
        <is>
          <t>439. Колено с порошковой окраской d 125</t>
        </is>
      </c>
      <c r="C441" s="9" t="inlineStr">
        <is>
          <t>шт.</t>
        </is>
      </c>
      <c r="D441" s="4">
        <f>IF('Форма'!G439="","",'Форма'!G439)</f>
        <v/>
      </c>
      <c r="E441" s="9" t="inlineStr">
        <is>
          <t>аналог (8.2.34), единица приведена к нормо-часам</t>
        </is>
      </c>
      <c r="F441" s="9" t="inlineStr">
        <is>
          <t>OTD</t>
        </is>
      </c>
      <c r="G441" s="10" t="n">
        <v>342</v>
      </c>
      <c r="H441" s="10" t="n">
        <v>180</v>
      </c>
      <c r="I441" s="10" t="n">
        <v>0.2</v>
      </c>
      <c r="J441" s="9" t="inlineStr"/>
      <c r="K441" s="7">
        <f>IF(F441="",0,IFERROR(VLOOKUP(F441,Расходники!$A$4:$B$23,2,FALSE),0))</f>
        <v/>
      </c>
      <c r="L441" s="4">
        <f>H441*D441</f>
        <v/>
      </c>
      <c r="M441" s="4">
        <f>L441*K441</f>
        <v/>
      </c>
      <c r="N441" s="4">
        <f>SUMIF(Материалы!$A$4:$A$800,SUBSTITUTE(SUBSTITUTE(SUBSTITUTE(B441,"~","~~"),"*","~*"),"?","~?"),Материалы!$S$4:$S$800)</f>
        <v/>
      </c>
      <c r="O441" s="4">
        <f>L441+M441+N441</f>
        <v/>
      </c>
      <c r="P441" s="4">
        <f>IF(SUM($O$4:$O$672)=0,0,Косвенные!$C$9*O441/SUM($O$4:$O$672))</f>
        <v/>
      </c>
      <c r="Q441" s="4">
        <f>G441*D441+P441</f>
        <v/>
      </c>
      <c r="R441" s="4">
        <f>IF(D441=0,0,Q441/D441)</f>
        <v/>
      </c>
      <c r="S441" s="4">
        <f>IF(D441=0,0,SUMIF(Материалы!$A$4:$A$800,SUBSTITUTE(SUBSTITUTE(SUBSTITUTE(B441,"~","~~"),"*","~*"),"?","~?"),Материалы!$T$4:$T$800)/D441)</f>
        <v/>
      </c>
      <c r="T441" s="4">
        <f>R441+S441</f>
        <v/>
      </c>
      <c r="U441" s="4">
        <f>I441*D441</f>
        <v/>
      </c>
    </row>
    <row r="442" ht="22" customHeight="1">
      <c r="A442" s="9" t="inlineStr"/>
      <c r="B442" s="13" t="inlineStr">
        <is>
          <t>440. Снегодержатель трубчатый</t>
        </is>
      </c>
      <c r="C442" s="9" t="inlineStr">
        <is>
          <t>м.п.</t>
        </is>
      </c>
      <c r="D442" s="4">
        <f>IF('Форма'!G440="","",'Форма'!G440)</f>
        <v/>
      </c>
      <c r="E442" s="9" t="inlineStr">
        <is>
          <t>аналог (6.2.5)</t>
        </is>
      </c>
      <c r="F442" s="9" t="inlineStr">
        <is>
          <t>KRO</t>
        </is>
      </c>
      <c r="G442" s="10" t="n">
        <v>398.2</v>
      </c>
      <c r="H442" s="10" t="n">
        <v>209</v>
      </c>
      <c r="I442" s="10" t="n">
        <v>0.22</v>
      </c>
      <c r="J442" s="9" t="inlineStr"/>
      <c r="K442" s="7">
        <f>IF(F442="",0,IFERROR(VLOOKUP(F442,Расходники!$A$4:$B$23,2,FALSE),0))</f>
        <v/>
      </c>
      <c r="L442" s="4">
        <f>H442*D442</f>
        <v/>
      </c>
      <c r="M442" s="4">
        <f>L442*K442</f>
        <v/>
      </c>
      <c r="N442" s="4">
        <f>SUMIF(Материалы!$A$4:$A$800,SUBSTITUTE(SUBSTITUTE(SUBSTITUTE(B442,"~","~~"),"*","~*"),"?","~?"),Материалы!$S$4:$S$800)</f>
        <v/>
      </c>
      <c r="O442" s="4">
        <f>L442+M442+N442</f>
        <v/>
      </c>
      <c r="P442" s="4">
        <f>IF(SUM($O$4:$O$672)=0,0,Косвенные!$C$9*O442/SUM($O$4:$O$672))</f>
        <v/>
      </c>
      <c r="Q442" s="4">
        <f>G442*D442+P442</f>
        <v/>
      </c>
      <c r="R442" s="4">
        <f>IF(D442=0,0,Q442/D442)</f>
        <v/>
      </c>
      <c r="S442" s="4">
        <f>IF(D442=0,0,SUMIF(Материалы!$A$4:$A$800,SUBSTITUTE(SUBSTITUTE(SUBSTITUTE(B442,"~","~~"),"*","~*"),"?","~?"),Материалы!$T$4:$T$800)/D442)</f>
        <v/>
      </c>
      <c r="T442" s="4">
        <f>R442+S442</f>
        <v/>
      </c>
      <c r="U442" s="4">
        <f>I442*D442</f>
        <v/>
      </c>
    </row>
    <row r="443" ht="22" customHeight="1">
      <c r="A443" s="9" t="inlineStr"/>
      <c r="B443" s="13" t="inlineStr">
        <is>
          <t>441. Труба водосточная из оцинкованной стали d 125</t>
        </is>
      </c>
      <c r="C443" s="9" t="inlineStr">
        <is>
          <t>м.п.</t>
        </is>
      </c>
      <c r="D443" s="4">
        <f>IF('Форма'!G441="","",'Форма'!G441)</f>
        <v/>
      </c>
      <c r="E443" s="9" t="inlineStr">
        <is>
          <t>нет в тарификаторе</t>
        </is>
      </c>
      <c r="F443" s="9" t="inlineStr">
        <is>
          <t>KRO</t>
        </is>
      </c>
      <c r="G443" s="10" t="n">
        <v>271.5</v>
      </c>
      <c r="H443" s="10" t="n">
        <v>142.5</v>
      </c>
      <c r="I443" s="10" t="n">
        <v>0.15</v>
      </c>
      <c r="J443" s="9" t="inlineStr"/>
      <c r="K443" s="7">
        <f>IF(F443="",0,IFERROR(VLOOKUP(F443,Расходники!$A$4:$B$23,2,FALSE),0))</f>
        <v/>
      </c>
      <c r="L443" s="4">
        <f>H443*D443</f>
        <v/>
      </c>
      <c r="M443" s="4">
        <f>L443*K443</f>
        <v/>
      </c>
      <c r="N443" s="4">
        <f>SUMIF(Материалы!$A$4:$A$800,SUBSTITUTE(SUBSTITUTE(SUBSTITUTE(B443,"~","~~"),"*","~*"),"?","~?"),Материалы!$S$4:$S$800)</f>
        <v/>
      </c>
      <c r="O443" s="4">
        <f>L443+M443+N443</f>
        <v/>
      </c>
      <c r="P443" s="4">
        <f>IF(SUM($O$4:$O$672)=0,0,Косвенные!$C$9*O443/SUM($O$4:$O$672))</f>
        <v/>
      </c>
      <c r="Q443" s="4">
        <f>G443*D443+P443</f>
        <v/>
      </c>
      <c r="R443" s="4">
        <f>IF(D443=0,0,Q443/D443)</f>
        <v/>
      </c>
      <c r="S443" s="4">
        <f>IF(D443=0,0,SUMIF(Материалы!$A$4:$A$800,SUBSTITUTE(SUBSTITUTE(SUBSTITUTE(B443,"~","~~"),"*","~*"),"?","~?"),Материалы!$T$4:$T$800)/D443)</f>
        <v/>
      </c>
      <c r="T443" s="4">
        <f>R443+S443</f>
        <v/>
      </c>
      <c r="U443" s="4">
        <f>I443*D443</f>
        <v/>
      </c>
    </row>
    <row r="444" ht="22" customHeight="1">
      <c r="A444" s="9" t="inlineStr"/>
      <c r="B444" s="13" t="inlineStr">
        <is>
          <t>442. Труба водосточная из оцинкованной стали d 150</t>
        </is>
      </c>
      <c r="C444" s="9" t="inlineStr">
        <is>
          <t>м.п.</t>
        </is>
      </c>
      <c r="D444" s="4">
        <f>IF('Форма'!G442="","",'Форма'!G442)</f>
        <v/>
      </c>
      <c r="E444" s="9" t="inlineStr">
        <is>
          <t>нет в тарификаторе</t>
        </is>
      </c>
      <c r="F444" s="9" t="inlineStr">
        <is>
          <t>KRO</t>
        </is>
      </c>
      <c r="G444" s="10" t="n">
        <v>271.5</v>
      </c>
      <c r="H444" s="10" t="n">
        <v>142.5</v>
      </c>
      <c r="I444" s="10" t="n">
        <v>0.15</v>
      </c>
      <c r="J444" s="9" t="inlineStr"/>
      <c r="K444" s="7">
        <f>IF(F444="",0,IFERROR(VLOOKUP(F444,Расходники!$A$4:$B$23,2,FALSE),0))</f>
        <v/>
      </c>
      <c r="L444" s="4">
        <f>H444*D444</f>
        <v/>
      </c>
      <c r="M444" s="4">
        <f>L444*K444</f>
        <v/>
      </c>
      <c r="N444" s="4">
        <f>SUMIF(Материалы!$A$4:$A$800,SUBSTITUTE(SUBSTITUTE(SUBSTITUTE(B444,"~","~~"),"*","~*"),"?","~?"),Материалы!$S$4:$S$800)</f>
        <v/>
      </c>
      <c r="O444" s="4">
        <f>L444+M444+N444</f>
        <v/>
      </c>
      <c r="P444" s="4">
        <f>IF(SUM($O$4:$O$672)=0,0,Косвенные!$C$9*O444/SUM($O$4:$O$672))</f>
        <v/>
      </c>
      <c r="Q444" s="4">
        <f>G444*D444+P444</f>
        <v/>
      </c>
      <c r="R444" s="4">
        <f>IF(D444=0,0,Q444/D444)</f>
        <v/>
      </c>
      <c r="S444" s="4">
        <f>IF(D444=0,0,SUMIF(Материалы!$A$4:$A$800,SUBSTITUTE(SUBSTITUTE(SUBSTITUTE(B444,"~","~~"),"*","~*"),"?","~?"),Материалы!$T$4:$T$800)/D444)</f>
        <v/>
      </c>
      <c r="T444" s="4">
        <f>R444+S444</f>
        <v/>
      </c>
      <c r="U444" s="4">
        <f>I444*D444</f>
        <v/>
      </c>
    </row>
    <row r="445" ht="22" customHeight="1">
      <c r="A445" s="9" t="inlineStr"/>
      <c r="B445" s="13" t="inlineStr">
        <is>
          <t>443. Конек оцинкованный профилированный</t>
        </is>
      </c>
      <c r="C445" s="9" t="inlineStr">
        <is>
          <t>шт.</t>
        </is>
      </c>
      <c r="D445" s="4">
        <f>IF('Форма'!G443="","",'Форма'!G443)</f>
        <v/>
      </c>
      <c r="E445" s="9" t="inlineStr">
        <is>
          <t>аналог (6.2.5)</t>
        </is>
      </c>
      <c r="F445" s="9" t="inlineStr">
        <is>
          <t>KRO</t>
        </is>
      </c>
      <c r="G445" s="10" t="n">
        <v>362</v>
      </c>
      <c r="H445" s="10" t="n">
        <v>190</v>
      </c>
      <c r="I445" s="10" t="n">
        <v>0.2</v>
      </c>
      <c r="J445" s="9" t="inlineStr"/>
      <c r="K445" s="7">
        <f>IF(F445="",0,IFERROR(VLOOKUP(F445,Расходники!$A$4:$B$23,2,FALSE),0))</f>
        <v/>
      </c>
      <c r="L445" s="4">
        <f>H445*D445</f>
        <v/>
      </c>
      <c r="M445" s="4">
        <f>L445*K445</f>
        <v/>
      </c>
      <c r="N445" s="4">
        <f>SUMIF(Материалы!$A$4:$A$800,SUBSTITUTE(SUBSTITUTE(SUBSTITUTE(B445,"~","~~"),"*","~*"),"?","~?"),Материалы!$S$4:$S$800)</f>
        <v/>
      </c>
      <c r="O445" s="4">
        <f>L445+M445+N445</f>
        <v/>
      </c>
      <c r="P445" s="4">
        <f>IF(SUM($O$4:$O$672)=0,0,Косвенные!$C$9*O445/SUM($O$4:$O$672))</f>
        <v/>
      </c>
      <c r="Q445" s="4">
        <f>G445*D445+P445</f>
        <v/>
      </c>
      <c r="R445" s="4">
        <f>IF(D445=0,0,Q445/D445)</f>
        <v/>
      </c>
      <c r="S445" s="4">
        <f>IF(D445=0,0,SUMIF(Материалы!$A$4:$A$800,SUBSTITUTE(SUBSTITUTE(SUBSTITUTE(B445,"~","~~"),"*","~*"),"?","~?"),Материалы!$T$4:$T$800)/D445)</f>
        <v/>
      </c>
      <c r="T445" s="4">
        <f>R445+S445</f>
        <v/>
      </c>
      <c r="U445" s="4">
        <f>I445*D445</f>
        <v/>
      </c>
    </row>
    <row r="446" ht="22" customHeight="1">
      <c r="A446" s="9" t="inlineStr"/>
      <c r="B446" s="13" t="inlineStr">
        <is>
          <t>444. Торцевая планка оцинкованная</t>
        </is>
      </c>
      <c r="C446" s="9" t="inlineStr">
        <is>
          <t>шт.</t>
        </is>
      </c>
      <c r="D446" s="4">
        <f>IF('Форма'!G444="","",'Форма'!G444)</f>
        <v/>
      </c>
      <c r="E446" s="9" t="inlineStr">
        <is>
          <t>аналог (6.2.5)</t>
        </is>
      </c>
      <c r="F446" s="9" t="inlineStr">
        <is>
          <t>KRO</t>
        </is>
      </c>
      <c r="G446" s="10" t="n">
        <v>362</v>
      </c>
      <c r="H446" s="10" t="n">
        <v>190</v>
      </c>
      <c r="I446" s="10" t="n">
        <v>0.2</v>
      </c>
      <c r="J446" s="9" t="inlineStr"/>
      <c r="K446" s="7">
        <f>IF(F446="",0,IFERROR(VLOOKUP(F446,Расходники!$A$4:$B$23,2,FALSE),0))</f>
        <v/>
      </c>
      <c r="L446" s="4">
        <f>H446*D446</f>
        <v/>
      </c>
      <c r="M446" s="4">
        <f>L446*K446</f>
        <v/>
      </c>
      <c r="N446" s="4">
        <f>SUMIF(Материалы!$A$4:$A$800,SUBSTITUTE(SUBSTITUTE(SUBSTITUTE(B446,"~","~~"),"*","~*"),"?","~?"),Материалы!$S$4:$S$800)</f>
        <v/>
      </c>
      <c r="O446" s="4">
        <f>L446+M446+N446</f>
        <v/>
      </c>
      <c r="P446" s="4">
        <f>IF(SUM($O$4:$O$672)=0,0,Косвенные!$C$9*O446/SUM($O$4:$O$672))</f>
        <v/>
      </c>
      <c r="Q446" s="4">
        <f>G446*D446+P446</f>
        <v/>
      </c>
      <c r="R446" s="4">
        <f>IF(D446=0,0,Q446/D446)</f>
        <v/>
      </c>
      <c r="S446" s="4">
        <f>IF(D446=0,0,SUMIF(Материалы!$A$4:$A$800,SUBSTITUTE(SUBSTITUTE(SUBSTITUTE(B446,"~","~~"),"*","~*"),"?","~?"),Материалы!$T$4:$T$800)/D446)</f>
        <v/>
      </c>
      <c r="T446" s="4">
        <f>R446+S446</f>
        <v/>
      </c>
      <c r="U446" s="4">
        <f>I446*D446</f>
        <v/>
      </c>
    </row>
    <row r="447" ht="22" customHeight="1">
      <c r="A447" s="9" t="inlineStr"/>
      <c r="B447" s="13" t="inlineStr">
        <is>
          <t>445. Колено большое оцинкованное</t>
        </is>
      </c>
      <c r="C447" s="9" t="inlineStr">
        <is>
          <t>шт.</t>
        </is>
      </c>
      <c r="D447" s="4">
        <f>IF('Форма'!G445="","",'Форма'!G445)</f>
        <v/>
      </c>
      <c r="E447" s="9" t="inlineStr">
        <is>
          <t>аналог (6.2.5)</t>
        </is>
      </c>
      <c r="F447" s="9" t="inlineStr">
        <is>
          <t>KRO</t>
        </is>
      </c>
      <c r="G447" s="10" t="n">
        <v>362</v>
      </c>
      <c r="H447" s="10" t="n">
        <v>190</v>
      </c>
      <c r="I447" s="10" t="n">
        <v>0.2</v>
      </c>
      <c r="J447" s="9" t="inlineStr"/>
      <c r="K447" s="7">
        <f>IF(F447="",0,IFERROR(VLOOKUP(F447,Расходники!$A$4:$B$23,2,FALSE),0))</f>
        <v/>
      </c>
      <c r="L447" s="4">
        <f>H447*D447</f>
        <v/>
      </c>
      <c r="M447" s="4">
        <f>L447*K447</f>
        <v/>
      </c>
      <c r="N447" s="4">
        <f>SUMIF(Материалы!$A$4:$A$800,SUBSTITUTE(SUBSTITUTE(SUBSTITUTE(B447,"~","~~"),"*","~*"),"?","~?"),Материалы!$S$4:$S$800)</f>
        <v/>
      </c>
      <c r="O447" s="4">
        <f>L447+M447+N447</f>
        <v/>
      </c>
      <c r="P447" s="4">
        <f>IF(SUM($O$4:$O$672)=0,0,Косвенные!$C$9*O447/SUM($O$4:$O$672))</f>
        <v/>
      </c>
      <c r="Q447" s="4">
        <f>G447*D447+P447</f>
        <v/>
      </c>
      <c r="R447" s="4">
        <f>IF(D447=0,0,Q447/D447)</f>
        <v/>
      </c>
      <c r="S447" s="4">
        <f>IF(D447=0,0,SUMIF(Материалы!$A$4:$A$800,SUBSTITUTE(SUBSTITUTE(SUBSTITUTE(B447,"~","~~"),"*","~*"),"?","~?"),Материалы!$T$4:$T$800)/D447)</f>
        <v/>
      </c>
      <c r="T447" s="4">
        <f>R447+S447</f>
        <v/>
      </c>
      <c r="U447" s="4">
        <f>I447*D447</f>
        <v/>
      </c>
    </row>
    <row r="448" ht="22" customHeight="1">
      <c r="A448" s="9" t="inlineStr"/>
      <c r="B448" s="13" t="inlineStr">
        <is>
          <t>446. Колено малое оцинкованное</t>
        </is>
      </c>
      <c r="C448" s="9" t="inlineStr">
        <is>
          <t>шт.</t>
        </is>
      </c>
      <c r="D448" s="4">
        <f>IF('Форма'!G446="","",'Форма'!G446)</f>
        <v/>
      </c>
      <c r="E448" s="9" t="inlineStr">
        <is>
          <t>аналог (6.2.5)</t>
        </is>
      </c>
      <c r="F448" s="9" t="inlineStr">
        <is>
          <t>KRO</t>
        </is>
      </c>
      <c r="G448" s="10" t="n">
        <v>362</v>
      </c>
      <c r="H448" s="10" t="n">
        <v>190</v>
      </c>
      <c r="I448" s="10" t="n">
        <v>0.2</v>
      </c>
      <c r="J448" s="9" t="inlineStr"/>
      <c r="K448" s="7">
        <f>IF(F448="",0,IFERROR(VLOOKUP(F448,Расходники!$A$4:$B$23,2,FALSE),0))</f>
        <v/>
      </c>
      <c r="L448" s="4">
        <f>H448*D448</f>
        <v/>
      </c>
      <c r="M448" s="4">
        <f>L448*K448</f>
        <v/>
      </c>
      <c r="N448" s="4">
        <f>SUMIF(Материалы!$A$4:$A$800,SUBSTITUTE(SUBSTITUTE(SUBSTITUTE(B448,"~","~~"),"*","~*"),"?","~?"),Материалы!$S$4:$S$800)</f>
        <v/>
      </c>
      <c r="O448" s="4">
        <f>L448+M448+N448</f>
        <v/>
      </c>
      <c r="P448" s="4">
        <f>IF(SUM($O$4:$O$672)=0,0,Косвенные!$C$9*O448/SUM($O$4:$O$672))</f>
        <v/>
      </c>
      <c r="Q448" s="4">
        <f>G448*D448+P448</f>
        <v/>
      </c>
      <c r="R448" s="4">
        <f>IF(D448=0,0,Q448/D448)</f>
        <v/>
      </c>
      <c r="S448" s="4">
        <f>IF(D448=0,0,SUMIF(Материалы!$A$4:$A$800,SUBSTITUTE(SUBSTITUTE(SUBSTITUTE(B448,"~","~~"),"*","~*"),"?","~?"),Материалы!$T$4:$T$800)/D448)</f>
        <v/>
      </c>
      <c r="T448" s="4">
        <f>R448+S448</f>
        <v/>
      </c>
      <c r="U448" s="4">
        <f>I448*D448</f>
        <v/>
      </c>
    </row>
    <row r="449" ht="22" customHeight="1">
      <c r="A449" s="9" t="inlineStr"/>
      <c r="B449" s="13" t="inlineStr">
        <is>
          <t>447. Канадка оцинкованная</t>
        </is>
      </c>
      <c r="C449" s="9" t="inlineStr">
        <is>
          <t>шт.</t>
        </is>
      </c>
      <c r="D449" s="4">
        <f>IF('Форма'!G447="","",'Форма'!G447)</f>
        <v/>
      </c>
      <c r="E449" s="9" t="inlineStr">
        <is>
          <t>аналог (6.2.5)</t>
        </is>
      </c>
      <c r="F449" s="9" t="inlineStr">
        <is>
          <t>KRO</t>
        </is>
      </c>
      <c r="G449" s="10" t="n">
        <v>362</v>
      </c>
      <c r="H449" s="10" t="n">
        <v>190</v>
      </c>
      <c r="I449" s="10" t="n">
        <v>0.2</v>
      </c>
      <c r="J449" s="9" t="inlineStr"/>
      <c r="K449" s="7">
        <f>IF(F449="",0,IFERROR(VLOOKUP(F449,Расходники!$A$4:$B$23,2,FALSE),0))</f>
        <v/>
      </c>
      <c r="L449" s="4">
        <f>H449*D449</f>
        <v/>
      </c>
      <c r="M449" s="4">
        <f>L449*K449</f>
        <v/>
      </c>
      <c r="N449" s="4">
        <f>SUMIF(Материалы!$A$4:$A$800,SUBSTITUTE(SUBSTITUTE(SUBSTITUTE(B449,"~","~~"),"*","~*"),"?","~?"),Материалы!$S$4:$S$800)</f>
        <v/>
      </c>
      <c r="O449" s="4">
        <f>L449+M449+N449</f>
        <v/>
      </c>
      <c r="P449" s="4">
        <f>IF(SUM($O$4:$O$672)=0,0,Косвенные!$C$9*O449/SUM($O$4:$O$672))</f>
        <v/>
      </c>
      <c r="Q449" s="4">
        <f>G449*D449+P449</f>
        <v/>
      </c>
      <c r="R449" s="4">
        <f>IF(D449=0,0,Q449/D449)</f>
        <v/>
      </c>
      <c r="S449" s="4">
        <f>IF(D449=0,0,SUMIF(Материалы!$A$4:$A$800,SUBSTITUTE(SUBSTITUTE(SUBSTITUTE(B449,"~","~~"),"*","~*"),"?","~?"),Материалы!$T$4:$T$800)/D449)</f>
        <v/>
      </c>
      <c r="T449" s="4">
        <f>R449+S449</f>
        <v/>
      </c>
      <c r="U449" s="4">
        <f>I449*D449</f>
        <v/>
      </c>
    </row>
    <row r="450" ht="22" customHeight="1">
      <c r="A450" s="9" t="inlineStr"/>
      <c r="B450" s="13" t="inlineStr">
        <is>
          <t>448. Желоб угловой оцинкованный</t>
        </is>
      </c>
      <c r="C450" s="9" t="inlineStr">
        <is>
          <t>шт.</t>
        </is>
      </c>
      <c r="D450" s="4">
        <f>IF('Форма'!G448="","",'Форма'!G448)</f>
        <v/>
      </c>
      <c r="E450" s="9" t="inlineStr">
        <is>
          <t>аналог (6.2.5)</t>
        </is>
      </c>
      <c r="F450" s="9" t="inlineStr">
        <is>
          <t>KRO</t>
        </is>
      </c>
      <c r="G450" s="10" t="n">
        <v>362</v>
      </c>
      <c r="H450" s="10" t="n">
        <v>190</v>
      </c>
      <c r="I450" s="10" t="n">
        <v>0.2</v>
      </c>
      <c r="J450" s="9" t="inlineStr"/>
      <c r="K450" s="7">
        <f>IF(F450="",0,IFERROR(VLOOKUP(F450,Расходники!$A$4:$B$23,2,FALSE),0))</f>
        <v/>
      </c>
      <c r="L450" s="4">
        <f>H450*D450</f>
        <v/>
      </c>
      <c r="M450" s="4">
        <f>L450*K450</f>
        <v/>
      </c>
      <c r="N450" s="4">
        <f>SUMIF(Материалы!$A$4:$A$800,SUBSTITUTE(SUBSTITUTE(SUBSTITUTE(B450,"~","~~"),"*","~*"),"?","~?"),Материалы!$S$4:$S$800)</f>
        <v/>
      </c>
      <c r="O450" s="4">
        <f>L450+M450+N450</f>
        <v/>
      </c>
      <c r="P450" s="4">
        <f>IF(SUM($O$4:$O$672)=0,0,Косвенные!$C$9*O450/SUM($O$4:$O$672))</f>
        <v/>
      </c>
      <c r="Q450" s="4">
        <f>G450*D450+P450</f>
        <v/>
      </c>
      <c r="R450" s="4">
        <f>IF(D450=0,0,Q450/D450)</f>
        <v/>
      </c>
      <c r="S450" s="4">
        <f>IF(D450=0,0,SUMIF(Материалы!$A$4:$A$800,SUBSTITUTE(SUBSTITUTE(SUBSTITUTE(B450,"~","~~"),"*","~*"),"?","~?"),Материалы!$T$4:$T$800)/D450)</f>
        <v/>
      </c>
      <c r="T450" s="4">
        <f>R450+S450</f>
        <v/>
      </c>
      <c r="U450" s="4">
        <f>I450*D450</f>
        <v/>
      </c>
    </row>
    <row r="451" ht="22" customHeight="1">
      <c r="A451" s="9" t="inlineStr"/>
      <c r="B451" s="13" t="inlineStr">
        <is>
          <t>449. Крепление трубы оцинкованное</t>
        </is>
      </c>
      <c r="C451" s="9" t="inlineStr">
        <is>
          <t>шт.</t>
        </is>
      </c>
      <c r="D451" s="4">
        <f>IF('Форма'!G449="","",'Форма'!G449)</f>
        <v/>
      </c>
      <c r="E451" s="9" t="inlineStr">
        <is>
          <t>аналог (6.2.5)</t>
        </is>
      </c>
      <c r="F451" s="9" t="inlineStr">
        <is>
          <t>KRO</t>
        </is>
      </c>
      <c r="G451" s="10" t="n">
        <v>362</v>
      </c>
      <c r="H451" s="10" t="n">
        <v>190</v>
      </c>
      <c r="I451" s="10" t="n">
        <v>0.2</v>
      </c>
      <c r="J451" s="9" t="inlineStr"/>
      <c r="K451" s="7">
        <f>IF(F451="",0,IFERROR(VLOOKUP(F451,Расходники!$A$4:$B$23,2,FALSE),0))</f>
        <v/>
      </c>
      <c r="L451" s="4">
        <f>H451*D451</f>
        <v/>
      </c>
      <c r="M451" s="4">
        <f>L451*K451</f>
        <v/>
      </c>
      <c r="N451" s="4">
        <f>SUMIF(Материалы!$A$4:$A$800,SUBSTITUTE(SUBSTITUTE(SUBSTITUTE(B451,"~","~~"),"*","~*"),"?","~?"),Материалы!$S$4:$S$800)</f>
        <v/>
      </c>
      <c r="O451" s="4">
        <f>L451+M451+N451</f>
        <v/>
      </c>
      <c r="P451" s="4">
        <f>IF(SUM($O$4:$O$672)=0,0,Косвенные!$C$9*O451/SUM($O$4:$O$672))</f>
        <v/>
      </c>
      <c r="Q451" s="4">
        <f>G451*D451+P451</f>
        <v/>
      </c>
      <c r="R451" s="4">
        <f>IF(D451=0,0,Q451/D451)</f>
        <v/>
      </c>
      <c r="S451" s="4">
        <f>IF(D451=0,0,SUMIF(Материалы!$A$4:$A$800,SUBSTITUTE(SUBSTITUTE(SUBSTITUTE(B451,"~","~~"),"*","~*"),"?","~?"),Материалы!$T$4:$T$800)/D451)</f>
        <v/>
      </c>
      <c r="T451" s="4">
        <f>R451+S451</f>
        <v/>
      </c>
      <c r="U451" s="4">
        <f>I451*D451</f>
        <v/>
      </c>
    </row>
    <row r="452" ht="22" customHeight="1">
      <c r="A452" s="9" t="inlineStr"/>
      <c r="B452" s="13" t="inlineStr">
        <is>
          <t>450. Воронка (стакан) оцинк.</t>
        </is>
      </c>
      <c r="C452" s="9" t="inlineStr">
        <is>
          <t>шт.</t>
        </is>
      </c>
      <c r="D452" s="4">
        <f>IF('Форма'!G450="","",'Форма'!G450)</f>
        <v/>
      </c>
      <c r="E452" s="9" t="inlineStr">
        <is>
          <t>аналог (6.2.5)</t>
        </is>
      </c>
      <c r="F452" s="9" t="inlineStr">
        <is>
          <t>KRO</t>
        </is>
      </c>
      <c r="G452" s="10" t="n">
        <v>362</v>
      </c>
      <c r="H452" s="10" t="n">
        <v>190</v>
      </c>
      <c r="I452" s="10" t="n">
        <v>0.2</v>
      </c>
      <c r="J452" s="9" t="inlineStr"/>
      <c r="K452" s="7">
        <f>IF(F452="",0,IFERROR(VLOOKUP(F452,Расходники!$A$4:$B$23,2,FALSE),0))</f>
        <v/>
      </c>
      <c r="L452" s="4">
        <f>H452*D452</f>
        <v/>
      </c>
      <c r="M452" s="4">
        <f>L452*K452</f>
        <v/>
      </c>
      <c r="N452" s="4">
        <f>SUMIF(Материалы!$A$4:$A$800,SUBSTITUTE(SUBSTITUTE(SUBSTITUTE(B452,"~","~~"),"*","~*"),"?","~?"),Материалы!$S$4:$S$800)</f>
        <v/>
      </c>
      <c r="O452" s="4">
        <f>L452+M452+N452</f>
        <v/>
      </c>
      <c r="P452" s="4">
        <f>IF(SUM($O$4:$O$672)=0,0,Косвенные!$C$9*O452/SUM($O$4:$O$672))</f>
        <v/>
      </c>
      <c r="Q452" s="4">
        <f>G452*D452+P452</f>
        <v/>
      </c>
      <c r="R452" s="4">
        <f>IF(D452=0,0,Q452/D452)</f>
        <v/>
      </c>
      <c r="S452" s="4">
        <f>IF(D452=0,0,SUMIF(Материалы!$A$4:$A$800,SUBSTITUTE(SUBSTITUTE(SUBSTITUTE(B452,"~","~~"),"*","~*"),"?","~?"),Материалы!$T$4:$T$800)/D452)</f>
        <v/>
      </c>
      <c r="T452" s="4">
        <f>R452+S452</f>
        <v/>
      </c>
      <c r="U452" s="4">
        <f>I452*D452</f>
        <v/>
      </c>
    </row>
    <row r="453" ht="22" customHeight="1">
      <c r="A453" s="9" t="inlineStr"/>
      <c r="B453" s="13" t="inlineStr">
        <is>
          <t>451. Желоб оцинкованный 1250мм</t>
        </is>
      </c>
      <c r="C453" s="9" t="inlineStr">
        <is>
          <t>м.п.</t>
        </is>
      </c>
      <c r="D453" s="4">
        <f>IF('Форма'!G451="","",'Форма'!G451)</f>
        <v/>
      </c>
      <c r="E453" s="9" t="inlineStr">
        <is>
          <t>аналог (6.2.5)</t>
        </is>
      </c>
      <c r="F453" s="9" t="inlineStr">
        <is>
          <t>KRO</t>
        </is>
      </c>
      <c r="G453" s="10" t="n">
        <v>398.2</v>
      </c>
      <c r="H453" s="10" t="n">
        <v>209</v>
      </c>
      <c r="I453" s="10" t="n">
        <v>0.22</v>
      </c>
      <c r="J453" s="9" t="inlineStr"/>
      <c r="K453" s="7">
        <f>IF(F453="",0,IFERROR(VLOOKUP(F453,Расходники!$A$4:$B$23,2,FALSE),0))</f>
        <v/>
      </c>
      <c r="L453" s="4">
        <f>H453*D453</f>
        <v/>
      </c>
      <c r="M453" s="4">
        <f>L453*K453</f>
        <v/>
      </c>
      <c r="N453" s="4">
        <f>SUMIF(Материалы!$A$4:$A$800,SUBSTITUTE(SUBSTITUTE(SUBSTITUTE(B453,"~","~~"),"*","~*"),"?","~?"),Материалы!$S$4:$S$800)</f>
        <v/>
      </c>
      <c r="O453" s="4">
        <f>L453+M453+N453</f>
        <v/>
      </c>
      <c r="P453" s="4">
        <f>IF(SUM($O$4:$O$672)=0,0,Косвенные!$C$9*O453/SUM($O$4:$O$672))</f>
        <v/>
      </c>
      <c r="Q453" s="4">
        <f>G453*D453+P453</f>
        <v/>
      </c>
      <c r="R453" s="4">
        <f>IF(D453=0,0,Q453/D453)</f>
        <v/>
      </c>
      <c r="S453" s="4">
        <f>IF(D453=0,0,SUMIF(Материалы!$A$4:$A$800,SUBSTITUTE(SUBSTITUTE(SUBSTITUTE(B453,"~","~~"),"*","~*"),"?","~?"),Материалы!$T$4:$T$800)/D453)</f>
        <v/>
      </c>
      <c r="T453" s="4">
        <f>R453+S453</f>
        <v/>
      </c>
      <c r="U453" s="4">
        <f>I453*D453</f>
        <v/>
      </c>
    </row>
    <row r="454" ht="22" customHeight="1">
      <c r="A454" s="9" t="inlineStr"/>
      <c r="B454" s="13" t="inlineStr">
        <is>
          <t>452. Желоб оцинкованный 2000мм</t>
        </is>
      </c>
      <c r="C454" s="9" t="inlineStr">
        <is>
          <t>м.п.</t>
        </is>
      </c>
      <c r="D454" s="4">
        <f>IF('Форма'!G452="","",'Форма'!G452)</f>
        <v/>
      </c>
      <c r="E454" s="9" t="inlineStr">
        <is>
          <t>аналог (6.2.5)</t>
        </is>
      </c>
      <c r="F454" s="9" t="inlineStr">
        <is>
          <t>KRO</t>
        </is>
      </c>
      <c r="G454" s="10" t="n">
        <v>398.2</v>
      </c>
      <c r="H454" s="10" t="n">
        <v>209</v>
      </c>
      <c r="I454" s="10" t="n">
        <v>0.22</v>
      </c>
      <c r="J454" s="9" t="inlineStr"/>
      <c r="K454" s="7">
        <f>IF(F454="",0,IFERROR(VLOOKUP(F454,Расходники!$A$4:$B$23,2,FALSE),0))</f>
        <v/>
      </c>
      <c r="L454" s="4">
        <f>H454*D454</f>
        <v/>
      </c>
      <c r="M454" s="4">
        <f>L454*K454</f>
        <v/>
      </c>
      <c r="N454" s="4">
        <f>SUMIF(Материалы!$A$4:$A$800,SUBSTITUTE(SUBSTITUTE(SUBSTITUTE(B454,"~","~~"),"*","~*"),"?","~?"),Материалы!$S$4:$S$800)</f>
        <v/>
      </c>
      <c r="O454" s="4">
        <f>L454+M454+N454</f>
        <v/>
      </c>
      <c r="P454" s="4">
        <f>IF(SUM($O$4:$O$672)=0,0,Косвенные!$C$9*O454/SUM($O$4:$O$672))</f>
        <v/>
      </c>
      <c r="Q454" s="4">
        <f>G454*D454+P454</f>
        <v/>
      </c>
      <c r="R454" s="4">
        <f>IF(D454=0,0,Q454/D454)</f>
        <v/>
      </c>
      <c r="S454" s="4">
        <f>IF(D454=0,0,SUMIF(Материалы!$A$4:$A$800,SUBSTITUTE(SUBSTITUTE(SUBSTITUTE(B454,"~","~~"),"*","~*"),"?","~?"),Материалы!$T$4:$T$800)/D454)</f>
        <v/>
      </c>
      <c r="T454" s="4">
        <f>R454+S454</f>
        <v/>
      </c>
      <c r="U454" s="4">
        <f>I454*D454</f>
        <v/>
      </c>
    </row>
    <row r="455" ht="22" customHeight="1">
      <c r="A455" s="9" t="inlineStr"/>
      <c r="B455" s="13" t="inlineStr">
        <is>
          <t>453. Крепление под желоб</t>
        </is>
      </c>
      <c r="C455" s="9" t="inlineStr">
        <is>
          <t>шт.</t>
        </is>
      </c>
      <c r="D455" s="4">
        <f>IF('Форма'!G453="","",'Форма'!G453)</f>
        <v/>
      </c>
      <c r="E455" s="9" t="inlineStr">
        <is>
          <t>аналог (6.2.5)</t>
        </is>
      </c>
      <c r="F455" s="9" t="inlineStr">
        <is>
          <t>KRO</t>
        </is>
      </c>
      <c r="G455" s="10" t="n">
        <v>362</v>
      </c>
      <c r="H455" s="10" t="n">
        <v>190</v>
      </c>
      <c r="I455" s="10" t="n">
        <v>0.2</v>
      </c>
      <c r="J455" s="9" t="inlineStr"/>
      <c r="K455" s="7">
        <f>IF(F455="",0,IFERROR(VLOOKUP(F455,Расходники!$A$4:$B$23,2,FALSE),0))</f>
        <v/>
      </c>
      <c r="L455" s="4">
        <f>H455*D455</f>
        <v/>
      </c>
      <c r="M455" s="4">
        <f>L455*K455</f>
        <v/>
      </c>
      <c r="N455" s="4">
        <f>SUMIF(Материалы!$A$4:$A$800,SUBSTITUTE(SUBSTITUTE(SUBSTITUTE(B455,"~","~~"),"*","~*"),"?","~?"),Материалы!$S$4:$S$800)</f>
        <v/>
      </c>
      <c r="O455" s="4">
        <f>L455+M455+N455</f>
        <v/>
      </c>
      <c r="P455" s="4">
        <f>IF(SUM($O$4:$O$672)=0,0,Косвенные!$C$9*O455/SUM($O$4:$O$672))</f>
        <v/>
      </c>
      <c r="Q455" s="4">
        <f>G455*D455+P455</f>
        <v/>
      </c>
      <c r="R455" s="4">
        <f>IF(D455=0,0,Q455/D455)</f>
        <v/>
      </c>
      <c r="S455" s="4">
        <f>IF(D455=0,0,SUMIF(Материалы!$A$4:$A$800,SUBSTITUTE(SUBSTITUTE(SUBSTITUTE(B455,"~","~~"),"*","~*"),"?","~?"),Материалы!$T$4:$T$800)/D455)</f>
        <v/>
      </c>
      <c r="T455" s="4">
        <f>R455+S455</f>
        <v/>
      </c>
      <c r="U455" s="4">
        <f>I455*D455</f>
        <v/>
      </c>
    </row>
    <row r="456" ht="22" customHeight="1">
      <c r="A456" s="9" t="inlineStr"/>
      <c r="B456" s="13" t="inlineStr">
        <is>
          <t>454. Саморезы оцинкованные (4,8 х 100 мм) (100 шт.)</t>
        </is>
      </c>
      <c r="C456" s="9" t="inlineStr">
        <is>
          <t>шт.</t>
        </is>
      </c>
      <c r="D456" s="4">
        <f>IF('Форма'!G454="","",'Форма'!G454)</f>
        <v/>
      </c>
      <c r="E456" s="9" t="inlineStr">
        <is>
          <t>нет в тарификаторе</t>
        </is>
      </c>
      <c r="F456" s="9" t="inlineStr">
        <is>
          <t>KRO</t>
        </is>
      </c>
      <c r="G456" s="10" t="n">
        <v>90.5</v>
      </c>
      <c r="H456" s="10" t="n">
        <v>47.5</v>
      </c>
      <c r="I456" s="10" t="n">
        <v>0.05</v>
      </c>
      <c r="J456" s="9" t="inlineStr"/>
      <c r="K456" s="7">
        <f>IF(F456="",0,IFERROR(VLOOKUP(F456,Расходники!$A$4:$B$23,2,FALSE),0))</f>
        <v/>
      </c>
      <c r="L456" s="4">
        <f>H456*D456</f>
        <v/>
      </c>
      <c r="M456" s="4">
        <f>L456*K456</f>
        <v/>
      </c>
      <c r="N456" s="4">
        <f>SUMIF(Материалы!$A$4:$A$800,SUBSTITUTE(SUBSTITUTE(SUBSTITUTE(B456,"~","~~"),"*","~*"),"?","~?"),Материалы!$S$4:$S$800)</f>
        <v/>
      </c>
      <c r="O456" s="4">
        <f>L456+M456+N456</f>
        <v/>
      </c>
      <c r="P456" s="4">
        <f>IF(SUM($O$4:$O$672)=0,0,Косвенные!$C$9*O456/SUM($O$4:$O$672))</f>
        <v/>
      </c>
      <c r="Q456" s="4">
        <f>G456*D456+P456</f>
        <v/>
      </c>
      <c r="R456" s="4">
        <f>IF(D456=0,0,Q456/D456)</f>
        <v/>
      </c>
      <c r="S456" s="4">
        <f>IF(D456=0,0,SUMIF(Материалы!$A$4:$A$800,SUBSTITUTE(SUBSTITUTE(SUBSTITUTE(B456,"~","~~"),"*","~*"),"?","~?"),Материалы!$T$4:$T$800)/D456)</f>
        <v/>
      </c>
      <c r="T456" s="4">
        <f>R456+S456</f>
        <v/>
      </c>
      <c r="U456" s="4">
        <f>I456*D456</f>
        <v/>
      </c>
    </row>
    <row r="457" ht="22" customHeight="1">
      <c r="A457" s="9" t="inlineStr"/>
      <c r="B457" s="13" t="inlineStr">
        <is>
          <t>455. Пароизоляция армированная Техно НИКОЛЬ</t>
        </is>
      </c>
      <c r="C457" s="9" t="inlineStr">
        <is>
          <t>м2</t>
        </is>
      </c>
      <c r="D457" s="4">
        <f>IF('Форма'!G455="","",'Форма'!G455)</f>
        <v/>
      </c>
      <c r="E457" s="9" t="inlineStr">
        <is>
          <t>нет в тарификаторе</t>
        </is>
      </c>
      <c r="F457" s="9" t="inlineStr">
        <is>
          <t>KRO</t>
        </is>
      </c>
      <c r="G457" s="10" t="n">
        <v>144.8</v>
      </c>
      <c r="H457" s="10" t="n">
        <v>76</v>
      </c>
      <c r="I457" s="10" t="n">
        <v>0.08</v>
      </c>
      <c r="J457" s="9" t="inlineStr"/>
      <c r="K457" s="7">
        <f>IF(F457="",0,IFERROR(VLOOKUP(F457,Расходники!$A$4:$B$23,2,FALSE),0))</f>
        <v/>
      </c>
      <c r="L457" s="4">
        <f>H457*D457</f>
        <v/>
      </c>
      <c r="M457" s="4">
        <f>L457*K457</f>
        <v/>
      </c>
      <c r="N457" s="4">
        <f>SUMIF(Материалы!$A$4:$A$800,SUBSTITUTE(SUBSTITUTE(SUBSTITUTE(B457,"~","~~"),"*","~*"),"?","~?"),Материалы!$S$4:$S$800)</f>
        <v/>
      </c>
      <c r="O457" s="4">
        <f>L457+M457+N457</f>
        <v/>
      </c>
      <c r="P457" s="4">
        <f>IF(SUM($O$4:$O$672)=0,0,Косвенные!$C$9*O457/SUM($O$4:$O$672))</f>
        <v/>
      </c>
      <c r="Q457" s="4">
        <f>G457*D457+P457</f>
        <v/>
      </c>
      <c r="R457" s="4">
        <f>IF(D457=0,0,Q457/D457)</f>
        <v/>
      </c>
      <c r="S457" s="4">
        <f>IF(D457=0,0,SUMIF(Материалы!$A$4:$A$800,SUBSTITUTE(SUBSTITUTE(SUBSTITUTE(B457,"~","~~"),"*","~*"),"?","~?"),Материалы!$T$4:$T$800)/D457)</f>
        <v/>
      </c>
      <c r="T457" s="4">
        <f>R457+S457</f>
        <v/>
      </c>
      <c r="U457" s="4">
        <f>I457*D457</f>
        <v/>
      </c>
    </row>
    <row r="458" ht="22" customHeight="1">
      <c r="A458" s="9" t="inlineStr"/>
      <c r="B458" s="13" t="inlineStr">
        <is>
          <t>456. Желоб водосточный из оцинкованной стали 125</t>
        </is>
      </c>
      <c r="C458" s="9" t="inlineStr">
        <is>
          <t>м.п.</t>
        </is>
      </c>
      <c r="D458" s="4">
        <f>IF('Форма'!G456="","",'Форма'!G456)</f>
        <v/>
      </c>
      <c r="E458" s="9" t="inlineStr">
        <is>
          <t>аналог (6.2.5)</t>
        </is>
      </c>
      <c r="F458" s="9" t="inlineStr">
        <is>
          <t>KRO</t>
        </is>
      </c>
      <c r="G458" s="10" t="n">
        <v>398.2</v>
      </c>
      <c r="H458" s="10" t="n">
        <v>209</v>
      </c>
      <c r="I458" s="10" t="n">
        <v>0.22</v>
      </c>
      <c r="J458" s="9" t="inlineStr"/>
      <c r="K458" s="7">
        <f>IF(F458="",0,IFERROR(VLOOKUP(F458,Расходники!$A$4:$B$23,2,FALSE),0))</f>
        <v/>
      </c>
      <c r="L458" s="4">
        <f>H458*D458</f>
        <v/>
      </c>
      <c r="M458" s="4">
        <f>L458*K458</f>
        <v/>
      </c>
      <c r="N458" s="4">
        <f>SUMIF(Материалы!$A$4:$A$800,SUBSTITUTE(SUBSTITUTE(SUBSTITUTE(B458,"~","~~"),"*","~*"),"?","~?"),Материалы!$S$4:$S$800)</f>
        <v/>
      </c>
      <c r="O458" s="4">
        <f>L458+M458+N458</f>
        <v/>
      </c>
      <c r="P458" s="4">
        <f>IF(SUM($O$4:$O$672)=0,0,Косвенные!$C$9*O458/SUM($O$4:$O$672))</f>
        <v/>
      </c>
      <c r="Q458" s="4">
        <f>G458*D458+P458</f>
        <v/>
      </c>
      <c r="R458" s="4">
        <f>IF(D458=0,0,Q458/D458)</f>
        <v/>
      </c>
      <c r="S458" s="4">
        <f>IF(D458=0,0,SUMIF(Материалы!$A$4:$A$800,SUBSTITUTE(SUBSTITUTE(SUBSTITUTE(B458,"~","~~"),"*","~*"),"?","~?"),Материалы!$T$4:$T$800)/D458)</f>
        <v/>
      </c>
      <c r="T458" s="4">
        <f>R458+S458</f>
        <v/>
      </c>
      <c r="U458" s="4">
        <f>I458*D458</f>
        <v/>
      </c>
    </row>
    <row r="459" ht="22" customHeight="1">
      <c r="A459" s="9" t="inlineStr"/>
      <c r="B459" s="13" t="inlineStr">
        <is>
          <t>457. Желоб водосточный из оцинкованной стали 100</t>
        </is>
      </c>
      <c r="C459" s="9" t="inlineStr">
        <is>
          <t>м.п.</t>
        </is>
      </c>
      <c r="D459" s="4">
        <f>IF('Форма'!G457="","",'Форма'!G457)</f>
        <v/>
      </c>
      <c r="E459" s="9" t="inlineStr">
        <is>
          <t>аналог (6.2.5)</t>
        </is>
      </c>
      <c r="F459" s="9" t="inlineStr">
        <is>
          <t>KRO</t>
        </is>
      </c>
      <c r="G459" s="10" t="n">
        <v>398.2</v>
      </c>
      <c r="H459" s="10" t="n">
        <v>209</v>
      </c>
      <c r="I459" s="10" t="n">
        <v>0.22</v>
      </c>
      <c r="J459" s="9" t="inlineStr"/>
      <c r="K459" s="7">
        <f>IF(F459="",0,IFERROR(VLOOKUP(F459,Расходники!$A$4:$B$23,2,FALSE),0))</f>
        <v/>
      </c>
      <c r="L459" s="4">
        <f>H459*D459</f>
        <v/>
      </c>
      <c r="M459" s="4">
        <f>L459*K459</f>
        <v/>
      </c>
      <c r="N459" s="4">
        <f>SUMIF(Материалы!$A$4:$A$800,SUBSTITUTE(SUBSTITUTE(SUBSTITUTE(B459,"~","~~"),"*","~*"),"?","~?"),Материалы!$S$4:$S$800)</f>
        <v/>
      </c>
      <c r="O459" s="4">
        <f>L459+M459+N459</f>
        <v/>
      </c>
      <c r="P459" s="4">
        <f>IF(SUM($O$4:$O$672)=0,0,Косвенные!$C$9*O459/SUM($O$4:$O$672))</f>
        <v/>
      </c>
      <c r="Q459" s="4">
        <f>G459*D459+P459</f>
        <v/>
      </c>
      <c r="R459" s="4">
        <f>IF(D459=0,0,Q459/D459)</f>
        <v/>
      </c>
      <c r="S459" s="4">
        <f>IF(D459=0,0,SUMIF(Материалы!$A$4:$A$800,SUBSTITUTE(SUBSTITUTE(SUBSTITUTE(B459,"~","~~"),"*","~*"),"?","~?"),Материалы!$T$4:$T$800)/D459)</f>
        <v/>
      </c>
      <c r="T459" s="4">
        <f>R459+S459</f>
        <v/>
      </c>
      <c r="U459" s="4">
        <f>I459*D459</f>
        <v/>
      </c>
    </row>
    <row r="460" ht="22" customHeight="1">
      <c r="A460" s="9" t="inlineStr"/>
      <c r="B460" s="13" t="inlineStr">
        <is>
          <t>458. Желоб водосточный "HUNTER" 125 мм</t>
        </is>
      </c>
      <c r="C460" s="9" t="inlineStr">
        <is>
          <t>м.п.</t>
        </is>
      </c>
      <c r="D460" s="4">
        <f>IF('Форма'!G458="","",'Форма'!G458)</f>
        <v/>
      </c>
      <c r="E460" s="9" t="inlineStr">
        <is>
          <t>аналог (6.2.5)</t>
        </is>
      </c>
      <c r="F460" s="9" t="inlineStr">
        <is>
          <t>KRO</t>
        </is>
      </c>
      <c r="G460" s="10" t="n">
        <v>398.2</v>
      </c>
      <c r="H460" s="10" t="n">
        <v>209</v>
      </c>
      <c r="I460" s="10" t="n">
        <v>0.22</v>
      </c>
      <c r="J460" s="9" t="inlineStr"/>
      <c r="K460" s="7">
        <f>IF(F460="",0,IFERROR(VLOOKUP(F460,Расходники!$A$4:$B$23,2,FALSE),0))</f>
        <v/>
      </c>
      <c r="L460" s="4">
        <f>H460*D460</f>
        <v/>
      </c>
      <c r="M460" s="4">
        <f>L460*K460</f>
        <v/>
      </c>
      <c r="N460" s="4">
        <f>SUMIF(Материалы!$A$4:$A$800,SUBSTITUTE(SUBSTITUTE(SUBSTITUTE(B460,"~","~~"),"*","~*"),"?","~?"),Материалы!$S$4:$S$800)</f>
        <v/>
      </c>
      <c r="O460" s="4">
        <f>L460+M460+N460</f>
        <v/>
      </c>
      <c r="P460" s="4">
        <f>IF(SUM($O$4:$O$672)=0,0,Косвенные!$C$9*O460/SUM($O$4:$O$672))</f>
        <v/>
      </c>
      <c r="Q460" s="4">
        <f>G460*D460+P460</f>
        <v/>
      </c>
      <c r="R460" s="4">
        <f>IF(D460=0,0,Q460/D460)</f>
        <v/>
      </c>
      <c r="S460" s="4">
        <f>IF(D460=0,0,SUMIF(Материалы!$A$4:$A$800,SUBSTITUTE(SUBSTITUTE(SUBSTITUTE(B460,"~","~~"),"*","~*"),"?","~?"),Материалы!$T$4:$T$800)/D460)</f>
        <v/>
      </c>
      <c r="T460" s="4">
        <f>R460+S460</f>
        <v/>
      </c>
      <c r="U460" s="4">
        <f>I460*D460</f>
        <v/>
      </c>
    </row>
    <row r="461" ht="22" customHeight="1">
      <c r="A461" s="9" t="inlineStr"/>
      <c r="B461" s="13" t="inlineStr">
        <is>
          <t>459. Герметик полиуретановый</t>
        </is>
      </c>
      <c r="C461" s="9" t="inlineStr">
        <is>
          <t>кг.</t>
        </is>
      </c>
      <c r="D461" s="4">
        <f>IF('Форма'!G459="","",'Форма'!G459)</f>
        <v/>
      </c>
      <c r="E461" s="9" t="inlineStr">
        <is>
          <t>нет в тарификаторе</t>
        </is>
      </c>
      <c r="F461" s="9" t="inlineStr">
        <is>
          <t>KRO</t>
        </is>
      </c>
      <c r="G461" s="10" t="n">
        <v>0</v>
      </c>
      <c r="H461" s="10" t="n">
        <v>0</v>
      </c>
      <c r="I461" s="10" t="n">
        <v>0</v>
      </c>
      <c r="J461" s="9" t="inlineStr"/>
      <c r="K461" s="7">
        <f>IF(F461="",0,IFERROR(VLOOKUP(F461,Расходники!$A$4:$B$23,2,FALSE),0))</f>
        <v/>
      </c>
      <c r="L461" s="4">
        <f>H461*D461</f>
        <v/>
      </c>
      <c r="M461" s="4">
        <f>L461*K461</f>
        <v/>
      </c>
      <c r="N461" s="4">
        <f>SUMIF(Материалы!$A$4:$A$800,SUBSTITUTE(SUBSTITUTE(SUBSTITUTE(B461,"~","~~"),"*","~*"),"?","~?"),Материалы!$S$4:$S$800)</f>
        <v/>
      </c>
      <c r="O461" s="4">
        <f>L461+M461+N461</f>
        <v/>
      </c>
      <c r="P461" s="4">
        <f>IF(SUM($O$4:$O$672)=0,0,Косвенные!$C$9*O461/SUM($O$4:$O$672))</f>
        <v/>
      </c>
      <c r="Q461" s="4">
        <f>G461*D461+P461</f>
        <v/>
      </c>
      <c r="R461" s="4">
        <f>IF(D461=0,0,Q461/D461)</f>
        <v/>
      </c>
      <c r="S461" s="4">
        <f>IF(D461=0,0,SUMIF(Материалы!$A$4:$A$800,SUBSTITUTE(SUBSTITUTE(SUBSTITUTE(B461,"~","~~"),"*","~*"),"?","~?"),Материалы!$T$4:$T$800)/D461)</f>
        <v/>
      </c>
      <c r="T461" s="4">
        <f>R461+S461</f>
        <v/>
      </c>
      <c r="U461" s="4">
        <f>I461*D461</f>
        <v/>
      </c>
    </row>
    <row r="462" ht="22" customHeight="1">
      <c r="A462" s="9" t="inlineStr"/>
      <c r="B462" s="13" t="inlineStr">
        <is>
          <t>460. Труба водосточная из труб с порошковой окраскойd 100</t>
        </is>
      </c>
      <c r="C462" s="9" t="inlineStr">
        <is>
          <t>м.п.</t>
        </is>
      </c>
      <c r="D462" s="4">
        <f>IF('Форма'!G460="","",'Форма'!G460)</f>
        <v/>
      </c>
      <c r="E462" s="9" t="inlineStr">
        <is>
          <t>аналог (8.2.34), единица приведена к нормо-часам</t>
        </is>
      </c>
      <c r="F462" s="9" t="inlineStr">
        <is>
          <t>OTD</t>
        </is>
      </c>
      <c r="G462" s="10" t="n">
        <v>342</v>
      </c>
      <c r="H462" s="10" t="n">
        <v>180</v>
      </c>
      <c r="I462" s="10" t="n">
        <v>0.2</v>
      </c>
      <c r="J462" s="9" t="inlineStr"/>
      <c r="K462" s="7">
        <f>IF(F462="",0,IFERROR(VLOOKUP(F462,Расходники!$A$4:$B$23,2,FALSE),0))</f>
        <v/>
      </c>
      <c r="L462" s="4">
        <f>H462*D462</f>
        <v/>
      </c>
      <c r="M462" s="4">
        <f>L462*K462</f>
        <v/>
      </c>
      <c r="N462" s="4">
        <f>SUMIF(Материалы!$A$4:$A$800,SUBSTITUTE(SUBSTITUTE(SUBSTITUTE(B462,"~","~~"),"*","~*"),"?","~?"),Материалы!$S$4:$S$800)</f>
        <v/>
      </c>
      <c r="O462" s="4">
        <f>L462+M462+N462</f>
        <v/>
      </c>
      <c r="P462" s="4">
        <f>IF(SUM($O$4:$O$672)=0,0,Косвенные!$C$9*O462/SUM($O$4:$O$672))</f>
        <v/>
      </c>
      <c r="Q462" s="4">
        <f>G462*D462+P462</f>
        <v/>
      </c>
      <c r="R462" s="4">
        <f>IF(D462=0,0,Q462/D462)</f>
        <v/>
      </c>
      <c r="S462" s="4">
        <f>IF(D462=0,0,SUMIF(Материалы!$A$4:$A$800,SUBSTITUTE(SUBSTITUTE(SUBSTITUTE(B462,"~","~~"),"*","~*"),"?","~?"),Материалы!$T$4:$T$800)/D462)</f>
        <v/>
      </c>
      <c r="T462" s="4">
        <f>R462+S462</f>
        <v/>
      </c>
      <c r="U462" s="4">
        <f>I462*D462</f>
        <v/>
      </c>
    </row>
    <row r="463" ht="22" customHeight="1">
      <c r="A463" s="9" t="inlineStr"/>
      <c r="B463" s="13" t="inlineStr">
        <is>
          <t>461. Желоб водосточный с порошковой окраской d 100</t>
        </is>
      </c>
      <c r="C463" s="9" t="inlineStr">
        <is>
          <t>м.п.</t>
        </is>
      </c>
      <c r="D463" s="4">
        <f>IF('Форма'!G461="","",'Форма'!G461)</f>
        <v/>
      </c>
      <c r="E463" s="9" t="inlineStr">
        <is>
          <t>аналог (8.2.34), единица приведена к нормо-часам</t>
        </is>
      </c>
      <c r="F463" s="9" t="inlineStr">
        <is>
          <t>OTD</t>
        </is>
      </c>
      <c r="G463" s="10" t="n">
        <v>342</v>
      </c>
      <c r="H463" s="10" t="n">
        <v>180</v>
      </c>
      <c r="I463" s="10" t="n">
        <v>0.2</v>
      </c>
      <c r="J463" s="9" t="inlineStr"/>
      <c r="K463" s="7">
        <f>IF(F463="",0,IFERROR(VLOOKUP(F463,Расходники!$A$4:$B$23,2,FALSE),0))</f>
        <v/>
      </c>
      <c r="L463" s="4">
        <f>H463*D463</f>
        <v/>
      </c>
      <c r="M463" s="4">
        <f>L463*K463</f>
        <v/>
      </c>
      <c r="N463" s="4">
        <f>SUMIF(Материалы!$A$4:$A$800,SUBSTITUTE(SUBSTITUTE(SUBSTITUTE(B463,"~","~~"),"*","~*"),"?","~?"),Материалы!$S$4:$S$800)</f>
        <v/>
      </c>
      <c r="O463" s="4">
        <f>L463+M463+N463</f>
        <v/>
      </c>
      <c r="P463" s="4">
        <f>IF(SUM($O$4:$O$672)=0,0,Косвенные!$C$9*O463/SUM($O$4:$O$672))</f>
        <v/>
      </c>
      <c r="Q463" s="4">
        <f>G463*D463+P463</f>
        <v/>
      </c>
      <c r="R463" s="4">
        <f>IF(D463=0,0,Q463/D463)</f>
        <v/>
      </c>
      <c r="S463" s="4">
        <f>IF(D463=0,0,SUMIF(Материалы!$A$4:$A$800,SUBSTITUTE(SUBSTITUTE(SUBSTITUTE(B463,"~","~~"),"*","~*"),"?","~?"),Материалы!$T$4:$T$800)/D463)</f>
        <v/>
      </c>
      <c r="T463" s="4">
        <f>R463+S463</f>
        <v/>
      </c>
      <c r="U463" s="4">
        <f>I463*D463</f>
        <v/>
      </c>
    </row>
    <row r="464" ht="22" customHeight="1">
      <c r="A464" s="9" t="inlineStr"/>
      <c r="B464" s="13" t="inlineStr">
        <is>
          <t>462. Угловой желоб с порошковой окраской d 100</t>
        </is>
      </c>
      <c r="C464" s="9" t="inlineStr">
        <is>
          <t>шт.</t>
        </is>
      </c>
      <c r="D464" s="4">
        <f>IF('Форма'!G462="","",'Форма'!G462)</f>
        <v/>
      </c>
      <c r="E464" s="9" t="inlineStr">
        <is>
          <t>аналог (8.2.34), единица приведена к нормо-часам</t>
        </is>
      </c>
      <c r="F464" s="9" t="inlineStr">
        <is>
          <t>OTD</t>
        </is>
      </c>
      <c r="G464" s="10" t="n">
        <v>342</v>
      </c>
      <c r="H464" s="10" t="n">
        <v>180</v>
      </c>
      <c r="I464" s="10" t="n">
        <v>0.2</v>
      </c>
      <c r="J464" s="9" t="inlineStr"/>
      <c r="K464" s="7">
        <f>IF(F464="",0,IFERROR(VLOOKUP(F464,Расходники!$A$4:$B$23,2,FALSE),0))</f>
        <v/>
      </c>
      <c r="L464" s="4">
        <f>H464*D464</f>
        <v/>
      </c>
      <c r="M464" s="4">
        <f>L464*K464</f>
        <v/>
      </c>
      <c r="N464" s="4">
        <f>SUMIF(Материалы!$A$4:$A$800,SUBSTITUTE(SUBSTITUTE(SUBSTITUTE(B464,"~","~~"),"*","~*"),"?","~?"),Материалы!$S$4:$S$800)</f>
        <v/>
      </c>
      <c r="O464" s="4">
        <f>L464+M464+N464</f>
        <v/>
      </c>
      <c r="P464" s="4">
        <f>IF(SUM($O$4:$O$672)=0,0,Косвенные!$C$9*O464/SUM($O$4:$O$672))</f>
        <v/>
      </c>
      <c r="Q464" s="4">
        <f>G464*D464+P464</f>
        <v/>
      </c>
      <c r="R464" s="4">
        <f>IF(D464=0,0,Q464/D464)</f>
        <v/>
      </c>
      <c r="S464" s="4">
        <f>IF(D464=0,0,SUMIF(Материалы!$A$4:$A$800,SUBSTITUTE(SUBSTITUTE(SUBSTITUTE(B464,"~","~~"),"*","~*"),"?","~?"),Материалы!$T$4:$T$800)/D464)</f>
        <v/>
      </c>
      <c r="T464" s="4">
        <f>R464+S464</f>
        <v/>
      </c>
      <c r="U464" s="4">
        <f>I464*D464</f>
        <v/>
      </c>
    </row>
    <row r="465" ht="22" customHeight="1">
      <c r="A465" s="9" t="inlineStr"/>
      <c r="B465" s="13" t="inlineStr">
        <is>
          <t>463. Монтаж водостоков из труб с порошковой окраской диаметром 100-125 мм</t>
        </is>
      </c>
      <c r="C465" s="9" t="inlineStr">
        <is>
          <t>м.п.</t>
        </is>
      </c>
      <c r="D465" s="4">
        <f>IF('Форма'!G463="","",'Форма'!G463)</f>
        <v/>
      </c>
      <c r="E465" s="9" t="inlineStr">
        <is>
          <t>аналог (8.2.34), единица приведена к нормо-часам</t>
        </is>
      </c>
      <c r="F465" s="9" t="inlineStr">
        <is>
          <t>OTD</t>
        </is>
      </c>
      <c r="G465" s="10" t="n">
        <v>342</v>
      </c>
      <c r="H465" s="10" t="n">
        <v>180</v>
      </c>
      <c r="I465" s="10" t="n">
        <v>0.2</v>
      </c>
      <c r="J465" s="9" t="inlineStr"/>
      <c r="K465" s="7">
        <f>IF(F465="",0,IFERROR(VLOOKUP(F465,Расходники!$A$4:$B$23,2,FALSE),0))</f>
        <v/>
      </c>
      <c r="L465" s="4">
        <f>H465*D465</f>
        <v/>
      </c>
      <c r="M465" s="4">
        <f>L465*K465</f>
        <v/>
      </c>
      <c r="N465" s="4">
        <f>SUMIF(Материалы!$A$4:$A$800,SUBSTITUTE(SUBSTITUTE(SUBSTITUTE(B465,"~","~~"),"*","~*"),"?","~?"),Материалы!$S$4:$S$800)</f>
        <v/>
      </c>
      <c r="O465" s="4">
        <f>L465+M465+N465</f>
        <v/>
      </c>
      <c r="P465" s="4">
        <f>IF(SUM($O$4:$O$672)=0,0,Косвенные!$C$9*O465/SUM($O$4:$O$672))</f>
        <v/>
      </c>
      <c r="Q465" s="4">
        <f>G465*D465+P465</f>
        <v/>
      </c>
      <c r="R465" s="4">
        <f>IF(D465=0,0,Q465/D465)</f>
        <v/>
      </c>
      <c r="S465" s="4">
        <f>IF(D465=0,0,SUMIF(Материалы!$A$4:$A$800,SUBSTITUTE(SUBSTITUTE(SUBSTITUTE(B465,"~","~~"),"*","~*"),"?","~?"),Материалы!$T$4:$T$800)/D465)</f>
        <v/>
      </c>
      <c r="T465" s="4">
        <f>R465+S465</f>
        <v/>
      </c>
      <c r="U465" s="4">
        <f>I465*D465</f>
        <v/>
      </c>
    </row>
    <row r="466" ht="22" customHeight="1">
      <c r="A466" s="9" t="inlineStr"/>
      <c r="B466" s="13" t="inlineStr">
        <is>
          <t>464. Монтаж водосточной системы типа "HUNTER" 125 мм</t>
        </is>
      </c>
      <c r="C466" s="9" t="inlineStr">
        <is>
          <t>м.п.</t>
        </is>
      </c>
      <c r="D466" s="4">
        <f>IF('Форма'!G464="","",'Форма'!G464)</f>
        <v/>
      </c>
      <c r="E466" s="9" t="inlineStr">
        <is>
          <t>нет в тарификаторе</t>
        </is>
      </c>
      <c r="F466" s="9" t="inlineStr">
        <is>
          <t>KRO</t>
        </is>
      </c>
      <c r="G466" s="10" t="n">
        <v>271.5</v>
      </c>
      <c r="H466" s="10" t="n">
        <v>142.5</v>
      </c>
      <c r="I466" s="10" t="n">
        <v>0.15</v>
      </c>
      <c r="J466" s="9" t="inlineStr"/>
      <c r="K466" s="7">
        <f>IF(F466="",0,IFERROR(VLOOKUP(F466,Расходники!$A$4:$B$23,2,FALSE),0))</f>
        <v/>
      </c>
      <c r="L466" s="4">
        <f>H466*D466</f>
        <v/>
      </c>
      <c r="M466" s="4">
        <f>L466*K466</f>
        <v/>
      </c>
      <c r="N466" s="4">
        <f>SUMIF(Материалы!$A$4:$A$800,SUBSTITUTE(SUBSTITUTE(SUBSTITUTE(B466,"~","~~"),"*","~*"),"?","~?"),Материалы!$S$4:$S$800)</f>
        <v/>
      </c>
      <c r="O466" s="4">
        <f>L466+M466+N466</f>
        <v/>
      </c>
      <c r="P466" s="4">
        <f>IF(SUM($O$4:$O$672)=0,0,Косвенные!$C$9*O466/SUM($O$4:$O$672))</f>
        <v/>
      </c>
      <c r="Q466" s="4">
        <f>G466*D466+P466</f>
        <v/>
      </c>
      <c r="R466" s="4">
        <f>IF(D466=0,0,Q466/D466)</f>
        <v/>
      </c>
      <c r="S466" s="4">
        <f>IF(D466=0,0,SUMIF(Материалы!$A$4:$A$800,SUBSTITUTE(SUBSTITUTE(SUBSTITUTE(B466,"~","~~"),"*","~*"),"?","~?"),Материалы!$T$4:$T$800)/D466)</f>
        <v/>
      </c>
      <c r="T466" s="4">
        <f>R466+S466</f>
        <v/>
      </c>
      <c r="U466" s="4">
        <f>I466*D466</f>
        <v/>
      </c>
    </row>
    <row r="467" ht="22" customHeight="1">
      <c r="A467" s="9" t="inlineStr">
        <is>
          <t>6.2.5</t>
        </is>
      </c>
      <c r="B467" s="13" t="inlineStr">
        <is>
          <t>465. Монтаж желоба водосточного из оцинкованной стали 100-125 мм</t>
        </is>
      </c>
      <c r="C467" s="9" t="inlineStr">
        <is>
          <t>м.п.</t>
        </is>
      </c>
      <c r="D467" s="4">
        <f>IF('Форма'!G465="","",'Форма'!G465)</f>
        <v/>
      </c>
      <c r="E467" s="9" t="inlineStr">
        <is>
          <t>точно</t>
        </is>
      </c>
      <c r="F467" s="9" t="inlineStr">
        <is>
          <t>KRO</t>
        </is>
      </c>
      <c r="G467" s="10" t="n">
        <v>800</v>
      </c>
      <c r="H467" s="10" t="n">
        <v>460</v>
      </c>
      <c r="I467" s="10" t="n">
        <v>0.5</v>
      </c>
      <c r="J467" s="9" t="inlineStr"/>
      <c r="K467" s="7">
        <f>IF(F467="",0,IFERROR(VLOOKUP(F467,Расходники!$A$4:$B$23,2,FALSE),0))</f>
        <v/>
      </c>
      <c r="L467" s="4">
        <f>H467*D467</f>
        <v/>
      </c>
      <c r="M467" s="4">
        <f>L467*K467</f>
        <v/>
      </c>
      <c r="N467" s="4">
        <f>SUMIF(Материалы!$A$4:$A$800,SUBSTITUTE(SUBSTITUTE(SUBSTITUTE(B467,"~","~~"),"*","~*"),"?","~?"),Материалы!$S$4:$S$800)</f>
        <v/>
      </c>
      <c r="O467" s="4">
        <f>L467+M467+N467</f>
        <v/>
      </c>
      <c r="P467" s="4">
        <f>IF(SUM($O$4:$O$672)=0,0,Косвенные!$C$9*O467/SUM($O$4:$O$672))</f>
        <v/>
      </c>
      <c r="Q467" s="4">
        <f>G467*D467+P467</f>
        <v/>
      </c>
      <c r="R467" s="4">
        <f>IF(D467=0,0,Q467/D467)</f>
        <v/>
      </c>
      <c r="S467" s="4">
        <f>IF(D467=0,0,SUMIF(Материалы!$A$4:$A$800,SUBSTITUTE(SUBSTITUTE(SUBSTITUTE(B467,"~","~~"),"*","~*"),"?","~?"),Материалы!$T$4:$T$800)/D467)</f>
        <v/>
      </c>
      <c r="T467" s="4">
        <f>R467+S467</f>
        <v/>
      </c>
      <c r="U467" s="4">
        <f>I467*D467</f>
        <v/>
      </c>
    </row>
    <row r="468" ht="22" customHeight="1">
      <c r="A468" s="9" t="inlineStr"/>
      <c r="B468" s="13" t="inlineStr">
        <is>
          <t>466. Монтаж желоба водосточного из труб с порошковой окраской 100-125 мм</t>
        </is>
      </c>
      <c r="C468" s="9" t="inlineStr">
        <is>
          <t>м.п.</t>
        </is>
      </c>
      <c r="D468" s="4">
        <f>IF('Форма'!G466="","",'Форма'!G466)</f>
        <v/>
      </c>
      <c r="E468" s="9" t="inlineStr">
        <is>
          <t>аналог (8.2.34), единица приведена к нормо-часам</t>
        </is>
      </c>
      <c r="F468" s="9" t="inlineStr">
        <is>
          <t>OTD</t>
        </is>
      </c>
      <c r="G468" s="10" t="n">
        <v>342</v>
      </c>
      <c r="H468" s="10" t="n">
        <v>180</v>
      </c>
      <c r="I468" s="10" t="n">
        <v>0.2</v>
      </c>
      <c r="J468" s="9" t="inlineStr"/>
      <c r="K468" s="7">
        <f>IF(F468="",0,IFERROR(VLOOKUP(F468,Расходники!$A$4:$B$23,2,FALSE),0))</f>
        <v/>
      </c>
      <c r="L468" s="4">
        <f>H468*D468</f>
        <v/>
      </c>
      <c r="M468" s="4">
        <f>L468*K468</f>
        <v/>
      </c>
      <c r="N468" s="4">
        <f>SUMIF(Материалы!$A$4:$A$800,SUBSTITUTE(SUBSTITUTE(SUBSTITUTE(B468,"~","~~"),"*","~*"),"?","~?"),Материалы!$S$4:$S$800)</f>
        <v/>
      </c>
      <c r="O468" s="4">
        <f>L468+M468+N468</f>
        <v/>
      </c>
      <c r="P468" s="4">
        <f>IF(SUM($O$4:$O$672)=0,0,Косвенные!$C$9*O468/SUM($O$4:$O$672))</f>
        <v/>
      </c>
      <c r="Q468" s="4">
        <f>G468*D468+P468</f>
        <v/>
      </c>
      <c r="R468" s="4">
        <f>IF(D468=0,0,Q468/D468)</f>
        <v/>
      </c>
      <c r="S468" s="4">
        <f>IF(D468=0,0,SUMIF(Материалы!$A$4:$A$800,SUBSTITUTE(SUBSTITUTE(SUBSTITUTE(B468,"~","~~"),"*","~*"),"?","~?"),Материалы!$T$4:$T$800)/D468)</f>
        <v/>
      </c>
      <c r="T468" s="4">
        <f>R468+S468</f>
        <v/>
      </c>
      <c r="U468" s="4">
        <f>I468*D468</f>
        <v/>
      </c>
    </row>
    <row r="469" ht="22" customHeight="1">
      <c r="A469" s="9" t="inlineStr"/>
      <c r="B469" s="13" t="inlineStr">
        <is>
          <t>467. Устройство подогрева воронок водосточных с ручных режимом включения (с учетом материалов)</t>
        </is>
      </c>
      <c r="C469" s="9" t="inlineStr">
        <is>
          <t>шт.</t>
        </is>
      </c>
      <c r="D469" s="4">
        <f>IF('Форма'!G467="","",'Форма'!G467)</f>
        <v/>
      </c>
      <c r="E469" s="9" t="inlineStr">
        <is>
          <t>аналог (6.2.N2), единица приведена к нормо-часам</t>
        </is>
      </c>
      <c r="F469" s="9" t="inlineStr">
        <is>
          <t>ELM</t>
        </is>
      </c>
      <c r="G469" s="10" t="n">
        <v>522.5</v>
      </c>
      <c r="H469" s="10" t="n">
        <v>255</v>
      </c>
      <c r="I469" s="10" t="n">
        <v>0.25</v>
      </c>
      <c r="J469" s="9" t="inlineStr"/>
      <c r="K469" s="7">
        <f>IF(F469="",0,IFERROR(VLOOKUP(F469,Расходники!$A$4:$B$23,2,FALSE),0))</f>
        <v/>
      </c>
      <c r="L469" s="4">
        <f>H469*D469</f>
        <v/>
      </c>
      <c r="M469" s="4">
        <f>L469*K469</f>
        <v/>
      </c>
      <c r="N469" s="4">
        <f>SUMIF(Материалы!$A$4:$A$800,SUBSTITUTE(SUBSTITUTE(SUBSTITUTE(B469,"~","~~"),"*","~*"),"?","~?"),Материалы!$S$4:$S$800)</f>
        <v/>
      </c>
      <c r="O469" s="4">
        <f>L469+M469+N469</f>
        <v/>
      </c>
      <c r="P469" s="4">
        <f>IF(SUM($O$4:$O$672)=0,0,Косвенные!$C$9*O469/SUM($O$4:$O$672))</f>
        <v/>
      </c>
      <c r="Q469" s="4">
        <f>G469*D469+P469</f>
        <v/>
      </c>
      <c r="R469" s="4">
        <f>IF(D469=0,0,Q469/D469)</f>
        <v/>
      </c>
      <c r="S469" s="4">
        <f>IF(D469=0,0,SUMIF(Материалы!$A$4:$A$800,SUBSTITUTE(SUBSTITUTE(SUBSTITUTE(B469,"~","~~"),"*","~*"),"?","~?"),Материалы!$T$4:$T$800)/D469)</f>
        <v/>
      </c>
      <c r="T469" s="4">
        <f>R469+S469</f>
        <v/>
      </c>
      <c r="U469" s="4">
        <f>I469*D469</f>
        <v/>
      </c>
    </row>
    <row r="470" ht="22" customHeight="1">
      <c r="A470" s="9" t="inlineStr"/>
      <c r="B470" s="13" t="inlineStr">
        <is>
          <t xml:space="preserve">468. Услуга по откачке ЖБО от 8 до 10 м3 (предоставление техники; сбор, вывоз и утилизация, в т.ч. ГСМ) </t>
        </is>
      </c>
      <c r="C470" s="9" t="inlineStr">
        <is>
          <t>шт.</t>
        </is>
      </c>
      <c r="D470" s="4">
        <f>IF('Форма'!G468="","",'Форма'!G468)</f>
        <v/>
      </c>
      <c r="E470" s="9" t="inlineStr">
        <is>
          <t>нет в тарификаторе</t>
        </is>
      </c>
      <c r="F470" s="9" t="inlineStr">
        <is>
          <t>SAN</t>
        </is>
      </c>
      <c r="G470" s="10" t="n">
        <v>14000</v>
      </c>
      <c r="H470" s="10" t="n">
        <v>9000</v>
      </c>
      <c r="I470" s="10" t="n">
        <v>3</v>
      </c>
      <c r="J470" s="9" t="inlineStr"/>
      <c r="K470" s="7">
        <f>IF(F470="",0,IFERROR(VLOOKUP(F470,Расходники!$A$4:$B$23,2,FALSE),0))</f>
        <v/>
      </c>
      <c r="L470" s="4">
        <f>H470*D470</f>
        <v/>
      </c>
      <c r="M470" s="4">
        <f>L470*K470</f>
        <v/>
      </c>
      <c r="N470" s="4">
        <f>SUMIF(Материалы!$A$4:$A$800,SUBSTITUTE(SUBSTITUTE(SUBSTITUTE(B470,"~","~~"),"*","~*"),"?","~?"),Материалы!$S$4:$S$800)</f>
        <v/>
      </c>
      <c r="O470" s="4">
        <f>L470+M470+N470</f>
        <v/>
      </c>
      <c r="P470" s="4">
        <f>IF(SUM($O$4:$O$672)=0,0,Косвенные!$C$9*O470/SUM($O$4:$O$672))</f>
        <v/>
      </c>
      <c r="Q470" s="4">
        <f>G470*D470+P470</f>
        <v/>
      </c>
      <c r="R470" s="4">
        <f>IF(D470=0,0,Q470/D470)</f>
        <v/>
      </c>
      <c r="S470" s="4">
        <f>IF(D470=0,0,SUMIF(Материалы!$A$4:$A$800,SUBSTITUTE(SUBSTITUTE(SUBSTITUTE(B470,"~","~~"),"*","~*"),"?","~?"),Материалы!$T$4:$T$800)/D470)</f>
        <v/>
      </c>
      <c r="T470" s="4">
        <f>R470+S470</f>
        <v/>
      </c>
      <c r="U470" s="4">
        <f>I470*D470</f>
        <v/>
      </c>
    </row>
    <row r="471" ht="22" customHeight="1">
      <c r="A471" s="9" t="inlineStr"/>
      <c r="B471" s="13" t="inlineStr">
        <is>
          <t>469. Строительные леса ЛРСП/ЛШ (вкл. сборку/разборку) применение при реконструкции фасада здания и в помещениях с высотой потолка более 5 м.</t>
        </is>
      </c>
      <c r="C471" s="9" t="inlineStr">
        <is>
          <t>шт.</t>
        </is>
      </c>
      <c r="D471" s="4">
        <f>IF('Форма'!G469="","",'Форма'!G469)</f>
        <v/>
      </c>
      <c r="E471" s="9" t="inlineStr">
        <is>
          <t>нет в тарификаторе</t>
        </is>
      </c>
      <c r="F471" s="9" t="inlineStr">
        <is>
          <t>FAS</t>
        </is>
      </c>
      <c r="G471" s="10" t="n">
        <v>22000</v>
      </c>
      <c r="H471" s="10" t="n">
        <v>14000</v>
      </c>
      <c r="I471" s="10" t="n">
        <v>6</v>
      </c>
      <c r="J471" s="9" t="inlineStr"/>
      <c r="K471" s="7">
        <f>IF(F471="",0,IFERROR(VLOOKUP(F471,Расходники!$A$4:$B$23,2,FALSE),0))</f>
        <v/>
      </c>
      <c r="L471" s="4">
        <f>H471*D471</f>
        <v/>
      </c>
      <c r="M471" s="4">
        <f>L471*K471</f>
        <v/>
      </c>
      <c r="N471" s="4">
        <f>SUMIF(Материалы!$A$4:$A$800,SUBSTITUTE(SUBSTITUTE(SUBSTITUTE(B471,"~","~~"),"*","~*"),"?","~?"),Материалы!$S$4:$S$800)</f>
        <v/>
      </c>
      <c r="O471" s="4">
        <f>L471+M471+N471</f>
        <v/>
      </c>
      <c r="P471" s="4">
        <f>IF(SUM($O$4:$O$672)=0,0,Косвенные!$C$9*O471/SUM($O$4:$O$672))</f>
        <v/>
      </c>
      <c r="Q471" s="4">
        <f>G471*D471+P471</f>
        <v/>
      </c>
      <c r="R471" s="4">
        <f>IF(D471=0,0,Q471/D471)</f>
        <v/>
      </c>
      <c r="S471" s="4">
        <f>IF(D471=0,0,SUMIF(Материалы!$A$4:$A$800,SUBSTITUTE(SUBSTITUTE(SUBSTITUTE(B471,"~","~~"),"*","~*"),"?","~?"),Материалы!$T$4:$T$800)/D471)</f>
        <v/>
      </c>
      <c r="T471" s="4">
        <f>R471+S471</f>
        <v/>
      </c>
      <c r="U471" s="4">
        <f>I471*D471</f>
        <v/>
      </c>
    </row>
    <row r="472" ht="22" customHeight="1">
      <c r="A472" s="9" t="inlineStr"/>
      <c r="B472" s="13" t="inlineStr">
        <is>
          <t>470. Подъемник MAGNI ES1612 Рабочая высота, м 15,7 или аналог.</t>
        </is>
      </c>
      <c r="C472" s="9" t="inlineStr">
        <is>
          <t>маш.ч</t>
        </is>
      </c>
      <c r="D472" s="4">
        <f>IF('Форма'!G470="","",'Форма'!G470)</f>
        <v/>
      </c>
      <c r="E472" s="9" t="inlineStr">
        <is>
          <t>нет в тарификаторе</t>
        </is>
      </c>
      <c r="F472" s="9" t="inlineStr">
        <is>
          <t>PSM</t>
        </is>
      </c>
      <c r="G472" s="10" t="n">
        <v>3600</v>
      </c>
      <c r="H472" s="10" t="n">
        <v>2800</v>
      </c>
      <c r="I472" s="10" t="n">
        <v>1</v>
      </c>
      <c r="J472" s="9" t="inlineStr"/>
      <c r="K472" s="7">
        <f>IF(F472="",0,IFERROR(VLOOKUP(F472,Расходники!$A$4:$B$23,2,FALSE),0))</f>
        <v/>
      </c>
      <c r="L472" s="4">
        <f>H472*D472</f>
        <v/>
      </c>
      <c r="M472" s="4">
        <f>L472*K472</f>
        <v/>
      </c>
      <c r="N472" s="4">
        <f>SUMIF(Материалы!$A$4:$A$800,SUBSTITUTE(SUBSTITUTE(SUBSTITUTE(B472,"~","~~"),"*","~*"),"?","~?"),Материалы!$S$4:$S$800)</f>
        <v/>
      </c>
      <c r="O472" s="4">
        <f>L472+M472+N472</f>
        <v/>
      </c>
      <c r="P472" s="4">
        <f>IF(SUM($O$4:$O$672)=0,0,Косвенные!$C$9*O472/SUM($O$4:$O$672))</f>
        <v/>
      </c>
      <c r="Q472" s="4">
        <f>G472*D472+P472</f>
        <v/>
      </c>
      <c r="R472" s="4">
        <f>IF(D472=0,0,Q472/D472)</f>
        <v/>
      </c>
      <c r="S472" s="4">
        <f>IF(D472=0,0,SUMIF(Материалы!$A$4:$A$800,SUBSTITUTE(SUBSTITUTE(SUBSTITUTE(B472,"~","~~"),"*","~*"),"?","~?"),Материалы!$T$4:$T$800)/D472)</f>
        <v/>
      </c>
      <c r="T472" s="4">
        <f>R472+S472</f>
        <v/>
      </c>
      <c r="U472" s="4">
        <f>I472*D472</f>
        <v/>
      </c>
    </row>
    <row r="473" ht="22" customHeight="1">
      <c r="A473" s="9" t="inlineStr"/>
      <c r="B473" s="13" t="inlineStr">
        <is>
          <t>471. Болт анкерный М20х200мм с гайкой (применение при креплении отбойников и стеллажного оборудования) СЦ</t>
        </is>
      </c>
      <c r="C473" s="9" t="inlineStr">
        <is>
          <t>шт.</t>
        </is>
      </c>
      <c r="D473" s="4">
        <f>IF('Форма'!G471="","",'Форма'!G471)</f>
        <v/>
      </c>
      <c r="E473" s="9" t="inlineStr">
        <is>
          <t>аналог (5.1.15)</t>
        </is>
      </c>
      <c r="F473" s="9" t="inlineStr">
        <is>
          <t>SVA</t>
        </is>
      </c>
      <c r="G473" s="10" t="n">
        <v>2736</v>
      </c>
      <c r="H473" s="10" t="n">
        <v>1296</v>
      </c>
      <c r="I473" s="10" t="n">
        <v>1.2</v>
      </c>
      <c r="J473" s="9" t="inlineStr"/>
      <c r="K473" s="7">
        <f>IF(F473="",0,IFERROR(VLOOKUP(F473,Расходники!$A$4:$B$23,2,FALSE),0))</f>
        <v/>
      </c>
      <c r="L473" s="4">
        <f>H473*D473</f>
        <v/>
      </c>
      <c r="M473" s="4">
        <f>L473*K473</f>
        <v/>
      </c>
      <c r="N473" s="4">
        <f>SUMIF(Материалы!$A$4:$A$800,SUBSTITUTE(SUBSTITUTE(SUBSTITUTE(B473,"~","~~"),"*","~*"),"?","~?"),Материалы!$S$4:$S$800)</f>
        <v/>
      </c>
      <c r="O473" s="4">
        <f>L473+M473+N473</f>
        <v/>
      </c>
      <c r="P473" s="4">
        <f>IF(SUM($O$4:$O$672)=0,0,Косвенные!$C$9*O473/SUM($O$4:$O$672))</f>
        <v/>
      </c>
      <c r="Q473" s="4">
        <f>G473*D473+P473</f>
        <v/>
      </c>
      <c r="R473" s="4">
        <f>IF(D473=0,0,Q473/D473)</f>
        <v/>
      </c>
      <c r="S473" s="4">
        <f>IF(D473=0,0,SUMIF(Материалы!$A$4:$A$800,SUBSTITUTE(SUBSTITUTE(SUBSTITUTE(B473,"~","~~"),"*","~*"),"?","~?"),Материалы!$T$4:$T$800)/D473)</f>
        <v/>
      </c>
      <c r="T473" s="4">
        <f>R473+S473</f>
        <v/>
      </c>
      <c r="U473" s="4">
        <f>I473*D473</f>
        <v/>
      </c>
    </row>
    <row r="474" ht="22" customHeight="1">
      <c r="A474" s="9" t="inlineStr"/>
      <c r="B474" s="13" t="inlineStr">
        <is>
          <t>472. Болт анкерный М16*120мм с гайкой (применение при креплении отбойников и стеллажного оборудования) СЦ</t>
        </is>
      </c>
      <c r="C474" s="9" t="inlineStr">
        <is>
          <t>шт.</t>
        </is>
      </c>
      <c r="D474" s="4">
        <f>IF('Форма'!G472="","",'Форма'!G472)</f>
        <v/>
      </c>
      <c r="E474" s="9" t="inlineStr">
        <is>
          <t>аналог (5.1.15)</t>
        </is>
      </c>
      <c r="F474" s="9" t="inlineStr">
        <is>
          <t>SVA</t>
        </is>
      </c>
      <c r="G474" s="10" t="n">
        <v>2736</v>
      </c>
      <c r="H474" s="10" t="n">
        <v>1296</v>
      </c>
      <c r="I474" s="10" t="n">
        <v>1.2</v>
      </c>
      <c r="J474" s="9" t="inlineStr"/>
      <c r="K474" s="7">
        <f>IF(F474="",0,IFERROR(VLOOKUP(F474,Расходники!$A$4:$B$23,2,FALSE),0))</f>
        <v/>
      </c>
      <c r="L474" s="4">
        <f>H474*D474</f>
        <v/>
      </c>
      <c r="M474" s="4">
        <f>L474*K474</f>
        <v/>
      </c>
      <c r="N474" s="4">
        <f>SUMIF(Материалы!$A$4:$A$800,SUBSTITUTE(SUBSTITUTE(SUBSTITUTE(B474,"~","~~"),"*","~*"),"?","~?"),Материалы!$S$4:$S$800)</f>
        <v/>
      </c>
      <c r="O474" s="4">
        <f>L474+M474+N474</f>
        <v/>
      </c>
      <c r="P474" s="4">
        <f>IF(SUM($O$4:$O$672)=0,0,Косвенные!$C$9*O474/SUM($O$4:$O$672))</f>
        <v/>
      </c>
      <c r="Q474" s="4">
        <f>G474*D474+P474</f>
        <v/>
      </c>
      <c r="R474" s="4">
        <f>IF(D474=0,0,Q474/D474)</f>
        <v/>
      </c>
      <c r="S474" s="4">
        <f>IF(D474=0,0,SUMIF(Материалы!$A$4:$A$800,SUBSTITUTE(SUBSTITUTE(SUBSTITUTE(B474,"~","~~"),"*","~*"),"?","~?"),Материалы!$T$4:$T$800)/D474)</f>
        <v/>
      </c>
      <c r="T474" s="4">
        <f>R474+S474</f>
        <v/>
      </c>
      <c r="U474" s="4">
        <f>I474*D474</f>
        <v/>
      </c>
    </row>
    <row r="475" ht="22" customHeight="1">
      <c r="A475" s="9" t="inlineStr"/>
      <c r="B475" s="13" t="inlineStr">
        <is>
          <t>473. Пластина металлическая монтажная для упорного бампера 500*250*100мм</t>
        </is>
      </c>
      <c r="C475" s="9" t="inlineStr">
        <is>
          <t>шт.</t>
        </is>
      </c>
      <c r="D475" s="4">
        <f>IF('Форма'!G473="","",'Форма'!G473)</f>
        <v/>
      </c>
      <c r="E475" s="9" t="inlineStr">
        <is>
          <t>нет в тарификаторе</t>
        </is>
      </c>
      <c r="F475" s="9" t="inlineStr">
        <is>
          <t>SVA</t>
        </is>
      </c>
      <c r="G475" s="10" t="n">
        <v>912</v>
      </c>
      <c r="H475" s="10" t="n">
        <v>432</v>
      </c>
      <c r="I475" s="10" t="n">
        <v>0.4</v>
      </c>
      <c r="J475" s="9" t="inlineStr"/>
      <c r="K475" s="7">
        <f>IF(F475="",0,IFERROR(VLOOKUP(F475,Расходники!$A$4:$B$23,2,FALSE),0))</f>
        <v/>
      </c>
      <c r="L475" s="4">
        <f>H475*D475</f>
        <v/>
      </c>
      <c r="M475" s="4">
        <f>L475*K475</f>
        <v/>
      </c>
      <c r="N475" s="4">
        <f>SUMIF(Материалы!$A$4:$A$800,SUBSTITUTE(SUBSTITUTE(SUBSTITUTE(B475,"~","~~"),"*","~*"),"?","~?"),Материалы!$S$4:$S$800)</f>
        <v/>
      </c>
      <c r="O475" s="4">
        <f>L475+M475+N475</f>
        <v/>
      </c>
      <c r="P475" s="4">
        <f>IF(SUM($O$4:$O$672)=0,0,Косвенные!$C$9*O475/SUM($O$4:$O$672))</f>
        <v/>
      </c>
      <c r="Q475" s="4">
        <f>G475*D475+P475</f>
        <v/>
      </c>
      <c r="R475" s="4">
        <f>IF(D475=0,0,Q475/D475)</f>
        <v/>
      </c>
      <c r="S475" s="4">
        <f>IF(D475=0,0,SUMIF(Материалы!$A$4:$A$800,SUBSTITUTE(SUBSTITUTE(SUBSTITUTE(B475,"~","~~"),"*","~*"),"?","~?"),Материалы!$T$4:$T$800)/D475)</f>
        <v/>
      </c>
      <c r="T475" s="4">
        <f>R475+S475</f>
        <v/>
      </c>
      <c r="U475" s="4">
        <f>I475*D475</f>
        <v/>
      </c>
    </row>
    <row r="476" ht="22" customHeight="1">
      <c r="A476" s="9" t="inlineStr"/>
      <c r="B476" s="13" t="inlineStr">
        <is>
          <t>474. Резиновый упор бампер 500*250*100мм</t>
        </is>
      </c>
      <c r="C476" s="9" t="inlineStr">
        <is>
          <t>шт.</t>
        </is>
      </c>
      <c r="D476" s="4">
        <f>IF('Форма'!G474="","",'Форма'!G474)</f>
        <v/>
      </c>
      <c r="E476" s="9" t="inlineStr">
        <is>
          <t>нет в тарификаторе</t>
        </is>
      </c>
      <c r="F476" s="9" t="inlineStr">
        <is>
          <t>SVA</t>
        </is>
      </c>
      <c r="G476" s="10" t="n">
        <v>912</v>
      </c>
      <c r="H476" s="10" t="n">
        <v>432</v>
      </c>
      <c r="I476" s="10" t="n">
        <v>0.4</v>
      </c>
      <c r="J476" s="9" t="inlineStr"/>
      <c r="K476" s="7">
        <f>IF(F476="",0,IFERROR(VLOOKUP(F476,Расходники!$A$4:$B$23,2,FALSE),0))</f>
        <v/>
      </c>
      <c r="L476" s="4">
        <f>H476*D476</f>
        <v/>
      </c>
      <c r="M476" s="4">
        <f>L476*K476</f>
        <v/>
      </c>
      <c r="N476" s="4">
        <f>SUMIF(Материалы!$A$4:$A$800,SUBSTITUTE(SUBSTITUTE(SUBSTITUTE(B476,"~","~~"),"*","~*"),"?","~?"),Материалы!$S$4:$S$800)</f>
        <v/>
      </c>
      <c r="O476" s="4">
        <f>L476+M476+N476</f>
        <v/>
      </c>
      <c r="P476" s="4">
        <f>IF(SUM($O$4:$O$672)=0,0,Косвенные!$C$9*O476/SUM($O$4:$O$672))</f>
        <v/>
      </c>
      <c r="Q476" s="4">
        <f>G476*D476+P476</f>
        <v/>
      </c>
      <c r="R476" s="4">
        <f>IF(D476=0,0,Q476/D476)</f>
        <v/>
      </c>
      <c r="S476" s="4">
        <f>IF(D476=0,0,SUMIF(Материалы!$A$4:$A$800,SUBSTITUTE(SUBSTITUTE(SUBSTITUTE(B476,"~","~~"),"*","~*"),"?","~?"),Материалы!$T$4:$T$800)/D476)</f>
        <v/>
      </c>
      <c r="T476" s="4">
        <f>R476+S476</f>
        <v/>
      </c>
      <c r="U476" s="4">
        <f>I476*D476</f>
        <v/>
      </c>
    </row>
    <row r="477" ht="22" customHeight="1">
      <c r="A477" s="9" t="inlineStr"/>
      <c r="B477" s="13" t="inlineStr">
        <is>
          <t>475. Пленка ПВХ, морозостойкая, шир. 200х2мм (проезд на РЦ)</t>
        </is>
      </c>
      <c r="C477" s="9" t="inlineStr">
        <is>
          <t>м.п.</t>
        </is>
      </c>
      <c r="D477" s="4">
        <f>IF('Форма'!G475="","",'Форма'!G475)</f>
        <v/>
      </c>
      <c r="E477" s="9" t="inlineStr">
        <is>
          <t>аналог (12.6.N1) на метр ленты</t>
        </is>
      </c>
      <c r="F477" s="9" t="inlineStr">
        <is>
          <t>VOR</t>
        </is>
      </c>
      <c r="G477" s="10" t="n">
        <v>157</v>
      </c>
      <c r="H477" s="10" t="n">
        <v>72</v>
      </c>
      <c r="I477" s="10" t="n">
        <v>0.05</v>
      </c>
      <c r="J477" s="9" t="inlineStr"/>
      <c r="K477" s="7">
        <f>IF(F477="",0,IFERROR(VLOOKUP(F477,Расходники!$A$4:$B$23,2,FALSE),0))</f>
        <v/>
      </c>
      <c r="L477" s="4">
        <f>H477*D477</f>
        <v/>
      </c>
      <c r="M477" s="4">
        <f>L477*K477</f>
        <v/>
      </c>
      <c r="N477" s="4">
        <f>SUMIF(Материалы!$A$4:$A$800,SUBSTITUTE(SUBSTITUTE(SUBSTITUTE(B477,"~","~~"),"*","~*"),"?","~?"),Материалы!$S$4:$S$800)</f>
        <v/>
      </c>
      <c r="O477" s="4">
        <f>L477+M477+N477</f>
        <v/>
      </c>
      <c r="P477" s="4">
        <f>IF(SUM($O$4:$O$672)=0,0,Косвенные!$C$9*O477/SUM($O$4:$O$672))</f>
        <v/>
      </c>
      <c r="Q477" s="4">
        <f>G477*D477+P477</f>
        <v/>
      </c>
      <c r="R477" s="4">
        <f>IF(D477=0,0,Q477/D477)</f>
        <v/>
      </c>
      <c r="S477" s="4">
        <f>IF(D477=0,0,SUMIF(Материалы!$A$4:$A$800,SUBSTITUTE(SUBSTITUTE(SUBSTITUTE(B477,"~","~~"),"*","~*"),"?","~?"),Материалы!$T$4:$T$800)/D477)</f>
        <v/>
      </c>
      <c r="T477" s="4">
        <f>R477+S477</f>
        <v/>
      </c>
      <c r="U477" s="4">
        <f>I477*D477</f>
        <v/>
      </c>
    </row>
    <row r="478" ht="22" customHeight="1">
      <c r="A478" s="9" t="inlineStr"/>
      <c r="B478" s="13" t="inlineStr">
        <is>
          <t>476. Пленка ПВХ, морозостойкая, шир. 300х3мм (проезд на РЦ)</t>
        </is>
      </c>
      <c r="C478" s="9" t="inlineStr">
        <is>
          <t>м.п.</t>
        </is>
      </c>
      <c r="D478" s="4">
        <f>IF('Форма'!G476="","",'Форма'!G476)</f>
        <v/>
      </c>
      <c r="E478" s="9" t="inlineStr">
        <is>
          <t>аналог (12.6.N1) на метр ленты</t>
        </is>
      </c>
      <c r="F478" s="9" t="inlineStr">
        <is>
          <t>VOR</t>
        </is>
      </c>
      <c r="G478" s="10" t="n">
        <v>157</v>
      </c>
      <c r="H478" s="10" t="n">
        <v>72</v>
      </c>
      <c r="I478" s="10" t="n">
        <v>0.05</v>
      </c>
      <c r="J478" s="9" t="inlineStr"/>
      <c r="K478" s="7">
        <f>IF(F478="",0,IFERROR(VLOOKUP(F478,Расходники!$A$4:$B$23,2,FALSE),0))</f>
        <v/>
      </c>
      <c r="L478" s="4">
        <f>H478*D478</f>
        <v/>
      </c>
      <c r="M478" s="4">
        <f>L478*K478</f>
        <v/>
      </c>
      <c r="N478" s="4">
        <f>SUMIF(Материалы!$A$4:$A$800,SUBSTITUTE(SUBSTITUTE(SUBSTITUTE(B478,"~","~~"),"*","~*"),"?","~?"),Материалы!$S$4:$S$800)</f>
        <v/>
      </c>
      <c r="O478" s="4">
        <f>L478+M478+N478</f>
        <v/>
      </c>
      <c r="P478" s="4">
        <f>IF(SUM($O$4:$O$672)=0,0,Косвенные!$C$9*O478/SUM($O$4:$O$672))</f>
        <v/>
      </c>
      <c r="Q478" s="4">
        <f>G478*D478+P478</f>
        <v/>
      </c>
      <c r="R478" s="4">
        <f>IF(D478=0,0,Q478/D478)</f>
        <v/>
      </c>
      <c r="S478" s="4">
        <f>IF(D478=0,0,SUMIF(Материалы!$A$4:$A$800,SUBSTITUTE(SUBSTITUTE(SUBSTITUTE(B478,"~","~~"),"*","~*"),"?","~?"),Материалы!$T$4:$T$800)/D478)</f>
        <v/>
      </c>
      <c r="T478" s="4">
        <f>R478+S478</f>
        <v/>
      </c>
      <c r="U478" s="4">
        <f>I478*D478</f>
        <v/>
      </c>
    </row>
    <row r="479" ht="22" customHeight="1">
      <c r="A479" s="9" t="inlineStr"/>
      <c r="B479" s="13" t="inlineStr">
        <is>
          <t>477. Пленка ПВХ, морозостойкая, шир. 400х4мм (проезд на РЦ)</t>
        </is>
      </c>
      <c r="C479" s="9" t="inlineStr">
        <is>
          <t>м.п.</t>
        </is>
      </c>
      <c r="D479" s="4">
        <f>IF('Форма'!G477="","",'Форма'!G477)</f>
        <v/>
      </c>
      <c r="E479" s="9" t="inlineStr">
        <is>
          <t>аналог (12.6.N1) на метр ленты</t>
        </is>
      </c>
      <c r="F479" s="9" t="inlineStr">
        <is>
          <t>VOR</t>
        </is>
      </c>
      <c r="G479" s="10" t="n">
        <v>157</v>
      </c>
      <c r="H479" s="10" t="n">
        <v>72</v>
      </c>
      <c r="I479" s="10" t="n">
        <v>0.05</v>
      </c>
      <c r="J479" s="9" t="inlineStr"/>
      <c r="K479" s="7">
        <f>IF(F479="",0,IFERROR(VLOOKUP(F479,Расходники!$A$4:$B$23,2,FALSE),0))</f>
        <v/>
      </c>
      <c r="L479" s="4">
        <f>H479*D479</f>
        <v/>
      </c>
      <c r="M479" s="4">
        <f>L479*K479</f>
        <v/>
      </c>
      <c r="N479" s="4">
        <f>SUMIF(Материалы!$A$4:$A$800,SUBSTITUTE(SUBSTITUTE(SUBSTITUTE(B479,"~","~~"),"*","~*"),"?","~?"),Материалы!$S$4:$S$800)</f>
        <v/>
      </c>
      <c r="O479" s="4">
        <f>L479+M479+N479</f>
        <v/>
      </c>
      <c r="P479" s="4">
        <f>IF(SUM($O$4:$O$672)=0,0,Косвенные!$C$9*O479/SUM($O$4:$O$672))</f>
        <v/>
      </c>
      <c r="Q479" s="4">
        <f>G479*D479+P479</f>
        <v/>
      </c>
      <c r="R479" s="4">
        <f>IF(D479=0,0,Q479/D479)</f>
        <v/>
      </c>
      <c r="S479" s="4">
        <f>IF(D479=0,0,SUMIF(Материалы!$A$4:$A$800,SUBSTITUTE(SUBSTITUTE(SUBSTITUTE(B479,"~","~~"),"*","~*"),"?","~?"),Материалы!$T$4:$T$800)/D479)</f>
        <v/>
      </c>
      <c r="T479" s="4">
        <f>R479+S479</f>
        <v/>
      </c>
      <c r="U479" s="4">
        <f>I479*D479</f>
        <v/>
      </c>
    </row>
    <row r="480" ht="22" customHeight="1">
      <c r="A480" s="9" t="inlineStr"/>
      <c r="B480" s="13" t="inlineStr">
        <is>
          <t>478. Пленка ПВХ, стандартная, шир. 200х2мм (проезд на РЦ)</t>
        </is>
      </c>
      <c r="C480" s="9" t="inlineStr">
        <is>
          <t>м.п.</t>
        </is>
      </c>
      <c r="D480" s="4">
        <f>IF('Форма'!G478="","",'Форма'!G478)</f>
        <v/>
      </c>
      <c r="E480" s="9" t="inlineStr">
        <is>
          <t>аналог (12.6.N1) на метр ленты</t>
        </is>
      </c>
      <c r="F480" s="9" t="inlineStr">
        <is>
          <t>VOR</t>
        </is>
      </c>
      <c r="G480" s="10" t="n">
        <v>157</v>
      </c>
      <c r="H480" s="10" t="n">
        <v>72</v>
      </c>
      <c r="I480" s="10" t="n">
        <v>0.05</v>
      </c>
      <c r="J480" s="9" t="inlineStr"/>
      <c r="K480" s="7">
        <f>IF(F480="",0,IFERROR(VLOOKUP(F480,Расходники!$A$4:$B$23,2,FALSE),0))</f>
        <v/>
      </c>
      <c r="L480" s="4">
        <f>H480*D480</f>
        <v/>
      </c>
      <c r="M480" s="4">
        <f>L480*K480</f>
        <v/>
      </c>
      <c r="N480" s="4">
        <f>SUMIF(Материалы!$A$4:$A$800,SUBSTITUTE(SUBSTITUTE(SUBSTITUTE(B480,"~","~~"),"*","~*"),"?","~?"),Материалы!$S$4:$S$800)</f>
        <v/>
      </c>
      <c r="O480" s="4">
        <f>L480+M480+N480</f>
        <v/>
      </c>
      <c r="P480" s="4">
        <f>IF(SUM($O$4:$O$672)=0,0,Косвенные!$C$9*O480/SUM($O$4:$O$672))</f>
        <v/>
      </c>
      <c r="Q480" s="4">
        <f>G480*D480+P480</f>
        <v/>
      </c>
      <c r="R480" s="4">
        <f>IF(D480=0,0,Q480/D480)</f>
        <v/>
      </c>
      <c r="S480" s="4">
        <f>IF(D480=0,0,SUMIF(Материалы!$A$4:$A$800,SUBSTITUTE(SUBSTITUTE(SUBSTITUTE(B480,"~","~~"),"*","~*"),"?","~?"),Материалы!$T$4:$T$800)/D480)</f>
        <v/>
      </c>
      <c r="T480" s="4">
        <f>R480+S480</f>
        <v/>
      </c>
      <c r="U480" s="4">
        <f>I480*D480</f>
        <v/>
      </c>
    </row>
    <row r="481" ht="22" customHeight="1">
      <c r="A481" s="9" t="inlineStr"/>
      <c r="B481" s="13" t="inlineStr">
        <is>
          <t>479. Пленка ПВХ, стантартная, шир. 300х3мм (проезд на РЦ)</t>
        </is>
      </c>
      <c r="C481" s="9" t="inlineStr">
        <is>
          <t>м.п.</t>
        </is>
      </c>
      <c r="D481" s="4">
        <f>IF('Форма'!G479="","",'Форма'!G479)</f>
        <v/>
      </c>
      <c r="E481" s="9" t="inlineStr">
        <is>
          <t>аналог (12.6.N1) на метр ленты</t>
        </is>
      </c>
      <c r="F481" s="9" t="inlineStr">
        <is>
          <t>VOR</t>
        </is>
      </c>
      <c r="G481" s="10" t="n">
        <v>157</v>
      </c>
      <c r="H481" s="10" t="n">
        <v>72</v>
      </c>
      <c r="I481" s="10" t="n">
        <v>0.05</v>
      </c>
      <c r="J481" s="9" t="inlineStr"/>
      <c r="K481" s="7">
        <f>IF(F481="",0,IFERROR(VLOOKUP(F481,Расходники!$A$4:$B$23,2,FALSE),0))</f>
        <v/>
      </c>
      <c r="L481" s="4">
        <f>H481*D481</f>
        <v/>
      </c>
      <c r="M481" s="4">
        <f>L481*K481</f>
        <v/>
      </c>
      <c r="N481" s="4">
        <f>SUMIF(Материалы!$A$4:$A$800,SUBSTITUTE(SUBSTITUTE(SUBSTITUTE(B481,"~","~~"),"*","~*"),"?","~?"),Материалы!$S$4:$S$800)</f>
        <v/>
      </c>
      <c r="O481" s="4">
        <f>L481+M481+N481</f>
        <v/>
      </c>
      <c r="P481" s="4">
        <f>IF(SUM($O$4:$O$672)=0,0,Косвенные!$C$9*O481/SUM($O$4:$O$672))</f>
        <v/>
      </c>
      <c r="Q481" s="4">
        <f>G481*D481+P481</f>
        <v/>
      </c>
      <c r="R481" s="4">
        <f>IF(D481=0,0,Q481/D481)</f>
        <v/>
      </c>
      <c r="S481" s="4">
        <f>IF(D481=0,0,SUMIF(Материалы!$A$4:$A$800,SUBSTITUTE(SUBSTITUTE(SUBSTITUTE(B481,"~","~~"),"*","~*"),"?","~?"),Материалы!$T$4:$T$800)/D481)</f>
        <v/>
      </c>
      <c r="T481" s="4">
        <f>R481+S481</f>
        <v/>
      </c>
      <c r="U481" s="4">
        <f>I481*D481</f>
        <v/>
      </c>
    </row>
    <row r="482" ht="22" customHeight="1">
      <c r="A482" s="9" t="inlineStr"/>
      <c r="B482" s="13" t="inlineStr">
        <is>
          <t>480. Пленка ПВХ, стандартная, шир. 400х4мм (проезд на РЦ)</t>
        </is>
      </c>
      <c r="C482" s="9" t="inlineStr">
        <is>
          <t>м.п.</t>
        </is>
      </c>
      <c r="D482" s="4">
        <f>IF('Форма'!G480="","",'Форма'!G480)</f>
        <v/>
      </c>
      <c r="E482" s="9" t="inlineStr">
        <is>
          <t>аналог (12.6.N1) на метр ленты</t>
        </is>
      </c>
      <c r="F482" s="9" t="inlineStr">
        <is>
          <t>VOR</t>
        </is>
      </c>
      <c r="G482" s="10" t="n">
        <v>157</v>
      </c>
      <c r="H482" s="10" t="n">
        <v>72</v>
      </c>
      <c r="I482" s="10" t="n">
        <v>0.05</v>
      </c>
      <c r="J482" s="9" t="inlineStr"/>
      <c r="K482" s="7">
        <f>IF(F482="",0,IFERROR(VLOOKUP(F482,Расходники!$A$4:$B$23,2,FALSE),0))</f>
        <v/>
      </c>
      <c r="L482" s="4">
        <f>H482*D482</f>
        <v/>
      </c>
      <c r="M482" s="4">
        <f>L482*K482</f>
        <v/>
      </c>
      <c r="N482" s="4">
        <f>SUMIF(Материалы!$A$4:$A$800,SUBSTITUTE(SUBSTITUTE(SUBSTITUTE(B482,"~","~~"),"*","~*"),"?","~?"),Материалы!$S$4:$S$800)</f>
        <v/>
      </c>
      <c r="O482" s="4">
        <f>L482+M482+N482</f>
        <v/>
      </c>
      <c r="P482" s="4">
        <f>IF(SUM($O$4:$O$672)=0,0,Косвенные!$C$9*O482/SUM($O$4:$O$672))</f>
        <v/>
      </c>
      <c r="Q482" s="4">
        <f>G482*D482+P482</f>
        <v/>
      </c>
      <c r="R482" s="4">
        <f>IF(D482=0,0,Q482/D482)</f>
        <v/>
      </c>
      <c r="S482" s="4">
        <f>IF(D482=0,0,SUMIF(Материалы!$A$4:$A$800,SUBSTITUTE(SUBSTITUTE(SUBSTITUTE(B482,"~","~~"),"*","~*"),"?","~?"),Материалы!$T$4:$T$800)/D482)</f>
        <v/>
      </c>
      <c r="T482" s="4">
        <f>R482+S482</f>
        <v/>
      </c>
      <c r="U482" s="4">
        <f>I482*D482</f>
        <v/>
      </c>
    </row>
    <row r="483" ht="22" customHeight="1">
      <c r="A483" s="9" t="inlineStr"/>
      <c r="B483" s="13" t="inlineStr">
        <is>
          <t>481. Восстановление разрушений в плите пола эпоксидным составом «ESP 2106» (или аналогичным) без учёта материалов ( СЦ )</t>
        </is>
      </c>
      <c r="C483" s="9" t="inlineStr">
        <is>
          <t>м2</t>
        </is>
      </c>
      <c r="D483" s="4">
        <f>IF('Форма'!G481="","",'Форма'!G481)</f>
        <v/>
      </c>
      <c r="E483" s="9" t="inlineStr">
        <is>
          <t>аналог (7.2.15)</t>
        </is>
      </c>
      <c r="F483" s="9" t="inlineStr">
        <is>
          <t>PLI</t>
        </is>
      </c>
      <c r="G483" s="10" t="n">
        <v>1520</v>
      </c>
      <c r="H483" s="10" t="n">
        <v>864</v>
      </c>
      <c r="I483" s="10" t="n">
        <v>0.8</v>
      </c>
      <c r="J483" s="9" t="inlineStr"/>
      <c r="K483" s="7">
        <f>IF(F483="",0,IFERROR(VLOOKUP(F483,Расходники!$A$4:$B$23,2,FALSE),0))</f>
        <v/>
      </c>
      <c r="L483" s="4">
        <f>H483*D483</f>
        <v/>
      </c>
      <c r="M483" s="4">
        <f>L483*K483</f>
        <v/>
      </c>
      <c r="N483" s="4">
        <f>SUMIF(Материалы!$A$4:$A$800,SUBSTITUTE(SUBSTITUTE(SUBSTITUTE(B483,"~","~~"),"*","~*"),"?","~?"),Материалы!$S$4:$S$800)</f>
        <v/>
      </c>
      <c r="O483" s="4">
        <f>L483+M483+N483</f>
        <v/>
      </c>
      <c r="P483" s="4">
        <f>IF(SUM($O$4:$O$672)=0,0,Косвенные!$C$9*O483/SUM($O$4:$O$672))</f>
        <v/>
      </c>
      <c r="Q483" s="4">
        <f>G483*D483+P483</f>
        <v/>
      </c>
      <c r="R483" s="4">
        <f>IF(D483=0,0,Q483/D483)</f>
        <v/>
      </c>
      <c r="S483" s="4">
        <f>IF(D483=0,0,SUMIF(Материалы!$A$4:$A$800,SUBSTITUTE(SUBSTITUTE(SUBSTITUTE(B483,"~","~~"),"*","~*"),"?","~?"),Материалы!$T$4:$T$800)/D483)</f>
        <v/>
      </c>
      <c r="T483" s="4">
        <f>R483+S483</f>
        <v/>
      </c>
      <c r="U483" s="4">
        <f>I483*D483</f>
        <v/>
      </c>
    </row>
    <row r="484" ht="22" customHeight="1">
      <c r="A484" s="9" t="inlineStr"/>
      <c r="B484" s="13" t="inlineStr">
        <is>
          <t>482. Ремонт трещин в плите пола эпоксидным составом</t>
        </is>
      </c>
      <c r="C484" s="9" t="inlineStr">
        <is>
          <t>м2</t>
        </is>
      </c>
      <c r="D484" s="4">
        <f>IF('Форма'!G482="","",'Форма'!G482)</f>
        <v/>
      </c>
      <c r="E484" s="9" t="inlineStr">
        <is>
          <t>аналог (7.2.15)</t>
        </is>
      </c>
      <c r="F484" s="9" t="inlineStr">
        <is>
          <t>PLI</t>
        </is>
      </c>
      <c r="G484" s="10" t="n">
        <v>1520</v>
      </c>
      <c r="H484" s="10" t="n">
        <v>864</v>
      </c>
      <c r="I484" s="10" t="n">
        <v>0.8</v>
      </c>
      <c r="J484" s="9" t="inlineStr"/>
      <c r="K484" s="7">
        <f>IF(F484="",0,IFERROR(VLOOKUP(F484,Расходники!$A$4:$B$23,2,FALSE),0))</f>
        <v/>
      </c>
      <c r="L484" s="4">
        <f>H484*D484</f>
        <v/>
      </c>
      <c r="M484" s="4">
        <f>L484*K484</f>
        <v/>
      </c>
      <c r="N484" s="4">
        <f>SUMIF(Материалы!$A$4:$A$800,SUBSTITUTE(SUBSTITUTE(SUBSTITUTE(B484,"~","~~"),"*","~*"),"?","~?"),Материалы!$S$4:$S$800)</f>
        <v/>
      </c>
      <c r="O484" s="4">
        <f>L484+M484+N484</f>
        <v/>
      </c>
      <c r="P484" s="4">
        <f>IF(SUM($O$4:$O$672)=0,0,Косвенные!$C$9*O484/SUM($O$4:$O$672))</f>
        <v/>
      </c>
      <c r="Q484" s="4">
        <f>G484*D484+P484</f>
        <v/>
      </c>
      <c r="R484" s="4">
        <f>IF(D484=0,0,Q484/D484)</f>
        <v/>
      </c>
      <c r="S484" s="4">
        <f>IF(D484=0,0,SUMIF(Материалы!$A$4:$A$800,SUBSTITUTE(SUBSTITUTE(SUBSTITUTE(B484,"~","~~"),"*","~*"),"?","~?"),Материалы!$T$4:$T$800)/D484)</f>
        <v/>
      </c>
      <c r="T484" s="4">
        <f>R484+S484</f>
        <v/>
      </c>
      <c r="U484" s="4">
        <f>I484*D484</f>
        <v/>
      </c>
    </row>
    <row r="485" ht="22" customHeight="1">
      <c r="A485" s="9" t="inlineStr"/>
      <c r="B485" s="13" t="inlineStr">
        <is>
          <t>483. «ESP 2106» (или аналогичным) без учёта материалов ( СЦ )</t>
        </is>
      </c>
      <c r="C485" s="9" t="inlineStr">
        <is>
          <t>м.п.</t>
        </is>
      </c>
      <c r="D485" s="4">
        <f>IF('Форма'!G483="","",'Форма'!G483)</f>
        <v/>
      </c>
      <c r="E485" s="9" t="inlineStr">
        <is>
          <t>аналог (7.2.15)</t>
        </is>
      </c>
      <c r="F485" s="9" t="inlineStr">
        <is>
          <t>PLI</t>
        </is>
      </c>
      <c r="G485" s="10" t="n">
        <v>760</v>
      </c>
      <c r="H485" s="10" t="n">
        <v>432</v>
      </c>
      <c r="I485" s="10" t="n">
        <v>0.4</v>
      </c>
      <c r="J485" s="9" t="inlineStr"/>
      <c r="K485" s="7">
        <f>IF(F485="",0,IFERROR(VLOOKUP(F485,Расходники!$A$4:$B$23,2,FALSE),0))</f>
        <v/>
      </c>
      <c r="L485" s="4">
        <f>H485*D485</f>
        <v/>
      </c>
      <c r="M485" s="4">
        <f>L485*K485</f>
        <v/>
      </c>
      <c r="N485" s="4">
        <f>SUMIF(Материалы!$A$4:$A$800,SUBSTITUTE(SUBSTITUTE(SUBSTITUTE(B485,"~","~~"),"*","~*"),"?","~?"),Материалы!$S$4:$S$800)</f>
        <v/>
      </c>
      <c r="O485" s="4">
        <f>L485+M485+N485</f>
        <v/>
      </c>
      <c r="P485" s="4">
        <f>IF(SUM($O$4:$O$672)=0,0,Косвенные!$C$9*O485/SUM($O$4:$O$672))</f>
        <v/>
      </c>
      <c r="Q485" s="4">
        <f>G485*D485+P485</f>
        <v/>
      </c>
      <c r="R485" s="4">
        <f>IF(D485=0,0,Q485/D485)</f>
        <v/>
      </c>
      <c r="S485" s="4">
        <f>IF(D485=0,0,SUMIF(Материалы!$A$4:$A$800,SUBSTITUTE(SUBSTITUTE(SUBSTITUTE(B485,"~","~~"),"*","~*"),"?","~?"),Материалы!$T$4:$T$800)/D485)</f>
        <v/>
      </c>
      <c r="T485" s="4">
        <f>R485+S485</f>
        <v/>
      </c>
      <c r="U485" s="4">
        <f>I485*D485</f>
        <v/>
      </c>
    </row>
    <row r="486" ht="22" customHeight="1">
      <c r="A486" s="9" t="inlineStr"/>
      <c r="B486" s="13" t="inlineStr">
        <is>
          <t>484. Пожарный извещатель ручной электроконтактный Рубеж ИПР 513-10 или аналог</t>
        </is>
      </c>
      <c r="C486" s="9" t="inlineStr">
        <is>
          <t>шт.</t>
        </is>
      </c>
      <c r="D486" s="4">
        <f>IF('Форма'!G484="","",'Форма'!G484)</f>
        <v/>
      </c>
      <c r="E486" s="9" t="inlineStr">
        <is>
          <t>нет в тарификаторе</t>
        </is>
      </c>
      <c r="F486" s="9" t="inlineStr">
        <is>
          <t>ELM</t>
        </is>
      </c>
      <c r="G486" s="10" t="n">
        <v>836</v>
      </c>
      <c r="H486" s="10" t="n">
        <v>408</v>
      </c>
      <c r="I486" s="10" t="n">
        <v>0.4</v>
      </c>
      <c r="J486" s="9" t="inlineStr"/>
      <c r="K486" s="7">
        <f>IF(F486="",0,IFERROR(VLOOKUP(F486,Расходники!$A$4:$B$23,2,FALSE),0))</f>
        <v/>
      </c>
      <c r="L486" s="4">
        <f>H486*D486</f>
        <v/>
      </c>
      <c r="M486" s="4">
        <f>L486*K486</f>
        <v/>
      </c>
      <c r="N486" s="4">
        <f>SUMIF(Материалы!$A$4:$A$800,SUBSTITUTE(SUBSTITUTE(SUBSTITUTE(B486,"~","~~"),"*","~*"),"?","~?"),Материалы!$S$4:$S$800)</f>
        <v/>
      </c>
      <c r="O486" s="4">
        <f>L486+M486+N486</f>
        <v/>
      </c>
      <c r="P486" s="4">
        <f>IF(SUM($O$4:$O$672)=0,0,Косвенные!$C$9*O486/SUM($O$4:$O$672))</f>
        <v/>
      </c>
      <c r="Q486" s="4">
        <f>G486*D486+P486</f>
        <v/>
      </c>
      <c r="R486" s="4">
        <f>IF(D486=0,0,Q486/D486)</f>
        <v/>
      </c>
      <c r="S486" s="4">
        <f>IF(D486=0,0,SUMIF(Материалы!$A$4:$A$800,SUBSTITUTE(SUBSTITUTE(SUBSTITUTE(B486,"~","~~"),"*","~*"),"?","~?"),Материалы!$T$4:$T$800)/D486)</f>
        <v/>
      </c>
      <c r="T486" s="4">
        <f>R486+S486</f>
        <v/>
      </c>
      <c r="U486" s="4">
        <f>I486*D486</f>
        <v/>
      </c>
    </row>
    <row r="487" ht="22" customHeight="1">
      <c r="A487" s="9" t="inlineStr"/>
      <c r="B487" s="13" t="inlineStr">
        <is>
          <t>485. Щит пожарный закрытый металл (1250х700х300) или аналог</t>
        </is>
      </c>
      <c r="C487" s="9" t="inlineStr">
        <is>
          <t>шт.</t>
        </is>
      </c>
      <c r="D487" s="4">
        <f>IF('Форма'!G485="","",'Форма'!G485)</f>
        <v/>
      </c>
      <c r="E487" s="9" t="inlineStr">
        <is>
          <t>нет в тарификаторе</t>
        </is>
      </c>
      <c r="F487" s="9" t="inlineStr">
        <is>
          <t>RAZ</t>
        </is>
      </c>
      <c r="G487" s="10" t="n">
        <v>912</v>
      </c>
      <c r="H487" s="10" t="n">
        <v>528</v>
      </c>
      <c r="I487" s="10" t="n">
        <v>0.8</v>
      </c>
      <c r="J487" s="9" t="inlineStr"/>
      <c r="K487" s="7">
        <f>IF(F487="",0,IFERROR(VLOOKUP(F487,Расходники!$A$4:$B$23,2,FALSE),0))</f>
        <v/>
      </c>
      <c r="L487" s="4">
        <f>H487*D487</f>
        <v/>
      </c>
      <c r="M487" s="4">
        <f>L487*K487</f>
        <v/>
      </c>
      <c r="N487" s="4">
        <f>SUMIF(Материалы!$A$4:$A$800,SUBSTITUTE(SUBSTITUTE(SUBSTITUTE(B487,"~","~~"),"*","~*"),"?","~?"),Материалы!$S$4:$S$800)</f>
        <v/>
      </c>
      <c r="O487" s="4">
        <f>L487+M487+N487</f>
        <v/>
      </c>
      <c r="P487" s="4">
        <f>IF(SUM($O$4:$O$672)=0,0,Косвенные!$C$9*O487/SUM($O$4:$O$672))</f>
        <v/>
      </c>
      <c r="Q487" s="4">
        <f>G487*D487+P487</f>
        <v/>
      </c>
      <c r="R487" s="4">
        <f>IF(D487=0,0,Q487/D487)</f>
        <v/>
      </c>
      <c r="S487" s="4">
        <f>IF(D487=0,0,SUMIF(Материалы!$A$4:$A$800,SUBSTITUTE(SUBSTITUTE(SUBSTITUTE(B487,"~","~~"),"*","~*"),"?","~?"),Материалы!$T$4:$T$800)/D487)</f>
        <v/>
      </c>
      <c r="T487" s="4">
        <f>R487+S487</f>
        <v/>
      </c>
      <c r="U487" s="4">
        <f>I487*D487</f>
        <v/>
      </c>
    </row>
    <row r="488" ht="22" customHeight="1">
      <c r="A488" s="9" t="inlineStr">
        <is>
          <t>9.4.71</t>
        </is>
      </c>
      <c r="B488" s="13" t="inlineStr">
        <is>
          <t>486. Пожарный шкаф МИГ Метинтергрупп ШПК-320 НЗК 320-21 евро-ручка 1300х540х230 мм</t>
        </is>
      </c>
      <c r="C488" s="9" t="inlineStr">
        <is>
          <t>шт.</t>
        </is>
      </c>
      <c r="D488" s="4">
        <f>IF('Форма'!G486="","",'Форма'!G486)</f>
        <v/>
      </c>
      <c r="E488" s="9" t="inlineStr">
        <is>
          <t>точно</t>
        </is>
      </c>
      <c r="F488" s="9" t="inlineStr">
        <is>
          <t>SAN</t>
        </is>
      </c>
      <c r="G488" s="10" t="n">
        <v>2300</v>
      </c>
      <c r="H488" s="10" t="n">
        <v>1426</v>
      </c>
      <c r="I488" s="10" t="n">
        <v>1.5</v>
      </c>
      <c r="J488" s="9" t="inlineStr"/>
      <c r="K488" s="7">
        <f>IF(F488="",0,IFERROR(VLOOKUP(F488,Расходники!$A$4:$B$23,2,FALSE),0))</f>
        <v/>
      </c>
      <c r="L488" s="4">
        <f>H488*D488</f>
        <v/>
      </c>
      <c r="M488" s="4">
        <f>L488*K488</f>
        <v/>
      </c>
      <c r="N488" s="4">
        <f>SUMIF(Материалы!$A$4:$A$800,SUBSTITUTE(SUBSTITUTE(SUBSTITUTE(B488,"~","~~"),"*","~*"),"?","~?"),Материалы!$S$4:$S$800)</f>
        <v/>
      </c>
      <c r="O488" s="4">
        <f>L488+M488+N488</f>
        <v/>
      </c>
      <c r="P488" s="4">
        <f>IF(SUM($O$4:$O$672)=0,0,Косвенные!$C$9*O488/SUM($O$4:$O$672))</f>
        <v/>
      </c>
      <c r="Q488" s="4">
        <f>G488*D488+P488</f>
        <v/>
      </c>
      <c r="R488" s="4">
        <f>IF(D488=0,0,Q488/D488)</f>
        <v/>
      </c>
      <c r="S488" s="4">
        <f>IF(D488=0,0,SUMIF(Материалы!$A$4:$A$800,SUBSTITUTE(SUBSTITUTE(SUBSTITUTE(B488,"~","~~"),"*","~*"),"?","~?"),Материалы!$T$4:$T$800)/D488)</f>
        <v/>
      </c>
      <c r="T488" s="4">
        <f>R488+S488</f>
        <v/>
      </c>
      <c r="U488" s="4">
        <f>I488*D488</f>
        <v/>
      </c>
    </row>
    <row r="489" ht="22" customHeight="1">
      <c r="A489" s="9" t="inlineStr">
        <is>
          <t>9.4.71</t>
        </is>
      </c>
      <c r="B489" s="13" t="inlineStr">
        <is>
          <t>487. Пожарный шкаф ООО Метинтергрупп ШПКО-320 НЗК евро-ручка или аналог</t>
        </is>
      </c>
      <c r="C489" s="9" t="inlineStr">
        <is>
          <t>шт.</t>
        </is>
      </c>
      <c r="D489" s="4">
        <f>IF('Форма'!G487="","",'Форма'!G487)</f>
        <v/>
      </c>
      <c r="E489" s="9" t="inlineStr">
        <is>
          <t>точно</t>
        </is>
      </c>
      <c r="F489" s="9" t="inlineStr">
        <is>
          <t>SAN</t>
        </is>
      </c>
      <c r="G489" s="10" t="n">
        <v>2300</v>
      </c>
      <c r="H489" s="10" t="n">
        <v>1426</v>
      </c>
      <c r="I489" s="10" t="n">
        <v>1.5</v>
      </c>
      <c r="J489" s="9" t="inlineStr"/>
      <c r="K489" s="7">
        <f>IF(F489="",0,IFERROR(VLOOKUP(F489,Расходники!$A$4:$B$23,2,FALSE),0))</f>
        <v/>
      </c>
      <c r="L489" s="4">
        <f>H489*D489</f>
        <v/>
      </c>
      <c r="M489" s="4">
        <f>L489*K489</f>
        <v/>
      </c>
      <c r="N489" s="4">
        <f>SUMIF(Материалы!$A$4:$A$800,SUBSTITUTE(SUBSTITUTE(SUBSTITUTE(B489,"~","~~"),"*","~*"),"?","~?"),Материалы!$S$4:$S$800)</f>
        <v/>
      </c>
      <c r="O489" s="4">
        <f>L489+M489+N489</f>
        <v/>
      </c>
      <c r="P489" s="4">
        <f>IF(SUM($O$4:$O$672)=0,0,Косвенные!$C$9*O489/SUM($O$4:$O$672))</f>
        <v/>
      </c>
      <c r="Q489" s="4">
        <f>G489*D489+P489</f>
        <v/>
      </c>
      <c r="R489" s="4">
        <f>IF(D489=0,0,Q489/D489)</f>
        <v/>
      </c>
      <c r="S489" s="4">
        <f>IF(D489=0,0,SUMIF(Материалы!$A$4:$A$800,SUBSTITUTE(SUBSTITUTE(SUBSTITUTE(B489,"~","~~"),"*","~*"),"?","~?"),Материалы!$T$4:$T$800)/D489)</f>
        <v/>
      </c>
      <c r="T489" s="4">
        <f>R489+S489</f>
        <v/>
      </c>
      <c r="U489" s="4">
        <f>I489*D489</f>
        <v/>
      </c>
    </row>
    <row r="490" ht="22" customHeight="1">
      <c r="A490" s="9" t="inlineStr">
        <is>
          <t>9.4.71</t>
        </is>
      </c>
      <c r="B490" s="13" t="inlineStr">
        <is>
          <t>488. Пожарный шкаф ООО Метинтергрупп ШПК-310 НЗБ евро-ручка или аналог</t>
        </is>
      </c>
      <c r="C490" s="9" t="inlineStr">
        <is>
          <t>шт.</t>
        </is>
      </c>
      <c r="D490" s="4">
        <f>IF('Форма'!G488="","",'Форма'!G488)</f>
        <v/>
      </c>
      <c r="E490" s="9" t="inlineStr">
        <is>
          <t>точно</t>
        </is>
      </c>
      <c r="F490" s="9" t="inlineStr">
        <is>
          <t>SAN</t>
        </is>
      </c>
      <c r="G490" s="10" t="n">
        <v>2300</v>
      </c>
      <c r="H490" s="10" t="n">
        <v>1426</v>
      </c>
      <c r="I490" s="10" t="n">
        <v>1.5</v>
      </c>
      <c r="J490" s="9" t="inlineStr"/>
      <c r="K490" s="7">
        <f>IF(F490="",0,IFERROR(VLOOKUP(F490,Расходники!$A$4:$B$23,2,FALSE),0))</f>
        <v/>
      </c>
      <c r="L490" s="4">
        <f>H490*D490</f>
        <v/>
      </c>
      <c r="M490" s="4">
        <f>L490*K490</f>
        <v/>
      </c>
      <c r="N490" s="4">
        <f>SUMIF(Материалы!$A$4:$A$800,SUBSTITUTE(SUBSTITUTE(SUBSTITUTE(B490,"~","~~"),"*","~*"),"?","~?"),Материалы!$S$4:$S$800)</f>
        <v/>
      </c>
      <c r="O490" s="4">
        <f>L490+M490+N490</f>
        <v/>
      </c>
      <c r="P490" s="4">
        <f>IF(SUM($O$4:$O$672)=0,0,Косвенные!$C$9*O490/SUM($O$4:$O$672))</f>
        <v/>
      </c>
      <c r="Q490" s="4">
        <f>G490*D490+P490</f>
        <v/>
      </c>
      <c r="R490" s="4">
        <f>IF(D490=0,0,Q490/D490)</f>
        <v/>
      </c>
      <c r="S490" s="4">
        <f>IF(D490=0,0,SUMIF(Материалы!$A$4:$A$800,SUBSTITUTE(SUBSTITUTE(SUBSTITUTE(B490,"~","~~"),"*","~*"),"?","~?"),Материалы!$T$4:$T$800)/D490)</f>
        <v/>
      </c>
      <c r="T490" s="4">
        <f>R490+S490</f>
        <v/>
      </c>
      <c r="U490" s="4">
        <f>I490*D490</f>
        <v/>
      </c>
    </row>
    <row r="491" ht="22" customHeight="1">
      <c r="A491" s="9" t="inlineStr">
        <is>
          <t>9.4.71</t>
        </is>
      </c>
      <c r="B491" s="13" t="inlineStr">
        <is>
          <t>489. Шкаф пожарный Балтика-01 навесной ШП-К-320-21 НЗК (2ПК) ЗМ 1300x540x230 красный или аналог</t>
        </is>
      </c>
      <c r="C491" s="9" t="inlineStr">
        <is>
          <t>шт.</t>
        </is>
      </c>
      <c r="D491" s="4">
        <f>IF('Форма'!G489="","",'Форма'!G489)</f>
        <v/>
      </c>
      <c r="E491" s="9" t="inlineStr">
        <is>
          <t>точно</t>
        </is>
      </c>
      <c r="F491" s="9" t="inlineStr">
        <is>
          <t>SAN</t>
        </is>
      </c>
      <c r="G491" s="10" t="n">
        <v>2300</v>
      </c>
      <c r="H491" s="10" t="n">
        <v>1426</v>
      </c>
      <c r="I491" s="10" t="n">
        <v>1.5</v>
      </c>
      <c r="J491" s="9" t="inlineStr"/>
      <c r="K491" s="7">
        <f>IF(F491="",0,IFERROR(VLOOKUP(F491,Расходники!$A$4:$B$23,2,FALSE),0))</f>
        <v/>
      </c>
      <c r="L491" s="4">
        <f>H491*D491</f>
        <v/>
      </c>
      <c r="M491" s="4">
        <f>L491*K491</f>
        <v/>
      </c>
      <c r="N491" s="4">
        <f>SUMIF(Материалы!$A$4:$A$800,SUBSTITUTE(SUBSTITUTE(SUBSTITUTE(B491,"~","~~"),"*","~*"),"?","~?"),Материалы!$S$4:$S$800)</f>
        <v/>
      </c>
      <c r="O491" s="4">
        <f>L491+M491+N491</f>
        <v/>
      </c>
      <c r="P491" s="4">
        <f>IF(SUM($O$4:$O$672)=0,0,Косвенные!$C$9*O491/SUM($O$4:$O$672))</f>
        <v/>
      </c>
      <c r="Q491" s="4">
        <f>G491*D491+P491</f>
        <v/>
      </c>
      <c r="R491" s="4">
        <f>IF(D491=0,0,Q491/D491)</f>
        <v/>
      </c>
      <c r="S491" s="4">
        <f>IF(D491=0,0,SUMIF(Материалы!$A$4:$A$800,SUBSTITUTE(SUBSTITUTE(SUBSTITUTE(B491,"~","~~"),"*","~*"),"?","~?"),Материалы!$T$4:$T$800)/D491)</f>
        <v/>
      </c>
      <c r="T491" s="4">
        <f>R491+S491</f>
        <v/>
      </c>
      <c r="U491" s="4">
        <f>I491*D491</f>
        <v/>
      </c>
    </row>
    <row r="492" ht="22" customHeight="1">
      <c r="A492" s="9" t="inlineStr"/>
      <c r="B492" s="13" t="inlineStr">
        <is>
          <t>490. ШП-К-О-Пульс-320-12 НЗК Н/С 4 кассеты, без перфорации в нижней секции, навесной, закрытый, красный, 700х1300х300 или аналог</t>
        </is>
      </c>
      <c r="C492" s="9" t="inlineStr">
        <is>
          <t>шт.</t>
        </is>
      </c>
      <c r="D492" s="4">
        <f>IF('Форма'!G490="","",'Форма'!G490)</f>
        <v/>
      </c>
      <c r="E492" s="9" t="inlineStr">
        <is>
          <t>нет в тарификаторе</t>
        </is>
      </c>
      <c r="F492" s="9" t="inlineStr">
        <is>
          <t>RAZ</t>
        </is>
      </c>
      <c r="G492" s="10" t="n">
        <v>912</v>
      </c>
      <c r="H492" s="10" t="n">
        <v>528</v>
      </c>
      <c r="I492" s="10" t="n">
        <v>0.8</v>
      </c>
      <c r="J492" s="9" t="inlineStr"/>
      <c r="K492" s="7">
        <f>IF(F492="",0,IFERROR(VLOOKUP(F492,Расходники!$A$4:$B$23,2,FALSE),0))</f>
        <v/>
      </c>
      <c r="L492" s="4">
        <f>H492*D492</f>
        <v/>
      </c>
      <c r="M492" s="4">
        <f>L492*K492</f>
        <v/>
      </c>
      <c r="N492" s="4">
        <f>SUMIF(Материалы!$A$4:$A$800,SUBSTITUTE(SUBSTITUTE(SUBSTITUTE(B492,"~","~~"),"*","~*"),"?","~?"),Материалы!$S$4:$S$800)</f>
        <v/>
      </c>
      <c r="O492" s="4">
        <f>L492+M492+N492</f>
        <v/>
      </c>
      <c r="P492" s="4">
        <f>IF(SUM($O$4:$O$672)=0,0,Косвенные!$C$9*O492/SUM($O$4:$O$672))</f>
        <v/>
      </c>
      <c r="Q492" s="4">
        <f>G492*D492+P492</f>
        <v/>
      </c>
      <c r="R492" s="4">
        <f>IF(D492=0,0,Q492/D492)</f>
        <v/>
      </c>
      <c r="S492" s="4">
        <f>IF(D492=0,0,SUMIF(Материалы!$A$4:$A$800,SUBSTITUTE(SUBSTITUTE(SUBSTITUTE(B492,"~","~~"),"*","~*"),"?","~?"),Материалы!$T$4:$T$800)/D492)</f>
        <v/>
      </c>
      <c r="T492" s="4">
        <f>R492+S492</f>
        <v/>
      </c>
      <c r="U492" s="4">
        <f>I492*D492</f>
        <v/>
      </c>
    </row>
    <row r="493" ht="22" customHeight="1">
      <c r="A493" s="9" t="inlineStr">
        <is>
          <t>9.4.71</t>
        </is>
      </c>
      <c r="B493" s="13" t="inlineStr">
        <is>
          <t>491. Шкаф пожарный ШПК-320-12 НЗК или аналог</t>
        </is>
      </c>
      <c r="C493" s="9" t="inlineStr">
        <is>
          <t>шт.</t>
        </is>
      </c>
      <c r="D493" s="4">
        <f>IF('Форма'!G491="","",'Форма'!G491)</f>
        <v/>
      </c>
      <c r="E493" s="9" t="inlineStr">
        <is>
          <t>точно</t>
        </is>
      </c>
      <c r="F493" s="9" t="inlineStr">
        <is>
          <t>SAN</t>
        </is>
      </c>
      <c r="G493" s="10" t="n">
        <v>2300</v>
      </c>
      <c r="H493" s="10" t="n">
        <v>1426</v>
      </c>
      <c r="I493" s="10" t="n">
        <v>1.5</v>
      </c>
      <c r="J493" s="9" t="inlineStr"/>
      <c r="K493" s="7">
        <f>IF(F493="",0,IFERROR(VLOOKUP(F493,Расходники!$A$4:$B$23,2,FALSE),0))</f>
        <v/>
      </c>
      <c r="L493" s="4">
        <f>H493*D493</f>
        <v/>
      </c>
      <c r="M493" s="4">
        <f>L493*K493</f>
        <v/>
      </c>
      <c r="N493" s="4">
        <f>SUMIF(Материалы!$A$4:$A$800,SUBSTITUTE(SUBSTITUTE(SUBSTITUTE(B493,"~","~~"),"*","~*"),"?","~?"),Материалы!$S$4:$S$800)</f>
        <v/>
      </c>
      <c r="O493" s="4">
        <f>L493+M493+N493</f>
        <v/>
      </c>
      <c r="P493" s="4">
        <f>IF(SUM($O$4:$O$672)=0,0,Косвенные!$C$9*O493/SUM($O$4:$O$672))</f>
        <v/>
      </c>
      <c r="Q493" s="4">
        <f>G493*D493+P493</f>
        <v/>
      </c>
      <c r="R493" s="4">
        <f>IF(D493=0,0,Q493/D493)</f>
        <v/>
      </c>
      <c r="S493" s="4">
        <f>IF(D493=0,0,SUMIF(Материалы!$A$4:$A$800,SUBSTITUTE(SUBSTITUTE(SUBSTITUTE(B493,"~","~~"),"*","~*"),"?","~?"),Материалы!$T$4:$T$800)/D493)</f>
        <v/>
      </c>
      <c r="T493" s="4">
        <f>R493+S493</f>
        <v/>
      </c>
      <c r="U493" s="4">
        <f>I493*D493</f>
        <v/>
      </c>
    </row>
    <row r="494" ht="22" customHeight="1">
      <c r="A494" s="9" t="inlineStr">
        <is>
          <t>9.4.71</t>
        </is>
      </c>
      <c r="B494" s="13" t="inlineStr">
        <is>
          <t>492. Шкаф ШПК-315 НОК650х840х230 или аналог</t>
        </is>
      </c>
      <c r="C494" s="9" t="inlineStr">
        <is>
          <t>шт.</t>
        </is>
      </c>
      <c r="D494" s="4">
        <f>IF('Форма'!G492="","",'Форма'!G492)</f>
        <v/>
      </c>
      <c r="E494" s="9" t="inlineStr">
        <is>
          <t>точно</t>
        </is>
      </c>
      <c r="F494" s="9" t="inlineStr">
        <is>
          <t>SAN</t>
        </is>
      </c>
      <c r="G494" s="10" t="n">
        <v>2300</v>
      </c>
      <c r="H494" s="10" t="n">
        <v>1426</v>
      </c>
      <c r="I494" s="10" t="n">
        <v>1.5</v>
      </c>
      <c r="J494" s="9" t="inlineStr"/>
      <c r="K494" s="7">
        <f>IF(F494="",0,IFERROR(VLOOKUP(F494,Расходники!$A$4:$B$23,2,FALSE),0))</f>
        <v/>
      </c>
      <c r="L494" s="4">
        <f>H494*D494</f>
        <v/>
      </c>
      <c r="M494" s="4">
        <f>L494*K494</f>
        <v/>
      </c>
      <c r="N494" s="4">
        <f>SUMIF(Материалы!$A$4:$A$800,SUBSTITUTE(SUBSTITUTE(SUBSTITUTE(B494,"~","~~"),"*","~*"),"?","~?"),Материалы!$S$4:$S$800)</f>
        <v/>
      </c>
      <c r="O494" s="4">
        <f>L494+M494+N494</f>
        <v/>
      </c>
      <c r="P494" s="4">
        <f>IF(SUM($O$4:$O$672)=0,0,Косвенные!$C$9*O494/SUM($O$4:$O$672))</f>
        <v/>
      </c>
      <c r="Q494" s="4">
        <f>G494*D494+P494</f>
        <v/>
      </c>
      <c r="R494" s="4">
        <f>IF(D494=0,0,Q494/D494)</f>
        <v/>
      </c>
      <c r="S494" s="4">
        <f>IF(D494=0,0,SUMIF(Материалы!$A$4:$A$800,SUBSTITUTE(SUBSTITUTE(SUBSTITUTE(B494,"~","~~"),"*","~*"),"?","~?"),Материалы!$T$4:$T$800)/D494)</f>
        <v/>
      </c>
      <c r="T494" s="4">
        <f>R494+S494</f>
        <v/>
      </c>
      <c r="U494" s="4">
        <f>I494*D494</f>
        <v/>
      </c>
    </row>
    <row r="495" ht="22" customHeight="1">
      <c r="A495" s="9" t="inlineStr">
        <is>
          <t>9.4.71</t>
        </is>
      </c>
      <c r="B495" s="13" t="inlineStr">
        <is>
          <t xml:space="preserve">493. Пожарный шкаф ШПК-320Н (540х1300х230) закрытый </t>
        </is>
      </c>
      <c r="C495" s="9" t="inlineStr">
        <is>
          <t>шт.</t>
        </is>
      </c>
      <c r="D495" s="4">
        <f>IF('Форма'!G493="","",'Форма'!G493)</f>
        <v/>
      </c>
      <c r="E495" s="9" t="inlineStr">
        <is>
          <t>точно</t>
        </is>
      </c>
      <c r="F495" s="9" t="inlineStr">
        <is>
          <t>SAN</t>
        </is>
      </c>
      <c r="G495" s="10" t="n">
        <v>2300</v>
      </c>
      <c r="H495" s="10" t="n">
        <v>1426</v>
      </c>
      <c r="I495" s="10" t="n">
        <v>1.5</v>
      </c>
      <c r="J495" s="9" t="inlineStr"/>
      <c r="K495" s="7">
        <f>IF(F495="",0,IFERROR(VLOOKUP(F495,Расходники!$A$4:$B$23,2,FALSE),0))</f>
        <v/>
      </c>
      <c r="L495" s="4">
        <f>H495*D495</f>
        <v/>
      </c>
      <c r="M495" s="4">
        <f>L495*K495</f>
        <v/>
      </c>
      <c r="N495" s="4">
        <f>SUMIF(Материалы!$A$4:$A$800,SUBSTITUTE(SUBSTITUTE(SUBSTITUTE(B495,"~","~~"),"*","~*"),"?","~?"),Материалы!$S$4:$S$800)</f>
        <v/>
      </c>
      <c r="O495" s="4">
        <f>L495+M495+N495</f>
        <v/>
      </c>
      <c r="P495" s="4">
        <f>IF(SUM($O$4:$O$672)=0,0,Косвенные!$C$9*O495/SUM($O$4:$O$672))</f>
        <v/>
      </c>
      <c r="Q495" s="4">
        <f>G495*D495+P495</f>
        <v/>
      </c>
      <c r="R495" s="4">
        <f>IF(D495=0,0,Q495/D495)</f>
        <v/>
      </c>
      <c r="S495" s="4">
        <f>IF(D495=0,0,SUMIF(Материалы!$A$4:$A$800,SUBSTITUTE(SUBSTITUTE(SUBSTITUTE(B495,"~","~~"),"*","~*"),"?","~?"),Материалы!$T$4:$T$800)/D495)</f>
        <v/>
      </c>
      <c r="T495" s="4">
        <f>R495+S495</f>
        <v/>
      </c>
      <c r="U495" s="4">
        <f>I495*D495</f>
        <v/>
      </c>
    </row>
    <row r="496" ht="22" customHeight="1">
      <c r="A496" s="9" t="inlineStr">
        <is>
          <t>9.4.71</t>
        </is>
      </c>
      <c r="B496" s="13" t="inlineStr">
        <is>
          <t>494. Шкаф пожарный Балтика-01 навесной ШП-К-320-21 НЗК (2ПК) ЗМ 1300x540x230 красный</t>
        </is>
      </c>
      <c r="C496" s="9" t="inlineStr">
        <is>
          <t>шт.</t>
        </is>
      </c>
      <c r="D496" s="4">
        <f>IF('Форма'!G494="","",'Форма'!G494)</f>
        <v/>
      </c>
      <c r="E496" s="9" t="inlineStr">
        <is>
          <t>точно</t>
        </is>
      </c>
      <c r="F496" s="9" t="inlineStr">
        <is>
          <t>SAN</t>
        </is>
      </c>
      <c r="G496" s="10" t="n">
        <v>2300</v>
      </c>
      <c r="H496" s="10" t="n">
        <v>1426</v>
      </c>
      <c r="I496" s="10" t="n">
        <v>1.5</v>
      </c>
      <c r="J496" s="9" t="inlineStr"/>
      <c r="K496" s="7">
        <f>IF(F496="",0,IFERROR(VLOOKUP(F496,Расходники!$A$4:$B$23,2,FALSE),0))</f>
        <v/>
      </c>
      <c r="L496" s="4">
        <f>H496*D496</f>
        <v/>
      </c>
      <c r="M496" s="4">
        <f>L496*K496</f>
        <v/>
      </c>
      <c r="N496" s="4">
        <f>SUMIF(Материалы!$A$4:$A$800,SUBSTITUTE(SUBSTITUTE(SUBSTITUTE(B496,"~","~~"),"*","~*"),"?","~?"),Материалы!$S$4:$S$800)</f>
        <v/>
      </c>
      <c r="O496" s="4">
        <f>L496+M496+N496</f>
        <v/>
      </c>
      <c r="P496" s="4">
        <f>IF(SUM($O$4:$O$672)=0,0,Косвенные!$C$9*O496/SUM($O$4:$O$672))</f>
        <v/>
      </c>
      <c r="Q496" s="4">
        <f>G496*D496+P496</f>
        <v/>
      </c>
      <c r="R496" s="4">
        <f>IF(D496=0,0,Q496/D496)</f>
        <v/>
      </c>
      <c r="S496" s="4">
        <f>IF(D496=0,0,SUMIF(Материалы!$A$4:$A$800,SUBSTITUTE(SUBSTITUTE(SUBSTITUTE(B496,"~","~~"),"*","~*"),"?","~?"),Материалы!$T$4:$T$800)/D496)</f>
        <v/>
      </c>
      <c r="T496" s="4">
        <f>R496+S496</f>
        <v/>
      </c>
      <c r="U496" s="4">
        <f>I496*D496</f>
        <v/>
      </c>
    </row>
    <row r="497" ht="22" customHeight="1">
      <c r="A497" s="9" t="inlineStr"/>
      <c r="B497" s="13" t="inlineStr">
        <is>
          <t>495. Ремкомплект гидроузла рохли</t>
        </is>
      </c>
      <c r="C497" s="9" t="inlineStr">
        <is>
          <t>шт.</t>
        </is>
      </c>
      <c r="D497" s="4">
        <f>IF('Форма'!G495="","",'Форма'!G495)</f>
        <v/>
      </c>
      <c r="E497" s="9" t="inlineStr">
        <is>
          <t>нет в тарификаторе</t>
        </is>
      </c>
      <c r="F497" s="9" t="inlineStr">
        <is>
          <t>PSM</t>
        </is>
      </c>
      <c r="G497" s="10" t="n">
        <v>2166</v>
      </c>
      <c r="H497" s="10" t="n">
        <v>1080</v>
      </c>
      <c r="I497" s="10" t="n">
        <v>0.6</v>
      </c>
      <c r="J497" s="9" t="inlineStr"/>
      <c r="K497" s="7">
        <f>IF(F497="",0,IFERROR(VLOOKUP(F497,Расходники!$A$4:$B$23,2,FALSE),0))</f>
        <v/>
      </c>
      <c r="L497" s="4">
        <f>H497*D497</f>
        <v/>
      </c>
      <c r="M497" s="4">
        <f>L497*K497</f>
        <v/>
      </c>
      <c r="N497" s="4">
        <f>SUMIF(Материалы!$A$4:$A$800,SUBSTITUTE(SUBSTITUTE(SUBSTITUTE(B497,"~","~~"),"*","~*"),"?","~?"),Материалы!$S$4:$S$800)</f>
        <v/>
      </c>
      <c r="O497" s="4">
        <f>L497+M497+N497</f>
        <v/>
      </c>
      <c r="P497" s="4">
        <f>IF(SUM($O$4:$O$672)=0,0,Косвенные!$C$9*O497/SUM($O$4:$O$672))</f>
        <v/>
      </c>
      <c r="Q497" s="4">
        <f>G497*D497+P497</f>
        <v/>
      </c>
      <c r="R497" s="4">
        <f>IF(D497=0,0,Q497/D497)</f>
        <v/>
      </c>
      <c r="S497" s="4">
        <f>IF(D497=0,0,SUMIF(Материалы!$A$4:$A$800,SUBSTITUTE(SUBSTITUTE(SUBSTITUTE(B497,"~","~~"),"*","~*"),"?","~?"),Материалы!$T$4:$T$800)/D497)</f>
        <v/>
      </c>
      <c r="T497" s="4">
        <f>R497+S497</f>
        <v/>
      </c>
      <c r="U497" s="4">
        <f>I497*D497</f>
        <v/>
      </c>
    </row>
    <row r="498" ht="22" customHeight="1">
      <c r="A498" s="9" t="inlineStr"/>
      <c r="B498" s="13" t="inlineStr">
        <is>
          <t xml:space="preserve">496. Масло гидравлическое </t>
        </is>
      </c>
      <c r="C498" s="9" t="inlineStr">
        <is>
          <t>шт.</t>
        </is>
      </c>
      <c r="D498" s="4">
        <f>IF('Форма'!G496="","",'Форма'!G496)</f>
        <v/>
      </c>
      <c r="E498" s="9" t="inlineStr">
        <is>
          <t>нет в тарификаторе</t>
        </is>
      </c>
      <c r="F498" s="9" t="inlineStr">
        <is>
          <t>PSM</t>
        </is>
      </c>
      <c r="G498" s="10" t="n">
        <v>2166</v>
      </c>
      <c r="H498" s="10" t="n">
        <v>1080</v>
      </c>
      <c r="I498" s="10" t="n">
        <v>0.6</v>
      </c>
      <c r="J498" s="9" t="inlineStr"/>
      <c r="K498" s="7">
        <f>IF(F498="",0,IFERROR(VLOOKUP(F498,Расходники!$A$4:$B$23,2,FALSE),0))</f>
        <v/>
      </c>
      <c r="L498" s="4">
        <f>H498*D498</f>
        <v/>
      </c>
      <c r="M498" s="4">
        <f>L498*K498</f>
        <v/>
      </c>
      <c r="N498" s="4">
        <f>SUMIF(Материалы!$A$4:$A$800,SUBSTITUTE(SUBSTITUTE(SUBSTITUTE(B498,"~","~~"),"*","~*"),"?","~?"),Материалы!$S$4:$S$800)</f>
        <v/>
      </c>
      <c r="O498" s="4">
        <f>L498+M498+N498</f>
        <v/>
      </c>
      <c r="P498" s="4">
        <f>IF(SUM($O$4:$O$672)=0,0,Косвенные!$C$9*O498/SUM($O$4:$O$672))</f>
        <v/>
      </c>
      <c r="Q498" s="4">
        <f>G498*D498+P498</f>
        <v/>
      </c>
      <c r="R498" s="4">
        <f>IF(D498=0,0,Q498/D498)</f>
        <v/>
      </c>
      <c r="S498" s="4">
        <f>IF(D498=0,0,SUMIF(Материалы!$A$4:$A$800,SUBSTITUTE(SUBSTITUTE(SUBSTITUTE(B498,"~","~~"),"*","~*"),"?","~?"),Материалы!$T$4:$T$800)/D498)</f>
        <v/>
      </c>
      <c r="T498" s="4">
        <f>R498+S498</f>
        <v/>
      </c>
      <c r="U498" s="4">
        <f>I498*D498</f>
        <v/>
      </c>
    </row>
    <row r="499" ht="22" customHeight="1">
      <c r="A499" s="9" t="inlineStr"/>
      <c r="B499" s="13" t="inlineStr">
        <is>
          <t>497. Смазка консистентная (400 мл)</t>
        </is>
      </c>
      <c r="C499" s="9" t="inlineStr">
        <is>
          <t>шт.</t>
        </is>
      </c>
      <c r="D499" s="4">
        <f>IF('Форма'!G497="","",'Форма'!G497)</f>
        <v/>
      </c>
      <c r="E499" s="9" t="inlineStr">
        <is>
          <t>нет в тарификаторе</t>
        </is>
      </c>
      <c r="F499" s="9" t="inlineStr">
        <is>
          <t>PSM</t>
        </is>
      </c>
      <c r="G499" s="10" t="n">
        <v>2166</v>
      </c>
      <c r="H499" s="10" t="n">
        <v>1080</v>
      </c>
      <c r="I499" s="10" t="n">
        <v>0.6</v>
      </c>
      <c r="J499" s="9" t="inlineStr"/>
      <c r="K499" s="7">
        <f>IF(F499="",0,IFERROR(VLOOKUP(F499,Расходники!$A$4:$B$23,2,FALSE),0))</f>
        <v/>
      </c>
      <c r="L499" s="4">
        <f>H499*D499</f>
        <v/>
      </c>
      <c r="M499" s="4">
        <f>L499*K499</f>
        <v/>
      </c>
      <c r="N499" s="4">
        <f>SUMIF(Материалы!$A$4:$A$800,SUBSTITUTE(SUBSTITUTE(SUBSTITUTE(B499,"~","~~"),"*","~*"),"?","~?"),Материалы!$S$4:$S$800)</f>
        <v/>
      </c>
      <c r="O499" s="4">
        <f>L499+M499+N499</f>
        <v/>
      </c>
      <c r="P499" s="4">
        <f>IF(SUM($O$4:$O$672)=0,0,Косвенные!$C$9*O499/SUM($O$4:$O$672))</f>
        <v/>
      </c>
      <c r="Q499" s="4">
        <f>G499*D499+P499</f>
        <v/>
      </c>
      <c r="R499" s="4">
        <f>IF(D499=0,0,Q499/D499)</f>
        <v/>
      </c>
      <c r="S499" s="4">
        <f>IF(D499=0,0,SUMIF(Материалы!$A$4:$A$800,SUBSTITUTE(SUBSTITUTE(SUBSTITUTE(B499,"~","~~"),"*","~*"),"?","~?"),Материалы!$T$4:$T$800)/D499)</f>
        <v/>
      </c>
      <c r="T499" s="4">
        <f>R499+S499</f>
        <v/>
      </c>
      <c r="U499" s="4">
        <f>I499*D499</f>
        <v/>
      </c>
    </row>
    <row r="500" ht="22" customHeight="1">
      <c r="A500" s="9" t="inlineStr"/>
      <c r="B500" s="13" t="inlineStr">
        <is>
          <t>498. Колесо (ведущее) опорное рохли (ступица - алюминий; контактный слой - резина)</t>
        </is>
      </c>
      <c r="C500" s="9" t="inlineStr">
        <is>
          <t>шт.</t>
        </is>
      </c>
      <c r="D500" s="4">
        <f>IF('Форма'!G498="","",'Форма'!G498)</f>
        <v/>
      </c>
      <c r="E500" s="9" t="inlineStr">
        <is>
          <t>нет в тарификаторе</t>
        </is>
      </c>
      <c r="F500" s="9" t="inlineStr">
        <is>
          <t>PSM</t>
        </is>
      </c>
      <c r="G500" s="10" t="n">
        <v>2166</v>
      </c>
      <c r="H500" s="10" t="n">
        <v>1080</v>
      </c>
      <c r="I500" s="10" t="n">
        <v>0.6</v>
      </c>
      <c r="J500" s="9" t="inlineStr"/>
      <c r="K500" s="7">
        <f>IF(F500="",0,IFERROR(VLOOKUP(F500,Расходники!$A$4:$B$23,2,FALSE),0))</f>
        <v/>
      </c>
      <c r="L500" s="4">
        <f>H500*D500</f>
        <v/>
      </c>
      <c r="M500" s="4">
        <f>L500*K500</f>
        <v/>
      </c>
      <c r="N500" s="4">
        <f>SUMIF(Материалы!$A$4:$A$800,SUBSTITUTE(SUBSTITUTE(SUBSTITUTE(B500,"~","~~"),"*","~*"),"?","~?"),Материалы!$S$4:$S$800)</f>
        <v/>
      </c>
      <c r="O500" s="4">
        <f>L500+M500+N500</f>
        <v/>
      </c>
      <c r="P500" s="4">
        <f>IF(SUM($O$4:$O$672)=0,0,Косвенные!$C$9*O500/SUM($O$4:$O$672))</f>
        <v/>
      </c>
      <c r="Q500" s="4">
        <f>G500*D500+P500</f>
        <v/>
      </c>
      <c r="R500" s="4">
        <f>IF(D500=0,0,Q500/D500)</f>
        <v/>
      </c>
      <c r="S500" s="4">
        <f>IF(D500=0,0,SUMIF(Материалы!$A$4:$A$800,SUBSTITUTE(SUBSTITUTE(SUBSTITUTE(B500,"~","~~"),"*","~*"),"?","~?"),Материалы!$T$4:$T$800)/D500)</f>
        <v/>
      </c>
      <c r="T500" s="4">
        <f>R500+S500</f>
        <v/>
      </c>
      <c r="U500" s="4">
        <f>I500*D500</f>
        <v/>
      </c>
    </row>
    <row r="501" ht="22" customHeight="1">
      <c r="A501" s="9" t="inlineStr"/>
      <c r="B501" s="13" t="inlineStr">
        <is>
          <t>499. Колесо (ролик) малое грузовое рохли (полиуретан) 80x70</t>
        </is>
      </c>
      <c r="C501" s="9" t="inlineStr">
        <is>
          <t>шт.</t>
        </is>
      </c>
      <c r="D501" s="4">
        <f>IF('Форма'!G499="","",'Форма'!G499)</f>
        <v/>
      </c>
      <c r="E501" s="9" t="inlineStr">
        <is>
          <t>нет в тарификаторе</t>
        </is>
      </c>
      <c r="F501" s="9" t="inlineStr">
        <is>
          <t>ELM</t>
        </is>
      </c>
      <c r="G501" s="10" t="n">
        <v>1463</v>
      </c>
      <c r="H501" s="10" t="n">
        <v>714</v>
      </c>
      <c r="I501" s="10" t="n">
        <v>0.7</v>
      </c>
      <c r="J501" s="9" t="inlineStr"/>
      <c r="K501" s="7">
        <f>IF(F501="",0,IFERROR(VLOOKUP(F501,Расходники!$A$4:$B$23,2,FALSE),0))</f>
        <v/>
      </c>
      <c r="L501" s="4">
        <f>H501*D501</f>
        <v/>
      </c>
      <c r="M501" s="4">
        <f>L501*K501</f>
        <v/>
      </c>
      <c r="N501" s="4">
        <f>SUMIF(Материалы!$A$4:$A$800,SUBSTITUTE(SUBSTITUTE(SUBSTITUTE(B501,"~","~~"),"*","~*"),"?","~?"),Материалы!$S$4:$S$800)</f>
        <v/>
      </c>
      <c r="O501" s="4">
        <f>L501+M501+N501</f>
        <v/>
      </c>
      <c r="P501" s="4">
        <f>IF(SUM($O$4:$O$672)=0,0,Косвенные!$C$9*O501/SUM($O$4:$O$672))</f>
        <v/>
      </c>
      <c r="Q501" s="4">
        <f>G501*D501+P501</f>
        <v/>
      </c>
      <c r="R501" s="4">
        <f>IF(D501=0,0,Q501/D501)</f>
        <v/>
      </c>
      <c r="S501" s="4">
        <f>IF(D501=0,0,SUMIF(Материалы!$A$4:$A$800,SUBSTITUTE(SUBSTITUTE(SUBSTITUTE(B501,"~","~~"),"*","~*"),"?","~?"),Материалы!$T$4:$T$800)/D501)</f>
        <v/>
      </c>
      <c r="T501" s="4">
        <f>R501+S501</f>
        <v/>
      </c>
      <c r="U501" s="4">
        <f>I501*D501</f>
        <v/>
      </c>
    </row>
    <row r="502" ht="22" customHeight="1">
      <c r="A502" s="9" t="inlineStr"/>
      <c r="B502" s="13" t="inlineStr">
        <is>
          <t>500. Пружина гидроузла рохли</t>
        </is>
      </c>
      <c r="C502" s="9" t="inlineStr">
        <is>
          <t>шт.</t>
        </is>
      </c>
      <c r="D502" s="4">
        <f>IF('Форма'!G500="","",'Форма'!G500)</f>
        <v/>
      </c>
      <c r="E502" s="9" t="inlineStr">
        <is>
          <t>нет в тарификаторе</t>
        </is>
      </c>
      <c r="F502" s="9" t="inlineStr">
        <is>
          <t>PSM</t>
        </is>
      </c>
      <c r="G502" s="10" t="n">
        <v>2166</v>
      </c>
      <c r="H502" s="10" t="n">
        <v>1080</v>
      </c>
      <c r="I502" s="10" t="n">
        <v>0.6</v>
      </c>
      <c r="J502" s="9" t="inlineStr"/>
      <c r="K502" s="7">
        <f>IF(F502="",0,IFERROR(VLOOKUP(F502,Расходники!$A$4:$B$23,2,FALSE),0))</f>
        <v/>
      </c>
      <c r="L502" s="4">
        <f>H502*D502</f>
        <v/>
      </c>
      <c r="M502" s="4">
        <f>L502*K502</f>
        <v/>
      </c>
      <c r="N502" s="4">
        <f>SUMIF(Материалы!$A$4:$A$800,SUBSTITUTE(SUBSTITUTE(SUBSTITUTE(B502,"~","~~"),"*","~*"),"?","~?"),Материалы!$S$4:$S$800)</f>
        <v/>
      </c>
      <c r="O502" s="4">
        <f>L502+M502+N502</f>
        <v/>
      </c>
      <c r="P502" s="4">
        <f>IF(SUM($O$4:$O$672)=0,0,Косвенные!$C$9*O502/SUM($O$4:$O$672))</f>
        <v/>
      </c>
      <c r="Q502" s="4">
        <f>G502*D502+P502</f>
        <v/>
      </c>
      <c r="R502" s="4">
        <f>IF(D502=0,0,Q502/D502)</f>
        <v/>
      </c>
      <c r="S502" s="4">
        <f>IF(D502=0,0,SUMIF(Материалы!$A$4:$A$800,SUBSTITUTE(SUBSTITUTE(SUBSTITUTE(B502,"~","~~"),"*","~*"),"?","~?"),Материалы!$T$4:$T$800)/D502)</f>
        <v/>
      </c>
      <c r="T502" s="4">
        <f>R502+S502</f>
        <v/>
      </c>
      <c r="U502" s="4">
        <f>I502*D502</f>
        <v/>
      </c>
    </row>
    <row r="503" ht="22" customHeight="1">
      <c r="A503" s="9" t="inlineStr"/>
      <c r="B503" s="13" t="inlineStr">
        <is>
          <t>501. Клапан перепускной гидроузла Рохли</t>
        </is>
      </c>
      <c r="C503" s="9" t="inlineStr">
        <is>
          <t>шт.</t>
        </is>
      </c>
      <c r="D503" s="4">
        <f>IF('Форма'!G501="","",'Форма'!G501)</f>
        <v/>
      </c>
      <c r="E503" s="9" t="inlineStr">
        <is>
          <t>нет в тарификаторе</t>
        </is>
      </c>
      <c r="F503" s="9" t="inlineStr">
        <is>
          <t>PSM</t>
        </is>
      </c>
      <c r="G503" s="10" t="n">
        <v>2166</v>
      </c>
      <c r="H503" s="10" t="n">
        <v>1080</v>
      </c>
      <c r="I503" s="10" t="n">
        <v>0.6</v>
      </c>
      <c r="J503" s="9" t="inlineStr"/>
      <c r="K503" s="7">
        <f>IF(F503="",0,IFERROR(VLOOKUP(F503,Расходники!$A$4:$B$23,2,FALSE),0))</f>
        <v/>
      </c>
      <c r="L503" s="4">
        <f>H503*D503</f>
        <v/>
      </c>
      <c r="M503" s="4">
        <f>L503*K503</f>
        <v/>
      </c>
      <c r="N503" s="4">
        <f>SUMIF(Материалы!$A$4:$A$800,SUBSTITUTE(SUBSTITUTE(SUBSTITUTE(B503,"~","~~"),"*","~*"),"?","~?"),Материалы!$S$4:$S$800)</f>
        <v/>
      </c>
      <c r="O503" s="4">
        <f>L503+M503+N503</f>
        <v/>
      </c>
      <c r="P503" s="4">
        <f>IF(SUM($O$4:$O$672)=0,0,Косвенные!$C$9*O503/SUM($O$4:$O$672))</f>
        <v/>
      </c>
      <c r="Q503" s="4">
        <f>G503*D503+P503</f>
        <v/>
      </c>
      <c r="R503" s="4">
        <f>IF(D503=0,0,Q503/D503)</f>
        <v/>
      </c>
      <c r="S503" s="4">
        <f>IF(D503=0,0,SUMIF(Материалы!$A$4:$A$800,SUBSTITUTE(SUBSTITUTE(SUBSTITUTE(B503,"~","~~"),"*","~*"),"?","~?"),Материалы!$T$4:$T$800)/D503)</f>
        <v/>
      </c>
      <c r="T503" s="4">
        <f>R503+S503</f>
        <v/>
      </c>
      <c r="U503" s="4">
        <f>I503*D503</f>
        <v/>
      </c>
    </row>
    <row r="504" ht="22" customHeight="1">
      <c r="A504" s="9" t="inlineStr"/>
      <c r="B504" s="13" t="inlineStr">
        <is>
          <t>502. ИПР-3СУ извещатель пожарный ручной или аналог</t>
        </is>
      </c>
      <c r="C504" s="9" t="inlineStr">
        <is>
          <t>шт.</t>
        </is>
      </c>
      <c r="D504" s="4">
        <f>IF('Форма'!G502="","",'Форма'!G502)</f>
        <v/>
      </c>
      <c r="E504" s="9" t="inlineStr">
        <is>
          <t>нет в тарификаторе</t>
        </is>
      </c>
      <c r="F504" s="9" t="inlineStr">
        <is>
          <t>ELM</t>
        </is>
      </c>
      <c r="G504" s="10" t="n">
        <v>836</v>
      </c>
      <c r="H504" s="10" t="n">
        <v>408</v>
      </c>
      <c r="I504" s="10" t="n">
        <v>0.4</v>
      </c>
      <c r="J504" s="9" t="inlineStr"/>
      <c r="K504" s="7">
        <f>IF(F504="",0,IFERROR(VLOOKUP(F504,Расходники!$A$4:$B$23,2,FALSE),0))</f>
        <v/>
      </c>
      <c r="L504" s="4">
        <f>H504*D504</f>
        <v/>
      </c>
      <c r="M504" s="4">
        <f>L504*K504</f>
        <v/>
      </c>
      <c r="N504" s="4">
        <f>SUMIF(Материалы!$A$4:$A$800,SUBSTITUTE(SUBSTITUTE(SUBSTITUTE(B504,"~","~~"),"*","~*"),"?","~?"),Материалы!$S$4:$S$800)</f>
        <v/>
      </c>
      <c r="O504" s="4">
        <f>L504+M504+N504</f>
        <v/>
      </c>
      <c r="P504" s="4">
        <f>IF(SUM($O$4:$O$672)=0,0,Косвенные!$C$9*O504/SUM($O$4:$O$672))</f>
        <v/>
      </c>
      <c r="Q504" s="4">
        <f>G504*D504+P504</f>
        <v/>
      </c>
      <c r="R504" s="4">
        <f>IF(D504=0,0,Q504/D504)</f>
        <v/>
      </c>
      <c r="S504" s="4">
        <f>IF(D504=0,0,SUMIF(Материалы!$A$4:$A$800,SUBSTITUTE(SUBSTITUTE(SUBSTITUTE(B504,"~","~~"),"*","~*"),"?","~?"),Материалы!$T$4:$T$800)/D504)</f>
        <v/>
      </c>
      <c r="T504" s="4">
        <f>R504+S504</f>
        <v/>
      </c>
      <c r="U504" s="4">
        <f>I504*D504</f>
        <v/>
      </c>
    </row>
    <row r="505" ht="22" customHeight="1">
      <c r="A505" s="9" t="inlineStr"/>
      <c r="B505" s="13" t="inlineStr">
        <is>
          <t>503. Болид ИПР 513-3М или аналог</t>
        </is>
      </c>
      <c r="C505" s="9" t="inlineStr">
        <is>
          <t>шт.</t>
        </is>
      </c>
      <c r="D505" s="4">
        <f>IF('Форма'!G503="","",'Форма'!G503)</f>
        <v/>
      </c>
      <c r="E505" s="9" t="inlineStr">
        <is>
          <t>нет в тарификаторе</t>
        </is>
      </c>
      <c r="F505" s="9" t="inlineStr">
        <is>
          <t>ELM</t>
        </is>
      </c>
      <c r="G505" s="10" t="n">
        <v>836</v>
      </c>
      <c r="H505" s="10" t="n">
        <v>408</v>
      </c>
      <c r="I505" s="10" t="n">
        <v>0.4</v>
      </c>
      <c r="J505" s="9" t="inlineStr"/>
      <c r="K505" s="7">
        <f>IF(F505="",0,IFERROR(VLOOKUP(F505,Расходники!$A$4:$B$23,2,FALSE),0))</f>
        <v/>
      </c>
      <c r="L505" s="4">
        <f>H505*D505</f>
        <v/>
      </c>
      <c r="M505" s="4">
        <f>L505*K505</f>
        <v/>
      </c>
      <c r="N505" s="4">
        <f>SUMIF(Материалы!$A$4:$A$800,SUBSTITUTE(SUBSTITUTE(SUBSTITUTE(B505,"~","~~"),"*","~*"),"?","~?"),Материалы!$S$4:$S$800)</f>
        <v/>
      </c>
      <c r="O505" s="4">
        <f>L505+M505+N505</f>
        <v/>
      </c>
      <c r="P505" s="4">
        <f>IF(SUM($O$4:$O$672)=0,0,Косвенные!$C$9*O505/SUM($O$4:$O$672))</f>
        <v/>
      </c>
      <c r="Q505" s="4">
        <f>G505*D505+P505</f>
        <v/>
      </c>
      <c r="R505" s="4">
        <f>IF(D505=0,0,Q505/D505)</f>
        <v/>
      </c>
      <c r="S505" s="4">
        <f>IF(D505=0,0,SUMIF(Материалы!$A$4:$A$800,SUBSTITUTE(SUBSTITUTE(SUBSTITUTE(B505,"~","~~"),"*","~*"),"?","~?"),Материалы!$T$4:$T$800)/D505)</f>
        <v/>
      </c>
      <c r="T505" s="4">
        <f>R505+S505</f>
        <v/>
      </c>
      <c r="U505" s="4">
        <f>I505*D505</f>
        <v/>
      </c>
    </row>
    <row r="506" ht="22" customHeight="1">
      <c r="A506" s="9" t="inlineStr"/>
      <c r="B506" s="13" t="inlineStr">
        <is>
          <t>504. Защитный кожух ЗК-5 для ИПР или аналог</t>
        </is>
      </c>
      <c r="C506" s="9" t="inlineStr">
        <is>
          <t>шт.</t>
        </is>
      </c>
      <c r="D506" s="4">
        <f>IF('Форма'!G504="","",'Форма'!G504)</f>
        <v/>
      </c>
      <c r="E506" s="9" t="inlineStr">
        <is>
          <t>нет в тарификаторе</t>
        </is>
      </c>
      <c r="F506" s="9" t="inlineStr">
        <is>
          <t>ELM</t>
        </is>
      </c>
      <c r="G506" s="10" t="n">
        <v>836</v>
      </c>
      <c r="H506" s="10" t="n">
        <v>408</v>
      </c>
      <c r="I506" s="10" t="n">
        <v>0.4</v>
      </c>
      <c r="J506" s="9" t="inlineStr"/>
      <c r="K506" s="7">
        <f>IF(F506="",0,IFERROR(VLOOKUP(F506,Расходники!$A$4:$B$23,2,FALSE),0))</f>
        <v/>
      </c>
      <c r="L506" s="4">
        <f>H506*D506</f>
        <v/>
      </c>
      <c r="M506" s="4">
        <f>L506*K506</f>
        <v/>
      </c>
      <c r="N506" s="4">
        <f>SUMIF(Материалы!$A$4:$A$800,SUBSTITUTE(SUBSTITUTE(SUBSTITUTE(B506,"~","~~"),"*","~*"),"?","~?"),Материалы!$S$4:$S$800)</f>
        <v/>
      </c>
      <c r="O506" s="4">
        <f>L506+M506+N506</f>
        <v/>
      </c>
      <c r="P506" s="4">
        <f>IF(SUM($O$4:$O$672)=0,0,Косвенные!$C$9*O506/SUM($O$4:$O$672))</f>
        <v/>
      </c>
      <c r="Q506" s="4">
        <f>G506*D506+P506</f>
        <v/>
      </c>
      <c r="R506" s="4">
        <f>IF(D506=0,0,Q506/D506)</f>
        <v/>
      </c>
      <c r="S506" s="4">
        <f>IF(D506=0,0,SUMIF(Материалы!$A$4:$A$800,SUBSTITUTE(SUBSTITUTE(SUBSTITUTE(B506,"~","~~"),"*","~*"),"?","~?"),Материалы!$T$4:$T$800)/D506)</f>
        <v/>
      </c>
      <c r="T506" s="4">
        <f>R506+S506</f>
        <v/>
      </c>
      <c r="U506" s="4">
        <f>I506*D506</f>
        <v/>
      </c>
    </row>
    <row r="507" ht="22" customHeight="1">
      <c r="A507" s="9" t="inlineStr"/>
      <c r="B507" s="13" t="inlineStr">
        <is>
          <t xml:space="preserve">505. Предоставление ДГУ 40-80 кВт (подключение установки и ее функционирования, в т.ч. ГСМ), до 5 суток, цена за час </t>
        </is>
      </c>
      <c r="C507" s="9" t="inlineStr">
        <is>
          <t>маш.ч</t>
        </is>
      </c>
      <c r="D507" s="4">
        <f>IF('Форма'!G505="","",'Форма'!G505)</f>
        <v/>
      </c>
      <c r="E507" s="9" t="inlineStr">
        <is>
          <t>нет в тарификаторе</t>
        </is>
      </c>
      <c r="F507" s="9" t="inlineStr">
        <is>
          <t>ELM</t>
        </is>
      </c>
      <c r="G507" s="10" t="n">
        <v>2800</v>
      </c>
      <c r="H507" s="10" t="n">
        <v>2100</v>
      </c>
      <c r="I507" s="10" t="n">
        <v>1</v>
      </c>
      <c r="J507" s="9" t="inlineStr"/>
      <c r="K507" s="7">
        <f>IF(F507="",0,IFERROR(VLOOKUP(F507,Расходники!$A$4:$B$23,2,FALSE),0))</f>
        <v/>
      </c>
      <c r="L507" s="4">
        <f>H507*D507</f>
        <v/>
      </c>
      <c r="M507" s="4">
        <f>L507*K507</f>
        <v/>
      </c>
      <c r="N507" s="4">
        <f>SUMIF(Материалы!$A$4:$A$800,SUBSTITUTE(SUBSTITUTE(SUBSTITUTE(B507,"~","~~"),"*","~*"),"?","~?"),Материалы!$S$4:$S$800)</f>
        <v/>
      </c>
      <c r="O507" s="4">
        <f>L507+M507+N507</f>
        <v/>
      </c>
      <c r="P507" s="4">
        <f>IF(SUM($O$4:$O$672)=0,0,Косвенные!$C$9*O507/SUM($O$4:$O$672))</f>
        <v/>
      </c>
      <c r="Q507" s="4">
        <f>G507*D507+P507</f>
        <v/>
      </c>
      <c r="R507" s="4">
        <f>IF(D507=0,0,Q507/D507)</f>
        <v/>
      </c>
      <c r="S507" s="4">
        <f>IF(D507=0,0,SUMIF(Материалы!$A$4:$A$800,SUBSTITUTE(SUBSTITUTE(SUBSTITUTE(B507,"~","~~"),"*","~*"),"?","~?"),Материалы!$T$4:$T$800)/D507)</f>
        <v/>
      </c>
      <c r="T507" s="4">
        <f>R507+S507</f>
        <v/>
      </c>
      <c r="U507" s="4">
        <f>I507*D507</f>
        <v/>
      </c>
    </row>
    <row r="508" ht="22" customHeight="1">
      <c r="A508" s="9" t="inlineStr">
        <is>
          <t>14.11</t>
        </is>
      </c>
      <c r="B508" s="13" t="inlineStr">
        <is>
          <t>506. мелкий ремонт МК (сборка разборка) и прочее</t>
        </is>
      </c>
      <c r="C508" s="9" t="inlineStr">
        <is>
          <t>чел.час</t>
        </is>
      </c>
      <c r="D508" s="4">
        <f>IF('Форма'!G506="","",'Форма'!G506)</f>
        <v/>
      </c>
      <c r="E508" s="9" t="inlineStr">
        <is>
          <t>точно</t>
        </is>
      </c>
      <c r="F508" s="9" t="inlineStr">
        <is>
          <t>SVA</t>
        </is>
      </c>
      <c r="G508" s="10" t="n">
        <v>1955</v>
      </c>
      <c r="H508" s="10" t="n">
        <v>1208</v>
      </c>
      <c r="I508" s="10" t="n">
        <v>1</v>
      </c>
      <c r="J508" s="9" t="inlineStr"/>
      <c r="K508" s="7">
        <f>IF(F508="",0,IFERROR(VLOOKUP(F508,Расходники!$A$4:$B$23,2,FALSE),0))</f>
        <v/>
      </c>
      <c r="L508" s="4">
        <f>H508*D508</f>
        <v/>
      </c>
      <c r="M508" s="4">
        <f>L508*K508</f>
        <v/>
      </c>
      <c r="N508" s="4">
        <f>SUMIF(Материалы!$A$4:$A$800,SUBSTITUTE(SUBSTITUTE(SUBSTITUTE(B508,"~","~~"),"*","~*"),"?","~?"),Материалы!$S$4:$S$800)</f>
        <v/>
      </c>
      <c r="O508" s="4">
        <f>L508+M508+N508</f>
        <v/>
      </c>
      <c r="P508" s="4">
        <f>IF(SUM($O$4:$O$672)=0,0,Косвенные!$C$9*O508/SUM($O$4:$O$672))</f>
        <v/>
      </c>
      <c r="Q508" s="4">
        <f>G508*D508+P508</f>
        <v/>
      </c>
      <c r="R508" s="4">
        <f>IF(D508=0,0,Q508/D508)</f>
        <v/>
      </c>
      <c r="S508" s="4">
        <f>IF(D508=0,0,SUMIF(Материалы!$A$4:$A$800,SUBSTITUTE(SUBSTITUTE(SUBSTITUTE(B508,"~","~~"),"*","~*"),"?","~?"),Материалы!$T$4:$T$800)/D508)</f>
        <v/>
      </c>
      <c r="T508" s="4">
        <f>R508+S508</f>
        <v/>
      </c>
      <c r="U508" s="4">
        <f>I508*D508</f>
        <v/>
      </c>
    </row>
    <row r="509" ht="22" customHeight="1">
      <c r="A509" s="9" t="inlineStr"/>
      <c r="B509" s="13" t="inlineStr">
        <is>
          <t>507. Колесо промышленное поворотное с площадкой SC 55 (125 мм; 100 кг) включая метизы для крепления</t>
        </is>
      </c>
      <c r="C509" s="9" t="inlineStr">
        <is>
          <t>шт.</t>
        </is>
      </c>
      <c r="D509" s="4">
        <f>IF('Форма'!G507="","",'Форма'!G507)</f>
        <v/>
      </c>
      <c r="E509" s="9" t="inlineStr">
        <is>
          <t>нет в тарификаторе</t>
        </is>
      </c>
      <c r="F509" s="9" t="inlineStr">
        <is>
          <t>PSM</t>
        </is>
      </c>
      <c r="G509" s="10" t="n">
        <v>1444</v>
      </c>
      <c r="H509" s="10" t="n">
        <v>720</v>
      </c>
      <c r="I509" s="10" t="n">
        <v>0.4</v>
      </c>
      <c r="J509" s="9" t="inlineStr"/>
      <c r="K509" s="7">
        <f>IF(F509="",0,IFERROR(VLOOKUP(F509,Расходники!$A$4:$B$23,2,FALSE),0))</f>
        <v/>
      </c>
      <c r="L509" s="4">
        <f>H509*D509</f>
        <v/>
      </c>
      <c r="M509" s="4">
        <f>L509*K509</f>
        <v/>
      </c>
      <c r="N509" s="4">
        <f>SUMIF(Материалы!$A$4:$A$800,SUBSTITUTE(SUBSTITUTE(SUBSTITUTE(B509,"~","~~"),"*","~*"),"?","~?"),Материалы!$S$4:$S$800)</f>
        <v/>
      </c>
      <c r="O509" s="4">
        <f>L509+M509+N509</f>
        <v/>
      </c>
      <c r="P509" s="4">
        <f>IF(SUM($O$4:$O$672)=0,0,Косвенные!$C$9*O509/SUM($O$4:$O$672))</f>
        <v/>
      </c>
      <c r="Q509" s="4">
        <f>G509*D509+P509</f>
        <v/>
      </c>
      <c r="R509" s="4">
        <f>IF(D509=0,0,Q509/D509)</f>
        <v/>
      </c>
      <c r="S509" s="4">
        <f>IF(D509=0,0,SUMIF(Материалы!$A$4:$A$800,SUBSTITUTE(SUBSTITUTE(SUBSTITUTE(B509,"~","~~"),"*","~*"),"?","~?"),Материалы!$T$4:$T$800)/D509)</f>
        <v/>
      </c>
      <c r="T509" s="4">
        <f>R509+S509</f>
        <v/>
      </c>
      <c r="U509" s="4">
        <f>I509*D509</f>
        <v/>
      </c>
    </row>
    <row r="510" ht="22" customHeight="1">
      <c r="A510" s="9" t="inlineStr"/>
      <c r="B510" s="13" t="inlineStr">
        <is>
          <t>508. Колесо промышленное поворотное с площадкой SC 80 (200 мм; 185 кг)включая метизы для крепления</t>
        </is>
      </c>
      <c r="C510" s="9" t="inlineStr">
        <is>
          <t>шт.</t>
        </is>
      </c>
      <c r="D510" s="4">
        <f>IF('Форма'!G508="","",'Форма'!G508)</f>
        <v/>
      </c>
      <c r="E510" s="9" t="inlineStr">
        <is>
          <t>нет в тарификаторе</t>
        </is>
      </c>
      <c r="F510" s="9" t="inlineStr">
        <is>
          <t>PSM</t>
        </is>
      </c>
      <c r="G510" s="10" t="n">
        <v>1444</v>
      </c>
      <c r="H510" s="10" t="n">
        <v>720</v>
      </c>
      <c r="I510" s="10" t="n">
        <v>0.4</v>
      </c>
      <c r="J510" s="9" t="inlineStr"/>
      <c r="K510" s="7">
        <f>IF(F510="",0,IFERROR(VLOOKUP(F510,Расходники!$A$4:$B$23,2,FALSE),0))</f>
        <v/>
      </c>
      <c r="L510" s="4">
        <f>H510*D510</f>
        <v/>
      </c>
      <c r="M510" s="4">
        <f>L510*K510</f>
        <v/>
      </c>
      <c r="N510" s="4">
        <f>SUMIF(Материалы!$A$4:$A$800,SUBSTITUTE(SUBSTITUTE(SUBSTITUTE(B510,"~","~~"),"*","~*"),"?","~?"),Материалы!$S$4:$S$800)</f>
        <v/>
      </c>
      <c r="O510" s="4">
        <f>L510+M510+N510</f>
        <v/>
      </c>
      <c r="P510" s="4">
        <f>IF(SUM($O$4:$O$672)=0,0,Косвенные!$C$9*O510/SUM($O$4:$O$672))</f>
        <v/>
      </c>
      <c r="Q510" s="4">
        <f>G510*D510+P510</f>
        <v/>
      </c>
      <c r="R510" s="4">
        <f>IF(D510=0,0,Q510/D510)</f>
        <v/>
      </c>
      <c r="S510" s="4">
        <f>IF(D510=0,0,SUMIF(Материалы!$A$4:$A$800,SUBSTITUTE(SUBSTITUTE(SUBSTITUTE(B510,"~","~~"),"*","~*"),"?","~?"),Материалы!$T$4:$T$800)/D510)</f>
        <v/>
      </c>
      <c r="T510" s="4">
        <f>R510+S510</f>
        <v/>
      </c>
      <c r="U510" s="4">
        <f>I510*D510</f>
        <v/>
      </c>
    </row>
    <row r="511" ht="22" customHeight="1">
      <c r="A511" s="9" t="inlineStr"/>
      <c r="B511" s="13" t="inlineStr">
        <is>
          <t>509. Колесо промышленное поворотное с подшипником 75мм резина/сталь Gigant G-04-09-13включая метизы для крепления</t>
        </is>
      </c>
      <c r="C511" s="9" t="inlineStr">
        <is>
          <t>шт.</t>
        </is>
      </c>
      <c r="D511" s="4">
        <f>IF('Форма'!G509="","",'Форма'!G509)</f>
        <v/>
      </c>
      <c r="E511" s="9" t="inlineStr">
        <is>
          <t>нет в тарификаторе</t>
        </is>
      </c>
      <c r="F511" s="9" t="inlineStr">
        <is>
          <t>PSM</t>
        </is>
      </c>
      <c r="G511" s="10" t="n">
        <v>1444</v>
      </c>
      <c r="H511" s="10" t="n">
        <v>720</v>
      </c>
      <c r="I511" s="10" t="n">
        <v>0.4</v>
      </c>
      <c r="J511" s="9" t="inlineStr"/>
      <c r="K511" s="7">
        <f>IF(F511="",0,IFERROR(VLOOKUP(F511,Расходники!$A$4:$B$23,2,FALSE),0))</f>
        <v/>
      </c>
      <c r="L511" s="4">
        <f>H511*D511</f>
        <v/>
      </c>
      <c r="M511" s="4">
        <f>L511*K511</f>
        <v/>
      </c>
      <c r="N511" s="4">
        <f>SUMIF(Материалы!$A$4:$A$800,SUBSTITUTE(SUBSTITUTE(SUBSTITUTE(B511,"~","~~"),"*","~*"),"?","~?"),Материалы!$S$4:$S$800)</f>
        <v/>
      </c>
      <c r="O511" s="4">
        <f>L511+M511+N511</f>
        <v/>
      </c>
      <c r="P511" s="4">
        <f>IF(SUM($O$4:$O$672)=0,0,Косвенные!$C$9*O511/SUM($O$4:$O$672))</f>
        <v/>
      </c>
      <c r="Q511" s="4">
        <f>G511*D511+P511</f>
        <v/>
      </c>
      <c r="R511" s="4">
        <f>IF(D511=0,0,Q511/D511)</f>
        <v/>
      </c>
      <c r="S511" s="4">
        <f>IF(D511=0,0,SUMIF(Материалы!$A$4:$A$800,SUBSTITUTE(SUBSTITUTE(SUBSTITUTE(B511,"~","~~"),"*","~*"),"?","~?"),Материалы!$T$4:$T$800)/D511)</f>
        <v/>
      </c>
      <c r="T511" s="4">
        <f>R511+S511</f>
        <v/>
      </c>
      <c r="U511" s="4">
        <f>I511*D511</f>
        <v/>
      </c>
    </row>
    <row r="512" ht="22" customHeight="1">
      <c r="A512" s="9" t="inlineStr"/>
      <c r="B512" s="13" t="inlineStr">
        <is>
          <t>510. Колесо промышленное поворотное с подшипником 200мм резина/сталь Gigant G-04-09-17включая метизы для крепления</t>
        </is>
      </c>
      <c r="C512" s="9" t="inlineStr">
        <is>
          <t>шт</t>
        </is>
      </c>
      <c r="D512" s="4">
        <f>IF('Форма'!G510="","",'Форма'!G510)</f>
        <v/>
      </c>
      <c r="E512" s="9" t="inlineStr">
        <is>
          <t>нет в тарификаторе</t>
        </is>
      </c>
      <c r="F512" s="9" t="inlineStr">
        <is>
          <t>PSM</t>
        </is>
      </c>
      <c r="G512" s="10" t="n">
        <v>1444</v>
      </c>
      <c r="H512" s="10" t="n">
        <v>720</v>
      </c>
      <c r="I512" s="10" t="n">
        <v>0.4</v>
      </c>
      <c r="J512" s="9" t="inlineStr"/>
      <c r="K512" s="7">
        <f>IF(F512="",0,IFERROR(VLOOKUP(F512,Расходники!$A$4:$B$23,2,FALSE),0))</f>
        <v/>
      </c>
      <c r="L512" s="4">
        <f>H512*D512</f>
        <v/>
      </c>
      <c r="M512" s="4">
        <f>L512*K512</f>
        <v/>
      </c>
      <c r="N512" s="4">
        <f>SUMIF(Материалы!$A$4:$A$800,SUBSTITUTE(SUBSTITUTE(SUBSTITUTE(B512,"~","~~"),"*","~*"),"?","~?"),Материалы!$S$4:$S$800)</f>
        <v/>
      </c>
      <c r="O512" s="4">
        <f>L512+M512+N512</f>
        <v/>
      </c>
      <c r="P512" s="4">
        <f>IF(SUM($O$4:$O$672)=0,0,Косвенные!$C$9*O512/SUM($O$4:$O$672))</f>
        <v/>
      </c>
      <c r="Q512" s="4">
        <f>G512*D512+P512</f>
        <v/>
      </c>
      <c r="R512" s="4">
        <f>IF(D512=0,0,Q512/D512)</f>
        <v/>
      </c>
      <c r="S512" s="4">
        <f>IF(D512=0,0,SUMIF(Материалы!$A$4:$A$800,SUBSTITUTE(SUBSTITUTE(SUBSTITUTE(B512,"~","~~"),"*","~*"),"?","~?"),Материалы!$T$4:$T$800)/D512)</f>
        <v/>
      </c>
      <c r="T512" s="4">
        <f>R512+S512</f>
        <v/>
      </c>
      <c r="U512" s="4">
        <f>I512*D512</f>
        <v/>
      </c>
    </row>
    <row r="513" ht="22" customHeight="1">
      <c r="A513" s="9" t="inlineStr"/>
      <c r="B513" s="13" t="inlineStr">
        <is>
          <t>511. Демонтаж пленума/решетки распределительной, КСД</t>
        </is>
      </c>
      <c r="C513" s="9" t="inlineStr">
        <is>
          <t>шт.</t>
        </is>
      </c>
      <c r="D513" s="4">
        <f>IF('Форма'!G511="","",'Форма'!G511)</f>
        <v/>
      </c>
      <c r="E513" s="9" t="inlineStr">
        <is>
          <t>нет в тарификаторе</t>
        </is>
      </c>
      <c r="F513" s="9" t="inlineStr">
        <is>
          <t>RAZ</t>
        </is>
      </c>
      <c r="G513" s="10" t="n">
        <v>570</v>
      </c>
      <c r="H513" s="10" t="n">
        <v>330</v>
      </c>
      <c r="I513" s="10" t="n">
        <v>0.5</v>
      </c>
      <c r="J513" s="9" t="inlineStr"/>
      <c r="K513" s="7">
        <f>IF(F513="",0,IFERROR(VLOOKUP(F513,Расходники!$A$4:$B$23,2,FALSE),0))</f>
        <v/>
      </c>
      <c r="L513" s="4">
        <f>H513*D513</f>
        <v/>
      </c>
      <c r="M513" s="4">
        <f>L513*K513</f>
        <v/>
      </c>
      <c r="N513" s="4">
        <f>SUMIF(Материалы!$A$4:$A$800,SUBSTITUTE(SUBSTITUTE(SUBSTITUTE(B513,"~","~~"),"*","~*"),"?","~?"),Материалы!$S$4:$S$800)</f>
        <v/>
      </c>
      <c r="O513" s="4">
        <f>L513+M513+N513</f>
        <v/>
      </c>
      <c r="P513" s="4">
        <f>IF(SUM($O$4:$O$672)=0,0,Косвенные!$C$9*O513/SUM($O$4:$O$672))</f>
        <v/>
      </c>
      <c r="Q513" s="4">
        <f>G513*D513+P513</f>
        <v/>
      </c>
      <c r="R513" s="4">
        <f>IF(D513=0,0,Q513/D513)</f>
        <v/>
      </c>
      <c r="S513" s="4">
        <f>IF(D513=0,0,SUMIF(Материалы!$A$4:$A$800,SUBSTITUTE(SUBSTITUTE(SUBSTITUTE(B513,"~","~~"),"*","~*"),"?","~?"),Материалы!$T$4:$T$800)/D513)</f>
        <v/>
      </c>
      <c r="T513" s="4">
        <f>R513+S513</f>
        <v/>
      </c>
      <c r="U513" s="4">
        <f>I513*D513</f>
        <v/>
      </c>
    </row>
    <row r="514" ht="22" customHeight="1">
      <c r="A514" s="9" t="inlineStr"/>
      <c r="B514" s="13" t="inlineStr">
        <is>
          <t>512. Демонтаж воздуховодов из стали и алюминия, в том числе с изоляцией</t>
        </is>
      </c>
      <c r="C514" s="9" t="inlineStr">
        <is>
          <t>п.м</t>
        </is>
      </c>
      <c r="D514" s="4">
        <f>IF('Форма'!G512="","",'Форма'!G512)</f>
        <v/>
      </c>
      <c r="E514" s="9" t="inlineStr">
        <is>
          <t>нет в тарификаторе</t>
        </is>
      </c>
      <c r="F514" s="9" t="inlineStr">
        <is>
          <t>RAZ</t>
        </is>
      </c>
      <c r="G514" s="10" t="n">
        <v>91.2</v>
      </c>
      <c r="H514" s="10" t="n">
        <v>52.8</v>
      </c>
      <c r="I514" s="10" t="n">
        <v>0.08</v>
      </c>
      <c r="J514" s="9" t="inlineStr"/>
      <c r="K514" s="7">
        <f>IF(F514="",0,IFERROR(VLOOKUP(F514,Расходники!$A$4:$B$23,2,FALSE),0))</f>
        <v/>
      </c>
      <c r="L514" s="4">
        <f>H514*D514</f>
        <v/>
      </c>
      <c r="M514" s="4">
        <f>L514*K514</f>
        <v/>
      </c>
      <c r="N514" s="4">
        <f>SUMIF(Материалы!$A$4:$A$800,SUBSTITUTE(SUBSTITUTE(SUBSTITUTE(B514,"~","~~"),"*","~*"),"?","~?"),Материалы!$S$4:$S$800)</f>
        <v/>
      </c>
      <c r="O514" s="4">
        <f>L514+M514+N514</f>
        <v/>
      </c>
      <c r="P514" s="4">
        <f>IF(SUM($O$4:$O$672)=0,0,Косвенные!$C$9*O514/SUM($O$4:$O$672))</f>
        <v/>
      </c>
      <c r="Q514" s="4">
        <f>G514*D514+P514</f>
        <v/>
      </c>
      <c r="R514" s="4">
        <f>IF(D514=0,0,Q514/D514)</f>
        <v/>
      </c>
      <c r="S514" s="4">
        <f>IF(D514=0,0,SUMIF(Материалы!$A$4:$A$800,SUBSTITUTE(SUBSTITUTE(SUBSTITUTE(B514,"~","~~"),"*","~*"),"?","~?"),Материалы!$T$4:$T$800)/D514)</f>
        <v/>
      </c>
      <c r="T514" s="4">
        <f>R514+S514</f>
        <v/>
      </c>
      <c r="U514" s="4">
        <f>I514*D514</f>
        <v/>
      </c>
    </row>
    <row r="515" ht="22" customHeight="1">
      <c r="A515" s="9" t="inlineStr"/>
      <c r="B515" s="13" t="inlineStr">
        <is>
          <t>513. Демонтаж гибких воздуховодов</t>
        </is>
      </c>
      <c r="C515" s="9" t="inlineStr">
        <is>
          <t>п.м</t>
        </is>
      </c>
      <c r="D515" s="4">
        <f>IF('Форма'!G513="","",'Форма'!G513)</f>
        <v/>
      </c>
      <c r="E515" s="9" t="inlineStr">
        <is>
          <t>нет в тарификаторе</t>
        </is>
      </c>
      <c r="F515" s="9" t="inlineStr">
        <is>
          <t>RAZ</t>
        </is>
      </c>
      <c r="G515" s="10" t="n">
        <v>91.2</v>
      </c>
      <c r="H515" s="10" t="n">
        <v>52.8</v>
      </c>
      <c r="I515" s="10" t="n">
        <v>0.08</v>
      </c>
      <c r="J515" s="9" t="inlineStr"/>
      <c r="K515" s="7">
        <f>IF(F515="",0,IFERROR(VLOOKUP(F515,Расходники!$A$4:$B$23,2,FALSE),0))</f>
        <v/>
      </c>
      <c r="L515" s="4">
        <f>H515*D515</f>
        <v/>
      </c>
      <c r="M515" s="4">
        <f>L515*K515</f>
        <v/>
      </c>
      <c r="N515" s="4">
        <f>SUMIF(Материалы!$A$4:$A$800,SUBSTITUTE(SUBSTITUTE(SUBSTITUTE(B515,"~","~~"),"*","~*"),"?","~?"),Материалы!$S$4:$S$800)</f>
        <v/>
      </c>
      <c r="O515" s="4">
        <f>L515+M515+N515</f>
        <v/>
      </c>
      <c r="P515" s="4">
        <f>IF(SUM($O$4:$O$672)=0,0,Косвенные!$C$9*O515/SUM($O$4:$O$672))</f>
        <v/>
      </c>
      <c r="Q515" s="4">
        <f>G515*D515+P515</f>
        <v/>
      </c>
      <c r="R515" s="4">
        <f>IF(D515=0,0,Q515/D515)</f>
        <v/>
      </c>
      <c r="S515" s="4">
        <f>IF(D515=0,0,SUMIF(Материалы!$A$4:$A$800,SUBSTITUTE(SUBSTITUTE(SUBSTITUTE(B515,"~","~~"),"*","~*"),"?","~?"),Материалы!$T$4:$T$800)/D515)</f>
        <v/>
      </c>
      <c r="T515" s="4">
        <f>R515+S515</f>
        <v/>
      </c>
      <c r="U515" s="4">
        <f>I515*D515</f>
        <v/>
      </c>
    </row>
    <row r="516" ht="22" customHeight="1">
      <c r="A516" s="9" t="inlineStr"/>
      <c r="B516" s="13" t="inlineStr">
        <is>
          <t>514. Демонтаж диффузоров, анемостатов, дроссель-клапанов</t>
        </is>
      </c>
      <c r="C516" s="9" t="inlineStr">
        <is>
          <t>шт.</t>
        </is>
      </c>
      <c r="D516" s="4">
        <f>IF('Форма'!G514="","",'Форма'!G514)</f>
        <v/>
      </c>
      <c r="E516" s="9" t="inlineStr">
        <is>
          <t>нет в тарификаторе</t>
        </is>
      </c>
      <c r="F516" s="9" t="inlineStr">
        <is>
          <t>ELM</t>
        </is>
      </c>
      <c r="G516" s="10" t="n">
        <v>1463</v>
      </c>
      <c r="H516" s="10" t="n">
        <v>714</v>
      </c>
      <c r="I516" s="10" t="n">
        <v>0.7</v>
      </c>
      <c r="J516" s="9" t="inlineStr"/>
      <c r="K516" s="7">
        <f>IF(F516="",0,IFERROR(VLOOKUP(F516,Расходники!$A$4:$B$23,2,FALSE),0))</f>
        <v/>
      </c>
      <c r="L516" s="4">
        <f>H516*D516</f>
        <v/>
      </c>
      <c r="M516" s="4">
        <f>L516*K516</f>
        <v/>
      </c>
      <c r="N516" s="4">
        <f>SUMIF(Материалы!$A$4:$A$800,SUBSTITUTE(SUBSTITUTE(SUBSTITUTE(B516,"~","~~"),"*","~*"),"?","~?"),Материалы!$S$4:$S$800)</f>
        <v/>
      </c>
      <c r="O516" s="4">
        <f>L516+M516+N516</f>
        <v/>
      </c>
      <c r="P516" s="4">
        <f>IF(SUM($O$4:$O$672)=0,0,Косвенные!$C$9*O516/SUM($O$4:$O$672))</f>
        <v/>
      </c>
      <c r="Q516" s="4">
        <f>G516*D516+P516</f>
        <v/>
      </c>
      <c r="R516" s="4">
        <f>IF(D516=0,0,Q516/D516)</f>
        <v/>
      </c>
      <c r="S516" s="4">
        <f>IF(D516=0,0,SUMIF(Материалы!$A$4:$A$800,SUBSTITUTE(SUBSTITUTE(SUBSTITUTE(B516,"~","~~"),"*","~*"),"?","~?"),Материалы!$T$4:$T$800)/D516)</f>
        <v/>
      </c>
      <c r="T516" s="4">
        <f>R516+S516</f>
        <v/>
      </c>
      <c r="U516" s="4">
        <f>I516*D516</f>
        <v/>
      </c>
    </row>
    <row r="517" ht="22" customHeight="1">
      <c r="A517" s="9" t="inlineStr"/>
      <c r="B517" s="13" t="inlineStr">
        <is>
          <t>515. Демонтаж клапана противопожарного</t>
        </is>
      </c>
      <c r="C517" s="9" t="inlineStr">
        <is>
          <t>шт.</t>
        </is>
      </c>
      <c r="D517" s="4">
        <f>IF('Форма'!G515="","",'Форма'!G515)</f>
        <v/>
      </c>
      <c r="E517" s="9" t="inlineStr">
        <is>
          <t>нет в тарификаторе</t>
        </is>
      </c>
      <c r="F517" s="9" t="inlineStr">
        <is>
          <t>RAZ</t>
        </is>
      </c>
      <c r="G517" s="10" t="n">
        <v>570</v>
      </c>
      <c r="H517" s="10" t="n">
        <v>330</v>
      </c>
      <c r="I517" s="10" t="n">
        <v>0.5</v>
      </c>
      <c r="J517" s="9" t="inlineStr"/>
      <c r="K517" s="7">
        <f>IF(F517="",0,IFERROR(VLOOKUP(F517,Расходники!$A$4:$B$23,2,FALSE),0))</f>
        <v/>
      </c>
      <c r="L517" s="4">
        <f>H517*D517</f>
        <v/>
      </c>
      <c r="M517" s="4">
        <f>L517*K517</f>
        <v/>
      </c>
      <c r="N517" s="4">
        <f>SUMIF(Материалы!$A$4:$A$800,SUBSTITUTE(SUBSTITUTE(SUBSTITUTE(B517,"~","~~"),"*","~*"),"?","~?"),Материалы!$S$4:$S$800)</f>
        <v/>
      </c>
      <c r="O517" s="4">
        <f>L517+M517+N517</f>
        <v/>
      </c>
      <c r="P517" s="4">
        <f>IF(SUM($O$4:$O$672)=0,0,Косвенные!$C$9*O517/SUM($O$4:$O$672))</f>
        <v/>
      </c>
      <c r="Q517" s="4">
        <f>G517*D517+P517</f>
        <v/>
      </c>
      <c r="R517" s="4">
        <f>IF(D517=0,0,Q517/D517)</f>
        <v/>
      </c>
      <c r="S517" s="4">
        <f>IF(D517=0,0,SUMIF(Материалы!$A$4:$A$800,SUBSTITUTE(SUBSTITUTE(SUBSTITUTE(B517,"~","~~"),"*","~*"),"?","~?"),Материалы!$T$4:$T$800)/D517)</f>
        <v/>
      </c>
      <c r="T517" s="4">
        <f>R517+S517</f>
        <v/>
      </c>
      <c r="U517" s="4">
        <f>I517*D517</f>
        <v/>
      </c>
    </row>
    <row r="518" ht="22" customHeight="1">
      <c r="A518" s="9" t="inlineStr"/>
      <c r="B518" s="13" t="inlineStr">
        <is>
          <t>516. Демонтаж трубопроводов с запорной арматурой</t>
        </is>
      </c>
      <c r="C518" s="9" t="inlineStr">
        <is>
          <t>шт.</t>
        </is>
      </c>
      <c r="D518" s="4">
        <f>IF('Форма'!G516="","",'Форма'!G516)</f>
        <v/>
      </c>
      <c r="E518" s="9" t="inlineStr">
        <is>
          <t>нет в тарификаторе</t>
        </is>
      </c>
      <c r="F518" s="9" t="inlineStr">
        <is>
          <t>BET</t>
        </is>
      </c>
      <c r="G518" s="10" t="n">
        <v>136.8</v>
      </c>
      <c r="H518" s="10" t="n">
        <v>76</v>
      </c>
      <c r="I518" s="10" t="n">
        <v>0.08</v>
      </c>
      <c r="J518" s="9" t="inlineStr"/>
      <c r="K518" s="7">
        <f>IF(F518="",0,IFERROR(VLOOKUP(F518,Расходники!$A$4:$B$23,2,FALSE),0))</f>
        <v/>
      </c>
      <c r="L518" s="4">
        <f>H518*D518</f>
        <v/>
      </c>
      <c r="M518" s="4">
        <f>L518*K518</f>
        <v/>
      </c>
      <c r="N518" s="4">
        <f>SUMIF(Материалы!$A$4:$A$800,SUBSTITUTE(SUBSTITUTE(SUBSTITUTE(B518,"~","~~"),"*","~*"),"?","~?"),Материалы!$S$4:$S$800)</f>
        <v/>
      </c>
      <c r="O518" s="4">
        <f>L518+M518+N518</f>
        <v/>
      </c>
      <c r="P518" s="4">
        <f>IF(SUM($O$4:$O$672)=0,0,Косвенные!$C$9*O518/SUM($O$4:$O$672))</f>
        <v/>
      </c>
      <c r="Q518" s="4">
        <f>G518*D518+P518</f>
        <v/>
      </c>
      <c r="R518" s="4">
        <f>IF(D518=0,0,Q518/D518)</f>
        <v/>
      </c>
      <c r="S518" s="4">
        <f>IF(D518=0,0,SUMIF(Материалы!$A$4:$A$800,SUBSTITUTE(SUBSTITUTE(SUBSTITUTE(B518,"~","~~"),"*","~*"),"?","~?"),Материалы!$T$4:$T$800)/D518)</f>
        <v/>
      </c>
      <c r="T518" s="4">
        <f>R518+S518</f>
        <v/>
      </c>
      <c r="U518" s="4">
        <f>I518*D518</f>
        <v/>
      </c>
    </row>
    <row r="519" ht="22" customHeight="1">
      <c r="A519" s="9" t="inlineStr"/>
      <c r="B519" s="13" t="inlineStr">
        <is>
          <t>517. Демонтаж фитингов трубопроводов</t>
        </is>
      </c>
      <c r="C519" s="9" t="inlineStr">
        <is>
          <t>шт.</t>
        </is>
      </c>
      <c r="D519" s="4">
        <f>IF('Форма'!G517="","",'Форма'!G517)</f>
        <v/>
      </c>
      <c r="E519" s="9" t="inlineStr">
        <is>
          <t>нет в тарификаторе</t>
        </is>
      </c>
      <c r="F519" s="9" t="inlineStr">
        <is>
          <t>ELM</t>
        </is>
      </c>
      <c r="G519" s="10" t="n">
        <v>83.59999999999999</v>
      </c>
      <c r="H519" s="10" t="n">
        <v>40.8</v>
      </c>
      <c r="I519" s="10" t="n">
        <v>0.04</v>
      </c>
      <c r="J519" s="9" t="inlineStr"/>
      <c r="K519" s="7">
        <f>IF(F519="",0,IFERROR(VLOOKUP(F519,Расходники!$A$4:$B$23,2,FALSE),0))</f>
        <v/>
      </c>
      <c r="L519" s="4">
        <f>H519*D519</f>
        <v/>
      </c>
      <c r="M519" s="4">
        <f>L519*K519</f>
        <v/>
      </c>
      <c r="N519" s="4">
        <f>SUMIF(Материалы!$A$4:$A$800,SUBSTITUTE(SUBSTITUTE(SUBSTITUTE(B519,"~","~~"),"*","~*"),"?","~?"),Материалы!$S$4:$S$800)</f>
        <v/>
      </c>
      <c r="O519" s="4">
        <f>L519+M519+N519</f>
        <v/>
      </c>
      <c r="P519" s="4">
        <f>IF(SUM($O$4:$O$672)=0,0,Косвенные!$C$9*O519/SUM($O$4:$O$672))</f>
        <v/>
      </c>
      <c r="Q519" s="4">
        <f>G519*D519+P519</f>
        <v/>
      </c>
      <c r="R519" s="4">
        <f>IF(D519=0,0,Q519/D519)</f>
        <v/>
      </c>
      <c r="S519" s="4">
        <f>IF(D519=0,0,SUMIF(Материалы!$A$4:$A$800,SUBSTITUTE(SUBSTITUTE(SUBSTITUTE(B519,"~","~~"),"*","~*"),"?","~?"),Материалы!$T$4:$T$800)/D519)</f>
        <v/>
      </c>
      <c r="T519" s="4">
        <f>R519+S519</f>
        <v/>
      </c>
      <c r="U519" s="4">
        <f>I519*D519</f>
        <v/>
      </c>
    </row>
    <row r="520" ht="22" customHeight="1">
      <c r="A520" s="9" t="inlineStr"/>
      <c r="B520" s="13" t="inlineStr">
        <is>
          <t>518. Демонтаж труб канализационных с фасонными изделиями</t>
        </is>
      </c>
      <c r="C520" s="9" t="inlineStr">
        <is>
          <t>п.м</t>
        </is>
      </c>
      <c r="D520" s="4">
        <f>IF('Форма'!G518="","",'Форма'!G518)</f>
        <v/>
      </c>
      <c r="E520" s="9" t="inlineStr">
        <is>
          <t>нет в тарификаторе</t>
        </is>
      </c>
      <c r="F520" s="9" t="inlineStr">
        <is>
          <t>SAN</t>
        </is>
      </c>
      <c r="G520" s="10" t="n">
        <v>313.5</v>
      </c>
      <c r="H520" s="10" t="n">
        <v>153</v>
      </c>
      <c r="I520" s="10" t="n">
        <v>0.15</v>
      </c>
      <c r="J520" s="9" t="inlineStr"/>
      <c r="K520" s="7">
        <f>IF(F520="",0,IFERROR(VLOOKUP(F520,Расходники!$A$4:$B$23,2,FALSE),0))</f>
        <v/>
      </c>
      <c r="L520" s="4">
        <f>H520*D520</f>
        <v/>
      </c>
      <c r="M520" s="4">
        <f>L520*K520</f>
        <v/>
      </c>
      <c r="N520" s="4">
        <f>SUMIF(Материалы!$A$4:$A$800,SUBSTITUTE(SUBSTITUTE(SUBSTITUTE(B520,"~","~~"),"*","~*"),"?","~?"),Материалы!$S$4:$S$800)</f>
        <v/>
      </c>
      <c r="O520" s="4">
        <f>L520+M520+N520</f>
        <v/>
      </c>
      <c r="P520" s="4">
        <f>IF(SUM($O$4:$O$672)=0,0,Косвенные!$C$9*O520/SUM($O$4:$O$672))</f>
        <v/>
      </c>
      <c r="Q520" s="4">
        <f>G520*D520+P520</f>
        <v/>
      </c>
      <c r="R520" s="4">
        <f>IF(D520=0,0,Q520/D520)</f>
        <v/>
      </c>
      <c r="S520" s="4">
        <f>IF(D520=0,0,SUMIF(Материалы!$A$4:$A$800,SUBSTITUTE(SUBSTITUTE(SUBSTITUTE(B520,"~","~~"),"*","~*"),"?","~?"),Материалы!$T$4:$T$800)/D520)</f>
        <v/>
      </c>
      <c r="T520" s="4">
        <f>R520+S520</f>
        <v/>
      </c>
      <c r="U520" s="4">
        <f>I520*D520</f>
        <v/>
      </c>
    </row>
    <row r="521" ht="22" customHeight="1">
      <c r="A521" s="9" t="inlineStr"/>
      <c r="B521" s="13" t="inlineStr">
        <is>
          <t>519. Демонтаж моек, поддонов</t>
        </is>
      </c>
      <c r="C521" s="9" t="inlineStr">
        <is>
          <t>шт.</t>
        </is>
      </c>
      <c r="D521" s="4">
        <f>IF('Форма'!G519="","",'Форма'!G519)</f>
        <v/>
      </c>
      <c r="E521" s="9" t="inlineStr">
        <is>
          <t>нет в тарификаторе</t>
        </is>
      </c>
      <c r="F521" s="9" t="inlineStr">
        <is>
          <t>RAZ</t>
        </is>
      </c>
      <c r="G521" s="10" t="n">
        <v>570</v>
      </c>
      <c r="H521" s="10" t="n">
        <v>330</v>
      </c>
      <c r="I521" s="10" t="n">
        <v>0.5</v>
      </c>
      <c r="J521" s="9" t="inlineStr"/>
      <c r="K521" s="7">
        <f>IF(F521="",0,IFERROR(VLOOKUP(F521,Расходники!$A$4:$B$23,2,FALSE),0))</f>
        <v/>
      </c>
      <c r="L521" s="4">
        <f>H521*D521</f>
        <v/>
      </c>
      <c r="M521" s="4">
        <f>L521*K521</f>
        <v/>
      </c>
      <c r="N521" s="4">
        <f>SUMIF(Материалы!$A$4:$A$800,SUBSTITUTE(SUBSTITUTE(SUBSTITUTE(B521,"~","~~"),"*","~*"),"?","~?"),Материалы!$S$4:$S$800)</f>
        <v/>
      </c>
      <c r="O521" s="4">
        <f>L521+M521+N521</f>
        <v/>
      </c>
      <c r="P521" s="4">
        <f>IF(SUM($O$4:$O$672)=0,0,Косвенные!$C$9*O521/SUM($O$4:$O$672))</f>
        <v/>
      </c>
      <c r="Q521" s="4">
        <f>G521*D521+P521</f>
        <v/>
      </c>
      <c r="R521" s="4">
        <f>IF(D521=0,0,Q521/D521)</f>
        <v/>
      </c>
      <c r="S521" s="4">
        <f>IF(D521=0,0,SUMIF(Материалы!$A$4:$A$800,SUBSTITUTE(SUBSTITUTE(SUBSTITUTE(B521,"~","~~"),"*","~*"),"?","~?"),Материалы!$T$4:$T$800)/D521)</f>
        <v/>
      </c>
      <c r="T521" s="4">
        <f>R521+S521</f>
        <v/>
      </c>
      <c r="U521" s="4">
        <f>I521*D521</f>
        <v/>
      </c>
    </row>
    <row r="522" ht="22" customHeight="1">
      <c r="A522" s="9" t="inlineStr"/>
      <c r="B522" s="13" t="inlineStr">
        <is>
          <t>520. Демонтаж умывальников, в том числе со смесителями, подводками и запорной арматурой</t>
        </is>
      </c>
      <c r="C522" s="9" t="inlineStr">
        <is>
          <t>шт.</t>
        </is>
      </c>
      <c r="D522" s="4">
        <f>IF('Форма'!G520="","",'Форма'!G520)</f>
        <v/>
      </c>
      <c r="E522" s="9" t="inlineStr">
        <is>
          <t>нет в тарификаторе</t>
        </is>
      </c>
      <c r="F522" s="9" t="inlineStr">
        <is>
          <t>SAN</t>
        </is>
      </c>
      <c r="G522" s="10" t="n">
        <v>2090</v>
      </c>
      <c r="H522" s="10" t="n">
        <v>1020</v>
      </c>
      <c r="I522" s="10" t="n">
        <v>1</v>
      </c>
      <c r="J522" s="9" t="inlineStr"/>
      <c r="K522" s="7">
        <f>IF(F522="",0,IFERROR(VLOOKUP(F522,Расходники!$A$4:$B$23,2,FALSE),0))</f>
        <v/>
      </c>
      <c r="L522" s="4">
        <f>H522*D522</f>
        <v/>
      </c>
      <c r="M522" s="4">
        <f>L522*K522</f>
        <v/>
      </c>
      <c r="N522" s="4">
        <f>SUMIF(Материалы!$A$4:$A$800,SUBSTITUTE(SUBSTITUTE(SUBSTITUTE(B522,"~","~~"),"*","~*"),"?","~?"),Материалы!$S$4:$S$800)</f>
        <v/>
      </c>
      <c r="O522" s="4">
        <f>L522+M522+N522</f>
        <v/>
      </c>
      <c r="P522" s="4">
        <f>IF(SUM($O$4:$O$672)=0,0,Косвенные!$C$9*O522/SUM($O$4:$O$672))</f>
        <v/>
      </c>
      <c r="Q522" s="4">
        <f>G522*D522+P522</f>
        <v/>
      </c>
      <c r="R522" s="4">
        <f>IF(D522=0,0,Q522/D522)</f>
        <v/>
      </c>
      <c r="S522" s="4">
        <f>IF(D522=0,0,SUMIF(Материалы!$A$4:$A$800,SUBSTITUTE(SUBSTITUTE(SUBSTITUTE(B522,"~","~~"),"*","~*"),"?","~?"),Материалы!$T$4:$T$800)/D522)</f>
        <v/>
      </c>
      <c r="T522" s="4">
        <f>R522+S522</f>
        <v/>
      </c>
      <c r="U522" s="4">
        <f>I522*D522</f>
        <v/>
      </c>
    </row>
    <row r="523" ht="22" customHeight="1">
      <c r="A523" s="9" t="inlineStr"/>
      <c r="B523" s="13" t="inlineStr">
        <is>
          <t>521. Демонтаж унитазов и писсуаров, в том числе с запорной арматурой и подводками</t>
        </is>
      </c>
      <c r="C523" s="9" t="inlineStr">
        <is>
          <t>шт.</t>
        </is>
      </c>
      <c r="D523" s="4">
        <f>IF('Форма'!G521="","",'Форма'!G521)</f>
        <v/>
      </c>
      <c r="E523" s="9" t="inlineStr">
        <is>
          <t>нет в тарификаторе</t>
        </is>
      </c>
      <c r="F523" s="9" t="inlineStr">
        <is>
          <t>BET</t>
        </is>
      </c>
      <c r="G523" s="10" t="n">
        <v>136.8</v>
      </c>
      <c r="H523" s="10" t="n">
        <v>76</v>
      </c>
      <c r="I523" s="10" t="n">
        <v>0.08</v>
      </c>
      <c r="J523" s="9" t="inlineStr"/>
      <c r="K523" s="7">
        <f>IF(F523="",0,IFERROR(VLOOKUP(F523,Расходники!$A$4:$B$23,2,FALSE),0))</f>
        <v/>
      </c>
      <c r="L523" s="4">
        <f>H523*D523</f>
        <v/>
      </c>
      <c r="M523" s="4">
        <f>L523*K523</f>
        <v/>
      </c>
      <c r="N523" s="4">
        <f>SUMIF(Материалы!$A$4:$A$800,SUBSTITUTE(SUBSTITUTE(SUBSTITUTE(B523,"~","~~"),"*","~*"),"?","~?"),Материалы!$S$4:$S$800)</f>
        <v/>
      </c>
      <c r="O523" s="4">
        <f>L523+M523+N523</f>
        <v/>
      </c>
      <c r="P523" s="4">
        <f>IF(SUM($O$4:$O$672)=0,0,Косвенные!$C$9*O523/SUM($O$4:$O$672))</f>
        <v/>
      </c>
      <c r="Q523" s="4">
        <f>G523*D523+P523</f>
        <v/>
      </c>
      <c r="R523" s="4">
        <f>IF(D523=0,0,Q523/D523)</f>
        <v/>
      </c>
      <c r="S523" s="4">
        <f>IF(D523=0,0,SUMIF(Материалы!$A$4:$A$800,SUBSTITUTE(SUBSTITUTE(SUBSTITUTE(B523,"~","~~"),"*","~*"),"?","~?"),Материалы!$T$4:$T$800)/D523)</f>
        <v/>
      </c>
      <c r="T523" s="4">
        <f>R523+S523</f>
        <v/>
      </c>
      <c r="U523" s="4">
        <f>I523*D523</f>
        <v/>
      </c>
    </row>
    <row r="524" ht="22" customHeight="1">
      <c r="A524" s="9" t="inlineStr"/>
      <c r="B524" s="13" t="inlineStr">
        <is>
          <t>522. Демонтаж сушки для рук, диспенсеров, зеркал и пр.</t>
        </is>
      </c>
      <c r="C524" s="9" t="inlineStr">
        <is>
          <t>шт.</t>
        </is>
      </c>
      <c r="D524" s="4">
        <f>IF('Форма'!G522="","",'Форма'!G522)</f>
        <v/>
      </c>
      <c r="E524" s="9" t="inlineStr">
        <is>
          <t>нет в тарификаторе</t>
        </is>
      </c>
      <c r="F524" s="9" t="inlineStr">
        <is>
          <t>RAZ</t>
        </is>
      </c>
      <c r="G524" s="10" t="n">
        <v>570</v>
      </c>
      <c r="H524" s="10" t="n">
        <v>330</v>
      </c>
      <c r="I524" s="10" t="n">
        <v>0.5</v>
      </c>
      <c r="J524" s="9" t="inlineStr"/>
      <c r="K524" s="7">
        <f>IF(F524="",0,IFERROR(VLOOKUP(F524,Расходники!$A$4:$B$23,2,FALSE),0))</f>
        <v/>
      </c>
      <c r="L524" s="4">
        <f>H524*D524</f>
        <v/>
      </c>
      <c r="M524" s="4">
        <f>L524*K524</f>
        <v/>
      </c>
      <c r="N524" s="4">
        <f>SUMIF(Материалы!$A$4:$A$800,SUBSTITUTE(SUBSTITUTE(SUBSTITUTE(B524,"~","~~"),"*","~*"),"?","~?"),Материалы!$S$4:$S$800)</f>
        <v/>
      </c>
      <c r="O524" s="4">
        <f>L524+M524+N524</f>
        <v/>
      </c>
      <c r="P524" s="4">
        <f>IF(SUM($O$4:$O$672)=0,0,Косвенные!$C$9*O524/SUM($O$4:$O$672))</f>
        <v/>
      </c>
      <c r="Q524" s="4">
        <f>G524*D524+P524</f>
        <v/>
      </c>
      <c r="R524" s="4">
        <f>IF(D524=0,0,Q524/D524)</f>
        <v/>
      </c>
      <c r="S524" s="4">
        <f>IF(D524=0,0,SUMIF(Материалы!$A$4:$A$800,SUBSTITUTE(SUBSTITUTE(SUBSTITUTE(B524,"~","~~"),"*","~*"),"?","~?"),Материалы!$T$4:$T$800)/D524)</f>
        <v/>
      </c>
      <c r="T524" s="4">
        <f>R524+S524</f>
        <v/>
      </c>
      <c r="U524" s="4">
        <f>I524*D524</f>
        <v/>
      </c>
    </row>
    <row r="525" ht="22" customHeight="1">
      <c r="A525" s="9" t="inlineStr"/>
      <c r="B525" s="13" t="inlineStr">
        <is>
          <t>523. Демонтаж встроенных инсталяций унитазов и писсуаров</t>
        </is>
      </c>
      <c r="C525" s="9" t="inlineStr">
        <is>
          <t>шт.</t>
        </is>
      </c>
      <c r="D525" s="4">
        <f>IF('Форма'!G523="","",'Форма'!G523)</f>
        <v/>
      </c>
      <c r="E525" s="9" t="inlineStr">
        <is>
          <t>нет в тарификаторе</t>
        </is>
      </c>
      <c r="F525" s="9" t="inlineStr">
        <is>
          <t>RAZ</t>
        </is>
      </c>
      <c r="G525" s="10" t="n">
        <v>570</v>
      </c>
      <c r="H525" s="10" t="n">
        <v>330</v>
      </c>
      <c r="I525" s="10" t="n">
        <v>0.5</v>
      </c>
      <c r="J525" s="9" t="inlineStr"/>
      <c r="K525" s="7">
        <f>IF(F525="",0,IFERROR(VLOOKUP(F525,Расходники!$A$4:$B$23,2,FALSE),0))</f>
        <v/>
      </c>
      <c r="L525" s="4">
        <f>H525*D525</f>
        <v/>
      </c>
      <c r="M525" s="4">
        <f>L525*K525</f>
        <v/>
      </c>
      <c r="N525" s="4">
        <f>SUMIF(Материалы!$A$4:$A$800,SUBSTITUTE(SUBSTITUTE(SUBSTITUTE(B525,"~","~~"),"*","~*"),"?","~?"),Материалы!$S$4:$S$800)</f>
        <v/>
      </c>
      <c r="O525" s="4">
        <f>L525+M525+N525</f>
        <v/>
      </c>
      <c r="P525" s="4">
        <f>IF(SUM($O$4:$O$672)=0,0,Косвенные!$C$9*O525/SUM($O$4:$O$672))</f>
        <v/>
      </c>
      <c r="Q525" s="4">
        <f>G525*D525+P525</f>
        <v/>
      </c>
      <c r="R525" s="4">
        <f>IF(D525=0,0,Q525/D525)</f>
        <v/>
      </c>
      <c r="S525" s="4">
        <f>IF(D525=0,0,SUMIF(Материалы!$A$4:$A$800,SUBSTITUTE(SUBSTITUTE(SUBSTITUTE(B525,"~","~~"),"*","~*"),"?","~?"),Материалы!$T$4:$T$800)/D525)</f>
        <v/>
      </c>
      <c r="T525" s="4">
        <f>R525+S525</f>
        <v/>
      </c>
      <c r="U525" s="4">
        <f>I525*D525</f>
        <v/>
      </c>
    </row>
    <row r="526" ht="22" customHeight="1">
      <c r="A526" s="9" t="inlineStr"/>
      <c r="B526" s="13" t="inlineStr">
        <is>
          <t>524. Демонтаж гарнитуры (душ, лейка и т.п.)</t>
        </is>
      </c>
      <c r="C526" s="9" t="inlineStr">
        <is>
          <t>шт.</t>
        </is>
      </c>
      <c r="D526" s="4">
        <f>IF('Форма'!G524="","",'Форма'!G524)</f>
        <v/>
      </c>
      <c r="E526" s="9" t="inlineStr">
        <is>
          <t>нет в тарификаторе</t>
        </is>
      </c>
      <c r="F526" s="9" t="inlineStr">
        <is>
          <t>RAZ</t>
        </is>
      </c>
      <c r="G526" s="10" t="n">
        <v>570</v>
      </c>
      <c r="H526" s="10" t="n">
        <v>330</v>
      </c>
      <c r="I526" s="10" t="n">
        <v>0.5</v>
      </c>
      <c r="J526" s="9" t="inlineStr"/>
      <c r="K526" s="7">
        <f>IF(F526="",0,IFERROR(VLOOKUP(F526,Расходники!$A$4:$B$23,2,FALSE),0))</f>
        <v/>
      </c>
      <c r="L526" s="4">
        <f>H526*D526</f>
        <v/>
      </c>
      <c r="M526" s="4">
        <f>L526*K526</f>
        <v/>
      </c>
      <c r="N526" s="4">
        <f>SUMIF(Материалы!$A$4:$A$800,SUBSTITUTE(SUBSTITUTE(SUBSTITUTE(B526,"~","~~"),"*","~*"),"?","~?"),Материалы!$S$4:$S$800)</f>
        <v/>
      </c>
      <c r="O526" s="4">
        <f>L526+M526+N526</f>
        <v/>
      </c>
      <c r="P526" s="4">
        <f>IF(SUM($O$4:$O$672)=0,0,Косвенные!$C$9*O526/SUM($O$4:$O$672))</f>
        <v/>
      </c>
      <c r="Q526" s="4">
        <f>G526*D526+P526</f>
        <v/>
      </c>
      <c r="R526" s="4">
        <f>IF(D526=0,0,Q526/D526)</f>
        <v/>
      </c>
      <c r="S526" s="4">
        <f>IF(D526=0,0,SUMIF(Материалы!$A$4:$A$800,SUBSTITUTE(SUBSTITUTE(SUBSTITUTE(B526,"~","~~"),"*","~*"),"?","~?"),Материалы!$T$4:$T$800)/D526)</f>
        <v/>
      </c>
      <c r="T526" s="4">
        <f>R526+S526</f>
        <v/>
      </c>
      <c r="U526" s="4">
        <f>I526*D526</f>
        <v/>
      </c>
    </row>
    <row r="527" ht="22" customHeight="1">
      <c r="A527" s="9" t="inlineStr"/>
      <c r="B527" s="13" t="inlineStr">
        <is>
          <t>525. Демонтаж трапов</t>
        </is>
      </c>
      <c r="C527" s="9" t="inlineStr">
        <is>
          <t>шт.</t>
        </is>
      </c>
      <c r="D527" s="4">
        <f>IF('Форма'!G525="","",'Форма'!G525)</f>
        <v/>
      </c>
      <c r="E527" s="9" t="inlineStr">
        <is>
          <t>нет в тарификаторе</t>
        </is>
      </c>
      <c r="F527" s="9" t="inlineStr">
        <is>
          <t>RAZ</t>
        </is>
      </c>
      <c r="G527" s="10" t="n">
        <v>570</v>
      </c>
      <c r="H527" s="10" t="n">
        <v>330</v>
      </c>
      <c r="I527" s="10" t="n">
        <v>0.5</v>
      </c>
      <c r="J527" s="9" t="inlineStr"/>
      <c r="K527" s="7">
        <f>IF(F527="",0,IFERROR(VLOOKUP(F527,Расходники!$A$4:$B$23,2,FALSE),0))</f>
        <v/>
      </c>
      <c r="L527" s="4">
        <f>H527*D527</f>
        <v/>
      </c>
      <c r="M527" s="4">
        <f>L527*K527</f>
        <v/>
      </c>
      <c r="N527" s="4">
        <f>SUMIF(Материалы!$A$4:$A$800,SUBSTITUTE(SUBSTITUTE(SUBSTITUTE(B527,"~","~~"),"*","~*"),"?","~?"),Материалы!$S$4:$S$800)</f>
        <v/>
      </c>
      <c r="O527" s="4">
        <f>L527+M527+N527</f>
        <v/>
      </c>
      <c r="P527" s="4">
        <f>IF(SUM($O$4:$O$672)=0,0,Косвенные!$C$9*O527/SUM($O$4:$O$672))</f>
        <v/>
      </c>
      <c r="Q527" s="4">
        <f>G527*D527+P527</f>
        <v/>
      </c>
      <c r="R527" s="4">
        <f>IF(D527=0,0,Q527/D527)</f>
        <v/>
      </c>
      <c r="S527" s="4">
        <f>IF(D527=0,0,SUMIF(Материалы!$A$4:$A$800,SUBSTITUTE(SUBSTITUTE(SUBSTITUTE(B527,"~","~~"),"*","~*"),"?","~?"),Материалы!$T$4:$T$800)/D527)</f>
        <v/>
      </c>
      <c r="T527" s="4">
        <f>R527+S527</f>
        <v/>
      </c>
      <c r="U527" s="4">
        <f>I527*D527</f>
        <v/>
      </c>
    </row>
    <row r="528" ht="22" customHeight="1">
      <c r="A528" s="9" t="inlineStr"/>
      <c r="B528" s="13" t="inlineStr">
        <is>
          <t>526. Демонтаж радиаторов/конвекторов/тренчхиттеров, включая декоративные элементы/решетки</t>
        </is>
      </c>
      <c r="C528" s="9" t="inlineStr">
        <is>
          <t>шт.</t>
        </is>
      </c>
      <c r="D528" s="4">
        <f>IF('Форма'!G526="","",'Форма'!G526)</f>
        <v/>
      </c>
      <c r="E528" s="9" t="inlineStr">
        <is>
          <t>нет в тарификаторе</t>
        </is>
      </c>
      <c r="F528" s="9" t="inlineStr">
        <is>
          <t>RAZ</t>
        </is>
      </c>
      <c r="G528" s="10" t="n">
        <v>570</v>
      </c>
      <c r="H528" s="10" t="n">
        <v>330</v>
      </c>
      <c r="I528" s="10" t="n">
        <v>0.5</v>
      </c>
      <c r="J528" s="9" t="inlineStr"/>
      <c r="K528" s="7">
        <f>IF(F528="",0,IFERROR(VLOOKUP(F528,Расходники!$A$4:$B$23,2,FALSE),0))</f>
        <v/>
      </c>
      <c r="L528" s="4">
        <f>H528*D528</f>
        <v/>
      </c>
      <c r="M528" s="4">
        <f>L528*K528</f>
        <v/>
      </c>
      <c r="N528" s="4">
        <f>SUMIF(Материалы!$A$4:$A$800,SUBSTITUTE(SUBSTITUTE(SUBSTITUTE(B528,"~","~~"),"*","~*"),"?","~?"),Материалы!$S$4:$S$800)</f>
        <v/>
      </c>
      <c r="O528" s="4">
        <f>L528+M528+N528</f>
        <v/>
      </c>
      <c r="P528" s="4">
        <f>IF(SUM($O$4:$O$672)=0,0,Косвенные!$C$9*O528/SUM($O$4:$O$672))</f>
        <v/>
      </c>
      <c r="Q528" s="4">
        <f>G528*D528+P528</f>
        <v/>
      </c>
      <c r="R528" s="4">
        <f>IF(D528=0,0,Q528/D528)</f>
        <v/>
      </c>
      <c r="S528" s="4">
        <f>IF(D528=0,0,SUMIF(Материалы!$A$4:$A$800,SUBSTITUTE(SUBSTITUTE(SUBSTITUTE(B528,"~","~~"),"*","~*"),"?","~?"),Материалы!$T$4:$T$800)/D528)</f>
        <v/>
      </c>
      <c r="T528" s="4">
        <f>R528+S528</f>
        <v/>
      </c>
      <c r="U528" s="4">
        <f>I528*D528</f>
        <v/>
      </c>
    </row>
    <row r="529" ht="22" customHeight="1">
      <c r="A529" s="9" t="inlineStr"/>
      <c r="B529" s="13" t="inlineStr">
        <is>
          <t>527. Обеспыливание поверхности полов</t>
        </is>
      </c>
      <c r="C529" s="9" t="inlineStr">
        <is>
          <t>м2</t>
        </is>
      </c>
      <c r="D529" s="4">
        <f>IF('Форма'!G527="","",'Форма'!G527)</f>
        <v/>
      </c>
      <c r="E529" s="9" t="inlineStr">
        <is>
          <t>нет в тарификаторе</t>
        </is>
      </c>
      <c r="F529" s="9" t="inlineStr">
        <is>
          <t>RAZ</t>
        </is>
      </c>
      <c r="G529" s="10" t="n">
        <v>228</v>
      </c>
      <c r="H529" s="10" t="n">
        <v>132</v>
      </c>
      <c r="I529" s="10" t="n">
        <v>0.2</v>
      </c>
      <c r="J529" s="9" t="inlineStr"/>
      <c r="K529" s="7">
        <f>IF(F529="",0,IFERROR(VLOOKUP(F529,Расходники!$A$4:$B$23,2,FALSE),0))</f>
        <v/>
      </c>
      <c r="L529" s="4">
        <f>H529*D529</f>
        <v/>
      </c>
      <c r="M529" s="4">
        <f>L529*K529</f>
        <v/>
      </c>
      <c r="N529" s="4">
        <f>SUMIF(Материалы!$A$4:$A$800,SUBSTITUTE(SUBSTITUTE(SUBSTITUTE(B529,"~","~~"),"*","~*"),"?","~?"),Материалы!$S$4:$S$800)</f>
        <v/>
      </c>
      <c r="O529" s="4">
        <f>L529+M529+N529</f>
        <v/>
      </c>
      <c r="P529" s="4">
        <f>IF(SUM($O$4:$O$672)=0,0,Косвенные!$C$9*O529/SUM($O$4:$O$672))</f>
        <v/>
      </c>
      <c r="Q529" s="4">
        <f>G529*D529+P529</f>
        <v/>
      </c>
      <c r="R529" s="4">
        <f>IF(D529=0,0,Q529/D529)</f>
        <v/>
      </c>
      <c r="S529" s="4">
        <f>IF(D529=0,0,SUMIF(Материалы!$A$4:$A$800,SUBSTITUTE(SUBSTITUTE(SUBSTITUTE(B529,"~","~~"),"*","~*"),"?","~?"),Материалы!$T$4:$T$800)/D529)</f>
        <v/>
      </c>
      <c r="T529" s="4">
        <f>R529+S529</f>
        <v/>
      </c>
      <c r="U529" s="4">
        <f>I529*D529</f>
        <v/>
      </c>
    </row>
    <row r="530" ht="22" customHeight="1">
      <c r="A530" s="9" t="inlineStr"/>
      <c r="B530" s="13" t="inlineStr">
        <is>
          <t>528. Устройство выравнивающих слоев из фанеры, оргалита, ДСП, ГКЛ и т.п.</t>
        </is>
      </c>
      <c r="C530" s="9" t="inlineStr">
        <is>
          <t>м2</t>
        </is>
      </c>
      <c r="D530" s="4">
        <f>IF('Форма'!G528="","",'Форма'!G528)</f>
        <v/>
      </c>
      <c r="E530" s="9" t="inlineStr">
        <is>
          <t>аналог (8.2.17) облицовка</t>
        </is>
      </c>
      <c r="F530" s="9" t="inlineStr">
        <is>
          <t>OTD</t>
        </is>
      </c>
      <c r="G530" s="10" t="n">
        <v>598.5</v>
      </c>
      <c r="H530" s="10" t="n">
        <v>315</v>
      </c>
      <c r="I530" s="10" t="n">
        <v>0.35</v>
      </c>
      <c r="J530" s="9" t="inlineStr"/>
      <c r="K530" s="7">
        <f>IF(F530="",0,IFERROR(VLOOKUP(F530,Расходники!$A$4:$B$23,2,FALSE),0))</f>
        <v/>
      </c>
      <c r="L530" s="4">
        <f>H530*D530</f>
        <v/>
      </c>
      <c r="M530" s="4">
        <f>L530*K530</f>
        <v/>
      </c>
      <c r="N530" s="4">
        <f>SUMIF(Материалы!$A$4:$A$800,SUBSTITUTE(SUBSTITUTE(SUBSTITUTE(B530,"~","~~"),"*","~*"),"?","~?"),Материалы!$S$4:$S$800)</f>
        <v/>
      </c>
      <c r="O530" s="4">
        <f>L530+M530+N530</f>
        <v/>
      </c>
      <c r="P530" s="4">
        <f>IF(SUM($O$4:$O$672)=0,0,Косвенные!$C$9*O530/SUM($O$4:$O$672))</f>
        <v/>
      </c>
      <c r="Q530" s="4">
        <f>G530*D530+P530</f>
        <v/>
      </c>
      <c r="R530" s="4">
        <f>IF(D530=0,0,Q530/D530)</f>
        <v/>
      </c>
      <c r="S530" s="4">
        <f>IF(D530=0,0,SUMIF(Материалы!$A$4:$A$800,SUBSTITUTE(SUBSTITUTE(SUBSTITUTE(B530,"~","~~"),"*","~*"),"?","~?"),Материалы!$T$4:$T$800)/D530)</f>
        <v/>
      </c>
      <c r="T530" s="4">
        <f>R530+S530</f>
        <v/>
      </c>
      <c r="U530" s="4">
        <f>I530*D530</f>
        <v/>
      </c>
    </row>
    <row r="531" ht="22" customHeight="1">
      <c r="A531" s="9" t="inlineStr">
        <is>
          <t>7.1.18</t>
        </is>
      </c>
      <c r="B531" s="13" t="inlineStr">
        <is>
          <t xml:space="preserve">529. Устройство цементно-песчанной стяжки </t>
        </is>
      </c>
      <c r="C531" s="9" t="inlineStr">
        <is>
          <t>м2</t>
        </is>
      </c>
      <c r="D531" s="4">
        <f>IF('Форма'!G529="","",'Форма'!G529)</f>
        <v/>
      </c>
      <c r="E531" s="9" t="inlineStr">
        <is>
          <t>точно</t>
        </is>
      </c>
      <c r="F531" s="9" t="inlineStr">
        <is>
          <t>BET</t>
        </is>
      </c>
      <c r="G531" s="10" t="n">
        <v>550</v>
      </c>
      <c r="H531" s="10" t="n">
        <v>330</v>
      </c>
      <c r="I531" s="10" t="n">
        <v>0.3</v>
      </c>
      <c r="J531" s="9" t="inlineStr"/>
      <c r="K531" s="7">
        <f>IF(F531="",0,IFERROR(VLOOKUP(F531,Расходники!$A$4:$B$23,2,FALSE),0))</f>
        <v/>
      </c>
      <c r="L531" s="4">
        <f>H531*D531</f>
        <v/>
      </c>
      <c r="M531" s="4">
        <f>L531*K531</f>
        <v/>
      </c>
      <c r="N531" s="4">
        <f>SUMIF(Материалы!$A$4:$A$800,SUBSTITUTE(SUBSTITUTE(SUBSTITUTE(B531,"~","~~"),"*","~*"),"?","~?"),Материалы!$S$4:$S$800)</f>
        <v/>
      </c>
      <c r="O531" s="4">
        <f>L531+M531+N531</f>
        <v/>
      </c>
      <c r="P531" s="4">
        <f>IF(SUM($O$4:$O$672)=0,0,Косвенные!$C$9*O531/SUM($O$4:$O$672))</f>
        <v/>
      </c>
      <c r="Q531" s="4">
        <f>G531*D531+P531</f>
        <v/>
      </c>
      <c r="R531" s="4">
        <f>IF(D531=0,0,Q531/D531)</f>
        <v/>
      </c>
      <c r="S531" s="4">
        <f>IF(D531=0,0,SUMIF(Материалы!$A$4:$A$800,SUBSTITUTE(SUBSTITUTE(SUBSTITUTE(B531,"~","~~"),"*","~*"),"?","~?"),Материалы!$T$4:$T$800)/D531)</f>
        <v/>
      </c>
      <c r="T531" s="4">
        <f>R531+S531</f>
        <v/>
      </c>
      <c r="U531" s="4">
        <f>I531*D531</f>
        <v/>
      </c>
    </row>
    <row r="532" ht="22" customHeight="1">
      <c r="A532" s="9" t="inlineStr">
        <is>
          <t>7.2.16</t>
        </is>
      </c>
      <c r="B532" s="13" t="inlineStr">
        <is>
          <t xml:space="preserve">530. Устройство наливного пола </t>
        </is>
      </c>
      <c r="C532" s="9" t="inlineStr">
        <is>
          <t>м2</t>
        </is>
      </c>
      <c r="D532" s="4">
        <f>IF('Форма'!G530="","",'Форма'!G530)</f>
        <v/>
      </c>
      <c r="E532" s="9" t="inlineStr">
        <is>
          <t>точно</t>
        </is>
      </c>
      <c r="F532" s="9" t="inlineStr">
        <is>
          <t>PLI</t>
        </is>
      </c>
      <c r="G532" s="10" t="n">
        <v>450</v>
      </c>
      <c r="H532" s="10" t="n">
        <v>270</v>
      </c>
      <c r="I532" s="10" t="n">
        <v>0.15</v>
      </c>
      <c r="J532" s="9" t="inlineStr"/>
      <c r="K532" s="7">
        <f>IF(F532="",0,IFERROR(VLOOKUP(F532,Расходники!$A$4:$B$23,2,FALSE),0))</f>
        <v/>
      </c>
      <c r="L532" s="4">
        <f>H532*D532</f>
        <v/>
      </c>
      <c r="M532" s="4">
        <f>L532*K532</f>
        <v/>
      </c>
      <c r="N532" s="4">
        <f>SUMIF(Материалы!$A$4:$A$800,SUBSTITUTE(SUBSTITUTE(SUBSTITUTE(B532,"~","~~"),"*","~*"),"?","~?"),Материалы!$S$4:$S$800)</f>
        <v/>
      </c>
      <c r="O532" s="4">
        <f>L532+M532+N532</f>
        <v/>
      </c>
      <c r="P532" s="4">
        <f>IF(SUM($O$4:$O$672)=0,0,Косвенные!$C$9*O532/SUM($O$4:$O$672))</f>
        <v/>
      </c>
      <c r="Q532" s="4">
        <f>G532*D532+P532</f>
        <v/>
      </c>
      <c r="R532" s="4">
        <f>IF(D532=0,0,Q532/D532)</f>
        <v/>
      </c>
      <c r="S532" s="4">
        <f>IF(D532=0,0,SUMIF(Материалы!$A$4:$A$800,SUBSTITUTE(SUBSTITUTE(SUBSTITUTE(B532,"~","~~"),"*","~*"),"?","~?"),Материалы!$T$4:$T$800)/D532)</f>
        <v/>
      </c>
      <c r="T532" s="4">
        <f>R532+S532</f>
        <v/>
      </c>
      <c r="U532" s="4">
        <f>I532*D532</f>
        <v/>
      </c>
    </row>
    <row r="533" ht="22" customHeight="1">
      <c r="A533" s="9" t="inlineStr">
        <is>
          <t>8.2.N7</t>
        </is>
      </c>
      <c r="B533" s="13" t="inlineStr">
        <is>
          <t>531. Окраска полов  краской по бетону за 2 раза</t>
        </is>
      </c>
      <c r="C533" s="9" t="inlineStr">
        <is>
          <t>м2</t>
        </is>
      </c>
      <c r="D533" s="4">
        <f>IF('Форма'!G531="","",'Форма'!G531)</f>
        <v/>
      </c>
      <c r="E533" s="9" t="inlineStr">
        <is>
          <t>аналог (8.2.N7)</t>
        </is>
      </c>
      <c r="F533" s="9" t="inlineStr">
        <is>
          <t>OTD</t>
        </is>
      </c>
      <c r="G533" s="10" t="n">
        <v>440</v>
      </c>
      <c r="H533" s="10" t="n">
        <v>265</v>
      </c>
      <c r="I533" s="10" t="n">
        <v>0.25</v>
      </c>
      <c r="J533" s="9" t="inlineStr"/>
      <c r="K533" s="7">
        <f>IF(F533="",0,IFERROR(VLOOKUP(F533,Расходники!$A$4:$B$23,2,FALSE),0))</f>
        <v/>
      </c>
      <c r="L533" s="4">
        <f>H533*D533</f>
        <v/>
      </c>
      <c r="M533" s="4">
        <f>L533*K533</f>
        <v/>
      </c>
      <c r="N533" s="4">
        <f>SUMIF(Материалы!$A$4:$A$800,SUBSTITUTE(SUBSTITUTE(SUBSTITUTE(B533,"~","~~"),"*","~*"),"?","~?"),Материалы!$S$4:$S$800)</f>
        <v/>
      </c>
      <c r="O533" s="4">
        <f>L533+M533+N533</f>
        <v/>
      </c>
      <c r="P533" s="4">
        <f>IF(SUM($O$4:$O$672)=0,0,Косвенные!$C$9*O533/SUM($O$4:$O$672))</f>
        <v/>
      </c>
      <c r="Q533" s="4">
        <f>G533*D533+P533</f>
        <v/>
      </c>
      <c r="R533" s="4">
        <f>IF(D533=0,0,Q533/D533)</f>
        <v/>
      </c>
      <c r="S533" s="4">
        <f>IF(D533=0,0,SUMIF(Материалы!$A$4:$A$800,SUBSTITUTE(SUBSTITUTE(SUBSTITUTE(B533,"~","~~"),"*","~*"),"?","~?"),Материалы!$T$4:$T$800)/D533)</f>
        <v/>
      </c>
      <c r="T533" s="4">
        <f>R533+S533</f>
        <v/>
      </c>
      <c r="U533" s="4">
        <f>I533*D533</f>
        <v/>
      </c>
    </row>
    <row r="534" ht="22" customHeight="1">
      <c r="A534" s="9" t="inlineStr">
        <is>
          <t>7.2.25</t>
        </is>
      </c>
      <c r="B534" s="13" t="inlineStr">
        <is>
          <t>532. Устройство покрытия полов плиткой керамической/керамогранит и более плотных материалов</t>
        </is>
      </c>
      <c r="C534" s="9" t="inlineStr">
        <is>
          <t>м2</t>
        </is>
      </c>
      <c r="D534" s="4">
        <f>IF('Форма'!G532="","",'Форма'!G532)</f>
        <v/>
      </c>
      <c r="E534" s="9" t="inlineStr">
        <is>
          <t>точно, плитка отдельной строкой формы</t>
        </is>
      </c>
      <c r="F534" s="9" t="inlineStr">
        <is>
          <t>PLI</t>
        </is>
      </c>
      <c r="G534" s="10" t="n">
        <v>2160</v>
      </c>
      <c r="H534" s="10" t="n">
        <v>1150</v>
      </c>
      <c r="I534" s="10" t="n">
        <v>1.5</v>
      </c>
      <c r="J534" s="9" t="inlineStr">
        <is>
          <t>да</t>
        </is>
      </c>
      <c r="K534" s="7">
        <f>IF(F534="",0,IFERROR(VLOOKUP(F534,Расходники!$A$4:$B$23,2,FALSE),0))</f>
        <v/>
      </c>
      <c r="L534" s="4">
        <f>H534*D534</f>
        <v/>
      </c>
      <c r="M534" s="4">
        <f>L534*K534</f>
        <v/>
      </c>
      <c r="N534" s="4">
        <f>SUMIF(Материалы!$A$4:$A$800,SUBSTITUTE(SUBSTITUTE(SUBSTITUTE(B534,"~","~~"),"*","~*"),"?","~?"),Материалы!$S$4:$S$800)</f>
        <v/>
      </c>
      <c r="O534" s="4">
        <f>L534+M534+N534</f>
        <v/>
      </c>
      <c r="P534" s="4">
        <f>IF(SUM($O$4:$O$672)=0,0,Косвенные!$C$9*O534/SUM($O$4:$O$672))</f>
        <v/>
      </c>
      <c r="Q534" s="4">
        <f>G534*D534+P534</f>
        <v/>
      </c>
      <c r="R534" s="4">
        <f>IF(D534=0,0,Q534/D534)</f>
        <v/>
      </c>
      <c r="S534" s="4">
        <f>IF(D534=0,0,SUMIF(Материалы!$A$4:$A$800,SUBSTITUTE(SUBSTITUTE(SUBSTITUTE(B534,"~","~~"),"*","~*"),"?","~?"),Материалы!$T$4:$T$800)/D534)</f>
        <v/>
      </c>
      <c r="T534" s="4">
        <f>R534+S534</f>
        <v/>
      </c>
      <c r="U534" s="4">
        <f>I534*D534</f>
        <v/>
      </c>
    </row>
    <row r="535" ht="22" customHeight="1">
      <c r="A535" s="9" t="inlineStr">
        <is>
          <t>7.2.21</t>
        </is>
      </c>
      <c r="B535" s="13" t="inlineStr">
        <is>
          <t xml:space="preserve">533. Устройство покрытия из кварцвиниловой ПВХ плитки </t>
        </is>
      </c>
      <c r="C535" s="9" t="inlineStr">
        <is>
          <t>м2</t>
        </is>
      </c>
      <c r="D535" s="4">
        <f>IF('Форма'!G533="","",'Форма'!G533)</f>
        <v/>
      </c>
      <c r="E535" s="9" t="inlineStr">
        <is>
          <t>точно</t>
        </is>
      </c>
      <c r="F535" s="9" t="inlineStr">
        <is>
          <t>PLI</t>
        </is>
      </c>
      <c r="G535" s="10" t="n">
        <v>450</v>
      </c>
      <c r="H535" s="10" t="n">
        <v>270</v>
      </c>
      <c r="I535" s="10" t="n">
        <v>0.25</v>
      </c>
      <c r="J535" s="9" t="inlineStr"/>
      <c r="K535" s="7">
        <f>IF(F535="",0,IFERROR(VLOOKUP(F535,Расходники!$A$4:$B$23,2,FALSE),0))</f>
        <v/>
      </c>
      <c r="L535" s="4">
        <f>H535*D535</f>
        <v/>
      </c>
      <c r="M535" s="4">
        <f>L535*K535</f>
        <v/>
      </c>
      <c r="N535" s="4">
        <f>SUMIF(Материалы!$A$4:$A$800,SUBSTITUTE(SUBSTITUTE(SUBSTITUTE(B535,"~","~~"),"*","~*"),"?","~?"),Материалы!$S$4:$S$800)</f>
        <v/>
      </c>
      <c r="O535" s="4">
        <f>L535+M535+N535</f>
        <v/>
      </c>
      <c r="P535" s="4">
        <f>IF(SUM($O$4:$O$672)=0,0,Косвенные!$C$9*O535/SUM($O$4:$O$672))</f>
        <v/>
      </c>
      <c r="Q535" s="4">
        <f>G535*D535+P535</f>
        <v/>
      </c>
      <c r="R535" s="4">
        <f>IF(D535=0,0,Q535/D535)</f>
        <v/>
      </c>
      <c r="S535" s="4">
        <f>IF(D535=0,0,SUMIF(Материалы!$A$4:$A$800,SUBSTITUTE(SUBSTITUTE(SUBSTITUTE(B535,"~","~~"),"*","~*"),"?","~?"),Материалы!$T$4:$T$800)/D535)</f>
        <v/>
      </c>
      <c r="T535" s="4">
        <f>R535+S535</f>
        <v/>
      </c>
      <c r="U535" s="4">
        <f>I535*D535</f>
        <v/>
      </c>
    </row>
    <row r="536" ht="22" customHeight="1">
      <c r="A536" s="9" t="inlineStr">
        <is>
          <t>7.2.21</t>
        </is>
      </c>
      <c r="B536" s="13" t="inlineStr">
        <is>
          <t xml:space="preserve">534. Устройство покрытий из линолеума/мормолиума, в том числе антистатического </t>
        </is>
      </c>
      <c r="C536" s="9" t="inlineStr">
        <is>
          <t>м2</t>
        </is>
      </c>
      <c r="D536" s="4">
        <f>IF('Форма'!G534="","",'Форма'!G534)</f>
        <v/>
      </c>
      <c r="E536" s="9" t="inlineStr">
        <is>
          <t>точно</t>
        </is>
      </c>
      <c r="F536" s="9" t="inlineStr">
        <is>
          <t>PLI</t>
        </is>
      </c>
      <c r="G536" s="10" t="n">
        <v>450</v>
      </c>
      <c r="H536" s="10" t="n">
        <v>270</v>
      </c>
      <c r="I536" s="10" t="n">
        <v>0.25</v>
      </c>
      <c r="J536" s="9" t="inlineStr"/>
      <c r="K536" s="7">
        <f>IF(F536="",0,IFERROR(VLOOKUP(F536,Расходники!$A$4:$B$23,2,FALSE),0))</f>
        <v/>
      </c>
      <c r="L536" s="4">
        <f>H536*D536</f>
        <v/>
      </c>
      <c r="M536" s="4">
        <f>L536*K536</f>
        <v/>
      </c>
      <c r="N536" s="4">
        <f>SUMIF(Материалы!$A$4:$A$800,SUBSTITUTE(SUBSTITUTE(SUBSTITUTE(B536,"~","~~"),"*","~*"),"?","~?"),Материалы!$S$4:$S$800)</f>
        <v/>
      </c>
      <c r="O536" s="4">
        <f>L536+M536+N536</f>
        <v/>
      </c>
      <c r="P536" s="4">
        <f>IF(SUM($O$4:$O$672)=0,0,Косвенные!$C$9*O536/SUM($O$4:$O$672))</f>
        <v/>
      </c>
      <c r="Q536" s="4">
        <f>G536*D536+P536</f>
        <v/>
      </c>
      <c r="R536" s="4">
        <f>IF(D536=0,0,Q536/D536)</f>
        <v/>
      </c>
      <c r="S536" s="4">
        <f>IF(D536=0,0,SUMIF(Материалы!$A$4:$A$800,SUBSTITUTE(SUBSTITUTE(SUBSTITUTE(B536,"~","~~"),"*","~*"),"?","~?"),Материалы!$T$4:$T$800)/D536)</f>
        <v/>
      </c>
      <c r="T536" s="4">
        <f>R536+S536</f>
        <v/>
      </c>
      <c r="U536" s="4">
        <f>I536*D536</f>
        <v/>
      </c>
    </row>
    <row r="537" ht="22" customHeight="1">
      <c r="A537" s="9" t="inlineStr"/>
      <c r="B537" s="13" t="inlineStr">
        <is>
          <t xml:space="preserve">535. Устройство порогов </t>
        </is>
      </c>
      <c r="C537" s="9" t="inlineStr">
        <is>
          <t>п.м</t>
        </is>
      </c>
      <c r="D537" s="4">
        <f>IF('Форма'!G535="","",'Форма'!G535)</f>
        <v/>
      </c>
      <c r="E537" s="9" t="inlineStr">
        <is>
          <t>аналог (7.3.9)</t>
        </is>
      </c>
      <c r="F537" s="9" t="inlineStr">
        <is>
          <t>PLI</t>
        </is>
      </c>
      <c r="G537" s="10" t="n">
        <v>380</v>
      </c>
      <c r="H537" s="10" t="n">
        <v>216</v>
      </c>
      <c r="I537" s="10" t="n">
        <v>0.2</v>
      </c>
      <c r="J537" s="9" t="inlineStr"/>
      <c r="K537" s="7">
        <f>IF(F537="",0,IFERROR(VLOOKUP(F537,Расходники!$A$4:$B$23,2,FALSE),0))</f>
        <v/>
      </c>
      <c r="L537" s="4">
        <f>H537*D537</f>
        <v/>
      </c>
      <c r="M537" s="4">
        <f>L537*K537</f>
        <v/>
      </c>
      <c r="N537" s="4">
        <f>SUMIF(Материалы!$A$4:$A$800,SUBSTITUTE(SUBSTITUTE(SUBSTITUTE(B537,"~","~~"),"*","~*"),"?","~?"),Материалы!$S$4:$S$800)</f>
        <v/>
      </c>
      <c r="O537" s="4">
        <f>L537+M537+N537</f>
        <v/>
      </c>
      <c r="P537" s="4">
        <f>IF(SUM($O$4:$O$672)=0,0,Косвенные!$C$9*O537/SUM($O$4:$O$672))</f>
        <v/>
      </c>
      <c r="Q537" s="4">
        <f>G537*D537+P537</f>
        <v/>
      </c>
      <c r="R537" s="4">
        <f>IF(D537=0,0,Q537/D537)</f>
        <v/>
      </c>
      <c r="S537" s="4">
        <f>IF(D537=0,0,SUMIF(Материалы!$A$4:$A$800,SUBSTITUTE(SUBSTITUTE(SUBSTITUTE(B537,"~","~~"),"*","~*"),"?","~?"),Материалы!$T$4:$T$800)/D537)</f>
        <v/>
      </c>
      <c r="T537" s="4">
        <f>R537+S537</f>
        <v/>
      </c>
      <c r="U537" s="4">
        <f>I537*D537</f>
        <v/>
      </c>
    </row>
    <row r="538" ht="22" customHeight="1">
      <c r="A538" s="9" t="inlineStr">
        <is>
          <t>7.3.9</t>
        </is>
      </c>
      <c r="B538" s="13" t="inlineStr">
        <is>
          <t>536. Устройство плинтусов</t>
        </is>
      </c>
      <c r="C538" s="9" t="inlineStr">
        <is>
          <t>п.м</t>
        </is>
      </c>
      <c r="D538" s="4">
        <f>IF('Форма'!G536="","",'Форма'!G536)</f>
        <v/>
      </c>
      <c r="E538" s="9" t="inlineStr">
        <is>
          <t>точно</t>
        </is>
      </c>
      <c r="F538" s="9" t="inlineStr">
        <is>
          <t>PLI</t>
        </is>
      </c>
      <c r="G538" s="10" t="n">
        <v>175</v>
      </c>
      <c r="H538" s="10" t="n">
        <v>105</v>
      </c>
      <c r="I538" s="10" t="n">
        <v>0.1</v>
      </c>
      <c r="J538" s="9" t="inlineStr"/>
      <c r="K538" s="7">
        <f>IF(F538="",0,IFERROR(VLOOKUP(F538,Расходники!$A$4:$B$23,2,FALSE),0))</f>
        <v/>
      </c>
      <c r="L538" s="4">
        <f>H538*D538</f>
        <v/>
      </c>
      <c r="M538" s="4">
        <f>L538*K538</f>
        <v/>
      </c>
      <c r="N538" s="4">
        <f>SUMIF(Материалы!$A$4:$A$800,SUBSTITUTE(SUBSTITUTE(SUBSTITUTE(B538,"~","~~"),"*","~*"),"?","~?"),Материалы!$S$4:$S$800)</f>
        <v/>
      </c>
      <c r="O538" s="4">
        <f>L538+M538+N538</f>
        <v/>
      </c>
      <c r="P538" s="4">
        <f>IF(SUM($O$4:$O$672)=0,0,Косвенные!$C$9*O538/SUM($O$4:$O$672))</f>
        <v/>
      </c>
      <c r="Q538" s="4">
        <f>G538*D538+P538</f>
        <v/>
      </c>
      <c r="R538" s="4">
        <f>IF(D538=0,0,Q538/D538)</f>
        <v/>
      </c>
      <c r="S538" s="4">
        <f>IF(D538=0,0,SUMIF(Материалы!$A$4:$A$800,SUBSTITUTE(SUBSTITUTE(SUBSTITUTE(B538,"~","~~"),"*","~*"),"?","~?"),Материалы!$T$4:$T$800)/D538)</f>
        <v/>
      </c>
      <c r="T538" s="4">
        <f>R538+S538</f>
        <v/>
      </c>
      <c r="U538" s="4">
        <f>I538*D538</f>
        <v/>
      </c>
    </row>
    <row r="539" ht="22" customHeight="1">
      <c r="A539" s="9" t="inlineStr">
        <is>
          <t>7.3.9</t>
        </is>
      </c>
      <c r="B539" s="13" t="inlineStr">
        <is>
          <t>537. Устройство плинтусов деревянных/шпонированных/МДФ/ПВХ</t>
        </is>
      </c>
      <c r="C539" s="9" t="inlineStr">
        <is>
          <t>п.м</t>
        </is>
      </c>
      <c r="D539" s="4">
        <f>IF('Форма'!G537="","",'Форма'!G537)</f>
        <v/>
      </c>
      <c r="E539" s="9" t="inlineStr">
        <is>
          <t>точно</t>
        </is>
      </c>
      <c r="F539" s="9" t="inlineStr">
        <is>
          <t>PLI</t>
        </is>
      </c>
      <c r="G539" s="10" t="n">
        <v>175</v>
      </c>
      <c r="H539" s="10" t="n">
        <v>105</v>
      </c>
      <c r="I539" s="10" t="n">
        <v>0.1</v>
      </c>
      <c r="J539" s="9" t="inlineStr"/>
      <c r="K539" s="7">
        <f>IF(F539="",0,IFERROR(VLOOKUP(F539,Расходники!$A$4:$B$23,2,FALSE),0))</f>
        <v/>
      </c>
      <c r="L539" s="4">
        <f>H539*D539</f>
        <v/>
      </c>
      <c r="M539" s="4">
        <f>L539*K539</f>
        <v/>
      </c>
      <c r="N539" s="4">
        <f>SUMIF(Материалы!$A$4:$A$800,SUBSTITUTE(SUBSTITUTE(SUBSTITUTE(B539,"~","~~"),"*","~*"),"?","~?"),Материалы!$S$4:$S$800)</f>
        <v/>
      </c>
      <c r="O539" s="4">
        <f>L539+M539+N539</f>
        <v/>
      </c>
      <c r="P539" s="4">
        <f>IF(SUM($O$4:$O$672)=0,0,Косвенные!$C$9*O539/SUM($O$4:$O$672))</f>
        <v/>
      </c>
      <c r="Q539" s="4">
        <f>G539*D539+P539</f>
        <v/>
      </c>
      <c r="R539" s="4">
        <f>IF(D539=0,0,Q539/D539)</f>
        <v/>
      </c>
      <c r="S539" s="4">
        <f>IF(D539=0,0,SUMIF(Материалы!$A$4:$A$800,SUBSTITUTE(SUBSTITUTE(SUBSTITUTE(B539,"~","~~"),"*","~*"),"?","~?"),Материалы!$T$4:$T$800)/D539)</f>
        <v/>
      </c>
      <c r="T539" s="4">
        <f>R539+S539</f>
        <v/>
      </c>
      <c r="U539" s="4">
        <f>I539*D539</f>
        <v/>
      </c>
    </row>
    <row r="540" ht="22" customHeight="1">
      <c r="A540" s="9" t="inlineStr"/>
      <c r="B540" s="13" t="inlineStr">
        <is>
          <t>538. Устройство плинтусов из плиток керамических</t>
        </is>
      </c>
      <c r="C540" s="9" t="inlineStr">
        <is>
          <t>п.м</t>
        </is>
      </c>
      <c r="D540" s="4">
        <f>IF('Форма'!G538="","",'Форма'!G538)</f>
        <v/>
      </c>
      <c r="E540" s="9" t="inlineStr">
        <is>
          <t>нет в тарификаторе</t>
        </is>
      </c>
      <c r="F540" s="9" t="inlineStr">
        <is>
          <t>PLI</t>
        </is>
      </c>
      <c r="G540" s="10" t="n">
        <v>760</v>
      </c>
      <c r="H540" s="10" t="n">
        <v>432</v>
      </c>
      <c r="I540" s="10" t="n">
        <v>0.4</v>
      </c>
      <c r="J540" s="9" t="inlineStr"/>
      <c r="K540" s="7">
        <f>IF(F540="",0,IFERROR(VLOOKUP(F540,Расходники!$A$4:$B$23,2,FALSE),0))</f>
        <v/>
      </c>
      <c r="L540" s="4">
        <f>H540*D540</f>
        <v/>
      </c>
      <c r="M540" s="4">
        <f>L540*K540</f>
        <v/>
      </c>
      <c r="N540" s="4">
        <f>SUMIF(Материалы!$A$4:$A$800,SUBSTITUTE(SUBSTITUTE(SUBSTITUTE(B540,"~","~~"),"*","~*"),"?","~?"),Материалы!$S$4:$S$800)</f>
        <v/>
      </c>
      <c r="O540" s="4">
        <f>L540+M540+N540</f>
        <v/>
      </c>
      <c r="P540" s="4">
        <f>IF(SUM($O$4:$O$672)=0,0,Косвенные!$C$9*O540/SUM($O$4:$O$672))</f>
        <v/>
      </c>
      <c r="Q540" s="4">
        <f>G540*D540+P540</f>
        <v/>
      </c>
      <c r="R540" s="4">
        <f>IF(D540=0,0,Q540/D540)</f>
        <v/>
      </c>
      <c r="S540" s="4">
        <f>IF(D540=0,0,SUMIF(Материалы!$A$4:$A$800,SUBSTITUTE(SUBSTITUTE(SUBSTITUTE(B540,"~","~~"),"*","~*"),"?","~?"),Материалы!$T$4:$T$800)/D540)</f>
        <v/>
      </c>
      <c r="T540" s="4">
        <f>R540+S540</f>
        <v/>
      </c>
      <c r="U540" s="4">
        <f>I540*D540</f>
        <v/>
      </c>
    </row>
    <row r="541" ht="22" customHeight="1">
      <c r="A541" s="9" t="inlineStr">
        <is>
          <t>7.3.9</t>
        </is>
      </c>
      <c r="B541" s="13" t="inlineStr">
        <is>
          <t>539. Монтаж плинтуса с вставкой из ковролина/ПВХ</t>
        </is>
      </c>
      <c r="C541" s="9" t="inlineStr">
        <is>
          <t>п.м</t>
        </is>
      </c>
      <c r="D541" s="4">
        <f>IF('Форма'!G539="","",'Форма'!G539)</f>
        <v/>
      </c>
      <c r="E541" s="9" t="inlineStr">
        <is>
          <t>точно</t>
        </is>
      </c>
      <c r="F541" s="9" t="inlineStr">
        <is>
          <t>PLI</t>
        </is>
      </c>
      <c r="G541" s="10" t="n">
        <v>175</v>
      </c>
      <c r="H541" s="10" t="n">
        <v>105</v>
      </c>
      <c r="I541" s="10" t="n">
        <v>0.1</v>
      </c>
      <c r="J541" s="9" t="inlineStr"/>
      <c r="K541" s="7">
        <f>IF(F541="",0,IFERROR(VLOOKUP(F541,Расходники!$A$4:$B$23,2,FALSE),0))</f>
        <v/>
      </c>
      <c r="L541" s="4">
        <f>H541*D541</f>
        <v/>
      </c>
      <c r="M541" s="4">
        <f>L541*K541</f>
        <v/>
      </c>
      <c r="N541" s="4">
        <f>SUMIF(Материалы!$A$4:$A$800,SUBSTITUTE(SUBSTITUTE(SUBSTITUTE(B541,"~","~~"),"*","~*"),"?","~?"),Материалы!$S$4:$S$800)</f>
        <v/>
      </c>
      <c r="O541" s="4">
        <f>L541+M541+N541</f>
        <v/>
      </c>
      <c r="P541" s="4">
        <f>IF(SUM($O$4:$O$672)=0,0,Косвенные!$C$9*O541/SUM($O$4:$O$672))</f>
        <v/>
      </c>
      <c r="Q541" s="4">
        <f>G541*D541+P541</f>
        <v/>
      </c>
      <c r="R541" s="4">
        <f>IF(D541=0,0,Q541/D541)</f>
        <v/>
      </c>
      <c r="S541" s="4">
        <f>IF(D541=0,0,SUMIF(Материалы!$A$4:$A$800,SUBSTITUTE(SUBSTITUTE(SUBSTITUTE(B541,"~","~~"),"*","~*"),"?","~?"),Материалы!$T$4:$T$800)/D541)</f>
        <v/>
      </c>
      <c r="T541" s="4">
        <f>R541+S541</f>
        <v/>
      </c>
      <c r="U541" s="4">
        <f>I541*D541</f>
        <v/>
      </c>
    </row>
    <row r="542" ht="22" customHeight="1">
      <c r="A542" s="9" t="inlineStr">
        <is>
          <t>5.4.5</t>
        </is>
      </c>
      <c r="B542" s="13" t="inlineStr">
        <is>
          <t>540. Установка перемычек проемов</t>
        </is>
      </c>
      <c r="C542" s="9" t="inlineStr">
        <is>
          <t>шт.</t>
        </is>
      </c>
      <c r="D542" s="4">
        <f>IF('Форма'!G540="","",'Форма'!G540)</f>
        <v/>
      </c>
      <c r="E542" s="9" t="inlineStr">
        <is>
          <t>аналог (5.4.5)</t>
        </is>
      </c>
      <c r="F542" s="9" t="inlineStr">
        <is>
          <t>KAM</t>
        </is>
      </c>
      <c r="G542" s="10" t="n">
        <v>800</v>
      </c>
      <c r="H542" s="10" t="n">
        <v>460</v>
      </c>
      <c r="I542" s="10" t="n">
        <v>0.6</v>
      </c>
      <c r="J542" s="9" t="inlineStr"/>
      <c r="K542" s="7">
        <f>IF(F542="",0,IFERROR(VLOOKUP(F542,Расходники!$A$4:$B$23,2,FALSE),0))</f>
        <v/>
      </c>
      <c r="L542" s="4">
        <f>H542*D542</f>
        <v/>
      </c>
      <c r="M542" s="4">
        <f>L542*K542</f>
        <v/>
      </c>
      <c r="N542" s="4">
        <f>SUMIF(Материалы!$A$4:$A$800,SUBSTITUTE(SUBSTITUTE(SUBSTITUTE(B542,"~","~~"),"*","~*"),"?","~?"),Материалы!$S$4:$S$800)</f>
        <v/>
      </c>
      <c r="O542" s="4">
        <f>L542+M542+N542</f>
        <v/>
      </c>
      <c r="P542" s="4">
        <f>IF(SUM($O$4:$O$672)=0,0,Косвенные!$C$9*O542/SUM($O$4:$O$672))</f>
        <v/>
      </c>
      <c r="Q542" s="4">
        <f>G542*D542+P542</f>
        <v/>
      </c>
      <c r="R542" s="4">
        <f>IF(D542=0,0,Q542/D542)</f>
        <v/>
      </c>
      <c r="S542" s="4">
        <f>IF(D542=0,0,SUMIF(Материалы!$A$4:$A$800,SUBSTITUTE(SUBSTITUTE(SUBSTITUTE(B542,"~","~~"),"*","~*"),"?","~?"),Материалы!$T$4:$T$800)/D542)</f>
        <v/>
      </c>
      <c r="T542" s="4">
        <f>R542+S542</f>
        <v/>
      </c>
      <c r="U542" s="4">
        <f>I542*D542</f>
        <v/>
      </c>
    </row>
    <row r="543" ht="22" customHeight="1">
      <c r="A543" s="9" t="inlineStr"/>
      <c r="B543" s="13" t="inlineStr">
        <is>
          <t>541. Устройство закладных для монтажа навесного оборудования/мебели</t>
        </is>
      </c>
      <c r="C543" s="9" t="inlineStr">
        <is>
          <t>шт.</t>
        </is>
      </c>
      <c r="D543" s="4">
        <f>IF('Форма'!G541="","",'Форма'!G541)</f>
        <v/>
      </c>
      <c r="E543" s="9" t="inlineStr">
        <is>
          <t>нет в тарификаторе</t>
        </is>
      </c>
      <c r="F543" s="9" t="inlineStr">
        <is>
          <t>SVA</t>
        </is>
      </c>
      <c r="G543" s="10" t="n">
        <v>912</v>
      </c>
      <c r="H543" s="10" t="n">
        <v>432</v>
      </c>
      <c r="I543" s="10" t="n">
        <v>0.4</v>
      </c>
      <c r="J543" s="9" t="inlineStr"/>
      <c r="K543" s="7">
        <f>IF(F543="",0,IFERROR(VLOOKUP(F543,Расходники!$A$4:$B$23,2,FALSE),0))</f>
        <v/>
      </c>
      <c r="L543" s="4">
        <f>H543*D543</f>
        <v/>
      </c>
      <c r="M543" s="4">
        <f>L543*K543</f>
        <v/>
      </c>
      <c r="N543" s="4">
        <f>SUMIF(Материалы!$A$4:$A$800,SUBSTITUTE(SUBSTITUTE(SUBSTITUTE(B543,"~","~~"),"*","~*"),"?","~?"),Материалы!$S$4:$S$800)</f>
        <v/>
      </c>
      <c r="O543" s="4">
        <f>L543+M543+N543</f>
        <v/>
      </c>
      <c r="P543" s="4">
        <f>IF(SUM($O$4:$O$672)=0,0,Косвенные!$C$9*O543/SUM($O$4:$O$672))</f>
        <v/>
      </c>
      <c r="Q543" s="4">
        <f>G543*D543+P543</f>
        <v/>
      </c>
      <c r="R543" s="4">
        <f>IF(D543=0,0,Q543/D543)</f>
        <v/>
      </c>
      <c r="S543" s="4">
        <f>IF(D543=0,0,SUMIF(Материалы!$A$4:$A$800,SUBSTITUTE(SUBSTITUTE(SUBSTITUTE(B543,"~","~~"),"*","~*"),"?","~?"),Материалы!$T$4:$T$800)/D543)</f>
        <v/>
      </c>
      <c r="T543" s="4">
        <f>R543+S543</f>
        <v/>
      </c>
      <c r="U543" s="4">
        <f>I543*D543</f>
        <v/>
      </c>
    </row>
    <row r="544" ht="22" customHeight="1">
      <c r="A544" s="9" t="inlineStr"/>
      <c r="B544" s="13" t="inlineStr">
        <is>
          <t>542. Обшивка существующих колонн, откосов и коробов ГКВЛ</t>
        </is>
      </c>
      <c r="C544" s="9" t="inlineStr">
        <is>
          <t>м2</t>
        </is>
      </c>
      <c r="D544" s="4">
        <f>IF('Форма'!G542="","",'Форма'!G542)</f>
        <v/>
      </c>
      <c r="E544" s="9" t="inlineStr">
        <is>
          <t>аналог (8.2.17) облицовка</t>
        </is>
      </c>
      <c r="F544" s="9" t="inlineStr">
        <is>
          <t>OTD</t>
        </is>
      </c>
      <c r="G544" s="10" t="n">
        <v>598.5</v>
      </c>
      <c r="H544" s="10" t="n">
        <v>315</v>
      </c>
      <c r="I544" s="10" t="n">
        <v>0.35</v>
      </c>
      <c r="J544" s="9" t="inlineStr"/>
      <c r="K544" s="7">
        <f>IF(F544="",0,IFERROR(VLOOKUP(F544,Расходники!$A$4:$B$23,2,FALSE),0))</f>
        <v/>
      </c>
      <c r="L544" s="4">
        <f>H544*D544</f>
        <v/>
      </c>
      <c r="M544" s="4">
        <f>L544*K544</f>
        <v/>
      </c>
      <c r="N544" s="4">
        <f>SUMIF(Материалы!$A$4:$A$800,SUBSTITUTE(SUBSTITUTE(SUBSTITUTE(B544,"~","~~"),"*","~*"),"?","~?"),Материалы!$S$4:$S$800)</f>
        <v/>
      </c>
      <c r="O544" s="4">
        <f>L544+M544+N544</f>
        <v/>
      </c>
      <c r="P544" s="4">
        <f>IF(SUM($O$4:$O$672)=0,0,Косвенные!$C$9*O544/SUM($O$4:$O$672))</f>
        <v/>
      </c>
      <c r="Q544" s="4">
        <f>G544*D544+P544</f>
        <v/>
      </c>
      <c r="R544" s="4">
        <f>IF(D544=0,0,Q544/D544)</f>
        <v/>
      </c>
      <c r="S544" s="4">
        <f>IF(D544=0,0,SUMIF(Материалы!$A$4:$A$800,SUBSTITUTE(SUBSTITUTE(SUBSTITUTE(B544,"~","~~"),"*","~*"),"?","~?"),Материалы!$T$4:$T$800)/D544)</f>
        <v/>
      </c>
      <c r="T544" s="4">
        <f>R544+S544</f>
        <v/>
      </c>
      <c r="U544" s="4">
        <f>I544*D544</f>
        <v/>
      </c>
    </row>
    <row r="545" ht="22" customHeight="1">
      <c r="A545" s="9" t="inlineStr">
        <is>
          <t>5.5.14</t>
        </is>
      </c>
      <c r="B545" s="13" t="inlineStr">
        <is>
          <t>543. Грунтовка стен/перегородок/откосов/колонн</t>
        </is>
      </c>
      <c r="C545" s="9" t="inlineStr">
        <is>
          <t>м2</t>
        </is>
      </c>
      <c r="D545" s="4">
        <f>IF('Форма'!G543="","",'Форма'!G543)</f>
        <v/>
      </c>
      <c r="E545" s="9" t="inlineStr">
        <is>
          <t>точно</t>
        </is>
      </c>
      <c r="F545" s="9" t="inlineStr">
        <is>
          <t>OTD</t>
        </is>
      </c>
      <c r="G545" s="10" t="n">
        <v>80</v>
      </c>
      <c r="H545" s="10" t="n">
        <v>46</v>
      </c>
      <c r="I545" s="10" t="n">
        <v>0.04</v>
      </c>
      <c r="J545" s="9" t="inlineStr"/>
      <c r="K545" s="7">
        <f>IF(F545="",0,IFERROR(VLOOKUP(F545,Расходники!$A$4:$B$23,2,FALSE),0))</f>
        <v/>
      </c>
      <c r="L545" s="4">
        <f>H545*D545</f>
        <v/>
      </c>
      <c r="M545" s="4">
        <f>L545*K545</f>
        <v/>
      </c>
      <c r="N545" s="4">
        <f>SUMIF(Материалы!$A$4:$A$800,SUBSTITUTE(SUBSTITUTE(SUBSTITUTE(B545,"~","~~"),"*","~*"),"?","~?"),Материалы!$S$4:$S$800)</f>
        <v/>
      </c>
      <c r="O545" s="4">
        <f>L545+M545+N545</f>
        <v/>
      </c>
      <c r="P545" s="4">
        <f>IF(SUM($O$4:$O$672)=0,0,Косвенные!$C$9*O545/SUM($O$4:$O$672))</f>
        <v/>
      </c>
      <c r="Q545" s="4">
        <f>G545*D545+P545</f>
        <v/>
      </c>
      <c r="R545" s="4">
        <f>IF(D545=0,0,Q545/D545)</f>
        <v/>
      </c>
      <c r="S545" s="4">
        <f>IF(D545=0,0,SUMIF(Материалы!$A$4:$A$800,SUBSTITUTE(SUBSTITUTE(SUBSTITUTE(B545,"~","~~"),"*","~*"),"?","~?"),Материалы!$T$4:$T$800)/D545)</f>
        <v/>
      </c>
      <c r="T545" s="4">
        <f>R545+S545</f>
        <v/>
      </c>
      <c r="U545" s="4">
        <f>I545*D545</f>
        <v/>
      </c>
    </row>
    <row r="546" ht="22" customHeight="1">
      <c r="A546" s="9" t="inlineStr"/>
      <c r="B546" s="13" t="inlineStr">
        <is>
          <t>544. Штукатурка стен/перегородок/откосов/колонн</t>
        </is>
      </c>
      <c r="C546" s="9" t="inlineStr">
        <is>
          <t>м2</t>
        </is>
      </c>
      <c r="D546" s="4">
        <f>IF('Форма'!G544="","",'Форма'!G544)</f>
        <v/>
      </c>
      <c r="E546" s="9" t="inlineStr">
        <is>
          <t>нет в тарификаторе</t>
        </is>
      </c>
      <c r="F546" s="9" t="inlineStr">
        <is>
          <t>OTD</t>
        </is>
      </c>
      <c r="G546" s="10" t="n">
        <v>940.5</v>
      </c>
      <c r="H546" s="10" t="n">
        <v>495</v>
      </c>
      <c r="I546" s="10" t="n">
        <v>0.55</v>
      </c>
      <c r="J546" s="9" t="inlineStr"/>
      <c r="K546" s="7">
        <f>IF(F546="",0,IFERROR(VLOOKUP(F546,Расходники!$A$4:$B$23,2,FALSE),0))</f>
        <v/>
      </c>
      <c r="L546" s="4">
        <f>H546*D546</f>
        <v/>
      </c>
      <c r="M546" s="4">
        <f>L546*K546</f>
        <v/>
      </c>
      <c r="N546" s="4">
        <f>SUMIF(Материалы!$A$4:$A$800,SUBSTITUTE(SUBSTITUTE(SUBSTITUTE(B546,"~","~~"),"*","~*"),"?","~?"),Материалы!$S$4:$S$800)</f>
        <v/>
      </c>
      <c r="O546" s="4">
        <f>L546+M546+N546</f>
        <v/>
      </c>
      <c r="P546" s="4">
        <f>IF(SUM($O$4:$O$672)=0,0,Косвенные!$C$9*O546/SUM($O$4:$O$672))</f>
        <v/>
      </c>
      <c r="Q546" s="4">
        <f>G546*D546+P546</f>
        <v/>
      </c>
      <c r="R546" s="4">
        <f>IF(D546=0,0,Q546/D546)</f>
        <v/>
      </c>
      <c r="S546" s="4">
        <f>IF(D546=0,0,SUMIF(Материалы!$A$4:$A$800,SUBSTITUTE(SUBSTITUTE(SUBSTITUTE(B546,"~","~~"),"*","~*"),"?","~?"),Материалы!$T$4:$T$800)/D546)</f>
        <v/>
      </c>
      <c r="T546" s="4">
        <f>R546+S546</f>
        <v/>
      </c>
      <c r="U546" s="4">
        <f>I546*D546</f>
        <v/>
      </c>
    </row>
    <row r="547" ht="22" customHeight="1">
      <c r="A547" s="9" t="inlineStr">
        <is>
          <t>8.2.38</t>
        </is>
      </c>
      <c r="B547" s="13" t="inlineStr">
        <is>
          <t>545. Шпаклевка стен/перегородок/откосов/колонн с оклейкой поверхности  стеклохолстом</t>
        </is>
      </c>
      <c r="C547" s="9" t="inlineStr">
        <is>
          <t>м2</t>
        </is>
      </c>
      <c r="D547" s="4">
        <f>IF('Форма'!G545="","",'Форма'!G545)</f>
        <v/>
      </c>
      <c r="E547" s="9" t="inlineStr">
        <is>
          <t>аналог (8.2.38)</t>
        </is>
      </c>
      <c r="F547" s="9" t="inlineStr">
        <is>
          <t>OTD</t>
        </is>
      </c>
      <c r="G547" s="10" t="n">
        <v>540</v>
      </c>
      <c r="H547" s="10" t="n">
        <v>310</v>
      </c>
      <c r="I547" s="10" t="n">
        <v>0.45</v>
      </c>
      <c r="J547" s="9" t="inlineStr">
        <is>
          <t>да</t>
        </is>
      </c>
      <c r="K547" s="7">
        <f>IF(F547="",0,IFERROR(VLOOKUP(F547,Расходники!$A$4:$B$23,2,FALSE),0))</f>
        <v/>
      </c>
      <c r="L547" s="4">
        <f>H547*D547</f>
        <v/>
      </c>
      <c r="M547" s="4">
        <f>L547*K547</f>
        <v/>
      </c>
      <c r="N547" s="4">
        <f>SUMIF(Материалы!$A$4:$A$800,SUBSTITUTE(SUBSTITUTE(SUBSTITUTE(B547,"~","~~"),"*","~*"),"?","~?"),Материалы!$S$4:$S$800)</f>
        <v/>
      </c>
      <c r="O547" s="4">
        <f>L547+M547+N547</f>
        <v/>
      </c>
      <c r="P547" s="4">
        <f>IF(SUM($O$4:$O$672)=0,0,Косвенные!$C$9*O547/SUM($O$4:$O$672))</f>
        <v/>
      </c>
      <c r="Q547" s="4">
        <f>G547*D547+P547</f>
        <v/>
      </c>
      <c r="R547" s="4">
        <f>IF(D547=0,0,Q547/D547)</f>
        <v/>
      </c>
      <c r="S547" s="4">
        <f>IF(D547=0,0,SUMIF(Материалы!$A$4:$A$800,SUBSTITUTE(SUBSTITUTE(SUBSTITUTE(B547,"~","~~"),"*","~*"),"?","~?"),Материалы!$T$4:$T$800)/D547)</f>
        <v/>
      </c>
      <c r="T547" s="4">
        <f>R547+S547</f>
        <v/>
      </c>
      <c r="U547" s="4">
        <f>I547*D547</f>
        <v/>
      </c>
    </row>
    <row r="548" ht="22" customHeight="1">
      <c r="A548" s="9" t="inlineStr">
        <is>
          <t>8.2.34</t>
        </is>
      </c>
      <c r="B548" s="13" t="inlineStr">
        <is>
          <t>546. Окраска стен/перегородок/откосов/колонн краской (тип краски согласовывается Заказчиком)</t>
        </is>
      </c>
      <c r="C548" s="9" t="inlineStr">
        <is>
          <t>м2</t>
        </is>
      </c>
      <c r="D548" s="4">
        <f>IF('Форма'!G546="","",'Форма'!G546)</f>
        <v/>
      </c>
      <c r="E548" s="9" t="inlineStr">
        <is>
          <t>аналог (8.2.34)</t>
        </is>
      </c>
      <c r="F548" s="9" t="inlineStr">
        <is>
          <t>OTD</t>
        </is>
      </c>
      <c r="G548" s="10" t="n">
        <v>360</v>
      </c>
      <c r="H548" s="10" t="n">
        <v>210</v>
      </c>
      <c r="I548" s="10" t="n">
        <v>0.2</v>
      </c>
      <c r="J548" s="9" t="inlineStr"/>
      <c r="K548" s="7">
        <f>IF(F548="",0,IFERROR(VLOOKUP(F548,Расходники!$A$4:$B$23,2,FALSE),0))</f>
        <v/>
      </c>
      <c r="L548" s="4">
        <f>H548*D548</f>
        <v/>
      </c>
      <c r="M548" s="4">
        <f>L548*K548</f>
        <v/>
      </c>
      <c r="N548" s="4">
        <f>SUMIF(Материалы!$A$4:$A$800,SUBSTITUTE(SUBSTITUTE(SUBSTITUTE(B548,"~","~~"),"*","~*"),"?","~?"),Материалы!$S$4:$S$800)</f>
        <v/>
      </c>
      <c r="O548" s="4">
        <f>L548+M548+N548</f>
        <v/>
      </c>
      <c r="P548" s="4">
        <f>IF(SUM($O$4:$O$672)=0,0,Косвенные!$C$9*O548/SUM($O$4:$O$672))</f>
        <v/>
      </c>
      <c r="Q548" s="4">
        <f>G548*D548+P548</f>
        <v/>
      </c>
      <c r="R548" s="4">
        <f>IF(D548=0,0,Q548/D548)</f>
        <v/>
      </c>
      <c r="S548" s="4">
        <f>IF(D548=0,0,SUMIF(Материалы!$A$4:$A$800,SUBSTITUTE(SUBSTITUTE(SUBSTITUTE(B548,"~","~~"),"*","~*"),"?","~?"),Материалы!$T$4:$T$800)/D548)</f>
        <v/>
      </c>
      <c r="T548" s="4">
        <f>R548+S548</f>
        <v/>
      </c>
      <c r="U548" s="4">
        <f>I548*D548</f>
        <v/>
      </c>
    </row>
    <row r="549" ht="22" customHeight="1">
      <c r="A549" s="9" t="inlineStr"/>
      <c r="B549" s="13" t="inlineStr">
        <is>
          <t>547. Монтаж декоративных панелей на основе гипса/МДФ/ПВХ и аналогов</t>
        </is>
      </c>
      <c r="C549" s="9" t="inlineStr">
        <is>
          <t>шт.</t>
        </is>
      </c>
      <c r="D549" s="4">
        <f>IF('Форма'!G547="","",'Форма'!G547)</f>
        <v/>
      </c>
      <c r="E549" s="9" t="inlineStr">
        <is>
          <t>нет в тарификаторе</t>
        </is>
      </c>
      <c r="F549" s="9" t="inlineStr">
        <is>
          <t>OTD</t>
        </is>
      </c>
      <c r="G549" s="10" t="n">
        <v>855</v>
      </c>
      <c r="H549" s="10" t="n">
        <v>450</v>
      </c>
      <c r="I549" s="10" t="n">
        <v>0.5</v>
      </c>
      <c r="J549" s="9" t="inlineStr"/>
      <c r="K549" s="7">
        <f>IF(F549="",0,IFERROR(VLOOKUP(F549,Расходники!$A$4:$B$23,2,FALSE),0))</f>
        <v/>
      </c>
      <c r="L549" s="4">
        <f>H549*D549</f>
        <v/>
      </c>
      <c r="M549" s="4">
        <f>L549*K549</f>
        <v/>
      </c>
      <c r="N549" s="4">
        <f>SUMIF(Материалы!$A$4:$A$800,SUBSTITUTE(SUBSTITUTE(SUBSTITUTE(B549,"~","~~"),"*","~*"),"?","~?"),Материалы!$S$4:$S$800)</f>
        <v/>
      </c>
      <c r="O549" s="4">
        <f>L549+M549+N549</f>
        <v/>
      </c>
      <c r="P549" s="4">
        <f>IF(SUM($O$4:$O$672)=0,0,Косвенные!$C$9*O549/SUM($O$4:$O$672))</f>
        <v/>
      </c>
      <c r="Q549" s="4">
        <f>G549*D549+P549</f>
        <v/>
      </c>
      <c r="R549" s="4">
        <f>IF(D549=0,0,Q549/D549)</f>
        <v/>
      </c>
      <c r="S549" s="4">
        <f>IF(D549=0,0,SUMIF(Материалы!$A$4:$A$800,SUBSTITUTE(SUBSTITUTE(SUBSTITUTE(B549,"~","~~"),"*","~*"),"?","~?"),Материалы!$T$4:$T$800)/D549)</f>
        <v/>
      </c>
      <c r="T549" s="4">
        <f>R549+S549</f>
        <v/>
      </c>
      <c r="U549" s="4">
        <f>I549*D549</f>
        <v/>
      </c>
    </row>
    <row r="550" ht="22" customHeight="1">
      <c r="A550" s="9" t="inlineStr"/>
      <c r="B550" s="13" t="inlineStr">
        <is>
          <t>548. Демонтаж дверей (противопожарных)</t>
        </is>
      </c>
      <c r="C550" s="9" t="inlineStr">
        <is>
          <t>шт.</t>
        </is>
      </c>
      <c r="D550" s="4">
        <f>IF('Форма'!G548="","",'Форма'!G548)</f>
        <v/>
      </c>
      <c r="E550" s="9" t="inlineStr">
        <is>
          <t>аналог (1.12)</t>
        </is>
      </c>
      <c r="F550" s="9" t="inlineStr">
        <is>
          <t>DVR</t>
        </is>
      </c>
      <c r="G550" s="10" t="n">
        <v>2280</v>
      </c>
      <c r="H550" s="10" t="n">
        <v>1140</v>
      </c>
      <c r="I550" s="10" t="n">
        <v>1.2</v>
      </c>
      <c r="J550" s="9" t="inlineStr"/>
      <c r="K550" s="7">
        <f>IF(F550="",0,IFERROR(VLOOKUP(F550,Расходники!$A$4:$B$23,2,FALSE),0))</f>
        <v/>
      </c>
      <c r="L550" s="4">
        <f>H550*D550</f>
        <v/>
      </c>
      <c r="M550" s="4">
        <f>L550*K550</f>
        <v/>
      </c>
      <c r="N550" s="4">
        <f>SUMIF(Материалы!$A$4:$A$800,SUBSTITUTE(SUBSTITUTE(SUBSTITUTE(B550,"~","~~"),"*","~*"),"?","~?"),Материалы!$S$4:$S$800)</f>
        <v/>
      </c>
      <c r="O550" s="4">
        <f>L550+M550+N550</f>
        <v/>
      </c>
      <c r="P550" s="4">
        <f>IF(SUM($O$4:$O$672)=0,0,Косвенные!$C$9*O550/SUM($O$4:$O$672))</f>
        <v/>
      </c>
      <c r="Q550" s="4">
        <f>G550*D550+P550</f>
        <v/>
      </c>
      <c r="R550" s="4">
        <f>IF(D550=0,0,Q550/D550)</f>
        <v/>
      </c>
      <c r="S550" s="4">
        <f>IF(D550=0,0,SUMIF(Материалы!$A$4:$A$800,SUBSTITUTE(SUBSTITUTE(SUBSTITUTE(B550,"~","~~"),"*","~*"),"?","~?"),Материалы!$T$4:$T$800)/D550)</f>
        <v/>
      </c>
      <c r="T550" s="4">
        <f>R550+S550</f>
        <v/>
      </c>
      <c r="U550" s="4">
        <f>I550*D550</f>
        <v/>
      </c>
    </row>
    <row r="551" ht="22" customHeight="1">
      <c r="A551" s="9" t="inlineStr"/>
      <c r="B551" s="13" t="inlineStr">
        <is>
          <t>549. Демонтаж дверей (межкомнатных и тд)</t>
        </is>
      </c>
      <c r="C551" s="9" t="inlineStr">
        <is>
          <t>шт.</t>
        </is>
      </c>
      <c r="D551" s="4">
        <f>IF('Форма'!G549="","",'Форма'!G549)</f>
        <v/>
      </c>
      <c r="E551" s="9" t="inlineStr">
        <is>
          <t>аналог (1.12)</t>
        </is>
      </c>
      <c r="F551" s="9" t="inlineStr">
        <is>
          <t>DVR</t>
        </is>
      </c>
      <c r="G551" s="10" t="n">
        <v>1140</v>
      </c>
      <c r="H551" s="10" t="n">
        <v>570</v>
      </c>
      <c r="I551" s="10" t="n">
        <v>0.6</v>
      </c>
      <c r="J551" s="9" t="inlineStr"/>
      <c r="K551" s="7">
        <f>IF(F551="",0,IFERROR(VLOOKUP(F551,Расходники!$A$4:$B$23,2,FALSE),0))</f>
        <v/>
      </c>
      <c r="L551" s="4">
        <f>H551*D551</f>
        <v/>
      </c>
      <c r="M551" s="4">
        <f>L551*K551</f>
        <v/>
      </c>
      <c r="N551" s="4">
        <f>SUMIF(Материалы!$A$4:$A$800,SUBSTITUTE(SUBSTITUTE(SUBSTITUTE(B551,"~","~~"),"*","~*"),"?","~?"),Материалы!$S$4:$S$800)</f>
        <v/>
      </c>
      <c r="O551" s="4">
        <f>L551+M551+N551</f>
        <v/>
      </c>
      <c r="P551" s="4">
        <f>IF(SUM($O$4:$O$672)=0,0,Косвенные!$C$9*O551/SUM($O$4:$O$672))</f>
        <v/>
      </c>
      <c r="Q551" s="4">
        <f>G551*D551+P551</f>
        <v/>
      </c>
      <c r="R551" s="4">
        <f>IF(D551=0,0,Q551/D551)</f>
        <v/>
      </c>
      <c r="S551" s="4">
        <f>IF(D551=0,0,SUMIF(Материалы!$A$4:$A$800,SUBSTITUTE(SUBSTITUTE(SUBSTITUTE(B551,"~","~~"),"*","~*"),"?","~?"),Материалы!$T$4:$T$800)/D551)</f>
        <v/>
      </c>
      <c r="T551" s="4">
        <f>R551+S551</f>
        <v/>
      </c>
      <c r="U551" s="4">
        <f>I551*D551</f>
        <v/>
      </c>
    </row>
    <row r="552" ht="22" customHeight="1">
      <c r="A552" s="9" t="inlineStr">
        <is>
          <t>12.3.26</t>
        </is>
      </c>
      <c r="B552" s="13" t="inlineStr">
        <is>
          <t>550. Монтаж дверей (противопожарных)</t>
        </is>
      </c>
      <c r="C552" s="9" t="inlineStr">
        <is>
          <t>шт.</t>
        </is>
      </c>
      <c r="D552" s="4">
        <f>IF('Форма'!G550="","",'Форма'!G550)</f>
        <v/>
      </c>
      <c r="E552" s="9" t="inlineStr">
        <is>
          <t>точно</t>
        </is>
      </c>
      <c r="F552" s="9" t="inlineStr">
        <is>
          <t>DVR</t>
        </is>
      </c>
      <c r="G552" s="10" t="n">
        <v>10925</v>
      </c>
      <c r="H552" s="10" t="n">
        <v>6774</v>
      </c>
      <c r="I552" s="10" t="n">
        <v>5</v>
      </c>
      <c r="J552" s="9" t="inlineStr"/>
      <c r="K552" s="7">
        <f>IF(F552="",0,IFERROR(VLOOKUP(F552,Расходники!$A$4:$B$23,2,FALSE),0))</f>
        <v/>
      </c>
      <c r="L552" s="4">
        <f>H552*D552</f>
        <v/>
      </c>
      <c r="M552" s="4">
        <f>L552*K552</f>
        <v/>
      </c>
      <c r="N552" s="4">
        <f>SUMIF(Материалы!$A$4:$A$800,SUBSTITUTE(SUBSTITUTE(SUBSTITUTE(B552,"~","~~"),"*","~*"),"?","~?"),Материалы!$S$4:$S$800)</f>
        <v/>
      </c>
      <c r="O552" s="4">
        <f>L552+M552+N552</f>
        <v/>
      </c>
      <c r="P552" s="4">
        <f>IF(SUM($O$4:$O$672)=0,0,Косвенные!$C$9*O552/SUM($O$4:$O$672))</f>
        <v/>
      </c>
      <c r="Q552" s="4">
        <f>G552*D552+P552</f>
        <v/>
      </c>
      <c r="R552" s="4">
        <f>IF(D552=0,0,Q552/D552)</f>
        <v/>
      </c>
      <c r="S552" s="4">
        <f>IF(D552=0,0,SUMIF(Материалы!$A$4:$A$800,SUBSTITUTE(SUBSTITUTE(SUBSTITUTE(B552,"~","~~"),"*","~*"),"?","~?"),Материалы!$T$4:$T$800)/D552)</f>
        <v/>
      </c>
      <c r="T552" s="4">
        <f>R552+S552</f>
        <v/>
      </c>
      <c r="U552" s="4">
        <f>I552*D552</f>
        <v/>
      </c>
    </row>
    <row r="553" ht="22" customHeight="1">
      <c r="A553" s="9" t="inlineStr"/>
      <c r="B553" s="13" t="inlineStr">
        <is>
          <t>551. Монтаж дверей (межкомнатных и тд)</t>
        </is>
      </c>
      <c r="C553" s="9" t="inlineStr">
        <is>
          <t>шт.</t>
        </is>
      </c>
      <c r="D553" s="4">
        <f>IF('Форма'!G551="","",'Форма'!G551)</f>
        <v/>
      </c>
      <c r="E553" s="9" t="inlineStr">
        <is>
          <t>аналог (12.7), полотно отдельной строкой</t>
        </is>
      </c>
      <c r="F553" s="9" t="inlineStr">
        <is>
          <t>DVR</t>
        </is>
      </c>
      <c r="G553" s="10" t="n">
        <v>2850</v>
      </c>
      <c r="H553" s="10" t="n">
        <v>1425</v>
      </c>
      <c r="I553" s="10" t="n">
        <v>1.5</v>
      </c>
      <c r="J553" s="9" t="inlineStr"/>
      <c r="K553" s="7">
        <f>IF(F553="",0,IFERROR(VLOOKUP(F553,Расходники!$A$4:$B$23,2,FALSE),0))</f>
        <v/>
      </c>
      <c r="L553" s="4">
        <f>H553*D553</f>
        <v/>
      </c>
      <c r="M553" s="4">
        <f>L553*K553</f>
        <v/>
      </c>
      <c r="N553" s="4">
        <f>SUMIF(Материалы!$A$4:$A$800,SUBSTITUTE(SUBSTITUTE(SUBSTITUTE(B553,"~","~~"),"*","~*"),"?","~?"),Материалы!$S$4:$S$800)</f>
        <v/>
      </c>
      <c r="O553" s="4">
        <f>L553+M553+N553</f>
        <v/>
      </c>
      <c r="P553" s="4">
        <f>IF(SUM($O$4:$O$672)=0,0,Косвенные!$C$9*O553/SUM($O$4:$O$672))</f>
        <v/>
      </c>
      <c r="Q553" s="4">
        <f>G553*D553+P553</f>
        <v/>
      </c>
      <c r="R553" s="4">
        <f>IF(D553=0,0,Q553/D553)</f>
        <v/>
      </c>
      <c r="S553" s="4">
        <f>IF(D553=0,0,SUMIF(Материалы!$A$4:$A$800,SUBSTITUTE(SUBSTITUTE(SUBSTITUTE(B553,"~","~~"),"*","~*"),"?","~?"),Материалы!$T$4:$T$800)/D553)</f>
        <v/>
      </c>
      <c r="T553" s="4">
        <f>R553+S553</f>
        <v/>
      </c>
      <c r="U553" s="4">
        <f>I553*D553</f>
        <v/>
      </c>
    </row>
    <row r="554" ht="22" customHeight="1">
      <c r="A554" s="9" t="inlineStr"/>
      <c r="B554" s="13" t="inlineStr">
        <is>
          <t>552. Ремонт дверей (стеклянных, противопожарных, межкомнатных и тд) (замена фурнитуры, устранение провисов петель/полотен)</t>
        </is>
      </c>
      <c r="C554" s="9" t="inlineStr">
        <is>
          <t>шт.</t>
        </is>
      </c>
      <c r="D554" s="4">
        <f>IF('Форма'!G552="","",'Форма'!G552)</f>
        <v/>
      </c>
      <c r="E554" s="9" t="inlineStr">
        <is>
          <t>нет в тарификаторе</t>
        </is>
      </c>
      <c r="F554" s="9" t="inlineStr">
        <is>
          <t>DVR</t>
        </is>
      </c>
      <c r="G554" s="10" t="n">
        <v>2280</v>
      </c>
      <c r="H554" s="10" t="n">
        <v>1140</v>
      </c>
      <c r="I554" s="10" t="n">
        <v>1.2</v>
      </c>
      <c r="J554" s="9" t="inlineStr"/>
      <c r="K554" s="7">
        <f>IF(F554="",0,IFERROR(VLOOKUP(F554,Расходники!$A$4:$B$23,2,FALSE),0))</f>
        <v/>
      </c>
      <c r="L554" s="4">
        <f>H554*D554</f>
        <v/>
      </c>
      <c r="M554" s="4">
        <f>L554*K554</f>
        <v/>
      </c>
      <c r="N554" s="4">
        <f>SUMIF(Материалы!$A$4:$A$800,SUBSTITUTE(SUBSTITUTE(SUBSTITUTE(B554,"~","~~"),"*","~*"),"?","~?"),Материалы!$S$4:$S$800)</f>
        <v/>
      </c>
      <c r="O554" s="4">
        <f>L554+M554+N554</f>
        <v/>
      </c>
      <c r="P554" s="4">
        <f>IF(SUM($O$4:$O$672)=0,0,Косвенные!$C$9*O554/SUM($O$4:$O$672))</f>
        <v/>
      </c>
      <c r="Q554" s="4">
        <f>G554*D554+P554</f>
        <v/>
      </c>
      <c r="R554" s="4">
        <f>IF(D554=0,0,Q554/D554)</f>
        <v/>
      </c>
      <c r="S554" s="4">
        <f>IF(D554=0,0,SUMIF(Материалы!$A$4:$A$800,SUBSTITUTE(SUBSTITUTE(SUBSTITUTE(B554,"~","~~"),"*","~*"),"?","~?"),Материалы!$T$4:$T$800)/D554)</f>
        <v/>
      </c>
      <c r="T554" s="4">
        <f>R554+S554</f>
        <v/>
      </c>
      <c r="U554" s="4">
        <f>I554*D554</f>
        <v/>
      </c>
    </row>
    <row r="555" ht="22" customHeight="1">
      <c r="A555" s="9" t="inlineStr"/>
      <c r="B555" s="13" t="inlineStr">
        <is>
          <t>553. Демонтаж дверных доводчиков</t>
        </is>
      </c>
      <c r="C555" s="9" t="inlineStr">
        <is>
          <t>шт.</t>
        </is>
      </c>
      <c r="D555" s="4">
        <f>IF('Форма'!G553="","",'Форма'!G553)</f>
        <v/>
      </c>
      <c r="E555" s="9" t="inlineStr">
        <is>
          <t>нет в тарификаторе</t>
        </is>
      </c>
      <c r="F555" s="9" t="inlineStr">
        <is>
          <t>DVR</t>
        </is>
      </c>
      <c r="G555" s="10" t="n">
        <v>380</v>
      </c>
      <c r="H555" s="10" t="n">
        <v>190</v>
      </c>
      <c r="I555" s="10" t="n">
        <v>0.2</v>
      </c>
      <c r="J555" s="9" t="inlineStr"/>
      <c r="K555" s="7">
        <f>IF(F555="",0,IFERROR(VLOOKUP(F555,Расходники!$A$4:$B$23,2,FALSE),0))</f>
        <v/>
      </c>
      <c r="L555" s="4">
        <f>H555*D555</f>
        <v/>
      </c>
      <c r="M555" s="4">
        <f>L555*K555</f>
        <v/>
      </c>
      <c r="N555" s="4">
        <f>SUMIF(Материалы!$A$4:$A$800,SUBSTITUTE(SUBSTITUTE(SUBSTITUTE(B555,"~","~~"),"*","~*"),"?","~?"),Материалы!$S$4:$S$800)</f>
        <v/>
      </c>
      <c r="O555" s="4">
        <f>L555+M555+N555</f>
        <v/>
      </c>
      <c r="P555" s="4">
        <f>IF(SUM($O$4:$O$672)=0,0,Косвенные!$C$9*O555/SUM($O$4:$O$672))</f>
        <v/>
      </c>
      <c r="Q555" s="4">
        <f>G555*D555+P555</f>
        <v/>
      </c>
      <c r="R555" s="4">
        <f>IF(D555=0,0,Q555/D555)</f>
        <v/>
      </c>
      <c r="S555" s="4">
        <f>IF(D555=0,0,SUMIF(Материалы!$A$4:$A$800,SUBSTITUTE(SUBSTITUTE(SUBSTITUTE(B555,"~","~~"),"*","~*"),"?","~?"),Материалы!$T$4:$T$800)/D555)</f>
        <v/>
      </c>
      <c r="T555" s="4">
        <f>R555+S555</f>
        <v/>
      </c>
      <c r="U555" s="4">
        <f>I555*D555</f>
        <v/>
      </c>
    </row>
    <row r="556" ht="22" customHeight="1">
      <c r="A556" s="9" t="inlineStr"/>
      <c r="B556" s="13" t="inlineStr">
        <is>
          <t>554. монтаж дверных доводчиков</t>
        </is>
      </c>
      <c r="C556" s="9" t="inlineStr">
        <is>
          <t>шт.</t>
        </is>
      </c>
      <c r="D556" s="4">
        <f>IF('Форма'!G554="","",'Форма'!G554)</f>
        <v/>
      </c>
      <c r="E556" s="9" t="inlineStr">
        <is>
          <t>нет в тарификаторе</t>
        </is>
      </c>
      <c r="F556" s="9" t="inlineStr">
        <is>
          <t>DVR</t>
        </is>
      </c>
      <c r="G556" s="10" t="n">
        <v>1330</v>
      </c>
      <c r="H556" s="10" t="n">
        <v>665</v>
      </c>
      <c r="I556" s="10" t="n">
        <v>0.7</v>
      </c>
      <c r="J556" s="9" t="inlineStr"/>
      <c r="K556" s="7">
        <f>IF(F556="",0,IFERROR(VLOOKUP(F556,Расходники!$A$4:$B$23,2,FALSE),0))</f>
        <v/>
      </c>
      <c r="L556" s="4">
        <f>H556*D556</f>
        <v/>
      </c>
      <c r="M556" s="4">
        <f>L556*K556</f>
        <v/>
      </c>
      <c r="N556" s="4">
        <f>SUMIF(Материалы!$A$4:$A$800,SUBSTITUTE(SUBSTITUTE(SUBSTITUTE(B556,"~","~~"),"*","~*"),"?","~?"),Материалы!$S$4:$S$800)</f>
        <v/>
      </c>
      <c r="O556" s="4">
        <f>L556+M556+N556</f>
        <v/>
      </c>
      <c r="P556" s="4">
        <f>IF(SUM($O$4:$O$672)=0,0,Косвенные!$C$9*O556/SUM($O$4:$O$672))</f>
        <v/>
      </c>
      <c r="Q556" s="4">
        <f>G556*D556+P556</f>
        <v/>
      </c>
      <c r="R556" s="4">
        <f>IF(D556=0,0,Q556/D556)</f>
        <v/>
      </c>
      <c r="S556" s="4">
        <f>IF(D556=0,0,SUMIF(Материалы!$A$4:$A$800,SUBSTITUTE(SUBSTITUTE(SUBSTITUTE(B556,"~","~~"),"*","~*"),"?","~?"),Материалы!$T$4:$T$800)/D556)</f>
        <v/>
      </c>
      <c r="T556" s="4">
        <f>R556+S556</f>
        <v/>
      </c>
      <c r="U556" s="4">
        <f>I556*D556</f>
        <v/>
      </c>
    </row>
    <row r="557" ht="22" customHeight="1">
      <c r="A557" s="9" t="inlineStr"/>
      <c r="B557" s="13" t="inlineStr">
        <is>
          <t>555. Ремонт дверных доводчиков</t>
        </is>
      </c>
      <c r="C557" s="9" t="inlineStr">
        <is>
          <t>шт.</t>
        </is>
      </c>
      <c r="D557" s="4">
        <f>IF('Форма'!G555="","",'Форма'!G555)</f>
        <v/>
      </c>
      <c r="E557" s="9" t="inlineStr">
        <is>
          <t>нет в тарификаторе</t>
        </is>
      </c>
      <c r="F557" s="9" t="inlineStr">
        <is>
          <t>DVR</t>
        </is>
      </c>
      <c r="G557" s="10" t="n">
        <v>1140</v>
      </c>
      <c r="H557" s="10" t="n">
        <v>570</v>
      </c>
      <c r="I557" s="10" t="n">
        <v>0.6</v>
      </c>
      <c r="J557" s="9" t="inlineStr"/>
      <c r="K557" s="7">
        <f>IF(F557="",0,IFERROR(VLOOKUP(F557,Расходники!$A$4:$B$23,2,FALSE),0))</f>
        <v/>
      </c>
      <c r="L557" s="4">
        <f>H557*D557</f>
        <v/>
      </c>
      <c r="M557" s="4">
        <f>L557*K557</f>
        <v/>
      </c>
      <c r="N557" s="4">
        <f>SUMIF(Материалы!$A$4:$A$800,SUBSTITUTE(SUBSTITUTE(SUBSTITUTE(B557,"~","~~"),"*","~*"),"?","~?"),Материалы!$S$4:$S$800)</f>
        <v/>
      </c>
      <c r="O557" s="4">
        <f>L557+M557+N557</f>
        <v/>
      </c>
      <c r="P557" s="4">
        <f>IF(SUM($O$4:$O$672)=0,0,Косвенные!$C$9*O557/SUM($O$4:$O$672))</f>
        <v/>
      </c>
      <c r="Q557" s="4">
        <f>G557*D557+P557</f>
        <v/>
      </c>
      <c r="R557" s="4">
        <f>IF(D557=0,0,Q557/D557)</f>
        <v/>
      </c>
      <c r="S557" s="4">
        <f>IF(D557=0,0,SUMIF(Материалы!$A$4:$A$800,SUBSTITUTE(SUBSTITUTE(SUBSTITUTE(B557,"~","~~"),"*","~*"),"?","~?"),Материалы!$T$4:$T$800)/D557)</f>
        <v/>
      </c>
      <c r="T557" s="4">
        <f>R557+S557</f>
        <v/>
      </c>
      <c r="U557" s="4">
        <f>I557*D557</f>
        <v/>
      </c>
    </row>
    <row r="558" ht="22" customHeight="1">
      <c r="A558" s="9" t="inlineStr">
        <is>
          <t>12.3.N6</t>
        </is>
      </c>
      <c r="B558" s="13" t="inlineStr">
        <is>
          <t>556. Заделка проемов и отверстий в местах проходов через стены, перегородки и перекрытия противопожарной пеной</t>
        </is>
      </c>
      <c r="C558" s="9" t="inlineStr">
        <is>
          <t>п.м</t>
        </is>
      </c>
      <c r="D558" s="4">
        <f>IF('Форма'!G556="","",'Форма'!G556)</f>
        <v/>
      </c>
      <c r="E558" s="9" t="inlineStr">
        <is>
          <t>аналог (12.3.N6)</t>
        </is>
      </c>
      <c r="F558" s="9" t="inlineStr">
        <is>
          <t>DVR</t>
        </is>
      </c>
      <c r="G558" s="10" t="n">
        <v>460</v>
      </c>
      <c r="H558" s="10" t="n">
        <v>285</v>
      </c>
      <c r="I558" s="10" t="n">
        <v>0.3</v>
      </c>
      <c r="J558" s="9" t="inlineStr"/>
      <c r="K558" s="7">
        <f>IF(F558="",0,IFERROR(VLOOKUP(F558,Расходники!$A$4:$B$23,2,FALSE),0))</f>
        <v/>
      </c>
      <c r="L558" s="4">
        <f>H558*D558</f>
        <v/>
      </c>
      <c r="M558" s="4">
        <f>L558*K558</f>
        <v/>
      </c>
      <c r="N558" s="4">
        <f>SUMIF(Материалы!$A$4:$A$800,SUBSTITUTE(SUBSTITUTE(SUBSTITUTE(B558,"~","~~"),"*","~*"),"?","~?"),Материалы!$S$4:$S$800)</f>
        <v/>
      </c>
      <c r="O558" s="4">
        <f>L558+M558+N558</f>
        <v/>
      </c>
      <c r="P558" s="4">
        <f>IF(SUM($O$4:$O$672)=0,0,Косвенные!$C$9*O558/SUM($O$4:$O$672))</f>
        <v/>
      </c>
      <c r="Q558" s="4">
        <f>G558*D558+P558</f>
        <v/>
      </c>
      <c r="R558" s="4">
        <f>IF(D558=0,0,Q558/D558)</f>
        <v/>
      </c>
      <c r="S558" s="4">
        <f>IF(D558=0,0,SUMIF(Материалы!$A$4:$A$800,SUBSTITUTE(SUBSTITUTE(SUBSTITUTE(B558,"~","~~"),"*","~*"),"?","~?"),Материалы!$T$4:$T$800)/D558)</f>
        <v/>
      </c>
      <c r="T558" s="4">
        <f>R558+S558</f>
        <v/>
      </c>
      <c r="U558" s="4">
        <f>I558*D558</f>
        <v/>
      </c>
    </row>
    <row r="559" ht="22" customHeight="1">
      <c r="A559" s="9" t="inlineStr"/>
      <c r="B559" s="13" t="inlineStr">
        <is>
          <t>557. Монтаж зеркал, фурнитуры, диспенсеров и прочих аксессуаров.</t>
        </is>
      </c>
      <c r="C559" s="9" t="inlineStr">
        <is>
          <t>шт.</t>
        </is>
      </c>
      <c r="D559" s="4">
        <f>IF('Форма'!G557="","",'Форма'!G557)</f>
        <v/>
      </c>
      <c r="E559" s="9" t="inlineStr">
        <is>
          <t>нет в тарификаторе</t>
        </is>
      </c>
      <c r="F559" s="9" t="inlineStr">
        <is>
          <t>OTD</t>
        </is>
      </c>
      <c r="G559" s="10" t="n">
        <v>855</v>
      </c>
      <c r="H559" s="10" t="n">
        <v>450</v>
      </c>
      <c r="I559" s="10" t="n">
        <v>0.5</v>
      </c>
      <c r="J559" s="9" t="inlineStr"/>
      <c r="K559" s="7">
        <f>IF(F559="",0,IFERROR(VLOOKUP(F559,Расходники!$A$4:$B$23,2,FALSE),0))</f>
        <v/>
      </c>
      <c r="L559" s="4">
        <f>H559*D559</f>
        <v/>
      </c>
      <c r="M559" s="4">
        <f>L559*K559</f>
        <v/>
      </c>
      <c r="N559" s="4">
        <f>SUMIF(Материалы!$A$4:$A$800,SUBSTITUTE(SUBSTITUTE(SUBSTITUTE(B559,"~","~~"),"*","~*"),"?","~?"),Материалы!$S$4:$S$800)</f>
        <v/>
      </c>
      <c r="O559" s="4">
        <f>L559+M559+N559</f>
        <v/>
      </c>
      <c r="P559" s="4">
        <f>IF(SUM($O$4:$O$672)=0,0,Косвенные!$C$9*O559/SUM($O$4:$O$672))</f>
        <v/>
      </c>
      <c r="Q559" s="4">
        <f>G559*D559+P559</f>
        <v/>
      </c>
      <c r="R559" s="4">
        <f>IF(D559=0,0,Q559/D559)</f>
        <v/>
      </c>
      <c r="S559" s="4">
        <f>IF(D559=0,0,SUMIF(Материалы!$A$4:$A$800,SUBSTITUTE(SUBSTITUTE(SUBSTITUTE(B559,"~","~~"),"*","~*"),"?","~?"),Материалы!$T$4:$T$800)/D559)</f>
        <v/>
      </c>
      <c r="T559" s="4">
        <f>R559+S559</f>
        <v/>
      </c>
      <c r="U559" s="4">
        <f>I559*D559</f>
        <v/>
      </c>
    </row>
    <row r="560" ht="22" customHeight="1">
      <c r="A560" s="9" t="inlineStr">
        <is>
          <t>8.2.34</t>
        </is>
      </c>
      <c r="B560" s="13" t="inlineStr">
        <is>
          <t xml:space="preserve">558. Покраска открытого потолка и инженерных коммуникаций </t>
        </is>
      </c>
      <c r="C560" s="9" t="inlineStr">
        <is>
          <t>м2</t>
        </is>
      </c>
      <c r="D560" s="4">
        <f>IF('Форма'!G558="","",'Форма'!G558)</f>
        <v/>
      </c>
      <c r="E560" s="9" t="inlineStr">
        <is>
          <t>аналог (8.2.34)</t>
        </is>
      </c>
      <c r="F560" s="9" t="inlineStr">
        <is>
          <t>OTD</t>
        </is>
      </c>
      <c r="G560" s="10" t="n">
        <v>360</v>
      </c>
      <c r="H560" s="10" t="n">
        <v>210</v>
      </c>
      <c r="I560" s="10" t="n">
        <v>0.2</v>
      </c>
      <c r="J560" s="9" t="inlineStr"/>
      <c r="K560" s="7">
        <f>IF(F560="",0,IFERROR(VLOOKUP(F560,Расходники!$A$4:$B$23,2,FALSE),0))</f>
        <v/>
      </c>
      <c r="L560" s="4">
        <f>H560*D560</f>
        <v/>
      </c>
      <c r="M560" s="4">
        <f>L560*K560</f>
        <v/>
      </c>
      <c r="N560" s="4">
        <f>SUMIF(Материалы!$A$4:$A$800,SUBSTITUTE(SUBSTITUTE(SUBSTITUTE(B560,"~","~~"),"*","~*"),"?","~?"),Материалы!$S$4:$S$800)</f>
        <v/>
      </c>
      <c r="O560" s="4">
        <f>L560+M560+N560</f>
        <v/>
      </c>
      <c r="P560" s="4">
        <f>IF(SUM($O$4:$O$672)=0,0,Косвенные!$C$9*O560/SUM($O$4:$O$672))</f>
        <v/>
      </c>
      <c r="Q560" s="4">
        <f>G560*D560+P560</f>
        <v/>
      </c>
      <c r="R560" s="4">
        <f>IF(D560=0,0,Q560/D560)</f>
        <v/>
      </c>
      <c r="S560" s="4">
        <f>IF(D560=0,0,SUMIF(Материалы!$A$4:$A$800,SUBSTITUTE(SUBSTITUTE(SUBSTITUTE(B560,"~","~~"),"*","~*"),"?","~?"),Материалы!$T$4:$T$800)/D560)</f>
        <v/>
      </c>
      <c r="T560" s="4">
        <f>R560+S560</f>
        <v/>
      </c>
      <c r="U560" s="4">
        <f>I560*D560</f>
        <v/>
      </c>
    </row>
    <row r="561" ht="22" customHeight="1">
      <c r="A561" s="9" t="inlineStr">
        <is>
          <t>8.3.1</t>
        </is>
      </c>
      <c r="B561" s="13" t="inlineStr">
        <is>
          <t xml:space="preserve">559. Монтаж/ремонт/адаптация подвесного модульного потолока типа </t>
        </is>
      </c>
      <c r="C561" s="9" t="inlineStr">
        <is>
          <t>м2</t>
        </is>
      </c>
      <c r="D561" s="4">
        <f>IF('Форма'!G559="","",'Форма'!G559)</f>
        <v/>
      </c>
      <c r="E561" s="9" t="inlineStr">
        <is>
          <t>аналог (8.3.1)</t>
        </is>
      </c>
      <c r="F561" s="9" t="inlineStr">
        <is>
          <t>OTD</t>
        </is>
      </c>
      <c r="G561" s="10" t="n">
        <v>230</v>
      </c>
      <c r="H561" s="10" t="n">
        <v>140</v>
      </c>
      <c r="I561" s="10" t="n">
        <v>0.15</v>
      </c>
      <c r="J561" s="9" t="inlineStr"/>
      <c r="K561" s="7">
        <f>IF(F561="",0,IFERROR(VLOOKUP(F561,Расходники!$A$4:$B$23,2,FALSE),0))</f>
        <v/>
      </c>
      <c r="L561" s="4">
        <f>H561*D561</f>
        <v/>
      </c>
      <c r="M561" s="4">
        <f>L561*K561</f>
        <v/>
      </c>
      <c r="N561" s="4">
        <f>SUMIF(Материалы!$A$4:$A$800,SUBSTITUTE(SUBSTITUTE(SUBSTITUTE(B561,"~","~~"),"*","~*"),"?","~?"),Материалы!$S$4:$S$800)</f>
        <v/>
      </c>
      <c r="O561" s="4">
        <f>L561+M561+N561</f>
        <v/>
      </c>
      <c r="P561" s="4">
        <f>IF(SUM($O$4:$O$672)=0,0,Косвенные!$C$9*O561/SUM($O$4:$O$672))</f>
        <v/>
      </c>
      <c r="Q561" s="4">
        <f>G561*D561+P561</f>
        <v/>
      </c>
      <c r="R561" s="4">
        <f>IF(D561=0,0,Q561/D561)</f>
        <v/>
      </c>
      <c r="S561" s="4">
        <f>IF(D561=0,0,SUMIF(Материалы!$A$4:$A$800,SUBSTITUTE(SUBSTITUTE(SUBSTITUTE(B561,"~","~~"),"*","~*"),"?","~?"),Материалы!$T$4:$T$800)/D561)</f>
        <v/>
      </c>
      <c r="T561" s="4">
        <f>R561+S561</f>
        <v/>
      </c>
      <c r="U561" s="4">
        <f>I561*D561</f>
        <v/>
      </c>
    </row>
    <row r="562" ht="22" customHeight="1">
      <c r="A562" s="9" t="inlineStr">
        <is>
          <t>5.5.14</t>
        </is>
      </c>
      <c r="B562" s="13" t="inlineStr">
        <is>
          <t xml:space="preserve">560. Грунтовка поверхностей потолка </t>
        </is>
      </c>
      <c r="C562" s="9" t="inlineStr">
        <is>
          <t>м2</t>
        </is>
      </c>
      <c r="D562" s="4">
        <f>IF('Форма'!G560="","",'Форма'!G560)</f>
        <v/>
      </c>
      <c r="E562" s="9" t="inlineStr">
        <is>
          <t>точно</t>
        </is>
      </c>
      <c r="F562" s="9" t="inlineStr">
        <is>
          <t>OTD</t>
        </is>
      </c>
      <c r="G562" s="10" t="n">
        <v>80</v>
      </c>
      <c r="H562" s="10" t="n">
        <v>46</v>
      </c>
      <c r="I562" s="10" t="n">
        <v>0.04</v>
      </c>
      <c r="J562" s="9" t="inlineStr"/>
      <c r="K562" s="7">
        <f>IF(F562="",0,IFERROR(VLOOKUP(F562,Расходники!$A$4:$B$23,2,FALSE),0))</f>
        <v/>
      </c>
      <c r="L562" s="4">
        <f>H562*D562</f>
        <v/>
      </c>
      <c r="M562" s="4">
        <f>L562*K562</f>
        <v/>
      </c>
      <c r="N562" s="4">
        <f>SUMIF(Материалы!$A$4:$A$800,SUBSTITUTE(SUBSTITUTE(SUBSTITUTE(B562,"~","~~"),"*","~*"),"?","~?"),Материалы!$S$4:$S$800)</f>
        <v/>
      </c>
      <c r="O562" s="4">
        <f>L562+M562+N562</f>
        <v/>
      </c>
      <c r="P562" s="4">
        <f>IF(SUM($O$4:$O$672)=0,0,Косвенные!$C$9*O562/SUM($O$4:$O$672))</f>
        <v/>
      </c>
      <c r="Q562" s="4">
        <f>G562*D562+P562</f>
        <v/>
      </c>
      <c r="R562" s="4">
        <f>IF(D562=0,0,Q562/D562)</f>
        <v/>
      </c>
      <c r="S562" s="4">
        <f>IF(D562=0,0,SUMIF(Материалы!$A$4:$A$800,SUBSTITUTE(SUBSTITUTE(SUBSTITUTE(B562,"~","~~"),"*","~*"),"?","~?"),Материалы!$T$4:$T$800)/D562)</f>
        <v/>
      </c>
      <c r="T562" s="4">
        <f>R562+S562</f>
        <v/>
      </c>
      <c r="U562" s="4">
        <f>I562*D562</f>
        <v/>
      </c>
    </row>
    <row r="563" ht="22" customHeight="1">
      <c r="A563" s="9" t="inlineStr">
        <is>
          <t>8.2.34</t>
        </is>
      </c>
      <c r="B563" s="13" t="inlineStr">
        <is>
          <t xml:space="preserve">561. Окраска подготовленных поверхностей потолка </t>
        </is>
      </c>
      <c r="C563" s="9" t="inlineStr">
        <is>
          <t>м2</t>
        </is>
      </c>
      <c r="D563" s="4">
        <f>IF('Форма'!G561="","",'Форма'!G561)</f>
        <v/>
      </c>
      <c r="E563" s="9" t="inlineStr">
        <is>
          <t>аналог (8.2.34)</t>
        </is>
      </c>
      <c r="F563" s="9" t="inlineStr">
        <is>
          <t>OTD</t>
        </is>
      </c>
      <c r="G563" s="10" t="n">
        <v>360</v>
      </c>
      <c r="H563" s="10" t="n">
        <v>210</v>
      </c>
      <c r="I563" s="10" t="n">
        <v>0.2</v>
      </c>
      <c r="J563" s="9" t="inlineStr"/>
      <c r="K563" s="7">
        <f>IF(F563="",0,IFERROR(VLOOKUP(F563,Расходники!$A$4:$B$23,2,FALSE),0))</f>
        <v/>
      </c>
      <c r="L563" s="4">
        <f>H563*D563</f>
        <v/>
      </c>
      <c r="M563" s="4">
        <f>L563*K563</f>
        <v/>
      </c>
      <c r="N563" s="4">
        <f>SUMIF(Материалы!$A$4:$A$800,SUBSTITUTE(SUBSTITUTE(SUBSTITUTE(B563,"~","~~"),"*","~*"),"?","~?"),Материалы!$S$4:$S$800)</f>
        <v/>
      </c>
      <c r="O563" s="4">
        <f>L563+M563+N563</f>
        <v/>
      </c>
      <c r="P563" s="4">
        <f>IF(SUM($O$4:$O$672)=0,0,Косвенные!$C$9*O563/SUM($O$4:$O$672))</f>
        <v/>
      </c>
      <c r="Q563" s="4">
        <f>G563*D563+P563</f>
        <v/>
      </c>
      <c r="R563" s="4">
        <f>IF(D563=0,0,Q563/D563)</f>
        <v/>
      </c>
      <c r="S563" s="4">
        <f>IF(D563=0,0,SUMIF(Материалы!$A$4:$A$800,SUBSTITUTE(SUBSTITUTE(SUBSTITUTE(B563,"~","~~"),"*","~*"),"?","~?"),Материалы!$T$4:$T$800)/D563)</f>
        <v/>
      </c>
      <c r="T563" s="4">
        <f>R563+S563</f>
        <v/>
      </c>
      <c r="U563" s="4">
        <f>I563*D563</f>
        <v/>
      </c>
    </row>
    <row r="564" ht="22" customHeight="1">
      <c r="A564" s="9" t="inlineStr"/>
      <c r="B564" s="13" t="inlineStr">
        <is>
          <t>562. Монтаж комплектующих щитового оборудования с расключением автоматические выключатели (однополюсные устройства)</t>
        </is>
      </c>
      <c r="C564" s="9" t="inlineStr">
        <is>
          <t>шт.</t>
        </is>
      </c>
      <c r="D564" s="4">
        <f>IF('Форма'!G562="","",'Форма'!G562)</f>
        <v/>
      </c>
      <c r="E564" s="9" t="inlineStr">
        <is>
          <t>нет в тарификаторе</t>
        </is>
      </c>
      <c r="F564" s="9" t="inlineStr">
        <is>
          <t>ELM</t>
        </is>
      </c>
      <c r="G564" s="10" t="n">
        <v>731.5</v>
      </c>
      <c r="H564" s="10" t="n">
        <v>357</v>
      </c>
      <c r="I564" s="10" t="n">
        <v>0.35</v>
      </c>
      <c r="J564" s="9" t="inlineStr"/>
      <c r="K564" s="7">
        <f>IF(F564="",0,IFERROR(VLOOKUP(F564,Расходники!$A$4:$B$23,2,FALSE),0))</f>
        <v/>
      </c>
      <c r="L564" s="4">
        <f>H564*D564</f>
        <v/>
      </c>
      <c r="M564" s="4">
        <f>L564*K564</f>
        <v/>
      </c>
      <c r="N564" s="4">
        <f>SUMIF(Материалы!$A$4:$A$800,SUBSTITUTE(SUBSTITUTE(SUBSTITUTE(B564,"~","~~"),"*","~*"),"?","~?"),Материалы!$S$4:$S$800)</f>
        <v/>
      </c>
      <c r="O564" s="4">
        <f>L564+M564+N564</f>
        <v/>
      </c>
      <c r="P564" s="4">
        <f>IF(SUM($O$4:$O$672)=0,0,Косвенные!$C$9*O564/SUM($O$4:$O$672))</f>
        <v/>
      </c>
      <c r="Q564" s="4">
        <f>G564*D564+P564</f>
        <v/>
      </c>
      <c r="R564" s="4">
        <f>IF(D564=0,0,Q564/D564)</f>
        <v/>
      </c>
      <c r="S564" s="4">
        <f>IF(D564=0,0,SUMIF(Материалы!$A$4:$A$800,SUBSTITUTE(SUBSTITUTE(SUBSTITUTE(B564,"~","~~"),"*","~*"),"?","~?"),Материалы!$T$4:$T$800)/D564)</f>
        <v/>
      </c>
      <c r="T564" s="4">
        <f>R564+S564</f>
        <v/>
      </c>
      <c r="U564" s="4">
        <f>I564*D564</f>
        <v/>
      </c>
    </row>
    <row r="565" ht="22" customHeight="1">
      <c r="A565" s="9" t="inlineStr"/>
      <c r="B565" s="13" t="inlineStr">
        <is>
          <t>563. Монтаж комплектующих щитового оборудования с расключением дифференциальные автоматические выключатели, УЗО(двухполюсные устройства)</t>
        </is>
      </c>
      <c r="C565" s="9" t="inlineStr">
        <is>
          <t>шт.</t>
        </is>
      </c>
      <c r="D565" s="4">
        <f>IF('Форма'!G563="","",'Форма'!G563)</f>
        <v/>
      </c>
      <c r="E565" s="9" t="inlineStr">
        <is>
          <t>нет в тарификаторе</t>
        </is>
      </c>
      <c r="F565" s="9" t="inlineStr">
        <is>
          <t>ELM</t>
        </is>
      </c>
      <c r="G565" s="10" t="n">
        <v>1463</v>
      </c>
      <c r="H565" s="10" t="n">
        <v>714</v>
      </c>
      <c r="I565" s="10" t="n">
        <v>0.7</v>
      </c>
      <c r="J565" s="9" t="inlineStr"/>
      <c r="K565" s="7">
        <f>IF(F565="",0,IFERROR(VLOOKUP(F565,Расходники!$A$4:$B$23,2,FALSE),0))</f>
        <v/>
      </c>
      <c r="L565" s="4">
        <f>H565*D565</f>
        <v/>
      </c>
      <c r="M565" s="4">
        <f>L565*K565</f>
        <v/>
      </c>
      <c r="N565" s="4">
        <f>SUMIF(Материалы!$A$4:$A$800,SUBSTITUTE(SUBSTITUTE(SUBSTITUTE(B565,"~","~~"),"*","~*"),"?","~?"),Материалы!$S$4:$S$800)</f>
        <v/>
      </c>
      <c r="O565" s="4">
        <f>L565+M565+N565</f>
        <v/>
      </c>
      <c r="P565" s="4">
        <f>IF(SUM($O$4:$O$672)=0,0,Косвенные!$C$9*O565/SUM($O$4:$O$672))</f>
        <v/>
      </c>
      <c r="Q565" s="4">
        <f>G565*D565+P565</f>
        <v/>
      </c>
      <c r="R565" s="4">
        <f>IF(D565=0,0,Q565/D565)</f>
        <v/>
      </c>
      <c r="S565" s="4">
        <f>IF(D565=0,0,SUMIF(Материалы!$A$4:$A$800,SUBSTITUTE(SUBSTITUTE(SUBSTITUTE(B565,"~","~~"),"*","~*"),"?","~?"),Материалы!$T$4:$T$800)/D565)</f>
        <v/>
      </c>
      <c r="T565" s="4">
        <f>R565+S565</f>
        <v/>
      </c>
      <c r="U565" s="4">
        <f>I565*D565</f>
        <v/>
      </c>
    </row>
    <row r="566" ht="22" customHeight="1">
      <c r="A566" s="9" t="inlineStr"/>
      <c r="B566" s="13" t="inlineStr">
        <is>
          <t>564. Монтаж комплектующих щитового оборудования с расключением (трехполюсные устройства)</t>
        </is>
      </c>
      <c r="C566" s="9" t="inlineStr">
        <is>
          <t>шт.</t>
        </is>
      </c>
      <c r="D566" s="4">
        <f>IF('Форма'!G564="","",'Форма'!G564)</f>
        <v/>
      </c>
      <c r="E566" s="9" t="inlineStr">
        <is>
          <t>нет в тарификаторе</t>
        </is>
      </c>
      <c r="F566" s="9" t="inlineStr">
        <is>
          <t>ELM</t>
        </is>
      </c>
      <c r="G566" s="10" t="n">
        <v>2194.5</v>
      </c>
      <c r="H566" s="10" t="n">
        <v>1071</v>
      </c>
      <c r="I566" s="10" t="n">
        <v>1.05</v>
      </c>
      <c r="J566" s="9" t="inlineStr"/>
      <c r="K566" s="7">
        <f>IF(F566="",0,IFERROR(VLOOKUP(F566,Расходники!$A$4:$B$23,2,FALSE),0))</f>
        <v/>
      </c>
      <c r="L566" s="4">
        <f>H566*D566</f>
        <v/>
      </c>
      <c r="M566" s="4">
        <f>L566*K566</f>
        <v/>
      </c>
      <c r="N566" s="4">
        <f>SUMIF(Материалы!$A$4:$A$800,SUBSTITUTE(SUBSTITUTE(SUBSTITUTE(B566,"~","~~"),"*","~*"),"?","~?"),Материалы!$S$4:$S$800)</f>
        <v/>
      </c>
      <c r="O566" s="4">
        <f>L566+M566+N566</f>
        <v/>
      </c>
      <c r="P566" s="4">
        <f>IF(SUM($O$4:$O$672)=0,0,Косвенные!$C$9*O566/SUM($O$4:$O$672))</f>
        <v/>
      </c>
      <c r="Q566" s="4">
        <f>G566*D566+P566</f>
        <v/>
      </c>
      <c r="R566" s="4">
        <f>IF(D566=0,0,Q566/D566)</f>
        <v/>
      </c>
      <c r="S566" s="4">
        <f>IF(D566=0,0,SUMIF(Материалы!$A$4:$A$800,SUBSTITUTE(SUBSTITUTE(SUBSTITUTE(B566,"~","~~"),"*","~*"),"?","~?"),Материалы!$T$4:$T$800)/D566)</f>
        <v/>
      </c>
      <c r="T566" s="4">
        <f>R566+S566</f>
        <v/>
      </c>
      <c r="U566" s="4">
        <f>I566*D566</f>
        <v/>
      </c>
    </row>
    <row r="567" ht="22" customHeight="1">
      <c r="A567" s="9" t="inlineStr"/>
      <c r="B567" s="13" t="inlineStr">
        <is>
          <t>565. Демонтаж подвесных светильников</t>
        </is>
      </c>
      <c r="C567" s="9" t="inlineStr">
        <is>
          <t>шт.</t>
        </is>
      </c>
      <c r="D567" s="4">
        <f>IF('Форма'!G565="","",'Форма'!G565)</f>
        <v/>
      </c>
      <c r="E567" s="9" t="inlineStr">
        <is>
          <t>аналог (10.4.N2)</t>
        </is>
      </c>
      <c r="F567" s="9" t="inlineStr">
        <is>
          <t>ELM</t>
        </is>
      </c>
      <c r="G567" s="10" t="n">
        <v>731.5</v>
      </c>
      <c r="H567" s="10" t="n">
        <v>357</v>
      </c>
      <c r="I567" s="10" t="n">
        <v>0.35</v>
      </c>
      <c r="J567" s="9" t="inlineStr"/>
      <c r="K567" s="7">
        <f>IF(F567="",0,IFERROR(VLOOKUP(F567,Расходники!$A$4:$B$23,2,FALSE),0))</f>
        <v/>
      </c>
      <c r="L567" s="4">
        <f>H567*D567</f>
        <v/>
      </c>
      <c r="M567" s="4">
        <f>L567*K567</f>
        <v/>
      </c>
      <c r="N567" s="4">
        <f>SUMIF(Материалы!$A$4:$A$800,SUBSTITUTE(SUBSTITUTE(SUBSTITUTE(B567,"~","~~"),"*","~*"),"?","~?"),Материалы!$S$4:$S$800)</f>
        <v/>
      </c>
      <c r="O567" s="4">
        <f>L567+M567+N567</f>
        <v/>
      </c>
      <c r="P567" s="4">
        <f>IF(SUM($O$4:$O$672)=0,0,Косвенные!$C$9*O567/SUM($O$4:$O$672))</f>
        <v/>
      </c>
      <c r="Q567" s="4">
        <f>G567*D567+P567</f>
        <v/>
      </c>
      <c r="R567" s="4">
        <f>IF(D567=0,0,Q567/D567)</f>
        <v/>
      </c>
      <c r="S567" s="4">
        <f>IF(D567=0,0,SUMIF(Материалы!$A$4:$A$800,SUBSTITUTE(SUBSTITUTE(SUBSTITUTE(B567,"~","~~"),"*","~*"),"?","~?"),Материалы!$T$4:$T$800)/D567)</f>
        <v/>
      </c>
      <c r="T567" s="4">
        <f>R567+S567</f>
        <v/>
      </c>
      <c r="U567" s="4">
        <f>I567*D567</f>
        <v/>
      </c>
    </row>
    <row r="568" ht="22" customHeight="1">
      <c r="A568" s="9" t="inlineStr"/>
      <c r="B568" s="13" t="inlineStr">
        <is>
          <t>566. Монтаж подвесных светильников</t>
        </is>
      </c>
      <c r="C568" s="9" t="inlineStr">
        <is>
          <t>шт.</t>
        </is>
      </c>
      <c r="D568" s="4">
        <f>IF('Форма'!G566="","",'Форма'!G566)</f>
        <v/>
      </c>
      <c r="E568" s="9" t="inlineStr">
        <is>
          <t>аналог (10.4.10), без прибора</t>
        </is>
      </c>
      <c r="F568" s="9" t="inlineStr">
        <is>
          <t>ELM</t>
        </is>
      </c>
      <c r="G568" s="10" t="n">
        <v>1254</v>
      </c>
      <c r="H568" s="10" t="n">
        <v>612</v>
      </c>
      <c r="I568" s="10" t="n">
        <v>0.6</v>
      </c>
      <c r="J568" s="9" t="inlineStr"/>
      <c r="K568" s="7">
        <f>IF(F568="",0,IFERROR(VLOOKUP(F568,Расходники!$A$4:$B$23,2,FALSE),0))</f>
        <v/>
      </c>
      <c r="L568" s="4">
        <f>H568*D568</f>
        <v/>
      </c>
      <c r="M568" s="4">
        <f>L568*K568</f>
        <v/>
      </c>
      <c r="N568" s="4">
        <f>SUMIF(Материалы!$A$4:$A$800,SUBSTITUTE(SUBSTITUTE(SUBSTITUTE(B568,"~","~~"),"*","~*"),"?","~?"),Материалы!$S$4:$S$800)</f>
        <v/>
      </c>
      <c r="O568" s="4">
        <f>L568+M568+N568</f>
        <v/>
      </c>
      <c r="P568" s="4">
        <f>IF(SUM($O$4:$O$672)=0,0,Косвенные!$C$9*O568/SUM($O$4:$O$672))</f>
        <v/>
      </c>
      <c r="Q568" s="4">
        <f>G568*D568+P568</f>
        <v/>
      </c>
      <c r="R568" s="4">
        <f>IF(D568=0,0,Q568/D568)</f>
        <v/>
      </c>
      <c r="S568" s="4">
        <f>IF(D568=0,0,SUMIF(Материалы!$A$4:$A$800,SUBSTITUTE(SUBSTITUTE(SUBSTITUTE(B568,"~","~~"),"*","~*"),"?","~?"),Материалы!$T$4:$T$800)/D568)</f>
        <v/>
      </c>
      <c r="T568" s="4">
        <f>R568+S568</f>
        <v/>
      </c>
      <c r="U568" s="4">
        <f>I568*D568</f>
        <v/>
      </c>
    </row>
    <row r="569" ht="22" customHeight="1">
      <c r="A569" s="9" t="inlineStr"/>
      <c r="B569" s="13" t="inlineStr">
        <is>
          <t>567. Перенос подвесных светильников</t>
        </is>
      </c>
      <c r="C569" s="9" t="inlineStr">
        <is>
          <t>шт.</t>
        </is>
      </c>
      <c r="D569" s="4">
        <f>IF('Форма'!G567="","",'Форма'!G567)</f>
        <v/>
      </c>
      <c r="E569" s="9" t="inlineStr">
        <is>
          <t>аналог (10.4.N2)</t>
        </is>
      </c>
      <c r="F569" s="9" t="inlineStr">
        <is>
          <t>ELM</t>
        </is>
      </c>
      <c r="G569" s="10" t="n">
        <v>731.5</v>
      </c>
      <c r="H569" s="10" t="n">
        <v>357</v>
      </c>
      <c r="I569" s="10" t="n">
        <v>0.35</v>
      </c>
      <c r="J569" s="9" t="inlineStr"/>
      <c r="K569" s="7">
        <f>IF(F569="",0,IFERROR(VLOOKUP(F569,Расходники!$A$4:$B$23,2,FALSE),0))</f>
        <v/>
      </c>
      <c r="L569" s="4">
        <f>H569*D569</f>
        <v/>
      </c>
      <c r="M569" s="4">
        <f>L569*K569</f>
        <v/>
      </c>
      <c r="N569" s="4">
        <f>SUMIF(Материалы!$A$4:$A$800,SUBSTITUTE(SUBSTITUTE(SUBSTITUTE(B569,"~","~~"),"*","~*"),"?","~?"),Материалы!$S$4:$S$800)</f>
        <v/>
      </c>
      <c r="O569" s="4">
        <f>L569+M569+N569</f>
        <v/>
      </c>
      <c r="P569" s="4">
        <f>IF(SUM($O$4:$O$672)=0,0,Косвенные!$C$9*O569/SUM($O$4:$O$672))</f>
        <v/>
      </c>
      <c r="Q569" s="4">
        <f>G569*D569+P569</f>
        <v/>
      </c>
      <c r="R569" s="4">
        <f>IF(D569=0,0,Q569/D569)</f>
        <v/>
      </c>
      <c r="S569" s="4">
        <f>IF(D569=0,0,SUMIF(Материалы!$A$4:$A$800,SUBSTITUTE(SUBSTITUTE(SUBSTITUTE(B569,"~","~~"),"*","~*"),"?","~?"),Материалы!$T$4:$T$800)/D569)</f>
        <v/>
      </c>
      <c r="T569" s="4">
        <f>R569+S569</f>
        <v/>
      </c>
      <c r="U569" s="4">
        <f>I569*D569</f>
        <v/>
      </c>
    </row>
    <row r="570" ht="22" customHeight="1">
      <c r="A570" s="9" t="inlineStr"/>
      <c r="B570" s="13" t="inlineStr">
        <is>
          <t>568. Демонтаж/монтаж/перенос встроенного светильника</t>
        </is>
      </c>
      <c r="C570" s="9" t="inlineStr">
        <is>
          <t>шт.</t>
        </is>
      </c>
      <c r="D570" s="4">
        <f>IF('Форма'!G568="","",'Форма'!G568)</f>
        <v/>
      </c>
      <c r="E570" s="9" t="inlineStr">
        <is>
          <t>аналог (10.4.N2)</t>
        </is>
      </c>
      <c r="F570" s="9" t="inlineStr">
        <is>
          <t>ELM</t>
        </is>
      </c>
      <c r="G570" s="10" t="n">
        <v>731.5</v>
      </c>
      <c r="H570" s="10" t="n">
        <v>357</v>
      </c>
      <c r="I570" s="10" t="n">
        <v>0.35</v>
      </c>
      <c r="J570" s="9" t="inlineStr"/>
      <c r="K570" s="7">
        <f>IF(F570="",0,IFERROR(VLOOKUP(F570,Расходники!$A$4:$B$23,2,FALSE),0))</f>
        <v/>
      </c>
      <c r="L570" s="4">
        <f>H570*D570</f>
        <v/>
      </c>
      <c r="M570" s="4">
        <f>L570*K570</f>
        <v/>
      </c>
      <c r="N570" s="4">
        <f>SUMIF(Материалы!$A$4:$A$800,SUBSTITUTE(SUBSTITUTE(SUBSTITUTE(B570,"~","~~"),"*","~*"),"?","~?"),Материалы!$S$4:$S$800)</f>
        <v/>
      </c>
      <c r="O570" s="4">
        <f>L570+M570+N570</f>
        <v/>
      </c>
      <c r="P570" s="4">
        <f>IF(SUM($O$4:$O$672)=0,0,Косвенные!$C$9*O570/SUM($O$4:$O$672))</f>
        <v/>
      </c>
      <c r="Q570" s="4">
        <f>G570*D570+P570</f>
        <v/>
      </c>
      <c r="R570" s="4">
        <f>IF(D570=0,0,Q570/D570)</f>
        <v/>
      </c>
      <c r="S570" s="4">
        <f>IF(D570=0,0,SUMIF(Материалы!$A$4:$A$800,SUBSTITUTE(SUBSTITUTE(SUBSTITUTE(B570,"~","~~"),"*","~*"),"?","~?"),Материалы!$T$4:$T$800)/D570)</f>
        <v/>
      </c>
      <c r="T570" s="4">
        <f>R570+S570</f>
        <v/>
      </c>
      <c r="U570" s="4">
        <f>I570*D570</f>
        <v/>
      </c>
    </row>
    <row r="571" ht="22" customHeight="1">
      <c r="A571" s="9" t="inlineStr"/>
      <c r="B571" s="13" t="inlineStr">
        <is>
          <t>569. Монтаж встроенного светильника</t>
        </is>
      </c>
      <c r="C571" s="9" t="inlineStr">
        <is>
          <t>шт.</t>
        </is>
      </c>
      <c r="D571" s="4">
        <f>IF('Форма'!G569="","",'Форма'!G569)</f>
        <v/>
      </c>
      <c r="E571" s="9" t="inlineStr">
        <is>
          <t>аналог (10.4.10), без прибора</t>
        </is>
      </c>
      <c r="F571" s="9" t="inlineStr">
        <is>
          <t>ELM</t>
        </is>
      </c>
      <c r="G571" s="10" t="n">
        <v>1254</v>
      </c>
      <c r="H571" s="10" t="n">
        <v>612</v>
      </c>
      <c r="I571" s="10" t="n">
        <v>0.6</v>
      </c>
      <c r="J571" s="9" t="inlineStr"/>
      <c r="K571" s="7">
        <f>IF(F571="",0,IFERROR(VLOOKUP(F571,Расходники!$A$4:$B$23,2,FALSE),0))</f>
        <v/>
      </c>
      <c r="L571" s="4">
        <f>H571*D571</f>
        <v/>
      </c>
      <c r="M571" s="4">
        <f>L571*K571</f>
        <v/>
      </c>
      <c r="N571" s="4">
        <f>SUMIF(Материалы!$A$4:$A$800,SUBSTITUTE(SUBSTITUTE(SUBSTITUTE(B571,"~","~~"),"*","~*"),"?","~?"),Материалы!$S$4:$S$800)</f>
        <v/>
      </c>
      <c r="O571" s="4">
        <f>L571+M571+N571</f>
        <v/>
      </c>
      <c r="P571" s="4">
        <f>IF(SUM($O$4:$O$672)=0,0,Косвенные!$C$9*O571/SUM($O$4:$O$672))</f>
        <v/>
      </c>
      <c r="Q571" s="4">
        <f>G571*D571+P571</f>
        <v/>
      </c>
      <c r="R571" s="4">
        <f>IF(D571=0,0,Q571/D571)</f>
        <v/>
      </c>
      <c r="S571" s="4">
        <f>IF(D571=0,0,SUMIF(Материалы!$A$4:$A$800,SUBSTITUTE(SUBSTITUTE(SUBSTITUTE(B571,"~","~~"),"*","~*"),"?","~?"),Материалы!$T$4:$T$800)/D571)</f>
        <v/>
      </c>
      <c r="T571" s="4">
        <f>R571+S571</f>
        <v/>
      </c>
      <c r="U571" s="4">
        <f>I571*D571</f>
        <v/>
      </c>
    </row>
    <row r="572" ht="22" customHeight="1">
      <c r="A572" s="9" t="inlineStr"/>
      <c r="B572" s="13" t="inlineStr">
        <is>
          <t>570. Демонтаж/монтаж/перенос лючков</t>
        </is>
      </c>
      <c r="C572" s="9" t="inlineStr">
        <is>
          <t>шт.</t>
        </is>
      </c>
      <c r="D572" s="4">
        <f>IF('Форма'!G570="","",'Форма'!G570)</f>
        <v/>
      </c>
      <c r="E572" s="9" t="inlineStr">
        <is>
          <t>нет в тарификаторе</t>
        </is>
      </c>
      <c r="F572" s="9" t="inlineStr">
        <is>
          <t>RAZ</t>
        </is>
      </c>
      <c r="G572" s="10" t="n">
        <v>570</v>
      </c>
      <c r="H572" s="10" t="n">
        <v>330</v>
      </c>
      <c r="I572" s="10" t="n">
        <v>0.5</v>
      </c>
      <c r="J572" s="9" t="inlineStr"/>
      <c r="K572" s="7">
        <f>IF(F572="",0,IFERROR(VLOOKUP(F572,Расходники!$A$4:$B$23,2,FALSE),0))</f>
        <v/>
      </c>
      <c r="L572" s="4">
        <f>H572*D572</f>
        <v/>
      </c>
      <c r="M572" s="4">
        <f>L572*K572</f>
        <v/>
      </c>
      <c r="N572" s="4">
        <f>SUMIF(Материалы!$A$4:$A$800,SUBSTITUTE(SUBSTITUTE(SUBSTITUTE(B572,"~","~~"),"*","~*"),"?","~?"),Материалы!$S$4:$S$800)</f>
        <v/>
      </c>
      <c r="O572" s="4">
        <f>L572+M572+N572</f>
        <v/>
      </c>
      <c r="P572" s="4">
        <f>IF(SUM($O$4:$O$672)=0,0,Косвенные!$C$9*O572/SUM($O$4:$O$672))</f>
        <v/>
      </c>
      <c r="Q572" s="4">
        <f>G572*D572+P572</f>
        <v/>
      </c>
      <c r="R572" s="4">
        <f>IF(D572=0,0,Q572/D572)</f>
        <v/>
      </c>
      <c r="S572" s="4">
        <f>IF(D572=0,0,SUMIF(Материалы!$A$4:$A$800,SUBSTITUTE(SUBSTITUTE(SUBSTITUTE(B572,"~","~~"),"*","~*"),"?","~?"),Материалы!$T$4:$T$800)/D572)</f>
        <v/>
      </c>
      <c r="T572" s="4">
        <f>R572+S572</f>
        <v/>
      </c>
      <c r="U572" s="4">
        <f>I572*D572</f>
        <v/>
      </c>
    </row>
    <row r="573" ht="22" customHeight="1">
      <c r="A573" s="9" t="inlineStr"/>
      <c r="B573" s="13" t="inlineStr">
        <is>
          <t>571. Организация контура заземления на электроустановочных изделиях</t>
        </is>
      </c>
      <c r="C573" s="9" t="inlineStr">
        <is>
          <t>шт.</t>
        </is>
      </c>
      <c r="D573" s="4">
        <f>IF('Форма'!G571="","",'Форма'!G571)</f>
        <v/>
      </c>
      <c r="E573" s="9" t="inlineStr">
        <is>
          <t>нет в тарификаторе</t>
        </is>
      </c>
      <c r="F573" s="9" t="inlineStr">
        <is>
          <t>ELM</t>
        </is>
      </c>
      <c r="G573" s="10" t="n">
        <v>418</v>
      </c>
      <c r="H573" s="10" t="n">
        <v>204</v>
      </c>
      <c r="I573" s="10" t="n">
        <v>0.2</v>
      </c>
      <c r="J573" s="9" t="inlineStr"/>
      <c r="K573" s="7">
        <f>IF(F573="",0,IFERROR(VLOOKUP(F573,Расходники!$A$4:$B$23,2,FALSE),0))</f>
        <v/>
      </c>
      <c r="L573" s="4">
        <f>H573*D573</f>
        <v/>
      </c>
      <c r="M573" s="4">
        <f>L573*K573</f>
        <v/>
      </c>
      <c r="N573" s="4">
        <f>SUMIF(Материалы!$A$4:$A$800,SUBSTITUTE(SUBSTITUTE(SUBSTITUTE(B573,"~","~~"),"*","~*"),"?","~?"),Материалы!$S$4:$S$800)</f>
        <v/>
      </c>
      <c r="O573" s="4">
        <f>L573+M573+N573</f>
        <v/>
      </c>
      <c r="P573" s="4">
        <f>IF(SUM($O$4:$O$672)=0,0,Косвенные!$C$9*O573/SUM($O$4:$O$672))</f>
        <v/>
      </c>
      <c r="Q573" s="4">
        <f>G573*D573+P573</f>
        <v/>
      </c>
      <c r="R573" s="4">
        <f>IF(D573=0,0,Q573/D573)</f>
        <v/>
      </c>
      <c r="S573" s="4">
        <f>IF(D573=0,0,SUMIF(Материалы!$A$4:$A$800,SUBSTITUTE(SUBSTITUTE(SUBSTITUTE(B573,"~","~~"),"*","~*"),"?","~?"),Материалы!$T$4:$T$800)/D573)</f>
        <v/>
      </c>
      <c r="T573" s="4">
        <f>R573+S573</f>
        <v/>
      </c>
      <c r="U573" s="4">
        <f>I573*D573</f>
        <v/>
      </c>
    </row>
    <row r="574" ht="22" customHeight="1">
      <c r="A574" s="9" t="inlineStr"/>
      <c r="B574" s="13" t="inlineStr">
        <is>
          <t>572. Прокладка/локальная замена многожильных/одножильных кабелей с затяжкой в гофру с сечением до 6,6 мм2</t>
        </is>
      </c>
      <c r="C574" s="9" t="inlineStr">
        <is>
          <t>м.п.</t>
        </is>
      </c>
      <c r="D574" s="4">
        <f>IF('Форма'!G572="","",'Форма'!G572)</f>
        <v/>
      </c>
      <c r="E574" s="9" t="inlineStr">
        <is>
          <t>нет в тарификаторе</t>
        </is>
      </c>
      <c r="F574" s="9" t="inlineStr">
        <is>
          <t>ELM</t>
        </is>
      </c>
      <c r="G574" s="10" t="n">
        <v>125.4</v>
      </c>
      <c r="H574" s="10" t="n">
        <v>61.2</v>
      </c>
      <c r="I574" s="10" t="n">
        <v>0.06</v>
      </c>
      <c r="J574" s="9" t="inlineStr"/>
      <c r="K574" s="7">
        <f>IF(F574="",0,IFERROR(VLOOKUP(F574,Расходники!$A$4:$B$23,2,FALSE),0))</f>
        <v/>
      </c>
      <c r="L574" s="4">
        <f>H574*D574</f>
        <v/>
      </c>
      <c r="M574" s="4">
        <f>L574*K574</f>
        <v/>
      </c>
      <c r="N574" s="4">
        <f>SUMIF(Материалы!$A$4:$A$800,SUBSTITUTE(SUBSTITUTE(SUBSTITUTE(B574,"~","~~"),"*","~*"),"?","~?"),Материалы!$S$4:$S$800)</f>
        <v/>
      </c>
      <c r="O574" s="4">
        <f>L574+M574+N574</f>
        <v/>
      </c>
      <c r="P574" s="4">
        <f>IF(SUM($O$4:$O$672)=0,0,Косвенные!$C$9*O574/SUM($O$4:$O$672))</f>
        <v/>
      </c>
      <c r="Q574" s="4">
        <f>G574*D574+P574</f>
        <v/>
      </c>
      <c r="R574" s="4">
        <f>IF(D574=0,0,Q574/D574)</f>
        <v/>
      </c>
      <c r="S574" s="4">
        <f>IF(D574=0,0,SUMIF(Материалы!$A$4:$A$800,SUBSTITUTE(SUBSTITUTE(SUBSTITUTE(B574,"~","~~"),"*","~*"),"?","~?"),Материалы!$T$4:$T$800)/D574)</f>
        <v/>
      </c>
      <c r="T574" s="4">
        <f>R574+S574</f>
        <v/>
      </c>
      <c r="U574" s="4">
        <f>I574*D574</f>
        <v/>
      </c>
    </row>
    <row r="575" ht="22" customHeight="1">
      <c r="A575" s="9" t="inlineStr"/>
      <c r="B575" s="13" t="inlineStr">
        <is>
          <t>573. Прокладка/локальная замена многожильных/одножильных кабелей с затяжкой в гофру с сечением до 35 мм2</t>
        </is>
      </c>
      <c r="C575" s="9" t="inlineStr">
        <is>
          <t>м.п.</t>
        </is>
      </c>
      <c r="D575" s="4">
        <f>IF('Форма'!G573="","",'Форма'!G573)</f>
        <v/>
      </c>
      <c r="E575" s="9" t="inlineStr">
        <is>
          <t>нет в тарификаторе</t>
        </is>
      </c>
      <c r="F575" s="9" t="inlineStr">
        <is>
          <t>ELM</t>
        </is>
      </c>
      <c r="G575" s="10" t="n">
        <v>125.4</v>
      </c>
      <c r="H575" s="10" t="n">
        <v>61.2</v>
      </c>
      <c r="I575" s="10" t="n">
        <v>0.06</v>
      </c>
      <c r="J575" s="9" t="inlineStr"/>
      <c r="K575" s="7">
        <f>IF(F575="",0,IFERROR(VLOOKUP(F575,Расходники!$A$4:$B$23,2,FALSE),0))</f>
        <v/>
      </c>
      <c r="L575" s="4">
        <f>H575*D575</f>
        <v/>
      </c>
      <c r="M575" s="4">
        <f>L575*K575</f>
        <v/>
      </c>
      <c r="N575" s="4">
        <f>SUMIF(Материалы!$A$4:$A$800,SUBSTITUTE(SUBSTITUTE(SUBSTITUTE(B575,"~","~~"),"*","~*"),"?","~?"),Материалы!$S$4:$S$800)</f>
        <v/>
      </c>
      <c r="O575" s="4">
        <f>L575+M575+N575</f>
        <v/>
      </c>
      <c r="P575" s="4">
        <f>IF(SUM($O$4:$O$672)=0,0,Косвенные!$C$9*O575/SUM($O$4:$O$672))</f>
        <v/>
      </c>
      <c r="Q575" s="4">
        <f>G575*D575+P575</f>
        <v/>
      </c>
      <c r="R575" s="4">
        <f>IF(D575=0,0,Q575/D575)</f>
        <v/>
      </c>
      <c r="S575" s="4">
        <f>IF(D575=0,0,SUMIF(Материалы!$A$4:$A$800,SUBSTITUTE(SUBSTITUTE(SUBSTITUTE(B575,"~","~~"),"*","~*"),"?","~?"),Материалы!$T$4:$T$800)/D575)</f>
        <v/>
      </c>
      <c r="T575" s="4">
        <f>R575+S575</f>
        <v/>
      </c>
      <c r="U575" s="4">
        <f>I575*D575</f>
        <v/>
      </c>
    </row>
    <row r="576" ht="22" customHeight="1">
      <c r="A576" s="9" t="inlineStr">
        <is>
          <t>10.2.N3</t>
        </is>
      </c>
      <c r="B576" s="13" t="inlineStr">
        <is>
          <t xml:space="preserve">574. Заземление лотков/стоек фальш-пола/лючков/розеток медным кабелем ПВ3 1х4 мм </t>
        </is>
      </c>
      <c r="C576" s="9" t="inlineStr">
        <is>
          <t>м.п.</t>
        </is>
      </c>
      <c r="D576" s="4">
        <f>IF('Форма'!G574="","",'Форма'!G574)</f>
        <v/>
      </c>
      <c r="E576" s="9" t="inlineStr">
        <is>
          <t>аналог (10.2.N3)</t>
        </is>
      </c>
      <c r="F576" s="9" t="inlineStr">
        <is>
          <t>ELM</t>
        </is>
      </c>
      <c r="G576" s="10" t="n">
        <v>260</v>
      </c>
      <c r="H576" s="10" t="n">
        <v>160</v>
      </c>
      <c r="I576" s="10" t="n">
        <v>0.12</v>
      </c>
      <c r="J576" s="9" t="inlineStr"/>
      <c r="K576" s="7">
        <f>IF(F576="",0,IFERROR(VLOOKUP(F576,Расходники!$A$4:$B$23,2,FALSE),0))</f>
        <v/>
      </c>
      <c r="L576" s="4">
        <f>H576*D576</f>
        <v/>
      </c>
      <c r="M576" s="4">
        <f>L576*K576</f>
        <v/>
      </c>
      <c r="N576" s="4">
        <f>SUMIF(Материалы!$A$4:$A$800,SUBSTITUTE(SUBSTITUTE(SUBSTITUTE(B576,"~","~~"),"*","~*"),"?","~?"),Материалы!$S$4:$S$800)</f>
        <v/>
      </c>
      <c r="O576" s="4">
        <f>L576+M576+N576</f>
        <v/>
      </c>
      <c r="P576" s="4">
        <f>IF(SUM($O$4:$O$672)=0,0,Косвенные!$C$9*O576/SUM($O$4:$O$672))</f>
        <v/>
      </c>
      <c r="Q576" s="4">
        <f>G576*D576+P576</f>
        <v/>
      </c>
      <c r="R576" s="4">
        <f>IF(D576=0,0,Q576/D576)</f>
        <v/>
      </c>
      <c r="S576" s="4">
        <f>IF(D576=0,0,SUMIF(Материалы!$A$4:$A$800,SUBSTITUTE(SUBSTITUTE(SUBSTITUTE(B576,"~","~~"),"*","~*"),"?","~?"),Материалы!$T$4:$T$800)/D576)</f>
        <v/>
      </c>
      <c r="T576" s="4">
        <f>R576+S576</f>
        <v/>
      </c>
      <c r="U576" s="4">
        <f>I576*D576</f>
        <v/>
      </c>
    </row>
    <row r="577" ht="22" customHeight="1">
      <c r="A577" s="9" t="inlineStr"/>
      <c r="B577" s="13" t="inlineStr">
        <is>
          <t xml:space="preserve">575. Монтаж кабель-каналов с аксессуарами </t>
        </is>
      </c>
      <c r="C577" s="9" t="inlineStr">
        <is>
          <t>п.м</t>
        </is>
      </c>
      <c r="D577" s="4">
        <f>IF('Форма'!G575="","",'Форма'!G575)</f>
        <v/>
      </c>
      <c r="E577" s="9" t="inlineStr">
        <is>
          <t>нет в тарификаторе</t>
        </is>
      </c>
      <c r="F577" s="9" t="inlineStr">
        <is>
          <t>ELM</t>
        </is>
      </c>
      <c r="G577" s="10" t="n">
        <v>250.8</v>
      </c>
      <c r="H577" s="10" t="n">
        <v>122.4</v>
      </c>
      <c r="I577" s="10" t="n">
        <v>0.12</v>
      </c>
      <c r="J577" s="9" t="inlineStr"/>
      <c r="K577" s="7">
        <f>IF(F577="",0,IFERROR(VLOOKUP(F577,Расходники!$A$4:$B$23,2,FALSE),0))</f>
        <v/>
      </c>
      <c r="L577" s="4">
        <f>H577*D577</f>
        <v/>
      </c>
      <c r="M577" s="4">
        <f>L577*K577</f>
        <v/>
      </c>
      <c r="N577" s="4">
        <f>SUMIF(Материалы!$A$4:$A$800,SUBSTITUTE(SUBSTITUTE(SUBSTITUTE(B577,"~","~~"),"*","~*"),"?","~?"),Материалы!$S$4:$S$800)</f>
        <v/>
      </c>
      <c r="O577" s="4">
        <f>L577+M577+N577</f>
        <v/>
      </c>
      <c r="P577" s="4">
        <f>IF(SUM($O$4:$O$672)=0,0,Косвенные!$C$9*O577/SUM($O$4:$O$672))</f>
        <v/>
      </c>
      <c r="Q577" s="4">
        <f>G577*D577+P577</f>
        <v/>
      </c>
      <c r="R577" s="4">
        <f>IF(D577=0,0,Q577/D577)</f>
        <v/>
      </c>
      <c r="S577" s="4">
        <f>IF(D577=0,0,SUMIF(Материалы!$A$4:$A$800,SUBSTITUTE(SUBSTITUTE(SUBSTITUTE(B577,"~","~~"),"*","~*"),"?","~?"),Материалы!$T$4:$T$800)/D577)</f>
        <v/>
      </c>
      <c r="T577" s="4">
        <f>R577+S577</f>
        <v/>
      </c>
      <c r="U577" s="4">
        <f>I577*D577</f>
        <v/>
      </c>
    </row>
    <row r="578" ht="22" customHeight="1">
      <c r="A578" s="9" t="inlineStr"/>
      <c r="B578" s="13" t="inlineStr">
        <is>
          <t>576. Монтаж гофротрубы на клипсы/открытым способом/по лоткам</t>
        </is>
      </c>
      <c r="C578" s="9" t="inlineStr">
        <is>
          <t>п.м</t>
        </is>
      </c>
      <c r="D578" s="4">
        <f>IF('Форма'!G576="","",'Форма'!G576)</f>
        <v/>
      </c>
      <c r="E578" s="9" t="inlineStr">
        <is>
          <t>нет в тарификаторе</t>
        </is>
      </c>
      <c r="F578" s="9" t="inlineStr">
        <is>
          <t>ELM</t>
        </is>
      </c>
      <c r="G578" s="10" t="n">
        <v>167.2</v>
      </c>
      <c r="H578" s="10" t="n">
        <v>81.59999999999999</v>
      </c>
      <c r="I578" s="10" t="n">
        <v>0.08</v>
      </c>
      <c r="J578" s="9" t="inlineStr"/>
      <c r="K578" s="7">
        <f>IF(F578="",0,IFERROR(VLOOKUP(F578,Расходники!$A$4:$B$23,2,FALSE),0))</f>
        <v/>
      </c>
      <c r="L578" s="4">
        <f>H578*D578</f>
        <v/>
      </c>
      <c r="M578" s="4">
        <f>L578*K578</f>
        <v/>
      </c>
      <c r="N578" s="4">
        <f>SUMIF(Материалы!$A$4:$A$800,SUBSTITUTE(SUBSTITUTE(SUBSTITUTE(B578,"~","~~"),"*","~*"),"?","~?"),Материалы!$S$4:$S$800)</f>
        <v/>
      </c>
      <c r="O578" s="4">
        <f>L578+M578+N578</f>
        <v/>
      </c>
      <c r="P578" s="4">
        <f>IF(SUM($O$4:$O$672)=0,0,Косвенные!$C$9*O578/SUM($O$4:$O$672))</f>
        <v/>
      </c>
      <c r="Q578" s="4">
        <f>G578*D578+P578</f>
        <v/>
      </c>
      <c r="R578" s="4">
        <f>IF(D578=0,0,Q578/D578)</f>
        <v/>
      </c>
      <c r="S578" s="4">
        <f>IF(D578=0,0,SUMIF(Материалы!$A$4:$A$800,SUBSTITUTE(SUBSTITUTE(SUBSTITUTE(B578,"~","~~"),"*","~*"),"?","~?"),Материалы!$T$4:$T$800)/D578)</f>
        <v/>
      </c>
      <c r="T578" s="4">
        <f>R578+S578</f>
        <v/>
      </c>
      <c r="U578" s="4">
        <f>I578*D578</f>
        <v/>
      </c>
    </row>
    <row r="579" ht="22" customHeight="1">
      <c r="A579" s="9" t="inlineStr"/>
      <c r="B579" s="13" t="inlineStr">
        <is>
          <t>577. Монтаж подрозетников/колодок соединительных/клемм типа WAGA</t>
        </is>
      </c>
      <c r="C579" s="9" t="inlineStr">
        <is>
          <t>шт.</t>
        </is>
      </c>
      <c r="D579" s="4">
        <f>IF('Форма'!G577="","",'Форма'!G577)</f>
        <v/>
      </c>
      <c r="E579" s="9" t="inlineStr">
        <is>
          <t>нет в тарификаторе</t>
        </is>
      </c>
      <c r="F579" s="9" t="inlineStr">
        <is>
          <t>ELM</t>
        </is>
      </c>
      <c r="G579" s="10" t="n">
        <v>418</v>
      </c>
      <c r="H579" s="10" t="n">
        <v>204</v>
      </c>
      <c r="I579" s="10" t="n">
        <v>0.2</v>
      </c>
      <c r="J579" s="9" t="inlineStr"/>
      <c r="K579" s="7">
        <f>IF(F579="",0,IFERROR(VLOOKUP(F579,Расходники!$A$4:$B$23,2,FALSE),0))</f>
        <v/>
      </c>
      <c r="L579" s="4">
        <f>H579*D579</f>
        <v/>
      </c>
      <c r="M579" s="4">
        <f>L579*K579</f>
        <v/>
      </c>
      <c r="N579" s="4">
        <f>SUMIF(Материалы!$A$4:$A$800,SUBSTITUTE(SUBSTITUTE(SUBSTITUTE(B579,"~","~~"),"*","~*"),"?","~?"),Материалы!$S$4:$S$800)</f>
        <v/>
      </c>
      <c r="O579" s="4">
        <f>L579+M579+N579</f>
        <v/>
      </c>
      <c r="P579" s="4">
        <f>IF(SUM($O$4:$O$672)=0,0,Косвенные!$C$9*O579/SUM($O$4:$O$672))</f>
        <v/>
      </c>
      <c r="Q579" s="4">
        <f>G579*D579+P579</f>
        <v/>
      </c>
      <c r="R579" s="4">
        <f>IF(D579=0,0,Q579/D579)</f>
        <v/>
      </c>
      <c r="S579" s="4">
        <f>IF(D579=0,0,SUMIF(Материалы!$A$4:$A$800,SUBSTITUTE(SUBSTITUTE(SUBSTITUTE(B579,"~","~~"),"*","~*"),"?","~?"),Материалы!$T$4:$T$800)/D579)</f>
        <v/>
      </c>
      <c r="T579" s="4">
        <f>R579+S579</f>
        <v/>
      </c>
      <c r="U579" s="4">
        <f>I579*D579</f>
        <v/>
      </c>
    </row>
    <row r="580" ht="22" customHeight="1">
      <c r="A580" s="9" t="inlineStr"/>
      <c r="B580" s="13" t="inlineStr">
        <is>
          <t>578. Ремонт трубопроводов с запорной арматурой, включая подводку гибкую</t>
        </is>
      </c>
      <c r="C580" s="9" t="inlineStr">
        <is>
          <t>п.м</t>
        </is>
      </c>
      <c r="D580" s="4">
        <f>IF('Форма'!G578="","",'Форма'!G578)</f>
        <v/>
      </c>
      <c r="E580" s="9" t="inlineStr">
        <is>
          <t>нет в тарификаторе</t>
        </is>
      </c>
      <c r="F580" s="9" t="inlineStr">
        <is>
          <t>BET</t>
        </is>
      </c>
      <c r="G580" s="10" t="n">
        <v>136.8</v>
      </c>
      <c r="H580" s="10" t="n">
        <v>76</v>
      </c>
      <c r="I580" s="10" t="n">
        <v>0.08</v>
      </c>
      <c r="J580" s="9" t="inlineStr"/>
      <c r="K580" s="7">
        <f>IF(F580="",0,IFERROR(VLOOKUP(F580,Расходники!$A$4:$B$23,2,FALSE),0))</f>
        <v/>
      </c>
      <c r="L580" s="4">
        <f>H580*D580</f>
        <v/>
      </c>
      <c r="M580" s="4">
        <f>L580*K580</f>
        <v/>
      </c>
      <c r="N580" s="4">
        <f>SUMIF(Материалы!$A$4:$A$800,SUBSTITUTE(SUBSTITUTE(SUBSTITUTE(B580,"~","~~"),"*","~*"),"?","~?"),Материалы!$S$4:$S$800)</f>
        <v/>
      </c>
      <c r="O580" s="4">
        <f>L580+M580+N580</f>
        <v/>
      </c>
      <c r="P580" s="4">
        <f>IF(SUM($O$4:$O$672)=0,0,Косвенные!$C$9*O580/SUM($O$4:$O$672))</f>
        <v/>
      </c>
      <c r="Q580" s="4">
        <f>G580*D580+P580</f>
        <v/>
      </c>
      <c r="R580" s="4">
        <f>IF(D580=0,0,Q580/D580)</f>
        <v/>
      </c>
      <c r="S580" s="4">
        <f>IF(D580=0,0,SUMIF(Материалы!$A$4:$A$800,SUBSTITUTE(SUBSTITUTE(SUBSTITUTE(B580,"~","~~"),"*","~*"),"?","~?"),Материалы!$T$4:$T$800)/D580)</f>
        <v/>
      </c>
      <c r="T580" s="4">
        <f>R580+S580</f>
        <v/>
      </c>
      <c r="U580" s="4">
        <f>I580*D580</f>
        <v/>
      </c>
    </row>
    <row r="581" ht="22" customHeight="1">
      <c r="A581" s="9" t="inlineStr"/>
      <c r="B581" s="13" t="inlineStr">
        <is>
          <t>579. Монтаж трубопроводов с запорной арматурой, включая подводку гибкую</t>
        </is>
      </c>
      <c r="C581" s="9" t="inlineStr">
        <is>
          <t>п.м</t>
        </is>
      </c>
      <c r="D581" s="4">
        <f>IF('Форма'!G579="","",'Форма'!G579)</f>
        <v/>
      </c>
      <c r="E581" s="9" t="inlineStr">
        <is>
          <t>нет в тарификаторе</t>
        </is>
      </c>
      <c r="F581" s="9" t="inlineStr">
        <is>
          <t>BET</t>
        </is>
      </c>
      <c r="G581" s="10" t="n">
        <v>136.8</v>
      </c>
      <c r="H581" s="10" t="n">
        <v>76</v>
      </c>
      <c r="I581" s="10" t="n">
        <v>0.08</v>
      </c>
      <c r="J581" s="9" t="inlineStr"/>
      <c r="K581" s="7">
        <f>IF(F581="",0,IFERROR(VLOOKUP(F581,Расходники!$A$4:$B$23,2,FALSE),0))</f>
        <v/>
      </c>
      <c r="L581" s="4">
        <f>H581*D581</f>
        <v/>
      </c>
      <c r="M581" s="4">
        <f>L581*K581</f>
        <v/>
      </c>
      <c r="N581" s="4">
        <f>SUMIF(Материалы!$A$4:$A$800,SUBSTITUTE(SUBSTITUTE(SUBSTITUTE(B581,"~","~~"),"*","~*"),"?","~?"),Материалы!$S$4:$S$800)</f>
        <v/>
      </c>
      <c r="O581" s="4">
        <f>L581+M581+N581</f>
        <v/>
      </c>
      <c r="P581" s="4">
        <f>IF(SUM($O$4:$O$672)=0,0,Косвенные!$C$9*O581/SUM($O$4:$O$672))</f>
        <v/>
      </c>
      <c r="Q581" s="4">
        <f>G581*D581+P581</f>
        <v/>
      </c>
      <c r="R581" s="4">
        <f>IF(D581=0,0,Q581/D581)</f>
        <v/>
      </c>
      <c r="S581" s="4">
        <f>IF(D581=0,0,SUMIF(Материалы!$A$4:$A$800,SUBSTITUTE(SUBSTITUTE(SUBSTITUTE(B581,"~","~~"),"*","~*"),"?","~?"),Материалы!$T$4:$T$800)/D581)</f>
        <v/>
      </c>
      <c r="T581" s="4">
        <f>R581+S581</f>
        <v/>
      </c>
      <c r="U581" s="4">
        <f>I581*D581</f>
        <v/>
      </c>
    </row>
    <row r="582" ht="22" customHeight="1">
      <c r="A582" s="9" t="inlineStr"/>
      <c r="B582" s="13" t="inlineStr">
        <is>
          <t>580. Монтаж/ремонт фитингов трубопроводов</t>
        </is>
      </c>
      <c r="C582" s="9" t="inlineStr">
        <is>
          <t>шт.</t>
        </is>
      </c>
      <c r="D582" s="4">
        <f>IF('Форма'!G580="","",'Форма'!G580)</f>
        <v/>
      </c>
      <c r="E582" s="9" t="inlineStr">
        <is>
          <t>аналог (10.2.N3), единица приведена к нормо-часам</t>
        </is>
      </c>
      <c r="F582" s="9" t="inlineStr">
        <is>
          <t>ELM</t>
        </is>
      </c>
      <c r="G582" s="10" t="n">
        <v>250.8</v>
      </c>
      <c r="H582" s="10" t="n">
        <v>122.4</v>
      </c>
      <c r="I582" s="10" t="n">
        <v>0.12</v>
      </c>
      <c r="J582" s="9" t="inlineStr"/>
      <c r="K582" s="7">
        <f>IF(F582="",0,IFERROR(VLOOKUP(F582,Расходники!$A$4:$B$23,2,FALSE),0))</f>
        <v/>
      </c>
      <c r="L582" s="4">
        <f>H582*D582</f>
        <v/>
      </c>
      <c r="M582" s="4">
        <f>L582*K582</f>
        <v/>
      </c>
      <c r="N582" s="4">
        <f>SUMIF(Материалы!$A$4:$A$800,SUBSTITUTE(SUBSTITUTE(SUBSTITUTE(B582,"~","~~"),"*","~*"),"?","~?"),Материалы!$S$4:$S$800)</f>
        <v/>
      </c>
      <c r="O582" s="4">
        <f>L582+M582+N582</f>
        <v/>
      </c>
      <c r="P582" s="4">
        <f>IF(SUM($O$4:$O$672)=0,0,Косвенные!$C$9*O582/SUM($O$4:$O$672))</f>
        <v/>
      </c>
      <c r="Q582" s="4">
        <f>G582*D582+P582</f>
        <v/>
      </c>
      <c r="R582" s="4">
        <f>IF(D582=0,0,Q582/D582)</f>
        <v/>
      </c>
      <c r="S582" s="4">
        <f>IF(D582=0,0,SUMIF(Материалы!$A$4:$A$800,SUBSTITUTE(SUBSTITUTE(SUBSTITUTE(B582,"~","~~"),"*","~*"),"?","~?"),Материалы!$T$4:$T$800)/D582)</f>
        <v/>
      </c>
      <c r="T582" s="4">
        <f>R582+S582</f>
        <v/>
      </c>
      <c r="U582" s="4">
        <f>I582*D582</f>
        <v/>
      </c>
    </row>
    <row r="583" ht="22" customHeight="1">
      <c r="A583" s="9" t="inlineStr">
        <is>
          <t>10.2.N3</t>
        </is>
      </c>
      <c r="B583" s="13" t="inlineStr">
        <is>
          <t>581. Ремонт фитингов трубопроводов</t>
        </is>
      </c>
      <c r="C583" s="9" t="inlineStr">
        <is>
          <t>м.п.</t>
        </is>
      </c>
      <c r="D583" s="4">
        <f>IF('Форма'!G581="","",'Форма'!G581)</f>
        <v/>
      </c>
      <c r="E583" s="9" t="inlineStr">
        <is>
          <t>точно</t>
        </is>
      </c>
      <c r="F583" s="9" t="inlineStr">
        <is>
          <t>ELM</t>
        </is>
      </c>
      <c r="G583" s="10" t="n">
        <v>260</v>
      </c>
      <c r="H583" s="10" t="n">
        <v>160</v>
      </c>
      <c r="I583" s="10" t="n">
        <v>0.12</v>
      </c>
      <c r="J583" s="9" t="inlineStr"/>
      <c r="K583" s="7">
        <f>IF(F583="",0,IFERROR(VLOOKUP(F583,Расходники!$A$4:$B$23,2,FALSE),0))</f>
        <v/>
      </c>
      <c r="L583" s="4">
        <f>H583*D583</f>
        <v/>
      </c>
      <c r="M583" s="4">
        <f>L583*K583</f>
        <v/>
      </c>
      <c r="N583" s="4">
        <f>SUMIF(Материалы!$A$4:$A$800,SUBSTITUTE(SUBSTITUTE(SUBSTITUTE(B583,"~","~~"),"*","~*"),"?","~?"),Материалы!$S$4:$S$800)</f>
        <v/>
      </c>
      <c r="O583" s="4">
        <f>L583+M583+N583</f>
        <v/>
      </c>
      <c r="P583" s="4">
        <f>IF(SUM($O$4:$O$672)=0,0,Косвенные!$C$9*O583/SUM($O$4:$O$672))</f>
        <v/>
      </c>
      <c r="Q583" s="4">
        <f>G583*D583+P583</f>
        <v/>
      </c>
      <c r="R583" s="4">
        <f>IF(D583=0,0,Q583/D583)</f>
        <v/>
      </c>
      <c r="S583" s="4">
        <f>IF(D583=0,0,SUMIF(Материалы!$A$4:$A$800,SUBSTITUTE(SUBSTITUTE(SUBSTITUTE(B583,"~","~~"),"*","~*"),"?","~?"),Материалы!$T$4:$T$800)/D583)</f>
        <v/>
      </c>
      <c r="T583" s="4">
        <f>R583+S583</f>
        <v/>
      </c>
      <c r="U583" s="4">
        <f>I583*D583</f>
        <v/>
      </c>
    </row>
    <row r="584" ht="22" customHeight="1">
      <c r="A584" s="9" t="inlineStr"/>
      <c r="B584" s="13" t="inlineStr">
        <is>
          <t>582. Монтаж труб канализационных с фасонными изделиями</t>
        </is>
      </c>
      <c r="C584" s="9" t="inlineStr">
        <is>
          <t>м.п.</t>
        </is>
      </c>
      <c r="D584" s="4">
        <f>IF('Форма'!G582="","",'Форма'!G582)</f>
        <v/>
      </c>
      <c r="E584" s="9" t="inlineStr">
        <is>
          <t>аналог (9.4.35)</t>
        </is>
      </c>
      <c r="F584" s="9" t="inlineStr">
        <is>
          <t>SAN</t>
        </is>
      </c>
      <c r="G584" s="10" t="n">
        <v>731.5</v>
      </c>
      <c r="H584" s="10" t="n">
        <v>357</v>
      </c>
      <c r="I584" s="10" t="n">
        <v>0.35</v>
      </c>
      <c r="J584" s="9" t="inlineStr"/>
      <c r="K584" s="7">
        <f>IF(F584="",0,IFERROR(VLOOKUP(F584,Расходники!$A$4:$B$23,2,FALSE),0))</f>
        <v/>
      </c>
      <c r="L584" s="4">
        <f>H584*D584</f>
        <v/>
      </c>
      <c r="M584" s="4">
        <f>L584*K584</f>
        <v/>
      </c>
      <c r="N584" s="4">
        <f>SUMIF(Материалы!$A$4:$A$800,SUBSTITUTE(SUBSTITUTE(SUBSTITUTE(B584,"~","~~"),"*","~*"),"?","~?"),Материалы!$S$4:$S$800)</f>
        <v/>
      </c>
      <c r="O584" s="4">
        <f>L584+M584+N584</f>
        <v/>
      </c>
      <c r="P584" s="4">
        <f>IF(SUM($O$4:$O$672)=0,0,Косвенные!$C$9*O584/SUM($O$4:$O$672))</f>
        <v/>
      </c>
      <c r="Q584" s="4">
        <f>G584*D584+P584</f>
        <v/>
      </c>
      <c r="R584" s="4">
        <f>IF(D584=0,0,Q584/D584)</f>
        <v/>
      </c>
      <c r="S584" s="4">
        <f>IF(D584=0,0,SUMIF(Материалы!$A$4:$A$800,SUBSTITUTE(SUBSTITUTE(SUBSTITUTE(B584,"~","~~"),"*","~*"),"?","~?"),Материалы!$T$4:$T$800)/D584)</f>
        <v/>
      </c>
      <c r="T584" s="4">
        <f>R584+S584</f>
        <v/>
      </c>
      <c r="U584" s="4">
        <f>I584*D584</f>
        <v/>
      </c>
    </row>
    <row r="585" ht="22" customHeight="1">
      <c r="A585" s="9" t="inlineStr"/>
      <c r="B585" s="13" t="inlineStr">
        <is>
          <t>583. Ремонт труб канализационных с фасонными изделиями</t>
        </is>
      </c>
      <c r="C585" s="9" t="inlineStr">
        <is>
          <t>м.п.</t>
        </is>
      </c>
      <c r="D585" s="4">
        <f>IF('Форма'!G583="","",'Форма'!G583)</f>
        <v/>
      </c>
      <c r="E585" s="9" t="inlineStr">
        <is>
          <t>аналог (9.4.35)</t>
        </is>
      </c>
      <c r="F585" s="9" t="inlineStr">
        <is>
          <t>SAN</t>
        </is>
      </c>
      <c r="G585" s="10" t="n">
        <v>731.5</v>
      </c>
      <c r="H585" s="10" t="n">
        <v>357</v>
      </c>
      <c r="I585" s="10" t="n">
        <v>0.35</v>
      </c>
      <c r="J585" s="9" t="inlineStr"/>
      <c r="K585" s="7">
        <f>IF(F585="",0,IFERROR(VLOOKUP(F585,Расходники!$A$4:$B$23,2,FALSE),0))</f>
        <v/>
      </c>
      <c r="L585" s="4">
        <f>H585*D585</f>
        <v/>
      </c>
      <c r="M585" s="4">
        <f>L585*K585</f>
        <v/>
      </c>
      <c r="N585" s="4">
        <f>SUMIF(Материалы!$A$4:$A$800,SUBSTITUTE(SUBSTITUTE(SUBSTITUTE(B585,"~","~~"),"*","~*"),"?","~?"),Материалы!$S$4:$S$800)</f>
        <v/>
      </c>
      <c r="O585" s="4">
        <f>L585+M585+N585</f>
        <v/>
      </c>
      <c r="P585" s="4">
        <f>IF(SUM($O$4:$O$672)=0,0,Косвенные!$C$9*O585/SUM($O$4:$O$672))</f>
        <v/>
      </c>
      <c r="Q585" s="4">
        <f>G585*D585+P585</f>
        <v/>
      </c>
      <c r="R585" s="4">
        <f>IF(D585=0,0,Q585/D585)</f>
        <v/>
      </c>
      <c r="S585" s="4">
        <f>IF(D585=0,0,SUMIF(Материалы!$A$4:$A$800,SUBSTITUTE(SUBSTITUTE(SUBSTITUTE(B585,"~","~~"),"*","~*"),"?","~?"),Материалы!$T$4:$T$800)/D585)</f>
        <v/>
      </c>
      <c r="T585" s="4">
        <f>R585+S585</f>
        <v/>
      </c>
      <c r="U585" s="4">
        <f>I585*D585</f>
        <v/>
      </c>
    </row>
    <row r="586" ht="22" customHeight="1">
      <c r="A586" s="9" t="inlineStr"/>
      <c r="B586" s="13" t="inlineStr">
        <is>
          <t>584. Монтаж моек, поддонов</t>
        </is>
      </c>
      <c r="C586" s="9" t="inlineStr">
        <is>
          <t>шт.</t>
        </is>
      </c>
      <c r="D586" s="4">
        <f>IF('Форма'!G584="","",'Форма'!G584)</f>
        <v/>
      </c>
      <c r="E586" s="9" t="inlineStr">
        <is>
          <t>нет в тарификаторе</t>
        </is>
      </c>
      <c r="F586" s="9" t="inlineStr">
        <is>
          <t>RAZ</t>
        </is>
      </c>
      <c r="G586" s="10" t="n">
        <v>912</v>
      </c>
      <c r="H586" s="10" t="n">
        <v>528</v>
      </c>
      <c r="I586" s="10" t="n">
        <v>0.8</v>
      </c>
      <c r="J586" s="9" t="inlineStr"/>
      <c r="K586" s="7">
        <f>IF(F586="",0,IFERROR(VLOOKUP(F586,Расходники!$A$4:$B$23,2,FALSE),0))</f>
        <v/>
      </c>
      <c r="L586" s="4">
        <f>H586*D586</f>
        <v/>
      </c>
      <c r="M586" s="4">
        <f>L586*K586</f>
        <v/>
      </c>
      <c r="N586" s="4">
        <f>SUMIF(Материалы!$A$4:$A$800,SUBSTITUTE(SUBSTITUTE(SUBSTITUTE(B586,"~","~~"),"*","~*"),"?","~?"),Материалы!$S$4:$S$800)</f>
        <v/>
      </c>
      <c r="O586" s="4">
        <f>L586+M586+N586</f>
        <v/>
      </c>
      <c r="P586" s="4">
        <f>IF(SUM($O$4:$O$672)=0,0,Косвенные!$C$9*O586/SUM($O$4:$O$672))</f>
        <v/>
      </c>
      <c r="Q586" s="4">
        <f>G586*D586+P586</f>
        <v/>
      </c>
      <c r="R586" s="4">
        <f>IF(D586=0,0,Q586/D586)</f>
        <v/>
      </c>
      <c r="S586" s="4">
        <f>IF(D586=0,0,SUMIF(Материалы!$A$4:$A$800,SUBSTITUTE(SUBSTITUTE(SUBSTITUTE(B586,"~","~~"),"*","~*"),"?","~?"),Материалы!$T$4:$T$800)/D586)</f>
        <v/>
      </c>
      <c r="T586" s="4">
        <f>R586+S586</f>
        <v/>
      </c>
      <c r="U586" s="4">
        <f>I586*D586</f>
        <v/>
      </c>
    </row>
    <row r="587" ht="22" customHeight="1">
      <c r="A587" s="9" t="inlineStr"/>
      <c r="B587" s="13" t="inlineStr">
        <is>
          <t>585. Монтаж поддонов и душевых</t>
        </is>
      </c>
      <c r="C587" s="9" t="inlineStr">
        <is>
          <t>шт.</t>
        </is>
      </c>
      <c r="D587" s="4">
        <f>IF('Форма'!G585="","",'Форма'!G585)</f>
        <v/>
      </c>
      <c r="E587" s="9" t="inlineStr">
        <is>
          <t>нет в тарификаторе</t>
        </is>
      </c>
      <c r="F587" s="9" t="inlineStr">
        <is>
          <t>SAN</t>
        </is>
      </c>
      <c r="G587" s="10" t="n">
        <v>4180</v>
      </c>
      <c r="H587" s="10" t="n">
        <v>2040</v>
      </c>
      <c r="I587" s="10" t="n">
        <v>2</v>
      </c>
      <c r="J587" s="9" t="inlineStr"/>
      <c r="K587" s="7">
        <f>IF(F587="",0,IFERROR(VLOOKUP(F587,Расходники!$A$4:$B$23,2,FALSE),0))</f>
        <v/>
      </c>
      <c r="L587" s="4">
        <f>H587*D587</f>
        <v/>
      </c>
      <c r="M587" s="4">
        <f>L587*K587</f>
        <v/>
      </c>
      <c r="N587" s="4">
        <f>SUMIF(Материалы!$A$4:$A$800,SUBSTITUTE(SUBSTITUTE(SUBSTITUTE(B587,"~","~~"),"*","~*"),"?","~?"),Материалы!$S$4:$S$800)</f>
        <v/>
      </c>
      <c r="O587" s="4">
        <f>L587+M587+N587</f>
        <v/>
      </c>
      <c r="P587" s="4">
        <f>IF(SUM($O$4:$O$672)=0,0,Косвенные!$C$9*O587/SUM($O$4:$O$672))</f>
        <v/>
      </c>
      <c r="Q587" s="4">
        <f>G587*D587+P587</f>
        <v/>
      </c>
      <c r="R587" s="4">
        <f>IF(D587=0,0,Q587/D587)</f>
        <v/>
      </c>
      <c r="S587" s="4">
        <f>IF(D587=0,0,SUMIF(Материалы!$A$4:$A$800,SUBSTITUTE(SUBSTITUTE(SUBSTITUTE(B587,"~","~~"),"*","~*"),"?","~?"),Материалы!$T$4:$T$800)/D587)</f>
        <v/>
      </c>
      <c r="T587" s="4">
        <f>R587+S587</f>
        <v/>
      </c>
      <c r="U587" s="4">
        <f>I587*D587</f>
        <v/>
      </c>
    </row>
    <row r="588" ht="22" customHeight="1">
      <c r="A588" s="9" t="inlineStr"/>
      <c r="B588" s="13" t="inlineStr">
        <is>
          <t>586. Монтаж умывальников, в том числе со смесителями, подводками и запорной арматурой</t>
        </is>
      </c>
      <c r="C588" s="9" t="inlineStr">
        <is>
          <t>шт.</t>
        </is>
      </c>
      <c r="D588" s="4">
        <f>IF('Форма'!G586="","",'Форма'!G586)</f>
        <v/>
      </c>
      <c r="E588" s="9" t="inlineStr">
        <is>
          <t>нет в тарификаторе</t>
        </is>
      </c>
      <c r="F588" s="9" t="inlineStr">
        <is>
          <t>SAN</t>
        </is>
      </c>
      <c r="G588" s="10" t="n">
        <v>2090</v>
      </c>
      <c r="H588" s="10" t="n">
        <v>1020</v>
      </c>
      <c r="I588" s="10" t="n">
        <v>1</v>
      </c>
      <c r="J588" s="9" t="inlineStr"/>
      <c r="K588" s="7">
        <f>IF(F588="",0,IFERROR(VLOOKUP(F588,Расходники!$A$4:$B$23,2,FALSE),0))</f>
        <v/>
      </c>
      <c r="L588" s="4">
        <f>H588*D588</f>
        <v/>
      </c>
      <c r="M588" s="4">
        <f>L588*K588</f>
        <v/>
      </c>
      <c r="N588" s="4">
        <f>SUMIF(Материалы!$A$4:$A$800,SUBSTITUTE(SUBSTITUTE(SUBSTITUTE(B588,"~","~~"),"*","~*"),"?","~?"),Материалы!$S$4:$S$800)</f>
        <v/>
      </c>
      <c r="O588" s="4">
        <f>L588+M588+N588</f>
        <v/>
      </c>
      <c r="P588" s="4">
        <f>IF(SUM($O$4:$O$672)=0,0,Косвенные!$C$9*O588/SUM($O$4:$O$672))</f>
        <v/>
      </c>
      <c r="Q588" s="4">
        <f>G588*D588+P588</f>
        <v/>
      </c>
      <c r="R588" s="4">
        <f>IF(D588=0,0,Q588/D588)</f>
        <v/>
      </c>
      <c r="S588" s="4">
        <f>IF(D588=0,0,SUMIF(Материалы!$A$4:$A$800,SUBSTITUTE(SUBSTITUTE(SUBSTITUTE(B588,"~","~~"),"*","~*"),"?","~?"),Материалы!$T$4:$T$800)/D588)</f>
        <v/>
      </c>
      <c r="T588" s="4">
        <f>R588+S588</f>
        <v/>
      </c>
      <c r="U588" s="4">
        <f>I588*D588</f>
        <v/>
      </c>
    </row>
    <row r="589" ht="22" customHeight="1">
      <c r="A589" s="9" t="inlineStr"/>
      <c r="B589" s="13" t="inlineStr">
        <is>
          <t>587. Ремонт умывальников, в том числе со смесителями, подводками и запорной арматурой</t>
        </is>
      </c>
      <c r="C589" s="9" t="inlineStr">
        <is>
          <t>шт.</t>
        </is>
      </c>
      <c r="D589" s="4">
        <f>IF('Форма'!G587="","",'Форма'!G587)</f>
        <v/>
      </c>
      <c r="E589" s="9" t="inlineStr">
        <is>
          <t>нет в тарификаторе</t>
        </is>
      </c>
      <c r="F589" s="9" t="inlineStr">
        <is>
          <t>SAN</t>
        </is>
      </c>
      <c r="G589" s="10" t="n">
        <v>2090</v>
      </c>
      <c r="H589" s="10" t="n">
        <v>1020</v>
      </c>
      <c r="I589" s="10" t="n">
        <v>1</v>
      </c>
      <c r="J589" s="9" t="inlineStr"/>
      <c r="K589" s="7">
        <f>IF(F589="",0,IFERROR(VLOOKUP(F589,Расходники!$A$4:$B$23,2,FALSE),0))</f>
        <v/>
      </c>
      <c r="L589" s="4">
        <f>H589*D589</f>
        <v/>
      </c>
      <c r="M589" s="4">
        <f>L589*K589</f>
        <v/>
      </c>
      <c r="N589" s="4">
        <f>SUMIF(Материалы!$A$4:$A$800,SUBSTITUTE(SUBSTITUTE(SUBSTITUTE(B589,"~","~~"),"*","~*"),"?","~?"),Материалы!$S$4:$S$800)</f>
        <v/>
      </c>
      <c r="O589" s="4">
        <f>L589+M589+N589</f>
        <v/>
      </c>
      <c r="P589" s="4">
        <f>IF(SUM($O$4:$O$672)=0,0,Косвенные!$C$9*O589/SUM($O$4:$O$672))</f>
        <v/>
      </c>
      <c r="Q589" s="4">
        <f>G589*D589+P589</f>
        <v/>
      </c>
      <c r="R589" s="4">
        <f>IF(D589=0,0,Q589/D589)</f>
        <v/>
      </c>
      <c r="S589" s="4">
        <f>IF(D589=0,0,SUMIF(Материалы!$A$4:$A$800,SUBSTITUTE(SUBSTITUTE(SUBSTITUTE(B589,"~","~~"),"*","~*"),"?","~?"),Материалы!$T$4:$T$800)/D589)</f>
        <v/>
      </c>
      <c r="T589" s="4">
        <f>R589+S589</f>
        <v/>
      </c>
      <c r="U589" s="4">
        <f>I589*D589</f>
        <v/>
      </c>
    </row>
    <row r="590" ht="22" customHeight="1">
      <c r="A590" s="9" t="inlineStr">
        <is>
          <t>9.1.72</t>
        </is>
      </c>
      <c r="B590" s="13" t="inlineStr">
        <is>
          <t>588. Монтаж унитазов/писсуаров напольных  и подвесных, в том числе с запорной арматурой и подводками</t>
        </is>
      </c>
      <c r="C590" s="9" t="inlineStr">
        <is>
          <t>шт.</t>
        </is>
      </c>
      <c r="D590" s="4">
        <f>IF('Форма'!G588="","",'Форма'!G588)</f>
        <v/>
      </c>
      <c r="E590" s="9" t="inlineStr">
        <is>
          <t>точно</t>
        </is>
      </c>
      <c r="F590" s="9" t="inlineStr">
        <is>
          <t>SAN</t>
        </is>
      </c>
      <c r="G590" s="10" t="n">
        <v>3220</v>
      </c>
      <c r="H590" s="10" t="n">
        <v>1996</v>
      </c>
      <c r="I590" s="10" t="n">
        <v>2</v>
      </c>
      <c r="J590" s="9" t="inlineStr"/>
      <c r="K590" s="7">
        <f>IF(F590="",0,IFERROR(VLOOKUP(F590,Расходники!$A$4:$B$23,2,FALSE),0))</f>
        <v/>
      </c>
      <c r="L590" s="4">
        <f>H590*D590</f>
        <v/>
      </c>
      <c r="M590" s="4">
        <f>L590*K590</f>
        <v/>
      </c>
      <c r="N590" s="4">
        <f>SUMIF(Материалы!$A$4:$A$800,SUBSTITUTE(SUBSTITUTE(SUBSTITUTE(B590,"~","~~"),"*","~*"),"?","~?"),Материалы!$S$4:$S$800)</f>
        <v/>
      </c>
      <c r="O590" s="4">
        <f>L590+M590+N590</f>
        <v/>
      </c>
      <c r="P590" s="4">
        <f>IF(SUM($O$4:$O$672)=0,0,Косвенные!$C$9*O590/SUM($O$4:$O$672))</f>
        <v/>
      </c>
      <c r="Q590" s="4">
        <f>G590*D590+P590</f>
        <v/>
      </c>
      <c r="R590" s="4">
        <f>IF(D590=0,0,Q590/D590)</f>
        <v/>
      </c>
      <c r="S590" s="4">
        <f>IF(D590=0,0,SUMIF(Материалы!$A$4:$A$800,SUBSTITUTE(SUBSTITUTE(SUBSTITUTE(B590,"~","~~"),"*","~*"),"?","~?"),Материалы!$T$4:$T$800)/D590)</f>
        <v/>
      </c>
      <c r="T590" s="4">
        <f>R590+S590</f>
        <v/>
      </c>
      <c r="U590" s="4">
        <f>I590*D590</f>
        <v/>
      </c>
    </row>
    <row r="591" ht="22" customHeight="1">
      <c r="A591" s="9" t="inlineStr"/>
      <c r="B591" s="13" t="inlineStr">
        <is>
          <t>589. Ремонт унитазов/писсуаров напольных  и подвесных, в том числе с запорной арматурой и подводками</t>
        </is>
      </c>
      <c r="C591" s="9" t="inlineStr">
        <is>
          <t>шт.</t>
        </is>
      </c>
      <c r="D591" s="4">
        <f>IF('Форма'!G589="","",'Форма'!G589)</f>
        <v/>
      </c>
      <c r="E591" s="9" t="inlineStr">
        <is>
          <t>нет в тарификаторе</t>
        </is>
      </c>
      <c r="F591" s="9" t="inlineStr">
        <is>
          <t>BET</t>
        </is>
      </c>
      <c r="G591" s="10" t="n">
        <v>136.8</v>
      </c>
      <c r="H591" s="10" t="n">
        <v>76</v>
      </c>
      <c r="I591" s="10" t="n">
        <v>0.08</v>
      </c>
      <c r="J591" s="9" t="inlineStr"/>
      <c r="K591" s="7">
        <f>IF(F591="",0,IFERROR(VLOOKUP(F591,Расходники!$A$4:$B$23,2,FALSE),0))</f>
        <v/>
      </c>
      <c r="L591" s="4">
        <f>H591*D591</f>
        <v/>
      </c>
      <c r="M591" s="4">
        <f>L591*K591</f>
        <v/>
      </c>
      <c r="N591" s="4">
        <f>SUMIF(Материалы!$A$4:$A$800,SUBSTITUTE(SUBSTITUTE(SUBSTITUTE(B591,"~","~~"),"*","~*"),"?","~?"),Материалы!$S$4:$S$800)</f>
        <v/>
      </c>
      <c r="O591" s="4">
        <f>L591+M591+N591</f>
        <v/>
      </c>
      <c r="P591" s="4">
        <f>IF(SUM($O$4:$O$672)=0,0,Косвенные!$C$9*O591/SUM($O$4:$O$672))</f>
        <v/>
      </c>
      <c r="Q591" s="4">
        <f>G591*D591+P591</f>
        <v/>
      </c>
      <c r="R591" s="4">
        <f>IF(D591=0,0,Q591/D591)</f>
        <v/>
      </c>
      <c r="S591" s="4">
        <f>IF(D591=0,0,SUMIF(Материалы!$A$4:$A$800,SUBSTITUTE(SUBSTITUTE(SUBSTITUTE(B591,"~","~~"),"*","~*"),"?","~?"),Материалы!$T$4:$T$800)/D591)</f>
        <v/>
      </c>
      <c r="T591" s="4">
        <f>R591+S591</f>
        <v/>
      </c>
      <c r="U591" s="4">
        <f>I591*D591</f>
        <v/>
      </c>
    </row>
    <row r="592" ht="22" customHeight="1">
      <c r="A592" s="9" t="inlineStr"/>
      <c r="B592" s="13" t="inlineStr">
        <is>
          <t>590. Монтаж сушки для рук, диспенсеров, зеркал и пр.</t>
        </is>
      </c>
      <c r="C592" s="9" t="inlineStr">
        <is>
          <t>шт.</t>
        </is>
      </c>
      <c r="D592" s="4">
        <f>IF('Форма'!G590="","",'Форма'!G590)</f>
        <v/>
      </c>
      <c r="E592" s="9" t="inlineStr">
        <is>
          <t>нет в тарификаторе</t>
        </is>
      </c>
      <c r="F592" s="9" t="inlineStr">
        <is>
          <t>OTD</t>
        </is>
      </c>
      <c r="G592" s="10" t="n">
        <v>855</v>
      </c>
      <c r="H592" s="10" t="n">
        <v>450</v>
      </c>
      <c r="I592" s="10" t="n">
        <v>0.5</v>
      </c>
      <c r="J592" s="9" t="inlineStr"/>
      <c r="K592" s="7">
        <f>IF(F592="",0,IFERROR(VLOOKUP(F592,Расходники!$A$4:$B$23,2,FALSE),0))</f>
        <v/>
      </c>
      <c r="L592" s="4">
        <f>H592*D592</f>
        <v/>
      </c>
      <c r="M592" s="4">
        <f>L592*K592</f>
        <v/>
      </c>
      <c r="N592" s="4">
        <f>SUMIF(Материалы!$A$4:$A$800,SUBSTITUTE(SUBSTITUTE(SUBSTITUTE(B592,"~","~~"),"*","~*"),"?","~?"),Материалы!$S$4:$S$800)</f>
        <v/>
      </c>
      <c r="O592" s="4">
        <f>L592+M592+N592</f>
        <v/>
      </c>
      <c r="P592" s="4">
        <f>IF(SUM($O$4:$O$672)=0,0,Косвенные!$C$9*O592/SUM($O$4:$O$672))</f>
        <v/>
      </c>
      <c r="Q592" s="4">
        <f>G592*D592+P592</f>
        <v/>
      </c>
      <c r="R592" s="4">
        <f>IF(D592=0,0,Q592/D592)</f>
        <v/>
      </c>
      <c r="S592" s="4">
        <f>IF(D592=0,0,SUMIF(Материалы!$A$4:$A$800,SUBSTITUTE(SUBSTITUTE(SUBSTITUTE(B592,"~","~~"),"*","~*"),"?","~?"),Материалы!$T$4:$T$800)/D592)</f>
        <v/>
      </c>
      <c r="T592" s="4">
        <f>R592+S592</f>
        <v/>
      </c>
      <c r="U592" s="4">
        <f>I592*D592</f>
        <v/>
      </c>
    </row>
    <row r="593" ht="22" customHeight="1">
      <c r="A593" s="9" t="inlineStr"/>
      <c r="B593" s="13" t="inlineStr">
        <is>
          <t>591. Ремонт сушки для рук, диспенсеров, зеркал и пр.</t>
        </is>
      </c>
      <c r="C593" s="9" t="inlineStr">
        <is>
          <t>шт.</t>
        </is>
      </c>
      <c r="D593" s="4">
        <f>IF('Форма'!G591="","",'Форма'!G591)</f>
        <v/>
      </c>
      <c r="E593" s="9" t="inlineStr">
        <is>
          <t>нет в тарификаторе</t>
        </is>
      </c>
      <c r="F593" s="9" t="inlineStr">
        <is>
          <t>OTD</t>
        </is>
      </c>
      <c r="G593" s="10" t="n">
        <v>684</v>
      </c>
      <c r="H593" s="10" t="n">
        <v>360</v>
      </c>
      <c r="I593" s="10" t="n">
        <v>0.4</v>
      </c>
      <c r="J593" s="9" t="inlineStr"/>
      <c r="K593" s="7">
        <f>IF(F593="",0,IFERROR(VLOOKUP(F593,Расходники!$A$4:$B$23,2,FALSE),0))</f>
        <v/>
      </c>
      <c r="L593" s="4">
        <f>H593*D593</f>
        <v/>
      </c>
      <c r="M593" s="4">
        <f>L593*K593</f>
        <v/>
      </c>
      <c r="N593" s="4">
        <f>SUMIF(Материалы!$A$4:$A$800,SUBSTITUTE(SUBSTITUTE(SUBSTITUTE(B593,"~","~~"),"*","~*"),"?","~?"),Материалы!$S$4:$S$800)</f>
        <v/>
      </c>
      <c r="O593" s="4">
        <f>L593+M593+N593</f>
        <v/>
      </c>
      <c r="P593" s="4">
        <f>IF(SUM($O$4:$O$672)=0,0,Косвенные!$C$9*O593/SUM($O$4:$O$672))</f>
        <v/>
      </c>
      <c r="Q593" s="4">
        <f>G593*D593+P593</f>
        <v/>
      </c>
      <c r="R593" s="4">
        <f>IF(D593=0,0,Q593/D593)</f>
        <v/>
      </c>
      <c r="S593" s="4">
        <f>IF(D593=0,0,SUMIF(Материалы!$A$4:$A$800,SUBSTITUTE(SUBSTITUTE(SUBSTITUTE(B593,"~","~~"),"*","~*"),"?","~?"),Материалы!$T$4:$T$800)/D593)</f>
        <v/>
      </c>
      <c r="T593" s="4">
        <f>R593+S593</f>
        <v/>
      </c>
      <c r="U593" s="4">
        <f>I593*D593</f>
        <v/>
      </c>
    </row>
    <row r="594" ht="22" customHeight="1">
      <c r="A594" s="9" t="inlineStr">
        <is>
          <t>9.1.72</t>
        </is>
      </c>
      <c r="B594" s="13" t="inlineStr">
        <is>
          <t>592. Монтаж встроенных инсталяций унитазов и писсуаров</t>
        </is>
      </c>
      <c r="C594" s="9" t="inlineStr">
        <is>
          <t>шт.</t>
        </is>
      </c>
      <c r="D594" s="4">
        <f>IF('Форма'!G592="","",'Форма'!G592)</f>
        <v/>
      </c>
      <c r="E594" s="9" t="inlineStr">
        <is>
          <t>точно</t>
        </is>
      </c>
      <c r="F594" s="9" t="inlineStr">
        <is>
          <t>SAN</t>
        </is>
      </c>
      <c r="G594" s="10" t="n">
        <v>3220</v>
      </c>
      <c r="H594" s="10" t="n">
        <v>1996</v>
      </c>
      <c r="I594" s="10" t="n">
        <v>2</v>
      </c>
      <c r="J594" s="9" t="inlineStr"/>
      <c r="K594" s="7">
        <f>IF(F594="",0,IFERROR(VLOOKUP(F594,Расходники!$A$4:$B$23,2,FALSE),0))</f>
        <v/>
      </c>
      <c r="L594" s="4">
        <f>H594*D594</f>
        <v/>
      </c>
      <c r="M594" s="4">
        <f>L594*K594</f>
        <v/>
      </c>
      <c r="N594" s="4">
        <f>SUMIF(Материалы!$A$4:$A$800,SUBSTITUTE(SUBSTITUTE(SUBSTITUTE(B594,"~","~~"),"*","~*"),"?","~?"),Материалы!$S$4:$S$800)</f>
        <v/>
      </c>
      <c r="O594" s="4">
        <f>L594+M594+N594</f>
        <v/>
      </c>
      <c r="P594" s="4">
        <f>IF(SUM($O$4:$O$672)=0,0,Косвенные!$C$9*O594/SUM($O$4:$O$672))</f>
        <v/>
      </c>
      <c r="Q594" s="4">
        <f>G594*D594+P594</f>
        <v/>
      </c>
      <c r="R594" s="4">
        <f>IF(D594=0,0,Q594/D594)</f>
        <v/>
      </c>
      <c r="S594" s="4">
        <f>IF(D594=0,0,SUMIF(Материалы!$A$4:$A$800,SUBSTITUTE(SUBSTITUTE(SUBSTITUTE(B594,"~","~~"),"*","~*"),"?","~?"),Материалы!$T$4:$T$800)/D594)</f>
        <v/>
      </c>
      <c r="T594" s="4">
        <f>R594+S594</f>
        <v/>
      </c>
      <c r="U594" s="4">
        <f>I594*D594</f>
        <v/>
      </c>
    </row>
    <row r="595" ht="22" customHeight="1">
      <c r="A595" s="9" t="inlineStr">
        <is>
          <t>9.1.72</t>
        </is>
      </c>
      <c r="B595" s="13" t="inlineStr">
        <is>
          <t>593. Ремонт встроенных инсталяций унитазов и писсуаров</t>
        </is>
      </c>
      <c r="C595" s="9" t="inlineStr">
        <is>
          <t>шт.</t>
        </is>
      </c>
      <c r="D595" s="4">
        <f>IF('Форма'!G593="","",'Форма'!G593)</f>
        <v/>
      </c>
      <c r="E595" s="9" t="inlineStr">
        <is>
          <t>точно</t>
        </is>
      </c>
      <c r="F595" s="9" t="inlineStr">
        <is>
          <t>SAN</t>
        </is>
      </c>
      <c r="G595" s="10" t="n">
        <v>3220</v>
      </c>
      <c r="H595" s="10" t="n">
        <v>1996</v>
      </c>
      <c r="I595" s="10" t="n">
        <v>2</v>
      </c>
      <c r="J595" s="9" t="inlineStr"/>
      <c r="K595" s="7">
        <f>IF(F595="",0,IFERROR(VLOOKUP(F595,Расходники!$A$4:$B$23,2,FALSE),0))</f>
        <v/>
      </c>
      <c r="L595" s="4">
        <f>H595*D595</f>
        <v/>
      </c>
      <c r="M595" s="4">
        <f>L595*K595</f>
        <v/>
      </c>
      <c r="N595" s="4">
        <f>SUMIF(Материалы!$A$4:$A$800,SUBSTITUTE(SUBSTITUTE(SUBSTITUTE(B595,"~","~~"),"*","~*"),"?","~?"),Материалы!$S$4:$S$800)</f>
        <v/>
      </c>
      <c r="O595" s="4">
        <f>L595+M595+N595</f>
        <v/>
      </c>
      <c r="P595" s="4">
        <f>IF(SUM($O$4:$O$672)=0,0,Косвенные!$C$9*O595/SUM($O$4:$O$672))</f>
        <v/>
      </c>
      <c r="Q595" s="4">
        <f>G595*D595+P595</f>
        <v/>
      </c>
      <c r="R595" s="4">
        <f>IF(D595=0,0,Q595/D595)</f>
        <v/>
      </c>
      <c r="S595" s="4">
        <f>IF(D595=0,0,SUMIF(Материалы!$A$4:$A$800,SUBSTITUTE(SUBSTITUTE(SUBSTITUTE(B595,"~","~~"),"*","~*"),"?","~?"),Материалы!$T$4:$T$800)/D595)</f>
        <v/>
      </c>
      <c r="T595" s="4">
        <f>R595+S595</f>
        <v/>
      </c>
      <c r="U595" s="4">
        <f>I595*D595</f>
        <v/>
      </c>
    </row>
    <row r="596" ht="22" customHeight="1">
      <c r="A596" s="9" t="inlineStr"/>
      <c r="B596" s="13" t="inlineStr">
        <is>
          <t>594. Монтаж  гарнитуры (душ, лейка и т.п.)</t>
        </is>
      </c>
      <c r="C596" s="9" t="inlineStr">
        <is>
          <t>шт.</t>
        </is>
      </c>
      <c r="D596" s="4">
        <f>IF('Форма'!G594="","",'Форма'!G594)</f>
        <v/>
      </c>
      <c r="E596" s="9" t="inlineStr">
        <is>
          <t>нет в тарификаторе</t>
        </is>
      </c>
      <c r="F596" s="9" t="inlineStr">
        <is>
          <t>RAZ</t>
        </is>
      </c>
      <c r="G596" s="10" t="n">
        <v>912</v>
      </c>
      <c r="H596" s="10" t="n">
        <v>528</v>
      </c>
      <c r="I596" s="10" t="n">
        <v>0.8</v>
      </c>
      <c r="J596" s="9" t="inlineStr"/>
      <c r="K596" s="7">
        <f>IF(F596="",0,IFERROR(VLOOKUP(F596,Расходники!$A$4:$B$23,2,FALSE),0))</f>
        <v/>
      </c>
      <c r="L596" s="4">
        <f>H596*D596</f>
        <v/>
      </c>
      <c r="M596" s="4">
        <f>L596*K596</f>
        <v/>
      </c>
      <c r="N596" s="4">
        <f>SUMIF(Материалы!$A$4:$A$800,SUBSTITUTE(SUBSTITUTE(SUBSTITUTE(B596,"~","~~"),"*","~*"),"?","~?"),Материалы!$S$4:$S$800)</f>
        <v/>
      </c>
      <c r="O596" s="4">
        <f>L596+M596+N596</f>
        <v/>
      </c>
      <c r="P596" s="4">
        <f>IF(SUM($O$4:$O$672)=0,0,Косвенные!$C$9*O596/SUM($O$4:$O$672))</f>
        <v/>
      </c>
      <c r="Q596" s="4">
        <f>G596*D596+P596</f>
        <v/>
      </c>
      <c r="R596" s="4">
        <f>IF(D596=0,0,Q596/D596)</f>
        <v/>
      </c>
      <c r="S596" s="4">
        <f>IF(D596=0,0,SUMIF(Материалы!$A$4:$A$800,SUBSTITUTE(SUBSTITUTE(SUBSTITUTE(B596,"~","~~"),"*","~*"),"?","~?"),Материалы!$T$4:$T$800)/D596)</f>
        <v/>
      </c>
      <c r="T596" s="4">
        <f>R596+S596</f>
        <v/>
      </c>
      <c r="U596" s="4">
        <f>I596*D596</f>
        <v/>
      </c>
    </row>
    <row r="597" ht="22" customHeight="1">
      <c r="A597" s="9" t="inlineStr"/>
      <c r="B597" s="13" t="inlineStr">
        <is>
          <t>595. Ремонт гарнитуры (душ, лейка и т.п.)</t>
        </is>
      </c>
      <c r="C597" s="9" t="inlineStr">
        <is>
          <t>шт.</t>
        </is>
      </c>
      <c r="D597" s="4">
        <f>IF('Форма'!G595="","",'Форма'!G595)</f>
        <v/>
      </c>
      <c r="E597" s="9" t="inlineStr">
        <is>
          <t>нет в тарификаторе</t>
        </is>
      </c>
      <c r="F597" s="9" t="inlineStr">
        <is>
          <t>RAZ</t>
        </is>
      </c>
      <c r="G597" s="10" t="n">
        <v>912</v>
      </c>
      <c r="H597" s="10" t="n">
        <v>528</v>
      </c>
      <c r="I597" s="10" t="n">
        <v>0.8</v>
      </c>
      <c r="J597" s="9" t="inlineStr"/>
      <c r="K597" s="7">
        <f>IF(F597="",0,IFERROR(VLOOKUP(F597,Расходники!$A$4:$B$23,2,FALSE),0))</f>
        <v/>
      </c>
      <c r="L597" s="4">
        <f>H597*D597</f>
        <v/>
      </c>
      <c r="M597" s="4">
        <f>L597*K597</f>
        <v/>
      </c>
      <c r="N597" s="4">
        <f>SUMIF(Материалы!$A$4:$A$800,SUBSTITUTE(SUBSTITUTE(SUBSTITUTE(B597,"~","~~"),"*","~*"),"?","~?"),Материалы!$S$4:$S$800)</f>
        <v/>
      </c>
      <c r="O597" s="4">
        <f>L597+M597+N597</f>
        <v/>
      </c>
      <c r="P597" s="4">
        <f>IF(SUM($O$4:$O$672)=0,0,Косвенные!$C$9*O597/SUM($O$4:$O$672))</f>
        <v/>
      </c>
      <c r="Q597" s="4">
        <f>G597*D597+P597</f>
        <v/>
      </c>
      <c r="R597" s="4">
        <f>IF(D597=0,0,Q597/D597)</f>
        <v/>
      </c>
      <c r="S597" s="4">
        <f>IF(D597=0,0,SUMIF(Материалы!$A$4:$A$800,SUBSTITUTE(SUBSTITUTE(SUBSTITUTE(B597,"~","~~"),"*","~*"),"?","~?"),Материалы!$T$4:$T$800)/D597)</f>
        <v/>
      </c>
      <c r="T597" s="4">
        <f>R597+S597</f>
        <v/>
      </c>
      <c r="U597" s="4">
        <f>I597*D597</f>
        <v/>
      </c>
    </row>
    <row r="598" ht="22" customHeight="1">
      <c r="A598" s="9" t="inlineStr"/>
      <c r="B598" s="13" t="inlineStr">
        <is>
          <t>596. Ремонт сифонов, трапов</t>
        </is>
      </c>
      <c r="C598" s="9" t="inlineStr">
        <is>
          <t>шт.</t>
        </is>
      </c>
      <c r="D598" s="4">
        <f>IF('Форма'!G596="","",'Форма'!G596)</f>
        <v/>
      </c>
      <c r="E598" s="9" t="inlineStr">
        <is>
          <t>нет в тарификаторе</t>
        </is>
      </c>
      <c r="F598" s="9" t="inlineStr">
        <is>
          <t>RAZ</t>
        </is>
      </c>
      <c r="G598" s="10" t="n">
        <v>912</v>
      </c>
      <c r="H598" s="10" t="n">
        <v>528</v>
      </c>
      <c r="I598" s="10" t="n">
        <v>0.8</v>
      </c>
      <c r="J598" s="9" t="inlineStr"/>
      <c r="K598" s="7">
        <f>IF(F598="",0,IFERROR(VLOOKUP(F598,Расходники!$A$4:$B$23,2,FALSE),0))</f>
        <v/>
      </c>
      <c r="L598" s="4">
        <f>H598*D598</f>
        <v/>
      </c>
      <c r="M598" s="4">
        <f>L598*K598</f>
        <v/>
      </c>
      <c r="N598" s="4">
        <f>SUMIF(Материалы!$A$4:$A$800,SUBSTITUTE(SUBSTITUTE(SUBSTITUTE(B598,"~","~~"),"*","~*"),"?","~?"),Материалы!$S$4:$S$800)</f>
        <v/>
      </c>
      <c r="O598" s="4">
        <f>L598+M598+N598</f>
        <v/>
      </c>
      <c r="P598" s="4">
        <f>IF(SUM($O$4:$O$672)=0,0,Косвенные!$C$9*O598/SUM($O$4:$O$672))</f>
        <v/>
      </c>
      <c r="Q598" s="4">
        <f>G598*D598+P598</f>
        <v/>
      </c>
      <c r="R598" s="4">
        <f>IF(D598=0,0,Q598/D598)</f>
        <v/>
      </c>
      <c r="S598" s="4">
        <f>IF(D598=0,0,SUMIF(Материалы!$A$4:$A$800,SUBSTITUTE(SUBSTITUTE(SUBSTITUTE(B598,"~","~~"),"*","~*"),"?","~?"),Материалы!$T$4:$T$800)/D598)</f>
        <v/>
      </c>
      <c r="T598" s="4">
        <f>R598+S598</f>
        <v/>
      </c>
      <c r="U598" s="4">
        <f>I598*D598</f>
        <v/>
      </c>
    </row>
    <row r="599" ht="22" customHeight="1">
      <c r="A599" s="9" t="inlineStr"/>
      <c r="B599" s="13" t="inlineStr">
        <is>
          <t>597. Монтаж сифонов, трапов</t>
        </is>
      </c>
      <c r="C599" s="9" t="inlineStr">
        <is>
          <t>шт.</t>
        </is>
      </c>
      <c r="D599" s="4">
        <f>IF('Форма'!G597="","",'Форма'!G597)</f>
        <v/>
      </c>
      <c r="E599" s="9" t="inlineStr">
        <is>
          <t>нет в тарификаторе</t>
        </is>
      </c>
      <c r="F599" s="9" t="inlineStr">
        <is>
          <t>RAZ</t>
        </is>
      </c>
      <c r="G599" s="10" t="n">
        <v>912</v>
      </c>
      <c r="H599" s="10" t="n">
        <v>528</v>
      </c>
      <c r="I599" s="10" t="n">
        <v>0.8</v>
      </c>
      <c r="J599" s="9" t="inlineStr"/>
      <c r="K599" s="7">
        <f>IF(F599="",0,IFERROR(VLOOKUP(F599,Расходники!$A$4:$B$23,2,FALSE),0))</f>
        <v/>
      </c>
      <c r="L599" s="4">
        <f>H599*D599</f>
        <v/>
      </c>
      <c r="M599" s="4">
        <f>L599*K599</f>
        <v/>
      </c>
      <c r="N599" s="4">
        <f>SUMIF(Материалы!$A$4:$A$800,SUBSTITUTE(SUBSTITUTE(SUBSTITUTE(B599,"~","~~"),"*","~*"),"?","~?"),Материалы!$S$4:$S$800)</f>
        <v/>
      </c>
      <c r="O599" s="4">
        <f>L599+M599+N599</f>
        <v/>
      </c>
      <c r="P599" s="4">
        <f>IF(SUM($O$4:$O$672)=0,0,Косвенные!$C$9*O599/SUM($O$4:$O$672))</f>
        <v/>
      </c>
      <c r="Q599" s="4">
        <f>G599*D599+P599</f>
        <v/>
      </c>
      <c r="R599" s="4">
        <f>IF(D599=0,0,Q599/D599)</f>
        <v/>
      </c>
      <c r="S599" s="4">
        <f>IF(D599=0,0,SUMIF(Материалы!$A$4:$A$800,SUBSTITUTE(SUBSTITUTE(SUBSTITUTE(B599,"~","~~"),"*","~*"),"?","~?"),Материалы!$T$4:$T$800)/D599)</f>
        <v/>
      </c>
      <c r="T599" s="4">
        <f>R599+S599</f>
        <v/>
      </c>
      <c r="U599" s="4">
        <f>I599*D599</f>
        <v/>
      </c>
    </row>
    <row r="600" ht="22" customHeight="1">
      <c r="A600" s="9" t="inlineStr"/>
      <c r="B600" s="13" t="inlineStr">
        <is>
          <t>598. Монтаж дренажной помпы наливной</t>
        </is>
      </c>
      <c r="C600" s="9" t="inlineStr">
        <is>
          <t>шт.</t>
        </is>
      </c>
      <c r="D600" s="4">
        <f>IF('Форма'!G598="","",'Форма'!G598)</f>
        <v/>
      </c>
      <c r="E600" s="9" t="inlineStr">
        <is>
          <t>аналог (7.2.16), единица приведена к нормо-часам</t>
        </is>
      </c>
      <c r="F600" s="9" t="inlineStr">
        <is>
          <t>PLI</t>
        </is>
      </c>
      <c r="G600" s="10" t="n">
        <v>285</v>
      </c>
      <c r="H600" s="10" t="n">
        <v>162</v>
      </c>
      <c r="I600" s="10" t="n">
        <v>0.15</v>
      </c>
      <c r="J600" s="9" t="inlineStr"/>
      <c r="K600" s="7">
        <f>IF(F600="",0,IFERROR(VLOOKUP(F600,Расходники!$A$4:$B$23,2,FALSE),0))</f>
        <v/>
      </c>
      <c r="L600" s="4">
        <f>H600*D600</f>
        <v/>
      </c>
      <c r="M600" s="4">
        <f>L600*K600</f>
        <v/>
      </c>
      <c r="N600" s="4">
        <f>SUMIF(Материалы!$A$4:$A$800,SUBSTITUTE(SUBSTITUTE(SUBSTITUTE(B600,"~","~~"),"*","~*"),"?","~?"),Материалы!$S$4:$S$800)</f>
        <v/>
      </c>
      <c r="O600" s="4">
        <f>L600+M600+N600</f>
        <v/>
      </c>
      <c r="P600" s="4">
        <f>IF(SUM($O$4:$O$672)=0,0,Косвенные!$C$9*O600/SUM($O$4:$O$672))</f>
        <v/>
      </c>
      <c r="Q600" s="4">
        <f>G600*D600+P600</f>
        <v/>
      </c>
      <c r="R600" s="4">
        <f>IF(D600=0,0,Q600/D600)</f>
        <v/>
      </c>
      <c r="S600" s="4">
        <f>IF(D600=0,0,SUMIF(Материалы!$A$4:$A$800,SUBSTITUTE(SUBSTITUTE(SUBSTITUTE(B600,"~","~~"),"*","~*"),"?","~?"),Материалы!$T$4:$T$800)/D600)</f>
        <v/>
      </c>
      <c r="T600" s="4">
        <f>R600+S600</f>
        <v/>
      </c>
      <c r="U600" s="4">
        <f>I600*D600</f>
        <v/>
      </c>
    </row>
    <row r="601" ht="22" customHeight="1">
      <c r="A601" s="9" t="inlineStr"/>
      <c r="B601" s="13" t="inlineStr">
        <is>
          <t>599. Вывоз мусора контейнерами 8 м3</t>
        </is>
      </c>
      <c r="C601" s="9" t="inlineStr">
        <is>
          <t>шт.</t>
        </is>
      </c>
      <c r="D601" s="4">
        <f>IF('Форма'!G599="","",'Форма'!G599)</f>
        <v/>
      </c>
      <c r="E601" s="9" t="inlineStr">
        <is>
          <t>аналог (2.37) × 8 м3</t>
        </is>
      </c>
      <c r="F601" s="9" t="inlineStr">
        <is>
          <t>RAZ</t>
        </is>
      </c>
      <c r="G601" s="10" t="n">
        <v>14000</v>
      </c>
      <c r="H601" s="10" t="n">
        <v>11200</v>
      </c>
      <c r="I601" s="10" t="n">
        <v>0</v>
      </c>
      <c r="J601" s="9" t="inlineStr"/>
      <c r="K601" s="7">
        <f>IF(F601="",0,IFERROR(VLOOKUP(F601,Расходники!$A$4:$B$23,2,FALSE),0))</f>
        <v/>
      </c>
      <c r="L601" s="4">
        <f>H601*D601</f>
        <v/>
      </c>
      <c r="M601" s="4">
        <f>L601*K601</f>
        <v/>
      </c>
      <c r="N601" s="4">
        <f>SUMIF(Материалы!$A$4:$A$800,SUBSTITUTE(SUBSTITUTE(SUBSTITUTE(B601,"~","~~"),"*","~*"),"?","~?"),Материалы!$S$4:$S$800)</f>
        <v/>
      </c>
      <c r="O601" s="4">
        <f>L601+M601+N601</f>
        <v/>
      </c>
      <c r="P601" s="4">
        <f>IF(SUM($O$4:$O$672)=0,0,Косвенные!$C$9*O601/SUM($O$4:$O$672))</f>
        <v/>
      </c>
      <c r="Q601" s="4">
        <f>G601*D601+P601</f>
        <v/>
      </c>
      <c r="R601" s="4">
        <f>IF(D601=0,0,Q601/D601)</f>
        <v/>
      </c>
      <c r="S601" s="4">
        <f>IF(D601=0,0,SUMIF(Материалы!$A$4:$A$800,SUBSTITUTE(SUBSTITUTE(SUBSTITUTE(B601,"~","~~"),"*","~*"),"?","~?"),Материалы!$T$4:$T$800)/D601)</f>
        <v/>
      </c>
      <c r="T601" s="4">
        <f>R601+S601</f>
        <v/>
      </c>
      <c r="U601" s="4">
        <f>I601*D601</f>
        <v/>
      </c>
    </row>
    <row r="602" ht="22" customHeight="1">
      <c r="A602" s="9" t="inlineStr"/>
      <c r="B602" s="13" t="inlineStr">
        <is>
          <t>600. Клининг (Финальная уборка объекта перед сдачей работ)</t>
        </is>
      </c>
      <c r="C602" s="9" t="inlineStr">
        <is>
          <t>м2</t>
        </is>
      </c>
      <c r="D602" s="4">
        <f>IF('Форма'!G600="","",'Форма'!G600)</f>
        <v/>
      </c>
      <c r="E602" s="9" t="inlineStr">
        <is>
          <t>нет в тарификаторе</t>
        </is>
      </c>
      <c r="F602" s="9" t="inlineStr">
        <is>
          <t>RAZ</t>
        </is>
      </c>
      <c r="G602" s="10" t="n">
        <v>90</v>
      </c>
      <c r="H602" s="10" t="n">
        <v>55</v>
      </c>
      <c r="I602" s="10" t="n">
        <v>0.05</v>
      </c>
      <c r="J602" s="9" t="inlineStr"/>
      <c r="K602" s="7">
        <f>IF(F602="",0,IFERROR(VLOOKUP(F602,Расходники!$A$4:$B$23,2,FALSE),0))</f>
        <v/>
      </c>
      <c r="L602" s="4">
        <f>H602*D602</f>
        <v/>
      </c>
      <c r="M602" s="4">
        <f>L602*K602</f>
        <v/>
      </c>
      <c r="N602" s="4">
        <f>SUMIF(Материалы!$A$4:$A$800,SUBSTITUTE(SUBSTITUTE(SUBSTITUTE(B602,"~","~~"),"*","~*"),"?","~?"),Материалы!$S$4:$S$800)</f>
        <v/>
      </c>
      <c r="O602" s="4">
        <f>L602+M602+N602</f>
        <v/>
      </c>
      <c r="P602" s="4">
        <f>IF(SUM($O$4:$O$672)=0,0,Косвенные!$C$9*O602/SUM($O$4:$O$672))</f>
        <v/>
      </c>
      <c r="Q602" s="4">
        <f>G602*D602+P602</f>
        <v/>
      </c>
      <c r="R602" s="4">
        <f>IF(D602=0,0,Q602/D602)</f>
        <v/>
      </c>
      <c r="S602" s="4">
        <f>IF(D602=0,0,SUMIF(Материалы!$A$4:$A$800,SUBSTITUTE(SUBSTITUTE(SUBSTITUTE(B602,"~","~~"),"*","~*"),"?","~?"),Материалы!$T$4:$T$800)/D602)</f>
        <v/>
      </c>
      <c r="T602" s="4">
        <f>R602+S602</f>
        <v/>
      </c>
      <c r="U602" s="4">
        <f>I602*D602</f>
        <v/>
      </c>
    </row>
    <row r="603" ht="22" customHeight="1">
      <c r="A603" s="9" t="inlineStr"/>
      <c r="B603" s="13" t="inlineStr">
        <is>
          <t>601. Демонтаж санузловых ПВХ/НPL/ЛДСП перегородок</t>
        </is>
      </c>
      <c r="C603" s="9" t="inlineStr">
        <is>
          <t>м2</t>
        </is>
      </c>
      <c r="D603" s="4">
        <f>IF('Форма'!G601="","",'Форма'!G601)</f>
        <v/>
      </c>
      <c r="E603" s="9" t="inlineStr">
        <is>
          <t>нет в тарификаторе</t>
        </is>
      </c>
      <c r="F603" s="9" t="inlineStr">
        <is>
          <t>RAZ</t>
        </is>
      </c>
      <c r="G603" s="10" t="n">
        <v>228</v>
      </c>
      <c r="H603" s="10" t="n">
        <v>132</v>
      </c>
      <c r="I603" s="10" t="n">
        <v>0.2</v>
      </c>
      <c r="J603" s="9" t="inlineStr"/>
      <c r="K603" s="7">
        <f>IF(F603="",0,IFERROR(VLOOKUP(F603,Расходники!$A$4:$B$23,2,FALSE),0))</f>
        <v/>
      </c>
      <c r="L603" s="4">
        <f>H603*D603</f>
        <v/>
      </c>
      <c r="M603" s="4">
        <f>L603*K603</f>
        <v/>
      </c>
      <c r="N603" s="4">
        <f>SUMIF(Материалы!$A$4:$A$800,SUBSTITUTE(SUBSTITUTE(SUBSTITUTE(B603,"~","~~"),"*","~*"),"?","~?"),Материалы!$S$4:$S$800)</f>
        <v/>
      </c>
      <c r="O603" s="4">
        <f>L603+M603+N603</f>
        <v/>
      </c>
      <c r="P603" s="4">
        <f>IF(SUM($O$4:$O$672)=0,0,Косвенные!$C$9*O603/SUM($O$4:$O$672))</f>
        <v/>
      </c>
      <c r="Q603" s="4">
        <f>G603*D603+P603</f>
        <v/>
      </c>
      <c r="R603" s="4">
        <f>IF(D603=0,0,Q603/D603)</f>
        <v/>
      </c>
      <c r="S603" s="4">
        <f>IF(D603=0,0,SUMIF(Материалы!$A$4:$A$800,SUBSTITUTE(SUBSTITUTE(SUBSTITUTE(B603,"~","~~"),"*","~*"),"?","~?"),Материалы!$T$4:$T$800)/D603)</f>
        <v/>
      </c>
      <c r="T603" s="4">
        <f>R603+S603</f>
        <v/>
      </c>
      <c r="U603" s="4">
        <f>I603*D603</f>
        <v/>
      </c>
    </row>
    <row r="604" ht="22" customHeight="1">
      <c r="A604" s="9" t="inlineStr">
        <is>
          <t>1.8.17</t>
        </is>
      </c>
      <c r="B604" s="13" t="inlineStr">
        <is>
          <t>602. Демонтаж ГКЛ перегородок типа С-112</t>
        </is>
      </c>
      <c r="C604" s="9" t="inlineStr">
        <is>
          <t>м2</t>
        </is>
      </c>
      <c r="D604" s="4">
        <f>IF('Форма'!G602="","",'Форма'!G602)</f>
        <v/>
      </c>
      <c r="E604" s="9" t="inlineStr">
        <is>
          <t>аналог (1.8.17)</t>
        </is>
      </c>
      <c r="F604" s="9" t="inlineStr">
        <is>
          <t>OTD</t>
        </is>
      </c>
      <c r="G604" s="10" t="n">
        <v>360</v>
      </c>
      <c r="H604" s="10" t="n">
        <v>195</v>
      </c>
      <c r="I604" s="10" t="n">
        <v>0.3</v>
      </c>
      <c r="J604" s="9" t="inlineStr">
        <is>
          <t>да</t>
        </is>
      </c>
      <c r="K604" s="7">
        <f>IF(F604="",0,IFERROR(VLOOKUP(F604,Расходники!$A$4:$B$23,2,FALSE),0))</f>
        <v/>
      </c>
      <c r="L604" s="4">
        <f>H604*D604</f>
        <v/>
      </c>
      <c r="M604" s="4">
        <f>L604*K604</f>
        <v/>
      </c>
      <c r="N604" s="4">
        <f>SUMIF(Материалы!$A$4:$A$800,SUBSTITUTE(SUBSTITUTE(SUBSTITUTE(B604,"~","~~"),"*","~*"),"?","~?"),Материалы!$S$4:$S$800)</f>
        <v/>
      </c>
      <c r="O604" s="4">
        <f>L604+M604+N604</f>
        <v/>
      </c>
      <c r="P604" s="4">
        <f>IF(SUM($O$4:$O$672)=0,0,Косвенные!$C$9*O604/SUM($O$4:$O$672))</f>
        <v/>
      </c>
      <c r="Q604" s="4">
        <f>G604*D604+P604</f>
        <v/>
      </c>
      <c r="R604" s="4">
        <f>IF(D604=0,0,Q604/D604)</f>
        <v/>
      </c>
      <c r="S604" s="4">
        <f>IF(D604=0,0,SUMIF(Материалы!$A$4:$A$800,SUBSTITUTE(SUBSTITUTE(SUBSTITUTE(B604,"~","~~"),"*","~*"),"?","~?"),Материалы!$T$4:$T$800)/D604)</f>
        <v/>
      </c>
      <c r="T604" s="4">
        <f>R604+S604</f>
        <v/>
      </c>
      <c r="U604" s="4">
        <f>I604*D604</f>
        <v/>
      </c>
    </row>
    <row r="605" ht="22" customHeight="1">
      <c r="A605" s="9" t="inlineStr">
        <is>
          <t>1.8.17</t>
        </is>
      </c>
      <c r="B605" s="13" t="inlineStr">
        <is>
          <t>603. Демонтаж обшивки ГКЛ стен, колонн, откосов, лобиков и пр.</t>
        </is>
      </c>
      <c r="C605" s="9" t="inlineStr">
        <is>
          <t>м2</t>
        </is>
      </c>
      <c r="D605" s="4">
        <f>IF('Форма'!G603="","",'Форма'!G603)</f>
        <v/>
      </c>
      <c r="E605" s="9" t="inlineStr">
        <is>
          <t>аналог (1.8.17)</t>
        </is>
      </c>
      <c r="F605" s="9" t="inlineStr">
        <is>
          <t>OTD</t>
        </is>
      </c>
      <c r="G605" s="10" t="n">
        <v>360</v>
      </c>
      <c r="H605" s="10" t="n">
        <v>195</v>
      </c>
      <c r="I605" s="10" t="n">
        <v>0.3</v>
      </c>
      <c r="J605" s="9" t="inlineStr">
        <is>
          <t>да</t>
        </is>
      </c>
      <c r="K605" s="7">
        <f>IF(F605="",0,IFERROR(VLOOKUP(F605,Расходники!$A$4:$B$23,2,FALSE),0))</f>
        <v/>
      </c>
      <c r="L605" s="4">
        <f>H605*D605</f>
        <v/>
      </c>
      <c r="M605" s="4">
        <f>L605*K605</f>
        <v/>
      </c>
      <c r="N605" s="4">
        <f>SUMIF(Материалы!$A$4:$A$800,SUBSTITUTE(SUBSTITUTE(SUBSTITUTE(B605,"~","~~"),"*","~*"),"?","~?"),Материалы!$S$4:$S$800)</f>
        <v/>
      </c>
      <c r="O605" s="4">
        <f>L605+M605+N605</f>
        <v/>
      </c>
      <c r="P605" s="4">
        <f>IF(SUM($O$4:$O$672)=0,0,Косвенные!$C$9*O605/SUM($O$4:$O$672))</f>
        <v/>
      </c>
      <c r="Q605" s="4">
        <f>G605*D605+P605</f>
        <v/>
      </c>
      <c r="R605" s="4">
        <f>IF(D605=0,0,Q605/D605)</f>
        <v/>
      </c>
      <c r="S605" s="4">
        <f>IF(D605=0,0,SUMIF(Материалы!$A$4:$A$800,SUBSTITUTE(SUBSTITUTE(SUBSTITUTE(B605,"~","~~"),"*","~*"),"?","~?"),Материалы!$T$4:$T$800)/D605)</f>
        <v/>
      </c>
      <c r="T605" s="4">
        <f>R605+S605</f>
        <v/>
      </c>
      <c r="U605" s="4">
        <f>I605*D605</f>
        <v/>
      </c>
    </row>
    <row r="606" ht="22" customHeight="1">
      <c r="A606" s="9" t="inlineStr"/>
      <c r="B606" s="13" t="inlineStr">
        <is>
          <t>604. Демонтаж дверных блоков деревянных/стеклянных</t>
        </is>
      </c>
      <c r="C606" s="9" t="inlineStr">
        <is>
          <t>шт.</t>
        </is>
      </c>
      <c r="D606" s="4">
        <f>IF('Форма'!G604="","",'Форма'!G604)</f>
        <v/>
      </c>
      <c r="E606" s="9" t="inlineStr">
        <is>
          <t>аналог (1.12)</t>
        </is>
      </c>
      <c r="F606" s="9" t="inlineStr">
        <is>
          <t>DVR</t>
        </is>
      </c>
      <c r="G606" s="10" t="n">
        <v>1140</v>
      </c>
      <c r="H606" s="10" t="n">
        <v>570</v>
      </c>
      <c r="I606" s="10" t="n">
        <v>0.6</v>
      </c>
      <c r="J606" s="9" t="inlineStr"/>
      <c r="K606" s="7">
        <f>IF(F606="",0,IFERROR(VLOOKUP(F606,Расходники!$A$4:$B$23,2,FALSE),0))</f>
        <v/>
      </c>
      <c r="L606" s="4">
        <f>H606*D606</f>
        <v/>
      </c>
      <c r="M606" s="4">
        <f>L606*K606</f>
        <v/>
      </c>
      <c r="N606" s="4">
        <f>SUMIF(Материалы!$A$4:$A$800,SUBSTITUTE(SUBSTITUTE(SUBSTITUTE(B606,"~","~~"),"*","~*"),"?","~?"),Материалы!$S$4:$S$800)</f>
        <v/>
      </c>
      <c r="O606" s="4">
        <f>L606+M606+N606</f>
        <v/>
      </c>
      <c r="P606" s="4">
        <f>IF(SUM($O$4:$O$672)=0,0,Косвенные!$C$9*O606/SUM($O$4:$O$672))</f>
        <v/>
      </c>
      <c r="Q606" s="4">
        <f>G606*D606+P606</f>
        <v/>
      </c>
      <c r="R606" s="4">
        <f>IF(D606=0,0,Q606/D606)</f>
        <v/>
      </c>
      <c r="S606" s="4">
        <f>IF(D606=0,0,SUMIF(Материалы!$A$4:$A$800,SUBSTITUTE(SUBSTITUTE(SUBSTITUTE(B606,"~","~~"),"*","~*"),"?","~?"),Материалы!$T$4:$T$800)/D606)</f>
        <v/>
      </c>
      <c r="T606" s="4">
        <f>R606+S606</f>
        <v/>
      </c>
      <c r="U606" s="4">
        <f>I606*D606</f>
        <v/>
      </c>
    </row>
    <row r="607" ht="22" customHeight="1">
      <c r="A607" s="9" t="inlineStr"/>
      <c r="B607" s="13" t="inlineStr">
        <is>
          <t>605. Демонтаж металлических дверных блоков</t>
        </is>
      </c>
      <c r="C607" s="9" t="inlineStr">
        <is>
          <t>шт.</t>
        </is>
      </c>
      <c r="D607" s="4">
        <f>IF('Форма'!G605="","",'Форма'!G605)</f>
        <v/>
      </c>
      <c r="E607" s="9" t="inlineStr">
        <is>
          <t>аналог (1.12)</t>
        </is>
      </c>
      <c r="F607" s="9" t="inlineStr">
        <is>
          <t>DVR</t>
        </is>
      </c>
      <c r="G607" s="10" t="n">
        <v>2280</v>
      </c>
      <c r="H607" s="10" t="n">
        <v>1140</v>
      </c>
      <c r="I607" s="10" t="n">
        <v>1.2</v>
      </c>
      <c r="J607" s="9" t="inlineStr"/>
      <c r="K607" s="7">
        <f>IF(F607="",0,IFERROR(VLOOKUP(F607,Расходники!$A$4:$B$23,2,FALSE),0))</f>
        <v/>
      </c>
      <c r="L607" s="4">
        <f>H607*D607</f>
        <v/>
      </c>
      <c r="M607" s="4">
        <f>L607*K607</f>
        <v/>
      </c>
      <c r="N607" s="4">
        <f>SUMIF(Материалы!$A$4:$A$800,SUBSTITUTE(SUBSTITUTE(SUBSTITUTE(B607,"~","~~"),"*","~*"),"?","~?"),Материалы!$S$4:$S$800)</f>
        <v/>
      </c>
      <c r="O607" s="4">
        <f>L607+M607+N607</f>
        <v/>
      </c>
      <c r="P607" s="4">
        <f>IF(SUM($O$4:$O$672)=0,0,Косвенные!$C$9*O607/SUM($O$4:$O$672))</f>
        <v/>
      </c>
      <c r="Q607" s="4">
        <f>G607*D607+P607</f>
        <v/>
      </c>
      <c r="R607" s="4">
        <f>IF(D607=0,0,Q607/D607)</f>
        <v/>
      </c>
      <c r="S607" s="4">
        <f>IF(D607=0,0,SUMIF(Материалы!$A$4:$A$800,SUBSTITUTE(SUBSTITUTE(SUBSTITUTE(B607,"~","~~"),"*","~*"),"?","~?"),Материалы!$T$4:$T$800)/D607)</f>
        <v/>
      </c>
      <c r="T607" s="4">
        <f>R607+S607</f>
        <v/>
      </c>
      <c r="U607" s="4">
        <f>I607*D607</f>
        <v/>
      </c>
    </row>
    <row r="608" ht="22" customHeight="1">
      <c r="A608" s="9" t="inlineStr"/>
      <c r="B608" s="13" t="inlineStr">
        <is>
          <t>606. Демонтаж жалюзи/рулонных штор</t>
        </is>
      </c>
      <c r="C608" s="9" t="inlineStr">
        <is>
          <t>шт.</t>
        </is>
      </c>
      <c r="D608" s="4">
        <f>IF('Форма'!G606="","",'Форма'!G606)</f>
        <v/>
      </c>
      <c r="E608" s="9" t="inlineStr">
        <is>
          <t>нет в тарификаторе</t>
        </is>
      </c>
      <c r="F608" s="9" t="inlineStr">
        <is>
          <t>RAZ</t>
        </is>
      </c>
      <c r="G608" s="10" t="n">
        <v>570</v>
      </c>
      <c r="H608" s="10" t="n">
        <v>330</v>
      </c>
      <c r="I608" s="10" t="n">
        <v>0.5</v>
      </c>
      <c r="J608" s="9" t="inlineStr"/>
      <c r="K608" s="7">
        <f>IF(F608="",0,IFERROR(VLOOKUP(F608,Расходники!$A$4:$B$23,2,FALSE),0))</f>
        <v/>
      </c>
      <c r="L608" s="4">
        <f>H608*D608</f>
        <v/>
      </c>
      <c r="M608" s="4">
        <f>L608*K608</f>
        <v/>
      </c>
      <c r="N608" s="4">
        <f>SUMIF(Материалы!$A$4:$A$800,SUBSTITUTE(SUBSTITUTE(SUBSTITUTE(B608,"~","~~"),"*","~*"),"?","~?"),Материалы!$S$4:$S$800)</f>
        <v/>
      </c>
      <c r="O608" s="4">
        <f>L608+M608+N608</f>
        <v/>
      </c>
      <c r="P608" s="4">
        <f>IF(SUM($O$4:$O$672)=0,0,Косвенные!$C$9*O608/SUM($O$4:$O$672))</f>
        <v/>
      </c>
      <c r="Q608" s="4">
        <f>G608*D608+P608</f>
        <v/>
      </c>
      <c r="R608" s="4">
        <f>IF(D608=0,0,Q608/D608)</f>
        <v/>
      </c>
      <c r="S608" s="4">
        <f>IF(D608=0,0,SUMIF(Материалы!$A$4:$A$800,SUBSTITUTE(SUBSTITUTE(SUBSTITUTE(B608,"~","~~"),"*","~*"),"?","~?"),Материалы!$T$4:$T$800)/D608)</f>
        <v/>
      </c>
      <c r="T608" s="4">
        <f>R608+S608</f>
        <v/>
      </c>
      <c r="U608" s="4">
        <f>I608*D608</f>
        <v/>
      </c>
    </row>
    <row r="609" ht="22" customHeight="1">
      <c r="A609" s="9" t="inlineStr"/>
      <c r="B609" s="13" t="inlineStr">
        <is>
          <t>607. Демонтаж рольставен</t>
        </is>
      </c>
      <c r="C609" s="9" t="inlineStr">
        <is>
          <t>шт</t>
        </is>
      </c>
      <c r="D609" s="4">
        <f>IF('Форма'!G607="","",'Форма'!G607)</f>
        <v/>
      </c>
      <c r="E609" s="9" t="inlineStr">
        <is>
          <t>нет в тарификаторе</t>
        </is>
      </c>
      <c r="F609" s="9" t="inlineStr">
        <is>
          <t>RAZ</t>
        </is>
      </c>
      <c r="G609" s="10" t="n">
        <v>570</v>
      </c>
      <c r="H609" s="10" t="n">
        <v>330</v>
      </c>
      <c r="I609" s="10" t="n">
        <v>0.5</v>
      </c>
      <c r="J609" s="9" t="inlineStr"/>
      <c r="K609" s="7">
        <f>IF(F609="",0,IFERROR(VLOOKUP(F609,Расходники!$A$4:$B$23,2,FALSE),0))</f>
        <v/>
      </c>
      <c r="L609" s="4">
        <f>H609*D609</f>
        <v/>
      </c>
      <c r="M609" s="4">
        <f>L609*K609</f>
        <v/>
      </c>
      <c r="N609" s="4">
        <f>SUMIF(Материалы!$A$4:$A$800,SUBSTITUTE(SUBSTITUTE(SUBSTITUTE(B609,"~","~~"),"*","~*"),"?","~?"),Материалы!$S$4:$S$800)</f>
        <v/>
      </c>
      <c r="O609" s="4">
        <f>L609+M609+N609</f>
        <v/>
      </c>
      <c r="P609" s="4">
        <f>IF(SUM($O$4:$O$672)=0,0,Косвенные!$C$9*O609/SUM($O$4:$O$672))</f>
        <v/>
      </c>
      <c r="Q609" s="4">
        <f>G609*D609+P609</f>
        <v/>
      </c>
      <c r="R609" s="4">
        <f>IF(D609=0,0,Q609/D609)</f>
        <v/>
      </c>
      <c r="S609" s="4">
        <f>IF(D609=0,0,SUMIF(Материалы!$A$4:$A$800,SUBSTITUTE(SUBSTITUTE(SUBSTITUTE(B609,"~","~~"),"*","~*"),"?","~?"),Материалы!$T$4:$T$800)/D609)</f>
        <v/>
      </c>
      <c r="T609" s="4">
        <f>R609+S609</f>
        <v/>
      </c>
      <c r="U609" s="4">
        <f>I609*D609</f>
        <v/>
      </c>
    </row>
    <row r="610" ht="22" customHeight="1">
      <c r="A610" s="9" t="inlineStr"/>
      <c r="B610" s="13" t="inlineStr">
        <is>
          <t>608. Демонтаж настенной плитки керамической/керамогранита, в том числе кухонных фартуков</t>
        </is>
      </c>
      <c r="C610" s="9" t="inlineStr">
        <is>
          <t>м2</t>
        </is>
      </c>
      <c r="D610" s="4">
        <f>IF('Форма'!G608="","",'Форма'!G608)</f>
        <v/>
      </c>
      <c r="E610" s="9" t="inlineStr">
        <is>
          <t>нет в тарификаторе</t>
        </is>
      </c>
      <c r="F610" s="9" t="inlineStr">
        <is>
          <t>PLI</t>
        </is>
      </c>
      <c r="G610" s="10" t="n">
        <v>855</v>
      </c>
      <c r="H610" s="10" t="n">
        <v>486</v>
      </c>
      <c r="I610" s="10" t="n">
        <v>0.45</v>
      </c>
      <c r="J610" s="9" t="inlineStr"/>
      <c r="K610" s="7">
        <f>IF(F610="",0,IFERROR(VLOOKUP(F610,Расходники!$A$4:$B$23,2,FALSE),0))</f>
        <v/>
      </c>
      <c r="L610" s="4">
        <f>H610*D610</f>
        <v/>
      </c>
      <c r="M610" s="4">
        <f>L610*K610</f>
        <v/>
      </c>
      <c r="N610" s="4">
        <f>SUMIF(Материалы!$A$4:$A$800,SUBSTITUTE(SUBSTITUTE(SUBSTITUTE(B610,"~","~~"),"*","~*"),"?","~?"),Материалы!$S$4:$S$800)</f>
        <v/>
      </c>
      <c r="O610" s="4">
        <f>L610+M610+N610</f>
        <v/>
      </c>
      <c r="P610" s="4">
        <f>IF(SUM($O$4:$O$672)=0,0,Косвенные!$C$9*O610/SUM($O$4:$O$672))</f>
        <v/>
      </c>
      <c r="Q610" s="4">
        <f>G610*D610+P610</f>
        <v/>
      </c>
      <c r="R610" s="4">
        <f>IF(D610=0,0,Q610/D610)</f>
        <v/>
      </c>
      <c r="S610" s="4">
        <f>IF(D610=0,0,SUMIF(Материалы!$A$4:$A$800,SUBSTITUTE(SUBSTITUTE(SUBSTITUTE(B610,"~","~~"),"*","~*"),"?","~?"),Материалы!$T$4:$T$800)/D610)</f>
        <v/>
      </c>
      <c r="T610" s="4">
        <f>R610+S610</f>
        <v/>
      </c>
      <c r="U610" s="4">
        <f>I610*D610</f>
        <v/>
      </c>
    </row>
    <row r="611" ht="22" customHeight="1">
      <c r="A611" s="9" t="inlineStr"/>
      <c r="B611" s="13" t="inlineStr">
        <is>
          <t>609. Очистка стен от краски</t>
        </is>
      </c>
      <c r="C611" s="9" t="inlineStr">
        <is>
          <t>м2</t>
        </is>
      </c>
      <c r="D611" s="4">
        <f>IF('Форма'!G609="","",'Форма'!G609)</f>
        <v/>
      </c>
      <c r="E611" s="9" t="inlineStr">
        <is>
          <t>нет в тарификаторе</t>
        </is>
      </c>
      <c r="F611" s="9" t="inlineStr">
        <is>
          <t>OTD</t>
        </is>
      </c>
      <c r="G611" s="10" t="n">
        <v>427.5</v>
      </c>
      <c r="H611" s="10" t="n">
        <v>225</v>
      </c>
      <c r="I611" s="10" t="n">
        <v>0.25</v>
      </c>
      <c r="J611" s="9" t="inlineStr"/>
      <c r="K611" s="7">
        <f>IF(F611="",0,IFERROR(VLOOKUP(F611,Расходники!$A$4:$B$23,2,FALSE),0))</f>
        <v/>
      </c>
      <c r="L611" s="4">
        <f>H611*D611</f>
        <v/>
      </c>
      <c r="M611" s="4">
        <f>L611*K611</f>
        <v/>
      </c>
      <c r="N611" s="4">
        <f>SUMIF(Материалы!$A$4:$A$800,SUBSTITUTE(SUBSTITUTE(SUBSTITUTE(B611,"~","~~"),"*","~*"),"?","~?"),Материалы!$S$4:$S$800)</f>
        <v/>
      </c>
      <c r="O611" s="4">
        <f>L611+M611+N611</f>
        <v/>
      </c>
      <c r="P611" s="4">
        <f>IF(SUM($O$4:$O$672)=0,0,Косвенные!$C$9*O611/SUM($O$4:$O$672))</f>
        <v/>
      </c>
      <c r="Q611" s="4">
        <f>G611*D611+P611</f>
        <v/>
      </c>
      <c r="R611" s="4">
        <f>IF(D611=0,0,Q611/D611)</f>
        <v/>
      </c>
      <c r="S611" s="4">
        <f>IF(D611=0,0,SUMIF(Материалы!$A$4:$A$800,SUBSTITUTE(SUBSTITUTE(SUBSTITUTE(B611,"~","~~"),"*","~*"),"?","~?"),Материалы!$T$4:$T$800)/D611)</f>
        <v/>
      </c>
      <c r="T611" s="4">
        <f>R611+S611</f>
        <v/>
      </c>
      <c r="U611" s="4">
        <f>I611*D611</f>
        <v/>
      </c>
    </row>
    <row r="612" ht="22" customHeight="1">
      <c r="A612" s="9" t="inlineStr"/>
      <c r="B612" s="13" t="inlineStr">
        <is>
          <t>610. Демонтаж декоративного покрытия стен (ПВХ, ЛДСП, стекло, 3D панели, металл и пр.)</t>
        </is>
      </c>
      <c r="C612" s="9" t="inlineStr">
        <is>
          <t>м2</t>
        </is>
      </c>
      <c r="D612" s="4">
        <f>IF('Форма'!G610="","",'Форма'!G610)</f>
        <v/>
      </c>
      <c r="E612" s="9" t="inlineStr">
        <is>
          <t>нет в тарификаторе</t>
        </is>
      </c>
      <c r="F612" s="9" t="inlineStr">
        <is>
          <t>SVA</t>
        </is>
      </c>
      <c r="G612" s="10" t="n">
        <v>342</v>
      </c>
      <c r="H612" s="10" t="n">
        <v>162</v>
      </c>
      <c r="I612" s="10" t="n">
        <v>0.15</v>
      </c>
      <c r="J612" s="9" t="inlineStr"/>
      <c r="K612" s="7">
        <f>IF(F612="",0,IFERROR(VLOOKUP(F612,Расходники!$A$4:$B$23,2,FALSE),0))</f>
        <v/>
      </c>
      <c r="L612" s="4">
        <f>H612*D612</f>
        <v/>
      </c>
      <c r="M612" s="4">
        <f>L612*K612</f>
        <v/>
      </c>
      <c r="N612" s="4">
        <f>SUMIF(Материалы!$A$4:$A$800,SUBSTITUTE(SUBSTITUTE(SUBSTITUTE(B612,"~","~~"),"*","~*"),"?","~?"),Материалы!$S$4:$S$800)</f>
        <v/>
      </c>
      <c r="O612" s="4">
        <f>L612+M612+N612</f>
        <v/>
      </c>
      <c r="P612" s="4">
        <f>IF(SUM($O$4:$O$672)=0,0,Косвенные!$C$9*O612/SUM($O$4:$O$672))</f>
        <v/>
      </c>
      <c r="Q612" s="4">
        <f>G612*D612+P612</f>
        <v/>
      </c>
      <c r="R612" s="4">
        <f>IF(D612=0,0,Q612/D612)</f>
        <v/>
      </c>
      <c r="S612" s="4">
        <f>IF(D612=0,0,SUMIF(Материалы!$A$4:$A$800,SUBSTITUTE(SUBSTITUTE(SUBSTITUTE(B612,"~","~~"),"*","~*"),"?","~?"),Материалы!$T$4:$T$800)/D612)</f>
        <v/>
      </c>
      <c r="T612" s="4">
        <f>R612+S612</f>
        <v/>
      </c>
      <c r="U612" s="4">
        <f>I612*D612</f>
        <v/>
      </c>
    </row>
    <row r="613" ht="22" customHeight="1">
      <c r="A613" s="9" t="inlineStr"/>
      <c r="B613" s="13" t="inlineStr">
        <is>
          <t>611. Демонтаж подвесных модульных потолков, в том числе Армстронг/Грильято/рейка</t>
        </is>
      </c>
      <c r="C613" s="9" t="inlineStr">
        <is>
          <t>м2</t>
        </is>
      </c>
      <c r="D613" s="4">
        <f>IF('Форма'!G611="","",'Форма'!G611)</f>
        <v/>
      </c>
      <c r="E613" s="9" t="inlineStr">
        <is>
          <t>аналог (8.3.1)</t>
        </is>
      </c>
      <c r="F613" s="9" t="inlineStr">
        <is>
          <t>OTD</t>
        </is>
      </c>
      <c r="G613" s="10" t="n">
        <v>171</v>
      </c>
      <c r="H613" s="10" t="n">
        <v>90</v>
      </c>
      <c r="I613" s="10" t="n">
        <v>0.1</v>
      </c>
      <c r="J613" s="9" t="inlineStr"/>
      <c r="K613" s="7">
        <f>IF(F613="",0,IFERROR(VLOOKUP(F613,Расходники!$A$4:$B$23,2,FALSE),0))</f>
        <v/>
      </c>
      <c r="L613" s="4">
        <f>H613*D613</f>
        <v/>
      </c>
      <c r="M613" s="4">
        <f>L613*K613</f>
        <v/>
      </c>
      <c r="N613" s="4">
        <f>SUMIF(Материалы!$A$4:$A$800,SUBSTITUTE(SUBSTITUTE(SUBSTITUTE(B613,"~","~~"),"*","~*"),"?","~?"),Материалы!$S$4:$S$800)</f>
        <v/>
      </c>
      <c r="O613" s="4">
        <f>L613+M613+N613</f>
        <v/>
      </c>
      <c r="P613" s="4">
        <f>IF(SUM($O$4:$O$672)=0,0,Косвенные!$C$9*O613/SUM($O$4:$O$672))</f>
        <v/>
      </c>
      <c r="Q613" s="4">
        <f>G613*D613+P613</f>
        <v/>
      </c>
      <c r="R613" s="4">
        <f>IF(D613=0,0,Q613/D613)</f>
        <v/>
      </c>
      <c r="S613" s="4">
        <f>IF(D613=0,0,SUMIF(Материалы!$A$4:$A$800,SUBSTITUTE(SUBSTITUTE(SUBSTITUTE(B613,"~","~~"),"*","~*"),"?","~?"),Материалы!$T$4:$T$800)/D613)</f>
        <v/>
      </c>
      <c r="T613" s="4">
        <f>R613+S613</f>
        <v/>
      </c>
      <c r="U613" s="4">
        <f>I613*D613</f>
        <v/>
      </c>
    </row>
    <row r="614" ht="22" customHeight="1">
      <c r="A614" s="9" t="inlineStr">
        <is>
          <t>1.8.17</t>
        </is>
      </c>
      <c r="B614" s="13" t="inlineStr">
        <is>
          <t>612. Демонтаж потолков ГКЛ</t>
        </is>
      </c>
      <c r="C614" s="9" t="inlineStr">
        <is>
          <t>м2</t>
        </is>
      </c>
      <c r="D614" s="4">
        <f>IF('Форма'!G612="","",'Форма'!G612)</f>
        <v/>
      </c>
      <c r="E614" s="9" t="inlineStr">
        <is>
          <t>аналог (1.8.17)</t>
        </is>
      </c>
      <c r="F614" s="9" t="inlineStr">
        <is>
          <t>OTD</t>
        </is>
      </c>
      <c r="G614" s="10" t="n">
        <v>360</v>
      </c>
      <c r="H614" s="10" t="n">
        <v>195</v>
      </c>
      <c r="I614" s="10" t="n">
        <v>0.3</v>
      </c>
      <c r="J614" s="9" t="inlineStr">
        <is>
          <t>да</t>
        </is>
      </c>
      <c r="K614" s="7">
        <f>IF(F614="",0,IFERROR(VLOOKUP(F614,Расходники!$A$4:$B$23,2,FALSE),0))</f>
        <v/>
      </c>
      <c r="L614" s="4">
        <f>H614*D614</f>
        <v/>
      </c>
      <c r="M614" s="4">
        <f>L614*K614</f>
        <v/>
      </c>
      <c r="N614" s="4">
        <f>SUMIF(Материалы!$A$4:$A$800,SUBSTITUTE(SUBSTITUTE(SUBSTITUTE(B614,"~","~~"),"*","~*"),"?","~?"),Материалы!$S$4:$S$800)</f>
        <v/>
      </c>
      <c r="O614" s="4">
        <f>L614+M614+N614</f>
        <v/>
      </c>
      <c r="P614" s="4">
        <f>IF(SUM($O$4:$O$672)=0,0,Косвенные!$C$9*O614/SUM($O$4:$O$672))</f>
        <v/>
      </c>
      <c r="Q614" s="4">
        <f>G614*D614+P614</f>
        <v/>
      </c>
      <c r="R614" s="4">
        <f>IF(D614=0,0,Q614/D614)</f>
        <v/>
      </c>
      <c r="S614" s="4">
        <f>IF(D614=0,0,SUMIF(Материалы!$A$4:$A$800,SUBSTITUTE(SUBSTITUTE(SUBSTITUTE(B614,"~","~~"),"*","~*"),"?","~?"),Материалы!$T$4:$T$800)/D614)</f>
        <v/>
      </c>
      <c r="T614" s="4">
        <f>R614+S614</f>
        <v/>
      </c>
      <c r="U614" s="4">
        <f>I614*D614</f>
        <v/>
      </c>
    </row>
    <row r="615" ht="22" customHeight="1">
      <c r="A615" s="9" t="inlineStr"/>
      <c r="B615" s="13" t="inlineStr">
        <is>
          <t>613. Разборка и сборка подвесных модульных потолков при обсдуживании ремонтных работ с запотолочными инженерными системами</t>
        </is>
      </c>
      <c r="C615" s="9" t="inlineStr">
        <is>
          <t>м2</t>
        </is>
      </c>
      <c r="D615" s="4">
        <f>IF('Форма'!G613="","",'Форма'!G613)</f>
        <v/>
      </c>
      <c r="E615" s="9" t="inlineStr">
        <is>
          <t>аналог (8.3.1)</t>
        </is>
      </c>
      <c r="F615" s="9" t="inlineStr">
        <is>
          <t>OTD</t>
        </is>
      </c>
      <c r="G615" s="10" t="n">
        <v>205.2</v>
      </c>
      <c r="H615" s="10" t="n">
        <v>108</v>
      </c>
      <c r="I615" s="10" t="n">
        <v>0.12</v>
      </c>
      <c r="J615" s="9" t="inlineStr"/>
      <c r="K615" s="7">
        <f>IF(F615="",0,IFERROR(VLOOKUP(F615,Расходники!$A$4:$B$23,2,FALSE),0))</f>
        <v/>
      </c>
      <c r="L615" s="4">
        <f>H615*D615</f>
        <v/>
      </c>
      <c r="M615" s="4">
        <f>L615*K615</f>
        <v/>
      </c>
      <c r="N615" s="4">
        <f>SUMIF(Материалы!$A$4:$A$800,SUBSTITUTE(SUBSTITUTE(SUBSTITUTE(B615,"~","~~"),"*","~*"),"?","~?"),Материалы!$S$4:$S$800)</f>
        <v/>
      </c>
      <c r="O615" s="4">
        <f>L615+M615+N615</f>
        <v/>
      </c>
      <c r="P615" s="4">
        <f>IF(SUM($O$4:$O$672)=0,0,Косвенные!$C$9*O615/SUM($O$4:$O$672))</f>
        <v/>
      </c>
      <c r="Q615" s="4">
        <f>G615*D615+P615</f>
        <v/>
      </c>
      <c r="R615" s="4">
        <f>IF(D615=0,0,Q615/D615)</f>
        <v/>
      </c>
      <c r="S615" s="4">
        <f>IF(D615=0,0,SUMIF(Материалы!$A$4:$A$800,SUBSTITUTE(SUBSTITUTE(SUBSTITUTE(B615,"~","~~"),"*","~*"),"?","~?"),Материалы!$T$4:$T$800)/D615)</f>
        <v/>
      </c>
      <c r="T615" s="4">
        <f>R615+S615</f>
        <v/>
      </c>
      <c r="U615" s="4">
        <f>I615*D615</f>
        <v/>
      </c>
    </row>
    <row r="616" ht="22" customHeight="1">
      <c r="A616" s="9" t="inlineStr">
        <is>
          <t>8.2.34</t>
        </is>
      </c>
      <c r="B616" s="13" t="inlineStr">
        <is>
          <t>614. Очистка перекрытий/потолков от набетонок, пятен, краски и пр.</t>
        </is>
      </c>
      <c r="C616" s="9" t="inlineStr">
        <is>
          <t>м2</t>
        </is>
      </c>
      <c r="D616" s="4">
        <f>IF('Форма'!G614="","",'Форма'!G614)</f>
        <v/>
      </c>
      <c r="E616" s="9" t="inlineStr">
        <is>
          <t>аналог (8.2.34)</t>
        </is>
      </c>
      <c r="F616" s="9" t="inlineStr">
        <is>
          <t>OTD</t>
        </is>
      </c>
      <c r="G616" s="10" t="n">
        <v>360</v>
      </c>
      <c r="H616" s="10" t="n">
        <v>210</v>
      </c>
      <c r="I616" s="10" t="n">
        <v>0.2</v>
      </c>
      <c r="J616" s="9" t="inlineStr"/>
      <c r="K616" s="7">
        <f>IF(F616="",0,IFERROR(VLOOKUP(F616,Расходники!$A$4:$B$23,2,FALSE),0))</f>
        <v/>
      </c>
      <c r="L616" s="4">
        <f>H616*D616</f>
        <v/>
      </c>
      <c r="M616" s="4">
        <f>L616*K616</f>
        <v/>
      </c>
      <c r="N616" s="4">
        <f>SUMIF(Материалы!$A$4:$A$800,SUBSTITUTE(SUBSTITUTE(SUBSTITUTE(B616,"~","~~"),"*","~*"),"?","~?"),Материалы!$S$4:$S$800)</f>
        <v/>
      </c>
      <c r="O616" s="4">
        <f>L616+M616+N616</f>
        <v/>
      </c>
      <c r="P616" s="4">
        <f>IF(SUM($O$4:$O$672)=0,0,Косвенные!$C$9*O616/SUM($O$4:$O$672))</f>
        <v/>
      </c>
      <c r="Q616" s="4">
        <f>G616*D616+P616</f>
        <v/>
      </c>
      <c r="R616" s="4">
        <f>IF(D616=0,0,Q616/D616)</f>
        <v/>
      </c>
      <c r="S616" s="4">
        <f>IF(D616=0,0,SUMIF(Материалы!$A$4:$A$800,SUBSTITUTE(SUBSTITUTE(SUBSTITUTE(B616,"~","~~"),"*","~*"),"?","~?"),Материалы!$T$4:$T$800)/D616)</f>
        <v/>
      </c>
      <c r="T616" s="4">
        <f>R616+S616</f>
        <v/>
      </c>
      <c r="U616" s="4">
        <f>I616*D616</f>
        <v/>
      </c>
    </row>
    <row r="617" ht="22" customHeight="1">
      <c r="A617" s="9" t="inlineStr">
        <is>
          <t>5.5.14</t>
        </is>
      </c>
      <c r="B617" s="13" t="inlineStr">
        <is>
          <t>615. Очистка металлоконструкций от ржавчины (очистка, обеспыливание, обезжиривание, огрунтовка)</t>
        </is>
      </c>
      <c r="C617" s="9" t="inlineStr">
        <is>
          <t>м2</t>
        </is>
      </c>
      <c r="D617" s="4">
        <f>IF('Форма'!G615="","",'Форма'!G615)</f>
        <v/>
      </c>
      <c r="E617" s="9" t="inlineStr">
        <is>
          <t>точно</t>
        </is>
      </c>
      <c r="F617" s="9" t="inlineStr">
        <is>
          <t>OTD</t>
        </is>
      </c>
      <c r="G617" s="10" t="n">
        <v>80</v>
      </c>
      <c r="H617" s="10" t="n">
        <v>46</v>
      </c>
      <c r="I617" s="10" t="n">
        <v>0.04</v>
      </c>
      <c r="J617" s="9" t="inlineStr"/>
      <c r="K617" s="7">
        <f>IF(F617="",0,IFERROR(VLOOKUP(F617,Расходники!$A$4:$B$23,2,FALSE),0))</f>
        <v/>
      </c>
      <c r="L617" s="4">
        <f>H617*D617</f>
        <v/>
      </c>
      <c r="M617" s="4">
        <f>L617*K617</f>
        <v/>
      </c>
      <c r="N617" s="4">
        <f>SUMIF(Материалы!$A$4:$A$800,SUBSTITUTE(SUBSTITUTE(SUBSTITUTE(B617,"~","~~"),"*","~*"),"?","~?"),Материалы!$S$4:$S$800)</f>
        <v/>
      </c>
      <c r="O617" s="4">
        <f>L617+M617+N617</f>
        <v/>
      </c>
      <c r="P617" s="4">
        <f>IF(SUM($O$4:$O$672)=0,0,Косвенные!$C$9*O617/SUM($O$4:$O$672))</f>
        <v/>
      </c>
      <c r="Q617" s="4">
        <f>G617*D617+P617</f>
        <v/>
      </c>
      <c r="R617" s="4">
        <f>IF(D617=0,0,Q617/D617)</f>
        <v/>
      </c>
      <c r="S617" s="4">
        <f>IF(D617=0,0,SUMIF(Материалы!$A$4:$A$800,SUBSTITUTE(SUBSTITUTE(SUBSTITUTE(B617,"~","~~"),"*","~*"),"?","~?"),Материалы!$T$4:$T$800)/D617)</f>
        <v/>
      </c>
      <c r="T617" s="4">
        <f>R617+S617</f>
        <v/>
      </c>
      <c r="U617" s="4">
        <f>I617*D617</f>
        <v/>
      </c>
    </row>
    <row r="618" ht="22" customHeight="1">
      <c r="A618" s="9" t="inlineStr"/>
      <c r="B618" s="13" t="inlineStr">
        <is>
          <t>616. Демонтаж плинтусов: дерево, МДФ, ПВХ, металл</t>
        </is>
      </c>
      <c r="C618" s="9" t="inlineStr">
        <is>
          <t>шт.</t>
        </is>
      </c>
      <c r="D618" s="4">
        <f>IF('Форма'!G616="","",'Форма'!G616)</f>
        <v/>
      </c>
      <c r="E618" s="9" t="inlineStr">
        <is>
          <t>нет в тарификаторе</t>
        </is>
      </c>
      <c r="F618" s="9" t="inlineStr">
        <is>
          <t>OTD</t>
        </is>
      </c>
      <c r="G618" s="10" t="n">
        <v>136.8</v>
      </c>
      <c r="H618" s="10" t="n">
        <v>72</v>
      </c>
      <c r="I618" s="10" t="n">
        <v>0.08</v>
      </c>
      <c r="J618" s="9" t="inlineStr"/>
      <c r="K618" s="7">
        <f>IF(F618="",0,IFERROR(VLOOKUP(F618,Расходники!$A$4:$B$23,2,FALSE),0))</f>
        <v/>
      </c>
      <c r="L618" s="4">
        <f>H618*D618</f>
        <v/>
      </c>
      <c r="M618" s="4">
        <f>L618*K618</f>
        <v/>
      </c>
      <c r="N618" s="4">
        <f>SUMIF(Материалы!$A$4:$A$800,SUBSTITUTE(SUBSTITUTE(SUBSTITUTE(B618,"~","~~"),"*","~*"),"?","~?"),Материалы!$S$4:$S$800)</f>
        <v/>
      </c>
      <c r="O618" s="4">
        <f>L618+M618+N618</f>
        <v/>
      </c>
      <c r="P618" s="4">
        <f>IF(SUM($O$4:$O$672)=0,0,Косвенные!$C$9*O618/SUM($O$4:$O$672))</f>
        <v/>
      </c>
      <c r="Q618" s="4">
        <f>G618*D618+P618</f>
        <v/>
      </c>
      <c r="R618" s="4">
        <f>IF(D618=0,0,Q618/D618)</f>
        <v/>
      </c>
      <c r="S618" s="4">
        <f>IF(D618=0,0,SUMIF(Материалы!$A$4:$A$800,SUBSTITUTE(SUBSTITUTE(SUBSTITUTE(B618,"~","~~"),"*","~*"),"?","~?"),Материалы!$T$4:$T$800)/D618)</f>
        <v/>
      </c>
      <c r="T618" s="4">
        <f>R618+S618</f>
        <v/>
      </c>
      <c r="U618" s="4">
        <f>I618*D618</f>
        <v/>
      </c>
    </row>
    <row r="619" ht="22" customHeight="1">
      <c r="A619" s="9" t="inlineStr"/>
      <c r="B619" s="13" t="inlineStr">
        <is>
          <t>617. Демонтаж плинтусов: камень, керамогранит или керамическая плитка</t>
        </is>
      </c>
      <c r="C619" s="9" t="inlineStr">
        <is>
          <t>п.м</t>
        </is>
      </c>
      <c r="D619" s="4">
        <f>IF('Форма'!G617="","",'Форма'!G617)</f>
        <v/>
      </c>
      <c r="E619" s="9" t="inlineStr">
        <is>
          <t>нет в тарификаторе</t>
        </is>
      </c>
      <c r="F619" s="9" t="inlineStr">
        <is>
          <t>PLI</t>
        </is>
      </c>
      <c r="G619" s="10" t="n">
        <v>855</v>
      </c>
      <c r="H619" s="10" t="n">
        <v>486</v>
      </c>
      <c r="I619" s="10" t="n">
        <v>0.45</v>
      </c>
      <c r="J619" s="9" t="inlineStr"/>
      <c r="K619" s="7">
        <f>IF(F619="",0,IFERROR(VLOOKUP(F619,Расходники!$A$4:$B$23,2,FALSE),0))</f>
        <v/>
      </c>
      <c r="L619" s="4">
        <f>H619*D619</f>
        <v/>
      </c>
      <c r="M619" s="4">
        <f>L619*K619</f>
        <v/>
      </c>
      <c r="N619" s="4">
        <f>SUMIF(Материалы!$A$4:$A$800,SUBSTITUTE(SUBSTITUTE(SUBSTITUTE(B619,"~","~~"),"*","~*"),"?","~?"),Материалы!$S$4:$S$800)</f>
        <v/>
      </c>
      <c r="O619" s="4">
        <f>L619+M619+N619</f>
        <v/>
      </c>
      <c r="P619" s="4">
        <f>IF(SUM($O$4:$O$672)=0,0,Косвенные!$C$9*O619/SUM($O$4:$O$672))</f>
        <v/>
      </c>
      <c r="Q619" s="4">
        <f>G619*D619+P619</f>
        <v/>
      </c>
      <c r="R619" s="4">
        <f>IF(D619=0,0,Q619/D619)</f>
        <v/>
      </c>
      <c r="S619" s="4">
        <f>IF(D619=0,0,SUMIF(Материалы!$A$4:$A$800,SUBSTITUTE(SUBSTITUTE(SUBSTITUTE(B619,"~","~~"),"*","~*"),"?","~?"),Материалы!$T$4:$T$800)/D619)</f>
        <v/>
      </c>
      <c r="T619" s="4">
        <f>R619+S619</f>
        <v/>
      </c>
      <c r="U619" s="4">
        <f>I619*D619</f>
        <v/>
      </c>
    </row>
    <row r="620" ht="22" customHeight="1">
      <c r="A620" s="9" t="inlineStr"/>
      <c r="B620" s="13" t="inlineStr">
        <is>
          <t>618. Демонтаж покрытия пола из паркетной доски со снятием подложки</t>
        </is>
      </c>
      <c r="C620" s="9" t="inlineStr">
        <is>
          <t>м2</t>
        </is>
      </c>
      <c r="D620" s="4">
        <f>IF('Форма'!G618="","",'Форма'!G618)</f>
        <v/>
      </c>
      <c r="E620" s="9" t="inlineStr">
        <is>
          <t>нет в тарификаторе</t>
        </is>
      </c>
      <c r="F620" s="9" t="inlineStr">
        <is>
          <t>RAZ</t>
        </is>
      </c>
      <c r="G620" s="10" t="n">
        <v>228</v>
      </c>
      <c r="H620" s="10" t="n">
        <v>132</v>
      </c>
      <c r="I620" s="10" t="n">
        <v>0.2</v>
      </c>
      <c r="J620" s="9" t="inlineStr"/>
      <c r="K620" s="7">
        <f>IF(F620="",0,IFERROR(VLOOKUP(F620,Расходники!$A$4:$B$23,2,FALSE),0))</f>
        <v/>
      </c>
      <c r="L620" s="4">
        <f>H620*D620</f>
        <v/>
      </c>
      <c r="M620" s="4">
        <f>L620*K620</f>
        <v/>
      </c>
      <c r="N620" s="4">
        <f>SUMIF(Материалы!$A$4:$A$800,SUBSTITUTE(SUBSTITUTE(SUBSTITUTE(B620,"~","~~"),"*","~*"),"?","~?"),Материалы!$S$4:$S$800)</f>
        <v/>
      </c>
      <c r="O620" s="4">
        <f>L620+M620+N620</f>
        <v/>
      </c>
      <c r="P620" s="4">
        <f>IF(SUM($O$4:$O$672)=0,0,Косвенные!$C$9*O620/SUM($O$4:$O$672))</f>
        <v/>
      </c>
      <c r="Q620" s="4">
        <f>G620*D620+P620</f>
        <v/>
      </c>
      <c r="R620" s="4">
        <f>IF(D620=0,0,Q620/D620)</f>
        <v/>
      </c>
      <c r="S620" s="4">
        <f>IF(D620=0,0,SUMIF(Материалы!$A$4:$A$800,SUBSTITUTE(SUBSTITUTE(SUBSTITUTE(B620,"~","~~"),"*","~*"),"?","~?"),Материалы!$T$4:$T$800)/D620)</f>
        <v/>
      </c>
      <c r="T620" s="4">
        <f>R620+S620</f>
        <v/>
      </c>
      <c r="U620" s="4">
        <f>I620*D620</f>
        <v/>
      </c>
    </row>
    <row r="621" ht="22" customHeight="1">
      <c r="A621" s="9" t="inlineStr"/>
      <c r="B621" s="13" t="inlineStr">
        <is>
          <t>619. Демонтаж плит фальшпола, в том числе для прокладки коммуникаций</t>
        </is>
      </c>
      <c r="C621" s="9" t="inlineStr">
        <is>
          <t>м2</t>
        </is>
      </c>
      <c r="D621" s="4">
        <f>IF('Форма'!G619="","",'Форма'!G619)</f>
        <v/>
      </c>
      <c r="E621" s="9" t="inlineStr">
        <is>
          <t>нет в тарификаторе</t>
        </is>
      </c>
      <c r="F621" s="9" t="inlineStr">
        <is>
          <t>RAZ</t>
        </is>
      </c>
      <c r="G621" s="10" t="n">
        <v>228</v>
      </c>
      <c r="H621" s="10" t="n">
        <v>132</v>
      </c>
      <c r="I621" s="10" t="n">
        <v>0.2</v>
      </c>
      <c r="J621" s="9" t="inlineStr"/>
      <c r="K621" s="7">
        <f>IF(F621="",0,IFERROR(VLOOKUP(F621,Расходники!$A$4:$B$23,2,FALSE),0))</f>
        <v/>
      </c>
      <c r="L621" s="4">
        <f>H621*D621</f>
        <v/>
      </c>
      <c r="M621" s="4">
        <f>L621*K621</f>
        <v/>
      </c>
      <c r="N621" s="4">
        <f>SUMIF(Материалы!$A$4:$A$800,SUBSTITUTE(SUBSTITUTE(SUBSTITUTE(B621,"~","~~"),"*","~*"),"?","~?"),Материалы!$S$4:$S$800)</f>
        <v/>
      </c>
      <c r="O621" s="4">
        <f>L621+M621+N621</f>
        <v/>
      </c>
      <c r="P621" s="4">
        <f>IF(SUM($O$4:$O$672)=0,0,Косвенные!$C$9*O621/SUM($O$4:$O$672))</f>
        <v/>
      </c>
      <c r="Q621" s="4">
        <f>G621*D621+P621</f>
        <v/>
      </c>
      <c r="R621" s="4">
        <f>IF(D621=0,0,Q621/D621)</f>
        <v/>
      </c>
      <c r="S621" s="4">
        <f>IF(D621=0,0,SUMIF(Материалы!$A$4:$A$800,SUBSTITUTE(SUBSTITUTE(SUBSTITUTE(B621,"~","~~"),"*","~*"),"?","~?"),Материалы!$T$4:$T$800)/D621)</f>
        <v/>
      </c>
      <c r="T621" s="4">
        <f>R621+S621</f>
        <v/>
      </c>
      <c r="U621" s="4">
        <f>I621*D621</f>
        <v/>
      </c>
    </row>
    <row r="622" ht="22" customHeight="1">
      <c r="A622" s="9" t="inlineStr"/>
      <c r="B622" s="13" t="inlineStr">
        <is>
          <t>620. Демонтаж стяжки до 50 мм</t>
        </is>
      </c>
      <c r="C622" s="9" t="inlineStr">
        <is>
          <t>м2</t>
        </is>
      </c>
      <c r="D622" s="4">
        <f>IF('Форма'!G620="","",'Форма'!G620)</f>
        <v/>
      </c>
      <c r="E622" s="9" t="inlineStr">
        <is>
          <t>аналог (1.6.1) на м2 при толщине до 50 мм</t>
        </is>
      </c>
      <c r="F622" s="9" t="inlineStr">
        <is>
          <t>RAZ</t>
        </is>
      </c>
      <c r="G622" s="10" t="n">
        <v>513</v>
      </c>
      <c r="H622" s="10" t="n">
        <v>297</v>
      </c>
      <c r="I622" s="10" t="n">
        <v>0.45</v>
      </c>
      <c r="J622" s="9" t="inlineStr"/>
      <c r="K622" s="7">
        <f>IF(F622="",0,IFERROR(VLOOKUP(F622,Расходники!$A$4:$B$23,2,FALSE),0))</f>
        <v/>
      </c>
      <c r="L622" s="4">
        <f>H622*D622</f>
        <v/>
      </c>
      <c r="M622" s="4">
        <f>L622*K622</f>
        <v/>
      </c>
      <c r="N622" s="4">
        <f>SUMIF(Материалы!$A$4:$A$800,SUBSTITUTE(SUBSTITUTE(SUBSTITUTE(B622,"~","~~"),"*","~*"),"?","~?"),Материалы!$S$4:$S$800)</f>
        <v/>
      </c>
      <c r="O622" s="4">
        <f>L622+M622+N622</f>
        <v/>
      </c>
      <c r="P622" s="4">
        <f>IF(SUM($O$4:$O$672)=0,0,Косвенные!$C$9*O622/SUM($O$4:$O$672))</f>
        <v/>
      </c>
      <c r="Q622" s="4">
        <f>G622*D622+P622</f>
        <v/>
      </c>
      <c r="R622" s="4">
        <f>IF(D622=0,0,Q622/D622)</f>
        <v/>
      </c>
      <c r="S622" s="4">
        <f>IF(D622=0,0,SUMIF(Материалы!$A$4:$A$800,SUBSTITUTE(SUBSTITUTE(SUBSTITUTE(B622,"~","~~"),"*","~*"),"?","~?"),Материалы!$T$4:$T$800)/D622)</f>
        <v/>
      </c>
      <c r="T622" s="4">
        <f>R622+S622</f>
        <v/>
      </c>
      <c r="U622" s="4">
        <f>I622*D622</f>
        <v/>
      </c>
    </row>
    <row r="623" ht="22" customHeight="1">
      <c r="A623" s="9" t="inlineStr"/>
      <c r="B623" s="13" t="inlineStr">
        <is>
          <t xml:space="preserve">621. Демонтаж порогов </t>
        </is>
      </c>
      <c r="C623" s="9" t="inlineStr">
        <is>
          <t>п.м</t>
        </is>
      </c>
      <c r="D623" s="4">
        <f>IF('Форма'!G621="","",'Форма'!G621)</f>
        <v/>
      </c>
      <c r="E623" s="9" t="inlineStr">
        <is>
          <t>нет в тарификаторе</t>
        </is>
      </c>
      <c r="F623" s="9" t="inlineStr">
        <is>
          <t>RAZ</t>
        </is>
      </c>
      <c r="G623" s="10" t="n">
        <v>91.2</v>
      </c>
      <c r="H623" s="10" t="n">
        <v>52.8</v>
      </c>
      <c r="I623" s="10" t="n">
        <v>0.08</v>
      </c>
      <c r="J623" s="9" t="inlineStr"/>
      <c r="K623" s="7">
        <f>IF(F623="",0,IFERROR(VLOOKUP(F623,Расходники!$A$4:$B$23,2,FALSE),0))</f>
        <v/>
      </c>
      <c r="L623" s="4">
        <f>H623*D623</f>
        <v/>
      </c>
      <c r="M623" s="4">
        <f>L623*K623</f>
        <v/>
      </c>
      <c r="N623" s="4">
        <f>SUMIF(Материалы!$A$4:$A$800,SUBSTITUTE(SUBSTITUTE(SUBSTITUTE(B623,"~","~~"),"*","~*"),"?","~?"),Материалы!$S$4:$S$800)</f>
        <v/>
      </c>
      <c r="O623" s="4">
        <f>L623+M623+N623</f>
        <v/>
      </c>
      <c r="P623" s="4">
        <f>IF(SUM($O$4:$O$672)=0,0,Косвенные!$C$9*O623/SUM($O$4:$O$672))</f>
        <v/>
      </c>
      <c r="Q623" s="4">
        <f>G623*D623+P623</f>
        <v/>
      </c>
      <c r="R623" s="4">
        <f>IF(D623=0,0,Q623/D623)</f>
        <v/>
      </c>
      <c r="S623" s="4">
        <f>IF(D623=0,0,SUMIF(Материалы!$A$4:$A$800,SUBSTITUTE(SUBSTITUTE(SUBSTITUTE(B623,"~","~~"),"*","~*"),"?","~?"),Материалы!$T$4:$T$800)/D623)</f>
        <v/>
      </c>
      <c r="T623" s="4">
        <f>R623+S623</f>
        <v/>
      </c>
      <c r="U623" s="4">
        <f>I623*D623</f>
        <v/>
      </c>
    </row>
    <row r="624" ht="22" customHeight="1">
      <c r="A624" s="9" t="inlineStr"/>
      <c r="B624" s="13" t="inlineStr">
        <is>
          <t>622. Демонтаж силовых кабелей и проводов</t>
        </is>
      </c>
      <c r="C624" s="9" t="inlineStr">
        <is>
          <t>п.м</t>
        </is>
      </c>
      <c r="D624" s="4">
        <f>IF('Форма'!G622="","",'Форма'!G622)</f>
        <v/>
      </c>
      <c r="E624" s="9" t="inlineStr">
        <is>
          <t>нет в тарификаторе</t>
        </is>
      </c>
      <c r="F624" s="9" t="inlineStr">
        <is>
          <t>ELM</t>
        </is>
      </c>
      <c r="G624" s="10" t="n">
        <v>83.59999999999999</v>
      </c>
      <c r="H624" s="10" t="n">
        <v>40.8</v>
      </c>
      <c r="I624" s="10" t="n">
        <v>0.04</v>
      </c>
      <c r="J624" s="9" t="inlineStr"/>
      <c r="K624" s="7">
        <f>IF(F624="",0,IFERROR(VLOOKUP(F624,Расходники!$A$4:$B$23,2,FALSE),0))</f>
        <v/>
      </c>
      <c r="L624" s="4">
        <f>H624*D624</f>
        <v/>
      </c>
      <c r="M624" s="4">
        <f>L624*K624</f>
        <v/>
      </c>
      <c r="N624" s="4">
        <f>SUMIF(Материалы!$A$4:$A$800,SUBSTITUTE(SUBSTITUTE(SUBSTITUTE(B624,"~","~~"),"*","~*"),"?","~?"),Материалы!$S$4:$S$800)</f>
        <v/>
      </c>
      <c r="O624" s="4">
        <f>L624+M624+N624</f>
        <v/>
      </c>
      <c r="P624" s="4">
        <f>IF(SUM($O$4:$O$672)=0,0,Косвенные!$C$9*O624/SUM($O$4:$O$672))</f>
        <v/>
      </c>
      <c r="Q624" s="4">
        <f>G624*D624+P624</f>
        <v/>
      </c>
      <c r="R624" s="4">
        <f>IF(D624=0,0,Q624/D624)</f>
        <v/>
      </c>
      <c r="S624" s="4">
        <f>IF(D624=0,0,SUMIF(Материалы!$A$4:$A$800,SUBSTITUTE(SUBSTITUTE(SUBSTITUTE(B624,"~","~~"),"*","~*"),"?","~?"),Материалы!$T$4:$T$800)/D624)</f>
        <v/>
      </c>
      <c r="T624" s="4">
        <f>R624+S624</f>
        <v/>
      </c>
      <c r="U624" s="4">
        <f>I624*D624</f>
        <v/>
      </c>
    </row>
    <row r="625" ht="22" customHeight="1">
      <c r="A625" s="9" t="inlineStr"/>
      <c r="B625" s="13" t="inlineStr">
        <is>
          <t xml:space="preserve">623. Демонтаж линий электроснабжения </t>
        </is>
      </c>
      <c r="C625" s="9" t="inlineStr">
        <is>
          <t>п.м</t>
        </is>
      </c>
      <c r="D625" s="4">
        <f>IF('Форма'!G623="","",'Форма'!G623)</f>
        <v/>
      </c>
      <c r="E625" s="9" t="inlineStr">
        <is>
          <t>нет в тарификаторе</t>
        </is>
      </c>
      <c r="F625" s="9" t="inlineStr">
        <is>
          <t>RAZ</t>
        </is>
      </c>
      <c r="G625" s="10" t="n">
        <v>91.2</v>
      </c>
      <c r="H625" s="10" t="n">
        <v>52.8</v>
      </c>
      <c r="I625" s="10" t="n">
        <v>0.08</v>
      </c>
      <c r="J625" s="9" t="inlineStr"/>
      <c r="K625" s="7">
        <f>IF(F625="",0,IFERROR(VLOOKUP(F625,Расходники!$A$4:$B$23,2,FALSE),0))</f>
        <v/>
      </c>
      <c r="L625" s="4">
        <f>H625*D625</f>
        <v/>
      </c>
      <c r="M625" s="4">
        <f>L625*K625</f>
        <v/>
      </c>
      <c r="N625" s="4">
        <f>SUMIF(Материалы!$A$4:$A$800,SUBSTITUTE(SUBSTITUTE(SUBSTITUTE(B625,"~","~~"),"*","~*"),"?","~?"),Материалы!$S$4:$S$800)</f>
        <v/>
      </c>
      <c r="O625" s="4">
        <f>L625+M625+N625</f>
        <v/>
      </c>
      <c r="P625" s="4">
        <f>IF(SUM($O$4:$O$672)=0,0,Косвенные!$C$9*O625/SUM($O$4:$O$672))</f>
        <v/>
      </c>
      <c r="Q625" s="4">
        <f>G625*D625+P625</f>
        <v/>
      </c>
      <c r="R625" s="4">
        <f>IF(D625=0,0,Q625/D625)</f>
        <v/>
      </c>
      <c r="S625" s="4">
        <f>IF(D625=0,0,SUMIF(Материалы!$A$4:$A$800,SUBSTITUTE(SUBSTITUTE(SUBSTITUTE(B625,"~","~~"),"*","~*"),"?","~?"),Материалы!$T$4:$T$800)/D625)</f>
        <v/>
      </c>
      <c r="T625" s="4">
        <f>R625+S625</f>
        <v/>
      </c>
      <c r="U625" s="4">
        <f>I625*D625</f>
        <v/>
      </c>
    </row>
    <row r="626" ht="22" customHeight="1">
      <c r="A626" s="9" t="inlineStr"/>
      <c r="B626" s="13" t="inlineStr">
        <is>
          <t>624. Демонтаж  электротехнических напольных лючков, колонн, боксов и т.п.</t>
        </is>
      </c>
      <c r="C626" s="9" t="inlineStr">
        <is>
          <t>шт.</t>
        </is>
      </c>
      <c r="D626" s="4">
        <f>IF('Форма'!G624="","",'Форма'!G624)</f>
        <v/>
      </c>
      <c r="E626" s="9" t="inlineStr">
        <is>
          <t>нет в тарификаторе</t>
        </is>
      </c>
      <c r="F626" s="9" t="inlineStr">
        <is>
          <t>RAZ</t>
        </is>
      </c>
      <c r="G626" s="10" t="n">
        <v>570</v>
      </c>
      <c r="H626" s="10" t="n">
        <v>330</v>
      </c>
      <c r="I626" s="10" t="n">
        <v>0.5</v>
      </c>
      <c r="J626" s="9" t="inlineStr"/>
      <c r="K626" s="7">
        <f>IF(F626="",0,IFERROR(VLOOKUP(F626,Расходники!$A$4:$B$23,2,FALSE),0))</f>
        <v/>
      </c>
      <c r="L626" s="4">
        <f>H626*D626</f>
        <v/>
      </c>
      <c r="M626" s="4">
        <f>L626*K626</f>
        <v/>
      </c>
      <c r="N626" s="4">
        <f>SUMIF(Материалы!$A$4:$A$800,SUBSTITUTE(SUBSTITUTE(SUBSTITUTE(B626,"~","~~"),"*","~*"),"?","~?"),Материалы!$S$4:$S$800)</f>
        <v/>
      </c>
      <c r="O626" s="4">
        <f>L626+M626+N626</f>
        <v/>
      </c>
      <c r="P626" s="4">
        <f>IF(SUM($O$4:$O$672)=0,0,Косвенные!$C$9*O626/SUM($O$4:$O$672))</f>
        <v/>
      </c>
      <c r="Q626" s="4">
        <f>G626*D626+P626</f>
        <v/>
      </c>
      <c r="R626" s="4">
        <f>IF(D626=0,0,Q626/D626)</f>
        <v/>
      </c>
      <c r="S626" s="4">
        <f>IF(D626=0,0,SUMIF(Материалы!$A$4:$A$800,SUBSTITUTE(SUBSTITUTE(SUBSTITUTE(B626,"~","~~"),"*","~*"),"?","~?"),Материалы!$T$4:$T$800)/D626)</f>
        <v/>
      </c>
      <c r="T626" s="4">
        <f>R626+S626</f>
        <v/>
      </c>
      <c r="U626" s="4">
        <f>I626*D626</f>
        <v/>
      </c>
    </row>
    <row r="627" ht="22" customHeight="1">
      <c r="A627" s="9" t="inlineStr"/>
      <c r="B627" s="13" t="inlineStr">
        <is>
          <t>625. Демонтаж выключателей, розеток, переключателей, распаячных коробок</t>
        </is>
      </c>
      <c r="C627" s="9" t="inlineStr">
        <is>
          <t>шт.</t>
        </is>
      </c>
      <c r="D627" s="4">
        <f>IF('Форма'!G625="","",'Форма'!G625)</f>
        <v/>
      </c>
      <c r="E627" s="9" t="inlineStr">
        <is>
          <t>нет в тарификаторе</t>
        </is>
      </c>
      <c r="F627" s="9" t="inlineStr">
        <is>
          <t>RAZ</t>
        </is>
      </c>
      <c r="G627" s="10" t="n">
        <v>570</v>
      </c>
      <c r="H627" s="10" t="n">
        <v>330</v>
      </c>
      <c r="I627" s="10" t="n">
        <v>0.5</v>
      </c>
      <c r="J627" s="9" t="inlineStr"/>
      <c r="K627" s="7">
        <f>IF(F627="",0,IFERROR(VLOOKUP(F627,Расходники!$A$4:$B$23,2,FALSE),0))</f>
        <v/>
      </c>
      <c r="L627" s="4">
        <f>H627*D627</f>
        <v/>
      </c>
      <c r="M627" s="4">
        <f>L627*K627</f>
        <v/>
      </c>
      <c r="N627" s="4">
        <f>SUMIF(Материалы!$A$4:$A$800,SUBSTITUTE(SUBSTITUTE(SUBSTITUTE(B627,"~","~~"),"*","~*"),"?","~?"),Материалы!$S$4:$S$800)</f>
        <v/>
      </c>
      <c r="O627" s="4">
        <f>L627+M627+N627</f>
        <v/>
      </c>
      <c r="P627" s="4">
        <f>IF(SUM($O$4:$O$672)=0,0,Косвенные!$C$9*O627/SUM($O$4:$O$672))</f>
        <v/>
      </c>
      <c r="Q627" s="4">
        <f>G627*D627+P627</f>
        <v/>
      </c>
      <c r="R627" s="4">
        <f>IF(D627=0,0,Q627/D627)</f>
        <v/>
      </c>
      <c r="S627" s="4">
        <f>IF(D627=0,0,SUMIF(Материалы!$A$4:$A$800,SUBSTITUTE(SUBSTITUTE(SUBSTITUTE(B627,"~","~~"),"*","~*"),"?","~?"),Материалы!$T$4:$T$800)/D627)</f>
        <v/>
      </c>
      <c r="T627" s="4">
        <f>R627+S627</f>
        <v/>
      </c>
      <c r="U627" s="4">
        <f>I627*D627</f>
        <v/>
      </c>
    </row>
    <row r="628" ht="22" customHeight="1">
      <c r="A628" s="9" t="inlineStr"/>
      <c r="B628" s="13" t="inlineStr">
        <is>
          <t>626. Демонтаж светильников (подвесных, встраиваемых, накладных, подсветки карниза, аварийного освещения и пр.)</t>
        </is>
      </c>
      <c r="C628" s="9" t="inlineStr">
        <is>
          <t>шт.</t>
        </is>
      </c>
      <c r="D628" s="4">
        <f>IF('Форма'!G626="","",'Форма'!G626)</f>
        <v/>
      </c>
      <c r="E628" s="9" t="inlineStr">
        <is>
          <t>аналог (10.4.N2)</t>
        </is>
      </c>
      <c r="F628" s="9" t="inlineStr">
        <is>
          <t>ELM</t>
        </is>
      </c>
      <c r="G628" s="10" t="n">
        <v>731.5</v>
      </c>
      <c r="H628" s="10" t="n">
        <v>357</v>
      </c>
      <c r="I628" s="10" t="n">
        <v>0.35</v>
      </c>
      <c r="J628" s="9" t="inlineStr"/>
      <c r="K628" s="7">
        <f>IF(F628="",0,IFERROR(VLOOKUP(F628,Расходники!$A$4:$B$23,2,FALSE),0))</f>
        <v/>
      </c>
      <c r="L628" s="4">
        <f>H628*D628</f>
        <v/>
      </c>
      <c r="M628" s="4">
        <f>L628*K628</f>
        <v/>
      </c>
      <c r="N628" s="4">
        <f>SUMIF(Материалы!$A$4:$A$800,SUBSTITUTE(SUBSTITUTE(SUBSTITUTE(B628,"~","~~"),"*","~*"),"?","~?"),Материалы!$S$4:$S$800)</f>
        <v/>
      </c>
      <c r="O628" s="4">
        <f>L628+M628+N628</f>
        <v/>
      </c>
      <c r="P628" s="4">
        <f>IF(SUM($O$4:$O$672)=0,0,Косвенные!$C$9*O628/SUM($O$4:$O$672))</f>
        <v/>
      </c>
      <c r="Q628" s="4">
        <f>G628*D628+P628</f>
        <v/>
      </c>
      <c r="R628" s="4">
        <f>IF(D628=0,0,Q628/D628)</f>
        <v/>
      </c>
      <c r="S628" s="4">
        <f>IF(D628=0,0,SUMIF(Материалы!$A$4:$A$800,SUBSTITUTE(SUBSTITUTE(SUBSTITUTE(B628,"~","~~"),"*","~*"),"?","~?"),Материалы!$T$4:$T$800)/D628)</f>
        <v/>
      </c>
      <c r="T628" s="4">
        <f>R628+S628</f>
        <v/>
      </c>
      <c r="U628" s="4">
        <f>I628*D628</f>
        <v/>
      </c>
    </row>
    <row r="629" ht="22" customHeight="1">
      <c r="A629" s="9" t="inlineStr"/>
      <c r="B629" s="13" t="inlineStr">
        <is>
          <t>627. Демонтаж лотков металлических (проволочные, перфорированные, цельнометаллические с крышкой и без)</t>
        </is>
      </c>
      <c r="C629" s="9" t="inlineStr">
        <is>
          <t>п.и</t>
        </is>
      </c>
      <c r="D629" s="4">
        <f>IF('Форма'!G627="","",'Форма'!G627)</f>
        <v/>
      </c>
      <c r="E629" s="9" t="inlineStr">
        <is>
          <t>нет в тарификаторе</t>
        </is>
      </c>
      <c r="F629" s="9" t="inlineStr">
        <is>
          <t>RAZ</t>
        </is>
      </c>
      <c r="G629" s="10" t="n">
        <v>570</v>
      </c>
      <c r="H629" s="10" t="n">
        <v>330</v>
      </c>
      <c r="I629" s="10" t="n">
        <v>0.5</v>
      </c>
      <c r="J629" s="9" t="inlineStr"/>
      <c r="K629" s="7">
        <f>IF(F629="",0,IFERROR(VLOOKUP(F629,Расходники!$A$4:$B$23,2,FALSE),0))</f>
        <v/>
      </c>
      <c r="L629" s="4">
        <f>H629*D629</f>
        <v/>
      </c>
      <c r="M629" s="4">
        <f>L629*K629</f>
        <v/>
      </c>
      <c r="N629" s="4">
        <f>SUMIF(Материалы!$A$4:$A$800,SUBSTITUTE(SUBSTITUTE(SUBSTITUTE(B629,"~","~~"),"*","~*"),"?","~?"),Материалы!$S$4:$S$800)</f>
        <v/>
      </c>
      <c r="O629" s="4">
        <f>L629+M629+N629</f>
        <v/>
      </c>
      <c r="P629" s="4">
        <f>IF(SUM($O$4:$O$672)=0,0,Косвенные!$C$9*O629/SUM($O$4:$O$672))</f>
        <v/>
      </c>
      <c r="Q629" s="4">
        <f>G629*D629+P629</f>
        <v/>
      </c>
      <c r="R629" s="4">
        <f>IF(D629=0,0,Q629/D629)</f>
        <v/>
      </c>
      <c r="S629" s="4">
        <f>IF(D629=0,0,SUMIF(Материалы!$A$4:$A$800,SUBSTITUTE(SUBSTITUTE(SUBSTITUTE(B629,"~","~~"),"*","~*"),"?","~?"),Материалы!$T$4:$T$800)/D629)</f>
        <v/>
      </c>
      <c r="T629" s="4">
        <f>R629+S629</f>
        <v/>
      </c>
      <c r="U629" s="4">
        <f>I629*D629</f>
        <v/>
      </c>
    </row>
    <row r="630" ht="22" customHeight="1">
      <c r="A630" s="9" t="inlineStr"/>
      <c r="B630" s="13" t="inlineStr">
        <is>
          <t xml:space="preserve">628. Демонтаж 3D ограждения металлического сетчатого включая столбы </t>
        </is>
      </c>
      <c r="C630" s="9" t="inlineStr">
        <is>
          <t>п.м</t>
        </is>
      </c>
      <c r="D630" s="4">
        <f>IF('Форма'!G628="","",'Форма'!G628)</f>
        <v/>
      </c>
      <c r="E630" s="9" t="inlineStr">
        <is>
          <t>нет в тарификаторе</t>
        </is>
      </c>
      <c r="F630" s="9" t="inlineStr">
        <is>
          <t>SVA</t>
        </is>
      </c>
      <c r="G630" s="10" t="n">
        <v>342</v>
      </c>
      <c r="H630" s="10" t="n">
        <v>162</v>
      </c>
      <c r="I630" s="10" t="n">
        <v>0.15</v>
      </c>
      <c r="J630" s="9" t="inlineStr"/>
      <c r="K630" s="7">
        <f>IF(F630="",0,IFERROR(VLOOKUP(F630,Расходники!$A$4:$B$23,2,FALSE),0))</f>
        <v/>
      </c>
      <c r="L630" s="4">
        <f>H630*D630</f>
        <v/>
      </c>
      <c r="M630" s="4">
        <f>L630*K630</f>
        <v/>
      </c>
      <c r="N630" s="4">
        <f>SUMIF(Материалы!$A$4:$A$800,SUBSTITUTE(SUBSTITUTE(SUBSTITUTE(B630,"~","~~"),"*","~*"),"?","~?"),Материалы!$S$4:$S$800)</f>
        <v/>
      </c>
      <c r="O630" s="4">
        <f>L630+M630+N630</f>
        <v/>
      </c>
      <c r="P630" s="4">
        <f>IF(SUM($O$4:$O$672)=0,0,Косвенные!$C$9*O630/SUM($O$4:$O$672))</f>
        <v/>
      </c>
      <c r="Q630" s="4">
        <f>G630*D630+P630</f>
        <v/>
      </c>
      <c r="R630" s="4">
        <f>IF(D630=0,0,Q630/D630)</f>
        <v/>
      </c>
      <c r="S630" s="4">
        <f>IF(D630=0,0,SUMIF(Материалы!$A$4:$A$800,SUBSTITUTE(SUBSTITUTE(SUBSTITUTE(B630,"~","~~"),"*","~*"),"?","~?"),Материалы!$T$4:$T$800)/D630)</f>
        <v/>
      </c>
      <c r="T630" s="4">
        <f>R630+S630</f>
        <v/>
      </c>
      <c r="U630" s="4">
        <f>I630*D630</f>
        <v/>
      </c>
    </row>
    <row r="631" ht="22" customHeight="1">
      <c r="A631" s="9" t="inlineStr"/>
      <c r="B631" s="13" t="inlineStr">
        <is>
          <t>629. Опора АО "АМИРА" ОГК-7, закл.деталь ФМ 0,133-1,5;295х295, мц 200х20, отв.4 s14 s4; кронштейн К2-1,5-1,5-0-1-00 СТ3/СТ3 или аналог *см по месту.</t>
        </is>
      </c>
      <c r="C631" s="9" t="inlineStr">
        <is>
          <t>компл</t>
        </is>
      </c>
      <c r="D631" s="4">
        <f>IF('Форма'!G629="","",'Форма'!G629)</f>
        <v/>
      </c>
      <c r="E631" s="9" t="inlineStr">
        <is>
          <t>нет в тарификаторе</t>
        </is>
      </c>
      <c r="F631" s="9" t="inlineStr">
        <is>
          <t>ELM</t>
        </is>
      </c>
      <c r="G631" s="10" t="n">
        <v>2090</v>
      </c>
      <c r="H631" s="10" t="n">
        <v>1020</v>
      </c>
      <c r="I631" s="10" t="n">
        <v>1</v>
      </c>
      <c r="J631" s="9" t="inlineStr"/>
      <c r="K631" s="7">
        <f>IF(F631="",0,IFERROR(VLOOKUP(F631,Расходники!$A$4:$B$23,2,FALSE),0))</f>
        <v/>
      </c>
      <c r="L631" s="4">
        <f>H631*D631</f>
        <v/>
      </c>
      <c r="M631" s="4">
        <f>L631*K631</f>
        <v/>
      </c>
      <c r="N631" s="4">
        <f>SUMIF(Материалы!$A$4:$A$800,SUBSTITUTE(SUBSTITUTE(SUBSTITUTE(B631,"~","~~"),"*","~*"),"?","~?"),Материалы!$S$4:$S$800)</f>
        <v/>
      </c>
      <c r="O631" s="4">
        <f>L631+M631+N631</f>
        <v/>
      </c>
      <c r="P631" s="4">
        <f>IF(SUM($O$4:$O$672)=0,0,Косвенные!$C$9*O631/SUM($O$4:$O$672))</f>
        <v/>
      </c>
      <c r="Q631" s="4">
        <f>G631*D631+P631</f>
        <v/>
      </c>
      <c r="R631" s="4">
        <f>IF(D631=0,0,Q631/D631)</f>
        <v/>
      </c>
      <c r="S631" s="4">
        <f>IF(D631=0,0,SUMIF(Материалы!$A$4:$A$800,SUBSTITUTE(SUBSTITUTE(SUBSTITUTE(B631,"~","~~"),"*","~*"),"?","~?"),Материалы!$T$4:$T$800)/D631)</f>
        <v/>
      </c>
      <c r="T631" s="4">
        <f>R631+S631</f>
        <v/>
      </c>
      <c r="U631" s="4">
        <f>I631*D631</f>
        <v/>
      </c>
    </row>
    <row r="632" ht="22" customHeight="1">
      <c r="A632" s="9" t="inlineStr"/>
      <c r="B632" s="13" t="inlineStr">
        <is>
          <t>630. Демонтаж опоры с основанием, вкл работы по демонтажу бетонного основания</t>
        </is>
      </c>
      <c r="C632" s="9" t="inlineStr">
        <is>
          <t>шт</t>
        </is>
      </c>
      <c r="D632" s="4">
        <f>IF('Форма'!G630="","",'Форма'!G630)</f>
        <v/>
      </c>
      <c r="E632" s="9" t="inlineStr">
        <is>
          <t>нет в тарификаторе</t>
        </is>
      </c>
      <c r="F632" s="9" t="inlineStr">
        <is>
          <t>RAZ</t>
        </is>
      </c>
      <c r="G632" s="10" t="n">
        <v>570</v>
      </c>
      <c r="H632" s="10" t="n">
        <v>330</v>
      </c>
      <c r="I632" s="10" t="n">
        <v>0.5</v>
      </c>
      <c r="J632" s="9" t="inlineStr"/>
      <c r="K632" s="7">
        <f>IF(F632="",0,IFERROR(VLOOKUP(F632,Расходники!$A$4:$B$23,2,FALSE),0))</f>
        <v/>
      </c>
      <c r="L632" s="4">
        <f>H632*D632</f>
        <v/>
      </c>
      <c r="M632" s="4">
        <f>L632*K632</f>
        <v/>
      </c>
      <c r="N632" s="4">
        <f>SUMIF(Материалы!$A$4:$A$800,SUBSTITUTE(SUBSTITUTE(SUBSTITUTE(B632,"~","~~"),"*","~*"),"?","~?"),Материалы!$S$4:$S$800)</f>
        <v/>
      </c>
      <c r="O632" s="4">
        <f>L632+M632+N632</f>
        <v/>
      </c>
      <c r="P632" s="4">
        <f>IF(SUM($O$4:$O$672)=0,0,Косвенные!$C$9*O632/SUM($O$4:$O$672))</f>
        <v/>
      </c>
      <c r="Q632" s="4">
        <f>G632*D632+P632</f>
        <v/>
      </c>
      <c r="R632" s="4">
        <f>IF(D632=0,0,Q632/D632)</f>
        <v/>
      </c>
      <c r="S632" s="4">
        <f>IF(D632=0,0,SUMIF(Материалы!$A$4:$A$800,SUBSTITUTE(SUBSTITUTE(SUBSTITUTE(B632,"~","~~"),"*","~*"),"?","~?"),Материалы!$T$4:$T$800)/D632)</f>
        <v/>
      </c>
      <c r="T632" s="4">
        <f>R632+S632</f>
        <v/>
      </c>
      <c r="U632" s="4">
        <f>I632*D632</f>
        <v/>
      </c>
    </row>
    <row r="633" ht="22" customHeight="1">
      <c r="A633" s="9" t="inlineStr"/>
      <c r="B633" s="13" t="inlineStr">
        <is>
          <t>631. Монтаж опоры освещения (вкл. монтаж основания, бетонирование приямка и перемонтаж навесного оборудования)</t>
        </is>
      </c>
      <c r="C633" s="9" t="inlineStr">
        <is>
          <t>шт</t>
        </is>
      </c>
      <c r="D633" s="4">
        <f>IF('Форма'!G631="","",'Форма'!G631)</f>
        <v/>
      </c>
      <c r="E633" s="9" t="inlineStr">
        <is>
          <t>нет в тарификаторе</t>
        </is>
      </c>
      <c r="F633" s="9" t="inlineStr">
        <is>
          <t>RAZ</t>
        </is>
      </c>
      <c r="G633" s="10" t="n">
        <v>912</v>
      </c>
      <c r="H633" s="10" t="n">
        <v>528</v>
      </c>
      <c r="I633" s="10" t="n">
        <v>0.8</v>
      </c>
      <c r="J633" s="9" t="inlineStr"/>
      <c r="K633" s="7">
        <f>IF(F633="",0,IFERROR(VLOOKUP(F633,Расходники!$A$4:$B$23,2,FALSE),0))</f>
        <v/>
      </c>
      <c r="L633" s="4">
        <f>H633*D633</f>
        <v/>
      </c>
      <c r="M633" s="4">
        <f>L633*K633</f>
        <v/>
      </c>
      <c r="N633" s="4">
        <f>SUMIF(Материалы!$A$4:$A$800,SUBSTITUTE(SUBSTITUTE(SUBSTITUTE(B633,"~","~~"),"*","~*"),"?","~?"),Материалы!$S$4:$S$800)</f>
        <v/>
      </c>
      <c r="O633" s="4">
        <f>L633+M633+N633</f>
        <v/>
      </c>
      <c r="P633" s="4">
        <f>IF(SUM($O$4:$O$672)=0,0,Косвенные!$C$9*O633/SUM($O$4:$O$672))</f>
        <v/>
      </c>
      <c r="Q633" s="4">
        <f>G633*D633+P633</f>
        <v/>
      </c>
      <c r="R633" s="4">
        <f>IF(D633=0,0,Q633/D633)</f>
        <v/>
      </c>
      <c r="S633" s="4">
        <f>IF(D633=0,0,SUMIF(Материалы!$A$4:$A$800,SUBSTITUTE(SUBSTITUTE(SUBSTITUTE(B633,"~","~~"),"*","~*"),"?","~?"),Материалы!$T$4:$T$800)/D633)</f>
        <v/>
      </c>
      <c r="T633" s="4">
        <f>R633+S633</f>
        <v/>
      </c>
      <c r="U633" s="4">
        <f>I633*D633</f>
        <v/>
      </c>
    </row>
    <row r="634" ht="22" customHeight="1">
      <c r="A634" s="9" t="inlineStr"/>
      <c r="B634" s="13" t="inlineStr">
        <is>
          <t>632. Работа трактора</t>
        </is>
      </c>
      <c r="C634" s="9" t="inlineStr">
        <is>
          <t>маш.ч</t>
        </is>
      </c>
      <c r="D634" s="4">
        <f>IF('Форма'!G632="","",'Форма'!G632)</f>
        <v/>
      </c>
      <c r="E634" s="9" t="inlineStr">
        <is>
          <t>нет в тарификаторе</t>
        </is>
      </c>
      <c r="F634" s="9" t="inlineStr">
        <is>
          <t>BLG</t>
        </is>
      </c>
      <c r="G634" s="10" t="n">
        <v>2500</v>
      </c>
      <c r="H634" s="10" t="n">
        <v>1800</v>
      </c>
      <c r="I634" s="10" t="n">
        <v>1</v>
      </c>
      <c r="J634" s="9" t="inlineStr"/>
      <c r="K634" s="7">
        <f>IF(F634="",0,IFERROR(VLOOKUP(F634,Расходники!$A$4:$B$23,2,FALSE),0))</f>
        <v/>
      </c>
      <c r="L634" s="4">
        <f>H634*D634</f>
        <v/>
      </c>
      <c r="M634" s="4">
        <f>L634*K634</f>
        <v/>
      </c>
      <c r="N634" s="4">
        <f>SUMIF(Материалы!$A$4:$A$800,SUBSTITUTE(SUBSTITUTE(SUBSTITUTE(B634,"~","~~"),"*","~*"),"?","~?"),Материалы!$S$4:$S$800)</f>
        <v/>
      </c>
      <c r="O634" s="4">
        <f>L634+M634+N634</f>
        <v/>
      </c>
      <c r="P634" s="4">
        <f>IF(SUM($O$4:$O$672)=0,0,Косвенные!$C$9*O634/SUM($O$4:$O$672))</f>
        <v/>
      </c>
      <c r="Q634" s="4">
        <f>G634*D634+P634</f>
        <v/>
      </c>
      <c r="R634" s="4">
        <f>IF(D634=0,0,Q634/D634)</f>
        <v/>
      </c>
      <c r="S634" s="4">
        <f>IF(D634=0,0,SUMIF(Материалы!$A$4:$A$800,SUBSTITUTE(SUBSTITUTE(SUBSTITUTE(B634,"~","~~"),"*","~*"),"?","~?"),Материалы!$T$4:$T$800)/D634)</f>
        <v/>
      </c>
      <c r="T634" s="4">
        <f>R634+S634</f>
        <v/>
      </c>
      <c r="U634" s="4">
        <f>I634*D634</f>
        <v/>
      </c>
    </row>
    <row r="635" ht="22" customHeight="1">
      <c r="A635" s="9" t="inlineStr"/>
      <c r="B635" s="13" t="inlineStr">
        <is>
          <t>633. Отлив угла состыковки уличных сэндвич панелей или аналог *см по месту.</t>
        </is>
      </c>
      <c r="C635" s="9" t="inlineStr">
        <is>
          <t>м.п.</t>
        </is>
      </c>
      <c r="D635" s="4">
        <f>IF('Форма'!G633="","",'Форма'!G633)</f>
        <v/>
      </c>
      <c r="E635" s="9" t="inlineStr">
        <is>
          <t>аналог (6.2.5)</t>
        </is>
      </c>
      <c r="F635" s="9" t="inlineStr">
        <is>
          <t>KRO</t>
        </is>
      </c>
      <c r="G635" s="10" t="n">
        <v>362</v>
      </c>
      <c r="H635" s="10" t="n">
        <v>190</v>
      </c>
      <c r="I635" s="10" t="n">
        <v>0.2</v>
      </c>
      <c r="J635" s="9" t="inlineStr"/>
      <c r="K635" s="7">
        <f>IF(F635="",0,IFERROR(VLOOKUP(F635,Расходники!$A$4:$B$23,2,FALSE),0))</f>
        <v/>
      </c>
      <c r="L635" s="4">
        <f>H635*D635</f>
        <v/>
      </c>
      <c r="M635" s="4">
        <f>L635*K635</f>
        <v/>
      </c>
      <c r="N635" s="4">
        <f>SUMIF(Материалы!$A$4:$A$800,SUBSTITUTE(SUBSTITUTE(SUBSTITUTE(B635,"~","~~"),"*","~*"),"?","~?"),Материалы!$S$4:$S$800)</f>
        <v/>
      </c>
      <c r="O635" s="4">
        <f>L635+M635+N635</f>
        <v/>
      </c>
      <c r="P635" s="4">
        <f>IF(SUM($O$4:$O$672)=0,0,Косвенные!$C$9*O635/SUM($O$4:$O$672))</f>
        <v/>
      </c>
      <c r="Q635" s="4">
        <f>G635*D635+P635</f>
        <v/>
      </c>
      <c r="R635" s="4">
        <f>IF(D635=0,0,Q635/D635)</f>
        <v/>
      </c>
      <c r="S635" s="4">
        <f>IF(D635=0,0,SUMIF(Материалы!$A$4:$A$800,SUBSTITUTE(SUBSTITUTE(SUBSTITUTE(B635,"~","~~"),"*","~*"),"?","~?"),Материалы!$T$4:$T$800)/D635)</f>
        <v/>
      </c>
      <c r="T635" s="4">
        <f>R635+S635</f>
        <v/>
      </c>
      <c r="U635" s="4">
        <f>I635*D635</f>
        <v/>
      </c>
    </row>
    <row r="636" ht="22" customHeight="1">
      <c r="A636" s="9" t="inlineStr"/>
      <c r="B636" s="13" t="inlineStr">
        <is>
          <t>634. Восстановление газона</t>
        </is>
      </c>
      <c r="C636" s="9" t="inlineStr">
        <is>
          <t>м2</t>
        </is>
      </c>
      <c r="D636" s="4">
        <f>IF('Форма'!G634="","",'Форма'!G634)</f>
        <v/>
      </c>
      <c r="E636" s="9" t="inlineStr">
        <is>
          <t>нет в тарификаторе</t>
        </is>
      </c>
      <c r="F636" s="9" t="inlineStr">
        <is>
          <t>BLG</t>
        </is>
      </c>
      <c r="G636" s="10" t="n">
        <v>214.5</v>
      </c>
      <c r="H636" s="10" t="n">
        <v>117</v>
      </c>
      <c r="I636" s="10" t="n">
        <v>0.15</v>
      </c>
      <c r="J636" s="9" t="inlineStr"/>
      <c r="K636" s="7">
        <f>IF(F636="",0,IFERROR(VLOOKUP(F636,Расходники!$A$4:$B$23,2,FALSE),0))</f>
        <v/>
      </c>
      <c r="L636" s="4">
        <f>H636*D636</f>
        <v/>
      </c>
      <c r="M636" s="4">
        <f>L636*K636</f>
        <v/>
      </c>
      <c r="N636" s="4">
        <f>SUMIF(Материалы!$A$4:$A$800,SUBSTITUTE(SUBSTITUTE(SUBSTITUTE(B636,"~","~~"),"*","~*"),"?","~?"),Материалы!$S$4:$S$800)</f>
        <v/>
      </c>
      <c r="O636" s="4">
        <f>L636+M636+N636</f>
        <v/>
      </c>
      <c r="P636" s="4">
        <f>IF(SUM($O$4:$O$672)=0,0,Косвенные!$C$9*O636/SUM($O$4:$O$672))</f>
        <v/>
      </c>
      <c r="Q636" s="4">
        <f>G636*D636+P636</f>
        <v/>
      </c>
      <c r="R636" s="4">
        <f>IF(D636=0,0,Q636/D636)</f>
        <v/>
      </c>
      <c r="S636" s="4">
        <f>IF(D636=0,0,SUMIF(Материалы!$A$4:$A$800,SUBSTITUTE(SUBSTITUTE(SUBSTITUTE(B636,"~","~~"),"*","~*"),"?","~?"),Материалы!$T$4:$T$800)/D636)</f>
        <v/>
      </c>
      <c r="T636" s="4">
        <f>R636+S636</f>
        <v/>
      </c>
      <c r="U636" s="4">
        <f>I636*D636</f>
        <v/>
      </c>
    </row>
    <row r="637" ht="22" customHeight="1">
      <c r="A637" s="9" t="inlineStr"/>
      <c r="B637" s="13" t="inlineStr">
        <is>
          <t>635. Угловой элемент разгрузочных ворот (внутренний периметр докшелтера), толщ.0,45, цвет RAL, стороны 20-20-100/130-17/19 или аналог *см по месту.</t>
        </is>
      </c>
      <c r="C637" s="9" t="inlineStr">
        <is>
          <t>м.п.</t>
        </is>
      </c>
      <c r="D637" s="4">
        <f>IF('Форма'!G635="","",'Форма'!G635)</f>
        <v/>
      </c>
      <c r="E637" s="9" t="inlineStr">
        <is>
          <t>нет в тарификаторе</t>
        </is>
      </c>
      <c r="F637" s="9" t="inlineStr">
        <is>
          <t>ELM</t>
        </is>
      </c>
      <c r="G637" s="10" t="n">
        <v>1463</v>
      </c>
      <c r="H637" s="10" t="n">
        <v>714</v>
      </c>
      <c r="I637" s="10" t="n">
        <v>0.7</v>
      </c>
      <c r="J637" s="9" t="inlineStr"/>
      <c r="K637" s="7">
        <f>IF(F637="",0,IFERROR(VLOOKUP(F637,Расходники!$A$4:$B$23,2,FALSE),0))</f>
        <v/>
      </c>
      <c r="L637" s="4">
        <f>H637*D637</f>
        <v/>
      </c>
      <c r="M637" s="4">
        <f>L637*K637</f>
        <v/>
      </c>
      <c r="N637" s="4">
        <f>SUMIF(Материалы!$A$4:$A$800,SUBSTITUTE(SUBSTITUTE(SUBSTITUTE(B637,"~","~~"),"*","~*"),"?","~?"),Материалы!$S$4:$S$800)</f>
        <v/>
      </c>
      <c r="O637" s="4">
        <f>L637+M637+N637</f>
        <v/>
      </c>
      <c r="P637" s="4">
        <f>IF(SUM($O$4:$O$672)=0,0,Косвенные!$C$9*O637/SUM($O$4:$O$672))</f>
        <v/>
      </c>
      <c r="Q637" s="4">
        <f>G637*D637+P637</f>
        <v/>
      </c>
      <c r="R637" s="4">
        <f>IF(D637=0,0,Q637/D637)</f>
        <v/>
      </c>
      <c r="S637" s="4">
        <f>IF(D637=0,0,SUMIF(Материалы!$A$4:$A$800,SUBSTITUTE(SUBSTITUTE(SUBSTITUTE(B637,"~","~~"),"*","~*"),"?","~?"),Материалы!$T$4:$T$800)/D637)</f>
        <v/>
      </c>
      <c r="T637" s="4">
        <f>R637+S637</f>
        <v/>
      </c>
      <c r="U637" s="4">
        <f>I637*D637</f>
        <v/>
      </c>
    </row>
    <row r="638" ht="22" customHeight="1">
      <c r="A638" s="9" t="inlineStr"/>
      <c r="B638" s="13" t="inlineStr">
        <is>
          <t>636. Щит закрытый металл (1250х700х300) или аналог *см по месту.</t>
        </is>
      </c>
      <c r="C638" s="9" t="inlineStr">
        <is>
          <t>шт</t>
        </is>
      </c>
      <c r="D638" s="4">
        <f>IF('Форма'!G636="","",'Форма'!G636)</f>
        <v/>
      </c>
      <c r="E638" s="9" t="inlineStr">
        <is>
          <t>нет в тарификаторе</t>
        </is>
      </c>
      <c r="F638" s="9" t="inlineStr">
        <is>
          <t>RAZ</t>
        </is>
      </c>
      <c r="G638" s="10" t="n">
        <v>912</v>
      </c>
      <c r="H638" s="10" t="n">
        <v>528</v>
      </c>
      <c r="I638" s="10" t="n">
        <v>0.8</v>
      </c>
      <c r="J638" s="9" t="inlineStr"/>
      <c r="K638" s="7">
        <f>IF(F638="",0,IFERROR(VLOOKUP(F638,Расходники!$A$4:$B$23,2,FALSE),0))</f>
        <v/>
      </c>
      <c r="L638" s="4">
        <f>H638*D638</f>
        <v/>
      </c>
      <c r="M638" s="4">
        <f>L638*K638</f>
        <v/>
      </c>
      <c r="N638" s="4">
        <f>SUMIF(Материалы!$A$4:$A$800,SUBSTITUTE(SUBSTITUTE(SUBSTITUTE(B638,"~","~~"),"*","~*"),"?","~?"),Материалы!$S$4:$S$800)</f>
        <v/>
      </c>
      <c r="O638" s="4">
        <f>L638+M638+N638</f>
        <v/>
      </c>
      <c r="P638" s="4">
        <f>IF(SUM($O$4:$O$672)=0,0,Косвенные!$C$9*O638/SUM($O$4:$O$672))</f>
        <v/>
      </c>
      <c r="Q638" s="4">
        <f>G638*D638+P638</f>
        <v/>
      </c>
      <c r="R638" s="4">
        <f>IF(D638=0,0,Q638/D638)</f>
        <v/>
      </c>
      <c r="S638" s="4">
        <f>IF(D638=0,0,SUMIF(Материалы!$A$4:$A$800,SUBSTITUTE(SUBSTITUTE(SUBSTITUTE(B638,"~","~~"),"*","~*"),"?","~?"),Материалы!$T$4:$T$800)/D638)</f>
        <v/>
      </c>
      <c r="T638" s="4">
        <f>R638+S638</f>
        <v/>
      </c>
      <c r="U638" s="4">
        <f>I638*D638</f>
        <v/>
      </c>
    </row>
    <row r="639" ht="22" customHeight="1">
      <c r="A639" s="9" t="inlineStr"/>
      <c r="B639" s="13" t="inlineStr">
        <is>
          <t>637. Стенд пожарный с ЯП-03 или аналог *см по месту.</t>
        </is>
      </c>
      <c r="C639" s="9" t="inlineStr">
        <is>
          <t>шт</t>
        </is>
      </c>
      <c r="D639" s="4">
        <f>IF('Форма'!G637="","",'Форма'!G637)</f>
        <v/>
      </c>
      <c r="E639" s="9" t="inlineStr">
        <is>
          <t>нет в тарификаторе</t>
        </is>
      </c>
      <c r="F639" s="9" t="inlineStr">
        <is>
          <t>SAN</t>
        </is>
      </c>
      <c r="G639" s="10" t="n">
        <v>2090</v>
      </c>
      <c r="H639" s="10" t="n">
        <v>1020</v>
      </c>
      <c r="I639" s="10" t="n">
        <v>1</v>
      </c>
      <c r="J639" s="9" t="inlineStr"/>
      <c r="K639" s="7">
        <f>IF(F639="",0,IFERROR(VLOOKUP(F639,Расходники!$A$4:$B$23,2,FALSE),0))</f>
        <v/>
      </c>
      <c r="L639" s="4">
        <f>H639*D639</f>
        <v/>
      </c>
      <c r="M639" s="4">
        <f>L639*K639</f>
        <v/>
      </c>
      <c r="N639" s="4">
        <f>SUMIF(Материалы!$A$4:$A$800,SUBSTITUTE(SUBSTITUTE(SUBSTITUTE(B639,"~","~~"),"*","~*"),"?","~?"),Материалы!$S$4:$S$800)</f>
        <v/>
      </c>
      <c r="O639" s="4">
        <f>L639+M639+N639</f>
        <v/>
      </c>
      <c r="P639" s="4">
        <f>IF(SUM($O$4:$O$672)=0,0,Косвенные!$C$9*O639/SUM($O$4:$O$672))</f>
        <v/>
      </c>
      <c r="Q639" s="4">
        <f>G639*D639+P639</f>
        <v/>
      </c>
      <c r="R639" s="4">
        <f>IF(D639=0,0,Q639/D639)</f>
        <v/>
      </c>
      <c r="S639" s="4">
        <f>IF(D639=0,0,SUMIF(Материалы!$A$4:$A$800,SUBSTITUTE(SUBSTITUTE(SUBSTITUTE(B639,"~","~~"),"*","~*"),"?","~?"),Материалы!$T$4:$T$800)/D639)</f>
        <v/>
      </c>
      <c r="T639" s="4">
        <f>R639+S639</f>
        <v/>
      </c>
      <c r="U639" s="4">
        <f>I639*D639</f>
        <v/>
      </c>
    </row>
    <row r="640" ht="22" customHeight="1">
      <c r="A640" s="9" t="inlineStr"/>
      <c r="B640" s="13" t="inlineStr">
        <is>
          <t>638. ФЭС-1 подставочный профиль толщина 1.5мм размеры по месту</t>
        </is>
      </c>
      <c r="C640" s="9" t="inlineStr">
        <is>
          <t>м.п.</t>
        </is>
      </c>
      <c r="D640" s="4">
        <f>IF('Форма'!G638="","",'Форма'!G638)</f>
        <v/>
      </c>
      <c r="E640" s="9" t="inlineStr">
        <is>
          <t>аналог (6.2.5)</t>
        </is>
      </c>
      <c r="F640" s="9" t="inlineStr">
        <is>
          <t>KRO</t>
        </is>
      </c>
      <c r="G640" s="10" t="n">
        <v>362</v>
      </c>
      <c r="H640" s="10" t="n">
        <v>190</v>
      </c>
      <c r="I640" s="10" t="n">
        <v>0.2</v>
      </c>
      <c r="J640" s="9" t="inlineStr"/>
      <c r="K640" s="7">
        <f>IF(F640="",0,IFERROR(VLOOKUP(F640,Расходники!$A$4:$B$23,2,FALSE),0))</f>
        <v/>
      </c>
      <c r="L640" s="4">
        <f>H640*D640</f>
        <v/>
      </c>
      <c r="M640" s="4">
        <f>L640*K640</f>
        <v/>
      </c>
      <c r="N640" s="4">
        <f>SUMIF(Материалы!$A$4:$A$800,SUBSTITUTE(SUBSTITUTE(SUBSTITUTE(B640,"~","~~"),"*","~*"),"?","~?"),Материалы!$S$4:$S$800)</f>
        <v/>
      </c>
      <c r="O640" s="4">
        <f>L640+M640+N640</f>
        <v/>
      </c>
      <c r="P640" s="4">
        <f>IF(SUM($O$4:$O$672)=0,0,Косвенные!$C$9*O640/SUM($O$4:$O$672))</f>
        <v/>
      </c>
      <c r="Q640" s="4">
        <f>G640*D640+P640</f>
        <v/>
      </c>
      <c r="R640" s="4">
        <f>IF(D640=0,0,Q640/D640)</f>
        <v/>
      </c>
      <c r="S640" s="4">
        <f>IF(D640=0,0,SUMIF(Материалы!$A$4:$A$800,SUBSTITUTE(SUBSTITUTE(SUBSTITUTE(B640,"~","~~"),"*","~*"),"?","~?"),Материалы!$T$4:$T$800)/D640)</f>
        <v/>
      </c>
      <c r="T640" s="4">
        <f>R640+S640</f>
        <v/>
      </c>
      <c r="U640" s="4">
        <f>I640*D640</f>
        <v/>
      </c>
    </row>
    <row r="641" ht="22" customHeight="1">
      <c r="A641" s="9" t="inlineStr"/>
      <c r="B641" s="13" t="inlineStr">
        <is>
          <t>639.  ФЭС-2 черновой отлив размеры по месту</t>
        </is>
      </c>
      <c r="C641" s="9" t="inlineStr">
        <is>
          <t>м.п.</t>
        </is>
      </c>
      <c r="D641" s="4">
        <f>IF('Форма'!G639="","",'Форма'!G639)</f>
        <v/>
      </c>
      <c r="E641" s="9" t="inlineStr">
        <is>
          <t>аналог (6.2.5)</t>
        </is>
      </c>
      <c r="F641" s="9" t="inlineStr">
        <is>
          <t>KRO</t>
        </is>
      </c>
      <c r="G641" s="10" t="n">
        <v>362</v>
      </c>
      <c r="H641" s="10" t="n">
        <v>190</v>
      </c>
      <c r="I641" s="10" t="n">
        <v>0.2</v>
      </c>
      <c r="J641" s="9" t="inlineStr"/>
      <c r="K641" s="7">
        <f>IF(F641="",0,IFERROR(VLOOKUP(F641,Расходники!$A$4:$B$23,2,FALSE),0))</f>
        <v/>
      </c>
      <c r="L641" s="4">
        <f>H641*D641</f>
        <v/>
      </c>
      <c r="M641" s="4">
        <f>L641*K641</f>
        <v/>
      </c>
      <c r="N641" s="4">
        <f>SUMIF(Материалы!$A$4:$A$800,SUBSTITUTE(SUBSTITUTE(SUBSTITUTE(B641,"~","~~"),"*","~*"),"?","~?"),Материалы!$S$4:$S$800)</f>
        <v/>
      </c>
      <c r="O641" s="4">
        <f>L641+M641+N641</f>
        <v/>
      </c>
      <c r="P641" s="4">
        <f>IF(SUM($O$4:$O$672)=0,0,Косвенные!$C$9*O641/SUM($O$4:$O$672))</f>
        <v/>
      </c>
      <c r="Q641" s="4">
        <f>G641*D641+P641</f>
        <v/>
      </c>
      <c r="R641" s="4">
        <f>IF(D641=0,0,Q641/D641)</f>
        <v/>
      </c>
      <c r="S641" s="4">
        <f>IF(D641=0,0,SUMIF(Материалы!$A$4:$A$800,SUBSTITUTE(SUBSTITUTE(SUBSTITUTE(B641,"~","~~"),"*","~*"),"?","~?"),Материалы!$T$4:$T$800)/D641)</f>
        <v/>
      </c>
      <c r="T641" s="4">
        <f>R641+S641</f>
        <v/>
      </c>
      <c r="U641" s="4">
        <f>I641*D641</f>
        <v/>
      </c>
    </row>
    <row r="642" ht="22" customHeight="1">
      <c r="A642" s="9" t="inlineStr"/>
      <c r="B642" s="13" t="inlineStr">
        <is>
          <t>640.  ФЭС-3 отлив узла цоколя размеры по месту</t>
        </is>
      </c>
      <c r="C642" s="9" t="inlineStr">
        <is>
          <t>м.п.</t>
        </is>
      </c>
      <c r="D642" s="4">
        <f>IF('Форма'!G640="","",'Форма'!G640)</f>
        <v/>
      </c>
      <c r="E642" s="9" t="inlineStr">
        <is>
          <t>аналог (6.2.5)</t>
        </is>
      </c>
      <c r="F642" s="9" t="inlineStr">
        <is>
          <t>KRO</t>
        </is>
      </c>
      <c r="G642" s="10" t="n">
        <v>362</v>
      </c>
      <c r="H642" s="10" t="n">
        <v>190</v>
      </c>
      <c r="I642" s="10" t="n">
        <v>0.2</v>
      </c>
      <c r="J642" s="9" t="inlineStr"/>
      <c r="K642" s="7">
        <f>IF(F642="",0,IFERROR(VLOOKUP(F642,Расходники!$A$4:$B$23,2,FALSE),0))</f>
        <v/>
      </c>
      <c r="L642" s="4">
        <f>H642*D642</f>
        <v/>
      </c>
      <c r="M642" s="4">
        <f>L642*K642</f>
        <v/>
      </c>
      <c r="N642" s="4">
        <f>SUMIF(Материалы!$A$4:$A$800,SUBSTITUTE(SUBSTITUTE(SUBSTITUTE(B642,"~","~~"),"*","~*"),"?","~?"),Материалы!$S$4:$S$800)</f>
        <v/>
      </c>
      <c r="O642" s="4">
        <f>L642+M642+N642</f>
        <v/>
      </c>
      <c r="P642" s="4">
        <f>IF(SUM($O$4:$O$672)=0,0,Косвенные!$C$9*O642/SUM($O$4:$O$672))</f>
        <v/>
      </c>
      <c r="Q642" s="4">
        <f>G642*D642+P642</f>
        <v/>
      </c>
      <c r="R642" s="4">
        <f>IF(D642=0,0,Q642/D642)</f>
        <v/>
      </c>
      <c r="S642" s="4">
        <f>IF(D642=0,0,SUMIF(Материалы!$A$4:$A$800,SUBSTITUTE(SUBSTITUTE(SUBSTITUTE(B642,"~","~~"),"*","~*"),"?","~?"),Материалы!$T$4:$T$800)/D642)</f>
        <v/>
      </c>
      <c r="T642" s="4">
        <f>R642+S642</f>
        <v/>
      </c>
      <c r="U642" s="4">
        <f>I642*D642</f>
        <v/>
      </c>
    </row>
    <row r="643" ht="22" customHeight="1">
      <c r="A643" s="9" t="inlineStr"/>
      <c r="B643" s="13" t="inlineStr">
        <is>
          <t>641.  ФЭС-4 отлив цоколя размеры по месту</t>
        </is>
      </c>
      <c r="C643" s="9" t="inlineStr">
        <is>
          <t>м.п.</t>
        </is>
      </c>
      <c r="D643" s="4">
        <f>IF('Форма'!G641="","",'Форма'!G641)</f>
        <v/>
      </c>
      <c r="E643" s="9" t="inlineStr">
        <is>
          <t>аналог (6.2.5)</t>
        </is>
      </c>
      <c r="F643" s="9" t="inlineStr">
        <is>
          <t>KRO</t>
        </is>
      </c>
      <c r="G643" s="10" t="n">
        <v>362</v>
      </c>
      <c r="H643" s="10" t="n">
        <v>190</v>
      </c>
      <c r="I643" s="10" t="n">
        <v>0.2</v>
      </c>
      <c r="J643" s="9" t="inlineStr"/>
      <c r="K643" s="7">
        <f>IF(F643="",0,IFERROR(VLOOKUP(F643,Расходники!$A$4:$B$23,2,FALSE),0))</f>
        <v/>
      </c>
      <c r="L643" s="4">
        <f>H643*D643</f>
        <v/>
      </c>
      <c r="M643" s="4">
        <f>L643*K643</f>
        <v/>
      </c>
      <c r="N643" s="4">
        <f>SUMIF(Материалы!$A$4:$A$800,SUBSTITUTE(SUBSTITUTE(SUBSTITUTE(B643,"~","~~"),"*","~*"),"?","~?"),Материалы!$S$4:$S$800)</f>
        <v/>
      </c>
      <c r="O643" s="4">
        <f>L643+M643+N643</f>
        <v/>
      </c>
      <c r="P643" s="4">
        <f>IF(SUM($O$4:$O$672)=0,0,Косвенные!$C$9*O643/SUM($O$4:$O$672))</f>
        <v/>
      </c>
      <c r="Q643" s="4">
        <f>G643*D643+P643</f>
        <v/>
      </c>
      <c r="R643" s="4">
        <f>IF(D643=0,0,Q643/D643)</f>
        <v/>
      </c>
      <c r="S643" s="4">
        <f>IF(D643=0,0,SUMIF(Материалы!$A$4:$A$800,SUBSTITUTE(SUBSTITUTE(SUBSTITUTE(B643,"~","~~"),"*","~*"),"?","~?"),Материалы!$T$4:$T$800)/D643)</f>
        <v/>
      </c>
      <c r="T643" s="4">
        <f>R643+S643</f>
        <v/>
      </c>
      <c r="U643" s="4">
        <f>I643*D643</f>
        <v/>
      </c>
    </row>
    <row r="644" ht="22" customHeight="1">
      <c r="A644" s="9" t="inlineStr"/>
      <c r="B644" s="13" t="inlineStr">
        <is>
          <t>642. ФЭС-5 отлив цоколя размеры по месту</t>
        </is>
      </c>
      <c r="C644" s="9" t="inlineStr">
        <is>
          <t>м.п.</t>
        </is>
      </c>
      <c r="D644" s="4">
        <f>IF('Форма'!G642="","",'Форма'!G642)</f>
        <v/>
      </c>
      <c r="E644" s="9" t="inlineStr">
        <is>
          <t>аналог (6.2.5)</t>
        </is>
      </c>
      <c r="F644" s="9" t="inlineStr">
        <is>
          <t>KRO</t>
        </is>
      </c>
      <c r="G644" s="10" t="n">
        <v>362</v>
      </c>
      <c r="H644" s="10" t="n">
        <v>190</v>
      </c>
      <c r="I644" s="10" t="n">
        <v>0.2</v>
      </c>
      <c r="J644" s="9" t="inlineStr"/>
      <c r="K644" s="7">
        <f>IF(F644="",0,IFERROR(VLOOKUP(F644,Расходники!$A$4:$B$23,2,FALSE),0))</f>
        <v/>
      </c>
      <c r="L644" s="4">
        <f>H644*D644</f>
        <v/>
      </c>
      <c r="M644" s="4">
        <f>L644*K644</f>
        <v/>
      </c>
      <c r="N644" s="4">
        <f>SUMIF(Материалы!$A$4:$A$800,SUBSTITUTE(SUBSTITUTE(SUBSTITUTE(B644,"~","~~"),"*","~*"),"?","~?"),Материалы!$S$4:$S$800)</f>
        <v/>
      </c>
      <c r="O644" s="4">
        <f>L644+M644+N644</f>
        <v/>
      </c>
      <c r="P644" s="4">
        <f>IF(SUM($O$4:$O$672)=0,0,Косвенные!$C$9*O644/SUM($O$4:$O$672))</f>
        <v/>
      </c>
      <c r="Q644" s="4">
        <f>G644*D644+P644</f>
        <v/>
      </c>
      <c r="R644" s="4">
        <f>IF(D644=0,0,Q644/D644)</f>
        <v/>
      </c>
      <c r="S644" s="4">
        <f>IF(D644=0,0,SUMIF(Материалы!$A$4:$A$800,SUBSTITUTE(SUBSTITUTE(SUBSTITUTE(B644,"~","~~"),"*","~*"),"?","~?"),Материалы!$T$4:$T$800)/D644)</f>
        <v/>
      </c>
      <c r="T644" s="4">
        <f>R644+S644</f>
        <v/>
      </c>
      <c r="U644" s="4">
        <f>I644*D644</f>
        <v/>
      </c>
    </row>
    <row r="645" ht="22" customHeight="1">
      <c r="A645" s="9" t="inlineStr"/>
      <c r="B645" s="13" t="inlineStr">
        <is>
          <t>643. ФЭС-6 наружный отлив цоколя размеры по месту</t>
        </is>
      </c>
      <c r="C645" s="9" t="inlineStr">
        <is>
          <t>м.п.</t>
        </is>
      </c>
      <c r="D645" s="4">
        <f>IF('Форма'!G643="","",'Форма'!G643)</f>
        <v/>
      </c>
      <c r="E645" s="9" t="inlineStr">
        <is>
          <t>аналог (6.2.5)</t>
        </is>
      </c>
      <c r="F645" s="9" t="inlineStr">
        <is>
          <t>KRO</t>
        </is>
      </c>
      <c r="G645" s="10" t="n">
        <v>362</v>
      </c>
      <c r="H645" s="10" t="n">
        <v>190</v>
      </c>
      <c r="I645" s="10" t="n">
        <v>0.2</v>
      </c>
      <c r="J645" s="9" t="inlineStr"/>
      <c r="K645" s="7">
        <f>IF(F645="",0,IFERROR(VLOOKUP(F645,Расходники!$A$4:$B$23,2,FALSE),0))</f>
        <v/>
      </c>
      <c r="L645" s="4">
        <f>H645*D645</f>
        <v/>
      </c>
      <c r="M645" s="4">
        <f>L645*K645</f>
        <v/>
      </c>
      <c r="N645" s="4">
        <f>SUMIF(Материалы!$A$4:$A$800,SUBSTITUTE(SUBSTITUTE(SUBSTITUTE(B645,"~","~~"),"*","~*"),"?","~?"),Материалы!$S$4:$S$800)</f>
        <v/>
      </c>
      <c r="O645" s="4">
        <f>L645+M645+N645</f>
        <v/>
      </c>
      <c r="P645" s="4">
        <f>IF(SUM($O$4:$O$672)=0,0,Косвенные!$C$9*O645/SUM($O$4:$O$672))</f>
        <v/>
      </c>
      <c r="Q645" s="4">
        <f>G645*D645+P645</f>
        <v/>
      </c>
      <c r="R645" s="4">
        <f>IF(D645=0,0,Q645/D645)</f>
        <v/>
      </c>
      <c r="S645" s="4">
        <f>IF(D645=0,0,SUMIF(Материалы!$A$4:$A$800,SUBSTITUTE(SUBSTITUTE(SUBSTITUTE(B645,"~","~~"),"*","~*"),"?","~?"),Материалы!$T$4:$T$800)/D645)</f>
        <v/>
      </c>
      <c r="T645" s="4">
        <f>R645+S645</f>
        <v/>
      </c>
      <c r="U645" s="4">
        <f>I645*D645</f>
        <v/>
      </c>
    </row>
    <row r="646" ht="22" customHeight="1">
      <c r="A646" s="9" t="inlineStr"/>
      <c r="B646" s="13" t="inlineStr">
        <is>
          <t>644.  ФЭС-7 отлив цоколя на брус размеры по месту</t>
        </is>
      </c>
      <c r="C646" s="9" t="inlineStr">
        <is>
          <t>м.п.</t>
        </is>
      </c>
      <c r="D646" s="4">
        <f>IF('Форма'!G644="","",'Форма'!G644)</f>
        <v/>
      </c>
      <c r="E646" s="9" t="inlineStr">
        <is>
          <t>аналог (6.2.5)</t>
        </is>
      </c>
      <c r="F646" s="9" t="inlineStr">
        <is>
          <t>KRO</t>
        </is>
      </c>
      <c r="G646" s="10" t="n">
        <v>362</v>
      </c>
      <c r="H646" s="10" t="n">
        <v>190</v>
      </c>
      <c r="I646" s="10" t="n">
        <v>0.2</v>
      </c>
      <c r="J646" s="9" t="inlineStr"/>
      <c r="K646" s="7">
        <f>IF(F646="",0,IFERROR(VLOOKUP(F646,Расходники!$A$4:$B$23,2,FALSE),0))</f>
        <v/>
      </c>
      <c r="L646" s="4">
        <f>H646*D646</f>
        <v/>
      </c>
      <c r="M646" s="4">
        <f>L646*K646</f>
        <v/>
      </c>
      <c r="N646" s="4">
        <f>SUMIF(Материалы!$A$4:$A$800,SUBSTITUTE(SUBSTITUTE(SUBSTITUTE(B646,"~","~~"),"*","~*"),"?","~?"),Материалы!$S$4:$S$800)</f>
        <v/>
      </c>
      <c r="O646" s="4">
        <f>L646+M646+N646</f>
        <v/>
      </c>
      <c r="P646" s="4">
        <f>IF(SUM($O$4:$O$672)=0,0,Косвенные!$C$9*O646/SUM($O$4:$O$672))</f>
        <v/>
      </c>
      <c r="Q646" s="4">
        <f>G646*D646+P646</f>
        <v/>
      </c>
      <c r="R646" s="4">
        <f>IF(D646=0,0,Q646/D646)</f>
        <v/>
      </c>
      <c r="S646" s="4">
        <f>IF(D646=0,0,SUMIF(Материалы!$A$4:$A$800,SUBSTITUTE(SUBSTITUTE(SUBSTITUTE(B646,"~","~~"),"*","~*"),"?","~?"),Материалы!$T$4:$T$800)/D646)</f>
        <v/>
      </c>
      <c r="T646" s="4">
        <f>R646+S646</f>
        <v/>
      </c>
      <c r="U646" s="4">
        <f>I646*D646</f>
        <v/>
      </c>
    </row>
    <row r="647" ht="22" customHeight="1">
      <c r="A647" s="9" t="inlineStr"/>
      <c r="B647" s="13" t="inlineStr">
        <is>
          <t>645.  ФЭС-8 отлив цоколя размеры по месту</t>
        </is>
      </c>
      <c r="C647" s="9" t="inlineStr">
        <is>
          <t>м.п.</t>
        </is>
      </c>
      <c r="D647" s="4">
        <f>IF('Форма'!G645="","",'Форма'!G645)</f>
        <v/>
      </c>
      <c r="E647" s="9" t="inlineStr">
        <is>
          <t>аналог (6.2.5)</t>
        </is>
      </c>
      <c r="F647" s="9" t="inlineStr">
        <is>
          <t>KRO</t>
        </is>
      </c>
      <c r="G647" s="10" t="n">
        <v>362</v>
      </c>
      <c r="H647" s="10" t="n">
        <v>190</v>
      </c>
      <c r="I647" s="10" t="n">
        <v>0.2</v>
      </c>
      <c r="J647" s="9" t="inlineStr"/>
      <c r="K647" s="7">
        <f>IF(F647="",0,IFERROR(VLOOKUP(F647,Расходники!$A$4:$B$23,2,FALSE),0))</f>
        <v/>
      </c>
      <c r="L647" s="4">
        <f>H647*D647</f>
        <v/>
      </c>
      <c r="M647" s="4">
        <f>L647*K647</f>
        <v/>
      </c>
      <c r="N647" s="4">
        <f>SUMIF(Материалы!$A$4:$A$800,SUBSTITUTE(SUBSTITUTE(SUBSTITUTE(B647,"~","~~"),"*","~*"),"?","~?"),Материалы!$S$4:$S$800)</f>
        <v/>
      </c>
      <c r="O647" s="4">
        <f>L647+M647+N647</f>
        <v/>
      </c>
      <c r="P647" s="4">
        <f>IF(SUM($O$4:$O$672)=0,0,Косвенные!$C$9*O647/SUM($O$4:$O$672))</f>
        <v/>
      </c>
      <c r="Q647" s="4">
        <f>G647*D647+P647</f>
        <v/>
      </c>
      <c r="R647" s="4">
        <f>IF(D647=0,0,Q647/D647)</f>
        <v/>
      </c>
      <c r="S647" s="4">
        <f>IF(D647=0,0,SUMIF(Материалы!$A$4:$A$800,SUBSTITUTE(SUBSTITUTE(SUBSTITUTE(B647,"~","~~"),"*","~*"),"?","~?"),Материалы!$T$4:$T$800)/D647)</f>
        <v/>
      </c>
      <c r="T647" s="4">
        <f>R647+S647</f>
        <v/>
      </c>
      <c r="U647" s="4">
        <f>I647*D647</f>
        <v/>
      </c>
    </row>
    <row r="648" ht="22" customHeight="1">
      <c r="A648" s="9" t="inlineStr"/>
      <c r="B648" s="13" t="inlineStr">
        <is>
          <t>646. ФЭС-9 отлив цоколя размеры по месту</t>
        </is>
      </c>
      <c r="C648" s="9" t="inlineStr">
        <is>
          <t>м.п.</t>
        </is>
      </c>
      <c r="D648" s="4">
        <f>IF('Форма'!G646="","",'Форма'!G646)</f>
        <v/>
      </c>
      <c r="E648" s="9" t="inlineStr">
        <is>
          <t>аналог (6.2.5)</t>
        </is>
      </c>
      <c r="F648" s="9" t="inlineStr">
        <is>
          <t>KRO</t>
        </is>
      </c>
      <c r="G648" s="10" t="n">
        <v>362</v>
      </c>
      <c r="H648" s="10" t="n">
        <v>190</v>
      </c>
      <c r="I648" s="10" t="n">
        <v>0.2</v>
      </c>
      <c r="J648" s="9" t="inlineStr"/>
      <c r="K648" s="7">
        <f>IF(F648="",0,IFERROR(VLOOKUP(F648,Расходники!$A$4:$B$23,2,FALSE),0))</f>
        <v/>
      </c>
      <c r="L648" s="4">
        <f>H648*D648</f>
        <v/>
      </c>
      <c r="M648" s="4">
        <f>L648*K648</f>
        <v/>
      </c>
      <c r="N648" s="4">
        <f>SUMIF(Материалы!$A$4:$A$800,SUBSTITUTE(SUBSTITUTE(SUBSTITUTE(B648,"~","~~"),"*","~*"),"?","~?"),Материалы!$S$4:$S$800)</f>
        <v/>
      </c>
      <c r="O648" s="4">
        <f>L648+M648+N648</f>
        <v/>
      </c>
      <c r="P648" s="4">
        <f>IF(SUM($O$4:$O$672)=0,0,Косвенные!$C$9*O648/SUM($O$4:$O$672))</f>
        <v/>
      </c>
      <c r="Q648" s="4">
        <f>G648*D648+P648</f>
        <v/>
      </c>
      <c r="R648" s="4">
        <f>IF(D648=0,0,Q648/D648)</f>
        <v/>
      </c>
      <c r="S648" s="4">
        <f>IF(D648=0,0,SUMIF(Материалы!$A$4:$A$800,SUBSTITUTE(SUBSTITUTE(SUBSTITUTE(B648,"~","~~"),"*","~*"),"?","~?"),Материалы!$T$4:$T$800)/D648)</f>
        <v/>
      </c>
      <c r="T648" s="4">
        <f>R648+S648</f>
        <v/>
      </c>
      <c r="U648" s="4">
        <f>I648*D648</f>
        <v/>
      </c>
    </row>
    <row r="649" ht="22" customHeight="1">
      <c r="A649" s="9" t="inlineStr"/>
      <c r="B649" s="13" t="inlineStr">
        <is>
          <t>647. ФЭС-10 нащельник узла стыка сэндвич-панелей размеры по месту</t>
        </is>
      </c>
      <c r="C649" s="9" t="inlineStr">
        <is>
          <t>м.п.</t>
        </is>
      </c>
      <c r="D649" s="4">
        <f>IF('Форма'!G647="","",'Форма'!G647)</f>
        <v/>
      </c>
      <c r="E649" s="9" t="inlineStr">
        <is>
          <t>аналог (6.2.5)</t>
        </is>
      </c>
      <c r="F649" s="9" t="inlineStr">
        <is>
          <t>KRO</t>
        </is>
      </c>
      <c r="G649" s="10" t="n">
        <v>362</v>
      </c>
      <c r="H649" s="10" t="n">
        <v>190</v>
      </c>
      <c r="I649" s="10" t="n">
        <v>0.2</v>
      </c>
      <c r="J649" s="9" t="inlineStr"/>
      <c r="K649" s="7">
        <f>IF(F649="",0,IFERROR(VLOOKUP(F649,Расходники!$A$4:$B$23,2,FALSE),0))</f>
        <v/>
      </c>
      <c r="L649" s="4">
        <f>H649*D649</f>
        <v/>
      </c>
      <c r="M649" s="4">
        <f>L649*K649</f>
        <v/>
      </c>
      <c r="N649" s="4">
        <f>SUMIF(Материалы!$A$4:$A$800,SUBSTITUTE(SUBSTITUTE(SUBSTITUTE(B649,"~","~~"),"*","~*"),"?","~?"),Материалы!$S$4:$S$800)</f>
        <v/>
      </c>
      <c r="O649" s="4">
        <f>L649+M649+N649</f>
        <v/>
      </c>
      <c r="P649" s="4">
        <f>IF(SUM($O$4:$O$672)=0,0,Косвенные!$C$9*O649/SUM($O$4:$O$672))</f>
        <v/>
      </c>
      <c r="Q649" s="4">
        <f>G649*D649+P649</f>
        <v/>
      </c>
      <c r="R649" s="4">
        <f>IF(D649=0,0,Q649/D649)</f>
        <v/>
      </c>
      <c r="S649" s="4">
        <f>IF(D649=0,0,SUMIF(Материалы!$A$4:$A$800,SUBSTITUTE(SUBSTITUTE(SUBSTITUTE(B649,"~","~~"),"*","~*"),"?","~?"),Материалы!$T$4:$T$800)/D649)</f>
        <v/>
      </c>
      <c r="T649" s="4">
        <f>R649+S649</f>
        <v/>
      </c>
      <c r="U649" s="4">
        <f>I649*D649</f>
        <v/>
      </c>
    </row>
    <row r="650" ht="22" customHeight="1">
      <c r="A650" s="9" t="inlineStr"/>
      <c r="B650" s="13" t="inlineStr">
        <is>
          <t>648.  ФЭС-11 стыковочная рейка на стык панелей размеры по месту</t>
        </is>
      </c>
      <c r="C650" s="9" t="inlineStr">
        <is>
          <t>м.п.</t>
        </is>
      </c>
      <c r="D650" s="4">
        <f>IF('Форма'!G648="","",'Форма'!G648)</f>
        <v/>
      </c>
      <c r="E650" s="9" t="inlineStr">
        <is>
          <t>аналог (6.2.5)</t>
        </is>
      </c>
      <c r="F650" s="9" t="inlineStr">
        <is>
          <t>KRO</t>
        </is>
      </c>
      <c r="G650" s="10" t="n">
        <v>362</v>
      </c>
      <c r="H650" s="10" t="n">
        <v>190</v>
      </c>
      <c r="I650" s="10" t="n">
        <v>0.2</v>
      </c>
      <c r="J650" s="9" t="inlineStr"/>
      <c r="K650" s="7">
        <f>IF(F650="",0,IFERROR(VLOOKUP(F650,Расходники!$A$4:$B$23,2,FALSE),0))</f>
        <v/>
      </c>
      <c r="L650" s="4">
        <f>H650*D650</f>
        <v/>
      </c>
      <c r="M650" s="4">
        <f>L650*K650</f>
        <v/>
      </c>
      <c r="N650" s="4">
        <f>SUMIF(Материалы!$A$4:$A$800,SUBSTITUTE(SUBSTITUTE(SUBSTITUTE(B650,"~","~~"),"*","~*"),"?","~?"),Материалы!$S$4:$S$800)</f>
        <v/>
      </c>
      <c r="O650" s="4">
        <f>L650+M650+N650</f>
        <v/>
      </c>
      <c r="P650" s="4">
        <f>IF(SUM($O$4:$O$672)=0,0,Косвенные!$C$9*O650/SUM($O$4:$O$672))</f>
        <v/>
      </c>
      <c r="Q650" s="4">
        <f>G650*D650+P650</f>
        <v/>
      </c>
      <c r="R650" s="4">
        <f>IF(D650=0,0,Q650/D650)</f>
        <v/>
      </c>
      <c r="S650" s="4">
        <f>IF(D650=0,0,SUMIF(Материалы!$A$4:$A$800,SUBSTITUTE(SUBSTITUTE(SUBSTITUTE(B650,"~","~~"),"*","~*"),"?","~?"),Материалы!$T$4:$T$800)/D650)</f>
        <v/>
      </c>
      <c r="T650" s="4">
        <f>R650+S650</f>
        <v/>
      </c>
      <c r="U650" s="4">
        <f>I650*D650</f>
        <v/>
      </c>
    </row>
    <row r="651" ht="22" customHeight="1">
      <c r="A651" s="9" t="inlineStr"/>
      <c r="B651" s="13" t="inlineStr">
        <is>
          <t>649. ФЭС-12 нащельник узла стыка сэндвич-панелей размеры по месту</t>
        </is>
      </c>
      <c r="C651" s="9" t="inlineStr">
        <is>
          <t>м.п.</t>
        </is>
      </c>
      <c r="D651" s="4">
        <f>IF('Форма'!G649="","",'Форма'!G649)</f>
        <v/>
      </c>
      <c r="E651" s="9" t="inlineStr">
        <is>
          <t>аналог (6.2.5)</t>
        </is>
      </c>
      <c r="F651" s="9" t="inlineStr">
        <is>
          <t>KRO</t>
        </is>
      </c>
      <c r="G651" s="10" t="n">
        <v>362</v>
      </c>
      <c r="H651" s="10" t="n">
        <v>190</v>
      </c>
      <c r="I651" s="10" t="n">
        <v>0.2</v>
      </c>
      <c r="J651" s="9" t="inlineStr"/>
      <c r="K651" s="7">
        <f>IF(F651="",0,IFERROR(VLOOKUP(F651,Расходники!$A$4:$B$23,2,FALSE),0))</f>
        <v/>
      </c>
      <c r="L651" s="4">
        <f>H651*D651</f>
        <v/>
      </c>
      <c r="M651" s="4">
        <f>L651*K651</f>
        <v/>
      </c>
      <c r="N651" s="4">
        <f>SUMIF(Материалы!$A$4:$A$800,SUBSTITUTE(SUBSTITUTE(SUBSTITUTE(B651,"~","~~"),"*","~*"),"?","~?"),Материалы!$S$4:$S$800)</f>
        <v/>
      </c>
      <c r="O651" s="4">
        <f>L651+M651+N651</f>
        <v/>
      </c>
      <c r="P651" s="4">
        <f>IF(SUM($O$4:$O$672)=0,0,Косвенные!$C$9*O651/SUM($O$4:$O$672))</f>
        <v/>
      </c>
      <c r="Q651" s="4">
        <f>G651*D651+P651</f>
        <v/>
      </c>
      <c r="R651" s="4">
        <f>IF(D651=0,0,Q651/D651)</f>
        <v/>
      </c>
      <c r="S651" s="4">
        <f>IF(D651=0,0,SUMIF(Материалы!$A$4:$A$800,SUBSTITUTE(SUBSTITUTE(SUBSTITUTE(B651,"~","~~"),"*","~*"),"?","~?"),Материалы!$T$4:$T$800)/D651)</f>
        <v/>
      </c>
      <c r="T651" s="4">
        <f>R651+S651</f>
        <v/>
      </c>
      <c r="U651" s="4">
        <f>I651*D651</f>
        <v/>
      </c>
    </row>
    <row r="652" ht="22" customHeight="1">
      <c r="A652" s="9" t="inlineStr"/>
      <c r="B652" s="13" t="inlineStr">
        <is>
          <t>650. ФЭС-13 нащельник узла стыка сэндвич-панелей размеры по месту</t>
        </is>
      </c>
      <c r="C652" s="9" t="inlineStr">
        <is>
          <t>м.п.</t>
        </is>
      </c>
      <c r="D652" s="4">
        <f>IF('Форма'!G650="","",'Форма'!G650)</f>
        <v/>
      </c>
      <c r="E652" s="9" t="inlineStr">
        <is>
          <t>аналог (6.2.5)</t>
        </is>
      </c>
      <c r="F652" s="9" t="inlineStr">
        <is>
          <t>KRO</t>
        </is>
      </c>
      <c r="G652" s="10" t="n">
        <v>362</v>
      </c>
      <c r="H652" s="10" t="n">
        <v>190</v>
      </c>
      <c r="I652" s="10" t="n">
        <v>0.2</v>
      </c>
      <c r="J652" s="9" t="inlineStr"/>
      <c r="K652" s="7">
        <f>IF(F652="",0,IFERROR(VLOOKUP(F652,Расходники!$A$4:$B$23,2,FALSE),0))</f>
        <v/>
      </c>
      <c r="L652" s="4">
        <f>H652*D652</f>
        <v/>
      </c>
      <c r="M652" s="4">
        <f>L652*K652</f>
        <v/>
      </c>
      <c r="N652" s="4">
        <f>SUMIF(Материалы!$A$4:$A$800,SUBSTITUTE(SUBSTITUTE(SUBSTITUTE(B652,"~","~~"),"*","~*"),"?","~?"),Материалы!$S$4:$S$800)</f>
        <v/>
      </c>
      <c r="O652" s="4">
        <f>L652+M652+N652</f>
        <v/>
      </c>
      <c r="P652" s="4">
        <f>IF(SUM($O$4:$O$672)=0,0,Косвенные!$C$9*O652/SUM($O$4:$O$672))</f>
        <v/>
      </c>
      <c r="Q652" s="4">
        <f>G652*D652+P652</f>
        <v/>
      </c>
      <c r="R652" s="4">
        <f>IF(D652=0,0,Q652/D652)</f>
        <v/>
      </c>
      <c r="S652" s="4">
        <f>IF(D652=0,0,SUMIF(Материалы!$A$4:$A$800,SUBSTITUTE(SUBSTITUTE(SUBSTITUTE(B652,"~","~~"),"*","~*"),"?","~?"),Материалы!$T$4:$T$800)/D652)</f>
        <v/>
      </c>
      <c r="T652" s="4">
        <f>R652+S652</f>
        <v/>
      </c>
      <c r="U652" s="4">
        <f>I652*D652</f>
        <v/>
      </c>
    </row>
    <row r="653" ht="22" customHeight="1">
      <c r="A653" s="9" t="inlineStr"/>
      <c r="B653" s="13" t="inlineStr">
        <is>
          <t>651. ФЭС-14 нащельник стыковой размеры по месту</t>
        </is>
      </c>
      <c r="C653" s="9" t="inlineStr">
        <is>
          <t>м.п.</t>
        </is>
      </c>
      <c r="D653" s="4">
        <f>IF('Форма'!G651="","",'Форма'!G651)</f>
        <v/>
      </c>
      <c r="E653" s="9" t="inlineStr">
        <is>
          <t>аналог (6.2.5)</t>
        </is>
      </c>
      <c r="F653" s="9" t="inlineStr">
        <is>
          <t>KRO</t>
        </is>
      </c>
      <c r="G653" s="10" t="n">
        <v>362</v>
      </c>
      <c r="H653" s="10" t="n">
        <v>190</v>
      </c>
      <c r="I653" s="10" t="n">
        <v>0.2</v>
      </c>
      <c r="J653" s="9" t="inlineStr"/>
      <c r="K653" s="7">
        <f>IF(F653="",0,IFERROR(VLOOKUP(F653,Расходники!$A$4:$B$23,2,FALSE),0))</f>
        <v/>
      </c>
      <c r="L653" s="4">
        <f>H653*D653</f>
        <v/>
      </c>
      <c r="M653" s="4">
        <f>L653*K653</f>
        <v/>
      </c>
      <c r="N653" s="4">
        <f>SUMIF(Материалы!$A$4:$A$800,SUBSTITUTE(SUBSTITUTE(SUBSTITUTE(B653,"~","~~"),"*","~*"),"?","~?"),Материалы!$S$4:$S$800)</f>
        <v/>
      </c>
      <c r="O653" s="4">
        <f>L653+M653+N653</f>
        <v/>
      </c>
      <c r="P653" s="4">
        <f>IF(SUM($O$4:$O$672)=0,0,Косвенные!$C$9*O653/SUM($O$4:$O$672))</f>
        <v/>
      </c>
      <c r="Q653" s="4">
        <f>G653*D653+P653</f>
        <v/>
      </c>
      <c r="R653" s="4">
        <f>IF(D653=0,0,Q653/D653)</f>
        <v/>
      </c>
      <c r="S653" s="4">
        <f>IF(D653=0,0,SUMIF(Материалы!$A$4:$A$800,SUBSTITUTE(SUBSTITUTE(SUBSTITUTE(B653,"~","~~"),"*","~*"),"?","~?"),Материалы!$T$4:$T$800)/D653)</f>
        <v/>
      </c>
      <c r="T653" s="4">
        <f>R653+S653</f>
        <v/>
      </c>
      <c r="U653" s="4">
        <f>I653*D653</f>
        <v/>
      </c>
    </row>
    <row r="654" ht="22" customHeight="1">
      <c r="A654" s="9" t="inlineStr"/>
      <c r="B654" s="13" t="inlineStr">
        <is>
          <t>652. ФЭС-16 наружный угол стыка сэндвич-панелей размеры по месту</t>
        </is>
      </c>
      <c r="C654" s="9" t="inlineStr">
        <is>
          <t>м.п.</t>
        </is>
      </c>
      <c r="D654" s="4">
        <f>IF('Форма'!G652="","",'Форма'!G652)</f>
        <v/>
      </c>
      <c r="E654" s="9" t="inlineStr">
        <is>
          <t>аналог (6.2.5)</t>
        </is>
      </c>
      <c r="F654" s="9" t="inlineStr">
        <is>
          <t>KRO</t>
        </is>
      </c>
      <c r="G654" s="10" t="n">
        <v>362</v>
      </c>
      <c r="H654" s="10" t="n">
        <v>190</v>
      </c>
      <c r="I654" s="10" t="n">
        <v>0.2</v>
      </c>
      <c r="J654" s="9" t="inlineStr"/>
      <c r="K654" s="7">
        <f>IF(F654="",0,IFERROR(VLOOKUP(F654,Расходники!$A$4:$B$23,2,FALSE),0))</f>
        <v/>
      </c>
      <c r="L654" s="4">
        <f>H654*D654</f>
        <v/>
      </c>
      <c r="M654" s="4">
        <f>L654*K654</f>
        <v/>
      </c>
      <c r="N654" s="4">
        <f>SUMIF(Материалы!$A$4:$A$800,SUBSTITUTE(SUBSTITUTE(SUBSTITUTE(B654,"~","~~"),"*","~*"),"?","~?"),Материалы!$S$4:$S$800)</f>
        <v/>
      </c>
      <c r="O654" s="4">
        <f>L654+M654+N654</f>
        <v/>
      </c>
      <c r="P654" s="4">
        <f>IF(SUM($O$4:$O$672)=0,0,Косвенные!$C$9*O654/SUM($O$4:$O$672))</f>
        <v/>
      </c>
      <c r="Q654" s="4">
        <f>G654*D654+P654</f>
        <v/>
      </c>
      <c r="R654" s="4">
        <f>IF(D654=0,0,Q654/D654)</f>
        <v/>
      </c>
      <c r="S654" s="4">
        <f>IF(D654=0,0,SUMIF(Материалы!$A$4:$A$800,SUBSTITUTE(SUBSTITUTE(SUBSTITUTE(B654,"~","~~"),"*","~*"),"?","~?"),Материалы!$T$4:$T$800)/D654)</f>
        <v/>
      </c>
      <c r="T654" s="4">
        <f>R654+S654</f>
        <v/>
      </c>
      <c r="U654" s="4">
        <f>I654*D654</f>
        <v/>
      </c>
    </row>
    <row r="655" ht="22" customHeight="1">
      <c r="A655" s="9" t="inlineStr"/>
      <c r="B655" s="13" t="inlineStr">
        <is>
          <t>653. ФЭС-18 внутренний угол стыка сэндвич-панелей размеры по месту</t>
        </is>
      </c>
      <c r="C655" s="9" t="inlineStr">
        <is>
          <t>м.п.</t>
        </is>
      </c>
      <c r="D655" s="4">
        <f>IF('Форма'!G653="","",'Форма'!G653)</f>
        <v/>
      </c>
      <c r="E655" s="9" t="inlineStr">
        <is>
          <t>аналог (6.2.5)</t>
        </is>
      </c>
      <c r="F655" s="9" t="inlineStr">
        <is>
          <t>KRO</t>
        </is>
      </c>
      <c r="G655" s="10" t="n">
        <v>362</v>
      </c>
      <c r="H655" s="10" t="n">
        <v>190</v>
      </c>
      <c r="I655" s="10" t="n">
        <v>0.2</v>
      </c>
      <c r="J655" s="9" t="inlineStr"/>
      <c r="K655" s="7">
        <f>IF(F655="",0,IFERROR(VLOOKUP(F655,Расходники!$A$4:$B$23,2,FALSE),0))</f>
        <v/>
      </c>
      <c r="L655" s="4">
        <f>H655*D655</f>
        <v/>
      </c>
      <c r="M655" s="4">
        <f>L655*K655</f>
        <v/>
      </c>
      <c r="N655" s="4">
        <f>SUMIF(Материалы!$A$4:$A$800,SUBSTITUTE(SUBSTITUTE(SUBSTITUTE(B655,"~","~~"),"*","~*"),"?","~?"),Материалы!$S$4:$S$800)</f>
        <v/>
      </c>
      <c r="O655" s="4">
        <f>L655+M655+N655</f>
        <v/>
      </c>
      <c r="P655" s="4">
        <f>IF(SUM($O$4:$O$672)=0,0,Косвенные!$C$9*O655/SUM($O$4:$O$672))</f>
        <v/>
      </c>
      <c r="Q655" s="4">
        <f>G655*D655+P655</f>
        <v/>
      </c>
      <c r="R655" s="4">
        <f>IF(D655=0,0,Q655/D655)</f>
        <v/>
      </c>
      <c r="S655" s="4">
        <f>IF(D655=0,0,SUMIF(Материалы!$A$4:$A$800,SUBSTITUTE(SUBSTITUTE(SUBSTITUTE(B655,"~","~~"),"*","~*"),"?","~?"),Материалы!$T$4:$T$800)/D655)</f>
        <v/>
      </c>
      <c r="T655" s="4">
        <f>R655+S655</f>
        <v/>
      </c>
      <c r="U655" s="4">
        <f>I655*D655</f>
        <v/>
      </c>
    </row>
    <row r="656" ht="22" customHeight="1">
      <c r="A656" s="9" t="inlineStr"/>
      <c r="B656" s="13" t="inlineStr">
        <is>
          <t>654. ФЭС-22 нащельник торцевого среза сэндвич-панели размеры по месту</t>
        </is>
      </c>
      <c r="C656" s="9" t="inlineStr">
        <is>
          <t>м.п.</t>
        </is>
      </c>
      <c r="D656" s="4">
        <f>IF('Форма'!G654="","",'Форма'!G654)</f>
        <v/>
      </c>
      <c r="E656" s="9" t="inlineStr">
        <is>
          <t>аналог (6.2.5)</t>
        </is>
      </c>
      <c r="F656" s="9" t="inlineStr">
        <is>
          <t>KRO</t>
        </is>
      </c>
      <c r="G656" s="10" t="n">
        <v>362</v>
      </c>
      <c r="H656" s="10" t="n">
        <v>190</v>
      </c>
      <c r="I656" s="10" t="n">
        <v>0.2</v>
      </c>
      <c r="J656" s="9" t="inlineStr"/>
      <c r="K656" s="7">
        <f>IF(F656="",0,IFERROR(VLOOKUP(F656,Расходники!$A$4:$B$23,2,FALSE),0))</f>
        <v/>
      </c>
      <c r="L656" s="4">
        <f>H656*D656</f>
        <v/>
      </c>
      <c r="M656" s="4">
        <f>L656*K656</f>
        <v/>
      </c>
      <c r="N656" s="4">
        <f>SUMIF(Материалы!$A$4:$A$800,SUBSTITUTE(SUBSTITUTE(SUBSTITUTE(B656,"~","~~"),"*","~*"),"?","~?"),Материалы!$S$4:$S$800)</f>
        <v/>
      </c>
      <c r="O656" s="4">
        <f>L656+M656+N656</f>
        <v/>
      </c>
      <c r="P656" s="4">
        <f>IF(SUM($O$4:$O$672)=0,0,Косвенные!$C$9*O656/SUM($O$4:$O$672))</f>
        <v/>
      </c>
      <c r="Q656" s="4">
        <f>G656*D656+P656</f>
        <v/>
      </c>
      <c r="R656" s="4">
        <f>IF(D656=0,0,Q656/D656)</f>
        <v/>
      </c>
      <c r="S656" s="4">
        <f>IF(D656=0,0,SUMIF(Материалы!$A$4:$A$800,SUBSTITUTE(SUBSTITUTE(SUBSTITUTE(B656,"~","~~"),"*","~*"),"?","~?"),Материалы!$T$4:$T$800)/D656)</f>
        <v/>
      </c>
      <c r="T656" s="4">
        <f>R656+S656</f>
        <v/>
      </c>
      <c r="U656" s="4">
        <f>I656*D656</f>
        <v/>
      </c>
    </row>
    <row r="657" ht="22" customHeight="1">
      <c r="A657" s="9" t="inlineStr"/>
      <c r="B657" s="13" t="inlineStr">
        <is>
          <t>655. ФЭС-29 профиль обрамления ворот размеры по месту</t>
        </is>
      </c>
      <c r="C657" s="9" t="inlineStr">
        <is>
          <t>м.п.</t>
        </is>
      </c>
      <c r="D657" s="4">
        <f>IF('Форма'!G655="","",'Форма'!G655)</f>
        <v/>
      </c>
      <c r="E657" s="9" t="inlineStr">
        <is>
          <t>аналог (6.2.5)</t>
        </is>
      </c>
      <c r="F657" s="9" t="inlineStr">
        <is>
          <t>KRO</t>
        </is>
      </c>
      <c r="G657" s="10" t="n">
        <v>362</v>
      </c>
      <c r="H657" s="10" t="n">
        <v>190</v>
      </c>
      <c r="I657" s="10" t="n">
        <v>0.2</v>
      </c>
      <c r="J657" s="9" t="inlineStr"/>
      <c r="K657" s="7">
        <f>IF(F657="",0,IFERROR(VLOOKUP(F657,Расходники!$A$4:$B$23,2,FALSE),0))</f>
        <v/>
      </c>
      <c r="L657" s="4">
        <f>H657*D657</f>
        <v/>
      </c>
      <c r="M657" s="4">
        <f>L657*K657</f>
        <v/>
      </c>
      <c r="N657" s="4">
        <f>SUMIF(Материалы!$A$4:$A$800,SUBSTITUTE(SUBSTITUTE(SUBSTITUTE(B657,"~","~~"),"*","~*"),"?","~?"),Материалы!$S$4:$S$800)</f>
        <v/>
      </c>
      <c r="O657" s="4">
        <f>L657+M657+N657</f>
        <v/>
      </c>
      <c r="P657" s="4">
        <f>IF(SUM($O$4:$O$672)=0,0,Косвенные!$C$9*O657/SUM($O$4:$O$672))</f>
        <v/>
      </c>
      <c r="Q657" s="4">
        <f>G657*D657+P657</f>
        <v/>
      </c>
      <c r="R657" s="4">
        <f>IF(D657=0,0,Q657/D657)</f>
        <v/>
      </c>
      <c r="S657" s="4">
        <f>IF(D657=0,0,SUMIF(Материалы!$A$4:$A$800,SUBSTITUTE(SUBSTITUTE(SUBSTITUTE(B657,"~","~~"),"*","~*"),"?","~?"),Материалы!$T$4:$T$800)/D657)</f>
        <v/>
      </c>
      <c r="T657" s="4">
        <f>R657+S657</f>
        <v/>
      </c>
      <c r="U657" s="4">
        <f>I657*D657</f>
        <v/>
      </c>
    </row>
    <row r="658" ht="22" customHeight="1">
      <c r="A658" s="9" t="inlineStr"/>
      <c r="B658" s="13" t="inlineStr">
        <is>
          <t>656. ФЭС-30 капельник над воротами размеры по месту</t>
        </is>
      </c>
      <c r="C658" s="9" t="inlineStr">
        <is>
          <t>м.п.</t>
        </is>
      </c>
      <c r="D658" s="4">
        <f>IF('Форма'!G656="","",'Форма'!G656)</f>
        <v/>
      </c>
      <c r="E658" s="9" t="inlineStr">
        <is>
          <t>аналог (6.2.5)</t>
        </is>
      </c>
      <c r="F658" s="9" t="inlineStr">
        <is>
          <t>KRO</t>
        </is>
      </c>
      <c r="G658" s="10" t="n">
        <v>362</v>
      </c>
      <c r="H658" s="10" t="n">
        <v>190</v>
      </c>
      <c r="I658" s="10" t="n">
        <v>0.2</v>
      </c>
      <c r="J658" s="9" t="inlineStr"/>
      <c r="K658" s="7">
        <f>IF(F658="",0,IFERROR(VLOOKUP(F658,Расходники!$A$4:$B$23,2,FALSE),0))</f>
        <v/>
      </c>
      <c r="L658" s="4">
        <f>H658*D658</f>
        <v/>
      </c>
      <c r="M658" s="4">
        <f>L658*K658</f>
        <v/>
      </c>
      <c r="N658" s="4">
        <f>SUMIF(Материалы!$A$4:$A$800,SUBSTITUTE(SUBSTITUTE(SUBSTITUTE(B658,"~","~~"),"*","~*"),"?","~?"),Материалы!$S$4:$S$800)</f>
        <v/>
      </c>
      <c r="O658" s="4">
        <f>L658+M658+N658</f>
        <v/>
      </c>
      <c r="P658" s="4">
        <f>IF(SUM($O$4:$O$672)=0,0,Косвенные!$C$9*O658/SUM($O$4:$O$672))</f>
        <v/>
      </c>
      <c r="Q658" s="4">
        <f>G658*D658+P658</f>
        <v/>
      </c>
      <c r="R658" s="4">
        <f>IF(D658=0,0,Q658/D658)</f>
        <v/>
      </c>
      <c r="S658" s="4">
        <f>IF(D658=0,0,SUMIF(Материалы!$A$4:$A$800,SUBSTITUTE(SUBSTITUTE(SUBSTITUTE(B658,"~","~~"),"*","~*"),"?","~?"),Материалы!$T$4:$T$800)/D658)</f>
        <v/>
      </c>
      <c r="T658" s="4">
        <f>R658+S658</f>
        <v/>
      </c>
      <c r="U658" s="4">
        <f>I658*D658</f>
        <v/>
      </c>
    </row>
    <row r="659" ht="22" customHeight="1">
      <c r="A659" s="9" t="inlineStr"/>
      <c r="B659" s="13" t="inlineStr">
        <is>
          <t>657. ФЭС-31 наличник обрамления ворот размеры по месту</t>
        </is>
      </c>
      <c r="C659" s="9" t="inlineStr">
        <is>
          <t>м.п.</t>
        </is>
      </c>
      <c r="D659" s="4">
        <f>IF('Форма'!G657="","",'Форма'!G657)</f>
        <v/>
      </c>
      <c r="E659" s="9" t="inlineStr">
        <is>
          <t>аналог (12.7.N5)</t>
        </is>
      </c>
      <c r="F659" s="9" t="inlineStr">
        <is>
          <t>DVR</t>
        </is>
      </c>
      <c r="G659" s="10" t="n">
        <v>570</v>
      </c>
      <c r="H659" s="10" t="n">
        <v>285</v>
      </c>
      <c r="I659" s="10" t="n">
        <v>0.3</v>
      </c>
      <c r="J659" s="9" t="inlineStr"/>
      <c r="K659" s="7">
        <f>IF(F659="",0,IFERROR(VLOOKUP(F659,Расходники!$A$4:$B$23,2,FALSE),0))</f>
        <v/>
      </c>
      <c r="L659" s="4">
        <f>H659*D659</f>
        <v/>
      </c>
      <c r="M659" s="4">
        <f>L659*K659</f>
        <v/>
      </c>
      <c r="N659" s="4">
        <f>SUMIF(Материалы!$A$4:$A$800,SUBSTITUTE(SUBSTITUTE(SUBSTITUTE(B659,"~","~~"),"*","~*"),"?","~?"),Материалы!$S$4:$S$800)</f>
        <v/>
      </c>
      <c r="O659" s="4">
        <f>L659+M659+N659</f>
        <v/>
      </c>
      <c r="P659" s="4">
        <f>IF(SUM($O$4:$O$672)=0,0,Косвенные!$C$9*O659/SUM($O$4:$O$672))</f>
        <v/>
      </c>
      <c r="Q659" s="4">
        <f>G659*D659+P659</f>
        <v/>
      </c>
      <c r="R659" s="4">
        <f>IF(D659=0,0,Q659/D659)</f>
        <v/>
      </c>
      <c r="S659" s="4">
        <f>IF(D659=0,0,SUMIF(Материалы!$A$4:$A$800,SUBSTITUTE(SUBSTITUTE(SUBSTITUTE(B659,"~","~~"),"*","~*"),"?","~?"),Материалы!$T$4:$T$800)/D659)</f>
        <v/>
      </c>
      <c r="T659" s="4">
        <f>R659+S659</f>
        <v/>
      </c>
      <c r="U659" s="4">
        <f>I659*D659</f>
        <v/>
      </c>
    </row>
    <row r="660" ht="22" customHeight="1">
      <c r="A660" s="9" t="inlineStr"/>
      <c r="B660" s="13" t="inlineStr">
        <is>
          <t>658. ФЭС-32 маска проема ворот размеры по месту</t>
        </is>
      </c>
      <c r="C660" s="9" t="inlineStr">
        <is>
          <t>м.п.</t>
        </is>
      </c>
      <c r="D660" s="4">
        <f>IF('Форма'!G658="","",'Форма'!G658)</f>
        <v/>
      </c>
      <c r="E660" s="9" t="inlineStr">
        <is>
          <t>аналог (6.2.5)</t>
        </is>
      </c>
      <c r="F660" s="9" t="inlineStr">
        <is>
          <t>KRO</t>
        </is>
      </c>
      <c r="G660" s="10" t="n">
        <v>362</v>
      </c>
      <c r="H660" s="10" t="n">
        <v>190</v>
      </c>
      <c r="I660" s="10" t="n">
        <v>0.2</v>
      </c>
      <c r="J660" s="9" t="inlineStr"/>
      <c r="K660" s="7">
        <f>IF(F660="",0,IFERROR(VLOOKUP(F660,Расходники!$A$4:$B$23,2,FALSE),0))</f>
        <v/>
      </c>
      <c r="L660" s="4">
        <f>H660*D660</f>
        <v/>
      </c>
      <c r="M660" s="4">
        <f>L660*K660</f>
        <v/>
      </c>
      <c r="N660" s="4">
        <f>SUMIF(Материалы!$A$4:$A$800,SUBSTITUTE(SUBSTITUTE(SUBSTITUTE(B660,"~","~~"),"*","~*"),"?","~?"),Материалы!$S$4:$S$800)</f>
        <v/>
      </c>
      <c r="O660" s="4">
        <f>L660+M660+N660</f>
        <v/>
      </c>
      <c r="P660" s="4">
        <f>IF(SUM($O$4:$O$672)=0,0,Косвенные!$C$9*O660/SUM($O$4:$O$672))</f>
        <v/>
      </c>
      <c r="Q660" s="4">
        <f>G660*D660+P660</f>
        <v/>
      </c>
      <c r="R660" s="4">
        <f>IF(D660=0,0,Q660/D660)</f>
        <v/>
      </c>
      <c r="S660" s="4">
        <f>IF(D660=0,0,SUMIF(Материалы!$A$4:$A$800,SUBSTITUTE(SUBSTITUTE(SUBSTITUTE(B660,"~","~~"),"*","~*"),"?","~?"),Материалы!$T$4:$T$800)/D660)</f>
        <v/>
      </c>
      <c r="T660" s="4">
        <f>R660+S660</f>
        <v/>
      </c>
      <c r="U660" s="4">
        <f>I660*D660</f>
        <v/>
      </c>
    </row>
    <row r="661" ht="22" customHeight="1">
      <c r="A661" s="9" t="inlineStr"/>
      <c r="B661" s="13" t="inlineStr">
        <is>
          <t>659. ФЭС-33 нащельник обрамления ворот размеры по месту</t>
        </is>
      </c>
      <c r="C661" s="9" t="inlineStr">
        <is>
          <t>м.п.</t>
        </is>
      </c>
      <c r="D661" s="4">
        <f>IF('Форма'!G659="","",'Форма'!G659)</f>
        <v/>
      </c>
      <c r="E661" s="9" t="inlineStr">
        <is>
          <t>аналог (6.2.5)</t>
        </is>
      </c>
      <c r="F661" s="9" t="inlineStr">
        <is>
          <t>KRO</t>
        </is>
      </c>
      <c r="G661" s="10" t="n">
        <v>362</v>
      </c>
      <c r="H661" s="10" t="n">
        <v>190</v>
      </c>
      <c r="I661" s="10" t="n">
        <v>0.2</v>
      </c>
      <c r="J661" s="9" t="inlineStr"/>
      <c r="K661" s="7">
        <f>IF(F661="",0,IFERROR(VLOOKUP(F661,Расходники!$A$4:$B$23,2,FALSE),0))</f>
        <v/>
      </c>
      <c r="L661" s="4">
        <f>H661*D661</f>
        <v/>
      </c>
      <c r="M661" s="4">
        <f>L661*K661</f>
        <v/>
      </c>
      <c r="N661" s="4">
        <f>SUMIF(Материалы!$A$4:$A$800,SUBSTITUTE(SUBSTITUTE(SUBSTITUTE(B661,"~","~~"),"*","~*"),"?","~?"),Материалы!$S$4:$S$800)</f>
        <v/>
      </c>
      <c r="O661" s="4">
        <f>L661+M661+N661</f>
        <v/>
      </c>
      <c r="P661" s="4">
        <f>IF(SUM($O$4:$O$672)=0,0,Косвенные!$C$9*O661/SUM($O$4:$O$672))</f>
        <v/>
      </c>
      <c r="Q661" s="4">
        <f>G661*D661+P661</f>
        <v/>
      </c>
      <c r="R661" s="4">
        <f>IF(D661=0,0,Q661/D661)</f>
        <v/>
      </c>
      <c r="S661" s="4">
        <f>IF(D661=0,0,SUMIF(Материалы!$A$4:$A$800,SUBSTITUTE(SUBSTITUTE(SUBSTITUTE(B661,"~","~~"),"*","~*"),"?","~?"),Материалы!$T$4:$T$800)/D661)</f>
        <v/>
      </c>
      <c r="T661" s="4">
        <f>R661+S661</f>
        <v/>
      </c>
      <c r="U661" s="4">
        <f>I661*D661</f>
        <v/>
      </c>
    </row>
    <row r="662" ht="22" customHeight="1">
      <c r="A662" s="9" t="inlineStr"/>
      <c r="B662" s="13" t="inlineStr">
        <is>
          <t>660. ФЭС-34 верхний отлив для ворот размеры по месту</t>
        </is>
      </c>
      <c r="C662" s="9" t="inlineStr">
        <is>
          <t>м.п.</t>
        </is>
      </c>
      <c r="D662" s="4">
        <f>IF('Форма'!G660="","",'Форма'!G660)</f>
        <v/>
      </c>
      <c r="E662" s="9" t="inlineStr">
        <is>
          <t>аналог (6.2.5)</t>
        </is>
      </c>
      <c r="F662" s="9" t="inlineStr">
        <is>
          <t>KRO</t>
        </is>
      </c>
      <c r="G662" s="10" t="n">
        <v>362</v>
      </c>
      <c r="H662" s="10" t="n">
        <v>190</v>
      </c>
      <c r="I662" s="10" t="n">
        <v>0.2</v>
      </c>
      <c r="J662" s="9" t="inlineStr"/>
      <c r="K662" s="7">
        <f>IF(F662="",0,IFERROR(VLOOKUP(F662,Расходники!$A$4:$B$23,2,FALSE),0))</f>
        <v/>
      </c>
      <c r="L662" s="4">
        <f>H662*D662</f>
        <v/>
      </c>
      <c r="M662" s="4">
        <f>L662*K662</f>
        <v/>
      </c>
      <c r="N662" s="4">
        <f>SUMIF(Материалы!$A$4:$A$800,SUBSTITUTE(SUBSTITUTE(SUBSTITUTE(B662,"~","~~"),"*","~*"),"?","~?"),Материалы!$S$4:$S$800)</f>
        <v/>
      </c>
      <c r="O662" s="4">
        <f>L662+M662+N662</f>
        <v/>
      </c>
      <c r="P662" s="4">
        <f>IF(SUM($O$4:$O$672)=0,0,Косвенные!$C$9*O662/SUM($O$4:$O$672))</f>
        <v/>
      </c>
      <c r="Q662" s="4">
        <f>G662*D662+P662</f>
        <v/>
      </c>
      <c r="R662" s="4">
        <f>IF(D662=0,0,Q662/D662)</f>
        <v/>
      </c>
      <c r="S662" s="4">
        <f>IF(D662=0,0,SUMIF(Материалы!$A$4:$A$800,SUBSTITUTE(SUBSTITUTE(SUBSTITUTE(B662,"~","~~"),"*","~*"),"?","~?"),Материалы!$T$4:$T$800)/D662)</f>
        <v/>
      </c>
      <c r="T662" s="4">
        <f>R662+S662</f>
        <v/>
      </c>
      <c r="U662" s="4">
        <f>I662*D662</f>
        <v/>
      </c>
    </row>
    <row r="663" ht="22" customHeight="1">
      <c r="A663" s="9" t="inlineStr"/>
      <c r="B663" s="13" t="inlineStr">
        <is>
          <t>661. ФЭК-1 парапетная крышка размеры по месту</t>
        </is>
      </c>
      <c r="C663" s="9" t="inlineStr">
        <is>
          <t>м.п.</t>
        </is>
      </c>
      <c r="D663" s="4">
        <f>IF('Форма'!G661="","",'Форма'!G661)</f>
        <v/>
      </c>
      <c r="E663" s="9" t="inlineStr">
        <is>
          <t>аналог (6.2.5)</t>
        </is>
      </c>
      <c r="F663" s="9" t="inlineStr">
        <is>
          <t>KRO</t>
        </is>
      </c>
      <c r="G663" s="10" t="n">
        <v>362</v>
      </c>
      <c r="H663" s="10" t="n">
        <v>190</v>
      </c>
      <c r="I663" s="10" t="n">
        <v>0.2</v>
      </c>
      <c r="J663" s="9" t="inlineStr"/>
      <c r="K663" s="7">
        <f>IF(F663="",0,IFERROR(VLOOKUP(F663,Расходники!$A$4:$B$23,2,FALSE),0))</f>
        <v/>
      </c>
      <c r="L663" s="4">
        <f>H663*D663</f>
        <v/>
      </c>
      <c r="M663" s="4">
        <f>L663*K663</f>
        <v/>
      </c>
      <c r="N663" s="4">
        <f>SUMIF(Материалы!$A$4:$A$800,SUBSTITUTE(SUBSTITUTE(SUBSTITUTE(B663,"~","~~"),"*","~*"),"?","~?"),Материалы!$S$4:$S$800)</f>
        <v/>
      </c>
      <c r="O663" s="4">
        <f>L663+M663+N663</f>
        <v/>
      </c>
      <c r="P663" s="4">
        <f>IF(SUM($O$4:$O$672)=0,0,Косвенные!$C$9*O663/SUM($O$4:$O$672))</f>
        <v/>
      </c>
      <c r="Q663" s="4">
        <f>G663*D663+P663</f>
        <v/>
      </c>
      <c r="R663" s="4">
        <f>IF(D663=0,0,Q663/D663)</f>
        <v/>
      </c>
      <c r="S663" s="4">
        <f>IF(D663=0,0,SUMIF(Материалы!$A$4:$A$800,SUBSTITUTE(SUBSTITUTE(SUBSTITUTE(B663,"~","~~"),"*","~*"),"?","~?"),Материалы!$T$4:$T$800)/D663)</f>
        <v/>
      </c>
      <c r="T663" s="4">
        <f>R663+S663</f>
        <v/>
      </c>
      <c r="U663" s="4">
        <f>I663*D663</f>
        <v/>
      </c>
    </row>
    <row r="664" ht="22" customHeight="1">
      <c r="A664" s="9" t="inlineStr"/>
      <c r="B664" s="13" t="inlineStr">
        <is>
          <t>662. ФЭК-2 парапетная крышка размеры по месту</t>
        </is>
      </c>
      <c r="C664" s="9" t="inlineStr">
        <is>
          <t>м.п.</t>
        </is>
      </c>
      <c r="D664" s="4">
        <f>IF('Форма'!G662="","",'Форма'!G662)</f>
        <v/>
      </c>
      <c r="E664" s="9" t="inlineStr">
        <is>
          <t>аналог (6.2.5)</t>
        </is>
      </c>
      <c r="F664" s="9" t="inlineStr">
        <is>
          <t>KRO</t>
        </is>
      </c>
      <c r="G664" s="10" t="n">
        <v>362</v>
      </c>
      <c r="H664" s="10" t="n">
        <v>190</v>
      </c>
      <c r="I664" s="10" t="n">
        <v>0.2</v>
      </c>
      <c r="J664" s="9" t="inlineStr"/>
      <c r="K664" s="7">
        <f>IF(F664="",0,IFERROR(VLOOKUP(F664,Расходники!$A$4:$B$23,2,FALSE),0))</f>
        <v/>
      </c>
      <c r="L664" s="4">
        <f>H664*D664</f>
        <v/>
      </c>
      <c r="M664" s="4">
        <f>L664*K664</f>
        <v/>
      </c>
      <c r="N664" s="4">
        <f>SUMIF(Материалы!$A$4:$A$800,SUBSTITUTE(SUBSTITUTE(SUBSTITUTE(B664,"~","~~"),"*","~*"),"?","~?"),Материалы!$S$4:$S$800)</f>
        <v/>
      </c>
      <c r="O664" s="4">
        <f>L664+M664+N664</f>
        <v/>
      </c>
      <c r="P664" s="4">
        <f>IF(SUM($O$4:$O$672)=0,0,Косвенные!$C$9*O664/SUM($O$4:$O$672))</f>
        <v/>
      </c>
      <c r="Q664" s="4">
        <f>G664*D664+P664</f>
        <v/>
      </c>
      <c r="R664" s="4">
        <f>IF(D664=0,0,Q664/D664)</f>
        <v/>
      </c>
      <c r="S664" s="4">
        <f>IF(D664=0,0,SUMIF(Материалы!$A$4:$A$800,SUBSTITUTE(SUBSTITUTE(SUBSTITUTE(B664,"~","~~"),"*","~*"),"?","~?"),Материалы!$T$4:$T$800)/D664)</f>
        <v/>
      </c>
      <c r="T664" s="4">
        <f>R664+S664</f>
        <v/>
      </c>
      <c r="U664" s="4">
        <f>I664*D664</f>
        <v/>
      </c>
    </row>
    <row r="665" ht="22" customHeight="1">
      <c r="A665" s="9" t="inlineStr"/>
      <c r="B665" s="13" t="inlineStr">
        <is>
          <t>663. ФЭК-3 планка примыкания парапета размеры по месту</t>
        </is>
      </c>
      <c r="C665" s="9" t="inlineStr">
        <is>
          <t>м.п.</t>
        </is>
      </c>
      <c r="D665" s="4">
        <f>IF('Форма'!G663="","",'Форма'!G663)</f>
        <v/>
      </c>
      <c r="E665" s="9" t="inlineStr">
        <is>
          <t>аналог (6.2.5)</t>
        </is>
      </c>
      <c r="F665" s="9" t="inlineStr">
        <is>
          <t>KRO</t>
        </is>
      </c>
      <c r="G665" s="10" t="n">
        <v>452.5</v>
      </c>
      <c r="H665" s="10" t="n">
        <v>237.5</v>
      </c>
      <c r="I665" s="10" t="n">
        <v>0.25</v>
      </c>
      <c r="J665" s="9" t="inlineStr"/>
      <c r="K665" s="7">
        <f>IF(F665="",0,IFERROR(VLOOKUP(F665,Расходники!$A$4:$B$23,2,FALSE),0))</f>
        <v/>
      </c>
      <c r="L665" s="4">
        <f>H665*D665</f>
        <v/>
      </c>
      <c r="M665" s="4">
        <f>L665*K665</f>
        <v/>
      </c>
      <c r="N665" s="4">
        <f>SUMIF(Материалы!$A$4:$A$800,SUBSTITUTE(SUBSTITUTE(SUBSTITUTE(B665,"~","~~"),"*","~*"),"?","~?"),Материалы!$S$4:$S$800)</f>
        <v/>
      </c>
      <c r="O665" s="4">
        <f>L665+M665+N665</f>
        <v/>
      </c>
      <c r="P665" s="4">
        <f>IF(SUM($O$4:$O$672)=0,0,Косвенные!$C$9*O665/SUM($O$4:$O$672))</f>
        <v/>
      </c>
      <c r="Q665" s="4">
        <f>G665*D665+P665</f>
        <v/>
      </c>
      <c r="R665" s="4">
        <f>IF(D665=0,0,Q665/D665)</f>
        <v/>
      </c>
      <c r="S665" s="4">
        <f>IF(D665=0,0,SUMIF(Материалы!$A$4:$A$800,SUBSTITUTE(SUBSTITUTE(SUBSTITUTE(B665,"~","~~"),"*","~*"),"?","~?"),Материалы!$T$4:$T$800)/D665)</f>
        <v/>
      </c>
      <c r="T665" s="4">
        <f>R665+S665</f>
        <v/>
      </c>
      <c r="U665" s="4">
        <f>I665*D665</f>
        <v/>
      </c>
    </row>
    <row r="666" ht="22" customHeight="1">
      <c r="A666" s="9" t="inlineStr"/>
      <c r="B666" s="13" t="inlineStr">
        <is>
          <t>664. ФЭК-4 планка примыкания парапета размеры по месту</t>
        </is>
      </c>
      <c r="C666" s="9" t="inlineStr">
        <is>
          <t>м.п.</t>
        </is>
      </c>
      <c r="D666" s="4">
        <f>IF('Форма'!G664="","",'Форма'!G664)</f>
        <v/>
      </c>
      <c r="E666" s="9" t="inlineStr">
        <is>
          <t>аналог (6.2.5)</t>
        </is>
      </c>
      <c r="F666" s="9" t="inlineStr">
        <is>
          <t>KRO</t>
        </is>
      </c>
      <c r="G666" s="10" t="n">
        <v>452.5</v>
      </c>
      <c r="H666" s="10" t="n">
        <v>237.5</v>
      </c>
      <c r="I666" s="10" t="n">
        <v>0.25</v>
      </c>
      <c r="J666" s="9" t="inlineStr"/>
      <c r="K666" s="7">
        <f>IF(F666="",0,IFERROR(VLOOKUP(F666,Расходники!$A$4:$B$23,2,FALSE),0))</f>
        <v/>
      </c>
      <c r="L666" s="4">
        <f>H666*D666</f>
        <v/>
      </c>
      <c r="M666" s="4">
        <f>L666*K666</f>
        <v/>
      </c>
      <c r="N666" s="4">
        <f>SUMIF(Материалы!$A$4:$A$800,SUBSTITUTE(SUBSTITUTE(SUBSTITUTE(B666,"~","~~"),"*","~*"),"?","~?"),Материалы!$S$4:$S$800)</f>
        <v/>
      </c>
      <c r="O666" s="4">
        <f>L666+M666+N666</f>
        <v/>
      </c>
      <c r="P666" s="4">
        <f>IF(SUM($O$4:$O$672)=0,0,Косвенные!$C$9*O666/SUM($O$4:$O$672))</f>
        <v/>
      </c>
      <c r="Q666" s="4">
        <f>G666*D666+P666</f>
        <v/>
      </c>
      <c r="R666" s="4">
        <f>IF(D666=0,0,Q666/D666)</f>
        <v/>
      </c>
      <c r="S666" s="4">
        <f>IF(D666=0,0,SUMIF(Материалы!$A$4:$A$800,SUBSTITUTE(SUBSTITUTE(SUBSTITUTE(B666,"~","~~"),"*","~*"),"?","~?"),Материалы!$T$4:$T$800)/D666)</f>
        <v/>
      </c>
      <c r="T666" s="4">
        <f>R666+S666</f>
        <v/>
      </c>
      <c r="U666" s="4">
        <f>I666*D666</f>
        <v/>
      </c>
    </row>
    <row r="667" ht="22" customHeight="1">
      <c r="A667" s="9" t="inlineStr"/>
      <c r="B667" s="13" t="inlineStr">
        <is>
          <t>665. ФЭК-6 примыкание к парапету поперечное размеры по месту</t>
        </is>
      </c>
      <c r="C667" s="9" t="inlineStr">
        <is>
          <t>м.п.</t>
        </is>
      </c>
      <c r="D667" s="4">
        <f>IF('Форма'!G665="","",'Форма'!G665)</f>
        <v/>
      </c>
      <c r="E667" s="9" t="inlineStr">
        <is>
          <t>аналог (6.2.5)</t>
        </is>
      </c>
      <c r="F667" s="9" t="inlineStr">
        <is>
          <t>KRO</t>
        </is>
      </c>
      <c r="G667" s="10" t="n">
        <v>362</v>
      </c>
      <c r="H667" s="10" t="n">
        <v>190</v>
      </c>
      <c r="I667" s="10" t="n">
        <v>0.2</v>
      </c>
      <c r="J667" s="9" t="inlineStr"/>
      <c r="K667" s="7">
        <f>IF(F667="",0,IFERROR(VLOOKUP(F667,Расходники!$A$4:$B$23,2,FALSE),0))</f>
        <v/>
      </c>
      <c r="L667" s="4">
        <f>H667*D667</f>
        <v/>
      </c>
      <c r="M667" s="4">
        <f>L667*K667</f>
        <v/>
      </c>
      <c r="N667" s="4">
        <f>SUMIF(Материалы!$A$4:$A$800,SUBSTITUTE(SUBSTITUTE(SUBSTITUTE(B667,"~","~~"),"*","~*"),"?","~?"),Материалы!$S$4:$S$800)</f>
        <v/>
      </c>
      <c r="O667" s="4">
        <f>L667+M667+N667</f>
        <v/>
      </c>
      <c r="P667" s="4">
        <f>IF(SUM($O$4:$O$672)=0,0,Косвенные!$C$9*O667/SUM($O$4:$O$672))</f>
        <v/>
      </c>
      <c r="Q667" s="4">
        <f>G667*D667+P667</f>
        <v/>
      </c>
      <c r="R667" s="4">
        <f>IF(D667=0,0,Q667/D667)</f>
        <v/>
      </c>
      <c r="S667" s="4">
        <f>IF(D667=0,0,SUMIF(Материалы!$A$4:$A$800,SUBSTITUTE(SUBSTITUTE(SUBSTITUTE(B667,"~","~~"),"*","~*"),"?","~?"),Материалы!$T$4:$T$800)/D667)</f>
        <v/>
      </c>
      <c r="T667" s="4">
        <f>R667+S667</f>
        <v/>
      </c>
      <c r="U667" s="4">
        <f>I667*D667</f>
        <v/>
      </c>
    </row>
    <row r="668" ht="22" customHeight="1">
      <c r="A668" s="9" t="inlineStr"/>
      <c r="B668" s="13" t="inlineStr">
        <is>
          <t>666. ФЭК-20 ветровая планка размеры по месту</t>
        </is>
      </c>
      <c r="C668" s="9" t="inlineStr">
        <is>
          <t>м.п.</t>
        </is>
      </c>
      <c r="D668" s="4">
        <f>IF('Форма'!G666="","",'Форма'!G666)</f>
        <v/>
      </c>
      <c r="E668" s="9" t="inlineStr">
        <is>
          <t>аналог (6.2.5)</t>
        </is>
      </c>
      <c r="F668" s="9" t="inlineStr">
        <is>
          <t>KRO</t>
        </is>
      </c>
      <c r="G668" s="10" t="n">
        <v>362</v>
      </c>
      <c r="H668" s="10" t="n">
        <v>190</v>
      </c>
      <c r="I668" s="10" t="n">
        <v>0.2</v>
      </c>
      <c r="J668" s="9" t="inlineStr"/>
      <c r="K668" s="7">
        <f>IF(F668="",0,IFERROR(VLOOKUP(F668,Расходники!$A$4:$B$23,2,FALSE),0))</f>
        <v/>
      </c>
      <c r="L668" s="4">
        <f>H668*D668</f>
        <v/>
      </c>
      <c r="M668" s="4">
        <f>L668*K668</f>
        <v/>
      </c>
      <c r="N668" s="4">
        <f>SUMIF(Материалы!$A$4:$A$800,SUBSTITUTE(SUBSTITUTE(SUBSTITUTE(B668,"~","~~"),"*","~*"),"?","~?"),Материалы!$S$4:$S$800)</f>
        <v/>
      </c>
      <c r="O668" s="4">
        <f>L668+M668+N668</f>
        <v/>
      </c>
      <c r="P668" s="4">
        <f>IF(SUM($O$4:$O$672)=0,0,Косвенные!$C$9*O668/SUM($O$4:$O$672))</f>
        <v/>
      </c>
      <c r="Q668" s="4">
        <f>G668*D668+P668</f>
        <v/>
      </c>
      <c r="R668" s="4">
        <f>IF(D668=0,0,Q668/D668)</f>
        <v/>
      </c>
      <c r="S668" s="4">
        <f>IF(D668=0,0,SUMIF(Материалы!$A$4:$A$800,SUBSTITUTE(SUBSTITUTE(SUBSTITUTE(B668,"~","~~"),"*","~*"),"?","~?"),Материалы!$T$4:$T$800)/D668)</f>
        <v/>
      </c>
      <c r="T668" s="4">
        <f>R668+S668</f>
        <v/>
      </c>
      <c r="U668" s="4">
        <f>I668*D668</f>
        <v/>
      </c>
    </row>
    <row r="669" ht="22" customHeight="1">
      <c r="A669" s="9" t="inlineStr"/>
      <c r="B669" s="13" t="inlineStr">
        <is>
          <t>667. Уплотнительная лента ППЭ 3/30 20м.п</t>
        </is>
      </c>
      <c r="C669" s="9" t="inlineStr">
        <is>
          <t>комплект</t>
        </is>
      </c>
      <c r="D669" s="4">
        <f>IF('Форма'!G667="","",'Форма'!G667)</f>
        <v/>
      </c>
      <c r="E669" s="9" t="inlineStr">
        <is>
          <t>нет в тарификаторе</t>
        </is>
      </c>
      <c r="F669" s="9" t="inlineStr">
        <is>
          <t>OTD</t>
        </is>
      </c>
      <c r="G669" s="10" t="n">
        <v>85.5</v>
      </c>
      <c r="H669" s="10" t="n">
        <v>45</v>
      </c>
      <c r="I669" s="10" t="n">
        <v>0.05</v>
      </c>
      <c r="J669" s="9" t="inlineStr"/>
      <c r="K669" s="7">
        <f>IF(F669="",0,IFERROR(VLOOKUP(F669,Расходники!$A$4:$B$23,2,FALSE),0))</f>
        <v/>
      </c>
      <c r="L669" s="4">
        <f>H669*D669</f>
        <v/>
      </c>
      <c r="M669" s="4">
        <f>L669*K669</f>
        <v/>
      </c>
      <c r="N669" s="4">
        <f>SUMIF(Материалы!$A$4:$A$800,SUBSTITUTE(SUBSTITUTE(SUBSTITUTE(B669,"~","~~"),"*","~*"),"?","~?"),Материалы!$S$4:$S$800)</f>
        <v/>
      </c>
      <c r="O669" s="4">
        <f>L669+M669+N669</f>
        <v/>
      </c>
      <c r="P669" s="4">
        <f>IF(SUM($O$4:$O$672)=0,0,Косвенные!$C$9*O669/SUM($O$4:$O$672))</f>
        <v/>
      </c>
      <c r="Q669" s="4">
        <f>G669*D669+P669</f>
        <v/>
      </c>
      <c r="R669" s="4">
        <f>IF(D669=0,0,Q669/D669)</f>
        <v/>
      </c>
      <c r="S669" s="4">
        <f>IF(D669=0,0,SUMIF(Материалы!$A$4:$A$800,SUBSTITUTE(SUBSTITUTE(SUBSTITUTE(B669,"~","~~"),"*","~*"),"?","~?"),Материалы!$T$4:$T$800)/D669)</f>
        <v/>
      </c>
      <c r="T669" s="4">
        <f>R669+S669</f>
        <v/>
      </c>
      <c r="U669" s="4">
        <f>I669*D669</f>
        <v/>
      </c>
    </row>
    <row r="670" ht="22" customHeight="1">
      <c r="A670" s="9" t="inlineStr"/>
      <c r="B670" s="13" t="inlineStr">
        <is>
          <t>668. Шлагбаум  Came  GARD  6500 или аналог включая монтажно-демонтажные работы и ПНР</t>
        </is>
      </c>
      <c r="C670" s="9" t="inlineStr">
        <is>
          <t>шт</t>
        </is>
      </c>
      <c r="D670" s="4">
        <f>IF('Форма'!G668="","",'Форма'!G668)</f>
        <v/>
      </c>
      <c r="E670" s="9" t="inlineStr">
        <is>
          <t>нет в тарификаторе</t>
        </is>
      </c>
      <c r="F670" s="9" t="inlineStr">
        <is>
          <t>VOR</t>
        </is>
      </c>
      <c r="G670" s="10" t="n">
        <v>25120</v>
      </c>
      <c r="H670" s="10" t="n">
        <v>11520</v>
      </c>
      <c r="I670" s="10" t="n">
        <v>8</v>
      </c>
      <c r="J670" s="9" t="inlineStr"/>
      <c r="K670" s="7">
        <f>IF(F670="",0,IFERROR(VLOOKUP(F670,Расходники!$A$4:$B$23,2,FALSE),0))</f>
        <v/>
      </c>
      <c r="L670" s="4">
        <f>H670*D670</f>
        <v/>
      </c>
      <c r="M670" s="4">
        <f>L670*K670</f>
        <v/>
      </c>
      <c r="N670" s="4">
        <f>SUMIF(Материалы!$A$4:$A$800,SUBSTITUTE(SUBSTITUTE(SUBSTITUTE(B670,"~","~~"),"*","~*"),"?","~?"),Материалы!$S$4:$S$800)</f>
        <v/>
      </c>
      <c r="O670" s="4">
        <f>L670+M670+N670</f>
        <v/>
      </c>
      <c r="P670" s="4">
        <f>IF(SUM($O$4:$O$672)=0,0,Косвенные!$C$9*O670/SUM($O$4:$O$672))</f>
        <v/>
      </c>
      <c r="Q670" s="4">
        <f>G670*D670+P670</f>
        <v/>
      </c>
      <c r="R670" s="4">
        <f>IF(D670=0,0,Q670/D670)</f>
        <v/>
      </c>
      <c r="S670" s="4">
        <f>IF(D670=0,0,SUMIF(Материалы!$A$4:$A$800,SUBSTITUTE(SUBSTITUTE(SUBSTITUTE(B670,"~","~~"),"*","~*"),"?","~?"),Материалы!$T$4:$T$800)/D670)</f>
        <v/>
      </c>
      <c r="T670" s="4">
        <f>R670+S670</f>
        <v/>
      </c>
      <c r="U670" s="4">
        <f>I670*D670</f>
        <v/>
      </c>
    </row>
    <row r="671" ht="22" customHeight="1">
      <c r="A671" s="9" t="inlineStr"/>
      <c r="B671" s="13" t="inlineStr">
        <is>
          <t>669. Перила для лестницы нержавейка комплект АЛЮТРЕЙД или аналог  включая монтаж и анкерное крепление</t>
        </is>
      </c>
      <c r="C671" s="9" t="inlineStr">
        <is>
          <t>м.п.</t>
        </is>
      </c>
      <c r="D671" s="4">
        <f>IF('Форма'!G669="","",'Форма'!G669)</f>
        <v/>
      </c>
      <c r="E671" s="9" t="inlineStr">
        <is>
          <t>аналог (5.1.10)</t>
        </is>
      </c>
      <c r="F671" s="9" t="inlineStr">
        <is>
          <t>SVA</t>
        </is>
      </c>
      <c r="G671" s="10" t="n">
        <v>1824</v>
      </c>
      <c r="H671" s="10" t="n">
        <v>864</v>
      </c>
      <c r="I671" s="10" t="n">
        <v>0.8</v>
      </c>
      <c r="J671" s="9" t="inlineStr"/>
      <c r="K671" s="7">
        <f>IF(F671="",0,IFERROR(VLOOKUP(F671,Расходники!$A$4:$B$23,2,FALSE),0))</f>
        <v/>
      </c>
      <c r="L671" s="4">
        <f>H671*D671</f>
        <v/>
      </c>
      <c r="M671" s="4">
        <f>L671*K671</f>
        <v/>
      </c>
      <c r="N671" s="4">
        <f>SUMIF(Материалы!$A$4:$A$800,SUBSTITUTE(SUBSTITUTE(SUBSTITUTE(B671,"~","~~"),"*","~*"),"?","~?"),Материалы!$S$4:$S$800)</f>
        <v/>
      </c>
      <c r="O671" s="4">
        <f>L671+M671+N671</f>
        <v/>
      </c>
      <c r="P671" s="4">
        <f>IF(SUM($O$4:$O$672)=0,0,Косвенные!$C$9*O671/SUM($O$4:$O$672))</f>
        <v/>
      </c>
      <c r="Q671" s="4">
        <f>G671*D671+P671</f>
        <v/>
      </c>
      <c r="R671" s="4">
        <f>IF(D671=0,0,Q671/D671)</f>
        <v/>
      </c>
      <c r="S671" s="4">
        <f>IF(D671=0,0,SUMIF(Материалы!$A$4:$A$800,SUBSTITUTE(SUBSTITUTE(SUBSTITUTE(B671,"~","~~"),"*","~*"),"?","~?"),Материалы!$T$4:$T$800)/D671)</f>
        <v/>
      </c>
      <c r="T671" s="4">
        <f>R671+S671</f>
        <v/>
      </c>
      <c r="U671" s="4">
        <f>I671*D671</f>
        <v/>
      </c>
    </row>
    <row r="672" ht="22" customHeight="1">
      <c r="A672" s="9" t="inlineStr">
        <is>
          <t>5.5.2</t>
        </is>
      </c>
      <c r="B672" s="13" t="inlineStr">
        <is>
          <t>670. Профнастил С-10 дляфасада RAL по месту</t>
        </is>
      </c>
      <c r="C672" s="9" t="inlineStr">
        <is>
          <t>м2</t>
        </is>
      </c>
      <c r="D672" s="4">
        <f>IF('Форма'!G670="","",'Форма'!G670)</f>
        <v/>
      </c>
      <c r="E672" s="9" t="inlineStr">
        <is>
          <t>аналог (5.5.2) по готовому каркасу</t>
        </is>
      </c>
      <c r="F672" s="9" t="inlineStr">
        <is>
          <t>FAS</t>
        </is>
      </c>
      <c r="G672" s="10" t="n">
        <v>600</v>
      </c>
      <c r="H672" s="10" t="n">
        <v>350</v>
      </c>
      <c r="I672" s="10" t="n">
        <v>0.3</v>
      </c>
      <c r="J672" s="9" t="inlineStr"/>
      <c r="K672" s="7">
        <f>IF(F672="",0,IFERROR(VLOOKUP(F672,Расходники!$A$4:$B$23,2,FALSE),0))</f>
        <v/>
      </c>
      <c r="L672" s="4">
        <f>H672*D672</f>
        <v/>
      </c>
      <c r="M672" s="4">
        <f>L672*K672</f>
        <v/>
      </c>
      <c r="N672" s="4">
        <f>SUMIF(Материалы!$A$4:$A$800,SUBSTITUTE(SUBSTITUTE(SUBSTITUTE(B672,"~","~~"),"*","~*"),"?","~?"),Материалы!$S$4:$S$800)</f>
        <v/>
      </c>
      <c r="O672" s="4">
        <f>L672+M672+N672</f>
        <v/>
      </c>
      <c r="P672" s="4">
        <f>IF(SUM($O$4:$O$672)=0,0,Косвенные!$C$9*O672/SUM($O$4:$O$672))</f>
        <v/>
      </c>
      <c r="Q672" s="4">
        <f>G672*D672+P672</f>
        <v/>
      </c>
      <c r="R672" s="4">
        <f>IF(D672=0,0,Q672/D672)</f>
        <v/>
      </c>
      <c r="S672" s="4">
        <f>IF(D672=0,0,SUMIF(Материалы!$A$4:$A$800,SUBSTITUTE(SUBSTITUTE(SUBSTITUTE(B672,"~","~~"),"*","~*"),"?","~?"),Материалы!$T$4:$T$800)/D672)</f>
        <v/>
      </c>
      <c r="T672" s="4">
        <f>R672+S672</f>
        <v/>
      </c>
      <c r="U672" s="4">
        <f>I672*D672</f>
        <v/>
      </c>
    </row>
  </sheetData>
  <autoFilter ref="A3:U3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V60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2" customWidth="1" min="3" max="3"/>
    <col width="8" customWidth="1" min="4" max="4"/>
    <col width="14" customWidth="1" min="5" max="5"/>
    <col width="12" customWidth="1" min="6" max="6"/>
    <col width="16" customWidth="1" min="7" max="7"/>
    <col width="16" customWidth="1" min="8" max="8"/>
    <col width="10" customWidth="1" min="9" max="9"/>
    <col width="10" customWidth="1" min="10" max="10"/>
    <col width="14" customWidth="1" min="11" max="11"/>
    <col width="16" customWidth="1" min="12" max="12"/>
    <col width="28" customWidth="1" min="13" max="13"/>
    <col width="12" customWidth="1" min="14" max="14"/>
    <col width="36" customWidth="1" min="15" max="15"/>
    <col width="16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</cols>
  <sheetData>
    <row r="1">
      <c r="A1" s="12" t="inlineStr">
        <is>
          <t>Материалы. Жёлтые — ввод. Кол-во = норма на единицу работы × объём этой работы.</t>
        </is>
      </c>
    </row>
    <row r="2"/>
    <row r="3" ht="32" customHeight="1">
      <c r="A3" s="2" t="inlineStr">
        <is>
          <t>К работе</t>
        </is>
      </c>
      <c r="B3" s="2" t="inlineStr">
        <is>
          <t>Материал</t>
        </is>
      </c>
      <c r="C3" s="2" t="inlineStr">
        <is>
          <t>Категория</t>
        </is>
      </c>
      <c r="D3" s="2" t="inlineStr">
        <is>
          <t>Ед.</t>
        </is>
      </c>
      <c r="E3" s="2" t="inlineStr">
        <is>
          <t>Норма на ед.</t>
        </is>
      </c>
      <c r="F3" s="2" t="inlineStr">
        <is>
          <t>Кол-во</t>
        </is>
      </c>
      <c r="G3" s="2" t="inlineStr">
        <is>
          <t>Цена источника</t>
        </is>
      </c>
      <c r="H3" s="2" t="inlineStr">
        <is>
          <t>НДС в цене (1/0)</t>
        </is>
      </c>
      <c r="I3" s="2" t="inlineStr">
        <is>
          <t>Отходы</t>
        </is>
      </c>
      <c r="J3" s="2" t="inlineStr">
        <is>
          <t>Наценка</t>
        </is>
      </c>
      <c r="K3" s="2" t="inlineStr">
        <is>
          <t>Розница с НДС</t>
        </is>
      </c>
      <c r="L3" s="2" t="inlineStr">
        <is>
          <t>Магазин</t>
        </is>
      </c>
      <c r="M3" s="2" t="inlineStr">
        <is>
          <t>Ссылка</t>
        </is>
      </c>
      <c r="N3" s="2" t="inlineStr">
        <is>
          <t>Дата</t>
        </is>
      </c>
      <c r="O3" s="2" t="inlineStr">
        <is>
          <t>Примечание</t>
        </is>
      </c>
      <c r="P3" s="2" t="inlineStr">
        <is>
          <t>Закупка б/НДС</t>
        </is>
      </c>
      <c r="Q3" s="2" t="inlineStr">
        <is>
          <t>С/с ед.</t>
        </is>
      </c>
      <c r="R3" s="2" t="inlineStr">
        <is>
          <t>Цена КП ед.</t>
        </is>
      </c>
      <c r="S3" s="2" t="inlineStr">
        <is>
          <t>С/с итого</t>
        </is>
      </c>
      <c r="T3" s="2" t="inlineStr">
        <is>
          <t>КП итого</t>
        </is>
      </c>
      <c r="U3" s="2" t="inlineStr">
        <is>
          <t>Выше розницы</t>
        </is>
      </c>
      <c r="V3" s="2" t="inlineStr">
        <is>
          <t>Закупка итого б/НДС</t>
        </is>
      </c>
    </row>
    <row r="4" ht="20" customHeight="1">
      <c r="A4" s="9" t="inlineStr">
        <is>
          <t>6. Восстановление шарниров: Замена осей крепления, шплинтов, втулок и очистка петель от загрязнений.</t>
        </is>
      </c>
      <c r="B4" s="13" t="inlineStr">
        <is>
          <t>Оси, втулки, шплинты доклевеллера, комплект</t>
        </is>
      </c>
      <c r="C4" s="9" t="inlineStr">
        <is>
          <t>Металлопрокат и метизы</t>
        </is>
      </c>
      <c r="D4" s="9" t="inlineStr">
        <is>
          <t>компл</t>
        </is>
      </c>
      <c r="E4" s="10" t="n">
        <v>1</v>
      </c>
      <c r="F4" s="4">
        <f>E4*IFERROR(INDEX(Работы!$D$4:$D$672,MATCH(SUBSTITUTE(SUBSTITUTE(SUBSTITUTE(A4,"~","~~"),"*","~*"),"?","~?"),Работы!$B$4:$B$672,0)),0)</f>
        <v/>
      </c>
      <c r="G4" s="10" t="n">
        <v>1800</v>
      </c>
      <c r="H4" s="14" t="n">
        <v>1</v>
      </c>
      <c r="I4" s="11" t="n">
        <v>0.05</v>
      </c>
      <c r="J4" s="11" t="n">
        <v>0.1</v>
      </c>
      <c r="K4" s="10" t="n"/>
      <c r="L4" s="9" t="inlineStr">
        <is>
          <t>оценка</t>
        </is>
      </c>
      <c r="M4" s="9" t="inlineStr"/>
      <c r="N4" s="9" t="inlineStr">
        <is>
          <t>2026-10-29</t>
        </is>
      </c>
      <c r="O4" s="13" t="inlineStr">
        <is>
          <t>оценка комплекта шарнира, запросить DoorHan В Петрович, Лемана ПРО и Сатурн открытой карточки нет, оставлен прежний источник.</t>
        </is>
      </c>
      <c r="P4" s="4">
        <f>IF(H4=1,G4/VAT_DIV,G4)</f>
        <v/>
      </c>
      <c r="Q4" s="4">
        <f>P4*(1+I4)*(1+DELIV)*(1+GROWTH+MONEY)</f>
        <v/>
      </c>
      <c r="R4" s="4">
        <f>IF(AND(K4&lt;&gt;"",Q4*(1+J4)&gt;K4/VAT_DIV),K4/VAT_DIV,Q4*(1+J4))</f>
        <v/>
      </c>
      <c r="S4" s="4">
        <f>Q4*F4</f>
        <v/>
      </c>
      <c r="T4" s="4">
        <f>R4*F4</f>
        <v/>
      </c>
      <c r="U4" s="3">
        <f>IF(AND(K4&lt;&gt;"",Q4*(1+J4)&gt;K4/VAT_DIV+0.01),"ДА","")</f>
        <v/>
      </c>
      <c r="V4" s="4">
        <f>P4*F4</f>
        <v/>
      </c>
    </row>
    <row r="5" ht="20" customHeight="1">
      <c r="A5" s="9" t="inlineStr">
        <is>
          <t>7. Сварочные работы, усиление или замена листов с противоскользящим покрытием.</t>
        </is>
      </c>
      <c r="B5" s="13" t="inlineStr">
        <is>
          <t>Лист рифлёный на аппарель, до 0,5 м2</t>
        </is>
      </c>
      <c r="C5" s="9" t="inlineStr">
        <is>
          <t>Металлопрокат и метизы</t>
        </is>
      </c>
      <c r="D5" s="9" t="inlineStr">
        <is>
          <t>кг</t>
        </is>
      </c>
      <c r="E5" s="10" t="n">
        <v>8</v>
      </c>
      <c r="F5" s="4">
        <f>E5*IFERROR(INDEX(Работы!$D$4:$D$672,MATCH(SUBSTITUTE(SUBSTITUTE(SUBSTITUTE(A5,"~","~~"),"*","~*"),"?","~?"),Работы!$B$4:$B$672,0)),0)</f>
        <v/>
      </c>
      <c r="G5" s="10" t="n">
        <v>79.76000000000001</v>
      </c>
      <c r="H5" s="14" t="n">
        <v>1</v>
      </c>
      <c r="I5" s="11" t="n">
        <v>0.05</v>
      </c>
      <c r="J5" s="11" t="n">
        <v>0.1</v>
      </c>
      <c r="K5" s="10" t="n"/>
      <c r="L5" s="9" t="inlineStr">
        <is>
          <t>Петрович</t>
        </is>
      </c>
      <c r="M5" s="9" t="inlineStr">
        <is>
          <t>https://moscow.petrovich.ru/product/108534/</t>
        </is>
      </c>
      <c r="N5" s="9" t="inlineStr">
        <is>
          <t>2026-10-29</t>
        </is>
      </c>
      <c r="O5" s="13" t="inlineStr">
        <is>
          <t>Петрович, труба 40х40х2, 587 руб/3 м с НДС, 7,36 кг. Цена кг с НДС 79.76. Карта клуба не учитывалась.</t>
        </is>
      </c>
      <c r="P5" s="4">
        <f>IF(H5=1,G5/VAT_DIV,G5)</f>
        <v/>
      </c>
      <c r="Q5" s="4">
        <f>P5*(1+I5)*(1+DELIV)*(1+GROWTH+MONEY)</f>
        <v/>
      </c>
      <c r="R5" s="4">
        <f>IF(AND(K5&lt;&gt;"",Q5*(1+J5)&gt;K5/VAT_DIV),K5/VAT_DIV,Q5*(1+J5))</f>
        <v/>
      </c>
      <c r="S5" s="4">
        <f>Q5*F5</f>
        <v/>
      </c>
      <c r="T5" s="4">
        <f>R5*F5</f>
        <v/>
      </c>
      <c r="U5" s="3">
        <f>IF(AND(K5&lt;&gt;"",Q5*(1+J5)&gt;K5/VAT_DIV+0.01),"ДА","")</f>
        <v/>
      </c>
      <c r="V5" s="4">
        <f>P5*F5</f>
        <v/>
      </c>
    </row>
    <row r="6" ht="20" customHeight="1">
      <c r="A6" s="9" t="inlineStr">
        <is>
          <t>8. Замена пружин для плавного опускания/поднятия.</t>
        </is>
      </c>
      <c r="B6" s="13" t="inlineStr">
        <is>
          <t>Пружина доклевеллера</t>
        </is>
      </c>
      <c r="C6" s="9" t="inlineStr">
        <is>
          <t>Изделия под заказ (ворота, двери, окна, перегородки)</t>
        </is>
      </c>
      <c r="D6" s="9" t="inlineStr">
        <is>
          <t>шт</t>
        </is>
      </c>
      <c r="E6" s="10" t="n">
        <v>1</v>
      </c>
      <c r="F6" s="4">
        <f>E6*IFERROR(INDEX(Работы!$D$4:$D$672,MATCH(SUBSTITUTE(SUBSTITUTE(SUBSTITUTE(A6,"~","~~"),"*","~*"),"?","~?"),Работы!$B$4:$B$672,0)),0)</f>
        <v/>
      </c>
      <c r="G6" s="10" t="n">
        <v>4500</v>
      </c>
      <c r="H6" s="14" t="n">
        <v>1</v>
      </c>
      <c r="I6" s="11" t="n">
        <v>0</v>
      </c>
      <c r="J6" s="11" t="n">
        <v>0.12</v>
      </c>
      <c r="K6" s="10" t="n"/>
      <c r="L6" s="9" t="inlineStr">
        <is>
          <t>оценка</t>
        </is>
      </c>
      <c r="M6" s="9" t="inlineStr"/>
      <c r="N6" s="9" t="inlineStr">
        <is>
          <t>2026-10-29</t>
        </is>
      </c>
      <c r="O6" s="13" t="inlineStr">
        <is>
          <t>оценка, запросить DoorHan В Петрович, Лемана ПРО и Сатурн открытой карточки нет, оставлен прежний источник.</t>
        </is>
      </c>
      <c r="P6" s="4">
        <f>IF(H6=1,G6/VAT_DIV,G6)</f>
        <v/>
      </c>
      <c r="Q6" s="4">
        <f>P6*(1+I6)*(1+DELIV)*(1+GROWTH+MONEY)</f>
        <v/>
      </c>
      <c r="R6" s="4">
        <f>IF(AND(K6&lt;&gt;"",Q6*(1+J6)&gt;K6/VAT_DIV),K6/VAT_DIV,Q6*(1+J6))</f>
        <v/>
      </c>
      <c r="S6" s="4">
        <f>Q6*F6</f>
        <v/>
      </c>
      <c r="T6" s="4">
        <f>R6*F6</f>
        <v/>
      </c>
      <c r="U6" s="3">
        <f>IF(AND(K6&lt;&gt;"",Q6*(1+J6)&gt;K6/VAT_DIV+0.01),"ДА","")</f>
        <v/>
      </c>
      <c r="V6" s="4">
        <f>P6*F6</f>
        <v/>
      </c>
    </row>
    <row r="7" ht="20" customHeight="1">
      <c r="A7" s="9" t="inlineStr">
        <is>
          <t>10. Замена арматуры сливного бачка типа «Компакт» (включая материалы и з/части)</t>
        </is>
      </c>
      <c r="B7" s="13" t="inlineStr">
        <is>
          <t>Арматура бачка компакт</t>
        </is>
      </c>
      <c r="C7" s="9" t="inlineStr">
        <is>
          <t>Сантехприборы</t>
        </is>
      </c>
      <c r="D7" s="9" t="inlineStr">
        <is>
          <t>шт</t>
        </is>
      </c>
      <c r="E7" s="10" t="n">
        <v>1</v>
      </c>
      <c r="F7" s="4">
        <f>E7*IFERROR(INDEX(Работы!$D$4:$D$672,MATCH(SUBSTITUTE(SUBSTITUTE(SUBSTITUTE(A7,"~","~~"),"*","~*"),"?","~?"),Работы!$B$4:$B$672,0)),0)</f>
        <v/>
      </c>
      <c r="G7" s="10" t="n">
        <v>650</v>
      </c>
      <c r="H7" s="14" t="n">
        <v>1</v>
      </c>
      <c r="I7" s="11" t="n">
        <v>0</v>
      </c>
      <c r="J7" s="11" t="n">
        <v>0.12</v>
      </c>
      <c r="K7" s="10" t="n"/>
      <c r="L7" s="9" t="inlineStr">
        <is>
          <t>оценка</t>
        </is>
      </c>
      <c r="M7" s="9" t="inlineStr"/>
      <c r="N7" s="9" t="inlineStr">
        <is>
          <t>2026-10-29</t>
        </is>
      </c>
      <c r="O7" s="13" t="inlineStr">
        <is>
          <t>оценка полки Петрович/Лемана В Петрович, Лемана ПРО и Сатурн открытой карточки нет, оставлен прежний источник.</t>
        </is>
      </c>
      <c r="P7" s="4">
        <f>IF(H7=1,G7/VAT_DIV,G7)</f>
        <v/>
      </c>
      <c r="Q7" s="4">
        <f>P7*(1+I7)*(1+DELIV)*(1+GROWTH+MONEY)</f>
        <v/>
      </c>
      <c r="R7" s="4">
        <f>IF(AND(K7&lt;&gt;"",Q7*(1+J7)&gt;K7/VAT_DIV),K7/VAT_DIV,Q7*(1+J7))</f>
        <v/>
      </c>
      <c r="S7" s="4">
        <f>Q7*F7</f>
        <v/>
      </c>
      <c r="T7" s="4">
        <f>R7*F7</f>
        <v/>
      </c>
      <c r="U7" s="3">
        <f>IF(AND(K7&lt;&gt;"",Q7*(1+J7)&gt;K7/VAT_DIV+0.01),"ДА","")</f>
        <v/>
      </c>
      <c r="V7" s="4">
        <f>P7*F7</f>
        <v/>
      </c>
    </row>
    <row r="8" ht="20" customHeight="1">
      <c r="A8" s="9" t="inlineStr">
        <is>
          <t>11. Замена сливного бачка унитаза типа «Компакт» (включая материалы и з/части)</t>
        </is>
      </c>
      <c r="B8" s="13" t="inlineStr">
        <is>
          <t>Бачок компакт с арматурой</t>
        </is>
      </c>
      <c r="C8" s="9" t="inlineStr">
        <is>
          <t>Сантехприборы</t>
        </is>
      </c>
      <c r="D8" s="9" t="inlineStr">
        <is>
          <t>шт</t>
        </is>
      </c>
      <c r="E8" s="10" t="n">
        <v>1</v>
      </c>
      <c r="F8" s="4">
        <f>E8*IFERROR(INDEX(Работы!$D$4:$D$672,MATCH(SUBSTITUTE(SUBSTITUTE(SUBSTITUTE(A8,"~","~~"),"*","~*"),"?","~?"),Работы!$B$4:$B$672,0)),0)</f>
        <v/>
      </c>
      <c r="G8" s="10" t="n">
        <v>1800</v>
      </c>
      <c r="H8" s="14" t="n">
        <v>1</v>
      </c>
      <c r="I8" s="11" t="n">
        <v>0</v>
      </c>
      <c r="J8" s="11" t="n">
        <v>0.12</v>
      </c>
      <c r="K8" s="10" t="n"/>
      <c r="L8" s="9" t="inlineStr">
        <is>
          <t>оценка</t>
        </is>
      </c>
      <c r="M8" s="9" t="inlineStr"/>
      <c r="N8" s="9" t="inlineStr">
        <is>
          <t>2026-10-29</t>
        </is>
      </c>
      <c r="O8" s="13" t="inlineStr">
        <is>
          <t>оценка В Петрович, Лемана ПРО и Сатурн открытой карточки нет, оставлен прежний источник.</t>
        </is>
      </c>
      <c r="P8" s="4">
        <f>IF(H8=1,G8/VAT_DIV,G8)</f>
        <v/>
      </c>
      <c r="Q8" s="4">
        <f>P8*(1+I8)*(1+DELIV)*(1+GROWTH+MONEY)</f>
        <v/>
      </c>
      <c r="R8" s="4">
        <f>IF(AND(K8&lt;&gt;"",Q8*(1+J8)&gt;K8/VAT_DIV),K8/VAT_DIV,Q8*(1+J8))</f>
        <v/>
      </c>
      <c r="S8" s="4">
        <f>Q8*F8</f>
        <v/>
      </c>
      <c r="T8" s="4">
        <f>R8*F8</f>
        <v/>
      </c>
      <c r="U8" s="3">
        <f>IF(AND(K8&lt;&gt;"",Q8*(1+J8)&gt;K8/VAT_DIV+0.01),"ДА","")</f>
        <v/>
      </c>
      <c r="V8" s="4">
        <f>P8*F8</f>
        <v/>
      </c>
    </row>
    <row r="9" ht="20" customHeight="1">
      <c r="A9" s="9" t="inlineStr">
        <is>
          <t>12. Замена унитаза типа «Компакт» (включая материалы и з/части)</t>
        </is>
      </c>
      <c r="B9" s="13" t="inlineStr">
        <is>
          <t>Унитаз-компакт</t>
        </is>
      </c>
      <c r="C9" s="9" t="inlineStr">
        <is>
          <t>Сантехприборы</t>
        </is>
      </c>
      <c r="D9" s="9" t="inlineStr">
        <is>
          <t>шт</t>
        </is>
      </c>
      <c r="E9" s="10" t="n">
        <v>1</v>
      </c>
      <c r="F9" s="4">
        <f>E9*IFERROR(INDEX(Работы!$D$4:$D$672,MATCH(SUBSTITUTE(SUBSTITUTE(SUBSTITUTE(A9,"~","~~"),"*","~*"),"?","~?"),Работы!$B$4:$B$672,0)),0)</f>
        <v/>
      </c>
      <c r="G9" s="10" t="n">
        <v>4990</v>
      </c>
      <c r="H9" s="14" t="n">
        <v>1</v>
      </c>
      <c r="I9" s="11" t="n">
        <v>0</v>
      </c>
      <c r="J9" s="11" t="n">
        <v>0.12</v>
      </c>
      <c r="K9" s="10" t="n"/>
      <c r="L9" s="9" t="inlineStr">
        <is>
          <t>Лемана ПРО</t>
        </is>
      </c>
      <c r="M9" s="9" t="inlineStr">
        <is>
          <t>https://lemanapro.ru/product/unitaz-kompakt-yauza-82199701/</t>
        </is>
      </c>
      <c r="N9" s="9" t="inlineStr">
        <is>
          <t>2026-10-29</t>
        </is>
      </c>
      <c r="O9" s="13" t="inlineStr">
        <is>
          <t>Минимум: Лемана ПРО Яуза 4 990 руб. Сатурн Sanita Эталон 5 666, Петрович Cersanit Trento 8 130.</t>
        </is>
      </c>
      <c r="P9" s="4">
        <f>IF(H9=1,G9/VAT_DIV,G9)</f>
        <v/>
      </c>
      <c r="Q9" s="4">
        <f>P9*(1+I9)*(1+DELIV)*(1+GROWTH+MONEY)</f>
        <v/>
      </c>
      <c r="R9" s="4">
        <f>IF(AND(K9&lt;&gt;"",Q9*(1+J9)&gt;K9/VAT_DIV),K9/VAT_DIV,Q9*(1+J9))</f>
        <v/>
      </c>
      <c r="S9" s="4">
        <f>Q9*F9</f>
        <v/>
      </c>
      <c r="T9" s="4">
        <f>R9*F9</f>
        <v/>
      </c>
      <c r="U9" s="3">
        <f>IF(AND(K9&lt;&gt;"",Q9*(1+J9)&gt;K9/VAT_DIV+0.01),"ДА","")</f>
        <v/>
      </c>
      <c r="V9" s="4">
        <f>P9*F9</f>
        <v/>
      </c>
    </row>
    <row r="10" ht="20" customHeight="1">
      <c r="A10" s="9" t="inlineStr">
        <is>
          <t>13. Замена гибкой подводки сантехнической до 60 см (включая материалы и з/части)</t>
        </is>
      </c>
      <c r="B10" s="13" t="inlineStr">
        <is>
          <t>Подводка гибкая 60 см</t>
        </is>
      </c>
      <c r="C10" s="9" t="inlineStr">
        <is>
          <t>Трубы и фитинги ВиК, отопления</t>
        </is>
      </c>
      <c r="D10" s="9" t="inlineStr">
        <is>
          <t>шт</t>
        </is>
      </c>
      <c r="E10" s="10" t="n">
        <v>1</v>
      </c>
      <c r="F10" s="4">
        <f>E10*IFERROR(INDEX(Работы!$D$4:$D$672,MATCH(SUBSTITUTE(SUBSTITUTE(SUBSTITUTE(A10,"~","~~"),"*","~*"),"?","~?"),Работы!$B$4:$B$672,0)),0)</f>
        <v/>
      </c>
      <c r="G10" s="10" t="n">
        <v>250</v>
      </c>
      <c r="H10" s="14" t="n">
        <v>1</v>
      </c>
      <c r="I10" s="11" t="n">
        <v>0.04</v>
      </c>
      <c r="J10" s="11" t="n">
        <v>0.12</v>
      </c>
      <c r="K10" s="10" t="n"/>
      <c r="L10" s="9" t="inlineStr">
        <is>
          <t>оценка</t>
        </is>
      </c>
      <c r="M10" s="9" t="inlineStr"/>
      <c r="N10" s="9" t="inlineStr">
        <is>
          <t>2026-10-29</t>
        </is>
      </c>
      <c r="O10" s="13" t="inlineStr">
        <is>
          <t>оценка В Петрович, Лемана ПРО и Сатурн открытой карточки нет, оставлен прежний источник.</t>
        </is>
      </c>
      <c r="P10" s="4">
        <f>IF(H10=1,G10/VAT_DIV,G10)</f>
        <v/>
      </c>
      <c r="Q10" s="4">
        <f>P10*(1+I10)*(1+DELIV)*(1+GROWTH+MONEY)</f>
        <v/>
      </c>
      <c r="R10" s="4">
        <f>IF(AND(K10&lt;&gt;"",Q10*(1+J10)&gt;K10/VAT_DIV),K10/VAT_DIV,Q10*(1+J10))</f>
        <v/>
      </c>
      <c r="S10" s="4">
        <f>Q10*F10</f>
        <v/>
      </c>
      <c r="T10" s="4">
        <f>R10*F10</f>
        <v/>
      </c>
      <c r="U10" s="3">
        <f>IF(AND(K10&lt;&gt;"",Q10*(1+J10)&gt;K10/VAT_DIV+0.01),"ДА","")</f>
        <v/>
      </c>
      <c r="V10" s="4">
        <f>P10*F10</f>
        <v/>
      </c>
    </row>
    <row r="11" ht="20" customHeight="1">
      <c r="A11" s="9" t="inlineStr">
        <is>
          <t>14. Замена смесителя раковины (включая материалы и з/части)</t>
        </is>
      </c>
      <c r="B11" s="13" t="inlineStr">
        <is>
          <t>Смеситель для раковины</t>
        </is>
      </c>
      <c r="C11" s="9" t="inlineStr">
        <is>
          <t>Сантехприборы</t>
        </is>
      </c>
      <c r="D11" s="9" t="inlineStr">
        <is>
          <t>шт</t>
        </is>
      </c>
      <c r="E11" s="10" t="n">
        <v>1</v>
      </c>
      <c r="F11" s="4">
        <f>E11*IFERROR(INDEX(Работы!$D$4:$D$672,MATCH(SUBSTITUTE(SUBSTITUTE(SUBSTITUTE(A11,"~","~~"),"*","~*"),"?","~?"),Работы!$B$4:$B$672,0)),0)</f>
        <v/>
      </c>
      <c r="G11" s="10" t="n">
        <v>1108</v>
      </c>
      <c r="H11" s="14" t="n">
        <v>1</v>
      </c>
      <c r="I11" s="11" t="n">
        <v>0</v>
      </c>
      <c r="J11" s="11" t="n">
        <v>0.12</v>
      </c>
      <c r="K11" s="10" t="n"/>
      <c r="L11" s="9" t="inlineStr">
        <is>
          <t>Сатурн</t>
        </is>
      </c>
      <c r="M11" s="9" t="inlineStr">
        <is>
          <t>https://msk.saturn.net/product/smesitel-dlya-rakovini-klip-803/</t>
        </is>
      </c>
      <c r="N11" s="9" t="inlineStr">
        <is>
          <t>2026-10-29</t>
        </is>
      </c>
      <c r="O11" s="13" t="inlineStr">
        <is>
          <t>Минимум: Сатурн Klip 803 = 1 108 руб. Петрович РМС 1 176, Лемана ПРО Fixsen 3 680.</t>
        </is>
      </c>
      <c r="P11" s="4">
        <f>IF(H11=1,G11/VAT_DIV,G11)</f>
        <v/>
      </c>
      <c r="Q11" s="4">
        <f>P11*(1+I11)*(1+DELIV)*(1+GROWTH+MONEY)</f>
        <v/>
      </c>
      <c r="R11" s="4">
        <f>IF(AND(K11&lt;&gt;"",Q11*(1+J11)&gt;K11/VAT_DIV),K11/VAT_DIV,Q11*(1+J11))</f>
        <v/>
      </c>
      <c r="S11" s="4">
        <f>Q11*F11</f>
        <v/>
      </c>
      <c r="T11" s="4">
        <f>R11*F11</f>
        <v/>
      </c>
      <c r="U11" s="3">
        <f>IF(AND(K11&lt;&gt;"",Q11*(1+J11)&gt;K11/VAT_DIV+0.01),"ДА","")</f>
        <v/>
      </c>
      <c r="V11" s="4">
        <f>P11*F11</f>
        <v/>
      </c>
    </row>
    <row r="12" ht="20" customHeight="1">
      <c r="A12" s="9" t="inlineStr">
        <is>
          <t>15. Замена раковины керамической с пьедесталом (включая материалы и з/части)</t>
        </is>
      </c>
      <c r="B12" s="13" t="inlineStr">
        <is>
          <t>Замена раковины керамической с пьедесталом (включая материалы и з/части)</t>
        </is>
      </c>
      <c r="C12" s="9" t="inlineStr">
        <is>
          <t>Сантехприборы</t>
        </is>
      </c>
      <c r="D12" s="9" t="inlineStr">
        <is>
          <t>шт</t>
        </is>
      </c>
      <c r="E12" s="10" t="n">
        <v>1</v>
      </c>
      <c r="F12" s="4">
        <f>E12*IFERROR(INDEX(Работы!$D$4:$D$672,MATCH(SUBSTITUTE(SUBSTITUTE(SUBSTITUTE(A12,"~","~~"),"*","~*"),"?","~?"),Работы!$B$4:$B$672,0)),0)</f>
        <v/>
      </c>
      <c r="G12" s="10" t="n">
        <v>3840</v>
      </c>
      <c r="H12" s="14" t="n">
        <v>1</v>
      </c>
      <c r="I12" s="11" t="n">
        <v>0</v>
      </c>
      <c r="J12" s="11" t="n">
        <v>0.12</v>
      </c>
      <c r="K12" s="10" t="n"/>
      <c r="L12" s="9" t="inlineStr">
        <is>
          <t>Петрович</t>
        </is>
      </c>
      <c r="M12" s="9" t="inlineStr">
        <is>
          <t>https://moscow.petrovich.ru/product/1094953/</t>
        </is>
      </c>
      <c r="N12" s="9" t="inlineStr">
        <is>
          <t>2026-10-29</t>
        </is>
      </c>
      <c r="O12" s="13" t="inlineStr">
        <is>
          <t>Петрович, комплект Sanita Аттика 55 см (раковина и пьедестал) 3 840 руб. Прочие размеры — тот же аналог.</t>
        </is>
      </c>
      <c r="P12" s="4">
        <f>IF(H12=1,G12/VAT_DIV,G12)</f>
        <v/>
      </c>
      <c r="Q12" s="4">
        <f>P12*(1+I12)*(1+DELIV)*(1+GROWTH+MONEY)</f>
        <v/>
      </c>
      <c r="R12" s="4">
        <f>IF(AND(K12&lt;&gt;"",Q12*(1+J12)&gt;K12/VAT_DIV),K12/VAT_DIV,Q12*(1+J12))</f>
        <v/>
      </c>
      <c r="S12" s="4">
        <f>Q12*F12</f>
        <v/>
      </c>
      <c r="T12" s="4">
        <f>R12*F12</f>
        <v/>
      </c>
      <c r="U12" s="3">
        <f>IF(AND(K12&lt;&gt;"",Q12*(1+J12)&gt;K12/VAT_DIV+0.01),"ДА","")</f>
        <v/>
      </c>
      <c r="V12" s="4">
        <f>P12*F12</f>
        <v/>
      </c>
    </row>
    <row r="13" ht="20" customHeight="1">
      <c r="A13" s="9" t="inlineStr">
        <is>
          <t>16. Замена раковины металлической (включая материалы и з/части)</t>
        </is>
      </c>
      <c r="B13" s="13" t="inlineStr">
        <is>
          <t>Замена раковины металлической (включая материалы и з/части)</t>
        </is>
      </c>
      <c r="C13" s="9" t="inlineStr">
        <is>
          <t>Сантехприборы</t>
        </is>
      </c>
      <c r="D13" s="9" t="inlineStr">
        <is>
          <t>шт</t>
        </is>
      </c>
      <c r="E13" s="10" t="n">
        <v>1</v>
      </c>
      <c r="F13" s="4">
        <f>E13*IFERROR(INDEX(Работы!$D$4:$D$672,MATCH(SUBSTITUTE(SUBSTITUTE(SUBSTITUTE(A13,"~","~~"),"*","~*"),"?","~?"),Работы!$B$4:$B$672,0)),0)</f>
        <v/>
      </c>
      <c r="G13" s="10" t="n">
        <v>3840</v>
      </c>
      <c r="H13" s="14" t="n">
        <v>1</v>
      </c>
      <c r="I13" s="11" t="n">
        <v>0</v>
      </c>
      <c r="J13" s="11" t="n">
        <v>0.12</v>
      </c>
      <c r="K13" s="10" t="n"/>
      <c r="L13" s="9" t="inlineStr">
        <is>
          <t>Петрович</t>
        </is>
      </c>
      <c r="M13" s="9" t="inlineStr">
        <is>
          <t>https://moscow.petrovich.ru/product/1094953/</t>
        </is>
      </c>
      <c r="N13" s="9" t="inlineStr">
        <is>
          <t>2026-10-29</t>
        </is>
      </c>
      <c r="O13" s="13" t="inlineStr">
        <is>
          <t>Петрович, комплект Sanita Аттика 55 см (раковина и пьедестал) 3 840 руб. Прочие размеры — тот же аналог.</t>
        </is>
      </c>
      <c r="P13" s="4">
        <f>IF(H13=1,G13/VAT_DIV,G13)</f>
        <v/>
      </c>
      <c r="Q13" s="4">
        <f>P13*(1+I13)*(1+DELIV)*(1+GROWTH+MONEY)</f>
        <v/>
      </c>
      <c r="R13" s="4">
        <f>IF(AND(K13&lt;&gt;"",Q13*(1+J13)&gt;K13/VAT_DIV),K13/VAT_DIV,Q13*(1+J13))</f>
        <v/>
      </c>
      <c r="S13" s="4">
        <f>Q13*F13</f>
        <v/>
      </c>
      <c r="T13" s="4">
        <f>R13*F13</f>
        <v/>
      </c>
      <c r="U13" s="3">
        <f>IF(AND(K13&lt;&gt;"",Q13*(1+J13)&gt;K13/VAT_DIV+0.01),"ДА","")</f>
        <v/>
      </c>
      <c r="V13" s="4">
        <f>P13*F13</f>
        <v/>
      </c>
    </row>
    <row r="14" ht="20" customHeight="1">
      <c r="A14" s="9" t="inlineStr">
        <is>
          <t>17. Замена смесителя для ванны с душевой лейкой (включая материалы и з/части)</t>
        </is>
      </c>
      <c r="B14" s="13" t="inlineStr">
        <is>
          <t>Смеситель для ванны с лейкой</t>
        </is>
      </c>
      <c r="C14" s="9" t="inlineStr">
        <is>
          <t>Сантехприборы</t>
        </is>
      </c>
      <c r="D14" s="9" t="inlineStr">
        <is>
          <t>шт</t>
        </is>
      </c>
      <c r="E14" s="10" t="n">
        <v>1</v>
      </c>
      <c r="F14" s="4">
        <f>E14*IFERROR(INDEX(Работы!$D$4:$D$672,MATCH(SUBSTITUTE(SUBSTITUTE(SUBSTITUTE(A14,"~","~~"),"*","~*"),"?","~?"),Работы!$B$4:$B$672,0)),0)</f>
        <v/>
      </c>
      <c r="G14" s="10" t="n">
        <v>3200</v>
      </c>
      <c r="H14" s="14" t="n">
        <v>1</v>
      </c>
      <c r="I14" s="11" t="n">
        <v>0</v>
      </c>
      <c r="J14" s="11" t="n">
        <v>0.12</v>
      </c>
      <c r="K14" s="10" t="n"/>
      <c r="L14" s="9" t="inlineStr">
        <is>
          <t>оценка</t>
        </is>
      </c>
      <c r="M14" s="9" t="inlineStr"/>
      <c r="N14" s="9" t="inlineStr">
        <is>
          <t>2026-10-29</t>
        </is>
      </c>
      <c r="O14" s="13" t="inlineStr">
        <is>
          <t>оценка средний сегмент В Петрович, Лемана ПРО и Сатурн открытой карточки нет, оставлен прежний источник.</t>
        </is>
      </c>
      <c r="P14" s="4">
        <f>IF(H14=1,G14/VAT_DIV,G14)</f>
        <v/>
      </c>
      <c r="Q14" s="4">
        <f>P14*(1+I14)*(1+DELIV)*(1+GROWTH+MONEY)</f>
        <v/>
      </c>
      <c r="R14" s="4">
        <f>IF(AND(K14&lt;&gt;"",Q14*(1+J14)&gt;K14/VAT_DIV),K14/VAT_DIV,Q14*(1+J14))</f>
        <v/>
      </c>
      <c r="S14" s="4">
        <f>Q14*F14</f>
        <v/>
      </c>
      <c r="T14" s="4">
        <f>R14*F14</f>
        <v/>
      </c>
      <c r="U14" s="3">
        <f>IF(AND(K14&lt;&gt;"",Q14*(1+J14)&gt;K14/VAT_DIV+0.01),"ДА","")</f>
        <v/>
      </c>
      <c r="V14" s="4">
        <f>P14*F14</f>
        <v/>
      </c>
    </row>
    <row r="15" ht="20" customHeight="1">
      <c r="A15" s="9" t="inlineStr">
        <is>
          <t>19. Замена сифона раковины (включая материалы и з/части)</t>
        </is>
      </c>
      <c r="B15" s="13" t="inlineStr">
        <is>
          <t>Замена сифона раковины (включая материалы и з/части)</t>
        </is>
      </c>
      <c r="C15" s="9" t="inlineStr">
        <is>
          <t>Сантехприборы</t>
        </is>
      </c>
      <c r="D15" s="9" t="inlineStr">
        <is>
          <t>шт</t>
        </is>
      </c>
      <c r="E15" s="10" t="n">
        <v>1</v>
      </c>
      <c r="F15" s="4">
        <f>E15*IFERROR(INDEX(Работы!$D$4:$D$672,MATCH(SUBSTITUTE(SUBSTITUTE(SUBSTITUTE(A15,"~","~~"),"*","~*"),"?","~?"),Работы!$B$4:$B$672,0)),0)</f>
        <v/>
      </c>
      <c r="G15" s="10" t="n">
        <v>3840</v>
      </c>
      <c r="H15" s="14" t="n">
        <v>1</v>
      </c>
      <c r="I15" s="11" t="n">
        <v>0</v>
      </c>
      <c r="J15" s="11" t="n">
        <v>0.12</v>
      </c>
      <c r="K15" s="10" t="n"/>
      <c r="L15" s="9" t="inlineStr">
        <is>
          <t>Петрович</t>
        </is>
      </c>
      <c r="M15" s="9" t="inlineStr">
        <is>
          <t>https://moscow.petrovich.ru/product/1094953/</t>
        </is>
      </c>
      <c r="N15" s="9" t="inlineStr">
        <is>
          <t>2026-10-29</t>
        </is>
      </c>
      <c r="O15" s="13" t="inlineStr">
        <is>
          <t>Петрович, комплект Sanita Аттика 55 см (раковина и пьедестал) 3 840 руб. Прочие размеры — тот же аналог.</t>
        </is>
      </c>
      <c r="P15" s="4">
        <f>IF(H15=1,G15/VAT_DIV,G15)</f>
        <v/>
      </c>
      <c r="Q15" s="4">
        <f>P15*(1+I15)*(1+DELIV)*(1+GROWTH+MONEY)</f>
        <v/>
      </c>
      <c r="R15" s="4">
        <f>IF(AND(K15&lt;&gt;"",Q15*(1+J15)&gt;K15/VAT_DIV),K15/VAT_DIV,Q15*(1+J15))</f>
        <v/>
      </c>
      <c r="S15" s="4">
        <f>Q15*F15</f>
        <v/>
      </c>
      <c r="T15" s="4">
        <f>R15*F15</f>
        <v/>
      </c>
      <c r="U15" s="3">
        <f>IF(AND(K15&lt;&gt;"",Q15*(1+J15)&gt;K15/VAT_DIV+0.01),"ДА","")</f>
        <v/>
      </c>
      <c r="V15" s="4">
        <f>P15*F15</f>
        <v/>
      </c>
    </row>
    <row r="16" ht="20" customHeight="1">
      <c r="A16" s="9" t="inlineStr">
        <is>
          <t>20. Замена крана писсуара (включая материалы и з/части)</t>
        </is>
      </c>
      <c r="B16" s="13" t="inlineStr">
        <is>
          <t>Кран писсуара</t>
        </is>
      </c>
      <c r="C16" s="9" t="inlineStr">
        <is>
          <t>Сантехприборы</t>
        </is>
      </c>
      <c r="D16" s="9" t="inlineStr">
        <is>
          <t>шт</t>
        </is>
      </c>
      <c r="E16" s="10" t="n">
        <v>1</v>
      </c>
      <c r="F16" s="4">
        <f>E16*IFERROR(INDEX(Работы!$D$4:$D$672,MATCH(SUBSTITUTE(SUBSTITUTE(SUBSTITUTE(A16,"~","~~"),"*","~*"),"?","~?"),Работы!$B$4:$B$672,0)),0)</f>
        <v/>
      </c>
      <c r="G16" s="10" t="n">
        <v>1400</v>
      </c>
      <c r="H16" s="14" t="n">
        <v>1</v>
      </c>
      <c r="I16" s="11" t="n">
        <v>0</v>
      </c>
      <c r="J16" s="11" t="n">
        <v>0.12</v>
      </c>
      <c r="K16" s="10" t="n"/>
      <c r="L16" s="9" t="inlineStr">
        <is>
          <t>оценка</t>
        </is>
      </c>
      <c r="M16" s="9" t="inlineStr"/>
      <c r="N16" s="9" t="inlineStr">
        <is>
          <t>2026-10-29</t>
        </is>
      </c>
      <c r="O16" s="13" t="inlineStr">
        <is>
          <t>оценка В Петрович, Лемана ПРО и Сатурн открытой карточки нет, оставлен прежний источник.</t>
        </is>
      </c>
      <c r="P16" s="4">
        <f>IF(H16=1,G16/VAT_DIV,G16)</f>
        <v/>
      </c>
      <c r="Q16" s="4">
        <f>P16*(1+I16)*(1+DELIV)*(1+GROWTH+MONEY)</f>
        <v/>
      </c>
      <c r="R16" s="4">
        <f>IF(AND(K16&lt;&gt;"",Q16*(1+J16)&gt;K16/VAT_DIV),K16/VAT_DIV,Q16*(1+J16))</f>
        <v/>
      </c>
      <c r="S16" s="4">
        <f>Q16*F16</f>
        <v/>
      </c>
      <c r="T16" s="4">
        <f>R16*F16</f>
        <v/>
      </c>
      <c r="U16" s="3">
        <f>IF(AND(K16&lt;&gt;"",Q16*(1+J16)&gt;K16/VAT_DIV+0.01),"ДА","")</f>
        <v/>
      </c>
      <c r="V16" s="4">
        <f>P16*F16</f>
        <v/>
      </c>
    </row>
    <row r="17" ht="20" customHeight="1">
      <c r="A17" s="9" t="inlineStr">
        <is>
          <t>21. Прокладка трубопровода ХВС, ГВС из полипропиленовых труб Ø20-32 мм (включая материалы, комплетующие и з/части) за 1 п.м.</t>
        </is>
      </c>
      <c r="B17" s="13" t="inlineStr">
        <is>
          <t>Труба ПП d32</t>
        </is>
      </c>
      <c r="C17" s="9" t="inlineStr">
        <is>
          <t>Трубы и фитинги ВиК, отопления</t>
        </is>
      </c>
      <c r="D17" s="9" t="inlineStr">
        <is>
          <t>м</t>
        </is>
      </c>
      <c r="E17" s="10" t="n">
        <v>1</v>
      </c>
      <c r="F17" s="4">
        <f>E17*IFERROR(INDEX(Работы!$D$4:$D$672,MATCH(SUBSTITUTE(SUBSTITUTE(SUBSTITUTE(A17,"~","~~"),"*","~*"),"?","~?"),Работы!$B$4:$B$672,0)),0)</f>
        <v/>
      </c>
      <c r="G17" s="10" t="n">
        <v>120.1</v>
      </c>
      <c r="H17" s="14" t="n">
        <v>1</v>
      </c>
      <c r="I17" s="11" t="n">
        <v>0.04</v>
      </c>
      <c r="J17" s="11" t="n">
        <v>0.12</v>
      </c>
      <c r="K17" s="10" t="n"/>
      <c r="L17" s="9" t="inlineStr">
        <is>
          <t>Петрович</t>
        </is>
      </c>
      <c r="M17" s="9" t="inlineStr">
        <is>
          <t>https://moscow.petrovich.ru/product/1154066/</t>
        </is>
      </c>
      <c r="N17" s="9" t="inlineStr">
        <is>
          <t>2026-10-29</t>
        </is>
      </c>
      <c r="O17" s="13" t="inlineStr">
        <is>
          <t>Якорь Петрович Lammin PN25 d25 = 85 руб/м (Лемана ПРО 85,5). Остальные диаметры — прежний коэффициент к d25.</t>
        </is>
      </c>
      <c r="P17" s="4">
        <f>IF(H17=1,G17/VAT_DIV,G17)</f>
        <v/>
      </c>
      <c r="Q17" s="4">
        <f>P17*(1+I17)*(1+DELIV)*(1+GROWTH+MONEY)</f>
        <v/>
      </c>
      <c r="R17" s="4">
        <f>IF(AND(K17&lt;&gt;"",Q17*(1+J17)&gt;K17/VAT_DIV),K17/VAT_DIV,Q17*(1+J17))</f>
        <v/>
      </c>
      <c r="S17" s="4">
        <f>Q17*F17</f>
        <v/>
      </c>
      <c r="T17" s="4">
        <f>R17*F17</f>
        <v/>
      </c>
      <c r="U17" s="3">
        <f>IF(AND(K17&lt;&gt;"",Q17*(1+J17)&gt;K17/VAT_DIV+0.01),"ДА","")</f>
        <v/>
      </c>
      <c r="V17" s="4">
        <f>P17*F17</f>
        <v/>
      </c>
    </row>
    <row r="18" ht="20" customHeight="1">
      <c r="A18" s="9" t="inlineStr">
        <is>
          <t>22. Прокладка трубопровода внутренней канализации Ø40 мм (включая материалы и з/части) за 1 п.м.</t>
        </is>
      </c>
      <c r="B18" s="13" t="inlineStr">
        <is>
          <t>Труба канализация d40</t>
        </is>
      </c>
      <c r="C18" s="9" t="inlineStr">
        <is>
          <t>Трубы и фитинги ВиК, отопления</t>
        </is>
      </c>
      <c r="D18" s="9" t="inlineStr">
        <is>
          <t>м</t>
        </is>
      </c>
      <c r="E18" s="10" t="n">
        <v>1</v>
      </c>
      <c r="F18" s="4">
        <f>E18*IFERROR(INDEX(Работы!$D$4:$D$672,MATCH(SUBSTITUTE(SUBSTITUTE(SUBSTITUTE(A18,"~","~~"),"*","~*"),"?","~?"),Работы!$B$4:$B$672,0)),0)</f>
        <v/>
      </c>
      <c r="G18" s="10" t="n">
        <v>85</v>
      </c>
      <c r="H18" s="14" t="n">
        <v>1</v>
      </c>
      <c r="I18" s="11" t="n">
        <v>0.04</v>
      </c>
      <c r="J18" s="11" t="n">
        <v>0.12</v>
      </c>
      <c r="K18" s="10" t="n"/>
      <c r="L18" s="9" t="inlineStr">
        <is>
          <t>оценка</t>
        </is>
      </c>
      <c r="M18" s="9" t="inlineStr"/>
      <c r="N18" s="9" t="inlineStr">
        <is>
          <t>2026-10-29</t>
        </is>
      </c>
      <c r="O18" s="13" t="inlineStr">
        <is>
          <t>оценка ПВХ/ПП внутренней канализации В Петрович, Лемана ПРО и Сатурн открытой карточки нет, оставлен прежний источник.</t>
        </is>
      </c>
      <c r="P18" s="4">
        <f>IF(H18=1,G18/VAT_DIV,G18)</f>
        <v/>
      </c>
      <c r="Q18" s="4">
        <f>P18*(1+I18)*(1+DELIV)*(1+GROWTH+MONEY)</f>
        <v/>
      </c>
      <c r="R18" s="4">
        <f>IF(AND(K18&lt;&gt;"",Q18*(1+J18)&gt;K18/VAT_DIV),K18/VAT_DIV,Q18*(1+J18))</f>
        <v/>
      </c>
      <c r="S18" s="4">
        <f>Q18*F18</f>
        <v/>
      </c>
      <c r="T18" s="4">
        <f>R18*F18</f>
        <v/>
      </c>
      <c r="U18" s="3">
        <f>IF(AND(K18&lt;&gt;"",Q18*(1+J18)&gt;K18/VAT_DIV+0.01),"ДА","")</f>
        <v/>
      </c>
      <c r="V18" s="4">
        <f>P18*F18</f>
        <v/>
      </c>
    </row>
    <row r="19" ht="20" customHeight="1">
      <c r="A19" s="9" t="inlineStr">
        <is>
          <t>23. Прокладка трубопровода внутренней канализации Ø50 мм (включая материалы и з/части) за 1 п.м.</t>
        </is>
      </c>
      <c r="B19" s="13" t="inlineStr">
        <is>
          <t>Труба канализация d50</t>
        </is>
      </c>
      <c r="C19" s="9" t="inlineStr">
        <is>
          <t>Трубы и фитинги ВиК, отопления</t>
        </is>
      </c>
      <c r="D19" s="9" t="inlineStr">
        <is>
          <t>м</t>
        </is>
      </c>
      <c r="E19" s="10" t="n">
        <v>1</v>
      </c>
      <c r="F19" s="4">
        <f>E19*IFERROR(INDEX(Работы!$D$4:$D$672,MATCH(SUBSTITUTE(SUBSTITUTE(SUBSTITUTE(A19,"~","~~"),"*","~*"),"?","~?"),Работы!$B$4:$B$672,0)),0)</f>
        <v/>
      </c>
      <c r="G19" s="10" t="n">
        <v>110</v>
      </c>
      <c r="H19" s="14" t="n">
        <v>1</v>
      </c>
      <c r="I19" s="11" t="n">
        <v>0.04</v>
      </c>
      <c r="J19" s="11" t="n">
        <v>0.12</v>
      </c>
      <c r="K19" s="10" t="n"/>
      <c r="L19" s="9" t="inlineStr">
        <is>
          <t>оценка</t>
        </is>
      </c>
      <c r="M19" s="9" t="inlineStr"/>
      <c r="N19" s="9" t="inlineStr">
        <is>
          <t>2026-10-29</t>
        </is>
      </c>
      <c r="O19" s="13" t="inlineStr">
        <is>
          <t>оценка ПВХ/ПП внутренней канализации В Петрович, Лемана ПРО и Сатурн открытой карточки нет, оставлен прежний источник.</t>
        </is>
      </c>
      <c r="P19" s="4">
        <f>IF(H19=1,G19/VAT_DIV,G19)</f>
        <v/>
      </c>
      <c r="Q19" s="4">
        <f>P19*(1+I19)*(1+DELIV)*(1+GROWTH+MONEY)</f>
        <v/>
      </c>
      <c r="R19" s="4">
        <f>IF(AND(K19&lt;&gt;"",Q19*(1+J19)&gt;K19/VAT_DIV),K19/VAT_DIV,Q19*(1+J19))</f>
        <v/>
      </c>
      <c r="S19" s="4">
        <f>Q19*F19</f>
        <v/>
      </c>
      <c r="T19" s="4">
        <f>R19*F19</f>
        <v/>
      </c>
      <c r="U19" s="3">
        <f>IF(AND(K19&lt;&gt;"",Q19*(1+J19)&gt;K19/VAT_DIV+0.01),"ДА","")</f>
        <v/>
      </c>
      <c r="V19" s="4">
        <f>P19*F19</f>
        <v/>
      </c>
    </row>
    <row r="20" ht="20" customHeight="1">
      <c r="A20" s="9" t="inlineStr">
        <is>
          <t>24. Прокладка трубопровода внутренней канализации Ø100 мм (включая материалы и з/части) за 1 п.м.</t>
        </is>
      </c>
      <c r="B20" s="13" t="inlineStr">
        <is>
          <t>Труба канализация d32</t>
        </is>
      </c>
      <c r="C20" s="9" t="inlineStr">
        <is>
          <t>Трубы и фитинги ВиК, отопления</t>
        </is>
      </c>
      <c r="D20" s="9" t="inlineStr">
        <is>
          <t>м</t>
        </is>
      </c>
      <c r="E20" s="10" t="n">
        <v>1</v>
      </c>
      <c r="F20" s="4">
        <f>E20*IFERROR(INDEX(Работы!$D$4:$D$672,MATCH(SUBSTITUTE(SUBSTITUTE(SUBSTITUTE(A20,"~","~~"),"*","~*"),"?","~?"),Работы!$B$4:$B$672,0)),0)</f>
        <v/>
      </c>
      <c r="G20" s="10" t="n">
        <v>70</v>
      </c>
      <c r="H20" s="14" t="n">
        <v>1</v>
      </c>
      <c r="I20" s="11" t="n">
        <v>0.04</v>
      </c>
      <c r="J20" s="11" t="n">
        <v>0.12</v>
      </c>
      <c r="K20" s="10" t="n"/>
      <c r="L20" s="9" t="inlineStr">
        <is>
          <t>оценка</t>
        </is>
      </c>
      <c r="M20" s="9" t="inlineStr"/>
      <c r="N20" s="9" t="inlineStr">
        <is>
          <t>2026-10-29</t>
        </is>
      </c>
      <c r="O20" s="13" t="inlineStr">
        <is>
          <t>оценка ПВХ/ПП внутренней канализации В Петрович, Лемана ПРО и Сатурн открытой карточки нет, оставлен прежний источник.</t>
        </is>
      </c>
      <c r="P20" s="4">
        <f>IF(H20=1,G20/VAT_DIV,G20)</f>
        <v/>
      </c>
      <c r="Q20" s="4">
        <f>P20*(1+I20)*(1+DELIV)*(1+GROWTH+MONEY)</f>
        <v/>
      </c>
      <c r="R20" s="4">
        <f>IF(AND(K20&lt;&gt;"",Q20*(1+J20)&gt;K20/VAT_DIV),K20/VAT_DIV,Q20*(1+J20))</f>
        <v/>
      </c>
      <c r="S20" s="4">
        <f>Q20*F20</f>
        <v/>
      </c>
      <c r="T20" s="4">
        <f>R20*F20</f>
        <v/>
      </c>
      <c r="U20" s="3">
        <f>IF(AND(K20&lt;&gt;"",Q20*(1+J20)&gt;K20/VAT_DIV+0.01),"ДА","")</f>
        <v/>
      </c>
      <c r="V20" s="4">
        <f>P20*F20</f>
        <v/>
      </c>
    </row>
    <row r="21" ht="20" customHeight="1">
      <c r="A21" s="9" t="inlineStr">
        <is>
          <t>25. Устранение протечек в сантехническом оборудовании (включая материалы и з/части) за 1 ед.</t>
        </is>
      </c>
      <c r="B21" s="13" t="inlineStr">
        <is>
          <t>Лён, паста, прокладки</t>
        </is>
      </c>
      <c r="C21" s="9" t="inlineStr">
        <is>
          <t>Трубы и фитинги ВиК, отопления</t>
        </is>
      </c>
      <c r="D21" s="9" t="inlineStr">
        <is>
          <t>компл</t>
        </is>
      </c>
      <c r="E21" s="10" t="n">
        <v>1</v>
      </c>
      <c r="F21" s="4">
        <f>E21*IFERROR(INDEX(Работы!$D$4:$D$672,MATCH(SUBSTITUTE(SUBSTITUTE(SUBSTITUTE(A21,"~","~~"),"*","~*"),"?","~?"),Работы!$B$4:$B$672,0)),0)</f>
        <v/>
      </c>
      <c r="G21" s="10" t="n">
        <v>180</v>
      </c>
      <c r="H21" s="14" t="n">
        <v>1</v>
      </c>
      <c r="I21" s="11" t="n">
        <v>0.04</v>
      </c>
      <c r="J21" s="11" t="n">
        <v>0.12</v>
      </c>
      <c r="K21" s="10" t="n"/>
      <c r="L21" s="9" t="inlineStr">
        <is>
          <t>оценка</t>
        </is>
      </c>
      <c r="M21" s="9" t="inlineStr"/>
      <c r="N21" s="9" t="inlineStr">
        <is>
          <t>2026-10-29</t>
        </is>
      </c>
      <c r="O21" s="13" t="inlineStr">
        <is>
          <t>оценка В Петрович, Лемана ПРО и Сатурн открытой карточки нет, оставлен прежний источник.</t>
        </is>
      </c>
      <c r="P21" s="4">
        <f>IF(H21=1,G21/VAT_DIV,G21)</f>
        <v/>
      </c>
      <c r="Q21" s="4">
        <f>P21*(1+I21)*(1+DELIV)*(1+GROWTH+MONEY)</f>
        <v/>
      </c>
      <c r="R21" s="4">
        <f>IF(AND(K21&lt;&gt;"",Q21*(1+J21)&gt;K21/VAT_DIV),K21/VAT_DIV,Q21*(1+J21))</f>
        <v/>
      </c>
      <c r="S21" s="4">
        <f>Q21*F21</f>
        <v/>
      </c>
      <c r="T21" s="4">
        <f>R21*F21</f>
        <v/>
      </c>
      <c r="U21" s="3">
        <f>IF(AND(K21&lt;&gt;"",Q21*(1+J21)&gt;K21/VAT_DIV+0.01),"ДА","")</f>
        <v/>
      </c>
      <c r="V21" s="4">
        <f>P21*F21</f>
        <v/>
      </c>
    </row>
    <row r="22" ht="20" customHeight="1">
      <c r="A22" s="9" t="inlineStr">
        <is>
          <t>26. Замена запорной арматуры трубопроводов (включая материалы и з/части) за 1 ед.</t>
        </is>
      </c>
      <c r="B22" s="13" t="inlineStr">
        <is>
          <t>Кран шаровой латунь Ду15–25</t>
        </is>
      </c>
      <c r="C22" s="9" t="inlineStr">
        <is>
          <t>Трубы и фитинги ВиК, отопления</t>
        </is>
      </c>
      <c r="D22" s="9" t="inlineStr">
        <is>
          <t>шт</t>
        </is>
      </c>
      <c r="E22" s="10" t="n">
        <v>1</v>
      </c>
      <c r="F22" s="4">
        <f>E22*IFERROR(INDEX(Работы!$D$4:$D$672,MATCH(SUBSTITUTE(SUBSTITUTE(SUBSTITUTE(A22,"~","~~"),"*","~*"),"?","~?"),Работы!$B$4:$B$672,0)),0)</f>
        <v/>
      </c>
      <c r="G22" s="10" t="n">
        <v>420</v>
      </c>
      <c r="H22" s="14" t="n">
        <v>1</v>
      </c>
      <c r="I22" s="11" t="n">
        <v>0.04</v>
      </c>
      <c r="J22" s="11" t="n">
        <v>0.12</v>
      </c>
      <c r="K22" s="10" t="n"/>
      <c r="L22" s="9" t="inlineStr">
        <is>
          <t>оценка</t>
        </is>
      </c>
      <c r="M22" s="9" t="inlineStr"/>
      <c r="N22" s="9" t="inlineStr">
        <is>
          <t>2026-10-29</t>
        </is>
      </c>
      <c r="O22" s="13" t="inlineStr">
        <is>
          <t>оценка В Петрович, Лемана ПРО и Сатурн открытой карточки нет, оставлен прежний источник.</t>
        </is>
      </c>
      <c r="P22" s="4">
        <f>IF(H22=1,G22/VAT_DIV,G22)</f>
        <v/>
      </c>
      <c r="Q22" s="4">
        <f>P22*(1+I22)*(1+DELIV)*(1+GROWTH+MONEY)</f>
        <v/>
      </c>
      <c r="R22" s="4">
        <f>IF(AND(K22&lt;&gt;"",Q22*(1+J22)&gt;K22/VAT_DIV),K22/VAT_DIV,Q22*(1+J22))</f>
        <v/>
      </c>
      <c r="S22" s="4">
        <f>Q22*F22</f>
        <v/>
      </c>
      <c r="T22" s="4">
        <f>R22*F22</f>
        <v/>
      </c>
      <c r="U22" s="3">
        <f>IF(AND(K22&lt;&gt;"",Q22*(1+J22)&gt;K22/VAT_DIV+0.01),"ДА","")</f>
        <v/>
      </c>
      <c r="V22" s="4">
        <f>P22*F22</f>
        <v/>
      </c>
    </row>
    <row r="23" ht="20" customHeight="1">
      <c r="A23" s="9" t="inlineStr">
        <is>
          <t>27. Подключение к системе ХВС, ГВС приборов (водонагреватель, кулер, пурифайр, стиральная машинка и т.д.) (включая материалы, комплектующие, фитинги, з/части и т.д.) за 1 ед.</t>
        </is>
      </c>
      <c r="B23" s="13" t="inlineStr">
        <is>
          <t>Кран и подводка для прибора</t>
        </is>
      </c>
      <c r="C23" s="9" t="inlineStr">
        <is>
          <t>Трубы и фитинги ВиК, отопления</t>
        </is>
      </c>
      <c r="D23" s="9" t="inlineStr">
        <is>
          <t>компл</t>
        </is>
      </c>
      <c r="E23" s="10" t="n">
        <v>1</v>
      </c>
      <c r="F23" s="4">
        <f>E23*IFERROR(INDEX(Работы!$D$4:$D$672,MATCH(SUBSTITUTE(SUBSTITUTE(SUBSTITUTE(A23,"~","~~"),"*","~*"),"?","~?"),Работы!$B$4:$B$672,0)),0)</f>
        <v/>
      </c>
      <c r="G23" s="10" t="n">
        <v>650</v>
      </c>
      <c r="H23" s="14" t="n">
        <v>1</v>
      </c>
      <c r="I23" s="11" t="n">
        <v>0.04</v>
      </c>
      <c r="J23" s="11" t="n">
        <v>0.12</v>
      </c>
      <c r="K23" s="10" t="n"/>
      <c r="L23" s="9" t="inlineStr">
        <is>
          <t>оценка</t>
        </is>
      </c>
      <c r="M23" s="9" t="inlineStr"/>
      <c r="N23" s="9" t="inlineStr">
        <is>
          <t>2026-10-29</t>
        </is>
      </c>
      <c r="O23" s="13" t="inlineStr">
        <is>
          <t>оценка В Петрович, Лемана ПРО и Сатурн открытой карточки нет, оставлен прежний источник.</t>
        </is>
      </c>
      <c r="P23" s="4">
        <f>IF(H23=1,G23/VAT_DIV,G23)</f>
        <v/>
      </c>
      <c r="Q23" s="4">
        <f>P23*(1+I23)*(1+DELIV)*(1+GROWTH+MONEY)</f>
        <v/>
      </c>
      <c r="R23" s="4">
        <f>IF(AND(K23&lt;&gt;"",Q23*(1+J23)&gt;K23/VAT_DIV),K23/VAT_DIV,Q23*(1+J23))</f>
        <v/>
      </c>
      <c r="S23" s="4">
        <f>Q23*F23</f>
        <v/>
      </c>
      <c r="T23" s="4">
        <f>R23*F23</f>
        <v/>
      </c>
      <c r="U23" s="3">
        <f>IF(AND(K23&lt;&gt;"",Q23*(1+J23)&gt;K23/VAT_DIV+0.01),"ДА","")</f>
        <v/>
      </c>
      <c r="V23" s="4">
        <f>P23*F23</f>
        <v/>
      </c>
    </row>
    <row r="24" ht="20" customHeight="1">
      <c r="A24" s="9" t="inlineStr">
        <is>
          <t>29. Планка примыкания верхняя, нижняя 150 х 250 с полимерным покрытием по RAL по согласованию</t>
        </is>
      </c>
      <c r="B24" s="13" t="inlineStr">
        <is>
          <t>Планка 150х250, ~1,6 кг/м</t>
        </is>
      </c>
      <c r="C24" s="9" t="inlineStr">
        <is>
          <t>Металлопрокат и метизы</t>
        </is>
      </c>
      <c r="D24" s="9" t="inlineStr">
        <is>
          <t>кг</t>
        </is>
      </c>
      <c r="E24" s="10" t="n">
        <v>1.6</v>
      </c>
      <c r="F24" s="4">
        <f>E24*IFERROR(INDEX(Работы!$D$4:$D$672,MATCH(SUBSTITUTE(SUBSTITUTE(SUBSTITUTE(A24,"~","~~"),"*","~*"),"?","~?"),Работы!$B$4:$B$672,0)),0)</f>
        <v/>
      </c>
      <c r="G24" s="10" t="n">
        <v>107.68</v>
      </c>
      <c r="H24" s="14" t="n">
        <v>1</v>
      </c>
      <c r="I24" s="11" t="n">
        <v>0.05</v>
      </c>
      <c r="J24" s="11" t="n">
        <v>0.1</v>
      </c>
      <c r="K24" s="10" t="n"/>
      <c r="L24" s="9" t="inlineStr">
        <is>
          <t>Петрович</t>
        </is>
      </c>
      <c r="M24" s="9" t="inlineStr">
        <is>
          <t>https://moscow.petrovich.ru/product/108534/</t>
        </is>
      </c>
      <c r="N24" s="9" t="inlineStr">
        <is>
          <t>2026-10-29</t>
        </is>
      </c>
      <c r="O24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24" s="4">
        <f>IF(H24=1,G24/VAT_DIV,G24)</f>
        <v/>
      </c>
      <c r="Q24" s="4">
        <f>P24*(1+I24)*(1+DELIV)*(1+GROWTH+MONEY)</f>
        <v/>
      </c>
      <c r="R24" s="4">
        <f>IF(AND(K24&lt;&gt;"",Q24*(1+J24)&gt;K24/VAT_DIV),K24/VAT_DIV,Q24*(1+J24))</f>
        <v/>
      </c>
      <c r="S24" s="4">
        <f>Q24*F24</f>
        <v/>
      </c>
      <c r="T24" s="4">
        <f>R24*F24</f>
        <v/>
      </c>
      <c r="U24" s="3">
        <f>IF(AND(K24&lt;&gt;"",Q24*(1+J24)&gt;K24/VAT_DIV+0.01),"ДА","")</f>
        <v/>
      </c>
      <c r="V24" s="4">
        <f>P24*F24</f>
        <v/>
      </c>
    </row>
    <row r="25" ht="20" customHeight="1">
      <c r="A25" s="9" t="inlineStr">
        <is>
          <t>30. Монтаж профлиста С8-115 - 0,50 окрашенный</t>
        </is>
      </c>
      <c r="B25" s="13" t="inlineStr">
        <is>
          <t>Монтаж профлиста С8-115 - 0,50 окрашенный</t>
        </is>
      </c>
      <c r="C25" s="9" t="inlineStr">
        <is>
          <t>Кровельные материалы и утеплитель</t>
        </is>
      </c>
      <c r="D25" s="9" t="inlineStr">
        <is>
          <t>м2</t>
        </is>
      </c>
      <c r="E25" s="10" t="n">
        <v>1.08</v>
      </c>
      <c r="F25" s="4">
        <f>E25*IFERROR(INDEX(Работы!$D$4:$D$672,MATCH(SUBSTITUTE(SUBSTITUTE(SUBSTITUTE(A25,"~","~~"),"*","~*"),"?","~?"),Работы!$B$4:$B$672,0)),0)</f>
        <v/>
      </c>
      <c r="G25" s="10" t="n">
        <v>560</v>
      </c>
      <c r="H25" s="14" t="n">
        <v>1</v>
      </c>
      <c r="I25" s="11" t="n">
        <v>0.1</v>
      </c>
      <c r="J25" s="11" t="n">
        <v>0.12</v>
      </c>
      <c r="K25" s="10" t="n"/>
      <c r="L25" s="9" t="inlineStr">
        <is>
          <t>оценка</t>
        </is>
      </c>
      <c r="M25" s="9" t="inlineStr"/>
      <c r="N25" s="9" t="inlineStr">
        <is>
          <t>2026-10-29</t>
        </is>
      </c>
      <c r="O25" s="13" t="inlineStr">
        <is>
          <t>оценка профлиста С8 0,45–0,5, запросить металлобазу В Петрович, Лемана ПРО и Сатурн открытой карточки нет, оставлен прежний источник.</t>
        </is>
      </c>
      <c r="P25" s="4">
        <f>IF(H25=1,G25/VAT_DIV,G25)</f>
        <v/>
      </c>
      <c r="Q25" s="4">
        <f>P25*(1+I25)*(1+DELIV)*(1+GROWTH+MONEY)</f>
        <v/>
      </c>
      <c r="R25" s="4">
        <f>IF(AND(K25&lt;&gt;"",Q25*(1+J25)&gt;K25/VAT_DIV),K25/VAT_DIV,Q25*(1+J25))</f>
        <v/>
      </c>
      <c r="S25" s="4">
        <f>Q25*F25</f>
        <v/>
      </c>
      <c r="T25" s="4">
        <f>R25*F25</f>
        <v/>
      </c>
      <c r="U25" s="3">
        <f>IF(AND(K25&lt;&gt;"",Q25*(1+J25)&gt;K25/VAT_DIV+0.01),"ДА","")</f>
        <v/>
      </c>
      <c r="V25" s="4">
        <f>P25*F25</f>
        <v/>
      </c>
    </row>
    <row r="26" ht="20" customHeight="1">
      <c r="A26" s="9" t="inlineStr">
        <is>
          <t>31. Монтаж профлиста  С8, 0,45мм</t>
        </is>
      </c>
      <c r="B26" s="13" t="inlineStr">
        <is>
          <t>Монтаж профлиста  С8, 0,45мм</t>
        </is>
      </c>
      <c r="C26" s="9" t="inlineStr">
        <is>
          <t>Кровельные материалы и утеплитель</t>
        </is>
      </c>
      <c r="D26" s="9" t="inlineStr">
        <is>
          <t>м2</t>
        </is>
      </c>
      <c r="E26" s="10" t="n">
        <v>1.08</v>
      </c>
      <c r="F26" s="4">
        <f>E26*IFERROR(INDEX(Работы!$D$4:$D$672,MATCH(SUBSTITUTE(SUBSTITUTE(SUBSTITUTE(A26,"~","~~"),"*","~*"),"?","~?"),Работы!$B$4:$B$672,0)),0)</f>
        <v/>
      </c>
      <c r="G26" s="10" t="n">
        <v>560</v>
      </c>
      <c r="H26" s="14" t="n">
        <v>1</v>
      </c>
      <c r="I26" s="11" t="n">
        <v>0.1</v>
      </c>
      <c r="J26" s="11" t="n">
        <v>0.12</v>
      </c>
      <c r="K26" s="10" t="n"/>
      <c r="L26" s="9" t="inlineStr">
        <is>
          <t>оценка</t>
        </is>
      </c>
      <c r="M26" s="9" t="inlineStr"/>
      <c r="N26" s="9" t="inlineStr">
        <is>
          <t>2026-10-29</t>
        </is>
      </c>
      <c r="O26" s="13" t="inlineStr">
        <is>
          <t>оценка профлиста С8 0,45–0,5, запросить металлобазу В Петрович, Лемана ПРО и Сатурн открытой карточки нет, оставлен прежний источник.</t>
        </is>
      </c>
      <c r="P26" s="4">
        <f>IF(H26=1,G26/VAT_DIV,G26)</f>
        <v/>
      </c>
      <c r="Q26" s="4">
        <f>P26*(1+I26)*(1+DELIV)*(1+GROWTH+MONEY)</f>
        <v/>
      </c>
      <c r="R26" s="4">
        <f>IF(AND(K26&lt;&gt;"",Q26*(1+J26)&gt;K26/VAT_DIV),K26/VAT_DIV,Q26*(1+J26))</f>
        <v/>
      </c>
      <c r="S26" s="4">
        <f>Q26*F26</f>
        <v/>
      </c>
      <c r="T26" s="4">
        <f>R26*F26</f>
        <v/>
      </c>
      <c r="U26" s="3">
        <f>IF(AND(K26&lt;&gt;"",Q26*(1+J26)&gt;K26/VAT_DIV+0.01),"ДА","")</f>
        <v/>
      </c>
      <c r="V26" s="4">
        <f>P26*F26</f>
        <v/>
      </c>
    </row>
    <row r="27" ht="20" customHeight="1">
      <c r="A27" s="9" t="inlineStr">
        <is>
          <t>32. Монтаж профлиста  С20, 0,45мм</t>
        </is>
      </c>
      <c r="B27" s="13" t="inlineStr">
        <is>
          <t>Монтаж профлиста  С20, 0,45мм</t>
        </is>
      </c>
      <c r="C27" s="9" t="inlineStr">
        <is>
          <t>Кровельные материалы и утеплитель</t>
        </is>
      </c>
      <c r="D27" s="9" t="inlineStr">
        <is>
          <t>м2</t>
        </is>
      </c>
      <c r="E27" s="10" t="n">
        <v>1.08</v>
      </c>
      <c r="F27" s="4">
        <f>E27*IFERROR(INDEX(Работы!$D$4:$D$672,MATCH(SUBSTITUTE(SUBSTITUTE(SUBSTITUTE(A27,"~","~~"),"*","~*"),"?","~?"),Работы!$B$4:$B$672,0)),0)</f>
        <v/>
      </c>
      <c r="G27" s="10" t="n">
        <v>560</v>
      </c>
      <c r="H27" s="14" t="n">
        <v>1</v>
      </c>
      <c r="I27" s="11" t="n">
        <v>0.1</v>
      </c>
      <c r="J27" s="11" t="n">
        <v>0.12</v>
      </c>
      <c r="K27" s="10" t="n"/>
      <c r="L27" s="9" t="inlineStr">
        <is>
          <t>оценка</t>
        </is>
      </c>
      <c r="M27" s="9" t="inlineStr"/>
      <c r="N27" s="9" t="inlineStr">
        <is>
          <t>2026-10-29</t>
        </is>
      </c>
      <c r="O27" s="13" t="inlineStr">
        <is>
          <t>оценка профлиста С8 0,45–0,5, запросить металлобазу В Петрович, Лемана ПРО и Сатурн открытой карточки нет, оставлен прежний источник.</t>
        </is>
      </c>
      <c r="P27" s="4">
        <f>IF(H27=1,G27/VAT_DIV,G27)</f>
        <v/>
      </c>
      <c r="Q27" s="4">
        <f>P27*(1+I27)*(1+DELIV)*(1+GROWTH+MONEY)</f>
        <v/>
      </c>
      <c r="R27" s="4">
        <f>IF(AND(K27&lt;&gt;"",Q27*(1+J27)&gt;K27/VAT_DIV),K27/VAT_DIV,Q27*(1+J27))</f>
        <v/>
      </c>
      <c r="S27" s="4">
        <f>Q27*F27</f>
        <v/>
      </c>
      <c r="T27" s="4">
        <f>R27*F27</f>
        <v/>
      </c>
      <c r="U27" s="3">
        <f>IF(AND(K27&lt;&gt;"",Q27*(1+J27)&gt;K27/VAT_DIV+0.01),"ДА","")</f>
        <v/>
      </c>
      <c r="V27" s="4">
        <f>P27*F27</f>
        <v/>
      </c>
    </row>
    <row r="28" ht="20" customHeight="1">
      <c r="A28" s="9" t="inlineStr">
        <is>
          <t>33. Поручни из нержавеющей стали ( с 3 ригелями )</t>
        </is>
      </c>
      <c r="B28" s="13" t="inlineStr">
        <is>
          <t>Поручни из нержавеющей стали ( с 3 ригелями )</t>
        </is>
      </c>
      <c r="C28" s="9" t="inlineStr">
        <is>
          <t>Металлопрокат и метизы</t>
        </is>
      </c>
      <c r="D28" s="9" t="inlineStr">
        <is>
          <t>м</t>
        </is>
      </c>
      <c r="E28" s="10" t="n">
        <v>1</v>
      </c>
      <c r="F28" s="4">
        <f>E28*IFERROR(INDEX(Работы!$D$4:$D$672,MATCH(SUBSTITUTE(SUBSTITUTE(SUBSTITUTE(A28,"~","~~"),"*","~*"),"?","~?"),Работы!$B$4:$B$672,0)),0)</f>
        <v/>
      </c>
      <c r="G28" s="10" t="n">
        <v>4500</v>
      </c>
      <c r="H28" s="14" t="n">
        <v>1</v>
      </c>
      <c r="I28" s="11" t="n">
        <v>0.05</v>
      </c>
      <c r="J28" s="11" t="n">
        <v>0.1</v>
      </c>
      <c r="K28" s="10" t="n"/>
      <c r="L28" s="9" t="inlineStr">
        <is>
          <t>оценка</t>
        </is>
      </c>
      <c r="M28" s="9" t="inlineStr"/>
      <c r="N28" s="9" t="inlineStr">
        <is>
          <t>2026-10-29</t>
        </is>
      </c>
      <c r="O28" s="13" t="inlineStr">
        <is>
          <t>оценка нержавеющего ограждения, запросить КП В Петрович, Лемана ПРО и Сатурн открытой карточки нет, оставлен прежний источник.</t>
        </is>
      </c>
      <c r="P28" s="4">
        <f>IF(H28=1,G28/VAT_DIV,G28)</f>
        <v/>
      </c>
      <c r="Q28" s="4">
        <f>P28*(1+I28)*(1+DELIV)*(1+GROWTH+MONEY)</f>
        <v/>
      </c>
      <c r="R28" s="4">
        <f>IF(AND(K28&lt;&gt;"",Q28*(1+J28)&gt;K28/VAT_DIV),K28/VAT_DIV,Q28*(1+J28))</f>
        <v/>
      </c>
      <c r="S28" s="4">
        <f>Q28*F28</f>
        <v/>
      </c>
      <c r="T28" s="4">
        <f>R28*F28</f>
        <v/>
      </c>
      <c r="U28" s="3">
        <f>IF(AND(K28&lt;&gt;"",Q28*(1+J28)&gt;K28/VAT_DIV+0.01),"ДА","")</f>
        <v/>
      </c>
      <c r="V28" s="4">
        <f>P28*F28</f>
        <v/>
      </c>
    </row>
    <row r="29" ht="20" customHeight="1">
      <c r="A29" s="9" t="inlineStr">
        <is>
          <t>34. Поручни из нержавеющей стали ( с 2 ригелями, с двойным )</t>
        </is>
      </c>
      <c r="B29" s="13" t="inlineStr">
        <is>
          <t>Поручни из нержавеющей стали ( с 2 ригелями, с двойным )</t>
        </is>
      </c>
      <c r="C29" s="9" t="inlineStr">
        <is>
          <t>Металлопрокат и метизы</t>
        </is>
      </c>
      <c r="D29" s="9" t="inlineStr">
        <is>
          <t>м</t>
        </is>
      </c>
      <c r="E29" s="10" t="n">
        <v>1</v>
      </c>
      <c r="F29" s="4">
        <f>E29*IFERROR(INDEX(Работы!$D$4:$D$672,MATCH(SUBSTITUTE(SUBSTITUTE(SUBSTITUTE(A29,"~","~~"),"*","~*"),"?","~?"),Работы!$B$4:$B$672,0)),0)</f>
        <v/>
      </c>
      <c r="G29" s="10" t="n">
        <v>4500</v>
      </c>
      <c r="H29" s="14" t="n">
        <v>1</v>
      </c>
      <c r="I29" s="11" t="n">
        <v>0.05</v>
      </c>
      <c r="J29" s="11" t="n">
        <v>0.1</v>
      </c>
      <c r="K29" s="10" t="n"/>
      <c r="L29" s="9" t="inlineStr">
        <is>
          <t>оценка</t>
        </is>
      </c>
      <c r="M29" s="9" t="inlineStr"/>
      <c r="N29" s="9" t="inlineStr">
        <is>
          <t>2026-10-29</t>
        </is>
      </c>
      <c r="O29" s="13" t="inlineStr">
        <is>
          <t>оценка нержавеющего ограждения, запросить КП В Петрович, Лемана ПРО и Сатурн открытой карточки нет, оставлен прежний источник.</t>
        </is>
      </c>
      <c r="P29" s="4">
        <f>IF(H29=1,G29/VAT_DIV,G29)</f>
        <v/>
      </c>
      <c r="Q29" s="4">
        <f>P29*(1+I29)*(1+DELIV)*(1+GROWTH+MONEY)</f>
        <v/>
      </c>
      <c r="R29" s="4">
        <f>IF(AND(K29&lt;&gt;"",Q29*(1+J29)&gt;K29/VAT_DIV),K29/VAT_DIV,Q29*(1+J29))</f>
        <v/>
      </c>
      <c r="S29" s="4">
        <f>Q29*F29</f>
        <v/>
      </c>
      <c r="T29" s="4">
        <f>R29*F29</f>
        <v/>
      </c>
      <c r="U29" s="3">
        <f>IF(AND(K29&lt;&gt;"",Q29*(1+J29)&gt;K29/VAT_DIV+0.01),"ДА","")</f>
        <v/>
      </c>
      <c r="V29" s="4">
        <f>P29*F29</f>
        <v/>
      </c>
    </row>
    <row r="30" ht="20" customHeight="1">
      <c r="A30" s="9" t="inlineStr">
        <is>
          <t>35. Керамогранит 300х300х8 мм типа "Эстима" (цвет белый )RW-01 (вкл. За основу клей, грунтовку, затирку швов)</t>
        </is>
      </c>
      <c r="B30" s="13" t="inlineStr">
        <is>
          <t>Керамогранит 300х300х8 мм типа "Эстима" (цвет белый )RW-01 (вкл. За основу клей,</t>
        </is>
      </c>
      <c r="C30" s="9" t="inlineStr">
        <is>
          <t>Плитка, керамогранит</t>
        </is>
      </c>
      <c r="D30" s="9" t="inlineStr">
        <is>
          <t>м2</t>
        </is>
      </c>
      <c r="E30" s="10" t="n">
        <v>1</v>
      </c>
      <c r="F30" s="4">
        <f>E30*IFERROR(INDEX(Работы!$D$4:$D$672,MATCH(SUBSTITUTE(SUBSTITUTE(SUBSTITUTE(A30,"~","~~"),"*","~*"),"?","~?"),Работы!$B$4:$B$672,0)),0)</f>
        <v/>
      </c>
      <c r="G30" s="10" t="n">
        <v>1038.28</v>
      </c>
      <c r="H30" s="14" t="n">
        <v>1</v>
      </c>
      <c r="I30" s="11" t="n">
        <v>0.1</v>
      </c>
      <c r="J30" s="11" t="n">
        <v>0.12</v>
      </c>
      <c r="K30" s="10" t="n"/>
      <c r="L30" s="9" t="inlineStr">
        <is>
          <t>Лемана ПРО</t>
        </is>
      </c>
      <c r="M30" s="9" t="inlineStr">
        <is>
          <t>https://lemanapro.ru/product/keramogranit-grani-taganaya-seryy-600h600-mm-91358213/</t>
        </is>
      </c>
      <c r="N30" s="9" t="inlineStr">
        <is>
          <t>2026-10-29</t>
        </is>
      </c>
      <c r="O30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30" s="4">
        <f>IF(H30=1,G30/VAT_DIV,G30)</f>
        <v/>
      </c>
      <c r="Q30" s="4">
        <f>P30*(1+I30)*(1+DELIV)*(1+GROWTH+MONEY)</f>
        <v/>
      </c>
      <c r="R30" s="4">
        <f>IF(AND(K30&lt;&gt;"",Q30*(1+J30)&gt;K30/VAT_DIV),K30/VAT_DIV,Q30*(1+J30))</f>
        <v/>
      </c>
      <c r="S30" s="4">
        <f>Q30*F30</f>
        <v/>
      </c>
      <c r="T30" s="4">
        <f>R30*F30</f>
        <v/>
      </c>
      <c r="U30" s="3">
        <f>IF(AND(K30&lt;&gt;"",Q30*(1+J30)&gt;K30/VAT_DIV+0.01),"ДА","")</f>
        <v/>
      </c>
      <c r="V30" s="4">
        <f>P30*F30</f>
        <v/>
      </c>
    </row>
    <row r="31" ht="20" customHeight="1">
      <c r="A31" s="9" t="inlineStr">
        <is>
          <t>35. Керамогранит 300х300х8 мм типа "Эстима" (цвет белый )RW-01 (вкл. За основу клей, грунтовку, затирку швов)</t>
        </is>
      </c>
      <c r="B31" s="13" t="inlineStr">
        <is>
          <t>Клей плиточный</t>
        </is>
      </c>
      <c r="C31" s="9" t="inlineStr">
        <is>
          <t>Сухие смеси, штукатурки, шпаклёвки</t>
        </is>
      </c>
      <c r="D31" s="9" t="inlineStr">
        <is>
          <t>кг</t>
        </is>
      </c>
      <c r="E31" s="10" t="n">
        <v>5.5</v>
      </c>
      <c r="F31" s="4">
        <f>E31*IFERROR(INDEX(Работы!$D$4:$D$672,MATCH(SUBSTITUTE(SUBSTITUTE(SUBSTITUTE(A31,"~","~~"),"*","~*"),"?","~?"),Работы!$B$4:$B$672,0)),0)</f>
        <v/>
      </c>
      <c r="G31" s="10" t="n">
        <v>22.68</v>
      </c>
      <c r="H31" s="14" t="n">
        <v>1</v>
      </c>
      <c r="I31" s="11" t="n">
        <v>0.05</v>
      </c>
      <c r="J31" s="11" t="n">
        <v>0.12</v>
      </c>
      <c r="K31" s="10" t="n"/>
      <c r="L31" s="9" t="inlineStr">
        <is>
          <t>Лемана ПРО</t>
        </is>
      </c>
      <c r="M31" s="9" t="inlineStr">
        <is>
          <t>https://lemanapro.ru/product/kley-plitochnyy-ceresit-cm-11-pro-25-kg-89340445/</t>
        </is>
      </c>
      <c r="N31" s="9" t="inlineStr">
        <is>
          <t>2026-10-29</t>
        </is>
      </c>
      <c r="O31" s="13" t="inlineStr">
        <is>
          <t>Минимум из трёх: Лемана ПРО Ceresit CM 11 PRO 25 кг = 22,68 руб/кг. Петрович 24,76, Сатурн 27.</t>
        </is>
      </c>
      <c r="P31" s="4">
        <f>IF(H31=1,G31/VAT_DIV,G31)</f>
        <v/>
      </c>
      <c r="Q31" s="4">
        <f>P31*(1+I31)*(1+DELIV)*(1+GROWTH+MONEY)</f>
        <v/>
      </c>
      <c r="R31" s="4">
        <f>IF(AND(K31&lt;&gt;"",Q31*(1+J31)&gt;K31/VAT_DIV),K31/VAT_DIV,Q31*(1+J31))</f>
        <v/>
      </c>
      <c r="S31" s="4">
        <f>Q31*F31</f>
        <v/>
      </c>
      <c r="T31" s="4">
        <f>R31*F31</f>
        <v/>
      </c>
      <c r="U31" s="3">
        <f>IF(AND(K31&lt;&gt;"",Q31*(1+J31)&gt;K31/VAT_DIV+0.01),"ДА","")</f>
        <v/>
      </c>
      <c r="V31" s="4">
        <f>P31*F31</f>
        <v/>
      </c>
    </row>
    <row r="32" ht="20" customHeight="1">
      <c r="A32" s="9" t="inlineStr">
        <is>
          <t>35. Керамогранит 300х300х8 мм типа "Эстима" (цвет белый )RW-01 (вкл. За основу клей, грунтовку, затирку швов)</t>
        </is>
      </c>
      <c r="B32" s="13" t="inlineStr">
        <is>
          <t>Затирка</t>
        </is>
      </c>
      <c r="C32" s="9" t="inlineStr">
        <is>
          <t>Сухие смеси, штукатурки, шпаклёвки</t>
        </is>
      </c>
      <c r="D32" s="9" t="inlineStr">
        <is>
          <t>кг</t>
        </is>
      </c>
      <c r="E32" s="10" t="n">
        <v>0.4</v>
      </c>
      <c r="F32" s="4">
        <f>E32*IFERROR(INDEX(Работы!$D$4:$D$672,MATCH(SUBSTITUTE(SUBSTITUTE(SUBSTITUTE(A32,"~","~~"),"*","~*"),"?","~?"),Работы!$B$4:$B$672,0)),0)</f>
        <v/>
      </c>
      <c r="G32" s="10" t="n">
        <v>155</v>
      </c>
      <c r="H32" s="14" t="n">
        <v>1</v>
      </c>
      <c r="I32" s="11" t="n">
        <v>0.05</v>
      </c>
      <c r="J32" s="11" t="n">
        <v>0.12</v>
      </c>
      <c r="K32" s="10" t="n"/>
      <c r="L32" s="9" t="inlineStr">
        <is>
          <t>Петрович</t>
        </is>
      </c>
      <c r="M32" s="9" t="inlineStr">
        <is>
          <t>https://moscow.petrovich.ru/product/102834/</t>
        </is>
      </c>
      <c r="N32" s="9" t="inlineStr">
        <is>
          <t>2026-10-29</t>
        </is>
      </c>
      <c r="O32" s="13" t="inlineStr">
        <is>
          <t>Петрович, Ceresit CE 33, 2 кг = 310 руб (155 руб/кг). Лемана ПРО 173, Сатурн 181,5 руб/кг.</t>
        </is>
      </c>
      <c r="P32" s="4">
        <f>IF(H32=1,G32/VAT_DIV,G32)</f>
        <v/>
      </c>
      <c r="Q32" s="4">
        <f>P32*(1+I32)*(1+DELIV)*(1+GROWTH+MONEY)</f>
        <v/>
      </c>
      <c r="R32" s="4">
        <f>IF(AND(K32&lt;&gt;"",Q32*(1+J32)&gt;K32/VAT_DIV),K32/VAT_DIV,Q32*(1+J32))</f>
        <v/>
      </c>
      <c r="S32" s="4">
        <f>Q32*F32</f>
        <v/>
      </c>
      <c r="T32" s="4">
        <f>R32*F32</f>
        <v/>
      </c>
      <c r="U32" s="3">
        <f>IF(AND(K32&lt;&gt;"",Q32*(1+J32)&gt;K32/VAT_DIV+0.01),"ДА","")</f>
        <v/>
      </c>
      <c r="V32" s="4">
        <f>P32*F32</f>
        <v/>
      </c>
    </row>
    <row r="33" ht="20" customHeight="1">
      <c r="A33" s="9" t="inlineStr">
        <is>
          <t>35. Керамогранит 300х300х8 мм типа "Эстима" (цвет белый )RW-01 (вкл. За основу клей, грунтовку, затирку швов)</t>
        </is>
      </c>
      <c r="B33" s="13" t="inlineStr">
        <is>
          <t>Грунт</t>
        </is>
      </c>
      <c r="C33" s="9" t="inlineStr">
        <is>
          <t>Краски, грунты, ЛКМ</t>
        </is>
      </c>
      <c r="D33" s="9" t="inlineStr">
        <is>
          <t>л</t>
        </is>
      </c>
      <c r="E33" s="10" t="n">
        <v>0.15</v>
      </c>
      <c r="F33" s="4">
        <f>E33*IFERROR(INDEX(Работы!$D$4:$D$672,MATCH(SUBSTITUTE(SUBSTITUTE(SUBSTITUTE(A33,"~","~~"),"*","~*"),"?","~?"),Работы!$B$4:$B$672,0)),0)</f>
        <v/>
      </c>
      <c r="G33" s="10" t="n">
        <v>136.7</v>
      </c>
      <c r="H33" s="14" t="n">
        <v>1</v>
      </c>
      <c r="I33" s="11" t="n">
        <v>0.05</v>
      </c>
      <c r="J33" s="11" t="n">
        <v>0.12</v>
      </c>
      <c r="K33" s="10" t="n"/>
      <c r="L33" s="9" t="inlineStr">
        <is>
          <t>Лемана ПРО</t>
        </is>
      </c>
      <c r="M33" s="9" t="inlineStr">
        <is>
          <t>https://lemanapro.ru/product/grunt-ceresit-ct-17-transparent-glubokogo-proniknoveniya-10-l-89398668/</t>
        </is>
      </c>
      <c r="N33" s="9" t="inlineStr">
        <is>
          <t>2026-10-29</t>
        </is>
      </c>
      <c r="O33" s="13" t="inlineStr">
        <is>
          <t>Минимум из трёх: Лемана ПРО Ceresit CT 17, 10 л = 136,7 руб/л. Петрович CT 17 PRO 143,8, Сатурн 145,9.</t>
        </is>
      </c>
      <c r="P33" s="4">
        <f>IF(H33=1,G33/VAT_DIV,G33)</f>
        <v/>
      </c>
      <c r="Q33" s="4">
        <f>P33*(1+I33)*(1+DELIV)*(1+GROWTH+MONEY)</f>
        <v/>
      </c>
      <c r="R33" s="4">
        <f>IF(AND(K33&lt;&gt;"",Q33*(1+J33)&gt;K33/VAT_DIV),K33/VAT_DIV,Q33*(1+J33))</f>
        <v/>
      </c>
      <c r="S33" s="4">
        <f>Q33*F33</f>
        <v/>
      </c>
      <c r="T33" s="4">
        <f>R33*F33</f>
        <v/>
      </c>
      <c r="U33" s="3">
        <f>IF(AND(K33&lt;&gt;"",Q33*(1+J33)&gt;K33/VAT_DIV+0.01),"ДА","")</f>
        <v/>
      </c>
      <c r="V33" s="4">
        <f>P33*F33</f>
        <v/>
      </c>
    </row>
    <row r="34" ht="20" customHeight="1">
      <c r="A34" s="9" t="inlineStr">
        <is>
          <t>36. Керамогранит 400х400х9 мм типа "Эстима" (цвет белый))RW-01 (вкл. За основу клей, грунтовку, затирку швов)</t>
        </is>
      </c>
      <c r="B34" s="13" t="inlineStr">
        <is>
          <t>Керамогранит 400х400х9 мм типа "Эстима" (цвет белый))RW-01 (вкл. За основу клей,</t>
        </is>
      </c>
      <c r="C34" s="9" t="inlineStr">
        <is>
          <t>Плитка, керамогранит</t>
        </is>
      </c>
      <c r="D34" s="9" t="inlineStr">
        <is>
          <t>м2</t>
        </is>
      </c>
      <c r="E34" s="10" t="n">
        <v>1</v>
      </c>
      <c r="F34" s="4">
        <f>E34*IFERROR(INDEX(Работы!$D$4:$D$672,MATCH(SUBSTITUTE(SUBSTITUTE(SUBSTITUTE(A34,"~","~~"),"*","~*"),"?","~?"),Работы!$B$4:$B$672,0)),0)</f>
        <v/>
      </c>
      <c r="G34" s="10" t="n">
        <v>1153.65</v>
      </c>
      <c r="H34" s="14" t="n">
        <v>1</v>
      </c>
      <c r="I34" s="11" t="n">
        <v>0.1</v>
      </c>
      <c r="J34" s="11" t="n">
        <v>0.12</v>
      </c>
      <c r="K34" s="10" t="n"/>
      <c r="L34" s="9" t="inlineStr">
        <is>
          <t>Лемана ПРО</t>
        </is>
      </c>
      <c r="M34" s="9" t="inlineStr">
        <is>
          <t>https://lemanapro.ru/product/keramogranit-grani-taganaya-seryy-600h600-mm-91358213/</t>
        </is>
      </c>
      <c r="N34" s="9" t="inlineStr">
        <is>
          <t>2026-10-29</t>
        </is>
      </c>
      <c r="O34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34" s="4">
        <f>IF(H34=1,G34/VAT_DIV,G34)</f>
        <v/>
      </c>
      <c r="Q34" s="4">
        <f>P34*(1+I34)*(1+DELIV)*(1+GROWTH+MONEY)</f>
        <v/>
      </c>
      <c r="R34" s="4">
        <f>IF(AND(K34&lt;&gt;"",Q34*(1+J34)&gt;K34/VAT_DIV),K34/VAT_DIV,Q34*(1+J34))</f>
        <v/>
      </c>
      <c r="S34" s="4">
        <f>Q34*F34</f>
        <v/>
      </c>
      <c r="T34" s="4">
        <f>R34*F34</f>
        <v/>
      </c>
      <c r="U34" s="3">
        <f>IF(AND(K34&lt;&gt;"",Q34*(1+J34)&gt;K34/VAT_DIV+0.01),"ДА","")</f>
        <v/>
      </c>
      <c r="V34" s="4">
        <f>P34*F34</f>
        <v/>
      </c>
    </row>
    <row r="35" ht="20" customHeight="1">
      <c r="A35" s="9" t="inlineStr">
        <is>
          <t>36. Керамогранит 400х400х9 мм типа "Эстима" (цвет белый))RW-01 (вкл. За основу клей, грунтовку, затирку швов)</t>
        </is>
      </c>
      <c r="B35" s="13" t="inlineStr">
        <is>
          <t>Клей плиточный</t>
        </is>
      </c>
      <c r="C35" s="9" t="inlineStr">
        <is>
          <t>Сухие смеси, штукатурки, шпаклёвки</t>
        </is>
      </c>
      <c r="D35" s="9" t="inlineStr">
        <is>
          <t>кг</t>
        </is>
      </c>
      <c r="E35" s="10" t="n">
        <v>5.5</v>
      </c>
      <c r="F35" s="4">
        <f>E35*IFERROR(INDEX(Работы!$D$4:$D$672,MATCH(SUBSTITUTE(SUBSTITUTE(SUBSTITUTE(A35,"~","~~"),"*","~*"),"?","~?"),Работы!$B$4:$B$672,0)),0)</f>
        <v/>
      </c>
      <c r="G35" s="10" t="n">
        <v>22.68</v>
      </c>
      <c r="H35" s="14" t="n">
        <v>1</v>
      </c>
      <c r="I35" s="11" t="n">
        <v>0.05</v>
      </c>
      <c r="J35" s="11" t="n">
        <v>0.12</v>
      </c>
      <c r="K35" s="10" t="n"/>
      <c r="L35" s="9" t="inlineStr">
        <is>
          <t>Лемана ПРО</t>
        </is>
      </c>
      <c r="M35" s="9" t="inlineStr">
        <is>
          <t>https://lemanapro.ru/product/kley-plitochnyy-ceresit-cm-11-pro-25-kg-89340445/</t>
        </is>
      </c>
      <c r="N35" s="9" t="inlineStr">
        <is>
          <t>2026-10-29</t>
        </is>
      </c>
      <c r="O35" s="13" t="inlineStr">
        <is>
          <t>Минимум из трёх: Лемана ПРО Ceresit CM 11 PRO 25 кг = 22,68 руб/кг. Петрович 24,76, Сатурн 27.</t>
        </is>
      </c>
      <c r="P35" s="4">
        <f>IF(H35=1,G35/VAT_DIV,G35)</f>
        <v/>
      </c>
      <c r="Q35" s="4">
        <f>P35*(1+I35)*(1+DELIV)*(1+GROWTH+MONEY)</f>
        <v/>
      </c>
      <c r="R35" s="4">
        <f>IF(AND(K35&lt;&gt;"",Q35*(1+J35)&gt;K35/VAT_DIV),K35/VAT_DIV,Q35*(1+J35))</f>
        <v/>
      </c>
      <c r="S35" s="4">
        <f>Q35*F35</f>
        <v/>
      </c>
      <c r="T35" s="4">
        <f>R35*F35</f>
        <v/>
      </c>
      <c r="U35" s="3">
        <f>IF(AND(K35&lt;&gt;"",Q35*(1+J35)&gt;K35/VAT_DIV+0.01),"ДА","")</f>
        <v/>
      </c>
      <c r="V35" s="4">
        <f>P35*F35</f>
        <v/>
      </c>
    </row>
    <row r="36" ht="20" customHeight="1">
      <c r="A36" s="9" t="inlineStr">
        <is>
          <t>36. Керамогранит 400х400х9 мм типа "Эстима" (цвет белый))RW-01 (вкл. За основу клей, грунтовку, затирку швов)</t>
        </is>
      </c>
      <c r="B36" s="13" t="inlineStr">
        <is>
          <t>Затирка</t>
        </is>
      </c>
      <c r="C36" s="9" t="inlineStr">
        <is>
          <t>Сухие смеси, штукатурки, шпаклёвки</t>
        </is>
      </c>
      <c r="D36" s="9" t="inlineStr">
        <is>
          <t>кг</t>
        </is>
      </c>
      <c r="E36" s="10" t="n">
        <v>0.4</v>
      </c>
      <c r="F36" s="4">
        <f>E36*IFERROR(INDEX(Работы!$D$4:$D$672,MATCH(SUBSTITUTE(SUBSTITUTE(SUBSTITUTE(A36,"~","~~"),"*","~*"),"?","~?"),Работы!$B$4:$B$672,0)),0)</f>
        <v/>
      </c>
      <c r="G36" s="10" t="n">
        <v>155</v>
      </c>
      <c r="H36" s="14" t="n">
        <v>1</v>
      </c>
      <c r="I36" s="11" t="n">
        <v>0.05</v>
      </c>
      <c r="J36" s="11" t="n">
        <v>0.12</v>
      </c>
      <c r="K36" s="10" t="n"/>
      <c r="L36" s="9" t="inlineStr">
        <is>
          <t>Петрович</t>
        </is>
      </c>
      <c r="M36" s="9" t="inlineStr">
        <is>
          <t>https://moscow.petrovich.ru/product/102834/</t>
        </is>
      </c>
      <c r="N36" s="9" t="inlineStr">
        <is>
          <t>2026-10-29</t>
        </is>
      </c>
      <c r="O36" s="13" t="inlineStr">
        <is>
          <t>Петрович, Ceresit CE 33, 2 кг = 310 руб (155 руб/кг). Лемана ПРО 173, Сатурн 181,5 руб/кг.</t>
        </is>
      </c>
      <c r="P36" s="4">
        <f>IF(H36=1,G36/VAT_DIV,G36)</f>
        <v/>
      </c>
      <c r="Q36" s="4">
        <f>P36*(1+I36)*(1+DELIV)*(1+GROWTH+MONEY)</f>
        <v/>
      </c>
      <c r="R36" s="4">
        <f>IF(AND(K36&lt;&gt;"",Q36*(1+J36)&gt;K36/VAT_DIV),K36/VAT_DIV,Q36*(1+J36))</f>
        <v/>
      </c>
      <c r="S36" s="4">
        <f>Q36*F36</f>
        <v/>
      </c>
      <c r="T36" s="4">
        <f>R36*F36</f>
        <v/>
      </c>
      <c r="U36" s="3">
        <f>IF(AND(K36&lt;&gt;"",Q36*(1+J36)&gt;K36/VAT_DIV+0.01),"ДА","")</f>
        <v/>
      </c>
      <c r="V36" s="4">
        <f>P36*F36</f>
        <v/>
      </c>
    </row>
    <row r="37" ht="20" customHeight="1">
      <c r="A37" s="9" t="inlineStr">
        <is>
          <t>36. Керамогранит 400х400х9 мм типа "Эстима" (цвет белый))RW-01 (вкл. За основу клей, грунтовку, затирку швов)</t>
        </is>
      </c>
      <c r="B37" s="13" t="inlineStr">
        <is>
          <t>Грунт</t>
        </is>
      </c>
      <c r="C37" s="9" t="inlineStr">
        <is>
          <t>Краски, грунты, ЛКМ</t>
        </is>
      </c>
      <c r="D37" s="9" t="inlineStr">
        <is>
          <t>л</t>
        </is>
      </c>
      <c r="E37" s="10" t="n">
        <v>0.15</v>
      </c>
      <c r="F37" s="4">
        <f>E37*IFERROR(INDEX(Работы!$D$4:$D$672,MATCH(SUBSTITUTE(SUBSTITUTE(SUBSTITUTE(A37,"~","~~"),"*","~*"),"?","~?"),Работы!$B$4:$B$672,0)),0)</f>
        <v/>
      </c>
      <c r="G37" s="10" t="n">
        <v>136.7</v>
      </c>
      <c r="H37" s="14" t="n">
        <v>1</v>
      </c>
      <c r="I37" s="11" t="n">
        <v>0.05</v>
      </c>
      <c r="J37" s="11" t="n">
        <v>0.12</v>
      </c>
      <c r="K37" s="10" t="n"/>
      <c r="L37" s="9" t="inlineStr">
        <is>
          <t>Лемана ПРО</t>
        </is>
      </c>
      <c r="M37" s="9" t="inlineStr">
        <is>
          <t>https://lemanapro.ru/product/grunt-ceresit-ct-17-transparent-glubokogo-proniknoveniya-10-l-89398668/</t>
        </is>
      </c>
      <c r="N37" s="9" t="inlineStr">
        <is>
          <t>2026-10-29</t>
        </is>
      </c>
      <c r="O37" s="13" t="inlineStr">
        <is>
          <t>Минимум из трёх: Лемана ПРО Ceresit CT 17, 10 л = 136,7 руб/л. Петрович CT 17 PRO 143,8, Сатурн 145,9.</t>
        </is>
      </c>
      <c r="P37" s="4">
        <f>IF(H37=1,G37/VAT_DIV,G37)</f>
        <v/>
      </c>
      <c r="Q37" s="4">
        <f>P37*(1+I37)*(1+DELIV)*(1+GROWTH+MONEY)</f>
        <v/>
      </c>
      <c r="R37" s="4">
        <f>IF(AND(K37&lt;&gt;"",Q37*(1+J37)&gt;K37/VAT_DIV),K37/VAT_DIV,Q37*(1+J37))</f>
        <v/>
      </c>
      <c r="S37" s="4">
        <f>Q37*F37</f>
        <v/>
      </c>
      <c r="T37" s="4">
        <f>R37*F37</f>
        <v/>
      </c>
      <c r="U37" s="3">
        <f>IF(AND(K37&lt;&gt;"",Q37*(1+J37)&gt;K37/VAT_DIV+0.01),"ДА","")</f>
        <v/>
      </c>
      <c r="V37" s="4">
        <f>P37*F37</f>
        <v/>
      </c>
    </row>
    <row r="38" ht="20" customHeight="1">
      <c r="A38" s="9" t="inlineStr">
        <is>
          <t>37. Керамогранит 600х600х10 мм типа "Эстима" (цвет белый))RW-01 (вкл. За основу клей, грунтовку, затирку швов)</t>
        </is>
      </c>
      <c r="B38" s="13" t="inlineStr">
        <is>
          <t>Керамогранит 600х600х10 мм типа "Эстима" (цвет белый))RW-01 (вкл. За основу клей</t>
        </is>
      </c>
      <c r="C38" s="9" t="inlineStr">
        <is>
          <t>Плитка, керамогранит</t>
        </is>
      </c>
      <c r="D38" s="9" t="inlineStr">
        <is>
          <t>м2</t>
        </is>
      </c>
      <c r="E38" s="10" t="n">
        <v>1</v>
      </c>
      <c r="F38" s="4">
        <f>E38*IFERROR(INDEX(Работы!$D$4:$D$672,MATCH(SUBSTITUTE(SUBSTITUTE(SUBSTITUTE(A38,"~","~~"),"*","~*"),"?","~?"),Работы!$B$4:$B$672,0)),0)</f>
        <v/>
      </c>
      <c r="G38" s="10" t="n">
        <v>1326.7</v>
      </c>
      <c r="H38" s="14" t="n">
        <v>1</v>
      </c>
      <c r="I38" s="11" t="n">
        <v>0.1</v>
      </c>
      <c r="J38" s="11" t="n">
        <v>0.12</v>
      </c>
      <c r="K38" s="10" t="n"/>
      <c r="L38" s="9" t="inlineStr">
        <is>
          <t>Лемана ПРО</t>
        </is>
      </c>
      <c r="M38" s="9" t="inlineStr">
        <is>
          <t>https://lemanapro.ru/product/keramogranit-grani-taganaya-seryy-600h600-mm-91358213/</t>
        </is>
      </c>
      <c r="N38" s="9" t="inlineStr">
        <is>
          <t>2026-10-29</t>
        </is>
      </c>
      <c r="O38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38" s="4">
        <f>IF(H38=1,G38/VAT_DIV,G38)</f>
        <v/>
      </c>
      <c r="Q38" s="4">
        <f>P38*(1+I38)*(1+DELIV)*(1+GROWTH+MONEY)</f>
        <v/>
      </c>
      <c r="R38" s="4">
        <f>IF(AND(K38&lt;&gt;"",Q38*(1+J38)&gt;K38/VAT_DIV),K38/VAT_DIV,Q38*(1+J38))</f>
        <v/>
      </c>
      <c r="S38" s="4">
        <f>Q38*F38</f>
        <v/>
      </c>
      <c r="T38" s="4">
        <f>R38*F38</f>
        <v/>
      </c>
      <c r="U38" s="3">
        <f>IF(AND(K38&lt;&gt;"",Q38*(1+J38)&gt;K38/VAT_DIV+0.01),"ДА","")</f>
        <v/>
      </c>
      <c r="V38" s="4">
        <f>P38*F38</f>
        <v/>
      </c>
    </row>
    <row r="39" ht="20" customHeight="1">
      <c r="A39" s="9" t="inlineStr">
        <is>
          <t>37. Керамогранит 600х600х10 мм типа "Эстима" (цвет белый))RW-01 (вкл. За основу клей, грунтовку, затирку швов)</t>
        </is>
      </c>
      <c r="B39" s="13" t="inlineStr">
        <is>
          <t>Клей плиточный</t>
        </is>
      </c>
      <c r="C39" s="9" t="inlineStr">
        <is>
          <t>Сухие смеси, штукатурки, шпаклёвки</t>
        </is>
      </c>
      <c r="D39" s="9" t="inlineStr">
        <is>
          <t>кг</t>
        </is>
      </c>
      <c r="E39" s="10" t="n">
        <v>5.5</v>
      </c>
      <c r="F39" s="4">
        <f>E39*IFERROR(INDEX(Работы!$D$4:$D$672,MATCH(SUBSTITUTE(SUBSTITUTE(SUBSTITUTE(A39,"~","~~"),"*","~*"),"?","~?"),Работы!$B$4:$B$672,0)),0)</f>
        <v/>
      </c>
      <c r="G39" s="10" t="n">
        <v>22.68</v>
      </c>
      <c r="H39" s="14" t="n">
        <v>1</v>
      </c>
      <c r="I39" s="11" t="n">
        <v>0.05</v>
      </c>
      <c r="J39" s="11" t="n">
        <v>0.12</v>
      </c>
      <c r="K39" s="10" t="n"/>
      <c r="L39" s="9" t="inlineStr">
        <is>
          <t>Лемана ПРО</t>
        </is>
      </c>
      <c r="M39" s="9" t="inlineStr">
        <is>
          <t>https://lemanapro.ru/product/kley-plitochnyy-ceresit-cm-11-pro-25-kg-89340445/</t>
        </is>
      </c>
      <c r="N39" s="9" t="inlineStr">
        <is>
          <t>2026-10-29</t>
        </is>
      </c>
      <c r="O39" s="13" t="inlineStr">
        <is>
          <t>Минимум из трёх: Лемана ПРО Ceresit CM 11 PRO 25 кг = 22,68 руб/кг. Петрович 24,76, Сатурн 27.</t>
        </is>
      </c>
      <c r="P39" s="4">
        <f>IF(H39=1,G39/VAT_DIV,G39)</f>
        <v/>
      </c>
      <c r="Q39" s="4">
        <f>P39*(1+I39)*(1+DELIV)*(1+GROWTH+MONEY)</f>
        <v/>
      </c>
      <c r="R39" s="4">
        <f>IF(AND(K39&lt;&gt;"",Q39*(1+J39)&gt;K39/VAT_DIV),K39/VAT_DIV,Q39*(1+J39))</f>
        <v/>
      </c>
      <c r="S39" s="4">
        <f>Q39*F39</f>
        <v/>
      </c>
      <c r="T39" s="4">
        <f>R39*F39</f>
        <v/>
      </c>
      <c r="U39" s="3">
        <f>IF(AND(K39&lt;&gt;"",Q39*(1+J39)&gt;K39/VAT_DIV+0.01),"ДА","")</f>
        <v/>
      </c>
      <c r="V39" s="4">
        <f>P39*F39</f>
        <v/>
      </c>
    </row>
    <row r="40" ht="20" customHeight="1">
      <c r="A40" s="9" t="inlineStr">
        <is>
          <t>37. Керамогранит 600х600х10 мм типа "Эстима" (цвет белый))RW-01 (вкл. За основу клей, грунтовку, затирку швов)</t>
        </is>
      </c>
      <c r="B40" s="13" t="inlineStr">
        <is>
          <t>Затирка</t>
        </is>
      </c>
      <c r="C40" s="9" t="inlineStr">
        <is>
          <t>Сухие смеси, штукатурки, шпаклёвки</t>
        </is>
      </c>
      <c r="D40" s="9" t="inlineStr">
        <is>
          <t>кг</t>
        </is>
      </c>
      <c r="E40" s="10" t="n">
        <v>0.4</v>
      </c>
      <c r="F40" s="4">
        <f>E40*IFERROR(INDEX(Работы!$D$4:$D$672,MATCH(SUBSTITUTE(SUBSTITUTE(SUBSTITUTE(A40,"~","~~"),"*","~*"),"?","~?"),Работы!$B$4:$B$672,0)),0)</f>
        <v/>
      </c>
      <c r="G40" s="10" t="n">
        <v>155</v>
      </c>
      <c r="H40" s="14" t="n">
        <v>1</v>
      </c>
      <c r="I40" s="11" t="n">
        <v>0.05</v>
      </c>
      <c r="J40" s="11" t="n">
        <v>0.12</v>
      </c>
      <c r="K40" s="10" t="n"/>
      <c r="L40" s="9" t="inlineStr">
        <is>
          <t>Петрович</t>
        </is>
      </c>
      <c r="M40" s="9" t="inlineStr">
        <is>
          <t>https://moscow.petrovich.ru/product/102834/</t>
        </is>
      </c>
      <c r="N40" s="9" t="inlineStr">
        <is>
          <t>2026-10-29</t>
        </is>
      </c>
      <c r="O40" s="13" t="inlineStr">
        <is>
          <t>Петрович, Ceresit CE 33, 2 кг = 310 руб (155 руб/кг). Лемана ПРО 173, Сатурн 181,5 руб/кг.</t>
        </is>
      </c>
      <c r="P40" s="4">
        <f>IF(H40=1,G40/VAT_DIV,G40)</f>
        <v/>
      </c>
      <c r="Q40" s="4">
        <f>P40*(1+I40)*(1+DELIV)*(1+GROWTH+MONEY)</f>
        <v/>
      </c>
      <c r="R40" s="4">
        <f>IF(AND(K40&lt;&gt;"",Q40*(1+J40)&gt;K40/VAT_DIV),K40/VAT_DIV,Q40*(1+J40))</f>
        <v/>
      </c>
      <c r="S40" s="4">
        <f>Q40*F40</f>
        <v/>
      </c>
      <c r="T40" s="4">
        <f>R40*F40</f>
        <v/>
      </c>
      <c r="U40" s="3">
        <f>IF(AND(K40&lt;&gt;"",Q40*(1+J40)&gt;K40/VAT_DIV+0.01),"ДА","")</f>
        <v/>
      </c>
      <c r="V40" s="4">
        <f>P40*F40</f>
        <v/>
      </c>
    </row>
    <row r="41" ht="20" customHeight="1">
      <c r="A41" s="9" t="inlineStr">
        <is>
          <t>37. Керамогранит 600х600х10 мм типа "Эстима" (цвет белый))RW-01 (вкл. За основу клей, грунтовку, затирку швов)</t>
        </is>
      </c>
      <c r="B41" s="13" t="inlineStr">
        <is>
          <t>Грунт</t>
        </is>
      </c>
      <c r="C41" s="9" t="inlineStr">
        <is>
          <t>Краски, грунты, ЛКМ</t>
        </is>
      </c>
      <c r="D41" s="9" t="inlineStr">
        <is>
          <t>л</t>
        </is>
      </c>
      <c r="E41" s="10" t="n">
        <v>0.15</v>
      </c>
      <c r="F41" s="4">
        <f>E41*IFERROR(INDEX(Работы!$D$4:$D$672,MATCH(SUBSTITUTE(SUBSTITUTE(SUBSTITUTE(A41,"~","~~"),"*","~*"),"?","~?"),Работы!$B$4:$B$672,0)),0)</f>
        <v/>
      </c>
      <c r="G41" s="10" t="n">
        <v>136.7</v>
      </c>
      <c r="H41" s="14" t="n">
        <v>1</v>
      </c>
      <c r="I41" s="11" t="n">
        <v>0.05</v>
      </c>
      <c r="J41" s="11" t="n">
        <v>0.12</v>
      </c>
      <c r="K41" s="10" t="n"/>
      <c r="L41" s="9" t="inlineStr">
        <is>
          <t>Лемана ПРО</t>
        </is>
      </c>
      <c r="M41" s="9" t="inlineStr">
        <is>
          <t>https://lemanapro.ru/product/grunt-ceresit-ct-17-transparent-glubokogo-proniknoveniya-10-l-89398668/</t>
        </is>
      </c>
      <c r="N41" s="9" t="inlineStr">
        <is>
          <t>2026-10-29</t>
        </is>
      </c>
      <c r="O41" s="13" t="inlineStr">
        <is>
          <t>Минимум из трёх: Лемана ПРО Ceresit CT 17, 10 л = 136,7 руб/л. Петрович CT 17 PRO 143,8, Сатурн 145,9.</t>
        </is>
      </c>
      <c r="P41" s="4">
        <f>IF(H41=1,G41/VAT_DIV,G41)</f>
        <v/>
      </c>
      <c r="Q41" s="4">
        <f>P41*(1+I41)*(1+DELIV)*(1+GROWTH+MONEY)</f>
        <v/>
      </c>
      <c r="R41" s="4">
        <f>IF(AND(K41&lt;&gt;"",Q41*(1+J41)&gt;K41/VAT_DIV),K41/VAT_DIV,Q41*(1+J41))</f>
        <v/>
      </c>
      <c r="S41" s="4">
        <f>Q41*F41</f>
        <v/>
      </c>
      <c r="T41" s="4">
        <f>R41*F41</f>
        <v/>
      </c>
      <c r="U41" s="3">
        <f>IF(AND(K41&lt;&gt;"",Q41*(1+J41)&gt;K41/VAT_DIV+0.01),"ДА","")</f>
        <v/>
      </c>
      <c r="V41" s="4">
        <f>P41*F41</f>
        <v/>
      </c>
    </row>
    <row r="42" ht="20" customHeight="1">
      <c r="A42" s="9" t="inlineStr">
        <is>
          <t>38. Плитка керамогранита 200*200*12 мм типа "Эстима" (цвет-серый ) ST-101 (вкл. За основу клей, грунтовку, затирку швов)</t>
        </is>
      </c>
      <c r="B42" s="13" t="inlineStr">
        <is>
          <t>Плитка керамогранита 200*200*12 мм типа "Эстима" (цвет-серый ) ST-101 (вкл. За о</t>
        </is>
      </c>
      <c r="C42" s="9" t="inlineStr">
        <is>
          <t>Плитка, керамогранит</t>
        </is>
      </c>
      <c r="D42" s="9" t="inlineStr">
        <is>
          <t>м2</t>
        </is>
      </c>
      <c r="E42" s="10" t="n">
        <v>1</v>
      </c>
      <c r="F42" s="4">
        <f>E42*IFERROR(INDEX(Работы!$D$4:$D$672,MATCH(SUBSTITUTE(SUBSTITUTE(SUBSTITUTE(A42,"~","~~"),"*","~*"),"?","~?"),Работы!$B$4:$B$672,0)),0)</f>
        <v/>
      </c>
      <c r="G42" s="10" t="n">
        <v>1038.28</v>
      </c>
      <c r="H42" s="14" t="n">
        <v>1</v>
      </c>
      <c r="I42" s="11" t="n">
        <v>0.1</v>
      </c>
      <c r="J42" s="11" t="n">
        <v>0.12</v>
      </c>
      <c r="K42" s="10" t="n"/>
      <c r="L42" s="9" t="inlineStr">
        <is>
          <t>Лемана ПРО</t>
        </is>
      </c>
      <c r="M42" s="9" t="inlineStr">
        <is>
          <t>https://lemanapro.ru/product/keramogranit-grani-taganaya-seryy-600h600-mm-91358213/</t>
        </is>
      </c>
      <c r="N42" s="9" t="inlineStr">
        <is>
          <t>2026-10-29</t>
        </is>
      </c>
      <c r="O42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42" s="4">
        <f>IF(H42=1,G42/VAT_DIV,G42)</f>
        <v/>
      </c>
      <c r="Q42" s="4">
        <f>P42*(1+I42)*(1+DELIV)*(1+GROWTH+MONEY)</f>
        <v/>
      </c>
      <c r="R42" s="4">
        <f>IF(AND(K42&lt;&gt;"",Q42*(1+J42)&gt;K42/VAT_DIV),K42/VAT_DIV,Q42*(1+J42))</f>
        <v/>
      </c>
      <c r="S42" s="4">
        <f>Q42*F42</f>
        <v/>
      </c>
      <c r="T42" s="4">
        <f>R42*F42</f>
        <v/>
      </c>
      <c r="U42" s="3">
        <f>IF(AND(K42&lt;&gt;"",Q42*(1+J42)&gt;K42/VAT_DIV+0.01),"ДА","")</f>
        <v/>
      </c>
      <c r="V42" s="4">
        <f>P42*F42</f>
        <v/>
      </c>
    </row>
    <row r="43" ht="20" customHeight="1">
      <c r="A43" s="9" t="inlineStr">
        <is>
          <t>38. Плитка керамогранита 200*200*12 мм типа "Эстима" (цвет-серый ) ST-101 (вкл. За основу клей, грунтовку, затирку швов)</t>
        </is>
      </c>
      <c r="B43" s="13" t="inlineStr">
        <is>
          <t>Клей плиточный</t>
        </is>
      </c>
      <c r="C43" s="9" t="inlineStr">
        <is>
          <t>Сухие смеси, штукатурки, шпаклёвки</t>
        </is>
      </c>
      <c r="D43" s="9" t="inlineStr">
        <is>
          <t>кг</t>
        </is>
      </c>
      <c r="E43" s="10" t="n">
        <v>5.5</v>
      </c>
      <c r="F43" s="4">
        <f>E43*IFERROR(INDEX(Работы!$D$4:$D$672,MATCH(SUBSTITUTE(SUBSTITUTE(SUBSTITUTE(A43,"~","~~"),"*","~*"),"?","~?"),Работы!$B$4:$B$672,0)),0)</f>
        <v/>
      </c>
      <c r="G43" s="10" t="n">
        <v>22.68</v>
      </c>
      <c r="H43" s="14" t="n">
        <v>1</v>
      </c>
      <c r="I43" s="11" t="n">
        <v>0.05</v>
      </c>
      <c r="J43" s="11" t="n">
        <v>0.12</v>
      </c>
      <c r="K43" s="10" t="n"/>
      <c r="L43" s="9" t="inlineStr">
        <is>
          <t>Лемана ПРО</t>
        </is>
      </c>
      <c r="M43" s="9" t="inlineStr">
        <is>
          <t>https://lemanapro.ru/product/kley-plitochnyy-ceresit-cm-11-pro-25-kg-89340445/</t>
        </is>
      </c>
      <c r="N43" s="9" t="inlineStr">
        <is>
          <t>2026-10-29</t>
        </is>
      </c>
      <c r="O43" s="13" t="inlineStr">
        <is>
          <t>Минимум из трёх: Лемана ПРО Ceresit CM 11 PRO 25 кг = 22,68 руб/кг. Петрович 24,76, Сатурн 27.</t>
        </is>
      </c>
      <c r="P43" s="4">
        <f>IF(H43=1,G43/VAT_DIV,G43)</f>
        <v/>
      </c>
      <c r="Q43" s="4">
        <f>P43*(1+I43)*(1+DELIV)*(1+GROWTH+MONEY)</f>
        <v/>
      </c>
      <c r="R43" s="4">
        <f>IF(AND(K43&lt;&gt;"",Q43*(1+J43)&gt;K43/VAT_DIV),K43/VAT_DIV,Q43*(1+J43))</f>
        <v/>
      </c>
      <c r="S43" s="4">
        <f>Q43*F43</f>
        <v/>
      </c>
      <c r="T43" s="4">
        <f>R43*F43</f>
        <v/>
      </c>
      <c r="U43" s="3">
        <f>IF(AND(K43&lt;&gt;"",Q43*(1+J43)&gt;K43/VAT_DIV+0.01),"ДА","")</f>
        <v/>
      </c>
      <c r="V43" s="4">
        <f>P43*F43</f>
        <v/>
      </c>
    </row>
    <row r="44" ht="20" customHeight="1">
      <c r="A44" s="9" t="inlineStr">
        <is>
          <t>38. Плитка керамогранита 200*200*12 мм типа "Эстима" (цвет-серый ) ST-101 (вкл. За основу клей, грунтовку, затирку швов)</t>
        </is>
      </c>
      <c r="B44" s="13" t="inlineStr">
        <is>
          <t>Затирка</t>
        </is>
      </c>
      <c r="C44" s="9" t="inlineStr">
        <is>
          <t>Сухие смеси, штукатурки, шпаклёвки</t>
        </is>
      </c>
      <c r="D44" s="9" t="inlineStr">
        <is>
          <t>кг</t>
        </is>
      </c>
      <c r="E44" s="10" t="n">
        <v>0.4</v>
      </c>
      <c r="F44" s="4">
        <f>E44*IFERROR(INDEX(Работы!$D$4:$D$672,MATCH(SUBSTITUTE(SUBSTITUTE(SUBSTITUTE(A44,"~","~~"),"*","~*"),"?","~?"),Работы!$B$4:$B$672,0)),0)</f>
        <v/>
      </c>
      <c r="G44" s="10" t="n">
        <v>155</v>
      </c>
      <c r="H44" s="14" t="n">
        <v>1</v>
      </c>
      <c r="I44" s="11" t="n">
        <v>0.05</v>
      </c>
      <c r="J44" s="11" t="n">
        <v>0.12</v>
      </c>
      <c r="K44" s="10" t="n"/>
      <c r="L44" s="9" t="inlineStr">
        <is>
          <t>Петрович</t>
        </is>
      </c>
      <c r="M44" s="9" t="inlineStr">
        <is>
          <t>https://moscow.petrovich.ru/product/102834/</t>
        </is>
      </c>
      <c r="N44" s="9" t="inlineStr">
        <is>
          <t>2026-10-29</t>
        </is>
      </c>
      <c r="O44" s="13" t="inlineStr">
        <is>
          <t>Петрович, Ceresit CE 33, 2 кг = 310 руб (155 руб/кг). Лемана ПРО 173, Сатурн 181,5 руб/кг.</t>
        </is>
      </c>
      <c r="P44" s="4">
        <f>IF(H44=1,G44/VAT_DIV,G44)</f>
        <v/>
      </c>
      <c r="Q44" s="4">
        <f>P44*(1+I44)*(1+DELIV)*(1+GROWTH+MONEY)</f>
        <v/>
      </c>
      <c r="R44" s="4">
        <f>IF(AND(K44&lt;&gt;"",Q44*(1+J44)&gt;K44/VAT_DIV),K44/VAT_DIV,Q44*(1+J44))</f>
        <v/>
      </c>
      <c r="S44" s="4">
        <f>Q44*F44</f>
        <v/>
      </c>
      <c r="T44" s="4">
        <f>R44*F44</f>
        <v/>
      </c>
      <c r="U44" s="3">
        <f>IF(AND(K44&lt;&gt;"",Q44*(1+J44)&gt;K44/VAT_DIV+0.01),"ДА","")</f>
        <v/>
      </c>
      <c r="V44" s="4">
        <f>P44*F44</f>
        <v/>
      </c>
    </row>
    <row r="45" ht="20" customHeight="1">
      <c r="A45" s="9" t="inlineStr">
        <is>
          <t>38. Плитка керамогранита 200*200*12 мм типа "Эстима" (цвет-серый ) ST-101 (вкл. За основу клей, грунтовку, затирку швов)</t>
        </is>
      </c>
      <c r="B45" s="13" t="inlineStr">
        <is>
          <t>Грунт</t>
        </is>
      </c>
      <c r="C45" s="9" t="inlineStr">
        <is>
          <t>Краски, грунты, ЛКМ</t>
        </is>
      </c>
      <c r="D45" s="9" t="inlineStr">
        <is>
          <t>л</t>
        </is>
      </c>
      <c r="E45" s="10" t="n">
        <v>0.15</v>
      </c>
      <c r="F45" s="4">
        <f>E45*IFERROR(INDEX(Работы!$D$4:$D$672,MATCH(SUBSTITUTE(SUBSTITUTE(SUBSTITUTE(A45,"~","~~"),"*","~*"),"?","~?"),Работы!$B$4:$B$672,0)),0)</f>
        <v/>
      </c>
      <c r="G45" s="10" t="n">
        <v>136.7</v>
      </c>
      <c r="H45" s="14" t="n">
        <v>1</v>
      </c>
      <c r="I45" s="11" t="n">
        <v>0.05</v>
      </c>
      <c r="J45" s="11" t="n">
        <v>0.12</v>
      </c>
      <c r="K45" s="10" t="n"/>
      <c r="L45" s="9" t="inlineStr">
        <is>
          <t>Лемана ПРО</t>
        </is>
      </c>
      <c r="M45" s="9" t="inlineStr">
        <is>
          <t>https://lemanapro.ru/product/grunt-ceresit-ct-17-transparent-glubokogo-proniknoveniya-10-l-89398668/</t>
        </is>
      </c>
      <c r="N45" s="9" t="inlineStr">
        <is>
          <t>2026-10-29</t>
        </is>
      </c>
      <c r="O45" s="13" t="inlineStr">
        <is>
          <t>Минимум из трёх: Лемана ПРО Ceresit CT 17, 10 л = 136,7 руб/л. Петрович CT 17 PRO 143,8, Сатурн 145,9.</t>
        </is>
      </c>
      <c r="P45" s="4">
        <f>IF(H45=1,G45/VAT_DIV,G45)</f>
        <v/>
      </c>
      <c r="Q45" s="4">
        <f>P45*(1+I45)*(1+DELIV)*(1+GROWTH+MONEY)</f>
        <v/>
      </c>
      <c r="R45" s="4">
        <f>IF(AND(K45&lt;&gt;"",Q45*(1+J45)&gt;K45/VAT_DIV),K45/VAT_DIV,Q45*(1+J45))</f>
        <v/>
      </c>
      <c r="S45" s="4">
        <f>Q45*F45</f>
        <v/>
      </c>
      <c r="T45" s="4">
        <f>R45*F45</f>
        <v/>
      </c>
      <c r="U45" s="3">
        <f>IF(AND(K45&lt;&gt;"",Q45*(1+J45)&gt;K45/VAT_DIV+0.01),"ДА","")</f>
        <v/>
      </c>
      <c r="V45" s="4">
        <f>P45*F45</f>
        <v/>
      </c>
    </row>
    <row r="46" ht="20" customHeight="1">
      <c r="A46" s="9" t="inlineStr">
        <is>
          <t>39. Плитка керамогранита 300*300*12 мм типа "Эстима" (цвет-серый ) ST-101 (вкл. За основу клей, грунтовку, затирку швов)</t>
        </is>
      </c>
      <c r="B46" s="13" t="inlineStr">
        <is>
          <t>Плитка керамогранита 300*300*12 мм типа "Эстима" (цвет-серый ) ST-101 (вкл. За о</t>
        </is>
      </c>
      <c r="C46" s="9" t="inlineStr">
        <is>
          <t>Плитка, керамогранит</t>
        </is>
      </c>
      <c r="D46" s="9" t="inlineStr">
        <is>
          <t>м2</t>
        </is>
      </c>
      <c r="E46" s="10" t="n">
        <v>1</v>
      </c>
      <c r="F46" s="4">
        <f>E46*IFERROR(INDEX(Работы!$D$4:$D$672,MATCH(SUBSTITUTE(SUBSTITUTE(SUBSTITUTE(A46,"~","~~"),"*","~*"),"?","~?"),Работы!$B$4:$B$672,0)),0)</f>
        <v/>
      </c>
      <c r="G46" s="10" t="n">
        <v>1038.28</v>
      </c>
      <c r="H46" s="14" t="n">
        <v>1</v>
      </c>
      <c r="I46" s="11" t="n">
        <v>0.1</v>
      </c>
      <c r="J46" s="11" t="n">
        <v>0.12</v>
      </c>
      <c r="K46" s="10" t="n"/>
      <c r="L46" s="9" t="inlineStr">
        <is>
          <t>Лемана ПРО</t>
        </is>
      </c>
      <c r="M46" s="9" t="inlineStr">
        <is>
          <t>https://lemanapro.ru/product/keramogranit-grani-taganaya-seryy-600h600-mm-91358213/</t>
        </is>
      </c>
      <c r="N46" s="9" t="inlineStr">
        <is>
          <t>2026-10-29</t>
        </is>
      </c>
      <c r="O46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46" s="4">
        <f>IF(H46=1,G46/VAT_DIV,G46)</f>
        <v/>
      </c>
      <c r="Q46" s="4">
        <f>P46*(1+I46)*(1+DELIV)*(1+GROWTH+MONEY)</f>
        <v/>
      </c>
      <c r="R46" s="4">
        <f>IF(AND(K46&lt;&gt;"",Q46*(1+J46)&gt;K46/VAT_DIV),K46/VAT_DIV,Q46*(1+J46))</f>
        <v/>
      </c>
      <c r="S46" s="4">
        <f>Q46*F46</f>
        <v/>
      </c>
      <c r="T46" s="4">
        <f>R46*F46</f>
        <v/>
      </c>
      <c r="U46" s="3">
        <f>IF(AND(K46&lt;&gt;"",Q46*(1+J46)&gt;K46/VAT_DIV+0.01),"ДА","")</f>
        <v/>
      </c>
      <c r="V46" s="4">
        <f>P46*F46</f>
        <v/>
      </c>
    </row>
    <row r="47" ht="20" customHeight="1">
      <c r="A47" s="9" t="inlineStr">
        <is>
          <t>39. Плитка керамогранита 300*300*12 мм типа "Эстима" (цвет-серый ) ST-101 (вкл. За основу клей, грунтовку, затирку швов)</t>
        </is>
      </c>
      <c r="B47" s="13" t="inlineStr">
        <is>
          <t>Клей плиточный</t>
        </is>
      </c>
      <c r="C47" s="9" t="inlineStr">
        <is>
          <t>Сухие смеси, штукатурки, шпаклёвки</t>
        </is>
      </c>
      <c r="D47" s="9" t="inlineStr">
        <is>
          <t>кг</t>
        </is>
      </c>
      <c r="E47" s="10" t="n">
        <v>5.5</v>
      </c>
      <c r="F47" s="4">
        <f>E47*IFERROR(INDEX(Работы!$D$4:$D$672,MATCH(SUBSTITUTE(SUBSTITUTE(SUBSTITUTE(A47,"~","~~"),"*","~*"),"?","~?"),Работы!$B$4:$B$672,0)),0)</f>
        <v/>
      </c>
      <c r="G47" s="10" t="n">
        <v>22.68</v>
      </c>
      <c r="H47" s="14" t="n">
        <v>1</v>
      </c>
      <c r="I47" s="11" t="n">
        <v>0.05</v>
      </c>
      <c r="J47" s="11" t="n">
        <v>0.12</v>
      </c>
      <c r="K47" s="10" t="n"/>
      <c r="L47" s="9" t="inlineStr">
        <is>
          <t>Лемана ПРО</t>
        </is>
      </c>
      <c r="M47" s="9" t="inlineStr">
        <is>
          <t>https://lemanapro.ru/product/kley-plitochnyy-ceresit-cm-11-pro-25-kg-89340445/</t>
        </is>
      </c>
      <c r="N47" s="9" t="inlineStr">
        <is>
          <t>2026-10-29</t>
        </is>
      </c>
      <c r="O47" s="13" t="inlineStr">
        <is>
          <t>Минимум из трёх: Лемана ПРО Ceresit CM 11 PRO 25 кг = 22,68 руб/кг. Петрович 24,76, Сатурн 27.</t>
        </is>
      </c>
      <c r="P47" s="4">
        <f>IF(H47=1,G47/VAT_DIV,G47)</f>
        <v/>
      </c>
      <c r="Q47" s="4">
        <f>P47*(1+I47)*(1+DELIV)*(1+GROWTH+MONEY)</f>
        <v/>
      </c>
      <c r="R47" s="4">
        <f>IF(AND(K47&lt;&gt;"",Q47*(1+J47)&gt;K47/VAT_DIV),K47/VAT_DIV,Q47*(1+J47))</f>
        <v/>
      </c>
      <c r="S47" s="4">
        <f>Q47*F47</f>
        <v/>
      </c>
      <c r="T47" s="4">
        <f>R47*F47</f>
        <v/>
      </c>
      <c r="U47" s="3">
        <f>IF(AND(K47&lt;&gt;"",Q47*(1+J47)&gt;K47/VAT_DIV+0.01),"ДА","")</f>
        <v/>
      </c>
      <c r="V47" s="4">
        <f>P47*F47</f>
        <v/>
      </c>
    </row>
    <row r="48" ht="20" customHeight="1">
      <c r="A48" s="9" t="inlineStr">
        <is>
          <t>39. Плитка керамогранита 300*300*12 мм типа "Эстима" (цвет-серый ) ST-101 (вкл. За основу клей, грунтовку, затирку швов)</t>
        </is>
      </c>
      <c r="B48" s="13" t="inlineStr">
        <is>
          <t>Затирка</t>
        </is>
      </c>
      <c r="C48" s="9" t="inlineStr">
        <is>
          <t>Сухие смеси, штукатурки, шпаклёвки</t>
        </is>
      </c>
      <c r="D48" s="9" t="inlineStr">
        <is>
          <t>кг</t>
        </is>
      </c>
      <c r="E48" s="10" t="n">
        <v>0.4</v>
      </c>
      <c r="F48" s="4">
        <f>E48*IFERROR(INDEX(Работы!$D$4:$D$672,MATCH(SUBSTITUTE(SUBSTITUTE(SUBSTITUTE(A48,"~","~~"),"*","~*"),"?","~?"),Работы!$B$4:$B$672,0)),0)</f>
        <v/>
      </c>
      <c r="G48" s="10" t="n">
        <v>155</v>
      </c>
      <c r="H48" s="14" t="n">
        <v>1</v>
      </c>
      <c r="I48" s="11" t="n">
        <v>0.05</v>
      </c>
      <c r="J48" s="11" t="n">
        <v>0.12</v>
      </c>
      <c r="K48" s="10" t="n"/>
      <c r="L48" s="9" t="inlineStr">
        <is>
          <t>Петрович</t>
        </is>
      </c>
      <c r="M48" s="9" t="inlineStr">
        <is>
          <t>https://moscow.petrovich.ru/product/102834/</t>
        </is>
      </c>
      <c r="N48" s="9" t="inlineStr">
        <is>
          <t>2026-10-29</t>
        </is>
      </c>
      <c r="O48" s="13" t="inlineStr">
        <is>
          <t>Петрович, Ceresit CE 33, 2 кг = 310 руб (155 руб/кг). Лемана ПРО 173, Сатурн 181,5 руб/кг.</t>
        </is>
      </c>
      <c r="P48" s="4">
        <f>IF(H48=1,G48/VAT_DIV,G48)</f>
        <v/>
      </c>
      <c r="Q48" s="4">
        <f>P48*(1+I48)*(1+DELIV)*(1+GROWTH+MONEY)</f>
        <v/>
      </c>
      <c r="R48" s="4">
        <f>IF(AND(K48&lt;&gt;"",Q48*(1+J48)&gt;K48/VAT_DIV),K48/VAT_DIV,Q48*(1+J48))</f>
        <v/>
      </c>
      <c r="S48" s="4">
        <f>Q48*F48</f>
        <v/>
      </c>
      <c r="T48" s="4">
        <f>R48*F48</f>
        <v/>
      </c>
      <c r="U48" s="3">
        <f>IF(AND(K48&lt;&gt;"",Q48*(1+J48)&gt;K48/VAT_DIV+0.01),"ДА","")</f>
        <v/>
      </c>
      <c r="V48" s="4">
        <f>P48*F48</f>
        <v/>
      </c>
    </row>
    <row r="49" ht="20" customHeight="1">
      <c r="A49" s="9" t="inlineStr">
        <is>
          <t>39. Плитка керамогранита 300*300*12 мм типа "Эстима" (цвет-серый ) ST-101 (вкл. За основу клей, грунтовку, затирку швов)</t>
        </is>
      </c>
      <c r="B49" s="13" t="inlineStr">
        <is>
          <t>Грунт</t>
        </is>
      </c>
      <c r="C49" s="9" t="inlineStr">
        <is>
          <t>Краски, грунты, ЛКМ</t>
        </is>
      </c>
      <c r="D49" s="9" t="inlineStr">
        <is>
          <t>л</t>
        </is>
      </c>
      <c r="E49" s="10" t="n">
        <v>0.15</v>
      </c>
      <c r="F49" s="4">
        <f>E49*IFERROR(INDEX(Работы!$D$4:$D$672,MATCH(SUBSTITUTE(SUBSTITUTE(SUBSTITUTE(A49,"~","~~"),"*","~*"),"?","~?"),Работы!$B$4:$B$672,0)),0)</f>
        <v/>
      </c>
      <c r="G49" s="10" t="n">
        <v>136.7</v>
      </c>
      <c r="H49" s="14" t="n">
        <v>1</v>
      </c>
      <c r="I49" s="11" t="n">
        <v>0.05</v>
      </c>
      <c r="J49" s="11" t="n">
        <v>0.12</v>
      </c>
      <c r="K49" s="10" t="n"/>
      <c r="L49" s="9" t="inlineStr">
        <is>
          <t>Лемана ПРО</t>
        </is>
      </c>
      <c r="M49" s="9" t="inlineStr">
        <is>
          <t>https://lemanapro.ru/product/grunt-ceresit-ct-17-transparent-glubokogo-proniknoveniya-10-l-89398668/</t>
        </is>
      </c>
      <c r="N49" s="9" t="inlineStr">
        <is>
          <t>2026-10-29</t>
        </is>
      </c>
      <c r="O49" s="13" t="inlineStr">
        <is>
          <t>Минимум из трёх: Лемана ПРО Ceresit CT 17, 10 л = 136,7 руб/л. Петрович CT 17 PRO 143,8, Сатурн 145,9.</t>
        </is>
      </c>
      <c r="P49" s="4">
        <f>IF(H49=1,G49/VAT_DIV,G49)</f>
        <v/>
      </c>
      <c r="Q49" s="4">
        <f>P49*(1+I49)*(1+DELIV)*(1+GROWTH+MONEY)</f>
        <v/>
      </c>
      <c r="R49" s="4">
        <f>IF(AND(K49&lt;&gt;"",Q49*(1+J49)&gt;K49/VAT_DIV),K49/VAT_DIV,Q49*(1+J49))</f>
        <v/>
      </c>
      <c r="S49" s="4">
        <f>Q49*F49</f>
        <v/>
      </c>
      <c r="T49" s="4">
        <f>R49*F49</f>
        <v/>
      </c>
      <c r="U49" s="3">
        <f>IF(AND(K49&lt;&gt;"",Q49*(1+J49)&gt;K49/VAT_DIV+0.01),"ДА","")</f>
        <v/>
      </c>
      <c r="V49" s="4">
        <f>P49*F49</f>
        <v/>
      </c>
    </row>
    <row r="50" ht="20" customHeight="1">
      <c r="A50" s="9" t="inlineStr">
        <is>
          <t>40. Плитка керамогранита 300*300*8 мм типа "Эстима"(цвет-серый ) ST-03 (вкл. За основу клей, грунтовку, затирку швов)</t>
        </is>
      </c>
      <c r="B50" s="13" t="inlineStr">
        <is>
          <t>Плитка керамогранита 300*300*8 мм типа "Эстима"(цвет-серый ) ST-03 (вкл. За осно</t>
        </is>
      </c>
      <c r="C50" s="9" t="inlineStr">
        <is>
          <t>Плитка, керамогранит</t>
        </is>
      </c>
      <c r="D50" s="9" t="inlineStr">
        <is>
          <t>м2</t>
        </is>
      </c>
      <c r="E50" s="10" t="n">
        <v>1</v>
      </c>
      <c r="F50" s="4">
        <f>E50*IFERROR(INDEX(Работы!$D$4:$D$672,MATCH(SUBSTITUTE(SUBSTITUTE(SUBSTITUTE(A50,"~","~~"),"*","~*"),"?","~?"),Работы!$B$4:$B$672,0)),0)</f>
        <v/>
      </c>
      <c r="G50" s="10" t="n">
        <v>1038.28</v>
      </c>
      <c r="H50" s="14" t="n">
        <v>1</v>
      </c>
      <c r="I50" s="11" t="n">
        <v>0.1</v>
      </c>
      <c r="J50" s="11" t="n">
        <v>0.12</v>
      </c>
      <c r="K50" s="10" t="n"/>
      <c r="L50" s="9" t="inlineStr">
        <is>
          <t>Лемана ПРО</t>
        </is>
      </c>
      <c r="M50" s="9" t="inlineStr">
        <is>
          <t>https://lemanapro.ru/product/keramogranit-grani-taganaya-seryy-600h600-mm-91358213/</t>
        </is>
      </c>
      <c r="N50" s="9" t="inlineStr">
        <is>
          <t>2026-10-29</t>
        </is>
      </c>
      <c r="O50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50" s="4">
        <f>IF(H50=1,G50/VAT_DIV,G50)</f>
        <v/>
      </c>
      <c r="Q50" s="4">
        <f>P50*(1+I50)*(1+DELIV)*(1+GROWTH+MONEY)</f>
        <v/>
      </c>
      <c r="R50" s="4">
        <f>IF(AND(K50&lt;&gt;"",Q50*(1+J50)&gt;K50/VAT_DIV),K50/VAT_DIV,Q50*(1+J50))</f>
        <v/>
      </c>
      <c r="S50" s="4">
        <f>Q50*F50</f>
        <v/>
      </c>
      <c r="T50" s="4">
        <f>R50*F50</f>
        <v/>
      </c>
      <c r="U50" s="3">
        <f>IF(AND(K50&lt;&gt;"",Q50*(1+J50)&gt;K50/VAT_DIV+0.01),"ДА","")</f>
        <v/>
      </c>
      <c r="V50" s="4">
        <f>P50*F50</f>
        <v/>
      </c>
    </row>
    <row r="51" ht="20" customHeight="1">
      <c r="A51" s="9" t="inlineStr">
        <is>
          <t>40. Плитка керамогранита 300*300*8 мм типа "Эстима"(цвет-серый ) ST-03 (вкл. За основу клей, грунтовку, затирку швов)</t>
        </is>
      </c>
      <c r="B51" s="13" t="inlineStr">
        <is>
          <t>Клей плиточный</t>
        </is>
      </c>
      <c r="C51" s="9" t="inlineStr">
        <is>
          <t>Сухие смеси, штукатурки, шпаклёвки</t>
        </is>
      </c>
      <c r="D51" s="9" t="inlineStr">
        <is>
          <t>кг</t>
        </is>
      </c>
      <c r="E51" s="10" t="n">
        <v>5.5</v>
      </c>
      <c r="F51" s="4">
        <f>E51*IFERROR(INDEX(Работы!$D$4:$D$672,MATCH(SUBSTITUTE(SUBSTITUTE(SUBSTITUTE(A51,"~","~~"),"*","~*"),"?","~?"),Работы!$B$4:$B$672,0)),0)</f>
        <v/>
      </c>
      <c r="G51" s="10" t="n">
        <v>22.68</v>
      </c>
      <c r="H51" s="14" t="n">
        <v>1</v>
      </c>
      <c r="I51" s="11" t="n">
        <v>0.05</v>
      </c>
      <c r="J51" s="11" t="n">
        <v>0.12</v>
      </c>
      <c r="K51" s="10" t="n"/>
      <c r="L51" s="9" t="inlineStr">
        <is>
          <t>Лемана ПРО</t>
        </is>
      </c>
      <c r="M51" s="9" t="inlineStr">
        <is>
          <t>https://lemanapro.ru/product/kley-plitochnyy-ceresit-cm-11-pro-25-kg-89340445/</t>
        </is>
      </c>
      <c r="N51" s="9" t="inlineStr">
        <is>
          <t>2026-10-29</t>
        </is>
      </c>
      <c r="O51" s="13" t="inlineStr">
        <is>
          <t>Минимум из трёх: Лемана ПРО Ceresit CM 11 PRO 25 кг = 22,68 руб/кг. Петрович 24,76, Сатурн 27.</t>
        </is>
      </c>
      <c r="P51" s="4">
        <f>IF(H51=1,G51/VAT_DIV,G51)</f>
        <v/>
      </c>
      <c r="Q51" s="4">
        <f>P51*(1+I51)*(1+DELIV)*(1+GROWTH+MONEY)</f>
        <v/>
      </c>
      <c r="R51" s="4">
        <f>IF(AND(K51&lt;&gt;"",Q51*(1+J51)&gt;K51/VAT_DIV),K51/VAT_DIV,Q51*(1+J51))</f>
        <v/>
      </c>
      <c r="S51" s="4">
        <f>Q51*F51</f>
        <v/>
      </c>
      <c r="T51" s="4">
        <f>R51*F51</f>
        <v/>
      </c>
      <c r="U51" s="3">
        <f>IF(AND(K51&lt;&gt;"",Q51*(1+J51)&gt;K51/VAT_DIV+0.01),"ДА","")</f>
        <v/>
      </c>
      <c r="V51" s="4">
        <f>P51*F51</f>
        <v/>
      </c>
    </row>
    <row r="52" ht="20" customHeight="1">
      <c r="A52" s="9" t="inlineStr">
        <is>
          <t>40. Плитка керамогранита 300*300*8 мм типа "Эстима"(цвет-серый ) ST-03 (вкл. За основу клей, грунтовку, затирку швов)</t>
        </is>
      </c>
      <c r="B52" s="13" t="inlineStr">
        <is>
          <t>Затирка</t>
        </is>
      </c>
      <c r="C52" s="9" t="inlineStr">
        <is>
          <t>Сухие смеси, штукатурки, шпаклёвки</t>
        </is>
      </c>
      <c r="D52" s="9" t="inlineStr">
        <is>
          <t>кг</t>
        </is>
      </c>
      <c r="E52" s="10" t="n">
        <v>0.4</v>
      </c>
      <c r="F52" s="4">
        <f>E52*IFERROR(INDEX(Работы!$D$4:$D$672,MATCH(SUBSTITUTE(SUBSTITUTE(SUBSTITUTE(A52,"~","~~"),"*","~*"),"?","~?"),Работы!$B$4:$B$672,0)),0)</f>
        <v/>
      </c>
      <c r="G52" s="10" t="n">
        <v>155</v>
      </c>
      <c r="H52" s="14" t="n">
        <v>1</v>
      </c>
      <c r="I52" s="11" t="n">
        <v>0.05</v>
      </c>
      <c r="J52" s="11" t="n">
        <v>0.12</v>
      </c>
      <c r="K52" s="10" t="n"/>
      <c r="L52" s="9" t="inlineStr">
        <is>
          <t>Петрович</t>
        </is>
      </c>
      <c r="M52" s="9" t="inlineStr">
        <is>
          <t>https://moscow.petrovich.ru/product/102834/</t>
        </is>
      </c>
      <c r="N52" s="9" t="inlineStr">
        <is>
          <t>2026-10-29</t>
        </is>
      </c>
      <c r="O52" s="13" t="inlineStr">
        <is>
          <t>Петрович, Ceresit CE 33, 2 кг = 310 руб (155 руб/кг). Лемана ПРО 173, Сатурн 181,5 руб/кг.</t>
        </is>
      </c>
      <c r="P52" s="4">
        <f>IF(H52=1,G52/VAT_DIV,G52)</f>
        <v/>
      </c>
      <c r="Q52" s="4">
        <f>P52*(1+I52)*(1+DELIV)*(1+GROWTH+MONEY)</f>
        <v/>
      </c>
      <c r="R52" s="4">
        <f>IF(AND(K52&lt;&gt;"",Q52*(1+J52)&gt;K52/VAT_DIV),K52/VAT_DIV,Q52*(1+J52))</f>
        <v/>
      </c>
      <c r="S52" s="4">
        <f>Q52*F52</f>
        <v/>
      </c>
      <c r="T52" s="4">
        <f>R52*F52</f>
        <v/>
      </c>
      <c r="U52" s="3">
        <f>IF(AND(K52&lt;&gt;"",Q52*(1+J52)&gt;K52/VAT_DIV+0.01),"ДА","")</f>
        <v/>
      </c>
      <c r="V52" s="4">
        <f>P52*F52</f>
        <v/>
      </c>
    </row>
    <row r="53" ht="20" customHeight="1">
      <c r="A53" s="9" t="inlineStr">
        <is>
          <t>40. Плитка керамогранита 300*300*8 мм типа "Эстима"(цвет-серый ) ST-03 (вкл. За основу клей, грунтовку, затирку швов)</t>
        </is>
      </c>
      <c r="B53" s="13" t="inlineStr">
        <is>
          <t>Грунт</t>
        </is>
      </c>
      <c r="C53" s="9" t="inlineStr">
        <is>
          <t>Краски, грунты, ЛКМ</t>
        </is>
      </c>
      <c r="D53" s="9" t="inlineStr">
        <is>
          <t>л</t>
        </is>
      </c>
      <c r="E53" s="10" t="n">
        <v>0.15</v>
      </c>
      <c r="F53" s="4">
        <f>E53*IFERROR(INDEX(Работы!$D$4:$D$672,MATCH(SUBSTITUTE(SUBSTITUTE(SUBSTITUTE(A53,"~","~~"),"*","~*"),"?","~?"),Работы!$B$4:$B$672,0)),0)</f>
        <v/>
      </c>
      <c r="G53" s="10" t="n">
        <v>136.7</v>
      </c>
      <c r="H53" s="14" t="n">
        <v>1</v>
      </c>
      <c r="I53" s="11" t="n">
        <v>0.05</v>
      </c>
      <c r="J53" s="11" t="n">
        <v>0.12</v>
      </c>
      <c r="K53" s="10" t="n"/>
      <c r="L53" s="9" t="inlineStr">
        <is>
          <t>Лемана ПРО</t>
        </is>
      </c>
      <c r="M53" s="9" t="inlineStr">
        <is>
          <t>https://lemanapro.ru/product/grunt-ceresit-ct-17-transparent-glubokogo-proniknoveniya-10-l-89398668/</t>
        </is>
      </c>
      <c r="N53" s="9" t="inlineStr">
        <is>
          <t>2026-10-29</t>
        </is>
      </c>
      <c r="O53" s="13" t="inlineStr">
        <is>
          <t>Минимум из трёх: Лемана ПРО Ceresit CT 17, 10 л = 136,7 руб/л. Петрович CT 17 PRO 143,8, Сатурн 145,9.</t>
        </is>
      </c>
      <c r="P53" s="4">
        <f>IF(H53=1,G53/VAT_DIV,G53)</f>
        <v/>
      </c>
      <c r="Q53" s="4">
        <f>P53*(1+I53)*(1+DELIV)*(1+GROWTH+MONEY)</f>
        <v/>
      </c>
      <c r="R53" s="4">
        <f>IF(AND(K53&lt;&gt;"",Q53*(1+J53)&gt;K53/VAT_DIV),K53/VAT_DIV,Q53*(1+J53))</f>
        <v/>
      </c>
      <c r="S53" s="4">
        <f>Q53*F53</f>
        <v/>
      </c>
      <c r="T53" s="4">
        <f>R53*F53</f>
        <v/>
      </c>
      <c r="U53" s="3">
        <f>IF(AND(K53&lt;&gt;"",Q53*(1+J53)&gt;K53/VAT_DIV+0.01),"ДА","")</f>
        <v/>
      </c>
      <c r="V53" s="4">
        <f>P53*F53</f>
        <v/>
      </c>
    </row>
    <row r="54" ht="20" customHeight="1">
      <c r="A54" s="9" t="inlineStr">
        <is>
          <t>41. Плитка Керамогранит 400х400х9 мм типа "Эстима"(цвет-серый ) ST-03 (вкл. За основу клей, грунтовку, затирку швов)</t>
        </is>
      </c>
      <c r="B54" s="13" t="inlineStr">
        <is>
          <t>Плитка Керамогранит 400х400х9 мм типа "Эстима"(цвет-серый ) ST-03 (вкл. За основ</t>
        </is>
      </c>
      <c r="C54" s="9" t="inlineStr">
        <is>
          <t>Плитка, керамогранит</t>
        </is>
      </c>
      <c r="D54" s="9" t="inlineStr">
        <is>
          <t>м2</t>
        </is>
      </c>
      <c r="E54" s="10" t="n">
        <v>1</v>
      </c>
      <c r="F54" s="4">
        <f>E54*IFERROR(INDEX(Работы!$D$4:$D$672,MATCH(SUBSTITUTE(SUBSTITUTE(SUBSTITUTE(A54,"~","~~"),"*","~*"),"?","~?"),Работы!$B$4:$B$672,0)),0)</f>
        <v/>
      </c>
      <c r="G54" s="10" t="n">
        <v>1153.65</v>
      </c>
      <c r="H54" s="14" t="n">
        <v>1</v>
      </c>
      <c r="I54" s="11" t="n">
        <v>0.1</v>
      </c>
      <c r="J54" s="11" t="n">
        <v>0.12</v>
      </c>
      <c r="K54" s="10" t="n"/>
      <c r="L54" s="9" t="inlineStr">
        <is>
          <t>Лемана ПРО</t>
        </is>
      </c>
      <c r="M54" s="9" t="inlineStr">
        <is>
          <t>https://lemanapro.ru/product/keramogranit-grani-taganaya-seryy-600h600-mm-91358213/</t>
        </is>
      </c>
      <c r="N54" s="9" t="inlineStr">
        <is>
          <t>2026-10-29</t>
        </is>
      </c>
      <c r="O54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54" s="4">
        <f>IF(H54=1,G54/VAT_DIV,G54)</f>
        <v/>
      </c>
      <c r="Q54" s="4">
        <f>P54*(1+I54)*(1+DELIV)*(1+GROWTH+MONEY)</f>
        <v/>
      </c>
      <c r="R54" s="4">
        <f>IF(AND(K54&lt;&gt;"",Q54*(1+J54)&gt;K54/VAT_DIV),K54/VAT_DIV,Q54*(1+J54))</f>
        <v/>
      </c>
      <c r="S54" s="4">
        <f>Q54*F54</f>
        <v/>
      </c>
      <c r="T54" s="4">
        <f>R54*F54</f>
        <v/>
      </c>
      <c r="U54" s="3">
        <f>IF(AND(K54&lt;&gt;"",Q54*(1+J54)&gt;K54/VAT_DIV+0.01),"ДА","")</f>
        <v/>
      </c>
      <c r="V54" s="4">
        <f>P54*F54</f>
        <v/>
      </c>
    </row>
    <row r="55" ht="20" customHeight="1">
      <c r="A55" s="9" t="inlineStr">
        <is>
          <t>41. Плитка Керамогранит 400х400х9 мм типа "Эстима"(цвет-серый ) ST-03 (вкл. За основу клей, грунтовку, затирку швов)</t>
        </is>
      </c>
      <c r="B55" s="13" t="inlineStr">
        <is>
          <t>Клей плиточный</t>
        </is>
      </c>
      <c r="C55" s="9" t="inlineStr">
        <is>
          <t>Сухие смеси, штукатурки, шпаклёвки</t>
        </is>
      </c>
      <c r="D55" s="9" t="inlineStr">
        <is>
          <t>кг</t>
        </is>
      </c>
      <c r="E55" s="10" t="n">
        <v>5.5</v>
      </c>
      <c r="F55" s="4">
        <f>E55*IFERROR(INDEX(Работы!$D$4:$D$672,MATCH(SUBSTITUTE(SUBSTITUTE(SUBSTITUTE(A55,"~","~~"),"*","~*"),"?","~?"),Работы!$B$4:$B$672,0)),0)</f>
        <v/>
      </c>
      <c r="G55" s="10" t="n">
        <v>22.68</v>
      </c>
      <c r="H55" s="14" t="n">
        <v>1</v>
      </c>
      <c r="I55" s="11" t="n">
        <v>0.05</v>
      </c>
      <c r="J55" s="11" t="n">
        <v>0.12</v>
      </c>
      <c r="K55" s="10" t="n"/>
      <c r="L55" s="9" t="inlineStr">
        <is>
          <t>Лемана ПРО</t>
        </is>
      </c>
      <c r="M55" s="9" t="inlineStr">
        <is>
          <t>https://lemanapro.ru/product/kley-plitochnyy-ceresit-cm-11-pro-25-kg-89340445/</t>
        </is>
      </c>
      <c r="N55" s="9" t="inlineStr">
        <is>
          <t>2026-10-29</t>
        </is>
      </c>
      <c r="O55" s="13" t="inlineStr">
        <is>
          <t>Минимум из трёх: Лемана ПРО Ceresit CM 11 PRO 25 кг = 22,68 руб/кг. Петрович 24,76, Сатурн 27.</t>
        </is>
      </c>
      <c r="P55" s="4">
        <f>IF(H55=1,G55/VAT_DIV,G55)</f>
        <v/>
      </c>
      <c r="Q55" s="4">
        <f>P55*(1+I55)*(1+DELIV)*(1+GROWTH+MONEY)</f>
        <v/>
      </c>
      <c r="R55" s="4">
        <f>IF(AND(K55&lt;&gt;"",Q55*(1+J55)&gt;K55/VAT_DIV),K55/VAT_DIV,Q55*(1+J55))</f>
        <v/>
      </c>
      <c r="S55" s="4">
        <f>Q55*F55</f>
        <v/>
      </c>
      <c r="T55" s="4">
        <f>R55*F55</f>
        <v/>
      </c>
      <c r="U55" s="3">
        <f>IF(AND(K55&lt;&gt;"",Q55*(1+J55)&gt;K55/VAT_DIV+0.01),"ДА","")</f>
        <v/>
      </c>
      <c r="V55" s="4">
        <f>P55*F55</f>
        <v/>
      </c>
    </row>
    <row r="56" ht="20" customHeight="1">
      <c r="A56" s="9" t="inlineStr">
        <is>
          <t>41. Плитка Керамогранит 400х400х9 мм типа "Эстима"(цвет-серый ) ST-03 (вкл. За основу клей, грунтовку, затирку швов)</t>
        </is>
      </c>
      <c r="B56" s="13" t="inlineStr">
        <is>
          <t>Затирка</t>
        </is>
      </c>
      <c r="C56" s="9" t="inlineStr">
        <is>
          <t>Сухие смеси, штукатурки, шпаклёвки</t>
        </is>
      </c>
      <c r="D56" s="9" t="inlineStr">
        <is>
          <t>кг</t>
        </is>
      </c>
      <c r="E56" s="10" t="n">
        <v>0.4</v>
      </c>
      <c r="F56" s="4">
        <f>E56*IFERROR(INDEX(Работы!$D$4:$D$672,MATCH(SUBSTITUTE(SUBSTITUTE(SUBSTITUTE(A56,"~","~~"),"*","~*"),"?","~?"),Работы!$B$4:$B$672,0)),0)</f>
        <v/>
      </c>
      <c r="G56" s="10" t="n">
        <v>155</v>
      </c>
      <c r="H56" s="14" t="n">
        <v>1</v>
      </c>
      <c r="I56" s="11" t="n">
        <v>0.05</v>
      </c>
      <c r="J56" s="11" t="n">
        <v>0.12</v>
      </c>
      <c r="K56" s="10" t="n"/>
      <c r="L56" s="9" t="inlineStr">
        <is>
          <t>Петрович</t>
        </is>
      </c>
      <c r="M56" s="9" t="inlineStr">
        <is>
          <t>https://moscow.petrovich.ru/product/102834/</t>
        </is>
      </c>
      <c r="N56" s="9" t="inlineStr">
        <is>
          <t>2026-10-29</t>
        </is>
      </c>
      <c r="O56" s="13" t="inlineStr">
        <is>
          <t>Петрович, Ceresit CE 33, 2 кг = 310 руб (155 руб/кг). Лемана ПРО 173, Сатурн 181,5 руб/кг.</t>
        </is>
      </c>
      <c r="P56" s="4">
        <f>IF(H56=1,G56/VAT_DIV,G56)</f>
        <v/>
      </c>
      <c r="Q56" s="4">
        <f>P56*(1+I56)*(1+DELIV)*(1+GROWTH+MONEY)</f>
        <v/>
      </c>
      <c r="R56" s="4">
        <f>IF(AND(K56&lt;&gt;"",Q56*(1+J56)&gt;K56/VAT_DIV),K56/VAT_DIV,Q56*(1+J56))</f>
        <v/>
      </c>
      <c r="S56" s="4">
        <f>Q56*F56</f>
        <v/>
      </c>
      <c r="T56" s="4">
        <f>R56*F56</f>
        <v/>
      </c>
      <c r="U56" s="3">
        <f>IF(AND(K56&lt;&gt;"",Q56*(1+J56)&gt;K56/VAT_DIV+0.01),"ДА","")</f>
        <v/>
      </c>
      <c r="V56" s="4">
        <f>P56*F56</f>
        <v/>
      </c>
    </row>
    <row r="57" ht="20" customHeight="1">
      <c r="A57" s="9" t="inlineStr">
        <is>
          <t>41. Плитка Керамогранит 400х400х9 мм типа "Эстима"(цвет-серый ) ST-03 (вкл. За основу клей, грунтовку, затирку швов)</t>
        </is>
      </c>
      <c r="B57" s="13" t="inlineStr">
        <is>
          <t>Грунт</t>
        </is>
      </c>
      <c r="C57" s="9" t="inlineStr">
        <is>
          <t>Краски, грунты, ЛКМ</t>
        </is>
      </c>
      <c r="D57" s="9" t="inlineStr">
        <is>
          <t>л</t>
        </is>
      </c>
      <c r="E57" s="10" t="n">
        <v>0.15</v>
      </c>
      <c r="F57" s="4">
        <f>E57*IFERROR(INDEX(Работы!$D$4:$D$672,MATCH(SUBSTITUTE(SUBSTITUTE(SUBSTITUTE(A57,"~","~~"),"*","~*"),"?","~?"),Работы!$B$4:$B$672,0)),0)</f>
        <v/>
      </c>
      <c r="G57" s="10" t="n">
        <v>136.7</v>
      </c>
      <c r="H57" s="14" t="n">
        <v>1</v>
      </c>
      <c r="I57" s="11" t="n">
        <v>0.05</v>
      </c>
      <c r="J57" s="11" t="n">
        <v>0.12</v>
      </c>
      <c r="K57" s="10" t="n"/>
      <c r="L57" s="9" t="inlineStr">
        <is>
          <t>Лемана ПРО</t>
        </is>
      </c>
      <c r="M57" s="9" t="inlineStr">
        <is>
          <t>https://lemanapro.ru/product/grunt-ceresit-ct-17-transparent-glubokogo-proniknoveniya-10-l-89398668/</t>
        </is>
      </c>
      <c r="N57" s="9" t="inlineStr">
        <is>
          <t>2026-10-29</t>
        </is>
      </c>
      <c r="O57" s="13" t="inlineStr">
        <is>
          <t>Минимум из трёх: Лемана ПРО Ceresit CT 17, 10 л = 136,7 руб/л. Петрович CT 17 PRO 143,8, Сатурн 145,9.</t>
        </is>
      </c>
      <c r="P57" s="4">
        <f>IF(H57=1,G57/VAT_DIV,G57)</f>
        <v/>
      </c>
      <c r="Q57" s="4">
        <f>P57*(1+I57)*(1+DELIV)*(1+GROWTH+MONEY)</f>
        <v/>
      </c>
      <c r="R57" s="4">
        <f>IF(AND(K57&lt;&gt;"",Q57*(1+J57)&gt;K57/VAT_DIV),K57/VAT_DIV,Q57*(1+J57))</f>
        <v/>
      </c>
      <c r="S57" s="4">
        <f>Q57*F57</f>
        <v/>
      </c>
      <c r="T57" s="4">
        <f>R57*F57</f>
        <v/>
      </c>
      <c r="U57" s="3">
        <f>IF(AND(K57&lt;&gt;"",Q57*(1+J57)&gt;K57/VAT_DIV+0.01),"ДА","")</f>
        <v/>
      </c>
      <c r="V57" s="4">
        <f>P57*F57</f>
        <v/>
      </c>
    </row>
    <row r="58" ht="20" customHeight="1">
      <c r="A58" s="9" t="inlineStr">
        <is>
          <t>42. Плитка керамогранита 600*600*10 мм типа "Эстима"(цвет-серый ) ST-03 (вкл. За основу клей, грунтовку, затирку швов)</t>
        </is>
      </c>
      <c r="B58" s="13" t="inlineStr">
        <is>
          <t>Плитка керамогранита 600*600*10 мм типа "Эстима"(цвет-серый ) ST-03 (вкл. За осн</t>
        </is>
      </c>
      <c r="C58" s="9" t="inlineStr">
        <is>
          <t>Плитка, керамогранит</t>
        </is>
      </c>
      <c r="D58" s="9" t="inlineStr">
        <is>
          <t>м2</t>
        </is>
      </c>
      <c r="E58" s="10" t="n">
        <v>1</v>
      </c>
      <c r="F58" s="4">
        <f>E58*IFERROR(INDEX(Работы!$D$4:$D$672,MATCH(SUBSTITUTE(SUBSTITUTE(SUBSTITUTE(A58,"~","~~"),"*","~*"),"?","~?"),Работы!$B$4:$B$672,0)),0)</f>
        <v/>
      </c>
      <c r="G58" s="10" t="n">
        <v>1326.7</v>
      </c>
      <c r="H58" s="14" t="n">
        <v>1</v>
      </c>
      <c r="I58" s="11" t="n">
        <v>0.1</v>
      </c>
      <c r="J58" s="11" t="n">
        <v>0.12</v>
      </c>
      <c r="K58" s="10" t="n"/>
      <c r="L58" s="9" t="inlineStr">
        <is>
          <t>Лемана ПРО</t>
        </is>
      </c>
      <c r="M58" s="9" t="inlineStr">
        <is>
          <t>https://lemanapro.ru/product/keramogranit-grani-taganaya-seryy-600h600-mm-91358213/</t>
        </is>
      </c>
      <c r="N58" s="9" t="inlineStr">
        <is>
          <t>2026-10-29</t>
        </is>
      </c>
      <c r="O58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58" s="4">
        <f>IF(H58=1,G58/VAT_DIV,G58)</f>
        <v/>
      </c>
      <c r="Q58" s="4">
        <f>P58*(1+I58)*(1+DELIV)*(1+GROWTH+MONEY)</f>
        <v/>
      </c>
      <c r="R58" s="4">
        <f>IF(AND(K58&lt;&gt;"",Q58*(1+J58)&gt;K58/VAT_DIV),K58/VAT_DIV,Q58*(1+J58))</f>
        <v/>
      </c>
      <c r="S58" s="4">
        <f>Q58*F58</f>
        <v/>
      </c>
      <c r="T58" s="4">
        <f>R58*F58</f>
        <v/>
      </c>
      <c r="U58" s="3">
        <f>IF(AND(K58&lt;&gt;"",Q58*(1+J58)&gt;K58/VAT_DIV+0.01),"ДА","")</f>
        <v/>
      </c>
      <c r="V58" s="4">
        <f>P58*F58</f>
        <v/>
      </c>
    </row>
    <row r="59" ht="20" customHeight="1">
      <c r="A59" s="9" t="inlineStr">
        <is>
          <t>42. Плитка керамогранита 600*600*10 мм типа "Эстима"(цвет-серый ) ST-03 (вкл. За основу клей, грунтовку, затирку швов)</t>
        </is>
      </c>
      <c r="B59" s="13" t="inlineStr">
        <is>
          <t>Клей плиточный</t>
        </is>
      </c>
      <c r="C59" s="9" t="inlineStr">
        <is>
          <t>Сухие смеси, штукатурки, шпаклёвки</t>
        </is>
      </c>
      <c r="D59" s="9" t="inlineStr">
        <is>
          <t>кг</t>
        </is>
      </c>
      <c r="E59" s="10" t="n">
        <v>5.5</v>
      </c>
      <c r="F59" s="4">
        <f>E59*IFERROR(INDEX(Работы!$D$4:$D$672,MATCH(SUBSTITUTE(SUBSTITUTE(SUBSTITUTE(A59,"~","~~"),"*","~*"),"?","~?"),Работы!$B$4:$B$672,0)),0)</f>
        <v/>
      </c>
      <c r="G59" s="10" t="n">
        <v>22.68</v>
      </c>
      <c r="H59" s="14" t="n">
        <v>1</v>
      </c>
      <c r="I59" s="11" t="n">
        <v>0.05</v>
      </c>
      <c r="J59" s="11" t="n">
        <v>0.12</v>
      </c>
      <c r="K59" s="10" t="n"/>
      <c r="L59" s="9" t="inlineStr">
        <is>
          <t>Лемана ПРО</t>
        </is>
      </c>
      <c r="M59" s="9" t="inlineStr">
        <is>
          <t>https://lemanapro.ru/product/kley-plitochnyy-ceresit-cm-11-pro-25-kg-89340445/</t>
        </is>
      </c>
      <c r="N59" s="9" t="inlineStr">
        <is>
          <t>2026-10-29</t>
        </is>
      </c>
      <c r="O59" s="13" t="inlineStr">
        <is>
          <t>Минимум из трёх: Лемана ПРО Ceresit CM 11 PRO 25 кг = 22,68 руб/кг. Петрович 24,76, Сатурн 27.</t>
        </is>
      </c>
      <c r="P59" s="4">
        <f>IF(H59=1,G59/VAT_DIV,G59)</f>
        <v/>
      </c>
      <c r="Q59" s="4">
        <f>P59*(1+I59)*(1+DELIV)*(1+GROWTH+MONEY)</f>
        <v/>
      </c>
      <c r="R59" s="4">
        <f>IF(AND(K59&lt;&gt;"",Q59*(1+J59)&gt;K59/VAT_DIV),K59/VAT_DIV,Q59*(1+J59))</f>
        <v/>
      </c>
      <c r="S59" s="4">
        <f>Q59*F59</f>
        <v/>
      </c>
      <c r="T59" s="4">
        <f>R59*F59</f>
        <v/>
      </c>
      <c r="U59" s="3">
        <f>IF(AND(K59&lt;&gt;"",Q59*(1+J59)&gt;K59/VAT_DIV+0.01),"ДА","")</f>
        <v/>
      </c>
      <c r="V59" s="4">
        <f>P59*F59</f>
        <v/>
      </c>
    </row>
    <row r="60" ht="20" customHeight="1">
      <c r="A60" s="9" t="inlineStr">
        <is>
          <t>42. Плитка керамогранита 600*600*10 мм типа "Эстима"(цвет-серый ) ST-03 (вкл. За основу клей, грунтовку, затирку швов)</t>
        </is>
      </c>
      <c r="B60" s="13" t="inlineStr">
        <is>
          <t>Затирка</t>
        </is>
      </c>
      <c r="C60" s="9" t="inlineStr">
        <is>
          <t>Сухие смеси, штукатурки, шпаклёвки</t>
        </is>
      </c>
      <c r="D60" s="9" t="inlineStr">
        <is>
          <t>кг</t>
        </is>
      </c>
      <c r="E60" s="10" t="n">
        <v>0.4</v>
      </c>
      <c r="F60" s="4">
        <f>E60*IFERROR(INDEX(Работы!$D$4:$D$672,MATCH(SUBSTITUTE(SUBSTITUTE(SUBSTITUTE(A60,"~","~~"),"*","~*"),"?","~?"),Работы!$B$4:$B$672,0)),0)</f>
        <v/>
      </c>
      <c r="G60" s="10" t="n">
        <v>155</v>
      </c>
      <c r="H60" s="14" t="n">
        <v>1</v>
      </c>
      <c r="I60" s="11" t="n">
        <v>0.05</v>
      </c>
      <c r="J60" s="11" t="n">
        <v>0.12</v>
      </c>
      <c r="K60" s="10" t="n"/>
      <c r="L60" s="9" t="inlineStr">
        <is>
          <t>Петрович</t>
        </is>
      </c>
      <c r="M60" s="9" t="inlineStr">
        <is>
          <t>https://moscow.petrovich.ru/product/102834/</t>
        </is>
      </c>
      <c r="N60" s="9" t="inlineStr">
        <is>
          <t>2026-10-29</t>
        </is>
      </c>
      <c r="O60" s="13" t="inlineStr">
        <is>
          <t>Петрович, Ceresit CE 33, 2 кг = 310 руб (155 руб/кг). Лемана ПРО 173, Сатурн 181,5 руб/кг.</t>
        </is>
      </c>
      <c r="P60" s="4">
        <f>IF(H60=1,G60/VAT_DIV,G60)</f>
        <v/>
      </c>
      <c r="Q60" s="4">
        <f>P60*(1+I60)*(1+DELIV)*(1+GROWTH+MONEY)</f>
        <v/>
      </c>
      <c r="R60" s="4">
        <f>IF(AND(K60&lt;&gt;"",Q60*(1+J60)&gt;K60/VAT_DIV),K60/VAT_DIV,Q60*(1+J60))</f>
        <v/>
      </c>
      <c r="S60" s="4">
        <f>Q60*F60</f>
        <v/>
      </c>
      <c r="T60" s="4">
        <f>R60*F60</f>
        <v/>
      </c>
      <c r="U60" s="3">
        <f>IF(AND(K60&lt;&gt;"",Q60*(1+J60)&gt;K60/VAT_DIV+0.01),"ДА","")</f>
        <v/>
      </c>
      <c r="V60" s="4">
        <f>P60*F60</f>
        <v/>
      </c>
    </row>
    <row r="61" ht="20" customHeight="1">
      <c r="A61" s="9" t="inlineStr">
        <is>
          <t>42. Плитка керамогранита 600*600*10 мм типа "Эстима"(цвет-серый ) ST-03 (вкл. За основу клей, грунтовку, затирку швов)</t>
        </is>
      </c>
      <c r="B61" s="13" t="inlineStr">
        <is>
          <t>Грунт</t>
        </is>
      </c>
      <c r="C61" s="9" t="inlineStr">
        <is>
          <t>Краски, грунты, ЛКМ</t>
        </is>
      </c>
      <c r="D61" s="9" t="inlineStr">
        <is>
          <t>л</t>
        </is>
      </c>
      <c r="E61" s="10" t="n">
        <v>0.15</v>
      </c>
      <c r="F61" s="4">
        <f>E61*IFERROR(INDEX(Работы!$D$4:$D$672,MATCH(SUBSTITUTE(SUBSTITUTE(SUBSTITUTE(A61,"~","~~"),"*","~*"),"?","~?"),Работы!$B$4:$B$672,0)),0)</f>
        <v/>
      </c>
      <c r="G61" s="10" t="n">
        <v>136.7</v>
      </c>
      <c r="H61" s="14" t="n">
        <v>1</v>
      </c>
      <c r="I61" s="11" t="n">
        <v>0.05</v>
      </c>
      <c r="J61" s="11" t="n">
        <v>0.12</v>
      </c>
      <c r="K61" s="10" t="n"/>
      <c r="L61" s="9" t="inlineStr">
        <is>
          <t>Лемана ПРО</t>
        </is>
      </c>
      <c r="M61" s="9" t="inlineStr">
        <is>
          <t>https://lemanapro.ru/product/grunt-ceresit-ct-17-transparent-glubokogo-proniknoveniya-10-l-89398668/</t>
        </is>
      </c>
      <c r="N61" s="9" t="inlineStr">
        <is>
          <t>2026-10-29</t>
        </is>
      </c>
      <c r="O61" s="13" t="inlineStr">
        <is>
          <t>Минимум из трёх: Лемана ПРО Ceresit CT 17, 10 л = 136,7 руб/л. Петрович CT 17 PRO 143,8, Сатурн 145,9.</t>
        </is>
      </c>
      <c r="P61" s="4">
        <f>IF(H61=1,G61/VAT_DIV,G61)</f>
        <v/>
      </c>
      <c r="Q61" s="4">
        <f>P61*(1+I61)*(1+DELIV)*(1+GROWTH+MONEY)</f>
        <v/>
      </c>
      <c r="R61" s="4">
        <f>IF(AND(K61&lt;&gt;"",Q61*(1+J61)&gt;K61/VAT_DIV),K61/VAT_DIV,Q61*(1+J61))</f>
        <v/>
      </c>
      <c r="S61" s="4">
        <f>Q61*F61</f>
        <v/>
      </c>
      <c r="T61" s="4">
        <f>R61*F61</f>
        <v/>
      </c>
      <c r="U61" s="3">
        <f>IF(AND(K61&lt;&gt;"",Q61*(1+J61)&gt;K61/VAT_DIV+0.01),"ДА","")</f>
        <v/>
      </c>
      <c r="V61" s="4">
        <f>P61*F61</f>
        <v/>
      </c>
    </row>
    <row r="62" ht="20" customHeight="1">
      <c r="A62" s="9" t="inlineStr">
        <is>
          <t>43. Керамогранит для пола 200х200х12 мм (полосы, PEI 4) глазурованный (полосатая) (вкл. За основу клей, грунтовку, затирку швов)</t>
        </is>
      </c>
      <c r="B62" s="13" t="inlineStr">
        <is>
          <t>Керамогранит для пола 200х200х12 мм (полосы, PEI 4) глазурованный (полосатая) (в</t>
        </is>
      </c>
      <c r="C62" s="9" t="inlineStr">
        <is>
          <t>Плитка, керамогранит</t>
        </is>
      </c>
      <c r="D62" s="9" t="inlineStr">
        <is>
          <t>м2</t>
        </is>
      </c>
      <c r="E62" s="10" t="n">
        <v>1</v>
      </c>
      <c r="F62" s="4">
        <f>E62*IFERROR(INDEX(Работы!$D$4:$D$672,MATCH(SUBSTITUTE(SUBSTITUTE(SUBSTITUTE(A62,"~","~~"),"*","~*"),"?","~?"),Работы!$B$4:$B$672,0)),0)</f>
        <v/>
      </c>
      <c r="G62" s="10" t="n">
        <v>830.63</v>
      </c>
      <c r="H62" s="14" t="n">
        <v>1</v>
      </c>
      <c r="I62" s="11" t="n">
        <v>0.1</v>
      </c>
      <c r="J62" s="11" t="n">
        <v>0.12</v>
      </c>
      <c r="K62" s="10" t="n"/>
      <c r="L62" s="9" t="inlineStr">
        <is>
          <t>Лемана ПРО</t>
        </is>
      </c>
      <c r="M62" s="9" t="inlineStr">
        <is>
          <t>https://lemanapro.ru/product/keramogranit-grani-taganaya-seryy-600h600-mm-91358213/</t>
        </is>
      </c>
      <c r="N62" s="9" t="inlineStr">
        <is>
          <t>2026-10-29</t>
        </is>
      </c>
      <c r="O62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62" s="4">
        <f>IF(H62=1,G62/VAT_DIV,G62)</f>
        <v/>
      </c>
      <c r="Q62" s="4">
        <f>P62*(1+I62)*(1+DELIV)*(1+GROWTH+MONEY)</f>
        <v/>
      </c>
      <c r="R62" s="4">
        <f>IF(AND(K62&lt;&gt;"",Q62*(1+J62)&gt;K62/VAT_DIV),K62/VAT_DIV,Q62*(1+J62))</f>
        <v/>
      </c>
      <c r="S62" s="4">
        <f>Q62*F62</f>
        <v/>
      </c>
      <c r="T62" s="4">
        <f>R62*F62</f>
        <v/>
      </c>
      <c r="U62" s="3">
        <f>IF(AND(K62&lt;&gt;"",Q62*(1+J62)&gt;K62/VAT_DIV+0.01),"ДА","")</f>
        <v/>
      </c>
      <c r="V62" s="4">
        <f>P62*F62</f>
        <v/>
      </c>
    </row>
    <row r="63" ht="20" customHeight="1">
      <c r="A63" s="9" t="inlineStr">
        <is>
          <t>43. Керамогранит для пола 200х200х12 мм (полосы, PEI 4) глазурованный (полосатая) (вкл. За основу клей, грунтовку, затирку швов)</t>
        </is>
      </c>
      <c r="B63" s="13" t="inlineStr">
        <is>
          <t>Клей плиточный</t>
        </is>
      </c>
      <c r="C63" s="9" t="inlineStr">
        <is>
          <t>Сухие смеси, штукатурки, шпаклёвки</t>
        </is>
      </c>
      <c r="D63" s="9" t="inlineStr">
        <is>
          <t>кг</t>
        </is>
      </c>
      <c r="E63" s="10" t="n">
        <v>5.5</v>
      </c>
      <c r="F63" s="4">
        <f>E63*IFERROR(INDEX(Работы!$D$4:$D$672,MATCH(SUBSTITUTE(SUBSTITUTE(SUBSTITUTE(A63,"~","~~"),"*","~*"),"?","~?"),Работы!$B$4:$B$672,0)),0)</f>
        <v/>
      </c>
      <c r="G63" s="10" t="n">
        <v>22.68</v>
      </c>
      <c r="H63" s="14" t="n">
        <v>1</v>
      </c>
      <c r="I63" s="11" t="n">
        <v>0.05</v>
      </c>
      <c r="J63" s="11" t="n">
        <v>0.12</v>
      </c>
      <c r="K63" s="10" t="n"/>
      <c r="L63" s="9" t="inlineStr">
        <is>
          <t>Лемана ПРО</t>
        </is>
      </c>
      <c r="M63" s="9" t="inlineStr">
        <is>
          <t>https://lemanapro.ru/product/kley-plitochnyy-ceresit-cm-11-pro-25-kg-89340445/</t>
        </is>
      </c>
      <c r="N63" s="9" t="inlineStr">
        <is>
          <t>2026-10-29</t>
        </is>
      </c>
      <c r="O63" s="13" t="inlineStr">
        <is>
          <t>Минимум из трёх: Лемана ПРО Ceresit CM 11 PRO 25 кг = 22,68 руб/кг. Петрович 24,76, Сатурн 27.</t>
        </is>
      </c>
      <c r="P63" s="4">
        <f>IF(H63=1,G63/VAT_DIV,G63)</f>
        <v/>
      </c>
      <c r="Q63" s="4">
        <f>P63*(1+I63)*(1+DELIV)*(1+GROWTH+MONEY)</f>
        <v/>
      </c>
      <c r="R63" s="4">
        <f>IF(AND(K63&lt;&gt;"",Q63*(1+J63)&gt;K63/VAT_DIV),K63/VAT_DIV,Q63*(1+J63))</f>
        <v/>
      </c>
      <c r="S63" s="4">
        <f>Q63*F63</f>
        <v/>
      </c>
      <c r="T63" s="4">
        <f>R63*F63</f>
        <v/>
      </c>
      <c r="U63" s="3">
        <f>IF(AND(K63&lt;&gt;"",Q63*(1+J63)&gt;K63/VAT_DIV+0.01),"ДА","")</f>
        <v/>
      </c>
      <c r="V63" s="4">
        <f>P63*F63</f>
        <v/>
      </c>
    </row>
    <row r="64" ht="20" customHeight="1">
      <c r="A64" s="9" t="inlineStr">
        <is>
          <t>43. Керамогранит для пола 200х200х12 мм (полосы, PEI 4) глазурованный (полосатая) (вкл. За основу клей, грунтовку, затирку швов)</t>
        </is>
      </c>
      <c r="B64" s="13" t="inlineStr">
        <is>
          <t>Затирка</t>
        </is>
      </c>
      <c r="C64" s="9" t="inlineStr">
        <is>
          <t>Сухие смеси, штукатурки, шпаклёвки</t>
        </is>
      </c>
      <c r="D64" s="9" t="inlineStr">
        <is>
          <t>кг</t>
        </is>
      </c>
      <c r="E64" s="10" t="n">
        <v>0.4</v>
      </c>
      <c r="F64" s="4">
        <f>E64*IFERROR(INDEX(Работы!$D$4:$D$672,MATCH(SUBSTITUTE(SUBSTITUTE(SUBSTITUTE(A64,"~","~~"),"*","~*"),"?","~?"),Работы!$B$4:$B$672,0)),0)</f>
        <v/>
      </c>
      <c r="G64" s="10" t="n">
        <v>155</v>
      </c>
      <c r="H64" s="14" t="n">
        <v>1</v>
      </c>
      <c r="I64" s="11" t="n">
        <v>0.05</v>
      </c>
      <c r="J64" s="11" t="n">
        <v>0.12</v>
      </c>
      <c r="K64" s="10" t="n"/>
      <c r="L64" s="9" t="inlineStr">
        <is>
          <t>Петрович</t>
        </is>
      </c>
      <c r="M64" s="9" t="inlineStr">
        <is>
          <t>https://moscow.petrovich.ru/product/102834/</t>
        </is>
      </c>
      <c r="N64" s="9" t="inlineStr">
        <is>
          <t>2026-10-29</t>
        </is>
      </c>
      <c r="O64" s="13" t="inlineStr">
        <is>
          <t>Петрович, Ceresit CE 33, 2 кг = 310 руб (155 руб/кг). Лемана ПРО 173, Сатурн 181,5 руб/кг.</t>
        </is>
      </c>
      <c r="P64" s="4">
        <f>IF(H64=1,G64/VAT_DIV,G64)</f>
        <v/>
      </c>
      <c r="Q64" s="4">
        <f>P64*(1+I64)*(1+DELIV)*(1+GROWTH+MONEY)</f>
        <v/>
      </c>
      <c r="R64" s="4">
        <f>IF(AND(K64&lt;&gt;"",Q64*(1+J64)&gt;K64/VAT_DIV),K64/VAT_DIV,Q64*(1+J64))</f>
        <v/>
      </c>
      <c r="S64" s="4">
        <f>Q64*F64</f>
        <v/>
      </c>
      <c r="T64" s="4">
        <f>R64*F64</f>
        <v/>
      </c>
      <c r="U64" s="3">
        <f>IF(AND(K64&lt;&gt;"",Q64*(1+J64)&gt;K64/VAT_DIV+0.01),"ДА","")</f>
        <v/>
      </c>
      <c r="V64" s="4">
        <f>P64*F64</f>
        <v/>
      </c>
    </row>
    <row r="65" ht="20" customHeight="1">
      <c r="A65" s="9" t="inlineStr">
        <is>
          <t>43. Керамогранит для пола 200х200х12 мм (полосы, PEI 4) глазурованный (полосатая) (вкл. За основу клей, грунтовку, затирку швов)</t>
        </is>
      </c>
      <c r="B65" s="13" t="inlineStr">
        <is>
          <t>Грунт</t>
        </is>
      </c>
      <c r="C65" s="9" t="inlineStr">
        <is>
          <t>Краски, грунты, ЛКМ</t>
        </is>
      </c>
      <c r="D65" s="9" t="inlineStr">
        <is>
          <t>л</t>
        </is>
      </c>
      <c r="E65" s="10" t="n">
        <v>0.15</v>
      </c>
      <c r="F65" s="4">
        <f>E65*IFERROR(INDEX(Работы!$D$4:$D$672,MATCH(SUBSTITUTE(SUBSTITUTE(SUBSTITUTE(A65,"~","~~"),"*","~*"),"?","~?"),Работы!$B$4:$B$672,0)),0)</f>
        <v/>
      </c>
      <c r="G65" s="10" t="n">
        <v>136.7</v>
      </c>
      <c r="H65" s="14" t="n">
        <v>1</v>
      </c>
      <c r="I65" s="11" t="n">
        <v>0.05</v>
      </c>
      <c r="J65" s="11" t="n">
        <v>0.12</v>
      </c>
      <c r="K65" s="10" t="n"/>
      <c r="L65" s="9" t="inlineStr">
        <is>
          <t>Лемана ПРО</t>
        </is>
      </c>
      <c r="M65" s="9" t="inlineStr">
        <is>
          <t>https://lemanapro.ru/product/grunt-ceresit-ct-17-transparent-glubokogo-proniknoveniya-10-l-89398668/</t>
        </is>
      </c>
      <c r="N65" s="9" t="inlineStr">
        <is>
          <t>2026-10-29</t>
        </is>
      </c>
      <c r="O65" s="13" t="inlineStr">
        <is>
          <t>Минимум из трёх: Лемана ПРО Ceresit CT 17, 10 л = 136,7 руб/л. Петрович CT 17 PRO 143,8, Сатурн 145,9.</t>
        </is>
      </c>
      <c r="P65" s="4">
        <f>IF(H65=1,G65/VAT_DIV,G65)</f>
        <v/>
      </c>
      <c r="Q65" s="4">
        <f>P65*(1+I65)*(1+DELIV)*(1+GROWTH+MONEY)</f>
        <v/>
      </c>
      <c r="R65" s="4">
        <f>IF(AND(K65&lt;&gt;"",Q65*(1+J65)&gt;K65/VAT_DIV),K65/VAT_DIV,Q65*(1+J65))</f>
        <v/>
      </c>
      <c r="S65" s="4">
        <f>Q65*F65</f>
        <v/>
      </c>
      <c r="T65" s="4">
        <f>R65*F65</f>
        <v/>
      </c>
      <c r="U65" s="3">
        <f>IF(AND(K65&lt;&gt;"",Q65*(1+J65)&gt;K65/VAT_DIV+0.01),"ДА","")</f>
        <v/>
      </c>
      <c r="V65" s="4">
        <f>P65*F65</f>
        <v/>
      </c>
    </row>
    <row r="66" ht="20" customHeight="1">
      <c r="A66" s="9" t="inlineStr">
        <is>
          <t>44. Керамогранит Техногрес 300х300х12мм соль-перец</t>
        </is>
      </c>
      <c r="B66" s="13" t="inlineStr">
        <is>
          <t>Керамогранит Техногрес 300х300х12мм соль-перец</t>
        </is>
      </c>
      <c r="C66" s="9" t="inlineStr">
        <is>
          <t>Плитка, керамогранит</t>
        </is>
      </c>
      <c r="D66" s="9" t="inlineStr">
        <is>
          <t>м2</t>
        </is>
      </c>
      <c r="E66" s="10" t="n">
        <v>1</v>
      </c>
      <c r="F66" s="4">
        <f>E66*IFERROR(INDEX(Работы!$D$4:$D$672,MATCH(SUBSTITUTE(SUBSTITUTE(SUBSTITUTE(A66,"~","~~"),"*","~*"),"?","~?"),Работы!$B$4:$B$672,0)),0)</f>
        <v/>
      </c>
      <c r="G66" s="10" t="n">
        <v>830.63</v>
      </c>
      <c r="H66" s="14" t="n">
        <v>1</v>
      </c>
      <c r="I66" s="11" t="n">
        <v>0.1</v>
      </c>
      <c r="J66" s="11" t="n">
        <v>0.12</v>
      </c>
      <c r="K66" s="10" t="n"/>
      <c r="L66" s="9" t="inlineStr">
        <is>
          <t>Лемана ПРО</t>
        </is>
      </c>
      <c r="M66" s="9" t="inlineStr">
        <is>
          <t>https://lemanapro.ru/product/keramogranit-grani-taganaya-seryy-600h600-mm-91358213/</t>
        </is>
      </c>
      <c r="N66" s="9" t="inlineStr">
        <is>
          <t>2026-10-29</t>
        </is>
      </c>
      <c r="O66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66" s="4">
        <f>IF(H66=1,G66/VAT_DIV,G66)</f>
        <v/>
      </c>
      <c r="Q66" s="4">
        <f>P66*(1+I66)*(1+DELIV)*(1+GROWTH+MONEY)</f>
        <v/>
      </c>
      <c r="R66" s="4">
        <f>IF(AND(K66&lt;&gt;"",Q66*(1+J66)&gt;K66/VAT_DIV),K66/VAT_DIV,Q66*(1+J66))</f>
        <v/>
      </c>
      <c r="S66" s="4">
        <f>Q66*F66</f>
        <v/>
      </c>
      <c r="T66" s="4">
        <f>R66*F66</f>
        <v/>
      </c>
      <c r="U66" s="3">
        <f>IF(AND(K66&lt;&gt;"",Q66*(1+J66)&gt;K66/VAT_DIV+0.01),"ДА","")</f>
        <v/>
      </c>
      <c r="V66" s="4">
        <f>P66*F66</f>
        <v/>
      </c>
    </row>
    <row r="67" ht="20" customHeight="1">
      <c r="A67" s="9" t="inlineStr">
        <is>
          <t>44. Керамогранит Техногрес 300х300х12мм соль-перец</t>
        </is>
      </c>
      <c r="B67" s="13" t="inlineStr">
        <is>
          <t>Клей плиточный</t>
        </is>
      </c>
      <c r="C67" s="9" t="inlineStr">
        <is>
          <t>Сухие смеси, штукатурки, шпаклёвки</t>
        </is>
      </c>
      <c r="D67" s="9" t="inlineStr">
        <is>
          <t>кг</t>
        </is>
      </c>
      <c r="E67" s="10" t="n">
        <v>5.5</v>
      </c>
      <c r="F67" s="4">
        <f>E67*IFERROR(INDEX(Работы!$D$4:$D$672,MATCH(SUBSTITUTE(SUBSTITUTE(SUBSTITUTE(A67,"~","~~"),"*","~*"),"?","~?"),Работы!$B$4:$B$672,0)),0)</f>
        <v/>
      </c>
      <c r="G67" s="10" t="n">
        <v>22.68</v>
      </c>
      <c r="H67" s="14" t="n">
        <v>1</v>
      </c>
      <c r="I67" s="11" t="n">
        <v>0.05</v>
      </c>
      <c r="J67" s="11" t="n">
        <v>0.12</v>
      </c>
      <c r="K67" s="10" t="n"/>
      <c r="L67" s="9" t="inlineStr">
        <is>
          <t>Лемана ПРО</t>
        </is>
      </c>
      <c r="M67" s="9" t="inlineStr">
        <is>
          <t>https://lemanapro.ru/product/kley-plitochnyy-ceresit-cm-11-pro-25-kg-89340445/</t>
        </is>
      </c>
      <c r="N67" s="9" t="inlineStr">
        <is>
          <t>2026-10-29</t>
        </is>
      </c>
      <c r="O67" s="13" t="inlineStr">
        <is>
          <t>Минимум из трёх: Лемана ПРО Ceresit CM 11 PRO 25 кг = 22,68 руб/кг. Петрович 24,76, Сатурн 27.</t>
        </is>
      </c>
      <c r="P67" s="4">
        <f>IF(H67=1,G67/VAT_DIV,G67)</f>
        <v/>
      </c>
      <c r="Q67" s="4">
        <f>P67*(1+I67)*(1+DELIV)*(1+GROWTH+MONEY)</f>
        <v/>
      </c>
      <c r="R67" s="4">
        <f>IF(AND(K67&lt;&gt;"",Q67*(1+J67)&gt;K67/VAT_DIV),K67/VAT_DIV,Q67*(1+J67))</f>
        <v/>
      </c>
      <c r="S67" s="4">
        <f>Q67*F67</f>
        <v/>
      </c>
      <c r="T67" s="4">
        <f>R67*F67</f>
        <v/>
      </c>
      <c r="U67" s="3">
        <f>IF(AND(K67&lt;&gt;"",Q67*(1+J67)&gt;K67/VAT_DIV+0.01),"ДА","")</f>
        <v/>
      </c>
      <c r="V67" s="4">
        <f>P67*F67</f>
        <v/>
      </c>
    </row>
    <row r="68" ht="20" customHeight="1">
      <c r="A68" s="9" t="inlineStr">
        <is>
          <t>44. Керамогранит Техногрес 300х300х12мм соль-перец</t>
        </is>
      </c>
      <c r="B68" s="13" t="inlineStr">
        <is>
          <t>Затирка</t>
        </is>
      </c>
      <c r="C68" s="9" t="inlineStr">
        <is>
          <t>Сухие смеси, штукатурки, шпаклёвки</t>
        </is>
      </c>
      <c r="D68" s="9" t="inlineStr">
        <is>
          <t>кг</t>
        </is>
      </c>
      <c r="E68" s="10" t="n">
        <v>0.4</v>
      </c>
      <c r="F68" s="4">
        <f>E68*IFERROR(INDEX(Работы!$D$4:$D$672,MATCH(SUBSTITUTE(SUBSTITUTE(SUBSTITUTE(A68,"~","~~"),"*","~*"),"?","~?"),Работы!$B$4:$B$672,0)),0)</f>
        <v/>
      </c>
      <c r="G68" s="10" t="n">
        <v>155</v>
      </c>
      <c r="H68" s="14" t="n">
        <v>1</v>
      </c>
      <c r="I68" s="11" t="n">
        <v>0.05</v>
      </c>
      <c r="J68" s="11" t="n">
        <v>0.12</v>
      </c>
      <c r="K68" s="10" t="n"/>
      <c r="L68" s="9" t="inlineStr">
        <is>
          <t>Петрович</t>
        </is>
      </c>
      <c r="M68" s="9" t="inlineStr">
        <is>
          <t>https://moscow.petrovich.ru/product/102834/</t>
        </is>
      </c>
      <c r="N68" s="9" t="inlineStr">
        <is>
          <t>2026-10-29</t>
        </is>
      </c>
      <c r="O68" s="13" t="inlineStr">
        <is>
          <t>Петрович, Ceresit CE 33, 2 кг = 310 руб (155 руб/кг). Лемана ПРО 173, Сатурн 181,5 руб/кг.</t>
        </is>
      </c>
      <c r="P68" s="4">
        <f>IF(H68=1,G68/VAT_DIV,G68)</f>
        <v/>
      </c>
      <c r="Q68" s="4">
        <f>P68*(1+I68)*(1+DELIV)*(1+GROWTH+MONEY)</f>
        <v/>
      </c>
      <c r="R68" s="4">
        <f>IF(AND(K68&lt;&gt;"",Q68*(1+J68)&gt;K68/VAT_DIV),K68/VAT_DIV,Q68*(1+J68))</f>
        <v/>
      </c>
      <c r="S68" s="4">
        <f>Q68*F68</f>
        <v/>
      </c>
      <c r="T68" s="4">
        <f>R68*F68</f>
        <v/>
      </c>
      <c r="U68" s="3">
        <f>IF(AND(K68&lt;&gt;"",Q68*(1+J68)&gt;K68/VAT_DIV+0.01),"ДА","")</f>
        <v/>
      </c>
      <c r="V68" s="4">
        <f>P68*F68</f>
        <v/>
      </c>
    </row>
    <row r="69" ht="20" customHeight="1">
      <c r="A69" s="9" t="inlineStr">
        <is>
          <t>44. Керамогранит Техногрес 300х300х12мм соль-перец</t>
        </is>
      </c>
      <c r="B69" s="13" t="inlineStr">
        <is>
          <t>Грунт</t>
        </is>
      </c>
      <c r="C69" s="9" t="inlineStr">
        <is>
          <t>Краски, грунты, ЛКМ</t>
        </is>
      </c>
      <c r="D69" s="9" t="inlineStr">
        <is>
          <t>л</t>
        </is>
      </c>
      <c r="E69" s="10" t="n">
        <v>0.15</v>
      </c>
      <c r="F69" s="4">
        <f>E69*IFERROR(INDEX(Работы!$D$4:$D$672,MATCH(SUBSTITUTE(SUBSTITUTE(SUBSTITUTE(A69,"~","~~"),"*","~*"),"?","~?"),Работы!$B$4:$B$672,0)),0)</f>
        <v/>
      </c>
      <c r="G69" s="10" t="n">
        <v>136.7</v>
      </c>
      <c r="H69" s="14" t="n">
        <v>1</v>
      </c>
      <c r="I69" s="11" t="n">
        <v>0.05</v>
      </c>
      <c r="J69" s="11" t="n">
        <v>0.12</v>
      </c>
      <c r="K69" s="10" t="n"/>
      <c r="L69" s="9" t="inlineStr">
        <is>
          <t>Лемана ПРО</t>
        </is>
      </c>
      <c r="M69" s="9" t="inlineStr">
        <is>
          <t>https://lemanapro.ru/product/grunt-ceresit-ct-17-transparent-glubokogo-proniknoveniya-10-l-89398668/</t>
        </is>
      </c>
      <c r="N69" s="9" t="inlineStr">
        <is>
          <t>2026-10-29</t>
        </is>
      </c>
      <c r="O69" s="13" t="inlineStr">
        <is>
          <t>Минимум из трёх: Лемана ПРО Ceresit CT 17, 10 л = 136,7 руб/л. Петрович CT 17 PRO 143,8, Сатурн 145,9.</t>
        </is>
      </c>
      <c r="P69" s="4">
        <f>IF(H69=1,G69/VAT_DIV,G69)</f>
        <v/>
      </c>
      <c r="Q69" s="4">
        <f>P69*(1+I69)*(1+DELIV)*(1+GROWTH+MONEY)</f>
        <v/>
      </c>
      <c r="R69" s="4">
        <f>IF(AND(K69&lt;&gt;"",Q69*(1+J69)&gt;K69/VAT_DIV),K69/VAT_DIV,Q69*(1+J69))</f>
        <v/>
      </c>
      <c r="S69" s="4">
        <f>Q69*F69</f>
        <v/>
      </c>
      <c r="T69" s="4">
        <f>R69*F69</f>
        <v/>
      </c>
      <c r="U69" s="3">
        <f>IF(AND(K69&lt;&gt;"",Q69*(1+J69)&gt;K69/VAT_DIV+0.01),"ДА","")</f>
        <v/>
      </c>
      <c r="V69" s="4">
        <f>P69*F69</f>
        <v/>
      </c>
    </row>
    <row r="70" ht="20" customHeight="1">
      <c r="A70" s="9" t="inlineStr">
        <is>
          <t>45. Плинтус напольный пластиковый 55 x 22 мм типа "Идеал" с кабель каналом</t>
        </is>
      </c>
      <c r="B70" s="13" t="inlineStr">
        <is>
          <t>Плинтус ПВХ с кабель-каналом</t>
        </is>
      </c>
      <c r="C70" s="9" t="inlineStr">
        <is>
          <t>Напольные покрытия (линолеум, ПВХ, ковролин)</t>
        </is>
      </c>
      <c r="D70" s="9" t="inlineStr">
        <is>
          <t>м</t>
        </is>
      </c>
      <c r="E70" s="10" t="n">
        <v>1</v>
      </c>
      <c r="F70" s="4">
        <f>E70*IFERROR(INDEX(Работы!$D$4:$D$672,MATCH(SUBSTITUTE(SUBSTITUTE(SUBSTITUTE(A70,"~","~~"),"*","~*"),"?","~?"),Работы!$B$4:$B$672,0)),0)</f>
        <v/>
      </c>
      <c r="G70" s="10" t="n">
        <v>55.91</v>
      </c>
      <c r="H70" s="14" t="n">
        <v>1</v>
      </c>
      <c r="I70" s="11" t="n">
        <v>0.08</v>
      </c>
      <c r="J70" s="11" t="n">
        <v>0.15</v>
      </c>
      <c r="K70" s="10" t="n"/>
      <c r="L70" s="9" t="inlineStr">
        <is>
          <t>Петрович</t>
        </is>
      </c>
      <c r="M70" s="9" t="inlineStr">
        <is>
          <t>https://moscow.petrovich.ru/product/1165202/</t>
        </is>
      </c>
      <c r="N70" s="9" t="inlineStr">
        <is>
          <t>2026-10-29</t>
        </is>
      </c>
      <c r="O70" s="13" t="inlineStr">
        <is>
          <t>Петрович, Ideal Классик 55 мм, 2,2 м. Лемана ПРО Tarkett 104,55 руб/м, Сатурн 63,18.</t>
        </is>
      </c>
      <c r="P70" s="4">
        <f>IF(H70=1,G70/VAT_DIV,G70)</f>
        <v/>
      </c>
      <c r="Q70" s="4">
        <f>P70*(1+I70)*(1+DELIV)*(1+GROWTH+MONEY)</f>
        <v/>
      </c>
      <c r="R70" s="4">
        <f>IF(AND(K70&lt;&gt;"",Q70*(1+J70)&gt;K70/VAT_DIV),K70/VAT_DIV,Q70*(1+J70))</f>
        <v/>
      </c>
      <c r="S70" s="4">
        <f>Q70*F70</f>
        <v/>
      </c>
      <c r="T70" s="4">
        <f>R70*F70</f>
        <v/>
      </c>
      <c r="U70" s="3">
        <f>IF(AND(K70&lt;&gt;"",Q70*(1+J70)&gt;K70/VAT_DIV+0.01),"ДА","")</f>
        <v/>
      </c>
      <c r="V70" s="4">
        <f>P70*F70</f>
        <v/>
      </c>
    </row>
    <row r="71" ht="20" customHeight="1">
      <c r="A71" s="9" t="inlineStr">
        <is>
          <t>46. Линолеум коммерческий толщиной не менее 2 мм (типа "Tarket" серии "Optima")</t>
        </is>
      </c>
      <c r="B71" s="13" t="inlineStr">
        <is>
          <t>Линолеум коммерческий 2 мм</t>
        </is>
      </c>
      <c r="C71" s="9" t="inlineStr">
        <is>
          <t>Напольные покрытия (линолеум, ПВХ, ковролин)</t>
        </is>
      </c>
      <c r="D71" s="9" t="inlineStr">
        <is>
          <t>м2</t>
        </is>
      </c>
      <c r="E71" s="10" t="n">
        <v>1.05</v>
      </c>
      <c r="F71" s="4">
        <f>E71*IFERROR(INDEX(Работы!$D$4:$D$672,MATCH(SUBSTITUTE(SUBSTITUTE(SUBSTITUTE(A71,"~","~~"),"*","~*"),"?","~?"),Работы!$B$4:$B$672,0)),0)</f>
        <v/>
      </c>
      <c r="G71" s="10" t="n">
        <v>399.67</v>
      </c>
      <c r="H71" s="14" t="n">
        <v>1</v>
      </c>
      <c r="I71" s="11" t="n">
        <v>0.08</v>
      </c>
      <c r="J71" s="11" t="n">
        <v>0.15</v>
      </c>
      <c r="K71" s="10" t="n"/>
      <c r="L71" s="9" t="inlineStr">
        <is>
          <t>Петрович</t>
        </is>
      </c>
      <c r="M71" s="9" t="inlineStr">
        <is>
          <t>https://moscow.petrovich.ru/product/1229558/</t>
        </is>
      </c>
      <c r="N71" s="9" t="inlineStr">
        <is>
          <t>2026-10-29</t>
        </is>
      </c>
      <c r="O71" s="13" t="inlineStr">
        <is>
          <t>Петрович, Tarkett Acczent Mineral, коммерческий, 399,67 руб/м2. Сатурн Polystyl 319 — другой класс.</t>
        </is>
      </c>
      <c r="P71" s="4">
        <f>IF(H71=1,G71/VAT_DIV,G71)</f>
        <v/>
      </c>
      <c r="Q71" s="4">
        <f>P71*(1+I71)*(1+DELIV)*(1+GROWTH+MONEY)</f>
        <v/>
      </c>
      <c r="R71" s="4">
        <f>IF(AND(K71&lt;&gt;"",Q71*(1+J71)&gt;K71/VAT_DIV),K71/VAT_DIV,Q71*(1+J71))</f>
        <v/>
      </c>
      <c r="S71" s="4">
        <f>Q71*F71</f>
        <v/>
      </c>
      <c r="T71" s="4">
        <f>R71*F71</f>
        <v/>
      </c>
      <c r="U71" s="3">
        <f>IF(AND(K71&lt;&gt;"",Q71*(1+J71)&gt;K71/VAT_DIV+0.01),"ДА","")</f>
        <v/>
      </c>
      <c r="V71" s="4">
        <f>P71*F71</f>
        <v/>
      </c>
    </row>
    <row r="72" ht="20" customHeight="1">
      <c r="A72" s="9" t="inlineStr">
        <is>
          <t>46. Линолеум коммерческий толщиной не менее 2 мм (типа "Tarket" серии "Optima")</t>
        </is>
      </c>
      <c r="B72" s="13" t="inlineStr">
        <is>
          <t>Клей</t>
        </is>
      </c>
      <c r="C72" s="9" t="inlineStr">
        <is>
          <t>Напольные покрытия (линолеум, ПВХ, ковролин)</t>
        </is>
      </c>
      <c r="D72" s="9" t="inlineStr">
        <is>
          <t>кг</t>
        </is>
      </c>
      <c r="E72" s="10" t="n">
        <v>0.3</v>
      </c>
      <c r="F72" s="4">
        <f>E72*IFERROR(INDEX(Работы!$D$4:$D$672,MATCH(SUBSTITUTE(SUBSTITUTE(SUBSTITUTE(A72,"~","~~"),"*","~*"),"?","~?"),Работы!$B$4:$B$672,0)),0)</f>
        <v/>
      </c>
      <c r="G72" s="10" t="n">
        <v>180</v>
      </c>
      <c r="H72" s="14" t="n">
        <v>1</v>
      </c>
      <c r="I72" s="11" t="n">
        <v>0.08</v>
      </c>
      <c r="J72" s="11" t="n">
        <v>0.15</v>
      </c>
      <c r="K72" s="10" t="n"/>
      <c r="L72" s="9" t="inlineStr">
        <is>
          <t>оценка</t>
        </is>
      </c>
      <c r="M72" s="9" t="inlineStr"/>
      <c r="N72" s="9" t="inlineStr">
        <is>
          <t>2026-10-29</t>
        </is>
      </c>
      <c r="O72" s="13" t="inlineStr">
        <is>
          <t>оценка В Петрович, Лемана ПРО и Сатурн открытой карточки нет, оставлен прежний источник.</t>
        </is>
      </c>
      <c r="P72" s="4">
        <f>IF(H72=1,G72/VAT_DIV,G72)</f>
        <v/>
      </c>
      <c r="Q72" s="4">
        <f>P72*(1+I72)*(1+DELIV)*(1+GROWTH+MONEY)</f>
        <v/>
      </c>
      <c r="R72" s="4">
        <f>IF(AND(K72&lt;&gt;"",Q72*(1+J72)&gt;K72/VAT_DIV),K72/VAT_DIV,Q72*(1+J72))</f>
        <v/>
      </c>
      <c r="S72" s="4">
        <f>Q72*F72</f>
        <v/>
      </c>
      <c r="T72" s="4">
        <f>R72*F72</f>
        <v/>
      </c>
      <c r="U72" s="3">
        <f>IF(AND(K72&lt;&gt;"",Q72*(1+J72)&gt;K72/VAT_DIV+0.01),"ДА","")</f>
        <v/>
      </c>
      <c r="V72" s="4">
        <f>P72*F72</f>
        <v/>
      </c>
    </row>
    <row r="73" ht="20" customHeight="1">
      <c r="A73" s="9" t="inlineStr">
        <is>
          <t>47. Текстура: гладкая типа Апельсиновая корка. Цвет: RAL 7040</t>
        </is>
      </c>
      <c r="B73" s="13" t="inlineStr">
        <is>
          <t>Краска для пола по бетону</t>
        </is>
      </c>
      <c r="C73" s="9" t="inlineStr">
        <is>
          <t>Краски, грунты, ЛКМ</t>
        </is>
      </c>
      <c r="D73" s="9" t="inlineStr">
        <is>
          <t>кг</t>
        </is>
      </c>
      <c r="E73" s="10" t="n">
        <v>0.35</v>
      </c>
      <c r="F73" s="4">
        <f>E73*IFERROR(INDEX(Работы!$D$4:$D$672,MATCH(SUBSTITUTE(SUBSTITUTE(SUBSTITUTE(A73,"~","~~"),"*","~*"),"?","~?"),Работы!$B$4:$B$672,0)),0)</f>
        <v/>
      </c>
      <c r="G73" s="10" t="n">
        <v>220</v>
      </c>
      <c r="H73" s="14" t="n">
        <v>1</v>
      </c>
      <c r="I73" s="11" t="n">
        <v>0.05</v>
      </c>
      <c r="J73" s="11" t="n">
        <v>0.12</v>
      </c>
      <c r="K73" s="10" t="n"/>
      <c r="L73" s="9" t="inlineStr">
        <is>
          <t>оценка</t>
        </is>
      </c>
      <c r="M73" s="9" t="inlineStr"/>
      <c r="N73" s="9" t="inlineStr">
        <is>
          <t>2026-10-29</t>
        </is>
      </c>
      <c r="O73" s="13" t="inlineStr">
        <is>
          <t>оценка В Петрович, Лемана ПРО и Сатурн открытой карточки нет, оставлен прежний источник.</t>
        </is>
      </c>
      <c r="P73" s="4">
        <f>IF(H73=1,G73/VAT_DIV,G73)</f>
        <v/>
      </c>
      <c r="Q73" s="4">
        <f>P73*(1+I73)*(1+DELIV)*(1+GROWTH+MONEY)</f>
        <v/>
      </c>
      <c r="R73" s="4">
        <f>IF(AND(K73&lt;&gt;"",Q73*(1+J73)&gt;K73/VAT_DIV),K73/VAT_DIV,Q73*(1+J73))</f>
        <v/>
      </c>
      <c r="S73" s="4">
        <f>Q73*F73</f>
        <v/>
      </c>
      <c r="T73" s="4">
        <f>R73*F73</f>
        <v/>
      </c>
      <c r="U73" s="3">
        <f>IF(AND(K73&lt;&gt;"",Q73*(1+J73)&gt;K73/VAT_DIV+0.01),"ДА","")</f>
        <v/>
      </c>
      <c r="V73" s="4">
        <f>P73*F73</f>
        <v/>
      </c>
    </row>
    <row r="74" ht="20" customHeight="1">
      <c r="A74" s="9" t="inlineStr">
        <is>
          <t>48. Противоскользящие полосы</t>
        </is>
      </c>
      <c r="B74" s="13" t="inlineStr">
        <is>
          <t>Лента противоскользящая</t>
        </is>
      </c>
      <c r="C74" s="9" t="inlineStr">
        <is>
          <t>Напольные покрытия (линолеум, ПВХ, ковролин)</t>
        </is>
      </c>
      <c r="D74" s="9" t="inlineStr">
        <is>
          <t>м</t>
        </is>
      </c>
      <c r="E74" s="10" t="n">
        <v>1</v>
      </c>
      <c r="F74" s="4">
        <f>E74*IFERROR(INDEX(Работы!$D$4:$D$672,MATCH(SUBSTITUTE(SUBSTITUTE(SUBSTITUTE(A74,"~","~~"),"*","~*"),"?","~?"),Работы!$B$4:$B$672,0)),0)</f>
        <v/>
      </c>
      <c r="G74" s="10" t="n">
        <v>120</v>
      </c>
      <c r="H74" s="14" t="n">
        <v>1</v>
      </c>
      <c r="I74" s="11" t="n">
        <v>0.08</v>
      </c>
      <c r="J74" s="11" t="n">
        <v>0.15</v>
      </c>
      <c r="K74" s="10" t="n"/>
      <c r="L74" s="9" t="inlineStr">
        <is>
          <t>оценка</t>
        </is>
      </c>
      <c r="M74" s="9" t="inlineStr"/>
      <c r="N74" s="9" t="inlineStr">
        <is>
          <t>2026-10-29</t>
        </is>
      </c>
      <c r="O74" s="13" t="inlineStr">
        <is>
          <t>оценка В Петрович, Лемана ПРО и Сатурн открытой карточки нет, оставлен прежний источник.</t>
        </is>
      </c>
      <c r="P74" s="4">
        <f>IF(H74=1,G74/VAT_DIV,G74)</f>
        <v/>
      </c>
      <c r="Q74" s="4">
        <f>P74*(1+I74)*(1+DELIV)*(1+GROWTH+MONEY)</f>
        <v/>
      </c>
      <c r="R74" s="4">
        <f>IF(AND(K74&lt;&gt;"",Q74*(1+J74)&gt;K74/VAT_DIV),K74/VAT_DIV,Q74*(1+J74))</f>
        <v/>
      </c>
      <c r="S74" s="4">
        <f>Q74*F74</f>
        <v/>
      </c>
      <c r="T74" s="4">
        <f>R74*F74</f>
        <v/>
      </c>
      <c r="U74" s="3">
        <f>IF(AND(K74&lt;&gt;"",Q74*(1+J74)&gt;K74/VAT_DIV+0.01),"ДА","")</f>
        <v/>
      </c>
      <c r="V74" s="4">
        <f>P74*F74</f>
        <v/>
      </c>
    </row>
    <row r="75" ht="20" customHeight="1">
      <c r="A75" s="9" t="inlineStr">
        <is>
          <t>50. Профильный материал для панели ЛГКЛ, направляющие, алюмин. профили ОМЕГА (вкл. крепежные элементы)</t>
        </is>
      </c>
      <c r="B75" s="13" t="inlineStr">
        <is>
          <t>Профиль ПН/ПС и крепёж на м2 каркаса</t>
        </is>
      </c>
      <c r="C75" s="9" t="inlineStr">
        <is>
          <t>ГКЛ, профиль, комплектующие</t>
        </is>
      </c>
      <c r="D75" s="9" t="inlineStr">
        <is>
          <t>м2</t>
        </is>
      </c>
      <c r="E75" s="10" t="n">
        <v>1</v>
      </c>
      <c r="F75" s="4">
        <f>E75*IFERROR(INDEX(Работы!$D$4:$D$672,MATCH(SUBSTITUTE(SUBSTITUTE(SUBSTITUTE(A75,"~","~~"),"*","~*"),"?","~?"),Работы!$B$4:$B$672,0)),0)</f>
        <v/>
      </c>
      <c r="G75" s="10" t="n">
        <v>180</v>
      </c>
      <c r="H75" s="14" t="n">
        <v>1</v>
      </c>
      <c r="I75" s="11" t="n">
        <v>0.07000000000000001</v>
      </c>
      <c r="J75" s="11" t="n">
        <v>0.12</v>
      </c>
      <c r="K75" s="10" t="n"/>
      <c r="L75" s="9" t="inlineStr">
        <is>
          <t>оценка</t>
        </is>
      </c>
      <c r="M75" s="9" t="inlineStr"/>
      <c r="N75" s="9" t="inlineStr">
        <is>
          <t>2026-10-29</t>
        </is>
      </c>
      <c r="O75" s="13" t="inlineStr">
        <is>
          <t>оценка каркаса под панель В Петрович, Лемана ПРО и Сатурн открытой карточки нет, оставлен прежний источник.</t>
        </is>
      </c>
      <c r="P75" s="4">
        <f>IF(H75=1,G75/VAT_DIV,G75)</f>
        <v/>
      </c>
      <c r="Q75" s="4">
        <f>P75*(1+I75)*(1+DELIV)*(1+GROWTH+MONEY)</f>
        <v/>
      </c>
      <c r="R75" s="4">
        <f>IF(AND(K75&lt;&gt;"",Q75*(1+J75)&gt;K75/VAT_DIV),K75/VAT_DIV,Q75*(1+J75))</f>
        <v/>
      </c>
      <c r="S75" s="4">
        <f>Q75*F75</f>
        <v/>
      </c>
      <c r="T75" s="4">
        <f>R75*F75</f>
        <v/>
      </c>
      <c r="U75" s="3">
        <f>IF(AND(K75&lt;&gt;"",Q75*(1+J75)&gt;K75/VAT_DIV+0.01),"ДА","")</f>
        <v/>
      </c>
      <c r="V75" s="4">
        <f>P75*F75</f>
        <v/>
      </c>
    </row>
    <row r="76" ht="20" customHeight="1">
      <c r="A76" s="9" t="inlineStr">
        <is>
          <t>51. Панель ЛГКЛ (цвет RAL 6019, фактура «шагрень» или аналог) типа GYPROC (толщина 12,5 мм)</t>
        </is>
      </c>
      <c r="B76" s="13" t="inlineStr">
        <is>
          <t>Панель ЛГКЛ (цвет RAL 6019, фактура «шагрень» или аналог) типа GYPROC (толщина 1</t>
        </is>
      </c>
      <c r="C76" s="9" t="inlineStr">
        <is>
          <t>ГКЛ, профиль, комплектующие</t>
        </is>
      </c>
      <c r="D76" s="9" t="inlineStr">
        <is>
          <t>м2</t>
        </is>
      </c>
      <c r="E76" s="10" t="n">
        <v>1.05</v>
      </c>
      <c r="F76" s="4">
        <f>E76*IFERROR(INDEX(Работы!$D$4:$D$672,MATCH(SUBSTITUTE(SUBSTITUTE(SUBSTITUTE(A76,"~","~~"),"*","~*"),"?","~?"),Работы!$B$4:$B$672,0)),0)</f>
        <v/>
      </c>
      <c r="G76" s="10" t="n">
        <v>900</v>
      </c>
      <c r="H76" s="14" t="n">
        <v>1</v>
      </c>
      <c r="I76" s="11" t="n">
        <v>0.07000000000000001</v>
      </c>
      <c r="J76" s="11" t="n">
        <v>0.12</v>
      </c>
      <c r="K76" s="10" t="n"/>
      <c r="L76" s="9" t="inlineStr">
        <is>
          <t>оценка</t>
        </is>
      </c>
      <c r="M76" s="9" t="inlineStr"/>
      <c r="N76" s="9" t="inlineStr">
        <is>
          <t>2026-10-29</t>
        </is>
      </c>
      <c r="O76" s="13" t="inlineStr">
        <is>
          <t>оценка ламинированной панели, запросить КП В Петрович, Лемана ПРО и Сатурн открытой карточки нет, оставлен прежний источник.</t>
        </is>
      </c>
      <c r="P76" s="4">
        <f>IF(H76=1,G76/VAT_DIV,G76)</f>
        <v/>
      </c>
      <c r="Q76" s="4">
        <f>P76*(1+I76)*(1+DELIV)*(1+GROWTH+MONEY)</f>
        <v/>
      </c>
      <c r="R76" s="4">
        <f>IF(AND(K76&lt;&gt;"",Q76*(1+J76)&gt;K76/VAT_DIV),K76/VAT_DIV,Q76*(1+J76))</f>
        <v/>
      </c>
      <c r="S76" s="4">
        <f>Q76*F76</f>
        <v/>
      </c>
      <c r="T76" s="4">
        <f>R76*F76</f>
        <v/>
      </c>
      <c r="U76" s="3">
        <f>IF(AND(K76&lt;&gt;"",Q76*(1+J76)&gt;K76/VAT_DIV+0.01),"ДА","")</f>
        <v/>
      </c>
      <c r="V76" s="4">
        <f>P76*F76</f>
        <v/>
      </c>
    </row>
    <row r="77" ht="20" customHeight="1">
      <c r="A77" s="9" t="inlineStr">
        <is>
          <t>52. Кафельная настенная плитка Kerama Marazzi 200x200 ( цвет-белый) (вкл. За основу клей, грунтовку, затирку швов)</t>
        </is>
      </c>
      <c r="B77" s="13" t="inlineStr">
        <is>
          <t xml:space="preserve">Кафельная настенная плитка Kerama Marazzi 200x200 ( цвет-белый) (вкл. За основу </t>
        </is>
      </c>
      <c r="C77" s="9" t="inlineStr">
        <is>
          <t>Плитка, керамогранит</t>
        </is>
      </c>
      <c r="D77" s="9" t="inlineStr">
        <is>
          <t>м2</t>
        </is>
      </c>
      <c r="E77" s="10" t="n">
        <v>1</v>
      </c>
      <c r="F77" s="4">
        <f>E77*IFERROR(INDEX(Работы!$D$4:$D$672,MATCH(SUBSTITUTE(SUBSTITUTE(SUBSTITUTE(A77,"~","~~"),"*","~*"),"?","~?"),Работы!$B$4:$B$672,0)),0)</f>
        <v/>
      </c>
      <c r="G77" s="10" t="n">
        <v>1038.28</v>
      </c>
      <c r="H77" s="14" t="n">
        <v>1</v>
      </c>
      <c r="I77" s="11" t="n">
        <v>0.1</v>
      </c>
      <c r="J77" s="11" t="n">
        <v>0.12</v>
      </c>
      <c r="K77" s="10" t="n"/>
      <c r="L77" s="9" t="inlineStr">
        <is>
          <t>Лемана ПРО</t>
        </is>
      </c>
      <c r="M77" s="9" t="inlineStr">
        <is>
          <t>https://lemanapro.ru/product/keramogranit-grani-taganaya-seryy-600h600-mm-91358213/</t>
        </is>
      </c>
      <c r="N77" s="9" t="inlineStr">
        <is>
          <t>2026-10-29</t>
        </is>
      </c>
      <c r="O77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77" s="4">
        <f>IF(H77=1,G77/VAT_DIV,G77)</f>
        <v/>
      </c>
      <c r="Q77" s="4">
        <f>P77*(1+I77)*(1+DELIV)*(1+GROWTH+MONEY)</f>
        <v/>
      </c>
      <c r="R77" s="4">
        <f>IF(AND(K77&lt;&gt;"",Q77*(1+J77)&gt;K77/VAT_DIV),K77/VAT_DIV,Q77*(1+J77))</f>
        <v/>
      </c>
      <c r="S77" s="4">
        <f>Q77*F77</f>
        <v/>
      </c>
      <c r="T77" s="4">
        <f>R77*F77</f>
        <v/>
      </c>
      <c r="U77" s="3">
        <f>IF(AND(K77&lt;&gt;"",Q77*(1+J77)&gt;K77/VAT_DIV+0.01),"ДА","")</f>
        <v/>
      </c>
      <c r="V77" s="4">
        <f>P77*F77</f>
        <v/>
      </c>
    </row>
    <row r="78" ht="20" customHeight="1">
      <c r="A78" s="9" t="inlineStr">
        <is>
          <t>52. Кафельная настенная плитка Kerama Marazzi 200x200 ( цвет-белый) (вкл. За основу клей, грунтовку, затирку швов)</t>
        </is>
      </c>
      <c r="B78" s="13" t="inlineStr">
        <is>
          <t>Клей плиточный</t>
        </is>
      </c>
      <c r="C78" s="9" t="inlineStr">
        <is>
          <t>Сухие смеси, штукатурки, шпаклёвки</t>
        </is>
      </c>
      <c r="D78" s="9" t="inlineStr">
        <is>
          <t>кг</t>
        </is>
      </c>
      <c r="E78" s="10" t="n">
        <v>5.5</v>
      </c>
      <c r="F78" s="4">
        <f>E78*IFERROR(INDEX(Работы!$D$4:$D$672,MATCH(SUBSTITUTE(SUBSTITUTE(SUBSTITUTE(A78,"~","~~"),"*","~*"),"?","~?"),Работы!$B$4:$B$672,0)),0)</f>
        <v/>
      </c>
      <c r="G78" s="10" t="n">
        <v>22.68</v>
      </c>
      <c r="H78" s="14" t="n">
        <v>1</v>
      </c>
      <c r="I78" s="11" t="n">
        <v>0.05</v>
      </c>
      <c r="J78" s="11" t="n">
        <v>0.12</v>
      </c>
      <c r="K78" s="10" t="n"/>
      <c r="L78" s="9" t="inlineStr">
        <is>
          <t>Лемана ПРО</t>
        </is>
      </c>
      <c r="M78" s="9" t="inlineStr">
        <is>
          <t>https://lemanapro.ru/product/kley-plitochnyy-ceresit-cm-11-pro-25-kg-89340445/</t>
        </is>
      </c>
      <c r="N78" s="9" t="inlineStr">
        <is>
          <t>2026-10-29</t>
        </is>
      </c>
      <c r="O78" s="13" t="inlineStr">
        <is>
          <t>Минимум из трёх: Лемана ПРО Ceresit CM 11 PRO 25 кг = 22,68 руб/кг. Петрович 24,76, Сатурн 27.</t>
        </is>
      </c>
      <c r="P78" s="4">
        <f>IF(H78=1,G78/VAT_DIV,G78)</f>
        <v/>
      </c>
      <c r="Q78" s="4">
        <f>P78*(1+I78)*(1+DELIV)*(1+GROWTH+MONEY)</f>
        <v/>
      </c>
      <c r="R78" s="4">
        <f>IF(AND(K78&lt;&gt;"",Q78*(1+J78)&gt;K78/VAT_DIV),K78/VAT_DIV,Q78*(1+J78))</f>
        <v/>
      </c>
      <c r="S78" s="4">
        <f>Q78*F78</f>
        <v/>
      </c>
      <c r="T78" s="4">
        <f>R78*F78</f>
        <v/>
      </c>
      <c r="U78" s="3">
        <f>IF(AND(K78&lt;&gt;"",Q78*(1+J78)&gt;K78/VAT_DIV+0.01),"ДА","")</f>
        <v/>
      </c>
      <c r="V78" s="4">
        <f>P78*F78</f>
        <v/>
      </c>
    </row>
    <row r="79" ht="20" customHeight="1">
      <c r="A79" s="9" t="inlineStr">
        <is>
          <t>52. Кафельная настенная плитка Kerama Marazzi 200x200 ( цвет-белый) (вкл. За основу клей, грунтовку, затирку швов)</t>
        </is>
      </c>
      <c r="B79" s="13" t="inlineStr">
        <is>
          <t>Затирка</t>
        </is>
      </c>
      <c r="C79" s="9" t="inlineStr">
        <is>
          <t>Сухие смеси, штукатурки, шпаклёвки</t>
        </is>
      </c>
      <c r="D79" s="9" t="inlineStr">
        <is>
          <t>кг</t>
        </is>
      </c>
      <c r="E79" s="10" t="n">
        <v>0.4</v>
      </c>
      <c r="F79" s="4">
        <f>E79*IFERROR(INDEX(Работы!$D$4:$D$672,MATCH(SUBSTITUTE(SUBSTITUTE(SUBSTITUTE(A79,"~","~~"),"*","~*"),"?","~?"),Работы!$B$4:$B$672,0)),0)</f>
        <v/>
      </c>
      <c r="G79" s="10" t="n">
        <v>155</v>
      </c>
      <c r="H79" s="14" t="n">
        <v>1</v>
      </c>
      <c r="I79" s="11" t="n">
        <v>0.05</v>
      </c>
      <c r="J79" s="11" t="n">
        <v>0.12</v>
      </c>
      <c r="K79" s="10" t="n"/>
      <c r="L79" s="9" t="inlineStr">
        <is>
          <t>Петрович</t>
        </is>
      </c>
      <c r="M79" s="9" t="inlineStr">
        <is>
          <t>https://moscow.petrovich.ru/product/102834/</t>
        </is>
      </c>
      <c r="N79" s="9" t="inlineStr">
        <is>
          <t>2026-10-29</t>
        </is>
      </c>
      <c r="O79" s="13" t="inlineStr">
        <is>
          <t>Петрович, Ceresit CE 33, 2 кг = 310 руб (155 руб/кг). Лемана ПРО 173, Сатурн 181,5 руб/кг.</t>
        </is>
      </c>
      <c r="P79" s="4">
        <f>IF(H79=1,G79/VAT_DIV,G79)</f>
        <v/>
      </c>
      <c r="Q79" s="4">
        <f>P79*(1+I79)*(1+DELIV)*(1+GROWTH+MONEY)</f>
        <v/>
      </c>
      <c r="R79" s="4">
        <f>IF(AND(K79&lt;&gt;"",Q79*(1+J79)&gt;K79/VAT_DIV),K79/VAT_DIV,Q79*(1+J79))</f>
        <v/>
      </c>
      <c r="S79" s="4">
        <f>Q79*F79</f>
        <v/>
      </c>
      <c r="T79" s="4">
        <f>R79*F79</f>
        <v/>
      </c>
      <c r="U79" s="3">
        <f>IF(AND(K79&lt;&gt;"",Q79*(1+J79)&gt;K79/VAT_DIV+0.01),"ДА","")</f>
        <v/>
      </c>
      <c r="V79" s="4">
        <f>P79*F79</f>
        <v/>
      </c>
    </row>
    <row r="80" ht="20" customHeight="1">
      <c r="A80" s="9" t="inlineStr">
        <is>
          <t>52. Кафельная настенная плитка Kerama Marazzi 200x200 ( цвет-белый) (вкл. За основу клей, грунтовку, затирку швов)</t>
        </is>
      </c>
      <c r="B80" s="13" t="inlineStr">
        <is>
          <t>Грунт</t>
        </is>
      </c>
      <c r="C80" s="9" t="inlineStr">
        <is>
          <t>Краски, грунты, ЛКМ</t>
        </is>
      </c>
      <c r="D80" s="9" t="inlineStr">
        <is>
          <t>л</t>
        </is>
      </c>
      <c r="E80" s="10" t="n">
        <v>0.15</v>
      </c>
      <c r="F80" s="4">
        <f>E80*IFERROR(INDEX(Работы!$D$4:$D$672,MATCH(SUBSTITUTE(SUBSTITUTE(SUBSTITUTE(A80,"~","~~"),"*","~*"),"?","~?"),Работы!$B$4:$B$672,0)),0)</f>
        <v/>
      </c>
      <c r="G80" s="10" t="n">
        <v>136.7</v>
      </c>
      <c r="H80" s="14" t="n">
        <v>1</v>
      </c>
      <c r="I80" s="11" t="n">
        <v>0.05</v>
      </c>
      <c r="J80" s="11" t="n">
        <v>0.12</v>
      </c>
      <c r="K80" s="10" t="n"/>
      <c r="L80" s="9" t="inlineStr">
        <is>
          <t>Лемана ПРО</t>
        </is>
      </c>
      <c r="M80" s="9" t="inlineStr">
        <is>
          <t>https://lemanapro.ru/product/grunt-ceresit-ct-17-transparent-glubokogo-proniknoveniya-10-l-89398668/</t>
        </is>
      </c>
      <c r="N80" s="9" t="inlineStr">
        <is>
          <t>2026-10-29</t>
        </is>
      </c>
      <c r="O80" s="13" t="inlineStr">
        <is>
          <t>Минимум из трёх: Лемана ПРО Ceresit CT 17, 10 л = 136,7 руб/л. Петрович CT 17 PRO 143,8, Сатурн 145,9.</t>
        </is>
      </c>
      <c r="P80" s="4">
        <f>IF(H80=1,G80/VAT_DIV,G80)</f>
        <v/>
      </c>
      <c r="Q80" s="4">
        <f>P80*(1+I80)*(1+DELIV)*(1+GROWTH+MONEY)</f>
        <v/>
      </c>
      <c r="R80" s="4">
        <f>IF(AND(K80&lt;&gt;"",Q80*(1+J80)&gt;K80/VAT_DIV),K80/VAT_DIV,Q80*(1+J80))</f>
        <v/>
      </c>
      <c r="S80" s="4">
        <f>Q80*F80</f>
        <v/>
      </c>
      <c r="T80" s="4">
        <f>R80*F80</f>
        <v/>
      </c>
      <c r="U80" s="3">
        <f>IF(AND(K80&lt;&gt;"",Q80*(1+J80)&gt;K80/VAT_DIV+0.01),"ДА","")</f>
        <v/>
      </c>
      <c r="V80" s="4">
        <f>P80*F80</f>
        <v/>
      </c>
    </row>
    <row r="81" ht="20" customHeight="1">
      <c r="A81" s="9" t="inlineStr">
        <is>
          <t>53. Кафельная настенная плитка Kerama Marazzi 200x300 ( цвет-белый) (вкл. За основу клей, грунтовку, затирку швов)</t>
        </is>
      </c>
      <c r="B81" s="13" t="inlineStr">
        <is>
          <t xml:space="preserve">Кафельная настенная плитка Kerama Marazzi 200x300 ( цвет-белый) (вкл. За основу </t>
        </is>
      </c>
      <c r="C81" s="9" t="inlineStr">
        <is>
          <t>Плитка, керамогранит</t>
        </is>
      </c>
      <c r="D81" s="9" t="inlineStr">
        <is>
          <t>м2</t>
        </is>
      </c>
      <c r="E81" s="10" t="n">
        <v>1</v>
      </c>
      <c r="F81" s="4">
        <f>E81*IFERROR(INDEX(Работы!$D$4:$D$672,MATCH(SUBSTITUTE(SUBSTITUTE(SUBSTITUTE(A81,"~","~~"),"*","~*"),"?","~?"),Работы!$B$4:$B$672,0)),0)</f>
        <v/>
      </c>
      <c r="G81" s="10" t="n">
        <v>1038.28</v>
      </c>
      <c r="H81" s="14" t="n">
        <v>1</v>
      </c>
      <c r="I81" s="11" t="n">
        <v>0.1</v>
      </c>
      <c r="J81" s="11" t="n">
        <v>0.12</v>
      </c>
      <c r="K81" s="10" t="n"/>
      <c r="L81" s="9" t="inlineStr">
        <is>
          <t>Лемана ПРО</t>
        </is>
      </c>
      <c r="M81" s="9" t="inlineStr">
        <is>
          <t>https://lemanapro.ru/product/keramogranit-grani-taganaya-seryy-600h600-mm-91358213/</t>
        </is>
      </c>
      <c r="N81" s="9" t="inlineStr">
        <is>
          <t>2026-10-29</t>
        </is>
      </c>
      <c r="O81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81" s="4">
        <f>IF(H81=1,G81/VAT_DIV,G81)</f>
        <v/>
      </c>
      <c r="Q81" s="4">
        <f>P81*(1+I81)*(1+DELIV)*(1+GROWTH+MONEY)</f>
        <v/>
      </c>
      <c r="R81" s="4">
        <f>IF(AND(K81&lt;&gt;"",Q81*(1+J81)&gt;K81/VAT_DIV),K81/VAT_DIV,Q81*(1+J81))</f>
        <v/>
      </c>
      <c r="S81" s="4">
        <f>Q81*F81</f>
        <v/>
      </c>
      <c r="T81" s="4">
        <f>R81*F81</f>
        <v/>
      </c>
      <c r="U81" s="3">
        <f>IF(AND(K81&lt;&gt;"",Q81*(1+J81)&gt;K81/VAT_DIV+0.01),"ДА","")</f>
        <v/>
      </c>
      <c r="V81" s="4">
        <f>P81*F81</f>
        <v/>
      </c>
    </row>
    <row r="82" ht="20" customHeight="1">
      <c r="A82" s="9" t="inlineStr">
        <is>
          <t>53. Кафельная настенная плитка Kerama Marazzi 200x300 ( цвет-белый) (вкл. За основу клей, грунтовку, затирку швов)</t>
        </is>
      </c>
      <c r="B82" s="13" t="inlineStr">
        <is>
          <t>Клей плиточный</t>
        </is>
      </c>
      <c r="C82" s="9" t="inlineStr">
        <is>
          <t>Сухие смеси, штукатурки, шпаклёвки</t>
        </is>
      </c>
      <c r="D82" s="9" t="inlineStr">
        <is>
          <t>кг</t>
        </is>
      </c>
      <c r="E82" s="10" t="n">
        <v>5.5</v>
      </c>
      <c r="F82" s="4">
        <f>E82*IFERROR(INDEX(Работы!$D$4:$D$672,MATCH(SUBSTITUTE(SUBSTITUTE(SUBSTITUTE(A82,"~","~~"),"*","~*"),"?","~?"),Работы!$B$4:$B$672,0)),0)</f>
        <v/>
      </c>
      <c r="G82" s="10" t="n">
        <v>22.68</v>
      </c>
      <c r="H82" s="14" t="n">
        <v>1</v>
      </c>
      <c r="I82" s="11" t="n">
        <v>0.05</v>
      </c>
      <c r="J82" s="11" t="n">
        <v>0.12</v>
      </c>
      <c r="K82" s="10" t="n"/>
      <c r="L82" s="9" t="inlineStr">
        <is>
          <t>Лемана ПРО</t>
        </is>
      </c>
      <c r="M82" s="9" t="inlineStr">
        <is>
          <t>https://lemanapro.ru/product/kley-plitochnyy-ceresit-cm-11-pro-25-kg-89340445/</t>
        </is>
      </c>
      <c r="N82" s="9" t="inlineStr">
        <is>
          <t>2026-10-29</t>
        </is>
      </c>
      <c r="O82" s="13" t="inlineStr">
        <is>
          <t>Минимум из трёх: Лемана ПРО Ceresit CM 11 PRO 25 кг = 22,68 руб/кг. Петрович 24,76, Сатурн 27.</t>
        </is>
      </c>
      <c r="P82" s="4">
        <f>IF(H82=1,G82/VAT_DIV,G82)</f>
        <v/>
      </c>
      <c r="Q82" s="4">
        <f>P82*(1+I82)*(1+DELIV)*(1+GROWTH+MONEY)</f>
        <v/>
      </c>
      <c r="R82" s="4">
        <f>IF(AND(K82&lt;&gt;"",Q82*(1+J82)&gt;K82/VAT_DIV),K82/VAT_DIV,Q82*(1+J82))</f>
        <v/>
      </c>
      <c r="S82" s="4">
        <f>Q82*F82</f>
        <v/>
      </c>
      <c r="T82" s="4">
        <f>R82*F82</f>
        <v/>
      </c>
      <c r="U82" s="3">
        <f>IF(AND(K82&lt;&gt;"",Q82*(1+J82)&gt;K82/VAT_DIV+0.01),"ДА","")</f>
        <v/>
      </c>
      <c r="V82" s="4">
        <f>P82*F82</f>
        <v/>
      </c>
    </row>
    <row r="83" ht="20" customHeight="1">
      <c r="A83" s="9" t="inlineStr">
        <is>
          <t>53. Кафельная настенная плитка Kerama Marazzi 200x300 ( цвет-белый) (вкл. За основу клей, грунтовку, затирку швов)</t>
        </is>
      </c>
      <c r="B83" s="13" t="inlineStr">
        <is>
          <t>Затирка</t>
        </is>
      </c>
      <c r="C83" s="9" t="inlineStr">
        <is>
          <t>Сухие смеси, штукатурки, шпаклёвки</t>
        </is>
      </c>
      <c r="D83" s="9" t="inlineStr">
        <is>
          <t>кг</t>
        </is>
      </c>
      <c r="E83" s="10" t="n">
        <v>0.4</v>
      </c>
      <c r="F83" s="4">
        <f>E83*IFERROR(INDEX(Работы!$D$4:$D$672,MATCH(SUBSTITUTE(SUBSTITUTE(SUBSTITUTE(A83,"~","~~"),"*","~*"),"?","~?"),Работы!$B$4:$B$672,0)),0)</f>
        <v/>
      </c>
      <c r="G83" s="10" t="n">
        <v>155</v>
      </c>
      <c r="H83" s="14" t="n">
        <v>1</v>
      </c>
      <c r="I83" s="11" t="n">
        <v>0.05</v>
      </c>
      <c r="J83" s="11" t="n">
        <v>0.12</v>
      </c>
      <c r="K83" s="10" t="n"/>
      <c r="L83" s="9" t="inlineStr">
        <is>
          <t>Петрович</t>
        </is>
      </c>
      <c r="M83" s="9" t="inlineStr">
        <is>
          <t>https://moscow.petrovich.ru/product/102834/</t>
        </is>
      </c>
      <c r="N83" s="9" t="inlineStr">
        <is>
          <t>2026-10-29</t>
        </is>
      </c>
      <c r="O83" s="13" t="inlineStr">
        <is>
          <t>Петрович, Ceresit CE 33, 2 кг = 310 руб (155 руб/кг). Лемана ПРО 173, Сатурн 181,5 руб/кг.</t>
        </is>
      </c>
      <c r="P83" s="4">
        <f>IF(H83=1,G83/VAT_DIV,G83)</f>
        <v/>
      </c>
      <c r="Q83" s="4">
        <f>P83*(1+I83)*(1+DELIV)*(1+GROWTH+MONEY)</f>
        <v/>
      </c>
      <c r="R83" s="4">
        <f>IF(AND(K83&lt;&gt;"",Q83*(1+J83)&gt;K83/VAT_DIV),K83/VAT_DIV,Q83*(1+J83))</f>
        <v/>
      </c>
      <c r="S83" s="4">
        <f>Q83*F83</f>
        <v/>
      </c>
      <c r="T83" s="4">
        <f>R83*F83</f>
        <v/>
      </c>
      <c r="U83" s="3">
        <f>IF(AND(K83&lt;&gt;"",Q83*(1+J83)&gt;K83/VAT_DIV+0.01),"ДА","")</f>
        <v/>
      </c>
      <c r="V83" s="4">
        <f>P83*F83</f>
        <v/>
      </c>
    </row>
    <row r="84" ht="20" customHeight="1">
      <c r="A84" s="9" t="inlineStr">
        <is>
          <t>53. Кафельная настенная плитка Kerama Marazzi 200x300 ( цвет-белый) (вкл. За основу клей, грунтовку, затирку швов)</t>
        </is>
      </c>
      <c r="B84" s="13" t="inlineStr">
        <is>
          <t>Грунт</t>
        </is>
      </c>
      <c r="C84" s="9" t="inlineStr">
        <is>
          <t>Краски, грунты, ЛКМ</t>
        </is>
      </c>
      <c r="D84" s="9" t="inlineStr">
        <is>
          <t>л</t>
        </is>
      </c>
      <c r="E84" s="10" t="n">
        <v>0.15</v>
      </c>
      <c r="F84" s="4">
        <f>E84*IFERROR(INDEX(Работы!$D$4:$D$672,MATCH(SUBSTITUTE(SUBSTITUTE(SUBSTITUTE(A84,"~","~~"),"*","~*"),"?","~?"),Работы!$B$4:$B$672,0)),0)</f>
        <v/>
      </c>
      <c r="G84" s="10" t="n">
        <v>136.7</v>
      </c>
      <c r="H84" s="14" t="n">
        <v>1</v>
      </c>
      <c r="I84" s="11" t="n">
        <v>0.05</v>
      </c>
      <c r="J84" s="11" t="n">
        <v>0.12</v>
      </c>
      <c r="K84" s="10" t="n"/>
      <c r="L84" s="9" t="inlineStr">
        <is>
          <t>Лемана ПРО</t>
        </is>
      </c>
      <c r="M84" s="9" t="inlineStr">
        <is>
          <t>https://lemanapro.ru/product/grunt-ceresit-ct-17-transparent-glubokogo-proniknoveniya-10-l-89398668/</t>
        </is>
      </c>
      <c r="N84" s="9" t="inlineStr">
        <is>
          <t>2026-10-29</t>
        </is>
      </c>
      <c r="O84" s="13" t="inlineStr">
        <is>
          <t>Минимум из трёх: Лемана ПРО Ceresit CT 17, 10 л = 136,7 руб/л. Петрович CT 17 PRO 143,8, Сатурн 145,9.</t>
        </is>
      </c>
      <c r="P84" s="4">
        <f>IF(H84=1,G84/VAT_DIV,G84)</f>
        <v/>
      </c>
      <c r="Q84" s="4">
        <f>P84*(1+I84)*(1+DELIV)*(1+GROWTH+MONEY)</f>
        <v/>
      </c>
      <c r="R84" s="4">
        <f>IF(AND(K84&lt;&gt;"",Q84*(1+J84)&gt;K84/VAT_DIV),K84/VAT_DIV,Q84*(1+J84))</f>
        <v/>
      </c>
      <c r="S84" s="4">
        <f>Q84*F84</f>
        <v/>
      </c>
      <c r="T84" s="4">
        <f>R84*F84</f>
        <v/>
      </c>
      <c r="U84" s="3">
        <f>IF(AND(K84&lt;&gt;"",Q84*(1+J84)&gt;K84/VAT_DIV+0.01),"ДА","")</f>
        <v/>
      </c>
      <c r="V84" s="4">
        <f>P84*F84</f>
        <v/>
      </c>
    </row>
    <row r="85" ht="20" customHeight="1">
      <c r="A85" s="9" t="inlineStr">
        <is>
          <t>54. Кафельная настенная плитка Kerama Marazzi 200x200 (оранжевый) (вкл. За основу клей, грунтовку, затирку швов)</t>
        </is>
      </c>
      <c r="B85" s="13" t="inlineStr">
        <is>
          <t>Кафельная настенная плитка Kerama Marazzi 200x200 (оранжевый) (вкл. За основу кл</t>
        </is>
      </c>
      <c r="C85" s="9" t="inlineStr">
        <is>
          <t>Плитка, керамогранит</t>
        </is>
      </c>
      <c r="D85" s="9" t="inlineStr">
        <is>
          <t>м2</t>
        </is>
      </c>
      <c r="E85" s="10" t="n">
        <v>1</v>
      </c>
      <c r="F85" s="4">
        <f>E85*IFERROR(INDEX(Работы!$D$4:$D$672,MATCH(SUBSTITUTE(SUBSTITUTE(SUBSTITUTE(A85,"~","~~"),"*","~*"),"?","~?"),Работы!$B$4:$B$672,0)),0)</f>
        <v/>
      </c>
      <c r="G85" s="10" t="n">
        <v>830.63</v>
      </c>
      <c r="H85" s="14" t="n">
        <v>1</v>
      </c>
      <c r="I85" s="11" t="n">
        <v>0.1</v>
      </c>
      <c r="J85" s="11" t="n">
        <v>0.12</v>
      </c>
      <c r="K85" s="10" t="n"/>
      <c r="L85" s="9" t="inlineStr">
        <is>
          <t>Лемана ПРО</t>
        </is>
      </c>
      <c r="M85" s="9" t="inlineStr">
        <is>
          <t>https://lemanapro.ru/product/keramogranit-grani-taganaya-seryy-600h600-mm-91358213/</t>
        </is>
      </c>
      <c r="N85" s="9" t="inlineStr">
        <is>
          <t>2026-10-29</t>
        </is>
      </c>
      <c r="O85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85" s="4">
        <f>IF(H85=1,G85/VAT_DIV,G85)</f>
        <v/>
      </c>
      <c r="Q85" s="4">
        <f>P85*(1+I85)*(1+DELIV)*(1+GROWTH+MONEY)</f>
        <v/>
      </c>
      <c r="R85" s="4">
        <f>IF(AND(K85&lt;&gt;"",Q85*(1+J85)&gt;K85/VAT_DIV),K85/VAT_DIV,Q85*(1+J85))</f>
        <v/>
      </c>
      <c r="S85" s="4">
        <f>Q85*F85</f>
        <v/>
      </c>
      <c r="T85" s="4">
        <f>R85*F85</f>
        <v/>
      </c>
      <c r="U85" s="3">
        <f>IF(AND(K85&lt;&gt;"",Q85*(1+J85)&gt;K85/VAT_DIV+0.01),"ДА","")</f>
        <v/>
      </c>
      <c r="V85" s="4">
        <f>P85*F85</f>
        <v/>
      </c>
    </row>
    <row r="86" ht="20" customHeight="1">
      <c r="A86" s="9" t="inlineStr">
        <is>
          <t>54. Кафельная настенная плитка Kerama Marazzi 200x200 (оранжевый) (вкл. За основу клей, грунтовку, затирку швов)</t>
        </is>
      </c>
      <c r="B86" s="13" t="inlineStr">
        <is>
          <t>Клей плиточный</t>
        </is>
      </c>
      <c r="C86" s="9" t="inlineStr">
        <is>
          <t>Сухие смеси, штукатурки, шпаклёвки</t>
        </is>
      </c>
      <c r="D86" s="9" t="inlineStr">
        <is>
          <t>кг</t>
        </is>
      </c>
      <c r="E86" s="10" t="n">
        <v>5.5</v>
      </c>
      <c r="F86" s="4">
        <f>E86*IFERROR(INDEX(Работы!$D$4:$D$672,MATCH(SUBSTITUTE(SUBSTITUTE(SUBSTITUTE(A86,"~","~~"),"*","~*"),"?","~?"),Работы!$B$4:$B$672,0)),0)</f>
        <v/>
      </c>
      <c r="G86" s="10" t="n">
        <v>22.68</v>
      </c>
      <c r="H86" s="14" t="n">
        <v>1</v>
      </c>
      <c r="I86" s="11" t="n">
        <v>0.05</v>
      </c>
      <c r="J86" s="11" t="n">
        <v>0.12</v>
      </c>
      <c r="K86" s="10" t="n"/>
      <c r="L86" s="9" t="inlineStr">
        <is>
          <t>Лемана ПРО</t>
        </is>
      </c>
      <c r="M86" s="9" t="inlineStr">
        <is>
          <t>https://lemanapro.ru/product/kley-plitochnyy-ceresit-cm-11-pro-25-kg-89340445/</t>
        </is>
      </c>
      <c r="N86" s="9" t="inlineStr">
        <is>
          <t>2026-10-29</t>
        </is>
      </c>
      <c r="O86" s="13" t="inlineStr">
        <is>
          <t>Минимум из трёх: Лемана ПРО Ceresit CM 11 PRO 25 кг = 22,68 руб/кг. Петрович 24,76, Сатурн 27.</t>
        </is>
      </c>
      <c r="P86" s="4">
        <f>IF(H86=1,G86/VAT_DIV,G86)</f>
        <v/>
      </c>
      <c r="Q86" s="4">
        <f>P86*(1+I86)*(1+DELIV)*(1+GROWTH+MONEY)</f>
        <v/>
      </c>
      <c r="R86" s="4">
        <f>IF(AND(K86&lt;&gt;"",Q86*(1+J86)&gt;K86/VAT_DIV),K86/VAT_DIV,Q86*(1+J86))</f>
        <v/>
      </c>
      <c r="S86" s="4">
        <f>Q86*F86</f>
        <v/>
      </c>
      <c r="T86" s="4">
        <f>R86*F86</f>
        <v/>
      </c>
      <c r="U86" s="3">
        <f>IF(AND(K86&lt;&gt;"",Q86*(1+J86)&gt;K86/VAT_DIV+0.01),"ДА","")</f>
        <v/>
      </c>
      <c r="V86" s="4">
        <f>P86*F86</f>
        <v/>
      </c>
    </row>
    <row r="87" ht="20" customHeight="1">
      <c r="A87" s="9" t="inlineStr">
        <is>
          <t>54. Кафельная настенная плитка Kerama Marazzi 200x200 (оранжевый) (вкл. За основу клей, грунтовку, затирку швов)</t>
        </is>
      </c>
      <c r="B87" s="13" t="inlineStr">
        <is>
          <t>Затирка</t>
        </is>
      </c>
      <c r="C87" s="9" t="inlineStr">
        <is>
          <t>Сухие смеси, штукатурки, шпаклёвки</t>
        </is>
      </c>
      <c r="D87" s="9" t="inlineStr">
        <is>
          <t>кг</t>
        </is>
      </c>
      <c r="E87" s="10" t="n">
        <v>0.4</v>
      </c>
      <c r="F87" s="4">
        <f>E87*IFERROR(INDEX(Работы!$D$4:$D$672,MATCH(SUBSTITUTE(SUBSTITUTE(SUBSTITUTE(A87,"~","~~"),"*","~*"),"?","~?"),Работы!$B$4:$B$672,0)),0)</f>
        <v/>
      </c>
      <c r="G87" s="10" t="n">
        <v>155</v>
      </c>
      <c r="H87" s="14" t="n">
        <v>1</v>
      </c>
      <c r="I87" s="11" t="n">
        <v>0.05</v>
      </c>
      <c r="J87" s="11" t="n">
        <v>0.12</v>
      </c>
      <c r="K87" s="10" t="n"/>
      <c r="L87" s="9" t="inlineStr">
        <is>
          <t>Петрович</t>
        </is>
      </c>
      <c r="M87" s="9" t="inlineStr">
        <is>
          <t>https://moscow.petrovich.ru/product/102834/</t>
        </is>
      </c>
      <c r="N87" s="9" t="inlineStr">
        <is>
          <t>2026-10-29</t>
        </is>
      </c>
      <c r="O87" s="13" t="inlineStr">
        <is>
          <t>Петрович, Ceresit CE 33, 2 кг = 310 руб (155 руб/кг). Лемана ПРО 173, Сатурн 181,5 руб/кг.</t>
        </is>
      </c>
      <c r="P87" s="4">
        <f>IF(H87=1,G87/VAT_DIV,G87)</f>
        <v/>
      </c>
      <c r="Q87" s="4">
        <f>P87*(1+I87)*(1+DELIV)*(1+GROWTH+MONEY)</f>
        <v/>
      </c>
      <c r="R87" s="4">
        <f>IF(AND(K87&lt;&gt;"",Q87*(1+J87)&gt;K87/VAT_DIV),K87/VAT_DIV,Q87*(1+J87))</f>
        <v/>
      </c>
      <c r="S87" s="4">
        <f>Q87*F87</f>
        <v/>
      </c>
      <c r="T87" s="4">
        <f>R87*F87</f>
        <v/>
      </c>
      <c r="U87" s="3">
        <f>IF(AND(K87&lt;&gt;"",Q87*(1+J87)&gt;K87/VAT_DIV+0.01),"ДА","")</f>
        <v/>
      </c>
      <c r="V87" s="4">
        <f>P87*F87</f>
        <v/>
      </c>
    </row>
    <row r="88" ht="20" customHeight="1">
      <c r="A88" s="9" t="inlineStr">
        <is>
          <t>54. Кафельная настенная плитка Kerama Marazzi 200x200 (оранжевый) (вкл. За основу клей, грунтовку, затирку швов)</t>
        </is>
      </c>
      <c r="B88" s="13" t="inlineStr">
        <is>
          <t>Грунт</t>
        </is>
      </c>
      <c r="C88" s="9" t="inlineStr">
        <is>
          <t>Краски, грунты, ЛКМ</t>
        </is>
      </c>
      <c r="D88" s="9" t="inlineStr">
        <is>
          <t>л</t>
        </is>
      </c>
      <c r="E88" s="10" t="n">
        <v>0.15</v>
      </c>
      <c r="F88" s="4">
        <f>E88*IFERROR(INDEX(Работы!$D$4:$D$672,MATCH(SUBSTITUTE(SUBSTITUTE(SUBSTITUTE(A88,"~","~~"),"*","~*"),"?","~?"),Работы!$B$4:$B$672,0)),0)</f>
        <v/>
      </c>
      <c r="G88" s="10" t="n">
        <v>136.7</v>
      </c>
      <c r="H88" s="14" t="n">
        <v>1</v>
      </c>
      <c r="I88" s="11" t="n">
        <v>0.05</v>
      </c>
      <c r="J88" s="11" t="n">
        <v>0.12</v>
      </c>
      <c r="K88" s="10" t="n"/>
      <c r="L88" s="9" t="inlineStr">
        <is>
          <t>Лемана ПРО</t>
        </is>
      </c>
      <c r="M88" s="9" t="inlineStr">
        <is>
          <t>https://lemanapro.ru/product/grunt-ceresit-ct-17-transparent-glubokogo-proniknoveniya-10-l-89398668/</t>
        </is>
      </c>
      <c r="N88" s="9" t="inlineStr">
        <is>
          <t>2026-10-29</t>
        </is>
      </c>
      <c r="O88" s="13" t="inlineStr">
        <is>
          <t>Минимум из трёх: Лемана ПРО Ceresit CT 17, 10 л = 136,7 руб/л. Петрович CT 17 PRO 143,8, Сатурн 145,9.</t>
        </is>
      </c>
      <c r="P88" s="4">
        <f>IF(H88=1,G88/VAT_DIV,G88)</f>
        <v/>
      </c>
      <c r="Q88" s="4">
        <f>P88*(1+I88)*(1+DELIV)*(1+GROWTH+MONEY)</f>
        <v/>
      </c>
      <c r="R88" s="4">
        <f>IF(AND(K88&lt;&gt;"",Q88*(1+J88)&gt;K88/VAT_DIV),K88/VAT_DIV,Q88*(1+J88))</f>
        <v/>
      </c>
      <c r="S88" s="4">
        <f>Q88*F88</f>
        <v/>
      </c>
      <c r="T88" s="4">
        <f>R88*F88</f>
        <v/>
      </c>
      <c r="U88" s="3">
        <f>IF(AND(K88&lt;&gt;"",Q88*(1+J88)&gt;K88/VAT_DIV+0.01),"ДА","")</f>
        <v/>
      </c>
      <c r="V88" s="4">
        <f>P88*F88</f>
        <v/>
      </c>
    </row>
    <row r="89" ht="20" customHeight="1">
      <c r="A89" s="9" t="inlineStr">
        <is>
          <t>55. Кафельная настенная плитка 200x200 (цвет серый, RAL ) (вкл. За основу клей, грунтовку, затирку швов белого цвета)</t>
        </is>
      </c>
      <c r="B89" s="13" t="inlineStr">
        <is>
          <t>Кафельная настенная плитка 200x200 (цвет серый, RAL ) (вкл. За основу клей, грун</t>
        </is>
      </c>
      <c r="C89" s="9" t="inlineStr">
        <is>
          <t>Плитка, керамогранит</t>
        </is>
      </c>
      <c r="D89" s="9" t="inlineStr">
        <is>
          <t>м2</t>
        </is>
      </c>
      <c r="E89" s="10" t="n">
        <v>1</v>
      </c>
      <c r="F89" s="4">
        <f>E89*IFERROR(INDEX(Работы!$D$4:$D$672,MATCH(SUBSTITUTE(SUBSTITUTE(SUBSTITUTE(A89,"~","~~"),"*","~*"),"?","~?"),Работы!$B$4:$B$672,0)),0)</f>
        <v/>
      </c>
      <c r="G89" s="10" t="n">
        <v>830.63</v>
      </c>
      <c r="H89" s="14" t="n">
        <v>1</v>
      </c>
      <c r="I89" s="11" t="n">
        <v>0.1</v>
      </c>
      <c r="J89" s="11" t="n">
        <v>0.12</v>
      </c>
      <c r="K89" s="10" t="n"/>
      <c r="L89" s="9" t="inlineStr">
        <is>
          <t>Лемана ПРО</t>
        </is>
      </c>
      <c r="M89" s="9" t="inlineStr">
        <is>
          <t>https://lemanapro.ru/product/keramogranit-grani-taganaya-seryy-600h600-mm-91358213/</t>
        </is>
      </c>
      <c r="N89" s="9" t="inlineStr">
        <is>
          <t>2026-10-29</t>
        </is>
      </c>
      <c r="O89" s="13" t="inlineStr">
        <is>
          <t>Якорь 600х600: Лемана ПРО 923 руб/м2, Петрович Grasaro 1007 руб/м2. Взят минимум. Прежний коэффициент размера сохранён. Сатурн не использован: цена карточки не сходится с м2.</t>
        </is>
      </c>
      <c r="P89" s="4">
        <f>IF(H89=1,G89/VAT_DIV,G89)</f>
        <v/>
      </c>
      <c r="Q89" s="4">
        <f>P89*(1+I89)*(1+DELIV)*(1+GROWTH+MONEY)</f>
        <v/>
      </c>
      <c r="R89" s="4">
        <f>IF(AND(K89&lt;&gt;"",Q89*(1+J89)&gt;K89/VAT_DIV),K89/VAT_DIV,Q89*(1+J89))</f>
        <v/>
      </c>
      <c r="S89" s="4">
        <f>Q89*F89</f>
        <v/>
      </c>
      <c r="T89" s="4">
        <f>R89*F89</f>
        <v/>
      </c>
      <c r="U89" s="3">
        <f>IF(AND(K89&lt;&gt;"",Q89*(1+J89)&gt;K89/VAT_DIV+0.01),"ДА","")</f>
        <v/>
      </c>
      <c r="V89" s="4">
        <f>P89*F89</f>
        <v/>
      </c>
    </row>
    <row r="90" ht="20" customHeight="1">
      <c r="A90" s="9" t="inlineStr">
        <is>
          <t>55. Кафельная настенная плитка 200x200 (цвет серый, RAL ) (вкл. За основу клей, грунтовку, затирку швов белого цвета)</t>
        </is>
      </c>
      <c r="B90" s="13" t="inlineStr">
        <is>
          <t>Клей плиточный</t>
        </is>
      </c>
      <c r="C90" s="9" t="inlineStr">
        <is>
          <t>Сухие смеси, штукатурки, шпаклёвки</t>
        </is>
      </c>
      <c r="D90" s="9" t="inlineStr">
        <is>
          <t>кг</t>
        </is>
      </c>
      <c r="E90" s="10" t="n">
        <v>5.5</v>
      </c>
      <c r="F90" s="4">
        <f>E90*IFERROR(INDEX(Работы!$D$4:$D$672,MATCH(SUBSTITUTE(SUBSTITUTE(SUBSTITUTE(A90,"~","~~"),"*","~*"),"?","~?"),Работы!$B$4:$B$672,0)),0)</f>
        <v/>
      </c>
      <c r="G90" s="10" t="n">
        <v>22.68</v>
      </c>
      <c r="H90" s="14" t="n">
        <v>1</v>
      </c>
      <c r="I90" s="11" t="n">
        <v>0.05</v>
      </c>
      <c r="J90" s="11" t="n">
        <v>0.12</v>
      </c>
      <c r="K90" s="10" t="n"/>
      <c r="L90" s="9" t="inlineStr">
        <is>
          <t>Лемана ПРО</t>
        </is>
      </c>
      <c r="M90" s="9" t="inlineStr">
        <is>
          <t>https://lemanapro.ru/product/kley-plitochnyy-ceresit-cm-11-pro-25-kg-89340445/</t>
        </is>
      </c>
      <c r="N90" s="9" t="inlineStr">
        <is>
          <t>2026-10-29</t>
        </is>
      </c>
      <c r="O90" s="13" t="inlineStr">
        <is>
          <t>Минимум из трёх: Лемана ПРО Ceresit CM 11 PRO 25 кг = 22,68 руб/кг. Петрович 24,76, Сатурн 27.</t>
        </is>
      </c>
      <c r="P90" s="4">
        <f>IF(H90=1,G90/VAT_DIV,G90)</f>
        <v/>
      </c>
      <c r="Q90" s="4">
        <f>P90*(1+I90)*(1+DELIV)*(1+GROWTH+MONEY)</f>
        <v/>
      </c>
      <c r="R90" s="4">
        <f>IF(AND(K90&lt;&gt;"",Q90*(1+J90)&gt;K90/VAT_DIV),K90/VAT_DIV,Q90*(1+J90))</f>
        <v/>
      </c>
      <c r="S90" s="4">
        <f>Q90*F90</f>
        <v/>
      </c>
      <c r="T90" s="4">
        <f>R90*F90</f>
        <v/>
      </c>
      <c r="U90" s="3">
        <f>IF(AND(K90&lt;&gt;"",Q90*(1+J90)&gt;K90/VAT_DIV+0.01),"ДА","")</f>
        <v/>
      </c>
      <c r="V90" s="4">
        <f>P90*F90</f>
        <v/>
      </c>
    </row>
    <row r="91" ht="20" customHeight="1">
      <c r="A91" s="9" t="inlineStr">
        <is>
          <t>55. Кафельная настенная плитка 200x200 (цвет серый, RAL ) (вкл. За основу клей, грунтовку, затирку швов белого цвета)</t>
        </is>
      </c>
      <c r="B91" s="13" t="inlineStr">
        <is>
          <t>Затирка</t>
        </is>
      </c>
      <c r="C91" s="9" t="inlineStr">
        <is>
          <t>Сухие смеси, штукатурки, шпаклёвки</t>
        </is>
      </c>
      <c r="D91" s="9" t="inlineStr">
        <is>
          <t>кг</t>
        </is>
      </c>
      <c r="E91" s="10" t="n">
        <v>0.4</v>
      </c>
      <c r="F91" s="4">
        <f>E91*IFERROR(INDEX(Работы!$D$4:$D$672,MATCH(SUBSTITUTE(SUBSTITUTE(SUBSTITUTE(A91,"~","~~"),"*","~*"),"?","~?"),Работы!$B$4:$B$672,0)),0)</f>
        <v/>
      </c>
      <c r="G91" s="10" t="n">
        <v>155</v>
      </c>
      <c r="H91" s="14" t="n">
        <v>1</v>
      </c>
      <c r="I91" s="11" t="n">
        <v>0.05</v>
      </c>
      <c r="J91" s="11" t="n">
        <v>0.12</v>
      </c>
      <c r="K91" s="10" t="n"/>
      <c r="L91" s="9" t="inlineStr">
        <is>
          <t>Петрович</t>
        </is>
      </c>
      <c r="M91" s="9" t="inlineStr">
        <is>
          <t>https://moscow.petrovich.ru/product/102834/</t>
        </is>
      </c>
      <c r="N91" s="9" t="inlineStr">
        <is>
          <t>2026-10-29</t>
        </is>
      </c>
      <c r="O91" s="13" t="inlineStr">
        <is>
          <t>Петрович, Ceresit CE 33, 2 кг = 310 руб (155 руб/кг). Лемана ПРО 173, Сатурн 181,5 руб/кг.</t>
        </is>
      </c>
      <c r="P91" s="4">
        <f>IF(H91=1,G91/VAT_DIV,G91)</f>
        <v/>
      </c>
      <c r="Q91" s="4">
        <f>P91*(1+I91)*(1+DELIV)*(1+GROWTH+MONEY)</f>
        <v/>
      </c>
      <c r="R91" s="4">
        <f>IF(AND(K91&lt;&gt;"",Q91*(1+J91)&gt;K91/VAT_DIV),K91/VAT_DIV,Q91*(1+J91))</f>
        <v/>
      </c>
      <c r="S91" s="4">
        <f>Q91*F91</f>
        <v/>
      </c>
      <c r="T91" s="4">
        <f>R91*F91</f>
        <v/>
      </c>
      <c r="U91" s="3">
        <f>IF(AND(K91&lt;&gt;"",Q91*(1+J91)&gt;K91/VAT_DIV+0.01),"ДА","")</f>
        <v/>
      </c>
      <c r="V91" s="4">
        <f>P91*F91</f>
        <v/>
      </c>
    </row>
    <row r="92" ht="20" customHeight="1">
      <c r="A92" s="9" t="inlineStr">
        <is>
          <t>55. Кафельная настенная плитка 200x200 (цвет серый, RAL ) (вкл. За основу клей, грунтовку, затирку швов белого цвета)</t>
        </is>
      </c>
      <c r="B92" s="13" t="inlineStr">
        <is>
          <t>Грунт</t>
        </is>
      </c>
      <c r="C92" s="9" t="inlineStr">
        <is>
          <t>Краски, грунты, ЛКМ</t>
        </is>
      </c>
      <c r="D92" s="9" t="inlineStr">
        <is>
          <t>л</t>
        </is>
      </c>
      <c r="E92" s="10" t="n">
        <v>0.15</v>
      </c>
      <c r="F92" s="4">
        <f>E92*IFERROR(INDEX(Работы!$D$4:$D$672,MATCH(SUBSTITUTE(SUBSTITUTE(SUBSTITUTE(A92,"~","~~"),"*","~*"),"?","~?"),Работы!$B$4:$B$672,0)),0)</f>
        <v/>
      </c>
      <c r="G92" s="10" t="n">
        <v>136.7</v>
      </c>
      <c r="H92" s="14" t="n">
        <v>1</v>
      </c>
      <c r="I92" s="11" t="n">
        <v>0.05</v>
      </c>
      <c r="J92" s="11" t="n">
        <v>0.12</v>
      </c>
      <c r="K92" s="10" t="n"/>
      <c r="L92" s="9" t="inlineStr">
        <is>
          <t>Лемана ПРО</t>
        </is>
      </c>
      <c r="M92" s="9" t="inlineStr">
        <is>
          <t>https://lemanapro.ru/product/grunt-ceresit-ct-17-transparent-glubokogo-proniknoveniya-10-l-89398668/</t>
        </is>
      </c>
      <c r="N92" s="9" t="inlineStr">
        <is>
          <t>2026-10-29</t>
        </is>
      </c>
      <c r="O92" s="13" t="inlineStr">
        <is>
          <t>Минимум из трёх: Лемана ПРО Ceresit CT 17, 10 л = 136,7 руб/л. Петрович CT 17 PRO 143,8, Сатурн 145,9.</t>
        </is>
      </c>
      <c r="P92" s="4">
        <f>IF(H92=1,G92/VAT_DIV,G92)</f>
        <v/>
      </c>
      <c r="Q92" s="4">
        <f>P92*(1+I92)*(1+DELIV)*(1+GROWTH+MONEY)</f>
        <v/>
      </c>
      <c r="R92" s="4">
        <f>IF(AND(K92&lt;&gt;"",Q92*(1+J92)&gt;K92/VAT_DIV),K92/VAT_DIV,Q92*(1+J92))</f>
        <v/>
      </c>
      <c r="S92" s="4">
        <f>Q92*F92</f>
        <v/>
      </c>
      <c r="T92" s="4">
        <f>R92*F92</f>
        <v/>
      </c>
      <c r="U92" s="3">
        <f>IF(AND(K92&lt;&gt;"",Q92*(1+J92)&gt;K92/VAT_DIV+0.01),"ДА","")</f>
        <v/>
      </c>
      <c r="V92" s="4">
        <f>P92*F92</f>
        <v/>
      </c>
    </row>
    <row r="93" ht="20" customHeight="1">
      <c r="A93" s="9" t="inlineStr">
        <is>
          <t>56. Сэндвич панель толщина 120 мм (ППУ) или аналог</t>
        </is>
      </c>
      <c r="B93" s="13" t="inlineStr">
        <is>
          <t>Сэндвич панель толщина 120 мм (ППУ) или аналог</t>
        </is>
      </c>
      <c r="C93" s="9" t="inlineStr">
        <is>
          <t>Кровельные материалы и утеплитель</t>
        </is>
      </c>
      <c r="D93" s="9" t="inlineStr">
        <is>
          <t>м2</t>
        </is>
      </c>
      <c r="E93" s="10" t="n">
        <v>1.05</v>
      </c>
      <c r="F93" s="4">
        <f>E93*IFERROR(INDEX(Работы!$D$4:$D$672,MATCH(SUBSTITUTE(SUBSTITUTE(SUBSTITUTE(A93,"~","~~"),"*","~*"),"?","~?"),Работы!$B$4:$B$672,0)),0)</f>
        <v/>
      </c>
      <c r="G93" s="10" t="n">
        <v>3720</v>
      </c>
      <c r="H93" s="14" t="n">
        <v>1</v>
      </c>
      <c r="I93" s="11" t="n">
        <v>0.1</v>
      </c>
      <c r="J93" s="11" t="n">
        <v>0.12</v>
      </c>
      <c r="K93" s="10" t="n"/>
      <c r="L93" s="9" t="inlineStr">
        <is>
          <t>оценка</t>
        </is>
      </c>
      <c r="M93" s="9" t="inlineStr"/>
      <c r="N93" s="9" t="inlineStr">
        <is>
          <t>2026-10-29</t>
        </is>
      </c>
      <c r="O93" s="13" t="inlineStr">
        <is>
          <t>оценка сэндвич-панели, запросить КП В Петрович, Лемана ПРО и Сатурн открытой карточки нет, оставлен прежний источник.</t>
        </is>
      </c>
      <c r="P93" s="4">
        <f>IF(H93=1,G93/VAT_DIV,G93)</f>
        <v/>
      </c>
      <c r="Q93" s="4">
        <f>P93*(1+I93)*(1+DELIV)*(1+GROWTH+MONEY)</f>
        <v/>
      </c>
      <c r="R93" s="4">
        <f>IF(AND(K93&lt;&gt;"",Q93*(1+J93)&gt;K93/VAT_DIV),K93/VAT_DIV,Q93*(1+J93))</f>
        <v/>
      </c>
      <c r="S93" s="4">
        <f>Q93*F93</f>
        <v/>
      </c>
      <c r="T93" s="4">
        <f>R93*F93</f>
        <v/>
      </c>
      <c r="U93" s="3">
        <f>IF(AND(K93&lt;&gt;"",Q93*(1+J93)&gt;K93/VAT_DIV+0.01),"ДА","")</f>
        <v/>
      </c>
      <c r="V93" s="4">
        <f>P93*F93</f>
        <v/>
      </c>
    </row>
    <row r="94" ht="20" customHeight="1">
      <c r="A94" s="9" t="inlineStr">
        <is>
          <t>57. Сендвич-панель стеновая ППУ (ПИР) 100мм или аналог</t>
        </is>
      </c>
      <c r="B94" s="13" t="inlineStr">
        <is>
          <t>Сендвич-панель стеновая ППУ (ПИР) 100мм или аналог</t>
        </is>
      </c>
      <c r="C94" s="9" t="inlineStr">
        <is>
          <t>Кровельные материалы и утеплитель</t>
        </is>
      </c>
      <c r="D94" s="9" t="inlineStr">
        <is>
          <t>м2</t>
        </is>
      </c>
      <c r="E94" s="10" t="n">
        <v>1.05</v>
      </c>
      <c r="F94" s="4">
        <f>E94*IFERROR(INDEX(Работы!$D$4:$D$672,MATCH(SUBSTITUTE(SUBSTITUTE(SUBSTITUTE(A94,"~","~~"),"*","~*"),"?","~?"),Работы!$B$4:$B$672,0)),0)</f>
        <v/>
      </c>
      <c r="G94" s="10" t="n">
        <v>3360</v>
      </c>
      <c r="H94" s="14" t="n">
        <v>1</v>
      </c>
      <c r="I94" s="11" t="n">
        <v>0.1</v>
      </c>
      <c r="J94" s="11" t="n">
        <v>0.12</v>
      </c>
      <c r="K94" s="10" t="n"/>
      <c r="L94" s="9" t="inlineStr">
        <is>
          <t>оценка</t>
        </is>
      </c>
      <c r="M94" s="9" t="inlineStr"/>
      <c r="N94" s="9" t="inlineStr">
        <is>
          <t>2026-10-29</t>
        </is>
      </c>
      <c r="O94" s="13" t="inlineStr">
        <is>
          <t>оценка сэндвич-панели, запросить КП В Петрович, Лемана ПРО и Сатурн открытой карточки нет, оставлен прежний источник.</t>
        </is>
      </c>
      <c r="P94" s="4">
        <f>IF(H94=1,G94/VAT_DIV,G94)</f>
        <v/>
      </c>
      <c r="Q94" s="4">
        <f>P94*(1+I94)*(1+DELIV)*(1+GROWTH+MONEY)</f>
        <v/>
      </c>
      <c r="R94" s="4">
        <f>IF(AND(K94&lt;&gt;"",Q94*(1+J94)&gt;K94/VAT_DIV),K94/VAT_DIV,Q94*(1+J94))</f>
        <v/>
      </c>
      <c r="S94" s="4">
        <f>Q94*F94</f>
        <v/>
      </c>
      <c r="T94" s="4">
        <f>R94*F94</f>
        <v/>
      </c>
      <c r="U94" s="3">
        <f>IF(AND(K94&lt;&gt;"",Q94*(1+J94)&gt;K94/VAT_DIV+0.01),"ДА","")</f>
        <v/>
      </c>
      <c r="V94" s="4">
        <f>P94*F94</f>
        <v/>
      </c>
    </row>
    <row r="95" ht="20" customHeight="1">
      <c r="A95" s="9" t="inlineStr">
        <is>
          <t>58. Сэндвич панели стеновые | толщина 80 мм | базальтовые, трехслойные металлические, негорючие (огнестойкость по ei - 45)/ или аналог</t>
        </is>
      </c>
      <c r="B95" s="13" t="inlineStr">
        <is>
          <t>Сэндвич панели стеновые | толщина 80 мм | базальтовые, трехслойные металлические</t>
        </is>
      </c>
      <c r="C95" s="9" t="inlineStr">
        <is>
          <t>Кровельные материалы и утеплитель</t>
        </is>
      </c>
      <c r="D95" s="9" t="inlineStr">
        <is>
          <t>м2</t>
        </is>
      </c>
      <c r="E95" s="10" t="n">
        <v>1.05</v>
      </c>
      <c r="F95" s="4">
        <f>E95*IFERROR(INDEX(Работы!$D$4:$D$672,MATCH(SUBSTITUTE(SUBSTITUTE(SUBSTITUTE(A95,"~","~~"),"*","~*"),"?","~?"),Работы!$B$4:$B$672,0)),0)</f>
        <v/>
      </c>
      <c r="G95" s="10" t="n">
        <v>2600</v>
      </c>
      <c r="H95" s="14" t="n">
        <v>1</v>
      </c>
      <c r="I95" s="11" t="n">
        <v>0.1</v>
      </c>
      <c r="J95" s="11" t="n">
        <v>0.12</v>
      </c>
      <c r="K95" s="10" t="n"/>
      <c r="L95" s="9" t="inlineStr">
        <is>
          <t>оценка</t>
        </is>
      </c>
      <c r="M95" s="9" t="inlineStr"/>
      <c r="N95" s="9" t="inlineStr">
        <is>
          <t>2026-10-29</t>
        </is>
      </c>
      <c r="O95" s="13" t="inlineStr">
        <is>
          <t>оценка сэндвич-панели, запросить КП В Петрович, Лемана ПРО и Сатурн открытой карточки нет, оставлен прежний источник.</t>
        </is>
      </c>
      <c r="P95" s="4">
        <f>IF(H95=1,G95/VAT_DIV,G95)</f>
        <v/>
      </c>
      <c r="Q95" s="4">
        <f>P95*(1+I95)*(1+DELIV)*(1+GROWTH+MONEY)</f>
        <v/>
      </c>
      <c r="R95" s="4">
        <f>IF(AND(K95&lt;&gt;"",Q95*(1+J95)&gt;K95/VAT_DIV),K95/VAT_DIV,Q95*(1+J95))</f>
        <v/>
      </c>
      <c r="S95" s="4">
        <f>Q95*F95</f>
        <v/>
      </c>
      <c r="T95" s="4">
        <f>R95*F95</f>
        <v/>
      </c>
      <c r="U95" s="3">
        <f>IF(AND(K95&lt;&gt;"",Q95*(1+J95)&gt;K95/VAT_DIV+0.01),"ДА","")</f>
        <v/>
      </c>
      <c r="V95" s="4">
        <f>P95*F95</f>
        <v/>
      </c>
    </row>
    <row r="96" ht="20" customHeight="1">
      <c r="A96" s="9" t="inlineStr">
        <is>
          <t>59. Профильный  материал  для  гипсокартона, направляющие (вкл. крепежные элементы)</t>
        </is>
      </c>
      <c r="B96" s="13" t="inlineStr">
        <is>
          <t>Профиль ПН/ПС и крепёж на м2 каркаса</t>
        </is>
      </c>
      <c r="C96" s="9" t="inlineStr">
        <is>
          <t>ГКЛ, профиль, комплектующие</t>
        </is>
      </c>
      <c r="D96" s="9" t="inlineStr">
        <is>
          <t>м2</t>
        </is>
      </c>
      <c r="E96" s="10" t="n">
        <v>1</v>
      </c>
      <c r="F96" s="4">
        <f>E96*IFERROR(INDEX(Работы!$D$4:$D$672,MATCH(SUBSTITUTE(SUBSTITUTE(SUBSTITUTE(A96,"~","~~"),"*","~*"),"?","~?"),Работы!$B$4:$B$672,0)),0)</f>
        <v/>
      </c>
      <c r="G96" s="10" t="n">
        <v>180</v>
      </c>
      <c r="H96" s="14" t="n">
        <v>1</v>
      </c>
      <c r="I96" s="11" t="n">
        <v>0.07000000000000001</v>
      </c>
      <c r="J96" s="11" t="n">
        <v>0.12</v>
      </c>
      <c r="K96" s="10" t="n"/>
      <c r="L96" s="9" t="inlineStr">
        <is>
          <t>оценка</t>
        </is>
      </c>
      <c r="M96" s="9" t="inlineStr"/>
      <c r="N96" s="9" t="inlineStr">
        <is>
          <t>2026-10-29</t>
        </is>
      </c>
      <c r="O96" s="13" t="inlineStr">
        <is>
          <t>оценка каркаса под панель В Петрович, Лемана ПРО и Сатурн открытой карточки нет, оставлен прежний источник.</t>
        </is>
      </c>
      <c r="P96" s="4">
        <f>IF(H96=1,G96/VAT_DIV,G96)</f>
        <v/>
      </c>
      <c r="Q96" s="4">
        <f>P96*(1+I96)*(1+DELIV)*(1+GROWTH+MONEY)</f>
        <v/>
      </c>
      <c r="R96" s="4">
        <f>IF(AND(K96&lt;&gt;"",Q96*(1+J96)&gt;K96/VAT_DIV),K96/VAT_DIV,Q96*(1+J96))</f>
        <v/>
      </c>
      <c r="S96" s="4">
        <f>Q96*F96</f>
        <v/>
      </c>
      <c r="T96" s="4">
        <f>R96*F96</f>
        <v/>
      </c>
      <c r="U96" s="3">
        <f>IF(AND(K96&lt;&gt;"",Q96*(1+J96)&gt;K96/VAT_DIV+0.01),"ДА","")</f>
        <v/>
      </c>
      <c r="V96" s="4">
        <f>P96*F96</f>
        <v/>
      </c>
    </row>
    <row r="97" ht="20" customHeight="1">
      <c r="A97" s="9" t="inlineStr">
        <is>
          <t>60. Гипсокартон ГКЛВ (влагостойкий гипсокартон) типа Knauf (толщина 10мм)</t>
        </is>
      </c>
      <c r="B97" s="13" t="inlineStr">
        <is>
          <t>Гипсокартон ГКЛВ (влагостойкий гипсокартон) типа Knauf (толщина 10мм)</t>
        </is>
      </c>
      <c r="C97" s="9" t="inlineStr">
        <is>
          <t>ГКЛ, профиль, комплектующие</t>
        </is>
      </c>
      <c r="D97" s="9" t="inlineStr">
        <is>
          <t>м2</t>
        </is>
      </c>
      <c r="E97" s="10" t="n">
        <v>1.05</v>
      </c>
      <c r="F97" s="4">
        <f>E97*IFERROR(INDEX(Работы!$D$4:$D$672,MATCH(SUBSTITUTE(SUBSTITUTE(SUBSTITUTE(A97,"~","~~"),"*","~*"),"?","~?"),Работы!$B$4:$B$672,0)),0)</f>
        <v/>
      </c>
      <c r="G97" s="10" t="n">
        <v>194</v>
      </c>
      <c r="H97" s="14" t="n">
        <v>1</v>
      </c>
      <c r="I97" s="11" t="n">
        <v>0.07000000000000001</v>
      </c>
      <c r="J97" s="11" t="n">
        <v>0.12</v>
      </c>
      <c r="K97" s="10" t="n"/>
      <c r="L97" s="9" t="inlineStr">
        <is>
          <t>Петрович</t>
        </is>
      </c>
      <c r="M97" s="9" t="inlineStr">
        <is>
          <t>https://moscow.petrovich.ru/product/101932/</t>
        </is>
      </c>
      <c r="N97" s="9" t="inlineStr">
        <is>
          <t>2026-10-29</t>
        </is>
      </c>
      <c r="O97" s="13" t="inlineStr">
        <is>
          <t>Петрович, Knauf ГКЛВ 12,5 мм 2500х1200 = 582 руб/лист. В форме 10 мм — аналог 12,5.</t>
        </is>
      </c>
      <c r="P97" s="4">
        <f>IF(H97=1,G97/VAT_DIV,G97)</f>
        <v/>
      </c>
      <c r="Q97" s="4">
        <f>P97*(1+I97)*(1+DELIV)*(1+GROWTH+MONEY)</f>
        <v/>
      </c>
      <c r="R97" s="4">
        <f>IF(AND(K97&lt;&gt;"",Q97*(1+J97)&gt;K97/VAT_DIV),K97/VAT_DIV,Q97*(1+J97))</f>
        <v/>
      </c>
      <c r="S97" s="4">
        <f>Q97*F97</f>
        <v/>
      </c>
      <c r="T97" s="4">
        <f>R97*F97</f>
        <v/>
      </c>
      <c r="U97" s="3">
        <f>IF(AND(K97&lt;&gt;"",Q97*(1+J97)&gt;K97/VAT_DIV+0.01),"ДА","")</f>
        <v/>
      </c>
      <c r="V97" s="4">
        <f>P97*F97</f>
        <v/>
      </c>
    </row>
    <row r="98" ht="20" customHeight="1">
      <c r="A98" s="9" t="inlineStr">
        <is>
          <t>61. Гипсокартон ГКЛ (обычный гипсокартон) типа Knauf (толщина 10мм)</t>
        </is>
      </c>
      <c r="B98" s="13" t="inlineStr">
        <is>
          <t>Гипсокартон ГКЛ (обычный гипсокартон) типа Knauf (толщина 10мм)</t>
        </is>
      </c>
      <c r="C98" s="9" t="inlineStr">
        <is>
          <t>ГКЛ, профиль, комплектующие</t>
        </is>
      </c>
      <c r="D98" s="9" t="inlineStr">
        <is>
          <t>м2</t>
        </is>
      </c>
      <c r="E98" s="10" t="n">
        <v>1.05</v>
      </c>
      <c r="F98" s="4">
        <f>E98*IFERROR(INDEX(Работы!$D$4:$D$672,MATCH(SUBSTITUTE(SUBSTITUTE(SUBSTITUTE(A98,"~","~~"),"*","~*"),"?","~?"),Работы!$B$4:$B$672,0)),0)</f>
        <v/>
      </c>
      <c r="G98" s="10" t="n">
        <v>146.67</v>
      </c>
      <c r="H98" s="14" t="n">
        <v>1</v>
      </c>
      <c r="I98" s="11" t="n">
        <v>0.07000000000000001</v>
      </c>
      <c r="J98" s="11" t="n">
        <v>0.12</v>
      </c>
      <c r="K98" s="10" t="n"/>
      <c r="L98" s="9" t="inlineStr">
        <is>
          <t>Петрович</t>
        </is>
      </c>
      <c r="M98" s="9" t="inlineStr">
        <is>
          <t>https://moscow.petrovich.ru/product/101931/</t>
        </is>
      </c>
      <c r="N98" s="9" t="inlineStr">
        <is>
          <t>2026-10-29</t>
        </is>
      </c>
      <c r="O98" s="13" t="inlineStr">
        <is>
          <t>Петрович, Knauf ГКЛ 12,5 мм 2500х1200 = 440 руб/лист. В форме 10 мм — аналог 12,5. Лемана ПРО 390 руб/лист.</t>
        </is>
      </c>
      <c r="P98" s="4">
        <f>IF(H98=1,G98/VAT_DIV,G98)</f>
        <v/>
      </c>
      <c r="Q98" s="4">
        <f>P98*(1+I98)*(1+DELIV)*(1+GROWTH+MONEY)</f>
        <v/>
      </c>
      <c r="R98" s="4">
        <f>IF(AND(K98&lt;&gt;"",Q98*(1+J98)&gt;K98/VAT_DIV),K98/VAT_DIV,Q98*(1+J98))</f>
        <v/>
      </c>
      <c r="S98" s="4">
        <f>Q98*F98</f>
        <v/>
      </c>
      <c r="T98" s="4">
        <f>R98*F98</f>
        <v/>
      </c>
      <c r="U98" s="3">
        <f>IF(AND(K98&lt;&gt;"",Q98*(1+J98)&gt;K98/VAT_DIV+0.01),"ДА","")</f>
        <v/>
      </c>
      <c r="V98" s="4">
        <f>P98*F98</f>
        <v/>
      </c>
    </row>
    <row r="99" ht="20" customHeight="1">
      <c r="A99" s="9" t="inlineStr">
        <is>
          <t>62. профиль для монтажа гипсокартона ПН 50х40 (вкл. крепежные элементы)</t>
        </is>
      </c>
      <c r="B99" s="13" t="inlineStr">
        <is>
          <t>профиль для монтажа гипсокартона ПН 50х40 (вкл. крепежные элементы)</t>
        </is>
      </c>
      <c r="C99" s="9" t="inlineStr">
        <is>
          <t>ГКЛ, профиль, комплектующие</t>
        </is>
      </c>
      <c r="D99" s="9" t="inlineStr">
        <is>
          <t>м</t>
        </is>
      </c>
      <c r="E99" s="10" t="n">
        <v>1</v>
      </c>
      <c r="F99" s="4">
        <f>E99*IFERROR(INDEX(Работы!$D$4:$D$672,MATCH(SUBSTITUTE(SUBSTITUTE(SUBSTITUTE(A99,"~","~~"),"*","~*"),"?","~?"),Работы!$B$4:$B$672,0)),0)</f>
        <v/>
      </c>
      <c r="G99" s="10" t="n">
        <v>95</v>
      </c>
      <c r="H99" s="14" t="n">
        <v>1</v>
      </c>
      <c r="I99" s="11" t="n">
        <v>0.07000000000000001</v>
      </c>
      <c r="J99" s="11" t="n">
        <v>0.12</v>
      </c>
      <c r="K99" s="10" t="n"/>
      <c r="L99" s="9" t="inlineStr">
        <is>
          <t>оценка</t>
        </is>
      </c>
      <c r="M99" s="9" t="inlineStr"/>
      <c r="N99" s="9" t="inlineStr">
        <is>
          <t>2026-10-29</t>
        </is>
      </c>
      <c r="O99" s="13" t="inlineStr">
        <is>
          <t>оценка профиля Кнауф В Петрович, Лемана ПРО и Сатурн открытой карточки нет, оставлен прежний источник.</t>
        </is>
      </c>
      <c r="P99" s="4">
        <f>IF(H99=1,G99/VAT_DIV,G99)</f>
        <v/>
      </c>
      <c r="Q99" s="4">
        <f>P99*(1+I99)*(1+DELIV)*(1+GROWTH+MONEY)</f>
        <v/>
      </c>
      <c r="R99" s="4">
        <f>IF(AND(K99&lt;&gt;"",Q99*(1+J99)&gt;K99/VAT_DIV),K99/VAT_DIV,Q99*(1+J99))</f>
        <v/>
      </c>
      <c r="S99" s="4">
        <f>Q99*F99</f>
        <v/>
      </c>
      <c r="T99" s="4">
        <f>R99*F99</f>
        <v/>
      </c>
      <c r="U99" s="3">
        <f>IF(AND(K99&lt;&gt;"",Q99*(1+J99)&gt;K99/VAT_DIV+0.01),"ДА","")</f>
        <v/>
      </c>
      <c r="V99" s="4">
        <f>P99*F99</f>
        <v/>
      </c>
    </row>
    <row r="100" ht="20" customHeight="1">
      <c r="A100" s="9" t="inlineStr">
        <is>
          <t>63. профиль для монтажа гипсокартона ПС 50х50 (вкл. крепежные элементы)</t>
        </is>
      </c>
      <c r="B100" s="13" t="inlineStr">
        <is>
          <t>профиль для монтажа гипсокартона ПС 50х50 (вкл. крепежные элементы)</t>
        </is>
      </c>
      <c r="C100" s="9" t="inlineStr">
        <is>
          <t>ГКЛ, профиль, комплектующие</t>
        </is>
      </c>
      <c r="D100" s="9" t="inlineStr">
        <is>
          <t>м</t>
        </is>
      </c>
      <c r="E100" s="10" t="n">
        <v>1</v>
      </c>
      <c r="F100" s="4">
        <f>E100*IFERROR(INDEX(Работы!$D$4:$D$672,MATCH(SUBSTITUTE(SUBSTITUTE(SUBSTITUTE(A100,"~","~~"),"*","~*"),"?","~?"),Работы!$B$4:$B$672,0)),0)</f>
        <v/>
      </c>
      <c r="G100" s="10" t="n">
        <v>95</v>
      </c>
      <c r="H100" s="14" t="n">
        <v>1</v>
      </c>
      <c r="I100" s="11" t="n">
        <v>0.07000000000000001</v>
      </c>
      <c r="J100" s="11" t="n">
        <v>0.12</v>
      </c>
      <c r="K100" s="10" t="n"/>
      <c r="L100" s="9" t="inlineStr">
        <is>
          <t>оценка</t>
        </is>
      </c>
      <c r="M100" s="9" t="inlineStr"/>
      <c r="N100" s="9" t="inlineStr">
        <is>
          <t>2026-10-29</t>
        </is>
      </c>
      <c r="O100" s="13" t="inlineStr">
        <is>
          <t>оценка профиля Кнауф В Петрович, Лемана ПРО и Сатурн открытой карточки нет, оставлен прежний источник.</t>
        </is>
      </c>
      <c r="P100" s="4">
        <f>IF(H100=1,G100/VAT_DIV,G100)</f>
        <v/>
      </c>
      <c r="Q100" s="4">
        <f>P100*(1+I100)*(1+DELIV)*(1+GROWTH+MONEY)</f>
        <v/>
      </c>
      <c r="R100" s="4">
        <f>IF(AND(K100&lt;&gt;"",Q100*(1+J100)&gt;K100/VAT_DIV),K100/VAT_DIV,Q100*(1+J100))</f>
        <v/>
      </c>
      <c r="S100" s="4">
        <f>Q100*F100</f>
        <v/>
      </c>
      <c r="T100" s="4">
        <f>R100*F100</f>
        <v/>
      </c>
      <c r="U100" s="3">
        <f>IF(AND(K100&lt;&gt;"",Q100*(1+J100)&gt;K100/VAT_DIV+0.01),"ДА","")</f>
        <v/>
      </c>
      <c r="V100" s="4">
        <f>P100*F100</f>
        <v/>
      </c>
    </row>
    <row r="101" ht="20" customHeight="1">
      <c r="A101" s="9" t="inlineStr">
        <is>
          <t>64. Краска-эмаль типа Хамерайт (цвет по выбору) в 2 слоя</t>
        </is>
      </c>
      <c r="B101" s="13" t="inlineStr">
        <is>
          <t>Краска</t>
        </is>
      </c>
      <c r="C101" s="9" t="inlineStr">
        <is>
          <t>Краски, грунты, ЛКМ</t>
        </is>
      </c>
      <c r="D101" s="9" t="inlineStr">
        <is>
          <t>кг</t>
        </is>
      </c>
      <c r="E101" s="10" t="n">
        <v>0.28</v>
      </c>
      <c r="F101" s="4">
        <f>E101*IFERROR(INDEX(Работы!$D$4:$D$672,MATCH(SUBSTITUTE(SUBSTITUTE(SUBSTITUTE(A101,"~","~~"),"*","~*"),"?","~?"),Работы!$B$4:$B$672,0)),0)</f>
        <v/>
      </c>
      <c r="G101" s="10" t="n">
        <v>700</v>
      </c>
      <c r="H101" s="14" t="n">
        <v>1</v>
      </c>
      <c r="I101" s="11" t="n">
        <v>0.05</v>
      </c>
      <c r="J101" s="11" t="n">
        <v>0.12</v>
      </c>
      <c r="K101" s="10" t="n"/>
      <c r="L101" s="9" t="inlineStr">
        <is>
          <t>оценка</t>
        </is>
      </c>
      <c r="M101" s="9" t="inlineStr"/>
      <c r="N101" s="9" t="inlineStr">
        <is>
          <t>2026-10-29</t>
        </is>
      </c>
      <c r="O101" s="13" t="inlineStr">
        <is>
          <t>Hammerite оценка 700 руб/кг В Петрович, Лемана ПРО и Сатурн открытой карточки нет, оставлен прежний источник.</t>
        </is>
      </c>
      <c r="P101" s="4">
        <f>IF(H101=1,G101/VAT_DIV,G101)</f>
        <v/>
      </c>
      <c r="Q101" s="4">
        <f>P101*(1+I101)*(1+DELIV)*(1+GROWTH+MONEY)</f>
        <v/>
      </c>
      <c r="R101" s="4">
        <f>IF(AND(K101&lt;&gt;"",Q101*(1+J101)&gt;K101/VAT_DIV),K101/VAT_DIV,Q101*(1+J101))</f>
        <v/>
      </c>
      <c r="S101" s="4">
        <f>Q101*F101</f>
        <v/>
      </c>
      <c r="T101" s="4">
        <f>R101*F101</f>
        <v/>
      </c>
      <c r="U101" s="3">
        <f>IF(AND(K101&lt;&gt;"",Q101*(1+J101)&gt;K101/VAT_DIV+0.01),"ДА","")</f>
        <v/>
      </c>
      <c r="V101" s="4">
        <f>P101*F101</f>
        <v/>
      </c>
    </row>
    <row r="102" ht="20" customHeight="1">
      <c r="A102" s="9" t="inlineStr">
        <is>
          <t>65. Краска водоэмульсионная типа Dufa Mattlatex Russia (цвет по выбору) в 2 слоя</t>
        </is>
      </c>
      <c r="B102" s="13" t="inlineStr">
        <is>
          <t>Краска</t>
        </is>
      </c>
      <c r="C102" s="9" t="inlineStr">
        <is>
          <t>Краски, грунты, ЛКМ</t>
        </is>
      </c>
      <c r="D102" s="9" t="inlineStr">
        <is>
          <t>кг</t>
        </is>
      </c>
      <c r="E102" s="10" t="n">
        <v>0.35</v>
      </c>
      <c r="F102" s="4">
        <f>E102*IFERROR(INDEX(Работы!$D$4:$D$672,MATCH(SUBSTITUTE(SUBSTITUTE(SUBSTITUTE(A102,"~","~~"),"*","~*"),"?","~?"),Работы!$B$4:$B$672,0)),0)</f>
        <v/>
      </c>
      <c r="G102" s="10" t="n">
        <v>128.57</v>
      </c>
      <c r="H102" s="14" t="n">
        <v>1</v>
      </c>
      <c r="I102" s="11" t="n">
        <v>0.05</v>
      </c>
      <c r="J102" s="11" t="n">
        <v>0.12</v>
      </c>
      <c r="K102" s="10" t="n"/>
      <c r="L102" s="9" t="inlineStr">
        <is>
          <t>Петрович</t>
        </is>
      </c>
      <c r="M102" s="9" t="inlineStr">
        <is>
          <t>https://moscow.petrovich.ru/product/103990/</t>
        </is>
      </c>
      <c r="N102" s="9" t="inlineStr">
        <is>
          <t>2026-10-29</t>
        </is>
      </c>
      <c r="O102" s="13" t="inlineStr">
        <is>
          <t>Петрович Москва, Текс влагостойкая 1 800 руб/14 кг</t>
        </is>
      </c>
      <c r="P102" s="4">
        <f>IF(H102=1,G102/VAT_DIV,G102)</f>
        <v/>
      </c>
      <c r="Q102" s="4">
        <f>P102*(1+I102)*(1+DELIV)*(1+GROWTH+MONEY)</f>
        <v/>
      </c>
      <c r="R102" s="4">
        <f>IF(AND(K102&lt;&gt;"",Q102*(1+J102)&gt;K102/VAT_DIV),K102/VAT_DIV,Q102*(1+J102))</f>
        <v/>
      </c>
      <c r="S102" s="4">
        <f>Q102*F102</f>
        <v/>
      </c>
      <c r="T102" s="4">
        <f>R102*F102</f>
        <v/>
      </c>
      <c r="U102" s="3">
        <f>IF(AND(K102&lt;&gt;"",Q102*(1+J102)&gt;K102/VAT_DIV+0.01),"ДА","")</f>
        <v/>
      </c>
      <c r="V102" s="4">
        <f>P102*F102</f>
        <v/>
      </c>
    </row>
    <row r="103" ht="20" customHeight="1">
      <c r="A103" s="9" t="inlineStr">
        <is>
          <t>66. Краска водоэмульсионная наружная типа Dufa Fassadenfarbe (цвет по выбору) в 2 слоя.</t>
        </is>
      </c>
      <c r="B103" s="13" t="inlineStr">
        <is>
          <t>Краска</t>
        </is>
      </c>
      <c r="C103" s="9" t="inlineStr">
        <is>
          <t>Краски, грунты, ЛКМ</t>
        </is>
      </c>
      <c r="D103" s="9" t="inlineStr">
        <is>
          <t>кг</t>
        </is>
      </c>
      <c r="E103" s="10" t="n">
        <v>0.35</v>
      </c>
      <c r="F103" s="4">
        <f>E103*IFERROR(INDEX(Работы!$D$4:$D$672,MATCH(SUBSTITUTE(SUBSTITUTE(SUBSTITUTE(A103,"~","~~"),"*","~*"),"?","~?"),Работы!$B$4:$B$672,0)),0)</f>
        <v/>
      </c>
      <c r="G103" s="10" t="n">
        <v>128.57</v>
      </c>
      <c r="H103" s="14" t="n">
        <v>1</v>
      </c>
      <c r="I103" s="11" t="n">
        <v>0.05</v>
      </c>
      <c r="J103" s="11" t="n">
        <v>0.12</v>
      </c>
      <c r="K103" s="10" t="n"/>
      <c r="L103" s="9" t="inlineStr">
        <is>
          <t>Петрович</t>
        </is>
      </c>
      <c r="M103" s="9" t="inlineStr">
        <is>
          <t>https://moscow.petrovich.ru/product/103990/</t>
        </is>
      </c>
      <c r="N103" s="9" t="inlineStr">
        <is>
          <t>2026-10-29</t>
        </is>
      </c>
      <c r="O103" s="13" t="inlineStr">
        <is>
          <t>Петрович Москва, Текс влагостойкая 1 800 руб/14 кг</t>
        </is>
      </c>
      <c r="P103" s="4">
        <f>IF(H103=1,G103/VAT_DIV,G103)</f>
        <v/>
      </c>
      <c r="Q103" s="4">
        <f>P103*(1+I103)*(1+DELIV)*(1+GROWTH+MONEY)</f>
        <v/>
      </c>
      <c r="R103" s="4">
        <f>IF(AND(K103&lt;&gt;"",Q103*(1+J103)&gt;K103/VAT_DIV),K103/VAT_DIV,Q103*(1+J103))</f>
        <v/>
      </c>
      <c r="S103" s="4">
        <f>Q103*F103</f>
        <v/>
      </c>
      <c r="T103" s="4">
        <f>R103*F103</f>
        <v/>
      </c>
      <c r="U103" s="3">
        <f>IF(AND(K103&lt;&gt;"",Q103*(1+J103)&gt;K103/VAT_DIV+0.01),"ДА","")</f>
        <v/>
      </c>
      <c r="V103" s="4">
        <f>P103*F103</f>
        <v/>
      </c>
    </row>
    <row r="104" ht="20" customHeight="1">
      <c r="A104" s="9" t="inlineStr">
        <is>
          <t>67. Штукатурка наружная типа "KNAUF sockelputz"</t>
        </is>
      </c>
      <c r="B104" s="13" t="inlineStr">
        <is>
          <t>Штукатурка наружная типа "KNAUF sockelputz"</t>
        </is>
      </c>
      <c r="C104" s="9" t="inlineStr">
        <is>
          <t>Сухие смеси, штукатурки, шпаклёвки</t>
        </is>
      </c>
      <c r="D104" s="9" t="inlineStr">
        <is>
          <t>кг</t>
        </is>
      </c>
      <c r="E104" s="10" t="n">
        <v>8</v>
      </c>
      <c r="F104" s="4">
        <f>E104*IFERROR(INDEX(Работы!$D$4:$D$672,MATCH(SUBSTITUTE(SUBSTITUTE(SUBSTITUTE(A104,"~","~~"),"*","~*"),"?","~?"),Работы!$B$4:$B$672,0)),0)</f>
        <v/>
      </c>
      <c r="G104" s="10" t="n">
        <v>22</v>
      </c>
      <c r="H104" s="14" t="n">
        <v>1</v>
      </c>
      <c r="I104" s="11" t="n">
        <v>0.05</v>
      </c>
      <c r="J104" s="11" t="n">
        <v>0.12</v>
      </c>
      <c r="K104" s="10" t="n"/>
      <c r="L104" s="9" t="inlineStr">
        <is>
          <t>оценка</t>
        </is>
      </c>
      <c r="M104" s="9" t="inlineStr"/>
      <c r="N104" s="9" t="inlineStr">
        <is>
          <t>2026-10-29</t>
        </is>
      </c>
      <c r="O104" s="13" t="inlineStr">
        <is>
          <t>оценка гипсовой/цементной штукатурки В Петрович, Лемана ПРО и Сатурн открытой карточки нет, оставлен прежний источник.</t>
        </is>
      </c>
      <c r="P104" s="4">
        <f>IF(H104=1,G104/VAT_DIV,G104)</f>
        <v/>
      </c>
      <c r="Q104" s="4">
        <f>P104*(1+I104)*(1+DELIV)*(1+GROWTH+MONEY)</f>
        <v/>
      </c>
      <c r="R104" s="4">
        <f>IF(AND(K104&lt;&gt;"",Q104*(1+J104)&gt;K104/VAT_DIV),K104/VAT_DIV,Q104*(1+J104))</f>
        <v/>
      </c>
      <c r="S104" s="4">
        <f>Q104*F104</f>
        <v/>
      </c>
      <c r="T104" s="4">
        <f>R104*F104</f>
        <v/>
      </c>
      <c r="U104" s="3">
        <f>IF(AND(K104&lt;&gt;"",Q104*(1+J104)&gt;K104/VAT_DIV+0.01),"ДА","")</f>
        <v/>
      </c>
      <c r="V104" s="4">
        <f>P104*F104</f>
        <v/>
      </c>
    </row>
    <row r="105" ht="20" customHeight="1">
      <c r="A105" s="9" t="inlineStr">
        <is>
          <t>68. Шпаклевка типа UNIS фасадная</t>
        </is>
      </c>
      <c r="B105" s="13" t="inlineStr">
        <is>
          <t>Шпаклевка типа UNIS фасадная</t>
        </is>
      </c>
      <c r="C105" s="9" t="inlineStr">
        <is>
          <t>Сухие смеси, штукатурки, шпаклёвки</t>
        </is>
      </c>
      <c r="D105" s="9" t="inlineStr">
        <is>
          <t>кг</t>
        </is>
      </c>
      <c r="E105" s="10" t="n">
        <v>1.2</v>
      </c>
      <c r="F105" s="4">
        <f>E105*IFERROR(INDEX(Работы!$D$4:$D$672,MATCH(SUBSTITUTE(SUBSTITUTE(SUBSTITUTE(A105,"~","~~"),"*","~*"),"?","~?"),Работы!$B$4:$B$672,0)),0)</f>
        <v/>
      </c>
      <c r="G105" s="10" t="n">
        <v>43.55</v>
      </c>
      <c r="H105" s="14" t="n">
        <v>1</v>
      </c>
      <c r="I105" s="11" t="n">
        <v>0.05</v>
      </c>
      <c r="J105" s="11" t="n">
        <v>0.12</v>
      </c>
      <c r="K105" s="10" t="n"/>
      <c r="L105" s="9" t="inlineStr">
        <is>
          <t>Сатурн</t>
        </is>
      </c>
      <c r="M105" s="9" t="inlineStr">
        <is>
          <t>https://msk.saturn.net/product/shpaklevka-finishnaya-polimernaya-knauf-polymer-finish-20-kg/</t>
        </is>
      </c>
      <c r="N105" s="9" t="inlineStr">
        <is>
          <t>2026-10-29</t>
        </is>
      </c>
      <c r="O105" s="13" t="inlineStr">
        <is>
          <t>Минимум из трёх: Сатурн Knauf Polymer Finish 20 кг = 43,55 руб/кг. Петрович 45,75, Лемана ПРО Vetonit LR+ 45,6.</t>
        </is>
      </c>
      <c r="P105" s="4">
        <f>IF(H105=1,G105/VAT_DIV,G105)</f>
        <v/>
      </c>
      <c r="Q105" s="4">
        <f>P105*(1+I105)*(1+DELIV)*(1+GROWTH+MONEY)</f>
        <v/>
      </c>
      <c r="R105" s="4">
        <f>IF(AND(K105&lt;&gt;"",Q105*(1+J105)&gt;K105/VAT_DIV),K105/VAT_DIV,Q105*(1+J105))</f>
        <v/>
      </c>
      <c r="S105" s="4">
        <f>Q105*F105</f>
        <v/>
      </c>
      <c r="T105" s="4">
        <f>R105*F105</f>
        <v/>
      </c>
      <c r="U105" s="3">
        <f>IF(AND(K105&lt;&gt;"",Q105*(1+J105)&gt;K105/VAT_DIV+0.01),"ДА","")</f>
        <v/>
      </c>
      <c r="V105" s="4">
        <f>P105*F105</f>
        <v/>
      </c>
    </row>
    <row r="106" ht="20" customHeight="1">
      <c r="A106" s="9" t="inlineStr">
        <is>
          <t>69. Грунтовка типа UNIS универсальная в 2 слоя</t>
        </is>
      </c>
      <c r="B106" s="13" t="inlineStr">
        <is>
          <t>Грунт</t>
        </is>
      </c>
      <c r="C106" s="9" t="inlineStr">
        <is>
          <t>Краски, грунты, ЛКМ</t>
        </is>
      </c>
      <c r="D106" s="9" t="inlineStr">
        <is>
          <t>л</t>
        </is>
      </c>
      <c r="E106" s="10" t="n">
        <v>0.2</v>
      </c>
      <c r="F106" s="4">
        <f>E106*IFERROR(INDEX(Работы!$D$4:$D$672,MATCH(SUBSTITUTE(SUBSTITUTE(SUBSTITUTE(A106,"~","~~"),"*","~*"),"?","~?"),Работы!$B$4:$B$672,0)),0)</f>
        <v/>
      </c>
      <c r="G106" s="10" t="n">
        <v>136.7</v>
      </c>
      <c r="H106" s="14" t="n">
        <v>1</v>
      </c>
      <c r="I106" s="11" t="n">
        <v>0.05</v>
      </c>
      <c r="J106" s="11" t="n">
        <v>0.12</v>
      </c>
      <c r="K106" s="10" t="n"/>
      <c r="L106" s="9" t="inlineStr">
        <is>
          <t>Лемана ПРО</t>
        </is>
      </c>
      <c r="M106" s="9" t="inlineStr">
        <is>
          <t>https://lemanapro.ru/product/grunt-ceresit-ct-17-transparent-glubokogo-proniknoveniya-10-l-89398668/</t>
        </is>
      </c>
      <c r="N106" s="9" t="inlineStr">
        <is>
          <t>2026-10-29</t>
        </is>
      </c>
      <c r="O106" s="13" t="inlineStr">
        <is>
          <t>Минимум из трёх: Лемана ПРО Ceresit CT 17, 10 л = 136,7 руб/л. Петрович CT 17 PRO 143,8, Сатурн 145,9.</t>
        </is>
      </c>
      <c r="P106" s="4">
        <f>IF(H106=1,G106/VAT_DIV,G106)</f>
        <v/>
      </c>
      <c r="Q106" s="4">
        <f>P106*(1+I106)*(1+DELIV)*(1+GROWTH+MONEY)</f>
        <v/>
      </c>
      <c r="R106" s="4">
        <f>IF(AND(K106&lt;&gt;"",Q106*(1+J106)&gt;K106/VAT_DIV),K106/VAT_DIV,Q106*(1+J106))</f>
        <v/>
      </c>
      <c r="S106" s="4">
        <f>Q106*F106</f>
        <v/>
      </c>
      <c r="T106" s="4">
        <f>R106*F106</f>
        <v/>
      </c>
      <c r="U106" s="3">
        <f>IF(AND(K106&lt;&gt;"",Q106*(1+J106)&gt;K106/VAT_DIV+0.01),"ДА","")</f>
        <v/>
      </c>
      <c r="V106" s="4">
        <f>P106*F106</f>
        <v/>
      </c>
    </row>
    <row r="107" ht="20" customHeight="1">
      <c r="A107" s="9" t="inlineStr">
        <is>
          <t>70. Штукатурка внутренняя типа "KNAUF MP 75"</t>
        </is>
      </c>
      <c r="B107" s="13" t="inlineStr">
        <is>
          <t>Штукатурка внутренняя типа "KNAUF MP 75"</t>
        </is>
      </c>
      <c r="C107" s="9" t="inlineStr">
        <is>
          <t>Сухие смеси, штукатурки, шпаклёвки</t>
        </is>
      </c>
      <c r="D107" s="9" t="inlineStr">
        <is>
          <t>кг</t>
        </is>
      </c>
      <c r="E107" s="10" t="n">
        <v>8</v>
      </c>
      <c r="F107" s="4">
        <f>E107*IFERROR(INDEX(Работы!$D$4:$D$672,MATCH(SUBSTITUTE(SUBSTITUTE(SUBSTITUTE(A107,"~","~~"),"*","~*"),"?","~?"),Работы!$B$4:$B$672,0)),0)</f>
        <v/>
      </c>
      <c r="G107" s="10" t="n">
        <v>22</v>
      </c>
      <c r="H107" s="14" t="n">
        <v>1</v>
      </c>
      <c r="I107" s="11" t="n">
        <v>0.05</v>
      </c>
      <c r="J107" s="11" t="n">
        <v>0.12</v>
      </c>
      <c r="K107" s="10" t="n"/>
      <c r="L107" s="9" t="inlineStr">
        <is>
          <t>оценка</t>
        </is>
      </c>
      <c r="M107" s="9" t="inlineStr"/>
      <c r="N107" s="9" t="inlineStr">
        <is>
          <t>2026-10-29</t>
        </is>
      </c>
      <c r="O107" s="13" t="inlineStr">
        <is>
          <t>оценка гипсовой/цементной штукатурки В Петрович, Лемана ПРО и Сатурн открытой карточки нет, оставлен прежний источник.</t>
        </is>
      </c>
      <c r="P107" s="4">
        <f>IF(H107=1,G107/VAT_DIV,G107)</f>
        <v/>
      </c>
      <c r="Q107" s="4">
        <f>P107*(1+I107)*(1+DELIV)*(1+GROWTH+MONEY)</f>
        <v/>
      </c>
      <c r="R107" s="4">
        <f>IF(AND(K107&lt;&gt;"",Q107*(1+J107)&gt;K107/VAT_DIV),K107/VAT_DIV,Q107*(1+J107))</f>
        <v/>
      </c>
      <c r="S107" s="4">
        <f>Q107*F107</f>
        <v/>
      </c>
      <c r="T107" s="4">
        <f>R107*F107</f>
        <v/>
      </c>
      <c r="U107" s="3">
        <f>IF(AND(K107&lt;&gt;"",Q107*(1+J107)&gt;K107/VAT_DIV+0.01),"ДА","")</f>
        <v/>
      </c>
      <c r="V107" s="4">
        <f>P107*F107</f>
        <v/>
      </c>
    </row>
    <row r="108" ht="20" customHeight="1">
      <c r="A108" s="9" t="inlineStr">
        <is>
          <t>71. Шпаклевка гипсовая типа "Unis БЛИК"</t>
        </is>
      </c>
      <c r="B108" s="13" t="inlineStr">
        <is>
          <t>Шпаклевка гипсовая типа "Unis БЛИК"</t>
        </is>
      </c>
      <c r="C108" s="9" t="inlineStr">
        <is>
          <t>Сухие смеси, штукатурки, шпаклёвки</t>
        </is>
      </c>
      <c r="D108" s="9" t="inlineStr">
        <is>
          <t>кг</t>
        </is>
      </c>
      <c r="E108" s="10" t="n">
        <v>1.2</v>
      </c>
      <c r="F108" s="4">
        <f>E108*IFERROR(INDEX(Работы!$D$4:$D$672,MATCH(SUBSTITUTE(SUBSTITUTE(SUBSTITUTE(A108,"~","~~"),"*","~*"),"?","~?"),Работы!$B$4:$B$672,0)),0)</f>
        <v/>
      </c>
      <c r="G108" s="10" t="n">
        <v>43.55</v>
      </c>
      <c r="H108" s="14" t="n">
        <v>1</v>
      </c>
      <c r="I108" s="11" t="n">
        <v>0.05</v>
      </c>
      <c r="J108" s="11" t="n">
        <v>0.12</v>
      </c>
      <c r="K108" s="10" t="n"/>
      <c r="L108" s="9" t="inlineStr">
        <is>
          <t>Сатурн</t>
        </is>
      </c>
      <c r="M108" s="9" t="inlineStr">
        <is>
          <t>https://msk.saturn.net/product/shpaklevka-finishnaya-polimernaya-knauf-polymer-finish-20-kg/</t>
        </is>
      </c>
      <c r="N108" s="9" t="inlineStr">
        <is>
          <t>2026-10-29</t>
        </is>
      </c>
      <c r="O108" s="13" t="inlineStr">
        <is>
          <t>Минимум из трёх: Сатурн Knauf Polymer Finish 20 кг = 43,55 руб/кг. Петрович 45,75, Лемана ПРО Vetonit LR+ 45,6.</t>
        </is>
      </c>
      <c r="P108" s="4">
        <f>IF(H108=1,G108/VAT_DIV,G108)</f>
        <v/>
      </c>
      <c r="Q108" s="4">
        <f>P108*(1+I108)*(1+DELIV)*(1+GROWTH+MONEY)</f>
        <v/>
      </c>
      <c r="R108" s="4">
        <f>IF(AND(K108&lt;&gt;"",Q108*(1+J108)&gt;K108/VAT_DIV),K108/VAT_DIV,Q108*(1+J108))</f>
        <v/>
      </c>
      <c r="S108" s="4">
        <f>Q108*F108</f>
        <v/>
      </c>
      <c r="T108" s="4">
        <f>R108*F108</f>
        <v/>
      </c>
      <c r="U108" s="3">
        <f>IF(AND(K108&lt;&gt;"",Q108*(1+J108)&gt;K108/VAT_DIV+0.01),"ДА","")</f>
        <v/>
      </c>
      <c r="V108" s="4">
        <f>P108*F108</f>
        <v/>
      </c>
    </row>
    <row r="109" ht="20" customHeight="1">
      <c r="A109" s="9" t="inlineStr">
        <is>
          <t>72. Панель Випрок ламинированная 3000х1200х12,5</t>
        </is>
      </c>
      <c r="B109" s="13" t="inlineStr">
        <is>
          <t>Панель Випрок ламинированная 3000х1200х12,5</t>
        </is>
      </c>
      <c r="C109" s="9" t="inlineStr">
        <is>
          <t>ГКЛ, профиль, комплектующие</t>
        </is>
      </c>
      <c r="D109" s="9" t="inlineStr">
        <is>
          <t>м2</t>
        </is>
      </c>
      <c r="E109" s="10" t="n">
        <v>1.05</v>
      </c>
      <c r="F109" s="4">
        <f>E109*IFERROR(INDEX(Работы!$D$4:$D$672,MATCH(SUBSTITUTE(SUBSTITUTE(SUBSTITUTE(A109,"~","~~"),"*","~*"),"?","~?"),Работы!$B$4:$B$672,0)),0)</f>
        <v/>
      </c>
      <c r="G109" s="10" t="n">
        <v>900</v>
      </c>
      <c r="H109" s="14" t="n">
        <v>1</v>
      </c>
      <c r="I109" s="11" t="n">
        <v>0.07000000000000001</v>
      </c>
      <c r="J109" s="11" t="n">
        <v>0.12</v>
      </c>
      <c r="K109" s="10" t="n"/>
      <c r="L109" s="9" t="inlineStr">
        <is>
          <t>оценка</t>
        </is>
      </c>
      <c r="M109" s="9" t="inlineStr"/>
      <c r="N109" s="9" t="inlineStr">
        <is>
          <t>2026-10-29</t>
        </is>
      </c>
      <c r="O109" s="13" t="inlineStr">
        <is>
          <t>оценка ламинированной панели, запросить КП В Петрович, Лемана ПРО и Сатурн открытой карточки нет, оставлен прежний источник.</t>
        </is>
      </c>
      <c r="P109" s="4">
        <f>IF(H109=1,G109/VAT_DIV,G109)</f>
        <v/>
      </c>
      <c r="Q109" s="4">
        <f>P109*(1+I109)*(1+DELIV)*(1+GROWTH+MONEY)</f>
        <v/>
      </c>
      <c r="R109" s="4">
        <f>IF(AND(K109&lt;&gt;"",Q109*(1+J109)&gt;K109/VAT_DIV),K109/VAT_DIV,Q109*(1+J109))</f>
        <v/>
      </c>
      <c r="S109" s="4">
        <f>Q109*F109</f>
        <v/>
      </c>
      <c r="T109" s="4">
        <f>R109*F109</f>
        <v/>
      </c>
      <c r="U109" s="3">
        <f>IF(AND(K109&lt;&gt;"",Q109*(1+J109)&gt;K109/VAT_DIV+0.01),"ДА","")</f>
        <v/>
      </c>
      <c r="V109" s="4">
        <f>P109*F109</f>
        <v/>
      </c>
    </row>
    <row r="110" ht="20" customHeight="1">
      <c r="A110" s="9" t="inlineStr">
        <is>
          <t>75. Лента уплотнительная 50 мм</t>
        </is>
      </c>
      <c r="B110" s="13" t="inlineStr">
        <is>
          <t>Лента уплотнительная 50 мм</t>
        </is>
      </c>
      <c r="C110" s="9" t="inlineStr">
        <is>
          <t>ГКЛ, профиль, комплектующие</t>
        </is>
      </c>
      <c r="D110" s="9" t="inlineStr">
        <is>
          <t>м</t>
        </is>
      </c>
      <c r="E110" s="10" t="n">
        <v>1</v>
      </c>
      <c r="F110" s="4">
        <f>E110*IFERROR(INDEX(Работы!$D$4:$D$672,MATCH(SUBSTITUTE(SUBSTITUTE(SUBSTITUTE(A110,"~","~~"),"*","~*"),"?","~?"),Работы!$B$4:$B$672,0)),0)</f>
        <v/>
      </c>
      <c r="G110" s="10" t="n">
        <v>15</v>
      </c>
      <c r="H110" s="14" t="n">
        <v>1</v>
      </c>
      <c r="I110" s="11" t="n">
        <v>0.07000000000000001</v>
      </c>
      <c r="J110" s="11" t="n">
        <v>0.12</v>
      </c>
      <c r="K110" s="10" t="n"/>
      <c r="L110" s="9" t="inlineStr">
        <is>
          <t>оценка</t>
        </is>
      </c>
      <c r="M110" s="9" t="inlineStr"/>
      <c r="N110" s="9" t="inlineStr">
        <is>
          <t>2026-10-29</t>
        </is>
      </c>
      <c r="O110" s="13" t="inlineStr">
        <is>
          <t>оценка В Петрович, Лемана ПРО и Сатурн открытой карточки нет, оставлен прежний источник.</t>
        </is>
      </c>
      <c r="P110" s="4">
        <f>IF(H110=1,G110/VAT_DIV,G110)</f>
        <v/>
      </c>
      <c r="Q110" s="4">
        <f>P110*(1+I110)*(1+DELIV)*(1+GROWTH+MONEY)</f>
        <v/>
      </c>
      <c r="R110" s="4">
        <f>IF(AND(K110&lt;&gt;"",Q110*(1+J110)&gt;K110/VAT_DIV),K110/VAT_DIV,Q110*(1+J110))</f>
        <v/>
      </c>
      <c r="S110" s="4">
        <f>Q110*F110</f>
        <v/>
      </c>
      <c r="T110" s="4">
        <f>R110*F110</f>
        <v/>
      </c>
      <c r="U110" s="3">
        <f>IF(AND(K110&lt;&gt;"",Q110*(1+J110)&gt;K110/VAT_DIV+0.01),"ДА","")</f>
        <v/>
      </c>
      <c r="V110" s="4">
        <f>P110*F110</f>
        <v/>
      </c>
    </row>
    <row r="111" ht="20" customHeight="1">
      <c r="A111" s="9" t="inlineStr">
        <is>
          <t>76. Уголок пластиковый 25х25 мм</t>
        </is>
      </c>
      <c r="B111" s="13" t="inlineStr">
        <is>
          <t>Уголок пластиковый 25х25 мм</t>
        </is>
      </c>
      <c r="C111" s="9" t="inlineStr">
        <is>
          <t>Прочее</t>
        </is>
      </c>
      <c r="D111" s="9" t="inlineStr">
        <is>
          <t>м</t>
        </is>
      </c>
      <c r="E111" s="10" t="n">
        <v>1</v>
      </c>
      <c r="F111" s="4">
        <f>E111*IFERROR(INDEX(Работы!$D$4:$D$672,MATCH(SUBSTITUTE(SUBSTITUTE(SUBSTITUTE(A111,"~","~~"),"*","~*"),"?","~?"),Работы!$B$4:$B$672,0)),0)</f>
        <v/>
      </c>
      <c r="G111" s="10" t="n">
        <v>40</v>
      </c>
      <c r="H111" s="14" t="n">
        <v>1</v>
      </c>
      <c r="I111" s="11" t="n">
        <v>0.03</v>
      </c>
      <c r="J111" s="11" t="n">
        <v>0.15</v>
      </c>
      <c r="K111" s="10" t="n"/>
      <c r="L111" s="9" t="inlineStr">
        <is>
          <t>оценка</t>
        </is>
      </c>
      <c r="M111" s="9" t="inlineStr"/>
      <c r="N111" s="9" t="inlineStr">
        <is>
          <t>2026-10-29</t>
        </is>
      </c>
      <c r="O111" s="13" t="inlineStr">
        <is>
          <t>оценка ПВХ уголка В Петрович, Лемана ПРО и Сатурн открытой карточки нет, оставлен прежний источник.</t>
        </is>
      </c>
      <c r="P111" s="4">
        <f>IF(H111=1,G111/VAT_DIV,G111)</f>
        <v/>
      </c>
      <c r="Q111" s="4">
        <f>P111*(1+I111)*(1+DELIV)*(1+GROWTH+MONEY)</f>
        <v/>
      </c>
      <c r="R111" s="4">
        <f>IF(AND(K111&lt;&gt;"",Q111*(1+J111)&gt;K111/VAT_DIV),K111/VAT_DIV,Q111*(1+J111))</f>
        <v/>
      </c>
      <c r="S111" s="4">
        <f>Q111*F111</f>
        <v/>
      </c>
      <c r="T111" s="4">
        <f>R111*F111</f>
        <v/>
      </c>
      <c r="U111" s="3">
        <f>IF(AND(K111&lt;&gt;"",Q111*(1+J111)&gt;K111/VAT_DIV+0.01),"ДА","")</f>
        <v/>
      </c>
      <c r="V111" s="4">
        <f>P111*F111</f>
        <v/>
      </c>
    </row>
    <row r="112" ht="20" customHeight="1">
      <c r="A112" s="9" t="inlineStr">
        <is>
          <t>77. Полимерная шпатлевка LR для внутренних работ. Рекомендуется для устранения мельчайших дефектов поверхности. CERESIT CT 127 (или аналог)</t>
        </is>
      </c>
      <c r="B112" s="13" t="inlineStr">
        <is>
          <t xml:space="preserve">Полимерная шпатлевка LR для внутренних работ. Рекомендуется </t>
        </is>
      </c>
      <c r="C112" s="9" t="inlineStr">
        <is>
          <t>Сухие смеси, штукатурки, шпаклёвки</t>
        </is>
      </c>
      <c r="D112" s="9" t="inlineStr">
        <is>
          <t>кг</t>
        </is>
      </c>
      <c r="E112" s="10" t="n">
        <v>1.2</v>
      </c>
      <c r="F112" s="4">
        <f>E112*IFERROR(INDEX(Работы!$D$4:$D$672,MATCH(SUBSTITUTE(SUBSTITUTE(SUBSTITUTE(A112,"~","~~"),"*","~*"),"?","~?"),Работы!$B$4:$B$672,0)),0)</f>
        <v/>
      </c>
      <c r="G112" s="10" t="n">
        <v>45</v>
      </c>
      <c r="H112" s="14" t="n">
        <v>1</v>
      </c>
      <c r="I112" s="11" t="n">
        <v>0.05</v>
      </c>
      <c r="J112" s="11" t="n">
        <v>0.12</v>
      </c>
      <c r="K112" s="10" t="n"/>
      <c r="L112" s="9" t="inlineStr">
        <is>
          <t>оценка</t>
        </is>
      </c>
      <c r="M112" s="9" t="inlineStr"/>
      <c r="N112" s="9" t="inlineStr">
        <is>
          <t>2026-10-29</t>
        </is>
      </c>
      <c r="O112" s="13" t="inlineStr">
        <is>
          <t>оценка шпаклёвки ~45 руб/кг В Петрович, Лемана ПРО и Сатурн открытой карточки нет, оставлен прежний источник.</t>
        </is>
      </c>
      <c r="P112" s="4">
        <f>IF(H112=1,G112/VAT_DIV,G112)</f>
        <v/>
      </c>
      <c r="Q112" s="4">
        <f>P112*(1+I112)*(1+DELIV)*(1+GROWTH+MONEY)</f>
        <v/>
      </c>
      <c r="R112" s="4">
        <f>IF(AND(K112&lt;&gt;"",Q112*(1+J112)&gt;K112/VAT_DIV),K112/VAT_DIV,Q112*(1+J112))</f>
        <v/>
      </c>
      <c r="S112" s="4">
        <f>Q112*F112</f>
        <v/>
      </c>
      <c r="T112" s="4">
        <f>R112*F112</f>
        <v/>
      </c>
      <c r="U112" s="3">
        <f>IF(AND(K112&lt;&gt;"",Q112*(1+J112)&gt;K112/VAT_DIV+0.01),"ДА","")</f>
        <v/>
      </c>
      <c r="V112" s="4">
        <f>P112*F112</f>
        <v/>
      </c>
    </row>
    <row r="113" ht="20" customHeight="1">
      <c r="A113" s="9" t="inlineStr">
        <is>
          <t>78. Полимерная шпатлевка KR для внутренних работ. Применяется для заделки трещин выбоин и др. дефектов поверхностей. CERESIT CT 127 (или аналог)</t>
        </is>
      </c>
      <c r="B113" s="13" t="inlineStr">
        <is>
          <t>Полимерная шпатлевка KR для внутренних работ. Применяется дл</t>
        </is>
      </c>
      <c r="C113" s="9" t="inlineStr">
        <is>
          <t>Сухие смеси, штукатурки, шпаклёвки</t>
        </is>
      </c>
      <c r="D113" s="9" t="inlineStr">
        <is>
          <t>кг</t>
        </is>
      </c>
      <c r="E113" s="10" t="n">
        <v>1.2</v>
      </c>
      <c r="F113" s="4">
        <f>E113*IFERROR(INDEX(Работы!$D$4:$D$672,MATCH(SUBSTITUTE(SUBSTITUTE(SUBSTITUTE(A113,"~","~~"),"*","~*"),"?","~?"),Работы!$B$4:$B$672,0)),0)</f>
        <v/>
      </c>
      <c r="G113" s="10" t="n">
        <v>45</v>
      </c>
      <c r="H113" s="14" t="n">
        <v>1</v>
      </c>
      <c r="I113" s="11" t="n">
        <v>0.05</v>
      </c>
      <c r="J113" s="11" t="n">
        <v>0.12</v>
      </c>
      <c r="K113" s="10" t="n"/>
      <c r="L113" s="9" t="inlineStr">
        <is>
          <t>оценка</t>
        </is>
      </c>
      <c r="M113" s="9" t="inlineStr"/>
      <c r="N113" s="9" t="inlineStr">
        <is>
          <t>2026-10-29</t>
        </is>
      </c>
      <c r="O113" s="13" t="inlineStr">
        <is>
          <t>оценка шпаклёвки ~45 руб/кг В Петрович, Лемана ПРО и Сатурн открытой карточки нет, оставлен прежний источник.</t>
        </is>
      </c>
      <c r="P113" s="4">
        <f>IF(H113=1,G113/VAT_DIV,G113)</f>
        <v/>
      </c>
      <c r="Q113" s="4">
        <f>P113*(1+I113)*(1+DELIV)*(1+GROWTH+MONEY)</f>
        <v/>
      </c>
      <c r="R113" s="4">
        <f>IF(AND(K113&lt;&gt;"",Q113*(1+J113)&gt;K113/VAT_DIV),K113/VAT_DIV,Q113*(1+J113))</f>
        <v/>
      </c>
      <c r="S113" s="4">
        <f>Q113*F113</f>
        <v/>
      </c>
      <c r="T113" s="4">
        <f>R113*F113</f>
        <v/>
      </c>
      <c r="U113" s="3">
        <f>IF(AND(K113&lt;&gt;"",Q113*(1+J113)&gt;K113/VAT_DIV+0.01),"ДА","")</f>
        <v/>
      </c>
      <c r="V113" s="4">
        <f>P113*F113</f>
        <v/>
      </c>
    </row>
    <row r="114" ht="20" customHeight="1">
      <c r="A114" s="9" t="inlineStr">
        <is>
          <t>79. Фасадная финишная шпаклевка, серая. Рекомендуется для выравнивания поверхностей фасадов зданий , заделки выбоин , трещин, раковин слоем до 6 мм . CERESIT CT 225 (или аналог)</t>
        </is>
      </c>
      <c r="B114" s="13" t="inlineStr">
        <is>
          <t xml:space="preserve">Фасадная финишная шпаклевка, серая. Рекомендуется для выравнивания поверхностей </t>
        </is>
      </c>
      <c r="C114" s="9" t="inlineStr">
        <is>
          <t>Сантехприборы</t>
        </is>
      </c>
      <c r="D114" s="9" t="inlineStr">
        <is>
          <t>шт</t>
        </is>
      </c>
      <c r="E114" s="10" t="n">
        <v>1</v>
      </c>
      <c r="F114" s="4">
        <f>E114*IFERROR(INDEX(Работы!$D$4:$D$672,MATCH(SUBSTITUTE(SUBSTITUTE(SUBSTITUTE(A114,"~","~~"),"*","~*"),"?","~?"),Работы!$B$4:$B$672,0)),0)</f>
        <v/>
      </c>
      <c r="G114" s="10" t="n">
        <v>2800</v>
      </c>
      <c r="H114" s="14" t="n">
        <v>1</v>
      </c>
      <c r="I114" s="11" t="n">
        <v>0</v>
      </c>
      <c r="J114" s="11" t="n">
        <v>0.12</v>
      </c>
      <c r="K114" s="10" t="n"/>
      <c r="L114" s="9" t="inlineStr">
        <is>
          <t>оценка</t>
        </is>
      </c>
      <c r="M114" s="9" t="inlineStr"/>
      <c r="N114" s="9" t="inlineStr">
        <is>
          <t>2026-10-29</t>
        </is>
      </c>
      <c r="O114" s="13" t="inlineStr">
        <is>
          <t>оценка керамики среднего сегмента В Петрович, Лемана ПРО и Сатурн открытой карточки нет, оставлен прежний источник.</t>
        </is>
      </c>
      <c r="P114" s="4">
        <f>IF(H114=1,G114/VAT_DIV,G114)</f>
        <v/>
      </c>
      <c r="Q114" s="4">
        <f>P114*(1+I114)*(1+DELIV)*(1+GROWTH+MONEY)</f>
        <v/>
      </c>
      <c r="R114" s="4">
        <f>IF(AND(K114&lt;&gt;"",Q114*(1+J114)&gt;K114/VAT_DIV),K114/VAT_DIV,Q114*(1+J114))</f>
        <v/>
      </c>
      <c r="S114" s="4">
        <f>Q114*F114</f>
        <v/>
      </c>
      <c r="T114" s="4">
        <f>R114*F114</f>
        <v/>
      </c>
      <c r="U114" s="3">
        <f>IF(AND(K114&lt;&gt;"",Q114*(1+J114)&gt;K114/VAT_DIV+0.01),"ДА","")</f>
        <v/>
      </c>
      <c r="V114" s="4">
        <f>P114*F114</f>
        <v/>
      </c>
    </row>
    <row r="115" ht="20" customHeight="1">
      <c r="A115" s="9" t="inlineStr">
        <is>
          <t xml:space="preserve">80. Финишная полимерная шпаклевка для внутренних работ.Рекомендуется для шпаклевания штукатурных и бетонных поверхностей стен и потолков перед оклейкой обоев или окраской. CERESIT </t>
        </is>
      </c>
      <c r="B115" s="13" t="inlineStr">
        <is>
          <t>Краска</t>
        </is>
      </c>
      <c r="C115" s="9" t="inlineStr">
        <is>
          <t>Краски, грунты, ЛКМ</t>
        </is>
      </c>
      <c r="D115" s="9" t="inlineStr">
        <is>
          <t>кг</t>
        </is>
      </c>
      <c r="E115" s="10" t="n">
        <v>0.35</v>
      </c>
      <c r="F115" s="4">
        <f>E115*IFERROR(INDEX(Работы!$D$4:$D$672,MATCH(SUBSTITUTE(SUBSTITUTE(SUBSTITUTE(A115,"~","~~"),"*","~*"),"?","~?"),Работы!$B$4:$B$672,0)),0)</f>
        <v/>
      </c>
      <c r="G115" s="10" t="n">
        <v>128.57</v>
      </c>
      <c r="H115" s="14" t="n">
        <v>1</v>
      </c>
      <c r="I115" s="11" t="n">
        <v>0.05</v>
      </c>
      <c r="J115" s="11" t="n">
        <v>0.12</v>
      </c>
      <c r="K115" s="10" t="n"/>
      <c r="L115" s="9" t="inlineStr">
        <is>
          <t>Петрович</t>
        </is>
      </c>
      <c r="M115" s="9" t="inlineStr">
        <is>
          <t>https://moscow.petrovich.ru/product/103990/</t>
        </is>
      </c>
      <c r="N115" s="9" t="inlineStr">
        <is>
          <t>2026-10-29</t>
        </is>
      </c>
      <c r="O115" s="13" t="inlineStr">
        <is>
          <t>Петрович Москва, Текс влагостойкая 1 800 руб/14 кг</t>
        </is>
      </c>
      <c r="P115" s="4">
        <f>IF(H115=1,G115/VAT_DIV,G115)</f>
        <v/>
      </c>
      <c r="Q115" s="4">
        <f>P115*(1+I115)*(1+DELIV)*(1+GROWTH+MONEY)</f>
        <v/>
      </c>
      <c r="R115" s="4">
        <f>IF(AND(K115&lt;&gt;"",Q115*(1+J115)&gt;K115/VAT_DIV),K115/VAT_DIV,Q115*(1+J115))</f>
        <v/>
      </c>
      <c r="S115" s="4">
        <f>Q115*F115</f>
        <v/>
      </c>
      <c r="T115" s="4">
        <f>R115*F115</f>
        <v/>
      </c>
      <c r="U115" s="3">
        <f>IF(AND(K115&lt;&gt;"",Q115*(1+J115)&gt;K115/VAT_DIV+0.01),"ДА","")</f>
        <v/>
      </c>
      <c r="V115" s="4">
        <f>P115*F115</f>
        <v/>
      </c>
    </row>
    <row r="116" ht="20" customHeight="1">
      <c r="A116" s="9" t="inlineStr">
        <is>
          <t>81. Грунтовка для обработки гладких оснований . Рекомендуется для обработки слабо впитывающих Оснований к нанесению различных отделочных материалов перед нанесением гипсовых и цеме</t>
        </is>
      </c>
      <c r="B116" s="13" t="inlineStr">
        <is>
          <t>Грунт</t>
        </is>
      </c>
      <c r="C116" s="9" t="inlineStr">
        <is>
          <t>Краски, грунты, ЛКМ</t>
        </is>
      </c>
      <c r="D116" s="9" t="inlineStr">
        <is>
          <t>л</t>
        </is>
      </c>
      <c r="E116" s="10" t="n">
        <v>0.2</v>
      </c>
      <c r="F116" s="4">
        <f>E116*IFERROR(INDEX(Работы!$D$4:$D$672,MATCH(SUBSTITUTE(SUBSTITUTE(SUBSTITUTE(A116,"~","~~"),"*","~*"),"?","~?"),Работы!$B$4:$B$672,0)),0)</f>
        <v/>
      </c>
      <c r="G116" s="10" t="n">
        <v>136.7</v>
      </c>
      <c r="H116" s="14" t="n">
        <v>1</v>
      </c>
      <c r="I116" s="11" t="n">
        <v>0.05</v>
      </c>
      <c r="J116" s="11" t="n">
        <v>0.12</v>
      </c>
      <c r="K116" s="10" t="n"/>
      <c r="L116" s="9" t="inlineStr">
        <is>
          <t>Лемана ПРО</t>
        </is>
      </c>
      <c r="M116" s="9" t="inlineStr">
        <is>
          <t>https://lemanapro.ru/product/grunt-ceresit-ct-17-transparent-glubokogo-proniknoveniya-10-l-89398668/</t>
        </is>
      </c>
      <c r="N116" s="9" t="inlineStr">
        <is>
          <t>2026-10-29</t>
        </is>
      </c>
      <c r="O116" s="13" t="inlineStr">
        <is>
          <t>Минимум из трёх: Лемана ПРО Ceresit CT 17, 10 л = 136,7 руб/л. Петрович CT 17 PRO 143,8, Сатурн 145,9.</t>
        </is>
      </c>
      <c r="P116" s="4">
        <f>IF(H116=1,G116/VAT_DIV,G116)</f>
        <v/>
      </c>
      <c r="Q116" s="4">
        <f>P116*(1+I116)*(1+DELIV)*(1+GROWTH+MONEY)</f>
        <v/>
      </c>
      <c r="R116" s="4">
        <f>IF(AND(K116&lt;&gt;"",Q116*(1+J116)&gt;K116/VAT_DIV),K116/VAT_DIV,Q116*(1+J116))</f>
        <v/>
      </c>
      <c r="S116" s="4">
        <f>Q116*F116</f>
        <v/>
      </c>
      <c r="T116" s="4">
        <f>R116*F116</f>
        <v/>
      </c>
      <c r="U116" s="3">
        <f>IF(AND(K116&lt;&gt;"",Q116*(1+J116)&gt;K116/VAT_DIV+0.01),"ДА","")</f>
        <v/>
      </c>
      <c r="V116" s="4">
        <f>P116*F116</f>
        <v/>
      </c>
    </row>
    <row r="117" ht="20" customHeight="1">
      <c r="A117" s="9" t="inlineStr">
        <is>
          <t>82. Универсальная самовыравнивающаяся смесь . Финишный ровнитель для тщательного выравнивания и последующей укладки декоративных напольных покрытий, нанесения тонкослойных наливных</t>
        </is>
      </c>
      <c r="B117" s="13" t="inlineStr">
        <is>
          <t>Универсальная самовыравнивающаяся смесь . Финишный ровнитель</t>
        </is>
      </c>
      <c r="C117" s="9" t="inlineStr">
        <is>
          <t>Сухие смеси, штукатурки, шпаклёвки</t>
        </is>
      </c>
      <c r="D117" s="9" t="inlineStr">
        <is>
          <t>кг</t>
        </is>
      </c>
      <c r="E117" s="10" t="n">
        <v>8</v>
      </c>
      <c r="F117" s="4">
        <f>E117*IFERROR(INDEX(Работы!$D$4:$D$672,MATCH(SUBSTITUTE(SUBSTITUTE(SUBSTITUTE(A117,"~","~~"),"*","~*"),"?","~?"),Работы!$B$4:$B$672,0)),0)</f>
        <v/>
      </c>
      <c r="G117" s="10" t="n">
        <v>20.2</v>
      </c>
      <c r="H117" s="14" t="n">
        <v>1</v>
      </c>
      <c r="I117" s="11" t="n">
        <v>0.05</v>
      </c>
      <c r="J117" s="11" t="n">
        <v>0.12</v>
      </c>
      <c r="K117" s="10" t="n"/>
      <c r="L117" s="9" t="inlineStr">
        <is>
          <t>Петрович</t>
        </is>
      </c>
      <c r="M117" s="9" t="inlineStr">
        <is>
          <t>https://moscow.petrovich.ru/product/998145/</t>
        </is>
      </c>
      <c r="N117" s="9" t="inlineStr">
        <is>
          <t>2026-10-29</t>
        </is>
      </c>
      <c r="O117" s="13" t="inlineStr">
        <is>
          <t>Петрович, Volma Nivelir Express 25 кг = 20,2 руб/кг. Лемана ПРО 19,76, Сатурн 19,04 — соседние SKU.</t>
        </is>
      </c>
      <c r="P117" s="4">
        <f>IF(H117=1,G117/VAT_DIV,G117)</f>
        <v/>
      </c>
      <c r="Q117" s="4">
        <f>P117*(1+I117)*(1+DELIV)*(1+GROWTH+MONEY)</f>
        <v/>
      </c>
      <c r="R117" s="4">
        <f>IF(AND(K117&lt;&gt;"",Q117*(1+J117)&gt;K117/VAT_DIV),K117/VAT_DIV,Q117*(1+J117))</f>
        <v/>
      </c>
      <c r="S117" s="4">
        <f>Q117*F117</f>
        <v/>
      </c>
      <c r="T117" s="4">
        <f>R117*F117</f>
        <v/>
      </c>
      <c r="U117" s="3">
        <f>IF(AND(K117&lt;&gt;"",Q117*(1+J117)&gt;K117/VAT_DIV+0.01),"ДА","")</f>
        <v/>
      </c>
      <c r="V117" s="4">
        <f>P117*F117</f>
        <v/>
      </c>
    </row>
    <row r="118" ht="20" customHeight="1">
      <c r="A118" s="9" t="inlineStr">
        <is>
          <t>83. Уголок пластиковый 25х25 мм</t>
        </is>
      </c>
      <c r="B118" s="13" t="inlineStr">
        <is>
          <t>Уголок пластиковый 25х25 мм</t>
        </is>
      </c>
      <c r="C118" s="9" t="inlineStr">
        <is>
          <t>Прочее</t>
        </is>
      </c>
      <c r="D118" s="9" t="inlineStr">
        <is>
          <t>м</t>
        </is>
      </c>
      <c r="E118" s="10" t="n">
        <v>1</v>
      </c>
      <c r="F118" s="4">
        <f>E118*IFERROR(INDEX(Работы!$D$4:$D$672,MATCH(SUBSTITUTE(SUBSTITUTE(SUBSTITUTE(A118,"~","~~"),"*","~*"),"?","~?"),Работы!$B$4:$B$672,0)),0)</f>
        <v/>
      </c>
      <c r="G118" s="10" t="n">
        <v>40</v>
      </c>
      <c r="H118" s="14" t="n">
        <v>1</v>
      </c>
      <c r="I118" s="11" t="n">
        <v>0.03</v>
      </c>
      <c r="J118" s="11" t="n">
        <v>0.15</v>
      </c>
      <c r="K118" s="10" t="n"/>
      <c r="L118" s="9" t="inlineStr">
        <is>
          <t>оценка</t>
        </is>
      </c>
      <c r="M118" s="9" t="inlineStr"/>
      <c r="N118" s="9" t="inlineStr">
        <is>
          <t>2026-10-29</t>
        </is>
      </c>
      <c r="O118" s="13" t="inlineStr">
        <is>
          <t>оценка ПВХ уголка В Петрович, Лемана ПРО и Сатурн открытой карточки нет, оставлен прежний источник.</t>
        </is>
      </c>
      <c r="P118" s="4">
        <f>IF(H118=1,G118/VAT_DIV,G118)</f>
        <v/>
      </c>
      <c r="Q118" s="4">
        <f>P118*(1+I118)*(1+DELIV)*(1+GROWTH+MONEY)</f>
        <v/>
      </c>
      <c r="R118" s="4">
        <f>IF(AND(K118&lt;&gt;"",Q118*(1+J118)&gt;K118/VAT_DIV),K118/VAT_DIV,Q118*(1+J118))</f>
        <v/>
      </c>
      <c r="S118" s="4">
        <f>Q118*F118</f>
        <v/>
      </c>
      <c r="T118" s="4">
        <f>R118*F118</f>
        <v/>
      </c>
      <c r="U118" s="3">
        <f>IF(AND(K118&lt;&gt;"",Q118*(1+J118)&gt;K118/VAT_DIV+0.01),"ДА","")</f>
        <v/>
      </c>
      <c r="V118" s="4">
        <f>P118*F118</f>
        <v/>
      </c>
    </row>
    <row r="119" ht="20" customHeight="1">
      <c r="A119" s="9" t="inlineStr">
        <is>
          <t>84. Уголок пластиковый 40х40 мм</t>
        </is>
      </c>
      <c r="B119" s="13" t="inlineStr">
        <is>
          <t>Уголок пластиковый 40х40 мм</t>
        </is>
      </c>
      <c r="C119" s="9" t="inlineStr">
        <is>
          <t>Прочее</t>
        </is>
      </c>
      <c r="D119" s="9" t="inlineStr">
        <is>
          <t>м</t>
        </is>
      </c>
      <c r="E119" s="10" t="n">
        <v>1</v>
      </c>
      <c r="F119" s="4">
        <f>E119*IFERROR(INDEX(Работы!$D$4:$D$672,MATCH(SUBSTITUTE(SUBSTITUTE(SUBSTITUTE(A119,"~","~~"),"*","~*"),"?","~?"),Работы!$B$4:$B$672,0)),0)</f>
        <v/>
      </c>
      <c r="G119" s="10" t="n">
        <v>40</v>
      </c>
      <c r="H119" s="14" t="n">
        <v>1</v>
      </c>
      <c r="I119" s="11" t="n">
        <v>0.03</v>
      </c>
      <c r="J119" s="11" t="n">
        <v>0.15</v>
      </c>
      <c r="K119" s="10" t="n"/>
      <c r="L119" s="9" t="inlineStr">
        <is>
          <t>оценка</t>
        </is>
      </c>
      <c r="M119" s="9" t="inlineStr"/>
      <c r="N119" s="9" t="inlineStr">
        <is>
          <t>2026-10-29</t>
        </is>
      </c>
      <c r="O119" s="13" t="inlineStr">
        <is>
          <t>оценка ПВХ уголка В Петрович, Лемана ПРО и Сатурн открытой карточки нет, оставлен прежний источник.</t>
        </is>
      </c>
      <c r="P119" s="4">
        <f>IF(H119=1,G119/VAT_DIV,G119)</f>
        <v/>
      </c>
      <c r="Q119" s="4">
        <f>P119*(1+I119)*(1+DELIV)*(1+GROWTH+MONEY)</f>
        <v/>
      </c>
      <c r="R119" s="4">
        <f>IF(AND(K119&lt;&gt;"",Q119*(1+J119)&gt;K119/VAT_DIV),K119/VAT_DIV,Q119*(1+J119))</f>
        <v/>
      </c>
      <c r="S119" s="4">
        <f>Q119*F119</f>
        <v/>
      </c>
      <c r="T119" s="4">
        <f>R119*F119</f>
        <v/>
      </c>
      <c r="U119" s="3">
        <f>IF(AND(K119&lt;&gt;"",Q119*(1+J119)&gt;K119/VAT_DIV+0.01),"ДА","")</f>
        <v/>
      </c>
      <c r="V119" s="4">
        <f>P119*F119</f>
        <v/>
      </c>
    </row>
    <row r="120" ht="20" customHeight="1">
      <c r="A120" s="9" t="inlineStr">
        <is>
          <t>85. Уголок пластиковый 60х60 мм</t>
        </is>
      </c>
      <c r="B120" s="13" t="inlineStr">
        <is>
          <t>Уголок пластиковый 60х60 мм</t>
        </is>
      </c>
      <c r="C120" s="9" t="inlineStr">
        <is>
          <t>Прочее</t>
        </is>
      </c>
      <c r="D120" s="9" t="inlineStr">
        <is>
          <t>м</t>
        </is>
      </c>
      <c r="E120" s="10" t="n">
        <v>1</v>
      </c>
      <c r="F120" s="4">
        <f>E120*IFERROR(INDEX(Работы!$D$4:$D$672,MATCH(SUBSTITUTE(SUBSTITUTE(SUBSTITUTE(A120,"~","~~"),"*","~*"),"?","~?"),Работы!$B$4:$B$672,0)),0)</f>
        <v/>
      </c>
      <c r="G120" s="10" t="n">
        <v>40</v>
      </c>
      <c r="H120" s="14" t="n">
        <v>1</v>
      </c>
      <c r="I120" s="11" t="n">
        <v>0.03</v>
      </c>
      <c r="J120" s="11" t="n">
        <v>0.15</v>
      </c>
      <c r="K120" s="10" t="n"/>
      <c r="L120" s="9" t="inlineStr">
        <is>
          <t>оценка</t>
        </is>
      </c>
      <c r="M120" s="9" t="inlineStr"/>
      <c r="N120" s="9" t="inlineStr">
        <is>
          <t>2026-10-29</t>
        </is>
      </c>
      <c r="O120" s="13" t="inlineStr">
        <is>
          <t>оценка ПВХ уголка В Петрович, Лемана ПРО и Сатурн открытой карточки нет, оставлен прежний источник.</t>
        </is>
      </c>
      <c r="P120" s="4">
        <f>IF(H120=1,G120/VAT_DIV,G120)</f>
        <v/>
      </c>
      <c r="Q120" s="4">
        <f>P120*(1+I120)*(1+DELIV)*(1+GROWTH+MONEY)</f>
        <v/>
      </c>
      <c r="R120" s="4">
        <f>IF(AND(K120&lt;&gt;"",Q120*(1+J120)&gt;K120/VAT_DIV),K120/VAT_DIV,Q120*(1+J120))</f>
        <v/>
      </c>
      <c r="S120" s="4">
        <f>Q120*F120</f>
        <v/>
      </c>
      <c r="T120" s="4">
        <f>R120*F120</f>
        <v/>
      </c>
      <c r="U120" s="3">
        <f>IF(AND(K120&lt;&gt;"",Q120*(1+J120)&gt;K120/VAT_DIV+0.01),"ДА","")</f>
        <v/>
      </c>
      <c r="V120" s="4">
        <f>P120*F120</f>
        <v/>
      </c>
    </row>
    <row r="121" ht="20" customHeight="1">
      <c r="A121" s="9" t="inlineStr">
        <is>
          <t>87. Стопор дверной типа Amig 103</t>
        </is>
      </c>
      <c r="B121" s="13" t="inlineStr">
        <is>
          <t>Стопор дверной типа Amig 103</t>
        </is>
      </c>
      <c r="C121" s="9" t="inlineStr">
        <is>
          <t>Прочее</t>
        </is>
      </c>
      <c r="D121" s="9" t="inlineStr">
        <is>
          <t>шт</t>
        </is>
      </c>
      <c r="E121" s="10" t="n">
        <v>1</v>
      </c>
      <c r="F121" s="4">
        <f>E121*IFERROR(INDEX(Работы!$D$4:$D$672,MATCH(SUBSTITUTE(SUBSTITUTE(SUBSTITUTE(A121,"~","~~"),"*","~*"),"?","~?"),Работы!$B$4:$B$672,0)),0)</f>
        <v/>
      </c>
      <c r="G121" s="10" t="n">
        <v>250</v>
      </c>
      <c r="H121" s="14" t="n">
        <v>1</v>
      </c>
      <c r="I121" s="11" t="n">
        <v>0.03</v>
      </c>
      <c r="J121" s="11" t="n">
        <v>0.15</v>
      </c>
      <c r="K121" s="10" t="n"/>
      <c r="L121" s="9" t="inlineStr">
        <is>
          <t>оценка</t>
        </is>
      </c>
      <c r="M121" s="9" t="inlineStr"/>
      <c r="N121" s="9" t="inlineStr">
        <is>
          <t>2026-10-29</t>
        </is>
      </c>
      <c r="O121" s="13" t="inlineStr">
        <is>
          <t>оценка фурнитуры В Петрович, Лемана ПРО и Сатурн открытой карточки нет, оставлен прежний источник.</t>
        </is>
      </c>
      <c r="P121" s="4">
        <f>IF(H121=1,G121/VAT_DIV,G121)</f>
        <v/>
      </c>
      <c r="Q121" s="4">
        <f>P121*(1+I121)*(1+DELIV)*(1+GROWTH+MONEY)</f>
        <v/>
      </c>
      <c r="R121" s="4">
        <f>IF(AND(K121&lt;&gt;"",Q121*(1+J121)&gt;K121/VAT_DIV),K121/VAT_DIV,Q121*(1+J121))</f>
        <v/>
      </c>
      <c r="S121" s="4">
        <f>Q121*F121</f>
        <v/>
      </c>
      <c r="T121" s="4">
        <f>R121*F121</f>
        <v/>
      </c>
      <c r="U121" s="3">
        <f>IF(AND(K121&lt;&gt;"",Q121*(1+J121)&gt;K121/VAT_DIV+0.01),"ДА","")</f>
        <v/>
      </c>
      <c r="V121" s="4">
        <f>P121*F121</f>
        <v/>
      </c>
    </row>
    <row r="122" ht="20" customHeight="1">
      <c r="A122" s="9" t="inlineStr">
        <is>
          <t>88. Шпингалет APEX 100 мм.</t>
        </is>
      </c>
      <c r="B122" s="13" t="inlineStr">
        <is>
          <t>Шпингалет APEX 100 мм.</t>
        </is>
      </c>
      <c r="C122" s="9" t="inlineStr">
        <is>
          <t>Прочее</t>
        </is>
      </c>
      <c r="D122" s="9" t="inlineStr">
        <is>
          <t>шт</t>
        </is>
      </c>
      <c r="E122" s="10" t="n">
        <v>1</v>
      </c>
      <c r="F122" s="4">
        <f>E122*IFERROR(INDEX(Работы!$D$4:$D$672,MATCH(SUBSTITUTE(SUBSTITUTE(SUBSTITUTE(A122,"~","~~"),"*","~*"),"?","~?"),Работы!$B$4:$B$672,0)),0)</f>
        <v/>
      </c>
      <c r="G122" s="10" t="n">
        <v>250</v>
      </c>
      <c r="H122" s="14" t="n">
        <v>1</v>
      </c>
      <c r="I122" s="11" t="n">
        <v>0.03</v>
      </c>
      <c r="J122" s="11" t="n">
        <v>0.15</v>
      </c>
      <c r="K122" s="10" t="n"/>
      <c r="L122" s="9" t="inlineStr">
        <is>
          <t>оценка</t>
        </is>
      </c>
      <c r="M122" s="9" t="inlineStr"/>
      <c r="N122" s="9" t="inlineStr">
        <is>
          <t>2026-10-29</t>
        </is>
      </c>
      <c r="O122" s="13" t="inlineStr">
        <is>
          <t>оценка фурнитуры В Петрович, Лемана ПРО и Сатурн открытой карточки нет, оставлен прежний источник.</t>
        </is>
      </c>
      <c r="P122" s="4">
        <f>IF(H122=1,G122/VAT_DIV,G122)</f>
        <v/>
      </c>
      <c r="Q122" s="4">
        <f>P122*(1+I122)*(1+DELIV)*(1+GROWTH+MONEY)</f>
        <v/>
      </c>
      <c r="R122" s="4">
        <f>IF(AND(K122&lt;&gt;"",Q122*(1+J122)&gt;K122/VAT_DIV),K122/VAT_DIV,Q122*(1+J122))</f>
        <v/>
      </c>
      <c r="S122" s="4">
        <f>Q122*F122</f>
        <v/>
      </c>
      <c r="T122" s="4">
        <f>R122*F122</f>
        <v/>
      </c>
      <c r="U122" s="3">
        <f>IF(AND(K122&lt;&gt;"",Q122*(1+J122)&gt;K122/VAT_DIV+0.01),"ДА","")</f>
        <v/>
      </c>
      <c r="V122" s="4">
        <f>P122*F122</f>
        <v/>
      </c>
    </row>
    <row r="123" ht="20" customHeight="1">
      <c r="A123" s="9" t="inlineStr">
        <is>
          <t>89. Наличники дверные пвх</t>
        </is>
      </c>
      <c r="B123" s="13" t="inlineStr">
        <is>
          <t>Наличники дверные пвх</t>
        </is>
      </c>
      <c r="C123" s="9" t="inlineStr">
        <is>
          <t>Прочее</t>
        </is>
      </c>
      <c r="D123" s="9" t="inlineStr">
        <is>
          <t>м</t>
        </is>
      </c>
      <c r="E123" s="10" t="n">
        <v>1</v>
      </c>
      <c r="F123" s="4">
        <f>E123*IFERROR(INDEX(Работы!$D$4:$D$672,MATCH(SUBSTITUTE(SUBSTITUTE(SUBSTITUTE(A123,"~","~~"),"*","~*"),"?","~?"),Работы!$B$4:$B$672,0)),0)</f>
        <v/>
      </c>
      <c r="G123" s="10" t="n">
        <v>180</v>
      </c>
      <c r="H123" s="14" t="n">
        <v>1</v>
      </c>
      <c r="I123" s="11" t="n">
        <v>0.03</v>
      </c>
      <c r="J123" s="11" t="n">
        <v>0.15</v>
      </c>
      <c r="K123" s="10" t="n"/>
      <c r="L123" s="9" t="inlineStr">
        <is>
          <t>оценка</t>
        </is>
      </c>
      <c r="M123" s="9" t="inlineStr"/>
      <c r="N123" s="9" t="inlineStr">
        <is>
          <t>2026-10-29</t>
        </is>
      </c>
      <c r="O123" s="13" t="inlineStr">
        <is>
          <t>оценка фурнитуры В Петрович, Лемана ПРО и Сатурн открытой карточки нет, оставлен прежний источник.</t>
        </is>
      </c>
      <c r="P123" s="4">
        <f>IF(H123=1,G123/VAT_DIV,G123)</f>
        <v/>
      </c>
      <c r="Q123" s="4">
        <f>P123*(1+I123)*(1+DELIV)*(1+GROWTH+MONEY)</f>
        <v/>
      </c>
      <c r="R123" s="4">
        <f>IF(AND(K123&lt;&gt;"",Q123*(1+J123)&gt;K123/VAT_DIV),K123/VAT_DIV,Q123*(1+J123))</f>
        <v/>
      </c>
      <c r="S123" s="4">
        <f>Q123*F123</f>
        <v/>
      </c>
      <c r="T123" s="4">
        <f>R123*F123</f>
        <v/>
      </c>
      <c r="U123" s="3">
        <f>IF(AND(K123&lt;&gt;"",Q123*(1+J123)&gt;K123/VAT_DIV+0.01),"ДА","")</f>
        <v/>
      </c>
      <c r="V123" s="4">
        <f>P123*F123</f>
        <v/>
      </c>
    </row>
    <row r="124" ht="20" customHeight="1">
      <c r="A124" s="9" t="inlineStr">
        <is>
          <t>90. Засов дверной (Москва-№6)</t>
        </is>
      </c>
      <c r="B124" s="13" t="inlineStr">
        <is>
          <t>Засов дверной (Москва-№6)</t>
        </is>
      </c>
      <c r="C124" s="9" t="inlineStr">
        <is>
          <t>Прочее</t>
        </is>
      </c>
      <c r="D124" s="9" t="inlineStr">
        <is>
          <t>шт</t>
        </is>
      </c>
      <c r="E124" s="10" t="n">
        <v>1</v>
      </c>
      <c r="F124" s="4">
        <f>E124*IFERROR(INDEX(Работы!$D$4:$D$672,MATCH(SUBSTITUTE(SUBSTITUTE(SUBSTITUTE(A124,"~","~~"),"*","~*"),"?","~?"),Работы!$B$4:$B$672,0)),0)</f>
        <v/>
      </c>
      <c r="G124" s="10" t="n">
        <v>250</v>
      </c>
      <c r="H124" s="14" t="n">
        <v>1</v>
      </c>
      <c r="I124" s="11" t="n">
        <v>0.03</v>
      </c>
      <c r="J124" s="11" t="n">
        <v>0.15</v>
      </c>
      <c r="K124" s="10" t="n"/>
      <c r="L124" s="9" t="inlineStr">
        <is>
          <t>оценка</t>
        </is>
      </c>
      <c r="M124" s="9" t="inlineStr"/>
      <c r="N124" s="9" t="inlineStr">
        <is>
          <t>2026-10-29</t>
        </is>
      </c>
      <c r="O124" s="13" t="inlineStr">
        <is>
          <t>оценка фурнитуры В Петрович, Лемана ПРО и Сатурн открытой карточки нет, оставлен прежний источник.</t>
        </is>
      </c>
      <c r="P124" s="4">
        <f>IF(H124=1,G124/VAT_DIV,G124)</f>
        <v/>
      </c>
      <c r="Q124" s="4">
        <f>P124*(1+I124)*(1+DELIV)*(1+GROWTH+MONEY)</f>
        <v/>
      </c>
      <c r="R124" s="4">
        <f>IF(AND(K124&lt;&gt;"",Q124*(1+J124)&gt;K124/VAT_DIV),K124/VAT_DIV,Q124*(1+J124))</f>
        <v/>
      </c>
      <c r="S124" s="4">
        <f>Q124*F124</f>
        <v/>
      </c>
      <c r="T124" s="4">
        <f>R124*F124</f>
        <v/>
      </c>
      <c r="U124" s="3">
        <f>IF(AND(K124&lt;&gt;"",Q124*(1+J124)&gt;K124/VAT_DIV+0.01),"ДА","")</f>
        <v/>
      </c>
      <c r="V124" s="4">
        <f>P124*F124</f>
        <v/>
      </c>
    </row>
    <row r="125" ht="20" customHeight="1">
      <c r="A125" s="9" t="inlineStr">
        <is>
          <t>91. Упор дверной напольный "Крит" УД-П60/50-Цн</t>
        </is>
      </c>
      <c r="B125" s="13" t="inlineStr">
        <is>
          <t>Упор дверной напольный "Крит" УД-П60/50-Цн</t>
        </is>
      </c>
      <c r="C125" s="9" t="inlineStr">
        <is>
          <t>Прочее</t>
        </is>
      </c>
      <c r="D125" s="9" t="inlineStr">
        <is>
          <t>шт</t>
        </is>
      </c>
      <c r="E125" s="10" t="n">
        <v>1</v>
      </c>
      <c r="F125" s="4">
        <f>E125*IFERROR(INDEX(Работы!$D$4:$D$672,MATCH(SUBSTITUTE(SUBSTITUTE(SUBSTITUTE(A125,"~","~~"),"*","~*"),"?","~?"),Работы!$B$4:$B$672,0)),0)</f>
        <v/>
      </c>
      <c r="G125" s="10" t="n">
        <v>250</v>
      </c>
      <c r="H125" s="14" t="n">
        <v>1</v>
      </c>
      <c r="I125" s="11" t="n">
        <v>0.03</v>
      </c>
      <c r="J125" s="11" t="n">
        <v>0.15</v>
      </c>
      <c r="K125" s="10" t="n"/>
      <c r="L125" s="9" t="inlineStr">
        <is>
          <t>оценка</t>
        </is>
      </c>
      <c r="M125" s="9" t="inlineStr"/>
      <c r="N125" s="9" t="inlineStr">
        <is>
          <t>2026-10-29</t>
        </is>
      </c>
      <c r="O125" s="13" t="inlineStr">
        <is>
          <t>оценка фурнитуры В Петрович, Лемана ПРО и Сатурн открытой карточки нет, оставлен прежний источник.</t>
        </is>
      </c>
      <c r="P125" s="4">
        <f>IF(H125=1,G125/VAT_DIV,G125)</f>
        <v/>
      </c>
      <c r="Q125" s="4">
        <f>P125*(1+I125)*(1+DELIV)*(1+GROWTH+MONEY)</f>
        <v/>
      </c>
      <c r="R125" s="4">
        <f>IF(AND(K125&lt;&gt;"",Q125*(1+J125)&gt;K125/VAT_DIV),K125/VAT_DIV,Q125*(1+J125))</f>
        <v/>
      </c>
      <c r="S125" s="4">
        <f>Q125*F125</f>
        <v/>
      </c>
      <c r="T125" s="4">
        <f>R125*F125</f>
        <v/>
      </c>
      <c r="U125" s="3">
        <f>IF(AND(K125&lt;&gt;"",Q125*(1+J125)&gt;K125/VAT_DIV+0.01),"ДА","")</f>
        <v/>
      </c>
      <c r="V125" s="4">
        <f>P125*F125</f>
        <v/>
      </c>
    </row>
    <row r="126" ht="20" customHeight="1">
      <c r="A126" s="9" t="inlineStr">
        <is>
          <t>92. Фиксатор (стопор) открытого положения двери типа Palladium "КН" (любой цвет по RAL)</t>
        </is>
      </c>
      <c r="B126" s="13" t="inlineStr">
        <is>
          <t>Фиксатор (стопор) открытого положения двери типа Palladium "КН" (любой</t>
        </is>
      </c>
      <c r="C126" s="9" t="inlineStr">
        <is>
          <t>Прочее</t>
        </is>
      </c>
      <c r="D126" s="9" t="inlineStr">
        <is>
          <t>шт</t>
        </is>
      </c>
      <c r="E126" s="10" t="n">
        <v>1</v>
      </c>
      <c r="F126" s="4">
        <f>E126*IFERROR(INDEX(Работы!$D$4:$D$672,MATCH(SUBSTITUTE(SUBSTITUTE(SUBSTITUTE(A126,"~","~~"),"*","~*"),"?","~?"),Работы!$B$4:$B$672,0)),0)</f>
        <v/>
      </c>
      <c r="G126" s="10" t="n">
        <v>250</v>
      </c>
      <c r="H126" s="14" t="n">
        <v>1</v>
      </c>
      <c r="I126" s="11" t="n">
        <v>0.03</v>
      </c>
      <c r="J126" s="11" t="n">
        <v>0.15</v>
      </c>
      <c r="K126" s="10" t="n"/>
      <c r="L126" s="9" t="inlineStr">
        <is>
          <t>оценка</t>
        </is>
      </c>
      <c r="M126" s="9" t="inlineStr"/>
      <c r="N126" s="9" t="inlineStr">
        <is>
          <t>2026-10-29</t>
        </is>
      </c>
      <c r="O126" s="13" t="inlineStr">
        <is>
          <t>оценка фурнитуры В Петрович, Лемана ПРО и Сатурн открытой карточки нет, оставлен прежний источник.</t>
        </is>
      </c>
      <c r="P126" s="4">
        <f>IF(H126=1,G126/VAT_DIV,G126)</f>
        <v/>
      </c>
      <c r="Q126" s="4">
        <f>P126*(1+I126)*(1+DELIV)*(1+GROWTH+MONEY)</f>
        <v/>
      </c>
      <c r="R126" s="4">
        <f>IF(AND(K126&lt;&gt;"",Q126*(1+J126)&gt;K126/VAT_DIV),K126/VAT_DIV,Q126*(1+J126))</f>
        <v/>
      </c>
      <c r="S126" s="4">
        <f>Q126*F126</f>
        <v/>
      </c>
      <c r="T126" s="4">
        <f>R126*F126</f>
        <v/>
      </c>
      <c r="U126" s="3">
        <f>IF(AND(K126&lt;&gt;"",Q126*(1+J126)&gt;K126/VAT_DIV+0.01),"ДА","")</f>
        <v/>
      </c>
      <c r="V126" s="4">
        <f>P126*F126</f>
        <v/>
      </c>
    </row>
    <row r="127" ht="20" customHeight="1">
      <c r="A127" s="9" t="inlineStr">
        <is>
          <t>93. Концевой выключатель кнопочного типа "Elfin limit switch 050f02"</t>
        </is>
      </c>
      <c r="B127" s="13" t="inlineStr">
        <is>
          <t>Концевой выключатель кнопочного типа "Elfin limit switch 050f02"</t>
        </is>
      </c>
      <c r="C127" s="9" t="inlineStr">
        <is>
          <t>Электроустановочные изделия, щиты, автоматы</t>
        </is>
      </c>
      <c r="D127" s="9" t="inlineStr">
        <is>
          <t>шт</t>
        </is>
      </c>
      <c r="E127" s="10" t="n">
        <v>1</v>
      </c>
      <c r="F127" s="4">
        <f>E127*IFERROR(INDEX(Работы!$D$4:$D$672,MATCH(SUBSTITUTE(SUBSTITUTE(SUBSTITUTE(A127,"~","~~"),"*","~*"),"?","~?"),Работы!$B$4:$B$672,0)),0)</f>
        <v/>
      </c>
      <c r="G127" s="10" t="n">
        <v>160</v>
      </c>
      <c r="H127" s="14" t="n">
        <v>1</v>
      </c>
      <c r="I127" s="11" t="n">
        <v>0.01</v>
      </c>
      <c r="J127" s="11" t="n">
        <v>0.12</v>
      </c>
      <c r="K127" s="10" t="n"/>
      <c r="L127" s="9" t="inlineStr">
        <is>
          <t>оценка</t>
        </is>
      </c>
      <c r="M127" s="9" t="inlineStr"/>
      <c r="N127" s="9" t="inlineStr">
        <is>
          <t>2026-10-29</t>
        </is>
      </c>
      <c r="O127" s="13" t="inlineStr">
        <is>
          <t>оценка В Петрович, Лемана ПРО и Сатурн открытой карточки нет, оставлен прежний источник.</t>
        </is>
      </c>
      <c r="P127" s="4">
        <f>IF(H127=1,G127/VAT_DIV,G127)</f>
        <v/>
      </c>
      <c r="Q127" s="4">
        <f>P127*(1+I127)*(1+DELIV)*(1+GROWTH+MONEY)</f>
        <v/>
      </c>
      <c r="R127" s="4">
        <f>IF(AND(K127&lt;&gt;"",Q127*(1+J127)&gt;K127/VAT_DIV),K127/VAT_DIV,Q127*(1+J127))</f>
        <v/>
      </c>
      <c r="S127" s="4">
        <f>Q127*F127</f>
        <v/>
      </c>
      <c r="T127" s="4">
        <f>R127*F127</f>
        <v/>
      </c>
      <c r="U127" s="3">
        <f>IF(AND(K127&lt;&gt;"",Q127*(1+J127)&gt;K127/VAT_DIV+0.01),"ДА","")</f>
        <v/>
      </c>
      <c r="V127" s="4">
        <f>P127*F127</f>
        <v/>
      </c>
    </row>
    <row r="128" ht="20" customHeight="1">
      <c r="A128" s="9" t="inlineStr">
        <is>
          <t>94. Петля СТН (белая) "Сатурн"</t>
        </is>
      </c>
      <c r="B128" s="13" t="inlineStr">
        <is>
          <t>Петля СТН (белая) "Сатурн"</t>
        </is>
      </c>
      <c r="C128" s="9" t="inlineStr">
        <is>
          <t>Изделия под заказ (ворота, двери, окна, перегородки)</t>
        </is>
      </c>
      <c r="D128" s="9" t="inlineStr">
        <is>
          <t>шт</t>
        </is>
      </c>
      <c r="E128" s="10" t="n">
        <v>1</v>
      </c>
      <c r="F128" s="4">
        <f>E128*IFERROR(INDEX(Работы!$D$4:$D$672,MATCH(SUBSTITUTE(SUBSTITUTE(SUBSTITUTE(A128,"~","~~"),"*","~*"),"?","~?"),Работы!$B$4:$B$672,0)),0)</f>
        <v/>
      </c>
      <c r="G128" s="10" t="n">
        <v>180</v>
      </c>
      <c r="H128" s="14" t="n">
        <v>1</v>
      </c>
      <c r="I128" s="11" t="n">
        <v>0</v>
      </c>
      <c r="J128" s="11" t="n">
        <v>0.12</v>
      </c>
      <c r="K128" s="10" t="n"/>
      <c r="L128" s="9" t="inlineStr">
        <is>
          <t>оценка</t>
        </is>
      </c>
      <c r="M128" s="9" t="inlineStr"/>
      <c r="N128" s="9" t="inlineStr">
        <is>
          <t>2026-10-29</t>
        </is>
      </c>
      <c r="O128" s="13" t="inlineStr">
        <is>
          <t>оценка петли В Петрович, Лемана ПРО и Сатурн открытой карточки нет, оставлен прежний источник.</t>
        </is>
      </c>
      <c r="P128" s="4">
        <f>IF(H128=1,G128/VAT_DIV,G128)</f>
        <v/>
      </c>
      <c r="Q128" s="4">
        <f>P128*(1+I128)*(1+DELIV)*(1+GROWTH+MONEY)</f>
        <v/>
      </c>
      <c r="R128" s="4">
        <f>IF(AND(K128&lt;&gt;"",Q128*(1+J128)&gt;K128/VAT_DIV),K128/VAT_DIV,Q128*(1+J128))</f>
        <v/>
      </c>
      <c r="S128" s="4">
        <f>Q128*F128</f>
        <v/>
      </c>
      <c r="T128" s="4">
        <f>R128*F128</f>
        <v/>
      </c>
      <c r="U128" s="3">
        <f>IF(AND(K128&lt;&gt;"",Q128*(1+J128)&gt;K128/VAT_DIV+0.01),"ДА","")</f>
        <v/>
      </c>
      <c r="V128" s="4">
        <f>P128*F128</f>
        <v/>
      </c>
    </row>
    <row r="129" ht="20" customHeight="1">
      <c r="A129" s="9" t="inlineStr">
        <is>
          <t>95. Петля дверная трёхсекционная с крепежом</t>
        </is>
      </c>
      <c r="B129" s="13" t="inlineStr">
        <is>
          <t>Петля дверная трёхсекционная с крепежом</t>
        </is>
      </c>
      <c r="C129" s="9" t="inlineStr">
        <is>
          <t>Изделия под заказ (ворота, двери, окна, перегородки)</t>
        </is>
      </c>
      <c r="D129" s="9" t="inlineStr">
        <is>
          <t>шт</t>
        </is>
      </c>
      <c r="E129" s="10" t="n">
        <v>1</v>
      </c>
      <c r="F129" s="4">
        <f>E129*IFERROR(INDEX(Работы!$D$4:$D$672,MATCH(SUBSTITUTE(SUBSTITUTE(SUBSTITUTE(A129,"~","~~"),"*","~*"),"?","~?"),Работы!$B$4:$B$672,0)),0)</f>
        <v/>
      </c>
      <c r="G129" s="10" t="n">
        <v>180</v>
      </c>
      <c r="H129" s="14" t="n">
        <v>1</v>
      </c>
      <c r="I129" s="11" t="n">
        <v>0</v>
      </c>
      <c r="J129" s="11" t="n">
        <v>0.12</v>
      </c>
      <c r="K129" s="10" t="n"/>
      <c r="L129" s="9" t="inlineStr">
        <is>
          <t>оценка</t>
        </is>
      </c>
      <c r="M129" s="9" t="inlineStr"/>
      <c r="N129" s="9" t="inlineStr">
        <is>
          <t>2026-10-29</t>
        </is>
      </c>
      <c r="O129" s="13" t="inlineStr">
        <is>
          <t>оценка петли В Петрович, Лемана ПРО и Сатурн открытой карточки нет, оставлен прежний источник.</t>
        </is>
      </c>
      <c r="P129" s="4">
        <f>IF(H129=1,G129/VAT_DIV,G129)</f>
        <v/>
      </c>
      <c r="Q129" s="4">
        <f>P129*(1+I129)*(1+DELIV)*(1+GROWTH+MONEY)</f>
        <v/>
      </c>
      <c r="R129" s="4">
        <f>IF(AND(K129&lt;&gt;"",Q129*(1+J129)&gt;K129/VAT_DIV),K129/VAT_DIV,Q129*(1+J129))</f>
        <v/>
      </c>
      <c r="S129" s="4">
        <f>Q129*F129</f>
        <v/>
      </c>
      <c r="T129" s="4">
        <f>R129*F129</f>
        <v/>
      </c>
      <c r="U129" s="3">
        <f>IF(AND(K129&lt;&gt;"",Q129*(1+J129)&gt;K129/VAT_DIV+0.01),"ДА","")</f>
        <v/>
      </c>
      <c r="V129" s="4">
        <f>P129*F129</f>
        <v/>
      </c>
    </row>
    <row r="130" ht="20" customHeight="1">
      <c r="A130" s="9" t="inlineStr">
        <is>
          <t>96. Петля типа FT 65</t>
        </is>
      </c>
      <c r="B130" s="13" t="inlineStr">
        <is>
          <t>Петля типа FT 65</t>
        </is>
      </c>
      <c r="C130" s="9" t="inlineStr">
        <is>
          <t>Изделия под заказ (ворота, двери, окна, перегородки)</t>
        </is>
      </c>
      <c r="D130" s="9" t="inlineStr">
        <is>
          <t>шт</t>
        </is>
      </c>
      <c r="E130" s="10" t="n">
        <v>1</v>
      </c>
      <c r="F130" s="4">
        <f>E130*IFERROR(INDEX(Работы!$D$4:$D$672,MATCH(SUBSTITUTE(SUBSTITUTE(SUBSTITUTE(A130,"~","~~"),"*","~*"),"?","~?"),Работы!$B$4:$B$672,0)),0)</f>
        <v/>
      </c>
      <c r="G130" s="10" t="n">
        <v>180</v>
      </c>
      <c r="H130" s="14" t="n">
        <v>1</v>
      </c>
      <c r="I130" s="11" t="n">
        <v>0</v>
      </c>
      <c r="J130" s="11" t="n">
        <v>0.12</v>
      </c>
      <c r="K130" s="10" t="n"/>
      <c r="L130" s="9" t="inlineStr">
        <is>
          <t>оценка</t>
        </is>
      </c>
      <c r="M130" s="9" t="inlineStr"/>
      <c r="N130" s="9" t="inlineStr">
        <is>
          <t>2026-10-29</t>
        </is>
      </c>
      <c r="O130" s="13" t="inlineStr">
        <is>
          <t>оценка петли В Петрович, Лемана ПРО и Сатурн открытой карточки нет, оставлен прежний источник.</t>
        </is>
      </c>
      <c r="P130" s="4">
        <f>IF(H130=1,G130/VAT_DIV,G130)</f>
        <v/>
      </c>
      <c r="Q130" s="4">
        <f>P130*(1+I130)*(1+DELIV)*(1+GROWTH+MONEY)</f>
        <v/>
      </c>
      <c r="R130" s="4">
        <f>IF(AND(K130&lt;&gt;"",Q130*(1+J130)&gt;K130/VAT_DIV),K130/VAT_DIV,Q130*(1+J130))</f>
        <v/>
      </c>
      <c r="S130" s="4">
        <f>Q130*F130</f>
        <v/>
      </c>
      <c r="T130" s="4">
        <f>R130*F130</f>
        <v/>
      </c>
      <c r="U130" s="3">
        <f>IF(AND(K130&lt;&gt;"",Q130*(1+J130)&gt;K130/VAT_DIV+0.01),"ДА","")</f>
        <v/>
      </c>
      <c r="V130" s="4">
        <f>P130*F130</f>
        <v/>
      </c>
    </row>
    <row r="131" ht="20" customHeight="1">
      <c r="A131" s="9" t="inlineStr">
        <is>
          <t>97. Петля карточная типа Amig-1007-100*70 (латунь) универс.</t>
        </is>
      </c>
      <c r="B131" s="13" t="inlineStr">
        <is>
          <t>Петля карточная типа Amig-1007-100*70 (латунь) универс.</t>
        </is>
      </c>
      <c r="C131" s="9" t="inlineStr">
        <is>
          <t>Изделия под заказ (ворота, двери, окна, перегородки)</t>
        </is>
      </c>
      <c r="D131" s="9" t="inlineStr">
        <is>
          <t>шт</t>
        </is>
      </c>
      <c r="E131" s="10" t="n">
        <v>1</v>
      </c>
      <c r="F131" s="4">
        <f>E131*IFERROR(INDEX(Работы!$D$4:$D$672,MATCH(SUBSTITUTE(SUBSTITUTE(SUBSTITUTE(A131,"~","~~"),"*","~*"),"?","~?"),Работы!$B$4:$B$672,0)),0)</f>
        <v/>
      </c>
      <c r="G131" s="10" t="n">
        <v>180</v>
      </c>
      <c r="H131" s="14" t="n">
        <v>1</v>
      </c>
      <c r="I131" s="11" t="n">
        <v>0</v>
      </c>
      <c r="J131" s="11" t="n">
        <v>0.12</v>
      </c>
      <c r="K131" s="10" t="n"/>
      <c r="L131" s="9" t="inlineStr">
        <is>
          <t>оценка</t>
        </is>
      </c>
      <c r="M131" s="9" t="inlineStr"/>
      <c r="N131" s="9" t="inlineStr">
        <is>
          <t>2026-10-29</t>
        </is>
      </c>
      <c r="O131" s="13" t="inlineStr">
        <is>
          <t>оценка петли В Петрович, Лемана ПРО и Сатурн открытой карточки нет, оставлен прежний источник.</t>
        </is>
      </c>
      <c r="P131" s="4">
        <f>IF(H131=1,G131/VAT_DIV,G131)</f>
        <v/>
      </c>
      <c r="Q131" s="4">
        <f>P131*(1+I131)*(1+DELIV)*(1+GROWTH+MONEY)</f>
        <v/>
      </c>
      <c r="R131" s="4">
        <f>IF(AND(K131&lt;&gt;"",Q131*(1+J131)&gt;K131/VAT_DIV),K131/VAT_DIV,Q131*(1+J131))</f>
        <v/>
      </c>
      <c r="S131" s="4">
        <f>Q131*F131</f>
        <v/>
      </c>
      <c r="T131" s="4">
        <f>R131*F131</f>
        <v/>
      </c>
      <c r="U131" s="3">
        <f>IF(AND(K131&lt;&gt;"",Q131*(1+J131)&gt;K131/VAT_DIV+0.01),"ДА","")</f>
        <v/>
      </c>
      <c r="V131" s="4">
        <f>P131*F131</f>
        <v/>
      </c>
    </row>
    <row r="132" ht="20" customHeight="1">
      <c r="A132" s="9" t="inlineStr">
        <is>
          <t>98. Петля карточная типа Apecs 120*80-F-B4-Steel-CR(хром)</t>
        </is>
      </c>
      <c r="B132" s="13" t="inlineStr">
        <is>
          <t>Петля карточная типа Apecs 120*80-F-B4-Steel-CR(хром)</t>
        </is>
      </c>
      <c r="C132" s="9" t="inlineStr">
        <is>
          <t>Изделия под заказ (ворота, двери, окна, перегородки)</t>
        </is>
      </c>
      <c r="D132" s="9" t="inlineStr">
        <is>
          <t>шт</t>
        </is>
      </c>
      <c r="E132" s="10" t="n">
        <v>1</v>
      </c>
      <c r="F132" s="4">
        <f>E132*IFERROR(INDEX(Работы!$D$4:$D$672,MATCH(SUBSTITUTE(SUBSTITUTE(SUBSTITUTE(A132,"~","~~"),"*","~*"),"?","~?"),Работы!$B$4:$B$672,0)),0)</f>
        <v/>
      </c>
      <c r="G132" s="10" t="n">
        <v>180</v>
      </c>
      <c r="H132" s="14" t="n">
        <v>1</v>
      </c>
      <c r="I132" s="11" t="n">
        <v>0</v>
      </c>
      <c r="J132" s="11" t="n">
        <v>0.12</v>
      </c>
      <c r="K132" s="10" t="n"/>
      <c r="L132" s="9" t="inlineStr">
        <is>
          <t>оценка</t>
        </is>
      </c>
      <c r="M132" s="9" t="inlineStr"/>
      <c r="N132" s="9" t="inlineStr">
        <is>
          <t>2026-10-29</t>
        </is>
      </c>
      <c r="O132" s="13" t="inlineStr">
        <is>
          <t>оценка петли В Петрович, Лемана ПРО и Сатурн открытой карточки нет, оставлен прежний источник.</t>
        </is>
      </c>
      <c r="P132" s="4">
        <f>IF(H132=1,G132/VAT_DIV,G132)</f>
        <v/>
      </c>
      <c r="Q132" s="4">
        <f>P132*(1+I132)*(1+DELIV)*(1+GROWTH+MONEY)</f>
        <v/>
      </c>
      <c r="R132" s="4">
        <f>IF(AND(K132&lt;&gt;"",Q132*(1+J132)&gt;K132/VAT_DIV),K132/VAT_DIV,Q132*(1+J132))</f>
        <v/>
      </c>
      <c r="S132" s="4">
        <f>Q132*F132</f>
        <v/>
      </c>
      <c r="T132" s="4">
        <f>R132*F132</f>
        <v/>
      </c>
      <c r="U132" s="3">
        <f>IF(AND(K132&lt;&gt;"",Q132*(1+J132)&gt;K132/VAT_DIV+0.01),"ДА","")</f>
        <v/>
      </c>
      <c r="V132" s="4">
        <f>P132*F132</f>
        <v/>
      </c>
    </row>
    <row r="133" ht="20" customHeight="1">
      <c r="A133" s="9" t="inlineStr">
        <is>
          <t>99. Петля под навесной замок</t>
        </is>
      </c>
      <c r="B133" s="13" t="inlineStr">
        <is>
          <t>Петля под навесной замок</t>
        </is>
      </c>
      <c r="C133" s="9" t="inlineStr">
        <is>
          <t>Изделия под заказ (ворота, двери, окна, перегородки)</t>
        </is>
      </c>
      <c r="D133" s="9" t="inlineStr">
        <is>
          <t>шт</t>
        </is>
      </c>
      <c r="E133" s="10" t="n">
        <v>1</v>
      </c>
      <c r="F133" s="4">
        <f>E133*IFERROR(INDEX(Работы!$D$4:$D$672,MATCH(SUBSTITUTE(SUBSTITUTE(SUBSTITUTE(A133,"~","~~"),"*","~*"),"?","~?"),Работы!$B$4:$B$672,0)),0)</f>
        <v/>
      </c>
      <c r="G133" s="10" t="n">
        <v>180</v>
      </c>
      <c r="H133" s="14" t="n">
        <v>1</v>
      </c>
      <c r="I133" s="11" t="n">
        <v>0</v>
      </c>
      <c r="J133" s="11" t="n">
        <v>0.12</v>
      </c>
      <c r="K133" s="10" t="n"/>
      <c r="L133" s="9" t="inlineStr">
        <is>
          <t>оценка</t>
        </is>
      </c>
      <c r="M133" s="9" t="inlineStr"/>
      <c r="N133" s="9" t="inlineStr">
        <is>
          <t>2026-10-29</t>
        </is>
      </c>
      <c r="O133" s="13" t="inlineStr">
        <is>
          <t>оценка петли В Петрович, Лемана ПРО и Сатурн открытой карточки нет, оставлен прежний источник.</t>
        </is>
      </c>
      <c r="P133" s="4">
        <f>IF(H133=1,G133/VAT_DIV,G133)</f>
        <v/>
      </c>
      <c r="Q133" s="4">
        <f>P133*(1+I133)*(1+DELIV)*(1+GROWTH+MONEY)</f>
        <v/>
      </c>
      <c r="R133" s="4">
        <f>IF(AND(K133&lt;&gt;"",Q133*(1+J133)&gt;K133/VAT_DIV),K133/VAT_DIV,Q133*(1+J133))</f>
        <v/>
      </c>
      <c r="S133" s="4">
        <f>Q133*F133</f>
        <v/>
      </c>
      <c r="T133" s="4">
        <f>R133*F133</f>
        <v/>
      </c>
      <c r="U133" s="3">
        <f>IF(AND(K133&lt;&gt;"",Q133*(1+J133)&gt;K133/VAT_DIV+0.01),"ДА","")</f>
        <v/>
      </c>
      <c r="V133" s="4">
        <f>P133*F133</f>
        <v/>
      </c>
    </row>
    <row r="134" ht="20" customHeight="1">
      <c r="A134" s="9" t="inlineStr">
        <is>
          <t>100. Металлическая петля под металоконструкцию d16</t>
        </is>
      </c>
      <c r="B134" s="13" t="inlineStr">
        <is>
          <t>Металлическая петля под металоконструкцию d16</t>
        </is>
      </c>
      <c r="C134" s="9" t="inlineStr">
        <is>
          <t>Изделия под заказ (ворота, двери, окна, перегородки)</t>
        </is>
      </c>
      <c r="D134" s="9" t="inlineStr">
        <is>
          <t>шт</t>
        </is>
      </c>
      <c r="E134" s="10" t="n">
        <v>1</v>
      </c>
      <c r="F134" s="4">
        <f>E134*IFERROR(INDEX(Работы!$D$4:$D$672,MATCH(SUBSTITUTE(SUBSTITUTE(SUBSTITUTE(A134,"~","~~"),"*","~*"),"?","~?"),Работы!$B$4:$B$672,0)),0)</f>
        <v/>
      </c>
      <c r="G134" s="10" t="n">
        <v>350</v>
      </c>
      <c r="H134" s="14" t="n">
        <v>1</v>
      </c>
      <c r="I134" s="11" t="n">
        <v>0</v>
      </c>
      <c r="J134" s="11" t="n">
        <v>0.12</v>
      </c>
      <c r="K134" s="10" t="n"/>
      <c r="L134" s="9" t="inlineStr">
        <is>
          <t>оценка</t>
        </is>
      </c>
      <c r="M134" s="9" t="inlineStr"/>
      <c r="N134" s="9" t="inlineStr">
        <is>
          <t>2026-10-29</t>
        </is>
      </c>
      <c r="O134" s="13" t="inlineStr">
        <is>
          <t>оценка петли В Петрович, Лемана ПРО и Сатурн открытой карточки нет, оставлен прежний источник.</t>
        </is>
      </c>
      <c r="P134" s="4">
        <f>IF(H134=1,G134/VAT_DIV,G134)</f>
        <v/>
      </c>
      <c r="Q134" s="4">
        <f>P134*(1+I134)*(1+DELIV)*(1+GROWTH+MONEY)</f>
        <v/>
      </c>
      <c r="R134" s="4">
        <f>IF(AND(K134&lt;&gt;"",Q134*(1+J134)&gt;K134/VAT_DIV),K134/VAT_DIV,Q134*(1+J134))</f>
        <v/>
      </c>
      <c r="S134" s="4">
        <f>Q134*F134</f>
        <v/>
      </c>
      <c r="T134" s="4">
        <f>R134*F134</f>
        <v/>
      </c>
      <c r="U134" s="3">
        <f>IF(AND(K134&lt;&gt;"",Q134*(1+J134)&gt;K134/VAT_DIV+0.01),"ДА","")</f>
        <v/>
      </c>
      <c r="V134" s="4">
        <f>P134*F134</f>
        <v/>
      </c>
    </row>
    <row r="135" ht="20" customHeight="1">
      <c r="A135" s="9" t="inlineStr">
        <is>
          <t>101. Дверь глухая пластиковая "Капелли", 900х2000, белая, комплект наличников и доборов на две стороны</t>
        </is>
      </c>
      <c r="B135" s="13" t="inlineStr">
        <is>
          <t>Дверь глухая пластиковая "Капелли", 900х2000, белая, комплект наличников и добор</t>
        </is>
      </c>
      <c r="C135" s="9" t="inlineStr">
        <is>
          <t>Изделия под заказ (ворота, двери, окна, перегородки)</t>
        </is>
      </c>
      <c r="D135" s="9" t="inlineStr">
        <is>
          <t>шт</t>
        </is>
      </c>
      <c r="E135" s="10" t="n">
        <v>1</v>
      </c>
      <c r="F135" s="4">
        <f>E135*IFERROR(INDEX(Работы!$D$4:$D$672,MATCH(SUBSTITUTE(SUBSTITUTE(SUBSTITUTE(A135,"~","~~"),"*","~*"),"?","~?"),Работы!$B$4:$B$672,0)),0)</f>
        <v/>
      </c>
      <c r="G135" s="10" t="n">
        <v>15624</v>
      </c>
      <c r="H135" s="14" t="n">
        <v>1</v>
      </c>
      <c r="I135" s="11" t="n">
        <v>0</v>
      </c>
      <c r="J135" s="11" t="n">
        <v>0.12</v>
      </c>
      <c r="K135" s="10" t="n"/>
      <c r="L135" s="9" t="inlineStr">
        <is>
          <t>Петрович</t>
        </is>
      </c>
      <c r="M135" s="9" t="inlineStr">
        <is>
          <t>https://moscow.petrovich.ru/product/1138646/</t>
        </is>
      </c>
      <c r="N135" s="9" t="inlineStr">
        <is>
          <t>2026-10-29</t>
        </is>
      </c>
      <c r="O135" s="13" t="inlineStr">
        <is>
          <t>Петрович, Kapelli Classic ПВХ 800х2000 глухая с коробкой, 15 624 руб. Лемана ПРО комплект ПВХ 16 400.</t>
        </is>
      </c>
      <c r="P135" s="4">
        <f>IF(H135=1,G135/VAT_DIV,G135)</f>
        <v/>
      </c>
      <c r="Q135" s="4">
        <f>P135*(1+I135)*(1+DELIV)*(1+GROWTH+MONEY)</f>
        <v/>
      </c>
      <c r="R135" s="4">
        <f>IF(AND(K135&lt;&gt;"",Q135*(1+J135)&gt;K135/VAT_DIV),K135/VAT_DIV,Q135*(1+J135))</f>
        <v/>
      </c>
      <c r="S135" s="4">
        <f>Q135*F135</f>
        <v/>
      </c>
      <c r="T135" s="4">
        <f>R135*F135</f>
        <v/>
      </c>
      <c r="U135" s="3">
        <f>IF(AND(K135&lt;&gt;"",Q135*(1+J135)&gt;K135/VAT_DIV+0.01),"ДА","")</f>
        <v/>
      </c>
      <c r="V135" s="4">
        <f>P135*F135</f>
        <v/>
      </c>
    </row>
    <row r="136" ht="20" customHeight="1">
      <c r="A136" s="9" t="inlineStr">
        <is>
          <t>102. Дверей металлопластиковая одностворчатая глухая 900х2000, комплект наличников и доборов на две стороны</t>
        </is>
      </c>
      <c r="B136" s="13" t="inlineStr">
        <is>
          <t>Дверей металлопластиковая одностворчатая глухая 900х2000, комплект наличников и доборов на</t>
        </is>
      </c>
      <c r="C136" s="9" t="inlineStr">
        <is>
          <t>Трубы и фитинги ВиК, отопления</t>
        </is>
      </c>
      <c r="D136" s="9" t="inlineStr">
        <is>
          <t>шт</t>
        </is>
      </c>
      <c r="E136" s="10" t="n">
        <v>1</v>
      </c>
      <c r="F136" s="4">
        <f>E136*IFERROR(INDEX(Работы!$D$4:$D$672,MATCH(SUBSTITUTE(SUBSTITUTE(SUBSTITUTE(A136,"~","~~"),"*","~*"),"?","~?"),Работы!$B$4:$B$672,0)),0)</f>
        <v/>
      </c>
      <c r="G136" s="10" t="n">
        <v>15624</v>
      </c>
      <c r="H136" s="14" t="n">
        <v>1</v>
      </c>
      <c r="I136" s="11" t="n">
        <v>0.04</v>
      </c>
      <c r="J136" s="11" t="n">
        <v>0.12</v>
      </c>
      <c r="K136" s="10" t="n"/>
      <c r="L136" s="9" t="inlineStr">
        <is>
          <t>Петрович</t>
        </is>
      </c>
      <c r="M136" s="9" t="inlineStr">
        <is>
          <t>https://moscow.petrovich.ru/product/1138646/</t>
        </is>
      </c>
      <c r="N136" s="9" t="inlineStr">
        <is>
          <t>2026-10-29</t>
        </is>
      </c>
      <c r="O136" s="13" t="inlineStr">
        <is>
          <t>Петрович, Kapelli Classic ПВХ 800х2000 глухая с коробкой, 15 624 руб. Лемана ПРО комплект ПВХ 16 400.</t>
        </is>
      </c>
      <c r="P136" s="4">
        <f>IF(H136=1,G136/VAT_DIV,G136)</f>
        <v/>
      </c>
      <c r="Q136" s="4">
        <f>P136*(1+I136)*(1+DELIV)*(1+GROWTH+MONEY)</f>
        <v/>
      </c>
      <c r="R136" s="4">
        <f>IF(AND(K136&lt;&gt;"",Q136*(1+J136)&gt;K136/VAT_DIV),K136/VAT_DIV,Q136*(1+J136))</f>
        <v/>
      </c>
      <c r="S136" s="4">
        <f>Q136*F136</f>
        <v/>
      </c>
      <c r="T136" s="4">
        <f>R136*F136</f>
        <v/>
      </c>
      <c r="U136" s="3">
        <f>IF(AND(K136&lt;&gt;"",Q136*(1+J136)&gt;K136/VAT_DIV+0.01),"ДА","")</f>
        <v/>
      </c>
      <c r="V136" s="4">
        <f>P136*F136</f>
        <v/>
      </c>
    </row>
    <row r="137" ht="20" customHeight="1">
      <c r="A137" s="9" t="inlineStr">
        <is>
          <t>103. Двери однопольные деревянные гладкие (типа Alavus, mod 200) размер полотна:  725х2040 мм Цвет  -  белый,  RAL-9016.  9010 Дверные стопоры (ограничители)- настенные.</t>
        </is>
      </c>
      <c r="B137" s="13" t="inlineStr">
        <is>
          <t>Двери однопольные деревянные гладкие (типа Alavus, mod 200) размер полотна:  725</t>
        </is>
      </c>
      <c r="C137" s="9" t="inlineStr">
        <is>
          <t>Изделия под заказ (ворота, двери, окна, перегородки)</t>
        </is>
      </c>
      <c r="D137" s="9" t="inlineStr">
        <is>
          <t>шт</t>
        </is>
      </c>
      <c r="E137" s="10" t="n">
        <v>1</v>
      </c>
      <c r="F137" s="4">
        <f>E137*IFERROR(INDEX(Работы!$D$4:$D$672,MATCH(SUBSTITUTE(SUBSTITUTE(SUBSTITUTE(A137,"~","~~"),"*","~*"),"?","~?"),Работы!$B$4:$B$672,0)),0)</f>
        <v/>
      </c>
      <c r="G137" s="10" t="n">
        <v>6671</v>
      </c>
      <c r="H137" s="14" t="n">
        <v>1</v>
      </c>
      <c r="I137" s="11" t="n">
        <v>0</v>
      </c>
      <c r="J137" s="11" t="n">
        <v>0.12</v>
      </c>
      <c r="K137" s="10" t="n"/>
      <c r="L137" s="9" t="inlineStr">
        <is>
          <t>Лемана ПРО</t>
        </is>
      </c>
      <c r="M137" s="9" t="inlineStr">
        <is>
          <t>https://lemanapro.ru/set/komplekt-dveri-artens-dukato-gluhaya-80x200-sm-hardflex-cvet-bora-s-doborom-200-mm-89428747/</t>
        </is>
      </c>
      <c r="N137" s="9" t="inlineStr">
        <is>
          <t>2026-10-29</t>
        </is>
      </c>
      <c r="O137" s="13" t="inlineStr">
        <is>
          <t>Минимум: Лемана ПРО Artens глухая 80х200 = 6 671 руб. Петрович Мона эмаль 8 246.</t>
        </is>
      </c>
      <c r="P137" s="4">
        <f>IF(H137=1,G137/VAT_DIV,G137)</f>
        <v/>
      </c>
      <c r="Q137" s="4">
        <f>P137*(1+I137)*(1+DELIV)*(1+GROWTH+MONEY)</f>
        <v/>
      </c>
      <c r="R137" s="4">
        <f>IF(AND(K137&lt;&gt;"",Q137*(1+J137)&gt;K137/VAT_DIV),K137/VAT_DIV,Q137*(1+J137))</f>
        <v/>
      </c>
      <c r="S137" s="4">
        <f>Q137*F137</f>
        <v/>
      </c>
      <c r="T137" s="4">
        <f>R137*F137</f>
        <v/>
      </c>
      <c r="U137" s="3">
        <f>IF(AND(K137&lt;&gt;"",Q137*(1+J137)&gt;K137/VAT_DIV+0.01),"ДА","")</f>
        <v/>
      </c>
      <c r="V137" s="4">
        <f>P137*F137</f>
        <v/>
      </c>
    </row>
    <row r="138" ht="20" customHeight="1">
      <c r="A138" s="9" t="inlineStr">
        <is>
          <t>104. Двери однопольные деревянные гладкие (типа Alavus, mod 200) размер полотна:  825х2040 мм Цвет  -  белый,  RAL-9016.  9010 Дверные стопоры (ограничители)- настенные.</t>
        </is>
      </c>
      <c r="B138" s="13" t="inlineStr">
        <is>
          <t>Двери однопольные деревянные гладкие (типа Alavus, mod 200) размер полотна:  825</t>
        </is>
      </c>
      <c r="C138" s="9" t="inlineStr">
        <is>
          <t>Изделия под заказ (ворота, двери, окна, перегородки)</t>
        </is>
      </c>
      <c r="D138" s="9" t="inlineStr">
        <is>
          <t>шт</t>
        </is>
      </c>
      <c r="E138" s="10" t="n">
        <v>1</v>
      </c>
      <c r="F138" s="4">
        <f>E138*IFERROR(INDEX(Работы!$D$4:$D$672,MATCH(SUBSTITUTE(SUBSTITUTE(SUBSTITUTE(A138,"~","~~"),"*","~*"),"?","~?"),Работы!$B$4:$B$672,0)),0)</f>
        <v/>
      </c>
      <c r="G138" s="10" t="n">
        <v>6671</v>
      </c>
      <c r="H138" s="14" t="n">
        <v>1</v>
      </c>
      <c r="I138" s="11" t="n">
        <v>0</v>
      </c>
      <c r="J138" s="11" t="n">
        <v>0.12</v>
      </c>
      <c r="K138" s="10" t="n"/>
      <c r="L138" s="9" t="inlineStr">
        <is>
          <t>Лемана ПРО</t>
        </is>
      </c>
      <c r="M138" s="9" t="inlineStr">
        <is>
          <t>https://lemanapro.ru/set/komplekt-dveri-artens-dukato-gluhaya-80x200-sm-hardflex-cvet-bora-s-doborom-200-mm-89428747/</t>
        </is>
      </c>
      <c r="N138" s="9" t="inlineStr">
        <is>
          <t>2026-10-29</t>
        </is>
      </c>
      <c r="O138" s="13" t="inlineStr">
        <is>
          <t>Минимум: Лемана ПРО Artens глухая 80х200 = 6 671 руб. Петрович Мона эмаль 8 246.</t>
        </is>
      </c>
      <c r="P138" s="4">
        <f>IF(H138=1,G138/VAT_DIV,G138)</f>
        <v/>
      </c>
      <c r="Q138" s="4">
        <f>P138*(1+I138)*(1+DELIV)*(1+GROWTH+MONEY)</f>
        <v/>
      </c>
      <c r="R138" s="4">
        <f>IF(AND(K138&lt;&gt;"",Q138*(1+J138)&gt;K138/VAT_DIV),K138/VAT_DIV,Q138*(1+J138))</f>
        <v/>
      </c>
      <c r="S138" s="4">
        <f>Q138*F138</f>
        <v/>
      </c>
      <c r="T138" s="4">
        <f>R138*F138</f>
        <v/>
      </c>
      <c r="U138" s="3">
        <f>IF(AND(K138&lt;&gt;"",Q138*(1+J138)&gt;K138/VAT_DIV+0.01),"ДА","")</f>
        <v/>
      </c>
      <c r="V138" s="4">
        <f>P138*F138</f>
        <v/>
      </c>
    </row>
    <row r="139" ht="20" customHeight="1">
      <c r="A139" s="9" t="inlineStr">
        <is>
          <t>105. Двери однопольные деревянные гладкие (типа Alavus, mod 200) размер полотна:  925х2040 мм Цвет  -  белый,  RAL-9016.  9010 Дверные стопоры (ограничители)- настенные.</t>
        </is>
      </c>
      <c r="B139" s="13" t="inlineStr">
        <is>
          <t>Двери однопольные деревянные гладкие (типа Alavus, mod 200) размер полотна:  925</t>
        </is>
      </c>
      <c r="C139" s="9" t="inlineStr">
        <is>
          <t>Изделия под заказ (ворота, двери, окна, перегородки)</t>
        </is>
      </c>
      <c r="D139" s="9" t="inlineStr">
        <is>
          <t>шт</t>
        </is>
      </c>
      <c r="E139" s="10" t="n">
        <v>1</v>
      </c>
      <c r="F139" s="4">
        <f>E139*IFERROR(INDEX(Работы!$D$4:$D$672,MATCH(SUBSTITUTE(SUBSTITUTE(SUBSTITUTE(A139,"~","~~"),"*","~*"),"?","~?"),Работы!$B$4:$B$672,0)),0)</f>
        <v/>
      </c>
      <c r="G139" s="10" t="n">
        <v>6671</v>
      </c>
      <c r="H139" s="14" t="n">
        <v>1</v>
      </c>
      <c r="I139" s="11" t="n">
        <v>0</v>
      </c>
      <c r="J139" s="11" t="n">
        <v>0.12</v>
      </c>
      <c r="K139" s="10" t="n"/>
      <c r="L139" s="9" t="inlineStr">
        <is>
          <t>Лемана ПРО</t>
        </is>
      </c>
      <c r="M139" s="9" t="inlineStr">
        <is>
          <t>https://lemanapro.ru/set/komplekt-dveri-artens-dukato-gluhaya-80x200-sm-hardflex-cvet-bora-s-doborom-200-mm-89428747/</t>
        </is>
      </c>
      <c r="N139" s="9" t="inlineStr">
        <is>
          <t>2026-10-29</t>
        </is>
      </c>
      <c r="O139" s="13" t="inlineStr">
        <is>
          <t>Минимум: Лемана ПРО Artens глухая 80х200 = 6 671 руб. Петрович Мона эмаль 8 246.</t>
        </is>
      </c>
      <c r="P139" s="4">
        <f>IF(H139=1,G139/VAT_DIV,G139)</f>
        <v/>
      </c>
      <c r="Q139" s="4">
        <f>P139*(1+I139)*(1+DELIV)*(1+GROWTH+MONEY)</f>
        <v/>
      </c>
      <c r="R139" s="4">
        <f>IF(AND(K139&lt;&gt;"",Q139*(1+J139)&gt;K139/VAT_DIV),K139/VAT_DIV,Q139*(1+J139))</f>
        <v/>
      </c>
      <c r="S139" s="4">
        <f>Q139*F139</f>
        <v/>
      </c>
      <c r="T139" s="4">
        <f>R139*F139</f>
        <v/>
      </c>
      <c r="U139" s="3">
        <f>IF(AND(K139&lt;&gt;"",Q139*(1+J139)&gt;K139/VAT_DIV+0.01),"ДА","")</f>
        <v/>
      </c>
      <c r="V139" s="4">
        <f>P139*F139</f>
        <v/>
      </c>
    </row>
    <row r="140" ht="20" customHeight="1">
      <c r="A140" s="9" t="inlineStr">
        <is>
          <t>106. Двери однопольные деревянные гладкие (типа Alavus, mod 200) размер полотна:  1025х2040 мм Цвет  -  белый,  RAL-9016.  9010 Дверные стопоры (ограничители)- настенные.</t>
        </is>
      </c>
      <c r="B140" s="13" t="inlineStr">
        <is>
          <t>Двери однопольные деревянные гладкие (типа Alavus, mod 200) размер полотна:  102</t>
        </is>
      </c>
      <c r="C140" s="9" t="inlineStr">
        <is>
          <t>Изделия под заказ (ворота, двери, окна, перегородки)</t>
        </is>
      </c>
      <c r="D140" s="9" t="inlineStr">
        <is>
          <t>шт</t>
        </is>
      </c>
      <c r="E140" s="10" t="n">
        <v>1</v>
      </c>
      <c r="F140" s="4">
        <f>E140*IFERROR(INDEX(Работы!$D$4:$D$672,MATCH(SUBSTITUTE(SUBSTITUTE(SUBSTITUTE(A140,"~","~~"),"*","~*"),"?","~?"),Работы!$B$4:$B$672,0)),0)</f>
        <v/>
      </c>
      <c r="G140" s="10" t="n">
        <v>6671</v>
      </c>
      <c r="H140" s="14" t="n">
        <v>1</v>
      </c>
      <c r="I140" s="11" t="n">
        <v>0</v>
      </c>
      <c r="J140" s="11" t="n">
        <v>0.12</v>
      </c>
      <c r="K140" s="10" t="n"/>
      <c r="L140" s="9" t="inlineStr">
        <is>
          <t>Лемана ПРО</t>
        </is>
      </c>
      <c r="M140" s="9" t="inlineStr">
        <is>
          <t>https://lemanapro.ru/set/komplekt-dveri-artens-dukato-gluhaya-80x200-sm-hardflex-cvet-bora-s-doborom-200-mm-89428747/</t>
        </is>
      </c>
      <c r="N140" s="9" t="inlineStr">
        <is>
          <t>2026-10-29</t>
        </is>
      </c>
      <c r="O140" s="13" t="inlineStr">
        <is>
          <t>Минимум: Лемана ПРО Artens глухая 80х200 = 6 671 руб. Петрович Мона эмаль 8 246.</t>
        </is>
      </c>
      <c r="P140" s="4">
        <f>IF(H140=1,G140/VAT_DIV,G140)</f>
        <v/>
      </c>
      <c r="Q140" s="4">
        <f>P140*(1+I140)*(1+DELIV)*(1+GROWTH+MONEY)</f>
        <v/>
      </c>
      <c r="R140" s="4">
        <f>IF(AND(K140&lt;&gt;"",Q140*(1+J140)&gt;K140/VAT_DIV),K140/VAT_DIV,Q140*(1+J140))</f>
        <v/>
      </c>
      <c r="S140" s="4">
        <f>Q140*F140</f>
        <v/>
      </c>
      <c r="T140" s="4">
        <f>R140*F140</f>
        <v/>
      </c>
      <c r="U140" s="3">
        <f>IF(AND(K140&lt;&gt;"",Q140*(1+J140)&gt;K140/VAT_DIV+0.01),"ДА","")</f>
        <v/>
      </c>
      <c r="V140" s="4">
        <f>P140*F140</f>
        <v/>
      </c>
    </row>
    <row r="141" ht="20" customHeight="1">
      <c r="A141" s="9" t="inlineStr">
        <is>
          <t>107. Дверь металлическая  противопожарная, изолированная минераловатой (типа Гефест 01) Размер  прохода: 700 х2100мм. Огнестойкость REI-60 (60 мин). Цвет – серый, RAL–7038.Производ</t>
        </is>
      </c>
      <c r="B141" s="13" t="inlineStr">
        <is>
          <t>Дверь металлическая  противопожарная, изолированная минераловатой (типа Гефест 0</t>
        </is>
      </c>
      <c r="C141" s="9" t="inlineStr">
        <is>
          <t>Изделия под заказ (ворота, двери, окна, перегородки)</t>
        </is>
      </c>
      <c r="D141" s="9" t="inlineStr">
        <is>
          <t>шт</t>
        </is>
      </c>
      <c r="E141" s="10" t="n">
        <v>1</v>
      </c>
      <c r="F141" s="4">
        <f>E141*IFERROR(INDEX(Работы!$D$4:$D$672,MATCH(SUBSTITUTE(SUBSTITUTE(SUBSTITUTE(A141,"~","~~"),"*","~*"),"?","~?"),Работы!$B$4:$B$672,0)),0)</f>
        <v/>
      </c>
      <c r="G141" s="10" t="n">
        <v>26350</v>
      </c>
      <c r="H141" s="14" t="n">
        <v>1</v>
      </c>
      <c r="I141" s="11" t="n">
        <v>0</v>
      </c>
      <c r="J141" s="11" t="n">
        <v>0.12</v>
      </c>
      <c r="K141" s="10" t="n"/>
      <c r="L141" s="9" t="inlineStr">
        <is>
          <t>Петрович</t>
        </is>
      </c>
      <c r="M141" s="9" t="inlineStr">
        <is>
          <t>https://moscow.petrovich.ru/catalog/285395950/</t>
        </is>
      </c>
      <c r="N141" s="9" t="inlineStr">
        <is>
          <t>2026-10-29</t>
        </is>
      </c>
      <c r="O141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41" s="4">
        <f>IF(H141=1,G141/VAT_DIV,G141)</f>
        <v/>
      </c>
      <c r="Q141" s="4">
        <f>P141*(1+I141)*(1+DELIV)*(1+GROWTH+MONEY)</f>
        <v/>
      </c>
      <c r="R141" s="4">
        <f>IF(AND(K141&lt;&gt;"",Q141*(1+J141)&gt;K141/VAT_DIV),K141/VAT_DIV,Q141*(1+J141))</f>
        <v/>
      </c>
      <c r="S141" s="4">
        <f>Q141*F141</f>
        <v/>
      </c>
      <c r="T141" s="4">
        <f>R141*F141</f>
        <v/>
      </c>
      <c r="U141" s="3">
        <f>IF(AND(K141&lt;&gt;"",Q141*(1+J141)&gt;K141/VAT_DIV+0.01),"ДА","")</f>
        <v/>
      </c>
      <c r="V141" s="4">
        <f>P141*F141</f>
        <v/>
      </c>
    </row>
    <row r="142" ht="20" customHeight="1">
      <c r="A142" s="9" t="inlineStr">
        <is>
          <t>108. Дверь металлическая  противопожарная, изолированная минераловатой (типа Гефест 01) Размер  прохода: 800 х2100мм. Огнестойкость REI-60 (60 мин). Цвет – серый, RAL–7038.Производ</t>
        </is>
      </c>
      <c r="B142" s="13" t="inlineStr">
        <is>
          <t>Дверь металлическая  противопожарная, изолированная минераловатой (типа Гефест 0</t>
        </is>
      </c>
      <c r="C142" s="9" t="inlineStr">
        <is>
          <t>Изделия под заказ (ворота, двери, окна, перегородки)</t>
        </is>
      </c>
      <c r="D142" s="9" t="inlineStr">
        <is>
          <t>шт</t>
        </is>
      </c>
      <c r="E142" s="10" t="n">
        <v>1</v>
      </c>
      <c r="F142" s="4">
        <f>E142*IFERROR(INDEX(Работы!$D$4:$D$672,MATCH(SUBSTITUTE(SUBSTITUTE(SUBSTITUTE(A142,"~","~~"),"*","~*"),"?","~?"),Работы!$B$4:$B$672,0)),0)</f>
        <v/>
      </c>
      <c r="G142" s="10" t="n">
        <v>26350</v>
      </c>
      <c r="H142" s="14" t="n">
        <v>1</v>
      </c>
      <c r="I142" s="11" t="n">
        <v>0</v>
      </c>
      <c r="J142" s="11" t="n">
        <v>0.12</v>
      </c>
      <c r="K142" s="10" t="n"/>
      <c r="L142" s="9" t="inlineStr">
        <is>
          <t>Петрович</t>
        </is>
      </c>
      <c r="M142" s="9" t="inlineStr">
        <is>
          <t>https://moscow.petrovich.ru/catalog/285395950/</t>
        </is>
      </c>
      <c r="N142" s="9" t="inlineStr">
        <is>
          <t>2026-10-29</t>
        </is>
      </c>
      <c r="O142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42" s="4">
        <f>IF(H142=1,G142/VAT_DIV,G142)</f>
        <v/>
      </c>
      <c r="Q142" s="4">
        <f>P142*(1+I142)*(1+DELIV)*(1+GROWTH+MONEY)</f>
        <v/>
      </c>
      <c r="R142" s="4">
        <f>IF(AND(K142&lt;&gt;"",Q142*(1+J142)&gt;K142/VAT_DIV),K142/VAT_DIV,Q142*(1+J142))</f>
        <v/>
      </c>
      <c r="S142" s="4">
        <f>Q142*F142</f>
        <v/>
      </c>
      <c r="T142" s="4">
        <f>R142*F142</f>
        <v/>
      </c>
      <c r="U142" s="3">
        <f>IF(AND(K142&lt;&gt;"",Q142*(1+J142)&gt;K142/VAT_DIV+0.01),"ДА","")</f>
        <v/>
      </c>
      <c r="V142" s="4">
        <f>P142*F142</f>
        <v/>
      </c>
    </row>
    <row r="143" ht="20" customHeight="1">
      <c r="A143" s="9" t="inlineStr">
        <is>
          <t>109. Дверь металлическая  противопожарная, изолированная минераловатой (типа Гефест 01) Размер  прохода: 900 х2100мм. Огнестойкость REI-60 (60 мин). Цвет – серый, RAL–7038.Производ</t>
        </is>
      </c>
      <c r="B143" s="13" t="inlineStr">
        <is>
          <t>Дверь металлическая  противопожарная, изолированная минераловатой (типа Гефест 0</t>
        </is>
      </c>
      <c r="C143" s="9" t="inlineStr">
        <is>
          <t>Изделия под заказ (ворота, двери, окна, перегородки)</t>
        </is>
      </c>
      <c r="D143" s="9" t="inlineStr">
        <is>
          <t>шт</t>
        </is>
      </c>
      <c r="E143" s="10" t="n">
        <v>1</v>
      </c>
      <c r="F143" s="4">
        <f>E143*IFERROR(INDEX(Работы!$D$4:$D$672,MATCH(SUBSTITUTE(SUBSTITUTE(SUBSTITUTE(A143,"~","~~"),"*","~*"),"?","~?"),Работы!$B$4:$B$672,0)),0)</f>
        <v/>
      </c>
      <c r="G143" s="10" t="n">
        <v>26350</v>
      </c>
      <c r="H143" s="14" t="n">
        <v>1</v>
      </c>
      <c r="I143" s="11" t="n">
        <v>0</v>
      </c>
      <c r="J143" s="11" t="n">
        <v>0.12</v>
      </c>
      <c r="K143" s="10" t="n"/>
      <c r="L143" s="9" t="inlineStr">
        <is>
          <t>Петрович</t>
        </is>
      </c>
      <c r="M143" s="9" t="inlineStr">
        <is>
          <t>https://moscow.petrovich.ru/catalog/285395950/</t>
        </is>
      </c>
      <c r="N143" s="9" t="inlineStr">
        <is>
          <t>2026-10-29</t>
        </is>
      </c>
      <c r="O143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43" s="4">
        <f>IF(H143=1,G143/VAT_DIV,G143)</f>
        <v/>
      </c>
      <c r="Q143" s="4">
        <f>P143*(1+I143)*(1+DELIV)*(1+GROWTH+MONEY)</f>
        <v/>
      </c>
      <c r="R143" s="4">
        <f>IF(AND(K143&lt;&gt;"",Q143*(1+J143)&gt;K143/VAT_DIV),K143/VAT_DIV,Q143*(1+J143))</f>
        <v/>
      </c>
      <c r="S143" s="4">
        <f>Q143*F143</f>
        <v/>
      </c>
      <c r="T143" s="4">
        <f>R143*F143</f>
        <v/>
      </c>
      <c r="U143" s="3">
        <f>IF(AND(K143&lt;&gt;"",Q143*(1+J143)&gt;K143/VAT_DIV+0.01),"ДА","")</f>
        <v/>
      </c>
      <c r="V143" s="4">
        <f>P143*F143</f>
        <v/>
      </c>
    </row>
    <row r="144" ht="20" customHeight="1">
      <c r="A144" s="9" t="inlineStr">
        <is>
          <t>110. Дверь металлическая  противопожарная, изолированная минераловатой (типа Гефест 01) Размер  прохода: 1000 х2100мм. Огнестойкость REI-60 (60 мин). Цвет – серый, RAL–7038.Произво</t>
        </is>
      </c>
      <c r="B144" s="13" t="inlineStr">
        <is>
          <t>Дверь металлическая  противопожарная, изолированная минераловатой (типа Гефест 0</t>
        </is>
      </c>
      <c r="C144" s="9" t="inlineStr">
        <is>
          <t>Изделия под заказ (ворота, двери, окна, перегородки)</t>
        </is>
      </c>
      <c r="D144" s="9" t="inlineStr">
        <is>
          <t>шт</t>
        </is>
      </c>
      <c r="E144" s="10" t="n">
        <v>1</v>
      </c>
      <c r="F144" s="4">
        <f>E144*IFERROR(INDEX(Работы!$D$4:$D$672,MATCH(SUBSTITUTE(SUBSTITUTE(SUBSTITUTE(A144,"~","~~"),"*","~*"),"?","~?"),Работы!$B$4:$B$672,0)),0)</f>
        <v/>
      </c>
      <c r="G144" s="10" t="n">
        <v>26350</v>
      </c>
      <c r="H144" s="14" t="n">
        <v>1</v>
      </c>
      <c r="I144" s="11" t="n">
        <v>0</v>
      </c>
      <c r="J144" s="11" t="n">
        <v>0.12</v>
      </c>
      <c r="K144" s="10" t="n"/>
      <c r="L144" s="9" t="inlineStr">
        <is>
          <t>Петрович</t>
        </is>
      </c>
      <c r="M144" s="9" t="inlineStr">
        <is>
          <t>https://moscow.petrovich.ru/catalog/285395950/</t>
        </is>
      </c>
      <c r="N144" s="9" t="inlineStr">
        <is>
          <t>2026-10-29</t>
        </is>
      </c>
      <c r="O144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44" s="4">
        <f>IF(H144=1,G144/VAT_DIV,G144)</f>
        <v/>
      </c>
      <c r="Q144" s="4">
        <f>P144*(1+I144)*(1+DELIV)*(1+GROWTH+MONEY)</f>
        <v/>
      </c>
      <c r="R144" s="4">
        <f>IF(AND(K144&lt;&gt;"",Q144*(1+J144)&gt;K144/VAT_DIV),K144/VAT_DIV,Q144*(1+J144))</f>
        <v/>
      </c>
      <c r="S144" s="4">
        <f>Q144*F144</f>
        <v/>
      </c>
      <c r="T144" s="4">
        <f>R144*F144</f>
        <v/>
      </c>
      <c r="U144" s="3">
        <f>IF(AND(K144&lt;&gt;"",Q144*(1+J144)&gt;K144/VAT_DIV+0.01),"ДА","")</f>
        <v/>
      </c>
      <c r="V144" s="4">
        <f>P144*F144</f>
        <v/>
      </c>
    </row>
    <row r="145" ht="20" customHeight="1">
      <c r="A145" s="9" t="inlineStr">
        <is>
          <t>111. Двери металлические противопожарные, изолированные минераловатой (типа Гефест 01) Размер  прохода: 1100  х2100мм. Огнестойкость REI-60 (60 мин). Цвет – серый,  RAL–7038. Произ</t>
        </is>
      </c>
      <c r="B145" s="13" t="inlineStr">
        <is>
          <t>Двери металлические противопожарные, изолированные минераловатой (типа Гефест 01</t>
        </is>
      </c>
      <c r="C145" s="9" t="inlineStr">
        <is>
          <t>Изделия под заказ (ворота, двери, окна, перегородки)</t>
        </is>
      </c>
      <c r="D145" s="9" t="inlineStr">
        <is>
          <t>шт</t>
        </is>
      </c>
      <c r="E145" s="10" t="n">
        <v>1</v>
      </c>
      <c r="F145" s="4">
        <f>E145*IFERROR(INDEX(Работы!$D$4:$D$672,MATCH(SUBSTITUTE(SUBSTITUTE(SUBSTITUTE(A145,"~","~~"),"*","~*"),"?","~?"),Работы!$B$4:$B$672,0)),0)</f>
        <v/>
      </c>
      <c r="G145" s="10" t="n">
        <v>36281.92</v>
      </c>
      <c r="H145" s="14" t="n">
        <v>1</v>
      </c>
      <c r="I145" s="11" t="n">
        <v>0</v>
      </c>
      <c r="J145" s="11" t="n">
        <v>0.12</v>
      </c>
      <c r="K145" s="10" t="n"/>
      <c r="L145" s="9" t="inlineStr">
        <is>
          <t>Петрович</t>
        </is>
      </c>
      <c r="M145" s="9" t="inlineStr">
        <is>
          <t>https://moscow.petrovich.ru/catalog/285395950/</t>
        </is>
      </c>
      <c r="N145" s="9" t="inlineStr">
        <is>
          <t>2026-10-29</t>
        </is>
      </c>
      <c r="O145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45" s="4">
        <f>IF(H145=1,G145/VAT_DIV,G145)</f>
        <v/>
      </c>
      <c r="Q145" s="4">
        <f>P145*(1+I145)*(1+DELIV)*(1+GROWTH+MONEY)</f>
        <v/>
      </c>
      <c r="R145" s="4">
        <f>IF(AND(K145&lt;&gt;"",Q145*(1+J145)&gt;K145/VAT_DIV),K145/VAT_DIV,Q145*(1+J145))</f>
        <v/>
      </c>
      <c r="S145" s="4">
        <f>Q145*F145</f>
        <v/>
      </c>
      <c r="T145" s="4">
        <f>R145*F145</f>
        <v/>
      </c>
      <c r="U145" s="3">
        <f>IF(AND(K145&lt;&gt;"",Q145*(1+J145)&gt;K145/VAT_DIV+0.01),"ДА","")</f>
        <v/>
      </c>
      <c r="V145" s="4">
        <f>P145*F145</f>
        <v/>
      </c>
    </row>
    <row r="146" ht="20" customHeight="1">
      <c r="A146" s="9" t="inlineStr">
        <is>
          <t>112. Двери металлические противопожарные, изолированные минераловатой (типа Гефест 01) Размер  прохода: 1200  х2100мм. Огнестойкость REI-60 (60 мин). Цвет – серый,  RAL–7038. Произ</t>
        </is>
      </c>
      <c r="B146" s="13" t="inlineStr">
        <is>
          <t>Двери металлические противопожарные, изолированные минераловатой (типа Гефест 01</t>
        </is>
      </c>
      <c r="C146" s="9" t="inlineStr">
        <is>
          <t>Изделия под заказ (ворота, двери, окна, перегородки)</t>
        </is>
      </c>
      <c r="D146" s="9" t="inlineStr">
        <is>
          <t>шт</t>
        </is>
      </c>
      <c r="E146" s="10" t="n">
        <v>1</v>
      </c>
      <c r="F146" s="4">
        <f>E146*IFERROR(INDEX(Работы!$D$4:$D$672,MATCH(SUBSTITUTE(SUBSTITUTE(SUBSTITUTE(A146,"~","~~"),"*","~*"),"?","~?"),Работы!$B$4:$B$672,0)),0)</f>
        <v/>
      </c>
      <c r="G146" s="10" t="n">
        <v>39580.28</v>
      </c>
      <c r="H146" s="14" t="n">
        <v>1</v>
      </c>
      <c r="I146" s="11" t="n">
        <v>0</v>
      </c>
      <c r="J146" s="11" t="n">
        <v>0.12</v>
      </c>
      <c r="K146" s="10" t="n"/>
      <c r="L146" s="9" t="inlineStr">
        <is>
          <t>Петрович</t>
        </is>
      </c>
      <c r="M146" s="9" t="inlineStr">
        <is>
          <t>https://moscow.petrovich.ru/catalog/285395950/</t>
        </is>
      </c>
      <c r="N146" s="9" t="inlineStr">
        <is>
          <t>2026-10-29</t>
        </is>
      </c>
      <c r="O146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46" s="4">
        <f>IF(H146=1,G146/VAT_DIV,G146)</f>
        <v/>
      </c>
      <c r="Q146" s="4">
        <f>P146*(1+I146)*(1+DELIV)*(1+GROWTH+MONEY)</f>
        <v/>
      </c>
      <c r="R146" s="4">
        <f>IF(AND(K146&lt;&gt;"",Q146*(1+J146)&gt;K146/VAT_DIV),K146/VAT_DIV,Q146*(1+J146))</f>
        <v/>
      </c>
      <c r="S146" s="4">
        <f>Q146*F146</f>
        <v/>
      </c>
      <c r="T146" s="4">
        <f>R146*F146</f>
        <v/>
      </c>
      <c r="U146" s="3">
        <f>IF(AND(K146&lt;&gt;"",Q146*(1+J146)&gt;K146/VAT_DIV+0.01),"ДА","")</f>
        <v/>
      </c>
      <c r="V146" s="4">
        <f>P146*F146</f>
        <v/>
      </c>
    </row>
    <row r="147" ht="20" customHeight="1">
      <c r="A147" s="9" t="inlineStr">
        <is>
          <t>113. Двери металлические противопожарные, изолированные минераловатой (типа Гефест 01) Размер  прохода: 1300  х2100мм. Огнестойкость REI-60 (60 мин). Цвет – серый,  RAL–7038. Произ</t>
        </is>
      </c>
      <c r="B147" s="13" t="inlineStr">
        <is>
          <t>Двери металлические противопожарные, изолированные минераловатой (типа Гефест 01</t>
        </is>
      </c>
      <c r="C147" s="9" t="inlineStr">
        <is>
          <t>Изделия под заказ (ворота, двери, окна, перегородки)</t>
        </is>
      </c>
      <c r="D147" s="9" t="inlineStr">
        <is>
          <t>шт</t>
        </is>
      </c>
      <c r="E147" s="10" t="n">
        <v>1</v>
      </c>
      <c r="F147" s="4">
        <f>E147*IFERROR(INDEX(Работы!$D$4:$D$672,MATCH(SUBSTITUTE(SUBSTITUTE(SUBSTITUTE(A147,"~","~~"),"*","~*"),"?","~?"),Работы!$B$4:$B$672,0)),0)</f>
        <v/>
      </c>
      <c r="G147" s="10" t="n">
        <v>42878.64</v>
      </c>
      <c r="H147" s="14" t="n">
        <v>1</v>
      </c>
      <c r="I147" s="11" t="n">
        <v>0</v>
      </c>
      <c r="J147" s="11" t="n">
        <v>0.12</v>
      </c>
      <c r="K147" s="10" t="n"/>
      <c r="L147" s="9" t="inlineStr">
        <is>
          <t>Петрович</t>
        </is>
      </c>
      <c r="M147" s="9" t="inlineStr">
        <is>
          <t>https://moscow.petrovich.ru/catalog/285395950/</t>
        </is>
      </c>
      <c r="N147" s="9" t="inlineStr">
        <is>
          <t>2026-10-29</t>
        </is>
      </c>
      <c r="O147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47" s="4">
        <f>IF(H147=1,G147/VAT_DIV,G147)</f>
        <v/>
      </c>
      <c r="Q147" s="4">
        <f>P147*(1+I147)*(1+DELIV)*(1+GROWTH+MONEY)</f>
        <v/>
      </c>
      <c r="R147" s="4">
        <f>IF(AND(K147&lt;&gt;"",Q147*(1+J147)&gt;K147/VAT_DIV),K147/VAT_DIV,Q147*(1+J147))</f>
        <v/>
      </c>
      <c r="S147" s="4">
        <f>Q147*F147</f>
        <v/>
      </c>
      <c r="T147" s="4">
        <f>R147*F147</f>
        <v/>
      </c>
      <c r="U147" s="3">
        <f>IF(AND(K147&lt;&gt;"",Q147*(1+J147)&gt;K147/VAT_DIV+0.01),"ДА","")</f>
        <v/>
      </c>
      <c r="V147" s="4">
        <f>P147*F147</f>
        <v/>
      </c>
    </row>
    <row r="148" ht="20" customHeight="1">
      <c r="A148" s="9" t="inlineStr">
        <is>
          <t>114. Двери металлические противопожарные, изолированные минераловатой (типа Гефест 01) Размер  прохода: 1400  х2100мм. Огнестойкость REI-60 (60 мин). Цвет – серый,  RAL–7038. Произ</t>
        </is>
      </c>
      <c r="B148" s="13" t="inlineStr">
        <is>
          <t>Двери металлические противопожарные, изолированные минераловатой (типа Гефест 01</t>
        </is>
      </c>
      <c r="C148" s="9" t="inlineStr">
        <is>
          <t>Изделия под заказ (ворота, двери, окна, перегородки)</t>
        </is>
      </c>
      <c r="D148" s="9" t="inlineStr">
        <is>
          <t>шт</t>
        </is>
      </c>
      <c r="E148" s="10" t="n">
        <v>1</v>
      </c>
      <c r="F148" s="4">
        <f>E148*IFERROR(INDEX(Работы!$D$4:$D$672,MATCH(SUBSTITUTE(SUBSTITUTE(SUBSTITUTE(A148,"~","~~"),"*","~*"),"?","~?"),Работы!$B$4:$B$672,0)),0)</f>
        <v/>
      </c>
      <c r="G148" s="10" t="n">
        <v>46176.99</v>
      </c>
      <c r="H148" s="14" t="n">
        <v>1</v>
      </c>
      <c r="I148" s="11" t="n">
        <v>0</v>
      </c>
      <c r="J148" s="11" t="n">
        <v>0.12</v>
      </c>
      <c r="K148" s="10" t="n"/>
      <c r="L148" s="9" t="inlineStr">
        <is>
          <t>Петрович</t>
        </is>
      </c>
      <c r="M148" s="9" t="inlineStr">
        <is>
          <t>https://moscow.petrovich.ru/catalog/285395950/</t>
        </is>
      </c>
      <c r="N148" s="9" t="inlineStr">
        <is>
          <t>2026-10-29</t>
        </is>
      </c>
      <c r="O148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48" s="4">
        <f>IF(H148=1,G148/VAT_DIV,G148)</f>
        <v/>
      </c>
      <c r="Q148" s="4">
        <f>P148*(1+I148)*(1+DELIV)*(1+GROWTH+MONEY)</f>
        <v/>
      </c>
      <c r="R148" s="4">
        <f>IF(AND(K148&lt;&gt;"",Q148*(1+J148)&gt;K148/VAT_DIV),K148/VAT_DIV,Q148*(1+J148))</f>
        <v/>
      </c>
      <c r="S148" s="4">
        <f>Q148*F148</f>
        <v/>
      </c>
      <c r="T148" s="4">
        <f>R148*F148</f>
        <v/>
      </c>
      <c r="U148" s="3">
        <f>IF(AND(K148&lt;&gt;"",Q148*(1+J148)&gt;K148/VAT_DIV+0.01),"ДА","")</f>
        <v/>
      </c>
      <c r="V148" s="4">
        <f>P148*F148</f>
        <v/>
      </c>
    </row>
    <row r="149" ht="20" customHeight="1">
      <c r="A149" s="9" t="inlineStr">
        <is>
          <t>115. 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</t>
        </is>
      </c>
      <c r="B149" s="13" t="inlineStr">
        <is>
          <t>Двери металлические противопожарные, изолированные минераловатой (типа Гефест 01</t>
        </is>
      </c>
      <c r="C149" s="9" t="inlineStr">
        <is>
          <t>Изделия под заказ (ворота, двери, окна, перегородки)</t>
        </is>
      </c>
      <c r="D149" s="9" t="inlineStr">
        <is>
          <t>шт</t>
        </is>
      </c>
      <c r="E149" s="10" t="n">
        <v>1</v>
      </c>
      <c r="F149" s="4">
        <f>E149*IFERROR(INDEX(Работы!$D$4:$D$672,MATCH(SUBSTITUTE(SUBSTITUTE(SUBSTITUTE(A149,"~","~~"),"*","~*"),"?","~?"),Работы!$B$4:$B$672,0)),0)</f>
        <v/>
      </c>
      <c r="G149" s="10" t="n">
        <v>49475.35</v>
      </c>
      <c r="H149" s="14" t="n">
        <v>1</v>
      </c>
      <c r="I149" s="11" t="n">
        <v>0</v>
      </c>
      <c r="J149" s="11" t="n">
        <v>0.12</v>
      </c>
      <c r="K149" s="10" t="n"/>
      <c r="L149" s="9" t="inlineStr">
        <is>
          <t>Петрович</t>
        </is>
      </c>
      <c r="M149" s="9" t="inlineStr">
        <is>
          <t>https://moscow.petrovich.ru/catalog/285395950/</t>
        </is>
      </c>
      <c r="N149" s="9" t="inlineStr">
        <is>
          <t>2026-10-29</t>
        </is>
      </c>
      <c r="O149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49" s="4">
        <f>IF(H149=1,G149/VAT_DIV,G149)</f>
        <v/>
      </c>
      <c r="Q149" s="4">
        <f>P149*(1+I149)*(1+DELIV)*(1+GROWTH+MONEY)</f>
        <v/>
      </c>
      <c r="R149" s="4">
        <f>IF(AND(K149&lt;&gt;"",Q149*(1+J149)&gt;K149/VAT_DIV),K149/VAT_DIV,Q149*(1+J149))</f>
        <v/>
      </c>
      <c r="S149" s="4">
        <f>Q149*F149</f>
        <v/>
      </c>
      <c r="T149" s="4">
        <f>R149*F149</f>
        <v/>
      </c>
      <c r="U149" s="3">
        <f>IF(AND(K149&lt;&gt;"",Q149*(1+J149)&gt;K149/VAT_DIV+0.01),"ДА","")</f>
        <v/>
      </c>
      <c r="V149" s="4">
        <f>P149*F149</f>
        <v/>
      </c>
    </row>
    <row r="150" ht="20" customHeight="1">
      <c r="A150" s="9" t="inlineStr">
        <is>
          <t>116. 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</t>
        </is>
      </c>
      <c r="B150" s="13" t="inlineStr">
        <is>
          <t>Двери металлические противопожарные, изолированные минераловатой (типа Гефест 01</t>
        </is>
      </c>
      <c r="C150" s="9" t="inlineStr">
        <is>
          <t>Изделия под заказ (ворота, двери, окна, перегородки)</t>
        </is>
      </c>
      <c r="D150" s="9" t="inlineStr">
        <is>
          <t>шт</t>
        </is>
      </c>
      <c r="E150" s="10" t="n">
        <v>1</v>
      </c>
      <c r="F150" s="4">
        <f>E150*IFERROR(INDEX(Работы!$D$4:$D$672,MATCH(SUBSTITUTE(SUBSTITUTE(SUBSTITUTE(A150,"~","~~"),"*","~*"),"?","~?"),Работы!$B$4:$B$672,0)),0)</f>
        <v/>
      </c>
      <c r="G150" s="10" t="n">
        <v>49475.35</v>
      </c>
      <c r="H150" s="14" t="n">
        <v>1</v>
      </c>
      <c r="I150" s="11" t="n">
        <v>0</v>
      </c>
      <c r="J150" s="11" t="n">
        <v>0.12</v>
      </c>
      <c r="K150" s="10" t="n"/>
      <c r="L150" s="9" t="inlineStr">
        <is>
          <t>Петрович</t>
        </is>
      </c>
      <c r="M150" s="9" t="inlineStr">
        <is>
          <t>https://moscow.petrovich.ru/catalog/285395950/</t>
        </is>
      </c>
      <c r="N150" s="9" t="inlineStr">
        <is>
          <t>2026-10-29</t>
        </is>
      </c>
      <c r="O150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50" s="4">
        <f>IF(H150=1,G150/VAT_DIV,G150)</f>
        <v/>
      </c>
      <c r="Q150" s="4">
        <f>P150*(1+I150)*(1+DELIV)*(1+GROWTH+MONEY)</f>
        <v/>
      </c>
      <c r="R150" s="4">
        <f>IF(AND(K150&lt;&gt;"",Q150*(1+J150)&gt;K150/VAT_DIV),K150/VAT_DIV,Q150*(1+J150))</f>
        <v/>
      </c>
      <c r="S150" s="4">
        <f>Q150*F150</f>
        <v/>
      </c>
      <c r="T150" s="4">
        <f>R150*F150</f>
        <v/>
      </c>
      <c r="U150" s="3">
        <f>IF(AND(K150&lt;&gt;"",Q150*(1+J150)&gt;K150/VAT_DIV+0.01),"ДА","")</f>
        <v/>
      </c>
      <c r="V150" s="4">
        <f>P150*F150</f>
        <v/>
      </c>
    </row>
    <row r="151" ht="20" customHeight="1">
      <c r="A151" s="9" t="inlineStr">
        <is>
          <t>117. Двери металлические противопожарные, изолированные минераловатой (типа Гефест 01) Размер  прохода: 1600  х2100мм. Огнестойкость REI-60 (60 мин). Цвет – серый,  RAL–7038. Произ</t>
        </is>
      </c>
      <c r="B151" s="13" t="inlineStr">
        <is>
          <t>Двери металлические противопожарные, изолированные минераловатой (типа Гефест 01</t>
        </is>
      </c>
      <c r="C151" s="9" t="inlineStr">
        <is>
          <t>Изделия под заказ (ворота, двери, окна, перегородки)</t>
        </is>
      </c>
      <c r="D151" s="9" t="inlineStr">
        <is>
          <t>шт</t>
        </is>
      </c>
      <c r="E151" s="10" t="n">
        <v>1</v>
      </c>
      <c r="F151" s="4">
        <f>E151*IFERROR(INDEX(Работы!$D$4:$D$672,MATCH(SUBSTITUTE(SUBSTITUTE(SUBSTITUTE(A151,"~","~~"),"*","~*"),"?","~?"),Работы!$B$4:$B$672,0)),0)</f>
        <v/>
      </c>
      <c r="G151" s="10" t="n">
        <v>52773.71</v>
      </c>
      <c r="H151" s="14" t="n">
        <v>1</v>
      </c>
      <c r="I151" s="11" t="n">
        <v>0</v>
      </c>
      <c r="J151" s="11" t="n">
        <v>0.12</v>
      </c>
      <c r="K151" s="10" t="n"/>
      <c r="L151" s="9" t="inlineStr">
        <is>
          <t>Петрович</t>
        </is>
      </c>
      <c r="M151" s="9" t="inlineStr">
        <is>
          <t>https://moscow.petrovich.ru/catalog/285395950/</t>
        </is>
      </c>
      <c r="N151" s="9" t="inlineStr">
        <is>
          <t>2026-10-29</t>
        </is>
      </c>
      <c r="O151" s="13" t="inlineStr">
        <is>
          <t>Петрович Москва, DoorHan ДП-EI-60 980х2050 = 26 350 руб без карты (25 590 по карте). Шире однопольной — прежний коэффициент ширины. Двупольная в каталоге других городов от 37 492.</t>
        </is>
      </c>
      <c r="P151" s="4">
        <f>IF(H151=1,G151/VAT_DIV,G151)</f>
        <v/>
      </c>
      <c r="Q151" s="4">
        <f>P151*(1+I151)*(1+DELIV)*(1+GROWTH+MONEY)</f>
        <v/>
      </c>
      <c r="R151" s="4">
        <f>IF(AND(K151&lt;&gt;"",Q151*(1+J151)&gt;K151/VAT_DIV),K151/VAT_DIV,Q151*(1+J151))</f>
        <v/>
      </c>
      <c r="S151" s="4">
        <f>Q151*F151</f>
        <v/>
      </c>
      <c r="T151" s="4">
        <f>R151*F151</f>
        <v/>
      </c>
      <c r="U151" s="3">
        <f>IF(AND(K151&lt;&gt;"",Q151*(1+J151)&gt;K151/VAT_DIV+0.01),"ДА","")</f>
        <v/>
      </c>
      <c r="V151" s="4">
        <f>P151*F151</f>
        <v/>
      </c>
    </row>
    <row r="152" ht="20" customHeight="1">
      <c r="A152" s="9" t="inlineStr">
        <is>
          <t>118. Дверь металлическая одностворчатая техническая, изолированная минеральной плитой. (типа Оптима ТХ-2)Дверной  блок:  600х2000 мм. Лист стали: 2  мм. Цвет –  серый, RAL–7038. Дв</t>
        </is>
      </c>
      <c r="B152" s="13" t="inlineStr">
        <is>
          <t>Дверь металлическая одностворчатая техническая, изолированная минеральной плитой</t>
        </is>
      </c>
      <c r="C152" s="9" t="inlineStr">
        <is>
          <t>Изделия под заказ (ворота, двери, окна, перегородки)</t>
        </is>
      </c>
      <c r="D152" s="9" t="inlineStr">
        <is>
          <t>шт</t>
        </is>
      </c>
      <c r="E152" s="10" t="n">
        <v>1</v>
      </c>
      <c r="F152" s="4">
        <f>E152*IFERROR(INDEX(Работы!$D$4:$D$672,MATCH(SUBSTITUTE(SUBSTITUTE(SUBSTITUTE(A152,"~","~~"),"*","~*"),"?","~?"),Работы!$B$4:$B$672,0)),0)</f>
        <v/>
      </c>
      <c r="G152" s="10" t="n">
        <v>24699</v>
      </c>
      <c r="H152" s="14" t="n">
        <v>1</v>
      </c>
      <c r="I152" s="11" t="n">
        <v>0</v>
      </c>
      <c r="J152" s="11" t="n">
        <v>0.12</v>
      </c>
      <c r="K152" s="10" t="n"/>
      <c r="L152" s="9" t="inlineStr">
        <is>
          <t>Петрович</t>
        </is>
      </c>
      <c r="M152" s="9" t="inlineStr">
        <is>
          <t>https://moscow.petrovich.ru/product/1149343/</t>
        </is>
      </c>
      <c r="N152" s="9" t="inlineStr">
        <is>
          <t>2026-10-29</t>
        </is>
      </c>
      <c r="O152" s="13" t="inlineStr">
        <is>
          <t>Петрович, DoorHan ДТ-60 980х2050, минеральная вата, 24 699 руб без карты.</t>
        </is>
      </c>
      <c r="P152" s="4">
        <f>IF(H152=1,G152/VAT_DIV,G152)</f>
        <v/>
      </c>
      <c r="Q152" s="4">
        <f>P152*(1+I152)*(1+DELIV)*(1+GROWTH+MONEY)</f>
        <v/>
      </c>
      <c r="R152" s="4">
        <f>IF(AND(K152&lt;&gt;"",Q152*(1+J152)&gt;K152/VAT_DIV),K152/VAT_DIV,Q152*(1+J152))</f>
        <v/>
      </c>
      <c r="S152" s="4">
        <f>Q152*F152</f>
        <v/>
      </c>
      <c r="T152" s="4">
        <f>R152*F152</f>
        <v/>
      </c>
      <c r="U152" s="3">
        <f>IF(AND(K152&lt;&gt;"",Q152*(1+J152)&gt;K152/VAT_DIV+0.01),"ДА","")</f>
        <v/>
      </c>
      <c r="V152" s="4">
        <f>P152*F152</f>
        <v/>
      </c>
    </row>
    <row r="153" ht="20" customHeight="1">
      <c r="A153" s="9" t="inlineStr">
        <is>
          <t>119. Дверь металлическая одностворчатая техническая, изолированная минеральной плитой. (типа Оптима ТХ-2)Дверной  блок:  800х2000 мм. Лист стали: 2  мм. Цвет –  серый, RAL–7038. Дв</t>
        </is>
      </c>
      <c r="B153" s="13" t="inlineStr">
        <is>
          <t>Дверь металлическая одностворчатая техническая, изолированная минеральной плитой</t>
        </is>
      </c>
      <c r="C153" s="9" t="inlineStr">
        <is>
          <t>Изделия под заказ (ворота, двери, окна, перегородки)</t>
        </is>
      </c>
      <c r="D153" s="9" t="inlineStr">
        <is>
          <t>шт</t>
        </is>
      </c>
      <c r="E153" s="10" t="n">
        <v>1</v>
      </c>
      <c r="F153" s="4">
        <f>E153*IFERROR(INDEX(Работы!$D$4:$D$672,MATCH(SUBSTITUTE(SUBSTITUTE(SUBSTITUTE(A153,"~","~~"),"*","~*"),"?","~?"),Работы!$B$4:$B$672,0)),0)</f>
        <v/>
      </c>
      <c r="G153" s="10" t="n">
        <v>24699</v>
      </c>
      <c r="H153" s="14" t="n">
        <v>1</v>
      </c>
      <c r="I153" s="11" t="n">
        <v>0</v>
      </c>
      <c r="J153" s="11" t="n">
        <v>0.12</v>
      </c>
      <c r="K153" s="10" t="n"/>
      <c r="L153" s="9" t="inlineStr">
        <is>
          <t>Петрович</t>
        </is>
      </c>
      <c r="M153" s="9" t="inlineStr">
        <is>
          <t>https://moscow.petrovich.ru/product/1149343/</t>
        </is>
      </c>
      <c r="N153" s="9" t="inlineStr">
        <is>
          <t>2026-10-29</t>
        </is>
      </c>
      <c r="O153" s="13" t="inlineStr">
        <is>
          <t>Петрович, DoorHan ДТ-60 980х2050, минеральная вата, 24 699 руб без карты.</t>
        </is>
      </c>
      <c r="P153" s="4">
        <f>IF(H153=1,G153/VAT_DIV,G153)</f>
        <v/>
      </c>
      <c r="Q153" s="4">
        <f>P153*(1+I153)*(1+DELIV)*(1+GROWTH+MONEY)</f>
        <v/>
      </c>
      <c r="R153" s="4">
        <f>IF(AND(K153&lt;&gt;"",Q153*(1+J153)&gt;K153/VAT_DIV),K153/VAT_DIV,Q153*(1+J153))</f>
        <v/>
      </c>
      <c r="S153" s="4">
        <f>Q153*F153</f>
        <v/>
      </c>
      <c r="T153" s="4">
        <f>R153*F153</f>
        <v/>
      </c>
      <c r="U153" s="3">
        <f>IF(AND(K153&lt;&gt;"",Q153*(1+J153)&gt;K153/VAT_DIV+0.01),"ДА","")</f>
        <v/>
      </c>
      <c r="V153" s="4">
        <f>P153*F153</f>
        <v/>
      </c>
    </row>
    <row r="154" ht="20" customHeight="1">
      <c r="A154" s="9" t="inlineStr">
        <is>
          <t>120. Дверной  блок:  900х2000 мм. Лист стали: 2  мм. Цвет –  серый, RAL–7038. Дверные стопоры (ограничители) – напольные.</t>
        </is>
      </c>
      <c r="B154" s="13" t="inlineStr">
        <is>
          <t>Дверной  блок:  900х2000 мм. Лист стали: 2  мм. Цвет –  серый, RAL–7038. Дверные</t>
        </is>
      </c>
      <c r="C154" s="9" t="inlineStr">
        <is>
          <t>Изделия под заказ (ворота, двери, окна, перегородки)</t>
        </is>
      </c>
      <c r="D154" s="9" t="inlineStr">
        <is>
          <t>шт</t>
        </is>
      </c>
      <c r="E154" s="10" t="n">
        <v>1</v>
      </c>
      <c r="F154" s="4">
        <f>E154*IFERROR(INDEX(Работы!$D$4:$D$672,MATCH(SUBSTITUTE(SUBSTITUTE(SUBSTITUTE(A154,"~","~~"),"*","~*"),"?","~?"),Работы!$B$4:$B$672,0)),0)</f>
        <v/>
      </c>
      <c r="G154" s="10" t="n">
        <v>24699</v>
      </c>
      <c r="H154" s="14" t="n">
        <v>1</v>
      </c>
      <c r="I154" s="11" t="n">
        <v>0</v>
      </c>
      <c r="J154" s="11" t="n">
        <v>0.12</v>
      </c>
      <c r="K154" s="10" t="n"/>
      <c r="L154" s="9" t="inlineStr">
        <is>
          <t>Петрович</t>
        </is>
      </c>
      <c r="M154" s="9" t="inlineStr">
        <is>
          <t>https://moscow.petrovich.ru/product/1149343/</t>
        </is>
      </c>
      <c r="N154" s="9" t="inlineStr">
        <is>
          <t>2026-10-29</t>
        </is>
      </c>
      <c r="O154" s="13" t="inlineStr">
        <is>
          <t>Петрович, DoorHan ДТ-60 980х2050, минеральная вата, 24 699 руб без карты.</t>
        </is>
      </c>
      <c r="P154" s="4">
        <f>IF(H154=1,G154/VAT_DIV,G154)</f>
        <v/>
      </c>
      <c r="Q154" s="4">
        <f>P154*(1+I154)*(1+DELIV)*(1+GROWTH+MONEY)</f>
        <v/>
      </c>
      <c r="R154" s="4">
        <f>IF(AND(K154&lt;&gt;"",Q154*(1+J154)&gt;K154/VAT_DIV),K154/VAT_DIV,Q154*(1+J154))</f>
        <v/>
      </c>
      <c r="S154" s="4">
        <f>Q154*F154</f>
        <v/>
      </c>
      <c r="T154" s="4">
        <f>R154*F154</f>
        <v/>
      </c>
      <c r="U154" s="3">
        <f>IF(AND(K154&lt;&gt;"",Q154*(1+J154)&gt;K154/VAT_DIV+0.01),"ДА","")</f>
        <v/>
      </c>
      <c r="V154" s="4">
        <f>P154*F154</f>
        <v/>
      </c>
    </row>
    <row r="155" ht="20" customHeight="1">
      <c r="A155" s="9" t="inlineStr">
        <is>
          <t>121. Металлическая круглая труба Ду50 (60х3,5мм)</t>
        </is>
      </c>
      <c r="B155" s="13" t="inlineStr">
        <is>
          <t>Труба круглая, 4.88 кг/м</t>
        </is>
      </c>
      <c r="C155" s="9" t="inlineStr">
        <is>
          <t>Металлопрокат и метизы</t>
        </is>
      </c>
      <c r="D155" s="9" t="inlineStr">
        <is>
          <t>кг</t>
        </is>
      </c>
      <c r="E155" s="10" t="n">
        <v>4.876515</v>
      </c>
      <c r="F155" s="4">
        <f>E155*IFERROR(INDEX(Работы!$D$4:$D$672,MATCH(SUBSTITUTE(SUBSTITUTE(SUBSTITUTE(A155,"~","~~"),"*","~*"),"?","~?"),Работы!$B$4:$B$672,0)),0)</f>
        <v/>
      </c>
      <c r="G155" s="10" t="n">
        <v>79.76000000000001</v>
      </c>
      <c r="H155" s="14" t="n">
        <v>1</v>
      </c>
      <c r="I155" s="11" t="n">
        <v>0.05</v>
      </c>
      <c r="J155" s="11" t="n">
        <v>0.1</v>
      </c>
      <c r="K155" s="10" t="n"/>
      <c r="L155" s="9" t="inlineStr">
        <is>
          <t>Петрович</t>
        </is>
      </c>
      <c r="M155" s="9" t="inlineStr">
        <is>
          <t>https://moscow.petrovich.ru/product/108534/</t>
        </is>
      </c>
      <c r="N155" s="9" t="inlineStr">
        <is>
          <t>2026-10-29</t>
        </is>
      </c>
      <c r="O155" s="13" t="inlineStr">
        <is>
          <t>Петрович, труба 40х40х2, 587 руб/3 м с НДС, 7,36 кг. Цена кг с НДС 79.76. Карта клуба не учитывалась.</t>
        </is>
      </c>
      <c r="P155" s="4">
        <f>IF(H155=1,G155/VAT_DIV,G155)</f>
        <v/>
      </c>
      <c r="Q155" s="4">
        <f>P155*(1+I155)*(1+DELIV)*(1+GROWTH+MONEY)</f>
        <v/>
      </c>
      <c r="R155" s="4">
        <f>IF(AND(K155&lt;&gt;"",Q155*(1+J155)&gt;K155/VAT_DIV),K155/VAT_DIV,Q155*(1+J155))</f>
        <v/>
      </c>
      <c r="S155" s="4">
        <f>Q155*F155</f>
        <v/>
      </c>
      <c r="T155" s="4">
        <f>R155*F155</f>
        <v/>
      </c>
      <c r="U155" s="3">
        <f>IF(AND(K155&lt;&gt;"",Q155*(1+J155)&gt;K155/VAT_DIV+0.01),"ДА","")</f>
        <v/>
      </c>
      <c r="V155" s="4">
        <f>P155*F155</f>
        <v/>
      </c>
    </row>
    <row r="156" ht="20" customHeight="1">
      <c r="A156" s="9" t="inlineStr">
        <is>
          <t>122. Металлическая круглая труба Ду65 (75,5х4,0мм)</t>
        </is>
      </c>
      <c r="B156" s="13" t="inlineStr">
        <is>
          <t>Труба круглая, 7.05 кг/м</t>
        </is>
      </c>
      <c r="C156" s="9" t="inlineStr">
        <is>
          <t>Металлопрокат и метизы</t>
        </is>
      </c>
      <c r="D156" s="9" t="inlineStr">
        <is>
          <t>кг</t>
        </is>
      </c>
      <c r="E156" s="10" t="n">
        <v>7.052759999999999</v>
      </c>
      <c r="F156" s="4">
        <f>E156*IFERROR(INDEX(Работы!$D$4:$D$672,MATCH(SUBSTITUTE(SUBSTITUTE(SUBSTITUTE(A156,"~","~~"),"*","~*"),"?","~?"),Работы!$B$4:$B$672,0)),0)</f>
        <v/>
      </c>
      <c r="G156" s="10" t="n">
        <v>79.76000000000001</v>
      </c>
      <c r="H156" s="14" t="n">
        <v>1</v>
      </c>
      <c r="I156" s="11" t="n">
        <v>0.05</v>
      </c>
      <c r="J156" s="11" t="n">
        <v>0.1</v>
      </c>
      <c r="K156" s="10" t="n"/>
      <c r="L156" s="9" t="inlineStr">
        <is>
          <t>Петрович</t>
        </is>
      </c>
      <c r="M156" s="9" t="inlineStr">
        <is>
          <t>https://moscow.petrovich.ru/product/108534/</t>
        </is>
      </c>
      <c r="N156" s="9" t="inlineStr">
        <is>
          <t>2026-10-29</t>
        </is>
      </c>
      <c r="O156" s="13" t="inlineStr">
        <is>
          <t>Петрович, труба 40х40х2, 587 руб/3 м с НДС, 7,36 кг. Цена кг с НДС 79.76. Карта клуба не учитывалась.</t>
        </is>
      </c>
      <c r="P156" s="4">
        <f>IF(H156=1,G156/VAT_DIV,G156)</f>
        <v/>
      </c>
      <c r="Q156" s="4">
        <f>P156*(1+I156)*(1+DELIV)*(1+GROWTH+MONEY)</f>
        <v/>
      </c>
      <c r="R156" s="4">
        <f>IF(AND(K156&lt;&gt;"",Q156*(1+J156)&gt;K156/VAT_DIV),K156/VAT_DIV,Q156*(1+J156))</f>
        <v/>
      </c>
      <c r="S156" s="4">
        <f>Q156*F156</f>
        <v/>
      </c>
      <c r="T156" s="4">
        <f>R156*F156</f>
        <v/>
      </c>
      <c r="U156" s="3">
        <f>IF(AND(K156&lt;&gt;"",Q156*(1+J156)&gt;K156/VAT_DIV+0.01),"ДА","")</f>
        <v/>
      </c>
      <c r="V156" s="4">
        <f>P156*F156</f>
        <v/>
      </c>
    </row>
    <row r="157" ht="20" customHeight="1">
      <c r="A157" s="9" t="inlineStr">
        <is>
          <t>123. Металлическая круглая труба Ду80 (88,5х4,0мм)</t>
        </is>
      </c>
      <c r="B157" s="13" t="inlineStr">
        <is>
          <t>Труба круглая, 8.34 кг/м</t>
        </is>
      </c>
      <c r="C157" s="9" t="inlineStr">
        <is>
          <t>Металлопрокат и метизы</t>
        </is>
      </c>
      <c r="D157" s="9" t="inlineStr">
        <is>
          <t>кг</t>
        </is>
      </c>
      <c r="E157" s="10" t="n">
        <v>8.33508</v>
      </c>
      <c r="F157" s="4">
        <f>E157*IFERROR(INDEX(Работы!$D$4:$D$672,MATCH(SUBSTITUTE(SUBSTITUTE(SUBSTITUTE(A157,"~","~~"),"*","~*"),"?","~?"),Работы!$B$4:$B$672,0)),0)</f>
        <v/>
      </c>
      <c r="G157" s="10" t="n">
        <v>79.76000000000001</v>
      </c>
      <c r="H157" s="14" t="n">
        <v>1</v>
      </c>
      <c r="I157" s="11" t="n">
        <v>0.05</v>
      </c>
      <c r="J157" s="11" t="n">
        <v>0.1</v>
      </c>
      <c r="K157" s="10" t="n"/>
      <c r="L157" s="9" t="inlineStr">
        <is>
          <t>Петрович</t>
        </is>
      </c>
      <c r="M157" s="9" t="inlineStr">
        <is>
          <t>https://moscow.petrovich.ru/product/108534/</t>
        </is>
      </c>
      <c r="N157" s="9" t="inlineStr">
        <is>
          <t>2026-10-29</t>
        </is>
      </c>
      <c r="O157" s="13" t="inlineStr">
        <is>
          <t>Петрович, труба 40х40х2, 587 руб/3 м с НДС, 7,36 кг. Цена кг с НДС 79.76. Карта клуба не учитывалась.</t>
        </is>
      </c>
      <c r="P157" s="4">
        <f>IF(H157=1,G157/VAT_DIV,G157)</f>
        <v/>
      </c>
      <c r="Q157" s="4">
        <f>P157*(1+I157)*(1+DELIV)*(1+GROWTH+MONEY)</f>
        <v/>
      </c>
      <c r="R157" s="4">
        <f>IF(AND(K157&lt;&gt;"",Q157*(1+J157)&gt;K157/VAT_DIV),K157/VAT_DIV,Q157*(1+J157))</f>
        <v/>
      </c>
      <c r="S157" s="4">
        <f>Q157*F157</f>
        <v/>
      </c>
      <c r="T157" s="4">
        <f>R157*F157</f>
        <v/>
      </c>
      <c r="U157" s="3">
        <f>IF(AND(K157&lt;&gt;"",Q157*(1+J157)&gt;K157/VAT_DIV+0.01),"ДА","")</f>
        <v/>
      </c>
      <c r="V157" s="4">
        <f>P157*F157</f>
        <v/>
      </c>
    </row>
    <row r="158" ht="20" customHeight="1">
      <c r="A158" s="9" t="inlineStr">
        <is>
          <t>124. Металлическая круглая труба Ду90 (101,3х4,5мм)</t>
        </is>
      </c>
      <c r="B158" s="13" t="inlineStr">
        <is>
          <t>Труба круглая, 10.74 кг/м</t>
        </is>
      </c>
      <c r="C158" s="9" t="inlineStr">
        <is>
          <t>Металлопрокат и метизы</t>
        </is>
      </c>
      <c r="D158" s="9" t="inlineStr">
        <is>
          <t>кг</t>
        </is>
      </c>
      <c r="E158" s="10" t="n">
        <v>10.741896</v>
      </c>
      <c r="F158" s="4">
        <f>E158*IFERROR(INDEX(Работы!$D$4:$D$672,MATCH(SUBSTITUTE(SUBSTITUTE(SUBSTITUTE(A158,"~","~~"),"*","~*"),"?","~?"),Работы!$B$4:$B$672,0)),0)</f>
        <v/>
      </c>
      <c r="G158" s="10" t="n">
        <v>79.76000000000001</v>
      </c>
      <c r="H158" s="14" t="n">
        <v>1</v>
      </c>
      <c r="I158" s="11" t="n">
        <v>0.05</v>
      </c>
      <c r="J158" s="11" t="n">
        <v>0.1</v>
      </c>
      <c r="K158" s="10" t="n"/>
      <c r="L158" s="9" t="inlineStr">
        <is>
          <t>Петрович</t>
        </is>
      </c>
      <c r="M158" s="9" t="inlineStr">
        <is>
          <t>https://moscow.petrovich.ru/product/108534/</t>
        </is>
      </c>
      <c r="N158" s="9" t="inlineStr">
        <is>
          <t>2026-10-29</t>
        </is>
      </c>
      <c r="O158" s="13" t="inlineStr">
        <is>
          <t>Петрович, труба 40х40х2, 587 руб/3 м с НДС, 7,36 кг. Цена кг с НДС 79.76. Карта клуба не учитывалась.</t>
        </is>
      </c>
      <c r="P158" s="4">
        <f>IF(H158=1,G158/VAT_DIV,G158)</f>
        <v/>
      </c>
      <c r="Q158" s="4">
        <f>P158*(1+I158)*(1+DELIV)*(1+GROWTH+MONEY)</f>
        <v/>
      </c>
      <c r="R158" s="4">
        <f>IF(AND(K158&lt;&gt;"",Q158*(1+J158)&gt;K158/VAT_DIV),K158/VAT_DIV,Q158*(1+J158))</f>
        <v/>
      </c>
      <c r="S158" s="4">
        <f>Q158*F158</f>
        <v/>
      </c>
      <c r="T158" s="4">
        <f>R158*F158</f>
        <v/>
      </c>
      <c r="U158" s="3">
        <f>IF(AND(K158&lt;&gt;"",Q158*(1+J158)&gt;K158/VAT_DIV+0.01),"ДА","")</f>
        <v/>
      </c>
      <c r="V158" s="4">
        <f>P158*F158</f>
        <v/>
      </c>
    </row>
    <row r="159" ht="20" customHeight="1">
      <c r="A159" s="9" t="inlineStr">
        <is>
          <t>125. Металлическая круглая труба Ду100 (114х4,5мм)</t>
        </is>
      </c>
      <c r="B159" s="13" t="inlineStr">
        <is>
          <t>Труба круглая, 12.15 кг/м</t>
        </is>
      </c>
      <c r="C159" s="9" t="inlineStr">
        <is>
          <t>Металлопрокат и метизы</t>
        </is>
      </c>
      <c r="D159" s="9" t="inlineStr">
        <is>
          <t>кг</t>
        </is>
      </c>
      <c r="E159" s="10" t="n">
        <v>12.151215</v>
      </c>
      <c r="F159" s="4">
        <f>E159*IFERROR(INDEX(Работы!$D$4:$D$672,MATCH(SUBSTITUTE(SUBSTITUTE(SUBSTITUTE(A159,"~","~~"),"*","~*"),"?","~?"),Работы!$B$4:$B$672,0)),0)</f>
        <v/>
      </c>
      <c r="G159" s="10" t="n">
        <v>79.76000000000001</v>
      </c>
      <c r="H159" s="14" t="n">
        <v>1</v>
      </c>
      <c r="I159" s="11" t="n">
        <v>0.05</v>
      </c>
      <c r="J159" s="11" t="n">
        <v>0.1</v>
      </c>
      <c r="K159" s="10" t="n"/>
      <c r="L159" s="9" t="inlineStr">
        <is>
          <t>Петрович</t>
        </is>
      </c>
      <c r="M159" s="9" t="inlineStr">
        <is>
          <t>https://moscow.petrovich.ru/product/108534/</t>
        </is>
      </c>
      <c r="N159" s="9" t="inlineStr">
        <is>
          <t>2026-10-29</t>
        </is>
      </c>
      <c r="O159" s="13" t="inlineStr">
        <is>
          <t>Петрович, труба 40х40х2, 587 руб/3 м с НДС, 7,36 кг. Цена кг с НДС 79.76. Карта клуба не учитывалась.</t>
        </is>
      </c>
      <c r="P159" s="4">
        <f>IF(H159=1,G159/VAT_DIV,G159)</f>
        <v/>
      </c>
      <c r="Q159" s="4">
        <f>P159*(1+I159)*(1+DELIV)*(1+GROWTH+MONEY)</f>
        <v/>
      </c>
      <c r="R159" s="4">
        <f>IF(AND(K159&lt;&gt;"",Q159*(1+J159)&gt;K159/VAT_DIV),K159/VAT_DIV,Q159*(1+J159))</f>
        <v/>
      </c>
      <c r="S159" s="4">
        <f>Q159*F159</f>
        <v/>
      </c>
      <c r="T159" s="4">
        <f>R159*F159</f>
        <v/>
      </c>
      <c r="U159" s="3">
        <f>IF(AND(K159&lt;&gt;"",Q159*(1+J159)&gt;K159/VAT_DIV+0.01),"ДА","")</f>
        <v/>
      </c>
      <c r="V159" s="4">
        <f>P159*F159</f>
        <v/>
      </c>
    </row>
    <row r="160" ht="20" customHeight="1">
      <c r="A160" s="9" t="inlineStr">
        <is>
          <t>126. Металлическая профилированная труба 25х25x2 мм</t>
        </is>
      </c>
      <c r="B160" s="13" t="inlineStr">
        <is>
          <t>Труба профильная, 1.44 кг/м</t>
        </is>
      </c>
      <c r="C160" s="9" t="inlineStr">
        <is>
          <t>Металлопрокат и метизы</t>
        </is>
      </c>
      <c r="D160" s="9" t="inlineStr">
        <is>
          <t>кг</t>
        </is>
      </c>
      <c r="E160" s="10" t="n">
        <v>1.4444</v>
      </c>
      <c r="F160" s="4">
        <f>E160*IFERROR(INDEX(Работы!$D$4:$D$672,MATCH(SUBSTITUTE(SUBSTITUTE(SUBSTITUTE(A160,"~","~~"),"*","~*"),"?","~?"),Работы!$B$4:$B$672,0)),0)</f>
        <v/>
      </c>
      <c r="G160" s="10" t="n">
        <v>79.76000000000001</v>
      </c>
      <c r="H160" s="14" t="n">
        <v>1</v>
      </c>
      <c r="I160" s="11" t="n">
        <v>0.05</v>
      </c>
      <c r="J160" s="11" t="n">
        <v>0.1</v>
      </c>
      <c r="K160" s="10" t="n"/>
      <c r="L160" s="9" t="inlineStr">
        <is>
          <t>Петрович</t>
        </is>
      </c>
      <c r="M160" s="9" t="inlineStr">
        <is>
          <t>https://moscow.petrovich.ru/product/108534/</t>
        </is>
      </c>
      <c r="N160" s="9" t="inlineStr">
        <is>
          <t>2026-10-29</t>
        </is>
      </c>
      <c r="O160" s="13" t="inlineStr">
        <is>
          <t>Петрович, труба 40х40х2, 587 руб/3 м с НДС, 7,36 кг. Цена кг с НДС 79.76. Карта клуба не учитывалась.</t>
        </is>
      </c>
      <c r="P160" s="4">
        <f>IF(H160=1,G160/VAT_DIV,G160)</f>
        <v/>
      </c>
      <c r="Q160" s="4">
        <f>P160*(1+I160)*(1+DELIV)*(1+GROWTH+MONEY)</f>
        <v/>
      </c>
      <c r="R160" s="4">
        <f>IF(AND(K160&lt;&gt;"",Q160*(1+J160)&gt;K160/VAT_DIV),K160/VAT_DIV,Q160*(1+J160))</f>
        <v/>
      </c>
      <c r="S160" s="4">
        <f>Q160*F160</f>
        <v/>
      </c>
      <c r="T160" s="4">
        <f>R160*F160</f>
        <v/>
      </c>
      <c r="U160" s="3">
        <f>IF(AND(K160&lt;&gt;"",Q160*(1+J160)&gt;K160/VAT_DIV+0.01),"ДА","")</f>
        <v/>
      </c>
      <c r="V160" s="4">
        <f>P160*F160</f>
        <v/>
      </c>
    </row>
    <row r="161" ht="20" customHeight="1">
      <c r="A161" s="9" t="inlineStr">
        <is>
          <t>127. Металлическая профилированная труба 40х20x2 мм</t>
        </is>
      </c>
      <c r="B161" s="13" t="inlineStr">
        <is>
          <t>Труба профильная, 1.76 кг/м</t>
        </is>
      </c>
      <c r="C161" s="9" t="inlineStr">
        <is>
          <t>Металлопрокат и метизы</t>
        </is>
      </c>
      <c r="D161" s="9" t="inlineStr">
        <is>
          <t>кг</t>
        </is>
      </c>
      <c r="E161" s="10" t="n">
        <v>1.7584</v>
      </c>
      <c r="F161" s="4">
        <f>E161*IFERROR(INDEX(Работы!$D$4:$D$672,MATCH(SUBSTITUTE(SUBSTITUTE(SUBSTITUTE(A161,"~","~~"),"*","~*"),"?","~?"),Работы!$B$4:$B$672,0)),0)</f>
        <v/>
      </c>
      <c r="G161" s="10" t="n">
        <v>79.76000000000001</v>
      </c>
      <c r="H161" s="14" t="n">
        <v>1</v>
      </c>
      <c r="I161" s="11" t="n">
        <v>0.05</v>
      </c>
      <c r="J161" s="11" t="n">
        <v>0.1</v>
      </c>
      <c r="K161" s="10" t="n"/>
      <c r="L161" s="9" t="inlineStr">
        <is>
          <t>Петрович</t>
        </is>
      </c>
      <c r="M161" s="9" t="inlineStr">
        <is>
          <t>https://moscow.petrovich.ru/product/108534/</t>
        </is>
      </c>
      <c r="N161" s="9" t="inlineStr">
        <is>
          <t>2026-10-29</t>
        </is>
      </c>
      <c r="O161" s="13" t="inlineStr">
        <is>
          <t>Петрович, труба 40х40х2, 587 руб/3 м с НДС, 7,36 кг. Цена кг с НДС 79.76. Карта клуба не учитывалась.</t>
        </is>
      </c>
      <c r="P161" s="4">
        <f>IF(H161=1,G161/VAT_DIV,G161)</f>
        <v/>
      </c>
      <c r="Q161" s="4">
        <f>P161*(1+I161)*(1+DELIV)*(1+GROWTH+MONEY)</f>
        <v/>
      </c>
      <c r="R161" s="4">
        <f>IF(AND(K161&lt;&gt;"",Q161*(1+J161)&gt;K161/VAT_DIV),K161/VAT_DIV,Q161*(1+J161))</f>
        <v/>
      </c>
      <c r="S161" s="4">
        <f>Q161*F161</f>
        <v/>
      </c>
      <c r="T161" s="4">
        <f>R161*F161</f>
        <v/>
      </c>
      <c r="U161" s="3">
        <f>IF(AND(K161&lt;&gt;"",Q161*(1+J161)&gt;K161/VAT_DIV+0.01),"ДА","")</f>
        <v/>
      </c>
      <c r="V161" s="4">
        <f>P161*F161</f>
        <v/>
      </c>
    </row>
    <row r="162" ht="20" customHeight="1">
      <c r="A162" s="9" t="inlineStr">
        <is>
          <t>128. Металлическая профилированная труба 40х25x2 мм</t>
        </is>
      </c>
      <c r="B162" s="13" t="inlineStr">
        <is>
          <t>Труба профильная, 1.92 кг/м</t>
        </is>
      </c>
      <c r="C162" s="9" t="inlineStr">
        <is>
          <t>Металлопрокат и метизы</t>
        </is>
      </c>
      <c r="D162" s="9" t="inlineStr">
        <is>
          <t>кг</t>
        </is>
      </c>
      <c r="E162" s="10" t="n">
        <v>1.9154</v>
      </c>
      <c r="F162" s="4">
        <f>E162*IFERROR(INDEX(Работы!$D$4:$D$672,MATCH(SUBSTITUTE(SUBSTITUTE(SUBSTITUTE(A162,"~","~~"),"*","~*"),"?","~?"),Работы!$B$4:$B$672,0)),0)</f>
        <v/>
      </c>
      <c r="G162" s="10" t="n">
        <v>79.76000000000001</v>
      </c>
      <c r="H162" s="14" t="n">
        <v>1</v>
      </c>
      <c r="I162" s="11" t="n">
        <v>0.05</v>
      </c>
      <c r="J162" s="11" t="n">
        <v>0.1</v>
      </c>
      <c r="K162" s="10" t="n"/>
      <c r="L162" s="9" t="inlineStr">
        <is>
          <t>Петрович</t>
        </is>
      </c>
      <c r="M162" s="9" t="inlineStr">
        <is>
          <t>https://moscow.petrovich.ru/product/108534/</t>
        </is>
      </c>
      <c r="N162" s="9" t="inlineStr">
        <is>
          <t>2026-10-29</t>
        </is>
      </c>
      <c r="O162" s="13" t="inlineStr">
        <is>
          <t>Петрович, труба 40х40х2, 587 руб/3 м с НДС, 7,36 кг. Цена кг с НДС 79.76. Карта клуба не учитывалась.</t>
        </is>
      </c>
      <c r="P162" s="4">
        <f>IF(H162=1,G162/VAT_DIV,G162)</f>
        <v/>
      </c>
      <c r="Q162" s="4">
        <f>P162*(1+I162)*(1+DELIV)*(1+GROWTH+MONEY)</f>
        <v/>
      </c>
      <c r="R162" s="4">
        <f>IF(AND(K162&lt;&gt;"",Q162*(1+J162)&gt;K162/VAT_DIV),K162/VAT_DIV,Q162*(1+J162))</f>
        <v/>
      </c>
      <c r="S162" s="4">
        <f>Q162*F162</f>
        <v/>
      </c>
      <c r="T162" s="4">
        <f>R162*F162</f>
        <v/>
      </c>
      <c r="U162" s="3">
        <f>IF(AND(K162&lt;&gt;"",Q162*(1+J162)&gt;K162/VAT_DIV+0.01),"ДА","")</f>
        <v/>
      </c>
      <c r="V162" s="4">
        <f>P162*F162</f>
        <v/>
      </c>
    </row>
    <row r="163" ht="20" customHeight="1">
      <c r="A163" s="9" t="inlineStr">
        <is>
          <t>129. Металлическая профилированная труба 40х40х2 мм</t>
        </is>
      </c>
      <c r="B163" s="13" t="inlineStr">
        <is>
          <t>Труба профильная, 2.39 кг/м</t>
        </is>
      </c>
      <c r="C163" s="9" t="inlineStr">
        <is>
          <t>Металлопрокат и метизы</t>
        </is>
      </c>
      <c r="D163" s="9" t="inlineStr">
        <is>
          <t>кг</t>
        </is>
      </c>
      <c r="E163" s="10" t="n">
        <v>2.3864</v>
      </c>
      <c r="F163" s="4">
        <f>E163*IFERROR(INDEX(Работы!$D$4:$D$672,MATCH(SUBSTITUTE(SUBSTITUTE(SUBSTITUTE(A163,"~","~~"),"*","~*"),"?","~?"),Работы!$B$4:$B$672,0)),0)</f>
        <v/>
      </c>
      <c r="G163" s="10" t="n">
        <v>79.76000000000001</v>
      </c>
      <c r="H163" s="14" t="n">
        <v>1</v>
      </c>
      <c r="I163" s="11" t="n">
        <v>0.05</v>
      </c>
      <c r="J163" s="11" t="n">
        <v>0.1</v>
      </c>
      <c r="K163" s="10" t="n"/>
      <c r="L163" s="9" t="inlineStr">
        <is>
          <t>Петрович</t>
        </is>
      </c>
      <c r="M163" s="9" t="inlineStr">
        <is>
          <t>https://moscow.petrovich.ru/product/108534/</t>
        </is>
      </c>
      <c r="N163" s="9" t="inlineStr">
        <is>
          <t>2026-10-29</t>
        </is>
      </c>
      <c r="O163" s="13" t="inlineStr">
        <is>
          <t>Петрович, труба 40х40х2, 587 руб/3 м с НДС, 7,36 кг. Цена кг с НДС 79.76. Карта клуба не учитывалась.</t>
        </is>
      </c>
      <c r="P163" s="4">
        <f>IF(H163=1,G163/VAT_DIV,G163)</f>
        <v/>
      </c>
      <c r="Q163" s="4">
        <f>P163*(1+I163)*(1+DELIV)*(1+GROWTH+MONEY)</f>
        <v/>
      </c>
      <c r="R163" s="4">
        <f>IF(AND(K163&lt;&gt;"",Q163*(1+J163)&gt;K163/VAT_DIV),K163/VAT_DIV,Q163*(1+J163))</f>
        <v/>
      </c>
      <c r="S163" s="4">
        <f>Q163*F163</f>
        <v/>
      </c>
      <c r="T163" s="4">
        <f>R163*F163</f>
        <v/>
      </c>
      <c r="U163" s="3">
        <f>IF(AND(K163&lt;&gt;"",Q163*(1+J163)&gt;K163/VAT_DIV+0.01),"ДА","")</f>
        <v/>
      </c>
      <c r="V163" s="4">
        <f>P163*F163</f>
        <v/>
      </c>
    </row>
    <row r="164" ht="20" customHeight="1">
      <c r="A164" s="9" t="inlineStr">
        <is>
          <t>130. Металлическая профилированная труба 50х25х2 мм</t>
        </is>
      </c>
      <c r="B164" s="13" t="inlineStr">
        <is>
          <t>Труба профильная, 2.23 кг/м</t>
        </is>
      </c>
      <c r="C164" s="9" t="inlineStr">
        <is>
          <t>Металлопрокат и метизы</t>
        </is>
      </c>
      <c r="D164" s="9" t="inlineStr">
        <is>
          <t>кг</t>
        </is>
      </c>
      <c r="E164" s="10" t="n">
        <v>2.2294</v>
      </c>
      <c r="F164" s="4">
        <f>E164*IFERROR(INDEX(Работы!$D$4:$D$672,MATCH(SUBSTITUTE(SUBSTITUTE(SUBSTITUTE(A164,"~","~~"),"*","~*"),"?","~?"),Работы!$B$4:$B$672,0)),0)</f>
        <v/>
      </c>
      <c r="G164" s="10" t="n">
        <v>79.76000000000001</v>
      </c>
      <c r="H164" s="14" t="n">
        <v>1</v>
      </c>
      <c r="I164" s="11" t="n">
        <v>0.05</v>
      </c>
      <c r="J164" s="11" t="n">
        <v>0.1</v>
      </c>
      <c r="K164" s="10" t="n"/>
      <c r="L164" s="9" t="inlineStr">
        <is>
          <t>Петрович</t>
        </is>
      </c>
      <c r="M164" s="9" t="inlineStr">
        <is>
          <t>https://moscow.petrovich.ru/product/108534/</t>
        </is>
      </c>
      <c r="N164" s="9" t="inlineStr">
        <is>
          <t>2026-10-29</t>
        </is>
      </c>
      <c r="O164" s="13" t="inlineStr">
        <is>
          <t>Петрович, труба 40х40х2, 587 руб/3 м с НДС, 7,36 кг. Цена кг с НДС 79.76. Карта клуба не учитывалась.</t>
        </is>
      </c>
      <c r="P164" s="4">
        <f>IF(H164=1,G164/VAT_DIV,G164)</f>
        <v/>
      </c>
      <c r="Q164" s="4">
        <f>P164*(1+I164)*(1+DELIV)*(1+GROWTH+MONEY)</f>
        <v/>
      </c>
      <c r="R164" s="4">
        <f>IF(AND(K164&lt;&gt;"",Q164*(1+J164)&gt;K164/VAT_DIV),K164/VAT_DIV,Q164*(1+J164))</f>
        <v/>
      </c>
      <c r="S164" s="4">
        <f>Q164*F164</f>
        <v/>
      </c>
      <c r="T164" s="4">
        <f>R164*F164</f>
        <v/>
      </c>
      <c r="U164" s="3">
        <f>IF(AND(K164&lt;&gt;"",Q164*(1+J164)&gt;K164/VAT_DIV+0.01),"ДА","")</f>
        <v/>
      </c>
      <c r="V164" s="4">
        <f>P164*F164</f>
        <v/>
      </c>
    </row>
    <row r="165" ht="20" customHeight="1">
      <c r="A165" s="9" t="inlineStr">
        <is>
          <t>131. Металлическая профилированная труба 60х40х2 мм</t>
        </is>
      </c>
      <c r="B165" s="13" t="inlineStr">
        <is>
          <t>Труба профильная, 3.01 кг/м</t>
        </is>
      </c>
      <c r="C165" s="9" t="inlineStr">
        <is>
          <t>Металлопрокат и метизы</t>
        </is>
      </c>
      <c r="D165" s="9" t="inlineStr">
        <is>
          <t>кг</t>
        </is>
      </c>
      <c r="E165" s="10" t="n">
        <v>3.0144</v>
      </c>
      <c r="F165" s="4">
        <f>E165*IFERROR(INDEX(Работы!$D$4:$D$672,MATCH(SUBSTITUTE(SUBSTITUTE(SUBSTITUTE(A165,"~","~~"),"*","~*"),"?","~?"),Работы!$B$4:$B$672,0)),0)</f>
        <v/>
      </c>
      <c r="G165" s="10" t="n">
        <v>79.76000000000001</v>
      </c>
      <c r="H165" s="14" t="n">
        <v>1</v>
      </c>
      <c r="I165" s="11" t="n">
        <v>0.05</v>
      </c>
      <c r="J165" s="11" t="n">
        <v>0.1</v>
      </c>
      <c r="K165" s="10" t="n"/>
      <c r="L165" s="9" t="inlineStr">
        <is>
          <t>Петрович</t>
        </is>
      </c>
      <c r="M165" s="9" t="inlineStr">
        <is>
          <t>https://moscow.petrovich.ru/product/108534/</t>
        </is>
      </c>
      <c r="N165" s="9" t="inlineStr">
        <is>
          <t>2026-10-29</t>
        </is>
      </c>
      <c r="O165" s="13" t="inlineStr">
        <is>
          <t>Петрович, труба 40х40х2, 587 руб/3 м с НДС, 7,36 кг. Цена кг с НДС 79.76. Карта клуба не учитывалась.</t>
        </is>
      </c>
      <c r="P165" s="4">
        <f>IF(H165=1,G165/VAT_DIV,G165)</f>
        <v/>
      </c>
      <c r="Q165" s="4">
        <f>P165*(1+I165)*(1+DELIV)*(1+GROWTH+MONEY)</f>
        <v/>
      </c>
      <c r="R165" s="4">
        <f>IF(AND(K165&lt;&gt;"",Q165*(1+J165)&gt;K165/VAT_DIV),K165/VAT_DIV,Q165*(1+J165))</f>
        <v/>
      </c>
      <c r="S165" s="4">
        <f>Q165*F165</f>
        <v/>
      </c>
      <c r="T165" s="4">
        <f>R165*F165</f>
        <v/>
      </c>
      <c r="U165" s="3">
        <f>IF(AND(K165&lt;&gt;"",Q165*(1+J165)&gt;K165/VAT_DIV+0.01),"ДА","")</f>
        <v/>
      </c>
      <c r="V165" s="4">
        <f>P165*F165</f>
        <v/>
      </c>
    </row>
    <row r="166" ht="20" customHeight="1">
      <c r="A166" s="9" t="inlineStr">
        <is>
          <t>132. Металлическая профилированная труба 50х50х2 мм</t>
        </is>
      </c>
      <c r="B166" s="13" t="inlineStr">
        <is>
          <t>Труба профильная, 3.01 кг/м</t>
        </is>
      </c>
      <c r="C166" s="9" t="inlineStr">
        <is>
          <t>Металлопрокат и метизы</t>
        </is>
      </c>
      <c r="D166" s="9" t="inlineStr">
        <is>
          <t>кг</t>
        </is>
      </c>
      <c r="E166" s="10" t="n">
        <v>3.0144</v>
      </c>
      <c r="F166" s="4">
        <f>E166*IFERROR(INDEX(Работы!$D$4:$D$672,MATCH(SUBSTITUTE(SUBSTITUTE(SUBSTITUTE(A166,"~","~~"),"*","~*"),"?","~?"),Работы!$B$4:$B$672,0)),0)</f>
        <v/>
      </c>
      <c r="G166" s="10" t="n">
        <v>79.76000000000001</v>
      </c>
      <c r="H166" s="14" t="n">
        <v>1</v>
      </c>
      <c r="I166" s="11" t="n">
        <v>0.05</v>
      </c>
      <c r="J166" s="11" t="n">
        <v>0.1</v>
      </c>
      <c r="K166" s="10" t="n"/>
      <c r="L166" s="9" t="inlineStr">
        <is>
          <t>Петрович</t>
        </is>
      </c>
      <c r="M166" s="9" t="inlineStr">
        <is>
          <t>https://moscow.petrovich.ru/product/108534/</t>
        </is>
      </c>
      <c r="N166" s="9" t="inlineStr">
        <is>
          <t>2026-10-29</t>
        </is>
      </c>
      <c r="O166" s="13" t="inlineStr">
        <is>
          <t>Петрович, труба 40х40х2, 587 руб/3 м с НДС, 7,36 кг. Цена кг с НДС 79.76. Карта клуба не учитывалась.</t>
        </is>
      </c>
      <c r="P166" s="4">
        <f>IF(H166=1,G166/VAT_DIV,G166)</f>
        <v/>
      </c>
      <c r="Q166" s="4">
        <f>P166*(1+I166)*(1+DELIV)*(1+GROWTH+MONEY)</f>
        <v/>
      </c>
      <c r="R166" s="4">
        <f>IF(AND(K166&lt;&gt;"",Q166*(1+J166)&gt;K166/VAT_DIV),K166/VAT_DIV,Q166*(1+J166))</f>
        <v/>
      </c>
      <c r="S166" s="4">
        <f>Q166*F166</f>
        <v/>
      </c>
      <c r="T166" s="4">
        <f>R166*F166</f>
        <v/>
      </c>
      <c r="U166" s="3">
        <f>IF(AND(K166&lt;&gt;"",Q166*(1+J166)&gt;K166/VAT_DIV+0.01),"ДА","")</f>
        <v/>
      </c>
      <c r="V166" s="4">
        <f>P166*F166</f>
        <v/>
      </c>
    </row>
    <row r="167" ht="20" customHeight="1">
      <c r="A167" s="9" t="inlineStr">
        <is>
          <t>133. Металлическая профилированная труба 60х60x2 мм</t>
        </is>
      </c>
      <c r="B167" s="13" t="inlineStr">
        <is>
          <t>Труба профильная, 3.64 кг/м</t>
        </is>
      </c>
      <c r="C167" s="9" t="inlineStr">
        <is>
          <t>Металлопрокат и метизы</t>
        </is>
      </c>
      <c r="D167" s="9" t="inlineStr">
        <is>
          <t>кг</t>
        </is>
      </c>
      <c r="E167" s="10" t="n">
        <v>3.6424</v>
      </c>
      <c r="F167" s="4">
        <f>E167*IFERROR(INDEX(Работы!$D$4:$D$672,MATCH(SUBSTITUTE(SUBSTITUTE(SUBSTITUTE(A167,"~","~~"),"*","~*"),"?","~?"),Работы!$B$4:$B$672,0)),0)</f>
        <v/>
      </c>
      <c r="G167" s="10" t="n">
        <v>79.76000000000001</v>
      </c>
      <c r="H167" s="14" t="n">
        <v>1</v>
      </c>
      <c r="I167" s="11" t="n">
        <v>0.05</v>
      </c>
      <c r="J167" s="11" t="n">
        <v>0.1</v>
      </c>
      <c r="K167" s="10" t="n"/>
      <c r="L167" s="9" t="inlineStr">
        <is>
          <t>Петрович</t>
        </is>
      </c>
      <c r="M167" s="9" t="inlineStr">
        <is>
          <t>https://moscow.petrovich.ru/product/108534/</t>
        </is>
      </c>
      <c r="N167" s="9" t="inlineStr">
        <is>
          <t>2026-10-29</t>
        </is>
      </c>
      <c r="O167" s="13" t="inlineStr">
        <is>
          <t>Петрович, труба 40х40х2, 587 руб/3 м с НДС, 7,36 кг. Цена кг с НДС 79.76. Карта клуба не учитывалась.</t>
        </is>
      </c>
      <c r="P167" s="4">
        <f>IF(H167=1,G167/VAT_DIV,G167)</f>
        <v/>
      </c>
      <c r="Q167" s="4">
        <f>P167*(1+I167)*(1+DELIV)*(1+GROWTH+MONEY)</f>
        <v/>
      </c>
      <c r="R167" s="4">
        <f>IF(AND(K167&lt;&gt;"",Q167*(1+J167)&gt;K167/VAT_DIV),K167/VAT_DIV,Q167*(1+J167))</f>
        <v/>
      </c>
      <c r="S167" s="4">
        <f>Q167*F167</f>
        <v/>
      </c>
      <c r="T167" s="4">
        <f>R167*F167</f>
        <v/>
      </c>
      <c r="U167" s="3">
        <f>IF(AND(K167&lt;&gt;"",Q167*(1+J167)&gt;K167/VAT_DIV+0.01),"ДА","")</f>
        <v/>
      </c>
      <c r="V167" s="4">
        <f>P167*F167</f>
        <v/>
      </c>
    </row>
    <row r="168" ht="20" customHeight="1">
      <c r="A168" s="9" t="inlineStr">
        <is>
          <t>134. Металлическая профилированная труба 80х60x2 мм</t>
        </is>
      </c>
      <c r="B168" s="13" t="inlineStr">
        <is>
          <t>Труба профильная, 4.27 кг/м</t>
        </is>
      </c>
      <c r="C168" s="9" t="inlineStr">
        <is>
          <t>Металлопрокат и метизы</t>
        </is>
      </c>
      <c r="D168" s="9" t="inlineStr">
        <is>
          <t>кг</t>
        </is>
      </c>
      <c r="E168" s="10" t="n">
        <v>4.2704</v>
      </c>
      <c r="F168" s="4">
        <f>E168*IFERROR(INDEX(Работы!$D$4:$D$672,MATCH(SUBSTITUTE(SUBSTITUTE(SUBSTITUTE(A168,"~","~~"),"*","~*"),"?","~?"),Работы!$B$4:$B$672,0)),0)</f>
        <v/>
      </c>
      <c r="G168" s="10" t="n">
        <v>79.76000000000001</v>
      </c>
      <c r="H168" s="14" t="n">
        <v>1</v>
      </c>
      <c r="I168" s="11" t="n">
        <v>0.05</v>
      </c>
      <c r="J168" s="11" t="n">
        <v>0.1</v>
      </c>
      <c r="K168" s="10" t="n"/>
      <c r="L168" s="9" t="inlineStr">
        <is>
          <t>Петрович</t>
        </is>
      </c>
      <c r="M168" s="9" t="inlineStr">
        <is>
          <t>https://moscow.petrovich.ru/product/108534/</t>
        </is>
      </c>
      <c r="N168" s="9" t="inlineStr">
        <is>
          <t>2026-10-29</t>
        </is>
      </c>
      <c r="O168" s="13" t="inlineStr">
        <is>
          <t>Петрович, труба 40х40х2, 587 руб/3 м с НДС, 7,36 кг. Цена кг с НДС 79.76. Карта клуба не учитывалась.</t>
        </is>
      </c>
      <c r="P168" s="4">
        <f>IF(H168=1,G168/VAT_DIV,G168)</f>
        <v/>
      </c>
      <c r="Q168" s="4">
        <f>P168*(1+I168)*(1+DELIV)*(1+GROWTH+MONEY)</f>
        <v/>
      </c>
      <c r="R168" s="4">
        <f>IF(AND(K168&lt;&gt;"",Q168*(1+J168)&gt;K168/VAT_DIV),K168/VAT_DIV,Q168*(1+J168))</f>
        <v/>
      </c>
      <c r="S168" s="4">
        <f>Q168*F168</f>
        <v/>
      </c>
      <c r="T168" s="4">
        <f>R168*F168</f>
        <v/>
      </c>
      <c r="U168" s="3">
        <f>IF(AND(K168&lt;&gt;"",Q168*(1+J168)&gt;K168/VAT_DIV+0.01),"ДА","")</f>
        <v/>
      </c>
      <c r="V168" s="4">
        <f>P168*F168</f>
        <v/>
      </c>
    </row>
    <row r="169" ht="20" customHeight="1">
      <c r="A169" s="9" t="inlineStr">
        <is>
          <t>135. Металлическая профилированная труба 80х80x4 мм</t>
        </is>
      </c>
      <c r="B169" s="13" t="inlineStr">
        <is>
          <t>Труба профильная, 9.55 кг/м</t>
        </is>
      </c>
      <c r="C169" s="9" t="inlineStr">
        <is>
          <t>Металлопрокат и метизы</t>
        </is>
      </c>
      <c r="D169" s="9" t="inlineStr">
        <is>
          <t>кг</t>
        </is>
      </c>
      <c r="E169" s="10" t="n">
        <v>9.5456</v>
      </c>
      <c r="F169" s="4">
        <f>E169*IFERROR(INDEX(Работы!$D$4:$D$672,MATCH(SUBSTITUTE(SUBSTITUTE(SUBSTITUTE(A169,"~","~~"),"*","~*"),"?","~?"),Работы!$B$4:$B$672,0)),0)</f>
        <v/>
      </c>
      <c r="G169" s="10" t="n">
        <v>79.76000000000001</v>
      </c>
      <c r="H169" s="14" t="n">
        <v>1</v>
      </c>
      <c r="I169" s="11" t="n">
        <v>0.05</v>
      </c>
      <c r="J169" s="11" t="n">
        <v>0.1</v>
      </c>
      <c r="K169" s="10" t="n"/>
      <c r="L169" s="9" t="inlineStr">
        <is>
          <t>Петрович</t>
        </is>
      </c>
      <c r="M169" s="9" t="inlineStr">
        <is>
          <t>https://moscow.petrovich.ru/product/108534/</t>
        </is>
      </c>
      <c r="N169" s="9" t="inlineStr">
        <is>
          <t>2026-10-29</t>
        </is>
      </c>
      <c r="O169" s="13" t="inlineStr">
        <is>
          <t>Петрович, труба 40х40х2, 587 руб/3 м с НДС, 7,36 кг. Цена кг с НДС 79.76. Карта клуба не учитывалась.</t>
        </is>
      </c>
      <c r="P169" s="4">
        <f>IF(H169=1,G169/VAT_DIV,G169)</f>
        <v/>
      </c>
      <c r="Q169" s="4">
        <f>P169*(1+I169)*(1+DELIV)*(1+GROWTH+MONEY)</f>
        <v/>
      </c>
      <c r="R169" s="4">
        <f>IF(AND(K169&lt;&gt;"",Q169*(1+J169)&gt;K169/VAT_DIV),K169/VAT_DIV,Q169*(1+J169))</f>
        <v/>
      </c>
      <c r="S169" s="4">
        <f>Q169*F169</f>
        <v/>
      </c>
      <c r="T169" s="4">
        <f>R169*F169</f>
        <v/>
      </c>
      <c r="U169" s="3">
        <f>IF(AND(K169&lt;&gt;"",Q169*(1+J169)&gt;K169/VAT_DIV+0.01),"ДА","")</f>
        <v/>
      </c>
      <c r="V169" s="4">
        <f>P169*F169</f>
        <v/>
      </c>
    </row>
    <row r="170" ht="20" customHeight="1">
      <c r="A170" s="9" t="inlineStr">
        <is>
          <t>136. Металлическая профилированная труба 100х100x5 мм</t>
        </is>
      </c>
      <c r="B170" s="13" t="inlineStr">
        <is>
          <t>Труба профильная, 14.91 кг/м</t>
        </is>
      </c>
      <c r="C170" s="9" t="inlineStr">
        <is>
          <t>Металлопрокат и метизы</t>
        </is>
      </c>
      <c r="D170" s="9" t="inlineStr">
        <is>
          <t>кг</t>
        </is>
      </c>
      <c r="E170" s="10" t="n">
        <v>14.915</v>
      </c>
      <c r="F170" s="4">
        <f>E170*IFERROR(INDEX(Работы!$D$4:$D$672,MATCH(SUBSTITUTE(SUBSTITUTE(SUBSTITUTE(A170,"~","~~"),"*","~*"),"?","~?"),Работы!$B$4:$B$672,0)),0)</f>
        <v/>
      </c>
      <c r="G170" s="10" t="n">
        <v>79.76000000000001</v>
      </c>
      <c r="H170" s="14" t="n">
        <v>1</v>
      </c>
      <c r="I170" s="11" t="n">
        <v>0.05</v>
      </c>
      <c r="J170" s="11" t="n">
        <v>0.1</v>
      </c>
      <c r="K170" s="10" t="n"/>
      <c r="L170" s="9" t="inlineStr">
        <is>
          <t>Петрович</t>
        </is>
      </c>
      <c r="M170" s="9" t="inlineStr">
        <is>
          <t>https://moscow.petrovich.ru/product/108534/</t>
        </is>
      </c>
      <c r="N170" s="9" t="inlineStr">
        <is>
          <t>2026-10-29</t>
        </is>
      </c>
      <c r="O170" s="13" t="inlineStr">
        <is>
          <t>Петрович, труба 40х40х2, 587 руб/3 м с НДС, 7,36 кг. Цена кг с НДС 79.76. Карта клуба не учитывалась.</t>
        </is>
      </c>
      <c r="P170" s="4">
        <f>IF(H170=1,G170/VAT_DIV,G170)</f>
        <v/>
      </c>
      <c r="Q170" s="4">
        <f>P170*(1+I170)*(1+DELIV)*(1+GROWTH+MONEY)</f>
        <v/>
      </c>
      <c r="R170" s="4">
        <f>IF(AND(K170&lt;&gt;"",Q170*(1+J170)&gt;K170/VAT_DIV),K170/VAT_DIV,Q170*(1+J170))</f>
        <v/>
      </c>
      <c r="S170" s="4">
        <f>Q170*F170</f>
        <v/>
      </c>
      <c r="T170" s="4">
        <f>R170*F170</f>
        <v/>
      </c>
      <c r="U170" s="3">
        <f>IF(AND(K170&lt;&gt;"",Q170*(1+J170)&gt;K170/VAT_DIV+0.01),"ДА","")</f>
        <v/>
      </c>
      <c r="V170" s="4">
        <f>P170*F170</f>
        <v/>
      </c>
    </row>
    <row r="171" ht="20" customHeight="1">
      <c r="A171" s="9" t="inlineStr">
        <is>
          <t>137. Металлическая профилированная труба 60х60x4 мм</t>
        </is>
      </c>
      <c r="B171" s="13" t="inlineStr">
        <is>
          <t>Труба профильная, 7.03 кг/м</t>
        </is>
      </c>
      <c r="C171" s="9" t="inlineStr">
        <is>
          <t>Металлопрокат и метизы</t>
        </is>
      </c>
      <c r="D171" s="9" t="inlineStr">
        <is>
          <t>кг</t>
        </is>
      </c>
      <c r="E171" s="10" t="n">
        <v>7.0336</v>
      </c>
      <c r="F171" s="4">
        <f>E171*IFERROR(INDEX(Работы!$D$4:$D$672,MATCH(SUBSTITUTE(SUBSTITUTE(SUBSTITUTE(A171,"~","~~"),"*","~*"),"?","~?"),Работы!$B$4:$B$672,0)),0)</f>
        <v/>
      </c>
      <c r="G171" s="10" t="n">
        <v>79.76000000000001</v>
      </c>
      <c r="H171" s="14" t="n">
        <v>1</v>
      </c>
      <c r="I171" s="11" t="n">
        <v>0.05</v>
      </c>
      <c r="J171" s="11" t="n">
        <v>0.1</v>
      </c>
      <c r="K171" s="10" t="n"/>
      <c r="L171" s="9" t="inlineStr">
        <is>
          <t>Петрович</t>
        </is>
      </c>
      <c r="M171" s="9" t="inlineStr">
        <is>
          <t>https://moscow.petrovich.ru/product/108534/</t>
        </is>
      </c>
      <c r="N171" s="9" t="inlineStr">
        <is>
          <t>2026-10-29</t>
        </is>
      </c>
      <c r="O171" s="13" t="inlineStr">
        <is>
          <t>Петрович, труба 40х40х2, 587 руб/3 м с НДС, 7,36 кг. Цена кг с НДС 79.76. Карта клуба не учитывалась.</t>
        </is>
      </c>
      <c r="P171" s="4">
        <f>IF(H171=1,G171/VAT_DIV,G171)</f>
        <v/>
      </c>
      <c r="Q171" s="4">
        <f>P171*(1+I171)*(1+DELIV)*(1+GROWTH+MONEY)</f>
        <v/>
      </c>
      <c r="R171" s="4">
        <f>IF(AND(K171&lt;&gt;"",Q171*(1+J171)&gt;K171/VAT_DIV),K171/VAT_DIV,Q171*(1+J171))</f>
        <v/>
      </c>
      <c r="S171" s="4">
        <f>Q171*F171</f>
        <v/>
      </c>
      <c r="T171" s="4">
        <f>R171*F171</f>
        <v/>
      </c>
      <c r="U171" s="3">
        <f>IF(AND(K171&lt;&gt;"",Q171*(1+J171)&gt;K171/VAT_DIV+0.01),"ДА","")</f>
        <v/>
      </c>
      <c r="V171" s="4">
        <f>P171*F171</f>
        <v/>
      </c>
    </row>
    <row r="172" ht="20" customHeight="1">
      <c r="A172" s="9" t="inlineStr">
        <is>
          <t>138. Уголок стальной 25х25х4 мм</t>
        </is>
      </c>
      <c r="B172" s="13" t="inlineStr">
        <is>
          <t>Уголок, 1.44 кг/м</t>
        </is>
      </c>
      <c r="C172" s="9" t="inlineStr">
        <is>
          <t>Металлопрокат и метизы</t>
        </is>
      </c>
      <c r="D172" s="9" t="inlineStr">
        <is>
          <t>кг</t>
        </is>
      </c>
      <c r="E172" s="10" t="n">
        <v>1.4444</v>
      </c>
      <c r="F172" s="4">
        <f>E172*IFERROR(INDEX(Работы!$D$4:$D$672,MATCH(SUBSTITUTE(SUBSTITUTE(SUBSTITUTE(A172,"~","~~"),"*","~*"),"?","~?"),Работы!$B$4:$B$672,0)),0)</f>
        <v/>
      </c>
      <c r="G172" s="10" t="n">
        <v>79.76000000000001</v>
      </c>
      <c r="H172" s="14" t="n">
        <v>1</v>
      </c>
      <c r="I172" s="11" t="n">
        <v>0.05</v>
      </c>
      <c r="J172" s="11" t="n">
        <v>0.1</v>
      </c>
      <c r="K172" s="10" t="n"/>
      <c r="L172" s="9" t="inlineStr">
        <is>
          <t>Петрович</t>
        </is>
      </c>
      <c r="M172" s="9" t="inlineStr">
        <is>
          <t>https://moscow.petrovich.ru/product/108534/</t>
        </is>
      </c>
      <c r="N172" s="9" t="inlineStr">
        <is>
          <t>2026-10-29</t>
        </is>
      </c>
      <c r="O172" s="13" t="inlineStr">
        <is>
          <t>Петрович, труба 40х40х2, 587 руб/3 м с НДС, 7,36 кг. Цена кг с НДС 79.76. Карта клуба не учитывалась.</t>
        </is>
      </c>
      <c r="P172" s="4">
        <f>IF(H172=1,G172/VAT_DIV,G172)</f>
        <v/>
      </c>
      <c r="Q172" s="4">
        <f>P172*(1+I172)*(1+DELIV)*(1+GROWTH+MONEY)</f>
        <v/>
      </c>
      <c r="R172" s="4">
        <f>IF(AND(K172&lt;&gt;"",Q172*(1+J172)&gt;K172/VAT_DIV),K172/VAT_DIV,Q172*(1+J172))</f>
        <v/>
      </c>
      <c r="S172" s="4">
        <f>Q172*F172</f>
        <v/>
      </c>
      <c r="T172" s="4">
        <f>R172*F172</f>
        <v/>
      </c>
      <c r="U172" s="3">
        <f>IF(AND(K172&lt;&gt;"",Q172*(1+J172)&gt;K172/VAT_DIV+0.01),"ДА","")</f>
        <v/>
      </c>
      <c r="V172" s="4">
        <f>P172*F172</f>
        <v/>
      </c>
    </row>
    <row r="173" ht="20" customHeight="1">
      <c r="A173" s="9" t="inlineStr">
        <is>
          <t>139. Уголок стальной 35х35х4 мм</t>
        </is>
      </c>
      <c r="B173" s="13" t="inlineStr">
        <is>
          <t>Уголок, 2.07 кг/м</t>
        </is>
      </c>
      <c r="C173" s="9" t="inlineStr">
        <is>
          <t>Металлопрокат и метизы</t>
        </is>
      </c>
      <c r="D173" s="9" t="inlineStr">
        <is>
          <t>кг</t>
        </is>
      </c>
      <c r="E173" s="10" t="n">
        <v>2.0724</v>
      </c>
      <c r="F173" s="4">
        <f>E173*IFERROR(INDEX(Работы!$D$4:$D$672,MATCH(SUBSTITUTE(SUBSTITUTE(SUBSTITUTE(A173,"~","~~"),"*","~*"),"?","~?"),Работы!$B$4:$B$672,0)),0)</f>
        <v/>
      </c>
      <c r="G173" s="10" t="n">
        <v>79.76000000000001</v>
      </c>
      <c r="H173" s="14" t="n">
        <v>1</v>
      </c>
      <c r="I173" s="11" t="n">
        <v>0.05</v>
      </c>
      <c r="J173" s="11" t="n">
        <v>0.1</v>
      </c>
      <c r="K173" s="10" t="n"/>
      <c r="L173" s="9" t="inlineStr">
        <is>
          <t>Петрович</t>
        </is>
      </c>
      <c r="M173" s="9" t="inlineStr">
        <is>
          <t>https://moscow.petrovich.ru/product/108534/</t>
        </is>
      </c>
      <c r="N173" s="9" t="inlineStr">
        <is>
          <t>2026-10-29</t>
        </is>
      </c>
      <c r="O173" s="13" t="inlineStr">
        <is>
          <t>Петрович, труба 40х40х2, 587 руб/3 м с НДС, 7,36 кг. Цена кг с НДС 79.76. Карта клуба не учитывалась.</t>
        </is>
      </c>
      <c r="P173" s="4">
        <f>IF(H173=1,G173/VAT_DIV,G173)</f>
        <v/>
      </c>
      <c r="Q173" s="4">
        <f>P173*(1+I173)*(1+DELIV)*(1+GROWTH+MONEY)</f>
        <v/>
      </c>
      <c r="R173" s="4">
        <f>IF(AND(K173&lt;&gt;"",Q173*(1+J173)&gt;K173/VAT_DIV),K173/VAT_DIV,Q173*(1+J173))</f>
        <v/>
      </c>
      <c r="S173" s="4">
        <f>Q173*F173</f>
        <v/>
      </c>
      <c r="T173" s="4">
        <f>R173*F173</f>
        <v/>
      </c>
      <c r="U173" s="3">
        <f>IF(AND(K173&lt;&gt;"",Q173*(1+J173)&gt;K173/VAT_DIV+0.01),"ДА","")</f>
        <v/>
      </c>
      <c r="V173" s="4">
        <f>P173*F173</f>
        <v/>
      </c>
    </row>
    <row r="174" ht="20" customHeight="1">
      <c r="A174" s="9" t="inlineStr">
        <is>
          <t>140. Уголок стальной 45х45х4 мм</t>
        </is>
      </c>
      <c r="B174" s="13" t="inlineStr">
        <is>
          <t>Уголок, 2.70 кг/м</t>
        </is>
      </c>
      <c r="C174" s="9" t="inlineStr">
        <is>
          <t>Металлопрокат и метизы</t>
        </is>
      </c>
      <c r="D174" s="9" t="inlineStr">
        <is>
          <t>кг</t>
        </is>
      </c>
      <c r="E174" s="10" t="n">
        <v>2.7004</v>
      </c>
      <c r="F174" s="4">
        <f>E174*IFERROR(INDEX(Работы!$D$4:$D$672,MATCH(SUBSTITUTE(SUBSTITUTE(SUBSTITUTE(A174,"~","~~"),"*","~*"),"?","~?"),Работы!$B$4:$B$672,0)),0)</f>
        <v/>
      </c>
      <c r="G174" s="10" t="n">
        <v>79.76000000000001</v>
      </c>
      <c r="H174" s="14" t="n">
        <v>1</v>
      </c>
      <c r="I174" s="11" t="n">
        <v>0.05</v>
      </c>
      <c r="J174" s="11" t="n">
        <v>0.1</v>
      </c>
      <c r="K174" s="10" t="n"/>
      <c r="L174" s="9" t="inlineStr">
        <is>
          <t>Петрович</t>
        </is>
      </c>
      <c r="M174" s="9" t="inlineStr">
        <is>
          <t>https://moscow.petrovich.ru/product/108534/</t>
        </is>
      </c>
      <c r="N174" s="9" t="inlineStr">
        <is>
          <t>2026-10-29</t>
        </is>
      </c>
      <c r="O174" s="13" t="inlineStr">
        <is>
          <t>Петрович, труба 40х40х2, 587 руб/3 м с НДС, 7,36 кг. Цена кг с НДС 79.76. Карта клуба не учитывалась.</t>
        </is>
      </c>
      <c r="P174" s="4">
        <f>IF(H174=1,G174/VAT_DIV,G174)</f>
        <v/>
      </c>
      <c r="Q174" s="4">
        <f>P174*(1+I174)*(1+DELIV)*(1+GROWTH+MONEY)</f>
        <v/>
      </c>
      <c r="R174" s="4">
        <f>IF(AND(K174&lt;&gt;"",Q174*(1+J174)&gt;K174/VAT_DIV),K174/VAT_DIV,Q174*(1+J174))</f>
        <v/>
      </c>
      <c r="S174" s="4">
        <f>Q174*F174</f>
        <v/>
      </c>
      <c r="T174" s="4">
        <f>R174*F174</f>
        <v/>
      </c>
      <c r="U174" s="3">
        <f>IF(AND(K174&lt;&gt;"",Q174*(1+J174)&gt;K174/VAT_DIV+0.01),"ДА","")</f>
        <v/>
      </c>
      <c r="V174" s="4">
        <f>P174*F174</f>
        <v/>
      </c>
    </row>
    <row r="175" ht="20" customHeight="1">
      <c r="A175" s="9" t="inlineStr">
        <is>
          <t>141. Уголок стальной 50х50х5 мм</t>
        </is>
      </c>
      <c r="B175" s="13" t="inlineStr">
        <is>
          <t>Уголок, 3.73 кг/м</t>
        </is>
      </c>
      <c r="C175" s="9" t="inlineStr">
        <is>
          <t>Металлопрокат и метизы</t>
        </is>
      </c>
      <c r="D175" s="9" t="inlineStr">
        <is>
          <t>кг</t>
        </is>
      </c>
      <c r="E175" s="10" t="n">
        <v>3.72875</v>
      </c>
      <c r="F175" s="4">
        <f>E175*IFERROR(INDEX(Работы!$D$4:$D$672,MATCH(SUBSTITUTE(SUBSTITUTE(SUBSTITUTE(A175,"~","~~"),"*","~*"),"?","~?"),Работы!$B$4:$B$672,0)),0)</f>
        <v/>
      </c>
      <c r="G175" s="10" t="n">
        <v>79.76000000000001</v>
      </c>
      <c r="H175" s="14" t="n">
        <v>1</v>
      </c>
      <c r="I175" s="11" t="n">
        <v>0.05</v>
      </c>
      <c r="J175" s="11" t="n">
        <v>0.1</v>
      </c>
      <c r="K175" s="10" t="n"/>
      <c r="L175" s="9" t="inlineStr">
        <is>
          <t>Петрович</t>
        </is>
      </c>
      <c r="M175" s="9" t="inlineStr">
        <is>
          <t>https://moscow.petrovich.ru/product/108534/</t>
        </is>
      </c>
      <c r="N175" s="9" t="inlineStr">
        <is>
          <t>2026-10-29</t>
        </is>
      </c>
      <c r="O175" s="13" t="inlineStr">
        <is>
          <t>Петрович, труба 40х40х2, 587 руб/3 м с НДС, 7,36 кг. Цена кг с НДС 79.76. Карта клуба не учитывалась.</t>
        </is>
      </c>
      <c r="P175" s="4">
        <f>IF(H175=1,G175/VAT_DIV,G175)</f>
        <v/>
      </c>
      <c r="Q175" s="4">
        <f>P175*(1+I175)*(1+DELIV)*(1+GROWTH+MONEY)</f>
        <v/>
      </c>
      <c r="R175" s="4">
        <f>IF(AND(K175&lt;&gt;"",Q175*(1+J175)&gt;K175/VAT_DIV),K175/VAT_DIV,Q175*(1+J175))</f>
        <v/>
      </c>
      <c r="S175" s="4">
        <f>Q175*F175</f>
        <v/>
      </c>
      <c r="T175" s="4">
        <f>R175*F175</f>
        <v/>
      </c>
      <c r="U175" s="3">
        <f>IF(AND(K175&lt;&gt;"",Q175*(1+J175)&gt;K175/VAT_DIV+0.01),"ДА","")</f>
        <v/>
      </c>
      <c r="V175" s="4">
        <f>P175*F175</f>
        <v/>
      </c>
    </row>
    <row r="176" ht="20" customHeight="1">
      <c r="A176" s="9" t="inlineStr">
        <is>
          <t>142. Уголок стальной 63х63х6 мм</t>
        </is>
      </c>
      <c r="B176" s="13" t="inlineStr">
        <is>
          <t>Уголок, 5.65 кг/м</t>
        </is>
      </c>
      <c r="C176" s="9" t="inlineStr">
        <is>
          <t>Металлопрокат и метизы</t>
        </is>
      </c>
      <c r="D176" s="9" t="inlineStr">
        <is>
          <t>кг</t>
        </is>
      </c>
      <c r="E176" s="10" t="n">
        <v>5.652</v>
      </c>
      <c r="F176" s="4">
        <f>E176*IFERROR(INDEX(Работы!$D$4:$D$672,MATCH(SUBSTITUTE(SUBSTITUTE(SUBSTITUTE(A176,"~","~~"),"*","~*"),"?","~?"),Работы!$B$4:$B$672,0)),0)</f>
        <v/>
      </c>
      <c r="G176" s="10" t="n">
        <v>79.76000000000001</v>
      </c>
      <c r="H176" s="14" t="n">
        <v>1</v>
      </c>
      <c r="I176" s="11" t="n">
        <v>0.05</v>
      </c>
      <c r="J176" s="11" t="n">
        <v>0.1</v>
      </c>
      <c r="K176" s="10" t="n"/>
      <c r="L176" s="9" t="inlineStr">
        <is>
          <t>Петрович</t>
        </is>
      </c>
      <c r="M176" s="9" t="inlineStr">
        <is>
          <t>https://moscow.petrovich.ru/product/108534/</t>
        </is>
      </c>
      <c r="N176" s="9" t="inlineStr">
        <is>
          <t>2026-10-29</t>
        </is>
      </c>
      <c r="O176" s="13" t="inlineStr">
        <is>
          <t>Петрович, труба 40х40х2, 587 руб/3 м с НДС, 7,36 кг. Цена кг с НДС 79.76. Карта клуба не учитывалась.</t>
        </is>
      </c>
      <c r="P176" s="4">
        <f>IF(H176=1,G176/VAT_DIV,G176)</f>
        <v/>
      </c>
      <c r="Q176" s="4">
        <f>P176*(1+I176)*(1+DELIV)*(1+GROWTH+MONEY)</f>
        <v/>
      </c>
      <c r="R176" s="4">
        <f>IF(AND(K176&lt;&gt;"",Q176*(1+J176)&gt;K176/VAT_DIV),K176/VAT_DIV,Q176*(1+J176))</f>
        <v/>
      </c>
      <c r="S176" s="4">
        <f>Q176*F176</f>
        <v/>
      </c>
      <c r="T176" s="4">
        <f>R176*F176</f>
        <v/>
      </c>
      <c r="U176" s="3">
        <f>IF(AND(K176&lt;&gt;"",Q176*(1+J176)&gt;K176/VAT_DIV+0.01),"ДА","")</f>
        <v/>
      </c>
      <c r="V176" s="4">
        <f>P176*F176</f>
        <v/>
      </c>
    </row>
    <row r="177" ht="20" customHeight="1">
      <c r="A177" s="9" t="inlineStr">
        <is>
          <t>143. Уголок стальной 75х75х6 мм</t>
        </is>
      </c>
      <c r="B177" s="13" t="inlineStr">
        <is>
          <t>Уголок, 6.78 кг/м</t>
        </is>
      </c>
      <c r="C177" s="9" t="inlineStr">
        <is>
          <t>Металлопрокат и метизы</t>
        </is>
      </c>
      <c r="D177" s="9" t="inlineStr">
        <is>
          <t>кг</t>
        </is>
      </c>
      <c r="E177" s="10" t="n">
        <v>6.7824</v>
      </c>
      <c r="F177" s="4">
        <f>E177*IFERROR(INDEX(Работы!$D$4:$D$672,MATCH(SUBSTITUTE(SUBSTITUTE(SUBSTITUTE(A177,"~","~~"),"*","~*"),"?","~?"),Работы!$B$4:$B$672,0)),0)</f>
        <v/>
      </c>
      <c r="G177" s="10" t="n">
        <v>79.76000000000001</v>
      </c>
      <c r="H177" s="14" t="n">
        <v>1</v>
      </c>
      <c r="I177" s="11" t="n">
        <v>0.05</v>
      </c>
      <c r="J177" s="11" t="n">
        <v>0.1</v>
      </c>
      <c r="K177" s="10" t="n"/>
      <c r="L177" s="9" t="inlineStr">
        <is>
          <t>Петрович</t>
        </is>
      </c>
      <c r="M177" s="9" t="inlineStr">
        <is>
          <t>https://moscow.petrovich.ru/product/108534/</t>
        </is>
      </c>
      <c r="N177" s="9" t="inlineStr">
        <is>
          <t>2026-10-29</t>
        </is>
      </c>
      <c r="O177" s="13" t="inlineStr">
        <is>
          <t>Петрович, труба 40х40х2, 587 руб/3 м с НДС, 7,36 кг. Цена кг с НДС 79.76. Карта клуба не учитывалась.</t>
        </is>
      </c>
      <c r="P177" s="4">
        <f>IF(H177=1,G177/VAT_DIV,G177)</f>
        <v/>
      </c>
      <c r="Q177" s="4">
        <f>P177*(1+I177)*(1+DELIV)*(1+GROWTH+MONEY)</f>
        <v/>
      </c>
      <c r="R177" s="4">
        <f>IF(AND(K177&lt;&gt;"",Q177*(1+J177)&gt;K177/VAT_DIV),K177/VAT_DIV,Q177*(1+J177))</f>
        <v/>
      </c>
      <c r="S177" s="4">
        <f>Q177*F177</f>
        <v/>
      </c>
      <c r="T177" s="4">
        <f>R177*F177</f>
        <v/>
      </c>
      <c r="U177" s="3">
        <f>IF(AND(K177&lt;&gt;"",Q177*(1+J177)&gt;K177/VAT_DIV+0.01),"ДА","")</f>
        <v/>
      </c>
      <c r="V177" s="4">
        <f>P177*F177</f>
        <v/>
      </c>
    </row>
    <row r="178" ht="20" customHeight="1">
      <c r="A178" s="9" t="inlineStr">
        <is>
          <t>144. Уголок стальной 100х100х7 мм</t>
        </is>
      </c>
      <c r="B178" s="13" t="inlineStr">
        <is>
          <t>Уголок, 10.61 кг/м</t>
        </is>
      </c>
      <c r="C178" s="9" t="inlineStr">
        <is>
          <t>Металлопрокат и метизы</t>
        </is>
      </c>
      <c r="D178" s="9" t="inlineStr">
        <is>
          <t>кг</t>
        </is>
      </c>
      <c r="E178" s="10" t="n">
        <v>10.60535</v>
      </c>
      <c r="F178" s="4">
        <f>E178*IFERROR(INDEX(Работы!$D$4:$D$672,MATCH(SUBSTITUTE(SUBSTITUTE(SUBSTITUTE(A178,"~","~~"),"*","~*"),"?","~?"),Работы!$B$4:$B$672,0)),0)</f>
        <v/>
      </c>
      <c r="G178" s="10" t="n">
        <v>79.76000000000001</v>
      </c>
      <c r="H178" s="14" t="n">
        <v>1</v>
      </c>
      <c r="I178" s="11" t="n">
        <v>0.05</v>
      </c>
      <c r="J178" s="11" t="n">
        <v>0.1</v>
      </c>
      <c r="K178" s="10" t="n"/>
      <c r="L178" s="9" t="inlineStr">
        <is>
          <t>Петрович</t>
        </is>
      </c>
      <c r="M178" s="9" t="inlineStr">
        <is>
          <t>https://moscow.petrovich.ru/product/108534/</t>
        </is>
      </c>
      <c r="N178" s="9" t="inlineStr">
        <is>
          <t>2026-10-29</t>
        </is>
      </c>
      <c r="O178" s="13" t="inlineStr">
        <is>
          <t>Петрович, труба 40х40х2, 587 руб/3 м с НДС, 7,36 кг. Цена кг с НДС 79.76. Карта клуба не учитывалась.</t>
        </is>
      </c>
      <c r="P178" s="4">
        <f>IF(H178=1,G178/VAT_DIV,G178)</f>
        <v/>
      </c>
      <c r="Q178" s="4">
        <f>P178*(1+I178)*(1+DELIV)*(1+GROWTH+MONEY)</f>
        <v/>
      </c>
      <c r="R178" s="4">
        <f>IF(AND(K178&lt;&gt;"",Q178*(1+J178)&gt;K178/VAT_DIV),K178/VAT_DIV,Q178*(1+J178))</f>
        <v/>
      </c>
      <c r="S178" s="4">
        <f>Q178*F178</f>
        <v/>
      </c>
      <c r="T178" s="4">
        <f>R178*F178</f>
        <v/>
      </c>
      <c r="U178" s="3">
        <f>IF(AND(K178&lt;&gt;"",Q178*(1+J178)&gt;K178/VAT_DIV+0.01),"ДА","")</f>
        <v/>
      </c>
      <c r="V178" s="4">
        <f>P178*F178</f>
        <v/>
      </c>
    </row>
    <row r="179" ht="20" customHeight="1">
      <c r="A179" s="9" t="inlineStr">
        <is>
          <t>145. Отбойник угловой усиленный ОУУ-76 высота 350 мм.</t>
        </is>
      </c>
      <c r="B179" s="13" t="inlineStr">
        <is>
          <t>Отбойник угловой усиленный ОУУ-76 высота 350 мм.</t>
        </is>
      </c>
      <c r="C179" s="9" t="inlineStr">
        <is>
          <t>Металлопрокат и метизы</t>
        </is>
      </c>
      <c r="D179" s="9" t="inlineStr">
        <is>
          <t>шт</t>
        </is>
      </c>
      <c r="E179" s="10" t="n">
        <v>1</v>
      </c>
      <c r="F179" s="4">
        <f>E179*IFERROR(INDEX(Работы!$D$4:$D$672,MATCH(SUBSTITUTE(SUBSTITUTE(SUBSTITUTE(A179,"~","~~"),"*","~*"),"?","~?"),Работы!$B$4:$B$672,0)),0)</f>
        <v/>
      </c>
      <c r="G179" s="10" t="n">
        <v>4500</v>
      </c>
      <c r="H179" s="14" t="n">
        <v>1</v>
      </c>
      <c r="I179" s="11" t="n">
        <v>0.05</v>
      </c>
      <c r="J179" s="11" t="n">
        <v>0.1</v>
      </c>
      <c r="K179" s="10" t="n"/>
      <c r="L179" s="9" t="inlineStr">
        <is>
          <t>оценка</t>
        </is>
      </c>
      <c r="M179" s="9" t="inlineStr"/>
      <c r="N179" s="9" t="inlineStr">
        <is>
          <t>2026-10-29</t>
        </is>
      </c>
      <c r="O179" s="13" t="inlineStr">
        <is>
          <t>оценка отбойника, запросить КП В Петрович, Лемана ПРО и Сатурн открытой карточки нет, оставлен прежний источник.</t>
        </is>
      </c>
      <c r="P179" s="4">
        <f>IF(H179=1,G179/VAT_DIV,G179)</f>
        <v/>
      </c>
      <c r="Q179" s="4">
        <f>P179*(1+I179)*(1+DELIV)*(1+GROWTH+MONEY)</f>
        <v/>
      </c>
      <c r="R179" s="4">
        <f>IF(AND(K179&lt;&gt;"",Q179*(1+J179)&gt;K179/VAT_DIV),K179/VAT_DIV,Q179*(1+J179))</f>
        <v/>
      </c>
      <c r="S179" s="4">
        <f>Q179*F179</f>
        <v/>
      </c>
      <c r="T179" s="4">
        <f>R179*F179</f>
        <v/>
      </c>
      <c r="U179" s="3">
        <f>IF(AND(K179&lt;&gt;"",Q179*(1+J179)&gt;K179/VAT_DIV+0.01),"ДА","")</f>
        <v/>
      </c>
      <c r="V179" s="4">
        <f>P179*F179</f>
        <v/>
      </c>
    </row>
    <row r="180" ht="20" customHeight="1">
      <c r="A180" s="9" t="inlineStr">
        <is>
          <t>146. Прямой колесоотбойник КО-159.1.000 СБ</t>
        </is>
      </c>
      <c r="B180" s="13" t="inlineStr">
        <is>
          <t>Прямой колесоотбойник КО-159.1.000 СБ</t>
        </is>
      </c>
      <c r="C180" s="9" t="inlineStr">
        <is>
          <t>Металлопрокат и метизы</t>
        </is>
      </c>
      <c r="D180" s="9" t="inlineStr">
        <is>
          <t>шт</t>
        </is>
      </c>
      <c r="E180" s="10" t="n">
        <v>1</v>
      </c>
      <c r="F180" s="4">
        <f>E180*IFERROR(INDEX(Работы!$D$4:$D$672,MATCH(SUBSTITUTE(SUBSTITUTE(SUBSTITUTE(A180,"~","~~"),"*","~*"),"?","~?"),Работы!$B$4:$B$672,0)),0)</f>
        <v/>
      </c>
      <c r="G180" s="10" t="n">
        <v>4500</v>
      </c>
      <c r="H180" s="14" t="n">
        <v>1</v>
      </c>
      <c r="I180" s="11" t="n">
        <v>0.05</v>
      </c>
      <c r="J180" s="11" t="n">
        <v>0.1</v>
      </c>
      <c r="K180" s="10" t="n"/>
      <c r="L180" s="9" t="inlineStr">
        <is>
          <t>оценка</t>
        </is>
      </c>
      <c r="M180" s="9" t="inlineStr"/>
      <c r="N180" s="9" t="inlineStr">
        <is>
          <t>2026-10-29</t>
        </is>
      </c>
      <c r="O180" s="13" t="inlineStr">
        <is>
          <t>оценка отбойника, запросить КП В Петрович, Лемана ПРО и Сатурн открытой карточки нет, оставлен прежний источник.</t>
        </is>
      </c>
      <c r="P180" s="4">
        <f>IF(H180=1,G180/VAT_DIV,G180)</f>
        <v/>
      </c>
      <c r="Q180" s="4">
        <f>P180*(1+I180)*(1+DELIV)*(1+GROWTH+MONEY)</f>
        <v/>
      </c>
      <c r="R180" s="4">
        <f>IF(AND(K180&lt;&gt;"",Q180*(1+J180)&gt;K180/VAT_DIV),K180/VAT_DIV,Q180*(1+J180))</f>
        <v/>
      </c>
      <c r="S180" s="4">
        <f>Q180*F180</f>
        <v/>
      </c>
      <c r="T180" s="4">
        <f>R180*F180</f>
        <v/>
      </c>
      <c r="U180" s="3">
        <f>IF(AND(K180&lt;&gt;"",Q180*(1+J180)&gt;K180/VAT_DIV+0.01),"ДА","")</f>
        <v/>
      </c>
      <c r="V180" s="4">
        <f>P180*F180</f>
        <v/>
      </c>
    </row>
    <row r="181" ht="20" customHeight="1">
      <c r="A181" s="9" t="inlineStr">
        <is>
          <t>147. Защита пожарных шкафов ЗПШ-06</t>
        </is>
      </c>
      <c r="B181" s="13" t="inlineStr">
        <is>
          <t>Защита пожарных шкафов ЗПШ-06</t>
        </is>
      </c>
      <c r="C181" s="9" t="inlineStr">
        <is>
          <t>Металлопрокат и метизы</t>
        </is>
      </c>
      <c r="D181" s="9" t="inlineStr">
        <is>
          <t>шт</t>
        </is>
      </c>
      <c r="E181" s="10" t="n">
        <v>1</v>
      </c>
      <c r="F181" s="4">
        <f>E181*IFERROR(INDEX(Работы!$D$4:$D$672,MATCH(SUBSTITUTE(SUBSTITUTE(SUBSTITUTE(A181,"~","~~"),"*","~*"),"?","~?"),Работы!$B$4:$B$672,0)),0)</f>
        <v/>
      </c>
      <c r="G181" s="10" t="n">
        <v>4500</v>
      </c>
      <c r="H181" s="14" t="n">
        <v>1</v>
      </c>
      <c r="I181" s="11" t="n">
        <v>0.05</v>
      </c>
      <c r="J181" s="11" t="n">
        <v>0.1</v>
      </c>
      <c r="K181" s="10" t="n"/>
      <c r="L181" s="9" t="inlineStr">
        <is>
          <t>оценка</t>
        </is>
      </c>
      <c r="M181" s="9" t="inlineStr"/>
      <c r="N181" s="9" t="inlineStr">
        <is>
          <t>2026-10-29</t>
        </is>
      </c>
      <c r="O181" s="13" t="inlineStr">
        <is>
          <t>оценка отбойника, запросить КП В Петрович, Лемана ПРО и Сатурн открытой карточки нет, оставлен прежний источник.</t>
        </is>
      </c>
      <c r="P181" s="4">
        <f>IF(H181=1,G181/VAT_DIV,G181)</f>
        <v/>
      </c>
      <c r="Q181" s="4">
        <f>P181*(1+I181)*(1+DELIV)*(1+GROWTH+MONEY)</f>
        <v/>
      </c>
      <c r="R181" s="4">
        <f>IF(AND(K181&lt;&gt;"",Q181*(1+J181)&gt;K181/VAT_DIV),K181/VAT_DIV,Q181*(1+J181))</f>
        <v/>
      </c>
      <c r="S181" s="4">
        <f>Q181*F181</f>
        <v/>
      </c>
      <c r="T181" s="4">
        <f>R181*F181</f>
        <v/>
      </c>
      <c r="U181" s="3">
        <f>IF(AND(K181&lt;&gt;"",Q181*(1+J181)&gt;K181/VAT_DIV+0.01),"ДА","")</f>
        <v/>
      </c>
      <c r="V181" s="4">
        <f>P181*F181</f>
        <v/>
      </c>
    </row>
    <row r="182" ht="20" customHeight="1">
      <c r="A182" s="9" t="inlineStr">
        <is>
          <t>148. Защита пожарных шкафов ЗПШ-04</t>
        </is>
      </c>
      <c r="B182" s="13" t="inlineStr">
        <is>
          <t>Защита пожарных шкафов ЗПШ-04</t>
        </is>
      </c>
      <c r="C182" s="9" t="inlineStr">
        <is>
          <t>Металлопрокат и метизы</t>
        </is>
      </c>
      <c r="D182" s="9" t="inlineStr">
        <is>
          <t>шт</t>
        </is>
      </c>
      <c r="E182" s="10" t="n">
        <v>1</v>
      </c>
      <c r="F182" s="4">
        <f>E182*IFERROR(INDEX(Работы!$D$4:$D$672,MATCH(SUBSTITUTE(SUBSTITUTE(SUBSTITUTE(A182,"~","~~"),"*","~*"),"?","~?"),Работы!$B$4:$B$672,0)),0)</f>
        <v/>
      </c>
      <c r="G182" s="10" t="n">
        <v>4500</v>
      </c>
      <c r="H182" s="14" t="n">
        <v>1</v>
      </c>
      <c r="I182" s="11" t="n">
        <v>0.05</v>
      </c>
      <c r="J182" s="11" t="n">
        <v>0.1</v>
      </c>
      <c r="K182" s="10" t="n"/>
      <c r="L182" s="9" t="inlineStr">
        <is>
          <t>оценка</t>
        </is>
      </c>
      <c r="M182" s="9" t="inlineStr"/>
      <c r="N182" s="9" t="inlineStr">
        <is>
          <t>2026-10-29</t>
        </is>
      </c>
      <c r="O182" s="13" t="inlineStr">
        <is>
          <t>оценка отбойника, запросить КП В Петрович, Лемана ПРО и Сатурн открытой карточки нет, оставлен прежний источник.</t>
        </is>
      </c>
      <c r="P182" s="4">
        <f>IF(H182=1,G182/VAT_DIV,G182)</f>
        <v/>
      </c>
      <c r="Q182" s="4">
        <f>P182*(1+I182)*(1+DELIV)*(1+GROWTH+MONEY)</f>
        <v/>
      </c>
      <c r="R182" s="4">
        <f>IF(AND(K182&lt;&gt;"",Q182*(1+J182)&gt;K182/VAT_DIV),K182/VAT_DIV,Q182*(1+J182))</f>
        <v/>
      </c>
      <c r="S182" s="4">
        <f>Q182*F182</f>
        <v/>
      </c>
      <c r="T182" s="4">
        <f>R182*F182</f>
        <v/>
      </c>
      <c r="U182" s="3">
        <f>IF(AND(K182&lt;&gt;"",Q182*(1+J182)&gt;K182/VAT_DIV+0.01),"ДА","")</f>
        <v/>
      </c>
      <c r="V182" s="4">
        <f>P182*F182</f>
        <v/>
      </c>
    </row>
    <row r="183" ht="20" customHeight="1">
      <c r="A183" s="9" t="inlineStr">
        <is>
          <t>149. Отбойник П-образный ОПП-1</t>
        </is>
      </c>
      <c r="B183" s="13" t="inlineStr">
        <is>
          <t>Отбойник П-образный ОПП-1</t>
        </is>
      </c>
      <c r="C183" s="9" t="inlineStr">
        <is>
          <t>Металлопрокат и метизы</t>
        </is>
      </c>
      <c r="D183" s="9" t="inlineStr">
        <is>
          <t>шт</t>
        </is>
      </c>
      <c r="E183" s="10" t="n">
        <v>1</v>
      </c>
      <c r="F183" s="4">
        <f>E183*IFERROR(INDEX(Работы!$D$4:$D$672,MATCH(SUBSTITUTE(SUBSTITUTE(SUBSTITUTE(A183,"~","~~"),"*","~*"),"?","~?"),Работы!$B$4:$B$672,0)),0)</f>
        <v/>
      </c>
      <c r="G183" s="10" t="n">
        <v>4500</v>
      </c>
      <c r="H183" s="14" t="n">
        <v>1</v>
      </c>
      <c r="I183" s="11" t="n">
        <v>0.05</v>
      </c>
      <c r="J183" s="11" t="n">
        <v>0.1</v>
      </c>
      <c r="K183" s="10" t="n"/>
      <c r="L183" s="9" t="inlineStr">
        <is>
          <t>оценка</t>
        </is>
      </c>
      <c r="M183" s="9" t="inlineStr"/>
      <c r="N183" s="9" t="inlineStr">
        <is>
          <t>2026-10-29</t>
        </is>
      </c>
      <c r="O183" s="13" t="inlineStr">
        <is>
          <t>оценка отбойника, запросить КП В Петрович, Лемана ПРО и Сатурн открытой карточки нет, оставлен прежний источник.</t>
        </is>
      </c>
      <c r="P183" s="4">
        <f>IF(H183=1,G183/VAT_DIV,G183)</f>
        <v/>
      </c>
      <c r="Q183" s="4">
        <f>P183*(1+I183)*(1+DELIV)*(1+GROWTH+MONEY)</f>
        <v/>
      </c>
      <c r="R183" s="4">
        <f>IF(AND(K183&lt;&gt;"",Q183*(1+J183)&gt;K183/VAT_DIV),K183/VAT_DIV,Q183*(1+J183))</f>
        <v/>
      </c>
      <c r="S183" s="4">
        <f>Q183*F183</f>
        <v/>
      </c>
      <c r="T183" s="4">
        <f>R183*F183</f>
        <v/>
      </c>
      <c r="U183" s="3">
        <f>IF(AND(K183&lt;&gt;"",Q183*(1+J183)&gt;K183/VAT_DIV+0.01),"ДА","")</f>
        <v/>
      </c>
      <c r="V183" s="4">
        <f>P183*F183</f>
        <v/>
      </c>
    </row>
    <row r="184" ht="20" customHeight="1">
      <c r="A184" s="9" t="inlineStr">
        <is>
          <t>150. Колесоотбойник Ø159, направляющий (КМН-2ОТВ1П-159.2200-4,0)</t>
        </is>
      </c>
      <c r="B184" s="13" t="inlineStr">
        <is>
          <t>Колесоотбойник Ø159, направляющий (КМН-2ОТВ1П-159.2200-4,0)</t>
        </is>
      </c>
      <c r="C184" s="9" t="inlineStr">
        <is>
          <t>Металлопрокат и метизы</t>
        </is>
      </c>
      <c r="D184" s="9" t="inlineStr">
        <is>
          <t>шт</t>
        </is>
      </c>
      <c r="E184" s="10" t="n">
        <v>1</v>
      </c>
      <c r="F184" s="4">
        <f>E184*IFERROR(INDEX(Работы!$D$4:$D$672,MATCH(SUBSTITUTE(SUBSTITUTE(SUBSTITUTE(A184,"~","~~"),"*","~*"),"?","~?"),Работы!$B$4:$B$672,0)),0)</f>
        <v/>
      </c>
      <c r="G184" s="10" t="n">
        <v>4500</v>
      </c>
      <c r="H184" s="14" t="n">
        <v>1</v>
      </c>
      <c r="I184" s="11" t="n">
        <v>0.05</v>
      </c>
      <c r="J184" s="11" t="n">
        <v>0.1</v>
      </c>
      <c r="K184" s="10" t="n"/>
      <c r="L184" s="9" t="inlineStr">
        <is>
          <t>оценка</t>
        </is>
      </c>
      <c r="M184" s="9" t="inlineStr"/>
      <c r="N184" s="9" t="inlineStr">
        <is>
          <t>2026-10-29</t>
        </is>
      </c>
      <c r="O184" s="13" t="inlineStr">
        <is>
          <t>оценка отбойника, запросить КП В Петрович, Лемана ПРО и Сатурн открытой карточки нет, оставлен прежний источник.</t>
        </is>
      </c>
      <c r="P184" s="4">
        <f>IF(H184=1,G184/VAT_DIV,G184)</f>
        <v/>
      </c>
      <c r="Q184" s="4">
        <f>P184*(1+I184)*(1+DELIV)*(1+GROWTH+MONEY)</f>
        <v/>
      </c>
      <c r="R184" s="4">
        <f>IF(AND(K184&lt;&gt;"",Q184*(1+J184)&gt;K184/VAT_DIV),K184/VAT_DIV,Q184*(1+J184))</f>
        <v/>
      </c>
      <c r="S184" s="4">
        <f>Q184*F184</f>
        <v/>
      </c>
      <c r="T184" s="4">
        <f>R184*F184</f>
        <v/>
      </c>
      <c r="U184" s="3">
        <f>IF(AND(K184&lt;&gt;"",Q184*(1+J184)&gt;K184/VAT_DIV+0.01),"ДА","")</f>
        <v/>
      </c>
      <c r="V184" s="4">
        <f>P184*F184</f>
        <v/>
      </c>
    </row>
    <row r="185" ht="20" customHeight="1">
      <c r="A185" s="9" t="inlineStr">
        <is>
          <t>151. Отбойник металлический для защиты пожарных шкафов ОЗ-4.76/ ST-97</t>
        </is>
      </c>
      <c r="B185" s="13" t="inlineStr">
        <is>
          <t>Отбойник металлический для защиты пожарных шкафов ОЗ-4.76/ ST-97</t>
        </is>
      </c>
      <c r="C185" s="9" t="inlineStr">
        <is>
          <t>Металлопрокат и метизы</t>
        </is>
      </c>
      <c r="D185" s="9" t="inlineStr">
        <is>
          <t>шт</t>
        </is>
      </c>
      <c r="E185" s="10" t="n">
        <v>1</v>
      </c>
      <c r="F185" s="4">
        <f>E185*IFERROR(INDEX(Работы!$D$4:$D$672,MATCH(SUBSTITUTE(SUBSTITUTE(SUBSTITUTE(A185,"~","~~"),"*","~*"),"?","~?"),Работы!$B$4:$B$672,0)),0)</f>
        <v/>
      </c>
      <c r="G185" s="10" t="n">
        <v>4500</v>
      </c>
      <c r="H185" s="14" t="n">
        <v>1</v>
      </c>
      <c r="I185" s="11" t="n">
        <v>0.05</v>
      </c>
      <c r="J185" s="11" t="n">
        <v>0.1</v>
      </c>
      <c r="K185" s="10" t="n"/>
      <c r="L185" s="9" t="inlineStr">
        <is>
          <t>оценка</t>
        </is>
      </c>
      <c r="M185" s="9" t="inlineStr"/>
      <c r="N185" s="9" t="inlineStr">
        <is>
          <t>2026-10-29</t>
        </is>
      </c>
      <c r="O185" s="13" t="inlineStr">
        <is>
          <t>оценка отбойника, запросить КП В Петрович, Лемана ПРО и Сатурн открытой карточки нет, оставлен прежний источник.</t>
        </is>
      </c>
      <c r="P185" s="4">
        <f>IF(H185=1,G185/VAT_DIV,G185)</f>
        <v/>
      </c>
      <c r="Q185" s="4">
        <f>P185*(1+I185)*(1+DELIV)*(1+GROWTH+MONEY)</f>
        <v/>
      </c>
      <c r="R185" s="4">
        <f>IF(AND(K185&lt;&gt;"",Q185*(1+J185)&gt;K185/VAT_DIV),K185/VAT_DIV,Q185*(1+J185))</f>
        <v/>
      </c>
      <c r="S185" s="4">
        <f>Q185*F185</f>
        <v/>
      </c>
      <c r="T185" s="4">
        <f>R185*F185</f>
        <v/>
      </c>
      <c r="U185" s="3">
        <f>IF(AND(K185&lt;&gt;"",Q185*(1+J185)&gt;K185/VAT_DIV+0.01),"ДА","")</f>
        <v/>
      </c>
      <c r="V185" s="4">
        <f>P185*F185</f>
        <v/>
      </c>
    </row>
    <row r="186" ht="20" customHeight="1">
      <c r="A186" s="9" t="inlineStr">
        <is>
          <t>152. Химический анкер Sormat ITH40 (или аналог)</t>
        </is>
      </c>
      <c r="B186" s="13" t="inlineStr">
        <is>
          <t>Химический анкер Sormat ITH40 (или аналог)</t>
        </is>
      </c>
      <c r="C186" s="9" t="inlineStr">
        <is>
          <t>Металлопрокат и метизы</t>
        </is>
      </c>
      <c r="D186" s="9" t="inlineStr">
        <is>
          <t>шт</t>
        </is>
      </c>
      <c r="E186" s="10" t="n">
        <v>1</v>
      </c>
      <c r="F186" s="4">
        <f>E186*IFERROR(INDEX(Работы!$D$4:$D$672,MATCH(SUBSTITUTE(SUBSTITUTE(SUBSTITUTE(A186,"~","~~"),"*","~*"),"?","~?"),Работы!$B$4:$B$672,0)),0)</f>
        <v/>
      </c>
      <c r="G186" s="10" t="n">
        <v>4500</v>
      </c>
      <c r="H186" s="14" t="n">
        <v>1</v>
      </c>
      <c r="I186" s="11" t="n">
        <v>0.05</v>
      </c>
      <c r="J186" s="11" t="n">
        <v>0.1</v>
      </c>
      <c r="K186" s="10" t="n"/>
      <c r="L186" s="9" t="inlineStr">
        <is>
          <t>оценка</t>
        </is>
      </c>
      <c r="M186" s="9" t="inlineStr"/>
      <c r="N186" s="9" t="inlineStr">
        <is>
          <t>2026-10-29</t>
        </is>
      </c>
      <c r="O186" s="13" t="inlineStr">
        <is>
          <t>оценка отбойника, запросить КП В Петрович, Лемана ПРО и Сатурн открытой карточки нет, оставлен прежний источник.</t>
        </is>
      </c>
      <c r="P186" s="4">
        <f>IF(H186=1,G186/VAT_DIV,G186)</f>
        <v/>
      </c>
      <c r="Q186" s="4">
        <f>P186*(1+I186)*(1+DELIV)*(1+GROWTH+MONEY)</f>
        <v/>
      </c>
      <c r="R186" s="4">
        <f>IF(AND(K186&lt;&gt;"",Q186*(1+J186)&gt;K186/VAT_DIV),K186/VAT_DIV,Q186*(1+J186))</f>
        <v/>
      </c>
      <c r="S186" s="4">
        <f>Q186*F186</f>
        <v/>
      </c>
      <c r="T186" s="4">
        <f>R186*F186</f>
        <v/>
      </c>
      <c r="U186" s="3">
        <f>IF(AND(K186&lt;&gt;"",Q186*(1+J186)&gt;K186/VAT_DIV+0.01),"ДА","")</f>
        <v/>
      </c>
      <c r="V186" s="4">
        <f>P186*F186</f>
        <v/>
      </c>
    </row>
    <row r="187" ht="20" customHeight="1">
      <c r="A187" s="9" t="inlineStr">
        <is>
          <t>153. Металическая полоса 25х4 мм</t>
        </is>
      </c>
      <c r="B187" s="13" t="inlineStr">
        <is>
          <t>Полоса, 0.78 кг/м</t>
        </is>
      </c>
      <c r="C187" s="9" t="inlineStr">
        <is>
          <t>Металлопрокат и метизы</t>
        </is>
      </c>
      <c r="D187" s="9" t="inlineStr">
        <is>
          <t>кг</t>
        </is>
      </c>
      <c r="E187" s="10" t="n">
        <v>0.785</v>
      </c>
      <c r="F187" s="4">
        <f>E187*IFERROR(INDEX(Работы!$D$4:$D$672,MATCH(SUBSTITUTE(SUBSTITUTE(SUBSTITUTE(A187,"~","~~"),"*","~*"),"?","~?"),Работы!$B$4:$B$672,0)),0)</f>
        <v/>
      </c>
      <c r="G187" s="10" t="n">
        <v>79.76000000000001</v>
      </c>
      <c r="H187" s="14" t="n">
        <v>1</v>
      </c>
      <c r="I187" s="11" t="n">
        <v>0.05</v>
      </c>
      <c r="J187" s="11" t="n">
        <v>0.1</v>
      </c>
      <c r="K187" s="10" t="n"/>
      <c r="L187" s="9" t="inlineStr">
        <is>
          <t>Петрович</t>
        </is>
      </c>
      <c r="M187" s="9" t="inlineStr">
        <is>
          <t>https://moscow.petrovich.ru/product/108534/</t>
        </is>
      </c>
      <c r="N187" s="9" t="inlineStr">
        <is>
          <t>2026-10-29</t>
        </is>
      </c>
      <c r="O187" s="13" t="inlineStr">
        <is>
          <t>Петрович, труба 40х40х2, 587 руб/3 м с НДС, 7,36 кг. Цена кг с НДС 79.76. Карта клуба не учитывалась.</t>
        </is>
      </c>
      <c r="P187" s="4">
        <f>IF(H187=1,G187/VAT_DIV,G187)</f>
        <v/>
      </c>
      <c r="Q187" s="4">
        <f>P187*(1+I187)*(1+DELIV)*(1+GROWTH+MONEY)</f>
        <v/>
      </c>
      <c r="R187" s="4">
        <f>IF(AND(K187&lt;&gt;"",Q187*(1+J187)&gt;K187/VAT_DIV),K187/VAT_DIV,Q187*(1+J187))</f>
        <v/>
      </c>
      <c r="S187" s="4">
        <f>Q187*F187</f>
        <v/>
      </c>
      <c r="T187" s="4">
        <f>R187*F187</f>
        <v/>
      </c>
      <c r="U187" s="3">
        <f>IF(AND(K187&lt;&gt;"",Q187*(1+J187)&gt;K187/VAT_DIV+0.01),"ДА","")</f>
        <v/>
      </c>
      <c r="V187" s="4">
        <f>P187*F187</f>
        <v/>
      </c>
    </row>
    <row r="188" ht="20" customHeight="1">
      <c r="A188" s="9" t="inlineStr">
        <is>
          <t>154. Металическая полоса 40х4 мм</t>
        </is>
      </c>
      <c r="B188" s="13" t="inlineStr">
        <is>
          <t>Полоса, 1.26 кг/м</t>
        </is>
      </c>
      <c r="C188" s="9" t="inlineStr">
        <is>
          <t>Металлопрокат и метизы</t>
        </is>
      </c>
      <c r="D188" s="9" t="inlineStr">
        <is>
          <t>кг</t>
        </is>
      </c>
      <c r="E188" s="10" t="n">
        <v>1.256</v>
      </c>
      <c r="F188" s="4">
        <f>E188*IFERROR(INDEX(Работы!$D$4:$D$672,MATCH(SUBSTITUTE(SUBSTITUTE(SUBSTITUTE(A188,"~","~~"),"*","~*"),"?","~?"),Работы!$B$4:$B$672,0)),0)</f>
        <v/>
      </c>
      <c r="G188" s="10" t="n">
        <v>79.76000000000001</v>
      </c>
      <c r="H188" s="14" t="n">
        <v>1</v>
      </c>
      <c r="I188" s="11" t="n">
        <v>0.05</v>
      </c>
      <c r="J188" s="11" t="n">
        <v>0.1</v>
      </c>
      <c r="K188" s="10" t="n"/>
      <c r="L188" s="9" t="inlineStr">
        <is>
          <t>Петрович</t>
        </is>
      </c>
      <c r="M188" s="9" t="inlineStr">
        <is>
          <t>https://moscow.petrovich.ru/product/108534/</t>
        </is>
      </c>
      <c r="N188" s="9" t="inlineStr">
        <is>
          <t>2026-10-29</t>
        </is>
      </c>
      <c r="O188" s="13" t="inlineStr">
        <is>
          <t>Петрович, труба 40х40х2, 587 руб/3 м с НДС, 7,36 кг. Цена кг с НДС 79.76. Карта клуба не учитывалась.</t>
        </is>
      </c>
      <c r="P188" s="4">
        <f>IF(H188=1,G188/VAT_DIV,G188)</f>
        <v/>
      </c>
      <c r="Q188" s="4">
        <f>P188*(1+I188)*(1+DELIV)*(1+GROWTH+MONEY)</f>
        <v/>
      </c>
      <c r="R188" s="4">
        <f>IF(AND(K188&lt;&gt;"",Q188*(1+J188)&gt;K188/VAT_DIV),K188/VAT_DIV,Q188*(1+J188))</f>
        <v/>
      </c>
      <c r="S188" s="4">
        <f>Q188*F188</f>
        <v/>
      </c>
      <c r="T188" s="4">
        <f>R188*F188</f>
        <v/>
      </c>
      <c r="U188" s="3">
        <f>IF(AND(K188&lt;&gt;"",Q188*(1+J188)&gt;K188/VAT_DIV+0.01),"ДА","")</f>
        <v/>
      </c>
      <c r="V188" s="4">
        <f>P188*F188</f>
        <v/>
      </c>
    </row>
    <row r="189" ht="20" customHeight="1">
      <c r="A189" s="9" t="inlineStr">
        <is>
          <t>155. Металическая полоса 50х5 мм</t>
        </is>
      </c>
      <c r="B189" s="13" t="inlineStr">
        <is>
          <t>Полоса, 1.96 кг/м</t>
        </is>
      </c>
      <c r="C189" s="9" t="inlineStr">
        <is>
          <t>Металлопрокат и метизы</t>
        </is>
      </c>
      <c r="D189" s="9" t="inlineStr">
        <is>
          <t>кг</t>
        </is>
      </c>
      <c r="E189" s="10" t="n">
        <v>1.9625</v>
      </c>
      <c r="F189" s="4">
        <f>E189*IFERROR(INDEX(Работы!$D$4:$D$672,MATCH(SUBSTITUTE(SUBSTITUTE(SUBSTITUTE(A189,"~","~~"),"*","~*"),"?","~?"),Работы!$B$4:$B$672,0)),0)</f>
        <v/>
      </c>
      <c r="G189" s="10" t="n">
        <v>79.76000000000001</v>
      </c>
      <c r="H189" s="14" t="n">
        <v>1</v>
      </c>
      <c r="I189" s="11" t="n">
        <v>0.05</v>
      </c>
      <c r="J189" s="11" t="n">
        <v>0.1</v>
      </c>
      <c r="K189" s="10" t="n"/>
      <c r="L189" s="9" t="inlineStr">
        <is>
          <t>Петрович</t>
        </is>
      </c>
      <c r="M189" s="9" t="inlineStr">
        <is>
          <t>https://moscow.petrovich.ru/product/108534/</t>
        </is>
      </c>
      <c r="N189" s="9" t="inlineStr">
        <is>
          <t>2026-10-29</t>
        </is>
      </c>
      <c r="O189" s="13" t="inlineStr">
        <is>
          <t>Петрович, труба 40х40х2, 587 руб/3 м с НДС, 7,36 кг. Цена кг с НДС 79.76. Карта клуба не учитывалась.</t>
        </is>
      </c>
      <c r="P189" s="4">
        <f>IF(H189=1,G189/VAT_DIV,G189)</f>
        <v/>
      </c>
      <c r="Q189" s="4">
        <f>P189*(1+I189)*(1+DELIV)*(1+GROWTH+MONEY)</f>
        <v/>
      </c>
      <c r="R189" s="4">
        <f>IF(AND(K189&lt;&gt;"",Q189*(1+J189)&gt;K189/VAT_DIV),K189/VAT_DIV,Q189*(1+J189))</f>
        <v/>
      </c>
      <c r="S189" s="4">
        <f>Q189*F189</f>
        <v/>
      </c>
      <c r="T189" s="4">
        <f>R189*F189</f>
        <v/>
      </c>
      <c r="U189" s="3">
        <f>IF(AND(K189&lt;&gt;"",Q189*(1+J189)&gt;K189/VAT_DIV+0.01),"ДА","")</f>
        <v/>
      </c>
      <c r="V189" s="4">
        <f>P189*F189</f>
        <v/>
      </c>
    </row>
    <row r="190" ht="20" customHeight="1">
      <c r="A190" s="9" t="inlineStr">
        <is>
          <t>156. Оцинкованная сетка “Рабица” 1 500 мм высота</t>
        </is>
      </c>
      <c r="B190" s="13" t="inlineStr">
        <is>
          <t>Оцинкованная сетка “Рабица” 1 500 мм высота</t>
        </is>
      </c>
      <c r="C190" s="9" t="inlineStr">
        <is>
          <t>Металлопрокат и метизы</t>
        </is>
      </c>
      <c r="D190" s="9" t="inlineStr">
        <is>
          <t>м</t>
        </is>
      </c>
      <c r="E190" s="10" t="n">
        <v>1</v>
      </c>
      <c r="F190" s="4">
        <f>E190*IFERROR(INDEX(Работы!$D$4:$D$672,MATCH(SUBSTITUTE(SUBSTITUTE(SUBSTITUTE(A190,"~","~~"),"*","~*"),"?","~?"),Работы!$B$4:$B$672,0)),0)</f>
        <v/>
      </c>
      <c r="G190" s="10" t="n">
        <v>280</v>
      </c>
      <c r="H190" s="14" t="n">
        <v>1</v>
      </c>
      <c r="I190" s="11" t="n">
        <v>0.05</v>
      </c>
      <c r="J190" s="11" t="n">
        <v>0.1</v>
      </c>
      <c r="K190" s="10" t="n"/>
      <c r="L190" s="9" t="inlineStr">
        <is>
          <t>оценка</t>
        </is>
      </c>
      <c r="M190" s="9" t="inlineStr"/>
      <c r="N190" s="9" t="inlineStr">
        <is>
          <t>2026-10-29</t>
        </is>
      </c>
      <c r="O190" s="13" t="inlineStr">
        <is>
          <t>оценка сетки В Петрович, Лемана ПРО и Сатурн открытой карточки нет, оставлен прежний источник.</t>
        </is>
      </c>
      <c r="P190" s="4">
        <f>IF(H190=1,G190/VAT_DIV,G190)</f>
        <v/>
      </c>
      <c r="Q190" s="4">
        <f>P190*(1+I190)*(1+DELIV)*(1+GROWTH+MONEY)</f>
        <v/>
      </c>
      <c r="R190" s="4">
        <f>IF(AND(K190&lt;&gt;"",Q190*(1+J190)&gt;K190/VAT_DIV),K190/VAT_DIV,Q190*(1+J190))</f>
        <v/>
      </c>
      <c r="S190" s="4">
        <f>Q190*F190</f>
        <v/>
      </c>
      <c r="T190" s="4">
        <f>R190*F190</f>
        <v/>
      </c>
      <c r="U190" s="3">
        <f>IF(AND(K190&lt;&gt;"",Q190*(1+J190)&gt;K190/VAT_DIV+0.01),"ДА","")</f>
        <v/>
      </c>
      <c r="V190" s="4">
        <f>P190*F190</f>
        <v/>
      </c>
    </row>
    <row r="191" ht="20" customHeight="1">
      <c r="A191" s="9" t="inlineStr">
        <is>
          <t>157. Оцинкованная сетка “Рабица” 1 800 мм высота</t>
        </is>
      </c>
      <c r="B191" s="13" t="inlineStr">
        <is>
          <t>Оцинкованная сетка “Рабица” 1 800 мм высота</t>
        </is>
      </c>
      <c r="C191" s="9" t="inlineStr">
        <is>
          <t>Металлопрокат и метизы</t>
        </is>
      </c>
      <c r="D191" s="9" t="inlineStr">
        <is>
          <t>м</t>
        </is>
      </c>
      <c r="E191" s="10" t="n">
        <v>1</v>
      </c>
      <c r="F191" s="4">
        <f>E191*IFERROR(INDEX(Работы!$D$4:$D$672,MATCH(SUBSTITUTE(SUBSTITUTE(SUBSTITUTE(A191,"~","~~"),"*","~*"),"?","~?"),Работы!$B$4:$B$672,0)),0)</f>
        <v/>
      </c>
      <c r="G191" s="10" t="n">
        <v>280</v>
      </c>
      <c r="H191" s="14" t="n">
        <v>1</v>
      </c>
      <c r="I191" s="11" t="n">
        <v>0.05</v>
      </c>
      <c r="J191" s="11" t="n">
        <v>0.1</v>
      </c>
      <c r="K191" s="10" t="n"/>
      <c r="L191" s="9" t="inlineStr">
        <is>
          <t>оценка</t>
        </is>
      </c>
      <c r="M191" s="9" t="inlineStr"/>
      <c r="N191" s="9" t="inlineStr">
        <is>
          <t>2026-10-29</t>
        </is>
      </c>
      <c r="O191" s="13" t="inlineStr">
        <is>
          <t>оценка сетки В Петрович, Лемана ПРО и Сатурн открытой карточки нет, оставлен прежний источник.</t>
        </is>
      </c>
      <c r="P191" s="4">
        <f>IF(H191=1,G191/VAT_DIV,G191)</f>
        <v/>
      </c>
      <c r="Q191" s="4">
        <f>P191*(1+I191)*(1+DELIV)*(1+GROWTH+MONEY)</f>
        <v/>
      </c>
      <c r="R191" s="4">
        <f>IF(AND(K191&lt;&gt;"",Q191*(1+J191)&gt;K191/VAT_DIV),K191/VAT_DIV,Q191*(1+J191))</f>
        <v/>
      </c>
      <c r="S191" s="4">
        <f>Q191*F191</f>
        <v/>
      </c>
      <c r="T191" s="4">
        <f>R191*F191</f>
        <v/>
      </c>
      <c r="U191" s="3">
        <f>IF(AND(K191&lt;&gt;"",Q191*(1+J191)&gt;K191/VAT_DIV+0.01),"ДА","")</f>
        <v/>
      </c>
      <c r="V191" s="4">
        <f>P191*F191</f>
        <v/>
      </c>
    </row>
    <row r="192" ht="20" customHeight="1">
      <c r="A192" s="9" t="inlineStr">
        <is>
          <t>158. Оцинкованная сетка “Рабица” 2 000 мм высота</t>
        </is>
      </c>
      <c r="B192" s="13" t="inlineStr">
        <is>
          <t>Оцинкованная сетка “Рабица” 2 000 мм высота</t>
        </is>
      </c>
      <c r="C192" s="9" t="inlineStr">
        <is>
          <t>Металлопрокат и метизы</t>
        </is>
      </c>
      <c r="D192" s="9" t="inlineStr">
        <is>
          <t>м</t>
        </is>
      </c>
      <c r="E192" s="10" t="n">
        <v>1</v>
      </c>
      <c r="F192" s="4">
        <f>E192*IFERROR(INDEX(Работы!$D$4:$D$672,MATCH(SUBSTITUTE(SUBSTITUTE(SUBSTITUTE(A192,"~","~~"),"*","~*"),"?","~?"),Работы!$B$4:$B$672,0)),0)</f>
        <v/>
      </c>
      <c r="G192" s="10" t="n">
        <v>280</v>
      </c>
      <c r="H192" s="14" t="n">
        <v>1</v>
      </c>
      <c r="I192" s="11" t="n">
        <v>0.05</v>
      </c>
      <c r="J192" s="11" t="n">
        <v>0.1</v>
      </c>
      <c r="K192" s="10" t="n"/>
      <c r="L192" s="9" t="inlineStr">
        <is>
          <t>оценка</t>
        </is>
      </c>
      <c r="M192" s="9" t="inlineStr"/>
      <c r="N192" s="9" t="inlineStr">
        <is>
          <t>2026-10-29</t>
        </is>
      </c>
      <c r="O192" s="13" t="inlineStr">
        <is>
          <t>оценка сетки В Петрович, Лемана ПРО и Сатурн открытой карточки нет, оставлен прежний источник.</t>
        </is>
      </c>
      <c r="P192" s="4">
        <f>IF(H192=1,G192/VAT_DIV,G192)</f>
        <v/>
      </c>
      <c r="Q192" s="4">
        <f>P192*(1+I192)*(1+DELIV)*(1+GROWTH+MONEY)</f>
        <v/>
      </c>
      <c r="R192" s="4">
        <f>IF(AND(K192&lt;&gt;"",Q192*(1+J192)&gt;K192/VAT_DIV),K192/VAT_DIV,Q192*(1+J192))</f>
        <v/>
      </c>
      <c r="S192" s="4">
        <f>Q192*F192</f>
        <v/>
      </c>
      <c r="T192" s="4">
        <f>R192*F192</f>
        <v/>
      </c>
      <c r="U192" s="3">
        <f>IF(AND(K192&lt;&gt;"",Q192*(1+J192)&gt;K192/VAT_DIV+0.01),"ДА","")</f>
        <v/>
      </c>
      <c r="V192" s="4">
        <f>P192*F192</f>
        <v/>
      </c>
    </row>
    <row r="193" ht="20" customHeight="1">
      <c r="A193" s="9" t="inlineStr">
        <is>
          <t>159. Рифленый лист (черный металл) толщина 5 мм</t>
        </is>
      </c>
      <c r="B193" s="13" t="inlineStr">
        <is>
          <t>Лист 5.0 мм, 39.2 кг/м2</t>
        </is>
      </c>
      <c r="C193" s="9" t="inlineStr">
        <is>
          <t>Металлопрокат и метизы</t>
        </is>
      </c>
      <c r="D193" s="9" t="inlineStr">
        <is>
          <t>кг</t>
        </is>
      </c>
      <c r="E193" s="10" t="n">
        <v>39.25</v>
      </c>
      <c r="F193" s="4">
        <f>E193*IFERROR(INDEX(Работы!$D$4:$D$672,MATCH(SUBSTITUTE(SUBSTITUTE(SUBSTITUTE(A193,"~","~~"),"*","~*"),"?","~?"),Работы!$B$4:$B$672,0)),0)</f>
        <v/>
      </c>
      <c r="G193" s="10" t="n">
        <v>79.76000000000001</v>
      </c>
      <c r="H193" s="14" t="n">
        <v>1</v>
      </c>
      <c r="I193" s="11" t="n">
        <v>0.05</v>
      </c>
      <c r="J193" s="11" t="n">
        <v>0.1</v>
      </c>
      <c r="K193" s="10" t="n"/>
      <c r="L193" s="9" t="inlineStr">
        <is>
          <t>Петрович</t>
        </is>
      </c>
      <c r="M193" s="9" t="inlineStr">
        <is>
          <t>https://moscow.petrovich.ru/product/108534/</t>
        </is>
      </c>
      <c r="N193" s="9" t="inlineStr">
        <is>
          <t>2026-10-29</t>
        </is>
      </c>
      <c r="O193" s="13" t="inlineStr">
        <is>
          <t>Петрович, труба 40х40х2, 587 руб/3 м с НДС, 7,36 кг. Цена кг с НДС 79.76. Карта клуба не учитывалась.</t>
        </is>
      </c>
      <c r="P193" s="4">
        <f>IF(H193=1,G193/VAT_DIV,G193)</f>
        <v/>
      </c>
      <c r="Q193" s="4">
        <f>P193*(1+I193)*(1+DELIV)*(1+GROWTH+MONEY)</f>
        <v/>
      </c>
      <c r="R193" s="4">
        <f>IF(AND(K193&lt;&gt;"",Q193*(1+J193)&gt;K193/VAT_DIV),K193/VAT_DIV,Q193*(1+J193))</f>
        <v/>
      </c>
      <c r="S193" s="4">
        <f>Q193*F193</f>
        <v/>
      </c>
      <c r="T193" s="4">
        <f>R193*F193</f>
        <v/>
      </c>
      <c r="U193" s="3">
        <f>IF(AND(K193&lt;&gt;"",Q193*(1+J193)&gt;K193/VAT_DIV+0.01),"ДА","")</f>
        <v/>
      </c>
      <c r="V193" s="4">
        <f>P193*F193</f>
        <v/>
      </c>
    </row>
    <row r="194" ht="20" customHeight="1">
      <c r="A194" s="9" t="inlineStr">
        <is>
          <t>160. Рифленый лист (черный металл) толщина 3 мм</t>
        </is>
      </c>
      <c r="B194" s="13" t="inlineStr">
        <is>
          <t>Лист 3.0 мм, 23.5 кг/м2</t>
        </is>
      </c>
      <c r="C194" s="9" t="inlineStr">
        <is>
          <t>Металлопрокат и метизы</t>
        </is>
      </c>
      <c r="D194" s="9" t="inlineStr">
        <is>
          <t>кг</t>
        </is>
      </c>
      <c r="E194" s="10" t="n">
        <v>23.55</v>
      </c>
      <c r="F194" s="4">
        <f>E194*IFERROR(INDEX(Работы!$D$4:$D$672,MATCH(SUBSTITUTE(SUBSTITUTE(SUBSTITUTE(A194,"~","~~"),"*","~*"),"?","~?"),Работы!$B$4:$B$672,0)),0)</f>
        <v/>
      </c>
      <c r="G194" s="10" t="n">
        <v>79.76000000000001</v>
      </c>
      <c r="H194" s="14" t="n">
        <v>1</v>
      </c>
      <c r="I194" s="11" t="n">
        <v>0.05</v>
      </c>
      <c r="J194" s="11" t="n">
        <v>0.1</v>
      </c>
      <c r="K194" s="10" t="n"/>
      <c r="L194" s="9" t="inlineStr">
        <is>
          <t>Петрович</t>
        </is>
      </c>
      <c r="M194" s="9" t="inlineStr">
        <is>
          <t>https://moscow.petrovich.ru/product/108534/</t>
        </is>
      </c>
      <c r="N194" s="9" t="inlineStr">
        <is>
          <t>2026-10-29</t>
        </is>
      </c>
      <c r="O194" s="13" t="inlineStr">
        <is>
          <t>Петрович, труба 40х40х2, 587 руб/3 м с НДС, 7,36 кг. Цена кг с НДС 79.76. Карта клуба не учитывалась.</t>
        </is>
      </c>
      <c r="P194" s="4">
        <f>IF(H194=1,G194/VAT_DIV,G194)</f>
        <v/>
      </c>
      <c r="Q194" s="4">
        <f>P194*(1+I194)*(1+DELIV)*(1+GROWTH+MONEY)</f>
        <v/>
      </c>
      <c r="R194" s="4">
        <f>IF(AND(K194&lt;&gt;"",Q194*(1+J194)&gt;K194/VAT_DIV),K194/VAT_DIV,Q194*(1+J194))</f>
        <v/>
      </c>
      <c r="S194" s="4">
        <f>Q194*F194</f>
        <v/>
      </c>
      <c r="T194" s="4">
        <f>R194*F194</f>
        <v/>
      </c>
      <c r="U194" s="3">
        <f>IF(AND(K194&lt;&gt;"",Q194*(1+J194)&gt;K194/VAT_DIV+0.01),"ДА","")</f>
        <v/>
      </c>
      <c r="V194" s="4">
        <f>P194*F194</f>
        <v/>
      </c>
    </row>
    <row r="195" ht="20" customHeight="1">
      <c r="A195" s="9" t="inlineStr">
        <is>
          <t>161. Лист гладкий (черный металл) толщина 5 мм</t>
        </is>
      </c>
      <c r="B195" s="13" t="inlineStr">
        <is>
          <t>Лист 5.0 мм, 39.2 кг/м2</t>
        </is>
      </c>
      <c r="C195" s="9" t="inlineStr">
        <is>
          <t>Металлопрокат и метизы</t>
        </is>
      </c>
      <c r="D195" s="9" t="inlineStr">
        <is>
          <t>кг</t>
        </is>
      </c>
      <c r="E195" s="10" t="n">
        <v>39.25</v>
      </c>
      <c r="F195" s="4">
        <f>E195*IFERROR(INDEX(Работы!$D$4:$D$672,MATCH(SUBSTITUTE(SUBSTITUTE(SUBSTITUTE(A195,"~","~~"),"*","~*"),"?","~?"),Работы!$B$4:$B$672,0)),0)</f>
        <v/>
      </c>
      <c r="G195" s="10" t="n">
        <v>79.76000000000001</v>
      </c>
      <c r="H195" s="14" t="n">
        <v>1</v>
      </c>
      <c r="I195" s="11" t="n">
        <v>0.05</v>
      </c>
      <c r="J195" s="11" t="n">
        <v>0.1</v>
      </c>
      <c r="K195" s="10" t="n"/>
      <c r="L195" s="9" t="inlineStr">
        <is>
          <t>Петрович</t>
        </is>
      </c>
      <c r="M195" s="9" t="inlineStr">
        <is>
          <t>https://moscow.petrovich.ru/product/108534/</t>
        </is>
      </c>
      <c r="N195" s="9" t="inlineStr">
        <is>
          <t>2026-10-29</t>
        </is>
      </c>
      <c r="O195" s="13" t="inlineStr">
        <is>
          <t>Петрович, труба 40х40х2, 587 руб/3 м с НДС, 7,36 кг. Цена кг с НДС 79.76. Карта клуба не учитывалась.</t>
        </is>
      </c>
      <c r="P195" s="4">
        <f>IF(H195=1,G195/VAT_DIV,G195)</f>
        <v/>
      </c>
      <c r="Q195" s="4">
        <f>P195*(1+I195)*(1+DELIV)*(1+GROWTH+MONEY)</f>
        <v/>
      </c>
      <c r="R195" s="4">
        <f>IF(AND(K195&lt;&gt;"",Q195*(1+J195)&gt;K195/VAT_DIV),K195/VAT_DIV,Q195*(1+J195))</f>
        <v/>
      </c>
      <c r="S195" s="4">
        <f>Q195*F195</f>
        <v/>
      </c>
      <c r="T195" s="4">
        <f>R195*F195</f>
        <v/>
      </c>
      <c r="U195" s="3">
        <f>IF(AND(K195&lt;&gt;"",Q195*(1+J195)&gt;K195/VAT_DIV+0.01),"ДА","")</f>
        <v/>
      </c>
      <c r="V195" s="4">
        <f>P195*F195</f>
        <v/>
      </c>
    </row>
    <row r="196" ht="20" customHeight="1">
      <c r="A196" s="9" t="inlineStr">
        <is>
          <t>162. Лист гладкий (черный металл) толщина 3 мм</t>
        </is>
      </c>
      <c r="B196" s="13" t="inlineStr">
        <is>
          <t>Лист 3.0 мм, 23.5 кг/м2</t>
        </is>
      </c>
      <c r="C196" s="9" t="inlineStr">
        <is>
          <t>Металлопрокат и метизы</t>
        </is>
      </c>
      <c r="D196" s="9" t="inlineStr">
        <is>
          <t>кг</t>
        </is>
      </c>
      <c r="E196" s="10" t="n">
        <v>23.55</v>
      </c>
      <c r="F196" s="4">
        <f>E196*IFERROR(INDEX(Работы!$D$4:$D$672,MATCH(SUBSTITUTE(SUBSTITUTE(SUBSTITUTE(A196,"~","~~"),"*","~*"),"?","~?"),Работы!$B$4:$B$672,0)),0)</f>
        <v/>
      </c>
      <c r="G196" s="10" t="n">
        <v>79.76000000000001</v>
      </c>
      <c r="H196" s="14" t="n">
        <v>1</v>
      </c>
      <c r="I196" s="11" t="n">
        <v>0.05</v>
      </c>
      <c r="J196" s="11" t="n">
        <v>0.1</v>
      </c>
      <c r="K196" s="10" t="n"/>
      <c r="L196" s="9" t="inlineStr">
        <is>
          <t>Петрович</t>
        </is>
      </c>
      <c r="M196" s="9" t="inlineStr">
        <is>
          <t>https://moscow.petrovich.ru/product/108534/</t>
        </is>
      </c>
      <c r="N196" s="9" t="inlineStr">
        <is>
          <t>2026-10-29</t>
        </is>
      </c>
      <c r="O196" s="13" t="inlineStr">
        <is>
          <t>Петрович, труба 40х40х2, 587 руб/3 м с НДС, 7,36 кг. Цена кг с НДС 79.76. Карта клуба не учитывалась.</t>
        </is>
      </c>
      <c r="P196" s="4">
        <f>IF(H196=1,G196/VAT_DIV,G196)</f>
        <v/>
      </c>
      <c r="Q196" s="4">
        <f>P196*(1+I196)*(1+DELIV)*(1+GROWTH+MONEY)</f>
        <v/>
      </c>
      <c r="R196" s="4">
        <f>IF(AND(K196&lt;&gt;"",Q196*(1+J196)&gt;K196/VAT_DIV),K196/VAT_DIV,Q196*(1+J196))</f>
        <v/>
      </c>
      <c r="S196" s="4">
        <f>Q196*F196</f>
        <v/>
      </c>
      <c r="T196" s="4">
        <f>R196*F196</f>
        <v/>
      </c>
      <c r="U196" s="3">
        <f>IF(AND(K196&lt;&gt;"",Q196*(1+J196)&gt;K196/VAT_DIV+0.01),"ДА","")</f>
        <v/>
      </c>
      <c r="V196" s="4">
        <f>P196*F196</f>
        <v/>
      </c>
    </row>
    <row r="197" ht="20" customHeight="1">
      <c r="A197" s="9" t="inlineStr">
        <is>
          <t>163. Оцинкованный лист гладкий толщиной 0.55 мм</t>
        </is>
      </c>
      <c r="B197" s="13" t="inlineStr">
        <is>
          <t>Лист 0.55 мм, 4.3 кг/м2</t>
        </is>
      </c>
      <c r="C197" s="9" t="inlineStr">
        <is>
          <t>Металлопрокат и метизы</t>
        </is>
      </c>
      <c r="D197" s="9" t="inlineStr">
        <is>
          <t>кг</t>
        </is>
      </c>
      <c r="E197" s="10" t="n">
        <v>4.3175</v>
      </c>
      <c r="F197" s="4">
        <f>E197*IFERROR(INDEX(Работы!$D$4:$D$672,MATCH(SUBSTITUTE(SUBSTITUTE(SUBSTITUTE(A197,"~","~~"),"*","~*"),"?","~?"),Работы!$B$4:$B$672,0)),0)</f>
        <v/>
      </c>
      <c r="G197" s="10" t="n">
        <v>107.68</v>
      </c>
      <c r="H197" s="14" t="n">
        <v>1</v>
      </c>
      <c r="I197" s="11" t="n">
        <v>0.05</v>
      </c>
      <c r="J197" s="11" t="n">
        <v>0.1</v>
      </c>
      <c r="K197" s="10" t="n"/>
      <c r="L197" s="9" t="inlineStr">
        <is>
          <t>Петрович</t>
        </is>
      </c>
      <c r="M197" s="9" t="inlineStr">
        <is>
          <t>https://moscow.petrovich.ru/product/108534/</t>
        </is>
      </c>
      <c r="N197" s="9" t="inlineStr">
        <is>
          <t>2026-10-29</t>
        </is>
      </c>
      <c r="O197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197" s="4">
        <f>IF(H197=1,G197/VAT_DIV,G197)</f>
        <v/>
      </c>
      <c r="Q197" s="4">
        <f>P197*(1+I197)*(1+DELIV)*(1+GROWTH+MONEY)</f>
        <v/>
      </c>
      <c r="R197" s="4">
        <f>IF(AND(K197&lt;&gt;"",Q197*(1+J197)&gt;K197/VAT_DIV),K197/VAT_DIV,Q197*(1+J197))</f>
        <v/>
      </c>
      <c r="S197" s="4">
        <f>Q197*F197</f>
        <v/>
      </c>
      <c r="T197" s="4">
        <f>R197*F197</f>
        <v/>
      </c>
      <c r="U197" s="3">
        <f>IF(AND(K197&lt;&gt;"",Q197*(1+J197)&gt;K197/VAT_DIV+0.01),"ДА","")</f>
        <v/>
      </c>
      <c r="V197" s="4">
        <f>P197*F197</f>
        <v/>
      </c>
    </row>
    <row r="198" ht="20" customHeight="1">
      <c r="A198" s="9" t="inlineStr">
        <is>
          <t>164. Лист рифленый нержавеющая сталь 1,5 мм</t>
        </is>
      </c>
      <c r="B198" s="13" t="inlineStr">
        <is>
          <t>Лист 1.5 мм, 11.8 кг/м2</t>
        </is>
      </c>
      <c r="C198" s="9" t="inlineStr">
        <is>
          <t>Металлопрокат и метизы</t>
        </is>
      </c>
      <c r="D198" s="9" t="inlineStr">
        <is>
          <t>кг</t>
        </is>
      </c>
      <c r="E198" s="10" t="n">
        <v>11.775</v>
      </c>
      <c r="F198" s="4">
        <f>E198*IFERROR(INDEX(Работы!$D$4:$D$672,MATCH(SUBSTITUTE(SUBSTITUTE(SUBSTITUTE(A198,"~","~~"),"*","~*"),"?","~?"),Работы!$B$4:$B$672,0)),0)</f>
        <v/>
      </c>
      <c r="G198" s="10" t="n">
        <v>518.41</v>
      </c>
      <c r="H198" s="14" t="n">
        <v>1</v>
      </c>
      <c r="I198" s="11" t="n">
        <v>0.05</v>
      </c>
      <c r="J198" s="11" t="n">
        <v>0.1</v>
      </c>
      <c r="K198" s="10" t="n"/>
      <c r="L198" s="9" t="inlineStr">
        <is>
          <t>Петрович</t>
        </is>
      </c>
      <c r="M198" s="9" t="inlineStr">
        <is>
          <t>https://moscow.petrovich.ru/product/108534/</t>
        </is>
      </c>
      <c r="N198" s="9" t="inlineStr">
        <is>
          <t>2026-10-29</t>
        </is>
      </c>
      <c r="O198" s="13" t="inlineStr">
        <is>
          <t>Петрович, труба 40х40х2, 587 руб/3 м с НДС, 7,36 кг. Цена кг с НДС 79.76. Карта клуба не учитывалась. коэффициент 6.5 к чёрному — оценка, запросить КП металлобазы</t>
        </is>
      </c>
      <c r="P198" s="4">
        <f>IF(H198=1,G198/VAT_DIV,G198)</f>
        <v/>
      </c>
      <c r="Q198" s="4">
        <f>P198*(1+I198)*(1+DELIV)*(1+GROWTH+MONEY)</f>
        <v/>
      </c>
      <c r="R198" s="4">
        <f>IF(AND(K198&lt;&gt;"",Q198*(1+J198)&gt;K198/VAT_DIV),K198/VAT_DIV,Q198*(1+J198))</f>
        <v/>
      </c>
      <c r="S198" s="4">
        <f>Q198*F198</f>
        <v/>
      </c>
      <c r="T198" s="4">
        <f>R198*F198</f>
        <v/>
      </c>
      <c r="U198" s="3">
        <f>IF(AND(K198&lt;&gt;"",Q198*(1+J198)&gt;K198/VAT_DIV+0.01),"ДА","")</f>
        <v/>
      </c>
      <c r="V198" s="4">
        <f>P198*F198</f>
        <v/>
      </c>
    </row>
    <row r="199" ht="20" customHeight="1">
      <c r="A199" s="9" t="inlineStr">
        <is>
          <t>165. Алюминиевый рифленый лист с пятью рифлями«квинтет», толщиной 2 мм.</t>
        </is>
      </c>
      <c r="B199" s="13" t="inlineStr">
        <is>
          <t>Лист 2.0 мм, 5.4 кг/м2</t>
        </is>
      </c>
      <c r="C199" s="9" t="inlineStr">
        <is>
          <t>Металлопрокат и метизы</t>
        </is>
      </c>
      <c r="D199" s="9" t="inlineStr">
        <is>
          <t>кг</t>
        </is>
      </c>
      <c r="E199" s="10" t="n">
        <v>5.4</v>
      </c>
      <c r="F199" s="4">
        <f>E199*IFERROR(INDEX(Работы!$D$4:$D$672,MATCH(SUBSTITUTE(SUBSTITUTE(SUBSTITUTE(A199,"~","~~"),"*","~*"),"?","~?"),Работы!$B$4:$B$672,0)),0)</f>
        <v/>
      </c>
      <c r="G199" s="10" t="n">
        <v>558.29</v>
      </c>
      <c r="H199" s="14" t="n">
        <v>1</v>
      </c>
      <c r="I199" s="11" t="n">
        <v>0.05</v>
      </c>
      <c r="J199" s="11" t="n">
        <v>0.1</v>
      </c>
      <c r="K199" s="10" t="n"/>
      <c r="L199" s="9" t="inlineStr">
        <is>
          <t>Петрович</t>
        </is>
      </c>
      <c r="M199" s="9" t="inlineStr">
        <is>
          <t>https://moscow.petrovich.ru/product/108534/</t>
        </is>
      </c>
      <c r="N199" s="9" t="inlineStr">
        <is>
          <t>2026-10-29</t>
        </is>
      </c>
      <c r="O199" s="13" t="inlineStr">
        <is>
          <t>Петрович, труба 40х40х2, 587 руб/3 м с НДС, 7,36 кг. Цена кг с НДС 79.76. Карта клуба не учитывалась. коэффициент 7.0 к чёрному — оценка, запросить КП металлобазы</t>
        </is>
      </c>
      <c r="P199" s="4">
        <f>IF(H199=1,G199/VAT_DIV,G199)</f>
        <v/>
      </c>
      <c r="Q199" s="4">
        <f>P199*(1+I199)*(1+DELIV)*(1+GROWTH+MONEY)</f>
        <v/>
      </c>
      <c r="R199" s="4">
        <f>IF(AND(K199&lt;&gt;"",Q199*(1+J199)&gt;K199/VAT_DIV),K199/VAT_DIV,Q199*(1+J199))</f>
        <v/>
      </c>
      <c r="S199" s="4">
        <f>Q199*F199</f>
        <v/>
      </c>
      <c r="T199" s="4">
        <f>R199*F199</f>
        <v/>
      </c>
      <c r="U199" s="3">
        <f>IF(AND(K199&lt;&gt;"",Q199*(1+J199)&gt;K199/VAT_DIV+0.01),"ДА","")</f>
        <v/>
      </c>
      <c r="V199" s="4">
        <f>P199*F199</f>
        <v/>
      </c>
    </row>
    <row r="200" ht="20" customHeight="1">
      <c r="A200" s="9" t="inlineStr">
        <is>
          <t>166. Лист гладкий (черный металл) толщина 10 мм.</t>
        </is>
      </c>
      <c r="B200" s="13" t="inlineStr">
        <is>
          <t>Лист 10.0 мм, 78.5 кг/м2</t>
        </is>
      </c>
      <c r="C200" s="9" t="inlineStr">
        <is>
          <t>Металлопрокат и метизы</t>
        </is>
      </c>
      <c r="D200" s="9" t="inlineStr">
        <is>
          <t>кг</t>
        </is>
      </c>
      <c r="E200" s="10" t="n">
        <v>78.5</v>
      </c>
      <c r="F200" s="4">
        <f>E200*IFERROR(INDEX(Работы!$D$4:$D$672,MATCH(SUBSTITUTE(SUBSTITUTE(SUBSTITUTE(A200,"~","~~"),"*","~*"),"?","~?"),Работы!$B$4:$B$672,0)),0)</f>
        <v/>
      </c>
      <c r="G200" s="10" t="n">
        <v>79.76000000000001</v>
      </c>
      <c r="H200" s="14" t="n">
        <v>1</v>
      </c>
      <c r="I200" s="11" t="n">
        <v>0.05</v>
      </c>
      <c r="J200" s="11" t="n">
        <v>0.1</v>
      </c>
      <c r="K200" s="10" t="n"/>
      <c r="L200" s="9" t="inlineStr">
        <is>
          <t>Петрович</t>
        </is>
      </c>
      <c r="M200" s="9" t="inlineStr">
        <is>
          <t>https://moscow.petrovich.ru/product/108534/</t>
        </is>
      </c>
      <c r="N200" s="9" t="inlineStr">
        <is>
          <t>2026-10-29</t>
        </is>
      </c>
      <c r="O200" s="13" t="inlineStr">
        <is>
          <t>Петрович, труба 40х40х2, 587 руб/3 м с НДС, 7,36 кг. Цена кг с НДС 79.76. Карта клуба не учитывалась.</t>
        </is>
      </c>
      <c r="P200" s="4">
        <f>IF(H200=1,G200/VAT_DIV,G200)</f>
        <v/>
      </c>
      <c r="Q200" s="4">
        <f>P200*(1+I200)*(1+DELIV)*(1+GROWTH+MONEY)</f>
        <v/>
      </c>
      <c r="R200" s="4">
        <f>IF(AND(K200&lt;&gt;"",Q200*(1+J200)&gt;K200/VAT_DIV),K200/VAT_DIV,Q200*(1+J200))</f>
        <v/>
      </c>
      <c r="S200" s="4">
        <f>Q200*F200</f>
        <v/>
      </c>
      <c r="T200" s="4">
        <f>R200*F200</f>
        <v/>
      </c>
      <c r="U200" s="3">
        <f>IF(AND(K200&lt;&gt;"",Q200*(1+J200)&gt;K200/VAT_DIV+0.01),"ДА","")</f>
        <v/>
      </c>
      <c r="V200" s="4">
        <f>P200*F200</f>
        <v/>
      </c>
    </row>
    <row r="201" ht="20" customHeight="1">
      <c r="A201" s="9" t="inlineStr">
        <is>
          <t>167. Пластина металлическая 360х200х20мм,4 отверстия Д18-22мм</t>
        </is>
      </c>
      <c r="B201" s="13" t="inlineStr">
        <is>
          <t>Пластина, 11.3 кг</t>
        </is>
      </c>
      <c r="C201" s="9" t="inlineStr">
        <is>
          <t>Металлопрокат и метизы</t>
        </is>
      </c>
      <c r="D201" s="9" t="inlineStr">
        <is>
          <t>кг</t>
        </is>
      </c>
      <c r="E201" s="10" t="n">
        <v>11.304</v>
      </c>
      <c r="F201" s="4">
        <f>E201*IFERROR(INDEX(Работы!$D$4:$D$672,MATCH(SUBSTITUTE(SUBSTITUTE(SUBSTITUTE(A201,"~","~~"),"*","~*"),"?","~?"),Работы!$B$4:$B$672,0)),0)</f>
        <v/>
      </c>
      <c r="G201" s="10" t="n">
        <v>79.76000000000001</v>
      </c>
      <c r="H201" s="14" t="n">
        <v>1</v>
      </c>
      <c r="I201" s="11" t="n">
        <v>0.05</v>
      </c>
      <c r="J201" s="11" t="n">
        <v>0.1</v>
      </c>
      <c r="K201" s="10" t="n"/>
      <c r="L201" s="9" t="inlineStr">
        <is>
          <t>Петрович</t>
        </is>
      </c>
      <c r="M201" s="9" t="inlineStr">
        <is>
          <t>https://moscow.petrovich.ru/product/108534/</t>
        </is>
      </c>
      <c r="N201" s="9" t="inlineStr">
        <is>
          <t>2026-10-29</t>
        </is>
      </c>
      <c r="O201" s="13" t="inlineStr">
        <is>
          <t>Петрович, труба 40х40х2, 587 руб/3 м с НДС, 7,36 кг. Цена кг с НДС 79.76. Карта клуба не учитывалась.</t>
        </is>
      </c>
      <c r="P201" s="4">
        <f>IF(H201=1,G201/VAT_DIV,G201)</f>
        <v/>
      </c>
      <c r="Q201" s="4">
        <f>P201*(1+I201)*(1+DELIV)*(1+GROWTH+MONEY)</f>
        <v/>
      </c>
      <c r="R201" s="4">
        <f>IF(AND(K201&lt;&gt;"",Q201*(1+J201)&gt;K201/VAT_DIV),K201/VAT_DIV,Q201*(1+J201))</f>
        <v/>
      </c>
      <c r="S201" s="4">
        <f>Q201*F201</f>
        <v/>
      </c>
      <c r="T201" s="4">
        <f>R201*F201</f>
        <v/>
      </c>
      <c r="U201" s="3">
        <f>IF(AND(K201&lt;&gt;"",Q201*(1+J201)&gt;K201/VAT_DIV+0.01),"ДА","")</f>
        <v/>
      </c>
      <c r="V201" s="4">
        <f>P201*F201</f>
        <v/>
      </c>
    </row>
    <row r="202" ht="20" customHeight="1">
      <c r="A202" s="9" t="inlineStr">
        <is>
          <t>168. лист гладкий (черный металл) толщина 4 мм</t>
        </is>
      </c>
      <c r="B202" s="13" t="inlineStr">
        <is>
          <t>Лист 4.0 мм, 31.4 кг/м2</t>
        </is>
      </c>
      <c r="C202" s="9" t="inlineStr">
        <is>
          <t>Металлопрокат и метизы</t>
        </is>
      </c>
      <c r="D202" s="9" t="inlineStr">
        <is>
          <t>кг</t>
        </is>
      </c>
      <c r="E202" s="10" t="n">
        <v>31.4</v>
      </c>
      <c r="F202" s="4">
        <f>E202*IFERROR(INDEX(Работы!$D$4:$D$672,MATCH(SUBSTITUTE(SUBSTITUTE(SUBSTITUTE(A202,"~","~~"),"*","~*"),"?","~?"),Работы!$B$4:$B$672,0)),0)</f>
        <v/>
      </c>
      <c r="G202" s="10" t="n">
        <v>79.76000000000001</v>
      </c>
      <c r="H202" s="14" t="n">
        <v>1</v>
      </c>
      <c r="I202" s="11" t="n">
        <v>0.05</v>
      </c>
      <c r="J202" s="11" t="n">
        <v>0.1</v>
      </c>
      <c r="K202" s="10" t="n"/>
      <c r="L202" s="9" t="inlineStr">
        <is>
          <t>Петрович</t>
        </is>
      </c>
      <c r="M202" s="9" t="inlineStr">
        <is>
          <t>https://moscow.petrovich.ru/product/108534/</t>
        </is>
      </c>
      <c r="N202" s="9" t="inlineStr">
        <is>
          <t>2026-10-29</t>
        </is>
      </c>
      <c r="O202" s="13" t="inlineStr">
        <is>
          <t>Петрович, труба 40х40х2, 587 руб/3 м с НДС, 7,36 кг. Цена кг с НДС 79.76. Карта клуба не учитывалась.</t>
        </is>
      </c>
      <c r="P202" s="4">
        <f>IF(H202=1,G202/VAT_DIV,G202)</f>
        <v/>
      </c>
      <c r="Q202" s="4">
        <f>P202*(1+I202)*(1+DELIV)*(1+GROWTH+MONEY)</f>
        <v/>
      </c>
      <c r="R202" s="4">
        <f>IF(AND(K202&lt;&gt;"",Q202*(1+J202)&gt;K202/VAT_DIV),K202/VAT_DIV,Q202*(1+J202))</f>
        <v/>
      </c>
      <c r="S202" s="4">
        <f>Q202*F202</f>
        <v/>
      </c>
      <c r="T202" s="4">
        <f>R202*F202</f>
        <v/>
      </c>
      <c r="U202" s="3">
        <f>IF(AND(K202&lt;&gt;"",Q202*(1+J202)&gt;K202/VAT_DIV+0.01),"ДА","")</f>
        <v/>
      </c>
      <c r="V202" s="4">
        <f>P202*F202</f>
        <v/>
      </c>
    </row>
    <row r="203" ht="20" customHeight="1">
      <c r="A203" s="9" t="inlineStr">
        <is>
          <t>169. Металлическая сетка 100х100х4 мм</t>
        </is>
      </c>
      <c r="B203" s="13" t="inlineStr">
        <is>
          <t>Металлическая сетка 100х100х4 мм</t>
        </is>
      </c>
      <c r="C203" s="9" t="inlineStr">
        <is>
          <t>Металлопрокат и метизы</t>
        </is>
      </c>
      <c r="D203" s="9" t="inlineStr">
        <is>
          <t>м</t>
        </is>
      </c>
      <c r="E203" s="10" t="n">
        <v>1</v>
      </c>
      <c r="F203" s="4">
        <f>E203*IFERROR(INDEX(Работы!$D$4:$D$672,MATCH(SUBSTITUTE(SUBSTITUTE(SUBSTITUTE(A203,"~","~~"),"*","~*"),"?","~?"),Работы!$B$4:$B$672,0)),0)</f>
        <v/>
      </c>
      <c r="G203" s="10" t="n">
        <v>180</v>
      </c>
      <c r="H203" s="14" t="n">
        <v>1</v>
      </c>
      <c r="I203" s="11" t="n">
        <v>0.05</v>
      </c>
      <c r="J203" s="11" t="n">
        <v>0.1</v>
      </c>
      <c r="K203" s="10" t="n"/>
      <c r="L203" s="9" t="inlineStr">
        <is>
          <t>оценка</t>
        </is>
      </c>
      <c r="M203" s="9" t="inlineStr"/>
      <c r="N203" s="9" t="inlineStr">
        <is>
          <t>2026-10-29</t>
        </is>
      </c>
      <c r="O203" s="13" t="inlineStr">
        <is>
          <t>оценка сетки В Петрович, Лемана ПРО и Сатурн открытой карточки нет, оставлен прежний источник.</t>
        </is>
      </c>
      <c r="P203" s="4">
        <f>IF(H203=1,G203/VAT_DIV,G203)</f>
        <v/>
      </c>
      <c r="Q203" s="4">
        <f>P203*(1+I203)*(1+DELIV)*(1+GROWTH+MONEY)</f>
        <v/>
      </c>
      <c r="R203" s="4">
        <f>IF(AND(K203&lt;&gt;"",Q203*(1+J203)&gt;K203/VAT_DIV),K203/VAT_DIV,Q203*(1+J203))</f>
        <v/>
      </c>
      <c r="S203" s="4">
        <f>Q203*F203</f>
        <v/>
      </c>
      <c r="T203" s="4">
        <f>R203*F203</f>
        <v/>
      </c>
      <c r="U203" s="3">
        <f>IF(AND(K203&lt;&gt;"",Q203*(1+J203)&gt;K203/VAT_DIV+0.01),"ДА","")</f>
        <v/>
      </c>
      <c r="V203" s="4">
        <f>P203*F203</f>
        <v/>
      </c>
    </row>
    <row r="204" ht="20" customHeight="1">
      <c r="A204" s="9" t="inlineStr">
        <is>
          <t>170. Металлическая сетка 50х50х4 мм</t>
        </is>
      </c>
      <c r="B204" s="13" t="inlineStr">
        <is>
          <t>Металлическая сетка 50х50х4 мм</t>
        </is>
      </c>
      <c r="C204" s="9" t="inlineStr">
        <is>
          <t>Металлопрокат и метизы</t>
        </is>
      </c>
      <c r="D204" s="9" t="inlineStr">
        <is>
          <t>м</t>
        </is>
      </c>
      <c r="E204" s="10" t="n">
        <v>1</v>
      </c>
      <c r="F204" s="4">
        <f>E204*IFERROR(INDEX(Работы!$D$4:$D$672,MATCH(SUBSTITUTE(SUBSTITUTE(SUBSTITUTE(A204,"~","~~"),"*","~*"),"?","~?"),Работы!$B$4:$B$672,0)),0)</f>
        <v/>
      </c>
      <c r="G204" s="10" t="n">
        <v>180</v>
      </c>
      <c r="H204" s="14" t="n">
        <v>1</v>
      </c>
      <c r="I204" s="11" t="n">
        <v>0.05</v>
      </c>
      <c r="J204" s="11" t="n">
        <v>0.1</v>
      </c>
      <c r="K204" s="10" t="n"/>
      <c r="L204" s="9" t="inlineStr">
        <is>
          <t>оценка</t>
        </is>
      </c>
      <c r="M204" s="9" t="inlineStr"/>
      <c r="N204" s="9" t="inlineStr">
        <is>
          <t>2026-10-29</t>
        </is>
      </c>
      <c r="O204" s="13" t="inlineStr">
        <is>
          <t>оценка сетки В Петрович, Лемана ПРО и Сатурн открытой карточки нет, оставлен прежний источник.</t>
        </is>
      </c>
      <c r="P204" s="4">
        <f>IF(H204=1,G204/VAT_DIV,G204)</f>
        <v/>
      </c>
      <c r="Q204" s="4">
        <f>P204*(1+I204)*(1+DELIV)*(1+GROWTH+MONEY)</f>
        <v/>
      </c>
      <c r="R204" s="4">
        <f>IF(AND(K204&lt;&gt;"",Q204*(1+J204)&gt;K204/VAT_DIV),K204/VAT_DIV,Q204*(1+J204))</f>
        <v/>
      </c>
      <c r="S204" s="4">
        <f>Q204*F204</f>
        <v/>
      </c>
      <c r="T204" s="4">
        <f>R204*F204</f>
        <v/>
      </c>
      <c r="U204" s="3">
        <f>IF(AND(K204&lt;&gt;"",Q204*(1+J204)&gt;K204/VAT_DIV+0.01),"ДА","")</f>
        <v/>
      </c>
      <c r="V204" s="4">
        <f>P204*F204</f>
        <v/>
      </c>
    </row>
    <row r="205" ht="20" customHeight="1">
      <c r="A205" s="9" t="inlineStr">
        <is>
          <t>171. Арматурная сталь с сечением 6 мм</t>
        </is>
      </c>
      <c r="B205" s="13" t="inlineStr">
        <is>
          <t>Арматура d6, 0.22 кг/м</t>
        </is>
      </c>
      <c r="C205" s="9" t="inlineStr">
        <is>
          <t>Арматура</t>
        </is>
      </c>
      <c r="D205" s="9" t="inlineStr">
        <is>
          <t>кг</t>
        </is>
      </c>
      <c r="E205" s="10" t="n">
        <v>0.22212</v>
      </c>
      <c r="F205" s="4">
        <f>E205*IFERROR(INDEX(Работы!$D$4:$D$672,MATCH(SUBSTITUTE(SUBSTITUTE(SUBSTITUTE(A205,"~","~~"),"*","~*"),"?","~?"),Работы!$B$4:$B$672,0)),0)</f>
        <v/>
      </c>
      <c r="G205" s="10" t="n">
        <v>79.76000000000001</v>
      </c>
      <c r="H205" s="14" t="n">
        <v>1</v>
      </c>
      <c r="I205" s="11" t="n">
        <v>0.05</v>
      </c>
      <c r="J205" s="11" t="n">
        <v>0.1</v>
      </c>
      <c r="K205" s="10" t="n"/>
      <c r="L205" s="9" t="inlineStr">
        <is>
          <t>Петрович</t>
        </is>
      </c>
      <c r="M205" s="9" t="inlineStr">
        <is>
          <t>https://moscow.petrovich.ru/product/108534/</t>
        </is>
      </c>
      <c r="N205" s="9" t="inlineStr">
        <is>
          <t>2026-10-29</t>
        </is>
      </c>
      <c r="O205" s="13" t="inlineStr">
        <is>
          <t>Петрович, труба 40х40х2, 587 руб/3 м с НДС, 7,36 кг. Цена кг с НДС 79.76. Карта клуба не учитывалась.</t>
        </is>
      </c>
      <c r="P205" s="4">
        <f>IF(H205=1,G205/VAT_DIV,G205)</f>
        <v/>
      </c>
      <c r="Q205" s="4">
        <f>P205*(1+I205)*(1+DELIV)*(1+GROWTH+MONEY)</f>
        <v/>
      </c>
      <c r="R205" s="4">
        <f>IF(AND(K205&lt;&gt;"",Q205*(1+J205)&gt;K205/VAT_DIV),K205/VAT_DIV,Q205*(1+J205))</f>
        <v/>
      </c>
      <c r="S205" s="4">
        <f>Q205*F205</f>
        <v/>
      </c>
      <c r="T205" s="4">
        <f>R205*F205</f>
        <v/>
      </c>
      <c r="U205" s="3">
        <f>IF(AND(K205&lt;&gt;"",Q205*(1+J205)&gt;K205/VAT_DIV+0.01),"ДА","")</f>
        <v/>
      </c>
      <c r="V205" s="4">
        <f>P205*F205</f>
        <v/>
      </c>
    </row>
    <row r="206" ht="20" customHeight="1">
      <c r="A206" s="9" t="inlineStr">
        <is>
          <t>172. Арматурная сталь с сечением 8 мм</t>
        </is>
      </c>
      <c r="B206" s="13" t="inlineStr">
        <is>
          <t>Арматура d8, 0.39 кг/м</t>
        </is>
      </c>
      <c r="C206" s="9" t="inlineStr">
        <is>
          <t>Арматура</t>
        </is>
      </c>
      <c r="D206" s="9" t="inlineStr">
        <is>
          <t>кг</t>
        </is>
      </c>
      <c r="E206" s="10" t="n">
        <v>0.39488</v>
      </c>
      <c r="F206" s="4">
        <f>E206*IFERROR(INDEX(Работы!$D$4:$D$672,MATCH(SUBSTITUTE(SUBSTITUTE(SUBSTITUTE(A206,"~","~~"),"*","~*"),"?","~?"),Работы!$B$4:$B$672,0)),0)</f>
        <v/>
      </c>
      <c r="G206" s="10" t="n">
        <v>79.76000000000001</v>
      </c>
      <c r="H206" s="14" t="n">
        <v>1</v>
      </c>
      <c r="I206" s="11" t="n">
        <v>0.05</v>
      </c>
      <c r="J206" s="11" t="n">
        <v>0.1</v>
      </c>
      <c r="K206" s="10" t="n"/>
      <c r="L206" s="9" t="inlineStr">
        <is>
          <t>Петрович</t>
        </is>
      </c>
      <c r="M206" s="9" t="inlineStr">
        <is>
          <t>https://moscow.petrovich.ru/product/108534/</t>
        </is>
      </c>
      <c r="N206" s="9" t="inlineStr">
        <is>
          <t>2026-10-29</t>
        </is>
      </c>
      <c r="O206" s="13" t="inlineStr">
        <is>
          <t>Петрович, труба 40х40х2, 587 руб/3 м с НДС, 7,36 кг. Цена кг с НДС 79.76. Карта клуба не учитывалась.</t>
        </is>
      </c>
      <c r="P206" s="4">
        <f>IF(H206=1,G206/VAT_DIV,G206)</f>
        <v/>
      </c>
      <c r="Q206" s="4">
        <f>P206*(1+I206)*(1+DELIV)*(1+GROWTH+MONEY)</f>
        <v/>
      </c>
      <c r="R206" s="4">
        <f>IF(AND(K206&lt;&gt;"",Q206*(1+J206)&gt;K206/VAT_DIV),K206/VAT_DIV,Q206*(1+J206))</f>
        <v/>
      </c>
      <c r="S206" s="4">
        <f>Q206*F206</f>
        <v/>
      </c>
      <c r="T206" s="4">
        <f>R206*F206</f>
        <v/>
      </c>
      <c r="U206" s="3">
        <f>IF(AND(K206&lt;&gt;"",Q206*(1+J206)&gt;K206/VAT_DIV+0.01),"ДА","")</f>
        <v/>
      </c>
      <c r="V206" s="4">
        <f>P206*F206</f>
        <v/>
      </c>
    </row>
    <row r="207" ht="20" customHeight="1">
      <c r="A207" s="9" t="inlineStr">
        <is>
          <t>173. Арматурная сталь с сечением 10 мм</t>
        </is>
      </c>
      <c r="B207" s="13" t="inlineStr">
        <is>
          <t>Арматура d10, 0.62 кг/м</t>
        </is>
      </c>
      <c r="C207" s="9" t="inlineStr">
        <is>
          <t>Арматура</t>
        </is>
      </c>
      <c r="D207" s="9" t="inlineStr">
        <is>
          <t>кг</t>
        </is>
      </c>
      <c r="E207" s="10" t="n">
        <v>0.617</v>
      </c>
      <c r="F207" s="4">
        <f>E207*IFERROR(INDEX(Работы!$D$4:$D$672,MATCH(SUBSTITUTE(SUBSTITUTE(SUBSTITUTE(A207,"~","~~"),"*","~*"),"?","~?"),Работы!$B$4:$B$672,0)),0)</f>
        <v/>
      </c>
      <c r="G207" s="10" t="n">
        <v>79.76000000000001</v>
      </c>
      <c r="H207" s="14" t="n">
        <v>1</v>
      </c>
      <c r="I207" s="11" t="n">
        <v>0.05</v>
      </c>
      <c r="J207" s="11" t="n">
        <v>0.1</v>
      </c>
      <c r="K207" s="10" t="n"/>
      <c r="L207" s="9" t="inlineStr">
        <is>
          <t>Петрович</t>
        </is>
      </c>
      <c r="M207" s="9" t="inlineStr">
        <is>
          <t>https://moscow.petrovich.ru/product/108534/</t>
        </is>
      </c>
      <c r="N207" s="9" t="inlineStr">
        <is>
          <t>2026-10-29</t>
        </is>
      </c>
      <c r="O207" s="13" t="inlineStr">
        <is>
          <t>Петрович, труба 40х40х2, 587 руб/3 м с НДС, 7,36 кг. Цена кг с НДС 79.76. Карта клуба не учитывалась.</t>
        </is>
      </c>
      <c r="P207" s="4">
        <f>IF(H207=1,G207/VAT_DIV,G207)</f>
        <v/>
      </c>
      <c r="Q207" s="4">
        <f>P207*(1+I207)*(1+DELIV)*(1+GROWTH+MONEY)</f>
        <v/>
      </c>
      <c r="R207" s="4">
        <f>IF(AND(K207&lt;&gt;"",Q207*(1+J207)&gt;K207/VAT_DIV),K207/VAT_DIV,Q207*(1+J207))</f>
        <v/>
      </c>
      <c r="S207" s="4">
        <f>Q207*F207</f>
        <v/>
      </c>
      <c r="T207" s="4">
        <f>R207*F207</f>
        <v/>
      </c>
      <c r="U207" s="3">
        <f>IF(AND(K207&lt;&gt;"",Q207*(1+J207)&gt;K207/VAT_DIV+0.01),"ДА","")</f>
        <v/>
      </c>
      <c r="V207" s="4">
        <f>P207*F207</f>
        <v/>
      </c>
    </row>
    <row r="208" ht="20" customHeight="1">
      <c r="A208" s="9" t="inlineStr">
        <is>
          <t>174. Арматурная сталь с сечением 12 мм</t>
        </is>
      </c>
      <c r="B208" s="13" t="inlineStr">
        <is>
          <t>Арматура d12, 0.89 кг/м</t>
        </is>
      </c>
      <c r="C208" s="9" t="inlineStr">
        <is>
          <t>Арматура</t>
        </is>
      </c>
      <c r="D208" s="9" t="inlineStr">
        <is>
          <t>кг</t>
        </is>
      </c>
      <c r="E208" s="10" t="n">
        <v>0.8884799999999999</v>
      </c>
      <c r="F208" s="4">
        <f>E208*IFERROR(INDEX(Работы!$D$4:$D$672,MATCH(SUBSTITUTE(SUBSTITUTE(SUBSTITUTE(A208,"~","~~"),"*","~*"),"?","~?"),Работы!$B$4:$B$672,0)),0)</f>
        <v/>
      </c>
      <c r="G208" s="10" t="n">
        <v>79.76000000000001</v>
      </c>
      <c r="H208" s="14" t="n">
        <v>1</v>
      </c>
      <c r="I208" s="11" t="n">
        <v>0.05</v>
      </c>
      <c r="J208" s="11" t="n">
        <v>0.1</v>
      </c>
      <c r="K208" s="10" t="n"/>
      <c r="L208" s="9" t="inlineStr">
        <is>
          <t>Петрович</t>
        </is>
      </c>
      <c r="M208" s="9" t="inlineStr">
        <is>
          <t>https://moscow.petrovich.ru/product/108534/</t>
        </is>
      </c>
      <c r="N208" s="9" t="inlineStr">
        <is>
          <t>2026-10-29</t>
        </is>
      </c>
      <c r="O208" s="13" t="inlineStr">
        <is>
          <t>Петрович, труба 40х40х2, 587 руб/3 м с НДС, 7,36 кг. Цена кг с НДС 79.76. Карта клуба не учитывалась.</t>
        </is>
      </c>
      <c r="P208" s="4">
        <f>IF(H208=1,G208/VAT_DIV,G208)</f>
        <v/>
      </c>
      <c r="Q208" s="4">
        <f>P208*(1+I208)*(1+DELIV)*(1+GROWTH+MONEY)</f>
        <v/>
      </c>
      <c r="R208" s="4">
        <f>IF(AND(K208&lt;&gt;"",Q208*(1+J208)&gt;K208/VAT_DIV),K208/VAT_DIV,Q208*(1+J208))</f>
        <v/>
      </c>
      <c r="S208" s="4">
        <f>Q208*F208</f>
        <v/>
      </c>
      <c r="T208" s="4">
        <f>R208*F208</f>
        <v/>
      </c>
      <c r="U208" s="3">
        <f>IF(AND(K208&lt;&gt;"",Q208*(1+J208)&gt;K208/VAT_DIV+0.01),"ДА","")</f>
        <v/>
      </c>
      <c r="V208" s="4">
        <f>P208*F208</f>
        <v/>
      </c>
    </row>
    <row r="209" ht="20" customHeight="1">
      <c r="A209" s="9" t="inlineStr">
        <is>
          <t>175. Арматурная сталь с сечением 14 мм</t>
        </is>
      </c>
      <c r="B209" s="13" t="inlineStr">
        <is>
          <t>Арматура d14, 1.21 кг/м</t>
        </is>
      </c>
      <c r="C209" s="9" t="inlineStr">
        <is>
          <t>Арматура</t>
        </is>
      </c>
      <c r="D209" s="9" t="inlineStr">
        <is>
          <t>кг</t>
        </is>
      </c>
      <c r="E209" s="10" t="n">
        <v>1.20932</v>
      </c>
      <c r="F209" s="4">
        <f>E209*IFERROR(INDEX(Работы!$D$4:$D$672,MATCH(SUBSTITUTE(SUBSTITUTE(SUBSTITUTE(A209,"~","~~"),"*","~*"),"?","~?"),Работы!$B$4:$B$672,0)),0)</f>
        <v/>
      </c>
      <c r="G209" s="10" t="n">
        <v>79.76000000000001</v>
      </c>
      <c r="H209" s="14" t="n">
        <v>1</v>
      </c>
      <c r="I209" s="11" t="n">
        <v>0.05</v>
      </c>
      <c r="J209" s="11" t="n">
        <v>0.1</v>
      </c>
      <c r="K209" s="10" t="n"/>
      <c r="L209" s="9" t="inlineStr">
        <is>
          <t>Петрович</t>
        </is>
      </c>
      <c r="M209" s="9" t="inlineStr">
        <is>
          <t>https://moscow.petrovich.ru/product/108534/</t>
        </is>
      </c>
      <c r="N209" s="9" t="inlineStr">
        <is>
          <t>2026-10-29</t>
        </is>
      </c>
      <c r="O209" s="13" t="inlineStr">
        <is>
          <t>Петрович, труба 40х40х2, 587 руб/3 м с НДС, 7,36 кг. Цена кг с НДС 79.76. Карта клуба не учитывалась.</t>
        </is>
      </c>
      <c r="P209" s="4">
        <f>IF(H209=1,G209/VAT_DIV,G209)</f>
        <v/>
      </c>
      <c r="Q209" s="4">
        <f>P209*(1+I209)*(1+DELIV)*(1+GROWTH+MONEY)</f>
        <v/>
      </c>
      <c r="R209" s="4">
        <f>IF(AND(K209&lt;&gt;"",Q209*(1+J209)&gt;K209/VAT_DIV),K209/VAT_DIV,Q209*(1+J209))</f>
        <v/>
      </c>
      <c r="S209" s="4">
        <f>Q209*F209</f>
        <v/>
      </c>
      <c r="T209" s="4">
        <f>R209*F209</f>
        <v/>
      </c>
      <c r="U209" s="3">
        <f>IF(AND(K209&lt;&gt;"",Q209*(1+J209)&gt;K209/VAT_DIV+0.01),"ДА","")</f>
        <v/>
      </c>
      <c r="V209" s="4">
        <f>P209*F209</f>
        <v/>
      </c>
    </row>
    <row r="210" ht="20" customHeight="1">
      <c r="A210" s="9" t="inlineStr">
        <is>
          <t>176. Арматурная сталь с сечением 16 мм</t>
        </is>
      </c>
      <c r="B210" s="13" t="inlineStr">
        <is>
          <t>Арматура d16, 1.58 кг/м</t>
        </is>
      </c>
      <c r="C210" s="9" t="inlineStr">
        <is>
          <t>Арматура</t>
        </is>
      </c>
      <c r="D210" s="9" t="inlineStr">
        <is>
          <t>кг</t>
        </is>
      </c>
      <c r="E210" s="10" t="n">
        <v>1.57952</v>
      </c>
      <c r="F210" s="4">
        <f>E210*IFERROR(INDEX(Работы!$D$4:$D$672,MATCH(SUBSTITUTE(SUBSTITUTE(SUBSTITUTE(A210,"~","~~"),"*","~*"),"?","~?"),Работы!$B$4:$B$672,0)),0)</f>
        <v/>
      </c>
      <c r="G210" s="10" t="n">
        <v>79.76000000000001</v>
      </c>
      <c r="H210" s="14" t="n">
        <v>1</v>
      </c>
      <c r="I210" s="11" t="n">
        <v>0.05</v>
      </c>
      <c r="J210" s="11" t="n">
        <v>0.1</v>
      </c>
      <c r="K210" s="10" t="n"/>
      <c r="L210" s="9" t="inlineStr">
        <is>
          <t>Петрович</t>
        </is>
      </c>
      <c r="M210" s="9" t="inlineStr">
        <is>
          <t>https://moscow.petrovich.ru/product/108534/</t>
        </is>
      </c>
      <c r="N210" s="9" t="inlineStr">
        <is>
          <t>2026-10-29</t>
        </is>
      </c>
      <c r="O210" s="13" t="inlineStr">
        <is>
          <t>Петрович, труба 40х40х2, 587 руб/3 м с НДС, 7,36 кг. Цена кг с НДС 79.76. Карта клуба не учитывалась.</t>
        </is>
      </c>
      <c r="P210" s="4">
        <f>IF(H210=1,G210/VAT_DIV,G210)</f>
        <v/>
      </c>
      <c r="Q210" s="4">
        <f>P210*(1+I210)*(1+DELIV)*(1+GROWTH+MONEY)</f>
        <v/>
      </c>
      <c r="R210" s="4">
        <f>IF(AND(K210&lt;&gt;"",Q210*(1+J210)&gt;K210/VAT_DIV),K210/VAT_DIV,Q210*(1+J210))</f>
        <v/>
      </c>
      <c r="S210" s="4">
        <f>Q210*F210</f>
        <v/>
      </c>
      <c r="T210" s="4">
        <f>R210*F210</f>
        <v/>
      </c>
      <c r="U210" s="3">
        <f>IF(AND(K210&lt;&gt;"",Q210*(1+J210)&gt;K210/VAT_DIV+0.01),"ДА","")</f>
        <v/>
      </c>
      <c r="V210" s="4">
        <f>P210*F210</f>
        <v/>
      </c>
    </row>
    <row r="211" ht="20" customHeight="1">
      <c r="A211" s="9" t="inlineStr">
        <is>
          <t>177. Контейнерная площадки для размещения двух контейнеров с равными створкамы (Габаритные размеры: Ш 2,0 х Д 3,0 х В 2,0 м)</t>
        </is>
      </c>
      <c r="B211" s="13" t="inlineStr">
        <is>
          <t>Контейнерная площадки для размещения двух контейнеров с равными створкамы (Габар</t>
        </is>
      </c>
      <c r="C211" s="9" t="inlineStr">
        <is>
          <t>Изделия под заказ (ворота, двери, окна, перегородки)</t>
        </is>
      </c>
      <c r="D211" s="9" t="inlineStr">
        <is>
          <t>шт</t>
        </is>
      </c>
      <c r="E211" s="10" t="n">
        <v>1</v>
      </c>
      <c r="F211" s="4">
        <f>E211*IFERROR(INDEX(Работы!$D$4:$D$672,MATCH(SUBSTITUTE(SUBSTITUTE(SUBSTITUTE(A211,"~","~~"),"*","~*"),"?","~?"),Работы!$B$4:$B$672,0)),0)</f>
        <v/>
      </c>
      <c r="G211" s="10" t="n">
        <v>65000</v>
      </c>
      <c r="H211" s="14" t="n">
        <v>1</v>
      </c>
      <c r="I211" s="11" t="n">
        <v>0</v>
      </c>
      <c r="J211" s="11" t="n">
        <v>0.12</v>
      </c>
      <c r="K211" s="10" t="n"/>
      <c r="L211" s="9" t="inlineStr">
        <is>
          <t>оценка</t>
        </is>
      </c>
      <c r="M211" s="9" t="inlineStr"/>
      <c r="N211" s="9" t="inlineStr">
        <is>
          <t>2026-10-29</t>
        </is>
      </c>
      <c r="O211" s="13" t="inlineStr">
        <is>
          <t>оценка металлоконструкции под заказ, запросить КП В Петрович, Лемана ПРО и Сатурн открытой карточки нет, оставлен прежний источник.</t>
        </is>
      </c>
      <c r="P211" s="4">
        <f>IF(H211=1,G211/VAT_DIV,G211)</f>
        <v/>
      </c>
      <c r="Q211" s="4">
        <f>P211*(1+I211)*(1+DELIV)*(1+GROWTH+MONEY)</f>
        <v/>
      </c>
      <c r="R211" s="4">
        <f>IF(AND(K211&lt;&gt;"",Q211*(1+J211)&gt;K211/VAT_DIV),K211/VAT_DIV,Q211*(1+J211))</f>
        <v/>
      </c>
      <c r="S211" s="4">
        <f>Q211*F211</f>
        <v/>
      </c>
      <c r="T211" s="4">
        <f>R211*F211</f>
        <v/>
      </c>
      <c r="U211" s="3">
        <f>IF(AND(K211&lt;&gt;"",Q211*(1+J211)&gt;K211/VAT_DIV+0.01),"ДА","")</f>
        <v/>
      </c>
      <c r="V211" s="4">
        <f>P211*F211</f>
        <v/>
      </c>
    </row>
    <row r="212" ht="20" customHeight="1">
      <c r="A212" s="9" t="inlineStr">
        <is>
          <t>178. Контейнерная площадки для размещения трёх контейнеров с равными створкамы (Габаритные размеры: Ш 2,0 х Д 6,0 х В 2,0 м)</t>
        </is>
      </c>
      <c r="B212" s="13" t="inlineStr">
        <is>
          <t>Контейнерная площадки для размещения трёх контейнеров с равными створкамы (Габар</t>
        </is>
      </c>
      <c r="C212" s="9" t="inlineStr">
        <is>
          <t>Изделия под заказ (ворота, двери, окна, перегородки)</t>
        </is>
      </c>
      <c r="D212" s="9" t="inlineStr">
        <is>
          <t>шт</t>
        </is>
      </c>
      <c r="E212" s="10" t="n">
        <v>1</v>
      </c>
      <c r="F212" s="4">
        <f>E212*IFERROR(INDEX(Работы!$D$4:$D$672,MATCH(SUBSTITUTE(SUBSTITUTE(SUBSTITUTE(A212,"~","~~"),"*","~*"),"?","~?"),Работы!$B$4:$B$672,0)),0)</f>
        <v/>
      </c>
      <c r="G212" s="10" t="n">
        <v>90000</v>
      </c>
      <c r="H212" s="14" t="n">
        <v>1</v>
      </c>
      <c r="I212" s="11" t="n">
        <v>0</v>
      </c>
      <c r="J212" s="11" t="n">
        <v>0.12</v>
      </c>
      <c r="K212" s="10" t="n"/>
      <c r="L212" s="9" t="inlineStr">
        <is>
          <t>оценка</t>
        </is>
      </c>
      <c r="M212" s="9" t="inlineStr"/>
      <c r="N212" s="9" t="inlineStr">
        <is>
          <t>2026-10-29</t>
        </is>
      </c>
      <c r="O212" s="13" t="inlineStr">
        <is>
          <t>оценка металлоконструкции под заказ, запросить КП В Петрович, Лемана ПРО и Сатурн открытой карточки нет, оставлен прежний источник.</t>
        </is>
      </c>
      <c r="P212" s="4">
        <f>IF(H212=1,G212/VAT_DIV,G212)</f>
        <v/>
      </c>
      <c r="Q212" s="4">
        <f>P212*(1+I212)*(1+DELIV)*(1+GROWTH+MONEY)</f>
        <v/>
      </c>
      <c r="R212" s="4">
        <f>IF(AND(K212&lt;&gt;"",Q212*(1+J212)&gt;K212/VAT_DIV),K212/VAT_DIV,Q212*(1+J212))</f>
        <v/>
      </c>
      <c r="S212" s="4">
        <f>Q212*F212</f>
        <v/>
      </c>
      <c r="T212" s="4">
        <f>R212*F212</f>
        <v/>
      </c>
      <c r="U212" s="3">
        <f>IF(AND(K212&lt;&gt;"",Q212*(1+J212)&gt;K212/VAT_DIV+0.01),"ДА","")</f>
        <v/>
      </c>
      <c r="V212" s="4">
        <f>P212*F212</f>
        <v/>
      </c>
    </row>
    <row r="213" ht="20" customHeight="1">
      <c r="A213" s="9" t="inlineStr">
        <is>
          <t>179. Помещение для курения   (Габаритные размеры: Ш 2,0 х Д 8,0 х В 2,0 м) включая деревянные лавочки</t>
        </is>
      </c>
      <c r="B213" s="13" t="inlineStr">
        <is>
          <t>Помещение для курения   (Габаритные размеры: Ш 2,0 х Д 8,0 х В 2,0 м) включая де</t>
        </is>
      </c>
      <c r="C213" s="9" t="inlineStr">
        <is>
          <t>Изделия под заказ (ворота, двери, окна, перегородки)</t>
        </is>
      </c>
      <c r="D213" s="9" t="inlineStr">
        <is>
          <t>шт</t>
        </is>
      </c>
      <c r="E213" s="10" t="n">
        <v>1</v>
      </c>
      <c r="F213" s="4">
        <f>E213*IFERROR(INDEX(Работы!$D$4:$D$672,MATCH(SUBSTITUTE(SUBSTITUTE(SUBSTITUTE(A213,"~","~~"),"*","~*"),"?","~?"),Работы!$B$4:$B$672,0)),0)</f>
        <v/>
      </c>
      <c r="G213" s="10" t="n">
        <v>90000</v>
      </c>
      <c r="H213" s="14" t="n">
        <v>1</v>
      </c>
      <c r="I213" s="11" t="n">
        <v>0</v>
      </c>
      <c r="J213" s="11" t="n">
        <v>0.12</v>
      </c>
      <c r="K213" s="10" t="n"/>
      <c r="L213" s="9" t="inlineStr">
        <is>
          <t>оценка</t>
        </is>
      </c>
      <c r="M213" s="9" t="inlineStr"/>
      <c r="N213" s="9" t="inlineStr">
        <is>
          <t>2026-10-29</t>
        </is>
      </c>
      <c r="O213" s="13" t="inlineStr">
        <is>
          <t>оценка металлоконструкции под заказ, запросить КП В Петрович, Лемана ПРО и Сатурн открытой карточки нет, оставлен прежний источник.</t>
        </is>
      </c>
      <c r="P213" s="4">
        <f>IF(H213=1,G213/VAT_DIV,G213)</f>
        <v/>
      </c>
      <c r="Q213" s="4">
        <f>P213*(1+I213)*(1+DELIV)*(1+GROWTH+MONEY)</f>
        <v/>
      </c>
      <c r="R213" s="4">
        <f>IF(AND(K213&lt;&gt;"",Q213*(1+J213)&gt;K213/VAT_DIV),K213/VAT_DIV,Q213*(1+J213))</f>
        <v/>
      </c>
      <c r="S213" s="4">
        <f>Q213*F213</f>
        <v/>
      </c>
      <c r="T213" s="4">
        <f>R213*F213</f>
        <v/>
      </c>
      <c r="U213" s="3">
        <f>IF(AND(K213&lt;&gt;"",Q213*(1+J213)&gt;K213/VAT_DIV+0.01),"ДА","")</f>
        <v/>
      </c>
      <c r="V213" s="4">
        <f>P213*F213</f>
        <v/>
      </c>
    </row>
    <row r="214" ht="20" customHeight="1">
      <c r="A214" s="9" t="inlineStr">
        <is>
          <t>180. Столб ограждения металлический 60*60*2мм L=2.000мм с приварным опорным фланцем 6*160*160мм, пластиковой заглушкой, полимерное покрытие цвет темно-зеленый (RAL 6005)</t>
        </is>
      </c>
      <c r="B214" s="13" t="inlineStr">
        <is>
          <t>Столб ограждения металлический 60*60*2мм L=2.000мм с приварным опорным фланцем 6</t>
        </is>
      </c>
      <c r="C214" s="9" t="inlineStr">
        <is>
          <t>Металлопрокат и метизы</t>
        </is>
      </c>
      <c r="D214" s="9" t="inlineStr">
        <is>
          <t>шт</t>
        </is>
      </c>
      <c r="E214" s="10" t="n">
        <v>1</v>
      </c>
      <c r="F214" s="4">
        <f>E214*IFERROR(INDEX(Работы!$D$4:$D$672,MATCH(SUBSTITUTE(SUBSTITUTE(SUBSTITUTE(A214,"~","~~"),"*","~*"),"?","~?"),Работы!$B$4:$B$672,0)),0)</f>
        <v/>
      </c>
      <c r="G214" s="10" t="n">
        <v>2200</v>
      </c>
      <c r="H214" s="14" t="n">
        <v>1</v>
      </c>
      <c r="I214" s="11" t="n">
        <v>0.05</v>
      </c>
      <c r="J214" s="11" t="n">
        <v>0.1</v>
      </c>
      <c r="K214" s="10" t="n"/>
      <c r="L214" s="9" t="inlineStr">
        <is>
          <t>оценка</t>
        </is>
      </c>
      <c r="M214" s="9" t="inlineStr"/>
      <c r="N214" s="9" t="inlineStr">
        <is>
          <t>2026-10-29</t>
        </is>
      </c>
      <c r="O214" s="13" t="inlineStr">
        <is>
          <t>оценка 3D-ограждения, запросить Grand Line В Петрович, Лемана ПРО и Сатурн открытой карточки нет, оставлен прежний источник.</t>
        </is>
      </c>
      <c r="P214" s="4">
        <f>IF(H214=1,G214/VAT_DIV,G214)</f>
        <v/>
      </c>
      <c r="Q214" s="4">
        <f>P214*(1+I214)*(1+DELIV)*(1+GROWTH+MONEY)</f>
        <v/>
      </c>
      <c r="R214" s="4">
        <f>IF(AND(K214&lt;&gt;"",Q214*(1+J214)&gt;K214/VAT_DIV),K214/VAT_DIV,Q214*(1+J214))</f>
        <v/>
      </c>
      <c r="S214" s="4">
        <f>Q214*F214</f>
        <v/>
      </c>
      <c r="T214" s="4">
        <f>R214*F214</f>
        <v/>
      </c>
      <c r="U214" s="3">
        <f>IF(AND(K214&lt;&gt;"",Q214*(1+J214)&gt;K214/VAT_DIV+0.01),"ДА","")</f>
        <v/>
      </c>
      <c r="V214" s="4">
        <f>P214*F214</f>
        <v/>
      </c>
    </row>
    <row r="215" ht="20" customHeight="1">
      <c r="A215" s="9" t="inlineStr">
        <is>
          <t>181. Анкер втулочный 16*150-180 или аналог</t>
        </is>
      </c>
      <c r="B215" s="13" t="inlineStr">
        <is>
          <t>Анкер 16х150</t>
        </is>
      </c>
      <c r="C215" s="9" t="inlineStr">
        <is>
          <t>Металлопрокат и метизы</t>
        </is>
      </c>
      <c r="D215" s="9" t="inlineStr">
        <is>
          <t>шт</t>
        </is>
      </c>
      <c r="E215" s="10" t="n">
        <v>1</v>
      </c>
      <c r="F215" s="4">
        <f>E215*IFERROR(INDEX(Работы!$D$4:$D$672,MATCH(SUBSTITUTE(SUBSTITUTE(SUBSTITUTE(A215,"~","~~"),"*","~*"),"?","~?"),Работы!$B$4:$B$672,0)),0)</f>
        <v/>
      </c>
      <c r="G215" s="10" t="n">
        <v>180</v>
      </c>
      <c r="H215" s="14" t="n">
        <v>1</v>
      </c>
      <c r="I215" s="11" t="n">
        <v>0.05</v>
      </c>
      <c r="J215" s="11" t="n">
        <v>0.1</v>
      </c>
      <c r="K215" s="10" t="n"/>
      <c r="L215" s="9" t="inlineStr">
        <is>
          <t>оценка</t>
        </is>
      </c>
      <c r="M215" s="9" t="inlineStr"/>
      <c r="N215" s="9" t="inlineStr">
        <is>
          <t>2026-10-29</t>
        </is>
      </c>
      <c r="O215" s="13" t="inlineStr">
        <is>
          <t>оценка В Петрович, Лемана ПРО и Сатурн открытой карточки нет, оставлен прежний источник.</t>
        </is>
      </c>
      <c r="P215" s="4">
        <f>IF(H215=1,G215/VAT_DIV,G215)</f>
        <v/>
      </c>
      <c r="Q215" s="4">
        <f>P215*(1+I215)*(1+DELIV)*(1+GROWTH+MONEY)</f>
        <v/>
      </c>
      <c r="R215" s="4">
        <f>IF(AND(K215&lt;&gt;"",Q215*(1+J215)&gt;K215/VAT_DIV),K215/VAT_DIV,Q215*(1+J215))</f>
        <v/>
      </c>
      <c r="S215" s="4">
        <f>Q215*F215</f>
        <v/>
      </c>
      <c r="T215" s="4">
        <f>R215*F215</f>
        <v/>
      </c>
      <c r="U215" s="3">
        <f>IF(AND(K215&lt;&gt;"",Q215*(1+J215)&gt;K215/VAT_DIV+0.01),"ДА","")</f>
        <v/>
      </c>
      <c r="V215" s="4">
        <f>P215*F215</f>
        <v/>
      </c>
    </row>
    <row r="216" ht="20" customHeight="1">
      <c r="A216" s="9" t="inlineStr">
        <is>
          <t>182. Секция металлического сетчатого 3D ограждения 2.500*2.500мм (L*H), ячейка 55*200мм, пруток 4мм,  полимерное покрытие цвет темно-зеленый (RAL 6005)</t>
        </is>
      </c>
      <c r="B216" s="13" t="inlineStr">
        <is>
          <t>Секция металлического сетчатого 3D ограждения 2.500*2.500мм (L*H), ячейка 55*200</t>
        </is>
      </c>
      <c r="C216" s="9" t="inlineStr">
        <is>
          <t>Металлопрокат и метизы</t>
        </is>
      </c>
      <c r="D216" s="9" t="inlineStr">
        <is>
          <t>шт</t>
        </is>
      </c>
      <c r="E216" s="10" t="n">
        <v>1</v>
      </c>
      <c r="F216" s="4">
        <f>E216*IFERROR(INDEX(Работы!$D$4:$D$672,MATCH(SUBSTITUTE(SUBSTITUTE(SUBSTITUTE(A216,"~","~~"),"*","~*"),"?","~?"),Работы!$B$4:$B$672,0)),0)</f>
        <v/>
      </c>
      <c r="G216" s="10" t="n">
        <v>2800</v>
      </c>
      <c r="H216" s="14" t="n">
        <v>1</v>
      </c>
      <c r="I216" s="11" t="n">
        <v>0.05</v>
      </c>
      <c r="J216" s="11" t="n">
        <v>0.1</v>
      </c>
      <c r="K216" s="10" t="n"/>
      <c r="L216" s="9" t="inlineStr">
        <is>
          <t>оценка</t>
        </is>
      </c>
      <c r="M216" s="9" t="inlineStr"/>
      <c r="N216" s="9" t="inlineStr">
        <is>
          <t>2026-10-29</t>
        </is>
      </c>
      <c r="O216" s="13" t="inlineStr">
        <is>
          <t>оценка 3D-ограждения, запросить Grand Line В Петрович, Лемана ПРО и Сатурн открытой карточки нет, оставлен прежний источник.</t>
        </is>
      </c>
      <c r="P216" s="4">
        <f>IF(H216=1,G216/VAT_DIV,G216)</f>
        <v/>
      </c>
      <c r="Q216" s="4">
        <f>P216*(1+I216)*(1+DELIV)*(1+GROWTH+MONEY)</f>
        <v/>
      </c>
      <c r="R216" s="4">
        <f>IF(AND(K216&lt;&gt;"",Q216*(1+J216)&gt;K216/VAT_DIV),K216/VAT_DIV,Q216*(1+J216))</f>
        <v/>
      </c>
      <c r="S216" s="4">
        <f>Q216*F216</f>
        <v/>
      </c>
      <c r="T216" s="4">
        <f>R216*F216</f>
        <v/>
      </c>
      <c r="U216" s="3">
        <f>IF(AND(K216&lt;&gt;"",Q216*(1+J216)&gt;K216/VAT_DIV+0.01),"ДА","")</f>
        <v/>
      </c>
      <c r="V216" s="4">
        <f>P216*F216</f>
        <v/>
      </c>
    </row>
    <row r="217" ht="20" customHeight="1">
      <c r="A217" s="9" t="inlineStr">
        <is>
          <t xml:space="preserve">183. Комплект хомутов для крепления секции ограждения к столбу 60*60 концевой (стартовый) металлический штампованый 2мм, полимерное покрытие цвет темно-зеленый (RAL 6005) </t>
        </is>
      </c>
      <c r="B217" s="13" t="inlineStr">
        <is>
          <t>Комплект хомутов</t>
        </is>
      </c>
      <c r="C217" s="9" t="inlineStr">
        <is>
          <t>Металлопрокат и метизы</t>
        </is>
      </c>
      <c r="D217" s="9" t="inlineStr">
        <is>
          <t>компл</t>
        </is>
      </c>
      <c r="E217" s="10" t="n">
        <v>1</v>
      </c>
      <c r="F217" s="4">
        <f>E217*IFERROR(INDEX(Работы!$D$4:$D$672,MATCH(SUBSTITUTE(SUBSTITUTE(SUBSTITUTE(A217,"~","~~"),"*","~*"),"?","~?"),Работы!$B$4:$B$672,0)),0)</f>
        <v/>
      </c>
      <c r="G217" s="10" t="n">
        <v>90</v>
      </c>
      <c r="H217" s="14" t="n">
        <v>1</v>
      </c>
      <c r="I217" s="11" t="n">
        <v>0.05</v>
      </c>
      <c r="J217" s="11" t="n">
        <v>0.1</v>
      </c>
      <c r="K217" s="10" t="n"/>
      <c r="L217" s="9" t="inlineStr">
        <is>
          <t>оценка</t>
        </is>
      </c>
      <c r="M217" s="9" t="inlineStr"/>
      <c r="N217" s="9" t="inlineStr">
        <is>
          <t>2026-10-29</t>
        </is>
      </c>
      <c r="O217" s="13" t="inlineStr">
        <is>
          <t>оценка В Петрович, Лемана ПРО и Сатурн открытой карточки нет, оставлен прежний источник.</t>
        </is>
      </c>
      <c r="P217" s="4">
        <f>IF(H217=1,G217/VAT_DIV,G217)</f>
        <v/>
      </c>
      <c r="Q217" s="4">
        <f>P217*(1+I217)*(1+DELIV)*(1+GROWTH+MONEY)</f>
        <v/>
      </c>
      <c r="R217" s="4">
        <f>IF(AND(K217&lt;&gt;"",Q217*(1+J217)&gt;K217/VAT_DIV),K217/VAT_DIV,Q217*(1+J217))</f>
        <v/>
      </c>
      <c r="S217" s="4">
        <f>Q217*F217</f>
        <v/>
      </c>
      <c r="T217" s="4">
        <f>R217*F217</f>
        <v/>
      </c>
      <c r="U217" s="3">
        <f>IF(AND(K217&lt;&gt;"",Q217*(1+J217)&gt;K217/VAT_DIV+0.01),"ДА","")</f>
        <v/>
      </c>
      <c r="V217" s="4">
        <f>P217*F217</f>
        <v/>
      </c>
    </row>
    <row r="218" ht="20" customHeight="1">
      <c r="A218" s="9" t="inlineStr">
        <is>
          <t>184. 3D сетка  Grand  Line Панель  Bastion  3x2,4, цветRal 6005 или аналогс 5 ребрами жесткости.</t>
        </is>
      </c>
      <c r="B218" s="13" t="inlineStr">
        <is>
          <t>3D сетка  Grand  Line Панель  Bastion  3x2,4, цветRal 6005 или аналогс 5 ребрами</t>
        </is>
      </c>
      <c r="C218" s="9" t="inlineStr">
        <is>
          <t>Металлопрокат и метизы</t>
        </is>
      </c>
      <c r="D218" s="9" t="inlineStr">
        <is>
          <t>шт</t>
        </is>
      </c>
      <c r="E218" s="10" t="n">
        <v>1</v>
      </c>
      <c r="F218" s="4">
        <f>E218*IFERROR(INDEX(Работы!$D$4:$D$672,MATCH(SUBSTITUTE(SUBSTITUTE(SUBSTITUTE(A218,"~","~~"),"*","~*"),"?","~?"),Работы!$B$4:$B$672,0)),0)</f>
        <v/>
      </c>
      <c r="G218" s="10" t="n">
        <v>2800</v>
      </c>
      <c r="H218" s="14" t="n">
        <v>1</v>
      </c>
      <c r="I218" s="11" t="n">
        <v>0.05</v>
      </c>
      <c r="J218" s="11" t="n">
        <v>0.1</v>
      </c>
      <c r="K218" s="10" t="n"/>
      <c r="L218" s="9" t="inlineStr">
        <is>
          <t>оценка</t>
        </is>
      </c>
      <c r="M218" s="9" t="inlineStr"/>
      <c r="N218" s="9" t="inlineStr">
        <is>
          <t>2026-10-29</t>
        </is>
      </c>
      <c r="O218" s="13" t="inlineStr">
        <is>
          <t>оценка 3D-ограждения, запросить Grand Line В Петрович, Лемана ПРО и Сатурн открытой карточки нет, оставлен прежний источник.</t>
        </is>
      </c>
      <c r="P218" s="4">
        <f>IF(H218=1,G218/VAT_DIV,G218)</f>
        <v/>
      </c>
      <c r="Q218" s="4">
        <f>P218*(1+I218)*(1+DELIV)*(1+GROWTH+MONEY)</f>
        <v/>
      </c>
      <c r="R218" s="4">
        <f>IF(AND(K218&lt;&gt;"",Q218*(1+J218)&gt;K218/VAT_DIV),K218/VAT_DIV,Q218*(1+J218))</f>
        <v/>
      </c>
      <c r="S218" s="4">
        <f>Q218*F218</f>
        <v/>
      </c>
      <c r="T218" s="4">
        <f>R218*F218</f>
        <v/>
      </c>
      <c r="U218" s="3">
        <f>IF(AND(K218&lt;&gt;"",Q218*(1+J218)&gt;K218/VAT_DIV+0.01),"ДА","")</f>
        <v/>
      </c>
      <c r="V218" s="4">
        <f>P218*F218</f>
        <v/>
      </c>
    </row>
    <row r="219" ht="20" customHeight="1">
      <c r="A219" s="9" t="inlineStr">
        <is>
          <t xml:space="preserve">185. Столб 60х40х1,4х2500 RAL 6005 5 отверстийМ6 (1,53/1,73/2,03) или аналог. </t>
        </is>
      </c>
      <c r="B219" s="13" t="inlineStr">
        <is>
          <t xml:space="preserve">Столб 60х40х1,4х2500 RAL 6005 5 отверстийМ6 (1,53/1,73/2,03) или аналог. </t>
        </is>
      </c>
      <c r="C219" s="9" t="inlineStr">
        <is>
          <t>Металлопрокат и метизы</t>
        </is>
      </c>
      <c r="D219" s="9" t="inlineStr">
        <is>
          <t>шт</t>
        </is>
      </c>
      <c r="E219" s="10" t="n">
        <v>1</v>
      </c>
      <c r="F219" s="4">
        <f>E219*IFERROR(INDEX(Работы!$D$4:$D$672,MATCH(SUBSTITUTE(SUBSTITUTE(SUBSTITUTE(A219,"~","~~"),"*","~*"),"?","~?"),Работы!$B$4:$B$672,0)),0)</f>
        <v/>
      </c>
      <c r="G219" s="10" t="n">
        <v>2200</v>
      </c>
      <c r="H219" s="14" t="n">
        <v>1</v>
      </c>
      <c r="I219" s="11" t="n">
        <v>0.05</v>
      </c>
      <c r="J219" s="11" t="n">
        <v>0.1</v>
      </c>
      <c r="K219" s="10" t="n"/>
      <c r="L219" s="9" t="inlineStr">
        <is>
          <t>оценка</t>
        </is>
      </c>
      <c r="M219" s="9" t="inlineStr"/>
      <c r="N219" s="9" t="inlineStr">
        <is>
          <t>2026-10-29</t>
        </is>
      </c>
      <c r="O219" s="13" t="inlineStr">
        <is>
          <t>оценка 3D-ограждения, запросить Grand Line В Петрович, Лемана ПРО и Сатурн открытой карточки нет, оставлен прежний источник.</t>
        </is>
      </c>
      <c r="P219" s="4">
        <f>IF(H219=1,G219/VAT_DIV,G219)</f>
        <v/>
      </c>
      <c r="Q219" s="4">
        <f>P219*(1+I219)*(1+DELIV)*(1+GROWTH+MONEY)</f>
        <v/>
      </c>
      <c r="R219" s="4">
        <f>IF(AND(K219&lt;&gt;"",Q219*(1+J219)&gt;K219/VAT_DIV),K219/VAT_DIV,Q219*(1+J219))</f>
        <v/>
      </c>
      <c r="S219" s="4">
        <f>Q219*F219</f>
        <v/>
      </c>
      <c r="T219" s="4">
        <f>R219*F219</f>
        <v/>
      </c>
      <c r="U219" s="3">
        <f>IF(AND(K219&lt;&gt;"",Q219*(1+J219)&gt;K219/VAT_DIV+0.01),"ДА","")</f>
        <v/>
      </c>
      <c r="V219" s="4">
        <f>P219*F219</f>
        <v/>
      </c>
    </row>
    <row r="220" ht="20" customHeight="1">
      <c r="A220" s="9" t="inlineStr">
        <is>
          <t>186. Кабель ВВГ нг(А) LS 5x6 мм.кв.</t>
        </is>
      </c>
      <c r="B220" s="13" t="inlineStr">
        <is>
          <t>Кабель ВВГ нг(А) LS 5x6 мм.кв.</t>
        </is>
      </c>
      <c r="C220" s="9" t="inlineStr">
        <is>
          <t>Кабель и провод</t>
        </is>
      </c>
      <c r="D220" s="9" t="inlineStr">
        <is>
          <t>м</t>
        </is>
      </c>
      <c r="E220" s="10" t="n">
        <v>1</v>
      </c>
      <c r="F220" s="4">
        <f>E220*IFERROR(INDEX(Работы!$D$4:$D$672,MATCH(SUBSTITUTE(SUBSTITUTE(SUBSTITUTE(A220,"~","~~"),"*","~*"),"?","~?"),Работы!$B$4:$B$672,0)),0)</f>
        <v/>
      </c>
      <c r="G220" s="10" t="n">
        <v>587</v>
      </c>
      <c r="H220" s="14" t="n">
        <v>1</v>
      </c>
      <c r="I220" s="11" t="n">
        <v>0.04</v>
      </c>
      <c r="J220" s="11" t="n">
        <v>0.12</v>
      </c>
      <c r="K220" s="10" t="n"/>
      <c r="L220" s="9" t="inlineStr">
        <is>
          <t>Петрович</t>
        </is>
      </c>
      <c r="M220" s="9" t="inlineStr">
        <is>
          <t>https://moscow.petrovich.ru/product/125604/</t>
        </is>
      </c>
      <c r="N220" s="9" t="inlineStr">
        <is>
          <t>2026-10-29</t>
        </is>
      </c>
      <c r="O220" s="13" t="inlineStr">
        <is>
          <t>Петрович, Кабэкс ВВГнг(А)-LS 5х6 = 587 руб/м (570 руб по карте). Барабан на сайте 507 руб/м.</t>
        </is>
      </c>
      <c r="P220" s="4">
        <f>IF(H220=1,G220/VAT_DIV,G220)</f>
        <v/>
      </c>
      <c r="Q220" s="4">
        <f>P220*(1+I220)*(1+DELIV)*(1+GROWTH+MONEY)</f>
        <v/>
      </c>
      <c r="R220" s="4">
        <f>IF(AND(K220&lt;&gt;"",Q220*(1+J220)&gt;K220/VAT_DIV),K220/VAT_DIV,Q220*(1+J220))</f>
        <v/>
      </c>
      <c r="S220" s="4">
        <f>Q220*F220</f>
        <v/>
      </c>
      <c r="T220" s="4">
        <f>R220*F220</f>
        <v/>
      </c>
      <c r="U220" s="3">
        <f>IF(AND(K220&lt;&gt;"",Q220*(1+J220)&gt;K220/VAT_DIV+0.01),"ДА","")</f>
        <v/>
      </c>
      <c r="V220" s="4">
        <f>P220*F220</f>
        <v/>
      </c>
    </row>
    <row r="221" ht="20" customHeight="1">
      <c r="A221" s="9" t="inlineStr">
        <is>
          <t>187. Кабель КВВГ нг(А) LS 5x2,5 мм.кв.</t>
        </is>
      </c>
      <c r="B221" s="13" t="inlineStr">
        <is>
          <t>Кабель КВВГ нг(А) LS 5x2,5 мм.кв.</t>
        </is>
      </c>
      <c r="C221" s="9" t="inlineStr">
        <is>
          <t>Кабель и провод</t>
        </is>
      </c>
      <c r="D221" s="9" t="inlineStr">
        <is>
          <t>м</t>
        </is>
      </c>
      <c r="E221" s="10" t="n">
        <v>1</v>
      </c>
      <c r="F221" s="4">
        <f>E221*IFERROR(INDEX(Работы!$D$4:$D$672,MATCH(SUBSTITUTE(SUBSTITUTE(SUBSTITUTE(A221,"~","~~"),"*","~*"),"?","~?"),Работы!$B$4:$B$672,0)),0)</f>
        <v/>
      </c>
      <c r="G221" s="10" t="n">
        <v>256.44</v>
      </c>
      <c r="H221" s="14" t="n">
        <v>1</v>
      </c>
      <c r="I221" s="11" t="n">
        <v>0.04</v>
      </c>
      <c r="J221" s="11" t="n">
        <v>0.12</v>
      </c>
      <c r="K221" s="10" t="n"/>
      <c r="L221" s="9" t="inlineStr">
        <is>
          <t>Петрович</t>
        </is>
      </c>
      <c r="M221" s="9" t="inlineStr">
        <is>
          <t>https://moscow.petrovich.ru/product/997027/</t>
        </is>
      </c>
      <c r="N221" s="9" t="inlineStr">
        <is>
          <t>2026-10-29</t>
        </is>
      </c>
      <c r="O221" s="13" t="inlineStr">
        <is>
          <t>Между якорями Петровича: 3х2,5 = 162 руб/м и 5х6 = 587 руб/м. 5х2,5 = 12,5 мм2, оценка сечения.</t>
        </is>
      </c>
      <c r="P221" s="4">
        <f>IF(H221=1,G221/VAT_DIV,G221)</f>
        <v/>
      </c>
      <c r="Q221" s="4">
        <f>P221*(1+I221)*(1+DELIV)*(1+GROWTH+MONEY)</f>
        <v/>
      </c>
      <c r="R221" s="4">
        <f>IF(AND(K221&lt;&gt;"",Q221*(1+J221)&gt;K221/VAT_DIV),K221/VAT_DIV,Q221*(1+J221))</f>
        <v/>
      </c>
      <c r="S221" s="4">
        <f>Q221*F221</f>
        <v/>
      </c>
      <c r="T221" s="4">
        <f>R221*F221</f>
        <v/>
      </c>
      <c r="U221" s="3">
        <f>IF(AND(K221&lt;&gt;"",Q221*(1+J221)&gt;K221/VAT_DIV+0.01),"ДА","")</f>
        <v/>
      </c>
      <c r="V221" s="4">
        <f>P221*F221</f>
        <v/>
      </c>
    </row>
    <row r="222" ht="20" customHeight="1">
      <c r="A222" s="9" t="inlineStr">
        <is>
          <t>188. Кабель нагревательный саморегулирующийся 30КСТМ2-Т</t>
        </is>
      </c>
      <c r="B222" s="13" t="inlineStr">
        <is>
          <t>Кабель саморегулирующийся 30 Вт/м</t>
        </is>
      </c>
      <c r="C222" s="9" t="inlineStr">
        <is>
          <t>Кабель и провод</t>
        </is>
      </c>
      <c r="D222" s="9" t="inlineStr">
        <is>
          <t>м</t>
        </is>
      </c>
      <c r="E222" s="10" t="n">
        <v>1</v>
      </c>
      <c r="F222" s="4">
        <f>E222*IFERROR(INDEX(Работы!$D$4:$D$672,MATCH(SUBSTITUTE(SUBSTITUTE(SUBSTITUTE(A222,"~","~~"),"*","~*"),"?","~?"),Работы!$B$4:$B$672,0)),0)</f>
        <v/>
      </c>
      <c r="G222" s="10" t="n">
        <v>280</v>
      </c>
      <c r="H222" s="14" t="n">
        <v>1</v>
      </c>
      <c r="I222" s="11" t="n">
        <v>0.04</v>
      </c>
      <c r="J222" s="11" t="n">
        <v>0.12</v>
      </c>
      <c r="K222" s="10" t="n"/>
      <c r="L222" s="9" t="inlineStr">
        <is>
          <t>оценка</t>
        </is>
      </c>
      <c r="M222" s="9" t="inlineStr"/>
      <c r="N222" s="9" t="inlineStr">
        <is>
          <t>2026-10-29</t>
        </is>
      </c>
      <c r="O222" s="13" t="inlineStr">
        <is>
          <t>оценка, запросить КП В Петрович, Лемана ПРО и Сатурн открытой карточки нет, оставлен прежний источник.</t>
        </is>
      </c>
      <c r="P222" s="4">
        <f>IF(H222=1,G222/VAT_DIV,G222)</f>
        <v/>
      </c>
      <c r="Q222" s="4">
        <f>P222*(1+I222)*(1+DELIV)*(1+GROWTH+MONEY)</f>
        <v/>
      </c>
      <c r="R222" s="4">
        <f>IF(AND(K222&lt;&gt;"",Q222*(1+J222)&gt;K222/VAT_DIV),K222/VAT_DIV,Q222*(1+J222))</f>
        <v/>
      </c>
      <c r="S222" s="4">
        <f>Q222*F222</f>
        <v/>
      </c>
      <c r="T222" s="4">
        <f>R222*F222</f>
        <v/>
      </c>
      <c r="U222" s="3">
        <f>IF(AND(K222&lt;&gt;"",Q222*(1+J222)&gt;K222/VAT_DIV+0.01),"ДА","")</f>
        <v/>
      </c>
      <c r="V222" s="4">
        <f>P222*F222</f>
        <v/>
      </c>
    </row>
    <row r="223" ht="20" customHeight="1">
      <c r="A223" s="9" t="inlineStr">
        <is>
          <t>189. СИП-2 -0,6/1 3х 16 + 1х25 кабель</t>
        </is>
      </c>
      <c r="B223" s="13" t="inlineStr">
        <is>
          <t>СИП-2 -0,6/1 3х 16 + 1х25 кабель</t>
        </is>
      </c>
      <c r="C223" s="9" t="inlineStr">
        <is>
          <t>Кабель и провод</t>
        </is>
      </c>
      <c r="D223" s="9" t="inlineStr">
        <is>
          <t>м</t>
        </is>
      </c>
      <c r="E223" s="10" t="n">
        <v>1</v>
      </c>
      <c r="F223" s="4">
        <f>E223*IFERROR(INDEX(Работы!$D$4:$D$672,MATCH(SUBSTITUTE(SUBSTITUTE(SUBSTITUTE(A223,"~","~~"),"*","~*"),"?","~?"),Работы!$B$4:$B$672,0)),0)</f>
        <v/>
      </c>
      <c r="G223" s="10" t="n">
        <v>118.1</v>
      </c>
      <c r="H223" s="14" t="n">
        <v>1</v>
      </c>
      <c r="I223" s="11" t="n">
        <v>0.04</v>
      </c>
      <c r="J223" s="11" t="n">
        <v>0.12</v>
      </c>
      <c r="K223" s="10" t="n"/>
      <c r="L223" s="9" t="inlineStr">
        <is>
          <t>Норма-кабель</t>
        </is>
      </c>
      <c r="M223" s="9" t="inlineStr">
        <is>
          <t>https://sip2a.ru/catalog/provod_sip/provod_sip_2/sip_2_3kh16_1kh25/</t>
        </is>
      </c>
      <c r="N223" s="9" t="inlineStr">
        <is>
          <t>2026-10-29</t>
        </is>
      </c>
      <c r="O223" s="13" t="inlineStr">
        <is>
          <t>якорь СИП-2 3х16+1х25 = 118,10 руб/м с НДС; прочие сечения пропорционально алюминию, оценка В Петрович, Лемана ПРО и Сатурн открытой карточки нет, оставлен прежний источник.</t>
        </is>
      </c>
      <c r="P223" s="4">
        <f>IF(H223=1,G223/VAT_DIV,G223)</f>
        <v/>
      </c>
      <c r="Q223" s="4">
        <f>P223*(1+I223)*(1+DELIV)*(1+GROWTH+MONEY)</f>
        <v/>
      </c>
      <c r="R223" s="4">
        <f>IF(AND(K223&lt;&gt;"",Q223*(1+J223)&gt;K223/VAT_DIV),K223/VAT_DIV,Q223*(1+J223))</f>
        <v/>
      </c>
      <c r="S223" s="4">
        <f>Q223*F223</f>
        <v/>
      </c>
      <c r="T223" s="4">
        <f>R223*F223</f>
        <v/>
      </c>
      <c r="U223" s="3">
        <f>IF(AND(K223&lt;&gt;"",Q223*(1+J223)&gt;K223/VAT_DIV+0.01),"ДА","")</f>
        <v/>
      </c>
      <c r="V223" s="4">
        <f>P223*F223</f>
        <v/>
      </c>
    </row>
    <row r="224" ht="20" customHeight="1">
      <c r="A224" s="9" t="inlineStr">
        <is>
          <t>190. СИП-2 -0,6/1 3х 25 + 1х35 кабель</t>
        </is>
      </c>
      <c r="B224" s="13" t="inlineStr">
        <is>
          <t>СИП-2 -0,6/1 3х 25 + 1х35 кабель</t>
        </is>
      </c>
      <c r="C224" s="9" t="inlineStr">
        <is>
          <t>Кабель и провод</t>
        </is>
      </c>
      <c r="D224" s="9" t="inlineStr">
        <is>
          <t>м</t>
        </is>
      </c>
      <c r="E224" s="10" t="n">
        <v>1</v>
      </c>
      <c r="F224" s="4">
        <f>E224*IFERROR(INDEX(Работы!$D$4:$D$672,MATCH(SUBSTITUTE(SUBSTITUTE(SUBSTITUTE(A224,"~","~~"),"*","~*"),"?","~?"),Работы!$B$4:$B$672,0)),0)</f>
        <v/>
      </c>
      <c r="G224" s="10" t="n">
        <v>177.96</v>
      </c>
      <c r="H224" s="14" t="n">
        <v>1</v>
      </c>
      <c r="I224" s="11" t="n">
        <v>0.04</v>
      </c>
      <c r="J224" s="11" t="n">
        <v>0.12</v>
      </c>
      <c r="K224" s="10" t="n"/>
      <c r="L224" s="9" t="inlineStr">
        <is>
          <t>Норма-кабель</t>
        </is>
      </c>
      <c r="M224" s="9" t="inlineStr">
        <is>
          <t>https://sip2a.ru/catalog/provod_sip/provod_sip_2/sip_2_3kh16_1kh25/</t>
        </is>
      </c>
      <c r="N224" s="9" t="inlineStr">
        <is>
          <t>2026-10-29</t>
        </is>
      </c>
      <c r="O224" s="13" t="inlineStr">
        <is>
          <t>якорь СИП-2 3х16+1х25 = 118,10 руб/м с НДС; прочие сечения пропорционально алюминию, оценка В Петрович, Лемана ПРО и Сатурн открытой карточки нет, оставлен прежний источник.</t>
        </is>
      </c>
      <c r="P224" s="4">
        <f>IF(H224=1,G224/VAT_DIV,G224)</f>
        <v/>
      </c>
      <c r="Q224" s="4">
        <f>P224*(1+I224)*(1+DELIV)*(1+GROWTH+MONEY)</f>
        <v/>
      </c>
      <c r="R224" s="4">
        <f>IF(AND(K224&lt;&gt;"",Q224*(1+J224)&gt;K224/VAT_DIV),K224/VAT_DIV,Q224*(1+J224))</f>
        <v/>
      </c>
      <c r="S224" s="4">
        <f>Q224*F224</f>
        <v/>
      </c>
      <c r="T224" s="4">
        <f>R224*F224</f>
        <v/>
      </c>
      <c r="U224" s="3">
        <f>IF(AND(K224&lt;&gt;"",Q224*(1+J224)&gt;K224/VAT_DIV+0.01),"ДА","")</f>
        <v/>
      </c>
      <c r="V224" s="4">
        <f>P224*F224</f>
        <v/>
      </c>
    </row>
    <row r="225" ht="20" customHeight="1">
      <c r="A225" s="9" t="inlineStr">
        <is>
          <t>191. СИП-2 -0,6/1 3х 35 + 1х54,6 кабель</t>
        </is>
      </c>
      <c r="B225" s="13" t="inlineStr">
        <is>
          <t>СИП-2 -0,6/1 3х 35 + 1х54,6 кабель</t>
        </is>
      </c>
      <c r="C225" s="9" t="inlineStr">
        <is>
          <t>Кабель и провод</t>
        </is>
      </c>
      <c r="D225" s="9" t="inlineStr">
        <is>
          <t>м</t>
        </is>
      </c>
      <c r="E225" s="10" t="n">
        <v>1</v>
      </c>
      <c r="F225" s="4">
        <f>E225*IFERROR(INDEX(Работы!$D$4:$D$672,MATCH(SUBSTITUTE(SUBSTITUTE(SUBSTITUTE(A225,"~","~~"),"*","~*"),"?","~?"),Работы!$B$4:$B$672,0)),0)</f>
        <v/>
      </c>
      <c r="G225" s="10" t="n">
        <v>257.23</v>
      </c>
      <c r="H225" s="14" t="n">
        <v>1</v>
      </c>
      <c r="I225" s="11" t="n">
        <v>0.04</v>
      </c>
      <c r="J225" s="11" t="n">
        <v>0.12</v>
      </c>
      <c r="K225" s="10" t="n"/>
      <c r="L225" s="9" t="inlineStr">
        <is>
          <t>Норма-кабель</t>
        </is>
      </c>
      <c r="M225" s="9" t="inlineStr">
        <is>
          <t>https://sip2a.ru/catalog/provod_sip/provod_sip_2/sip_2_3kh16_1kh25/</t>
        </is>
      </c>
      <c r="N225" s="9" t="inlineStr">
        <is>
          <t>2026-10-29</t>
        </is>
      </c>
      <c r="O225" s="13" t="inlineStr">
        <is>
          <t>якорь СИП-2 3х16+1х25 = 118,10 руб/м с НДС; прочие сечения пропорционально алюминию, оценка В Петрович, Лемана ПРО и Сатурн открытой карточки нет, оставлен прежний источник.</t>
        </is>
      </c>
      <c r="P225" s="4">
        <f>IF(H225=1,G225/VAT_DIV,G225)</f>
        <v/>
      </c>
      <c r="Q225" s="4">
        <f>P225*(1+I225)*(1+DELIV)*(1+GROWTH+MONEY)</f>
        <v/>
      </c>
      <c r="R225" s="4">
        <f>IF(AND(K225&lt;&gt;"",Q225*(1+J225)&gt;K225/VAT_DIV),K225/VAT_DIV,Q225*(1+J225))</f>
        <v/>
      </c>
      <c r="S225" s="4">
        <f>Q225*F225</f>
        <v/>
      </c>
      <c r="T225" s="4">
        <f>R225*F225</f>
        <v/>
      </c>
      <c r="U225" s="3">
        <f>IF(AND(K225&lt;&gt;"",Q225*(1+J225)&gt;K225/VAT_DIV+0.01),"ДА","")</f>
        <v/>
      </c>
      <c r="V225" s="4">
        <f>P225*F225</f>
        <v/>
      </c>
    </row>
    <row r="226" ht="20" customHeight="1">
      <c r="A226" s="9" t="inlineStr">
        <is>
          <t>192. СИП-2 -0,6/1 3х 50 + 1х54,6 кабель</t>
        </is>
      </c>
      <c r="B226" s="13" t="inlineStr">
        <is>
          <t>СИП-2 -0,6/1 3х 50 + 1х54,6 кабель</t>
        </is>
      </c>
      <c r="C226" s="9" t="inlineStr">
        <is>
          <t>Кабель и провод</t>
        </is>
      </c>
      <c r="D226" s="9" t="inlineStr">
        <is>
          <t>м</t>
        </is>
      </c>
      <c r="E226" s="10" t="n">
        <v>1</v>
      </c>
      <c r="F226" s="4">
        <f>E226*IFERROR(INDEX(Работы!$D$4:$D$672,MATCH(SUBSTITUTE(SUBSTITUTE(SUBSTITUTE(A226,"~","~~"),"*","~*"),"?","~?"),Работы!$B$4:$B$672,0)),0)</f>
        <v/>
      </c>
      <c r="G226" s="10" t="n">
        <v>330.03</v>
      </c>
      <c r="H226" s="14" t="n">
        <v>1</v>
      </c>
      <c r="I226" s="11" t="n">
        <v>0.04</v>
      </c>
      <c r="J226" s="11" t="n">
        <v>0.12</v>
      </c>
      <c r="K226" s="10" t="n"/>
      <c r="L226" s="9" t="inlineStr">
        <is>
          <t>Норма-кабель</t>
        </is>
      </c>
      <c r="M226" s="9" t="inlineStr">
        <is>
          <t>https://sip2a.ru/catalog/provod_sip/provod_sip_2/sip_2_3kh16_1kh25/</t>
        </is>
      </c>
      <c r="N226" s="9" t="inlineStr">
        <is>
          <t>2026-10-29</t>
        </is>
      </c>
      <c r="O226" s="13" t="inlineStr">
        <is>
          <t>якорь СИП-2 3х16+1х25 = 118,10 руб/м с НДС; прочие сечения пропорционально алюминию, оценка В Петрович, Лемана ПРО и Сатурн открытой карточки нет, оставлен прежний источник.</t>
        </is>
      </c>
      <c r="P226" s="4">
        <f>IF(H226=1,G226/VAT_DIV,G226)</f>
        <v/>
      </c>
      <c r="Q226" s="4">
        <f>P226*(1+I226)*(1+DELIV)*(1+GROWTH+MONEY)</f>
        <v/>
      </c>
      <c r="R226" s="4">
        <f>IF(AND(K226&lt;&gt;"",Q226*(1+J226)&gt;K226/VAT_DIV),K226/VAT_DIV,Q226*(1+J226))</f>
        <v/>
      </c>
      <c r="S226" s="4">
        <f>Q226*F226</f>
        <v/>
      </c>
      <c r="T226" s="4">
        <f>R226*F226</f>
        <v/>
      </c>
      <c r="U226" s="3">
        <f>IF(AND(K226&lt;&gt;"",Q226*(1+J226)&gt;K226/VAT_DIV+0.01),"ДА","")</f>
        <v/>
      </c>
      <c r="V226" s="4">
        <f>P226*F226</f>
        <v/>
      </c>
    </row>
    <row r="227" ht="20" customHeight="1">
      <c r="A227" s="9" t="inlineStr">
        <is>
          <t>193. СИП-2 -0,6/1 3х 70 + 1х54,6 кабель</t>
        </is>
      </c>
      <c r="B227" s="13" t="inlineStr">
        <is>
          <t>СИП-2 -0,6/1 3х 70 + 1х54,6 кабель</t>
        </is>
      </c>
      <c r="C227" s="9" t="inlineStr">
        <is>
          <t>Кабель и провод</t>
        </is>
      </c>
      <c r="D227" s="9" t="inlineStr">
        <is>
          <t>м</t>
        </is>
      </c>
      <c r="E227" s="10" t="n">
        <v>1</v>
      </c>
      <c r="F227" s="4">
        <f>E227*IFERROR(INDEX(Работы!$D$4:$D$672,MATCH(SUBSTITUTE(SUBSTITUTE(SUBSTITUTE(A227,"~","~~"),"*","~*"),"?","~?"),Работы!$B$4:$B$672,0)),0)</f>
        <v/>
      </c>
      <c r="G227" s="10" t="n">
        <v>427.1</v>
      </c>
      <c r="H227" s="14" t="n">
        <v>1</v>
      </c>
      <c r="I227" s="11" t="n">
        <v>0.04</v>
      </c>
      <c r="J227" s="11" t="n">
        <v>0.12</v>
      </c>
      <c r="K227" s="10" t="n"/>
      <c r="L227" s="9" t="inlineStr">
        <is>
          <t>Норма-кабель</t>
        </is>
      </c>
      <c r="M227" s="9" t="inlineStr">
        <is>
          <t>https://sip2a.ru/catalog/provod_sip/provod_sip_2/sip_2_3kh16_1kh25/</t>
        </is>
      </c>
      <c r="N227" s="9" t="inlineStr">
        <is>
          <t>2026-10-29</t>
        </is>
      </c>
      <c r="O227" s="13" t="inlineStr">
        <is>
          <t>якорь СИП-2 3х16+1х25 = 118,10 руб/м с НДС; прочие сечения пропорционально алюминию, оценка В Петрович, Лемана ПРО и Сатурн открытой карточки нет, оставлен прежний источник.</t>
        </is>
      </c>
      <c r="P227" s="4">
        <f>IF(H227=1,G227/VAT_DIV,G227)</f>
        <v/>
      </c>
      <c r="Q227" s="4">
        <f>P227*(1+I227)*(1+DELIV)*(1+GROWTH+MONEY)</f>
        <v/>
      </c>
      <c r="R227" s="4">
        <f>IF(AND(K227&lt;&gt;"",Q227*(1+J227)&gt;K227/VAT_DIV),K227/VAT_DIV,Q227*(1+J227))</f>
        <v/>
      </c>
      <c r="S227" s="4">
        <f>Q227*F227</f>
        <v/>
      </c>
      <c r="T227" s="4">
        <f>R227*F227</f>
        <v/>
      </c>
      <c r="U227" s="3">
        <f>IF(AND(K227&lt;&gt;"",Q227*(1+J227)&gt;K227/VAT_DIV+0.01),"ДА","")</f>
        <v/>
      </c>
      <c r="V227" s="4">
        <f>P227*F227</f>
        <v/>
      </c>
    </row>
    <row r="228" ht="20" customHeight="1">
      <c r="A228" s="9" t="inlineStr">
        <is>
          <t>194. Розетка одинарная наружная 220В 16А</t>
        </is>
      </c>
      <c r="B228" s="13" t="inlineStr">
        <is>
          <t>Розетка одинарная наружная 220В 16А</t>
        </is>
      </c>
      <c r="C228" s="9" t="inlineStr">
        <is>
          <t>Электроустановочные изделия, щиты, автоматы</t>
        </is>
      </c>
      <c r="D228" s="9" t="inlineStr">
        <is>
          <t>шт</t>
        </is>
      </c>
      <c r="E228" s="10" t="n">
        <v>1</v>
      </c>
      <c r="F228" s="4">
        <f>E228*IFERROR(INDEX(Работы!$D$4:$D$672,MATCH(SUBSTITUTE(SUBSTITUTE(SUBSTITUTE(A228,"~","~~"),"*","~*"),"?","~?"),Работы!$B$4:$B$672,0)),0)</f>
        <v/>
      </c>
      <c r="G228" s="10" t="n">
        <v>180</v>
      </c>
      <c r="H228" s="14" t="n">
        <v>1</v>
      </c>
      <c r="I228" s="11" t="n">
        <v>0.01</v>
      </c>
      <c r="J228" s="11" t="n">
        <v>0.12</v>
      </c>
      <c r="K228" s="10" t="n"/>
      <c r="L228" s="9" t="inlineStr">
        <is>
          <t>оценка</t>
        </is>
      </c>
      <c r="M228" s="9" t="inlineStr"/>
      <c r="N228" s="9" t="inlineStr">
        <is>
          <t>2026-10-29</t>
        </is>
      </c>
      <c r="O228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28" s="4">
        <f>IF(H228=1,G228/VAT_DIV,G228)</f>
        <v/>
      </c>
      <c r="Q228" s="4">
        <f>P228*(1+I228)*(1+DELIV)*(1+GROWTH+MONEY)</f>
        <v/>
      </c>
      <c r="R228" s="4">
        <f>IF(AND(K228&lt;&gt;"",Q228*(1+J228)&gt;K228/VAT_DIV),K228/VAT_DIV,Q228*(1+J228))</f>
        <v/>
      </c>
      <c r="S228" s="4">
        <f>Q228*F228</f>
        <v/>
      </c>
      <c r="T228" s="4">
        <f>R228*F228</f>
        <v/>
      </c>
      <c r="U228" s="3">
        <f>IF(AND(K228&lt;&gt;"",Q228*(1+J228)&gt;K228/VAT_DIV+0.01),"ДА","")</f>
        <v/>
      </c>
      <c r="V228" s="4">
        <f>P228*F228</f>
        <v/>
      </c>
    </row>
    <row r="229" ht="20" customHeight="1">
      <c r="A229" s="9" t="inlineStr">
        <is>
          <t>195. Розетка одинарная внутренняя 220В 16А</t>
        </is>
      </c>
      <c r="B229" s="13" t="inlineStr">
        <is>
          <t>Розетка одинарная внутренняя 220В 16А</t>
        </is>
      </c>
      <c r="C229" s="9" t="inlineStr">
        <is>
          <t>Электроустановочные изделия, щиты, автоматы</t>
        </is>
      </c>
      <c r="D229" s="9" t="inlineStr">
        <is>
          <t>шт</t>
        </is>
      </c>
      <c r="E229" s="10" t="n">
        <v>1</v>
      </c>
      <c r="F229" s="4">
        <f>E229*IFERROR(INDEX(Работы!$D$4:$D$672,MATCH(SUBSTITUTE(SUBSTITUTE(SUBSTITUTE(A229,"~","~~"),"*","~*"),"?","~?"),Работы!$B$4:$B$672,0)),0)</f>
        <v/>
      </c>
      <c r="G229" s="10" t="n">
        <v>180</v>
      </c>
      <c r="H229" s="14" t="n">
        <v>1</v>
      </c>
      <c r="I229" s="11" t="n">
        <v>0.01</v>
      </c>
      <c r="J229" s="11" t="n">
        <v>0.12</v>
      </c>
      <c r="K229" s="10" t="n"/>
      <c r="L229" s="9" t="inlineStr">
        <is>
          <t>оценка</t>
        </is>
      </c>
      <c r="M229" s="9" t="inlineStr"/>
      <c r="N229" s="9" t="inlineStr">
        <is>
          <t>2026-10-29</t>
        </is>
      </c>
      <c r="O229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29" s="4">
        <f>IF(H229=1,G229/VAT_DIV,G229)</f>
        <v/>
      </c>
      <c r="Q229" s="4">
        <f>P229*(1+I229)*(1+DELIV)*(1+GROWTH+MONEY)</f>
        <v/>
      </c>
      <c r="R229" s="4">
        <f>IF(AND(K229&lt;&gt;"",Q229*(1+J229)&gt;K229/VAT_DIV),K229/VAT_DIV,Q229*(1+J229))</f>
        <v/>
      </c>
      <c r="S229" s="4">
        <f>Q229*F229</f>
        <v/>
      </c>
      <c r="T229" s="4">
        <f>R229*F229</f>
        <v/>
      </c>
      <c r="U229" s="3">
        <f>IF(AND(K229&lt;&gt;"",Q229*(1+J229)&gt;K229/VAT_DIV+0.01),"ДА","")</f>
        <v/>
      </c>
      <c r="V229" s="4">
        <f>P229*F229</f>
        <v/>
      </c>
    </row>
    <row r="230" ht="20" customHeight="1">
      <c r="A230" s="9" t="inlineStr">
        <is>
          <t>196. Розетка двойная наружная 220В 16А</t>
        </is>
      </c>
      <c r="B230" s="13" t="inlineStr">
        <is>
          <t>Розетка двойная наружная 220В 16А</t>
        </is>
      </c>
      <c r="C230" s="9" t="inlineStr">
        <is>
          <t>Электроустановочные изделия, щиты, автоматы</t>
        </is>
      </c>
      <c r="D230" s="9" t="inlineStr">
        <is>
          <t>шт</t>
        </is>
      </c>
      <c r="E230" s="10" t="n">
        <v>1</v>
      </c>
      <c r="F230" s="4">
        <f>E230*IFERROR(INDEX(Работы!$D$4:$D$672,MATCH(SUBSTITUTE(SUBSTITUTE(SUBSTITUTE(A230,"~","~~"),"*","~*"),"?","~?"),Работы!$B$4:$B$672,0)),0)</f>
        <v/>
      </c>
      <c r="G230" s="10" t="n">
        <v>280</v>
      </c>
      <c r="H230" s="14" t="n">
        <v>1</v>
      </c>
      <c r="I230" s="11" t="n">
        <v>0.01</v>
      </c>
      <c r="J230" s="11" t="n">
        <v>0.12</v>
      </c>
      <c r="K230" s="10" t="n"/>
      <c r="L230" s="9" t="inlineStr">
        <is>
          <t>оценка</t>
        </is>
      </c>
      <c r="M230" s="9" t="inlineStr"/>
      <c r="N230" s="9" t="inlineStr">
        <is>
          <t>2026-10-29</t>
        </is>
      </c>
      <c r="O230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30" s="4">
        <f>IF(H230=1,G230/VAT_DIV,G230)</f>
        <v/>
      </c>
      <c r="Q230" s="4">
        <f>P230*(1+I230)*(1+DELIV)*(1+GROWTH+MONEY)</f>
        <v/>
      </c>
      <c r="R230" s="4">
        <f>IF(AND(K230&lt;&gt;"",Q230*(1+J230)&gt;K230/VAT_DIV),K230/VAT_DIV,Q230*(1+J230))</f>
        <v/>
      </c>
      <c r="S230" s="4">
        <f>Q230*F230</f>
        <v/>
      </c>
      <c r="T230" s="4">
        <f>R230*F230</f>
        <v/>
      </c>
      <c r="U230" s="3">
        <f>IF(AND(K230&lt;&gt;"",Q230*(1+J230)&gt;K230/VAT_DIV+0.01),"ДА","")</f>
        <v/>
      </c>
      <c r="V230" s="4">
        <f>P230*F230</f>
        <v/>
      </c>
    </row>
    <row r="231" ht="20" customHeight="1">
      <c r="A231" s="9" t="inlineStr">
        <is>
          <t>197. Розетка двойная внутренняя 220В 16А</t>
        </is>
      </c>
      <c r="B231" s="13" t="inlineStr">
        <is>
          <t>Розетка двойная внутренняя 220В 16А</t>
        </is>
      </c>
      <c r="C231" s="9" t="inlineStr">
        <is>
          <t>Электроустановочные изделия, щиты, автоматы</t>
        </is>
      </c>
      <c r="D231" s="9" t="inlineStr">
        <is>
          <t>шт</t>
        </is>
      </c>
      <c r="E231" s="10" t="n">
        <v>1</v>
      </c>
      <c r="F231" s="4">
        <f>E231*IFERROR(INDEX(Работы!$D$4:$D$672,MATCH(SUBSTITUTE(SUBSTITUTE(SUBSTITUTE(A231,"~","~~"),"*","~*"),"?","~?"),Работы!$B$4:$B$672,0)),0)</f>
        <v/>
      </c>
      <c r="G231" s="10" t="n">
        <v>280</v>
      </c>
      <c r="H231" s="14" t="n">
        <v>1</v>
      </c>
      <c r="I231" s="11" t="n">
        <v>0.01</v>
      </c>
      <c r="J231" s="11" t="n">
        <v>0.12</v>
      </c>
      <c r="K231" s="10" t="n"/>
      <c r="L231" s="9" t="inlineStr">
        <is>
          <t>оценка</t>
        </is>
      </c>
      <c r="M231" s="9" t="inlineStr"/>
      <c r="N231" s="9" t="inlineStr">
        <is>
          <t>2026-10-29</t>
        </is>
      </c>
      <c r="O231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31" s="4">
        <f>IF(H231=1,G231/VAT_DIV,G231)</f>
        <v/>
      </c>
      <c r="Q231" s="4">
        <f>P231*(1+I231)*(1+DELIV)*(1+GROWTH+MONEY)</f>
        <v/>
      </c>
      <c r="R231" s="4">
        <f>IF(AND(K231&lt;&gt;"",Q231*(1+J231)&gt;K231/VAT_DIV),K231/VAT_DIV,Q231*(1+J231))</f>
        <v/>
      </c>
      <c r="S231" s="4">
        <f>Q231*F231</f>
        <v/>
      </c>
      <c r="T231" s="4">
        <f>R231*F231</f>
        <v/>
      </c>
      <c r="U231" s="3">
        <f>IF(AND(K231&lt;&gt;"",Q231*(1+J231)&gt;K231/VAT_DIV+0.01),"ДА","")</f>
        <v/>
      </c>
      <c r="V231" s="4">
        <f>P231*F231</f>
        <v/>
      </c>
    </row>
    <row r="232" ht="20" customHeight="1">
      <c r="A232" s="9" t="inlineStr">
        <is>
          <t>198. Розетка тройная наружная 220В 16А</t>
        </is>
      </c>
      <c r="B232" s="13" t="inlineStr">
        <is>
          <t>Розетка тройная наружная 220В 16А</t>
        </is>
      </c>
      <c r="C232" s="9" t="inlineStr">
        <is>
          <t>Электроустановочные изделия, щиты, автоматы</t>
        </is>
      </c>
      <c r="D232" s="9" t="inlineStr">
        <is>
          <t>шт</t>
        </is>
      </c>
      <c r="E232" s="10" t="n">
        <v>1</v>
      </c>
      <c r="F232" s="4">
        <f>E232*IFERROR(INDEX(Работы!$D$4:$D$672,MATCH(SUBSTITUTE(SUBSTITUTE(SUBSTITUTE(A232,"~","~~"),"*","~*"),"?","~?"),Работы!$B$4:$B$672,0)),0)</f>
        <v/>
      </c>
      <c r="G232" s="10" t="n">
        <v>350</v>
      </c>
      <c r="H232" s="14" t="n">
        <v>1</v>
      </c>
      <c r="I232" s="11" t="n">
        <v>0.01</v>
      </c>
      <c r="J232" s="11" t="n">
        <v>0.12</v>
      </c>
      <c r="K232" s="10" t="n"/>
      <c r="L232" s="9" t="inlineStr">
        <is>
          <t>оценка</t>
        </is>
      </c>
      <c r="M232" s="9" t="inlineStr"/>
      <c r="N232" s="9" t="inlineStr">
        <is>
          <t>2026-10-29</t>
        </is>
      </c>
      <c r="O232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32" s="4">
        <f>IF(H232=1,G232/VAT_DIV,G232)</f>
        <v/>
      </c>
      <c r="Q232" s="4">
        <f>P232*(1+I232)*(1+DELIV)*(1+GROWTH+MONEY)</f>
        <v/>
      </c>
      <c r="R232" s="4">
        <f>IF(AND(K232&lt;&gt;"",Q232*(1+J232)&gt;K232/VAT_DIV),K232/VAT_DIV,Q232*(1+J232))</f>
        <v/>
      </c>
      <c r="S232" s="4">
        <f>Q232*F232</f>
        <v/>
      </c>
      <c r="T232" s="4">
        <f>R232*F232</f>
        <v/>
      </c>
      <c r="U232" s="3">
        <f>IF(AND(K232&lt;&gt;"",Q232*(1+J232)&gt;K232/VAT_DIV+0.01),"ДА","")</f>
        <v/>
      </c>
      <c r="V232" s="4">
        <f>P232*F232</f>
        <v/>
      </c>
    </row>
    <row r="233" ht="20" customHeight="1">
      <c r="A233" s="9" t="inlineStr">
        <is>
          <t>199. Розетка встраиваемая 380В 32А 3P+N+E ABB</t>
        </is>
      </c>
      <c r="B233" s="13" t="inlineStr">
        <is>
          <t>Розетка встраиваемая 380В 32А 3P+N+E ABB</t>
        </is>
      </c>
      <c r="C233" s="9" t="inlineStr">
        <is>
          <t>Электроустановочные изделия, щиты, автоматы</t>
        </is>
      </c>
      <c r="D233" s="9" t="inlineStr">
        <is>
          <t>шт</t>
        </is>
      </c>
      <c r="E233" s="10" t="n">
        <v>1</v>
      </c>
      <c r="F233" s="4">
        <f>E233*IFERROR(INDEX(Работы!$D$4:$D$672,MATCH(SUBSTITUTE(SUBSTITUTE(SUBSTITUTE(A233,"~","~~"),"*","~*"),"?","~?"),Работы!$B$4:$B$672,0)),0)</f>
        <v/>
      </c>
      <c r="G233" s="10" t="n">
        <v>2800</v>
      </c>
      <c r="H233" s="14" t="n">
        <v>1</v>
      </c>
      <c r="I233" s="11" t="n">
        <v>0.01</v>
      </c>
      <c r="J233" s="11" t="n">
        <v>0.12</v>
      </c>
      <c r="K233" s="10" t="n"/>
      <c r="L233" s="9" t="inlineStr">
        <is>
          <t>оценка</t>
        </is>
      </c>
      <c r="M233" s="9" t="inlineStr"/>
      <c r="N233" s="9" t="inlineStr">
        <is>
          <t>2026-10-29</t>
        </is>
      </c>
      <c r="O233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33" s="4">
        <f>IF(H233=1,G233/VAT_DIV,G233)</f>
        <v/>
      </c>
      <c r="Q233" s="4">
        <f>P233*(1+I233)*(1+DELIV)*(1+GROWTH+MONEY)</f>
        <v/>
      </c>
      <c r="R233" s="4">
        <f>IF(AND(K233&lt;&gt;"",Q233*(1+J233)&gt;K233/VAT_DIV),K233/VAT_DIV,Q233*(1+J233))</f>
        <v/>
      </c>
      <c r="S233" s="4">
        <f>Q233*F233</f>
        <v/>
      </c>
      <c r="T233" s="4">
        <f>R233*F233</f>
        <v/>
      </c>
      <c r="U233" s="3">
        <f>IF(AND(K233&lt;&gt;"",Q233*(1+J233)&gt;K233/VAT_DIV+0.01),"ДА","")</f>
        <v/>
      </c>
      <c r="V233" s="4">
        <f>P233*F233</f>
        <v/>
      </c>
    </row>
    <row r="234" ht="20" customHeight="1">
      <c r="A234" s="9" t="inlineStr">
        <is>
          <t>200. Розетка накладная 380В 32А 3P+N+E ABB</t>
        </is>
      </c>
      <c r="B234" s="13" t="inlineStr">
        <is>
          <t>Розетка накладная 380В 32А 3P+N+E ABB</t>
        </is>
      </c>
      <c r="C234" s="9" t="inlineStr">
        <is>
          <t>Электроустановочные изделия, щиты, автоматы</t>
        </is>
      </c>
      <c r="D234" s="9" t="inlineStr">
        <is>
          <t>шт</t>
        </is>
      </c>
      <c r="E234" s="10" t="n">
        <v>1</v>
      </c>
      <c r="F234" s="4">
        <f>E234*IFERROR(INDEX(Работы!$D$4:$D$672,MATCH(SUBSTITUTE(SUBSTITUTE(SUBSTITUTE(A234,"~","~~"),"*","~*"),"?","~?"),Работы!$B$4:$B$672,0)),0)</f>
        <v/>
      </c>
      <c r="G234" s="10" t="n">
        <v>2800</v>
      </c>
      <c r="H234" s="14" t="n">
        <v>1</v>
      </c>
      <c r="I234" s="11" t="n">
        <v>0.01</v>
      </c>
      <c r="J234" s="11" t="n">
        <v>0.12</v>
      </c>
      <c r="K234" s="10" t="n"/>
      <c r="L234" s="9" t="inlineStr">
        <is>
          <t>оценка</t>
        </is>
      </c>
      <c r="M234" s="9" t="inlineStr"/>
      <c r="N234" s="9" t="inlineStr">
        <is>
          <t>2026-10-29</t>
        </is>
      </c>
      <c r="O234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34" s="4">
        <f>IF(H234=1,G234/VAT_DIV,G234)</f>
        <v/>
      </c>
      <c r="Q234" s="4">
        <f>P234*(1+I234)*(1+DELIV)*(1+GROWTH+MONEY)</f>
        <v/>
      </c>
      <c r="R234" s="4">
        <f>IF(AND(K234&lt;&gt;"",Q234*(1+J234)&gt;K234/VAT_DIV),K234/VAT_DIV,Q234*(1+J234))</f>
        <v/>
      </c>
      <c r="S234" s="4">
        <f>Q234*F234</f>
        <v/>
      </c>
      <c r="T234" s="4">
        <f>R234*F234</f>
        <v/>
      </c>
      <c r="U234" s="3">
        <f>IF(AND(K234&lt;&gt;"",Q234*(1+J234)&gt;K234/VAT_DIV+0.01),"ДА","")</f>
        <v/>
      </c>
      <c r="V234" s="4">
        <f>P234*F234</f>
        <v/>
      </c>
    </row>
    <row r="235" ht="20" customHeight="1">
      <c r="A235" s="9" t="inlineStr">
        <is>
          <t>201. Розетка встраиваемая 380В 16А 3P+N+E ABB</t>
        </is>
      </c>
      <c r="B235" s="13" t="inlineStr">
        <is>
          <t>Розетка встраиваемая 380В 16А 3P+N+E ABB</t>
        </is>
      </c>
      <c r="C235" s="9" t="inlineStr">
        <is>
          <t>Электроустановочные изделия, щиты, автоматы</t>
        </is>
      </c>
      <c r="D235" s="9" t="inlineStr">
        <is>
          <t>шт</t>
        </is>
      </c>
      <c r="E235" s="10" t="n">
        <v>1</v>
      </c>
      <c r="F235" s="4">
        <f>E235*IFERROR(INDEX(Работы!$D$4:$D$672,MATCH(SUBSTITUTE(SUBSTITUTE(SUBSTITUTE(A235,"~","~~"),"*","~*"),"?","~?"),Работы!$B$4:$B$672,0)),0)</f>
        <v/>
      </c>
      <c r="G235" s="10" t="n">
        <v>1600</v>
      </c>
      <c r="H235" s="14" t="n">
        <v>1</v>
      </c>
      <c r="I235" s="11" t="n">
        <v>0.01</v>
      </c>
      <c r="J235" s="11" t="n">
        <v>0.12</v>
      </c>
      <c r="K235" s="10" t="n"/>
      <c r="L235" s="9" t="inlineStr">
        <is>
          <t>оценка</t>
        </is>
      </c>
      <c r="M235" s="9" t="inlineStr"/>
      <c r="N235" s="9" t="inlineStr">
        <is>
          <t>2026-10-29</t>
        </is>
      </c>
      <c r="O235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35" s="4">
        <f>IF(H235=1,G235/VAT_DIV,G235)</f>
        <v/>
      </c>
      <c r="Q235" s="4">
        <f>P235*(1+I235)*(1+DELIV)*(1+GROWTH+MONEY)</f>
        <v/>
      </c>
      <c r="R235" s="4">
        <f>IF(AND(K235&lt;&gt;"",Q235*(1+J235)&gt;K235/VAT_DIV),K235/VAT_DIV,Q235*(1+J235))</f>
        <v/>
      </c>
      <c r="S235" s="4">
        <f>Q235*F235</f>
        <v/>
      </c>
      <c r="T235" s="4">
        <f>R235*F235</f>
        <v/>
      </c>
      <c r="U235" s="3">
        <f>IF(AND(K235&lt;&gt;"",Q235*(1+J235)&gt;K235/VAT_DIV+0.01),"ДА","")</f>
        <v/>
      </c>
      <c r="V235" s="4">
        <f>P235*F235</f>
        <v/>
      </c>
    </row>
    <row r="236" ht="20" customHeight="1">
      <c r="A236" s="9" t="inlineStr">
        <is>
          <t>202. Розетка накладная 380В 16А 3P+N+E ABB</t>
        </is>
      </c>
      <c r="B236" s="13" t="inlineStr">
        <is>
          <t>Розетка накладная 380В 16А 3P+N+E ABB</t>
        </is>
      </c>
      <c r="C236" s="9" t="inlineStr">
        <is>
          <t>Электроустановочные изделия, щиты, автоматы</t>
        </is>
      </c>
      <c r="D236" s="9" t="inlineStr">
        <is>
          <t>шт</t>
        </is>
      </c>
      <c r="E236" s="10" t="n">
        <v>1</v>
      </c>
      <c r="F236" s="4">
        <f>E236*IFERROR(INDEX(Работы!$D$4:$D$672,MATCH(SUBSTITUTE(SUBSTITUTE(SUBSTITUTE(A236,"~","~~"),"*","~*"),"?","~?"),Работы!$B$4:$B$672,0)),0)</f>
        <v/>
      </c>
      <c r="G236" s="10" t="n">
        <v>1600</v>
      </c>
      <c r="H236" s="14" t="n">
        <v>1</v>
      </c>
      <c r="I236" s="11" t="n">
        <v>0.01</v>
      </c>
      <c r="J236" s="11" t="n">
        <v>0.12</v>
      </c>
      <c r="K236" s="10" t="n"/>
      <c r="L236" s="9" t="inlineStr">
        <is>
          <t>оценка</t>
        </is>
      </c>
      <c r="M236" s="9" t="inlineStr"/>
      <c r="N236" s="9" t="inlineStr">
        <is>
          <t>2026-10-29</t>
        </is>
      </c>
      <c r="O236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36" s="4">
        <f>IF(H236=1,G236/VAT_DIV,G236)</f>
        <v/>
      </c>
      <c r="Q236" s="4">
        <f>P236*(1+I236)*(1+DELIV)*(1+GROWTH+MONEY)</f>
        <v/>
      </c>
      <c r="R236" s="4">
        <f>IF(AND(K236&lt;&gt;"",Q236*(1+J236)&gt;K236/VAT_DIV),K236/VAT_DIV,Q236*(1+J236))</f>
        <v/>
      </c>
      <c r="S236" s="4">
        <f>Q236*F236</f>
        <v/>
      </c>
      <c r="T236" s="4">
        <f>R236*F236</f>
        <v/>
      </c>
      <c r="U236" s="3">
        <f>IF(AND(K236&lt;&gt;"",Q236*(1+J236)&gt;K236/VAT_DIV+0.01),"ДА","")</f>
        <v/>
      </c>
      <c r="V236" s="4">
        <f>P236*F236</f>
        <v/>
      </c>
    </row>
    <row r="237" ht="20" customHeight="1">
      <c r="A237" s="9" t="inlineStr">
        <is>
          <t>203. Розетка двойная наружная 220В 16А IP 54</t>
        </is>
      </c>
      <c r="B237" s="13" t="inlineStr">
        <is>
          <t>Розетка двойная наружная 220В 16А IP 54</t>
        </is>
      </c>
      <c r="C237" s="9" t="inlineStr">
        <is>
          <t>Электроустановочные изделия, щиты, автоматы</t>
        </is>
      </c>
      <c r="D237" s="9" t="inlineStr">
        <is>
          <t>шт</t>
        </is>
      </c>
      <c r="E237" s="10" t="n">
        <v>1</v>
      </c>
      <c r="F237" s="4">
        <f>E237*IFERROR(INDEX(Работы!$D$4:$D$672,MATCH(SUBSTITUTE(SUBSTITUTE(SUBSTITUTE(A237,"~","~~"),"*","~*"),"?","~?"),Работы!$B$4:$B$672,0)),0)</f>
        <v/>
      </c>
      <c r="G237" s="10" t="n">
        <v>448</v>
      </c>
      <c r="H237" s="14" t="n">
        <v>1</v>
      </c>
      <c r="I237" s="11" t="n">
        <v>0.01</v>
      </c>
      <c r="J237" s="11" t="n">
        <v>0.12</v>
      </c>
      <c r="K237" s="10" t="n"/>
      <c r="L237" s="9" t="inlineStr">
        <is>
          <t>оценка</t>
        </is>
      </c>
      <c r="M237" s="9" t="inlineStr"/>
      <c r="N237" s="9" t="inlineStr">
        <is>
          <t>2026-10-29</t>
        </is>
      </c>
      <c r="O237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37" s="4">
        <f>IF(H237=1,G237/VAT_DIV,G237)</f>
        <v/>
      </c>
      <c r="Q237" s="4">
        <f>P237*(1+I237)*(1+DELIV)*(1+GROWTH+MONEY)</f>
        <v/>
      </c>
      <c r="R237" s="4">
        <f>IF(AND(K237&lt;&gt;"",Q237*(1+J237)&gt;K237/VAT_DIV),K237/VAT_DIV,Q237*(1+J237))</f>
        <v/>
      </c>
      <c r="S237" s="4">
        <f>Q237*F237</f>
        <v/>
      </c>
      <c r="T237" s="4">
        <f>R237*F237</f>
        <v/>
      </c>
      <c r="U237" s="3">
        <f>IF(AND(K237&lt;&gt;"",Q237*(1+J237)&gt;K237/VAT_DIV+0.01),"ДА","")</f>
        <v/>
      </c>
      <c r="V237" s="4">
        <f>P237*F237</f>
        <v/>
      </c>
    </row>
    <row r="238" ht="20" customHeight="1">
      <c r="A238" s="9" t="inlineStr">
        <is>
          <t>204. Розетка одинарная наружная 220В 16А IP 54</t>
        </is>
      </c>
      <c r="B238" s="13" t="inlineStr">
        <is>
          <t>Розетка одинарная наружная 220В 16А IP 54</t>
        </is>
      </c>
      <c r="C238" s="9" t="inlineStr">
        <is>
          <t>Электроустановочные изделия, щиты, автоматы</t>
        </is>
      </c>
      <c r="D238" s="9" t="inlineStr">
        <is>
          <t>шт</t>
        </is>
      </c>
      <c r="E238" s="10" t="n">
        <v>1</v>
      </c>
      <c r="F238" s="4">
        <f>E238*IFERROR(INDEX(Работы!$D$4:$D$672,MATCH(SUBSTITUTE(SUBSTITUTE(SUBSTITUTE(A238,"~","~~"),"*","~*"),"?","~?"),Работы!$B$4:$B$672,0)),0)</f>
        <v/>
      </c>
      <c r="G238" s="10" t="n">
        <v>288</v>
      </c>
      <c r="H238" s="14" t="n">
        <v>1</v>
      </c>
      <c r="I238" s="11" t="n">
        <v>0.01</v>
      </c>
      <c r="J238" s="11" t="n">
        <v>0.12</v>
      </c>
      <c r="K238" s="10" t="n"/>
      <c r="L238" s="9" t="inlineStr">
        <is>
          <t>оценка</t>
        </is>
      </c>
      <c r="M238" s="9" t="inlineStr"/>
      <c r="N238" s="9" t="inlineStr">
        <is>
          <t>2026-10-29</t>
        </is>
      </c>
      <c r="O238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38" s="4">
        <f>IF(H238=1,G238/VAT_DIV,G238)</f>
        <v/>
      </c>
      <c r="Q238" s="4">
        <f>P238*(1+I238)*(1+DELIV)*(1+GROWTH+MONEY)</f>
        <v/>
      </c>
      <c r="R238" s="4">
        <f>IF(AND(K238&lt;&gt;"",Q238*(1+J238)&gt;K238/VAT_DIV),K238/VAT_DIV,Q238*(1+J238))</f>
        <v/>
      </c>
      <c r="S238" s="4">
        <f>Q238*F238</f>
        <v/>
      </c>
      <c r="T238" s="4">
        <f>R238*F238</f>
        <v/>
      </c>
      <c r="U238" s="3">
        <f>IF(AND(K238&lt;&gt;"",Q238*(1+J238)&gt;K238/VAT_DIV+0.01),"ДА","")</f>
        <v/>
      </c>
      <c r="V238" s="4">
        <f>P238*F238</f>
        <v/>
      </c>
    </row>
    <row r="239" ht="20" customHeight="1">
      <c r="A239" s="9" t="inlineStr">
        <is>
          <t>205. Розетка с механическим таймером типа: REXANT RX-28 11-6005 или аналог</t>
        </is>
      </c>
      <c r="B239" s="13" t="inlineStr">
        <is>
          <t>Розетка с механическим таймером типа: REXANT RX-28 11-6005 или аналог</t>
        </is>
      </c>
      <c r="C239" s="9" t="inlineStr">
        <is>
          <t>Электроустановочные изделия, щиты, автоматы</t>
        </is>
      </c>
      <c r="D239" s="9" t="inlineStr">
        <is>
          <t>шт</t>
        </is>
      </c>
      <c r="E239" s="10" t="n">
        <v>1</v>
      </c>
      <c r="F239" s="4">
        <f>E239*IFERROR(INDEX(Работы!$D$4:$D$672,MATCH(SUBSTITUTE(SUBSTITUTE(SUBSTITUTE(A239,"~","~~"),"*","~*"),"?","~?"),Работы!$B$4:$B$672,0)),0)</f>
        <v/>
      </c>
      <c r="G239" s="10" t="n">
        <v>700</v>
      </c>
      <c r="H239" s="14" t="n">
        <v>1</v>
      </c>
      <c r="I239" s="11" t="n">
        <v>0.01</v>
      </c>
      <c r="J239" s="11" t="n">
        <v>0.12</v>
      </c>
      <c r="K239" s="10" t="n"/>
      <c r="L239" s="9" t="inlineStr">
        <is>
          <t>оценка</t>
        </is>
      </c>
      <c r="M239" s="9" t="inlineStr"/>
      <c r="N239" s="9" t="inlineStr">
        <is>
          <t>2026-10-29</t>
        </is>
      </c>
      <c r="O239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39" s="4">
        <f>IF(H239=1,G239/VAT_DIV,G239)</f>
        <v/>
      </c>
      <c r="Q239" s="4">
        <f>P239*(1+I239)*(1+DELIV)*(1+GROWTH+MONEY)</f>
        <v/>
      </c>
      <c r="R239" s="4">
        <f>IF(AND(K239&lt;&gt;"",Q239*(1+J239)&gt;K239/VAT_DIV),K239/VAT_DIV,Q239*(1+J239))</f>
        <v/>
      </c>
      <c r="S239" s="4">
        <f>Q239*F239</f>
        <v/>
      </c>
      <c r="T239" s="4">
        <f>R239*F239</f>
        <v/>
      </c>
      <c r="U239" s="3">
        <f>IF(AND(K239&lt;&gt;"",Q239*(1+J239)&gt;K239/VAT_DIV+0.01),"ДА","")</f>
        <v/>
      </c>
      <c r="V239" s="4">
        <f>P239*F239</f>
        <v/>
      </c>
    </row>
    <row r="240" ht="20" customHeight="1">
      <c r="A240" s="9" t="inlineStr">
        <is>
          <t>206. Розетка кабельная 125А 3Р+N+E IР67 на поверхность 415В CEWE (4125 RS6W)</t>
        </is>
      </c>
      <c r="B240" s="13" t="inlineStr">
        <is>
          <t>Розетка кабельная 125А 3Р+N+E IР67 на поверхность 415В CEWE (4125 RS6W)</t>
        </is>
      </c>
      <c r="C240" s="9" t="inlineStr">
        <is>
          <t>Кабель и провод</t>
        </is>
      </c>
      <c r="D240" s="9" t="inlineStr">
        <is>
          <t>м</t>
        </is>
      </c>
      <c r="E240" s="10" t="n">
        <v>1</v>
      </c>
      <c r="F240" s="4">
        <f>E240*IFERROR(INDEX(Работы!$D$4:$D$672,MATCH(SUBSTITUTE(SUBSTITUTE(SUBSTITUTE(A240,"~","~~"),"*","~*"),"?","~?"),Работы!$B$4:$B$672,0)),0)</f>
        <v/>
      </c>
      <c r="G240" s="10" t="n">
        <v>134.27</v>
      </c>
      <c r="H240" s="14" t="n">
        <v>1</v>
      </c>
      <c r="I240" s="11" t="n">
        <v>0.04</v>
      </c>
      <c r="J240" s="11" t="n">
        <v>0.12</v>
      </c>
      <c r="K240" s="10" t="n"/>
      <c r="L240" s="9" t="inlineStr">
        <is>
          <t>KTZ</t>
        </is>
      </c>
      <c r="M240" s="9" t="inlineStr">
        <is>
          <t>https://ktz.ru/product/vvgng-ls-5x6/</t>
        </is>
      </c>
      <c r="N240" s="9" t="inlineStr">
        <is>
          <t>2026-10-29</t>
        </is>
      </c>
      <c r="O240" s="13" t="inlineStr">
        <is>
          <t>якорь ВВГнг-LS 5х6 = 422 руб/м с НДС (ktz.ru), ЭТМ 475,92; прочие сечения пропорционально меди + 90 руб оболочки, оценка В Петрович, Лемана ПРО и Сатурн открытой карточки нет, оставлен прежний источник.</t>
        </is>
      </c>
      <c r="P240" s="4">
        <f>IF(H240=1,G240/VAT_DIV,G240)</f>
        <v/>
      </c>
      <c r="Q240" s="4">
        <f>P240*(1+I240)*(1+DELIV)*(1+GROWTH+MONEY)</f>
        <v/>
      </c>
      <c r="R240" s="4">
        <f>IF(AND(K240&lt;&gt;"",Q240*(1+J240)&gt;K240/VAT_DIV),K240/VAT_DIV,Q240*(1+J240))</f>
        <v/>
      </c>
      <c r="S240" s="4">
        <f>Q240*F240</f>
        <v/>
      </c>
      <c r="T240" s="4">
        <f>R240*F240</f>
        <v/>
      </c>
      <c r="U240" s="3">
        <f>IF(AND(K240&lt;&gt;"",Q240*(1+J240)&gt;K240/VAT_DIV+0.01),"ДА","")</f>
        <v/>
      </c>
      <c r="V240" s="4">
        <f>P240*F240</f>
        <v/>
      </c>
    </row>
    <row r="241" ht="20" customHeight="1">
      <c r="A241" s="9" t="inlineStr">
        <is>
          <t>207. Вилка 380В 16А 3P+N+E АВВ</t>
        </is>
      </c>
      <c r="B241" s="13" t="inlineStr">
        <is>
          <t>Вилка 380В 16А 3P+N+E АВВ</t>
        </is>
      </c>
      <c r="C241" s="9" t="inlineStr">
        <is>
          <t>Электроустановочные изделия, щиты, автоматы</t>
        </is>
      </c>
      <c r="D241" s="9" t="inlineStr">
        <is>
          <t>шт</t>
        </is>
      </c>
      <c r="E241" s="10" t="n">
        <v>1</v>
      </c>
      <c r="F241" s="4">
        <f>E241*IFERROR(INDEX(Работы!$D$4:$D$672,MATCH(SUBSTITUTE(SUBSTITUTE(SUBSTITUTE(A241,"~","~~"),"*","~*"),"?","~?"),Работы!$B$4:$B$672,0)),0)</f>
        <v/>
      </c>
      <c r="G241" s="10" t="n">
        <v>1600</v>
      </c>
      <c r="H241" s="14" t="n">
        <v>1</v>
      </c>
      <c r="I241" s="11" t="n">
        <v>0.01</v>
      </c>
      <c r="J241" s="11" t="n">
        <v>0.12</v>
      </c>
      <c r="K241" s="10" t="n"/>
      <c r="L241" s="9" t="inlineStr">
        <is>
          <t>оценка</t>
        </is>
      </c>
      <c r="M241" s="9" t="inlineStr"/>
      <c r="N241" s="9" t="inlineStr">
        <is>
          <t>2026-10-29</t>
        </is>
      </c>
      <c r="O241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41" s="4">
        <f>IF(H241=1,G241/VAT_DIV,G241)</f>
        <v/>
      </c>
      <c r="Q241" s="4">
        <f>P241*(1+I241)*(1+DELIV)*(1+GROWTH+MONEY)</f>
        <v/>
      </c>
      <c r="R241" s="4">
        <f>IF(AND(K241&lt;&gt;"",Q241*(1+J241)&gt;K241/VAT_DIV),K241/VAT_DIV,Q241*(1+J241))</f>
        <v/>
      </c>
      <c r="S241" s="4">
        <f>Q241*F241</f>
        <v/>
      </c>
      <c r="T241" s="4">
        <f>R241*F241</f>
        <v/>
      </c>
      <c r="U241" s="3">
        <f>IF(AND(K241&lt;&gt;"",Q241*(1+J241)&gt;K241/VAT_DIV+0.01),"ДА","")</f>
        <v/>
      </c>
      <c r="V241" s="4">
        <f>P241*F241</f>
        <v/>
      </c>
    </row>
    <row r="242" ht="20" customHeight="1">
      <c r="A242" s="9" t="inlineStr">
        <is>
          <t>208. Вилка 380В 32А 3P+N+E АВВ</t>
        </is>
      </c>
      <c r="B242" s="13" t="inlineStr">
        <is>
          <t>Вилка 380В 32А 3P+N+E АВВ</t>
        </is>
      </c>
      <c r="C242" s="9" t="inlineStr">
        <is>
          <t>Электроустановочные изделия, щиты, автоматы</t>
        </is>
      </c>
      <c r="D242" s="9" t="inlineStr">
        <is>
          <t>шт</t>
        </is>
      </c>
      <c r="E242" s="10" t="n">
        <v>1</v>
      </c>
      <c r="F242" s="4">
        <f>E242*IFERROR(INDEX(Работы!$D$4:$D$672,MATCH(SUBSTITUTE(SUBSTITUTE(SUBSTITUTE(A242,"~","~~"),"*","~*"),"?","~?"),Работы!$B$4:$B$672,0)),0)</f>
        <v/>
      </c>
      <c r="G242" s="10" t="n">
        <v>2800</v>
      </c>
      <c r="H242" s="14" t="n">
        <v>1</v>
      </c>
      <c r="I242" s="11" t="n">
        <v>0.01</v>
      </c>
      <c r="J242" s="11" t="n">
        <v>0.12</v>
      </c>
      <c r="K242" s="10" t="n"/>
      <c r="L242" s="9" t="inlineStr">
        <is>
          <t>оценка</t>
        </is>
      </c>
      <c r="M242" s="9" t="inlineStr"/>
      <c r="N242" s="9" t="inlineStr">
        <is>
          <t>2026-10-29</t>
        </is>
      </c>
      <c r="O242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42" s="4">
        <f>IF(H242=1,G242/VAT_DIV,G242)</f>
        <v/>
      </c>
      <c r="Q242" s="4">
        <f>P242*(1+I242)*(1+DELIV)*(1+GROWTH+MONEY)</f>
        <v/>
      </c>
      <c r="R242" s="4">
        <f>IF(AND(K242&lt;&gt;"",Q242*(1+J242)&gt;K242/VAT_DIV),K242/VAT_DIV,Q242*(1+J242))</f>
        <v/>
      </c>
      <c r="S242" s="4">
        <f>Q242*F242</f>
        <v/>
      </c>
      <c r="T242" s="4">
        <f>R242*F242</f>
        <v/>
      </c>
      <c r="U242" s="3">
        <f>IF(AND(K242&lt;&gt;"",Q242*(1+J242)&gt;K242/VAT_DIV+0.01),"ДА","")</f>
        <v/>
      </c>
      <c r="V242" s="4">
        <f>P242*F242</f>
        <v/>
      </c>
    </row>
    <row r="243" ht="20" customHeight="1">
      <c r="A243" s="9" t="inlineStr">
        <is>
          <t>209. Вилка 220В 16А 2P+E АВВ</t>
        </is>
      </c>
      <c r="B243" s="13" t="inlineStr">
        <is>
          <t>Вилка 220В 16А 2P+E АВВ</t>
        </is>
      </c>
      <c r="C243" s="9" t="inlineStr">
        <is>
          <t>Электроустановочные изделия, щиты, автоматы</t>
        </is>
      </c>
      <c r="D243" s="9" t="inlineStr">
        <is>
          <t>шт</t>
        </is>
      </c>
      <c r="E243" s="10" t="n">
        <v>1</v>
      </c>
      <c r="F243" s="4">
        <f>E243*IFERROR(INDEX(Работы!$D$4:$D$672,MATCH(SUBSTITUTE(SUBSTITUTE(SUBSTITUTE(A243,"~","~~"),"*","~*"),"?","~?"),Работы!$B$4:$B$672,0)),0)</f>
        <v/>
      </c>
      <c r="G243" s="10" t="n">
        <v>350</v>
      </c>
      <c r="H243" s="14" t="n">
        <v>1</v>
      </c>
      <c r="I243" s="11" t="n">
        <v>0.01</v>
      </c>
      <c r="J243" s="11" t="n">
        <v>0.12</v>
      </c>
      <c r="K243" s="10" t="n"/>
      <c r="L243" s="9" t="inlineStr">
        <is>
          <t>оценка</t>
        </is>
      </c>
      <c r="M243" s="9" t="inlineStr"/>
      <c r="N243" s="9" t="inlineStr">
        <is>
          <t>2026-10-29</t>
        </is>
      </c>
      <c r="O243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43" s="4">
        <f>IF(H243=1,G243/VAT_DIV,G243)</f>
        <v/>
      </c>
      <c r="Q243" s="4">
        <f>P243*(1+I243)*(1+DELIV)*(1+GROWTH+MONEY)</f>
        <v/>
      </c>
      <c r="R243" s="4">
        <f>IF(AND(K243&lt;&gt;"",Q243*(1+J243)&gt;K243/VAT_DIV),K243/VAT_DIV,Q243*(1+J243))</f>
        <v/>
      </c>
      <c r="S243" s="4">
        <f>Q243*F243</f>
        <v/>
      </c>
      <c r="T243" s="4">
        <f>R243*F243</f>
        <v/>
      </c>
      <c r="U243" s="3">
        <f>IF(AND(K243&lt;&gt;"",Q243*(1+J243)&gt;K243/VAT_DIV+0.01),"ДА","")</f>
        <v/>
      </c>
      <c r="V243" s="4">
        <f>P243*F243</f>
        <v/>
      </c>
    </row>
    <row r="244" ht="20" customHeight="1">
      <c r="A244" s="9" t="inlineStr">
        <is>
          <t>210. Вилка 220В 32А 2P+E АВВ</t>
        </is>
      </c>
      <c r="B244" s="13" t="inlineStr">
        <is>
          <t>Вилка 220В 32А 2P+E АВВ</t>
        </is>
      </c>
      <c r="C244" s="9" t="inlineStr">
        <is>
          <t>Электроустановочные изделия, щиты, автоматы</t>
        </is>
      </c>
      <c r="D244" s="9" t="inlineStr">
        <is>
          <t>шт</t>
        </is>
      </c>
      <c r="E244" s="10" t="n">
        <v>1</v>
      </c>
      <c r="F244" s="4">
        <f>E244*IFERROR(INDEX(Работы!$D$4:$D$672,MATCH(SUBSTITUTE(SUBSTITUTE(SUBSTITUTE(A244,"~","~~"),"*","~*"),"?","~?"),Работы!$B$4:$B$672,0)),0)</f>
        <v/>
      </c>
      <c r="G244" s="10" t="n">
        <v>2800</v>
      </c>
      <c r="H244" s="14" t="n">
        <v>1</v>
      </c>
      <c r="I244" s="11" t="n">
        <v>0.01</v>
      </c>
      <c r="J244" s="11" t="n">
        <v>0.12</v>
      </c>
      <c r="K244" s="10" t="n"/>
      <c r="L244" s="9" t="inlineStr">
        <is>
          <t>оценка</t>
        </is>
      </c>
      <c r="M244" s="9" t="inlineStr"/>
      <c r="N244" s="9" t="inlineStr">
        <is>
          <t>2026-10-29</t>
        </is>
      </c>
      <c r="O244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44" s="4">
        <f>IF(H244=1,G244/VAT_DIV,G244)</f>
        <v/>
      </c>
      <c r="Q244" s="4">
        <f>P244*(1+I244)*(1+DELIV)*(1+GROWTH+MONEY)</f>
        <v/>
      </c>
      <c r="R244" s="4">
        <f>IF(AND(K244&lt;&gt;"",Q244*(1+J244)&gt;K244/VAT_DIV),K244/VAT_DIV,Q244*(1+J244))</f>
        <v/>
      </c>
      <c r="S244" s="4">
        <f>Q244*F244</f>
        <v/>
      </c>
      <c r="T244" s="4">
        <f>R244*F244</f>
        <v/>
      </c>
      <c r="U244" s="3">
        <f>IF(AND(K244&lt;&gt;"",Q244*(1+J244)&gt;K244/VAT_DIV+0.01),"ДА","")</f>
        <v/>
      </c>
      <c r="V244" s="4">
        <f>P244*F244</f>
        <v/>
      </c>
    </row>
    <row r="245" ht="20" customHeight="1">
      <c r="A245" s="9" t="inlineStr">
        <is>
          <t>211. Вилка 220В 16А евр. прямой ввод (КОРР Германия) или аналог</t>
        </is>
      </c>
      <c r="B245" s="13" t="inlineStr">
        <is>
          <t>Вилка 220В 16А евр. прямой ввод (КОРР Германия) или аналог</t>
        </is>
      </c>
      <c r="C245" s="9" t="inlineStr">
        <is>
          <t>Электроустановочные изделия, щиты, автоматы</t>
        </is>
      </c>
      <c r="D245" s="9" t="inlineStr">
        <is>
          <t>шт</t>
        </is>
      </c>
      <c r="E245" s="10" t="n">
        <v>1</v>
      </c>
      <c r="F245" s="4">
        <f>E245*IFERROR(INDEX(Работы!$D$4:$D$672,MATCH(SUBSTITUTE(SUBSTITUTE(SUBSTITUTE(A245,"~","~~"),"*","~*"),"?","~?"),Работы!$B$4:$B$672,0)),0)</f>
        <v/>
      </c>
      <c r="G245" s="10" t="n">
        <v>350</v>
      </c>
      <c r="H245" s="14" t="n">
        <v>1</v>
      </c>
      <c r="I245" s="11" t="n">
        <v>0.01</v>
      </c>
      <c r="J245" s="11" t="n">
        <v>0.12</v>
      </c>
      <c r="K245" s="10" t="n"/>
      <c r="L245" s="9" t="inlineStr">
        <is>
          <t>оценка</t>
        </is>
      </c>
      <c r="M245" s="9" t="inlineStr"/>
      <c r="N245" s="9" t="inlineStr">
        <is>
          <t>2026-10-29</t>
        </is>
      </c>
      <c r="O245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45" s="4">
        <f>IF(H245=1,G245/VAT_DIV,G245)</f>
        <v/>
      </c>
      <c r="Q245" s="4">
        <f>P245*(1+I245)*(1+DELIV)*(1+GROWTH+MONEY)</f>
        <v/>
      </c>
      <c r="R245" s="4">
        <f>IF(AND(K245&lt;&gt;"",Q245*(1+J245)&gt;K245/VAT_DIV),K245/VAT_DIV,Q245*(1+J245))</f>
        <v/>
      </c>
      <c r="S245" s="4">
        <f>Q245*F245</f>
        <v/>
      </c>
      <c r="T245" s="4">
        <f>R245*F245</f>
        <v/>
      </c>
      <c r="U245" s="3">
        <f>IF(AND(K245&lt;&gt;"",Q245*(1+J245)&gt;K245/VAT_DIV+0.01),"ДА","")</f>
        <v/>
      </c>
      <c r="V245" s="4">
        <f>P245*F245</f>
        <v/>
      </c>
    </row>
    <row r="246" ht="20" customHeight="1">
      <c r="A246" s="9" t="inlineStr">
        <is>
          <t>212. Вилка 220В 16А евр. боковой ввод (КОРР Германия) или аналог</t>
        </is>
      </c>
      <c r="B246" s="13" t="inlineStr">
        <is>
          <t>Вилка 220В 16А евр. боковой ввод (КОРР Германия) или аналог</t>
        </is>
      </c>
      <c r="C246" s="9" t="inlineStr">
        <is>
          <t>Электроустановочные изделия, щиты, автоматы</t>
        </is>
      </c>
      <c r="D246" s="9" t="inlineStr">
        <is>
          <t>шт</t>
        </is>
      </c>
      <c r="E246" s="10" t="n">
        <v>1</v>
      </c>
      <c r="F246" s="4">
        <f>E246*IFERROR(INDEX(Работы!$D$4:$D$672,MATCH(SUBSTITUTE(SUBSTITUTE(SUBSTITUTE(A246,"~","~~"),"*","~*"),"?","~?"),Работы!$B$4:$B$672,0)),0)</f>
        <v/>
      </c>
      <c r="G246" s="10" t="n">
        <v>350</v>
      </c>
      <c r="H246" s="14" t="n">
        <v>1</v>
      </c>
      <c r="I246" s="11" t="n">
        <v>0.01</v>
      </c>
      <c r="J246" s="11" t="n">
        <v>0.12</v>
      </c>
      <c r="K246" s="10" t="n"/>
      <c r="L246" s="9" t="inlineStr">
        <is>
          <t>оценка</t>
        </is>
      </c>
      <c r="M246" s="9" t="inlineStr"/>
      <c r="N246" s="9" t="inlineStr">
        <is>
          <t>2026-10-29</t>
        </is>
      </c>
      <c r="O246" s="13" t="inlineStr">
        <is>
          <t>оценка; силовые ABB/CEWE — запросить КП ЭТМ В Петрович, Лемана ПРО и Сатурн открытой карточки нет, оставлен прежний источник.</t>
        </is>
      </c>
      <c r="P246" s="4">
        <f>IF(H246=1,G246/VAT_DIV,G246)</f>
        <v/>
      </c>
      <c r="Q246" s="4">
        <f>P246*(1+I246)*(1+DELIV)*(1+GROWTH+MONEY)</f>
        <v/>
      </c>
      <c r="R246" s="4">
        <f>IF(AND(K246&lt;&gt;"",Q246*(1+J246)&gt;K246/VAT_DIV),K246/VAT_DIV,Q246*(1+J246))</f>
        <v/>
      </c>
      <c r="S246" s="4">
        <f>Q246*F246</f>
        <v/>
      </c>
      <c r="T246" s="4">
        <f>R246*F246</f>
        <v/>
      </c>
      <c r="U246" s="3">
        <f>IF(AND(K246&lt;&gt;"",Q246*(1+J246)&gt;K246/VAT_DIV+0.01),"ДА","")</f>
        <v/>
      </c>
      <c r="V246" s="4">
        <f>P246*F246</f>
        <v/>
      </c>
    </row>
    <row r="247" ht="20" customHeight="1">
      <c r="A247" s="9" t="inlineStr">
        <is>
          <t>213. Вилка кабельная 125А 3Р+N+E IР67 переносная 415В CEWE (4125 P6W)</t>
        </is>
      </c>
      <c r="B247" s="13" t="inlineStr">
        <is>
          <t>Вилка кабельная 125А 3Р+N+E IР67 переносная 415В CEWE (4125 P6W)</t>
        </is>
      </c>
      <c r="C247" s="9" t="inlineStr">
        <is>
          <t>Кабель и провод</t>
        </is>
      </c>
      <c r="D247" s="9" t="inlineStr">
        <is>
          <t>м</t>
        </is>
      </c>
      <c r="E247" s="10" t="n">
        <v>1</v>
      </c>
      <c r="F247" s="4">
        <f>E247*IFERROR(INDEX(Работы!$D$4:$D$672,MATCH(SUBSTITUTE(SUBSTITUTE(SUBSTITUTE(A247,"~","~~"),"*","~*"),"?","~?"),Работы!$B$4:$B$672,0)),0)</f>
        <v/>
      </c>
      <c r="G247" s="10" t="n">
        <v>134.27</v>
      </c>
      <c r="H247" s="14" t="n">
        <v>1</v>
      </c>
      <c r="I247" s="11" t="n">
        <v>0.04</v>
      </c>
      <c r="J247" s="11" t="n">
        <v>0.12</v>
      </c>
      <c r="K247" s="10" t="n"/>
      <c r="L247" s="9" t="inlineStr">
        <is>
          <t>KTZ</t>
        </is>
      </c>
      <c r="M247" s="9" t="inlineStr">
        <is>
          <t>https://ktz.ru/product/vvgng-ls-5x6/</t>
        </is>
      </c>
      <c r="N247" s="9" t="inlineStr">
        <is>
          <t>2026-10-29</t>
        </is>
      </c>
      <c r="O247" s="13" t="inlineStr">
        <is>
          <t>якорь ВВГнг-LS 5х6 = 422 руб/м с НДС (ktz.ru), ЭТМ 475,92; прочие сечения пропорционально меди + 90 руб оболочки, оценка В Петрович, Лемана ПРО и Сатурн открытой карточки нет, оставлен прежний источник.</t>
        </is>
      </c>
      <c r="P247" s="4">
        <f>IF(H247=1,G247/VAT_DIV,G247)</f>
        <v/>
      </c>
      <c r="Q247" s="4">
        <f>P247*(1+I247)*(1+DELIV)*(1+GROWTH+MONEY)</f>
        <v/>
      </c>
      <c r="R247" s="4">
        <f>IF(AND(K247&lt;&gt;"",Q247*(1+J247)&gt;K247/VAT_DIV),K247/VAT_DIV,Q247*(1+J247))</f>
        <v/>
      </c>
      <c r="S247" s="4">
        <f>Q247*F247</f>
        <v/>
      </c>
      <c r="T247" s="4">
        <f>R247*F247</f>
        <v/>
      </c>
      <c r="U247" s="3">
        <f>IF(AND(K247&lt;&gt;"",Q247*(1+J247)&gt;K247/VAT_DIV+0.01),"ДА","")</f>
        <v/>
      </c>
      <c r="V247" s="4">
        <f>P247*F247</f>
        <v/>
      </c>
    </row>
    <row r="248" ht="20" customHeight="1">
      <c r="A248" s="9" t="inlineStr">
        <is>
          <t>214. Выключатель одинарный наружный</t>
        </is>
      </c>
      <c r="B248" s="13" t="inlineStr">
        <is>
          <t>Выключатель одинарный наружный</t>
        </is>
      </c>
      <c r="C248" s="9" t="inlineStr">
        <is>
          <t>Электроустановочные изделия, щиты, автоматы</t>
        </is>
      </c>
      <c r="D248" s="9" t="inlineStr">
        <is>
          <t>шт</t>
        </is>
      </c>
      <c r="E248" s="10" t="n">
        <v>1</v>
      </c>
      <c r="F248" s="4">
        <f>E248*IFERROR(INDEX(Работы!$D$4:$D$672,MATCH(SUBSTITUTE(SUBSTITUTE(SUBSTITUTE(A248,"~","~~"),"*","~*"),"?","~?"),Работы!$B$4:$B$672,0)),0)</f>
        <v/>
      </c>
      <c r="G248" s="10" t="n">
        <v>160</v>
      </c>
      <c r="H248" s="14" t="n">
        <v>1</v>
      </c>
      <c r="I248" s="11" t="n">
        <v>0.01</v>
      </c>
      <c r="J248" s="11" t="n">
        <v>0.12</v>
      </c>
      <c r="K248" s="10" t="n"/>
      <c r="L248" s="9" t="inlineStr">
        <is>
          <t>оценка</t>
        </is>
      </c>
      <c r="M248" s="9" t="inlineStr"/>
      <c r="N248" s="9" t="inlineStr">
        <is>
          <t>2026-10-29</t>
        </is>
      </c>
      <c r="O248" s="13" t="inlineStr">
        <is>
          <t>оценка В Петрович, Лемана ПРО и Сатурн открытой карточки нет, оставлен прежний источник.</t>
        </is>
      </c>
      <c r="P248" s="4">
        <f>IF(H248=1,G248/VAT_DIV,G248)</f>
        <v/>
      </c>
      <c r="Q248" s="4">
        <f>P248*(1+I248)*(1+DELIV)*(1+GROWTH+MONEY)</f>
        <v/>
      </c>
      <c r="R248" s="4">
        <f>IF(AND(K248&lt;&gt;"",Q248*(1+J248)&gt;K248/VAT_DIV),K248/VAT_DIV,Q248*(1+J248))</f>
        <v/>
      </c>
      <c r="S248" s="4">
        <f>Q248*F248</f>
        <v/>
      </c>
      <c r="T248" s="4">
        <f>R248*F248</f>
        <v/>
      </c>
      <c r="U248" s="3">
        <f>IF(AND(K248&lt;&gt;"",Q248*(1+J248)&gt;K248/VAT_DIV+0.01),"ДА","")</f>
        <v/>
      </c>
      <c r="V248" s="4">
        <f>P248*F248</f>
        <v/>
      </c>
    </row>
    <row r="249" ht="20" customHeight="1">
      <c r="A249" s="9" t="inlineStr">
        <is>
          <t>215. Выключатель одинарный внутренний</t>
        </is>
      </c>
      <c r="B249" s="13" t="inlineStr">
        <is>
          <t>Выключатель одинарный внутренний</t>
        </is>
      </c>
      <c r="C249" s="9" t="inlineStr">
        <is>
          <t>Электроустановочные изделия, щиты, автоматы</t>
        </is>
      </c>
      <c r="D249" s="9" t="inlineStr">
        <is>
          <t>шт</t>
        </is>
      </c>
      <c r="E249" s="10" t="n">
        <v>1</v>
      </c>
      <c r="F249" s="4">
        <f>E249*IFERROR(INDEX(Работы!$D$4:$D$672,MATCH(SUBSTITUTE(SUBSTITUTE(SUBSTITUTE(A249,"~","~~"),"*","~*"),"?","~?"),Работы!$B$4:$B$672,0)),0)</f>
        <v/>
      </c>
      <c r="G249" s="10" t="n">
        <v>160</v>
      </c>
      <c r="H249" s="14" t="n">
        <v>1</v>
      </c>
      <c r="I249" s="11" t="n">
        <v>0.01</v>
      </c>
      <c r="J249" s="11" t="n">
        <v>0.12</v>
      </c>
      <c r="K249" s="10" t="n"/>
      <c r="L249" s="9" t="inlineStr">
        <is>
          <t>оценка</t>
        </is>
      </c>
      <c r="M249" s="9" t="inlineStr"/>
      <c r="N249" s="9" t="inlineStr">
        <is>
          <t>2026-10-29</t>
        </is>
      </c>
      <c r="O249" s="13" t="inlineStr">
        <is>
          <t>оценка В Петрович, Лемана ПРО и Сатурн открытой карточки нет, оставлен прежний источник.</t>
        </is>
      </c>
      <c r="P249" s="4">
        <f>IF(H249=1,G249/VAT_DIV,G249)</f>
        <v/>
      </c>
      <c r="Q249" s="4">
        <f>P249*(1+I249)*(1+DELIV)*(1+GROWTH+MONEY)</f>
        <v/>
      </c>
      <c r="R249" s="4">
        <f>IF(AND(K249&lt;&gt;"",Q249*(1+J249)&gt;K249/VAT_DIV),K249/VAT_DIV,Q249*(1+J249))</f>
        <v/>
      </c>
      <c r="S249" s="4">
        <f>Q249*F249</f>
        <v/>
      </c>
      <c r="T249" s="4">
        <f>R249*F249</f>
        <v/>
      </c>
      <c r="U249" s="3">
        <f>IF(AND(K249&lt;&gt;"",Q249*(1+J249)&gt;K249/VAT_DIV+0.01),"ДА","")</f>
        <v/>
      </c>
      <c r="V249" s="4">
        <f>P249*F249</f>
        <v/>
      </c>
    </row>
    <row r="250" ht="20" customHeight="1">
      <c r="A250" s="9" t="inlineStr">
        <is>
          <t>216. Выключатель двойной наружный</t>
        </is>
      </c>
      <c r="B250" s="13" t="inlineStr">
        <is>
          <t>Выключатель двойной наружный</t>
        </is>
      </c>
      <c r="C250" s="9" t="inlineStr">
        <is>
          <t>Электроустановочные изделия, щиты, автоматы</t>
        </is>
      </c>
      <c r="D250" s="9" t="inlineStr">
        <is>
          <t>шт</t>
        </is>
      </c>
      <c r="E250" s="10" t="n">
        <v>1</v>
      </c>
      <c r="F250" s="4">
        <f>E250*IFERROR(INDEX(Работы!$D$4:$D$672,MATCH(SUBSTITUTE(SUBSTITUTE(SUBSTITUTE(A250,"~","~~"),"*","~*"),"?","~?"),Работы!$B$4:$B$672,0)),0)</f>
        <v/>
      </c>
      <c r="G250" s="10" t="n">
        <v>160</v>
      </c>
      <c r="H250" s="14" t="n">
        <v>1</v>
      </c>
      <c r="I250" s="11" t="n">
        <v>0.01</v>
      </c>
      <c r="J250" s="11" t="n">
        <v>0.12</v>
      </c>
      <c r="K250" s="10" t="n"/>
      <c r="L250" s="9" t="inlineStr">
        <is>
          <t>оценка</t>
        </is>
      </c>
      <c r="M250" s="9" t="inlineStr"/>
      <c r="N250" s="9" t="inlineStr">
        <is>
          <t>2026-10-29</t>
        </is>
      </c>
      <c r="O250" s="13" t="inlineStr">
        <is>
          <t>оценка В Петрович, Лемана ПРО и Сатурн открытой карточки нет, оставлен прежний источник.</t>
        </is>
      </c>
      <c r="P250" s="4">
        <f>IF(H250=1,G250/VAT_DIV,G250)</f>
        <v/>
      </c>
      <c r="Q250" s="4">
        <f>P250*(1+I250)*(1+DELIV)*(1+GROWTH+MONEY)</f>
        <v/>
      </c>
      <c r="R250" s="4">
        <f>IF(AND(K250&lt;&gt;"",Q250*(1+J250)&gt;K250/VAT_DIV),K250/VAT_DIV,Q250*(1+J250))</f>
        <v/>
      </c>
      <c r="S250" s="4">
        <f>Q250*F250</f>
        <v/>
      </c>
      <c r="T250" s="4">
        <f>R250*F250</f>
        <v/>
      </c>
      <c r="U250" s="3">
        <f>IF(AND(K250&lt;&gt;"",Q250*(1+J250)&gt;K250/VAT_DIV+0.01),"ДА","")</f>
        <v/>
      </c>
      <c r="V250" s="4">
        <f>P250*F250</f>
        <v/>
      </c>
    </row>
    <row r="251" ht="20" customHeight="1">
      <c r="A251" s="9" t="inlineStr">
        <is>
          <t>217. Выключатель двойной внутренний</t>
        </is>
      </c>
      <c r="B251" s="13" t="inlineStr">
        <is>
          <t>Выключатель двойной внутренний</t>
        </is>
      </c>
      <c r="C251" s="9" t="inlineStr">
        <is>
          <t>Электроустановочные изделия, щиты, автоматы</t>
        </is>
      </c>
      <c r="D251" s="9" t="inlineStr">
        <is>
          <t>шт</t>
        </is>
      </c>
      <c r="E251" s="10" t="n">
        <v>1</v>
      </c>
      <c r="F251" s="4">
        <f>E251*IFERROR(INDEX(Работы!$D$4:$D$672,MATCH(SUBSTITUTE(SUBSTITUTE(SUBSTITUTE(A251,"~","~~"),"*","~*"),"?","~?"),Работы!$B$4:$B$672,0)),0)</f>
        <v/>
      </c>
      <c r="G251" s="10" t="n">
        <v>160</v>
      </c>
      <c r="H251" s="14" t="n">
        <v>1</v>
      </c>
      <c r="I251" s="11" t="n">
        <v>0.01</v>
      </c>
      <c r="J251" s="11" t="n">
        <v>0.12</v>
      </c>
      <c r="K251" s="10" t="n"/>
      <c r="L251" s="9" t="inlineStr">
        <is>
          <t>оценка</t>
        </is>
      </c>
      <c r="M251" s="9" t="inlineStr"/>
      <c r="N251" s="9" t="inlineStr">
        <is>
          <t>2026-10-29</t>
        </is>
      </c>
      <c r="O251" s="13" t="inlineStr">
        <is>
          <t>оценка В Петрович, Лемана ПРО и Сатурн открытой карточки нет, оставлен прежний источник.</t>
        </is>
      </c>
      <c r="P251" s="4">
        <f>IF(H251=1,G251/VAT_DIV,G251)</f>
        <v/>
      </c>
      <c r="Q251" s="4">
        <f>P251*(1+I251)*(1+DELIV)*(1+GROWTH+MONEY)</f>
        <v/>
      </c>
      <c r="R251" s="4">
        <f>IF(AND(K251&lt;&gt;"",Q251*(1+J251)&gt;K251/VAT_DIV),K251/VAT_DIV,Q251*(1+J251))</f>
        <v/>
      </c>
      <c r="S251" s="4">
        <f>Q251*F251</f>
        <v/>
      </c>
      <c r="T251" s="4">
        <f>R251*F251</f>
        <v/>
      </c>
      <c r="U251" s="3">
        <f>IF(AND(K251&lt;&gt;"",Q251*(1+J251)&gt;K251/VAT_DIV+0.01),"ДА","")</f>
        <v/>
      </c>
      <c r="V251" s="4">
        <f>P251*F251</f>
        <v/>
      </c>
    </row>
    <row r="252" ht="20" customHeight="1">
      <c r="A252" s="9" t="inlineStr">
        <is>
          <t>218. Выключатель кулачковый 25А/32А 3 пол.(Россия)</t>
        </is>
      </c>
      <c r="B252" s="13" t="inlineStr">
        <is>
          <t>Выключатель кулачковый 25А/32А 3 пол.(Россия)</t>
        </is>
      </c>
      <c r="C252" s="9" t="inlineStr">
        <is>
          <t>Электроустановочные изделия, щиты, автоматы</t>
        </is>
      </c>
      <c r="D252" s="9" t="inlineStr">
        <is>
          <t>шт</t>
        </is>
      </c>
      <c r="E252" s="10" t="n">
        <v>1</v>
      </c>
      <c r="F252" s="4">
        <f>E252*IFERROR(INDEX(Работы!$D$4:$D$672,MATCH(SUBSTITUTE(SUBSTITUTE(SUBSTITUTE(A252,"~","~~"),"*","~*"),"?","~?"),Работы!$B$4:$B$672,0)),0)</f>
        <v/>
      </c>
      <c r="G252" s="10" t="n">
        <v>1400</v>
      </c>
      <c r="H252" s="14" t="n">
        <v>1</v>
      </c>
      <c r="I252" s="11" t="n">
        <v>0.01</v>
      </c>
      <c r="J252" s="11" t="n">
        <v>0.12</v>
      </c>
      <c r="K252" s="10" t="n"/>
      <c r="L252" s="9" t="inlineStr">
        <is>
          <t>оценка</t>
        </is>
      </c>
      <c r="M252" s="9" t="inlineStr"/>
      <c r="N252" s="9" t="inlineStr">
        <is>
          <t>2026-10-29</t>
        </is>
      </c>
      <c r="O252" s="13" t="inlineStr">
        <is>
          <t>оценка В Петрович, Лемана ПРО и Сатурн открытой карточки нет, оставлен прежний источник.</t>
        </is>
      </c>
      <c r="P252" s="4">
        <f>IF(H252=1,G252/VAT_DIV,G252)</f>
        <v/>
      </c>
      <c r="Q252" s="4">
        <f>P252*(1+I252)*(1+DELIV)*(1+GROWTH+MONEY)</f>
        <v/>
      </c>
      <c r="R252" s="4">
        <f>IF(AND(K252&lt;&gt;"",Q252*(1+J252)&gt;K252/VAT_DIV),K252/VAT_DIV,Q252*(1+J252))</f>
        <v/>
      </c>
      <c r="S252" s="4">
        <f>Q252*F252</f>
        <v/>
      </c>
      <c r="T252" s="4">
        <f>R252*F252</f>
        <v/>
      </c>
      <c r="U252" s="3">
        <f>IF(AND(K252&lt;&gt;"",Q252*(1+J252)&gt;K252/VAT_DIV+0.01),"ДА","")</f>
        <v/>
      </c>
      <c r="V252" s="4">
        <f>P252*F252</f>
        <v/>
      </c>
    </row>
    <row r="253" ht="20" customHeight="1">
      <c r="A253" s="9" t="inlineStr">
        <is>
          <t>219. Переключатель ONU1PBR 3-х поз.(1-0-2) 25 А (АВВ) или аналог</t>
        </is>
      </c>
      <c r="B253" s="13" t="inlineStr">
        <is>
          <t>Переключатель ONU1PBR 3-х поз.(1-0-2) 25 А (АВВ) или аналог</t>
        </is>
      </c>
      <c r="C253" s="9" t="inlineStr">
        <is>
          <t>Электроустановочные изделия, щиты, автоматы</t>
        </is>
      </c>
      <c r="D253" s="9" t="inlineStr">
        <is>
          <t>шт</t>
        </is>
      </c>
      <c r="E253" s="10" t="n">
        <v>1</v>
      </c>
      <c r="F253" s="4">
        <f>E253*IFERROR(INDEX(Работы!$D$4:$D$672,MATCH(SUBSTITUTE(SUBSTITUTE(SUBSTITUTE(A253,"~","~~"),"*","~*"),"?","~?"),Работы!$B$4:$B$672,0)),0)</f>
        <v/>
      </c>
      <c r="G253" s="10" t="n">
        <v>1400</v>
      </c>
      <c r="H253" s="14" t="n">
        <v>1</v>
      </c>
      <c r="I253" s="11" t="n">
        <v>0.01</v>
      </c>
      <c r="J253" s="11" t="n">
        <v>0.12</v>
      </c>
      <c r="K253" s="10" t="n"/>
      <c r="L253" s="9" t="inlineStr">
        <is>
          <t>оценка</t>
        </is>
      </c>
      <c r="M253" s="9" t="inlineStr"/>
      <c r="N253" s="9" t="inlineStr">
        <is>
          <t>2026-10-29</t>
        </is>
      </c>
      <c r="O253" s="13" t="inlineStr">
        <is>
          <t>оценка В Петрович, Лемана ПРО и Сатурн открытой карточки нет, оставлен прежний источник.</t>
        </is>
      </c>
      <c r="P253" s="4">
        <f>IF(H253=1,G253/VAT_DIV,G253)</f>
        <v/>
      </c>
      <c r="Q253" s="4">
        <f>P253*(1+I253)*(1+DELIV)*(1+GROWTH+MONEY)</f>
        <v/>
      </c>
      <c r="R253" s="4">
        <f>IF(AND(K253&lt;&gt;"",Q253*(1+J253)&gt;K253/VAT_DIV),K253/VAT_DIV,Q253*(1+J253))</f>
        <v/>
      </c>
      <c r="S253" s="4">
        <f>Q253*F253</f>
        <v/>
      </c>
      <c r="T253" s="4">
        <f>R253*F253</f>
        <v/>
      </c>
      <c r="U253" s="3">
        <f>IF(AND(K253&lt;&gt;"",Q253*(1+J253)&gt;K253/VAT_DIV+0.01),"ДА","")</f>
        <v/>
      </c>
      <c r="V253" s="4">
        <f>P253*F253</f>
        <v/>
      </c>
    </row>
    <row r="254" ht="20" customHeight="1">
      <c r="A254" s="9" t="inlineStr">
        <is>
          <t>220. Переключатель ONU1М 3-х поз.(1-0-2) 25 А (АВВ) или аналог</t>
        </is>
      </c>
      <c r="B254" s="13" t="inlineStr">
        <is>
          <t>Переключатель ONU1М 3-х поз.(1-0-2) 25 А (АВВ) или аналог</t>
        </is>
      </c>
      <c r="C254" s="9" t="inlineStr">
        <is>
          <t>Электроустановочные изделия, щиты, автоматы</t>
        </is>
      </c>
      <c r="D254" s="9" t="inlineStr">
        <is>
          <t>шт</t>
        </is>
      </c>
      <c r="E254" s="10" t="n">
        <v>1</v>
      </c>
      <c r="F254" s="4">
        <f>E254*IFERROR(INDEX(Работы!$D$4:$D$672,MATCH(SUBSTITUTE(SUBSTITUTE(SUBSTITUTE(A254,"~","~~"),"*","~*"),"?","~?"),Работы!$B$4:$B$672,0)),0)</f>
        <v/>
      </c>
      <c r="G254" s="10" t="n">
        <v>1400</v>
      </c>
      <c r="H254" s="14" t="n">
        <v>1</v>
      </c>
      <c r="I254" s="11" t="n">
        <v>0.01</v>
      </c>
      <c r="J254" s="11" t="n">
        <v>0.12</v>
      </c>
      <c r="K254" s="10" t="n"/>
      <c r="L254" s="9" t="inlineStr">
        <is>
          <t>оценка</t>
        </is>
      </c>
      <c r="M254" s="9" t="inlineStr"/>
      <c r="N254" s="9" t="inlineStr">
        <is>
          <t>2026-10-29</t>
        </is>
      </c>
      <c r="O254" s="13" t="inlineStr">
        <is>
          <t>оценка В Петрович, Лемана ПРО и Сатурн открытой карточки нет, оставлен прежний источник.</t>
        </is>
      </c>
      <c r="P254" s="4">
        <f>IF(H254=1,G254/VAT_DIV,G254)</f>
        <v/>
      </c>
      <c r="Q254" s="4">
        <f>P254*(1+I254)*(1+DELIV)*(1+GROWTH+MONEY)</f>
        <v/>
      </c>
      <c r="R254" s="4">
        <f>IF(AND(K254&lt;&gt;"",Q254*(1+J254)&gt;K254/VAT_DIV),K254/VAT_DIV,Q254*(1+J254))</f>
        <v/>
      </c>
      <c r="S254" s="4">
        <f>Q254*F254</f>
        <v/>
      </c>
      <c r="T254" s="4">
        <f>R254*F254</f>
        <v/>
      </c>
      <c r="U254" s="3">
        <f>IF(AND(K254&lt;&gt;"",Q254*(1+J254)&gt;K254/VAT_DIV+0.01),"ДА","")</f>
        <v/>
      </c>
      <c r="V254" s="4">
        <f>P254*F254</f>
        <v/>
      </c>
    </row>
    <row r="255" ht="20" customHeight="1">
      <c r="A255" s="9" t="inlineStr">
        <is>
          <t>221. Кабель-канал 20х10 мм</t>
        </is>
      </c>
      <c r="B255" s="13" t="inlineStr">
        <is>
          <t>Кабель-канал 20х10 мм</t>
        </is>
      </c>
      <c r="C255" s="9" t="inlineStr">
        <is>
          <t>Электроустановочные изделия, щиты, автоматы</t>
        </is>
      </c>
      <c r="D255" s="9" t="inlineStr">
        <is>
          <t>м</t>
        </is>
      </c>
      <c r="E255" s="10" t="n">
        <v>1</v>
      </c>
      <c r="F255" s="4">
        <f>E255*IFERROR(INDEX(Работы!$D$4:$D$672,MATCH(SUBSTITUTE(SUBSTITUTE(SUBSTITUTE(A255,"~","~~"),"*","~*"),"?","~?"),Работы!$B$4:$B$672,0)),0)</f>
        <v/>
      </c>
      <c r="G255" s="10" t="n">
        <v>20.75</v>
      </c>
      <c r="H255" s="14" t="n">
        <v>1</v>
      </c>
      <c r="I255" s="11" t="n">
        <v>0.01</v>
      </c>
      <c r="J255" s="11" t="n">
        <v>0.12</v>
      </c>
      <c r="K255" s="10" t="n"/>
      <c r="L255" s="9" t="inlineStr">
        <is>
          <t>Петрович</t>
        </is>
      </c>
      <c r="M255" s="9" t="inlineStr">
        <is>
          <t>https://moscow.petrovich.ru/product/1021747/</t>
        </is>
      </c>
      <c r="N255" s="9" t="inlineStr">
        <is>
          <t>2026-10-29</t>
        </is>
      </c>
      <c r="O255" s="13" t="inlineStr">
        <is>
          <t>Якоря: Петрович/Сатурн 25х16 = 41,5 руб/м, Сатурн 100х60 = 313 руб/м. Прочие сечения — логарифм площади, оценка.</t>
        </is>
      </c>
      <c r="P255" s="4">
        <f>IF(H255=1,G255/VAT_DIV,G255)</f>
        <v/>
      </c>
      <c r="Q255" s="4">
        <f>P255*(1+I255)*(1+DELIV)*(1+GROWTH+MONEY)</f>
        <v/>
      </c>
      <c r="R255" s="4">
        <f>IF(AND(K255&lt;&gt;"",Q255*(1+J255)&gt;K255/VAT_DIV),K255/VAT_DIV,Q255*(1+J255))</f>
        <v/>
      </c>
      <c r="S255" s="4">
        <f>Q255*F255</f>
        <v/>
      </c>
      <c r="T255" s="4">
        <f>R255*F255</f>
        <v/>
      </c>
      <c r="U255" s="3">
        <f>IF(AND(K255&lt;&gt;"",Q255*(1+J255)&gt;K255/VAT_DIV+0.01),"ДА","")</f>
        <v/>
      </c>
      <c r="V255" s="4">
        <f>P255*F255</f>
        <v/>
      </c>
    </row>
    <row r="256" ht="20" customHeight="1">
      <c r="A256" s="9" t="inlineStr">
        <is>
          <t>222. Кабель-канал 32х16 мм</t>
        </is>
      </c>
      <c r="B256" s="13" t="inlineStr">
        <is>
          <t>Кабель-канал 32х16 мм</t>
        </is>
      </c>
      <c r="C256" s="9" t="inlineStr">
        <is>
          <t>Электроустановочные изделия, щиты, автоматы</t>
        </is>
      </c>
      <c r="D256" s="9" t="inlineStr">
        <is>
          <t>м</t>
        </is>
      </c>
      <c r="E256" s="10" t="n">
        <v>1</v>
      </c>
      <c r="F256" s="4">
        <f>E256*IFERROR(INDEX(Работы!$D$4:$D$672,MATCH(SUBSTITUTE(SUBSTITUTE(SUBSTITUTE(A256,"~","~~"),"*","~*"),"?","~?"),Работы!$B$4:$B$672,0)),0)</f>
        <v/>
      </c>
      <c r="G256" s="10" t="n">
        <v>49.89</v>
      </c>
      <c r="H256" s="14" t="n">
        <v>1</v>
      </c>
      <c r="I256" s="11" t="n">
        <v>0.01</v>
      </c>
      <c r="J256" s="11" t="n">
        <v>0.12</v>
      </c>
      <c r="K256" s="10" t="n"/>
      <c r="L256" s="9" t="inlineStr">
        <is>
          <t>Петрович</t>
        </is>
      </c>
      <c r="M256" s="9" t="inlineStr">
        <is>
          <t>https://moscow.petrovich.ru/product/1021747/</t>
        </is>
      </c>
      <c r="N256" s="9" t="inlineStr">
        <is>
          <t>2026-10-29</t>
        </is>
      </c>
      <c r="O256" s="13" t="inlineStr">
        <is>
          <t>Якоря: Петрович/Сатурн 25х16 = 41,5 руб/м, Сатурн 100х60 = 313 руб/м. Прочие сечения — логарифм площади, оценка.</t>
        </is>
      </c>
      <c r="P256" s="4">
        <f>IF(H256=1,G256/VAT_DIV,G256)</f>
        <v/>
      </c>
      <c r="Q256" s="4">
        <f>P256*(1+I256)*(1+DELIV)*(1+GROWTH+MONEY)</f>
        <v/>
      </c>
      <c r="R256" s="4">
        <f>IF(AND(K256&lt;&gt;"",Q256*(1+J256)&gt;K256/VAT_DIV),K256/VAT_DIV,Q256*(1+J256))</f>
        <v/>
      </c>
      <c r="S256" s="4">
        <f>Q256*F256</f>
        <v/>
      </c>
      <c r="T256" s="4">
        <f>R256*F256</f>
        <v/>
      </c>
      <c r="U256" s="3">
        <f>IF(AND(K256&lt;&gt;"",Q256*(1+J256)&gt;K256/VAT_DIV+0.01),"ДА","")</f>
        <v/>
      </c>
      <c r="V256" s="4">
        <f>P256*F256</f>
        <v/>
      </c>
    </row>
    <row r="257" ht="20" customHeight="1">
      <c r="A257" s="9" t="inlineStr">
        <is>
          <t>223. Кабель-канал 60х40 мм</t>
        </is>
      </c>
      <c r="B257" s="13" t="inlineStr">
        <is>
          <t>Кабель-канал 60х40 мм</t>
        </is>
      </c>
      <c r="C257" s="9" t="inlineStr">
        <is>
          <t>Электроустановочные изделия, щиты, автоматы</t>
        </is>
      </c>
      <c r="D257" s="9" t="inlineStr">
        <is>
          <t>м</t>
        </is>
      </c>
      <c r="E257" s="10" t="n">
        <v>1</v>
      </c>
      <c r="F257" s="4">
        <f>E257*IFERROR(INDEX(Работы!$D$4:$D$672,MATCH(SUBSTITUTE(SUBSTITUTE(SUBSTITUTE(A257,"~","~~"),"*","~*"),"?","~?"),Работы!$B$4:$B$672,0)),0)</f>
        <v/>
      </c>
      <c r="G257" s="10" t="n">
        <v>157.99</v>
      </c>
      <c r="H257" s="14" t="n">
        <v>1</v>
      </c>
      <c r="I257" s="11" t="n">
        <v>0.01</v>
      </c>
      <c r="J257" s="11" t="n">
        <v>0.12</v>
      </c>
      <c r="K257" s="10" t="n"/>
      <c r="L257" s="9" t="inlineStr">
        <is>
          <t>Петрович</t>
        </is>
      </c>
      <c r="M257" s="9" t="inlineStr">
        <is>
          <t>https://moscow.petrovich.ru/product/1021747/</t>
        </is>
      </c>
      <c r="N257" s="9" t="inlineStr">
        <is>
          <t>2026-10-29</t>
        </is>
      </c>
      <c r="O257" s="13" t="inlineStr">
        <is>
          <t>Якоря: Петрович/Сатурн 25х16 = 41,5 руб/м, Сатурн 100х60 = 313 руб/м. Прочие сечения — логарифм площади, оценка.</t>
        </is>
      </c>
      <c r="P257" s="4">
        <f>IF(H257=1,G257/VAT_DIV,G257)</f>
        <v/>
      </c>
      <c r="Q257" s="4">
        <f>P257*(1+I257)*(1+DELIV)*(1+GROWTH+MONEY)</f>
        <v/>
      </c>
      <c r="R257" s="4">
        <f>IF(AND(K257&lt;&gt;"",Q257*(1+J257)&gt;K257/VAT_DIV),K257/VAT_DIV,Q257*(1+J257))</f>
        <v/>
      </c>
      <c r="S257" s="4">
        <f>Q257*F257</f>
        <v/>
      </c>
      <c r="T257" s="4">
        <f>R257*F257</f>
        <v/>
      </c>
      <c r="U257" s="3">
        <f>IF(AND(K257&lt;&gt;"",Q257*(1+J257)&gt;K257/VAT_DIV+0.01),"ДА","")</f>
        <v/>
      </c>
      <c r="V257" s="4">
        <f>P257*F257</f>
        <v/>
      </c>
    </row>
    <row r="258" ht="20" customHeight="1">
      <c r="A258" s="9" t="inlineStr">
        <is>
          <t>224. Кабель-канал 80х40 мм</t>
        </is>
      </c>
      <c r="B258" s="13" t="inlineStr">
        <is>
          <t>Кабель-канал 80х40 мм</t>
        </is>
      </c>
      <c r="C258" s="9" t="inlineStr">
        <is>
          <t>Электроустановочные изделия, щиты, автоматы</t>
        </is>
      </c>
      <c r="D258" s="9" t="inlineStr">
        <is>
          <t>м</t>
        </is>
      </c>
      <c r="E258" s="10" t="n">
        <v>1</v>
      </c>
      <c r="F258" s="4">
        <f>E258*IFERROR(INDEX(Работы!$D$4:$D$672,MATCH(SUBSTITUTE(SUBSTITUTE(SUBSTITUTE(A258,"~","~~"),"*","~*"),"?","~?"),Работы!$B$4:$B$672,0)),0)</f>
        <v/>
      </c>
      <c r="G258" s="10" t="n">
        <v>195.82</v>
      </c>
      <c r="H258" s="14" t="n">
        <v>1</v>
      </c>
      <c r="I258" s="11" t="n">
        <v>0.01</v>
      </c>
      <c r="J258" s="11" t="n">
        <v>0.12</v>
      </c>
      <c r="K258" s="10" t="n"/>
      <c r="L258" s="9" t="inlineStr">
        <is>
          <t>Петрович</t>
        </is>
      </c>
      <c r="M258" s="9" t="inlineStr">
        <is>
          <t>https://moscow.petrovich.ru/product/1021747/</t>
        </is>
      </c>
      <c r="N258" s="9" t="inlineStr">
        <is>
          <t>2026-10-29</t>
        </is>
      </c>
      <c r="O258" s="13" t="inlineStr">
        <is>
          <t>Якоря: Петрович/Сатурн 25х16 = 41,5 руб/м, Сатурн 100х60 = 313 руб/м. Прочие сечения — логарифм площади, оценка.</t>
        </is>
      </c>
      <c r="P258" s="4">
        <f>IF(H258=1,G258/VAT_DIV,G258)</f>
        <v/>
      </c>
      <c r="Q258" s="4">
        <f>P258*(1+I258)*(1+DELIV)*(1+GROWTH+MONEY)</f>
        <v/>
      </c>
      <c r="R258" s="4">
        <f>IF(AND(K258&lt;&gt;"",Q258*(1+J258)&gt;K258/VAT_DIV),K258/VAT_DIV,Q258*(1+J258))</f>
        <v/>
      </c>
      <c r="S258" s="4">
        <f>Q258*F258</f>
        <v/>
      </c>
      <c r="T258" s="4">
        <f>R258*F258</f>
        <v/>
      </c>
      <c r="U258" s="3">
        <f>IF(AND(K258&lt;&gt;"",Q258*(1+J258)&gt;K258/VAT_DIV+0.01),"ДА","")</f>
        <v/>
      </c>
      <c r="V258" s="4">
        <f>P258*F258</f>
        <v/>
      </c>
    </row>
    <row r="259" ht="20" customHeight="1">
      <c r="A259" s="9" t="inlineStr">
        <is>
          <t>225. Кабель-канал 80х60 мм</t>
        </is>
      </c>
      <c r="B259" s="13" t="inlineStr">
        <is>
          <t>Кабель-канал 80х60 мм</t>
        </is>
      </c>
      <c r="C259" s="9" t="inlineStr">
        <is>
          <t>Электроустановочные изделия, щиты, автоматы</t>
        </is>
      </c>
      <c r="D259" s="9" t="inlineStr">
        <is>
          <t>м</t>
        </is>
      </c>
      <c r="E259" s="10" t="n">
        <v>1</v>
      </c>
      <c r="F259" s="4">
        <f>E259*IFERROR(INDEX(Работы!$D$4:$D$672,MATCH(SUBSTITUTE(SUBSTITUTE(SUBSTITUTE(A259,"~","~~"),"*","~*"),"?","~?"),Работы!$B$4:$B$672,0)),0)</f>
        <v/>
      </c>
      <c r="G259" s="10" t="n">
        <v>265</v>
      </c>
      <c r="H259" s="14" t="n">
        <v>1</v>
      </c>
      <c r="I259" s="11" t="n">
        <v>0.01</v>
      </c>
      <c r="J259" s="11" t="n">
        <v>0.12</v>
      </c>
      <c r="K259" s="10" t="n"/>
      <c r="L259" s="9" t="inlineStr">
        <is>
          <t>Петрович</t>
        </is>
      </c>
      <c r="M259" s="9" t="inlineStr">
        <is>
          <t>https://moscow.petrovich.ru/product/1021747/</t>
        </is>
      </c>
      <c r="N259" s="9" t="inlineStr">
        <is>
          <t>2026-10-29</t>
        </is>
      </c>
      <c r="O259" s="13" t="inlineStr">
        <is>
          <t>Якоря: Петрович/Сатурн 25х16 = 41,5 руб/м, Сатурн 100х60 = 313 руб/м. Прочие сечения — логарифм площади, оценка.</t>
        </is>
      </c>
      <c r="P259" s="4">
        <f>IF(H259=1,G259/VAT_DIV,G259)</f>
        <v/>
      </c>
      <c r="Q259" s="4">
        <f>P259*(1+I259)*(1+DELIV)*(1+GROWTH+MONEY)</f>
        <v/>
      </c>
      <c r="R259" s="4">
        <f>IF(AND(K259&lt;&gt;"",Q259*(1+J259)&gt;K259/VAT_DIV),K259/VAT_DIV,Q259*(1+J259))</f>
        <v/>
      </c>
      <c r="S259" s="4">
        <f>Q259*F259</f>
        <v/>
      </c>
      <c r="T259" s="4">
        <f>R259*F259</f>
        <v/>
      </c>
      <c r="U259" s="3">
        <f>IF(AND(K259&lt;&gt;"",Q259*(1+J259)&gt;K259/VAT_DIV+0.01),"ДА","")</f>
        <v/>
      </c>
      <c r="V259" s="4">
        <f>P259*F259</f>
        <v/>
      </c>
    </row>
    <row r="260" ht="20" customHeight="1">
      <c r="A260" s="9" t="inlineStr">
        <is>
          <t>226. Кабель-канал 100х60 мм</t>
        </is>
      </c>
      <c r="B260" s="13" t="inlineStr">
        <is>
          <t>Кабель-канал 100х60 мм</t>
        </is>
      </c>
      <c r="C260" s="9" t="inlineStr">
        <is>
          <t>Электроустановочные изделия, щиты, автоматы</t>
        </is>
      </c>
      <c r="D260" s="9" t="inlineStr">
        <is>
          <t>м</t>
        </is>
      </c>
      <c r="E260" s="10" t="n">
        <v>1</v>
      </c>
      <c r="F260" s="4">
        <f>E260*IFERROR(INDEX(Работы!$D$4:$D$672,MATCH(SUBSTITUTE(SUBSTITUTE(SUBSTITUTE(A260,"~","~~"),"*","~*"),"?","~?"),Работы!$B$4:$B$672,0)),0)</f>
        <v/>
      </c>
      <c r="G260" s="10" t="n">
        <v>313</v>
      </c>
      <c r="H260" s="14" t="n">
        <v>1</v>
      </c>
      <c r="I260" s="11" t="n">
        <v>0.01</v>
      </c>
      <c r="J260" s="11" t="n">
        <v>0.12</v>
      </c>
      <c r="K260" s="10" t="n"/>
      <c r="L260" s="9" t="inlineStr">
        <is>
          <t>Сатурн</t>
        </is>
      </c>
      <c r="M260" s="9" t="inlineStr">
        <is>
          <t>https://msk.saturn.net/product/kabel-kanal-pvh-100h60-mm-dvoynoy-zamok-beliy-2-m/</t>
        </is>
      </c>
      <c r="N260" s="9" t="inlineStr">
        <is>
          <t>2026-10-29</t>
        </is>
      </c>
      <c r="O260" s="13" t="inlineStr">
        <is>
          <t>Якоря: Петрович/Сатурн 25х16 = 41,5 руб/м, Сатурн 100х60 = 313 руб/м. Прочие сечения — логарифм площади, оценка.</t>
        </is>
      </c>
      <c r="P260" s="4">
        <f>IF(H260=1,G260/VAT_DIV,G260)</f>
        <v/>
      </c>
      <c r="Q260" s="4">
        <f>P260*(1+I260)*(1+DELIV)*(1+GROWTH+MONEY)</f>
        <v/>
      </c>
      <c r="R260" s="4">
        <f>IF(AND(K260&lt;&gt;"",Q260*(1+J260)&gt;K260/VAT_DIV),K260/VAT_DIV,Q260*(1+J260))</f>
        <v/>
      </c>
      <c r="S260" s="4">
        <f>Q260*F260</f>
        <v/>
      </c>
      <c r="T260" s="4">
        <f>R260*F260</f>
        <v/>
      </c>
      <c r="U260" s="3">
        <f>IF(AND(K260&lt;&gt;"",Q260*(1+J260)&gt;K260/VAT_DIV+0.01),"ДА","")</f>
        <v/>
      </c>
      <c r="V260" s="4">
        <f>P260*F260</f>
        <v/>
      </c>
    </row>
    <row r="261" ht="20" customHeight="1">
      <c r="A261" s="9" t="inlineStr">
        <is>
          <t>227. Кабель-канал перф. 15х17мм</t>
        </is>
      </c>
      <c r="B261" s="13" t="inlineStr">
        <is>
          <t>Кабель-канал перф. 15х17мм</t>
        </is>
      </c>
      <c r="C261" s="9" t="inlineStr">
        <is>
          <t>Электроустановочные изделия, щиты, автоматы</t>
        </is>
      </c>
      <c r="D261" s="9" t="inlineStr">
        <is>
          <t>м</t>
        </is>
      </c>
      <c r="E261" s="10" t="n">
        <v>1</v>
      </c>
      <c r="F261" s="4">
        <f>E261*IFERROR(INDEX(Работы!$D$4:$D$672,MATCH(SUBSTITUTE(SUBSTITUTE(SUBSTITUTE(A261,"~","~~"),"*","~*"),"?","~?"),Работы!$B$4:$B$672,0)),0)</f>
        <v/>
      </c>
      <c r="G261" s="10" t="n">
        <v>26.46</v>
      </c>
      <c r="H261" s="14" t="n">
        <v>1</v>
      </c>
      <c r="I261" s="11" t="n">
        <v>0.01</v>
      </c>
      <c r="J261" s="11" t="n">
        <v>0.12</v>
      </c>
      <c r="K261" s="10" t="n"/>
      <c r="L261" s="9" t="inlineStr">
        <is>
          <t>Петрович</t>
        </is>
      </c>
      <c r="M261" s="9" t="inlineStr">
        <is>
          <t>https://moscow.petrovich.ru/product/1021747/</t>
        </is>
      </c>
      <c r="N261" s="9" t="inlineStr">
        <is>
          <t>2026-10-29</t>
        </is>
      </c>
      <c r="O261" s="13" t="inlineStr">
        <is>
          <t>Якоря: Петрович/Сатурн 25х16 = 41,5 руб/м, Сатурн 100х60 = 313 руб/м. Прочие сечения — логарифм площади, оценка.</t>
        </is>
      </c>
      <c r="P261" s="4">
        <f>IF(H261=1,G261/VAT_DIV,G261)</f>
        <v/>
      </c>
      <c r="Q261" s="4">
        <f>P261*(1+I261)*(1+DELIV)*(1+GROWTH+MONEY)</f>
        <v/>
      </c>
      <c r="R261" s="4">
        <f>IF(AND(K261&lt;&gt;"",Q261*(1+J261)&gt;K261/VAT_DIV),K261/VAT_DIV,Q261*(1+J261))</f>
        <v/>
      </c>
      <c r="S261" s="4">
        <f>Q261*F261</f>
        <v/>
      </c>
      <c r="T261" s="4">
        <f>R261*F261</f>
        <v/>
      </c>
      <c r="U261" s="3">
        <f>IF(AND(K261&lt;&gt;"",Q261*(1+J261)&gt;K261/VAT_DIV+0.01),"ДА","")</f>
        <v/>
      </c>
      <c r="V261" s="4">
        <f>P261*F261</f>
        <v/>
      </c>
    </row>
    <row r="262" ht="20" customHeight="1">
      <c r="A262" s="9" t="inlineStr">
        <is>
          <t>228. Кабель-канал перф. 25х30мм</t>
        </is>
      </c>
      <c r="B262" s="13" t="inlineStr">
        <is>
          <t>Кабель-канал перф. 25х30мм</t>
        </is>
      </c>
      <c r="C262" s="9" t="inlineStr">
        <is>
          <t>Электроустановочные изделия, щиты, автоматы</t>
        </is>
      </c>
      <c r="D262" s="9" t="inlineStr">
        <is>
          <t>м</t>
        </is>
      </c>
      <c r="E262" s="10" t="n">
        <v>1</v>
      </c>
      <c r="F262" s="4">
        <f>E262*IFERROR(INDEX(Работы!$D$4:$D$672,MATCH(SUBSTITUTE(SUBSTITUTE(SUBSTITUTE(A262,"~","~~"),"*","~*"),"?","~?"),Работы!$B$4:$B$672,0)),0)</f>
        <v/>
      </c>
      <c r="G262" s="10" t="n">
        <v>66.33</v>
      </c>
      <c r="H262" s="14" t="n">
        <v>1</v>
      </c>
      <c r="I262" s="11" t="n">
        <v>0.01</v>
      </c>
      <c r="J262" s="11" t="n">
        <v>0.12</v>
      </c>
      <c r="K262" s="10" t="n"/>
      <c r="L262" s="9" t="inlineStr">
        <is>
          <t>Петрович</t>
        </is>
      </c>
      <c r="M262" s="9" t="inlineStr">
        <is>
          <t>https://moscow.petrovich.ru/product/1021747/</t>
        </is>
      </c>
      <c r="N262" s="9" t="inlineStr">
        <is>
          <t>2026-10-29</t>
        </is>
      </c>
      <c r="O262" s="13" t="inlineStr">
        <is>
          <t>Якоря: Петрович/Сатурн 25х16 = 41,5 руб/м, Сатурн 100х60 = 313 руб/м. Прочие сечения — логарифм площади, оценка.</t>
        </is>
      </c>
      <c r="P262" s="4">
        <f>IF(H262=1,G262/VAT_DIV,G262)</f>
        <v/>
      </c>
      <c r="Q262" s="4">
        <f>P262*(1+I262)*(1+DELIV)*(1+GROWTH+MONEY)</f>
        <v/>
      </c>
      <c r="R262" s="4">
        <f>IF(AND(K262&lt;&gt;"",Q262*(1+J262)&gt;K262/VAT_DIV),K262/VAT_DIV,Q262*(1+J262))</f>
        <v/>
      </c>
      <c r="S262" s="4">
        <f>Q262*F262</f>
        <v/>
      </c>
      <c r="T262" s="4">
        <f>R262*F262</f>
        <v/>
      </c>
      <c r="U262" s="3">
        <f>IF(AND(K262&lt;&gt;"",Q262*(1+J262)&gt;K262/VAT_DIV+0.01),"ДА","")</f>
        <v/>
      </c>
      <c r="V262" s="4">
        <f>P262*F262</f>
        <v/>
      </c>
    </row>
    <row r="263" ht="20" customHeight="1">
      <c r="A263" s="9" t="inlineStr">
        <is>
          <t>229. Кабель-канал перф. 40х30мм</t>
        </is>
      </c>
      <c r="B263" s="13" t="inlineStr">
        <is>
          <t>Кабель-канал перф. 40х30мм</t>
        </is>
      </c>
      <c r="C263" s="9" t="inlineStr">
        <is>
          <t>Электроустановочные изделия, щиты, автоматы</t>
        </is>
      </c>
      <c r="D263" s="9" t="inlineStr">
        <is>
          <t>м</t>
        </is>
      </c>
      <c r="E263" s="10" t="n">
        <v>1</v>
      </c>
      <c r="F263" s="4">
        <f>E263*IFERROR(INDEX(Работы!$D$4:$D$672,MATCH(SUBSTITUTE(SUBSTITUTE(SUBSTITUTE(A263,"~","~~"),"*","~*"),"?","~?"),Работы!$B$4:$B$672,0)),0)</f>
        <v/>
      </c>
      <c r="G263" s="10" t="n">
        <v>94.2</v>
      </c>
      <c r="H263" s="14" t="n">
        <v>1</v>
      </c>
      <c r="I263" s="11" t="n">
        <v>0.01</v>
      </c>
      <c r="J263" s="11" t="n">
        <v>0.12</v>
      </c>
      <c r="K263" s="10" t="n"/>
      <c r="L263" s="9" t="inlineStr">
        <is>
          <t>Петрович</t>
        </is>
      </c>
      <c r="M263" s="9" t="inlineStr">
        <is>
          <t>https://moscow.petrovich.ru/product/1021747/</t>
        </is>
      </c>
      <c r="N263" s="9" t="inlineStr">
        <is>
          <t>2026-10-29</t>
        </is>
      </c>
      <c r="O263" s="13" t="inlineStr">
        <is>
          <t>Якоря: Петрович/Сатурн 25х16 = 41,5 руб/м, Сатурн 100х60 = 313 руб/м. Прочие сечения — логарифм площади, оценка.</t>
        </is>
      </c>
      <c r="P263" s="4">
        <f>IF(H263=1,G263/VAT_DIV,G263)</f>
        <v/>
      </c>
      <c r="Q263" s="4">
        <f>P263*(1+I263)*(1+DELIV)*(1+GROWTH+MONEY)</f>
        <v/>
      </c>
      <c r="R263" s="4">
        <f>IF(AND(K263&lt;&gt;"",Q263*(1+J263)&gt;K263/VAT_DIV),K263/VAT_DIV,Q263*(1+J263))</f>
        <v/>
      </c>
      <c r="S263" s="4">
        <f>Q263*F263</f>
        <v/>
      </c>
      <c r="T263" s="4">
        <f>R263*F263</f>
        <v/>
      </c>
      <c r="U263" s="3">
        <f>IF(AND(K263&lt;&gt;"",Q263*(1+J263)&gt;K263/VAT_DIV+0.01),"ДА","")</f>
        <v/>
      </c>
      <c r="V263" s="4">
        <f>P263*F263</f>
        <v/>
      </c>
    </row>
    <row r="264" ht="20" customHeight="1">
      <c r="A264" s="9" t="inlineStr">
        <is>
          <t>230. Кабель-канал перф. 60х30мм</t>
        </is>
      </c>
      <c r="B264" s="13" t="inlineStr">
        <is>
          <t>Кабель-канал перф. 60х30мм</t>
        </is>
      </c>
      <c r="C264" s="9" t="inlineStr">
        <is>
          <t>Электроустановочные изделия, щиты, автоматы</t>
        </is>
      </c>
      <c r="D264" s="9" t="inlineStr">
        <is>
          <t>м</t>
        </is>
      </c>
      <c r="E264" s="10" t="n">
        <v>1</v>
      </c>
      <c r="F264" s="4">
        <f>E264*IFERROR(INDEX(Работы!$D$4:$D$672,MATCH(SUBSTITUTE(SUBSTITUTE(SUBSTITUTE(A264,"~","~~"),"*","~*"),"?","~?"),Работы!$B$4:$B$672,0)),0)</f>
        <v/>
      </c>
      <c r="G264" s="10" t="n">
        <v>127.47</v>
      </c>
      <c r="H264" s="14" t="n">
        <v>1</v>
      </c>
      <c r="I264" s="11" t="n">
        <v>0.01</v>
      </c>
      <c r="J264" s="11" t="n">
        <v>0.12</v>
      </c>
      <c r="K264" s="10" t="n"/>
      <c r="L264" s="9" t="inlineStr">
        <is>
          <t>Петрович</t>
        </is>
      </c>
      <c r="M264" s="9" t="inlineStr">
        <is>
          <t>https://moscow.petrovich.ru/product/1021747/</t>
        </is>
      </c>
      <c r="N264" s="9" t="inlineStr">
        <is>
          <t>2026-10-29</t>
        </is>
      </c>
      <c r="O264" s="13" t="inlineStr">
        <is>
          <t>Якоря: Петрович/Сатурн 25х16 = 41,5 руб/м, Сатурн 100х60 = 313 руб/м. Прочие сечения — логарифм площади, оценка.</t>
        </is>
      </c>
      <c r="P264" s="4">
        <f>IF(H264=1,G264/VAT_DIV,G264)</f>
        <v/>
      </c>
      <c r="Q264" s="4">
        <f>P264*(1+I264)*(1+DELIV)*(1+GROWTH+MONEY)</f>
        <v/>
      </c>
      <c r="R264" s="4">
        <f>IF(AND(K264&lt;&gt;"",Q264*(1+J264)&gt;K264/VAT_DIV),K264/VAT_DIV,Q264*(1+J264))</f>
        <v/>
      </c>
      <c r="S264" s="4">
        <f>Q264*F264</f>
        <v/>
      </c>
      <c r="T264" s="4">
        <f>R264*F264</f>
        <v/>
      </c>
      <c r="U264" s="3">
        <f>IF(AND(K264&lt;&gt;"",Q264*(1+J264)&gt;K264/VAT_DIV+0.01),"ДА","")</f>
        <v/>
      </c>
      <c r="V264" s="4">
        <f>P264*F264</f>
        <v/>
      </c>
    </row>
    <row r="265" ht="20" customHeight="1">
      <c r="A265" s="9" t="inlineStr">
        <is>
          <t>231. Кабель-канал гибкий 16x16мм ШхВ длина 500мм</t>
        </is>
      </c>
      <c r="B265" s="13" t="inlineStr">
        <is>
          <t>Кабель-канал гибкий 16x16мм ШхВ длина 500мм</t>
        </is>
      </c>
      <c r="C265" s="9" t="inlineStr">
        <is>
          <t>Электроустановочные изделия, щиты, автоматы</t>
        </is>
      </c>
      <c r="D265" s="9" t="inlineStr">
        <is>
          <t>м</t>
        </is>
      </c>
      <c r="E265" s="10" t="n">
        <v>1</v>
      </c>
      <c r="F265" s="4">
        <f>E265*IFERROR(INDEX(Работы!$D$4:$D$672,MATCH(SUBSTITUTE(SUBSTITUTE(SUBSTITUTE(A265,"~","~~"),"*","~*"),"?","~?"),Работы!$B$4:$B$672,0)),0)</f>
        <v/>
      </c>
      <c r="G265" s="10" t="n">
        <v>26.56</v>
      </c>
      <c r="H265" s="14" t="n">
        <v>1</v>
      </c>
      <c r="I265" s="11" t="n">
        <v>0.01</v>
      </c>
      <c r="J265" s="11" t="n">
        <v>0.12</v>
      </c>
      <c r="K265" s="10" t="n"/>
      <c r="L265" s="9" t="inlineStr">
        <is>
          <t>Петрович</t>
        </is>
      </c>
      <c r="M265" s="9" t="inlineStr">
        <is>
          <t>https://moscow.petrovich.ru/product/1021747/</t>
        </is>
      </c>
      <c r="N265" s="9" t="inlineStr">
        <is>
          <t>2026-10-29</t>
        </is>
      </c>
      <c r="O265" s="13" t="inlineStr">
        <is>
          <t>Якоря: Петрович/Сатурн 25х16 = 41,5 руб/м, Сатурн 100х60 = 313 руб/м. Прочие сечения — логарифм площади, оценка.</t>
        </is>
      </c>
      <c r="P265" s="4">
        <f>IF(H265=1,G265/VAT_DIV,G265)</f>
        <v/>
      </c>
      <c r="Q265" s="4">
        <f>P265*(1+I265)*(1+DELIV)*(1+GROWTH+MONEY)</f>
        <v/>
      </c>
      <c r="R265" s="4">
        <f>IF(AND(K265&lt;&gt;"",Q265*(1+J265)&gt;K265/VAT_DIV),K265/VAT_DIV,Q265*(1+J265))</f>
        <v/>
      </c>
      <c r="S265" s="4">
        <f>Q265*F265</f>
        <v/>
      </c>
      <c r="T265" s="4">
        <f>R265*F265</f>
        <v/>
      </c>
      <c r="U265" s="3">
        <f>IF(AND(K265&lt;&gt;"",Q265*(1+J265)&gt;K265/VAT_DIV+0.01),"ДА","")</f>
        <v/>
      </c>
      <c r="V265" s="4">
        <f>P265*F265</f>
        <v/>
      </c>
    </row>
    <row r="266" ht="20" customHeight="1">
      <c r="A266" s="9" t="inlineStr">
        <is>
          <t>232. Пакетные выключатели ПВ3160М3 IP00</t>
        </is>
      </c>
      <c r="B266" s="13" t="inlineStr">
        <is>
          <t>Пакетные выключатели ПВ3160М3 IP00</t>
        </is>
      </c>
      <c r="C266" s="9" t="inlineStr">
        <is>
          <t>Кабель и провод</t>
        </is>
      </c>
      <c r="D266" s="9" t="inlineStr">
        <is>
          <t>м</t>
        </is>
      </c>
      <c r="E266" s="10" t="n">
        <v>1</v>
      </c>
      <c r="F266" s="4">
        <f>E266*IFERROR(INDEX(Работы!$D$4:$D$672,MATCH(SUBSTITUTE(SUBSTITUTE(SUBSTITUTE(A266,"~","~~"),"*","~*"),"?","~?"),Работы!$B$4:$B$672,0)),0)</f>
        <v/>
      </c>
      <c r="G266" s="10" t="n">
        <v>134.27</v>
      </c>
      <c r="H266" s="14" t="n">
        <v>1</v>
      </c>
      <c r="I266" s="11" t="n">
        <v>0.04</v>
      </c>
      <c r="J266" s="11" t="n">
        <v>0.12</v>
      </c>
      <c r="K266" s="10" t="n"/>
      <c r="L266" s="9" t="inlineStr">
        <is>
          <t>KTZ</t>
        </is>
      </c>
      <c r="M266" s="9" t="inlineStr">
        <is>
          <t>https://ktz.ru/product/vvgng-ls-5x6/</t>
        </is>
      </c>
      <c r="N266" s="9" t="inlineStr">
        <is>
          <t>2026-10-29</t>
        </is>
      </c>
      <c r="O266" s="13" t="inlineStr">
        <is>
          <t>якорь ВВГнг-LS 5х6 = 422 руб/м с НДС (ktz.ru), ЭТМ 475,92; прочие сечения пропорционально меди + 90 руб оболочки, оценка В Петрович, Лемана ПРО и Сатурн открытой карточки нет, оставлен прежний источник.</t>
        </is>
      </c>
      <c r="P266" s="4">
        <f>IF(H266=1,G266/VAT_DIV,G266)</f>
        <v/>
      </c>
      <c r="Q266" s="4">
        <f>P266*(1+I266)*(1+DELIV)*(1+GROWTH+MONEY)</f>
        <v/>
      </c>
      <c r="R266" s="4">
        <f>IF(AND(K266&lt;&gt;"",Q266*(1+J266)&gt;K266/VAT_DIV),K266/VAT_DIV,Q266*(1+J266))</f>
        <v/>
      </c>
      <c r="S266" s="4">
        <f>Q266*F266</f>
        <v/>
      </c>
      <c r="T266" s="4">
        <f>R266*F266</f>
        <v/>
      </c>
      <c r="U266" s="3">
        <f>IF(AND(K266&lt;&gt;"",Q266*(1+J266)&gt;K266/VAT_DIV+0.01),"ДА","")</f>
        <v/>
      </c>
      <c r="V266" s="4">
        <f>P266*F266</f>
        <v/>
      </c>
    </row>
    <row r="267" ht="20" customHeight="1">
      <c r="A267" s="9" t="inlineStr">
        <is>
          <t>233. Светильник светодиодный промышленный профильный «FS-MAN-DMD-AC-LED-48-110W-65-5000К-400-PP» 110Вт 5000К IP65 Драйвер выносной или аналог</t>
        </is>
      </c>
      <c r="B267" s="13" t="inlineStr">
        <is>
          <t>Светильник светодиодный промышленный профильный «FS-MAN-DMD-AC-LED-48-110W-65-50</t>
        </is>
      </c>
      <c r="C267" s="9" t="inlineStr">
        <is>
          <t>Светильники</t>
        </is>
      </c>
      <c r="D267" s="9" t="inlineStr">
        <is>
          <t>шт</t>
        </is>
      </c>
      <c r="E267" s="10" t="n">
        <v>1</v>
      </c>
      <c r="F267" s="4">
        <f>E267*IFERROR(INDEX(Работы!$D$4:$D$672,MATCH(SUBSTITUTE(SUBSTITUTE(SUBSTITUTE(A267,"~","~~"),"*","~*"),"?","~?"),Работы!$B$4:$B$672,0)),0)</f>
        <v/>
      </c>
      <c r="G267" s="10" t="n">
        <v>4800</v>
      </c>
      <c r="H267" s="14" t="n">
        <v>1</v>
      </c>
      <c r="I267" s="11" t="n">
        <v>0.01</v>
      </c>
      <c r="J267" s="11" t="n">
        <v>0.1</v>
      </c>
      <c r="K267" s="10" t="n"/>
      <c r="L267" s="9" t="inlineStr">
        <is>
          <t>оценка</t>
        </is>
      </c>
      <c r="M267" s="9" t="inlineStr"/>
      <c r="N267" s="9" t="inlineStr">
        <is>
          <t>2026-10-29</t>
        </is>
      </c>
      <c r="O267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67" s="4">
        <f>IF(H267=1,G267/VAT_DIV,G267)</f>
        <v/>
      </c>
      <c r="Q267" s="4">
        <f>P267*(1+I267)*(1+DELIV)*(1+GROWTH+MONEY)</f>
        <v/>
      </c>
      <c r="R267" s="4">
        <f>IF(AND(K267&lt;&gt;"",Q267*(1+J267)&gt;K267/VAT_DIV),K267/VAT_DIV,Q267*(1+J267))</f>
        <v/>
      </c>
      <c r="S267" s="4">
        <f>Q267*F267</f>
        <v/>
      </c>
      <c r="T267" s="4">
        <f>R267*F267</f>
        <v/>
      </c>
      <c r="U267" s="3">
        <f>IF(AND(K267&lt;&gt;"",Q267*(1+J267)&gt;K267/VAT_DIV+0.01),"ДА","")</f>
        <v/>
      </c>
      <c r="V267" s="4">
        <f>P267*F267</f>
        <v/>
      </c>
    </row>
    <row r="268" ht="20" customHeight="1">
      <c r="A268" s="9" t="inlineStr">
        <is>
          <t>234. Светильник светодиодный промышленный профильный «FS-MAN-DMD-AC-LED-48-110W-65-5000К-400-PP-А1» 110Вт 5000К IP65 БАП 1ч Драйвер выносной или аналог</t>
        </is>
      </c>
      <c r="B268" s="13" t="inlineStr">
        <is>
          <t>Светильник светодиодный промышленный профильный «FS-MAN-DMD-AC-LED-48-110W-65-50</t>
        </is>
      </c>
      <c r="C268" s="9" t="inlineStr">
        <is>
          <t>Светильники</t>
        </is>
      </c>
      <c r="D268" s="9" t="inlineStr">
        <is>
          <t>шт</t>
        </is>
      </c>
      <c r="E268" s="10" t="n">
        <v>1</v>
      </c>
      <c r="F268" s="4">
        <f>E268*IFERROR(INDEX(Работы!$D$4:$D$672,MATCH(SUBSTITUTE(SUBSTITUTE(SUBSTITUTE(A268,"~","~~"),"*","~*"),"?","~?"),Работы!$B$4:$B$672,0)),0)</f>
        <v/>
      </c>
      <c r="G268" s="10" t="n">
        <v>6250</v>
      </c>
      <c r="H268" s="14" t="n">
        <v>1</v>
      </c>
      <c r="I268" s="11" t="n">
        <v>0.01</v>
      </c>
      <c r="J268" s="11" t="n">
        <v>0.1</v>
      </c>
      <c r="K268" s="10" t="n"/>
      <c r="L268" s="9" t="inlineStr">
        <is>
          <t>оценка</t>
        </is>
      </c>
      <c r="M268" s="9" t="inlineStr"/>
      <c r="N268" s="9" t="inlineStr">
        <is>
          <t>2026-10-29</t>
        </is>
      </c>
      <c r="O268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68" s="4">
        <f>IF(H268=1,G268/VAT_DIV,G268)</f>
        <v/>
      </c>
      <c r="Q268" s="4">
        <f>P268*(1+I268)*(1+DELIV)*(1+GROWTH+MONEY)</f>
        <v/>
      </c>
      <c r="R268" s="4">
        <f>IF(AND(K268&lt;&gt;"",Q268*(1+J268)&gt;K268/VAT_DIV),K268/VAT_DIV,Q268*(1+J268))</f>
        <v/>
      </c>
      <c r="S268" s="4">
        <f>Q268*F268</f>
        <v/>
      </c>
      <c r="T268" s="4">
        <f>R268*F268</f>
        <v/>
      </c>
      <c r="U268" s="3">
        <f>IF(AND(K268&lt;&gt;"",Q268*(1+J268)&gt;K268/VAT_DIV+0.01),"ДА","")</f>
        <v/>
      </c>
      <c r="V268" s="4">
        <f>P268*F268</f>
        <v/>
      </c>
    </row>
    <row r="269" ht="20" customHeight="1">
      <c r="A269" s="9" t="inlineStr">
        <is>
          <t>235. Светильник Arlight DL-TITAN-FRAMELESS-S600x600-40W Day4000, IP40, металл или аналог</t>
        </is>
      </c>
      <c r="B269" s="13" t="inlineStr">
        <is>
          <t>Светильник Arlight DL-TITAN-FRAMELESS-S600x600-40W Day4000, IP40, металл или ана</t>
        </is>
      </c>
      <c r="C269" s="9" t="inlineStr">
        <is>
          <t>Светильники</t>
        </is>
      </c>
      <c r="D269" s="9" t="inlineStr">
        <is>
          <t>шт</t>
        </is>
      </c>
      <c r="E269" s="10" t="n">
        <v>1</v>
      </c>
      <c r="F269" s="4">
        <f>E269*IFERROR(INDEX(Работы!$D$4:$D$672,MATCH(SUBSTITUTE(SUBSTITUTE(SUBSTITUTE(A269,"~","~~"),"*","~*"),"?","~?"),Работы!$B$4:$B$672,0)),0)</f>
        <v/>
      </c>
      <c r="G269" s="10" t="n">
        <v>2200</v>
      </c>
      <c r="H269" s="14" t="n">
        <v>1</v>
      </c>
      <c r="I269" s="11" t="n">
        <v>0.01</v>
      </c>
      <c r="J269" s="11" t="n">
        <v>0.1</v>
      </c>
      <c r="K269" s="10" t="n"/>
      <c r="L269" s="9" t="inlineStr">
        <is>
          <t>оценка</t>
        </is>
      </c>
      <c r="M269" s="9" t="inlineStr"/>
      <c r="N269" s="9" t="inlineStr">
        <is>
          <t>2026-10-29</t>
        </is>
      </c>
      <c r="O269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69" s="4">
        <f>IF(H269=1,G269/VAT_DIV,G269)</f>
        <v/>
      </c>
      <c r="Q269" s="4">
        <f>P269*(1+I269)*(1+DELIV)*(1+GROWTH+MONEY)</f>
        <v/>
      </c>
      <c r="R269" s="4">
        <f>IF(AND(K269&lt;&gt;"",Q269*(1+J269)&gt;K269/VAT_DIV),K269/VAT_DIV,Q269*(1+J269))</f>
        <v/>
      </c>
      <c r="S269" s="4">
        <f>Q269*F269</f>
        <v/>
      </c>
      <c r="T269" s="4">
        <f>R269*F269</f>
        <v/>
      </c>
      <c r="U269" s="3">
        <f>IF(AND(K269&lt;&gt;"",Q269*(1+J269)&gt;K269/VAT_DIV+0.01),"ДА","")</f>
        <v/>
      </c>
      <c r="V269" s="4">
        <f>P269*F269</f>
        <v/>
      </c>
    </row>
    <row r="270" ht="20" customHeight="1">
      <c r="A270" s="9" t="inlineStr">
        <is>
          <t>236. Светильник аварийный ВЫХОД LED 1.5 часа</t>
        </is>
      </c>
      <c r="B270" s="13" t="inlineStr">
        <is>
          <t>Светильник аварийный ВЫХОД LED 1.5 часа</t>
        </is>
      </c>
      <c r="C270" s="9" t="inlineStr">
        <is>
          <t>Светильники</t>
        </is>
      </c>
      <c r="D270" s="9" t="inlineStr">
        <is>
          <t>шт</t>
        </is>
      </c>
      <c r="E270" s="10" t="n">
        <v>1</v>
      </c>
      <c r="F270" s="4">
        <f>E270*IFERROR(INDEX(Работы!$D$4:$D$672,MATCH(SUBSTITUTE(SUBSTITUTE(SUBSTITUTE(A270,"~","~~"),"*","~*"),"?","~?"),Работы!$B$4:$B$672,0)),0)</f>
        <v/>
      </c>
      <c r="G270" s="10" t="n">
        <v>950</v>
      </c>
      <c r="H270" s="14" t="n">
        <v>1</v>
      </c>
      <c r="I270" s="11" t="n">
        <v>0.01</v>
      </c>
      <c r="J270" s="11" t="n">
        <v>0.1</v>
      </c>
      <c r="K270" s="10" t="n"/>
      <c r="L270" s="9" t="inlineStr">
        <is>
          <t>оценка</t>
        </is>
      </c>
      <c r="M270" s="9" t="inlineStr"/>
      <c r="N270" s="9" t="inlineStr">
        <is>
          <t>2026-10-29</t>
        </is>
      </c>
      <c r="O270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70" s="4">
        <f>IF(H270=1,G270/VAT_DIV,G270)</f>
        <v/>
      </c>
      <c r="Q270" s="4">
        <f>P270*(1+I270)*(1+DELIV)*(1+GROWTH+MONEY)</f>
        <v/>
      </c>
      <c r="R270" s="4">
        <f>IF(AND(K270&lt;&gt;"",Q270*(1+J270)&gt;K270/VAT_DIV),K270/VAT_DIV,Q270*(1+J270))</f>
        <v/>
      </c>
      <c r="S270" s="4">
        <f>Q270*F270</f>
        <v/>
      </c>
      <c r="T270" s="4">
        <f>R270*F270</f>
        <v/>
      </c>
      <c r="U270" s="3">
        <f>IF(AND(K270&lt;&gt;"",Q270*(1+J270)&gt;K270/VAT_DIV+0.01),"ДА","")</f>
        <v/>
      </c>
      <c r="V270" s="4">
        <f>P270*F270</f>
        <v/>
      </c>
    </row>
    <row r="271" ht="20" customHeight="1">
      <c r="A271" s="9" t="inlineStr">
        <is>
          <t>237. Светильник типа demos 2x1х58 ЕD</t>
        </is>
      </c>
      <c r="B271" s="13" t="inlineStr">
        <is>
          <t>Светильник типа demos 2x1х58 ЕD</t>
        </is>
      </c>
      <c r="C271" s="9" t="inlineStr">
        <is>
          <t>Светильники</t>
        </is>
      </c>
      <c r="D271" s="9" t="inlineStr">
        <is>
          <t>шт</t>
        </is>
      </c>
      <c r="E271" s="10" t="n">
        <v>1</v>
      </c>
      <c r="F271" s="4">
        <f>E271*IFERROR(INDEX(Работы!$D$4:$D$672,MATCH(SUBSTITUTE(SUBSTITUTE(SUBSTITUTE(A271,"~","~~"),"*","~*"),"?","~?"),Работы!$B$4:$B$672,0)),0)</f>
        <v/>
      </c>
      <c r="G271" s="10" t="n">
        <v>2200</v>
      </c>
      <c r="H271" s="14" t="n">
        <v>1</v>
      </c>
      <c r="I271" s="11" t="n">
        <v>0.01</v>
      </c>
      <c r="J271" s="11" t="n">
        <v>0.1</v>
      </c>
      <c r="K271" s="10" t="n"/>
      <c r="L271" s="9" t="inlineStr">
        <is>
          <t>оценка</t>
        </is>
      </c>
      <c r="M271" s="9" t="inlineStr"/>
      <c r="N271" s="9" t="inlineStr">
        <is>
          <t>2026-10-29</t>
        </is>
      </c>
      <c r="O271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71" s="4">
        <f>IF(H271=1,G271/VAT_DIV,G271)</f>
        <v/>
      </c>
      <c r="Q271" s="4">
        <f>P271*(1+I271)*(1+DELIV)*(1+GROWTH+MONEY)</f>
        <v/>
      </c>
      <c r="R271" s="4">
        <f>IF(AND(K271&lt;&gt;"",Q271*(1+J271)&gt;K271/VAT_DIV),K271/VAT_DIV,Q271*(1+J271))</f>
        <v/>
      </c>
      <c r="S271" s="4">
        <f>Q271*F271</f>
        <v/>
      </c>
      <c r="T271" s="4">
        <f>R271*F271</f>
        <v/>
      </c>
      <c r="U271" s="3">
        <f>IF(AND(K271&lt;&gt;"",Q271*(1+J271)&gt;K271/VAT_DIV+0.01),"ДА","")</f>
        <v/>
      </c>
      <c r="V271" s="4">
        <f>P271*F271</f>
        <v/>
      </c>
    </row>
    <row r="272" ht="20" customHeight="1">
      <c r="A272" s="9" t="inlineStr">
        <is>
          <t>238. Светильник типа demos 1х58 ЕD</t>
        </is>
      </c>
      <c r="B272" s="13" t="inlineStr">
        <is>
          <t>Светильник типа demos 1х58 ЕD</t>
        </is>
      </c>
      <c r="C272" s="9" t="inlineStr">
        <is>
          <t>Светильники</t>
        </is>
      </c>
      <c r="D272" s="9" t="inlineStr">
        <is>
          <t>шт</t>
        </is>
      </c>
      <c r="E272" s="10" t="n">
        <v>1</v>
      </c>
      <c r="F272" s="4">
        <f>E272*IFERROR(INDEX(Работы!$D$4:$D$672,MATCH(SUBSTITUTE(SUBSTITUTE(SUBSTITUTE(A272,"~","~~"),"*","~*"),"?","~?"),Работы!$B$4:$B$672,0)),0)</f>
        <v/>
      </c>
      <c r="G272" s="10" t="n">
        <v>2200</v>
      </c>
      <c r="H272" s="14" t="n">
        <v>1</v>
      </c>
      <c r="I272" s="11" t="n">
        <v>0.01</v>
      </c>
      <c r="J272" s="11" t="n">
        <v>0.1</v>
      </c>
      <c r="K272" s="10" t="n"/>
      <c r="L272" s="9" t="inlineStr">
        <is>
          <t>оценка</t>
        </is>
      </c>
      <c r="M272" s="9" t="inlineStr"/>
      <c r="N272" s="9" t="inlineStr">
        <is>
          <t>2026-10-29</t>
        </is>
      </c>
      <c r="O272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72" s="4">
        <f>IF(H272=1,G272/VAT_DIV,G272)</f>
        <v/>
      </c>
      <c r="Q272" s="4">
        <f>P272*(1+I272)*(1+DELIV)*(1+GROWTH+MONEY)</f>
        <v/>
      </c>
      <c r="R272" s="4">
        <f>IF(AND(K272&lt;&gt;"",Q272*(1+J272)&gt;K272/VAT_DIV),K272/VAT_DIV,Q272*(1+J272))</f>
        <v/>
      </c>
      <c r="S272" s="4">
        <f>Q272*F272</f>
        <v/>
      </c>
      <c r="T272" s="4">
        <f>R272*F272</f>
        <v/>
      </c>
      <c r="U272" s="3">
        <f>IF(AND(K272&lt;&gt;"",Q272*(1+J272)&gt;K272/VAT_DIV+0.01),"ДА","")</f>
        <v/>
      </c>
      <c r="V272" s="4">
        <f>P272*F272</f>
        <v/>
      </c>
    </row>
    <row r="273" ht="20" customHeight="1">
      <c r="A273" s="9" t="inlineStr">
        <is>
          <t>239. Светильник типа demos 1*58 EA</t>
        </is>
      </c>
      <c r="B273" s="13" t="inlineStr">
        <is>
          <t>Светильник типа demos 1*58 EA</t>
        </is>
      </c>
      <c r="C273" s="9" t="inlineStr">
        <is>
          <t>Светильники</t>
        </is>
      </c>
      <c r="D273" s="9" t="inlineStr">
        <is>
          <t>шт</t>
        </is>
      </c>
      <c r="E273" s="10" t="n">
        <v>1</v>
      </c>
      <c r="F273" s="4">
        <f>E273*IFERROR(INDEX(Работы!$D$4:$D$672,MATCH(SUBSTITUTE(SUBSTITUTE(SUBSTITUTE(A273,"~","~~"),"*","~*"),"?","~?"),Работы!$B$4:$B$672,0)),0)</f>
        <v/>
      </c>
      <c r="G273" s="10" t="n">
        <v>2200</v>
      </c>
      <c r="H273" s="14" t="n">
        <v>1</v>
      </c>
      <c r="I273" s="11" t="n">
        <v>0.01</v>
      </c>
      <c r="J273" s="11" t="n">
        <v>0.1</v>
      </c>
      <c r="K273" s="10" t="n"/>
      <c r="L273" s="9" t="inlineStr">
        <is>
          <t>оценка</t>
        </is>
      </c>
      <c r="M273" s="9" t="inlineStr"/>
      <c r="N273" s="9" t="inlineStr">
        <is>
          <t>2026-10-29</t>
        </is>
      </c>
      <c r="O273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73" s="4">
        <f>IF(H273=1,G273/VAT_DIV,G273)</f>
        <v/>
      </c>
      <c r="Q273" s="4">
        <f>P273*(1+I273)*(1+DELIV)*(1+GROWTH+MONEY)</f>
        <v/>
      </c>
      <c r="R273" s="4">
        <f>IF(AND(K273&lt;&gt;"",Q273*(1+J273)&gt;K273/VAT_DIV),K273/VAT_DIV,Q273*(1+J273))</f>
        <v/>
      </c>
      <c r="S273" s="4">
        <f>Q273*F273</f>
        <v/>
      </c>
      <c r="T273" s="4">
        <f>R273*F273</f>
        <v/>
      </c>
      <c r="U273" s="3">
        <f>IF(AND(K273&lt;&gt;"",Q273*(1+J273)&gt;K273/VAT_DIV+0.01),"ДА","")</f>
        <v/>
      </c>
      <c r="V273" s="4">
        <f>P273*F273</f>
        <v/>
      </c>
    </row>
    <row r="274" ht="20" customHeight="1">
      <c r="A274" s="9" t="inlineStr">
        <is>
          <t>240. Светодиодный прожектор WOLTA WFL-100W/06 100Вт 5700К IP65</t>
        </is>
      </c>
      <c r="B274" s="13" t="inlineStr">
        <is>
          <t>Светодиодный прожектор WOLTA WFL-100W/06 100Вт 5700К IP65</t>
        </is>
      </c>
      <c r="C274" s="9" t="inlineStr">
        <is>
          <t>Светильники</t>
        </is>
      </c>
      <c r="D274" s="9" t="inlineStr">
        <is>
          <t>шт</t>
        </is>
      </c>
      <c r="E274" s="10" t="n">
        <v>1</v>
      </c>
      <c r="F274" s="4">
        <f>E274*IFERROR(INDEX(Работы!$D$4:$D$672,MATCH(SUBSTITUTE(SUBSTITUTE(SUBSTITUTE(A274,"~","~~"),"*","~*"),"?","~?"),Работы!$B$4:$B$672,0)),0)</f>
        <v/>
      </c>
      <c r="G274" s="10" t="n">
        <v>967</v>
      </c>
      <c r="H274" s="14" t="n">
        <v>1</v>
      </c>
      <c r="I274" s="11" t="n">
        <v>0.01</v>
      </c>
      <c r="J274" s="11" t="n">
        <v>0.1</v>
      </c>
      <c r="K274" s="10" t="n"/>
      <c r="L274" s="9" t="inlineStr">
        <is>
          <t>Сатурн</t>
        </is>
      </c>
      <c r="M274" s="9" t="inlineStr">
        <is>
          <t>https://msk.saturn.net/product/projektor-svetodiodniy-100vt-230v-6500k-ip65-alyumkorpus/</t>
        </is>
      </c>
      <c r="N274" s="9" t="inlineStr">
        <is>
          <t>2026-10-29</t>
        </is>
      </c>
      <c r="O274" s="13" t="inlineStr">
        <is>
          <t>Якорь Сатурн IONICH 100 Вт IP65 = 967 руб. Эта строка 100 Вт, степень 0,7, оценка. Лемана ПРО 100 Вт = 1 547.</t>
        </is>
      </c>
      <c r="P274" s="4">
        <f>IF(H274=1,G274/VAT_DIV,G274)</f>
        <v/>
      </c>
      <c r="Q274" s="4">
        <f>P274*(1+I274)*(1+DELIV)*(1+GROWTH+MONEY)</f>
        <v/>
      </c>
      <c r="R274" s="4">
        <f>IF(AND(K274&lt;&gt;"",Q274*(1+J274)&gt;K274/VAT_DIV),K274/VAT_DIV,Q274*(1+J274))</f>
        <v/>
      </c>
      <c r="S274" s="4">
        <f>Q274*F274</f>
        <v/>
      </c>
      <c r="T274" s="4">
        <f>R274*F274</f>
        <v/>
      </c>
      <c r="U274" s="3">
        <f>IF(AND(K274&lt;&gt;"",Q274*(1+J274)&gt;K274/VAT_DIV+0.01),"ДА","")</f>
        <v/>
      </c>
      <c r="V274" s="4">
        <f>P274*F274</f>
        <v/>
      </c>
    </row>
    <row r="275" ht="20" customHeight="1">
      <c r="A275" s="9" t="inlineStr">
        <is>
          <t>241. Прожектор LED IP65, 4000К, СДО-10</t>
        </is>
      </c>
      <c r="B275" s="13" t="inlineStr">
        <is>
          <t>Прожектор LED IP65, 4000К, СДО-10</t>
        </is>
      </c>
      <c r="C275" s="9" t="inlineStr">
        <is>
          <t>Светильники</t>
        </is>
      </c>
      <c r="D275" s="9" t="inlineStr">
        <is>
          <t>шт</t>
        </is>
      </c>
      <c r="E275" s="10" t="n">
        <v>1</v>
      </c>
      <c r="F275" s="4">
        <f>E275*IFERROR(INDEX(Работы!$D$4:$D$672,MATCH(SUBSTITUTE(SUBSTITUTE(SUBSTITUTE(A275,"~","~~"),"*","~*"),"?","~?"),Работы!$B$4:$B$672,0)),0)</f>
        <v/>
      </c>
      <c r="G275" s="10" t="n">
        <v>2200</v>
      </c>
      <c r="H275" s="14" t="n">
        <v>1</v>
      </c>
      <c r="I275" s="11" t="n">
        <v>0.01</v>
      </c>
      <c r="J275" s="11" t="n">
        <v>0.1</v>
      </c>
      <c r="K275" s="10" t="n"/>
      <c r="L275" s="9" t="inlineStr">
        <is>
          <t>оценка</t>
        </is>
      </c>
      <c r="M275" s="9" t="inlineStr"/>
      <c r="N275" s="9" t="inlineStr">
        <is>
          <t>2026-10-29</t>
        </is>
      </c>
      <c r="O275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75" s="4">
        <f>IF(H275=1,G275/VAT_DIV,G275)</f>
        <v/>
      </c>
      <c r="Q275" s="4">
        <f>P275*(1+I275)*(1+DELIV)*(1+GROWTH+MONEY)</f>
        <v/>
      </c>
      <c r="R275" s="4">
        <f>IF(AND(K275&lt;&gt;"",Q275*(1+J275)&gt;K275/VAT_DIV),K275/VAT_DIV,Q275*(1+J275))</f>
        <v/>
      </c>
      <c r="S275" s="4">
        <f>Q275*F275</f>
        <v/>
      </c>
      <c r="T275" s="4">
        <f>R275*F275</f>
        <v/>
      </c>
      <c r="U275" s="3">
        <f>IF(AND(K275&lt;&gt;"",Q275*(1+J275)&gt;K275/VAT_DIV+0.01),"ДА","")</f>
        <v/>
      </c>
      <c r="V275" s="4">
        <f>P275*F275</f>
        <v/>
      </c>
    </row>
    <row r="276" ht="20" customHeight="1">
      <c r="A276" s="9" t="inlineStr">
        <is>
          <t>242. Прожектор LED IP65, 4000К, СДО-20</t>
        </is>
      </c>
      <c r="B276" s="13" t="inlineStr">
        <is>
          <t>Прожектор LED IP65, 4000К, СДО-20</t>
        </is>
      </c>
      <c r="C276" s="9" t="inlineStr">
        <is>
          <t>Светильники</t>
        </is>
      </c>
      <c r="D276" s="9" t="inlineStr">
        <is>
          <t>шт</t>
        </is>
      </c>
      <c r="E276" s="10" t="n">
        <v>1</v>
      </c>
      <c r="F276" s="4">
        <f>E276*IFERROR(INDEX(Работы!$D$4:$D$672,MATCH(SUBSTITUTE(SUBSTITUTE(SUBSTITUTE(A276,"~","~~"),"*","~*"),"?","~?"),Работы!$B$4:$B$672,0)),0)</f>
        <v/>
      </c>
      <c r="G276" s="10" t="n">
        <v>2200</v>
      </c>
      <c r="H276" s="14" t="n">
        <v>1</v>
      </c>
      <c r="I276" s="11" t="n">
        <v>0.01</v>
      </c>
      <c r="J276" s="11" t="n">
        <v>0.1</v>
      </c>
      <c r="K276" s="10" t="n"/>
      <c r="L276" s="9" t="inlineStr">
        <is>
          <t>оценка</t>
        </is>
      </c>
      <c r="M276" s="9" t="inlineStr"/>
      <c r="N276" s="9" t="inlineStr">
        <is>
          <t>2026-10-29</t>
        </is>
      </c>
      <c r="O276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76" s="4">
        <f>IF(H276=1,G276/VAT_DIV,G276)</f>
        <v/>
      </c>
      <c r="Q276" s="4">
        <f>P276*(1+I276)*(1+DELIV)*(1+GROWTH+MONEY)</f>
        <v/>
      </c>
      <c r="R276" s="4">
        <f>IF(AND(K276&lt;&gt;"",Q276*(1+J276)&gt;K276/VAT_DIV),K276/VAT_DIV,Q276*(1+J276))</f>
        <v/>
      </c>
      <c r="S276" s="4">
        <f>Q276*F276</f>
        <v/>
      </c>
      <c r="T276" s="4">
        <f>R276*F276</f>
        <v/>
      </c>
      <c r="U276" s="3">
        <f>IF(AND(K276&lt;&gt;"",Q276*(1+J276)&gt;K276/VAT_DIV+0.01),"ДА","")</f>
        <v/>
      </c>
      <c r="V276" s="4">
        <f>P276*F276</f>
        <v/>
      </c>
    </row>
    <row r="277" ht="20" customHeight="1">
      <c r="A277" s="9" t="inlineStr">
        <is>
          <t>243. Прожектор LED IP65, 4000К, СДО-30</t>
        </is>
      </c>
      <c r="B277" s="13" t="inlineStr">
        <is>
          <t>Прожектор LED IP65, 4000К, СДО-30</t>
        </is>
      </c>
      <c r="C277" s="9" t="inlineStr">
        <is>
          <t>Светильники</t>
        </is>
      </c>
      <c r="D277" s="9" t="inlineStr">
        <is>
          <t>шт</t>
        </is>
      </c>
      <c r="E277" s="10" t="n">
        <v>1</v>
      </c>
      <c r="F277" s="4">
        <f>E277*IFERROR(INDEX(Работы!$D$4:$D$672,MATCH(SUBSTITUTE(SUBSTITUTE(SUBSTITUTE(A277,"~","~~"),"*","~*"),"?","~?"),Работы!$B$4:$B$672,0)),0)</f>
        <v/>
      </c>
      <c r="G277" s="10" t="n">
        <v>2200</v>
      </c>
      <c r="H277" s="14" t="n">
        <v>1</v>
      </c>
      <c r="I277" s="11" t="n">
        <v>0.01</v>
      </c>
      <c r="J277" s="11" t="n">
        <v>0.1</v>
      </c>
      <c r="K277" s="10" t="n"/>
      <c r="L277" s="9" t="inlineStr">
        <is>
          <t>оценка</t>
        </is>
      </c>
      <c r="M277" s="9" t="inlineStr"/>
      <c r="N277" s="9" t="inlineStr">
        <is>
          <t>2026-10-29</t>
        </is>
      </c>
      <c r="O277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77" s="4">
        <f>IF(H277=1,G277/VAT_DIV,G277)</f>
        <v/>
      </c>
      <c r="Q277" s="4">
        <f>P277*(1+I277)*(1+DELIV)*(1+GROWTH+MONEY)</f>
        <v/>
      </c>
      <c r="R277" s="4">
        <f>IF(AND(K277&lt;&gt;"",Q277*(1+J277)&gt;K277/VAT_DIV),K277/VAT_DIV,Q277*(1+J277))</f>
        <v/>
      </c>
      <c r="S277" s="4">
        <f>Q277*F277</f>
        <v/>
      </c>
      <c r="T277" s="4">
        <f>R277*F277</f>
        <v/>
      </c>
      <c r="U277" s="3">
        <f>IF(AND(K277&lt;&gt;"",Q277*(1+J277)&gt;K277/VAT_DIV+0.01),"ДА","")</f>
        <v/>
      </c>
      <c r="V277" s="4">
        <f>P277*F277</f>
        <v/>
      </c>
    </row>
    <row r="278" ht="20" customHeight="1">
      <c r="A278" s="9" t="inlineStr">
        <is>
          <t>244. Прожектор LED IP65, 4000К, СДО-50</t>
        </is>
      </c>
      <c r="B278" s="13" t="inlineStr">
        <is>
          <t>Прожектор LED IP65, 4000К, СДО-50</t>
        </is>
      </c>
      <c r="C278" s="9" t="inlineStr">
        <is>
          <t>Светильники</t>
        </is>
      </c>
      <c r="D278" s="9" t="inlineStr">
        <is>
          <t>шт</t>
        </is>
      </c>
      <c r="E278" s="10" t="n">
        <v>1</v>
      </c>
      <c r="F278" s="4">
        <f>E278*IFERROR(INDEX(Работы!$D$4:$D$672,MATCH(SUBSTITUTE(SUBSTITUTE(SUBSTITUTE(A278,"~","~~"),"*","~*"),"?","~?"),Работы!$B$4:$B$672,0)),0)</f>
        <v/>
      </c>
      <c r="G278" s="10" t="n">
        <v>2200</v>
      </c>
      <c r="H278" s="14" t="n">
        <v>1</v>
      </c>
      <c r="I278" s="11" t="n">
        <v>0.01</v>
      </c>
      <c r="J278" s="11" t="n">
        <v>0.1</v>
      </c>
      <c r="K278" s="10" t="n"/>
      <c r="L278" s="9" t="inlineStr">
        <is>
          <t>оценка</t>
        </is>
      </c>
      <c r="M278" s="9" t="inlineStr"/>
      <c r="N278" s="9" t="inlineStr">
        <is>
          <t>2026-10-29</t>
        </is>
      </c>
      <c r="O278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78" s="4">
        <f>IF(H278=1,G278/VAT_DIV,G278)</f>
        <v/>
      </c>
      <c r="Q278" s="4">
        <f>P278*(1+I278)*(1+DELIV)*(1+GROWTH+MONEY)</f>
        <v/>
      </c>
      <c r="R278" s="4">
        <f>IF(AND(K278&lt;&gt;"",Q278*(1+J278)&gt;K278/VAT_DIV),K278/VAT_DIV,Q278*(1+J278))</f>
        <v/>
      </c>
      <c r="S278" s="4">
        <f>Q278*F278</f>
        <v/>
      </c>
      <c r="T278" s="4">
        <f>R278*F278</f>
        <v/>
      </c>
      <c r="U278" s="3">
        <f>IF(AND(K278&lt;&gt;"",Q278*(1+J278)&gt;K278/VAT_DIV+0.01),"ДА","")</f>
        <v/>
      </c>
      <c r="V278" s="4">
        <f>P278*F278</f>
        <v/>
      </c>
    </row>
    <row r="279" ht="20" customHeight="1">
      <c r="A279" s="9" t="inlineStr">
        <is>
          <t>245. Прожектор LED IP65, 4000К, СДО-70</t>
        </is>
      </c>
      <c r="B279" s="13" t="inlineStr">
        <is>
          <t>Прожектор LED IP65, 4000К, СДО-70</t>
        </is>
      </c>
      <c r="C279" s="9" t="inlineStr">
        <is>
          <t>Светильники</t>
        </is>
      </c>
      <c r="D279" s="9" t="inlineStr">
        <is>
          <t>шт</t>
        </is>
      </c>
      <c r="E279" s="10" t="n">
        <v>1</v>
      </c>
      <c r="F279" s="4">
        <f>E279*IFERROR(INDEX(Работы!$D$4:$D$672,MATCH(SUBSTITUTE(SUBSTITUTE(SUBSTITUTE(A279,"~","~~"),"*","~*"),"?","~?"),Работы!$B$4:$B$672,0)),0)</f>
        <v/>
      </c>
      <c r="G279" s="10" t="n">
        <v>2200</v>
      </c>
      <c r="H279" s="14" t="n">
        <v>1</v>
      </c>
      <c r="I279" s="11" t="n">
        <v>0.01</v>
      </c>
      <c r="J279" s="11" t="n">
        <v>0.1</v>
      </c>
      <c r="K279" s="10" t="n"/>
      <c r="L279" s="9" t="inlineStr">
        <is>
          <t>оценка</t>
        </is>
      </c>
      <c r="M279" s="9" t="inlineStr"/>
      <c r="N279" s="9" t="inlineStr">
        <is>
          <t>2026-10-29</t>
        </is>
      </c>
      <c r="O279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79" s="4">
        <f>IF(H279=1,G279/VAT_DIV,G279)</f>
        <v/>
      </c>
      <c r="Q279" s="4">
        <f>P279*(1+I279)*(1+DELIV)*(1+GROWTH+MONEY)</f>
        <v/>
      </c>
      <c r="R279" s="4">
        <f>IF(AND(K279&lt;&gt;"",Q279*(1+J279)&gt;K279/VAT_DIV),K279/VAT_DIV,Q279*(1+J279))</f>
        <v/>
      </c>
      <c r="S279" s="4">
        <f>Q279*F279</f>
        <v/>
      </c>
      <c r="T279" s="4">
        <f>R279*F279</f>
        <v/>
      </c>
      <c r="U279" s="3">
        <f>IF(AND(K279&lt;&gt;"",Q279*(1+J279)&gt;K279/VAT_DIV+0.01),"ДА","")</f>
        <v/>
      </c>
      <c r="V279" s="4">
        <f>P279*F279</f>
        <v/>
      </c>
    </row>
    <row r="280" ht="20" customHeight="1">
      <c r="A280" s="9" t="inlineStr">
        <is>
          <t>246. Светильник УО PSL 36W 3865Lm Jazzway</t>
        </is>
      </c>
      <c r="B280" s="13" t="inlineStr">
        <is>
          <t>Светильник УО PSL 36W 3865Lm Jazzway</t>
        </is>
      </c>
      <c r="C280" s="9" t="inlineStr">
        <is>
          <t>Светильники</t>
        </is>
      </c>
      <c r="D280" s="9" t="inlineStr">
        <is>
          <t>шт</t>
        </is>
      </c>
      <c r="E280" s="10" t="n">
        <v>1</v>
      </c>
      <c r="F280" s="4">
        <f>E280*IFERROR(INDEX(Работы!$D$4:$D$672,MATCH(SUBSTITUTE(SUBSTITUTE(SUBSTITUTE(A280,"~","~~"),"*","~*"),"?","~?"),Работы!$B$4:$B$672,0)),0)</f>
        <v/>
      </c>
      <c r="G280" s="10" t="n">
        <v>682</v>
      </c>
      <c r="H280" s="14" t="n">
        <v>1</v>
      </c>
      <c r="I280" s="11" t="n">
        <v>0.01</v>
      </c>
      <c r="J280" s="11" t="n">
        <v>0.1</v>
      </c>
      <c r="K280" s="10" t="n"/>
      <c r="L280" s="9" t="inlineStr">
        <is>
          <t>Лемана ПРО</t>
        </is>
      </c>
      <c r="M280" s="9" t="inlineStr">
        <is>
          <t>https://lemanapro.ru/product/svetodiodnaya-panel-onlajt-36-vt-595x595-mm-opal-6500-k-ip20-89439156/</t>
        </is>
      </c>
      <c r="N280" s="9" t="inlineStr">
        <is>
          <t>2026-10-29</t>
        </is>
      </c>
      <c r="O280" s="13" t="inlineStr">
        <is>
          <t>Лемана ПРО панель 36 Вт 595х595 = 682 руб. Петрович Онлайт 36 Вт = 808.</t>
        </is>
      </c>
      <c r="P280" s="4">
        <f>IF(H280=1,G280/VAT_DIV,G280)</f>
        <v/>
      </c>
      <c r="Q280" s="4">
        <f>P280*(1+I280)*(1+DELIV)*(1+GROWTH+MONEY)</f>
        <v/>
      </c>
      <c r="R280" s="4">
        <f>IF(AND(K280&lt;&gt;"",Q280*(1+J280)&gt;K280/VAT_DIV),K280/VAT_DIV,Q280*(1+J280))</f>
        <v/>
      </c>
      <c r="S280" s="4">
        <f>Q280*F280</f>
        <v/>
      </c>
      <c r="T280" s="4">
        <f>R280*F280</f>
        <v/>
      </c>
      <c r="U280" s="3">
        <f>IF(AND(K280&lt;&gt;"",Q280*(1+J280)&gt;K280/VAT_DIV+0.01),"ДА","")</f>
        <v/>
      </c>
      <c r="V280" s="4">
        <f>P280*F280</f>
        <v/>
      </c>
    </row>
    <row r="281" ht="20" customHeight="1">
      <c r="A281" s="9" t="inlineStr">
        <is>
          <t>247. Поворотный - светильник точечный белый MR16 GU5,3</t>
        </is>
      </c>
      <c r="B281" s="13" t="inlineStr">
        <is>
          <t>Поворотный - светильник точечный белый MR16 GU5,3</t>
        </is>
      </c>
      <c r="C281" s="9" t="inlineStr">
        <is>
          <t>Светильники</t>
        </is>
      </c>
      <c r="D281" s="9" t="inlineStr">
        <is>
          <t>шт</t>
        </is>
      </c>
      <c r="E281" s="10" t="n">
        <v>1</v>
      </c>
      <c r="F281" s="4">
        <f>E281*IFERROR(INDEX(Работы!$D$4:$D$672,MATCH(SUBSTITUTE(SUBSTITUTE(SUBSTITUTE(A281,"~","~~"),"*","~*"),"?","~?"),Работы!$B$4:$B$672,0)),0)</f>
        <v/>
      </c>
      <c r="G281" s="10" t="n">
        <v>2200</v>
      </c>
      <c r="H281" s="14" t="n">
        <v>1</v>
      </c>
      <c r="I281" s="11" t="n">
        <v>0.01</v>
      </c>
      <c r="J281" s="11" t="n">
        <v>0.1</v>
      </c>
      <c r="K281" s="10" t="n"/>
      <c r="L281" s="9" t="inlineStr">
        <is>
          <t>оценка</t>
        </is>
      </c>
      <c r="M281" s="9" t="inlineStr"/>
      <c r="N281" s="9" t="inlineStr">
        <is>
          <t>2026-10-29</t>
        </is>
      </c>
      <c r="O281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81" s="4">
        <f>IF(H281=1,G281/VAT_DIV,G281)</f>
        <v/>
      </c>
      <c r="Q281" s="4">
        <f>P281*(1+I281)*(1+DELIV)*(1+GROWTH+MONEY)</f>
        <v/>
      </c>
      <c r="R281" s="4">
        <f>IF(AND(K281&lt;&gt;"",Q281*(1+J281)&gt;K281/VAT_DIV),K281/VAT_DIV,Q281*(1+J281))</f>
        <v/>
      </c>
      <c r="S281" s="4">
        <f>Q281*F281</f>
        <v/>
      </c>
      <c r="T281" s="4">
        <f>R281*F281</f>
        <v/>
      </c>
      <c r="U281" s="3">
        <f>IF(AND(K281&lt;&gt;"",Q281*(1+J281)&gt;K281/VAT_DIV+0.01),"ДА","")</f>
        <v/>
      </c>
      <c r="V281" s="4">
        <f>P281*F281</f>
        <v/>
      </c>
    </row>
    <row r="282" ht="20" customHeight="1">
      <c r="A282" s="9" t="inlineStr">
        <is>
          <t>248. Светильник для высоты подвеса 12-15м. (LED, ip65, 140Вт, 16100Лм, наружн)</t>
        </is>
      </c>
      <c r="B282" s="13" t="inlineStr">
        <is>
          <t>Светильник для высоты подвеса 12-15м. (LED, ip65, 140Вт, 16100Лм, наружн)</t>
        </is>
      </c>
      <c r="C282" s="9" t="inlineStr">
        <is>
          <t>Светильники</t>
        </is>
      </c>
      <c r="D282" s="9" t="inlineStr">
        <is>
          <t>шт</t>
        </is>
      </c>
      <c r="E282" s="10" t="n">
        <v>1</v>
      </c>
      <c r="F282" s="4">
        <f>E282*IFERROR(INDEX(Работы!$D$4:$D$672,MATCH(SUBSTITUTE(SUBSTITUTE(SUBSTITUTE(A282,"~","~~"),"*","~*"),"?","~?"),Работы!$B$4:$B$672,0)),0)</f>
        <v/>
      </c>
      <c r="G282" s="10" t="n">
        <v>1614.27</v>
      </c>
      <c r="H282" s="14" t="n">
        <v>1</v>
      </c>
      <c r="I282" s="11" t="n">
        <v>0.01</v>
      </c>
      <c r="J282" s="11" t="n">
        <v>0.1</v>
      </c>
      <c r="K282" s="10" t="n"/>
      <c r="L282" s="9" t="inlineStr">
        <is>
          <t>Петрович</t>
        </is>
      </c>
      <c r="M282" s="9" t="inlineStr">
        <is>
          <t>https://moscow.petrovich.ru/product/1041024/</t>
        </is>
      </c>
      <c r="N282" s="9" t="inlineStr">
        <is>
          <t>2026-10-29</t>
        </is>
      </c>
      <c r="O282" s="13" t="inlineStr">
        <is>
          <t>Якорь Петрович Navigator 150 Вт IP65 = 1 700 руб. Эта строка 140 Вт, степень 0,75, оценка. Лемана ПРО 150 Вт = 4 521, Сатурн 2 243.</t>
        </is>
      </c>
      <c r="P282" s="4">
        <f>IF(H282=1,G282/VAT_DIV,G282)</f>
        <v/>
      </c>
      <c r="Q282" s="4">
        <f>P282*(1+I282)*(1+DELIV)*(1+GROWTH+MONEY)</f>
        <v/>
      </c>
      <c r="R282" s="4">
        <f>IF(AND(K282&lt;&gt;"",Q282*(1+J282)&gt;K282/VAT_DIV),K282/VAT_DIV,Q282*(1+J282))</f>
        <v/>
      </c>
      <c r="S282" s="4">
        <f>Q282*F282</f>
        <v/>
      </c>
      <c r="T282" s="4">
        <f>R282*F282</f>
        <v/>
      </c>
      <c r="U282" s="3">
        <f>IF(AND(K282&lt;&gt;"",Q282*(1+J282)&gt;K282/VAT_DIV+0.01),"ДА","")</f>
        <v/>
      </c>
      <c r="V282" s="4">
        <f>P282*F282</f>
        <v/>
      </c>
    </row>
    <row r="283" ht="20" customHeight="1">
      <c r="A283" s="9" t="inlineStr">
        <is>
          <t>249. Светильник для высоты подвеса 6 -9 м.(LED, ip65, 70Вт, 8050Лм, наружн)</t>
        </is>
      </c>
      <c r="B283" s="13" t="inlineStr">
        <is>
          <t>Светильник для высоты подвеса 6 -9 м.(LED, ip65, 70Вт, 8050Лм, наружн)</t>
        </is>
      </c>
      <c r="C283" s="9" t="inlineStr">
        <is>
          <t>Светильники</t>
        </is>
      </c>
      <c r="D283" s="9" t="inlineStr">
        <is>
          <t>шт</t>
        </is>
      </c>
      <c r="E283" s="10" t="n">
        <v>1</v>
      </c>
      <c r="F283" s="4">
        <f>E283*IFERROR(INDEX(Работы!$D$4:$D$672,MATCH(SUBSTITUTE(SUBSTITUTE(SUBSTITUTE(A283,"~","~~"),"*","~*"),"?","~?"),Работы!$B$4:$B$672,0)),0)</f>
        <v/>
      </c>
      <c r="G283" s="10" t="n">
        <v>959.85</v>
      </c>
      <c r="H283" s="14" t="n">
        <v>1</v>
      </c>
      <c r="I283" s="11" t="n">
        <v>0.01</v>
      </c>
      <c r="J283" s="11" t="n">
        <v>0.1</v>
      </c>
      <c r="K283" s="10" t="n"/>
      <c r="L283" s="9" t="inlineStr">
        <is>
          <t>Петрович</t>
        </is>
      </c>
      <c r="M283" s="9" t="inlineStr">
        <is>
          <t>https://moscow.petrovich.ru/product/1041024/</t>
        </is>
      </c>
      <c r="N283" s="9" t="inlineStr">
        <is>
          <t>2026-10-29</t>
        </is>
      </c>
      <c r="O283" s="13" t="inlineStr">
        <is>
          <t>Якорь Петрович Navigator 150 Вт IP65 = 1 700 руб. Эта строка 70 Вт, степень 0,75, оценка. Лемана ПРО 150 Вт = 4 521, Сатурн 2 243.</t>
        </is>
      </c>
      <c r="P283" s="4">
        <f>IF(H283=1,G283/VAT_DIV,G283)</f>
        <v/>
      </c>
      <c r="Q283" s="4">
        <f>P283*(1+I283)*(1+DELIV)*(1+GROWTH+MONEY)</f>
        <v/>
      </c>
      <c r="R283" s="4">
        <f>IF(AND(K283&lt;&gt;"",Q283*(1+J283)&gt;K283/VAT_DIV),K283/VAT_DIV,Q283*(1+J283))</f>
        <v/>
      </c>
      <c r="S283" s="4">
        <f>Q283*F283</f>
        <v/>
      </c>
      <c r="T283" s="4">
        <f>R283*F283</f>
        <v/>
      </c>
      <c r="U283" s="3">
        <f>IF(AND(K283&lt;&gt;"",Q283*(1+J283)&gt;K283/VAT_DIV+0.01),"ДА","")</f>
        <v/>
      </c>
      <c r="V283" s="4">
        <f>P283*F283</f>
        <v/>
      </c>
    </row>
    <row r="284" ht="20" customHeight="1">
      <c r="A284" s="9" t="inlineStr">
        <is>
          <t>250. Светильник для ДОКов (LED, ip65, 35Вт, 4025Лм, наружн)</t>
        </is>
      </c>
      <c r="B284" s="13" t="inlineStr">
        <is>
          <t>Светильник для ДОКов (LED, ip65, 35Вт, 4025Лм, наружн)</t>
        </is>
      </c>
      <c r="C284" s="9" t="inlineStr">
        <is>
          <t>Светильники</t>
        </is>
      </c>
      <c r="D284" s="9" t="inlineStr">
        <is>
          <t>шт</t>
        </is>
      </c>
      <c r="E284" s="10" t="n">
        <v>1</v>
      </c>
      <c r="F284" s="4">
        <f>E284*IFERROR(INDEX(Работы!$D$4:$D$672,MATCH(SUBSTITUTE(SUBSTITUTE(SUBSTITUTE(A284,"~","~~"),"*","~*"),"?","~?"),Работы!$B$4:$B$672,0)),0)</f>
        <v/>
      </c>
      <c r="G284" s="10" t="n">
        <v>570.73</v>
      </c>
      <c r="H284" s="14" t="n">
        <v>1</v>
      </c>
      <c r="I284" s="11" t="n">
        <v>0.01</v>
      </c>
      <c r="J284" s="11" t="n">
        <v>0.1</v>
      </c>
      <c r="K284" s="10" t="n"/>
      <c r="L284" s="9" t="inlineStr">
        <is>
          <t>Петрович</t>
        </is>
      </c>
      <c r="M284" s="9" t="inlineStr">
        <is>
          <t>https://moscow.petrovich.ru/product/1041024/</t>
        </is>
      </c>
      <c r="N284" s="9" t="inlineStr">
        <is>
          <t>2026-10-29</t>
        </is>
      </c>
      <c r="O284" s="13" t="inlineStr">
        <is>
          <t>Якорь Петрович Navigator 150 Вт IP65 = 1 700 руб. Эта строка 35 Вт, степень 0,75, оценка. Лемана ПРО 150 Вт = 4 521, Сатурн 2 243.</t>
        </is>
      </c>
      <c r="P284" s="4">
        <f>IF(H284=1,G284/VAT_DIV,G284)</f>
        <v/>
      </c>
      <c r="Q284" s="4">
        <f>P284*(1+I284)*(1+DELIV)*(1+GROWTH+MONEY)</f>
        <v/>
      </c>
      <c r="R284" s="4">
        <f>IF(AND(K284&lt;&gt;"",Q284*(1+J284)&gt;K284/VAT_DIV),K284/VAT_DIV,Q284*(1+J284))</f>
        <v/>
      </c>
      <c r="S284" s="4">
        <f>Q284*F284</f>
        <v/>
      </c>
      <c r="T284" s="4">
        <f>R284*F284</f>
        <v/>
      </c>
      <c r="U284" s="3">
        <f>IF(AND(K284&lt;&gt;"",Q284*(1+J284)&gt;K284/VAT_DIV+0.01),"ДА","")</f>
        <v/>
      </c>
      <c r="V284" s="4">
        <f>P284*F284</f>
        <v/>
      </c>
    </row>
    <row r="285" ht="20" customHeight="1">
      <c r="A285" s="9" t="inlineStr">
        <is>
          <t>251. Комплект подсветки LED с креплением -  (длина профиля 1 м.п.)</t>
        </is>
      </c>
      <c r="B285" s="13" t="inlineStr">
        <is>
          <t>Комплект подсветки LED с креплением -  (длина профиля 1 м.п.)</t>
        </is>
      </c>
      <c r="C285" s="9" t="inlineStr">
        <is>
          <t>Светильники</t>
        </is>
      </c>
      <c r="D285" s="9" t="inlineStr">
        <is>
          <t>шт</t>
        </is>
      </c>
      <c r="E285" s="10" t="n">
        <v>1</v>
      </c>
      <c r="F285" s="4">
        <f>E285*IFERROR(INDEX(Работы!$D$4:$D$672,MATCH(SUBSTITUTE(SUBSTITUTE(SUBSTITUTE(A285,"~","~~"),"*","~*"),"?","~?"),Работы!$B$4:$B$672,0)),0)</f>
        <v/>
      </c>
      <c r="G285" s="10" t="n">
        <v>2200</v>
      </c>
      <c r="H285" s="14" t="n">
        <v>1</v>
      </c>
      <c r="I285" s="11" t="n">
        <v>0.01</v>
      </c>
      <c r="J285" s="11" t="n">
        <v>0.1</v>
      </c>
      <c r="K285" s="10" t="n"/>
      <c r="L285" s="9" t="inlineStr">
        <is>
          <t>оценка</t>
        </is>
      </c>
      <c r="M285" s="9" t="inlineStr"/>
      <c r="N285" s="9" t="inlineStr">
        <is>
          <t>2026-10-29</t>
        </is>
      </c>
      <c r="O285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285" s="4">
        <f>IF(H285=1,G285/VAT_DIV,G285)</f>
        <v/>
      </c>
      <c r="Q285" s="4">
        <f>P285*(1+I285)*(1+DELIV)*(1+GROWTH+MONEY)</f>
        <v/>
      </c>
      <c r="R285" s="4">
        <f>IF(AND(K285&lt;&gt;"",Q285*(1+J285)&gt;K285/VAT_DIV),K285/VAT_DIV,Q285*(1+J285))</f>
        <v/>
      </c>
      <c r="S285" s="4">
        <f>Q285*F285</f>
        <v/>
      </c>
      <c r="T285" s="4">
        <f>R285*F285</f>
        <v/>
      </c>
      <c r="U285" s="3">
        <f>IF(AND(K285&lt;&gt;"",Q285*(1+J285)&gt;K285/VAT_DIV+0.01),"ДА","")</f>
        <v/>
      </c>
      <c r="V285" s="4">
        <f>P285*F285</f>
        <v/>
      </c>
    </row>
    <row r="286" ht="20" customHeight="1">
      <c r="A286" s="9" t="inlineStr">
        <is>
          <t>252. Лампа энергосберегающая osram 13 вт</t>
        </is>
      </c>
      <c r="B286" s="13" t="inlineStr">
        <is>
          <t>Лампа энергосберегающая osram 13 вт</t>
        </is>
      </c>
      <c r="C286" s="9" t="inlineStr">
        <is>
          <t>Светильники</t>
        </is>
      </c>
      <c r="D286" s="9" t="inlineStr">
        <is>
          <t>шт</t>
        </is>
      </c>
      <c r="E286" s="10" t="n">
        <v>1</v>
      </c>
      <c r="F286" s="4">
        <f>E286*IFERROR(INDEX(Работы!$D$4:$D$672,MATCH(SUBSTITUTE(SUBSTITUTE(SUBSTITUTE(A286,"~","~~"),"*","~*"),"?","~?"),Работы!$B$4:$B$672,0)),0)</f>
        <v/>
      </c>
      <c r="G286" s="10" t="n">
        <v>80</v>
      </c>
      <c r="H286" s="14" t="n">
        <v>1</v>
      </c>
      <c r="I286" s="11" t="n">
        <v>0.01</v>
      </c>
      <c r="J286" s="11" t="n">
        <v>0.1</v>
      </c>
      <c r="K286" s="10" t="n"/>
      <c r="L286" s="9" t="inlineStr">
        <is>
          <t>оценка</t>
        </is>
      </c>
      <c r="M286" s="9" t="inlineStr"/>
      <c r="N286" s="9" t="inlineStr">
        <is>
          <t>2026-10-29</t>
        </is>
      </c>
      <c r="O286" s="13" t="inlineStr">
        <is>
          <t>оценка лампы В Петрович, Лемана ПРО и Сатурн открытой карточки нет, оставлен прежний источник.</t>
        </is>
      </c>
      <c r="P286" s="4">
        <f>IF(H286=1,G286/VAT_DIV,G286)</f>
        <v/>
      </c>
      <c r="Q286" s="4">
        <f>P286*(1+I286)*(1+DELIV)*(1+GROWTH+MONEY)</f>
        <v/>
      </c>
      <c r="R286" s="4">
        <f>IF(AND(K286&lt;&gt;"",Q286*(1+J286)&gt;K286/VAT_DIV),K286/VAT_DIV,Q286*(1+J286))</f>
        <v/>
      </c>
      <c r="S286" s="4">
        <f>Q286*F286</f>
        <v/>
      </c>
      <c r="T286" s="4">
        <f>R286*F286</f>
        <v/>
      </c>
      <c r="U286" s="3">
        <f>IF(AND(K286&lt;&gt;"",Q286*(1+J286)&gt;K286/VAT_DIV+0.01),"ДА","")</f>
        <v/>
      </c>
      <c r="V286" s="4">
        <f>P286*F286</f>
        <v/>
      </c>
    </row>
    <row r="287" ht="20" customHeight="1">
      <c r="A287" s="9" t="inlineStr">
        <is>
          <t>253. Лампа ДРЛ Osram 250 вт(Россия)</t>
        </is>
      </c>
      <c r="B287" s="13" t="inlineStr">
        <is>
          <t>Лампа ДРЛ Osram 250 вт(Россия)</t>
        </is>
      </c>
      <c r="C287" s="9" t="inlineStr">
        <is>
          <t>Светильники</t>
        </is>
      </c>
      <c r="D287" s="9" t="inlineStr">
        <is>
          <t>шт</t>
        </is>
      </c>
      <c r="E287" s="10" t="n">
        <v>1</v>
      </c>
      <c r="F287" s="4">
        <f>E287*IFERROR(INDEX(Работы!$D$4:$D$672,MATCH(SUBSTITUTE(SUBSTITUTE(SUBSTITUTE(A287,"~","~~"),"*","~*"),"?","~?"),Работы!$B$4:$B$672,0)),0)</f>
        <v/>
      </c>
      <c r="G287" s="10" t="n">
        <v>450</v>
      </c>
      <c r="H287" s="14" t="n">
        <v>1</v>
      </c>
      <c r="I287" s="11" t="n">
        <v>0.01</v>
      </c>
      <c r="J287" s="11" t="n">
        <v>0.1</v>
      </c>
      <c r="K287" s="10" t="n"/>
      <c r="L287" s="9" t="inlineStr">
        <is>
          <t>оценка</t>
        </is>
      </c>
      <c r="M287" s="9" t="inlineStr"/>
      <c r="N287" s="9" t="inlineStr">
        <is>
          <t>2026-10-29</t>
        </is>
      </c>
      <c r="O287" s="13" t="inlineStr">
        <is>
          <t>оценка лампы В Петрович, Лемана ПРО и Сатурн открытой карточки нет, оставлен прежний источник.</t>
        </is>
      </c>
      <c r="P287" s="4">
        <f>IF(H287=1,G287/VAT_DIV,G287)</f>
        <v/>
      </c>
      <c r="Q287" s="4">
        <f>P287*(1+I287)*(1+DELIV)*(1+GROWTH+MONEY)</f>
        <v/>
      </c>
      <c r="R287" s="4">
        <f>IF(AND(K287&lt;&gt;"",Q287*(1+J287)&gt;K287/VAT_DIV),K287/VAT_DIV,Q287*(1+J287))</f>
        <v/>
      </c>
      <c r="S287" s="4">
        <f>Q287*F287</f>
        <v/>
      </c>
      <c r="T287" s="4">
        <f>R287*F287</f>
        <v/>
      </c>
      <c r="U287" s="3">
        <f>IF(AND(K287&lt;&gt;"",Q287*(1+J287)&gt;K287/VAT_DIV+0.01),"ДА","")</f>
        <v/>
      </c>
      <c r="V287" s="4">
        <f>P287*F287</f>
        <v/>
      </c>
    </row>
    <row r="288" ht="20" customHeight="1">
      <c r="A288" s="9" t="inlineStr">
        <is>
          <t>254. Лампа ДРЛ Osram 400 вт(Россия)</t>
        </is>
      </c>
      <c r="B288" s="13" t="inlineStr">
        <is>
          <t>Лампа ДРЛ Osram 400 вт(Россия)</t>
        </is>
      </c>
      <c r="C288" s="9" t="inlineStr">
        <is>
          <t>Светильники</t>
        </is>
      </c>
      <c r="D288" s="9" t="inlineStr">
        <is>
          <t>шт</t>
        </is>
      </c>
      <c r="E288" s="10" t="n">
        <v>1</v>
      </c>
      <c r="F288" s="4">
        <f>E288*IFERROR(INDEX(Работы!$D$4:$D$672,MATCH(SUBSTITUTE(SUBSTITUTE(SUBSTITUTE(A288,"~","~~"),"*","~*"),"?","~?"),Работы!$B$4:$B$672,0)),0)</f>
        <v/>
      </c>
      <c r="G288" s="10" t="n">
        <v>700</v>
      </c>
      <c r="H288" s="14" t="n">
        <v>1</v>
      </c>
      <c r="I288" s="11" t="n">
        <v>0.01</v>
      </c>
      <c r="J288" s="11" t="n">
        <v>0.1</v>
      </c>
      <c r="K288" s="10" t="n"/>
      <c r="L288" s="9" t="inlineStr">
        <is>
          <t>оценка</t>
        </is>
      </c>
      <c r="M288" s="9" t="inlineStr"/>
      <c r="N288" s="9" t="inlineStr">
        <is>
          <t>2026-10-29</t>
        </is>
      </c>
      <c r="O288" s="13" t="inlineStr">
        <is>
          <t>оценка лампы В Петрович, Лемана ПРО и Сатурн открытой карточки нет, оставлен прежний источник.</t>
        </is>
      </c>
      <c r="P288" s="4">
        <f>IF(H288=1,G288/VAT_DIV,G288)</f>
        <v/>
      </c>
      <c r="Q288" s="4">
        <f>P288*(1+I288)*(1+DELIV)*(1+GROWTH+MONEY)</f>
        <v/>
      </c>
      <c r="R288" s="4">
        <f>IF(AND(K288&lt;&gt;"",Q288*(1+J288)&gt;K288/VAT_DIV),K288/VAT_DIV,Q288*(1+J288))</f>
        <v/>
      </c>
      <c r="S288" s="4">
        <f>Q288*F288</f>
        <v/>
      </c>
      <c r="T288" s="4">
        <f>R288*F288</f>
        <v/>
      </c>
      <c r="U288" s="3">
        <f>IF(AND(K288&lt;&gt;"",Q288*(1+J288)&gt;K288/VAT_DIV+0.01),"ДА","")</f>
        <v/>
      </c>
      <c r="V288" s="4">
        <f>P288*F288</f>
        <v/>
      </c>
    </row>
    <row r="289" ht="20" customHeight="1">
      <c r="A289" s="9" t="inlineStr">
        <is>
          <t>255. Лампа галогенная КГ-100вт 220в R7s 118мм</t>
        </is>
      </c>
      <c r="B289" s="13" t="inlineStr">
        <is>
          <t>Лампа галогенная КГ-100вт 220в R7s 118мм</t>
        </is>
      </c>
      <c r="C289" s="9" t="inlineStr">
        <is>
          <t>Светильники</t>
        </is>
      </c>
      <c r="D289" s="9" t="inlineStr">
        <is>
          <t>шт</t>
        </is>
      </c>
      <c r="E289" s="10" t="n">
        <v>1</v>
      </c>
      <c r="F289" s="4">
        <f>E289*IFERROR(INDEX(Работы!$D$4:$D$672,MATCH(SUBSTITUTE(SUBSTITUTE(SUBSTITUTE(A289,"~","~~"),"*","~*"),"?","~?"),Работы!$B$4:$B$672,0)),0)</f>
        <v/>
      </c>
      <c r="G289" s="10" t="n">
        <v>120</v>
      </c>
      <c r="H289" s="14" t="n">
        <v>1</v>
      </c>
      <c r="I289" s="11" t="n">
        <v>0.01</v>
      </c>
      <c r="J289" s="11" t="n">
        <v>0.1</v>
      </c>
      <c r="K289" s="10" t="n"/>
      <c r="L289" s="9" t="inlineStr">
        <is>
          <t>оценка</t>
        </is>
      </c>
      <c r="M289" s="9" t="inlineStr"/>
      <c r="N289" s="9" t="inlineStr">
        <is>
          <t>2026-10-29</t>
        </is>
      </c>
      <c r="O289" s="13" t="inlineStr">
        <is>
          <t>оценка лампы В Петрович, Лемана ПРО и Сатурн открытой карточки нет, оставлен прежний источник.</t>
        </is>
      </c>
      <c r="P289" s="4">
        <f>IF(H289=1,G289/VAT_DIV,G289)</f>
        <v/>
      </c>
      <c r="Q289" s="4">
        <f>P289*(1+I289)*(1+DELIV)*(1+GROWTH+MONEY)</f>
        <v/>
      </c>
      <c r="R289" s="4">
        <f>IF(AND(K289&lt;&gt;"",Q289*(1+J289)&gt;K289/VAT_DIV),K289/VAT_DIV,Q289*(1+J289))</f>
        <v/>
      </c>
      <c r="S289" s="4">
        <f>Q289*F289</f>
        <v/>
      </c>
      <c r="T289" s="4">
        <f>R289*F289</f>
        <v/>
      </c>
      <c r="U289" s="3">
        <f>IF(AND(K289&lt;&gt;"",Q289*(1+J289)&gt;K289/VAT_DIV+0.01),"ДА","")</f>
        <v/>
      </c>
      <c r="V289" s="4">
        <f>P289*F289</f>
        <v/>
      </c>
    </row>
    <row r="290" ht="20" customHeight="1">
      <c r="A290" s="9" t="inlineStr">
        <is>
          <t>256. Лампа галогенная КГ-150вт 220в R7S 117мм</t>
        </is>
      </c>
      <c r="B290" s="13" t="inlineStr">
        <is>
          <t>Лампа галогенная КГ-150вт 220в R7S 117мм</t>
        </is>
      </c>
      <c r="C290" s="9" t="inlineStr">
        <is>
          <t>Светильники</t>
        </is>
      </c>
      <c r="D290" s="9" t="inlineStr">
        <is>
          <t>шт</t>
        </is>
      </c>
      <c r="E290" s="10" t="n">
        <v>1</v>
      </c>
      <c r="F290" s="4">
        <f>E290*IFERROR(INDEX(Работы!$D$4:$D$672,MATCH(SUBSTITUTE(SUBSTITUTE(SUBSTITUTE(A290,"~","~~"),"*","~*"),"?","~?"),Работы!$B$4:$B$672,0)),0)</f>
        <v/>
      </c>
      <c r="G290" s="10" t="n">
        <v>120</v>
      </c>
      <c r="H290" s="14" t="n">
        <v>1</v>
      </c>
      <c r="I290" s="11" t="n">
        <v>0.01</v>
      </c>
      <c r="J290" s="11" t="n">
        <v>0.1</v>
      </c>
      <c r="K290" s="10" t="n"/>
      <c r="L290" s="9" t="inlineStr">
        <is>
          <t>оценка</t>
        </is>
      </c>
      <c r="M290" s="9" t="inlineStr"/>
      <c r="N290" s="9" t="inlineStr">
        <is>
          <t>2026-10-29</t>
        </is>
      </c>
      <c r="O290" s="13" t="inlineStr">
        <is>
          <t>оценка лампы В Петрович, Лемана ПРО и Сатурн открытой карточки нет, оставлен прежний источник.</t>
        </is>
      </c>
      <c r="P290" s="4">
        <f>IF(H290=1,G290/VAT_DIV,G290)</f>
        <v/>
      </c>
      <c r="Q290" s="4">
        <f>P290*(1+I290)*(1+DELIV)*(1+GROWTH+MONEY)</f>
        <v/>
      </c>
      <c r="R290" s="4">
        <f>IF(AND(K290&lt;&gt;"",Q290*(1+J290)&gt;K290/VAT_DIV),K290/VAT_DIV,Q290*(1+J290))</f>
        <v/>
      </c>
      <c r="S290" s="4">
        <f>Q290*F290</f>
        <v/>
      </c>
      <c r="T290" s="4">
        <f>R290*F290</f>
        <v/>
      </c>
      <c r="U290" s="3">
        <f>IF(AND(K290&lt;&gt;"",Q290*(1+J290)&gt;K290/VAT_DIV+0.01),"ДА","")</f>
        <v/>
      </c>
      <c r="V290" s="4">
        <f>P290*F290</f>
        <v/>
      </c>
    </row>
    <row r="291" ht="20" customHeight="1">
      <c r="A291" s="9" t="inlineStr">
        <is>
          <t>257. Лампа галогенная КГ-250вт 220в R7s 118мм</t>
        </is>
      </c>
      <c r="B291" s="13" t="inlineStr">
        <is>
          <t>Лампа галогенная КГ-250вт 220в R7s 118мм</t>
        </is>
      </c>
      <c r="C291" s="9" t="inlineStr">
        <is>
          <t>Светильники</t>
        </is>
      </c>
      <c r="D291" s="9" t="inlineStr">
        <is>
          <t>шт</t>
        </is>
      </c>
      <c r="E291" s="10" t="n">
        <v>1</v>
      </c>
      <c r="F291" s="4">
        <f>E291*IFERROR(INDEX(Работы!$D$4:$D$672,MATCH(SUBSTITUTE(SUBSTITUTE(SUBSTITUTE(A291,"~","~~"),"*","~*"),"?","~?"),Работы!$B$4:$B$672,0)),0)</f>
        <v/>
      </c>
      <c r="G291" s="10" t="n">
        <v>120</v>
      </c>
      <c r="H291" s="14" t="n">
        <v>1</v>
      </c>
      <c r="I291" s="11" t="n">
        <v>0.01</v>
      </c>
      <c r="J291" s="11" t="n">
        <v>0.1</v>
      </c>
      <c r="K291" s="10" t="n"/>
      <c r="L291" s="9" t="inlineStr">
        <is>
          <t>оценка</t>
        </is>
      </c>
      <c r="M291" s="9" t="inlineStr"/>
      <c r="N291" s="9" t="inlineStr">
        <is>
          <t>2026-10-29</t>
        </is>
      </c>
      <c r="O291" s="13" t="inlineStr">
        <is>
          <t>оценка лампы В Петрович, Лемана ПРО и Сатурн открытой карточки нет, оставлен прежний источник.</t>
        </is>
      </c>
      <c r="P291" s="4">
        <f>IF(H291=1,G291/VAT_DIV,G291)</f>
        <v/>
      </c>
      <c r="Q291" s="4">
        <f>P291*(1+I291)*(1+DELIV)*(1+GROWTH+MONEY)</f>
        <v/>
      </c>
      <c r="R291" s="4">
        <f>IF(AND(K291&lt;&gt;"",Q291*(1+J291)&gt;K291/VAT_DIV),K291/VAT_DIV,Q291*(1+J291))</f>
        <v/>
      </c>
      <c r="S291" s="4">
        <f>Q291*F291</f>
        <v/>
      </c>
      <c r="T291" s="4">
        <f>R291*F291</f>
        <v/>
      </c>
      <c r="U291" s="3">
        <f>IF(AND(K291&lt;&gt;"",Q291*(1+J291)&gt;K291/VAT_DIV+0.01),"ДА","")</f>
        <v/>
      </c>
      <c r="V291" s="4">
        <f>P291*F291</f>
        <v/>
      </c>
    </row>
    <row r="292" ht="20" customHeight="1">
      <c r="A292" s="9" t="inlineStr">
        <is>
          <t>258. Лампа гал.ECO 80WR7S 20X1 OSRAM Германия или аналог</t>
        </is>
      </c>
      <c r="B292" s="13" t="inlineStr">
        <is>
          <t>Лампа гал.ECO 80WR7S 20X1 OSRAM Германия или аналог</t>
        </is>
      </c>
      <c r="C292" s="9" t="inlineStr">
        <is>
          <t>Светильники</t>
        </is>
      </c>
      <c r="D292" s="9" t="inlineStr">
        <is>
          <t>шт</t>
        </is>
      </c>
      <c r="E292" s="10" t="n">
        <v>1</v>
      </c>
      <c r="F292" s="4">
        <f>E292*IFERROR(INDEX(Работы!$D$4:$D$672,MATCH(SUBSTITUTE(SUBSTITUTE(SUBSTITUTE(A292,"~","~~"),"*","~*"),"?","~?"),Работы!$B$4:$B$672,0)),0)</f>
        <v/>
      </c>
      <c r="G292" s="10" t="n">
        <v>80</v>
      </c>
      <c r="H292" s="14" t="n">
        <v>1</v>
      </c>
      <c r="I292" s="11" t="n">
        <v>0.01</v>
      </c>
      <c r="J292" s="11" t="n">
        <v>0.1</v>
      </c>
      <c r="K292" s="10" t="n"/>
      <c r="L292" s="9" t="inlineStr">
        <is>
          <t>оценка</t>
        </is>
      </c>
      <c r="M292" s="9" t="inlineStr"/>
      <c r="N292" s="9" t="inlineStr">
        <is>
          <t>2026-10-29</t>
        </is>
      </c>
      <c r="O292" s="13" t="inlineStr">
        <is>
          <t>оценка лампы В Петрович, Лемана ПРО и Сатурн открытой карточки нет, оставлен прежний источник.</t>
        </is>
      </c>
      <c r="P292" s="4">
        <f>IF(H292=1,G292/VAT_DIV,G292)</f>
        <v/>
      </c>
      <c r="Q292" s="4">
        <f>P292*(1+I292)*(1+DELIV)*(1+GROWTH+MONEY)</f>
        <v/>
      </c>
      <c r="R292" s="4">
        <f>IF(AND(K292&lt;&gt;"",Q292*(1+J292)&gt;K292/VAT_DIV),K292/VAT_DIV,Q292*(1+J292))</f>
        <v/>
      </c>
      <c r="S292" s="4">
        <f>Q292*F292</f>
        <v/>
      </c>
      <c r="T292" s="4">
        <f>R292*F292</f>
        <v/>
      </c>
      <c r="U292" s="3">
        <f>IF(AND(K292&lt;&gt;"",Q292*(1+J292)&gt;K292/VAT_DIV+0.01),"ДА","")</f>
        <v/>
      </c>
      <c r="V292" s="4">
        <f>P292*F292</f>
        <v/>
      </c>
    </row>
    <row r="293" ht="20" customHeight="1">
      <c r="A293" s="9" t="inlineStr">
        <is>
          <t>259. Лампа люминесцентная Osram 18вт(Россия)</t>
        </is>
      </c>
      <c r="B293" s="13" t="inlineStr">
        <is>
          <t>Лампа люминесцентная Osram 18вт(Россия)</t>
        </is>
      </c>
      <c r="C293" s="9" t="inlineStr">
        <is>
          <t>Светильники</t>
        </is>
      </c>
      <c r="D293" s="9" t="inlineStr">
        <is>
          <t>шт</t>
        </is>
      </c>
      <c r="E293" s="10" t="n">
        <v>1</v>
      </c>
      <c r="F293" s="4">
        <f>E293*IFERROR(INDEX(Работы!$D$4:$D$672,MATCH(SUBSTITUTE(SUBSTITUTE(SUBSTITUTE(A293,"~","~~"),"*","~*"),"?","~?"),Работы!$B$4:$B$672,0)),0)</f>
        <v/>
      </c>
      <c r="G293" s="10" t="n">
        <v>80</v>
      </c>
      <c r="H293" s="14" t="n">
        <v>1</v>
      </c>
      <c r="I293" s="11" t="n">
        <v>0.01</v>
      </c>
      <c r="J293" s="11" t="n">
        <v>0.1</v>
      </c>
      <c r="K293" s="10" t="n"/>
      <c r="L293" s="9" t="inlineStr">
        <is>
          <t>оценка</t>
        </is>
      </c>
      <c r="M293" s="9" t="inlineStr"/>
      <c r="N293" s="9" t="inlineStr">
        <is>
          <t>2026-10-29</t>
        </is>
      </c>
      <c r="O293" s="13" t="inlineStr">
        <is>
          <t>оценка лампы В Петрович, Лемана ПРО и Сатурн открытой карточки нет, оставлен прежний источник.</t>
        </is>
      </c>
      <c r="P293" s="4">
        <f>IF(H293=1,G293/VAT_DIV,G293)</f>
        <v/>
      </c>
      <c r="Q293" s="4">
        <f>P293*(1+I293)*(1+DELIV)*(1+GROWTH+MONEY)</f>
        <v/>
      </c>
      <c r="R293" s="4">
        <f>IF(AND(K293&lt;&gt;"",Q293*(1+J293)&gt;K293/VAT_DIV),K293/VAT_DIV,Q293*(1+J293))</f>
        <v/>
      </c>
      <c r="S293" s="4">
        <f>Q293*F293</f>
        <v/>
      </c>
      <c r="T293" s="4">
        <f>R293*F293</f>
        <v/>
      </c>
      <c r="U293" s="3">
        <f>IF(AND(K293&lt;&gt;"",Q293*(1+J293)&gt;K293/VAT_DIV+0.01),"ДА","")</f>
        <v/>
      </c>
      <c r="V293" s="4">
        <f>P293*F293</f>
        <v/>
      </c>
    </row>
    <row r="294" ht="20" customHeight="1">
      <c r="A294" s="9" t="inlineStr">
        <is>
          <t>260. Лампа люм. 36 Вт L 36/640 RU Osram(Россия)</t>
        </is>
      </c>
      <c r="B294" s="13" t="inlineStr">
        <is>
          <t>Лампа люм. 36 Вт L 36/640 RU Osram(Россия)</t>
        </is>
      </c>
      <c r="C294" s="9" t="inlineStr">
        <is>
          <t>Светильники</t>
        </is>
      </c>
      <c r="D294" s="9" t="inlineStr">
        <is>
          <t>шт</t>
        </is>
      </c>
      <c r="E294" s="10" t="n">
        <v>1</v>
      </c>
      <c r="F294" s="4">
        <f>E294*IFERROR(INDEX(Работы!$D$4:$D$672,MATCH(SUBSTITUTE(SUBSTITUTE(SUBSTITUTE(A294,"~","~~"),"*","~*"),"?","~?"),Работы!$B$4:$B$672,0)),0)</f>
        <v/>
      </c>
      <c r="G294" s="10" t="n">
        <v>80</v>
      </c>
      <c r="H294" s="14" t="n">
        <v>1</v>
      </c>
      <c r="I294" s="11" t="n">
        <v>0.01</v>
      </c>
      <c r="J294" s="11" t="n">
        <v>0.1</v>
      </c>
      <c r="K294" s="10" t="n"/>
      <c r="L294" s="9" t="inlineStr">
        <is>
          <t>оценка</t>
        </is>
      </c>
      <c r="M294" s="9" t="inlineStr"/>
      <c r="N294" s="9" t="inlineStr">
        <is>
          <t>2026-10-29</t>
        </is>
      </c>
      <c r="O294" s="13" t="inlineStr">
        <is>
          <t>оценка лампы В Петрович, Лемана ПРО и Сатурн открытой карточки нет, оставлен прежний источник.</t>
        </is>
      </c>
      <c r="P294" s="4">
        <f>IF(H294=1,G294/VAT_DIV,G294)</f>
        <v/>
      </c>
      <c r="Q294" s="4">
        <f>P294*(1+I294)*(1+DELIV)*(1+GROWTH+MONEY)</f>
        <v/>
      </c>
      <c r="R294" s="4">
        <f>IF(AND(K294&lt;&gt;"",Q294*(1+J294)&gt;K294/VAT_DIV),K294/VAT_DIV,Q294*(1+J294))</f>
        <v/>
      </c>
      <c r="S294" s="4">
        <f>Q294*F294</f>
        <v/>
      </c>
      <c r="T294" s="4">
        <f>R294*F294</f>
        <v/>
      </c>
      <c r="U294" s="3">
        <f>IF(AND(K294&lt;&gt;"",Q294*(1+J294)&gt;K294/VAT_DIV+0.01),"ДА","")</f>
        <v/>
      </c>
      <c r="V294" s="4">
        <f>P294*F294</f>
        <v/>
      </c>
    </row>
    <row r="295" ht="20" customHeight="1">
      <c r="A295" s="9" t="inlineStr">
        <is>
          <t>261. Лампа люм. 58Вт L58W/640 G13 4000К Osram(Россия)</t>
        </is>
      </c>
      <c r="B295" s="13" t="inlineStr">
        <is>
          <t>Лампа люм. 58Вт L58W/640 G13 4000К Osram(Россия)</t>
        </is>
      </c>
      <c r="C295" s="9" t="inlineStr">
        <is>
          <t>Светильники</t>
        </is>
      </c>
      <c r="D295" s="9" t="inlineStr">
        <is>
          <t>шт</t>
        </is>
      </c>
      <c r="E295" s="10" t="n">
        <v>1</v>
      </c>
      <c r="F295" s="4">
        <f>E295*IFERROR(INDEX(Работы!$D$4:$D$672,MATCH(SUBSTITUTE(SUBSTITUTE(SUBSTITUTE(A295,"~","~~"),"*","~*"),"?","~?"),Работы!$B$4:$B$672,0)),0)</f>
        <v/>
      </c>
      <c r="G295" s="10" t="n">
        <v>80</v>
      </c>
      <c r="H295" s="14" t="n">
        <v>1</v>
      </c>
      <c r="I295" s="11" t="n">
        <v>0.01</v>
      </c>
      <c r="J295" s="11" t="n">
        <v>0.1</v>
      </c>
      <c r="K295" s="10" t="n"/>
      <c r="L295" s="9" t="inlineStr">
        <is>
          <t>оценка</t>
        </is>
      </c>
      <c r="M295" s="9" t="inlineStr"/>
      <c r="N295" s="9" t="inlineStr">
        <is>
          <t>2026-10-29</t>
        </is>
      </c>
      <c r="O295" s="13" t="inlineStr">
        <is>
          <t>оценка лампы В Петрович, Лемана ПРО и Сатурн открытой карточки нет, оставлен прежний источник.</t>
        </is>
      </c>
      <c r="P295" s="4">
        <f>IF(H295=1,G295/VAT_DIV,G295)</f>
        <v/>
      </c>
      <c r="Q295" s="4">
        <f>P295*(1+I295)*(1+DELIV)*(1+GROWTH+MONEY)</f>
        <v/>
      </c>
      <c r="R295" s="4">
        <f>IF(AND(K295&lt;&gt;"",Q295*(1+J295)&gt;K295/VAT_DIV),K295/VAT_DIV,Q295*(1+J295))</f>
        <v/>
      </c>
      <c r="S295" s="4">
        <f>Q295*F295</f>
        <v/>
      </c>
      <c r="T295" s="4">
        <f>R295*F295</f>
        <v/>
      </c>
      <c r="U295" s="3">
        <f>IF(AND(K295&lt;&gt;"",Q295*(1+J295)&gt;K295/VAT_DIV+0.01),"ДА","")</f>
        <v/>
      </c>
      <c r="V295" s="4">
        <f>P295*F295</f>
        <v/>
      </c>
    </row>
    <row r="296" ht="20" customHeight="1">
      <c r="A296" s="9" t="inlineStr">
        <is>
          <t>262. Лампа LED 3960\3560lm 1500мм</t>
        </is>
      </c>
      <c r="B296" s="13" t="inlineStr">
        <is>
          <t>Лампа LED 3960\3560lm 1500мм</t>
        </is>
      </c>
      <c r="C296" s="9" t="inlineStr">
        <is>
          <t>Светильники</t>
        </is>
      </c>
      <c r="D296" s="9" t="inlineStr">
        <is>
          <t>шт</t>
        </is>
      </c>
      <c r="E296" s="10" t="n">
        <v>1</v>
      </c>
      <c r="F296" s="4">
        <f>E296*IFERROR(INDEX(Работы!$D$4:$D$672,MATCH(SUBSTITUTE(SUBSTITUTE(SUBSTITUTE(A296,"~","~~"),"*","~*"),"?","~?"),Работы!$B$4:$B$672,0)),0)</f>
        <v/>
      </c>
      <c r="G296" s="10" t="n">
        <v>252</v>
      </c>
      <c r="H296" s="14" t="n">
        <v>1</v>
      </c>
      <c r="I296" s="11" t="n">
        <v>0.01</v>
      </c>
      <c r="J296" s="11" t="n">
        <v>0.1</v>
      </c>
      <c r="K296" s="10" t="n"/>
      <c r="L296" s="9" t="inlineStr">
        <is>
          <t>оценка</t>
        </is>
      </c>
      <c r="M296" s="9" t="inlineStr"/>
      <c r="N296" s="9" t="inlineStr">
        <is>
          <t>2026-10-29</t>
        </is>
      </c>
      <c r="O296" s="13" t="inlineStr">
        <is>
          <t>оценка лампы В Петрович, Лемана ПРО и Сатурн открытой карточки нет, оставлен прежний источник.</t>
        </is>
      </c>
      <c r="P296" s="4">
        <f>IF(H296=1,G296/VAT_DIV,G296)</f>
        <v/>
      </c>
      <c r="Q296" s="4">
        <f>P296*(1+I296)*(1+DELIV)*(1+GROWTH+MONEY)</f>
        <v/>
      </c>
      <c r="R296" s="4">
        <f>IF(AND(K296&lt;&gt;"",Q296*(1+J296)&gt;K296/VAT_DIV),K296/VAT_DIV,Q296*(1+J296))</f>
        <v/>
      </c>
      <c r="S296" s="4">
        <f>Q296*F296</f>
        <v/>
      </c>
      <c r="T296" s="4">
        <f>R296*F296</f>
        <v/>
      </c>
      <c r="U296" s="3">
        <f>IF(AND(K296&lt;&gt;"",Q296*(1+J296)&gt;K296/VAT_DIV+0.01),"ДА","")</f>
        <v/>
      </c>
      <c r="V296" s="4">
        <f>P296*F296</f>
        <v/>
      </c>
    </row>
    <row r="297" ht="20" customHeight="1">
      <c r="A297" s="9" t="inlineStr">
        <is>
          <t>263. Лампа люминисцентная 900мм 30W T8 G13 (765)</t>
        </is>
      </c>
      <c r="B297" s="13" t="inlineStr">
        <is>
          <t>Лампа люминисцентная 900мм 30W T8 G13 (765)</t>
        </is>
      </c>
      <c r="C297" s="9" t="inlineStr">
        <is>
          <t>Светильники</t>
        </is>
      </c>
      <c r="D297" s="9" t="inlineStr">
        <is>
          <t>шт</t>
        </is>
      </c>
      <c r="E297" s="10" t="n">
        <v>1</v>
      </c>
      <c r="F297" s="4">
        <f>E297*IFERROR(INDEX(Работы!$D$4:$D$672,MATCH(SUBSTITUTE(SUBSTITUTE(SUBSTITUTE(A297,"~","~~"),"*","~*"),"?","~?"),Работы!$B$4:$B$672,0)),0)</f>
        <v/>
      </c>
      <c r="G297" s="10" t="n">
        <v>252</v>
      </c>
      <c r="H297" s="14" t="n">
        <v>1</v>
      </c>
      <c r="I297" s="11" t="n">
        <v>0.01</v>
      </c>
      <c r="J297" s="11" t="n">
        <v>0.1</v>
      </c>
      <c r="K297" s="10" t="n"/>
      <c r="L297" s="9" t="inlineStr">
        <is>
          <t>оценка</t>
        </is>
      </c>
      <c r="M297" s="9" t="inlineStr"/>
      <c r="N297" s="9" t="inlineStr">
        <is>
          <t>2026-10-29</t>
        </is>
      </c>
      <c r="O297" s="13" t="inlineStr">
        <is>
          <t>оценка лампы В Петрович, Лемана ПРО и Сатурн открытой карточки нет, оставлен прежний источник.</t>
        </is>
      </c>
      <c r="P297" s="4">
        <f>IF(H297=1,G297/VAT_DIV,G297)</f>
        <v/>
      </c>
      <c r="Q297" s="4">
        <f>P297*(1+I297)*(1+DELIV)*(1+GROWTH+MONEY)</f>
        <v/>
      </c>
      <c r="R297" s="4">
        <f>IF(AND(K297&lt;&gt;"",Q297*(1+J297)&gt;K297/VAT_DIV),K297/VAT_DIV,Q297*(1+J297))</f>
        <v/>
      </c>
      <c r="S297" s="4">
        <f>Q297*F297</f>
        <v/>
      </c>
      <c r="T297" s="4">
        <f>R297*F297</f>
        <v/>
      </c>
      <c r="U297" s="3">
        <f>IF(AND(K297&lt;&gt;"",Q297*(1+J297)&gt;K297/VAT_DIV+0.01),"ДА","")</f>
        <v/>
      </c>
      <c r="V297" s="4">
        <f>P297*F297</f>
        <v/>
      </c>
    </row>
    <row r="298" ht="20" customHeight="1">
      <c r="A298" s="9" t="inlineStr">
        <is>
          <t>264. Лампа люминисцентная 900мм 21W Т5 G5 (765) Navigator</t>
        </is>
      </c>
      <c r="B298" s="13" t="inlineStr">
        <is>
          <t>Лампа люминисцентная 900мм 21W Т5 G5 (765) Navigator</t>
        </is>
      </c>
      <c r="C298" s="9" t="inlineStr">
        <is>
          <t>Светильники</t>
        </is>
      </c>
      <c r="D298" s="9" t="inlineStr">
        <is>
          <t>шт</t>
        </is>
      </c>
      <c r="E298" s="10" t="n">
        <v>1</v>
      </c>
      <c r="F298" s="4">
        <f>E298*IFERROR(INDEX(Работы!$D$4:$D$672,MATCH(SUBSTITUTE(SUBSTITUTE(SUBSTITUTE(A298,"~","~~"),"*","~*"),"?","~?"),Работы!$B$4:$B$672,0)),0)</f>
        <v/>
      </c>
      <c r="G298" s="10" t="n">
        <v>80</v>
      </c>
      <c r="H298" s="14" t="n">
        <v>1</v>
      </c>
      <c r="I298" s="11" t="n">
        <v>0.01</v>
      </c>
      <c r="J298" s="11" t="n">
        <v>0.1</v>
      </c>
      <c r="K298" s="10" t="n"/>
      <c r="L298" s="9" t="inlineStr">
        <is>
          <t>оценка</t>
        </is>
      </c>
      <c r="M298" s="9" t="inlineStr"/>
      <c r="N298" s="9" t="inlineStr">
        <is>
          <t>2026-10-29</t>
        </is>
      </c>
      <c r="O298" s="13" t="inlineStr">
        <is>
          <t>оценка лампы В Петрович, Лемана ПРО и Сатурн открытой карточки нет, оставлен прежний источник.</t>
        </is>
      </c>
      <c r="P298" s="4">
        <f>IF(H298=1,G298/VAT_DIV,G298)</f>
        <v/>
      </c>
      <c r="Q298" s="4">
        <f>P298*(1+I298)*(1+DELIV)*(1+GROWTH+MONEY)</f>
        <v/>
      </c>
      <c r="R298" s="4">
        <f>IF(AND(K298&lt;&gt;"",Q298*(1+J298)&gt;K298/VAT_DIV),K298/VAT_DIV,Q298*(1+J298))</f>
        <v/>
      </c>
      <c r="S298" s="4">
        <f>Q298*F298</f>
        <v/>
      </c>
      <c r="T298" s="4">
        <f>R298*F298</f>
        <v/>
      </c>
      <c r="U298" s="3">
        <f>IF(AND(K298&lt;&gt;"",Q298*(1+J298)&gt;K298/VAT_DIV+0.01),"ДА","")</f>
        <v/>
      </c>
      <c r="V298" s="4">
        <f>P298*F298</f>
        <v/>
      </c>
    </row>
    <row r="299" ht="20" customHeight="1">
      <c r="A299" s="9" t="inlineStr">
        <is>
          <t>265. Лампа люминисцентная 600мм 18W Т8 G13 (лампа18/840)</t>
        </is>
      </c>
      <c r="B299" s="13" t="inlineStr">
        <is>
          <t>Лампа люминисцентная 600мм 18W Т8 G13 (лампа18/840)</t>
        </is>
      </c>
      <c r="C299" s="9" t="inlineStr">
        <is>
          <t>Светильники</t>
        </is>
      </c>
      <c r="D299" s="9" t="inlineStr">
        <is>
          <t>шт</t>
        </is>
      </c>
      <c r="E299" s="10" t="n">
        <v>1</v>
      </c>
      <c r="F299" s="4">
        <f>E299*IFERROR(INDEX(Работы!$D$4:$D$672,MATCH(SUBSTITUTE(SUBSTITUTE(SUBSTITUTE(A299,"~","~~"),"*","~*"),"?","~?"),Работы!$B$4:$B$672,0)),0)</f>
        <v/>
      </c>
      <c r="G299" s="10" t="n">
        <v>80</v>
      </c>
      <c r="H299" s="14" t="n">
        <v>1</v>
      </c>
      <c r="I299" s="11" t="n">
        <v>0.01</v>
      </c>
      <c r="J299" s="11" t="n">
        <v>0.1</v>
      </c>
      <c r="K299" s="10" t="n"/>
      <c r="L299" s="9" t="inlineStr">
        <is>
          <t>оценка</t>
        </is>
      </c>
      <c r="M299" s="9" t="inlineStr"/>
      <c r="N299" s="9" t="inlineStr">
        <is>
          <t>2026-10-29</t>
        </is>
      </c>
      <c r="O299" s="13" t="inlineStr">
        <is>
          <t>оценка лампы В Петрович, Лемана ПРО и Сатурн открытой карточки нет, оставлен прежний источник.</t>
        </is>
      </c>
      <c r="P299" s="4">
        <f>IF(H299=1,G299/VAT_DIV,G299)</f>
        <v/>
      </c>
      <c r="Q299" s="4">
        <f>P299*(1+I299)*(1+DELIV)*(1+GROWTH+MONEY)</f>
        <v/>
      </c>
      <c r="R299" s="4">
        <f>IF(AND(K299&lt;&gt;"",Q299*(1+J299)&gt;K299/VAT_DIV),K299/VAT_DIV,Q299*(1+J299))</f>
        <v/>
      </c>
      <c r="S299" s="4">
        <f>Q299*F299</f>
        <v/>
      </c>
      <c r="T299" s="4">
        <f>R299*F299</f>
        <v/>
      </c>
      <c r="U299" s="3">
        <f>IF(AND(K299&lt;&gt;"",Q299*(1+J299)&gt;K299/VAT_DIV+0.01),"ДА","")</f>
        <v/>
      </c>
      <c r="V299" s="4">
        <f>P299*F299</f>
        <v/>
      </c>
    </row>
    <row r="300" ht="20" customHeight="1">
      <c r="A300" s="9" t="inlineStr">
        <is>
          <t>266. Светодиодная лампа Led Favourite t5 g5 18w 165-265v 1149mm glass (5800-6500 К)</t>
        </is>
      </c>
      <c r="B300" s="13" t="inlineStr">
        <is>
          <t>Светодиодная лампа Led Favourite t5 g5 18w 165-265v 1149mm glass (5800</t>
        </is>
      </c>
      <c r="C300" s="9" t="inlineStr">
        <is>
          <t>Светильники</t>
        </is>
      </c>
      <c r="D300" s="9" t="inlineStr">
        <is>
          <t>шт</t>
        </is>
      </c>
      <c r="E300" s="10" t="n">
        <v>1</v>
      </c>
      <c r="F300" s="4">
        <f>E300*IFERROR(INDEX(Работы!$D$4:$D$672,MATCH(SUBSTITUTE(SUBSTITUTE(SUBSTITUTE(A300,"~","~~"),"*","~*"),"?","~?"),Работы!$B$4:$B$672,0)),0)</f>
        <v/>
      </c>
      <c r="G300" s="10" t="n">
        <v>252</v>
      </c>
      <c r="H300" s="14" t="n">
        <v>1</v>
      </c>
      <c r="I300" s="11" t="n">
        <v>0.01</v>
      </c>
      <c r="J300" s="11" t="n">
        <v>0.1</v>
      </c>
      <c r="K300" s="10" t="n"/>
      <c r="L300" s="9" t="inlineStr">
        <is>
          <t>оценка</t>
        </is>
      </c>
      <c r="M300" s="9" t="inlineStr"/>
      <c r="N300" s="9" t="inlineStr">
        <is>
          <t>2026-10-29</t>
        </is>
      </c>
      <c r="O300" s="13" t="inlineStr">
        <is>
          <t>оценка лампы В Петрович, Лемана ПРО и Сатурн открытой карточки нет, оставлен прежний источник.</t>
        </is>
      </c>
      <c r="P300" s="4">
        <f>IF(H300=1,G300/VAT_DIV,G300)</f>
        <v/>
      </c>
      <c r="Q300" s="4">
        <f>P300*(1+I300)*(1+DELIV)*(1+GROWTH+MONEY)</f>
        <v/>
      </c>
      <c r="R300" s="4">
        <f>IF(AND(K300&lt;&gt;"",Q300*(1+J300)&gt;K300/VAT_DIV),K300/VAT_DIV,Q300*(1+J300))</f>
        <v/>
      </c>
      <c r="S300" s="4">
        <f>Q300*F300</f>
        <v/>
      </c>
      <c r="T300" s="4">
        <f>R300*F300</f>
        <v/>
      </c>
      <c r="U300" s="3">
        <f>IF(AND(K300&lt;&gt;"",Q300*(1+J300)&gt;K300/VAT_DIV+0.01),"ДА","")</f>
        <v/>
      </c>
      <c r="V300" s="4">
        <f>P300*F300</f>
        <v/>
      </c>
    </row>
    <row r="301" ht="20" customHeight="1">
      <c r="A301" s="9" t="inlineStr">
        <is>
          <t>267. Лампа люминесцентная HO 54Вт/840 54Вт T5 4000К G5 OSRAM 4099854128677</t>
        </is>
      </c>
      <c r="B301" s="13" t="inlineStr">
        <is>
          <t>Лампа люминесцентная HO 54Вт/840 54Вт T5 4000К G5 OSRAM 4099854128677</t>
        </is>
      </c>
      <c r="C301" s="9" t="inlineStr">
        <is>
          <t>Светильники</t>
        </is>
      </c>
      <c r="D301" s="9" t="inlineStr">
        <is>
          <t>шт</t>
        </is>
      </c>
      <c r="E301" s="10" t="n">
        <v>1</v>
      </c>
      <c r="F301" s="4">
        <f>E301*IFERROR(INDEX(Работы!$D$4:$D$672,MATCH(SUBSTITUTE(SUBSTITUTE(SUBSTITUTE(A301,"~","~~"),"*","~*"),"?","~?"),Работы!$B$4:$B$672,0)),0)</f>
        <v/>
      </c>
      <c r="G301" s="10" t="n">
        <v>80</v>
      </c>
      <c r="H301" s="14" t="n">
        <v>1</v>
      </c>
      <c r="I301" s="11" t="n">
        <v>0.01</v>
      </c>
      <c r="J301" s="11" t="n">
        <v>0.1</v>
      </c>
      <c r="K301" s="10" t="n"/>
      <c r="L301" s="9" t="inlineStr">
        <is>
          <t>оценка</t>
        </is>
      </c>
      <c r="M301" s="9" t="inlineStr"/>
      <c r="N301" s="9" t="inlineStr">
        <is>
          <t>2026-10-29</t>
        </is>
      </c>
      <c r="O301" s="13" t="inlineStr">
        <is>
          <t>оценка лампы В Петрович, Лемана ПРО и Сатурн открытой карточки нет, оставлен прежний источник.</t>
        </is>
      </c>
      <c r="P301" s="4">
        <f>IF(H301=1,G301/VAT_DIV,G301)</f>
        <v/>
      </c>
      <c r="Q301" s="4">
        <f>P301*(1+I301)*(1+DELIV)*(1+GROWTH+MONEY)</f>
        <v/>
      </c>
      <c r="R301" s="4">
        <f>IF(AND(K301&lt;&gt;"",Q301*(1+J301)&gt;K301/VAT_DIV),K301/VAT_DIV,Q301*(1+J301))</f>
        <v/>
      </c>
      <c r="S301" s="4">
        <f>Q301*F301</f>
        <v/>
      </c>
      <c r="T301" s="4">
        <f>R301*F301</f>
        <v/>
      </c>
      <c r="U301" s="3">
        <f>IF(AND(K301&lt;&gt;"",Q301*(1+J301)&gt;K301/VAT_DIV+0.01),"ДА","")</f>
        <v/>
      </c>
      <c r="V301" s="4">
        <f>P301*F301</f>
        <v/>
      </c>
    </row>
    <row r="302" ht="20" customHeight="1">
      <c r="A302" s="9" t="inlineStr">
        <is>
          <t>268. Аппарат пускорегулирующий электронный (ЭПРА) 258 для линейных ЛЛ T8</t>
        </is>
      </c>
      <c r="B302" s="13" t="inlineStr">
        <is>
          <t>Аппарат пускорегулирующий электронный (ЭПРА) 258 для линейных ЛЛ T8</t>
        </is>
      </c>
      <c r="C302" s="9" t="inlineStr">
        <is>
          <t>Светильники</t>
        </is>
      </c>
      <c r="D302" s="9" t="inlineStr">
        <is>
          <t>шт</t>
        </is>
      </c>
      <c r="E302" s="10" t="n">
        <v>1</v>
      </c>
      <c r="F302" s="4">
        <f>E302*IFERROR(INDEX(Работы!$D$4:$D$672,MATCH(SUBSTITUTE(SUBSTITUTE(SUBSTITUTE(A302,"~","~~"),"*","~*"),"?","~?"),Работы!$B$4:$B$672,0)),0)</f>
        <v/>
      </c>
      <c r="G302" s="10" t="n">
        <v>252</v>
      </c>
      <c r="H302" s="14" t="n">
        <v>1</v>
      </c>
      <c r="I302" s="11" t="n">
        <v>0.01</v>
      </c>
      <c r="J302" s="11" t="n">
        <v>0.1</v>
      </c>
      <c r="K302" s="10" t="n"/>
      <c r="L302" s="9" t="inlineStr">
        <is>
          <t>оценка</t>
        </is>
      </c>
      <c r="M302" s="9" t="inlineStr"/>
      <c r="N302" s="9" t="inlineStr">
        <is>
          <t>2026-10-29</t>
        </is>
      </c>
      <c r="O302" s="13" t="inlineStr">
        <is>
          <t>оценка лампы В Петрович, Лемана ПРО и Сатурн открытой карточки нет, оставлен прежний источник.</t>
        </is>
      </c>
      <c r="P302" s="4">
        <f>IF(H302=1,G302/VAT_DIV,G302)</f>
        <v/>
      </c>
      <c r="Q302" s="4">
        <f>P302*(1+I302)*(1+DELIV)*(1+GROWTH+MONEY)</f>
        <v/>
      </c>
      <c r="R302" s="4">
        <f>IF(AND(K302&lt;&gt;"",Q302*(1+J302)&gt;K302/VAT_DIV),K302/VAT_DIV,Q302*(1+J302))</f>
        <v/>
      </c>
      <c r="S302" s="4">
        <f>Q302*F302</f>
        <v/>
      </c>
      <c r="T302" s="4">
        <f>R302*F302</f>
        <v/>
      </c>
      <c r="U302" s="3">
        <f>IF(AND(K302&lt;&gt;"",Q302*(1+J302)&gt;K302/VAT_DIV+0.01),"ДА","")</f>
        <v/>
      </c>
      <c r="V302" s="4">
        <f>P302*F302</f>
        <v/>
      </c>
    </row>
    <row r="303" ht="20" customHeight="1">
      <c r="A303" s="9" t="inlineStr">
        <is>
          <t>269. Светильник светодиодный 93 563 NLP-MS4-25-4K 25Вт 4000К 3050лм 176–264В IP20 панель универс. микропризма NAVIGATOR 93563</t>
        </is>
      </c>
      <c r="B303" s="13" t="inlineStr">
        <is>
          <t>Светильник светодиодный 93 563 NLP-MS4-25-4K 25Вт 4000К 3050лм 176–264В IP20 пан</t>
        </is>
      </c>
      <c r="C303" s="9" t="inlineStr">
        <is>
          <t>Светильники</t>
        </is>
      </c>
      <c r="D303" s="9" t="inlineStr">
        <is>
          <t>шт</t>
        </is>
      </c>
      <c r="E303" s="10" t="n">
        <v>1</v>
      </c>
      <c r="F303" s="4">
        <f>E303*IFERROR(INDEX(Работы!$D$4:$D$672,MATCH(SUBSTITUTE(SUBSTITUTE(SUBSTITUTE(A303,"~","~~"),"*","~*"),"?","~?"),Работы!$B$4:$B$672,0)),0)</f>
        <v/>
      </c>
      <c r="G303" s="10" t="n">
        <v>1400</v>
      </c>
      <c r="H303" s="14" t="n">
        <v>1</v>
      </c>
      <c r="I303" s="11" t="n">
        <v>0.01</v>
      </c>
      <c r="J303" s="11" t="n">
        <v>0.1</v>
      </c>
      <c r="K303" s="10" t="n"/>
      <c r="L303" s="9" t="inlineStr">
        <is>
          <t>оценка</t>
        </is>
      </c>
      <c r="M303" s="9" t="inlineStr"/>
      <c r="N303" s="9" t="inlineStr">
        <is>
          <t>2026-10-29</t>
        </is>
      </c>
      <c r="O303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303" s="4">
        <f>IF(H303=1,G303/VAT_DIV,G303)</f>
        <v/>
      </c>
      <c r="Q303" s="4">
        <f>P303*(1+I303)*(1+DELIV)*(1+GROWTH+MONEY)</f>
        <v/>
      </c>
      <c r="R303" s="4">
        <f>IF(AND(K303&lt;&gt;"",Q303*(1+J303)&gt;K303/VAT_DIV),K303/VAT_DIV,Q303*(1+J303))</f>
        <v/>
      </c>
      <c r="S303" s="4">
        <f>Q303*F303</f>
        <v/>
      </c>
      <c r="T303" s="4">
        <f>R303*F303</f>
        <v/>
      </c>
      <c r="U303" s="3">
        <f>IF(AND(K303&lt;&gt;"",Q303*(1+J303)&gt;K303/VAT_DIV+0.01),"ДА","")</f>
        <v/>
      </c>
      <c r="V303" s="4">
        <f>P303*F303</f>
        <v/>
      </c>
    </row>
    <row r="304" ht="20" customHeight="1">
      <c r="A304" s="9" t="inlineStr">
        <is>
          <t>270. Лампа люминисцентная 450мм 15W T8 G13 (865)</t>
        </is>
      </c>
      <c r="B304" s="13" t="inlineStr">
        <is>
          <t>Лампа люминисцентная 450мм 15W T8 G13 (865)</t>
        </is>
      </c>
      <c r="C304" s="9" t="inlineStr">
        <is>
          <t>Светильники</t>
        </is>
      </c>
      <c r="D304" s="9" t="inlineStr">
        <is>
          <t>шт</t>
        </is>
      </c>
      <c r="E304" s="10" t="n">
        <v>1</v>
      </c>
      <c r="F304" s="4">
        <f>E304*IFERROR(INDEX(Работы!$D$4:$D$672,MATCH(SUBSTITUTE(SUBSTITUTE(SUBSTITUTE(A304,"~","~~"),"*","~*"),"?","~?"),Работы!$B$4:$B$672,0)),0)</f>
        <v/>
      </c>
      <c r="G304" s="10" t="n">
        <v>252</v>
      </c>
      <c r="H304" s="14" t="n">
        <v>1</v>
      </c>
      <c r="I304" s="11" t="n">
        <v>0.01</v>
      </c>
      <c r="J304" s="11" t="n">
        <v>0.1</v>
      </c>
      <c r="K304" s="10" t="n"/>
      <c r="L304" s="9" t="inlineStr">
        <is>
          <t>оценка</t>
        </is>
      </c>
      <c r="M304" s="9" t="inlineStr"/>
      <c r="N304" s="9" t="inlineStr">
        <is>
          <t>2026-10-29</t>
        </is>
      </c>
      <c r="O304" s="13" t="inlineStr">
        <is>
          <t>оценка лампы В Петрович, Лемана ПРО и Сатурн открытой карточки нет, оставлен прежний источник.</t>
        </is>
      </c>
      <c r="P304" s="4">
        <f>IF(H304=1,G304/VAT_DIV,G304)</f>
        <v/>
      </c>
      <c r="Q304" s="4">
        <f>P304*(1+I304)*(1+DELIV)*(1+GROWTH+MONEY)</f>
        <v/>
      </c>
      <c r="R304" s="4">
        <f>IF(AND(K304&lt;&gt;"",Q304*(1+J304)&gt;K304/VAT_DIV),K304/VAT_DIV,Q304*(1+J304))</f>
        <v/>
      </c>
      <c r="S304" s="4">
        <f>Q304*F304</f>
        <v/>
      </c>
      <c r="T304" s="4">
        <f>R304*F304</f>
        <v/>
      </c>
      <c r="U304" s="3">
        <f>IF(AND(K304&lt;&gt;"",Q304*(1+J304)&gt;K304/VAT_DIV+0.01),"ДА","")</f>
        <v/>
      </c>
      <c r="V304" s="4">
        <f>P304*F304</f>
        <v/>
      </c>
    </row>
    <row r="305" ht="20" customHeight="1">
      <c r="A305" s="9" t="inlineStr">
        <is>
          <t>271. Лампа энергосберег. 15 Вт Е27</t>
        </is>
      </c>
      <c r="B305" s="13" t="inlineStr">
        <is>
          <t>Лампа энергосберег. 15 Вт Е27</t>
        </is>
      </c>
      <c r="C305" s="9" t="inlineStr">
        <is>
          <t>Светильники</t>
        </is>
      </c>
      <c r="D305" s="9" t="inlineStr">
        <is>
          <t>шт</t>
        </is>
      </c>
      <c r="E305" s="10" t="n">
        <v>1</v>
      </c>
      <c r="F305" s="4">
        <f>E305*IFERROR(INDEX(Работы!$D$4:$D$672,MATCH(SUBSTITUTE(SUBSTITUTE(SUBSTITUTE(A305,"~","~~"),"*","~*"),"?","~?"),Работы!$B$4:$B$672,0)),0)</f>
        <v/>
      </c>
      <c r="G305" s="10" t="n">
        <v>80</v>
      </c>
      <c r="H305" s="14" t="n">
        <v>1</v>
      </c>
      <c r="I305" s="11" t="n">
        <v>0.01</v>
      </c>
      <c r="J305" s="11" t="n">
        <v>0.1</v>
      </c>
      <c r="K305" s="10" t="n"/>
      <c r="L305" s="9" t="inlineStr">
        <is>
          <t>оценка</t>
        </is>
      </c>
      <c r="M305" s="9" t="inlineStr"/>
      <c r="N305" s="9" t="inlineStr">
        <is>
          <t>2026-10-29</t>
        </is>
      </c>
      <c r="O305" s="13" t="inlineStr">
        <is>
          <t>оценка лампы В Петрович, Лемана ПРО и Сатурн открытой карточки нет, оставлен прежний источник.</t>
        </is>
      </c>
      <c r="P305" s="4">
        <f>IF(H305=1,G305/VAT_DIV,G305)</f>
        <v/>
      </c>
      <c r="Q305" s="4">
        <f>P305*(1+I305)*(1+DELIV)*(1+GROWTH+MONEY)</f>
        <v/>
      </c>
      <c r="R305" s="4">
        <f>IF(AND(K305&lt;&gt;"",Q305*(1+J305)&gt;K305/VAT_DIV),K305/VAT_DIV,Q305*(1+J305))</f>
        <v/>
      </c>
      <c r="S305" s="4">
        <f>Q305*F305</f>
        <v/>
      </c>
      <c r="T305" s="4">
        <f>R305*F305</f>
        <v/>
      </c>
      <c r="U305" s="3">
        <f>IF(AND(K305&lt;&gt;"",Q305*(1+J305)&gt;K305/VAT_DIV+0.01),"ДА","")</f>
        <v/>
      </c>
      <c r="V305" s="4">
        <f>P305*F305</f>
        <v/>
      </c>
    </row>
    <row r="306" ht="20" customHeight="1">
      <c r="A306" s="9" t="inlineStr">
        <is>
          <t>272. Лампа накаливания 60 Вт</t>
        </is>
      </c>
      <c r="B306" s="13" t="inlineStr">
        <is>
          <t>Лампа накаливания 60 Вт</t>
        </is>
      </c>
      <c r="C306" s="9" t="inlineStr">
        <is>
          <t>Светильники</t>
        </is>
      </c>
      <c r="D306" s="9" t="inlineStr">
        <is>
          <t>шт</t>
        </is>
      </c>
      <c r="E306" s="10" t="n">
        <v>1</v>
      </c>
      <c r="F306" s="4">
        <f>E306*IFERROR(INDEX(Работы!$D$4:$D$672,MATCH(SUBSTITUTE(SUBSTITUTE(SUBSTITUTE(A306,"~","~~"),"*","~*"),"?","~?"),Работы!$B$4:$B$672,0)),0)</f>
        <v/>
      </c>
      <c r="G306" s="10" t="n">
        <v>80</v>
      </c>
      <c r="H306" s="14" t="n">
        <v>1</v>
      </c>
      <c r="I306" s="11" t="n">
        <v>0.01</v>
      </c>
      <c r="J306" s="11" t="n">
        <v>0.1</v>
      </c>
      <c r="K306" s="10" t="n"/>
      <c r="L306" s="9" t="inlineStr">
        <is>
          <t>оценка</t>
        </is>
      </c>
      <c r="M306" s="9" t="inlineStr"/>
      <c r="N306" s="9" t="inlineStr">
        <is>
          <t>2026-10-29</t>
        </is>
      </c>
      <c r="O306" s="13" t="inlineStr">
        <is>
          <t>оценка лампы В Петрович, Лемана ПРО и Сатурн открытой карточки нет, оставлен прежний источник.</t>
        </is>
      </c>
      <c r="P306" s="4">
        <f>IF(H306=1,G306/VAT_DIV,G306)</f>
        <v/>
      </c>
      <c r="Q306" s="4">
        <f>P306*(1+I306)*(1+DELIV)*(1+GROWTH+MONEY)</f>
        <v/>
      </c>
      <c r="R306" s="4">
        <f>IF(AND(K306&lt;&gt;"",Q306*(1+J306)&gt;K306/VAT_DIV),K306/VAT_DIV,Q306*(1+J306))</f>
        <v/>
      </c>
      <c r="S306" s="4">
        <f>Q306*F306</f>
        <v/>
      </c>
      <c r="T306" s="4">
        <f>R306*F306</f>
        <v/>
      </c>
      <c r="U306" s="3">
        <f>IF(AND(K306&lt;&gt;"",Q306*(1+J306)&gt;K306/VAT_DIV+0.01),"ДА","")</f>
        <v/>
      </c>
      <c r="V306" s="4">
        <f>P306*F306</f>
        <v/>
      </c>
    </row>
    <row r="307" ht="20" customHeight="1">
      <c r="A307" s="9" t="inlineStr">
        <is>
          <t>273. Лампа светодиодная T8 G13 1200мм, 18 Вт</t>
        </is>
      </c>
      <c r="B307" s="13" t="inlineStr">
        <is>
          <t>Лампа светодиодная T8 G13 1200мм, 18 Вт</t>
        </is>
      </c>
      <c r="C307" s="9" t="inlineStr">
        <is>
          <t>Светильники</t>
        </is>
      </c>
      <c r="D307" s="9" t="inlineStr">
        <is>
          <t>шт</t>
        </is>
      </c>
      <c r="E307" s="10" t="n">
        <v>1</v>
      </c>
      <c r="F307" s="4">
        <f>E307*IFERROR(INDEX(Работы!$D$4:$D$672,MATCH(SUBSTITUTE(SUBSTITUTE(SUBSTITUTE(A307,"~","~~"),"*","~*"),"?","~?"),Работы!$B$4:$B$672,0)),0)</f>
        <v/>
      </c>
      <c r="G307" s="10" t="n">
        <v>252</v>
      </c>
      <c r="H307" s="14" t="n">
        <v>1</v>
      </c>
      <c r="I307" s="11" t="n">
        <v>0.01</v>
      </c>
      <c r="J307" s="11" t="n">
        <v>0.1</v>
      </c>
      <c r="K307" s="10" t="n"/>
      <c r="L307" s="9" t="inlineStr">
        <is>
          <t>оценка</t>
        </is>
      </c>
      <c r="M307" s="9" t="inlineStr"/>
      <c r="N307" s="9" t="inlineStr">
        <is>
          <t>2026-10-29</t>
        </is>
      </c>
      <c r="O307" s="13" t="inlineStr">
        <is>
          <t>оценка лампы В Петрович, Лемана ПРО и Сатурн открытой карточки нет, оставлен прежний источник.</t>
        </is>
      </c>
      <c r="P307" s="4">
        <f>IF(H307=1,G307/VAT_DIV,G307)</f>
        <v/>
      </c>
      <c r="Q307" s="4">
        <f>P307*(1+I307)*(1+DELIV)*(1+GROWTH+MONEY)</f>
        <v/>
      </c>
      <c r="R307" s="4">
        <f>IF(AND(K307&lt;&gt;"",Q307*(1+J307)&gt;K307/VAT_DIV),K307/VAT_DIV,Q307*(1+J307))</f>
        <v/>
      </c>
      <c r="S307" s="4">
        <f>Q307*F307</f>
        <v/>
      </c>
      <c r="T307" s="4">
        <f>R307*F307</f>
        <v/>
      </c>
      <c r="U307" s="3">
        <f>IF(AND(K307&lt;&gt;"",Q307*(1+J307)&gt;K307/VAT_DIV+0.01),"ДА","")</f>
        <v/>
      </c>
      <c r="V307" s="4">
        <f>P307*F307</f>
        <v/>
      </c>
    </row>
    <row r="308" ht="20" customHeight="1">
      <c r="A308" s="9" t="inlineStr">
        <is>
          <t>274. Лампа светодиодная E27, 7-10 Вт</t>
        </is>
      </c>
      <c r="B308" s="13" t="inlineStr">
        <is>
          <t>Лампа светодиодная E27, 7-10 Вт</t>
        </is>
      </c>
      <c r="C308" s="9" t="inlineStr">
        <is>
          <t>Светильники</t>
        </is>
      </c>
      <c r="D308" s="9" t="inlineStr">
        <is>
          <t>шт</t>
        </is>
      </c>
      <c r="E308" s="10" t="n">
        <v>1</v>
      </c>
      <c r="F308" s="4">
        <f>E308*IFERROR(INDEX(Работы!$D$4:$D$672,MATCH(SUBSTITUTE(SUBSTITUTE(SUBSTITUTE(A308,"~","~~"),"*","~*"),"?","~?"),Работы!$B$4:$B$672,0)),0)</f>
        <v/>
      </c>
      <c r="G308" s="10" t="n">
        <v>220</v>
      </c>
      <c r="H308" s="14" t="n">
        <v>1</v>
      </c>
      <c r="I308" s="11" t="n">
        <v>0.01</v>
      </c>
      <c r="J308" s="11" t="n">
        <v>0.1</v>
      </c>
      <c r="K308" s="10" t="n"/>
      <c r="L308" s="9" t="inlineStr">
        <is>
          <t>оценка</t>
        </is>
      </c>
      <c r="M308" s="9" t="inlineStr"/>
      <c r="N308" s="9" t="inlineStr">
        <is>
          <t>2026-10-29</t>
        </is>
      </c>
      <c r="O308" s="13" t="inlineStr">
        <is>
          <t>оценка лампы В Петрович, Лемана ПРО и Сатурн открытой карточки нет, оставлен прежний источник.</t>
        </is>
      </c>
      <c r="P308" s="4">
        <f>IF(H308=1,G308/VAT_DIV,G308)</f>
        <v/>
      </c>
      <c r="Q308" s="4">
        <f>P308*(1+I308)*(1+DELIV)*(1+GROWTH+MONEY)</f>
        <v/>
      </c>
      <c r="R308" s="4">
        <f>IF(AND(K308&lt;&gt;"",Q308*(1+J308)&gt;K308/VAT_DIV),K308/VAT_DIV,Q308*(1+J308))</f>
        <v/>
      </c>
      <c r="S308" s="4">
        <f>Q308*F308</f>
        <v/>
      </c>
      <c r="T308" s="4">
        <f>R308*F308</f>
        <v/>
      </c>
      <c r="U308" s="3">
        <f>IF(AND(K308&lt;&gt;"",Q308*(1+J308)&gt;K308/VAT_DIV+0.01),"ДА","")</f>
        <v/>
      </c>
      <c r="V308" s="4">
        <f>P308*F308</f>
        <v/>
      </c>
    </row>
    <row r="309" ht="20" customHeight="1">
      <c r="A309" s="9" t="inlineStr">
        <is>
          <t>275. Блок распределительный 4P 125A BRTC125A(АВВ) или аналог</t>
        </is>
      </c>
      <c r="B309" s="13" t="inlineStr">
        <is>
          <t>Блок распределительный 4P 125A BRTC125A(АВВ) или аналог</t>
        </is>
      </c>
      <c r="C309" s="9" t="inlineStr">
        <is>
          <t>Электроустановочные изделия, щиты, автоматы</t>
        </is>
      </c>
      <c r="D309" s="9" t="inlineStr">
        <is>
          <t>шт</t>
        </is>
      </c>
      <c r="E309" s="10" t="n">
        <v>1</v>
      </c>
      <c r="F309" s="4">
        <f>E309*IFERROR(INDEX(Работы!$D$4:$D$672,MATCH(SUBSTITUTE(SUBSTITUTE(SUBSTITUTE(A309,"~","~~"),"*","~*"),"?","~?"),Работы!$B$4:$B$672,0)),0)</f>
        <v/>
      </c>
      <c r="G309" s="10" t="n">
        <v>3500</v>
      </c>
      <c r="H309" s="14" t="n">
        <v>1</v>
      </c>
      <c r="I309" s="11" t="n">
        <v>0.01</v>
      </c>
      <c r="J309" s="11" t="n">
        <v>0.12</v>
      </c>
      <c r="K309" s="10" t="n"/>
      <c r="L309" s="9" t="inlineStr">
        <is>
          <t>оценка</t>
        </is>
      </c>
      <c r="M309" s="9" t="inlineStr"/>
      <c r="N309" s="9" t="inlineStr">
        <is>
          <t>2026-10-29</t>
        </is>
      </c>
      <c r="O309" s="13" t="inlineStr">
        <is>
          <t>оценка, ИБП и АКБ — запросить КП В Петрович, Лемана ПРО и Сатурн открытой карточки нет, оставлен прежний источник.</t>
        </is>
      </c>
      <c r="P309" s="4">
        <f>IF(H309=1,G309/VAT_DIV,G309)</f>
        <v/>
      </c>
      <c r="Q309" s="4">
        <f>P309*(1+I309)*(1+DELIV)*(1+GROWTH+MONEY)</f>
        <v/>
      </c>
      <c r="R309" s="4">
        <f>IF(AND(K309&lt;&gt;"",Q309*(1+J309)&gt;K309/VAT_DIV),K309/VAT_DIV,Q309*(1+J309))</f>
        <v/>
      </c>
      <c r="S309" s="4">
        <f>Q309*F309</f>
        <v/>
      </c>
      <c r="T309" s="4">
        <f>R309*F309</f>
        <v/>
      </c>
      <c r="U309" s="3">
        <f>IF(AND(K309&lt;&gt;"",Q309*(1+J309)&gt;K309/VAT_DIV+0.01),"ДА","")</f>
        <v/>
      </c>
      <c r="V309" s="4">
        <f>P309*F309</f>
        <v/>
      </c>
    </row>
    <row r="310" ht="20" customHeight="1">
      <c r="A310" s="9" t="inlineStr">
        <is>
          <t>276. Кросс-модуль на DIN-рейку 2х7 групп 100А ШН-103</t>
        </is>
      </c>
      <c r="B310" s="13" t="inlineStr">
        <is>
          <t>Кросс-модуль на DIN-рейку 2х7 групп 100А ШН-103</t>
        </is>
      </c>
      <c r="C310" s="9" t="inlineStr">
        <is>
          <t>Электроустановочные изделия, щиты, автоматы</t>
        </is>
      </c>
      <c r="D310" s="9" t="inlineStr">
        <is>
          <t>шт</t>
        </is>
      </c>
      <c r="E310" s="10" t="n">
        <v>1</v>
      </c>
      <c r="F310" s="4">
        <f>E310*IFERROR(INDEX(Работы!$D$4:$D$672,MATCH(SUBSTITUTE(SUBSTITUTE(SUBSTITUTE(A310,"~","~~"),"*","~*"),"?","~?"),Работы!$B$4:$B$672,0)),0)</f>
        <v/>
      </c>
      <c r="G310" s="10" t="n">
        <v>600</v>
      </c>
      <c r="H310" s="14" t="n">
        <v>1</v>
      </c>
      <c r="I310" s="11" t="n">
        <v>0.01</v>
      </c>
      <c r="J310" s="11" t="n">
        <v>0.12</v>
      </c>
      <c r="K310" s="10" t="n"/>
      <c r="L310" s="9" t="inlineStr">
        <is>
          <t>оценка</t>
        </is>
      </c>
      <c r="M310" s="9" t="inlineStr"/>
      <c r="N310" s="9" t="inlineStr">
        <is>
          <t>2026-10-29</t>
        </is>
      </c>
      <c r="O310" s="13" t="inlineStr">
        <is>
          <t>оценка, ИБП и АКБ — запросить КП В Петрович, Лемана ПРО и Сатурн открытой карточки нет, оставлен прежний источник.</t>
        </is>
      </c>
      <c r="P310" s="4">
        <f>IF(H310=1,G310/VAT_DIV,G310)</f>
        <v/>
      </c>
      <c r="Q310" s="4">
        <f>P310*(1+I310)*(1+DELIV)*(1+GROWTH+MONEY)</f>
        <v/>
      </c>
      <c r="R310" s="4">
        <f>IF(AND(K310&lt;&gt;"",Q310*(1+J310)&gt;K310/VAT_DIV),K310/VAT_DIV,Q310*(1+J310))</f>
        <v/>
      </c>
      <c r="S310" s="4">
        <f>Q310*F310</f>
        <v/>
      </c>
      <c r="T310" s="4">
        <f>R310*F310</f>
        <v/>
      </c>
      <c r="U310" s="3">
        <f>IF(AND(K310&lt;&gt;"",Q310*(1+J310)&gt;K310/VAT_DIV+0.01),"ДА","")</f>
        <v/>
      </c>
      <c r="V310" s="4">
        <f>P310*F310</f>
        <v/>
      </c>
    </row>
    <row r="311" ht="20" customHeight="1">
      <c r="A311" s="9" t="inlineStr">
        <is>
          <t>277. Кросс-модуль на DIN-рейку 4х7 групп 100А ШН-103</t>
        </is>
      </c>
      <c r="B311" s="13" t="inlineStr">
        <is>
          <t>Кросс-модуль на DIN-рейку 4х7 групп 100А ШН-103</t>
        </is>
      </c>
      <c r="C311" s="9" t="inlineStr">
        <is>
          <t>Электроустановочные изделия, щиты, автоматы</t>
        </is>
      </c>
      <c r="D311" s="9" t="inlineStr">
        <is>
          <t>шт</t>
        </is>
      </c>
      <c r="E311" s="10" t="n">
        <v>1</v>
      </c>
      <c r="F311" s="4">
        <f>E311*IFERROR(INDEX(Работы!$D$4:$D$672,MATCH(SUBSTITUTE(SUBSTITUTE(SUBSTITUTE(A311,"~","~~"),"*","~*"),"?","~?"),Работы!$B$4:$B$672,0)),0)</f>
        <v/>
      </c>
      <c r="G311" s="10" t="n">
        <v>600</v>
      </c>
      <c r="H311" s="14" t="n">
        <v>1</v>
      </c>
      <c r="I311" s="11" t="n">
        <v>0.01</v>
      </c>
      <c r="J311" s="11" t="n">
        <v>0.12</v>
      </c>
      <c r="K311" s="10" t="n"/>
      <c r="L311" s="9" t="inlineStr">
        <is>
          <t>оценка</t>
        </is>
      </c>
      <c r="M311" s="9" t="inlineStr"/>
      <c r="N311" s="9" t="inlineStr">
        <is>
          <t>2026-10-29</t>
        </is>
      </c>
      <c r="O311" s="13" t="inlineStr">
        <is>
          <t>оценка, ИБП и АКБ — запросить КП В Петрович, Лемана ПРО и Сатурн открытой карточки нет, оставлен прежний источник.</t>
        </is>
      </c>
      <c r="P311" s="4">
        <f>IF(H311=1,G311/VAT_DIV,G311)</f>
        <v/>
      </c>
      <c r="Q311" s="4">
        <f>P311*(1+I311)*(1+DELIV)*(1+GROWTH+MONEY)</f>
        <v/>
      </c>
      <c r="R311" s="4">
        <f>IF(AND(K311&lt;&gt;"",Q311*(1+J311)&gt;K311/VAT_DIV),K311/VAT_DIV,Q311*(1+J311))</f>
        <v/>
      </c>
      <c r="S311" s="4">
        <f>Q311*F311</f>
        <v/>
      </c>
      <c r="T311" s="4">
        <f>R311*F311</f>
        <v/>
      </c>
      <c r="U311" s="3">
        <f>IF(AND(K311&lt;&gt;"",Q311*(1+J311)&gt;K311/VAT_DIV+0.01),"ДА","")</f>
        <v/>
      </c>
      <c r="V311" s="4">
        <f>P311*F311</f>
        <v/>
      </c>
    </row>
    <row r="312" ht="20" customHeight="1">
      <c r="A312" s="9" t="inlineStr">
        <is>
          <t>278. Шина комплектная 1ф 12 модулей 63А (АВВ) или аналог</t>
        </is>
      </c>
      <c r="B312" s="13" t="inlineStr">
        <is>
          <t>Шина комплектная 1ф 12 модулей 63А (АВВ) или аналог</t>
        </is>
      </c>
      <c r="C312" s="9" t="inlineStr">
        <is>
          <t>Электроустановочные изделия, щиты, автоматы</t>
        </is>
      </c>
      <c r="D312" s="9" t="inlineStr">
        <is>
          <t>шт</t>
        </is>
      </c>
      <c r="E312" s="10" t="n">
        <v>1</v>
      </c>
      <c r="F312" s="4">
        <f>E312*IFERROR(INDEX(Работы!$D$4:$D$672,MATCH(SUBSTITUTE(SUBSTITUTE(SUBSTITUTE(A312,"~","~~"),"*","~*"),"?","~?"),Работы!$B$4:$B$672,0)),0)</f>
        <v/>
      </c>
      <c r="G312" s="10" t="n">
        <v>600</v>
      </c>
      <c r="H312" s="14" t="n">
        <v>1</v>
      </c>
      <c r="I312" s="11" t="n">
        <v>0.01</v>
      </c>
      <c r="J312" s="11" t="n">
        <v>0.12</v>
      </c>
      <c r="K312" s="10" t="n"/>
      <c r="L312" s="9" t="inlineStr">
        <is>
          <t>оценка</t>
        </is>
      </c>
      <c r="M312" s="9" t="inlineStr"/>
      <c r="N312" s="9" t="inlineStr">
        <is>
          <t>2026-10-29</t>
        </is>
      </c>
      <c r="O312" s="13" t="inlineStr">
        <is>
          <t>оценка, ИБП и АКБ — запросить КП В Петрович, Лемана ПРО и Сатурн открытой карточки нет, оставлен прежний источник.</t>
        </is>
      </c>
      <c r="P312" s="4">
        <f>IF(H312=1,G312/VAT_DIV,G312)</f>
        <v/>
      </c>
      <c r="Q312" s="4">
        <f>P312*(1+I312)*(1+DELIV)*(1+GROWTH+MONEY)</f>
        <v/>
      </c>
      <c r="R312" s="4">
        <f>IF(AND(K312&lt;&gt;"",Q312*(1+J312)&gt;K312/VAT_DIV),K312/VAT_DIV,Q312*(1+J312))</f>
        <v/>
      </c>
      <c r="S312" s="4">
        <f>Q312*F312</f>
        <v/>
      </c>
      <c r="T312" s="4">
        <f>R312*F312</f>
        <v/>
      </c>
      <c r="U312" s="3">
        <f>IF(AND(K312&lt;&gt;"",Q312*(1+J312)&gt;K312/VAT_DIV+0.01),"ДА","")</f>
        <v/>
      </c>
      <c r="V312" s="4">
        <f>P312*F312</f>
        <v/>
      </c>
    </row>
    <row r="313" ht="20" customHeight="1">
      <c r="A313" s="9" t="inlineStr">
        <is>
          <t>279. Шина комплектная 2ф 12 модулей 63А (АВВ) или аналог</t>
        </is>
      </c>
      <c r="B313" s="13" t="inlineStr">
        <is>
          <t>Шина комплектная 2ф 12 модулей 63А (АВВ) или аналог</t>
        </is>
      </c>
      <c r="C313" s="9" t="inlineStr">
        <is>
          <t>Электроустановочные изделия, щиты, автоматы</t>
        </is>
      </c>
      <c r="D313" s="9" t="inlineStr">
        <is>
          <t>шт</t>
        </is>
      </c>
      <c r="E313" s="10" t="n">
        <v>1</v>
      </c>
      <c r="F313" s="4">
        <f>E313*IFERROR(INDEX(Работы!$D$4:$D$672,MATCH(SUBSTITUTE(SUBSTITUTE(SUBSTITUTE(A313,"~","~~"),"*","~*"),"?","~?"),Работы!$B$4:$B$672,0)),0)</f>
        <v/>
      </c>
      <c r="G313" s="10" t="n">
        <v>600</v>
      </c>
      <c r="H313" s="14" t="n">
        <v>1</v>
      </c>
      <c r="I313" s="11" t="n">
        <v>0.01</v>
      </c>
      <c r="J313" s="11" t="n">
        <v>0.12</v>
      </c>
      <c r="K313" s="10" t="n"/>
      <c r="L313" s="9" t="inlineStr">
        <is>
          <t>оценка</t>
        </is>
      </c>
      <c r="M313" s="9" t="inlineStr"/>
      <c r="N313" s="9" t="inlineStr">
        <is>
          <t>2026-10-29</t>
        </is>
      </c>
      <c r="O313" s="13" t="inlineStr">
        <is>
          <t>оценка, ИБП и АКБ — запросить КП В Петрович, Лемана ПРО и Сатурн открытой карточки нет, оставлен прежний источник.</t>
        </is>
      </c>
      <c r="P313" s="4">
        <f>IF(H313=1,G313/VAT_DIV,G313)</f>
        <v/>
      </c>
      <c r="Q313" s="4">
        <f>P313*(1+I313)*(1+DELIV)*(1+GROWTH+MONEY)</f>
        <v/>
      </c>
      <c r="R313" s="4">
        <f>IF(AND(K313&lt;&gt;"",Q313*(1+J313)&gt;K313/VAT_DIV),K313/VAT_DIV,Q313*(1+J313))</f>
        <v/>
      </c>
      <c r="S313" s="4">
        <f>Q313*F313</f>
        <v/>
      </c>
      <c r="T313" s="4">
        <f>R313*F313</f>
        <v/>
      </c>
      <c r="U313" s="3">
        <f>IF(AND(K313&lt;&gt;"",Q313*(1+J313)&gt;K313/VAT_DIV+0.01),"ДА","")</f>
        <v/>
      </c>
      <c r="V313" s="4">
        <f>P313*F313</f>
        <v/>
      </c>
    </row>
    <row r="314" ht="20" customHeight="1">
      <c r="A314" s="9" t="inlineStr">
        <is>
          <t>280. Шина комплектная 3ф 12 модулей 63А (АВВ) или аналог</t>
        </is>
      </c>
      <c r="B314" s="13" t="inlineStr">
        <is>
          <t>Шина комплектная 3ф 12 модулей 63А (АВВ) или аналог</t>
        </is>
      </c>
      <c r="C314" s="9" t="inlineStr">
        <is>
          <t>Электроустановочные изделия, щиты, автоматы</t>
        </is>
      </c>
      <c r="D314" s="9" t="inlineStr">
        <is>
          <t>шт</t>
        </is>
      </c>
      <c r="E314" s="10" t="n">
        <v>1</v>
      </c>
      <c r="F314" s="4">
        <f>E314*IFERROR(INDEX(Работы!$D$4:$D$672,MATCH(SUBSTITUTE(SUBSTITUTE(SUBSTITUTE(A314,"~","~~"),"*","~*"),"?","~?"),Работы!$B$4:$B$672,0)),0)</f>
        <v/>
      </c>
      <c r="G314" s="10" t="n">
        <v>600</v>
      </c>
      <c r="H314" s="14" t="n">
        <v>1</v>
      </c>
      <c r="I314" s="11" t="n">
        <v>0.01</v>
      </c>
      <c r="J314" s="11" t="n">
        <v>0.12</v>
      </c>
      <c r="K314" s="10" t="n"/>
      <c r="L314" s="9" t="inlineStr">
        <is>
          <t>оценка</t>
        </is>
      </c>
      <c r="M314" s="9" t="inlineStr"/>
      <c r="N314" s="9" t="inlineStr">
        <is>
          <t>2026-10-29</t>
        </is>
      </c>
      <c r="O314" s="13" t="inlineStr">
        <is>
          <t>оценка, ИБП и АКБ — запросить КП В Петрович, Лемана ПРО и Сатурн открытой карточки нет, оставлен прежний источник.</t>
        </is>
      </c>
      <c r="P314" s="4">
        <f>IF(H314=1,G314/VAT_DIV,G314)</f>
        <v/>
      </c>
      <c r="Q314" s="4">
        <f>P314*(1+I314)*(1+DELIV)*(1+GROWTH+MONEY)</f>
        <v/>
      </c>
      <c r="R314" s="4">
        <f>IF(AND(K314&lt;&gt;"",Q314*(1+J314)&gt;K314/VAT_DIV),K314/VAT_DIV,Q314*(1+J314))</f>
        <v/>
      </c>
      <c r="S314" s="4">
        <f>Q314*F314</f>
        <v/>
      </c>
      <c r="T314" s="4">
        <f>R314*F314</f>
        <v/>
      </c>
      <c r="U314" s="3">
        <f>IF(AND(K314&lt;&gt;"",Q314*(1+J314)&gt;K314/VAT_DIV+0.01),"ДА","")</f>
        <v/>
      </c>
      <c r="V314" s="4">
        <f>P314*F314</f>
        <v/>
      </c>
    </row>
    <row r="315" ht="20" customHeight="1">
      <c r="A315" s="9" t="inlineStr">
        <is>
          <t>281. Шина нулевая на DIN-изоляции Стойка ШНИ- 8х12-12</t>
        </is>
      </c>
      <c r="B315" s="13" t="inlineStr">
        <is>
          <t>Шина нулевая на DIN-изоляции Стойка ШНИ- 8х12-12</t>
        </is>
      </c>
      <c r="C315" s="9" t="inlineStr">
        <is>
          <t>Электроустановочные изделия, щиты, автоматы</t>
        </is>
      </c>
      <c r="D315" s="9" t="inlineStr">
        <is>
          <t>шт</t>
        </is>
      </c>
      <c r="E315" s="10" t="n">
        <v>1</v>
      </c>
      <c r="F315" s="4">
        <f>E315*IFERROR(INDEX(Работы!$D$4:$D$672,MATCH(SUBSTITUTE(SUBSTITUTE(SUBSTITUTE(A315,"~","~~"),"*","~*"),"?","~?"),Работы!$B$4:$B$672,0)),0)</f>
        <v/>
      </c>
      <c r="G315" s="10" t="n">
        <v>600</v>
      </c>
      <c r="H315" s="14" t="n">
        <v>1</v>
      </c>
      <c r="I315" s="11" t="n">
        <v>0.01</v>
      </c>
      <c r="J315" s="11" t="n">
        <v>0.12</v>
      </c>
      <c r="K315" s="10" t="n"/>
      <c r="L315" s="9" t="inlineStr">
        <is>
          <t>оценка</t>
        </is>
      </c>
      <c r="M315" s="9" t="inlineStr"/>
      <c r="N315" s="9" t="inlineStr">
        <is>
          <t>2026-10-29</t>
        </is>
      </c>
      <c r="O315" s="13" t="inlineStr">
        <is>
          <t>оценка, ИБП и АКБ — запросить КП В Петрович, Лемана ПРО и Сатурн открытой карточки нет, оставлен прежний источник.</t>
        </is>
      </c>
      <c r="P315" s="4">
        <f>IF(H315=1,G315/VAT_DIV,G315)</f>
        <v/>
      </c>
      <c r="Q315" s="4">
        <f>P315*(1+I315)*(1+DELIV)*(1+GROWTH+MONEY)</f>
        <v/>
      </c>
      <c r="R315" s="4">
        <f>IF(AND(K315&lt;&gt;"",Q315*(1+J315)&gt;K315/VAT_DIV),K315/VAT_DIV,Q315*(1+J315))</f>
        <v/>
      </c>
      <c r="S315" s="4">
        <f>Q315*F315</f>
        <v/>
      </c>
      <c r="T315" s="4">
        <f>R315*F315</f>
        <v/>
      </c>
      <c r="U315" s="3">
        <f>IF(AND(K315&lt;&gt;"",Q315*(1+J315)&gt;K315/VAT_DIV+0.01),"ДА","")</f>
        <v/>
      </c>
      <c r="V315" s="4">
        <f>P315*F315</f>
        <v/>
      </c>
    </row>
    <row r="316" ht="20" customHeight="1">
      <c r="A316" s="9" t="inlineStr">
        <is>
          <t>282. Лоток проволочный F5 Combitech 50х50х3000(DKC)</t>
        </is>
      </c>
      <c r="B316" s="13" t="inlineStr">
        <is>
          <t>Лоток проволочный F5 Combitech 50х50х3000(DKC)</t>
        </is>
      </c>
      <c r="C316" s="9" t="inlineStr">
        <is>
          <t>Электроустановочные изделия, щиты, автоматы</t>
        </is>
      </c>
      <c r="D316" s="9" t="inlineStr">
        <is>
          <t>шт</t>
        </is>
      </c>
      <c r="E316" s="10" t="n">
        <v>1</v>
      </c>
      <c r="F316" s="4">
        <f>E316*IFERROR(INDEX(Работы!$D$4:$D$672,MATCH(SUBSTITUTE(SUBSTITUTE(SUBSTITUTE(A316,"~","~~"),"*","~*"),"?","~?"),Работы!$B$4:$B$672,0)),0)</f>
        <v/>
      </c>
      <c r="G316" s="10" t="n">
        <v>1000</v>
      </c>
      <c r="H316" s="14" t="n">
        <v>1</v>
      </c>
      <c r="I316" s="11" t="n">
        <v>0.01</v>
      </c>
      <c r="J316" s="11" t="n">
        <v>0.12</v>
      </c>
      <c r="K316" s="10" t="n"/>
      <c r="L316" s="9" t="inlineStr">
        <is>
          <t>оценка</t>
        </is>
      </c>
      <c r="M316" s="9" t="inlineStr"/>
      <c r="N316" s="9" t="inlineStr">
        <is>
          <t>2026-10-29</t>
        </is>
      </c>
      <c r="O316" s="13" t="inlineStr">
        <is>
          <t>оценка лотка DKC 3 м, запросить КП В Петрович, Лемана ПРО и Сатурн открытой карточки нет, оставлен прежний источник.</t>
        </is>
      </c>
      <c r="P316" s="4">
        <f>IF(H316=1,G316/VAT_DIV,G316)</f>
        <v/>
      </c>
      <c r="Q316" s="4">
        <f>P316*(1+I316)*(1+DELIV)*(1+GROWTH+MONEY)</f>
        <v/>
      </c>
      <c r="R316" s="4">
        <f>IF(AND(K316&lt;&gt;"",Q316*(1+J316)&gt;K316/VAT_DIV),K316/VAT_DIV,Q316*(1+J316))</f>
        <v/>
      </c>
      <c r="S316" s="4">
        <f>Q316*F316</f>
        <v/>
      </c>
      <c r="T316" s="4">
        <f>R316*F316</f>
        <v/>
      </c>
      <c r="U316" s="3">
        <f>IF(AND(K316&lt;&gt;"",Q316*(1+J316)&gt;K316/VAT_DIV+0.01),"ДА","")</f>
        <v/>
      </c>
      <c r="V316" s="4">
        <f>P316*F316</f>
        <v/>
      </c>
    </row>
    <row r="317" ht="20" customHeight="1">
      <c r="A317" s="9" t="inlineStr">
        <is>
          <t>283. Лоток проволочный F5 Combitech 100х50х3000(DKC)</t>
        </is>
      </c>
      <c r="B317" s="13" t="inlineStr">
        <is>
          <t>Лоток проволочный F5 Combitech 100х50х3000(DKC)</t>
        </is>
      </c>
      <c r="C317" s="9" t="inlineStr">
        <is>
          <t>Электроустановочные изделия, щиты, автоматы</t>
        </is>
      </c>
      <c r="D317" s="9" t="inlineStr">
        <is>
          <t>шт</t>
        </is>
      </c>
      <c r="E317" s="10" t="n">
        <v>1</v>
      </c>
      <c r="F317" s="4">
        <f>E317*IFERROR(INDEX(Работы!$D$4:$D$672,MATCH(SUBSTITUTE(SUBSTITUTE(SUBSTITUTE(A317,"~","~~"),"*","~*"),"?","~?"),Работы!$B$4:$B$672,0)),0)</f>
        <v/>
      </c>
      <c r="G317" s="10" t="n">
        <v>1300</v>
      </c>
      <c r="H317" s="14" t="n">
        <v>1</v>
      </c>
      <c r="I317" s="11" t="n">
        <v>0.01</v>
      </c>
      <c r="J317" s="11" t="n">
        <v>0.12</v>
      </c>
      <c r="K317" s="10" t="n"/>
      <c r="L317" s="9" t="inlineStr">
        <is>
          <t>оценка</t>
        </is>
      </c>
      <c r="M317" s="9" t="inlineStr"/>
      <c r="N317" s="9" t="inlineStr">
        <is>
          <t>2026-10-29</t>
        </is>
      </c>
      <c r="O317" s="13" t="inlineStr">
        <is>
          <t>оценка лотка DKC 3 м, запросить КП В Петрович, Лемана ПРО и Сатурн открытой карточки нет, оставлен прежний источник.</t>
        </is>
      </c>
      <c r="P317" s="4">
        <f>IF(H317=1,G317/VAT_DIV,G317)</f>
        <v/>
      </c>
      <c r="Q317" s="4">
        <f>P317*(1+I317)*(1+DELIV)*(1+GROWTH+MONEY)</f>
        <v/>
      </c>
      <c r="R317" s="4">
        <f>IF(AND(K317&lt;&gt;"",Q317*(1+J317)&gt;K317/VAT_DIV),K317/VAT_DIV,Q317*(1+J317))</f>
        <v/>
      </c>
      <c r="S317" s="4">
        <f>Q317*F317</f>
        <v/>
      </c>
      <c r="T317" s="4">
        <f>R317*F317</f>
        <v/>
      </c>
      <c r="U317" s="3">
        <f>IF(AND(K317&lt;&gt;"",Q317*(1+J317)&gt;K317/VAT_DIV+0.01),"ДА","")</f>
        <v/>
      </c>
      <c r="V317" s="4">
        <f>P317*F317</f>
        <v/>
      </c>
    </row>
    <row r="318" ht="20" customHeight="1">
      <c r="A318" s="9" t="inlineStr">
        <is>
          <t>284. Лоток проволочный F5 Combitech 200х50х3000(DKC)</t>
        </is>
      </c>
      <c r="B318" s="13" t="inlineStr">
        <is>
          <t>Лоток проволочный F5 Combitech 200х50х3000(DKC)</t>
        </is>
      </c>
      <c r="C318" s="9" t="inlineStr">
        <is>
          <t>Электроустановочные изделия, щиты, автоматы</t>
        </is>
      </c>
      <c r="D318" s="9" t="inlineStr">
        <is>
          <t>шт</t>
        </is>
      </c>
      <c r="E318" s="10" t="n">
        <v>1</v>
      </c>
      <c r="F318" s="4">
        <f>E318*IFERROR(INDEX(Работы!$D$4:$D$672,MATCH(SUBSTITUTE(SUBSTITUTE(SUBSTITUTE(A318,"~","~~"),"*","~*"),"?","~?"),Работы!$B$4:$B$672,0)),0)</f>
        <v/>
      </c>
      <c r="G318" s="10" t="n">
        <v>1900</v>
      </c>
      <c r="H318" s="14" t="n">
        <v>1</v>
      </c>
      <c r="I318" s="11" t="n">
        <v>0.01</v>
      </c>
      <c r="J318" s="11" t="n">
        <v>0.12</v>
      </c>
      <c r="K318" s="10" t="n"/>
      <c r="L318" s="9" t="inlineStr">
        <is>
          <t>оценка</t>
        </is>
      </c>
      <c r="M318" s="9" t="inlineStr"/>
      <c r="N318" s="9" t="inlineStr">
        <is>
          <t>2026-10-29</t>
        </is>
      </c>
      <c r="O318" s="13" t="inlineStr">
        <is>
          <t>оценка лотка DKC 3 м, запросить КП В Петрович, Лемана ПРО и Сатурн открытой карточки нет, оставлен прежний источник.</t>
        </is>
      </c>
      <c r="P318" s="4">
        <f>IF(H318=1,G318/VAT_DIV,G318)</f>
        <v/>
      </c>
      <c r="Q318" s="4">
        <f>P318*(1+I318)*(1+DELIV)*(1+GROWTH+MONEY)</f>
        <v/>
      </c>
      <c r="R318" s="4">
        <f>IF(AND(K318&lt;&gt;"",Q318*(1+J318)&gt;K318/VAT_DIV),K318/VAT_DIV,Q318*(1+J318))</f>
        <v/>
      </c>
      <c r="S318" s="4">
        <f>Q318*F318</f>
        <v/>
      </c>
      <c r="T318" s="4">
        <f>R318*F318</f>
        <v/>
      </c>
      <c r="U318" s="3">
        <f>IF(AND(K318&lt;&gt;"",Q318*(1+J318)&gt;K318/VAT_DIV+0.01),"ДА","")</f>
        <v/>
      </c>
      <c r="V318" s="4">
        <f>P318*F318</f>
        <v/>
      </c>
    </row>
    <row r="319" ht="20" customHeight="1">
      <c r="A319" s="9" t="inlineStr">
        <is>
          <t>285. Лоток перфорированный S5 Combitech 50х50х3000(DKC)</t>
        </is>
      </c>
      <c r="B319" s="13" t="inlineStr">
        <is>
          <t>Лоток перфорированный S5 Combitech 50х50х3000(DKC)</t>
        </is>
      </c>
      <c r="C319" s="9" t="inlineStr">
        <is>
          <t>Электроустановочные изделия, щиты, автоматы</t>
        </is>
      </c>
      <c r="D319" s="9" t="inlineStr">
        <is>
          <t>шт</t>
        </is>
      </c>
      <c r="E319" s="10" t="n">
        <v>1</v>
      </c>
      <c r="F319" s="4">
        <f>E319*IFERROR(INDEX(Работы!$D$4:$D$672,MATCH(SUBSTITUTE(SUBSTITUTE(SUBSTITUTE(A319,"~","~~"),"*","~*"),"?","~?"),Работы!$B$4:$B$672,0)),0)</f>
        <v/>
      </c>
      <c r="G319" s="10" t="n">
        <v>1000</v>
      </c>
      <c r="H319" s="14" t="n">
        <v>1</v>
      </c>
      <c r="I319" s="11" t="n">
        <v>0.01</v>
      </c>
      <c r="J319" s="11" t="n">
        <v>0.12</v>
      </c>
      <c r="K319" s="10" t="n"/>
      <c r="L319" s="9" t="inlineStr">
        <is>
          <t>оценка</t>
        </is>
      </c>
      <c r="M319" s="9" t="inlineStr"/>
      <c r="N319" s="9" t="inlineStr">
        <is>
          <t>2026-10-29</t>
        </is>
      </c>
      <c r="O319" s="13" t="inlineStr">
        <is>
          <t>оценка лотка DKC 3 м, запросить КП В Петрович, Лемана ПРО и Сатурн открытой карточки нет, оставлен прежний источник.</t>
        </is>
      </c>
      <c r="P319" s="4">
        <f>IF(H319=1,G319/VAT_DIV,G319)</f>
        <v/>
      </c>
      <c r="Q319" s="4">
        <f>P319*(1+I319)*(1+DELIV)*(1+GROWTH+MONEY)</f>
        <v/>
      </c>
      <c r="R319" s="4">
        <f>IF(AND(K319&lt;&gt;"",Q319*(1+J319)&gt;K319/VAT_DIV),K319/VAT_DIV,Q319*(1+J319))</f>
        <v/>
      </c>
      <c r="S319" s="4">
        <f>Q319*F319</f>
        <v/>
      </c>
      <c r="T319" s="4">
        <f>R319*F319</f>
        <v/>
      </c>
      <c r="U319" s="3">
        <f>IF(AND(K319&lt;&gt;"",Q319*(1+J319)&gt;K319/VAT_DIV+0.01),"ДА","")</f>
        <v/>
      </c>
      <c r="V319" s="4">
        <f>P319*F319</f>
        <v/>
      </c>
    </row>
    <row r="320" ht="20" customHeight="1">
      <c r="A320" s="9" t="inlineStr">
        <is>
          <t>286. Лоток перфорированный S5 Combitech100х50х3000 (DKC)</t>
        </is>
      </c>
      <c r="B320" s="13" t="inlineStr">
        <is>
          <t>Лоток перфорированный S5 Combitech100х50х3000 (DKC)</t>
        </is>
      </c>
      <c r="C320" s="9" t="inlineStr">
        <is>
          <t>Электроустановочные изделия, щиты, автоматы</t>
        </is>
      </c>
      <c r="D320" s="9" t="inlineStr">
        <is>
          <t>шт</t>
        </is>
      </c>
      <c r="E320" s="10" t="n">
        <v>1</v>
      </c>
      <c r="F320" s="4">
        <f>E320*IFERROR(INDEX(Работы!$D$4:$D$672,MATCH(SUBSTITUTE(SUBSTITUTE(SUBSTITUTE(A320,"~","~~"),"*","~*"),"?","~?"),Работы!$B$4:$B$672,0)),0)</f>
        <v/>
      </c>
      <c r="G320" s="10" t="n">
        <v>1300</v>
      </c>
      <c r="H320" s="14" t="n">
        <v>1</v>
      </c>
      <c r="I320" s="11" t="n">
        <v>0.01</v>
      </c>
      <c r="J320" s="11" t="n">
        <v>0.12</v>
      </c>
      <c r="K320" s="10" t="n"/>
      <c r="L320" s="9" t="inlineStr">
        <is>
          <t>оценка</t>
        </is>
      </c>
      <c r="M320" s="9" t="inlineStr"/>
      <c r="N320" s="9" t="inlineStr">
        <is>
          <t>2026-10-29</t>
        </is>
      </c>
      <c r="O320" s="13" t="inlineStr">
        <is>
          <t>оценка лотка DKC 3 м, запросить КП В Петрович, Лемана ПРО и Сатурн открытой карточки нет, оставлен прежний источник.</t>
        </is>
      </c>
      <c r="P320" s="4">
        <f>IF(H320=1,G320/VAT_DIV,G320)</f>
        <v/>
      </c>
      <c r="Q320" s="4">
        <f>P320*(1+I320)*(1+DELIV)*(1+GROWTH+MONEY)</f>
        <v/>
      </c>
      <c r="R320" s="4">
        <f>IF(AND(K320&lt;&gt;"",Q320*(1+J320)&gt;K320/VAT_DIV),K320/VAT_DIV,Q320*(1+J320))</f>
        <v/>
      </c>
      <c r="S320" s="4">
        <f>Q320*F320</f>
        <v/>
      </c>
      <c r="T320" s="4">
        <f>R320*F320</f>
        <v/>
      </c>
      <c r="U320" s="3">
        <f>IF(AND(K320&lt;&gt;"",Q320*(1+J320)&gt;K320/VAT_DIV+0.01),"ДА","")</f>
        <v/>
      </c>
      <c r="V320" s="4">
        <f>P320*F320</f>
        <v/>
      </c>
    </row>
    <row r="321" ht="20" customHeight="1">
      <c r="A321" s="9" t="inlineStr">
        <is>
          <t>287. Лоток перфорированный S5 Combitech200х50х3000 (DKC)</t>
        </is>
      </c>
      <c r="B321" s="13" t="inlineStr">
        <is>
          <t>Лоток перфорированный S5 Combitech200х50х3000 (DKC)</t>
        </is>
      </c>
      <c r="C321" s="9" t="inlineStr">
        <is>
          <t>Электроустановочные изделия, щиты, автоматы</t>
        </is>
      </c>
      <c r="D321" s="9" t="inlineStr">
        <is>
          <t>шт</t>
        </is>
      </c>
      <c r="E321" s="10" t="n">
        <v>1</v>
      </c>
      <c r="F321" s="4">
        <f>E321*IFERROR(INDEX(Работы!$D$4:$D$672,MATCH(SUBSTITUTE(SUBSTITUTE(SUBSTITUTE(A321,"~","~~"),"*","~*"),"?","~?"),Работы!$B$4:$B$672,0)),0)</f>
        <v/>
      </c>
      <c r="G321" s="10" t="n">
        <v>1900</v>
      </c>
      <c r="H321" s="14" t="n">
        <v>1</v>
      </c>
      <c r="I321" s="11" t="n">
        <v>0.01</v>
      </c>
      <c r="J321" s="11" t="n">
        <v>0.12</v>
      </c>
      <c r="K321" s="10" t="n"/>
      <c r="L321" s="9" t="inlineStr">
        <is>
          <t>оценка</t>
        </is>
      </c>
      <c r="M321" s="9" t="inlineStr"/>
      <c r="N321" s="9" t="inlineStr">
        <is>
          <t>2026-10-29</t>
        </is>
      </c>
      <c r="O321" s="13" t="inlineStr">
        <is>
          <t>оценка лотка DKC 3 м, запросить КП В Петрович, Лемана ПРО и Сатурн открытой карточки нет, оставлен прежний источник.</t>
        </is>
      </c>
      <c r="P321" s="4">
        <f>IF(H321=1,G321/VAT_DIV,G321)</f>
        <v/>
      </c>
      <c r="Q321" s="4">
        <f>P321*(1+I321)*(1+DELIV)*(1+GROWTH+MONEY)</f>
        <v/>
      </c>
      <c r="R321" s="4">
        <f>IF(AND(K321&lt;&gt;"",Q321*(1+J321)&gt;K321/VAT_DIV),K321/VAT_DIV,Q321*(1+J321))</f>
        <v/>
      </c>
      <c r="S321" s="4">
        <f>Q321*F321</f>
        <v/>
      </c>
      <c r="T321" s="4">
        <f>R321*F321</f>
        <v/>
      </c>
      <c r="U321" s="3">
        <f>IF(AND(K321&lt;&gt;"",Q321*(1+J321)&gt;K321/VAT_DIV+0.01),"ДА","")</f>
        <v/>
      </c>
      <c r="V321" s="4">
        <f>P321*F321</f>
        <v/>
      </c>
    </row>
    <row r="322" ht="20" customHeight="1">
      <c r="A322" s="9" t="inlineStr">
        <is>
          <t>288. крышка лотка перфорированная S5 Combitech50х15х3000 (DKC)</t>
        </is>
      </c>
      <c r="B322" s="13" t="inlineStr">
        <is>
          <t>крышка лотка перфорированная S5 Combitech50х15х3000 (DKC)</t>
        </is>
      </c>
      <c r="C322" s="9" t="inlineStr">
        <is>
          <t>Электроустановочные изделия, щиты, автоматы</t>
        </is>
      </c>
      <c r="D322" s="9" t="inlineStr">
        <is>
          <t>шт</t>
        </is>
      </c>
      <c r="E322" s="10" t="n">
        <v>1</v>
      </c>
      <c r="F322" s="4">
        <f>E322*IFERROR(INDEX(Работы!$D$4:$D$672,MATCH(SUBSTITUTE(SUBSTITUTE(SUBSTITUTE(A322,"~","~~"),"*","~*"),"?","~?"),Работы!$B$4:$B$672,0)),0)</f>
        <v/>
      </c>
      <c r="G322" s="10" t="n">
        <v>450</v>
      </c>
      <c r="H322" s="14" t="n">
        <v>1</v>
      </c>
      <c r="I322" s="11" t="n">
        <v>0.01</v>
      </c>
      <c r="J322" s="11" t="n">
        <v>0.12</v>
      </c>
      <c r="K322" s="10" t="n"/>
      <c r="L322" s="9" t="inlineStr">
        <is>
          <t>оценка</t>
        </is>
      </c>
      <c r="M322" s="9" t="inlineStr"/>
      <c r="N322" s="9" t="inlineStr">
        <is>
          <t>2026-10-29</t>
        </is>
      </c>
      <c r="O322" s="13" t="inlineStr">
        <is>
          <t>оценка лотка DKC 3 м, запросить КП В Петрович, Лемана ПРО и Сатурн открытой карточки нет, оставлен прежний источник.</t>
        </is>
      </c>
      <c r="P322" s="4">
        <f>IF(H322=1,G322/VAT_DIV,G322)</f>
        <v/>
      </c>
      <c r="Q322" s="4">
        <f>P322*(1+I322)*(1+DELIV)*(1+GROWTH+MONEY)</f>
        <v/>
      </c>
      <c r="R322" s="4">
        <f>IF(AND(K322&lt;&gt;"",Q322*(1+J322)&gt;K322/VAT_DIV),K322/VAT_DIV,Q322*(1+J322))</f>
        <v/>
      </c>
      <c r="S322" s="4">
        <f>Q322*F322</f>
        <v/>
      </c>
      <c r="T322" s="4">
        <f>R322*F322</f>
        <v/>
      </c>
      <c r="U322" s="3">
        <f>IF(AND(K322&lt;&gt;"",Q322*(1+J322)&gt;K322/VAT_DIV+0.01),"ДА","")</f>
        <v/>
      </c>
      <c r="V322" s="4">
        <f>P322*F322</f>
        <v/>
      </c>
    </row>
    <row r="323" ht="20" customHeight="1">
      <c r="A323" s="9" t="inlineStr">
        <is>
          <t>289. крышка лотка перфорированная S5 Combitech100х15х3000 (DKC)</t>
        </is>
      </c>
      <c r="B323" s="13" t="inlineStr">
        <is>
          <t>крышка лотка перфорированная S5 Combitech100х15х3000 (DKC)</t>
        </is>
      </c>
      <c r="C323" s="9" t="inlineStr">
        <is>
          <t>Электроустановочные изделия, щиты, автоматы</t>
        </is>
      </c>
      <c r="D323" s="9" t="inlineStr">
        <is>
          <t>шт</t>
        </is>
      </c>
      <c r="E323" s="10" t="n">
        <v>1</v>
      </c>
      <c r="F323" s="4">
        <f>E323*IFERROR(INDEX(Работы!$D$4:$D$672,MATCH(SUBSTITUTE(SUBSTITUTE(SUBSTITUTE(A323,"~","~~"),"*","~*"),"?","~?"),Работы!$B$4:$B$672,0)),0)</f>
        <v/>
      </c>
      <c r="G323" s="10" t="n">
        <v>585</v>
      </c>
      <c r="H323" s="14" t="n">
        <v>1</v>
      </c>
      <c r="I323" s="11" t="n">
        <v>0.01</v>
      </c>
      <c r="J323" s="11" t="n">
        <v>0.12</v>
      </c>
      <c r="K323" s="10" t="n"/>
      <c r="L323" s="9" t="inlineStr">
        <is>
          <t>оценка</t>
        </is>
      </c>
      <c r="M323" s="9" t="inlineStr"/>
      <c r="N323" s="9" t="inlineStr">
        <is>
          <t>2026-10-29</t>
        </is>
      </c>
      <c r="O323" s="13" t="inlineStr">
        <is>
          <t>оценка лотка DKC 3 м, запросить КП В Петрович, Лемана ПРО и Сатурн открытой карточки нет, оставлен прежний источник.</t>
        </is>
      </c>
      <c r="P323" s="4">
        <f>IF(H323=1,G323/VAT_DIV,G323)</f>
        <v/>
      </c>
      <c r="Q323" s="4">
        <f>P323*(1+I323)*(1+DELIV)*(1+GROWTH+MONEY)</f>
        <v/>
      </c>
      <c r="R323" s="4">
        <f>IF(AND(K323&lt;&gt;"",Q323*(1+J323)&gt;K323/VAT_DIV),K323/VAT_DIV,Q323*(1+J323))</f>
        <v/>
      </c>
      <c r="S323" s="4">
        <f>Q323*F323</f>
        <v/>
      </c>
      <c r="T323" s="4">
        <f>R323*F323</f>
        <v/>
      </c>
      <c r="U323" s="3">
        <f>IF(AND(K323&lt;&gt;"",Q323*(1+J323)&gt;K323/VAT_DIV+0.01),"ДА","")</f>
        <v/>
      </c>
      <c r="V323" s="4">
        <f>P323*F323</f>
        <v/>
      </c>
    </row>
    <row r="324" ht="20" customHeight="1">
      <c r="A324" s="9" t="inlineStr">
        <is>
          <t>290. крышка лотка перфорированная S5 Combitech200х15х3000 (DKC)</t>
        </is>
      </c>
      <c r="B324" s="13" t="inlineStr">
        <is>
          <t>крышка лотка перфорированная S5 Combitech200х15х3000 (DKC)</t>
        </is>
      </c>
      <c r="C324" s="9" t="inlineStr">
        <is>
          <t>Электроустановочные изделия, щиты, автоматы</t>
        </is>
      </c>
      <c r="D324" s="9" t="inlineStr">
        <is>
          <t>шт</t>
        </is>
      </c>
      <c r="E324" s="10" t="n">
        <v>1</v>
      </c>
      <c r="F324" s="4">
        <f>E324*IFERROR(INDEX(Работы!$D$4:$D$672,MATCH(SUBSTITUTE(SUBSTITUTE(SUBSTITUTE(A324,"~","~~"),"*","~*"),"?","~?"),Работы!$B$4:$B$672,0)),0)</f>
        <v/>
      </c>
      <c r="G324" s="10" t="n">
        <v>855</v>
      </c>
      <c r="H324" s="14" t="n">
        <v>1</v>
      </c>
      <c r="I324" s="11" t="n">
        <v>0.01</v>
      </c>
      <c r="J324" s="11" t="n">
        <v>0.12</v>
      </c>
      <c r="K324" s="10" t="n"/>
      <c r="L324" s="9" t="inlineStr">
        <is>
          <t>оценка</t>
        </is>
      </c>
      <c r="M324" s="9" t="inlineStr"/>
      <c r="N324" s="9" t="inlineStr">
        <is>
          <t>2026-10-29</t>
        </is>
      </c>
      <c r="O324" s="13" t="inlineStr">
        <is>
          <t>оценка лотка DKC 3 м, запросить КП В Петрович, Лемана ПРО и Сатурн открытой карточки нет, оставлен прежний источник.</t>
        </is>
      </c>
      <c r="P324" s="4">
        <f>IF(H324=1,G324/VAT_DIV,G324)</f>
        <v/>
      </c>
      <c r="Q324" s="4">
        <f>P324*(1+I324)*(1+DELIV)*(1+GROWTH+MONEY)</f>
        <v/>
      </c>
      <c r="R324" s="4">
        <f>IF(AND(K324&lt;&gt;"",Q324*(1+J324)&gt;K324/VAT_DIV),K324/VAT_DIV,Q324*(1+J324))</f>
        <v/>
      </c>
      <c r="S324" s="4">
        <f>Q324*F324</f>
        <v/>
      </c>
      <c r="T324" s="4">
        <f>R324*F324</f>
        <v/>
      </c>
      <c r="U324" s="3">
        <f>IF(AND(K324&lt;&gt;"",Q324*(1+J324)&gt;K324/VAT_DIV+0.01),"ДА","")</f>
        <v/>
      </c>
      <c r="V324" s="4">
        <f>P324*F324</f>
        <v/>
      </c>
    </row>
    <row r="325" ht="20" customHeight="1">
      <c r="A325" s="9" t="inlineStr">
        <is>
          <t>291. Труба ПНД Д-16</t>
        </is>
      </c>
      <c r="B325" s="13" t="inlineStr">
        <is>
          <t>Труба ПНД Д-16</t>
        </is>
      </c>
      <c r="C325" s="9" t="inlineStr">
        <is>
          <t>Кабель и провод</t>
        </is>
      </c>
      <c r="D325" s="9" t="inlineStr">
        <is>
          <t>м</t>
        </is>
      </c>
      <c r="E325" s="10" t="n">
        <v>1</v>
      </c>
      <c r="F325" s="4">
        <f>E325*IFERROR(INDEX(Работы!$D$4:$D$672,MATCH(SUBSTITUTE(SUBSTITUTE(SUBSTITUTE(A325,"~","~~"),"*","~*"),"?","~?"),Работы!$B$4:$B$672,0)),0)</f>
        <v/>
      </c>
      <c r="G325" s="10" t="n">
        <v>24.8</v>
      </c>
      <c r="H325" s="14" t="n">
        <v>1</v>
      </c>
      <c r="I325" s="11" t="n">
        <v>0.04</v>
      </c>
      <c r="J325" s="11" t="n">
        <v>0.12</v>
      </c>
      <c r="K325" s="10" t="n"/>
      <c r="L325" s="9" t="inlineStr">
        <is>
          <t>оценка</t>
        </is>
      </c>
      <c r="M325" s="9" t="inlineStr"/>
      <c r="N325" s="9" t="inlineStr">
        <is>
          <t>2026-10-29</t>
        </is>
      </c>
      <c r="O325" s="13" t="inlineStr">
        <is>
          <t>оценка трубы ПНД/гофры В Петрович, Лемана ПРО и Сатурн открытой карточки нет, оставлен прежний источник.</t>
        </is>
      </c>
      <c r="P325" s="4">
        <f>IF(H325=1,G325/VAT_DIV,G325)</f>
        <v/>
      </c>
      <c r="Q325" s="4">
        <f>P325*(1+I325)*(1+DELIV)*(1+GROWTH+MONEY)</f>
        <v/>
      </c>
      <c r="R325" s="4">
        <f>IF(AND(K325&lt;&gt;"",Q325*(1+J325)&gt;K325/VAT_DIV),K325/VAT_DIV,Q325*(1+J325))</f>
        <v/>
      </c>
      <c r="S325" s="4">
        <f>Q325*F325</f>
        <v/>
      </c>
      <c r="T325" s="4">
        <f>R325*F325</f>
        <v/>
      </c>
      <c r="U325" s="3">
        <f>IF(AND(K325&lt;&gt;"",Q325*(1+J325)&gt;K325/VAT_DIV+0.01),"ДА","")</f>
        <v/>
      </c>
      <c r="V325" s="4">
        <f>P325*F325</f>
        <v/>
      </c>
    </row>
    <row r="326" ht="20" customHeight="1">
      <c r="A326" s="9" t="inlineStr">
        <is>
          <t>292. Труба ПНД Д-20</t>
        </is>
      </c>
      <c r="B326" s="13" t="inlineStr">
        <is>
          <t>Труба ПНД Д-20</t>
        </is>
      </c>
      <c r="C326" s="9" t="inlineStr">
        <is>
          <t>Кабель и провод</t>
        </is>
      </c>
      <c r="D326" s="9" t="inlineStr">
        <is>
          <t>м</t>
        </is>
      </c>
      <c r="E326" s="10" t="n">
        <v>1</v>
      </c>
      <c r="F326" s="4">
        <f>E326*IFERROR(INDEX(Работы!$D$4:$D$672,MATCH(SUBSTITUTE(SUBSTITUTE(SUBSTITUTE(A326,"~","~~"),"*","~*"),"?","~?"),Работы!$B$4:$B$672,0)),0)</f>
        <v/>
      </c>
      <c r="G326" s="10" t="n">
        <v>28</v>
      </c>
      <c r="H326" s="14" t="n">
        <v>1</v>
      </c>
      <c r="I326" s="11" t="n">
        <v>0.04</v>
      </c>
      <c r="J326" s="11" t="n">
        <v>0.12</v>
      </c>
      <c r="K326" s="10" t="n"/>
      <c r="L326" s="9" t="inlineStr">
        <is>
          <t>оценка</t>
        </is>
      </c>
      <c r="M326" s="9" t="inlineStr"/>
      <c r="N326" s="9" t="inlineStr">
        <is>
          <t>2026-10-29</t>
        </is>
      </c>
      <c r="O326" s="13" t="inlineStr">
        <is>
          <t>оценка трубы ПНД/гофры В Петрович, Лемана ПРО и Сатурн открытой карточки нет, оставлен прежний источник.</t>
        </is>
      </c>
      <c r="P326" s="4">
        <f>IF(H326=1,G326/VAT_DIV,G326)</f>
        <v/>
      </c>
      <c r="Q326" s="4">
        <f>P326*(1+I326)*(1+DELIV)*(1+GROWTH+MONEY)</f>
        <v/>
      </c>
      <c r="R326" s="4">
        <f>IF(AND(K326&lt;&gt;"",Q326*(1+J326)&gt;K326/VAT_DIV),K326/VAT_DIV,Q326*(1+J326))</f>
        <v/>
      </c>
      <c r="S326" s="4">
        <f>Q326*F326</f>
        <v/>
      </c>
      <c r="T326" s="4">
        <f>R326*F326</f>
        <v/>
      </c>
      <c r="U326" s="3">
        <f>IF(AND(K326&lt;&gt;"",Q326*(1+J326)&gt;K326/VAT_DIV+0.01),"ДА","")</f>
        <v/>
      </c>
      <c r="V326" s="4">
        <f>P326*F326</f>
        <v/>
      </c>
    </row>
    <row r="327" ht="20" customHeight="1">
      <c r="A327" s="9" t="inlineStr">
        <is>
          <t>293. Труба ПНД Д-25</t>
        </is>
      </c>
      <c r="B327" s="13" t="inlineStr">
        <is>
          <t>Труба ПНД Д-25</t>
        </is>
      </c>
      <c r="C327" s="9" t="inlineStr">
        <is>
          <t>Кабель и провод</t>
        </is>
      </c>
      <c r="D327" s="9" t="inlineStr">
        <is>
          <t>м</t>
        </is>
      </c>
      <c r="E327" s="10" t="n">
        <v>1</v>
      </c>
      <c r="F327" s="4">
        <f>E327*IFERROR(INDEX(Работы!$D$4:$D$672,MATCH(SUBSTITUTE(SUBSTITUTE(SUBSTITUTE(A327,"~","~~"),"*","~*"),"?","~?"),Работы!$B$4:$B$672,0)),0)</f>
        <v/>
      </c>
      <c r="G327" s="10" t="n">
        <v>32</v>
      </c>
      <c r="H327" s="14" t="n">
        <v>1</v>
      </c>
      <c r="I327" s="11" t="n">
        <v>0.04</v>
      </c>
      <c r="J327" s="11" t="n">
        <v>0.12</v>
      </c>
      <c r="K327" s="10" t="n"/>
      <c r="L327" s="9" t="inlineStr">
        <is>
          <t>оценка</t>
        </is>
      </c>
      <c r="M327" s="9" t="inlineStr"/>
      <c r="N327" s="9" t="inlineStr">
        <is>
          <t>2026-10-29</t>
        </is>
      </c>
      <c r="O327" s="13" t="inlineStr">
        <is>
          <t>оценка трубы ПНД/гофры В Петрович, Лемана ПРО и Сатурн открытой карточки нет, оставлен прежний источник.</t>
        </is>
      </c>
      <c r="P327" s="4">
        <f>IF(H327=1,G327/VAT_DIV,G327)</f>
        <v/>
      </c>
      <c r="Q327" s="4">
        <f>P327*(1+I327)*(1+DELIV)*(1+GROWTH+MONEY)</f>
        <v/>
      </c>
      <c r="R327" s="4">
        <f>IF(AND(K327&lt;&gt;"",Q327*(1+J327)&gt;K327/VAT_DIV),K327/VAT_DIV,Q327*(1+J327))</f>
        <v/>
      </c>
      <c r="S327" s="4">
        <f>Q327*F327</f>
        <v/>
      </c>
      <c r="T327" s="4">
        <f>R327*F327</f>
        <v/>
      </c>
      <c r="U327" s="3">
        <f>IF(AND(K327&lt;&gt;"",Q327*(1+J327)&gt;K327/VAT_DIV+0.01),"ДА","")</f>
        <v/>
      </c>
      <c r="V327" s="4">
        <f>P327*F327</f>
        <v/>
      </c>
    </row>
    <row r="328" ht="20" customHeight="1">
      <c r="A328" s="9" t="inlineStr">
        <is>
          <t>294. Труба ПНД Д-32</t>
        </is>
      </c>
      <c r="B328" s="13" t="inlineStr">
        <is>
          <t>Труба ПНД Д-32</t>
        </is>
      </c>
      <c r="C328" s="9" t="inlineStr">
        <is>
          <t>Кабель и провод</t>
        </is>
      </c>
      <c r="D328" s="9" t="inlineStr">
        <is>
          <t>м</t>
        </is>
      </c>
      <c r="E328" s="10" t="n">
        <v>1</v>
      </c>
      <c r="F328" s="4">
        <f>E328*IFERROR(INDEX(Работы!$D$4:$D$672,MATCH(SUBSTITUTE(SUBSTITUTE(SUBSTITUTE(A328,"~","~~"),"*","~*"),"?","~?"),Работы!$B$4:$B$672,0)),0)</f>
        <v/>
      </c>
      <c r="G328" s="10" t="n">
        <v>37.6</v>
      </c>
      <c r="H328" s="14" t="n">
        <v>1</v>
      </c>
      <c r="I328" s="11" t="n">
        <v>0.04</v>
      </c>
      <c r="J328" s="11" t="n">
        <v>0.12</v>
      </c>
      <c r="K328" s="10" t="n"/>
      <c r="L328" s="9" t="inlineStr">
        <is>
          <t>оценка</t>
        </is>
      </c>
      <c r="M328" s="9" t="inlineStr"/>
      <c r="N328" s="9" t="inlineStr">
        <is>
          <t>2026-10-29</t>
        </is>
      </c>
      <c r="O328" s="13" t="inlineStr">
        <is>
          <t>оценка трубы ПНД/гофры В Петрович, Лемана ПРО и Сатурн открытой карточки нет, оставлен прежний источник.</t>
        </is>
      </c>
      <c r="P328" s="4">
        <f>IF(H328=1,G328/VAT_DIV,G328)</f>
        <v/>
      </c>
      <c r="Q328" s="4">
        <f>P328*(1+I328)*(1+DELIV)*(1+GROWTH+MONEY)</f>
        <v/>
      </c>
      <c r="R328" s="4">
        <f>IF(AND(K328&lt;&gt;"",Q328*(1+J328)&gt;K328/VAT_DIV),K328/VAT_DIV,Q328*(1+J328))</f>
        <v/>
      </c>
      <c r="S328" s="4">
        <f>Q328*F328</f>
        <v/>
      </c>
      <c r="T328" s="4">
        <f>R328*F328</f>
        <v/>
      </c>
      <c r="U328" s="3">
        <f>IF(AND(K328&lt;&gt;"",Q328*(1+J328)&gt;K328/VAT_DIV+0.01),"ДА","")</f>
        <v/>
      </c>
      <c r="V328" s="4">
        <f>P328*F328</f>
        <v/>
      </c>
    </row>
    <row r="329" ht="20" customHeight="1">
      <c r="A329" s="9" t="inlineStr">
        <is>
          <t>295. Нулевая шина медная/Шина Заземления</t>
        </is>
      </c>
      <c r="B329" s="13" t="inlineStr">
        <is>
          <t>Нулевая шина медная/Шина Заземления</t>
        </is>
      </c>
      <c r="C329" s="9" t="inlineStr">
        <is>
          <t>Электроустановочные изделия, щиты, автоматы</t>
        </is>
      </c>
      <c r="D329" s="9" t="inlineStr">
        <is>
          <t>шт</t>
        </is>
      </c>
      <c r="E329" s="10" t="n">
        <v>1</v>
      </c>
      <c r="F329" s="4">
        <f>E329*IFERROR(INDEX(Работы!$D$4:$D$672,MATCH(SUBSTITUTE(SUBSTITUTE(SUBSTITUTE(A329,"~","~~"),"*","~*"),"?","~?"),Работы!$B$4:$B$672,0)),0)</f>
        <v/>
      </c>
      <c r="G329" s="10" t="n">
        <v>600</v>
      </c>
      <c r="H329" s="14" t="n">
        <v>1</v>
      </c>
      <c r="I329" s="11" t="n">
        <v>0.01</v>
      </c>
      <c r="J329" s="11" t="n">
        <v>0.12</v>
      </c>
      <c r="K329" s="10" t="n"/>
      <c r="L329" s="9" t="inlineStr">
        <is>
          <t>оценка</t>
        </is>
      </c>
      <c r="M329" s="9" t="inlineStr"/>
      <c r="N329" s="9" t="inlineStr">
        <is>
          <t>2026-10-29</t>
        </is>
      </c>
      <c r="O329" s="13" t="inlineStr">
        <is>
          <t>оценка, ИБП и АКБ — запросить КП В Петрович, Лемана ПРО и Сатурн открытой карточки нет, оставлен прежний источник.</t>
        </is>
      </c>
      <c r="P329" s="4">
        <f>IF(H329=1,G329/VAT_DIV,G329)</f>
        <v/>
      </c>
      <c r="Q329" s="4">
        <f>P329*(1+I329)*(1+DELIV)*(1+GROWTH+MONEY)</f>
        <v/>
      </c>
      <c r="R329" s="4">
        <f>IF(AND(K329&lt;&gt;"",Q329*(1+J329)&gt;K329/VAT_DIV),K329/VAT_DIV,Q329*(1+J329))</f>
        <v/>
      </c>
      <c r="S329" s="4">
        <f>Q329*F329</f>
        <v/>
      </c>
      <c r="T329" s="4">
        <f>R329*F329</f>
        <v/>
      </c>
      <c r="U329" s="3">
        <f>IF(AND(K329&lt;&gt;"",Q329*(1+J329)&gt;K329/VAT_DIV+0.01),"ДА","")</f>
        <v/>
      </c>
      <c r="V329" s="4">
        <f>P329*F329</f>
        <v/>
      </c>
    </row>
    <row r="330" ht="20" customHeight="1">
      <c r="A330" s="9" t="inlineStr">
        <is>
          <t>297. Коробка распределительная 100х100х50 IP55 6 -вводов</t>
        </is>
      </c>
      <c r="B330" s="13" t="inlineStr">
        <is>
          <t>Коробка распределительная 100х100х50 IP55 6 -вводов</t>
        </is>
      </c>
      <c r="C330" s="9" t="inlineStr">
        <is>
          <t>Электроустановочные изделия, щиты, автоматы</t>
        </is>
      </c>
      <c r="D330" s="9" t="inlineStr">
        <is>
          <t>шт</t>
        </is>
      </c>
      <c r="E330" s="10" t="n">
        <v>1</v>
      </c>
      <c r="F330" s="4">
        <f>E330*IFERROR(INDEX(Работы!$D$4:$D$672,MATCH(SUBSTITUTE(SUBSTITUTE(SUBSTITUTE(A330,"~","~~"),"*","~*"),"?","~?"),Работы!$B$4:$B$672,0)),0)</f>
        <v/>
      </c>
      <c r="G330" s="10" t="n">
        <v>180</v>
      </c>
      <c r="H330" s="14" t="n">
        <v>1</v>
      </c>
      <c r="I330" s="11" t="n">
        <v>0.01</v>
      </c>
      <c r="J330" s="11" t="n">
        <v>0.12</v>
      </c>
      <c r="K330" s="10" t="n"/>
      <c r="L330" s="9" t="inlineStr">
        <is>
          <t>оценка</t>
        </is>
      </c>
      <c r="M330" s="9" t="inlineStr"/>
      <c r="N330" s="9" t="inlineStr">
        <is>
          <t>2026-10-29</t>
        </is>
      </c>
      <c r="O330" s="13" t="inlineStr">
        <is>
          <t>оценка В Петрович, Лемана ПРО и Сатурн открытой карточки нет, оставлен прежний источник.</t>
        </is>
      </c>
      <c r="P330" s="4">
        <f>IF(H330=1,G330/VAT_DIV,G330)</f>
        <v/>
      </c>
      <c r="Q330" s="4">
        <f>P330*(1+I330)*(1+DELIV)*(1+GROWTH+MONEY)</f>
        <v/>
      </c>
      <c r="R330" s="4">
        <f>IF(AND(K330&lt;&gt;"",Q330*(1+J330)&gt;K330/VAT_DIV),K330/VAT_DIV,Q330*(1+J330))</f>
        <v/>
      </c>
      <c r="S330" s="4">
        <f>Q330*F330</f>
        <v/>
      </c>
      <c r="T330" s="4">
        <f>R330*F330</f>
        <v/>
      </c>
      <c r="U330" s="3">
        <f>IF(AND(K330&lt;&gt;"",Q330*(1+J330)&gt;K330/VAT_DIV+0.01),"ДА","")</f>
        <v/>
      </c>
      <c r="V330" s="4">
        <f>P330*F330</f>
        <v/>
      </c>
    </row>
    <row r="331" ht="20" customHeight="1">
      <c r="A331" s="9" t="inlineStr">
        <is>
          <t>300. Ламподержатель для Светильника 4*18</t>
        </is>
      </c>
      <c r="B331" s="13" t="inlineStr">
        <is>
          <t>Ламподержатель для Светильника 4*18</t>
        </is>
      </c>
      <c r="C331" s="9" t="inlineStr">
        <is>
          <t>Светильники</t>
        </is>
      </c>
      <c r="D331" s="9" t="inlineStr">
        <is>
          <t>шт</t>
        </is>
      </c>
      <c r="E331" s="10" t="n">
        <v>1</v>
      </c>
      <c r="F331" s="4">
        <f>E331*IFERROR(INDEX(Работы!$D$4:$D$672,MATCH(SUBSTITUTE(SUBSTITUTE(SUBSTITUTE(A331,"~","~~"),"*","~*"),"?","~?"),Работы!$B$4:$B$672,0)),0)</f>
        <v/>
      </c>
      <c r="G331" s="10" t="n">
        <v>2200</v>
      </c>
      <c r="H331" s="14" t="n">
        <v>1</v>
      </c>
      <c r="I331" s="11" t="n">
        <v>0.01</v>
      </c>
      <c r="J331" s="11" t="n">
        <v>0.1</v>
      </c>
      <c r="K331" s="10" t="n"/>
      <c r="L331" s="9" t="inlineStr">
        <is>
          <t>оценка</t>
        </is>
      </c>
      <c r="M331" s="9" t="inlineStr"/>
      <c r="N331" s="9" t="inlineStr">
        <is>
          <t>2026-10-29</t>
        </is>
      </c>
      <c r="O331" s="13" t="inlineStr">
        <is>
          <t>оценка по мощности, запросить КП В Петрович, Лемана ПРО и Сатурн открытой карточки нет, оставлен прежний источник.</t>
        </is>
      </c>
      <c r="P331" s="4">
        <f>IF(H331=1,G331/VAT_DIV,G331)</f>
        <v/>
      </c>
      <c r="Q331" s="4">
        <f>P331*(1+I331)*(1+DELIV)*(1+GROWTH+MONEY)</f>
        <v/>
      </c>
      <c r="R331" s="4">
        <f>IF(AND(K331&lt;&gt;"",Q331*(1+J331)&gt;K331/VAT_DIV),K331/VAT_DIV,Q331*(1+J331))</f>
        <v/>
      </c>
      <c r="S331" s="4">
        <f>Q331*F331</f>
        <v/>
      </c>
      <c r="T331" s="4">
        <f>R331*F331</f>
        <v/>
      </c>
      <c r="U331" s="3">
        <f>IF(AND(K331&lt;&gt;"",Q331*(1+J331)&gt;K331/VAT_DIV+0.01),"ДА","")</f>
        <v/>
      </c>
      <c r="V331" s="4">
        <f>P331*F331</f>
        <v/>
      </c>
    </row>
    <row r="332" ht="20" customHeight="1">
      <c r="A332" s="9" t="inlineStr">
        <is>
          <t>301. TYCO/IEK Коробка распределительная 100х100х50мм откидная крышка 8 вводов IP54</t>
        </is>
      </c>
      <c r="B332" s="13" t="inlineStr">
        <is>
          <t>TYCO/IEK Коробка распределительная 100х100х50мм откидная крышка 8 ввод</t>
        </is>
      </c>
      <c r="C332" s="9" t="inlineStr">
        <is>
          <t>Электроустановочные изделия, щиты, автоматы</t>
        </is>
      </c>
      <c r="D332" s="9" t="inlineStr">
        <is>
          <t>шт</t>
        </is>
      </c>
      <c r="E332" s="10" t="n">
        <v>1</v>
      </c>
      <c r="F332" s="4">
        <f>E332*IFERROR(INDEX(Работы!$D$4:$D$672,MATCH(SUBSTITUTE(SUBSTITUTE(SUBSTITUTE(A332,"~","~~"),"*","~*"),"?","~?"),Работы!$B$4:$B$672,0)),0)</f>
        <v/>
      </c>
      <c r="G332" s="10" t="n">
        <v>180</v>
      </c>
      <c r="H332" s="14" t="n">
        <v>1</v>
      </c>
      <c r="I332" s="11" t="n">
        <v>0.01</v>
      </c>
      <c r="J332" s="11" t="n">
        <v>0.12</v>
      </c>
      <c r="K332" s="10" t="n"/>
      <c r="L332" s="9" t="inlineStr">
        <is>
          <t>оценка</t>
        </is>
      </c>
      <c r="M332" s="9" t="inlineStr"/>
      <c r="N332" s="9" t="inlineStr">
        <is>
          <t>2026-10-29</t>
        </is>
      </c>
      <c r="O332" s="13" t="inlineStr">
        <is>
          <t>оценка В Петрович, Лемана ПРО и Сатурн открытой карточки нет, оставлен прежний источник.</t>
        </is>
      </c>
      <c r="P332" s="4">
        <f>IF(H332=1,G332/VAT_DIV,G332)</f>
        <v/>
      </c>
      <c r="Q332" s="4">
        <f>P332*(1+I332)*(1+DELIV)*(1+GROWTH+MONEY)</f>
        <v/>
      </c>
      <c r="R332" s="4">
        <f>IF(AND(K332&lt;&gt;"",Q332*(1+J332)&gt;K332/VAT_DIV),K332/VAT_DIV,Q332*(1+J332))</f>
        <v/>
      </c>
      <c r="S332" s="4">
        <f>Q332*F332</f>
        <v/>
      </c>
      <c r="T332" s="4">
        <f>R332*F332</f>
        <v/>
      </c>
      <c r="U332" s="3">
        <f>IF(AND(K332&lt;&gt;"",Q332*(1+J332)&gt;K332/VAT_DIV+0.01),"ДА","")</f>
        <v/>
      </c>
      <c r="V332" s="4">
        <f>P332*F332</f>
        <v/>
      </c>
    </row>
    <row r="333" ht="20" customHeight="1">
      <c r="A333" s="9" t="inlineStr">
        <is>
          <t>302. TYCO/IEK Коробка распределительная 85х85х50мм откидная крышка 8 вводов IP54</t>
        </is>
      </c>
      <c r="B333" s="13" t="inlineStr">
        <is>
          <t>TYCO/IEK Коробка распределительная 85х85х50мм откидная крышка 8 вводов</t>
        </is>
      </c>
      <c r="C333" s="9" t="inlineStr">
        <is>
          <t>Электроустановочные изделия, щиты, автоматы</t>
        </is>
      </c>
      <c r="D333" s="9" t="inlineStr">
        <is>
          <t>шт</t>
        </is>
      </c>
      <c r="E333" s="10" t="n">
        <v>1</v>
      </c>
      <c r="F333" s="4">
        <f>E333*IFERROR(INDEX(Работы!$D$4:$D$672,MATCH(SUBSTITUTE(SUBSTITUTE(SUBSTITUTE(A333,"~","~~"),"*","~*"),"?","~?"),Работы!$B$4:$B$672,0)),0)</f>
        <v/>
      </c>
      <c r="G333" s="10" t="n">
        <v>180</v>
      </c>
      <c r="H333" s="14" t="n">
        <v>1</v>
      </c>
      <c r="I333" s="11" t="n">
        <v>0.01</v>
      </c>
      <c r="J333" s="11" t="n">
        <v>0.12</v>
      </c>
      <c r="K333" s="10" t="n"/>
      <c r="L333" s="9" t="inlineStr">
        <is>
          <t>оценка</t>
        </is>
      </c>
      <c r="M333" s="9" t="inlineStr"/>
      <c r="N333" s="9" t="inlineStr">
        <is>
          <t>2026-10-29</t>
        </is>
      </c>
      <c r="O333" s="13" t="inlineStr">
        <is>
          <t>оценка В Петрович, Лемана ПРО и Сатурн открытой карточки нет, оставлен прежний источник.</t>
        </is>
      </c>
      <c r="P333" s="4">
        <f>IF(H333=1,G333/VAT_DIV,G333)</f>
        <v/>
      </c>
      <c r="Q333" s="4">
        <f>P333*(1+I333)*(1+DELIV)*(1+GROWTH+MONEY)</f>
        <v/>
      </c>
      <c r="R333" s="4">
        <f>IF(AND(K333&lt;&gt;"",Q333*(1+J333)&gt;K333/VAT_DIV),K333/VAT_DIV,Q333*(1+J333))</f>
        <v/>
      </c>
      <c r="S333" s="4">
        <f>Q333*F333</f>
        <v/>
      </c>
      <c r="T333" s="4">
        <f>R333*F333</f>
        <v/>
      </c>
      <c r="U333" s="3">
        <f>IF(AND(K333&lt;&gt;"",Q333*(1+J333)&gt;K333/VAT_DIV+0.01),"ДА","")</f>
        <v/>
      </c>
      <c r="V333" s="4">
        <f>P333*F333</f>
        <v/>
      </c>
    </row>
    <row r="334" ht="20" customHeight="1">
      <c r="A334" s="9" t="inlineStr">
        <is>
          <t>303. TYCO|IEK Коробка распределительная 50х50х50мм откидная крышка IP54</t>
        </is>
      </c>
      <c r="B334" s="13" t="inlineStr">
        <is>
          <t>TYCO|IEK Коробка распределительная 50х50х50мм откидная крышка IP54</t>
        </is>
      </c>
      <c r="C334" s="9" t="inlineStr">
        <is>
          <t>Электроустановочные изделия, щиты, автоматы</t>
        </is>
      </c>
      <c r="D334" s="9" t="inlineStr">
        <is>
          <t>шт</t>
        </is>
      </c>
      <c r="E334" s="10" t="n">
        <v>1</v>
      </c>
      <c r="F334" s="4">
        <f>E334*IFERROR(INDEX(Работы!$D$4:$D$672,MATCH(SUBSTITUTE(SUBSTITUTE(SUBSTITUTE(A334,"~","~~"),"*","~*"),"?","~?"),Работы!$B$4:$B$672,0)),0)</f>
        <v/>
      </c>
      <c r="G334" s="10" t="n">
        <v>180</v>
      </c>
      <c r="H334" s="14" t="n">
        <v>1</v>
      </c>
      <c r="I334" s="11" t="n">
        <v>0.01</v>
      </c>
      <c r="J334" s="11" t="n">
        <v>0.12</v>
      </c>
      <c r="K334" s="10" t="n"/>
      <c r="L334" s="9" t="inlineStr">
        <is>
          <t>оценка</t>
        </is>
      </c>
      <c r="M334" s="9" t="inlineStr"/>
      <c r="N334" s="9" t="inlineStr">
        <is>
          <t>2026-10-29</t>
        </is>
      </c>
      <c r="O334" s="13" t="inlineStr">
        <is>
          <t>оценка В Петрович, Лемана ПРО и Сатурн открытой карточки нет, оставлен прежний источник.</t>
        </is>
      </c>
      <c r="P334" s="4">
        <f>IF(H334=1,G334/VAT_DIV,G334)</f>
        <v/>
      </c>
      <c r="Q334" s="4">
        <f>P334*(1+I334)*(1+DELIV)*(1+GROWTH+MONEY)</f>
        <v/>
      </c>
      <c r="R334" s="4">
        <f>IF(AND(K334&lt;&gt;"",Q334*(1+J334)&gt;K334/VAT_DIV),K334/VAT_DIV,Q334*(1+J334))</f>
        <v/>
      </c>
      <c r="S334" s="4">
        <f>Q334*F334</f>
        <v/>
      </c>
      <c r="T334" s="4">
        <f>R334*F334</f>
        <v/>
      </c>
      <c r="U334" s="3">
        <f>IF(AND(K334&lt;&gt;"",Q334*(1+J334)&gt;K334/VAT_DIV+0.01),"ДА","")</f>
        <v/>
      </c>
      <c r="V334" s="4">
        <f>P334*F334</f>
        <v/>
      </c>
    </row>
    <row r="335" ht="20" customHeight="1">
      <c r="A335" s="9" t="inlineStr">
        <is>
          <t>304. Патрон G13 для лампы освещения</t>
        </is>
      </c>
      <c r="B335" s="13" t="inlineStr">
        <is>
          <t>Патрон G13 для лампы освещения</t>
        </is>
      </c>
      <c r="C335" s="9" t="inlineStr">
        <is>
          <t>Светильники</t>
        </is>
      </c>
      <c r="D335" s="9" t="inlineStr">
        <is>
          <t>шт</t>
        </is>
      </c>
      <c r="E335" s="10" t="n">
        <v>1</v>
      </c>
      <c r="F335" s="4">
        <f>E335*IFERROR(INDEX(Работы!$D$4:$D$672,MATCH(SUBSTITUTE(SUBSTITUTE(SUBSTITUTE(A335,"~","~~"),"*","~*"),"?","~?"),Работы!$B$4:$B$672,0)),0)</f>
        <v/>
      </c>
      <c r="G335" s="10" t="n">
        <v>40</v>
      </c>
      <c r="H335" s="14" t="n">
        <v>1</v>
      </c>
      <c r="I335" s="11" t="n">
        <v>0.01</v>
      </c>
      <c r="J335" s="11" t="n">
        <v>0.1</v>
      </c>
      <c r="K335" s="10" t="n"/>
      <c r="L335" s="9" t="inlineStr">
        <is>
          <t>оценка</t>
        </is>
      </c>
      <c r="M335" s="9" t="inlineStr"/>
      <c r="N335" s="9" t="inlineStr">
        <is>
          <t>2026-10-29</t>
        </is>
      </c>
      <c r="O335" s="13" t="inlineStr">
        <is>
          <t>оценка лампы В Петрович, Лемана ПРО и Сатурн открытой карточки нет, оставлен прежний источник.</t>
        </is>
      </c>
      <c r="P335" s="4">
        <f>IF(H335=1,G335/VAT_DIV,G335)</f>
        <v/>
      </c>
      <c r="Q335" s="4">
        <f>P335*(1+I335)*(1+DELIV)*(1+GROWTH+MONEY)</f>
        <v/>
      </c>
      <c r="R335" s="4">
        <f>IF(AND(K335&lt;&gt;"",Q335*(1+J335)&gt;K335/VAT_DIV),K335/VAT_DIV,Q335*(1+J335))</f>
        <v/>
      </c>
      <c r="S335" s="4">
        <f>Q335*F335</f>
        <v/>
      </c>
      <c r="T335" s="4">
        <f>R335*F335</f>
        <v/>
      </c>
      <c r="U335" s="3">
        <f>IF(AND(K335&lt;&gt;"",Q335*(1+J335)&gt;K335/VAT_DIV+0.01),"ДА","")</f>
        <v/>
      </c>
      <c r="V335" s="4">
        <f>P335*F335</f>
        <v/>
      </c>
    </row>
    <row r="336" ht="20" customHeight="1">
      <c r="A336" s="9" t="inlineStr">
        <is>
          <t>305. Патрон E27 для лампы освещения</t>
        </is>
      </c>
      <c r="B336" s="13" t="inlineStr">
        <is>
          <t>Патрон E27 для лампы освещения</t>
        </is>
      </c>
      <c r="C336" s="9" t="inlineStr">
        <is>
          <t>Светильники</t>
        </is>
      </c>
      <c r="D336" s="9" t="inlineStr">
        <is>
          <t>шт</t>
        </is>
      </c>
      <c r="E336" s="10" t="n">
        <v>1</v>
      </c>
      <c r="F336" s="4">
        <f>E336*IFERROR(INDEX(Работы!$D$4:$D$672,MATCH(SUBSTITUTE(SUBSTITUTE(SUBSTITUTE(A336,"~","~~"),"*","~*"),"?","~?"),Работы!$B$4:$B$672,0)),0)</f>
        <v/>
      </c>
      <c r="G336" s="10" t="n">
        <v>40</v>
      </c>
      <c r="H336" s="14" t="n">
        <v>1</v>
      </c>
      <c r="I336" s="11" t="n">
        <v>0.01</v>
      </c>
      <c r="J336" s="11" t="n">
        <v>0.1</v>
      </c>
      <c r="K336" s="10" t="n"/>
      <c r="L336" s="9" t="inlineStr">
        <is>
          <t>оценка</t>
        </is>
      </c>
      <c r="M336" s="9" t="inlineStr"/>
      <c r="N336" s="9" t="inlineStr">
        <is>
          <t>2026-10-29</t>
        </is>
      </c>
      <c r="O336" s="13" t="inlineStr">
        <is>
          <t>оценка лампы В Петрович, Лемана ПРО и Сатурн открытой карточки нет, оставлен прежний источник.</t>
        </is>
      </c>
      <c r="P336" s="4">
        <f>IF(H336=1,G336/VAT_DIV,G336)</f>
        <v/>
      </c>
      <c r="Q336" s="4">
        <f>P336*(1+I336)*(1+DELIV)*(1+GROWTH+MONEY)</f>
        <v/>
      </c>
      <c r="R336" s="4">
        <f>IF(AND(K336&lt;&gt;"",Q336*(1+J336)&gt;K336/VAT_DIV),K336/VAT_DIV,Q336*(1+J336))</f>
        <v/>
      </c>
      <c r="S336" s="4">
        <f>Q336*F336</f>
        <v/>
      </c>
      <c r="T336" s="4">
        <f>R336*F336</f>
        <v/>
      </c>
      <c r="U336" s="3">
        <f>IF(AND(K336&lt;&gt;"",Q336*(1+J336)&gt;K336/VAT_DIV+0.01),"ДА","")</f>
        <v/>
      </c>
      <c r="V336" s="4">
        <f>P336*F336</f>
        <v/>
      </c>
    </row>
    <row r="337" ht="20" customHeight="1">
      <c r="A337" s="9" t="inlineStr">
        <is>
          <t>306. Муфта соединительная, тип Стп-10-150/240</t>
        </is>
      </c>
      <c r="B337" s="13" t="inlineStr">
        <is>
          <t>Муфта соединительная, тип Стп-10-150/240</t>
        </is>
      </c>
      <c r="C337" s="9" t="inlineStr">
        <is>
          <t>Электроустановочные изделия, щиты, автоматы</t>
        </is>
      </c>
      <c r="D337" s="9" t="inlineStr">
        <is>
          <t>шт</t>
        </is>
      </c>
      <c r="E337" s="10" t="n">
        <v>1</v>
      </c>
      <c r="F337" s="4">
        <f>E337*IFERROR(INDEX(Работы!$D$4:$D$672,MATCH(SUBSTITUTE(SUBSTITUTE(SUBSTITUTE(A337,"~","~~"),"*","~*"),"?","~?"),Работы!$B$4:$B$672,0)),0)</f>
        <v/>
      </c>
      <c r="G337" s="10" t="n">
        <v>4500</v>
      </c>
      <c r="H337" s="14" t="n">
        <v>1</v>
      </c>
      <c r="I337" s="11" t="n">
        <v>0.01</v>
      </c>
      <c r="J337" s="11" t="n">
        <v>0.12</v>
      </c>
      <c r="K337" s="10" t="n"/>
      <c r="L337" s="9" t="inlineStr">
        <is>
          <t>оценка</t>
        </is>
      </c>
      <c r="M337" s="9" t="inlineStr"/>
      <c r="N337" s="9" t="inlineStr">
        <is>
          <t>2026-10-29</t>
        </is>
      </c>
      <c r="O337" s="13" t="inlineStr">
        <is>
          <t>оценка В Петрович, Лемана ПРО и Сатурн открытой карточки нет, оставлен прежний источник.</t>
        </is>
      </c>
      <c r="P337" s="4">
        <f>IF(H337=1,G337/VAT_DIV,G337)</f>
        <v/>
      </c>
      <c r="Q337" s="4">
        <f>P337*(1+I337)*(1+DELIV)*(1+GROWTH+MONEY)</f>
        <v/>
      </c>
      <c r="R337" s="4">
        <f>IF(AND(K337&lt;&gt;"",Q337*(1+J337)&gt;K337/VAT_DIV),K337/VAT_DIV,Q337*(1+J337))</f>
        <v/>
      </c>
      <c r="S337" s="4">
        <f>Q337*F337</f>
        <v/>
      </c>
      <c r="T337" s="4">
        <f>R337*F337</f>
        <v/>
      </c>
      <c r="U337" s="3">
        <f>IF(AND(K337&lt;&gt;"",Q337*(1+J337)&gt;K337/VAT_DIV+0.01),"ДА","")</f>
        <v/>
      </c>
      <c r="V337" s="4">
        <f>P337*F337</f>
        <v/>
      </c>
    </row>
    <row r="338" ht="20" customHeight="1">
      <c r="A338" s="9" t="inlineStr">
        <is>
          <t>307. Аккумулятор Энергия АКБ 12-55 (12В, 55 Ач, В235×Ш229×Г138)</t>
        </is>
      </c>
      <c r="B338" s="13" t="inlineStr">
        <is>
          <t>Аккумулятор Энергия АКБ 12-55 (12В, 55 Ач, В235×Ш229×Г138)</t>
        </is>
      </c>
      <c r="C338" s="9" t="inlineStr">
        <is>
          <t>ОБОРУДОВАНИЕ (вентустановки, кондиционеры, насосы, щиты под заказ)</t>
        </is>
      </c>
      <c r="D338" s="9" t="inlineStr">
        <is>
          <t>шт</t>
        </is>
      </c>
      <c r="E338" s="10" t="n">
        <v>1</v>
      </c>
      <c r="F338" s="4">
        <f>E338*IFERROR(INDEX(Работы!$D$4:$D$672,MATCH(SUBSTITUTE(SUBSTITUTE(SUBSTITUTE(A338,"~","~~"),"*","~*"),"?","~?"),Работы!$B$4:$B$672,0)),0)</f>
        <v/>
      </c>
      <c r="G338" s="10" t="n">
        <v>8500</v>
      </c>
      <c r="H338" s="14" t="n">
        <v>1</v>
      </c>
      <c r="I338" s="11" t="n">
        <v>0</v>
      </c>
      <c r="J338" s="11" t="n">
        <v>0.1</v>
      </c>
      <c r="K338" s="10" t="n"/>
      <c r="L338" s="9" t="inlineStr">
        <is>
          <t>оценка</t>
        </is>
      </c>
      <c r="M338" s="9" t="inlineStr"/>
      <c r="N338" s="9" t="inlineStr">
        <is>
          <t>2026-10-29</t>
        </is>
      </c>
      <c r="O338" s="13" t="inlineStr">
        <is>
          <t>оценка, ИБП и АКБ — запросить КП В Петрович, Лемана ПРО и Сатурн открытой карточки нет, оставлен прежний источник.</t>
        </is>
      </c>
      <c r="P338" s="4">
        <f>IF(H338=1,G338/VAT_DIV,G338)</f>
        <v/>
      </c>
      <c r="Q338" s="4">
        <f>P338*(1+I338)*(1+DELIV)*(1+GROWTH+MONEY)</f>
        <v/>
      </c>
      <c r="R338" s="4">
        <f>IF(AND(K338&lt;&gt;"",Q338*(1+J338)&gt;K338/VAT_DIV),K338/VAT_DIV,Q338*(1+J338))</f>
        <v/>
      </c>
      <c r="S338" s="4">
        <f>Q338*F338</f>
        <v/>
      </c>
      <c r="T338" s="4">
        <f>R338*F338</f>
        <v/>
      </c>
      <c r="U338" s="3">
        <f>IF(AND(K338&lt;&gt;"",Q338*(1+J338)&gt;K338/VAT_DIV+0.01),"ДА","")</f>
        <v/>
      </c>
      <c r="V338" s="4">
        <f>P338*F338</f>
        <v/>
      </c>
    </row>
    <row r="339" ht="20" customHeight="1">
      <c r="A339" s="9" t="inlineStr">
        <is>
          <t>308. ИБП KEOR LP 3000ВА Legrand или аналог</t>
        </is>
      </c>
      <c r="B339" s="13" t="inlineStr">
        <is>
          <t>ИБП KEOR LP 3000ВА Legrand или аналог</t>
        </is>
      </c>
      <c r="C339" s="9" t="inlineStr">
        <is>
          <t>ОБОРУДОВАНИЕ (вентустановки, кондиционеры, насосы, щиты под заказ)</t>
        </is>
      </c>
      <c r="D339" s="9" t="inlineStr">
        <is>
          <t>шт</t>
        </is>
      </c>
      <c r="E339" s="10" t="n">
        <v>1</v>
      </c>
      <c r="F339" s="4">
        <f>E339*IFERROR(INDEX(Работы!$D$4:$D$672,MATCH(SUBSTITUTE(SUBSTITUTE(SUBSTITUTE(A339,"~","~~"),"*","~*"),"?","~?"),Работы!$B$4:$B$672,0)),0)</f>
        <v/>
      </c>
      <c r="G339" s="10" t="n">
        <v>45000</v>
      </c>
      <c r="H339" s="14" t="n">
        <v>1</v>
      </c>
      <c r="I339" s="11" t="n">
        <v>0</v>
      </c>
      <c r="J339" s="11" t="n">
        <v>0.1</v>
      </c>
      <c r="K339" s="10" t="n"/>
      <c r="L339" s="9" t="inlineStr">
        <is>
          <t>оценка</t>
        </is>
      </c>
      <c r="M339" s="9" t="inlineStr"/>
      <c r="N339" s="9" t="inlineStr">
        <is>
          <t>2026-10-29</t>
        </is>
      </c>
      <c r="O339" s="13" t="inlineStr">
        <is>
          <t>оценка, ИБП и АКБ — запросить КП В Петрович, Лемана ПРО и Сатурн открытой карточки нет, оставлен прежний источник.</t>
        </is>
      </c>
      <c r="P339" s="4">
        <f>IF(H339=1,G339/VAT_DIV,G339)</f>
        <v/>
      </c>
      <c r="Q339" s="4">
        <f>P339*(1+I339)*(1+DELIV)*(1+GROWTH+MONEY)</f>
        <v/>
      </c>
      <c r="R339" s="4">
        <f>IF(AND(K339&lt;&gt;"",Q339*(1+J339)&gt;K339/VAT_DIV),K339/VAT_DIV,Q339*(1+J339))</f>
        <v/>
      </c>
      <c r="S339" s="4">
        <f>Q339*F339</f>
        <v/>
      </c>
      <c r="T339" s="4">
        <f>R339*F339</f>
        <v/>
      </c>
      <c r="U339" s="3">
        <f>IF(AND(K339&lt;&gt;"",Q339*(1+J339)&gt;K339/VAT_DIV+0.01),"ДА","")</f>
        <v/>
      </c>
      <c r="V339" s="4">
        <f>P339*F339</f>
        <v/>
      </c>
    </row>
    <row r="340" ht="20" customHeight="1">
      <c r="A340" s="9" t="inlineStr">
        <is>
          <t>310. Раковина подвесная 1-й величины ~45х36 см</t>
        </is>
      </c>
      <c r="B340" s="13" t="inlineStr">
        <is>
          <t>Раковина подвесная 1-й величины ~45х36 см</t>
        </is>
      </c>
      <c r="C340" s="9" t="inlineStr">
        <is>
          <t>Сантехприборы</t>
        </is>
      </c>
      <c r="D340" s="9" t="inlineStr">
        <is>
          <t>шт</t>
        </is>
      </c>
      <c r="E340" s="10" t="n">
        <v>1</v>
      </c>
      <c r="F340" s="4">
        <f>E340*IFERROR(INDEX(Работы!$D$4:$D$672,MATCH(SUBSTITUTE(SUBSTITUTE(SUBSTITUTE(A340,"~","~~"),"*","~*"),"?","~?"),Работы!$B$4:$B$672,0)),0)</f>
        <v/>
      </c>
      <c r="G340" s="10" t="n">
        <v>3840</v>
      </c>
      <c r="H340" s="14" t="n">
        <v>1</v>
      </c>
      <c r="I340" s="11" t="n">
        <v>0</v>
      </c>
      <c r="J340" s="11" t="n">
        <v>0.12</v>
      </c>
      <c r="K340" s="10" t="n"/>
      <c r="L340" s="9" t="inlineStr">
        <is>
          <t>Петрович</t>
        </is>
      </c>
      <c r="M340" s="9" t="inlineStr">
        <is>
          <t>https://moscow.petrovich.ru/product/1094953/</t>
        </is>
      </c>
      <c r="N340" s="9" t="inlineStr">
        <is>
          <t>2026-10-29</t>
        </is>
      </c>
      <c r="O340" s="13" t="inlineStr">
        <is>
          <t>Петрович, комплект Sanita Аттика 55 см (раковина и пьедестал) 3 840 руб. Прочие размеры — тот же аналог.</t>
        </is>
      </c>
      <c r="P340" s="4">
        <f>IF(H340=1,G340/VAT_DIV,G340)</f>
        <v/>
      </c>
      <c r="Q340" s="4">
        <f>P340*(1+I340)*(1+DELIV)*(1+GROWTH+MONEY)</f>
        <v/>
      </c>
      <c r="R340" s="4">
        <f>IF(AND(K340&lt;&gt;"",Q340*(1+J340)&gt;K340/VAT_DIV),K340/VAT_DIV,Q340*(1+J340))</f>
        <v/>
      </c>
      <c r="S340" s="4">
        <f>Q340*F340</f>
        <v/>
      </c>
      <c r="T340" s="4">
        <f>R340*F340</f>
        <v/>
      </c>
      <c r="U340" s="3">
        <f>IF(AND(K340&lt;&gt;"",Q340*(1+J340)&gt;K340/VAT_DIV+0.01),"ДА","")</f>
        <v/>
      </c>
      <c r="V340" s="4">
        <f>P340*F340</f>
        <v/>
      </c>
    </row>
    <row r="341" ht="20" customHeight="1">
      <c r="A341" s="9" t="inlineStr">
        <is>
          <t>311. Раковина подвесная 2-й величины ~55х46 см</t>
        </is>
      </c>
      <c r="B341" s="13" t="inlineStr">
        <is>
          <t>Раковина подвесная 2-й величины ~55х46 см</t>
        </is>
      </c>
      <c r="C341" s="9" t="inlineStr">
        <is>
          <t>Сантехприборы</t>
        </is>
      </c>
      <c r="D341" s="9" t="inlineStr">
        <is>
          <t>шт</t>
        </is>
      </c>
      <c r="E341" s="10" t="n">
        <v>1</v>
      </c>
      <c r="F341" s="4">
        <f>E341*IFERROR(INDEX(Работы!$D$4:$D$672,MATCH(SUBSTITUTE(SUBSTITUTE(SUBSTITUTE(A341,"~","~~"),"*","~*"),"?","~?"),Работы!$B$4:$B$672,0)),0)</f>
        <v/>
      </c>
      <c r="G341" s="10" t="n">
        <v>3840</v>
      </c>
      <c r="H341" s="14" t="n">
        <v>1</v>
      </c>
      <c r="I341" s="11" t="n">
        <v>0</v>
      </c>
      <c r="J341" s="11" t="n">
        <v>0.12</v>
      </c>
      <c r="K341" s="10" t="n"/>
      <c r="L341" s="9" t="inlineStr">
        <is>
          <t>Петрович</t>
        </is>
      </c>
      <c r="M341" s="9" t="inlineStr">
        <is>
          <t>https://moscow.petrovich.ru/product/1094953/</t>
        </is>
      </c>
      <c r="N341" s="9" t="inlineStr">
        <is>
          <t>2026-10-29</t>
        </is>
      </c>
      <c r="O341" s="13" t="inlineStr">
        <is>
          <t>Петрович, комплект Sanita Аттика 55 см (раковина и пьедестал) 3 840 руб. Прочие размеры — тот же аналог.</t>
        </is>
      </c>
      <c r="P341" s="4">
        <f>IF(H341=1,G341/VAT_DIV,G341)</f>
        <v/>
      </c>
      <c r="Q341" s="4">
        <f>P341*(1+I341)*(1+DELIV)*(1+GROWTH+MONEY)</f>
        <v/>
      </c>
      <c r="R341" s="4">
        <f>IF(AND(K341&lt;&gt;"",Q341*(1+J341)&gt;K341/VAT_DIV),K341/VAT_DIV,Q341*(1+J341))</f>
        <v/>
      </c>
      <c r="S341" s="4">
        <f>Q341*F341</f>
        <v/>
      </c>
      <c r="T341" s="4">
        <f>R341*F341</f>
        <v/>
      </c>
      <c r="U341" s="3">
        <f>IF(AND(K341&lt;&gt;"",Q341*(1+J341)&gt;K341/VAT_DIV+0.01),"ДА","")</f>
        <v/>
      </c>
      <c r="V341" s="4">
        <f>P341*F341</f>
        <v/>
      </c>
    </row>
    <row r="342" ht="20" customHeight="1">
      <c r="A342" s="9" t="inlineStr">
        <is>
          <t>312. Раковина на пъедестале 55х44 см</t>
        </is>
      </c>
      <c r="B342" s="13" t="inlineStr">
        <is>
          <t>Раковина на пъедестале 55х44 см</t>
        </is>
      </c>
      <c r="C342" s="9" t="inlineStr">
        <is>
          <t>Сантехприборы</t>
        </is>
      </c>
      <c r="D342" s="9" t="inlineStr">
        <is>
          <t>шт</t>
        </is>
      </c>
      <c r="E342" s="10" t="n">
        <v>1</v>
      </c>
      <c r="F342" s="4">
        <f>E342*IFERROR(INDEX(Работы!$D$4:$D$672,MATCH(SUBSTITUTE(SUBSTITUTE(SUBSTITUTE(A342,"~","~~"),"*","~*"),"?","~?"),Работы!$B$4:$B$672,0)),0)</f>
        <v/>
      </c>
      <c r="G342" s="10" t="n">
        <v>3840</v>
      </c>
      <c r="H342" s="14" t="n">
        <v>1</v>
      </c>
      <c r="I342" s="11" t="n">
        <v>0</v>
      </c>
      <c r="J342" s="11" t="n">
        <v>0.12</v>
      </c>
      <c r="K342" s="10" t="n"/>
      <c r="L342" s="9" t="inlineStr">
        <is>
          <t>Петрович</t>
        </is>
      </c>
      <c r="M342" s="9" t="inlineStr">
        <is>
          <t>https://moscow.petrovich.ru/product/1094953/</t>
        </is>
      </c>
      <c r="N342" s="9" t="inlineStr">
        <is>
          <t>2026-10-29</t>
        </is>
      </c>
      <c r="O342" s="13" t="inlineStr">
        <is>
          <t>Петрович, комплект Sanita Аттика 55 см (раковина и пьедестал) 3 840 руб. Прочие размеры — тот же аналог.</t>
        </is>
      </c>
      <c r="P342" s="4">
        <f>IF(H342=1,G342/VAT_DIV,G342)</f>
        <v/>
      </c>
      <c r="Q342" s="4">
        <f>P342*(1+I342)*(1+DELIV)*(1+GROWTH+MONEY)</f>
        <v/>
      </c>
      <c r="R342" s="4">
        <f>IF(AND(K342&lt;&gt;"",Q342*(1+J342)&gt;K342/VAT_DIV),K342/VAT_DIV,Q342*(1+J342))</f>
        <v/>
      </c>
      <c r="S342" s="4">
        <f>Q342*F342</f>
        <v/>
      </c>
      <c r="T342" s="4">
        <f>R342*F342</f>
        <v/>
      </c>
      <c r="U342" s="3">
        <f>IF(AND(K342&lt;&gt;"",Q342*(1+J342)&gt;K342/VAT_DIV+0.01),"ДА","")</f>
        <v/>
      </c>
      <c r="V342" s="4">
        <f>P342*F342</f>
        <v/>
      </c>
    </row>
    <row r="343" ht="20" customHeight="1">
      <c r="A343" s="9" t="inlineStr">
        <is>
          <t>313. Раковина угловая ~33х33 см</t>
        </is>
      </c>
      <c r="B343" s="13" t="inlineStr">
        <is>
          <t>Раковина угловая ~33х33 см</t>
        </is>
      </c>
      <c r="C343" s="9" t="inlineStr">
        <is>
          <t>Сантехприборы</t>
        </is>
      </c>
      <c r="D343" s="9" t="inlineStr">
        <is>
          <t>шт</t>
        </is>
      </c>
      <c r="E343" s="10" t="n">
        <v>1</v>
      </c>
      <c r="F343" s="4">
        <f>E343*IFERROR(INDEX(Работы!$D$4:$D$672,MATCH(SUBSTITUTE(SUBSTITUTE(SUBSTITUTE(A343,"~","~~"),"*","~*"),"?","~?"),Работы!$B$4:$B$672,0)),0)</f>
        <v/>
      </c>
      <c r="G343" s="10" t="n">
        <v>3840</v>
      </c>
      <c r="H343" s="14" t="n">
        <v>1</v>
      </c>
      <c r="I343" s="11" t="n">
        <v>0</v>
      </c>
      <c r="J343" s="11" t="n">
        <v>0.12</v>
      </c>
      <c r="K343" s="10" t="n"/>
      <c r="L343" s="9" t="inlineStr">
        <is>
          <t>Петрович</t>
        </is>
      </c>
      <c r="M343" s="9" t="inlineStr">
        <is>
          <t>https://moscow.petrovich.ru/product/1094953/</t>
        </is>
      </c>
      <c r="N343" s="9" t="inlineStr">
        <is>
          <t>2026-10-29</t>
        </is>
      </c>
      <c r="O343" s="13" t="inlineStr">
        <is>
          <t>Петрович, комплект Sanita Аттика 55 см (раковина и пьедестал) 3 840 руб. Прочие размеры — тот же аналог.</t>
        </is>
      </c>
      <c r="P343" s="4">
        <f>IF(H343=1,G343/VAT_DIV,G343)</f>
        <v/>
      </c>
      <c r="Q343" s="4">
        <f>P343*(1+I343)*(1+DELIV)*(1+GROWTH+MONEY)</f>
        <v/>
      </c>
      <c r="R343" s="4">
        <f>IF(AND(K343&lt;&gt;"",Q343*(1+J343)&gt;K343/VAT_DIV),K343/VAT_DIV,Q343*(1+J343))</f>
        <v/>
      </c>
      <c r="S343" s="4">
        <f>Q343*F343</f>
        <v/>
      </c>
      <c r="T343" s="4">
        <f>R343*F343</f>
        <v/>
      </c>
      <c r="U343" s="3">
        <f>IF(AND(K343&lt;&gt;"",Q343*(1+J343)&gt;K343/VAT_DIV+0.01),"ДА","")</f>
        <v/>
      </c>
      <c r="V343" s="4">
        <f>P343*F343</f>
        <v/>
      </c>
    </row>
    <row r="344" ht="20" customHeight="1">
      <c r="A344" s="9" t="inlineStr">
        <is>
          <t>314. Унитаз-компакт типа "Воротынский"</t>
        </is>
      </c>
      <c r="B344" s="13" t="inlineStr">
        <is>
          <t>Унитаз-компакт</t>
        </is>
      </c>
      <c r="C344" s="9" t="inlineStr">
        <is>
          <t>Сантехприборы</t>
        </is>
      </c>
      <c r="D344" s="9" t="inlineStr">
        <is>
          <t>шт</t>
        </is>
      </c>
      <c r="E344" s="10" t="n">
        <v>1</v>
      </c>
      <c r="F344" s="4">
        <f>E344*IFERROR(INDEX(Работы!$D$4:$D$672,MATCH(SUBSTITUTE(SUBSTITUTE(SUBSTITUTE(A344,"~","~~"),"*","~*"),"?","~?"),Работы!$B$4:$B$672,0)),0)</f>
        <v/>
      </c>
      <c r="G344" s="10" t="n">
        <v>4990</v>
      </c>
      <c r="H344" s="14" t="n">
        <v>1</v>
      </c>
      <c r="I344" s="11" t="n">
        <v>0</v>
      </c>
      <c r="J344" s="11" t="n">
        <v>0.12</v>
      </c>
      <c r="K344" s="10" t="n"/>
      <c r="L344" s="9" t="inlineStr">
        <is>
          <t>Лемана ПРО</t>
        </is>
      </c>
      <c r="M344" s="9" t="inlineStr">
        <is>
          <t>https://lemanapro.ru/product/unitaz-kompakt-yauza-82199701/</t>
        </is>
      </c>
      <c r="N344" s="9" t="inlineStr">
        <is>
          <t>2026-10-29</t>
        </is>
      </c>
      <c r="O344" s="13" t="inlineStr">
        <is>
          <t>Минимум: Лемана ПРО Яуза 4 990 руб. Сатурн Sanita Эталон 5 666, Петрович Cersanit Trento 8 130.</t>
        </is>
      </c>
      <c r="P344" s="4">
        <f>IF(H344=1,G344/VAT_DIV,G344)</f>
        <v/>
      </c>
      <c r="Q344" s="4">
        <f>P344*(1+I344)*(1+DELIV)*(1+GROWTH+MONEY)</f>
        <v/>
      </c>
      <c r="R344" s="4">
        <f>IF(AND(K344&lt;&gt;"",Q344*(1+J344)&gt;K344/VAT_DIV),K344/VAT_DIV,Q344*(1+J344))</f>
        <v/>
      </c>
      <c r="S344" s="4">
        <f>Q344*F344</f>
        <v/>
      </c>
      <c r="T344" s="4">
        <f>R344*F344</f>
        <v/>
      </c>
      <c r="U344" s="3">
        <f>IF(AND(K344&lt;&gt;"",Q344*(1+J344)&gt;K344/VAT_DIV+0.01),"ДА","")</f>
        <v/>
      </c>
      <c r="V344" s="4">
        <f>P344*F344</f>
        <v/>
      </c>
    </row>
    <row r="345" ht="20" customHeight="1">
      <c r="A345" s="9" t="inlineStr">
        <is>
          <t>315. Умывальник на пьедестале С/О по центру, С/П 47 см ПОЛУКРУГЛЫЙ (390х470х840)</t>
        </is>
      </c>
      <c r="B345" s="13" t="inlineStr">
        <is>
          <t>Умывальник на пьедестале С/О по центру, С/П 47 см ПОЛУКРУГЛЫЙ (390х470х840)</t>
        </is>
      </c>
      <c r="C345" s="9" t="inlineStr">
        <is>
          <t>Сантехприборы</t>
        </is>
      </c>
      <c r="D345" s="9" t="inlineStr">
        <is>
          <t>шт</t>
        </is>
      </c>
      <c r="E345" s="10" t="n">
        <v>1</v>
      </c>
      <c r="F345" s="4">
        <f>E345*IFERROR(INDEX(Работы!$D$4:$D$672,MATCH(SUBSTITUTE(SUBSTITUTE(SUBSTITUTE(A345,"~","~~"),"*","~*"),"?","~?"),Работы!$B$4:$B$672,0)),0)</f>
        <v/>
      </c>
      <c r="G345" s="10" t="n">
        <v>4500</v>
      </c>
      <c r="H345" s="14" t="n">
        <v>1</v>
      </c>
      <c r="I345" s="11" t="n">
        <v>0</v>
      </c>
      <c r="J345" s="11" t="n">
        <v>0.12</v>
      </c>
      <c r="K345" s="10" t="n"/>
      <c r="L345" s="9" t="inlineStr">
        <is>
          <t>оценка</t>
        </is>
      </c>
      <c r="M345" s="9" t="inlineStr"/>
      <c r="N345" s="9" t="inlineStr">
        <is>
          <t>2026-10-29</t>
        </is>
      </c>
      <c r="O345" s="13" t="inlineStr">
        <is>
          <t>оценка керамики среднего сегмента В Петрович, Лемана ПРО и Сатурн открытой карточки нет, оставлен прежний источник.</t>
        </is>
      </c>
      <c r="P345" s="4">
        <f>IF(H345=1,G345/VAT_DIV,G345)</f>
        <v/>
      </c>
      <c r="Q345" s="4">
        <f>P345*(1+I345)*(1+DELIV)*(1+GROWTH+MONEY)</f>
        <v/>
      </c>
      <c r="R345" s="4">
        <f>IF(AND(K345&lt;&gt;"",Q345*(1+J345)&gt;K345/VAT_DIV),K345/VAT_DIV,Q345*(1+J345))</f>
        <v/>
      </c>
      <c r="S345" s="4">
        <f>Q345*F345</f>
        <v/>
      </c>
      <c r="T345" s="4">
        <f>R345*F345</f>
        <v/>
      </c>
      <c r="U345" s="3">
        <f>IF(AND(K345&lt;&gt;"",Q345*(1+J345)&gt;K345/VAT_DIV+0.01),"ДА","")</f>
        <v/>
      </c>
      <c r="V345" s="4">
        <f>P345*F345</f>
        <v/>
      </c>
    </row>
    <row r="346" ht="20" customHeight="1">
      <c r="A346" s="9" t="inlineStr">
        <is>
          <t>316. Напольный унитаз Sanita Эталон Стандарт или аналог</t>
        </is>
      </c>
      <c r="B346" s="13" t="inlineStr">
        <is>
          <t>Унитаз-компакт</t>
        </is>
      </c>
      <c r="C346" s="9" t="inlineStr">
        <is>
          <t>Сантехприборы</t>
        </is>
      </c>
      <c r="D346" s="9" t="inlineStr">
        <is>
          <t>шт</t>
        </is>
      </c>
      <c r="E346" s="10" t="n">
        <v>1</v>
      </c>
      <c r="F346" s="4">
        <f>E346*IFERROR(INDEX(Работы!$D$4:$D$672,MATCH(SUBSTITUTE(SUBSTITUTE(SUBSTITUTE(A346,"~","~~"),"*","~*"),"?","~?"),Работы!$B$4:$B$672,0)),0)</f>
        <v/>
      </c>
      <c r="G346" s="10" t="n">
        <v>4990</v>
      </c>
      <c r="H346" s="14" t="n">
        <v>1</v>
      </c>
      <c r="I346" s="11" t="n">
        <v>0</v>
      </c>
      <c r="J346" s="11" t="n">
        <v>0.12</v>
      </c>
      <c r="K346" s="10" t="n"/>
      <c r="L346" s="9" t="inlineStr">
        <is>
          <t>Лемана ПРО</t>
        </is>
      </c>
      <c r="M346" s="9" t="inlineStr">
        <is>
          <t>https://lemanapro.ru/product/unitaz-kompakt-yauza-82199701/</t>
        </is>
      </c>
      <c r="N346" s="9" t="inlineStr">
        <is>
          <t>2026-10-29</t>
        </is>
      </c>
      <c r="O346" s="13" t="inlineStr">
        <is>
          <t>Минимум: Лемана ПРО Яуза 4 990 руб. Сатурн Sanita Эталон 5 666, Петрович Cersanit Trento 8 130.</t>
        </is>
      </c>
      <c r="P346" s="4">
        <f>IF(H346=1,G346/VAT_DIV,G346)</f>
        <v/>
      </c>
      <c r="Q346" s="4">
        <f>P346*(1+I346)*(1+DELIV)*(1+GROWTH+MONEY)</f>
        <v/>
      </c>
      <c r="R346" s="4">
        <f>IF(AND(K346&lt;&gt;"",Q346*(1+J346)&gt;K346/VAT_DIV),K346/VAT_DIV,Q346*(1+J346))</f>
        <v/>
      </c>
      <c r="S346" s="4">
        <f>Q346*F346</f>
        <v/>
      </c>
      <c r="T346" s="4">
        <f>R346*F346</f>
        <v/>
      </c>
      <c r="U346" s="3">
        <f>IF(AND(K346&lt;&gt;"",Q346*(1+J346)&gt;K346/VAT_DIV+0.01),"ДА","")</f>
        <v/>
      </c>
      <c r="V346" s="4">
        <f>P346*F346</f>
        <v/>
      </c>
    </row>
    <row r="347" ht="20" customHeight="1">
      <c r="A347" s="9" t="inlineStr">
        <is>
          <t>317. Душевой поддон</t>
        </is>
      </c>
      <c r="B347" s="13" t="inlineStr">
        <is>
          <t>Душевой поддон 90х90</t>
        </is>
      </c>
      <c r="C347" s="9" t="inlineStr">
        <is>
          <t>Сантехприборы</t>
        </is>
      </c>
      <c r="D347" s="9" t="inlineStr">
        <is>
          <t>шт</t>
        </is>
      </c>
      <c r="E347" s="10" t="n">
        <v>1</v>
      </c>
      <c r="F347" s="4">
        <f>E347*IFERROR(INDEX(Работы!$D$4:$D$672,MATCH(SUBSTITUTE(SUBSTITUTE(SUBSTITUTE(A347,"~","~~"),"*","~*"),"?","~?"),Работы!$B$4:$B$672,0)),0)</f>
        <v/>
      </c>
      <c r="G347" s="10" t="n">
        <v>4500</v>
      </c>
      <c r="H347" s="14" t="n">
        <v>1</v>
      </c>
      <c r="I347" s="11" t="n">
        <v>0</v>
      </c>
      <c r="J347" s="11" t="n">
        <v>0.12</v>
      </c>
      <c r="K347" s="10" t="n"/>
      <c r="L347" s="9" t="inlineStr">
        <is>
          <t>оценка</t>
        </is>
      </c>
      <c r="M347" s="9" t="inlineStr"/>
      <c r="N347" s="9" t="inlineStr">
        <is>
          <t>2026-10-29</t>
        </is>
      </c>
      <c r="O347" s="13" t="inlineStr">
        <is>
          <t>оценка В Петрович, Лемана ПРО и Сатурн открытой карточки нет, оставлен прежний источник.</t>
        </is>
      </c>
      <c r="P347" s="4">
        <f>IF(H347=1,G347/VAT_DIV,G347)</f>
        <v/>
      </c>
      <c r="Q347" s="4">
        <f>P347*(1+I347)*(1+DELIV)*(1+GROWTH+MONEY)</f>
        <v/>
      </c>
      <c r="R347" s="4">
        <f>IF(AND(K347&lt;&gt;"",Q347*(1+J347)&gt;K347/VAT_DIV),K347/VAT_DIV,Q347*(1+J347))</f>
        <v/>
      </c>
      <c r="S347" s="4">
        <f>Q347*F347</f>
        <v/>
      </c>
      <c r="T347" s="4">
        <f>R347*F347</f>
        <v/>
      </c>
      <c r="U347" s="3">
        <f>IF(AND(K347&lt;&gt;"",Q347*(1+J347)&gt;K347/VAT_DIV+0.01),"ДА","")</f>
        <v/>
      </c>
      <c r="V347" s="4">
        <f>P347*F347</f>
        <v/>
      </c>
    </row>
    <row r="348" ht="20" customHeight="1">
      <c r="A348" s="9" t="inlineStr">
        <is>
          <t>318. Технологическая мойка из нержавеющей стали односекционная с размером чаши не менее 600x600x300 мм</t>
        </is>
      </c>
      <c r="B348" s="13" t="inlineStr">
        <is>
          <t>Технологическая мойка из нержавеющей стали односекционная с размером чаши не мен</t>
        </is>
      </c>
      <c r="C348" s="9" t="inlineStr">
        <is>
          <t>Сантехприборы</t>
        </is>
      </c>
      <c r="D348" s="9" t="inlineStr">
        <is>
          <t>шт</t>
        </is>
      </c>
      <c r="E348" s="10" t="n">
        <v>1</v>
      </c>
      <c r="F348" s="4">
        <f>E348*IFERROR(INDEX(Работы!$D$4:$D$672,MATCH(SUBSTITUTE(SUBSTITUTE(SUBSTITUTE(A348,"~","~~"),"*","~*"),"?","~?"),Работы!$B$4:$B$672,0)),0)</f>
        <v/>
      </c>
      <c r="G348" s="10" t="n">
        <v>14000</v>
      </c>
      <c r="H348" s="14" t="n">
        <v>1</v>
      </c>
      <c r="I348" s="11" t="n">
        <v>0</v>
      </c>
      <c r="J348" s="11" t="n">
        <v>0.12</v>
      </c>
      <c r="K348" s="10" t="n"/>
      <c r="L348" s="9" t="inlineStr">
        <is>
          <t>оценка</t>
        </is>
      </c>
      <c r="M348" s="9" t="inlineStr"/>
      <c r="N348" s="9" t="inlineStr">
        <is>
          <t>2026-10-29</t>
        </is>
      </c>
      <c r="O348" s="13" t="inlineStr">
        <is>
          <t>оценка нержавеющей мойки, запросить КП В Петрович, Лемана ПРО и Сатурн открытой карточки нет, оставлен прежний источник.</t>
        </is>
      </c>
      <c r="P348" s="4">
        <f>IF(H348=1,G348/VAT_DIV,G348)</f>
        <v/>
      </c>
      <c r="Q348" s="4">
        <f>P348*(1+I348)*(1+DELIV)*(1+GROWTH+MONEY)</f>
        <v/>
      </c>
      <c r="R348" s="4">
        <f>IF(AND(K348&lt;&gt;"",Q348*(1+J348)&gt;K348/VAT_DIV),K348/VAT_DIV,Q348*(1+J348))</f>
        <v/>
      </c>
      <c r="S348" s="4">
        <f>Q348*F348</f>
        <v/>
      </c>
      <c r="T348" s="4">
        <f>R348*F348</f>
        <v/>
      </c>
      <c r="U348" s="3">
        <f>IF(AND(K348&lt;&gt;"",Q348*(1+J348)&gt;K348/VAT_DIV+0.01),"ДА","")</f>
        <v/>
      </c>
      <c r="V348" s="4">
        <f>P348*F348</f>
        <v/>
      </c>
    </row>
    <row r="349" ht="20" customHeight="1">
      <c r="A349" s="9" t="inlineStr">
        <is>
          <t>319.  Стол с мойкой К-МС-П1 из нержавеющей стали, 1 чаша 1200x600x870мм в сборе со смесителем, подводкой и сифоном</t>
        </is>
      </c>
      <c r="B349" s="13" t="inlineStr">
        <is>
          <t>Смеситель для раковины</t>
        </is>
      </c>
      <c r="C349" s="9" t="inlineStr">
        <is>
          <t>Сантехприборы</t>
        </is>
      </c>
      <c r="D349" s="9" t="inlineStr">
        <is>
          <t>шт</t>
        </is>
      </c>
      <c r="E349" s="10" t="n">
        <v>1</v>
      </c>
      <c r="F349" s="4">
        <f>E349*IFERROR(INDEX(Работы!$D$4:$D$672,MATCH(SUBSTITUTE(SUBSTITUTE(SUBSTITUTE(A349,"~","~~"),"*","~*"),"?","~?"),Работы!$B$4:$B$672,0)),0)</f>
        <v/>
      </c>
      <c r="G349" s="10" t="n">
        <v>1108</v>
      </c>
      <c r="H349" s="14" t="n">
        <v>1</v>
      </c>
      <c r="I349" s="11" t="n">
        <v>0</v>
      </c>
      <c r="J349" s="11" t="n">
        <v>0.12</v>
      </c>
      <c r="K349" s="10" t="n"/>
      <c r="L349" s="9" t="inlineStr">
        <is>
          <t>Сатурн</t>
        </is>
      </c>
      <c r="M349" s="9" t="inlineStr">
        <is>
          <t>https://msk.saturn.net/product/smesitel-dlya-rakovini-klip-803/</t>
        </is>
      </c>
      <c r="N349" s="9" t="inlineStr">
        <is>
          <t>2026-10-29</t>
        </is>
      </c>
      <c r="O349" s="13" t="inlineStr">
        <is>
          <t>Минимум: Сатурн Klip 803 = 1 108 руб. Петрович РМС 1 176, Лемана ПРО Fixsen 3 680.</t>
        </is>
      </c>
      <c r="P349" s="4">
        <f>IF(H349=1,G349/VAT_DIV,G349)</f>
        <v/>
      </c>
      <c r="Q349" s="4">
        <f>P349*(1+I349)*(1+DELIV)*(1+GROWTH+MONEY)</f>
        <v/>
      </c>
      <c r="R349" s="4">
        <f>IF(AND(K349&lt;&gt;"",Q349*(1+J349)&gt;K349/VAT_DIV),K349/VAT_DIV,Q349*(1+J349))</f>
        <v/>
      </c>
      <c r="S349" s="4">
        <f>Q349*F349</f>
        <v/>
      </c>
      <c r="T349" s="4">
        <f>R349*F349</f>
        <v/>
      </c>
      <c r="U349" s="3">
        <f>IF(AND(K349&lt;&gt;"",Q349*(1+J349)&gt;K349/VAT_DIV+0.01),"ДА","")</f>
        <v/>
      </c>
      <c r="V349" s="4">
        <f>P349*F349</f>
        <v/>
      </c>
    </row>
    <row r="350" ht="20" customHeight="1">
      <c r="A350" s="9" t="inlineStr">
        <is>
          <t xml:space="preserve">320. Котломойка из нержавеющей стали  двойная 1200х800х800 </t>
        </is>
      </c>
      <c r="B350" s="13" t="inlineStr">
        <is>
          <t xml:space="preserve">Котломойка из нержавеющей стали  двойная 1200х800х800 </t>
        </is>
      </c>
      <c r="C350" s="9" t="inlineStr">
        <is>
          <t>Сантехприборы</t>
        </is>
      </c>
      <c r="D350" s="9" t="inlineStr">
        <is>
          <t>шт</t>
        </is>
      </c>
      <c r="E350" s="10" t="n">
        <v>1</v>
      </c>
      <c r="F350" s="4">
        <f>E350*IFERROR(INDEX(Работы!$D$4:$D$672,MATCH(SUBSTITUTE(SUBSTITUTE(SUBSTITUTE(A350,"~","~~"),"*","~*"),"?","~?"),Работы!$B$4:$B$672,0)),0)</f>
        <v/>
      </c>
      <c r="G350" s="10" t="n">
        <v>28000</v>
      </c>
      <c r="H350" s="14" t="n">
        <v>1</v>
      </c>
      <c r="I350" s="11" t="n">
        <v>0</v>
      </c>
      <c r="J350" s="11" t="n">
        <v>0.12</v>
      </c>
      <c r="K350" s="10" t="n"/>
      <c r="L350" s="9" t="inlineStr">
        <is>
          <t>оценка</t>
        </is>
      </c>
      <c r="M350" s="9" t="inlineStr"/>
      <c r="N350" s="9" t="inlineStr">
        <is>
          <t>2026-10-29</t>
        </is>
      </c>
      <c r="O350" s="13" t="inlineStr">
        <is>
          <t>оценка нержавеющей мойки, запросить КП В Петрович, Лемана ПРО и Сатурн открытой карточки нет, оставлен прежний источник.</t>
        </is>
      </c>
      <c r="P350" s="4">
        <f>IF(H350=1,G350/VAT_DIV,G350)</f>
        <v/>
      </c>
      <c r="Q350" s="4">
        <f>P350*(1+I350)*(1+DELIV)*(1+GROWTH+MONEY)</f>
        <v/>
      </c>
      <c r="R350" s="4">
        <f>IF(AND(K350&lt;&gt;"",Q350*(1+J350)&gt;K350/VAT_DIV),K350/VAT_DIV,Q350*(1+J350))</f>
        <v/>
      </c>
      <c r="S350" s="4">
        <f>Q350*F350</f>
        <v/>
      </c>
      <c r="T350" s="4">
        <f>R350*F350</f>
        <v/>
      </c>
      <c r="U350" s="3">
        <f>IF(AND(K350&lt;&gt;"",Q350*(1+J350)&gt;K350/VAT_DIV+0.01),"ДА","")</f>
        <v/>
      </c>
      <c r="V350" s="4">
        <f>P350*F350</f>
        <v/>
      </c>
    </row>
    <row r="351" ht="20" customHeight="1">
      <c r="A351" s="9" t="inlineStr">
        <is>
          <t>321. пескоуловитель для поломоечн.машин ОВП120 КОВП120ПМ или аналог</t>
        </is>
      </c>
      <c r="B351" s="13" t="inlineStr">
        <is>
          <t>пескоуловитель для поломоечн.машин ОВП120 КОВП120ПМ или аналог</t>
        </is>
      </c>
      <c r="C351" s="9" t="inlineStr">
        <is>
          <t>ОБОРУДОВАНИЕ (вентустановки, кондиционеры, насосы, щиты под заказ)</t>
        </is>
      </c>
      <c r="D351" s="9" t="inlineStr">
        <is>
          <t>шт</t>
        </is>
      </c>
      <c r="E351" s="10" t="n">
        <v>1</v>
      </c>
      <c r="F351" s="4">
        <f>E351*IFERROR(INDEX(Работы!$D$4:$D$672,MATCH(SUBSTITUTE(SUBSTITUTE(SUBSTITUTE(A351,"~","~~"),"*","~*"),"?","~?"),Работы!$B$4:$B$672,0)),0)</f>
        <v/>
      </c>
      <c r="G351" s="10" t="n">
        <v>28000</v>
      </c>
      <c r="H351" s="14" t="n">
        <v>1</v>
      </c>
      <c r="I351" s="11" t="n">
        <v>0</v>
      </c>
      <c r="J351" s="11" t="n">
        <v>0.1</v>
      </c>
      <c r="K351" s="10" t="n"/>
      <c r="L351" s="9" t="inlineStr">
        <is>
          <t>оценка</t>
        </is>
      </c>
      <c r="M351" s="9" t="inlineStr"/>
      <c r="N351" s="9" t="inlineStr">
        <is>
          <t>2026-10-29</t>
        </is>
      </c>
      <c r="O351" s="13" t="inlineStr">
        <is>
          <t>оценка жироуловителя/пескоуловителя, запросить КП В Петрович, Лемана ПРО и Сатурн открытой карточки нет, оставлен прежний источник.</t>
        </is>
      </c>
      <c r="P351" s="4">
        <f>IF(H351=1,G351/VAT_DIV,G351)</f>
        <v/>
      </c>
      <c r="Q351" s="4">
        <f>P351*(1+I351)*(1+DELIV)*(1+GROWTH+MONEY)</f>
        <v/>
      </c>
      <c r="R351" s="4">
        <f>IF(AND(K351&lt;&gt;"",Q351*(1+J351)&gt;K351/VAT_DIV),K351/VAT_DIV,Q351*(1+J351))</f>
        <v/>
      </c>
      <c r="S351" s="4">
        <f>Q351*F351</f>
        <v/>
      </c>
      <c r="T351" s="4">
        <f>R351*F351</f>
        <v/>
      </c>
      <c r="U351" s="3">
        <f>IF(AND(K351&lt;&gt;"",Q351*(1+J351)&gt;K351/VAT_DIV+0.01),"ДА","")</f>
        <v/>
      </c>
      <c r="V351" s="4">
        <f>P351*F351</f>
        <v/>
      </c>
    </row>
    <row r="352" ht="20" customHeight="1">
      <c r="A352" s="9" t="inlineStr">
        <is>
          <t>322. Пескоуловители 0,5-30 (Стандарт)</t>
        </is>
      </c>
      <c r="B352" s="13" t="inlineStr">
        <is>
          <t>Пескоуловители 0,5-30 (Стандарт)</t>
        </is>
      </c>
      <c r="C352" s="9" t="inlineStr">
        <is>
          <t>ОБОРУДОВАНИЕ (вентустановки, кондиционеры, насосы, щиты под заказ)</t>
        </is>
      </c>
      <c r="D352" s="9" t="inlineStr">
        <is>
          <t>шт</t>
        </is>
      </c>
      <c r="E352" s="10" t="n">
        <v>1</v>
      </c>
      <c r="F352" s="4">
        <f>E352*IFERROR(INDEX(Работы!$D$4:$D$672,MATCH(SUBSTITUTE(SUBSTITUTE(SUBSTITUTE(A352,"~","~~"),"*","~*"),"?","~?"),Работы!$B$4:$B$672,0)),0)</f>
        <v/>
      </c>
      <c r="G352" s="10" t="n">
        <v>28000</v>
      </c>
      <c r="H352" s="14" t="n">
        <v>1</v>
      </c>
      <c r="I352" s="11" t="n">
        <v>0</v>
      </c>
      <c r="J352" s="11" t="n">
        <v>0.1</v>
      </c>
      <c r="K352" s="10" t="n"/>
      <c r="L352" s="9" t="inlineStr">
        <is>
          <t>оценка</t>
        </is>
      </c>
      <c r="M352" s="9" t="inlineStr"/>
      <c r="N352" s="9" t="inlineStr">
        <is>
          <t>2026-10-29</t>
        </is>
      </c>
      <c r="O352" s="13" t="inlineStr">
        <is>
          <t>оценка жироуловителя/пескоуловителя, запросить КП В Петрович, Лемана ПРО и Сатурн открытой карточки нет, оставлен прежний источник.</t>
        </is>
      </c>
      <c r="P352" s="4">
        <f>IF(H352=1,G352/VAT_DIV,G352)</f>
        <v/>
      </c>
      <c r="Q352" s="4">
        <f>P352*(1+I352)*(1+DELIV)*(1+GROWTH+MONEY)</f>
        <v/>
      </c>
      <c r="R352" s="4">
        <f>IF(AND(K352&lt;&gt;"",Q352*(1+J352)&gt;K352/VAT_DIV),K352/VAT_DIV,Q352*(1+J352))</f>
        <v/>
      </c>
      <c r="S352" s="4">
        <f>Q352*F352</f>
        <v/>
      </c>
      <c r="T352" s="4">
        <f>R352*F352</f>
        <v/>
      </c>
      <c r="U352" s="3">
        <f>IF(AND(K352&lt;&gt;"",Q352*(1+J352)&gt;K352/VAT_DIV+0.01),"ДА","")</f>
        <v/>
      </c>
      <c r="V352" s="4">
        <f>P352*F352</f>
        <v/>
      </c>
    </row>
    <row r="353" ht="20" customHeight="1">
      <c r="A353" s="9" t="inlineStr">
        <is>
          <t>323. Пескоуловители 0,5-50 (Стандарт)</t>
        </is>
      </c>
      <c r="B353" s="13" t="inlineStr">
        <is>
          <t>Пескоуловители 0,5-50 (Стандарт)</t>
        </is>
      </c>
      <c r="C353" s="9" t="inlineStr">
        <is>
          <t>ОБОРУДОВАНИЕ (вентустановки, кондиционеры, насосы, щиты под заказ)</t>
        </is>
      </c>
      <c r="D353" s="9" t="inlineStr">
        <is>
          <t>шт</t>
        </is>
      </c>
      <c r="E353" s="10" t="n">
        <v>1</v>
      </c>
      <c r="F353" s="4">
        <f>E353*IFERROR(INDEX(Работы!$D$4:$D$672,MATCH(SUBSTITUTE(SUBSTITUTE(SUBSTITUTE(A353,"~","~~"),"*","~*"),"?","~?"),Работы!$B$4:$B$672,0)),0)</f>
        <v/>
      </c>
      <c r="G353" s="10" t="n">
        <v>28000</v>
      </c>
      <c r="H353" s="14" t="n">
        <v>1</v>
      </c>
      <c r="I353" s="11" t="n">
        <v>0</v>
      </c>
      <c r="J353" s="11" t="n">
        <v>0.1</v>
      </c>
      <c r="K353" s="10" t="n"/>
      <c r="L353" s="9" t="inlineStr">
        <is>
          <t>оценка</t>
        </is>
      </c>
      <c r="M353" s="9" t="inlineStr"/>
      <c r="N353" s="9" t="inlineStr">
        <is>
          <t>2026-10-29</t>
        </is>
      </c>
      <c r="O353" s="13" t="inlineStr">
        <is>
          <t>оценка жироуловителя/пескоуловителя, запросить КП В Петрович, Лемана ПРО и Сатурн открытой карточки нет, оставлен прежний источник.</t>
        </is>
      </c>
      <c r="P353" s="4">
        <f>IF(H353=1,G353/VAT_DIV,G353)</f>
        <v/>
      </c>
      <c r="Q353" s="4">
        <f>P353*(1+I353)*(1+DELIV)*(1+GROWTH+MONEY)</f>
        <v/>
      </c>
      <c r="R353" s="4">
        <f>IF(AND(K353&lt;&gt;"",Q353*(1+J353)&gt;K353/VAT_DIV),K353/VAT_DIV,Q353*(1+J353))</f>
        <v/>
      </c>
      <c r="S353" s="4">
        <f>Q353*F353</f>
        <v/>
      </c>
      <c r="T353" s="4">
        <f>R353*F353</f>
        <v/>
      </c>
      <c r="U353" s="3">
        <f>IF(AND(K353&lt;&gt;"",Q353*(1+J353)&gt;K353/VAT_DIV+0.01),"ДА","")</f>
        <v/>
      </c>
      <c r="V353" s="4">
        <f>P353*F353</f>
        <v/>
      </c>
    </row>
    <row r="354" ht="20" customHeight="1">
      <c r="A354" s="9" t="inlineStr">
        <is>
          <t>324. Пескоуловители 1,0-80 (Стандарт)</t>
        </is>
      </c>
      <c r="B354" s="13" t="inlineStr">
        <is>
          <t>Пескоуловители 1,0-80 (Стандарт)</t>
        </is>
      </c>
      <c r="C354" s="9" t="inlineStr">
        <is>
          <t>ОБОРУДОВАНИЕ (вентустановки, кондиционеры, насосы, щиты под заказ)</t>
        </is>
      </c>
      <c r="D354" s="9" t="inlineStr">
        <is>
          <t>шт</t>
        </is>
      </c>
      <c r="E354" s="10" t="n">
        <v>1</v>
      </c>
      <c r="F354" s="4">
        <f>E354*IFERROR(INDEX(Работы!$D$4:$D$672,MATCH(SUBSTITUTE(SUBSTITUTE(SUBSTITUTE(A354,"~","~~"),"*","~*"),"?","~?"),Работы!$B$4:$B$672,0)),0)</f>
        <v/>
      </c>
      <c r="G354" s="10" t="n">
        <v>38000</v>
      </c>
      <c r="H354" s="14" t="n">
        <v>1</v>
      </c>
      <c r="I354" s="11" t="n">
        <v>0</v>
      </c>
      <c r="J354" s="11" t="n">
        <v>0.1</v>
      </c>
      <c r="K354" s="10" t="n"/>
      <c r="L354" s="9" t="inlineStr">
        <is>
          <t>оценка</t>
        </is>
      </c>
      <c r="M354" s="9" t="inlineStr"/>
      <c r="N354" s="9" t="inlineStr">
        <is>
          <t>2026-10-29</t>
        </is>
      </c>
      <c r="O354" s="13" t="inlineStr">
        <is>
          <t>оценка жироуловителя/пескоуловителя, запросить КП В Петрович, Лемана ПРО и Сатурн открытой карточки нет, оставлен прежний источник.</t>
        </is>
      </c>
      <c r="P354" s="4">
        <f>IF(H354=1,G354/VAT_DIV,G354)</f>
        <v/>
      </c>
      <c r="Q354" s="4">
        <f>P354*(1+I354)*(1+DELIV)*(1+GROWTH+MONEY)</f>
        <v/>
      </c>
      <c r="R354" s="4">
        <f>IF(AND(K354&lt;&gt;"",Q354*(1+J354)&gt;K354/VAT_DIV),K354/VAT_DIV,Q354*(1+J354))</f>
        <v/>
      </c>
      <c r="S354" s="4">
        <f>Q354*F354</f>
        <v/>
      </c>
      <c r="T354" s="4">
        <f>R354*F354</f>
        <v/>
      </c>
      <c r="U354" s="3">
        <f>IF(AND(K354&lt;&gt;"",Q354*(1+J354)&gt;K354/VAT_DIV+0.01),"ДА","")</f>
        <v/>
      </c>
      <c r="V354" s="4">
        <f>P354*F354</f>
        <v/>
      </c>
    </row>
    <row r="355" ht="20" customHeight="1">
      <c r="A355" s="9" t="inlineStr">
        <is>
          <t>325. Пескоуловители 1,5-100 (Стандарт)</t>
        </is>
      </c>
      <c r="B355" s="13" t="inlineStr">
        <is>
          <t>Пескоуловители 1,5-100 (Стандарт)</t>
        </is>
      </c>
      <c r="C355" s="9" t="inlineStr">
        <is>
          <t>ОБОРУДОВАНИЕ (вентустановки, кондиционеры, насосы, щиты под заказ)</t>
        </is>
      </c>
      <c r="D355" s="9" t="inlineStr">
        <is>
          <t>шт</t>
        </is>
      </c>
      <c r="E355" s="10" t="n">
        <v>1</v>
      </c>
      <c r="F355" s="4">
        <f>E355*IFERROR(INDEX(Работы!$D$4:$D$672,MATCH(SUBSTITUTE(SUBSTITUTE(SUBSTITUTE(A355,"~","~~"),"*","~*"),"?","~?"),Работы!$B$4:$B$672,0)),0)</f>
        <v/>
      </c>
      <c r="G355" s="10" t="n">
        <v>48000</v>
      </c>
      <c r="H355" s="14" t="n">
        <v>1</v>
      </c>
      <c r="I355" s="11" t="n">
        <v>0</v>
      </c>
      <c r="J355" s="11" t="n">
        <v>0.1</v>
      </c>
      <c r="K355" s="10" t="n"/>
      <c r="L355" s="9" t="inlineStr">
        <is>
          <t>оценка</t>
        </is>
      </c>
      <c r="M355" s="9" t="inlineStr"/>
      <c r="N355" s="9" t="inlineStr">
        <is>
          <t>2026-10-29</t>
        </is>
      </c>
      <c r="O355" s="13" t="inlineStr">
        <is>
          <t>оценка жироуловителя/пескоуловителя, запросить КП В Петрович, Лемана ПРО и Сатурн открытой карточки нет, оставлен прежний источник.</t>
        </is>
      </c>
      <c r="P355" s="4">
        <f>IF(H355=1,G355/VAT_DIV,G355)</f>
        <v/>
      </c>
      <c r="Q355" s="4">
        <f>P355*(1+I355)*(1+DELIV)*(1+GROWTH+MONEY)</f>
        <v/>
      </c>
      <c r="R355" s="4">
        <f>IF(AND(K355&lt;&gt;"",Q355*(1+J355)&gt;K355/VAT_DIV),K355/VAT_DIV,Q355*(1+J355))</f>
        <v/>
      </c>
      <c r="S355" s="4">
        <f>Q355*F355</f>
        <v/>
      </c>
      <c r="T355" s="4">
        <f>R355*F355</f>
        <v/>
      </c>
      <c r="U355" s="3">
        <f>IF(AND(K355&lt;&gt;"",Q355*(1+J355)&gt;K355/VAT_DIV+0.01),"ДА","")</f>
        <v/>
      </c>
      <c r="V355" s="4">
        <f>P355*F355</f>
        <v/>
      </c>
    </row>
    <row r="356" ht="20" customHeight="1">
      <c r="A356" s="9" t="inlineStr">
        <is>
          <t>326. Заглушка ПВХ наружной канализации 110</t>
        </is>
      </c>
      <c r="B356" s="13" t="inlineStr">
        <is>
          <t>Заглушка ПВХ наружной канализации 110</t>
        </is>
      </c>
      <c r="C356" s="9" t="inlineStr">
        <is>
          <t>Трубы и фитинги ВиК, отопления</t>
        </is>
      </c>
      <c r="D356" s="9" t="inlineStr">
        <is>
          <t>шт</t>
        </is>
      </c>
      <c r="E356" s="10" t="n">
        <v>1</v>
      </c>
      <c r="F356" s="4">
        <f>E356*IFERROR(INDEX(Работы!$D$4:$D$672,MATCH(SUBSTITUTE(SUBSTITUTE(SUBSTITUTE(A356,"~","~~"),"*","~*"),"?","~?"),Работы!$B$4:$B$672,0)),0)</f>
        <v/>
      </c>
      <c r="G356" s="10" t="n">
        <v>90</v>
      </c>
      <c r="H356" s="14" t="n">
        <v>1</v>
      </c>
      <c r="I356" s="11" t="n">
        <v>0.04</v>
      </c>
      <c r="J356" s="11" t="n">
        <v>0.12</v>
      </c>
      <c r="K356" s="10" t="n"/>
      <c r="L356" s="9" t="inlineStr">
        <is>
          <t>оценка</t>
        </is>
      </c>
      <c r="M356" s="9" t="inlineStr"/>
      <c r="N356" s="9" t="inlineStr">
        <is>
          <t>2026-10-29</t>
        </is>
      </c>
      <c r="O356" s="13" t="inlineStr">
        <is>
          <t>оценка фасонины В Петрович, Лемана ПРО и Сатурн открытой карточки нет, оставлен прежний источник.</t>
        </is>
      </c>
      <c r="P356" s="4">
        <f>IF(H356=1,G356/VAT_DIV,G356)</f>
        <v/>
      </c>
      <c r="Q356" s="4">
        <f>P356*(1+I356)*(1+DELIV)*(1+GROWTH+MONEY)</f>
        <v/>
      </c>
      <c r="R356" s="4">
        <f>IF(AND(K356&lt;&gt;"",Q356*(1+J356)&gt;K356/VAT_DIV),K356/VAT_DIV,Q356*(1+J356))</f>
        <v/>
      </c>
      <c r="S356" s="4">
        <f>Q356*F356</f>
        <v/>
      </c>
      <c r="T356" s="4">
        <f>R356*F356</f>
        <v/>
      </c>
      <c r="U356" s="3">
        <f>IF(AND(K356&lt;&gt;"",Q356*(1+J356)&gt;K356/VAT_DIV+0.01),"ДА","")</f>
        <v/>
      </c>
      <c r="V356" s="4">
        <f>P356*F356</f>
        <v/>
      </c>
    </row>
    <row r="357" ht="20" customHeight="1">
      <c r="A357" s="9" t="inlineStr">
        <is>
          <t>327. Ревизия с прямоугольным люком ПВХ наружной канализации 110</t>
        </is>
      </c>
      <c r="B357" s="13" t="inlineStr">
        <is>
          <t>Ревизия с прямоугольным люком ПВХ наружной канализации 110</t>
        </is>
      </c>
      <c r="C357" s="9" t="inlineStr">
        <is>
          <t>Трубы и фитинги ВиК, отопления</t>
        </is>
      </c>
      <c r="D357" s="9" t="inlineStr">
        <is>
          <t>шт</t>
        </is>
      </c>
      <c r="E357" s="10" t="n">
        <v>1</v>
      </c>
      <c r="F357" s="4">
        <f>E357*IFERROR(INDEX(Работы!$D$4:$D$672,MATCH(SUBSTITUTE(SUBSTITUTE(SUBSTITUTE(A357,"~","~~"),"*","~*"),"?","~?"),Работы!$B$4:$B$672,0)),0)</f>
        <v/>
      </c>
      <c r="G357" s="10" t="n">
        <v>450</v>
      </c>
      <c r="H357" s="14" t="n">
        <v>1</v>
      </c>
      <c r="I357" s="11" t="n">
        <v>0.04</v>
      </c>
      <c r="J357" s="11" t="n">
        <v>0.12</v>
      </c>
      <c r="K357" s="10" t="n"/>
      <c r="L357" s="9" t="inlineStr">
        <is>
          <t>оценка</t>
        </is>
      </c>
      <c r="M357" s="9" t="inlineStr"/>
      <c r="N357" s="9" t="inlineStr">
        <is>
          <t>2026-10-29</t>
        </is>
      </c>
      <c r="O357" s="13" t="inlineStr">
        <is>
          <t>оценка фасонины В Петрович, Лемана ПРО и Сатурн открытой карточки нет, оставлен прежний источник.</t>
        </is>
      </c>
      <c r="P357" s="4">
        <f>IF(H357=1,G357/VAT_DIV,G357)</f>
        <v/>
      </c>
      <c r="Q357" s="4">
        <f>P357*(1+I357)*(1+DELIV)*(1+GROWTH+MONEY)</f>
        <v/>
      </c>
      <c r="R357" s="4">
        <f>IF(AND(K357&lt;&gt;"",Q357*(1+J357)&gt;K357/VAT_DIV),K357/VAT_DIV,Q357*(1+J357))</f>
        <v/>
      </c>
      <c r="S357" s="4">
        <f>Q357*F357</f>
        <v/>
      </c>
      <c r="T357" s="4">
        <f>R357*F357</f>
        <v/>
      </c>
      <c r="U357" s="3">
        <f>IF(AND(K357&lt;&gt;"",Q357*(1+J357)&gt;K357/VAT_DIV+0.01),"ДА","")</f>
        <v/>
      </c>
      <c r="V357" s="4">
        <f>P357*F357</f>
        <v/>
      </c>
    </row>
    <row r="358" ht="20" customHeight="1">
      <c r="A358" s="9" t="inlineStr">
        <is>
          <t>328. Отвод ПП внутренней канализации 50/45</t>
        </is>
      </c>
      <c r="B358" s="13" t="inlineStr">
        <is>
          <t>Отвод ПП внутренней канализации 50/45</t>
        </is>
      </c>
      <c r="C358" s="9" t="inlineStr">
        <is>
          <t>Трубы и фитинги ВиК, отопления</t>
        </is>
      </c>
      <c r="D358" s="9" t="inlineStr">
        <is>
          <t>шт</t>
        </is>
      </c>
      <c r="E358" s="10" t="n">
        <v>1</v>
      </c>
      <c r="F358" s="4">
        <f>E358*IFERROR(INDEX(Работы!$D$4:$D$672,MATCH(SUBSTITUTE(SUBSTITUTE(SUBSTITUTE(A358,"~","~~"),"*","~*"),"?","~?"),Работы!$B$4:$B$672,0)),0)</f>
        <v/>
      </c>
      <c r="G358" s="10" t="n">
        <v>40</v>
      </c>
      <c r="H358" s="14" t="n">
        <v>1</v>
      </c>
      <c r="I358" s="11" t="n">
        <v>0.04</v>
      </c>
      <c r="J358" s="11" t="n">
        <v>0.12</v>
      </c>
      <c r="K358" s="10" t="n"/>
      <c r="L358" s="9" t="inlineStr">
        <is>
          <t>оценка</t>
        </is>
      </c>
      <c r="M358" s="9" t="inlineStr"/>
      <c r="N358" s="9" t="inlineStr">
        <is>
          <t>2026-10-29</t>
        </is>
      </c>
      <c r="O358" s="13" t="inlineStr">
        <is>
          <t>оценка фасонины В Петрович, Лемана ПРО и Сатурн открытой карточки нет, оставлен прежний источник.</t>
        </is>
      </c>
      <c r="P358" s="4">
        <f>IF(H358=1,G358/VAT_DIV,G358)</f>
        <v/>
      </c>
      <c r="Q358" s="4">
        <f>P358*(1+I358)*(1+DELIV)*(1+GROWTH+MONEY)</f>
        <v/>
      </c>
      <c r="R358" s="4">
        <f>IF(AND(K358&lt;&gt;"",Q358*(1+J358)&gt;K358/VAT_DIV),K358/VAT_DIV,Q358*(1+J358))</f>
        <v/>
      </c>
      <c r="S358" s="4">
        <f>Q358*F358</f>
        <v/>
      </c>
      <c r="T358" s="4">
        <f>R358*F358</f>
        <v/>
      </c>
      <c r="U358" s="3">
        <f>IF(AND(K358&lt;&gt;"",Q358*(1+J358)&gt;K358/VAT_DIV+0.01),"ДА","")</f>
        <v/>
      </c>
      <c r="V358" s="4">
        <f>P358*F358</f>
        <v/>
      </c>
    </row>
    <row r="359" ht="20" customHeight="1">
      <c r="A359" s="9" t="inlineStr">
        <is>
          <t>329. Отвод ПП внутренней канализации 50/67</t>
        </is>
      </c>
      <c r="B359" s="13" t="inlineStr">
        <is>
          <t>Отвод ПП внутренней канализации 50/67</t>
        </is>
      </c>
      <c r="C359" s="9" t="inlineStr">
        <is>
          <t>Трубы и фитинги ВиК, отопления</t>
        </is>
      </c>
      <c r="D359" s="9" t="inlineStr">
        <is>
          <t>шт</t>
        </is>
      </c>
      <c r="E359" s="10" t="n">
        <v>1</v>
      </c>
      <c r="F359" s="4">
        <f>E359*IFERROR(INDEX(Работы!$D$4:$D$672,MATCH(SUBSTITUTE(SUBSTITUTE(SUBSTITUTE(A359,"~","~~"),"*","~*"),"?","~?"),Работы!$B$4:$B$672,0)),0)</f>
        <v/>
      </c>
      <c r="G359" s="10" t="n">
        <v>40</v>
      </c>
      <c r="H359" s="14" t="n">
        <v>1</v>
      </c>
      <c r="I359" s="11" t="n">
        <v>0.04</v>
      </c>
      <c r="J359" s="11" t="n">
        <v>0.12</v>
      </c>
      <c r="K359" s="10" t="n"/>
      <c r="L359" s="9" t="inlineStr">
        <is>
          <t>оценка</t>
        </is>
      </c>
      <c r="M359" s="9" t="inlineStr"/>
      <c r="N359" s="9" t="inlineStr">
        <is>
          <t>2026-10-29</t>
        </is>
      </c>
      <c r="O359" s="13" t="inlineStr">
        <is>
          <t>оценка фасонины В Петрович, Лемана ПРО и Сатурн открытой карточки нет, оставлен прежний источник.</t>
        </is>
      </c>
      <c r="P359" s="4">
        <f>IF(H359=1,G359/VAT_DIV,G359)</f>
        <v/>
      </c>
      <c r="Q359" s="4">
        <f>P359*(1+I359)*(1+DELIV)*(1+GROWTH+MONEY)</f>
        <v/>
      </c>
      <c r="R359" s="4">
        <f>IF(AND(K359&lt;&gt;"",Q359*(1+J359)&gt;K359/VAT_DIV),K359/VAT_DIV,Q359*(1+J359))</f>
        <v/>
      </c>
      <c r="S359" s="4">
        <f>Q359*F359</f>
        <v/>
      </c>
      <c r="T359" s="4">
        <f>R359*F359</f>
        <v/>
      </c>
      <c r="U359" s="3">
        <f>IF(AND(K359&lt;&gt;"",Q359*(1+J359)&gt;K359/VAT_DIV+0.01),"ДА","")</f>
        <v/>
      </c>
      <c r="V359" s="4">
        <f>P359*F359</f>
        <v/>
      </c>
    </row>
    <row r="360" ht="20" customHeight="1">
      <c r="A360" s="9" t="inlineStr">
        <is>
          <t>330. Отвод ПП внутренней канализации 50/87</t>
        </is>
      </c>
      <c r="B360" s="13" t="inlineStr">
        <is>
          <t>Отвод ПП внутренней канализации 50/87</t>
        </is>
      </c>
      <c r="C360" s="9" t="inlineStr">
        <is>
          <t>Трубы и фитинги ВиК, отопления</t>
        </is>
      </c>
      <c r="D360" s="9" t="inlineStr">
        <is>
          <t>шт</t>
        </is>
      </c>
      <c r="E360" s="10" t="n">
        <v>1</v>
      </c>
      <c r="F360" s="4">
        <f>E360*IFERROR(INDEX(Работы!$D$4:$D$672,MATCH(SUBSTITUTE(SUBSTITUTE(SUBSTITUTE(A360,"~","~~"),"*","~*"),"?","~?"),Работы!$B$4:$B$672,0)),0)</f>
        <v/>
      </c>
      <c r="G360" s="10" t="n">
        <v>40</v>
      </c>
      <c r="H360" s="14" t="n">
        <v>1</v>
      </c>
      <c r="I360" s="11" t="n">
        <v>0.04</v>
      </c>
      <c r="J360" s="11" t="n">
        <v>0.12</v>
      </c>
      <c r="K360" s="10" t="n"/>
      <c r="L360" s="9" t="inlineStr">
        <is>
          <t>оценка</t>
        </is>
      </c>
      <c r="M360" s="9" t="inlineStr"/>
      <c r="N360" s="9" t="inlineStr">
        <is>
          <t>2026-10-29</t>
        </is>
      </c>
      <c r="O360" s="13" t="inlineStr">
        <is>
          <t>оценка фасонины В Петрович, Лемана ПРО и Сатурн открытой карточки нет, оставлен прежний источник.</t>
        </is>
      </c>
      <c r="P360" s="4">
        <f>IF(H360=1,G360/VAT_DIV,G360)</f>
        <v/>
      </c>
      <c r="Q360" s="4">
        <f>P360*(1+I360)*(1+DELIV)*(1+GROWTH+MONEY)</f>
        <v/>
      </c>
      <c r="R360" s="4">
        <f>IF(AND(K360&lt;&gt;"",Q360*(1+J360)&gt;K360/VAT_DIV),K360/VAT_DIV,Q360*(1+J360))</f>
        <v/>
      </c>
      <c r="S360" s="4">
        <f>Q360*F360</f>
        <v/>
      </c>
      <c r="T360" s="4">
        <f>R360*F360</f>
        <v/>
      </c>
      <c r="U360" s="3">
        <f>IF(AND(K360&lt;&gt;"",Q360*(1+J360)&gt;K360/VAT_DIV+0.01),"ДА","")</f>
        <v/>
      </c>
      <c r="V360" s="4">
        <f>P360*F360</f>
        <v/>
      </c>
    </row>
    <row r="361" ht="20" customHeight="1">
      <c r="A361" s="9" t="inlineStr">
        <is>
          <t>331. Отвод ПП внутренней канализации 110/30</t>
        </is>
      </c>
      <c r="B361" s="13" t="inlineStr">
        <is>
          <t>Отвод ПП внутренней канализации 110/30</t>
        </is>
      </c>
      <c r="C361" s="9" t="inlineStr">
        <is>
          <t>Трубы и фитинги ВиК, отопления</t>
        </is>
      </c>
      <c r="D361" s="9" t="inlineStr">
        <is>
          <t>шт</t>
        </is>
      </c>
      <c r="E361" s="10" t="n">
        <v>1</v>
      </c>
      <c r="F361" s="4">
        <f>E361*IFERROR(INDEX(Работы!$D$4:$D$672,MATCH(SUBSTITUTE(SUBSTITUTE(SUBSTITUTE(A361,"~","~~"),"*","~*"),"?","~?"),Работы!$B$4:$B$672,0)),0)</f>
        <v/>
      </c>
      <c r="G361" s="10" t="n">
        <v>90</v>
      </c>
      <c r="H361" s="14" t="n">
        <v>1</v>
      </c>
      <c r="I361" s="11" t="n">
        <v>0.04</v>
      </c>
      <c r="J361" s="11" t="n">
        <v>0.12</v>
      </c>
      <c r="K361" s="10" t="n"/>
      <c r="L361" s="9" t="inlineStr">
        <is>
          <t>оценка</t>
        </is>
      </c>
      <c r="M361" s="9" t="inlineStr"/>
      <c r="N361" s="9" t="inlineStr">
        <is>
          <t>2026-10-29</t>
        </is>
      </c>
      <c r="O361" s="13" t="inlineStr">
        <is>
          <t>оценка фасонины В Петрович, Лемана ПРО и Сатурн открытой карточки нет, оставлен прежний источник.</t>
        </is>
      </c>
      <c r="P361" s="4">
        <f>IF(H361=1,G361/VAT_DIV,G361)</f>
        <v/>
      </c>
      <c r="Q361" s="4">
        <f>P361*(1+I361)*(1+DELIV)*(1+GROWTH+MONEY)</f>
        <v/>
      </c>
      <c r="R361" s="4">
        <f>IF(AND(K361&lt;&gt;"",Q361*(1+J361)&gt;K361/VAT_DIV),K361/VAT_DIV,Q361*(1+J361))</f>
        <v/>
      </c>
      <c r="S361" s="4">
        <f>Q361*F361</f>
        <v/>
      </c>
      <c r="T361" s="4">
        <f>R361*F361</f>
        <v/>
      </c>
      <c r="U361" s="3">
        <f>IF(AND(K361&lt;&gt;"",Q361*(1+J361)&gt;K361/VAT_DIV+0.01),"ДА","")</f>
        <v/>
      </c>
      <c r="V361" s="4">
        <f>P361*F361</f>
        <v/>
      </c>
    </row>
    <row r="362" ht="20" customHeight="1">
      <c r="A362" s="9" t="inlineStr">
        <is>
          <t>332. Отвод ПП внутренней канализации 110/45</t>
        </is>
      </c>
      <c r="B362" s="13" t="inlineStr">
        <is>
          <t>Отвод ПП внутренней канализации 110/45</t>
        </is>
      </c>
      <c r="C362" s="9" t="inlineStr">
        <is>
          <t>Трубы и фитинги ВиК, отопления</t>
        </is>
      </c>
      <c r="D362" s="9" t="inlineStr">
        <is>
          <t>шт</t>
        </is>
      </c>
      <c r="E362" s="10" t="n">
        <v>1</v>
      </c>
      <c r="F362" s="4">
        <f>E362*IFERROR(INDEX(Работы!$D$4:$D$672,MATCH(SUBSTITUTE(SUBSTITUTE(SUBSTITUTE(A362,"~","~~"),"*","~*"),"?","~?"),Работы!$B$4:$B$672,0)),0)</f>
        <v/>
      </c>
      <c r="G362" s="10" t="n">
        <v>90</v>
      </c>
      <c r="H362" s="14" t="n">
        <v>1</v>
      </c>
      <c r="I362" s="11" t="n">
        <v>0.04</v>
      </c>
      <c r="J362" s="11" t="n">
        <v>0.12</v>
      </c>
      <c r="K362" s="10" t="n"/>
      <c r="L362" s="9" t="inlineStr">
        <is>
          <t>оценка</t>
        </is>
      </c>
      <c r="M362" s="9" t="inlineStr"/>
      <c r="N362" s="9" t="inlineStr">
        <is>
          <t>2026-10-29</t>
        </is>
      </c>
      <c r="O362" s="13" t="inlineStr">
        <is>
          <t>оценка фасонины В Петрович, Лемана ПРО и Сатурн открытой карточки нет, оставлен прежний источник.</t>
        </is>
      </c>
      <c r="P362" s="4">
        <f>IF(H362=1,G362/VAT_DIV,G362)</f>
        <v/>
      </c>
      <c r="Q362" s="4">
        <f>P362*(1+I362)*(1+DELIV)*(1+GROWTH+MONEY)</f>
        <v/>
      </c>
      <c r="R362" s="4">
        <f>IF(AND(K362&lt;&gt;"",Q362*(1+J362)&gt;K362/VAT_DIV),K362/VAT_DIV,Q362*(1+J362))</f>
        <v/>
      </c>
      <c r="S362" s="4">
        <f>Q362*F362</f>
        <v/>
      </c>
      <c r="T362" s="4">
        <f>R362*F362</f>
        <v/>
      </c>
      <c r="U362" s="3">
        <f>IF(AND(K362&lt;&gt;"",Q362*(1+J362)&gt;K362/VAT_DIV+0.01),"ДА","")</f>
        <v/>
      </c>
      <c r="V362" s="4">
        <f>P362*F362</f>
        <v/>
      </c>
    </row>
    <row r="363" ht="20" customHeight="1">
      <c r="A363" s="9" t="inlineStr">
        <is>
          <t>333. Переход ПП внутренней канализации 50х40</t>
        </is>
      </c>
      <c r="B363" s="13" t="inlineStr">
        <is>
          <t>Переход ПП внутренней канализации 50х40</t>
        </is>
      </c>
      <c r="C363" s="9" t="inlineStr">
        <is>
          <t>Трубы и фитинги ВиК, отопления</t>
        </is>
      </c>
      <c r="D363" s="9" t="inlineStr">
        <is>
          <t>шт</t>
        </is>
      </c>
      <c r="E363" s="10" t="n">
        <v>1</v>
      </c>
      <c r="F363" s="4">
        <f>E363*IFERROR(INDEX(Работы!$D$4:$D$672,MATCH(SUBSTITUTE(SUBSTITUTE(SUBSTITUTE(A363,"~","~~"),"*","~*"),"?","~?"),Работы!$B$4:$B$672,0)),0)</f>
        <v/>
      </c>
      <c r="G363" s="10" t="n">
        <v>40</v>
      </c>
      <c r="H363" s="14" t="n">
        <v>1</v>
      </c>
      <c r="I363" s="11" t="n">
        <v>0.04</v>
      </c>
      <c r="J363" s="11" t="n">
        <v>0.12</v>
      </c>
      <c r="K363" s="10" t="n"/>
      <c r="L363" s="9" t="inlineStr">
        <is>
          <t>оценка</t>
        </is>
      </c>
      <c r="M363" s="9" t="inlineStr"/>
      <c r="N363" s="9" t="inlineStr">
        <is>
          <t>2026-10-29</t>
        </is>
      </c>
      <c r="O363" s="13" t="inlineStr">
        <is>
          <t>оценка фасонины В Петрович, Лемана ПРО и Сатурн открытой карточки нет, оставлен прежний источник.</t>
        </is>
      </c>
      <c r="P363" s="4">
        <f>IF(H363=1,G363/VAT_DIV,G363)</f>
        <v/>
      </c>
      <c r="Q363" s="4">
        <f>P363*(1+I363)*(1+DELIV)*(1+GROWTH+MONEY)</f>
        <v/>
      </c>
      <c r="R363" s="4">
        <f>IF(AND(K363&lt;&gt;"",Q363*(1+J363)&gt;K363/VAT_DIV),K363/VAT_DIV,Q363*(1+J363))</f>
        <v/>
      </c>
      <c r="S363" s="4">
        <f>Q363*F363</f>
        <v/>
      </c>
      <c r="T363" s="4">
        <f>R363*F363</f>
        <v/>
      </c>
      <c r="U363" s="3">
        <f>IF(AND(K363&lt;&gt;"",Q363*(1+J363)&gt;K363/VAT_DIV+0.01),"ДА","")</f>
        <v/>
      </c>
      <c r="V363" s="4">
        <f>P363*F363</f>
        <v/>
      </c>
    </row>
    <row r="364" ht="20" customHeight="1">
      <c r="A364" s="9" t="inlineStr">
        <is>
          <t>334. Переход ПП внутренней канализации 110х50</t>
        </is>
      </c>
      <c r="B364" s="13" t="inlineStr">
        <is>
          <t>Переход ПП внутренней канализации 110х50</t>
        </is>
      </c>
      <c r="C364" s="9" t="inlineStr">
        <is>
          <t>Трубы и фитинги ВиК, отопления</t>
        </is>
      </c>
      <c r="D364" s="9" t="inlineStr">
        <is>
          <t>шт</t>
        </is>
      </c>
      <c r="E364" s="10" t="n">
        <v>1</v>
      </c>
      <c r="F364" s="4">
        <f>E364*IFERROR(INDEX(Работы!$D$4:$D$672,MATCH(SUBSTITUTE(SUBSTITUTE(SUBSTITUTE(A364,"~","~~"),"*","~*"),"?","~?"),Работы!$B$4:$B$672,0)),0)</f>
        <v/>
      </c>
      <c r="G364" s="10" t="n">
        <v>90</v>
      </c>
      <c r="H364" s="14" t="n">
        <v>1</v>
      </c>
      <c r="I364" s="11" t="n">
        <v>0.04</v>
      </c>
      <c r="J364" s="11" t="n">
        <v>0.12</v>
      </c>
      <c r="K364" s="10" t="n"/>
      <c r="L364" s="9" t="inlineStr">
        <is>
          <t>оценка</t>
        </is>
      </c>
      <c r="M364" s="9" t="inlineStr"/>
      <c r="N364" s="9" t="inlineStr">
        <is>
          <t>2026-10-29</t>
        </is>
      </c>
      <c r="O364" s="13" t="inlineStr">
        <is>
          <t>оценка фасонины В Петрович, Лемана ПРО и Сатурн открытой карточки нет, оставлен прежний источник.</t>
        </is>
      </c>
      <c r="P364" s="4">
        <f>IF(H364=1,G364/VAT_DIV,G364)</f>
        <v/>
      </c>
      <c r="Q364" s="4">
        <f>P364*(1+I364)*(1+DELIV)*(1+GROWTH+MONEY)</f>
        <v/>
      </c>
      <c r="R364" s="4">
        <f>IF(AND(K364&lt;&gt;"",Q364*(1+J364)&gt;K364/VAT_DIV),K364/VAT_DIV,Q364*(1+J364))</f>
        <v/>
      </c>
      <c r="S364" s="4">
        <f>Q364*F364</f>
        <v/>
      </c>
      <c r="T364" s="4">
        <f>R364*F364</f>
        <v/>
      </c>
      <c r="U364" s="3">
        <f>IF(AND(K364&lt;&gt;"",Q364*(1+J364)&gt;K364/VAT_DIV+0.01),"ДА","")</f>
        <v/>
      </c>
      <c r="V364" s="4">
        <f>P364*F364</f>
        <v/>
      </c>
    </row>
    <row r="365" ht="20" customHeight="1">
      <c r="A365" s="9" t="inlineStr">
        <is>
          <t>335. Крестовина ПП внутренней канализации 50х50/45</t>
        </is>
      </c>
      <c r="B365" s="13" t="inlineStr">
        <is>
          <t>Крестовина ПП внутренней канализации 50х50/45</t>
        </is>
      </c>
      <c r="C365" s="9" t="inlineStr">
        <is>
          <t>Трубы и фитинги ВиК, отопления</t>
        </is>
      </c>
      <c r="D365" s="9" t="inlineStr">
        <is>
          <t>шт</t>
        </is>
      </c>
      <c r="E365" s="10" t="n">
        <v>1</v>
      </c>
      <c r="F365" s="4">
        <f>E365*IFERROR(INDEX(Работы!$D$4:$D$672,MATCH(SUBSTITUTE(SUBSTITUTE(SUBSTITUTE(A365,"~","~~"),"*","~*"),"?","~?"),Работы!$B$4:$B$672,0)),0)</f>
        <v/>
      </c>
      <c r="G365" s="10" t="n">
        <v>88</v>
      </c>
      <c r="H365" s="14" t="n">
        <v>1</v>
      </c>
      <c r="I365" s="11" t="n">
        <v>0.04</v>
      </c>
      <c r="J365" s="11" t="n">
        <v>0.12</v>
      </c>
      <c r="K365" s="10" t="n"/>
      <c r="L365" s="9" t="inlineStr">
        <is>
          <t>оценка</t>
        </is>
      </c>
      <c r="M365" s="9" t="inlineStr"/>
      <c r="N365" s="9" t="inlineStr">
        <is>
          <t>2026-10-29</t>
        </is>
      </c>
      <c r="O365" s="13" t="inlineStr">
        <is>
          <t>оценка фасонины В Петрович, Лемана ПРО и Сатурн открытой карточки нет, оставлен прежний источник.</t>
        </is>
      </c>
      <c r="P365" s="4">
        <f>IF(H365=1,G365/VAT_DIV,G365)</f>
        <v/>
      </c>
      <c r="Q365" s="4">
        <f>P365*(1+I365)*(1+DELIV)*(1+GROWTH+MONEY)</f>
        <v/>
      </c>
      <c r="R365" s="4">
        <f>IF(AND(K365&lt;&gt;"",Q365*(1+J365)&gt;K365/VAT_DIV),K365/VAT_DIV,Q365*(1+J365))</f>
        <v/>
      </c>
      <c r="S365" s="4">
        <f>Q365*F365</f>
        <v/>
      </c>
      <c r="T365" s="4">
        <f>R365*F365</f>
        <v/>
      </c>
      <c r="U365" s="3">
        <f>IF(AND(K365&lt;&gt;"",Q365*(1+J365)&gt;K365/VAT_DIV+0.01),"ДА","")</f>
        <v/>
      </c>
      <c r="V365" s="4">
        <f>P365*F365</f>
        <v/>
      </c>
    </row>
    <row r="366" ht="20" customHeight="1">
      <c r="A366" s="9" t="inlineStr">
        <is>
          <t>336. Крестовина ПП внутренней канализации 50х50/87</t>
        </is>
      </c>
      <c r="B366" s="13" t="inlineStr">
        <is>
          <t>Крестовина ПП внутренней канализации 50х50/87</t>
        </is>
      </c>
      <c r="C366" s="9" t="inlineStr">
        <is>
          <t>Трубы и фитинги ВиК, отопления</t>
        </is>
      </c>
      <c r="D366" s="9" t="inlineStr">
        <is>
          <t>шт</t>
        </is>
      </c>
      <c r="E366" s="10" t="n">
        <v>1</v>
      </c>
      <c r="F366" s="4">
        <f>E366*IFERROR(INDEX(Работы!$D$4:$D$672,MATCH(SUBSTITUTE(SUBSTITUTE(SUBSTITUTE(A366,"~","~~"),"*","~*"),"?","~?"),Работы!$B$4:$B$672,0)),0)</f>
        <v/>
      </c>
      <c r="G366" s="10" t="n">
        <v>88</v>
      </c>
      <c r="H366" s="14" t="n">
        <v>1</v>
      </c>
      <c r="I366" s="11" t="n">
        <v>0.04</v>
      </c>
      <c r="J366" s="11" t="n">
        <v>0.12</v>
      </c>
      <c r="K366" s="10" t="n"/>
      <c r="L366" s="9" t="inlineStr">
        <is>
          <t>оценка</t>
        </is>
      </c>
      <c r="M366" s="9" t="inlineStr"/>
      <c r="N366" s="9" t="inlineStr">
        <is>
          <t>2026-10-29</t>
        </is>
      </c>
      <c r="O366" s="13" t="inlineStr">
        <is>
          <t>оценка фасонины В Петрович, Лемана ПРО и Сатурн открытой карточки нет, оставлен прежний источник.</t>
        </is>
      </c>
      <c r="P366" s="4">
        <f>IF(H366=1,G366/VAT_DIV,G366)</f>
        <v/>
      </c>
      <c r="Q366" s="4">
        <f>P366*(1+I366)*(1+DELIV)*(1+GROWTH+MONEY)</f>
        <v/>
      </c>
      <c r="R366" s="4">
        <f>IF(AND(K366&lt;&gt;"",Q366*(1+J366)&gt;K366/VAT_DIV),K366/VAT_DIV,Q366*(1+J366))</f>
        <v/>
      </c>
      <c r="S366" s="4">
        <f>Q366*F366</f>
        <v/>
      </c>
      <c r="T366" s="4">
        <f>R366*F366</f>
        <v/>
      </c>
      <c r="U366" s="3">
        <f>IF(AND(K366&lt;&gt;"",Q366*(1+J366)&gt;K366/VAT_DIV+0.01),"ДА","")</f>
        <v/>
      </c>
      <c r="V366" s="4">
        <f>P366*F366</f>
        <v/>
      </c>
    </row>
    <row r="367" ht="20" customHeight="1">
      <c r="A367" s="9" t="inlineStr">
        <is>
          <t>337. Крестовина ПП внутренней канализации 110х50/45</t>
        </is>
      </c>
      <c r="B367" s="13" t="inlineStr">
        <is>
          <t>Крестовина ПП внутренней канализации 110х50/45</t>
        </is>
      </c>
      <c r="C367" s="9" t="inlineStr">
        <is>
          <t>Трубы и фитинги ВиК, отопления</t>
        </is>
      </c>
      <c r="D367" s="9" t="inlineStr">
        <is>
          <t>шт</t>
        </is>
      </c>
      <c r="E367" s="10" t="n">
        <v>1</v>
      </c>
      <c r="F367" s="4">
        <f>E367*IFERROR(INDEX(Работы!$D$4:$D$672,MATCH(SUBSTITUTE(SUBSTITUTE(SUBSTITUTE(A367,"~","~~"),"*","~*"),"?","~?"),Работы!$B$4:$B$672,0)),0)</f>
        <v/>
      </c>
      <c r="G367" s="10" t="n">
        <v>198</v>
      </c>
      <c r="H367" s="14" t="n">
        <v>1</v>
      </c>
      <c r="I367" s="11" t="n">
        <v>0.04</v>
      </c>
      <c r="J367" s="11" t="n">
        <v>0.12</v>
      </c>
      <c r="K367" s="10" t="n"/>
      <c r="L367" s="9" t="inlineStr">
        <is>
          <t>оценка</t>
        </is>
      </c>
      <c r="M367" s="9" t="inlineStr"/>
      <c r="N367" s="9" t="inlineStr">
        <is>
          <t>2026-10-29</t>
        </is>
      </c>
      <c r="O367" s="13" t="inlineStr">
        <is>
          <t>оценка фасонины В Петрович, Лемана ПРО и Сатурн открытой карточки нет, оставлен прежний источник.</t>
        </is>
      </c>
      <c r="P367" s="4">
        <f>IF(H367=1,G367/VAT_DIV,G367)</f>
        <v/>
      </c>
      <c r="Q367" s="4">
        <f>P367*(1+I367)*(1+DELIV)*(1+GROWTH+MONEY)</f>
        <v/>
      </c>
      <c r="R367" s="4">
        <f>IF(AND(K367&lt;&gt;"",Q367*(1+J367)&gt;K367/VAT_DIV),K367/VAT_DIV,Q367*(1+J367))</f>
        <v/>
      </c>
      <c r="S367" s="4">
        <f>Q367*F367</f>
        <v/>
      </c>
      <c r="T367" s="4">
        <f>R367*F367</f>
        <v/>
      </c>
      <c r="U367" s="3">
        <f>IF(AND(K367&lt;&gt;"",Q367*(1+J367)&gt;K367/VAT_DIV+0.01),"ДА","")</f>
        <v/>
      </c>
      <c r="V367" s="4">
        <f>P367*F367</f>
        <v/>
      </c>
    </row>
    <row r="368" ht="20" customHeight="1">
      <c r="A368" s="9" t="inlineStr">
        <is>
          <t>338. Крестовина ПП внутренней канализации 110х50/87</t>
        </is>
      </c>
      <c r="B368" s="13" t="inlineStr">
        <is>
          <t>Крестовина ПП внутренней канализации 110х50/87</t>
        </is>
      </c>
      <c r="C368" s="9" t="inlineStr">
        <is>
          <t>Трубы и фитинги ВиК, отопления</t>
        </is>
      </c>
      <c r="D368" s="9" t="inlineStr">
        <is>
          <t>шт</t>
        </is>
      </c>
      <c r="E368" s="10" t="n">
        <v>1</v>
      </c>
      <c r="F368" s="4">
        <f>E368*IFERROR(INDEX(Работы!$D$4:$D$672,MATCH(SUBSTITUTE(SUBSTITUTE(SUBSTITUTE(A368,"~","~~"),"*","~*"),"?","~?"),Работы!$B$4:$B$672,0)),0)</f>
        <v/>
      </c>
      <c r="G368" s="10" t="n">
        <v>198</v>
      </c>
      <c r="H368" s="14" t="n">
        <v>1</v>
      </c>
      <c r="I368" s="11" t="n">
        <v>0.04</v>
      </c>
      <c r="J368" s="11" t="n">
        <v>0.12</v>
      </c>
      <c r="K368" s="10" t="n"/>
      <c r="L368" s="9" t="inlineStr">
        <is>
          <t>оценка</t>
        </is>
      </c>
      <c r="M368" s="9" t="inlineStr"/>
      <c r="N368" s="9" t="inlineStr">
        <is>
          <t>2026-10-29</t>
        </is>
      </c>
      <c r="O368" s="13" t="inlineStr">
        <is>
          <t>оценка фасонины В Петрович, Лемана ПРО и Сатурн открытой карточки нет, оставлен прежний источник.</t>
        </is>
      </c>
      <c r="P368" s="4">
        <f>IF(H368=1,G368/VAT_DIV,G368)</f>
        <v/>
      </c>
      <c r="Q368" s="4">
        <f>P368*(1+I368)*(1+DELIV)*(1+GROWTH+MONEY)</f>
        <v/>
      </c>
      <c r="R368" s="4">
        <f>IF(AND(K368&lt;&gt;"",Q368*(1+J368)&gt;K368/VAT_DIV),K368/VAT_DIV,Q368*(1+J368))</f>
        <v/>
      </c>
      <c r="S368" s="4">
        <f>Q368*F368</f>
        <v/>
      </c>
      <c r="T368" s="4">
        <f>R368*F368</f>
        <v/>
      </c>
      <c r="U368" s="3">
        <f>IF(AND(K368&lt;&gt;"",Q368*(1+J368)&gt;K368/VAT_DIV+0.01),"ДА","")</f>
        <v/>
      </c>
      <c r="V368" s="4">
        <f>P368*F368</f>
        <v/>
      </c>
    </row>
    <row r="369" ht="20" customHeight="1">
      <c r="A369" s="9" t="inlineStr">
        <is>
          <t>339. Крестовина ПП внутренней канализации 110х110/45</t>
        </is>
      </c>
      <c r="B369" s="13" t="inlineStr">
        <is>
          <t>Крестовина ПП внутренней канализации 110х110/45</t>
        </is>
      </c>
      <c r="C369" s="9" t="inlineStr">
        <is>
          <t>Трубы и фитинги ВиК, отопления</t>
        </is>
      </c>
      <c r="D369" s="9" t="inlineStr">
        <is>
          <t>шт</t>
        </is>
      </c>
      <c r="E369" s="10" t="n">
        <v>1</v>
      </c>
      <c r="F369" s="4">
        <f>E369*IFERROR(INDEX(Работы!$D$4:$D$672,MATCH(SUBSTITUTE(SUBSTITUTE(SUBSTITUTE(A369,"~","~~"),"*","~*"),"?","~?"),Работы!$B$4:$B$672,0)),0)</f>
        <v/>
      </c>
      <c r="G369" s="10" t="n">
        <v>198</v>
      </c>
      <c r="H369" s="14" t="n">
        <v>1</v>
      </c>
      <c r="I369" s="11" t="n">
        <v>0.04</v>
      </c>
      <c r="J369" s="11" t="n">
        <v>0.12</v>
      </c>
      <c r="K369" s="10" t="n"/>
      <c r="L369" s="9" t="inlineStr">
        <is>
          <t>оценка</t>
        </is>
      </c>
      <c r="M369" s="9" t="inlineStr"/>
      <c r="N369" s="9" t="inlineStr">
        <is>
          <t>2026-10-29</t>
        </is>
      </c>
      <c r="O369" s="13" t="inlineStr">
        <is>
          <t>оценка фасонины В Петрович, Лемана ПРО и Сатурн открытой карточки нет, оставлен прежний источник.</t>
        </is>
      </c>
      <c r="P369" s="4">
        <f>IF(H369=1,G369/VAT_DIV,G369)</f>
        <v/>
      </c>
      <c r="Q369" s="4">
        <f>P369*(1+I369)*(1+DELIV)*(1+GROWTH+MONEY)</f>
        <v/>
      </c>
      <c r="R369" s="4">
        <f>IF(AND(K369&lt;&gt;"",Q369*(1+J369)&gt;K369/VAT_DIV),K369/VAT_DIV,Q369*(1+J369))</f>
        <v/>
      </c>
      <c r="S369" s="4">
        <f>Q369*F369</f>
        <v/>
      </c>
      <c r="T369" s="4">
        <f>R369*F369</f>
        <v/>
      </c>
      <c r="U369" s="3">
        <f>IF(AND(K369&lt;&gt;"",Q369*(1+J369)&gt;K369/VAT_DIV+0.01),"ДА","")</f>
        <v/>
      </c>
      <c r="V369" s="4">
        <f>P369*F369</f>
        <v/>
      </c>
    </row>
    <row r="370" ht="20" customHeight="1">
      <c r="A370" s="9" t="inlineStr">
        <is>
          <t>340. Ревизия ПП внутренней канализации 50</t>
        </is>
      </c>
      <c r="B370" s="13" t="inlineStr">
        <is>
          <t>Ревизия ПП внутренней канализации 50</t>
        </is>
      </c>
      <c r="C370" s="9" t="inlineStr">
        <is>
          <t>Трубы и фитинги ВиК, отопления</t>
        </is>
      </c>
      <c r="D370" s="9" t="inlineStr">
        <is>
          <t>шт</t>
        </is>
      </c>
      <c r="E370" s="10" t="n">
        <v>1</v>
      </c>
      <c r="F370" s="4">
        <f>E370*IFERROR(INDEX(Работы!$D$4:$D$672,MATCH(SUBSTITUTE(SUBSTITUTE(SUBSTITUTE(A370,"~","~~"),"*","~*"),"?","~?"),Работы!$B$4:$B$672,0)),0)</f>
        <v/>
      </c>
      <c r="G370" s="10" t="n">
        <v>40</v>
      </c>
      <c r="H370" s="14" t="n">
        <v>1</v>
      </c>
      <c r="I370" s="11" t="n">
        <v>0.04</v>
      </c>
      <c r="J370" s="11" t="n">
        <v>0.12</v>
      </c>
      <c r="K370" s="10" t="n"/>
      <c r="L370" s="9" t="inlineStr">
        <is>
          <t>оценка</t>
        </is>
      </c>
      <c r="M370" s="9" t="inlineStr"/>
      <c r="N370" s="9" t="inlineStr">
        <is>
          <t>2026-10-29</t>
        </is>
      </c>
      <c r="O370" s="13" t="inlineStr">
        <is>
          <t>оценка фасонины В Петрович, Лемана ПРО и Сатурн открытой карточки нет, оставлен прежний источник.</t>
        </is>
      </c>
      <c r="P370" s="4">
        <f>IF(H370=1,G370/VAT_DIV,G370)</f>
        <v/>
      </c>
      <c r="Q370" s="4">
        <f>P370*(1+I370)*(1+DELIV)*(1+GROWTH+MONEY)</f>
        <v/>
      </c>
      <c r="R370" s="4">
        <f>IF(AND(K370&lt;&gt;"",Q370*(1+J370)&gt;K370/VAT_DIV),K370/VAT_DIV,Q370*(1+J370))</f>
        <v/>
      </c>
      <c r="S370" s="4">
        <f>Q370*F370</f>
        <v/>
      </c>
      <c r="T370" s="4">
        <f>R370*F370</f>
        <v/>
      </c>
      <c r="U370" s="3">
        <f>IF(AND(K370&lt;&gt;"",Q370*(1+J370)&gt;K370/VAT_DIV+0.01),"ДА","")</f>
        <v/>
      </c>
      <c r="V370" s="4">
        <f>P370*F370</f>
        <v/>
      </c>
    </row>
    <row r="371" ht="20" customHeight="1">
      <c r="A371" s="9" t="inlineStr">
        <is>
          <t>341. Ревизия ПП внутренней канализации 110</t>
        </is>
      </c>
      <c r="B371" s="13" t="inlineStr">
        <is>
          <t>Ревизия ПП внутренней канализации 110</t>
        </is>
      </c>
      <c r="C371" s="9" t="inlineStr">
        <is>
          <t>Трубы и фитинги ВиК, отопления</t>
        </is>
      </c>
      <c r="D371" s="9" t="inlineStr">
        <is>
          <t>шт</t>
        </is>
      </c>
      <c r="E371" s="10" t="n">
        <v>1</v>
      </c>
      <c r="F371" s="4">
        <f>E371*IFERROR(INDEX(Работы!$D$4:$D$672,MATCH(SUBSTITUTE(SUBSTITUTE(SUBSTITUTE(A371,"~","~~"),"*","~*"),"?","~?"),Работы!$B$4:$B$672,0)),0)</f>
        <v/>
      </c>
      <c r="G371" s="10" t="n">
        <v>90</v>
      </c>
      <c r="H371" s="14" t="n">
        <v>1</v>
      </c>
      <c r="I371" s="11" t="n">
        <v>0.04</v>
      </c>
      <c r="J371" s="11" t="n">
        <v>0.12</v>
      </c>
      <c r="K371" s="10" t="n"/>
      <c r="L371" s="9" t="inlineStr">
        <is>
          <t>оценка</t>
        </is>
      </c>
      <c r="M371" s="9" t="inlineStr"/>
      <c r="N371" s="9" t="inlineStr">
        <is>
          <t>2026-10-29</t>
        </is>
      </c>
      <c r="O371" s="13" t="inlineStr">
        <is>
          <t>оценка фасонины В Петрович, Лемана ПРО и Сатурн открытой карточки нет, оставлен прежний источник.</t>
        </is>
      </c>
      <c r="P371" s="4">
        <f>IF(H371=1,G371/VAT_DIV,G371)</f>
        <v/>
      </c>
      <c r="Q371" s="4">
        <f>P371*(1+I371)*(1+DELIV)*(1+GROWTH+MONEY)</f>
        <v/>
      </c>
      <c r="R371" s="4">
        <f>IF(AND(K371&lt;&gt;"",Q371*(1+J371)&gt;K371/VAT_DIV),K371/VAT_DIV,Q371*(1+J371))</f>
        <v/>
      </c>
      <c r="S371" s="4">
        <f>Q371*F371</f>
        <v/>
      </c>
      <c r="T371" s="4">
        <f>R371*F371</f>
        <v/>
      </c>
      <c r="U371" s="3">
        <f>IF(AND(K371&lt;&gt;"",Q371*(1+J371)&gt;K371/VAT_DIV+0.01),"ДА","")</f>
        <v/>
      </c>
      <c r="V371" s="4">
        <f>P371*F371</f>
        <v/>
      </c>
    </row>
    <row r="372" ht="20" customHeight="1">
      <c r="A372" s="9" t="inlineStr">
        <is>
          <t>342. Трубы ПВХ внутренней канализации d 32</t>
        </is>
      </c>
      <c r="B372" s="13" t="inlineStr">
        <is>
          <t>Труба канализация d32</t>
        </is>
      </c>
      <c r="C372" s="9" t="inlineStr">
        <is>
          <t>Трубы и фитинги ВиК, отопления</t>
        </is>
      </c>
      <c r="D372" s="9" t="inlineStr">
        <is>
          <t>м</t>
        </is>
      </c>
      <c r="E372" s="10" t="n">
        <v>1</v>
      </c>
      <c r="F372" s="4">
        <f>E372*IFERROR(INDEX(Работы!$D$4:$D$672,MATCH(SUBSTITUTE(SUBSTITUTE(SUBSTITUTE(A372,"~","~~"),"*","~*"),"?","~?"),Работы!$B$4:$B$672,0)),0)</f>
        <v/>
      </c>
      <c r="G372" s="10" t="n">
        <v>70</v>
      </c>
      <c r="H372" s="14" t="n">
        <v>1</v>
      </c>
      <c r="I372" s="11" t="n">
        <v>0.04</v>
      </c>
      <c r="J372" s="11" t="n">
        <v>0.12</v>
      </c>
      <c r="K372" s="10" t="n"/>
      <c r="L372" s="9" t="inlineStr">
        <is>
          <t>оценка</t>
        </is>
      </c>
      <c r="M372" s="9" t="inlineStr"/>
      <c r="N372" s="9" t="inlineStr">
        <is>
          <t>2026-10-29</t>
        </is>
      </c>
      <c r="O372" s="13" t="inlineStr">
        <is>
          <t>оценка ПВХ/ПП внутренней канализации В Петрович, Лемана ПРО и Сатурн открытой карточки нет, оставлен прежний источник.</t>
        </is>
      </c>
      <c r="P372" s="4">
        <f>IF(H372=1,G372/VAT_DIV,G372)</f>
        <v/>
      </c>
      <c r="Q372" s="4">
        <f>P372*(1+I372)*(1+DELIV)*(1+GROWTH+MONEY)</f>
        <v/>
      </c>
      <c r="R372" s="4">
        <f>IF(AND(K372&lt;&gt;"",Q372*(1+J372)&gt;K372/VAT_DIV),K372/VAT_DIV,Q372*(1+J372))</f>
        <v/>
      </c>
      <c r="S372" s="4">
        <f>Q372*F372</f>
        <v/>
      </c>
      <c r="T372" s="4">
        <f>R372*F372</f>
        <v/>
      </c>
      <c r="U372" s="3">
        <f>IF(AND(K372&lt;&gt;"",Q372*(1+J372)&gt;K372/VAT_DIV+0.01),"ДА","")</f>
        <v/>
      </c>
      <c r="V372" s="4">
        <f>P372*F372</f>
        <v/>
      </c>
    </row>
    <row r="373" ht="20" customHeight="1">
      <c r="A373" s="9" t="inlineStr">
        <is>
          <t>343. Трубы ПВХ внутренней канализации d 40</t>
        </is>
      </c>
      <c r="B373" s="13" t="inlineStr">
        <is>
          <t>Труба канализация d40</t>
        </is>
      </c>
      <c r="C373" s="9" t="inlineStr">
        <is>
          <t>Трубы и фитинги ВиК, отопления</t>
        </is>
      </c>
      <c r="D373" s="9" t="inlineStr">
        <is>
          <t>м</t>
        </is>
      </c>
      <c r="E373" s="10" t="n">
        <v>1</v>
      </c>
      <c r="F373" s="4">
        <f>E373*IFERROR(INDEX(Работы!$D$4:$D$672,MATCH(SUBSTITUTE(SUBSTITUTE(SUBSTITUTE(A373,"~","~~"),"*","~*"),"?","~?"),Работы!$B$4:$B$672,0)),0)</f>
        <v/>
      </c>
      <c r="G373" s="10" t="n">
        <v>85</v>
      </c>
      <c r="H373" s="14" t="n">
        <v>1</v>
      </c>
      <c r="I373" s="11" t="n">
        <v>0.04</v>
      </c>
      <c r="J373" s="11" t="n">
        <v>0.12</v>
      </c>
      <c r="K373" s="10" t="n"/>
      <c r="L373" s="9" t="inlineStr">
        <is>
          <t>оценка</t>
        </is>
      </c>
      <c r="M373" s="9" t="inlineStr"/>
      <c r="N373" s="9" t="inlineStr">
        <is>
          <t>2026-10-29</t>
        </is>
      </c>
      <c r="O373" s="13" t="inlineStr">
        <is>
          <t>оценка ПВХ/ПП внутренней канализации В Петрович, Лемана ПРО и Сатурн открытой карточки нет, оставлен прежний источник.</t>
        </is>
      </c>
      <c r="P373" s="4">
        <f>IF(H373=1,G373/VAT_DIV,G373)</f>
        <v/>
      </c>
      <c r="Q373" s="4">
        <f>P373*(1+I373)*(1+DELIV)*(1+GROWTH+MONEY)</f>
        <v/>
      </c>
      <c r="R373" s="4">
        <f>IF(AND(K373&lt;&gt;"",Q373*(1+J373)&gt;K373/VAT_DIV),K373/VAT_DIV,Q373*(1+J373))</f>
        <v/>
      </c>
      <c r="S373" s="4">
        <f>Q373*F373</f>
        <v/>
      </c>
      <c r="T373" s="4">
        <f>R373*F373</f>
        <v/>
      </c>
      <c r="U373" s="3">
        <f>IF(AND(K373&lt;&gt;"",Q373*(1+J373)&gt;K373/VAT_DIV+0.01),"ДА","")</f>
        <v/>
      </c>
      <c r="V373" s="4">
        <f>P373*F373</f>
        <v/>
      </c>
    </row>
    <row r="374" ht="20" customHeight="1">
      <c r="A374" s="9" t="inlineStr">
        <is>
          <t>344. Трубы ПВХ внутренней канализации d 50</t>
        </is>
      </c>
      <c r="B374" s="13" t="inlineStr">
        <is>
          <t>Труба канализация d50</t>
        </is>
      </c>
      <c r="C374" s="9" t="inlineStr">
        <is>
          <t>Трубы и фитинги ВиК, отопления</t>
        </is>
      </c>
      <c r="D374" s="9" t="inlineStr">
        <is>
          <t>м</t>
        </is>
      </c>
      <c r="E374" s="10" t="n">
        <v>1</v>
      </c>
      <c r="F374" s="4">
        <f>E374*IFERROR(INDEX(Работы!$D$4:$D$672,MATCH(SUBSTITUTE(SUBSTITUTE(SUBSTITUTE(A374,"~","~~"),"*","~*"),"?","~?"),Работы!$B$4:$B$672,0)),0)</f>
        <v/>
      </c>
      <c r="G374" s="10" t="n">
        <v>110</v>
      </c>
      <c r="H374" s="14" t="n">
        <v>1</v>
      </c>
      <c r="I374" s="11" t="n">
        <v>0.04</v>
      </c>
      <c r="J374" s="11" t="n">
        <v>0.12</v>
      </c>
      <c r="K374" s="10" t="n"/>
      <c r="L374" s="9" t="inlineStr">
        <is>
          <t>оценка</t>
        </is>
      </c>
      <c r="M374" s="9" t="inlineStr"/>
      <c r="N374" s="9" t="inlineStr">
        <is>
          <t>2026-10-29</t>
        </is>
      </c>
      <c r="O374" s="13" t="inlineStr">
        <is>
          <t>оценка ПВХ/ПП внутренней канализации В Петрович, Лемана ПРО и Сатурн открытой карточки нет, оставлен прежний источник.</t>
        </is>
      </c>
      <c r="P374" s="4">
        <f>IF(H374=1,G374/VAT_DIV,G374)</f>
        <v/>
      </c>
      <c r="Q374" s="4">
        <f>P374*(1+I374)*(1+DELIV)*(1+GROWTH+MONEY)</f>
        <v/>
      </c>
      <c r="R374" s="4">
        <f>IF(AND(K374&lt;&gt;"",Q374*(1+J374)&gt;K374/VAT_DIV),K374/VAT_DIV,Q374*(1+J374))</f>
        <v/>
      </c>
      <c r="S374" s="4">
        <f>Q374*F374</f>
        <v/>
      </c>
      <c r="T374" s="4">
        <f>R374*F374</f>
        <v/>
      </c>
      <c r="U374" s="3">
        <f>IF(AND(K374&lt;&gt;"",Q374*(1+J374)&gt;K374/VAT_DIV+0.01),"ДА","")</f>
        <v/>
      </c>
      <c r="V374" s="4">
        <f>P374*F374</f>
        <v/>
      </c>
    </row>
    <row r="375" ht="20" customHeight="1">
      <c r="A375" s="9" t="inlineStr">
        <is>
          <t>345. Заглушки ВПХ d 50</t>
        </is>
      </c>
      <c r="B375" s="13" t="inlineStr">
        <is>
          <t>Заглушки ВПХ d 50</t>
        </is>
      </c>
      <c r="C375" s="9" t="inlineStr">
        <is>
          <t>Трубы и фитинги ВиК, отопления</t>
        </is>
      </c>
      <c r="D375" s="9" t="inlineStr">
        <is>
          <t>шт</t>
        </is>
      </c>
      <c r="E375" s="10" t="n">
        <v>1</v>
      </c>
      <c r="F375" s="4">
        <f>E375*IFERROR(INDEX(Работы!$D$4:$D$672,MATCH(SUBSTITUTE(SUBSTITUTE(SUBSTITUTE(A375,"~","~~"),"*","~*"),"?","~?"),Работы!$B$4:$B$672,0)),0)</f>
        <v/>
      </c>
      <c r="G375" s="10" t="n">
        <v>40</v>
      </c>
      <c r="H375" s="14" t="n">
        <v>1</v>
      </c>
      <c r="I375" s="11" t="n">
        <v>0.04</v>
      </c>
      <c r="J375" s="11" t="n">
        <v>0.12</v>
      </c>
      <c r="K375" s="10" t="n"/>
      <c r="L375" s="9" t="inlineStr">
        <is>
          <t>оценка</t>
        </is>
      </c>
      <c r="M375" s="9" t="inlineStr"/>
      <c r="N375" s="9" t="inlineStr">
        <is>
          <t>2026-10-29</t>
        </is>
      </c>
      <c r="O375" s="13" t="inlineStr">
        <is>
          <t>оценка фасонины В Петрович, Лемана ПРО и Сатурн открытой карточки нет, оставлен прежний источник.</t>
        </is>
      </c>
      <c r="P375" s="4">
        <f>IF(H375=1,G375/VAT_DIV,G375)</f>
        <v/>
      </c>
      <c r="Q375" s="4">
        <f>P375*(1+I375)*(1+DELIV)*(1+GROWTH+MONEY)</f>
        <v/>
      </c>
      <c r="R375" s="4">
        <f>IF(AND(K375&lt;&gt;"",Q375*(1+J375)&gt;K375/VAT_DIV),K375/VAT_DIV,Q375*(1+J375))</f>
        <v/>
      </c>
      <c r="S375" s="4">
        <f>Q375*F375</f>
        <v/>
      </c>
      <c r="T375" s="4">
        <f>R375*F375</f>
        <v/>
      </c>
      <c r="U375" s="3">
        <f>IF(AND(K375&lt;&gt;"",Q375*(1+J375)&gt;K375/VAT_DIV+0.01),"ДА","")</f>
        <v/>
      </c>
      <c r="V375" s="4">
        <f>P375*F375</f>
        <v/>
      </c>
    </row>
    <row r="376" ht="20" customHeight="1">
      <c r="A376" s="9" t="inlineStr">
        <is>
          <t>346. трап диаметром 100 мм</t>
        </is>
      </c>
      <c r="B376" s="13" t="inlineStr">
        <is>
          <t>трап диаметром 100 мм</t>
        </is>
      </c>
      <c r="C376" s="9" t="inlineStr">
        <is>
          <t>Трубы и фитинги ВиК, отопления</t>
        </is>
      </c>
      <c r="D376" s="9" t="inlineStr">
        <is>
          <t>шт</t>
        </is>
      </c>
      <c r="E376" s="10" t="n">
        <v>1</v>
      </c>
      <c r="F376" s="4">
        <f>E376*IFERROR(INDEX(Работы!$D$4:$D$672,MATCH(SUBSTITUTE(SUBSTITUTE(SUBSTITUTE(A376,"~","~~"),"*","~*"),"?","~?"),Работы!$B$4:$B$672,0)),0)</f>
        <v/>
      </c>
      <c r="G376" s="10" t="n">
        <v>700</v>
      </c>
      <c r="H376" s="14" t="n">
        <v>1</v>
      </c>
      <c r="I376" s="11" t="n">
        <v>0.04</v>
      </c>
      <c r="J376" s="11" t="n">
        <v>0.12</v>
      </c>
      <c r="K376" s="10" t="n"/>
      <c r="L376" s="9" t="inlineStr">
        <is>
          <t>оценка</t>
        </is>
      </c>
      <c r="M376" s="9" t="inlineStr"/>
      <c r="N376" s="9" t="inlineStr">
        <is>
          <t>2026-10-29</t>
        </is>
      </c>
      <c r="O376" s="13" t="inlineStr">
        <is>
          <t>оценка фасонины В Петрович, Лемана ПРО и Сатурн открытой карточки нет, оставлен прежний источник.</t>
        </is>
      </c>
      <c r="P376" s="4">
        <f>IF(H376=1,G376/VAT_DIV,G376)</f>
        <v/>
      </c>
      <c r="Q376" s="4">
        <f>P376*(1+I376)*(1+DELIV)*(1+GROWTH+MONEY)</f>
        <v/>
      </c>
      <c r="R376" s="4">
        <f>IF(AND(K376&lt;&gt;"",Q376*(1+J376)&gt;K376/VAT_DIV),K376/VAT_DIV,Q376*(1+J376))</f>
        <v/>
      </c>
      <c r="S376" s="4">
        <f>Q376*F376</f>
        <v/>
      </c>
      <c r="T376" s="4">
        <f>R376*F376</f>
        <v/>
      </c>
      <c r="U376" s="3">
        <f>IF(AND(K376&lt;&gt;"",Q376*(1+J376)&gt;K376/VAT_DIV+0.01),"ДА","")</f>
        <v/>
      </c>
      <c r="V376" s="4">
        <f>P376*F376</f>
        <v/>
      </c>
    </row>
    <row r="377" ht="20" customHeight="1">
      <c r="A377" s="9" t="inlineStr">
        <is>
          <t>347. трап диаметром 50 мм</t>
        </is>
      </c>
      <c r="B377" s="13" t="inlineStr">
        <is>
          <t>трап диаметром 50 мм</t>
        </is>
      </c>
      <c r="C377" s="9" t="inlineStr">
        <is>
          <t>Трубы и фитинги ВиК, отопления</t>
        </is>
      </c>
      <c r="D377" s="9" t="inlineStr">
        <is>
          <t>шт</t>
        </is>
      </c>
      <c r="E377" s="10" t="n">
        <v>1</v>
      </c>
      <c r="F377" s="4">
        <f>E377*IFERROR(INDEX(Работы!$D$4:$D$672,MATCH(SUBSTITUTE(SUBSTITUTE(SUBSTITUTE(A377,"~","~~"),"*","~*"),"?","~?"),Работы!$B$4:$B$672,0)),0)</f>
        <v/>
      </c>
      <c r="G377" s="10" t="n">
        <v>700</v>
      </c>
      <c r="H377" s="14" t="n">
        <v>1</v>
      </c>
      <c r="I377" s="11" t="n">
        <v>0.04</v>
      </c>
      <c r="J377" s="11" t="n">
        <v>0.12</v>
      </c>
      <c r="K377" s="10" t="n"/>
      <c r="L377" s="9" t="inlineStr">
        <is>
          <t>оценка</t>
        </is>
      </c>
      <c r="M377" s="9" t="inlineStr"/>
      <c r="N377" s="9" t="inlineStr">
        <is>
          <t>2026-10-29</t>
        </is>
      </c>
      <c r="O377" s="13" t="inlineStr">
        <is>
          <t>оценка фасонины В Петрович, Лемана ПРО и Сатурн открытой карточки нет, оставлен прежний источник.</t>
        </is>
      </c>
      <c r="P377" s="4">
        <f>IF(H377=1,G377/VAT_DIV,G377)</f>
        <v/>
      </c>
      <c r="Q377" s="4">
        <f>P377*(1+I377)*(1+DELIV)*(1+GROWTH+MONEY)</f>
        <v/>
      </c>
      <c r="R377" s="4">
        <f>IF(AND(K377&lt;&gt;"",Q377*(1+J377)&gt;K377/VAT_DIV),K377/VAT_DIV,Q377*(1+J377))</f>
        <v/>
      </c>
      <c r="S377" s="4">
        <f>Q377*F377</f>
        <v/>
      </c>
      <c r="T377" s="4">
        <f>R377*F377</f>
        <v/>
      </c>
      <c r="U377" s="3">
        <f>IF(AND(K377&lt;&gt;"",Q377*(1+J377)&gt;K377/VAT_DIV+0.01),"ДА","")</f>
        <v/>
      </c>
      <c r="V377" s="4">
        <f>P377*F377</f>
        <v/>
      </c>
    </row>
    <row r="378" ht="20" customHeight="1">
      <c r="A378" s="9" t="inlineStr">
        <is>
          <t>348. Резиновые манжеты переходные для канализационных систем 50х32</t>
        </is>
      </c>
      <c r="B378" s="13" t="inlineStr">
        <is>
          <t>Резиновые манжеты переходные для канализационных систем 50х32</t>
        </is>
      </c>
      <c r="C378" s="9" t="inlineStr">
        <is>
          <t>Трубы и фитинги ВиК, отопления</t>
        </is>
      </c>
      <c r="D378" s="9" t="inlineStr">
        <is>
          <t>шт</t>
        </is>
      </c>
      <c r="E378" s="10" t="n">
        <v>1</v>
      </c>
      <c r="F378" s="4">
        <f>E378*IFERROR(INDEX(Работы!$D$4:$D$672,MATCH(SUBSTITUTE(SUBSTITUTE(SUBSTITUTE(A378,"~","~~"),"*","~*"),"?","~?"),Работы!$B$4:$B$672,0)),0)</f>
        <v/>
      </c>
      <c r="G378" s="10" t="n">
        <v>40</v>
      </c>
      <c r="H378" s="14" t="n">
        <v>1</v>
      </c>
      <c r="I378" s="11" t="n">
        <v>0.04</v>
      </c>
      <c r="J378" s="11" t="n">
        <v>0.12</v>
      </c>
      <c r="K378" s="10" t="n"/>
      <c r="L378" s="9" t="inlineStr">
        <is>
          <t>оценка</t>
        </is>
      </c>
      <c r="M378" s="9" t="inlineStr"/>
      <c r="N378" s="9" t="inlineStr">
        <is>
          <t>2026-10-29</t>
        </is>
      </c>
      <c r="O378" s="13" t="inlineStr">
        <is>
          <t>оценка фасонины В Петрович, Лемана ПРО и Сатурн открытой карточки нет, оставлен прежний источник.</t>
        </is>
      </c>
      <c r="P378" s="4">
        <f>IF(H378=1,G378/VAT_DIV,G378)</f>
        <v/>
      </c>
      <c r="Q378" s="4">
        <f>P378*(1+I378)*(1+DELIV)*(1+GROWTH+MONEY)</f>
        <v/>
      </c>
      <c r="R378" s="4">
        <f>IF(AND(K378&lt;&gt;"",Q378*(1+J378)&gt;K378/VAT_DIV),K378/VAT_DIV,Q378*(1+J378))</f>
        <v/>
      </c>
      <c r="S378" s="4">
        <f>Q378*F378</f>
        <v/>
      </c>
      <c r="T378" s="4">
        <f>R378*F378</f>
        <v/>
      </c>
      <c r="U378" s="3">
        <f>IF(AND(K378&lt;&gt;"",Q378*(1+J378)&gt;K378/VAT_DIV+0.01),"ДА","")</f>
        <v/>
      </c>
      <c r="V378" s="4">
        <f>P378*F378</f>
        <v/>
      </c>
    </row>
    <row r="379" ht="20" customHeight="1">
      <c r="A379" s="9" t="inlineStr">
        <is>
          <t>349. Резиновые манжеты переходные для канализационных систем 50х40</t>
        </is>
      </c>
      <c r="B379" s="13" t="inlineStr">
        <is>
          <t>Резиновые манжеты переходные для канализационных систем 50х40</t>
        </is>
      </c>
      <c r="C379" s="9" t="inlineStr">
        <is>
          <t>Трубы и фитинги ВиК, отопления</t>
        </is>
      </c>
      <c r="D379" s="9" t="inlineStr">
        <is>
          <t>шт</t>
        </is>
      </c>
      <c r="E379" s="10" t="n">
        <v>1</v>
      </c>
      <c r="F379" s="4">
        <f>E379*IFERROR(INDEX(Работы!$D$4:$D$672,MATCH(SUBSTITUTE(SUBSTITUTE(SUBSTITUTE(A379,"~","~~"),"*","~*"),"?","~?"),Работы!$B$4:$B$672,0)),0)</f>
        <v/>
      </c>
      <c r="G379" s="10" t="n">
        <v>40</v>
      </c>
      <c r="H379" s="14" t="n">
        <v>1</v>
      </c>
      <c r="I379" s="11" t="n">
        <v>0.04</v>
      </c>
      <c r="J379" s="11" t="n">
        <v>0.12</v>
      </c>
      <c r="K379" s="10" t="n"/>
      <c r="L379" s="9" t="inlineStr">
        <is>
          <t>оценка</t>
        </is>
      </c>
      <c r="M379" s="9" t="inlineStr"/>
      <c r="N379" s="9" t="inlineStr">
        <is>
          <t>2026-10-29</t>
        </is>
      </c>
      <c r="O379" s="13" t="inlineStr">
        <is>
          <t>оценка фасонины В Петрович, Лемана ПРО и Сатурн открытой карточки нет, оставлен прежний источник.</t>
        </is>
      </c>
      <c r="P379" s="4">
        <f>IF(H379=1,G379/VAT_DIV,G379)</f>
        <v/>
      </c>
      <c r="Q379" s="4">
        <f>P379*(1+I379)*(1+DELIV)*(1+GROWTH+MONEY)</f>
        <v/>
      </c>
      <c r="R379" s="4">
        <f>IF(AND(K379&lt;&gt;"",Q379*(1+J379)&gt;K379/VAT_DIV),K379/VAT_DIV,Q379*(1+J379))</f>
        <v/>
      </c>
      <c r="S379" s="4">
        <f>Q379*F379</f>
        <v/>
      </c>
      <c r="T379" s="4">
        <f>R379*F379</f>
        <v/>
      </c>
      <c r="U379" s="3">
        <f>IF(AND(K379&lt;&gt;"",Q379*(1+J379)&gt;K379/VAT_DIV+0.01),"ДА","")</f>
        <v/>
      </c>
      <c r="V379" s="4">
        <f>P379*F379</f>
        <v/>
      </c>
    </row>
    <row r="380" ht="20" customHeight="1">
      <c r="A380" s="9" t="inlineStr">
        <is>
          <t>350. обратный клапан для канализации 110 мм</t>
        </is>
      </c>
      <c r="B380" s="13" t="inlineStr">
        <is>
          <t>обратный клапан для канализации 110 мм</t>
        </is>
      </c>
      <c r="C380" s="9" t="inlineStr">
        <is>
          <t>Трубы и фитинги ВиК, отопления</t>
        </is>
      </c>
      <c r="D380" s="9" t="inlineStr">
        <is>
          <t>шт</t>
        </is>
      </c>
      <c r="E380" s="10" t="n">
        <v>1</v>
      </c>
      <c r="F380" s="4">
        <f>E380*IFERROR(INDEX(Работы!$D$4:$D$672,MATCH(SUBSTITUTE(SUBSTITUTE(SUBSTITUTE(A380,"~","~~"),"*","~*"),"?","~?"),Работы!$B$4:$B$672,0)),0)</f>
        <v/>
      </c>
      <c r="G380" s="10" t="n">
        <v>900</v>
      </c>
      <c r="H380" s="14" t="n">
        <v>1</v>
      </c>
      <c r="I380" s="11" t="n">
        <v>0.04</v>
      </c>
      <c r="J380" s="11" t="n">
        <v>0.12</v>
      </c>
      <c r="K380" s="10" t="n"/>
      <c r="L380" s="9" t="inlineStr">
        <is>
          <t>оценка</t>
        </is>
      </c>
      <c r="M380" s="9" t="inlineStr"/>
      <c r="N380" s="9" t="inlineStr">
        <is>
          <t>2026-10-29</t>
        </is>
      </c>
      <c r="O380" s="13" t="inlineStr">
        <is>
          <t>оценка фасонины В Петрович, Лемана ПРО и Сатурн открытой карточки нет, оставлен прежний источник.</t>
        </is>
      </c>
      <c r="P380" s="4">
        <f>IF(H380=1,G380/VAT_DIV,G380)</f>
        <v/>
      </c>
      <c r="Q380" s="4">
        <f>P380*(1+I380)*(1+DELIV)*(1+GROWTH+MONEY)</f>
        <v/>
      </c>
      <c r="R380" s="4">
        <f>IF(AND(K380&lt;&gt;"",Q380*(1+J380)&gt;K380/VAT_DIV),K380/VAT_DIV,Q380*(1+J380))</f>
        <v/>
      </c>
      <c r="S380" s="4">
        <f>Q380*F380</f>
        <v/>
      </c>
      <c r="T380" s="4">
        <f>R380*F380</f>
        <v/>
      </c>
      <c r="U380" s="3">
        <f>IF(AND(K380&lt;&gt;"",Q380*(1+J380)&gt;K380/VAT_DIV+0.01),"ДА","")</f>
        <v/>
      </c>
      <c r="V380" s="4">
        <f>P380*F380</f>
        <v/>
      </c>
    </row>
    <row r="381" ht="20" customHeight="1">
      <c r="A381" s="9" t="inlineStr">
        <is>
          <t>351. обратный клапан для канализации 50 мм</t>
        </is>
      </c>
      <c r="B381" s="13" t="inlineStr">
        <is>
          <t>обратный клапан для канализации 50 мм</t>
        </is>
      </c>
      <c r="C381" s="9" t="inlineStr">
        <is>
          <t>Трубы и фитинги ВиК, отопления</t>
        </is>
      </c>
      <c r="D381" s="9" t="inlineStr">
        <is>
          <t>шт</t>
        </is>
      </c>
      <c r="E381" s="10" t="n">
        <v>1</v>
      </c>
      <c r="F381" s="4">
        <f>E381*IFERROR(INDEX(Работы!$D$4:$D$672,MATCH(SUBSTITUTE(SUBSTITUTE(SUBSTITUTE(A381,"~","~~"),"*","~*"),"?","~?"),Работы!$B$4:$B$672,0)),0)</f>
        <v/>
      </c>
      <c r="G381" s="10" t="n">
        <v>550</v>
      </c>
      <c r="H381" s="14" t="n">
        <v>1</v>
      </c>
      <c r="I381" s="11" t="n">
        <v>0.04</v>
      </c>
      <c r="J381" s="11" t="n">
        <v>0.12</v>
      </c>
      <c r="K381" s="10" t="n"/>
      <c r="L381" s="9" t="inlineStr">
        <is>
          <t>оценка</t>
        </is>
      </c>
      <c r="M381" s="9" t="inlineStr"/>
      <c r="N381" s="9" t="inlineStr">
        <is>
          <t>2026-10-29</t>
        </is>
      </c>
      <c r="O381" s="13" t="inlineStr">
        <is>
          <t>оценка фасонины В Петрович, Лемана ПРО и Сатурн открытой карточки нет, оставлен прежний источник.</t>
        </is>
      </c>
      <c r="P381" s="4">
        <f>IF(H381=1,G381/VAT_DIV,G381)</f>
        <v/>
      </c>
      <c r="Q381" s="4">
        <f>P381*(1+I381)*(1+DELIV)*(1+GROWTH+MONEY)</f>
        <v/>
      </c>
      <c r="R381" s="4">
        <f>IF(AND(K381&lt;&gt;"",Q381*(1+J381)&gt;K381/VAT_DIV),K381/VAT_DIV,Q381*(1+J381))</f>
        <v/>
      </c>
      <c r="S381" s="4">
        <f>Q381*F381</f>
        <v/>
      </c>
      <c r="T381" s="4">
        <f>R381*F381</f>
        <v/>
      </c>
      <c r="U381" s="3">
        <f>IF(AND(K381&lt;&gt;"",Q381*(1+J381)&gt;K381/VAT_DIV+0.01),"ДА","")</f>
        <v/>
      </c>
      <c r="V381" s="4">
        <f>P381*F381</f>
        <v/>
      </c>
    </row>
    <row r="382" ht="20" customHeight="1">
      <c r="A382" s="9" t="inlineStr">
        <is>
          <t>352. Трап HL (Hutterer Lechner) 71 с решеткой из ABS,песколовкой, гидрозатвором</t>
        </is>
      </c>
      <c r="B382" s="13" t="inlineStr">
        <is>
          <t>Трап HL (Hutterer Lechner) 71 с решеткой из ABS,песколовкой, гидрозатвором</t>
        </is>
      </c>
      <c r="C382" s="9" t="inlineStr">
        <is>
          <t>Трубы и фитинги ВиК, отопления</t>
        </is>
      </c>
      <c r="D382" s="9" t="inlineStr">
        <is>
          <t>шт</t>
        </is>
      </c>
      <c r="E382" s="10" t="n">
        <v>1</v>
      </c>
      <c r="F382" s="4">
        <f>E382*IFERROR(INDEX(Работы!$D$4:$D$672,MATCH(SUBSTITUTE(SUBSTITUTE(SUBSTITUTE(A382,"~","~~"),"*","~*"),"?","~?"),Работы!$B$4:$B$672,0)),0)</f>
        <v/>
      </c>
      <c r="G382" s="10" t="n">
        <v>2200</v>
      </c>
      <c r="H382" s="14" t="n">
        <v>1</v>
      </c>
      <c r="I382" s="11" t="n">
        <v>0.04</v>
      </c>
      <c r="J382" s="11" t="n">
        <v>0.12</v>
      </c>
      <c r="K382" s="10" t="n"/>
      <c r="L382" s="9" t="inlineStr">
        <is>
          <t>оценка</t>
        </is>
      </c>
      <c r="M382" s="9" t="inlineStr"/>
      <c r="N382" s="9" t="inlineStr">
        <is>
          <t>2026-10-29</t>
        </is>
      </c>
      <c r="O382" s="13" t="inlineStr">
        <is>
          <t>оценка фасонины В Петрович, Лемана ПРО и Сатурн открытой карточки нет, оставлен прежний источник.</t>
        </is>
      </c>
      <c r="P382" s="4">
        <f>IF(H382=1,G382/VAT_DIV,G382)</f>
        <v/>
      </c>
      <c r="Q382" s="4">
        <f>P382*(1+I382)*(1+DELIV)*(1+GROWTH+MONEY)</f>
        <v/>
      </c>
      <c r="R382" s="4">
        <f>IF(AND(K382&lt;&gt;"",Q382*(1+J382)&gt;K382/VAT_DIV),K382/VAT_DIV,Q382*(1+J382))</f>
        <v/>
      </c>
      <c r="S382" s="4">
        <f>Q382*F382</f>
        <v/>
      </c>
      <c r="T382" s="4">
        <f>R382*F382</f>
        <v/>
      </c>
      <c r="U382" s="3">
        <f>IF(AND(K382&lt;&gt;"",Q382*(1+J382)&gt;K382/VAT_DIV+0.01),"ДА","")</f>
        <v/>
      </c>
      <c r="V382" s="4">
        <f>P382*F382</f>
        <v/>
      </c>
    </row>
    <row r="383" ht="20" customHeight="1">
      <c r="A383" s="9" t="inlineStr">
        <is>
          <t>353. Трубы полипропиленованные d 20</t>
        </is>
      </c>
      <c r="B383" s="13" t="inlineStr">
        <is>
          <t>Труба ПП d20</t>
        </is>
      </c>
      <c r="C383" s="9" t="inlineStr">
        <is>
          <t>Трубы и фитинги ВиК, отопления</t>
        </is>
      </c>
      <c r="D383" s="9" t="inlineStr">
        <is>
          <t>м</t>
        </is>
      </c>
      <c r="E383" s="10" t="n">
        <v>1</v>
      </c>
      <c r="F383" s="4">
        <f>E383*IFERROR(INDEX(Работы!$D$4:$D$672,MATCH(SUBSTITUTE(SUBSTITUTE(SUBSTITUTE(A383,"~","~~"),"*","~*"),"?","~?"),Работы!$B$4:$B$672,0)),0)</f>
        <v/>
      </c>
      <c r="G383" s="10" t="n">
        <v>62.19</v>
      </c>
      <c r="H383" s="14" t="n">
        <v>1</v>
      </c>
      <c r="I383" s="11" t="n">
        <v>0.04</v>
      </c>
      <c r="J383" s="11" t="n">
        <v>0.12</v>
      </c>
      <c r="K383" s="10" t="n"/>
      <c r="L383" s="9" t="inlineStr">
        <is>
          <t>Петрович</t>
        </is>
      </c>
      <c r="M383" s="9" t="inlineStr">
        <is>
          <t>https://moscow.petrovich.ru/product/1154066/</t>
        </is>
      </c>
      <c r="N383" s="9" t="inlineStr">
        <is>
          <t>2026-10-29</t>
        </is>
      </c>
      <c r="O383" s="13" t="inlineStr">
        <is>
          <t>Якорь Петрович Lammin PN25 d25 = 85 руб/м (Лемана ПРО 85,5). Остальные диаметры — прежний коэффициент к d25.</t>
        </is>
      </c>
      <c r="P383" s="4">
        <f>IF(H383=1,G383/VAT_DIV,G383)</f>
        <v/>
      </c>
      <c r="Q383" s="4">
        <f>P383*(1+I383)*(1+DELIV)*(1+GROWTH+MONEY)</f>
        <v/>
      </c>
      <c r="R383" s="4">
        <f>IF(AND(K383&lt;&gt;"",Q383*(1+J383)&gt;K383/VAT_DIV),K383/VAT_DIV,Q383*(1+J383))</f>
        <v/>
      </c>
      <c r="S383" s="4">
        <f>Q383*F383</f>
        <v/>
      </c>
      <c r="T383" s="4">
        <f>R383*F383</f>
        <v/>
      </c>
      <c r="U383" s="3">
        <f>IF(AND(K383&lt;&gt;"",Q383*(1+J383)&gt;K383/VAT_DIV+0.01),"ДА","")</f>
        <v/>
      </c>
      <c r="V383" s="4">
        <f>P383*F383</f>
        <v/>
      </c>
    </row>
    <row r="384" ht="20" customHeight="1">
      <c r="A384" s="9" t="inlineStr">
        <is>
          <t>354. Трубы полипропиленованные d 25</t>
        </is>
      </c>
      <c r="B384" s="13" t="inlineStr">
        <is>
          <t>Труба ПП d25</t>
        </is>
      </c>
      <c r="C384" s="9" t="inlineStr">
        <is>
          <t>Трубы и фитинги ВиК, отопления</t>
        </is>
      </c>
      <c r="D384" s="9" t="inlineStr">
        <is>
          <t>м</t>
        </is>
      </c>
      <c r="E384" s="10" t="n">
        <v>1</v>
      </c>
      <c r="F384" s="4">
        <f>E384*IFERROR(INDEX(Работы!$D$4:$D$672,MATCH(SUBSTITUTE(SUBSTITUTE(SUBSTITUTE(A384,"~","~~"),"*","~*"),"?","~?"),Работы!$B$4:$B$672,0)),0)</f>
        <v/>
      </c>
      <c r="G384" s="10" t="n">
        <v>85</v>
      </c>
      <c r="H384" s="14" t="n">
        <v>1</v>
      </c>
      <c r="I384" s="11" t="n">
        <v>0.04</v>
      </c>
      <c r="J384" s="11" t="n">
        <v>0.12</v>
      </c>
      <c r="K384" s="10" t="n"/>
      <c r="L384" s="9" t="inlineStr">
        <is>
          <t>Петрович</t>
        </is>
      </c>
      <c r="M384" s="9" t="inlineStr">
        <is>
          <t>https://moscow.petrovich.ru/product/1154066/</t>
        </is>
      </c>
      <c r="N384" s="9" t="inlineStr">
        <is>
          <t>2026-10-29</t>
        </is>
      </c>
      <c r="O384" s="13" t="inlineStr">
        <is>
          <t>Якорь Петрович Lammin PN25 d25 = 85 руб/м (Лемана ПРО 85,5). Остальные диаметры — прежний коэффициент к d25.</t>
        </is>
      </c>
      <c r="P384" s="4">
        <f>IF(H384=1,G384/VAT_DIV,G384)</f>
        <v/>
      </c>
      <c r="Q384" s="4">
        <f>P384*(1+I384)*(1+DELIV)*(1+GROWTH+MONEY)</f>
        <v/>
      </c>
      <c r="R384" s="4">
        <f>IF(AND(K384&lt;&gt;"",Q384*(1+J384)&gt;K384/VAT_DIV),K384/VAT_DIV,Q384*(1+J384))</f>
        <v/>
      </c>
      <c r="S384" s="4">
        <f>Q384*F384</f>
        <v/>
      </c>
      <c r="T384" s="4">
        <f>R384*F384</f>
        <v/>
      </c>
      <c r="U384" s="3">
        <f>IF(AND(K384&lt;&gt;"",Q384*(1+J384)&gt;K384/VAT_DIV+0.01),"ДА","")</f>
        <v/>
      </c>
      <c r="V384" s="4">
        <f>P384*F384</f>
        <v/>
      </c>
    </row>
    <row r="385" ht="20" customHeight="1">
      <c r="A385" s="9" t="inlineStr">
        <is>
          <t>355. Трубы полипропиленованные d 32</t>
        </is>
      </c>
      <c r="B385" s="13" t="inlineStr">
        <is>
          <t>Труба ПП d32</t>
        </is>
      </c>
      <c r="C385" s="9" t="inlineStr">
        <is>
          <t>Трубы и фитинги ВиК, отопления</t>
        </is>
      </c>
      <c r="D385" s="9" t="inlineStr">
        <is>
          <t>м</t>
        </is>
      </c>
      <c r="E385" s="10" t="n">
        <v>1</v>
      </c>
      <c r="F385" s="4">
        <f>E385*IFERROR(INDEX(Работы!$D$4:$D$672,MATCH(SUBSTITUTE(SUBSTITUTE(SUBSTITUTE(A385,"~","~~"),"*","~*"),"?","~?"),Работы!$B$4:$B$672,0)),0)</f>
        <v/>
      </c>
      <c r="G385" s="10" t="n">
        <v>120.1</v>
      </c>
      <c r="H385" s="14" t="n">
        <v>1</v>
      </c>
      <c r="I385" s="11" t="n">
        <v>0.04</v>
      </c>
      <c r="J385" s="11" t="n">
        <v>0.12</v>
      </c>
      <c r="K385" s="10" t="n"/>
      <c r="L385" s="9" t="inlineStr">
        <is>
          <t>Петрович</t>
        </is>
      </c>
      <c r="M385" s="9" t="inlineStr">
        <is>
          <t>https://moscow.petrovich.ru/product/1154066/</t>
        </is>
      </c>
      <c r="N385" s="9" t="inlineStr">
        <is>
          <t>2026-10-29</t>
        </is>
      </c>
      <c r="O385" s="13" t="inlineStr">
        <is>
          <t>Якорь Петрович Lammin PN25 d25 = 85 руб/м (Лемана ПРО 85,5). Остальные диаметры — прежний коэффициент к d25.</t>
        </is>
      </c>
      <c r="P385" s="4">
        <f>IF(H385=1,G385/VAT_DIV,G385)</f>
        <v/>
      </c>
      <c r="Q385" s="4">
        <f>P385*(1+I385)*(1+DELIV)*(1+GROWTH+MONEY)</f>
        <v/>
      </c>
      <c r="R385" s="4">
        <f>IF(AND(K385&lt;&gt;"",Q385*(1+J385)&gt;K385/VAT_DIV),K385/VAT_DIV,Q385*(1+J385))</f>
        <v/>
      </c>
      <c r="S385" s="4">
        <f>Q385*F385</f>
        <v/>
      </c>
      <c r="T385" s="4">
        <f>R385*F385</f>
        <v/>
      </c>
      <c r="U385" s="3">
        <f>IF(AND(K385&lt;&gt;"",Q385*(1+J385)&gt;K385/VAT_DIV+0.01),"ДА","")</f>
        <v/>
      </c>
      <c r="V385" s="4">
        <f>P385*F385</f>
        <v/>
      </c>
    </row>
    <row r="386" ht="20" customHeight="1">
      <c r="A386" s="9" t="inlineStr">
        <is>
          <t>356. Трубы полипропиленованные d 40</t>
        </is>
      </c>
      <c r="B386" s="13" t="inlineStr">
        <is>
          <t>Труба ПП d40</t>
        </is>
      </c>
      <c r="C386" s="9" t="inlineStr">
        <is>
          <t>Трубы и фитинги ВиК, отопления</t>
        </is>
      </c>
      <c r="D386" s="9" t="inlineStr">
        <is>
          <t>м</t>
        </is>
      </c>
      <c r="E386" s="10" t="n">
        <v>1</v>
      </c>
      <c r="F386" s="4">
        <f>E386*IFERROR(INDEX(Работы!$D$4:$D$672,MATCH(SUBSTITUTE(SUBSTITUTE(SUBSTITUTE(A386,"~","~~"),"*","~*"),"?","~?"),Работы!$B$4:$B$672,0)),0)</f>
        <v/>
      </c>
      <c r="G386" s="10" t="n">
        <v>164.13</v>
      </c>
      <c r="H386" s="14" t="n">
        <v>1</v>
      </c>
      <c r="I386" s="11" t="n">
        <v>0.04</v>
      </c>
      <c r="J386" s="11" t="n">
        <v>0.12</v>
      </c>
      <c r="K386" s="10" t="n"/>
      <c r="L386" s="9" t="inlineStr">
        <is>
          <t>Петрович</t>
        </is>
      </c>
      <c r="M386" s="9" t="inlineStr">
        <is>
          <t>https://moscow.petrovich.ru/product/1154066/</t>
        </is>
      </c>
      <c r="N386" s="9" t="inlineStr">
        <is>
          <t>2026-10-29</t>
        </is>
      </c>
      <c r="O386" s="13" t="inlineStr">
        <is>
          <t>Якорь Петрович Lammin PN25 d25 = 85 руб/м (Лемана ПРО 85,5). Остальные диаметры — прежний коэффициент к d25.</t>
        </is>
      </c>
      <c r="P386" s="4">
        <f>IF(H386=1,G386/VAT_DIV,G386)</f>
        <v/>
      </c>
      <c r="Q386" s="4">
        <f>P386*(1+I386)*(1+DELIV)*(1+GROWTH+MONEY)</f>
        <v/>
      </c>
      <c r="R386" s="4">
        <f>IF(AND(K386&lt;&gt;"",Q386*(1+J386)&gt;K386/VAT_DIV),K386/VAT_DIV,Q386*(1+J386))</f>
        <v/>
      </c>
      <c r="S386" s="4">
        <f>Q386*F386</f>
        <v/>
      </c>
      <c r="T386" s="4">
        <f>R386*F386</f>
        <v/>
      </c>
      <c r="U386" s="3">
        <f>IF(AND(K386&lt;&gt;"",Q386*(1+J386)&gt;K386/VAT_DIV+0.01),"ДА","")</f>
        <v/>
      </c>
      <c r="V386" s="4">
        <f>P386*F386</f>
        <v/>
      </c>
    </row>
    <row r="387" ht="20" customHeight="1">
      <c r="A387" s="9" t="inlineStr">
        <is>
          <t>357. Трубы полипропиленованные армированные алюминием (стекловолокном) d 20</t>
        </is>
      </c>
      <c r="B387" s="13" t="inlineStr">
        <is>
          <t>Труба ПП d20</t>
        </is>
      </c>
      <c r="C387" s="9" t="inlineStr">
        <is>
          <t>Трубы и фитинги ВиК, отопления</t>
        </is>
      </c>
      <c r="D387" s="9" t="inlineStr">
        <is>
          <t>м</t>
        </is>
      </c>
      <c r="E387" s="10" t="n">
        <v>1</v>
      </c>
      <c r="F387" s="4">
        <f>E387*IFERROR(INDEX(Работы!$D$4:$D$672,MATCH(SUBSTITUTE(SUBSTITUTE(SUBSTITUTE(A387,"~","~~"),"*","~*"),"?","~?"),Работы!$B$4:$B$672,0)),0)</f>
        <v/>
      </c>
      <c r="G387" s="10" t="n">
        <v>77.73999999999999</v>
      </c>
      <c r="H387" s="14" t="n">
        <v>1</v>
      </c>
      <c r="I387" s="11" t="n">
        <v>0.04</v>
      </c>
      <c r="J387" s="11" t="n">
        <v>0.12</v>
      </c>
      <c r="K387" s="10" t="n"/>
      <c r="L387" s="9" t="inlineStr">
        <is>
          <t>Петрович</t>
        </is>
      </c>
      <c r="M387" s="9" t="inlineStr">
        <is>
          <t>https://moscow.petrovich.ru/product/1154066/</t>
        </is>
      </c>
      <c r="N387" s="9" t="inlineStr">
        <is>
          <t>2026-10-29</t>
        </is>
      </c>
      <c r="O387" s="13" t="inlineStr">
        <is>
          <t>Якорь Петрович Lammin PN25 d25 = 85 руб/м (Лемана ПРО 85,5). Остальные диаметры — прежний коэффициент к d25.</t>
        </is>
      </c>
      <c r="P387" s="4">
        <f>IF(H387=1,G387/VAT_DIV,G387)</f>
        <v/>
      </c>
      <c r="Q387" s="4">
        <f>P387*(1+I387)*(1+DELIV)*(1+GROWTH+MONEY)</f>
        <v/>
      </c>
      <c r="R387" s="4">
        <f>IF(AND(K387&lt;&gt;"",Q387*(1+J387)&gt;K387/VAT_DIV),K387/VAT_DIV,Q387*(1+J387))</f>
        <v/>
      </c>
      <c r="S387" s="4">
        <f>Q387*F387</f>
        <v/>
      </c>
      <c r="T387" s="4">
        <f>R387*F387</f>
        <v/>
      </c>
      <c r="U387" s="3">
        <f>IF(AND(K387&lt;&gt;"",Q387*(1+J387)&gt;K387/VAT_DIV+0.01),"ДА","")</f>
        <v/>
      </c>
      <c r="V387" s="4">
        <f>P387*F387</f>
        <v/>
      </c>
    </row>
    <row r="388" ht="20" customHeight="1">
      <c r="A388" s="9" t="inlineStr">
        <is>
          <t>358. Трубы полипропиленованные армированные алюминием (стекловолокном) d 25</t>
        </is>
      </c>
      <c r="B388" s="13" t="inlineStr">
        <is>
          <t>Труба ПП d25</t>
        </is>
      </c>
      <c r="C388" s="9" t="inlineStr">
        <is>
          <t>Трубы и фитинги ВиК, отопления</t>
        </is>
      </c>
      <c r="D388" s="9" t="inlineStr">
        <is>
          <t>м</t>
        </is>
      </c>
      <c r="E388" s="10" t="n">
        <v>1</v>
      </c>
      <c r="F388" s="4">
        <f>E388*IFERROR(INDEX(Работы!$D$4:$D$672,MATCH(SUBSTITUTE(SUBSTITUTE(SUBSTITUTE(A388,"~","~~"),"*","~*"),"?","~?"),Работы!$B$4:$B$672,0)),0)</f>
        <v/>
      </c>
      <c r="G388" s="10" t="n">
        <v>106.25</v>
      </c>
      <c r="H388" s="14" t="n">
        <v>1</v>
      </c>
      <c r="I388" s="11" t="n">
        <v>0.04</v>
      </c>
      <c r="J388" s="11" t="n">
        <v>0.12</v>
      </c>
      <c r="K388" s="10" t="n"/>
      <c r="L388" s="9" t="inlineStr">
        <is>
          <t>Петрович</t>
        </is>
      </c>
      <c r="M388" s="9" t="inlineStr">
        <is>
          <t>https://moscow.petrovich.ru/product/1154066/</t>
        </is>
      </c>
      <c r="N388" s="9" t="inlineStr">
        <is>
          <t>2026-10-29</t>
        </is>
      </c>
      <c r="O388" s="13" t="inlineStr">
        <is>
          <t>Якорь Петрович Lammin PN25 d25 = 85 руб/м (Лемана ПРО 85,5). Остальные диаметры — прежний коэффициент к d25.</t>
        </is>
      </c>
      <c r="P388" s="4">
        <f>IF(H388=1,G388/VAT_DIV,G388)</f>
        <v/>
      </c>
      <c r="Q388" s="4">
        <f>P388*(1+I388)*(1+DELIV)*(1+GROWTH+MONEY)</f>
        <v/>
      </c>
      <c r="R388" s="4">
        <f>IF(AND(K388&lt;&gt;"",Q388*(1+J388)&gt;K388/VAT_DIV),K388/VAT_DIV,Q388*(1+J388))</f>
        <v/>
      </c>
      <c r="S388" s="4">
        <f>Q388*F388</f>
        <v/>
      </c>
      <c r="T388" s="4">
        <f>R388*F388</f>
        <v/>
      </c>
      <c r="U388" s="3">
        <f>IF(AND(K388&lt;&gt;"",Q388*(1+J388)&gt;K388/VAT_DIV+0.01),"ДА","")</f>
        <v/>
      </c>
      <c r="V388" s="4">
        <f>P388*F388</f>
        <v/>
      </c>
    </row>
    <row r="389" ht="20" customHeight="1">
      <c r="A389" s="9" t="inlineStr">
        <is>
          <t>359. Трубы полипропиленованные армированные алюминием (стекловолокном) d 32</t>
        </is>
      </c>
      <c r="B389" s="13" t="inlineStr">
        <is>
          <t>Труба ПП d32</t>
        </is>
      </c>
      <c r="C389" s="9" t="inlineStr">
        <is>
          <t>Трубы и фитинги ВиК, отопления</t>
        </is>
      </c>
      <c r="D389" s="9" t="inlineStr">
        <is>
          <t>м</t>
        </is>
      </c>
      <c r="E389" s="10" t="n">
        <v>1</v>
      </c>
      <c r="F389" s="4">
        <f>E389*IFERROR(INDEX(Работы!$D$4:$D$672,MATCH(SUBSTITUTE(SUBSTITUTE(SUBSTITUTE(A389,"~","~~"),"*","~*"),"?","~?"),Работы!$B$4:$B$672,0)),0)</f>
        <v/>
      </c>
      <c r="G389" s="10" t="n">
        <v>150.11</v>
      </c>
      <c r="H389" s="14" t="n">
        <v>1</v>
      </c>
      <c r="I389" s="11" t="n">
        <v>0.04</v>
      </c>
      <c r="J389" s="11" t="n">
        <v>0.12</v>
      </c>
      <c r="K389" s="10" t="n"/>
      <c r="L389" s="9" t="inlineStr">
        <is>
          <t>Петрович</t>
        </is>
      </c>
      <c r="M389" s="9" t="inlineStr">
        <is>
          <t>https://moscow.petrovich.ru/product/1154066/</t>
        </is>
      </c>
      <c r="N389" s="9" t="inlineStr">
        <is>
          <t>2026-10-29</t>
        </is>
      </c>
      <c r="O389" s="13" t="inlineStr">
        <is>
          <t>Якорь Петрович Lammin PN25 d25 = 85 руб/м (Лемана ПРО 85,5). Остальные диаметры — прежний коэффициент к d25.</t>
        </is>
      </c>
      <c r="P389" s="4">
        <f>IF(H389=1,G389/VAT_DIV,G389)</f>
        <v/>
      </c>
      <c r="Q389" s="4">
        <f>P389*(1+I389)*(1+DELIV)*(1+GROWTH+MONEY)</f>
        <v/>
      </c>
      <c r="R389" s="4">
        <f>IF(AND(K389&lt;&gt;"",Q389*(1+J389)&gt;K389/VAT_DIV),K389/VAT_DIV,Q389*(1+J389))</f>
        <v/>
      </c>
      <c r="S389" s="4">
        <f>Q389*F389</f>
        <v/>
      </c>
      <c r="T389" s="4">
        <f>R389*F389</f>
        <v/>
      </c>
      <c r="U389" s="3">
        <f>IF(AND(K389&lt;&gt;"",Q389*(1+J389)&gt;K389/VAT_DIV+0.01),"ДА","")</f>
        <v/>
      </c>
      <c r="V389" s="4">
        <f>P389*F389</f>
        <v/>
      </c>
    </row>
    <row r="390" ht="20" customHeight="1">
      <c r="A390" s="9" t="inlineStr">
        <is>
          <t>360. Трубы полипропиленованные армированные алюминием (стекловолокном) d 40</t>
        </is>
      </c>
      <c r="B390" s="13" t="inlineStr">
        <is>
          <t>Труба ПП d40</t>
        </is>
      </c>
      <c r="C390" s="9" t="inlineStr">
        <is>
          <t>Трубы и фитинги ВиК, отопления</t>
        </is>
      </c>
      <c r="D390" s="9" t="inlineStr">
        <is>
          <t>м</t>
        </is>
      </c>
      <c r="E390" s="10" t="n">
        <v>1</v>
      </c>
      <c r="F390" s="4">
        <f>E390*IFERROR(INDEX(Работы!$D$4:$D$672,MATCH(SUBSTITUTE(SUBSTITUTE(SUBSTITUTE(A390,"~","~~"),"*","~*"),"?","~?"),Работы!$B$4:$B$672,0)),0)</f>
        <v/>
      </c>
      <c r="G390" s="10" t="n">
        <v>205.16</v>
      </c>
      <c r="H390" s="14" t="n">
        <v>1</v>
      </c>
      <c r="I390" s="11" t="n">
        <v>0.04</v>
      </c>
      <c r="J390" s="11" t="n">
        <v>0.12</v>
      </c>
      <c r="K390" s="10" t="n"/>
      <c r="L390" s="9" t="inlineStr">
        <is>
          <t>Петрович</t>
        </is>
      </c>
      <c r="M390" s="9" t="inlineStr">
        <is>
          <t>https://moscow.petrovich.ru/product/1154066/</t>
        </is>
      </c>
      <c r="N390" s="9" t="inlineStr">
        <is>
          <t>2026-10-29</t>
        </is>
      </c>
      <c r="O390" s="13" t="inlineStr">
        <is>
          <t>Якорь Петрович Lammin PN25 d25 = 85 руб/м (Лемана ПРО 85,5). Остальные диаметры — прежний коэффициент к d25.</t>
        </is>
      </c>
      <c r="P390" s="4">
        <f>IF(H390=1,G390/VAT_DIV,G390)</f>
        <v/>
      </c>
      <c r="Q390" s="4">
        <f>P390*(1+I390)*(1+DELIV)*(1+GROWTH+MONEY)</f>
        <v/>
      </c>
      <c r="R390" s="4">
        <f>IF(AND(K390&lt;&gt;"",Q390*(1+J390)&gt;K390/VAT_DIV),K390/VAT_DIV,Q390*(1+J390))</f>
        <v/>
      </c>
      <c r="S390" s="4">
        <f>Q390*F390</f>
        <v/>
      </c>
      <c r="T390" s="4">
        <f>R390*F390</f>
        <v/>
      </c>
      <c r="U390" s="3">
        <f>IF(AND(K390&lt;&gt;"",Q390*(1+J390)&gt;K390/VAT_DIV+0.01),"ДА","")</f>
        <v/>
      </c>
      <c r="V390" s="4">
        <f>P390*F390</f>
        <v/>
      </c>
    </row>
    <row r="391" ht="20" customHeight="1">
      <c r="A391" s="9" t="inlineStr">
        <is>
          <t>361. Муфта полипропиленовая 20</t>
        </is>
      </c>
      <c r="B391" s="13" t="inlineStr">
        <is>
          <t>Труба ПП d20</t>
        </is>
      </c>
      <c r="C391" s="9" t="inlineStr">
        <is>
          <t>Трубы и фитинги ВиК, отопления</t>
        </is>
      </c>
      <c r="D391" s="9" t="inlineStr">
        <is>
          <t>м</t>
        </is>
      </c>
      <c r="E391" s="10" t="n">
        <v>1</v>
      </c>
      <c r="F391" s="4">
        <f>E391*IFERROR(INDEX(Работы!$D$4:$D$672,MATCH(SUBSTITUTE(SUBSTITUTE(SUBSTITUTE(A391,"~","~~"),"*","~*"),"?","~?"),Работы!$B$4:$B$672,0)),0)</f>
        <v/>
      </c>
      <c r="G391" s="10" t="n">
        <v>62.19</v>
      </c>
      <c r="H391" s="14" t="n">
        <v>1</v>
      </c>
      <c r="I391" s="11" t="n">
        <v>0.04</v>
      </c>
      <c r="J391" s="11" t="n">
        <v>0.12</v>
      </c>
      <c r="K391" s="10" t="n"/>
      <c r="L391" s="9" t="inlineStr">
        <is>
          <t>Петрович</t>
        </is>
      </c>
      <c r="M391" s="9" t="inlineStr">
        <is>
          <t>https://moscow.petrovich.ru/product/1154066/</t>
        </is>
      </c>
      <c r="N391" s="9" t="inlineStr">
        <is>
          <t>2026-10-29</t>
        </is>
      </c>
      <c r="O391" s="13" t="inlineStr">
        <is>
          <t>Якорь Петрович Lammin PN25 d25 = 85 руб/м (Лемана ПРО 85,5). Остальные диаметры — прежний коэффициент к d25.</t>
        </is>
      </c>
      <c r="P391" s="4">
        <f>IF(H391=1,G391/VAT_DIV,G391)</f>
        <v/>
      </c>
      <c r="Q391" s="4">
        <f>P391*(1+I391)*(1+DELIV)*(1+GROWTH+MONEY)</f>
        <v/>
      </c>
      <c r="R391" s="4">
        <f>IF(AND(K391&lt;&gt;"",Q391*(1+J391)&gt;K391/VAT_DIV),K391/VAT_DIV,Q391*(1+J391))</f>
        <v/>
      </c>
      <c r="S391" s="4">
        <f>Q391*F391</f>
        <v/>
      </c>
      <c r="T391" s="4">
        <f>R391*F391</f>
        <v/>
      </c>
      <c r="U391" s="3">
        <f>IF(AND(K391&lt;&gt;"",Q391*(1+J391)&gt;K391/VAT_DIV+0.01),"ДА","")</f>
        <v/>
      </c>
      <c r="V391" s="4">
        <f>P391*F391</f>
        <v/>
      </c>
    </row>
    <row r="392" ht="20" customHeight="1">
      <c r="A392" s="9" t="inlineStr">
        <is>
          <t>362. Муфта полипропиленовая 25</t>
        </is>
      </c>
      <c r="B392" s="13" t="inlineStr">
        <is>
          <t>Труба ПП d25</t>
        </is>
      </c>
      <c r="C392" s="9" t="inlineStr">
        <is>
          <t>Трубы и фитинги ВиК, отопления</t>
        </is>
      </c>
      <c r="D392" s="9" t="inlineStr">
        <is>
          <t>м</t>
        </is>
      </c>
      <c r="E392" s="10" t="n">
        <v>1</v>
      </c>
      <c r="F392" s="4">
        <f>E392*IFERROR(INDEX(Работы!$D$4:$D$672,MATCH(SUBSTITUTE(SUBSTITUTE(SUBSTITUTE(A392,"~","~~"),"*","~*"),"?","~?"),Работы!$B$4:$B$672,0)),0)</f>
        <v/>
      </c>
      <c r="G392" s="10" t="n">
        <v>85</v>
      </c>
      <c r="H392" s="14" t="n">
        <v>1</v>
      </c>
      <c r="I392" s="11" t="n">
        <v>0.04</v>
      </c>
      <c r="J392" s="11" t="n">
        <v>0.12</v>
      </c>
      <c r="K392" s="10" t="n"/>
      <c r="L392" s="9" t="inlineStr">
        <is>
          <t>Петрович</t>
        </is>
      </c>
      <c r="M392" s="9" t="inlineStr">
        <is>
          <t>https://moscow.petrovich.ru/product/1154066/</t>
        </is>
      </c>
      <c r="N392" s="9" t="inlineStr">
        <is>
          <t>2026-10-29</t>
        </is>
      </c>
      <c r="O392" s="13" t="inlineStr">
        <is>
          <t>Якорь Петрович Lammin PN25 d25 = 85 руб/м (Лемана ПРО 85,5). Остальные диаметры — прежний коэффициент к d25.</t>
        </is>
      </c>
      <c r="P392" s="4">
        <f>IF(H392=1,G392/VAT_DIV,G392)</f>
        <v/>
      </c>
      <c r="Q392" s="4">
        <f>P392*(1+I392)*(1+DELIV)*(1+GROWTH+MONEY)</f>
        <v/>
      </c>
      <c r="R392" s="4">
        <f>IF(AND(K392&lt;&gt;"",Q392*(1+J392)&gt;K392/VAT_DIV),K392/VAT_DIV,Q392*(1+J392))</f>
        <v/>
      </c>
      <c r="S392" s="4">
        <f>Q392*F392</f>
        <v/>
      </c>
      <c r="T392" s="4">
        <f>R392*F392</f>
        <v/>
      </c>
      <c r="U392" s="3">
        <f>IF(AND(K392&lt;&gt;"",Q392*(1+J392)&gt;K392/VAT_DIV+0.01),"ДА","")</f>
        <v/>
      </c>
      <c r="V392" s="4">
        <f>P392*F392</f>
        <v/>
      </c>
    </row>
    <row r="393" ht="20" customHeight="1">
      <c r="A393" s="9" t="inlineStr">
        <is>
          <t>363. Муфта полипропиленовая 32</t>
        </is>
      </c>
      <c r="B393" s="13" t="inlineStr">
        <is>
          <t>Труба ПП d32</t>
        </is>
      </c>
      <c r="C393" s="9" t="inlineStr">
        <is>
          <t>Трубы и фитинги ВиК, отопления</t>
        </is>
      </c>
      <c r="D393" s="9" t="inlineStr">
        <is>
          <t>м</t>
        </is>
      </c>
      <c r="E393" s="10" t="n">
        <v>1</v>
      </c>
      <c r="F393" s="4">
        <f>E393*IFERROR(INDEX(Работы!$D$4:$D$672,MATCH(SUBSTITUTE(SUBSTITUTE(SUBSTITUTE(A393,"~","~~"),"*","~*"),"?","~?"),Работы!$B$4:$B$672,0)),0)</f>
        <v/>
      </c>
      <c r="G393" s="10" t="n">
        <v>120.1</v>
      </c>
      <c r="H393" s="14" t="n">
        <v>1</v>
      </c>
      <c r="I393" s="11" t="n">
        <v>0.04</v>
      </c>
      <c r="J393" s="11" t="n">
        <v>0.12</v>
      </c>
      <c r="K393" s="10" t="n"/>
      <c r="L393" s="9" t="inlineStr">
        <is>
          <t>Петрович</t>
        </is>
      </c>
      <c r="M393" s="9" t="inlineStr">
        <is>
          <t>https://moscow.petrovich.ru/product/1154066/</t>
        </is>
      </c>
      <c r="N393" s="9" t="inlineStr">
        <is>
          <t>2026-10-29</t>
        </is>
      </c>
      <c r="O393" s="13" t="inlineStr">
        <is>
          <t>Якорь Петрович Lammin PN25 d25 = 85 руб/м (Лемана ПРО 85,5). Остальные диаметры — прежний коэффициент к d25.</t>
        </is>
      </c>
      <c r="P393" s="4">
        <f>IF(H393=1,G393/VAT_DIV,G393)</f>
        <v/>
      </c>
      <c r="Q393" s="4">
        <f>P393*(1+I393)*(1+DELIV)*(1+GROWTH+MONEY)</f>
        <v/>
      </c>
      <c r="R393" s="4">
        <f>IF(AND(K393&lt;&gt;"",Q393*(1+J393)&gt;K393/VAT_DIV),K393/VAT_DIV,Q393*(1+J393))</f>
        <v/>
      </c>
      <c r="S393" s="4">
        <f>Q393*F393</f>
        <v/>
      </c>
      <c r="T393" s="4">
        <f>R393*F393</f>
        <v/>
      </c>
      <c r="U393" s="3">
        <f>IF(AND(K393&lt;&gt;"",Q393*(1+J393)&gt;K393/VAT_DIV+0.01),"ДА","")</f>
        <v/>
      </c>
      <c r="V393" s="4">
        <f>P393*F393</f>
        <v/>
      </c>
    </row>
    <row r="394" ht="20" customHeight="1">
      <c r="A394" s="9" t="inlineStr">
        <is>
          <t>364. Муфта полипропиленовая 40</t>
        </is>
      </c>
      <c r="B394" s="13" t="inlineStr">
        <is>
          <t>Труба ПП d40</t>
        </is>
      </c>
      <c r="C394" s="9" t="inlineStr">
        <is>
          <t>Трубы и фитинги ВиК, отопления</t>
        </is>
      </c>
      <c r="D394" s="9" t="inlineStr">
        <is>
          <t>м</t>
        </is>
      </c>
      <c r="E394" s="10" t="n">
        <v>1</v>
      </c>
      <c r="F394" s="4">
        <f>E394*IFERROR(INDEX(Работы!$D$4:$D$672,MATCH(SUBSTITUTE(SUBSTITUTE(SUBSTITUTE(A394,"~","~~"),"*","~*"),"?","~?"),Работы!$B$4:$B$672,0)),0)</f>
        <v/>
      </c>
      <c r="G394" s="10" t="n">
        <v>164.13</v>
      </c>
      <c r="H394" s="14" t="n">
        <v>1</v>
      </c>
      <c r="I394" s="11" t="n">
        <v>0.04</v>
      </c>
      <c r="J394" s="11" t="n">
        <v>0.12</v>
      </c>
      <c r="K394" s="10" t="n"/>
      <c r="L394" s="9" t="inlineStr">
        <is>
          <t>Петрович</t>
        </is>
      </c>
      <c r="M394" s="9" t="inlineStr">
        <is>
          <t>https://moscow.petrovich.ru/product/1154066/</t>
        </is>
      </c>
      <c r="N394" s="9" t="inlineStr">
        <is>
          <t>2026-10-29</t>
        </is>
      </c>
      <c r="O394" s="13" t="inlineStr">
        <is>
          <t>Якорь Петрович Lammin PN25 d25 = 85 руб/м (Лемана ПРО 85,5). Остальные диаметры — прежний коэффициент к d25.</t>
        </is>
      </c>
      <c r="P394" s="4">
        <f>IF(H394=1,G394/VAT_DIV,G394)</f>
        <v/>
      </c>
      <c r="Q394" s="4">
        <f>P394*(1+I394)*(1+DELIV)*(1+GROWTH+MONEY)</f>
        <v/>
      </c>
      <c r="R394" s="4">
        <f>IF(AND(K394&lt;&gt;"",Q394*(1+J394)&gt;K394/VAT_DIV),K394/VAT_DIV,Q394*(1+J394))</f>
        <v/>
      </c>
      <c r="S394" s="4">
        <f>Q394*F394</f>
        <v/>
      </c>
      <c r="T394" s="4">
        <f>R394*F394</f>
        <v/>
      </c>
      <c r="U394" s="3">
        <f>IF(AND(K394&lt;&gt;"",Q394*(1+J394)&gt;K394/VAT_DIV+0.01),"ДА","")</f>
        <v/>
      </c>
      <c r="V394" s="4">
        <f>P394*F394</f>
        <v/>
      </c>
    </row>
    <row r="395" ht="20" customHeight="1">
      <c r="A395" s="9" t="inlineStr">
        <is>
          <t>365. Муфта полипропиленовая комбинированная с внутренней резьбой 20*1/2"</t>
        </is>
      </c>
      <c r="B395" s="13" t="inlineStr">
        <is>
          <t>Труба ПП d20</t>
        </is>
      </c>
      <c r="C395" s="9" t="inlineStr">
        <is>
          <t>Трубы и фитинги ВиК, отопления</t>
        </is>
      </c>
      <c r="D395" s="9" t="inlineStr">
        <is>
          <t>м</t>
        </is>
      </c>
      <c r="E395" s="10" t="n">
        <v>1</v>
      </c>
      <c r="F395" s="4">
        <f>E395*IFERROR(INDEX(Работы!$D$4:$D$672,MATCH(SUBSTITUTE(SUBSTITUTE(SUBSTITUTE(A395,"~","~~"),"*","~*"),"?","~?"),Работы!$B$4:$B$672,0)),0)</f>
        <v/>
      </c>
      <c r="G395" s="10" t="n">
        <v>62.19</v>
      </c>
      <c r="H395" s="14" t="n">
        <v>1</v>
      </c>
      <c r="I395" s="11" t="n">
        <v>0.04</v>
      </c>
      <c r="J395" s="11" t="n">
        <v>0.12</v>
      </c>
      <c r="K395" s="10" t="n"/>
      <c r="L395" s="9" t="inlineStr">
        <is>
          <t>Петрович</t>
        </is>
      </c>
      <c r="M395" s="9" t="inlineStr">
        <is>
          <t>https://moscow.petrovich.ru/product/1154066/</t>
        </is>
      </c>
      <c r="N395" s="9" t="inlineStr">
        <is>
          <t>2026-10-29</t>
        </is>
      </c>
      <c r="O395" s="13" t="inlineStr">
        <is>
          <t>Якорь Петрович Lammin PN25 d25 = 85 руб/м (Лемана ПРО 85,5). Остальные диаметры — прежний коэффициент к d25.</t>
        </is>
      </c>
      <c r="P395" s="4">
        <f>IF(H395=1,G395/VAT_DIV,G395)</f>
        <v/>
      </c>
      <c r="Q395" s="4">
        <f>P395*(1+I395)*(1+DELIV)*(1+GROWTH+MONEY)</f>
        <v/>
      </c>
      <c r="R395" s="4">
        <f>IF(AND(K395&lt;&gt;"",Q395*(1+J395)&gt;K395/VAT_DIV),K395/VAT_DIV,Q395*(1+J395))</f>
        <v/>
      </c>
      <c r="S395" s="4">
        <f>Q395*F395</f>
        <v/>
      </c>
      <c r="T395" s="4">
        <f>R395*F395</f>
        <v/>
      </c>
      <c r="U395" s="3">
        <f>IF(AND(K395&lt;&gt;"",Q395*(1+J395)&gt;K395/VAT_DIV+0.01),"ДА","")</f>
        <v/>
      </c>
      <c r="V395" s="4">
        <f>P395*F395</f>
        <v/>
      </c>
    </row>
    <row r="396" ht="20" customHeight="1">
      <c r="A396" s="9" t="inlineStr">
        <is>
          <t>366. Муфта полипропиленовая комбинированная с внутренней резьбой 20*3/4"</t>
        </is>
      </c>
      <c r="B396" s="13" t="inlineStr">
        <is>
          <t>Труба ПП d20</t>
        </is>
      </c>
      <c r="C396" s="9" t="inlineStr">
        <is>
          <t>Трубы и фитинги ВиК, отопления</t>
        </is>
      </c>
      <c r="D396" s="9" t="inlineStr">
        <is>
          <t>м</t>
        </is>
      </c>
      <c r="E396" s="10" t="n">
        <v>1</v>
      </c>
      <c r="F396" s="4">
        <f>E396*IFERROR(INDEX(Работы!$D$4:$D$672,MATCH(SUBSTITUTE(SUBSTITUTE(SUBSTITUTE(A396,"~","~~"),"*","~*"),"?","~?"),Работы!$B$4:$B$672,0)),0)</f>
        <v/>
      </c>
      <c r="G396" s="10" t="n">
        <v>62.19</v>
      </c>
      <c r="H396" s="14" t="n">
        <v>1</v>
      </c>
      <c r="I396" s="11" t="n">
        <v>0.04</v>
      </c>
      <c r="J396" s="11" t="n">
        <v>0.12</v>
      </c>
      <c r="K396" s="10" t="n"/>
      <c r="L396" s="9" t="inlineStr">
        <is>
          <t>Петрович</t>
        </is>
      </c>
      <c r="M396" s="9" t="inlineStr">
        <is>
          <t>https://moscow.petrovich.ru/product/1154066/</t>
        </is>
      </c>
      <c r="N396" s="9" t="inlineStr">
        <is>
          <t>2026-10-29</t>
        </is>
      </c>
      <c r="O396" s="13" t="inlineStr">
        <is>
          <t>Якорь Петрович Lammin PN25 d25 = 85 руб/м (Лемана ПРО 85,5). Остальные диаметры — прежний коэффициент к d25.</t>
        </is>
      </c>
      <c r="P396" s="4">
        <f>IF(H396=1,G396/VAT_DIV,G396)</f>
        <v/>
      </c>
      <c r="Q396" s="4">
        <f>P396*(1+I396)*(1+DELIV)*(1+GROWTH+MONEY)</f>
        <v/>
      </c>
      <c r="R396" s="4">
        <f>IF(AND(K396&lt;&gt;"",Q396*(1+J396)&gt;K396/VAT_DIV),K396/VAT_DIV,Q396*(1+J396))</f>
        <v/>
      </c>
      <c r="S396" s="4">
        <f>Q396*F396</f>
        <v/>
      </c>
      <c r="T396" s="4">
        <f>R396*F396</f>
        <v/>
      </c>
      <c r="U396" s="3">
        <f>IF(AND(K396&lt;&gt;"",Q396*(1+J396)&gt;K396/VAT_DIV+0.01),"ДА","")</f>
        <v/>
      </c>
      <c r="V396" s="4">
        <f>P396*F396</f>
        <v/>
      </c>
    </row>
    <row r="397" ht="20" customHeight="1">
      <c r="A397" s="9" t="inlineStr">
        <is>
          <t>367. Муфта полипропиленовая комбинированная с внутренней резьбой 25*1/2"</t>
        </is>
      </c>
      <c r="B397" s="13" t="inlineStr">
        <is>
          <t>Труба ПП d25</t>
        </is>
      </c>
      <c r="C397" s="9" t="inlineStr">
        <is>
          <t>Трубы и фитинги ВиК, отопления</t>
        </is>
      </c>
      <c r="D397" s="9" t="inlineStr">
        <is>
          <t>м</t>
        </is>
      </c>
      <c r="E397" s="10" t="n">
        <v>1</v>
      </c>
      <c r="F397" s="4">
        <f>E397*IFERROR(INDEX(Работы!$D$4:$D$672,MATCH(SUBSTITUTE(SUBSTITUTE(SUBSTITUTE(A397,"~","~~"),"*","~*"),"?","~?"),Работы!$B$4:$B$672,0)),0)</f>
        <v/>
      </c>
      <c r="G397" s="10" t="n">
        <v>85</v>
      </c>
      <c r="H397" s="14" t="n">
        <v>1</v>
      </c>
      <c r="I397" s="11" t="n">
        <v>0.04</v>
      </c>
      <c r="J397" s="11" t="n">
        <v>0.12</v>
      </c>
      <c r="K397" s="10" t="n"/>
      <c r="L397" s="9" t="inlineStr">
        <is>
          <t>Петрович</t>
        </is>
      </c>
      <c r="M397" s="9" t="inlineStr">
        <is>
          <t>https://moscow.petrovich.ru/product/1154066/</t>
        </is>
      </c>
      <c r="N397" s="9" t="inlineStr">
        <is>
          <t>2026-10-29</t>
        </is>
      </c>
      <c r="O397" s="13" t="inlineStr">
        <is>
          <t>Якорь Петрович Lammin PN25 d25 = 85 руб/м (Лемана ПРО 85,5). Остальные диаметры — прежний коэффициент к d25.</t>
        </is>
      </c>
      <c r="P397" s="4">
        <f>IF(H397=1,G397/VAT_DIV,G397)</f>
        <v/>
      </c>
      <c r="Q397" s="4">
        <f>P397*(1+I397)*(1+DELIV)*(1+GROWTH+MONEY)</f>
        <v/>
      </c>
      <c r="R397" s="4">
        <f>IF(AND(K397&lt;&gt;"",Q397*(1+J397)&gt;K397/VAT_DIV),K397/VAT_DIV,Q397*(1+J397))</f>
        <v/>
      </c>
      <c r="S397" s="4">
        <f>Q397*F397</f>
        <v/>
      </c>
      <c r="T397" s="4">
        <f>R397*F397</f>
        <v/>
      </c>
      <c r="U397" s="3">
        <f>IF(AND(K397&lt;&gt;"",Q397*(1+J397)&gt;K397/VAT_DIV+0.01),"ДА","")</f>
        <v/>
      </c>
      <c r="V397" s="4">
        <f>P397*F397</f>
        <v/>
      </c>
    </row>
    <row r="398" ht="20" customHeight="1">
      <c r="A398" s="9" t="inlineStr">
        <is>
          <t>368. Муфта полипропиленовая комбинированная с внутренней резьбой 25*3/4"</t>
        </is>
      </c>
      <c r="B398" s="13" t="inlineStr">
        <is>
          <t>Труба ПП d25</t>
        </is>
      </c>
      <c r="C398" s="9" t="inlineStr">
        <is>
          <t>Трубы и фитинги ВиК, отопления</t>
        </is>
      </c>
      <c r="D398" s="9" t="inlineStr">
        <is>
          <t>м</t>
        </is>
      </c>
      <c r="E398" s="10" t="n">
        <v>1</v>
      </c>
      <c r="F398" s="4">
        <f>E398*IFERROR(INDEX(Работы!$D$4:$D$672,MATCH(SUBSTITUTE(SUBSTITUTE(SUBSTITUTE(A398,"~","~~"),"*","~*"),"?","~?"),Работы!$B$4:$B$672,0)),0)</f>
        <v/>
      </c>
      <c r="G398" s="10" t="n">
        <v>85</v>
      </c>
      <c r="H398" s="14" t="n">
        <v>1</v>
      </c>
      <c r="I398" s="11" t="n">
        <v>0.04</v>
      </c>
      <c r="J398" s="11" t="n">
        <v>0.12</v>
      </c>
      <c r="K398" s="10" t="n"/>
      <c r="L398" s="9" t="inlineStr">
        <is>
          <t>Петрович</t>
        </is>
      </c>
      <c r="M398" s="9" t="inlineStr">
        <is>
          <t>https://moscow.petrovich.ru/product/1154066/</t>
        </is>
      </c>
      <c r="N398" s="9" t="inlineStr">
        <is>
          <t>2026-10-29</t>
        </is>
      </c>
      <c r="O398" s="13" t="inlineStr">
        <is>
          <t>Якорь Петрович Lammin PN25 d25 = 85 руб/м (Лемана ПРО 85,5). Остальные диаметры — прежний коэффициент к d25.</t>
        </is>
      </c>
      <c r="P398" s="4">
        <f>IF(H398=1,G398/VAT_DIV,G398)</f>
        <v/>
      </c>
      <c r="Q398" s="4">
        <f>P398*(1+I398)*(1+DELIV)*(1+GROWTH+MONEY)</f>
        <v/>
      </c>
      <c r="R398" s="4">
        <f>IF(AND(K398&lt;&gt;"",Q398*(1+J398)&gt;K398/VAT_DIV),K398/VAT_DIV,Q398*(1+J398))</f>
        <v/>
      </c>
      <c r="S398" s="4">
        <f>Q398*F398</f>
        <v/>
      </c>
      <c r="T398" s="4">
        <f>R398*F398</f>
        <v/>
      </c>
      <c r="U398" s="3">
        <f>IF(AND(K398&lt;&gt;"",Q398*(1+J398)&gt;K398/VAT_DIV+0.01),"ДА","")</f>
        <v/>
      </c>
      <c r="V398" s="4">
        <f>P398*F398</f>
        <v/>
      </c>
    </row>
    <row r="399" ht="20" customHeight="1">
      <c r="A399" s="9" t="inlineStr">
        <is>
          <t>369. Муфта полипропиленовая комбинированная с внутренней резьбой 32*3/4"</t>
        </is>
      </c>
      <c r="B399" s="13" t="inlineStr">
        <is>
          <t>Труба ПП d32</t>
        </is>
      </c>
      <c r="C399" s="9" t="inlineStr">
        <is>
          <t>Трубы и фитинги ВиК, отопления</t>
        </is>
      </c>
      <c r="D399" s="9" t="inlineStr">
        <is>
          <t>м</t>
        </is>
      </c>
      <c r="E399" s="10" t="n">
        <v>1</v>
      </c>
      <c r="F399" s="4">
        <f>E399*IFERROR(INDEX(Работы!$D$4:$D$672,MATCH(SUBSTITUTE(SUBSTITUTE(SUBSTITUTE(A399,"~","~~"),"*","~*"),"?","~?"),Работы!$B$4:$B$672,0)),0)</f>
        <v/>
      </c>
      <c r="G399" s="10" t="n">
        <v>120.1</v>
      </c>
      <c r="H399" s="14" t="n">
        <v>1</v>
      </c>
      <c r="I399" s="11" t="n">
        <v>0.04</v>
      </c>
      <c r="J399" s="11" t="n">
        <v>0.12</v>
      </c>
      <c r="K399" s="10" t="n"/>
      <c r="L399" s="9" t="inlineStr">
        <is>
          <t>Петрович</t>
        </is>
      </c>
      <c r="M399" s="9" t="inlineStr">
        <is>
          <t>https://moscow.petrovich.ru/product/1154066/</t>
        </is>
      </c>
      <c r="N399" s="9" t="inlineStr">
        <is>
          <t>2026-10-29</t>
        </is>
      </c>
      <c r="O399" s="13" t="inlineStr">
        <is>
          <t>Якорь Петрович Lammin PN25 d25 = 85 руб/м (Лемана ПРО 85,5). Остальные диаметры — прежний коэффициент к d25.</t>
        </is>
      </c>
      <c r="P399" s="4">
        <f>IF(H399=1,G399/VAT_DIV,G399)</f>
        <v/>
      </c>
      <c r="Q399" s="4">
        <f>P399*(1+I399)*(1+DELIV)*(1+GROWTH+MONEY)</f>
        <v/>
      </c>
      <c r="R399" s="4">
        <f>IF(AND(K399&lt;&gt;"",Q399*(1+J399)&gt;K399/VAT_DIV),K399/VAT_DIV,Q399*(1+J399))</f>
        <v/>
      </c>
      <c r="S399" s="4">
        <f>Q399*F399</f>
        <v/>
      </c>
      <c r="T399" s="4">
        <f>R399*F399</f>
        <v/>
      </c>
      <c r="U399" s="3">
        <f>IF(AND(K399&lt;&gt;"",Q399*(1+J399)&gt;K399/VAT_DIV+0.01),"ДА","")</f>
        <v/>
      </c>
      <c r="V399" s="4">
        <f>P399*F399</f>
        <v/>
      </c>
    </row>
    <row r="400" ht="20" customHeight="1">
      <c r="A400" s="9" t="inlineStr">
        <is>
          <t>370. Муфта полипропиленовая комбинированная с внутренней резьбой 32*1"</t>
        </is>
      </c>
      <c r="B400" s="13" t="inlineStr">
        <is>
          <t>Труба ПП d32</t>
        </is>
      </c>
      <c r="C400" s="9" t="inlineStr">
        <is>
          <t>Трубы и фитинги ВиК, отопления</t>
        </is>
      </c>
      <c r="D400" s="9" t="inlineStr">
        <is>
          <t>м</t>
        </is>
      </c>
      <c r="E400" s="10" t="n">
        <v>1</v>
      </c>
      <c r="F400" s="4">
        <f>E400*IFERROR(INDEX(Работы!$D$4:$D$672,MATCH(SUBSTITUTE(SUBSTITUTE(SUBSTITUTE(A400,"~","~~"),"*","~*"),"?","~?"),Работы!$B$4:$B$672,0)),0)</f>
        <v/>
      </c>
      <c r="G400" s="10" t="n">
        <v>120.1</v>
      </c>
      <c r="H400" s="14" t="n">
        <v>1</v>
      </c>
      <c r="I400" s="11" t="n">
        <v>0.04</v>
      </c>
      <c r="J400" s="11" t="n">
        <v>0.12</v>
      </c>
      <c r="K400" s="10" t="n"/>
      <c r="L400" s="9" t="inlineStr">
        <is>
          <t>Петрович</t>
        </is>
      </c>
      <c r="M400" s="9" t="inlineStr">
        <is>
          <t>https://moscow.petrovich.ru/product/1154066/</t>
        </is>
      </c>
      <c r="N400" s="9" t="inlineStr">
        <is>
          <t>2026-10-29</t>
        </is>
      </c>
      <c r="O400" s="13" t="inlineStr">
        <is>
          <t>Якорь Петрович Lammin PN25 d25 = 85 руб/м (Лемана ПРО 85,5). Остальные диаметры — прежний коэффициент к d25.</t>
        </is>
      </c>
      <c r="P400" s="4">
        <f>IF(H400=1,G400/VAT_DIV,G400)</f>
        <v/>
      </c>
      <c r="Q400" s="4">
        <f>P400*(1+I400)*(1+DELIV)*(1+GROWTH+MONEY)</f>
        <v/>
      </c>
      <c r="R400" s="4">
        <f>IF(AND(K400&lt;&gt;"",Q400*(1+J400)&gt;K400/VAT_DIV),K400/VAT_DIV,Q400*(1+J400))</f>
        <v/>
      </c>
      <c r="S400" s="4">
        <f>Q400*F400</f>
        <v/>
      </c>
      <c r="T400" s="4">
        <f>R400*F400</f>
        <v/>
      </c>
      <c r="U400" s="3">
        <f>IF(AND(K400&lt;&gt;"",Q400*(1+J400)&gt;K400/VAT_DIV+0.01),"ДА","")</f>
        <v/>
      </c>
      <c r="V400" s="4">
        <f>P400*F400</f>
        <v/>
      </c>
    </row>
    <row r="401" ht="20" customHeight="1">
      <c r="A401" s="9" t="inlineStr">
        <is>
          <t>371. Муфта полипропиленовая комбинированная с наружной резьбой 20*1/2"</t>
        </is>
      </c>
      <c r="B401" s="13" t="inlineStr">
        <is>
          <t>Труба ПП d20</t>
        </is>
      </c>
      <c r="C401" s="9" t="inlineStr">
        <is>
          <t>Трубы и фитинги ВиК, отопления</t>
        </is>
      </c>
      <c r="D401" s="9" t="inlineStr">
        <is>
          <t>м</t>
        </is>
      </c>
      <c r="E401" s="10" t="n">
        <v>1</v>
      </c>
      <c r="F401" s="4">
        <f>E401*IFERROR(INDEX(Работы!$D$4:$D$672,MATCH(SUBSTITUTE(SUBSTITUTE(SUBSTITUTE(A401,"~","~~"),"*","~*"),"?","~?"),Работы!$B$4:$B$672,0)),0)</f>
        <v/>
      </c>
      <c r="G401" s="10" t="n">
        <v>62.19</v>
      </c>
      <c r="H401" s="14" t="n">
        <v>1</v>
      </c>
      <c r="I401" s="11" t="n">
        <v>0.04</v>
      </c>
      <c r="J401" s="11" t="n">
        <v>0.12</v>
      </c>
      <c r="K401" s="10" t="n"/>
      <c r="L401" s="9" t="inlineStr">
        <is>
          <t>Петрович</t>
        </is>
      </c>
      <c r="M401" s="9" t="inlineStr">
        <is>
          <t>https://moscow.petrovich.ru/product/1154066/</t>
        </is>
      </c>
      <c r="N401" s="9" t="inlineStr">
        <is>
          <t>2026-10-29</t>
        </is>
      </c>
      <c r="O401" s="13" t="inlineStr">
        <is>
          <t>Якорь Петрович Lammin PN25 d25 = 85 руб/м (Лемана ПРО 85,5). Остальные диаметры — прежний коэффициент к d25.</t>
        </is>
      </c>
      <c r="P401" s="4">
        <f>IF(H401=1,G401/VAT_DIV,G401)</f>
        <v/>
      </c>
      <c r="Q401" s="4">
        <f>P401*(1+I401)*(1+DELIV)*(1+GROWTH+MONEY)</f>
        <v/>
      </c>
      <c r="R401" s="4">
        <f>IF(AND(K401&lt;&gt;"",Q401*(1+J401)&gt;K401/VAT_DIV),K401/VAT_DIV,Q401*(1+J401))</f>
        <v/>
      </c>
      <c r="S401" s="4">
        <f>Q401*F401</f>
        <v/>
      </c>
      <c r="T401" s="4">
        <f>R401*F401</f>
        <v/>
      </c>
      <c r="U401" s="3">
        <f>IF(AND(K401&lt;&gt;"",Q401*(1+J401)&gt;K401/VAT_DIV+0.01),"ДА","")</f>
        <v/>
      </c>
      <c r="V401" s="4">
        <f>P401*F401</f>
        <v/>
      </c>
    </row>
    <row r="402" ht="20" customHeight="1">
      <c r="A402" s="9" t="inlineStr">
        <is>
          <t>372. Муфта полипропиленовая комбинированная с наружной резьбой 20*3/4"</t>
        </is>
      </c>
      <c r="B402" s="13" t="inlineStr">
        <is>
          <t>Труба ПП d20</t>
        </is>
      </c>
      <c r="C402" s="9" t="inlineStr">
        <is>
          <t>Трубы и фитинги ВиК, отопления</t>
        </is>
      </c>
      <c r="D402" s="9" t="inlineStr">
        <is>
          <t>м</t>
        </is>
      </c>
      <c r="E402" s="10" t="n">
        <v>1</v>
      </c>
      <c r="F402" s="4">
        <f>E402*IFERROR(INDEX(Работы!$D$4:$D$672,MATCH(SUBSTITUTE(SUBSTITUTE(SUBSTITUTE(A402,"~","~~"),"*","~*"),"?","~?"),Работы!$B$4:$B$672,0)),0)</f>
        <v/>
      </c>
      <c r="G402" s="10" t="n">
        <v>62.19</v>
      </c>
      <c r="H402" s="14" t="n">
        <v>1</v>
      </c>
      <c r="I402" s="11" t="n">
        <v>0.04</v>
      </c>
      <c r="J402" s="11" t="n">
        <v>0.12</v>
      </c>
      <c r="K402" s="10" t="n"/>
      <c r="L402" s="9" t="inlineStr">
        <is>
          <t>Петрович</t>
        </is>
      </c>
      <c r="M402" s="9" t="inlineStr">
        <is>
          <t>https://moscow.petrovich.ru/product/1154066/</t>
        </is>
      </c>
      <c r="N402" s="9" t="inlineStr">
        <is>
          <t>2026-10-29</t>
        </is>
      </c>
      <c r="O402" s="13" t="inlineStr">
        <is>
          <t>Якорь Петрович Lammin PN25 d25 = 85 руб/м (Лемана ПРО 85,5). Остальные диаметры — прежний коэффициент к d25.</t>
        </is>
      </c>
      <c r="P402" s="4">
        <f>IF(H402=1,G402/VAT_DIV,G402)</f>
        <v/>
      </c>
      <c r="Q402" s="4">
        <f>P402*(1+I402)*(1+DELIV)*(1+GROWTH+MONEY)</f>
        <v/>
      </c>
      <c r="R402" s="4">
        <f>IF(AND(K402&lt;&gt;"",Q402*(1+J402)&gt;K402/VAT_DIV),K402/VAT_DIV,Q402*(1+J402))</f>
        <v/>
      </c>
      <c r="S402" s="4">
        <f>Q402*F402</f>
        <v/>
      </c>
      <c r="T402" s="4">
        <f>R402*F402</f>
        <v/>
      </c>
      <c r="U402" s="3">
        <f>IF(AND(K402&lt;&gt;"",Q402*(1+J402)&gt;K402/VAT_DIV+0.01),"ДА","")</f>
        <v/>
      </c>
      <c r="V402" s="4">
        <f>P402*F402</f>
        <v/>
      </c>
    </row>
    <row r="403" ht="20" customHeight="1">
      <c r="A403" s="9" t="inlineStr">
        <is>
          <t>373. Муфта полипропиленовая комбинированная с наружной резьбой 25*1/2"</t>
        </is>
      </c>
      <c r="B403" s="13" t="inlineStr">
        <is>
          <t>Труба ПП d25</t>
        </is>
      </c>
      <c r="C403" s="9" t="inlineStr">
        <is>
          <t>Трубы и фитинги ВиК, отопления</t>
        </is>
      </c>
      <c r="D403" s="9" t="inlineStr">
        <is>
          <t>м</t>
        </is>
      </c>
      <c r="E403" s="10" t="n">
        <v>1</v>
      </c>
      <c r="F403" s="4">
        <f>E403*IFERROR(INDEX(Работы!$D$4:$D$672,MATCH(SUBSTITUTE(SUBSTITUTE(SUBSTITUTE(A403,"~","~~"),"*","~*"),"?","~?"),Работы!$B$4:$B$672,0)),0)</f>
        <v/>
      </c>
      <c r="G403" s="10" t="n">
        <v>85</v>
      </c>
      <c r="H403" s="14" t="n">
        <v>1</v>
      </c>
      <c r="I403" s="11" t="n">
        <v>0.04</v>
      </c>
      <c r="J403" s="11" t="n">
        <v>0.12</v>
      </c>
      <c r="K403" s="10" t="n"/>
      <c r="L403" s="9" t="inlineStr">
        <is>
          <t>Петрович</t>
        </is>
      </c>
      <c r="M403" s="9" t="inlineStr">
        <is>
          <t>https://moscow.petrovich.ru/product/1154066/</t>
        </is>
      </c>
      <c r="N403" s="9" t="inlineStr">
        <is>
          <t>2026-10-29</t>
        </is>
      </c>
      <c r="O403" s="13" t="inlineStr">
        <is>
          <t>Якорь Петрович Lammin PN25 d25 = 85 руб/м (Лемана ПРО 85,5). Остальные диаметры — прежний коэффициент к d25.</t>
        </is>
      </c>
      <c r="P403" s="4">
        <f>IF(H403=1,G403/VAT_DIV,G403)</f>
        <v/>
      </c>
      <c r="Q403" s="4">
        <f>P403*(1+I403)*(1+DELIV)*(1+GROWTH+MONEY)</f>
        <v/>
      </c>
      <c r="R403" s="4">
        <f>IF(AND(K403&lt;&gt;"",Q403*(1+J403)&gt;K403/VAT_DIV),K403/VAT_DIV,Q403*(1+J403))</f>
        <v/>
      </c>
      <c r="S403" s="4">
        <f>Q403*F403</f>
        <v/>
      </c>
      <c r="T403" s="4">
        <f>R403*F403</f>
        <v/>
      </c>
      <c r="U403" s="3">
        <f>IF(AND(K403&lt;&gt;"",Q403*(1+J403)&gt;K403/VAT_DIV+0.01),"ДА","")</f>
        <v/>
      </c>
      <c r="V403" s="4">
        <f>P403*F403</f>
        <v/>
      </c>
    </row>
    <row r="404" ht="20" customHeight="1">
      <c r="A404" s="9" t="inlineStr">
        <is>
          <t>374. Муфта полипропиленовая комбинированная с наружной резьбой 25*3/4"</t>
        </is>
      </c>
      <c r="B404" s="13" t="inlineStr">
        <is>
          <t>Труба ПП d25</t>
        </is>
      </c>
      <c r="C404" s="9" t="inlineStr">
        <is>
          <t>Трубы и фитинги ВиК, отопления</t>
        </is>
      </c>
      <c r="D404" s="9" t="inlineStr">
        <is>
          <t>м</t>
        </is>
      </c>
      <c r="E404" s="10" t="n">
        <v>1</v>
      </c>
      <c r="F404" s="4">
        <f>E404*IFERROR(INDEX(Работы!$D$4:$D$672,MATCH(SUBSTITUTE(SUBSTITUTE(SUBSTITUTE(A404,"~","~~"),"*","~*"),"?","~?"),Работы!$B$4:$B$672,0)),0)</f>
        <v/>
      </c>
      <c r="G404" s="10" t="n">
        <v>85</v>
      </c>
      <c r="H404" s="14" t="n">
        <v>1</v>
      </c>
      <c r="I404" s="11" t="n">
        <v>0.04</v>
      </c>
      <c r="J404" s="11" t="n">
        <v>0.12</v>
      </c>
      <c r="K404" s="10" t="n"/>
      <c r="L404" s="9" t="inlineStr">
        <is>
          <t>Петрович</t>
        </is>
      </c>
      <c r="M404" s="9" t="inlineStr">
        <is>
          <t>https://moscow.petrovich.ru/product/1154066/</t>
        </is>
      </c>
      <c r="N404" s="9" t="inlineStr">
        <is>
          <t>2026-10-29</t>
        </is>
      </c>
      <c r="O404" s="13" t="inlineStr">
        <is>
          <t>Якорь Петрович Lammin PN25 d25 = 85 руб/м (Лемана ПРО 85,5). Остальные диаметры — прежний коэффициент к d25.</t>
        </is>
      </c>
      <c r="P404" s="4">
        <f>IF(H404=1,G404/VAT_DIV,G404)</f>
        <v/>
      </c>
      <c r="Q404" s="4">
        <f>P404*(1+I404)*(1+DELIV)*(1+GROWTH+MONEY)</f>
        <v/>
      </c>
      <c r="R404" s="4">
        <f>IF(AND(K404&lt;&gt;"",Q404*(1+J404)&gt;K404/VAT_DIV),K404/VAT_DIV,Q404*(1+J404))</f>
        <v/>
      </c>
      <c r="S404" s="4">
        <f>Q404*F404</f>
        <v/>
      </c>
      <c r="T404" s="4">
        <f>R404*F404</f>
        <v/>
      </c>
      <c r="U404" s="3">
        <f>IF(AND(K404&lt;&gt;"",Q404*(1+J404)&gt;K404/VAT_DIV+0.01),"ДА","")</f>
        <v/>
      </c>
      <c r="V404" s="4">
        <f>P404*F404</f>
        <v/>
      </c>
    </row>
    <row r="405" ht="20" customHeight="1">
      <c r="A405" s="9" t="inlineStr">
        <is>
          <t>375. Муфта полипропиленовая комбинированная с наружной резьбой 32*3/4"</t>
        </is>
      </c>
      <c r="B405" s="13" t="inlineStr">
        <is>
          <t>Труба ПП d32</t>
        </is>
      </c>
      <c r="C405" s="9" t="inlineStr">
        <is>
          <t>Трубы и фитинги ВиК, отопления</t>
        </is>
      </c>
      <c r="D405" s="9" t="inlineStr">
        <is>
          <t>м</t>
        </is>
      </c>
      <c r="E405" s="10" t="n">
        <v>1</v>
      </c>
      <c r="F405" s="4">
        <f>E405*IFERROR(INDEX(Работы!$D$4:$D$672,MATCH(SUBSTITUTE(SUBSTITUTE(SUBSTITUTE(A405,"~","~~"),"*","~*"),"?","~?"),Работы!$B$4:$B$672,0)),0)</f>
        <v/>
      </c>
      <c r="G405" s="10" t="n">
        <v>120.1</v>
      </c>
      <c r="H405" s="14" t="n">
        <v>1</v>
      </c>
      <c r="I405" s="11" t="n">
        <v>0.04</v>
      </c>
      <c r="J405" s="11" t="n">
        <v>0.12</v>
      </c>
      <c r="K405" s="10" t="n"/>
      <c r="L405" s="9" t="inlineStr">
        <is>
          <t>Петрович</t>
        </is>
      </c>
      <c r="M405" s="9" t="inlineStr">
        <is>
          <t>https://moscow.petrovich.ru/product/1154066/</t>
        </is>
      </c>
      <c r="N405" s="9" t="inlineStr">
        <is>
          <t>2026-10-29</t>
        </is>
      </c>
      <c r="O405" s="13" t="inlineStr">
        <is>
          <t>Якорь Петрович Lammin PN25 d25 = 85 руб/м (Лемана ПРО 85,5). Остальные диаметры — прежний коэффициент к d25.</t>
        </is>
      </c>
      <c r="P405" s="4">
        <f>IF(H405=1,G405/VAT_DIV,G405)</f>
        <v/>
      </c>
      <c r="Q405" s="4">
        <f>P405*(1+I405)*(1+DELIV)*(1+GROWTH+MONEY)</f>
        <v/>
      </c>
      <c r="R405" s="4">
        <f>IF(AND(K405&lt;&gt;"",Q405*(1+J405)&gt;K405/VAT_DIV),K405/VAT_DIV,Q405*(1+J405))</f>
        <v/>
      </c>
      <c r="S405" s="4">
        <f>Q405*F405</f>
        <v/>
      </c>
      <c r="T405" s="4">
        <f>R405*F405</f>
        <v/>
      </c>
      <c r="U405" s="3">
        <f>IF(AND(K405&lt;&gt;"",Q405*(1+J405)&gt;K405/VAT_DIV+0.01),"ДА","")</f>
        <v/>
      </c>
      <c r="V405" s="4">
        <f>P405*F405</f>
        <v/>
      </c>
    </row>
    <row r="406" ht="20" customHeight="1">
      <c r="A406" s="9" t="inlineStr">
        <is>
          <t>376. Муфта полипропиленовая комбинированная с наружной резьбой 32*1"</t>
        </is>
      </c>
      <c r="B406" s="13" t="inlineStr">
        <is>
          <t>Труба ПП d32</t>
        </is>
      </c>
      <c r="C406" s="9" t="inlineStr">
        <is>
          <t>Трубы и фитинги ВиК, отопления</t>
        </is>
      </c>
      <c r="D406" s="9" t="inlineStr">
        <is>
          <t>м</t>
        </is>
      </c>
      <c r="E406" s="10" t="n">
        <v>1</v>
      </c>
      <c r="F406" s="4">
        <f>E406*IFERROR(INDEX(Работы!$D$4:$D$672,MATCH(SUBSTITUTE(SUBSTITUTE(SUBSTITUTE(A406,"~","~~"),"*","~*"),"?","~?"),Работы!$B$4:$B$672,0)),0)</f>
        <v/>
      </c>
      <c r="G406" s="10" t="n">
        <v>120.1</v>
      </c>
      <c r="H406" s="14" t="n">
        <v>1</v>
      </c>
      <c r="I406" s="11" t="n">
        <v>0.04</v>
      </c>
      <c r="J406" s="11" t="n">
        <v>0.12</v>
      </c>
      <c r="K406" s="10" t="n"/>
      <c r="L406" s="9" t="inlineStr">
        <is>
          <t>Петрович</t>
        </is>
      </c>
      <c r="M406" s="9" t="inlineStr">
        <is>
          <t>https://moscow.petrovich.ru/product/1154066/</t>
        </is>
      </c>
      <c r="N406" s="9" t="inlineStr">
        <is>
          <t>2026-10-29</t>
        </is>
      </c>
      <c r="O406" s="13" t="inlineStr">
        <is>
          <t>Якорь Петрович Lammin PN25 d25 = 85 руб/м (Лемана ПРО 85,5). Остальные диаметры — прежний коэффициент к d25.</t>
        </is>
      </c>
      <c r="P406" s="4">
        <f>IF(H406=1,G406/VAT_DIV,G406)</f>
        <v/>
      </c>
      <c r="Q406" s="4">
        <f>P406*(1+I406)*(1+DELIV)*(1+GROWTH+MONEY)</f>
        <v/>
      </c>
      <c r="R406" s="4">
        <f>IF(AND(K406&lt;&gt;"",Q406*(1+J406)&gt;K406/VAT_DIV),K406/VAT_DIV,Q406*(1+J406))</f>
        <v/>
      </c>
      <c r="S406" s="4">
        <f>Q406*F406</f>
        <v/>
      </c>
      <c r="T406" s="4">
        <f>R406*F406</f>
        <v/>
      </c>
      <c r="U406" s="3">
        <f>IF(AND(K406&lt;&gt;"",Q406*(1+J406)&gt;K406/VAT_DIV+0.01),"ДА","")</f>
        <v/>
      </c>
      <c r="V406" s="4">
        <f>P406*F406</f>
        <v/>
      </c>
    </row>
    <row r="407" ht="20" customHeight="1">
      <c r="A407" s="9" t="inlineStr">
        <is>
          <t>377. Муфта полипропиленовая с накидной гайкой20*1/2"</t>
        </is>
      </c>
      <c r="B407" s="13" t="inlineStr">
        <is>
          <t>Труба ПП d20</t>
        </is>
      </c>
      <c r="C407" s="9" t="inlineStr">
        <is>
          <t>Трубы и фитинги ВиК, отопления</t>
        </is>
      </c>
      <c r="D407" s="9" t="inlineStr">
        <is>
          <t>м</t>
        </is>
      </c>
      <c r="E407" s="10" t="n">
        <v>1</v>
      </c>
      <c r="F407" s="4">
        <f>E407*IFERROR(INDEX(Работы!$D$4:$D$672,MATCH(SUBSTITUTE(SUBSTITUTE(SUBSTITUTE(A407,"~","~~"),"*","~*"),"?","~?"),Работы!$B$4:$B$672,0)),0)</f>
        <v/>
      </c>
      <c r="G407" s="10" t="n">
        <v>62.19</v>
      </c>
      <c r="H407" s="14" t="n">
        <v>1</v>
      </c>
      <c r="I407" s="11" t="n">
        <v>0.04</v>
      </c>
      <c r="J407" s="11" t="n">
        <v>0.12</v>
      </c>
      <c r="K407" s="10" t="n"/>
      <c r="L407" s="9" t="inlineStr">
        <is>
          <t>Петрович</t>
        </is>
      </c>
      <c r="M407" s="9" t="inlineStr">
        <is>
          <t>https://moscow.petrovich.ru/product/1154066/</t>
        </is>
      </c>
      <c r="N407" s="9" t="inlineStr">
        <is>
          <t>2026-10-29</t>
        </is>
      </c>
      <c r="O407" s="13" t="inlineStr">
        <is>
          <t>Якорь Петрович Lammin PN25 d25 = 85 руб/м (Лемана ПРО 85,5). Остальные диаметры — прежний коэффициент к d25.</t>
        </is>
      </c>
      <c r="P407" s="4">
        <f>IF(H407=1,G407/VAT_DIV,G407)</f>
        <v/>
      </c>
      <c r="Q407" s="4">
        <f>P407*(1+I407)*(1+DELIV)*(1+GROWTH+MONEY)</f>
        <v/>
      </c>
      <c r="R407" s="4">
        <f>IF(AND(K407&lt;&gt;"",Q407*(1+J407)&gt;K407/VAT_DIV),K407/VAT_DIV,Q407*(1+J407))</f>
        <v/>
      </c>
      <c r="S407" s="4">
        <f>Q407*F407</f>
        <v/>
      </c>
      <c r="T407" s="4">
        <f>R407*F407</f>
        <v/>
      </c>
      <c r="U407" s="3">
        <f>IF(AND(K407&lt;&gt;"",Q407*(1+J407)&gt;K407/VAT_DIV+0.01),"ДА","")</f>
        <v/>
      </c>
      <c r="V407" s="4">
        <f>P407*F407</f>
        <v/>
      </c>
    </row>
    <row r="408" ht="20" customHeight="1">
      <c r="A408" s="9" t="inlineStr">
        <is>
          <t>378. Муфта полипропиленовая с накидной гайкой 20*3/4"</t>
        </is>
      </c>
      <c r="B408" s="13" t="inlineStr">
        <is>
          <t>Труба ПП d20</t>
        </is>
      </c>
      <c r="C408" s="9" t="inlineStr">
        <is>
          <t>Трубы и фитинги ВиК, отопления</t>
        </is>
      </c>
      <c r="D408" s="9" t="inlineStr">
        <is>
          <t>м</t>
        </is>
      </c>
      <c r="E408" s="10" t="n">
        <v>1</v>
      </c>
      <c r="F408" s="4">
        <f>E408*IFERROR(INDEX(Работы!$D$4:$D$672,MATCH(SUBSTITUTE(SUBSTITUTE(SUBSTITUTE(A408,"~","~~"),"*","~*"),"?","~?"),Работы!$B$4:$B$672,0)),0)</f>
        <v/>
      </c>
      <c r="G408" s="10" t="n">
        <v>62.19</v>
      </c>
      <c r="H408" s="14" t="n">
        <v>1</v>
      </c>
      <c r="I408" s="11" t="n">
        <v>0.04</v>
      </c>
      <c r="J408" s="11" t="n">
        <v>0.12</v>
      </c>
      <c r="K408" s="10" t="n"/>
      <c r="L408" s="9" t="inlineStr">
        <is>
          <t>Петрович</t>
        </is>
      </c>
      <c r="M408" s="9" t="inlineStr">
        <is>
          <t>https://moscow.petrovich.ru/product/1154066/</t>
        </is>
      </c>
      <c r="N408" s="9" t="inlineStr">
        <is>
          <t>2026-10-29</t>
        </is>
      </c>
      <c r="O408" s="13" t="inlineStr">
        <is>
          <t>Якорь Петрович Lammin PN25 d25 = 85 руб/м (Лемана ПРО 85,5). Остальные диаметры — прежний коэффициент к d25.</t>
        </is>
      </c>
      <c r="P408" s="4">
        <f>IF(H408=1,G408/VAT_DIV,G408)</f>
        <v/>
      </c>
      <c r="Q408" s="4">
        <f>P408*(1+I408)*(1+DELIV)*(1+GROWTH+MONEY)</f>
        <v/>
      </c>
      <c r="R408" s="4">
        <f>IF(AND(K408&lt;&gt;"",Q408*(1+J408)&gt;K408/VAT_DIV),K408/VAT_DIV,Q408*(1+J408))</f>
        <v/>
      </c>
      <c r="S408" s="4">
        <f>Q408*F408</f>
        <v/>
      </c>
      <c r="T408" s="4">
        <f>R408*F408</f>
        <v/>
      </c>
      <c r="U408" s="3">
        <f>IF(AND(K408&lt;&gt;"",Q408*(1+J408)&gt;K408/VAT_DIV+0.01),"ДА","")</f>
        <v/>
      </c>
      <c r="V408" s="4">
        <f>P408*F408</f>
        <v/>
      </c>
    </row>
    <row r="409" ht="20" customHeight="1">
      <c r="A409" s="9" t="inlineStr">
        <is>
          <t>379. Муфта полипропиленовая с накидной гайкой 25*3/4"</t>
        </is>
      </c>
      <c r="B409" s="13" t="inlineStr">
        <is>
          <t>Труба ПП d25</t>
        </is>
      </c>
      <c r="C409" s="9" t="inlineStr">
        <is>
          <t>Трубы и фитинги ВиК, отопления</t>
        </is>
      </c>
      <c r="D409" s="9" t="inlineStr">
        <is>
          <t>м</t>
        </is>
      </c>
      <c r="E409" s="10" t="n">
        <v>1</v>
      </c>
      <c r="F409" s="4">
        <f>E409*IFERROR(INDEX(Работы!$D$4:$D$672,MATCH(SUBSTITUTE(SUBSTITUTE(SUBSTITUTE(A409,"~","~~"),"*","~*"),"?","~?"),Работы!$B$4:$B$672,0)),0)</f>
        <v/>
      </c>
      <c r="G409" s="10" t="n">
        <v>85</v>
      </c>
      <c r="H409" s="14" t="n">
        <v>1</v>
      </c>
      <c r="I409" s="11" t="n">
        <v>0.04</v>
      </c>
      <c r="J409" s="11" t="n">
        <v>0.12</v>
      </c>
      <c r="K409" s="10" t="n"/>
      <c r="L409" s="9" t="inlineStr">
        <is>
          <t>Петрович</t>
        </is>
      </c>
      <c r="M409" s="9" t="inlineStr">
        <is>
          <t>https://moscow.petrovich.ru/product/1154066/</t>
        </is>
      </c>
      <c r="N409" s="9" t="inlineStr">
        <is>
          <t>2026-10-29</t>
        </is>
      </c>
      <c r="O409" s="13" t="inlineStr">
        <is>
          <t>Якорь Петрович Lammin PN25 d25 = 85 руб/м (Лемана ПРО 85,5). Остальные диаметры — прежний коэффициент к d25.</t>
        </is>
      </c>
      <c r="P409" s="4">
        <f>IF(H409=1,G409/VAT_DIV,G409)</f>
        <v/>
      </c>
      <c r="Q409" s="4">
        <f>P409*(1+I409)*(1+DELIV)*(1+GROWTH+MONEY)</f>
        <v/>
      </c>
      <c r="R409" s="4">
        <f>IF(AND(K409&lt;&gt;"",Q409*(1+J409)&gt;K409/VAT_DIV),K409/VAT_DIV,Q409*(1+J409))</f>
        <v/>
      </c>
      <c r="S409" s="4">
        <f>Q409*F409</f>
        <v/>
      </c>
      <c r="T409" s="4">
        <f>R409*F409</f>
        <v/>
      </c>
      <c r="U409" s="3">
        <f>IF(AND(K409&lt;&gt;"",Q409*(1+J409)&gt;K409/VAT_DIV+0.01),"ДА","")</f>
        <v/>
      </c>
      <c r="V409" s="4">
        <f>P409*F409</f>
        <v/>
      </c>
    </row>
    <row r="410" ht="20" customHeight="1">
      <c r="A410" s="9" t="inlineStr">
        <is>
          <t>380. Муфта полипропиленовая с накидной гайкой 25*1"</t>
        </is>
      </c>
      <c r="B410" s="13" t="inlineStr">
        <is>
          <t>Труба ПП d25</t>
        </is>
      </c>
      <c r="C410" s="9" t="inlineStr">
        <is>
          <t>Трубы и фитинги ВиК, отопления</t>
        </is>
      </c>
      <c r="D410" s="9" t="inlineStr">
        <is>
          <t>м</t>
        </is>
      </c>
      <c r="E410" s="10" t="n">
        <v>1</v>
      </c>
      <c r="F410" s="4">
        <f>E410*IFERROR(INDEX(Работы!$D$4:$D$672,MATCH(SUBSTITUTE(SUBSTITUTE(SUBSTITUTE(A410,"~","~~"),"*","~*"),"?","~?"),Работы!$B$4:$B$672,0)),0)</f>
        <v/>
      </c>
      <c r="G410" s="10" t="n">
        <v>85</v>
      </c>
      <c r="H410" s="14" t="n">
        <v>1</v>
      </c>
      <c r="I410" s="11" t="n">
        <v>0.04</v>
      </c>
      <c r="J410" s="11" t="n">
        <v>0.12</v>
      </c>
      <c r="K410" s="10" t="n"/>
      <c r="L410" s="9" t="inlineStr">
        <is>
          <t>Петрович</t>
        </is>
      </c>
      <c r="M410" s="9" t="inlineStr">
        <is>
          <t>https://moscow.petrovich.ru/product/1154066/</t>
        </is>
      </c>
      <c r="N410" s="9" t="inlineStr">
        <is>
          <t>2026-10-29</t>
        </is>
      </c>
      <c r="O410" s="13" t="inlineStr">
        <is>
          <t>Якорь Петрович Lammin PN25 d25 = 85 руб/м (Лемана ПРО 85,5). Остальные диаметры — прежний коэффициент к d25.</t>
        </is>
      </c>
      <c r="P410" s="4">
        <f>IF(H410=1,G410/VAT_DIV,G410)</f>
        <v/>
      </c>
      <c r="Q410" s="4">
        <f>P410*(1+I410)*(1+DELIV)*(1+GROWTH+MONEY)</f>
        <v/>
      </c>
      <c r="R410" s="4">
        <f>IF(AND(K410&lt;&gt;"",Q410*(1+J410)&gt;K410/VAT_DIV),K410/VAT_DIV,Q410*(1+J410))</f>
        <v/>
      </c>
      <c r="S410" s="4">
        <f>Q410*F410</f>
        <v/>
      </c>
      <c r="T410" s="4">
        <f>R410*F410</f>
        <v/>
      </c>
      <c r="U410" s="3">
        <f>IF(AND(K410&lt;&gt;"",Q410*(1+J410)&gt;K410/VAT_DIV+0.01),"ДА","")</f>
        <v/>
      </c>
      <c r="V410" s="4">
        <f>P410*F410</f>
        <v/>
      </c>
    </row>
    <row r="411" ht="20" customHeight="1">
      <c r="A411" s="9" t="inlineStr">
        <is>
          <t>381. Муфта полипропиленовая с накидной гайкой 32*1"</t>
        </is>
      </c>
      <c r="B411" s="13" t="inlineStr">
        <is>
          <t>Труба ПП d32</t>
        </is>
      </c>
      <c r="C411" s="9" t="inlineStr">
        <is>
          <t>Трубы и фитинги ВиК, отопления</t>
        </is>
      </c>
      <c r="D411" s="9" t="inlineStr">
        <is>
          <t>м</t>
        </is>
      </c>
      <c r="E411" s="10" t="n">
        <v>1</v>
      </c>
      <c r="F411" s="4">
        <f>E411*IFERROR(INDEX(Работы!$D$4:$D$672,MATCH(SUBSTITUTE(SUBSTITUTE(SUBSTITUTE(A411,"~","~~"),"*","~*"),"?","~?"),Работы!$B$4:$B$672,0)),0)</f>
        <v/>
      </c>
      <c r="G411" s="10" t="n">
        <v>120.1</v>
      </c>
      <c r="H411" s="14" t="n">
        <v>1</v>
      </c>
      <c r="I411" s="11" t="n">
        <v>0.04</v>
      </c>
      <c r="J411" s="11" t="n">
        <v>0.12</v>
      </c>
      <c r="K411" s="10" t="n"/>
      <c r="L411" s="9" t="inlineStr">
        <is>
          <t>Петрович</t>
        </is>
      </c>
      <c r="M411" s="9" t="inlineStr">
        <is>
          <t>https://moscow.petrovich.ru/product/1154066/</t>
        </is>
      </c>
      <c r="N411" s="9" t="inlineStr">
        <is>
          <t>2026-10-29</t>
        </is>
      </c>
      <c r="O411" s="13" t="inlineStr">
        <is>
          <t>Якорь Петрович Lammin PN25 d25 = 85 руб/м (Лемана ПРО 85,5). Остальные диаметры — прежний коэффициент к d25.</t>
        </is>
      </c>
      <c r="P411" s="4">
        <f>IF(H411=1,G411/VAT_DIV,G411)</f>
        <v/>
      </c>
      <c r="Q411" s="4">
        <f>P411*(1+I411)*(1+DELIV)*(1+GROWTH+MONEY)</f>
        <v/>
      </c>
      <c r="R411" s="4">
        <f>IF(AND(K411&lt;&gt;"",Q411*(1+J411)&gt;K411/VAT_DIV),K411/VAT_DIV,Q411*(1+J411))</f>
        <v/>
      </c>
      <c r="S411" s="4">
        <f>Q411*F411</f>
        <v/>
      </c>
      <c r="T411" s="4">
        <f>R411*F411</f>
        <v/>
      </c>
      <c r="U411" s="3">
        <f>IF(AND(K411&lt;&gt;"",Q411*(1+J411)&gt;K411/VAT_DIV+0.01),"ДА","")</f>
        <v/>
      </c>
      <c r="V411" s="4">
        <f>P411*F411</f>
        <v/>
      </c>
    </row>
    <row r="412" ht="20" customHeight="1">
      <c r="A412" s="9" t="inlineStr">
        <is>
          <t>382. Муфта переходник МП 32x26</t>
        </is>
      </c>
      <c r="B412" s="13" t="inlineStr">
        <is>
          <t>Муфта переходник МП 32x26</t>
        </is>
      </c>
      <c r="C412" s="9" t="inlineStr">
        <is>
          <t>Трубы и фитинги ВиК, отопления</t>
        </is>
      </c>
      <c r="D412" s="9" t="inlineStr">
        <is>
          <t>шт</t>
        </is>
      </c>
      <c r="E412" s="10" t="n">
        <v>1</v>
      </c>
      <c r="F412" s="4">
        <f>E412*IFERROR(INDEX(Работы!$D$4:$D$672,MATCH(SUBSTITUTE(SUBSTITUTE(SUBSTITUTE(A412,"~","~~"),"*","~*"),"?","~?"),Работы!$B$4:$B$672,0)),0)</f>
        <v/>
      </c>
      <c r="G412" s="10" t="n">
        <v>260</v>
      </c>
      <c r="H412" s="14" t="n">
        <v>1</v>
      </c>
      <c r="I412" s="11" t="n">
        <v>0.04</v>
      </c>
      <c r="J412" s="11" t="n">
        <v>0.12</v>
      </c>
      <c r="K412" s="10" t="n"/>
      <c r="L412" s="9" t="inlineStr">
        <is>
          <t>оценка</t>
        </is>
      </c>
      <c r="M412" s="9" t="inlineStr"/>
      <c r="N412" s="9" t="inlineStr">
        <is>
          <t>2026-10-29</t>
        </is>
      </c>
      <c r="O412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12" s="4">
        <f>IF(H412=1,G412/VAT_DIV,G412)</f>
        <v/>
      </c>
      <c r="Q412" s="4">
        <f>P412*(1+I412)*(1+DELIV)*(1+GROWTH+MONEY)</f>
        <v/>
      </c>
      <c r="R412" s="4">
        <f>IF(AND(K412&lt;&gt;"",Q412*(1+J412)&gt;K412/VAT_DIV),K412/VAT_DIV,Q412*(1+J412))</f>
        <v/>
      </c>
      <c r="S412" s="4">
        <f>Q412*F412</f>
        <v/>
      </c>
      <c r="T412" s="4">
        <f>R412*F412</f>
        <v/>
      </c>
      <c r="U412" s="3">
        <f>IF(AND(K412&lt;&gt;"",Q412*(1+J412)&gt;K412/VAT_DIV+0.01),"ДА","")</f>
        <v/>
      </c>
      <c r="V412" s="4">
        <f>P412*F412</f>
        <v/>
      </c>
    </row>
    <row r="413" ht="20" customHeight="1">
      <c r="A413" s="9" t="inlineStr">
        <is>
          <t>383. Уголки МП d16</t>
        </is>
      </c>
      <c r="B413" s="13" t="inlineStr">
        <is>
          <t>Уголки МП d16</t>
        </is>
      </c>
      <c r="C413" s="9" t="inlineStr">
        <is>
          <t>Трубы и фитинги ВиК, отопления</t>
        </is>
      </c>
      <c r="D413" s="9" t="inlineStr">
        <is>
          <t>шт</t>
        </is>
      </c>
      <c r="E413" s="10" t="n">
        <v>1</v>
      </c>
      <c r="F413" s="4">
        <f>E413*IFERROR(INDEX(Работы!$D$4:$D$672,MATCH(SUBSTITUTE(SUBSTITUTE(SUBSTITUTE(A413,"~","~~"),"*","~*"),"?","~?"),Работы!$B$4:$B$672,0)),0)</f>
        <v/>
      </c>
      <c r="G413" s="10" t="n">
        <v>90</v>
      </c>
      <c r="H413" s="14" t="n">
        <v>1</v>
      </c>
      <c r="I413" s="11" t="n">
        <v>0.04</v>
      </c>
      <c r="J413" s="11" t="n">
        <v>0.12</v>
      </c>
      <c r="K413" s="10" t="n"/>
      <c r="L413" s="9" t="inlineStr">
        <is>
          <t>оценка</t>
        </is>
      </c>
      <c r="M413" s="9" t="inlineStr"/>
      <c r="N413" s="9" t="inlineStr">
        <is>
          <t>2026-10-29</t>
        </is>
      </c>
      <c r="O413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13" s="4">
        <f>IF(H413=1,G413/VAT_DIV,G413)</f>
        <v/>
      </c>
      <c r="Q413" s="4">
        <f>P413*(1+I413)*(1+DELIV)*(1+GROWTH+MONEY)</f>
        <v/>
      </c>
      <c r="R413" s="4">
        <f>IF(AND(K413&lt;&gt;"",Q413*(1+J413)&gt;K413/VAT_DIV),K413/VAT_DIV,Q413*(1+J413))</f>
        <v/>
      </c>
      <c r="S413" s="4">
        <f>Q413*F413</f>
        <v/>
      </c>
      <c r="T413" s="4">
        <f>R413*F413</f>
        <v/>
      </c>
      <c r="U413" s="3">
        <f>IF(AND(K413&lt;&gt;"",Q413*(1+J413)&gt;K413/VAT_DIV+0.01),"ДА","")</f>
        <v/>
      </c>
      <c r="V413" s="4">
        <f>P413*F413</f>
        <v/>
      </c>
    </row>
    <row r="414" ht="20" customHeight="1">
      <c r="A414" s="9" t="inlineStr">
        <is>
          <t>384. Уголки МП d20</t>
        </is>
      </c>
      <c r="B414" s="13" t="inlineStr">
        <is>
          <t>Уголки МП d20</t>
        </is>
      </c>
      <c r="C414" s="9" t="inlineStr">
        <is>
          <t>Трубы и фитинги ВиК, отопления</t>
        </is>
      </c>
      <c r="D414" s="9" t="inlineStr">
        <is>
          <t>шт</t>
        </is>
      </c>
      <c r="E414" s="10" t="n">
        <v>1</v>
      </c>
      <c r="F414" s="4">
        <f>E414*IFERROR(INDEX(Работы!$D$4:$D$672,MATCH(SUBSTITUTE(SUBSTITUTE(SUBSTITUTE(A414,"~","~~"),"*","~*"),"?","~?"),Работы!$B$4:$B$672,0)),0)</f>
        <v/>
      </c>
      <c r="G414" s="10" t="n">
        <v>120</v>
      </c>
      <c r="H414" s="14" t="n">
        <v>1</v>
      </c>
      <c r="I414" s="11" t="n">
        <v>0.04</v>
      </c>
      <c r="J414" s="11" t="n">
        <v>0.12</v>
      </c>
      <c r="K414" s="10" t="n"/>
      <c r="L414" s="9" t="inlineStr">
        <is>
          <t>оценка</t>
        </is>
      </c>
      <c r="M414" s="9" t="inlineStr"/>
      <c r="N414" s="9" t="inlineStr">
        <is>
          <t>2026-10-29</t>
        </is>
      </c>
      <c r="O414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14" s="4">
        <f>IF(H414=1,G414/VAT_DIV,G414)</f>
        <v/>
      </c>
      <c r="Q414" s="4">
        <f>P414*(1+I414)*(1+DELIV)*(1+GROWTH+MONEY)</f>
        <v/>
      </c>
      <c r="R414" s="4">
        <f>IF(AND(K414&lt;&gt;"",Q414*(1+J414)&gt;K414/VAT_DIV),K414/VAT_DIV,Q414*(1+J414))</f>
        <v/>
      </c>
      <c r="S414" s="4">
        <f>Q414*F414</f>
        <v/>
      </c>
      <c r="T414" s="4">
        <f>R414*F414</f>
        <v/>
      </c>
      <c r="U414" s="3">
        <f>IF(AND(K414&lt;&gt;"",Q414*(1+J414)&gt;K414/VAT_DIV+0.01),"ДА","")</f>
        <v/>
      </c>
      <c r="V414" s="4">
        <f>P414*F414</f>
        <v/>
      </c>
    </row>
    <row r="415" ht="20" customHeight="1">
      <c r="A415" s="9" t="inlineStr">
        <is>
          <t>385. Уголки МП d26</t>
        </is>
      </c>
      <c r="B415" s="13" t="inlineStr">
        <is>
          <t>Уголки МП d26</t>
        </is>
      </c>
      <c r="C415" s="9" t="inlineStr">
        <is>
          <t>Трубы и фитинги ВиК, отопления</t>
        </is>
      </c>
      <c r="D415" s="9" t="inlineStr">
        <is>
          <t>шт</t>
        </is>
      </c>
      <c r="E415" s="10" t="n">
        <v>1</v>
      </c>
      <c r="F415" s="4">
        <f>E415*IFERROR(INDEX(Работы!$D$4:$D$672,MATCH(SUBSTITUTE(SUBSTITUTE(SUBSTITUTE(A415,"~","~~"),"*","~*"),"?","~?"),Работы!$B$4:$B$672,0)),0)</f>
        <v/>
      </c>
      <c r="G415" s="10" t="n">
        <v>180</v>
      </c>
      <c r="H415" s="14" t="n">
        <v>1</v>
      </c>
      <c r="I415" s="11" t="n">
        <v>0.04</v>
      </c>
      <c r="J415" s="11" t="n">
        <v>0.12</v>
      </c>
      <c r="K415" s="10" t="n"/>
      <c r="L415" s="9" t="inlineStr">
        <is>
          <t>оценка</t>
        </is>
      </c>
      <c r="M415" s="9" t="inlineStr"/>
      <c r="N415" s="9" t="inlineStr">
        <is>
          <t>2026-10-29</t>
        </is>
      </c>
      <c r="O415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15" s="4">
        <f>IF(H415=1,G415/VAT_DIV,G415)</f>
        <v/>
      </c>
      <c r="Q415" s="4">
        <f>P415*(1+I415)*(1+DELIV)*(1+GROWTH+MONEY)</f>
        <v/>
      </c>
      <c r="R415" s="4">
        <f>IF(AND(K415&lt;&gt;"",Q415*(1+J415)&gt;K415/VAT_DIV),K415/VAT_DIV,Q415*(1+J415))</f>
        <v/>
      </c>
      <c r="S415" s="4">
        <f>Q415*F415</f>
        <v/>
      </c>
      <c r="T415" s="4">
        <f>R415*F415</f>
        <v/>
      </c>
      <c r="U415" s="3">
        <f>IF(AND(K415&lt;&gt;"",Q415*(1+J415)&gt;K415/VAT_DIV+0.01),"ДА","")</f>
        <v/>
      </c>
      <c r="V415" s="4">
        <f>P415*F415</f>
        <v/>
      </c>
    </row>
    <row r="416" ht="20" customHeight="1">
      <c r="A416" s="9" t="inlineStr">
        <is>
          <t>386. Уголки МП d32</t>
        </is>
      </c>
      <c r="B416" s="13" t="inlineStr">
        <is>
          <t>Уголки МП d32</t>
        </is>
      </c>
      <c r="C416" s="9" t="inlineStr">
        <is>
          <t>Трубы и фитинги ВиК, отопления</t>
        </is>
      </c>
      <c r="D416" s="9" t="inlineStr">
        <is>
          <t>шт</t>
        </is>
      </c>
      <c r="E416" s="10" t="n">
        <v>1</v>
      </c>
      <c r="F416" s="4">
        <f>E416*IFERROR(INDEX(Работы!$D$4:$D$672,MATCH(SUBSTITUTE(SUBSTITUTE(SUBSTITUTE(A416,"~","~~"),"*","~*"),"?","~?"),Работы!$B$4:$B$672,0)),0)</f>
        <v/>
      </c>
      <c r="G416" s="10" t="n">
        <v>260</v>
      </c>
      <c r="H416" s="14" t="n">
        <v>1</v>
      </c>
      <c r="I416" s="11" t="n">
        <v>0.04</v>
      </c>
      <c r="J416" s="11" t="n">
        <v>0.12</v>
      </c>
      <c r="K416" s="10" t="n"/>
      <c r="L416" s="9" t="inlineStr">
        <is>
          <t>оценка</t>
        </is>
      </c>
      <c r="M416" s="9" t="inlineStr"/>
      <c r="N416" s="9" t="inlineStr">
        <is>
          <t>2026-10-29</t>
        </is>
      </c>
      <c r="O416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16" s="4">
        <f>IF(H416=1,G416/VAT_DIV,G416)</f>
        <v/>
      </c>
      <c r="Q416" s="4">
        <f>P416*(1+I416)*(1+DELIV)*(1+GROWTH+MONEY)</f>
        <v/>
      </c>
      <c r="R416" s="4">
        <f>IF(AND(K416&lt;&gt;"",Q416*(1+J416)&gt;K416/VAT_DIV),K416/VAT_DIV,Q416*(1+J416))</f>
        <v/>
      </c>
      <c r="S416" s="4">
        <f>Q416*F416</f>
        <v/>
      </c>
      <c r="T416" s="4">
        <f>R416*F416</f>
        <v/>
      </c>
      <c r="U416" s="3">
        <f>IF(AND(K416&lt;&gt;"",Q416*(1+J416)&gt;K416/VAT_DIV+0.01),"ДА","")</f>
        <v/>
      </c>
      <c r="V416" s="4">
        <f>P416*F416</f>
        <v/>
      </c>
    </row>
    <row r="417" ht="20" customHeight="1">
      <c r="A417" s="9" t="inlineStr">
        <is>
          <t>387. Уголки МП с наружной резьбой d16</t>
        </is>
      </c>
      <c r="B417" s="13" t="inlineStr">
        <is>
          <t>Уголки МП с наружной резьбой d16</t>
        </is>
      </c>
      <c r="C417" s="9" t="inlineStr">
        <is>
          <t>Трубы и фитинги ВиК, отопления</t>
        </is>
      </c>
      <c r="D417" s="9" t="inlineStr">
        <is>
          <t>шт</t>
        </is>
      </c>
      <c r="E417" s="10" t="n">
        <v>1</v>
      </c>
      <c r="F417" s="4">
        <f>E417*IFERROR(INDEX(Работы!$D$4:$D$672,MATCH(SUBSTITUTE(SUBSTITUTE(SUBSTITUTE(A417,"~","~~"),"*","~*"),"?","~?"),Работы!$B$4:$B$672,0)),0)</f>
        <v/>
      </c>
      <c r="G417" s="10" t="n">
        <v>90</v>
      </c>
      <c r="H417" s="14" t="n">
        <v>1</v>
      </c>
      <c r="I417" s="11" t="n">
        <v>0.04</v>
      </c>
      <c r="J417" s="11" t="n">
        <v>0.12</v>
      </c>
      <c r="K417" s="10" t="n"/>
      <c r="L417" s="9" t="inlineStr">
        <is>
          <t>оценка</t>
        </is>
      </c>
      <c r="M417" s="9" t="inlineStr"/>
      <c r="N417" s="9" t="inlineStr">
        <is>
          <t>2026-10-29</t>
        </is>
      </c>
      <c r="O417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17" s="4">
        <f>IF(H417=1,G417/VAT_DIV,G417)</f>
        <v/>
      </c>
      <c r="Q417" s="4">
        <f>P417*(1+I417)*(1+DELIV)*(1+GROWTH+MONEY)</f>
        <v/>
      </c>
      <c r="R417" s="4">
        <f>IF(AND(K417&lt;&gt;"",Q417*(1+J417)&gt;K417/VAT_DIV),K417/VAT_DIV,Q417*(1+J417))</f>
        <v/>
      </c>
      <c r="S417" s="4">
        <f>Q417*F417</f>
        <v/>
      </c>
      <c r="T417" s="4">
        <f>R417*F417</f>
        <v/>
      </c>
      <c r="U417" s="3">
        <f>IF(AND(K417&lt;&gt;"",Q417*(1+J417)&gt;K417/VAT_DIV+0.01),"ДА","")</f>
        <v/>
      </c>
      <c r="V417" s="4">
        <f>P417*F417</f>
        <v/>
      </c>
    </row>
    <row r="418" ht="20" customHeight="1">
      <c r="A418" s="9" t="inlineStr">
        <is>
          <t>388. Уголки МП с наружной резьбой d20</t>
        </is>
      </c>
      <c r="B418" s="13" t="inlineStr">
        <is>
          <t>Уголки МП с наружной резьбой d20</t>
        </is>
      </c>
      <c r="C418" s="9" t="inlineStr">
        <is>
          <t>Трубы и фитинги ВиК, отопления</t>
        </is>
      </c>
      <c r="D418" s="9" t="inlineStr">
        <is>
          <t>шт</t>
        </is>
      </c>
      <c r="E418" s="10" t="n">
        <v>1</v>
      </c>
      <c r="F418" s="4">
        <f>E418*IFERROR(INDEX(Работы!$D$4:$D$672,MATCH(SUBSTITUTE(SUBSTITUTE(SUBSTITUTE(A418,"~","~~"),"*","~*"),"?","~?"),Работы!$B$4:$B$672,0)),0)</f>
        <v/>
      </c>
      <c r="G418" s="10" t="n">
        <v>120</v>
      </c>
      <c r="H418" s="14" t="n">
        <v>1</v>
      </c>
      <c r="I418" s="11" t="n">
        <v>0.04</v>
      </c>
      <c r="J418" s="11" t="n">
        <v>0.12</v>
      </c>
      <c r="K418" s="10" t="n"/>
      <c r="L418" s="9" t="inlineStr">
        <is>
          <t>оценка</t>
        </is>
      </c>
      <c r="M418" s="9" t="inlineStr"/>
      <c r="N418" s="9" t="inlineStr">
        <is>
          <t>2026-10-29</t>
        </is>
      </c>
      <c r="O418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18" s="4">
        <f>IF(H418=1,G418/VAT_DIV,G418)</f>
        <v/>
      </c>
      <c r="Q418" s="4">
        <f>P418*(1+I418)*(1+DELIV)*(1+GROWTH+MONEY)</f>
        <v/>
      </c>
      <c r="R418" s="4">
        <f>IF(AND(K418&lt;&gt;"",Q418*(1+J418)&gt;K418/VAT_DIV),K418/VAT_DIV,Q418*(1+J418))</f>
        <v/>
      </c>
      <c r="S418" s="4">
        <f>Q418*F418</f>
        <v/>
      </c>
      <c r="T418" s="4">
        <f>R418*F418</f>
        <v/>
      </c>
      <c r="U418" s="3">
        <f>IF(AND(K418&lt;&gt;"",Q418*(1+J418)&gt;K418/VAT_DIV+0.01),"ДА","")</f>
        <v/>
      </c>
      <c r="V418" s="4">
        <f>P418*F418</f>
        <v/>
      </c>
    </row>
    <row r="419" ht="20" customHeight="1">
      <c r="A419" s="9" t="inlineStr">
        <is>
          <t>389. Уголки МП с наружной резьбой d26</t>
        </is>
      </c>
      <c r="B419" s="13" t="inlineStr">
        <is>
          <t>Уголки МП с наружной резьбой d26</t>
        </is>
      </c>
      <c r="C419" s="9" t="inlineStr">
        <is>
          <t>Трубы и фитинги ВиК, отопления</t>
        </is>
      </c>
      <c r="D419" s="9" t="inlineStr">
        <is>
          <t>шт</t>
        </is>
      </c>
      <c r="E419" s="10" t="n">
        <v>1</v>
      </c>
      <c r="F419" s="4">
        <f>E419*IFERROR(INDEX(Работы!$D$4:$D$672,MATCH(SUBSTITUTE(SUBSTITUTE(SUBSTITUTE(A419,"~","~~"),"*","~*"),"?","~?"),Работы!$B$4:$B$672,0)),0)</f>
        <v/>
      </c>
      <c r="G419" s="10" t="n">
        <v>180</v>
      </c>
      <c r="H419" s="14" t="n">
        <v>1</v>
      </c>
      <c r="I419" s="11" t="n">
        <v>0.04</v>
      </c>
      <c r="J419" s="11" t="n">
        <v>0.12</v>
      </c>
      <c r="K419" s="10" t="n"/>
      <c r="L419" s="9" t="inlineStr">
        <is>
          <t>оценка</t>
        </is>
      </c>
      <c r="M419" s="9" t="inlineStr"/>
      <c r="N419" s="9" t="inlineStr">
        <is>
          <t>2026-10-29</t>
        </is>
      </c>
      <c r="O419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19" s="4">
        <f>IF(H419=1,G419/VAT_DIV,G419)</f>
        <v/>
      </c>
      <c r="Q419" s="4">
        <f>P419*(1+I419)*(1+DELIV)*(1+GROWTH+MONEY)</f>
        <v/>
      </c>
      <c r="R419" s="4">
        <f>IF(AND(K419&lt;&gt;"",Q419*(1+J419)&gt;K419/VAT_DIV),K419/VAT_DIV,Q419*(1+J419))</f>
        <v/>
      </c>
      <c r="S419" s="4">
        <f>Q419*F419</f>
        <v/>
      </c>
      <c r="T419" s="4">
        <f>R419*F419</f>
        <v/>
      </c>
      <c r="U419" s="3">
        <f>IF(AND(K419&lt;&gt;"",Q419*(1+J419)&gt;K419/VAT_DIV+0.01),"ДА","")</f>
        <v/>
      </c>
      <c r="V419" s="4">
        <f>P419*F419</f>
        <v/>
      </c>
    </row>
    <row r="420" ht="20" customHeight="1">
      <c r="A420" s="9" t="inlineStr">
        <is>
          <t>390. Уголки МП с наружной резьбой d32</t>
        </is>
      </c>
      <c r="B420" s="13" t="inlineStr">
        <is>
          <t>Уголки МП с наружной резьбой d32</t>
        </is>
      </c>
      <c r="C420" s="9" t="inlineStr">
        <is>
          <t>Трубы и фитинги ВиК, отопления</t>
        </is>
      </c>
      <c r="D420" s="9" t="inlineStr">
        <is>
          <t>шт</t>
        </is>
      </c>
      <c r="E420" s="10" t="n">
        <v>1</v>
      </c>
      <c r="F420" s="4">
        <f>E420*IFERROR(INDEX(Работы!$D$4:$D$672,MATCH(SUBSTITUTE(SUBSTITUTE(SUBSTITUTE(A420,"~","~~"),"*","~*"),"?","~?"),Работы!$B$4:$B$672,0)),0)</f>
        <v/>
      </c>
      <c r="G420" s="10" t="n">
        <v>260</v>
      </c>
      <c r="H420" s="14" t="n">
        <v>1</v>
      </c>
      <c r="I420" s="11" t="n">
        <v>0.04</v>
      </c>
      <c r="J420" s="11" t="n">
        <v>0.12</v>
      </c>
      <c r="K420" s="10" t="n"/>
      <c r="L420" s="9" t="inlineStr">
        <is>
          <t>оценка</t>
        </is>
      </c>
      <c r="M420" s="9" t="inlineStr"/>
      <c r="N420" s="9" t="inlineStr">
        <is>
          <t>2026-10-29</t>
        </is>
      </c>
      <c r="O420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20" s="4">
        <f>IF(H420=1,G420/VAT_DIV,G420)</f>
        <v/>
      </c>
      <c r="Q420" s="4">
        <f>P420*(1+I420)*(1+DELIV)*(1+GROWTH+MONEY)</f>
        <v/>
      </c>
      <c r="R420" s="4">
        <f>IF(AND(K420&lt;&gt;"",Q420*(1+J420)&gt;K420/VAT_DIV),K420/VAT_DIV,Q420*(1+J420))</f>
        <v/>
      </c>
      <c r="S420" s="4">
        <f>Q420*F420</f>
        <v/>
      </c>
      <c r="T420" s="4">
        <f>R420*F420</f>
        <v/>
      </c>
      <c r="U420" s="3">
        <f>IF(AND(K420&lt;&gt;"",Q420*(1+J420)&gt;K420/VAT_DIV+0.01),"ДА","")</f>
        <v/>
      </c>
      <c r="V420" s="4">
        <f>P420*F420</f>
        <v/>
      </c>
    </row>
    <row r="421" ht="20" customHeight="1">
      <c r="A421" s="9" t="inlineStr">
        <is>
          <t>391. Уголки МП с внутренней резьбой d16</t>
        </is>
      </c>
      <c r="B421" s="13" t="inlineStr">
        <is>
          <t>Уголки МП с внутренней резьбой d16</t>
        </is>
      </c>
      <c r="C421" s="9" t="inlineStr">
        <is>
          <t>Трубы и фитинги ВиК, отопления</t>
        </is>
      </c>
      <c r="D421" s="9" t="inlineStr">
        <is>
          <t>шт</t>
        </is>
      </c>
      <c r="E421" s="10" t="n">
        <v>1</v>
      </c>
      <c r="F421" s="4">
        <f>E421*IFERROR(INDEX(Работы!$D$4:$D$672,MATCH(SUBSTITUTE(SUBSTITUTE(SUBSTITUTE(A421,"~","~~"),"*","~*"),"?","~?"),Работы!$B$4:$B$672,0)),0)</f>
        <v/>
      </c>
      <c r="G421" s="10" t="n">
        <v>90</v>
      </c>
      <c r="H421" s="14" t="n">
        <v>1</v>
      </c>
      <c r="I421" s="11" t="n">
        <v>0.04</v>
      </c>
      <c r="J421" s="11" t="n">
        <v>0.12</v>
      </c>
      <c r="K421" s="10" t="n"/>
      <c r="L421" s="9" t="inlineStr">
        <is>
          <t>оценка</t>
        </is>
      </c>
      <c r="M421" s="9" t="inlineStr"/>
      <c r="N421" s="9" t="inlineStr">
        <is>
          <t>2026-10-29</t>
        </is>
      </c>
      <c r="O421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21" s="4">
        <f>IF(H421=1,G421/VAT_DIV,G421)</f>
        <v/>
      </c>
      <c r="Q421" s="4">
        <f>P421*(1+I421)*(1+DELIV)*(1+GROWTH+MONEY)</f>
        <v/>
      </c>
      <c r="R421" s="4">
        <f>IF(AND(K421&lt;&gt;"",Q421*(1+J421)&gt;K421/VAT_DIV),K421/VAT_DIV,Q421*(1+J421))</f>
        <v/>
      </c>
      <c r="S421" s="4">
        <f>Q421*F421</f>
        <v/>
      </c>
      <c r="T421" s="4">
        <f>R421*F421</f>
        <v/>
      </c>
      <c r="U421" s="3">
        <f>IF(AND(K421&lt;&gt;"",Q421*(1+J421)&gt;K421/VAT_DIV+0.01),"ДА","")</f>
        <v/>
      </c>
      <c r="V421" s="4">
        <f>P421*F421</f>
        <v/>
      </c>
    </row>
    <row r="422" ht="20" customHeight="1">
      <c r="A422" s="9" t="inlineStr">
        <is>
          <t>392. Уголки МП с внутренней резьбой d20</t>
        </is>
      </c>
      <c r="B422" s="13" t="inlineStr">
        <is>
          <t>Уголки МП с внутренней резьбой d20</t>
        </is>
      </c>
      <c r="C422" s="9" t="inlineStr">
        <is>
          <t>Трубы и фитинги ВиК, отопления</t>
        </is>
      </c>
      <c r="D422" s="9" t="inlineStr">
        <is>
          <t>шт</t>
        </is>
      </c>
      <c r="E422" s="10" t="n">
        <v>1</v>
      </c>
      <c r="F422" s="4">
        <f>E422*IFERROR(INDEX(Работы!$D$4:$D$672,MATCH(SUBSTITUTE(SUBSTITUTE(SUBSTITUTE(A422,"~","~~"),"*","~*"),"?","~?"),Работы!$B$4:$B$672,0)),0)</f>
        <v/>
      </c>
      <c r="G422" s="10" t="n">
        <v>120</v>
      </c>
      <c r="H422" s="14" t="n">
        <v>1</v>
      </c>
      <c r="I422" s="11" t="n">
        <v>0.04</v>
      </c>
      <c r="J422" s="11" t="n">
        <v>0.12</v>
      </c>
      <c r="K422" s="10" t="n"/>
      <c r="L422" s="9" t="inlineStr">
        <is>
          <t>оценка</t>
        </is>
      </c>
      <c r="M422" s="9" t="inlineStr"/>
      <c r="N422" s="9" t="inlineStr">
        <is>
          <t>2026-10-29</t>
        </is>
      </c>
      <c r="O422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22" s="4">
        <f>IF(H422=1,G422/VAT_DIV,G422)</f>
        <v/>
      </c>
      <c r="Q422" s="4">
        <f>P422*(1+I422)*(1+DELIV)*(1+GROWTH+MONEY)</f>
        <v/>
      </c>
      <c r="R422" s="4">
        <f>IF(AND(K422&lt;&gt;"",Q422*(1+J422)&gt;K422/VAT_DIV),K422/VAT_DIV,Q422*(1+J422))</f>
        <v/>
      </c>
      <c r="S422" s="4">
        <f>Q422*F422</f>
        <v/>
      </c>
      <c r="T422" s="4">
        <f>R422*F422</f>
        <v/>
      </c>
      <c r="U422" s="3">
        <f>IF(AND(K422&lt;&gt;"",Q422*(1+J422)&gt;K422/VAT_DIV+0.01),"ДА","")</f>
        <v/>
      </c>
      <c r="V422" s="4">
        <f>P422*F422</f>
        <v/>
      </c>
    </row>
    <row r="423" ht="20" customHeight="1">
      <c r="A423" s="9" t="inlineStr">
        <is>
          <t>393. Уголки МП с внутренней резьбой d26</t>
        </is>
      </c>
      <c r="B423" s="13" t="inlineStr">
        <is>
          <t>Уголки МП с внутренней резьбой d26</t>
        </is>
      </c>
      <c r="C423" s="9" t="inlineStr">
        <is>
          <t>Трубы и фитинги ВиК, отопления</t>
        </is>
      </c>
      <c r="D423" s="9" t="inlineStr">
        <is>
          <t>шт</t>
        </is>
      </c>
      <c r="E423" s="10" t="n">
        <v>1</v>
      </c>
      <c r="F423" s="4">
        <f>E423*IFERROR(INDEX(Работы!$D$4:$D$672,MATCH(SUBSTITUTE(SUBSTITUTE(SUBSTITUTE(A423,"~","~~"),"*","~*"),"?","~?"),Работы!$B$4:$B$672,0)),0)</f>
        <v/>
      </c>
      <c r="G423" s="10" t="n">
        <v>180</v>
      </c>
      <c r="H423" s="14" t="n">
        <v>1</v>
      </c>
      <c r="I423" s="11" t="n">
        <v>0.04</v>
      </c>
      <c r="J423" s="11" t="n">
        <v>0.12</v>
      </c>
      <c r="K423" s="10" t="n"/>
      <c r="L423" s="9" t="inlineStr">
        <is>
          <t>оценка</t>
        </is>
      </c>
      <c r="M423" s="9" t="inlineStr"/>
      <c r="N423" s="9" t="inlineStr">
        <is>
          <t>2026-10-29</t>
        </is>
      </c>
      <c r="O423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23" s="4">
        <f>IF(H423=1,G423/VAT_DIV,G423)</f>
        <v/>
      </c>
      <c r="Q423" s="4">
        <f>P423*(1+I423)*(1+DELIV)*(1+GROWTH+MONEY)</f>
        <v/>
      </c>
      <c r="R423" s="4">
        <f>IF(AND(K423&lt;&gt;"",Q423*(1+J423)&gt;K423/VAT_DIV),K423/VAT_DIV,Q423*(1+J423))</f>
        <v/>
      </c>
      <c r="S423" s="4">
        <f>Q423*F423</f>
        <v/>
      </c>
      <c r="T423" s="4">
        <f>R423*F423</f>
        <v/>
      </c>
      <c r="U423" s="3">
        <f>IF(AND(K423&lt;&gt;"",Q423*(1+J423)&gt;K423/VAT_DIV+0.01),"ДА","")</f>
        <v/>
      </c>
      <c r="V423" s="4">
        <f>P423*F423</f>
        <v/>
      </c>
    </row>
    <row r="424" ht="20" customHeight="1">
      <c r="A424" s="9" t="inlineStr">
        <is>
          <t>394. Уголки МП с внутренней резьбой d32</t>
        </is>
      </c>
      <c r="B424" s="13" t="inlineStr">
        <is>
          <t>Уголки МП с внутренней резьбой d32</t>
        </is>
      </c>
      <c r="C424" s="9" t="inlineStr">
        <is>
          <t>Трубы и фитинги ВиК, отопления</t>
        </is>
      </c>
      <c r="D424" s="9" t="inlineStr">
        <is>
          <t>шт</t>
        </is>
      </c>
      <c r="E424" s="10" t="n">
        <v>1</v>
      </c>
      <c r="F424" s="4">
        <f>E424*IFERROR(INDEX(Работы!$D$4:$D$672,MATCH(SUBSTITUTE(SUBSTITUTE(SUBSTITUTE(A424,"~","~~"),"*","~*"),"?","~?"),Работы!$B$4:$B$672,0)),0)</f>
        <v/>
      </c>
      <c r="G424" s="10" t="n">
        <v>260</v>
      </c>
      <c r="H424" s="14" t="n">
        <v>1</v>
      </c>
      <c r="I424" s="11" t="n">
        <v>0.04</v>
      </c>
      <c r="J424" s="11" t="n">
        <v>0.12</v>
      </c>
      <c r="K424" s="10" t="n"/>
      <c r="L424" s="9" t="inlineStr">
        <is>
          <t>оценка</t>
        </is>
      </c>
      <c r="M424" s="9" t="inlineStr"/>
      <c r="N424" s="9" t="inlineStr">
        <is>
          <t>2026-10-29</t>
        </is>
      </c>
      <c r="O424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24" s="4">
        <f>IF(H424=1,G424/VAT_DIV,G424)</f>
        <v/>
      </c>
      <c r="Q424" s="4">
        <f>P424*(1+I424)*(1+DELIV)*(1+GROWTH+MONEY)</f>
        <v/>
      </c>
      <c r="R424" s="4">
        <f>IF(AND(K424&lt;&gt;"",Q424*(1+J424)&gt;K424/VAT_DIV),K424/VAT_DIV,Q424*(1+J424))</f>
        <v/>
      </c>
      <c r="S424" s="4">
        <f>Q424*F424</f>
        <v/>
      </c>
      <c r="T424" s="4">
        <f>R424*F424</f>
        <v/>
      </c>
      <c r="U424" s="3">
        <f>IF(AND(K424&lt;&gt;"",Q424*(1+J424)&gt;K424/VAT_DIV+0.01),"ДА","")</f>
        <v/>
      </c>
      <c r="V424" s="4">
        <f>P424*F424</f>
        <v/>
      </c>
    </row>
    <row r="425" ht="20" customHeight="1">
      <c r="A425" s="9" t="inlineStr">
        <is>
          <t>395. Уголки МП с креплением d16</t>
        </is>
      </c>
      <c r="B425" s="13" t="inlineStr">
        <is>
          <t>Уголки МП с креплением d16</t>
        </is>
      </c>
      <c r="C425" s="9" t="inlineStr">
        <is>
          <t>Трубы и фитинги ВиК, отопления</t>
        </is>
      </c>
      <c r="D425" s="9" t="inlineStr">
        <is>
          <t>шт</t>
        </is>
      </c>
      <c r="E425" s="10" t="n">
        <v>1</v>
      </c>
      <c r="F425" s="4">
        <f>E425*IFERROR(INDEX(Работы!$D$4:$D$672,MATCH(SUBSTITUTE(SUBSTITUTE(SUBSTITUTE(A425,"~","~~"),"*","~*"),"?","~?"),Работы!$B$4:$B$672,0)),0)</f>
        <v/>
      </c>
      <c r="G425" s="10" t="n">
        <v>90</v>
      </c>
      <c r="H425" s="14" t="n">
        <v>1</v>
      </c>
      <c r="I425" s="11" t="n">
        <v>0.04</v>
      </c>
      <c r="J425" s="11" t="n">
        <v>0.12</v>
      </c>
      <c r="K425" s="10" t="n"/>
      <c r="L425" s="9" t="inlineStr">
        <is>
          <t>оценка</t>
        </is>
      </c>
      <c r="M425" s="9" t="inlineStr"/>
      <c r="N425" s="9" t="inlineStr">
        <is>
          <t>2026-10-29</t>
        </is>
      </c>
      <c r="O425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25" s="4">
        <f>IF(H425=1,G425/VAT_DIV,G425)</f>
        <v/>
      </c>
      <c r="Q425" s="4">
        <f>P425*(1+I425)*(1+DELIV)*(1+GROWTH+MONEY)</f>
        <v/>
      </c>
      <c r="R425" s="4">
        <f>IF(AND(K425&lt;&gt;"",Q425*(1+J425)&gt;K425/VAT_DIV),K425/VAT_DIV,Q425*(1+J425))</f>
        <v/>
      </c>
      <c r="S425" s="4">
        <f>Q425*F425</f>
        <v/>
      </c>
      <c r="T425" s="4">
        <f>R425*F425</f>
        <v/>
      </c>
      <c r="U425" s="3">
        <f>IF(AND(K425&lt;&gt;"",Q425*(1+J425)&gt;K425/VAT_DIV+0.01),"ДА","")</f>
        <v/>
      </c>
      <c r="V425" s="4">
        <f>P425*F425</f>
        <v/>
      </c>
    </row>
    <row r="426" ht="20" customHeight="1">
      <c r="A426" s="9" t="inlineStr">
        <is>
          <t>396. Уголки МП с креплением d20</t>
        </is>
      </c>
      <c r="B426" s="13" t="inlineStr">
        <is>
          <t>Уголки МП с креплением d20</t>
        </is>
      </c>
      <c r="C426" s="9" t="inlineStr">
        <is>
          <t>Трубы и фитинги ВиК, отопления</t>
        </is>
      </c>
      <c r="D426" s="9" t="inlineStr">
        <is>
          <t>шт</t>
        </is>
      </c>
      <c r="E426" s="10" t="n">
        <v>1</v>
      </c>
      <c r="F426" s="4">
        <f>E426*IFERROR(INDEX(Работы!$D$4:$D$672,MATCH(SUBSTITUTE(SUBSTITUTE(SUBSTITUTE(A426,"~","~~"),"*","~*"),"?","~?"),Работы!$B$4:$B$672,0)),0)</f>
        <v/>
      </c>
      <c r="G426" s="10" t="n">
        <v>120</v>
      </c>
      <c r="H426" s="14" t="n">
        <v>1</v>
      </c>
      <c r="I426" s="11" t="n">
        <v>0.04</v>
      </c>
      <c r="J426" s="11" t="n">
        <v>0.12</v>
      </c>
      <c r="K426" s="10" t="n"/>
      <c r="L426" s="9" t="inlineStr">
        <is>
          <t>оценка</t>
        </is>
      </c>
      <c r="M426" s="9" t="inlineStr"/>
      <c r="N426" s="9" t="inlineStr">
        <is>
          <t>2026-10-29</t>
        </is>
      </c>
      <c r="O426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26" s="4">
        <f>IF(H426=1,G426/VAT_DIV,G426)</f>
        <v/>
      </c>
      <c r="Q426" s="4">
        <f>P426*(1+I426)*(1+DELIV)*(1+GROWTH+MONEY)</f>
        <v/>
      </c>
      <c r="R426" s="4">
        <f>IF(AND(K426&lt;&gt;"",Q426*(1+J426)&gt;K426/VAT_DIV),K426/VAT_DIV,Q426*(1+J426))</f>
        <v/>
      </c>
      <c r="S426" s="4">
        <f>Q426*F426</f>
        <v/>
      </c>
      <c r="T426" s="4">
        <f>R426*F426</f>
        <v/>
      </c>
      <c r="U426" s="3">
        <f>IF(AND(K426&lt;&gt;"",Q426*(1+J426)&gt;K426/VAT_DIV+0.01),"ДА","")</f>
        <v/>
      </c>
      <c r="V426" s="4">
        <f>P426*F426</f>
        <v/>
      </c>
    </row>
    <row r="427" ht="20" customHeight="1">
      <c r="A427" s="9" t="inlineStr">
        <is>
          <t>397. Тройники соединительные МП d16</t>
        </is>
      </c>
      <c r="B427" s="13" t="inlineStr">
        <is>
          <t>Тройники соединительные МП d16</t>
        </is>
      </c>
      <c r="C427" s="9" t="inlineStr">
        <is>
          <t>Трубы и фитинги ВиК, отопления</t>
        </is>
      </c>
      <c r="D427" s="9" t="inlineStr">
        <is>
          <t>шт</t>
        </is>
      </c>
      <c r="E427" s="10" t="n">
        <v>1</v>
      </c>
      <c r="F427" s="4">
        <f>E427*IFERROR(INDEX(Работы!$D$4:$D$672,MATCH(SUBSTITUTE(SUBSTITUTE(SUBSTITUTE(A427,"~","~~"),"*","~*"),"?","~?"),Работы!$B$4:$B$672,0)),0)</f>
        <v/>
      </c>
      <c r="G427" s="10" t="n">
        <v>90</v>
      </c>
      <c r="H427" s="14" t="n">
        <v>1</v>
      </c>
      <c r="I427" s="11" t="n">
        <v>0.04</v>
      </c>
      <c r="J427" s="11" t="n">
        <v>0.12</v>
      </c>
      <c r="K427" s="10" t="n"/>
      <c r="L427" s="9" t="inlineStr">
        <is>
          <t>оценка</t>
        </is>
      </c>
      <c r="M427" s="9" t="inlineStr"/>
      <c r="N427" s="9" t="inlineStr">
        <is>
          <t>2026-10-29</t>
        </is>
      </c>
      <c r="O427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27" s="4">
        <f>IF(H427=1,G427/VAT_DIV,G427)</f>
        <v/>
      </c>
      <c r="Q427" s="4">
        <f>P427*(1+I427)*(1+DELIV)*(1+GROWTH+MONEY)</f>
        <v/>
      </c>
      <c r="R427" s="4">
        <f>IF(AND(K427&lt;&gt;"",Q427*(1+J427)&gt;K427/VAT_DIV),K427/VAT_DIV,Q427*(1+J427))</f>
        <v/>
      </c>
      <c r="S427" s="4">
        <f>Q427*F427</f>
        <v/>
      </c>
      <c r="T427" s="4">
        <f>R427*F427</f>
        <v/>
      </c>
      <c r="U427" s="3">
        <f>IF(AND(K427&lt;&gt;"",Q427*(1+J427)&gt;K427/VAT_DIV+0.01),"ДА","")</f>
        <v/>
      </c>
      <c r="V427" s="4">
        <f>P427*F427</f>
        <v/>
      </c>
    </row>
    <row r="428" ht="20" customHeight="1">
      <c r="A428" s="9" t="inlineStr">
        <is>
          <t>398. Тройники соединительные МП d20</t>
        </is>
      </c>
      <c r="B428" s="13" t="inlineStr">
        <is>
          <t>Тройники соединительные МП d20</t>
        </is>
      </c>
      <c r="C428" s="9" t="inlineStr">
        <is>
          <t>Трубы и фитинги ВиК, отопления</t>
        </is>
      </c>
      <c r="D428" s="9" t="inlineStr">
        <is>
          <t>шт</t>
        </is>
      </c>
      <c r="E428" s="10" t="n">
        <v>1</v>
      </c>
      <c r="F428" s="4">
        <f>E428*IFERROR(INDEX(Работы!$D$4:$D$672,MATCH(SUBSTITUTE(SUBSTITUTE(SUBSTITUTE(A428,"~","~~"),"*","~*"),"?","~?"),Работы!$B$4:$B$672,0)),0)</f>
        <v/>
      </c>
      <c r="G428" s="10" t="n">
        <v>120</v>
      </c>
      <c r="H428" s="14" t="n">
        <v>1</v>
      </c>
      <c r="I428" s="11" t="n">
        <v>0.04</v>
      </c>
      <c r="J428" s="11" t="n">
        <v>0.12</v>
      </c>
      <c r="K428" s="10" t="n"/>
      <c r="L428" s="9" t="inlineStr">
        <is>
          <t>оценка</t>
        </is>
      </c>
      <c r="M428" s="9" t="inlineStr"/>
      <c r="N428" s="9" t="inlineStr">
        <is>
          <t>2026-10-29</t>
        </is>
      </c>
      <c r="O428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28" s="4">
        <f>IF(H428=1,G428/VAT_DIV,G428)</f>
        <v/>
      </c>
      <c r="Q428" s="4">
        <f>P428*(1+I428)*(1+DELIV)*(1+GROWTH+MONEY)</f>
        <v/>
      </c>
      <c r="R428" s="4">
        <f>IF(AND(K428&lt;&gt;"",Q428*(1+J428)&gt;K428/VAT_DIV),K428/VAT_DIV,Q428*(1+J428))</f>
        <v/>
      </c>
      <c r="S428" s="4">
        <f>Q428*F428</f>
        <v/>
      </c>
      <c r="T428" s="4">
        <f>R428*F428</f>
        <v/>
      </c>
      <c r="U428" s="3">
        <f>IF(AND(K428&lt;&gt;"",Q428*(1+J428)&gt;K428/VAT_DIV+0.01),"ДА","")</f>
        <v/>
      </c>
      <c r="V428" s="4">
        <f>P428*F428</f>
        <v/>
      </c>
    </row>
    <row r="429" ht="20" customHeight="1">
      <c r="A429" s="9" t="inlineStr">
        <is>
          <t>399. Тройники соединительные МП d26</t>
        </is>
      </c>
      <c r="B429" s="13" t="inlineStr">
        <is>
          <t>Тройники соединительные МП d26</t>
        </is>
      </c>
      <c r="C429" s="9" t="inlineStr">
        <is>
          <t>Трубы и фитинги ВиК, отопления</t>
        </is>
      </c>
      <c r="D429" s="9" t="inlineStr">
        <is>
          <t>шт</t>
        </is>
      </c>
      <c r="E429" s="10" t="n">
        <v>1</v>
      </c>
      <c r="F429" s="4">
        <f>E429*IFERROR(INDEX(Работы!$D$4:$D$672,MATCH(SUBSTITUTE(SUBSTITUTE(SUBSTITUTE(A429,"~","~~"),"*","~*"),"?","~?"),Работы!$B$4:$B$672,0)),0)</f>
        <v/>
      </c>
      <c r="G429" s="10" t="n">
        <v>180</v>
      </c>
      <c r="H429" s="14" t="n">
        <v>1</v>
      </c>
      <c r="I429" s="11" t="n">
        <v>0.04</v>
      </c>
      <c r="J429" s="11" t="n">
        <v>0.12</v>
      </c>
      <c r="K429" s="10" t="n"/>
      <c r="L429" s="9" t="inlineStr">
        <is>
          <t>оценка</t>
        </is>
      </c>
      <c r="M429" s="9" t="inlineStr"/>
      <c r="N429" s="9" t="inlineStr">
        <is>
          <t>2026-10-29</t>
        </is>
      </c>
      <c r="O429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29" s="4">
        <f>IF(H429=1,G429/VAT_DIV,G429)</f>
        <v/>
      </c>
      <c r="Q429" s="4">
        <f>P429*(1+I429)*(1+DELIV)*(1+GROWTH+MONEY)</f>
        <v/>
      </c>
      <c r="R429" s="4">
        <f>IF(AND(K429&lt;&gt;"",Q429*(1+J429)&gt;K429/VAT_DIV),K429/VAT_DIV,Q429*(1+J429))</f>
        <v/>
      </c>
      <c r="S429" s="4">
        <f>Q429*F429</f>
        <v/>
      </c>
      <c r="T429" s="4">
        <f>R429*F429</f>
        <v/>
      </c>
      <c r="U429" s="3">
        <f>IF(AND(K429&lt;&gt;"",Q429*(1+J429)&gt;K429/VAT_DIV+0.01),"ДА","")</f>
        <v/>
      </c>
      <c r="V429" s="4">
        <f>P429*F429</f>
        <v/>
      </c>
    </row>
    <row r="430" ht="20" customHeight="1">
      <c r="A430" s="9" t="inlineStr">
        <is>
          <t>400. Тройники соединительные МП d32</t>
        </is>
      </c>
      <c r="B430" s="13" t="inlineStr">
        <is>
          <t>Тройники соединительные МП d32</t>
        </is>
      </c>
      <c r="C430" s="9" t="inlineStr">
        <is>
          <t>Трубы и фитинги ВиК, отопления</t>
        </is>
      </c>
      <c r="D430" s="9" t="inlineStr">
        <is>
          <t>шт</t>
        </is>
      </c>
      <c r="E430" s="10" t="n">
        <v>1</v>
      </c>
      <c r="F430" s="4">
        <f>E430*IFERROR(INDEX(Работы!$D$4:$D$672,MATCH(SUBSTITUTE(SUBSTITUTE(SUBSTITUTE(A430,"~","~~"),"*","~*"),"?","~?"),Работы!$B$4:$B$672,0)),0)</f>
        <v/>
      </c>
      <c r="G430" s="10" t="n">
        <v>260</v>
      </c>
      <c r="H430" s="14" t="n">
        <v>1</v>
      </c>
      <c r="I430" s="11" t="n">
        <v>0.04</v>
      </c>
      <c r="J430" s="11" t="n">
        <v>0.12</v>
      </c>
      <c r="K430" s="10" t="n"/>
      <c r="L430" s="9" t="inlineStr">
        <is>
          <t>оценка</t>
        </is>
      </c>
      <c r="M430" s="9" t="inlineStr"/>
      <c r="N430" s="9" t="inlineStr">
        <is>
          <t>2026-10-29</t>
        </is>
      </c>
      <c r="O430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30" s="4">
        <f>IF(H430=1,G430/VAT_DIV,G430)</f>
        <v/>
      </c>
      <c r="Q430" s="4">
        <f>P430*(1+I430)*(1+DELIV)*(1+GROWTH+MONEY)</f>
        <v/>
      </c>
      <c r="R430" s="4">
        <f>IF(AND(K430&lt;&gt;"",Q430*(1+J430)&gt;K430/VAT_DIV),K430/VAT_DIV,Q430*(1+J430))</f>
        <v/>
      </c>
      <c r="S430" s="4">
        <f>Q430*F430</f>
        <v/>
      </c>
      <c r="T430" s="4">
        <f>R430*F430</f>
        <v/>
      </c>
      <c r="U430" s="3">
        <f>IF(AND(K430&lt;&gt;"",Q430*(1+J430)&gt;K430/VAT_DIV+0.01),"ДА","")</f>
        <v/>
      </c>
      <c r="V430" s="4">
        <f>P430*F430</f>
        <v/>
      </c>
    </row>
    <row r="431" ht="20" customHeight="1">
      <c r="A431" s="9" t="inlineStr">
        <is>
          <t>401. Тройники переходники МП 16х20х16</t>
        </is>
      </c>
      <c r="B431" s="13" t="inlineStr">
        <is>
          <t>Тройники переходники МП 16х20х16</t>
        </is>
      </c>
      <c r="C431" s="9" t="inlineStr">
        <is>
          <t>Трубы и фитинги ВиК, отопления</t>
        </is>
      </c>
      <c r="D431" s="9" t="inlineStr">
        <is>
          <t>шт</t>
        </is>
      </c>
      <c r="E431" s="10" t="n">
        <v>1</v>
      </c>
      <c r="F431" s="4">
        <f>E431*IFERROR(INDEX(Работы!$D$4:$D$672,MATCH(SUBSTITUTE(SUBSTITUTE(SUBSTITUTE(A431,"~","~~"),"*","~*"),"?","~?"),Работы!$B$4:$B$672,0)),0)</f>
        <v/>
      </c>
      <c r="G431" s="10" t="n">
        <v>90</v>
      </c>
      <c r="H431" s="14" t="n">
        <v>1</v>
      </c>
      <c r="I431" s="11" t="n">
        <v>0.04</v>
      </c>
      <c r="J431" s="11" t="n">
        <v>0.12</v>
      </c>
      <c r="K431" s="10" t="n"/>
      <c r="L431" s="9" t="inlineStr">
        <is>
          <t>оценка</t>
        </is>
      </c>
      <c r="M431" s="9" t="inlineStr"/>
      <c r="N431" s="9" t="inlineStr">
        <is>
          <t>2026-10-29</t>
        </is>
      </c>
      <c r="O431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31" s="4">
        <f>IF(H431=1,G431/VAT_DIV,G431)</f>
        <v/>
      </c>
      <c r="Q431" s="4">
        <f>P431*(1+I431)*(1+DELIV)*(1+GROWTH+MONEY)</f>
        <v/>
      </c>
      <c r="R431" s="4">
        <f>IF(AND(K431&lt;&gt;"",Q431*(1+J431)&gt;K431/VAT_DIV),K431/VAT_DIV,Q431*(1+J431))</f>
        <v/>
      </c>
      <c r="S431" s="4">
        <f>Q431*F431</f>
        <v/>
      </c>
      <c r="T431" s="4">
        <f>R431*F431</f>
        <v/>
      </c>
      <c r="U431" s="3">
        <f>IF(AND(K431&lt;&gt;"",Q431*(1+J431)&gt;K431/VAT_DIV+0.01),"ДА","")</f>
        <v/>
      </c>
      <c r="V431" s="4">
        <f>P431*F431</f>
        <v/>
      </c>
    </row>
    <row r="432" ht="20" customHeight="1">
      <c r="A432" s="9" t="inlineStr">
        <is>
          <t>402. Тройники переходники МП 20х16х16</t>
        </is>
      </c>
      <c r="B432" s="13" t="inlineStr">
        <is>
          <t>Тройники переходники МП 20х16х16</t>
        </is>
      </c>
      <c r="C432" s="9" t="inlineStr">
        <is>
          <t>Трубы и фитинги ВиК, отопления</t>
        </is>
      </c>
      <c r="D432" s="9" t="inlineStr">
        <is>
          <t>шт</t>
        </is>
      </c>
      <c r="E432" s="10" t="n">
        <v>1</v>
      </c>
      <c r="F432" s="4">
        <f>E432*IFERROR(INDEX(Работы!$D$4:$D$672,MATCH(SUBSTITUTE(SUBSTITUTE(SUBSTITUTE(A432,"~","~~"),"*","~*"),"?","~?"),Работы!$B$4:$B$672,0)),0)</f>
        <v/>
      </c>
      <c r="G432" s="10" t="n">
        <v>120</v>
      </c>
      <c r="H432" s="14" t="n">
        <v>1</v>
      </c>
      <c r="I432" s="11" t="n">
        <v>0.04</v>
      </c>
      <c r="J432" s="11" t="n">
        <v>0.12</v>
      </c>
      <c r="K432" s="10" t="n"/>
      <c r="L432" s="9" t="inlineStr">
        <is>
          <t>оценка</t>
        </is>
      </c>
      <c r="M432" s="9" t="inlineStr"/>
      <c r="N432" s="9" t="inlineStr">
        <is>
          <t>2026-10-29</t>
        </is>
      </c>
      <c r="O432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32" s="4">
        <f>IF(H432=1,G432/VAT_DIV,G432)</f>
        <v/>
      </c>
      <c r="Q432" s="4">
        <f>P432*(1+I432)*(1+DELIV)*(1+GROWTH+MONEY)</f>
        <v/>
      </c>
      <c r="R432" s="4">
        <f>IF(AND(K432&lt;&gt;"",Q432*(1+J432)&gt;K432/VAT_DIV),K432/VAT_DIV,Q432*(1+J432))</f>
        <v/>
      </c>
      <c r="S432" s="4">
        <f>Q432*F432</f>
        <v/>
      </c>
      <c r="T432" s="4">
        <f>R432*F432</f>
        <v/>
      </c>
      <c r="U432" s="3">
        <f>IF(AND(K432&lt;&gt;"",Q432*(1+J432)&gt;K432/VAT_DIV+0.01),"ДА","")</f>
        <v/>
      </c>
      <c r="V432" s="4">
        <f>P432*F432</f>
        <v/>
      </c>
    </row>
    <row r="433" ht="20" customHeight="1">
      <c r="A433" s="9" t="inlineStr">
        <is>
          <t>403. Тройники переходники МП 20х16х20</t>
        </is>
      </c>
      <c r="B433" s="13" t="inlineStr">
        <is>
          <t>Тройники переходники МП 20х16х20</t>
        </is>
      </c>
      <c r="C433" s="9" t="inlineStr">
        <is>
          <t>Трубы и фитинги ВиК, отопления</t>
        </is>
      </c>
      <c r="D433" s="9" t="inlineStr">
        <is>
          <t>шт</t>
        </is>
      </c>
      <c r="E433" s="10" t="n">
        <v>1</v>
      </c>
      <c r="F433" s="4">
        <f>E433*IFERROR(INDEX(Работы!$D$4:$D$672,MATCH(SUBSTITUTE(SUBSTITUTE(SUBSTITUTE(A433,"~","~~"),"*","~*"),"?","~?"),Работы!$B$4:$B$672,0)),0)</f>
        <v/>
      </c>
      <c r="G433" s="10" t="n">
        <v>120</v>
      </c>
      <c r="H433" s="14" t="n">
        <v>1</v>
      </c>
      <c r="I433" s="11" t="n">
        <v>0.04</v>
      </c>
      <c r="J433" s="11" t="n">
        <v>0.12</v>
      </c>
      <c r="K433" s="10" t="n"/>
      <c r="L433" s="9" t="inlineStr">
        <is>
          <t>оценка</t>
        </is>
      </c>
      <c r="M433" s="9" t="inlineStr"/>
      <c r="N433" s="9" t="inlineStr">
        <is>
          <t>2026-10-29</t>
        </is>
      </c>
      <c r="O433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33" s="4">
        <f>IF(H433=1,G433/VAT_DIV,G433)</f>
        <v/>
      </c>
      <c r="Q433" s="4">
        <f>P433*(1+I433)*(1+DELIV)*(1+GROWTH+MONEY)</f>
        <v/>
      </c>
      <c r="R433" s="4">
        <f>IF(AND(K433&lt;&gt;"",Q433*(1+J433)&gt;K433/VAT_DIV),K433/VAT_DIV,Q433*(1+J433))</f>
        <v/>
      </c>
      <c r="S433" s="4">
        <f>Q433*F433</f>
        <v/>
      </c>
      <c r="T433" s="4">
        <f>R433*F433</f>
        <v/>
      </c>
      <c r="U433" s="3">
        <f>IF(AND(K433&lt;&gt;"",Q433*(1+J433)&gt;K433/VAT_DIV+0.01),"ДА","")</f>
        <v/>
      </c>
      <c r="V433" s="4">
        <f>P433*F433</f>
        <v/>
      </c>
    </row>
    <row r="434" ht="20" customHeight="1">
      <c r="A434" s="9" t="inlineStr">
        <is>
          <t>404. Тройники переходники МП 20х20х16</t>
        </is>
      </c>
      <c r="B434" s="13" t="inlineStr">
        <is>
          <t>Тройники переходники МП 20х20х16</t>
        </is>
      </c>
      <c r="C434" s="9" t="inlineStr">
        <is>
          <t>Трубы и фитинги ВиК, отопления</t>
        </is>
      </c>
      <c r="D434" s="9" t="inlineStr">
        <is>
          <t>шт</t>
        </is>
      </c>
      <c r="E434" s="10" t="n">
        <v>1</v>
      </c>
      <c r="F434" s="4">
        <f>E434*IFERROR(INDEX(Работы!$D$4:$D$672,MATCH(SUBSTITUTE(SUBSTITUTE(SUBSTITUTE(A434,"~","~~"),"*","~*"),"?","~?"),Работы!$B$4:$B$672,0)),0)</f>
        <v/>
      </c>
      <c r="G434" s="10" t="n">
        <v>120</v>
      </c>
      <c r="H434" s="14" t="n">
        <v>1</v>
      </c>
      <c r="I434" s="11" t="n">
        <v>0.04</v>
      </c>
      <c r="J434" s="11" t="n">
        <v>0.12</v>
      </c>
      <c r="K434" s="10" t="n"/>
      <c r="L434" s="9" t="inlineStr">
        <is>
          <t>оценка</t>
        </is>
      </c>
      <c r="M434" s="9" t="inlineStr"/>
      <c r="N434" s="9" t="inlineStr">
        <is>
          <t>2026-10-29</t>
        </is>
      </c>
      <c r="O434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34" s="4">
        <f>IF(H434=1,G434/VAT_DIV,G434)</f>
        <v/>
      </c>
      <c r="Q434" s="4">
        <f>P434*(1+I434)*(1+DELIV)*(1+GROWTH+MONEY)</f>
        <v/>
      </c>
      <c r="R434" s="4">
        <f>IF(AND(K434&lt;&gt;"",Q434*(1+J434)&gt;K434/VAT_DIV),K434/VAT_DIV,Q434*(1+J434))</f>
        <v/>
      </c>
      <c r="S434" s="4">
        <f>Q434*F434</f>
        <v/>
      </c>
      <c r="T434" s="4">
        <f>R434*F434</f>
        <v/>
      </c>
      <c r="U434" s="3">
        <f>IF(AND(K434&lt;&gt;"",Q434*(1+J434)&gt;K434/VAT_DIV+0.01),"ДА","")</f>
        <v/>
      </c>
      <c r="V434" s="4">
        <f>P434*F434</f>
        <v/>
      </c>
    </row>
    <row r="435" ht="20" customHeight="1">
      <c r="A435" s="9" t="inlineStr">
        <is>
          <t>405. Тройники переходники МП 20х26х20</t>
        </is>
      </c>
      <c r="B435" s="13" t="inlineStr">
        <is>
          <t>Тройники переходники МП 20х26х20</t>
        </is>
      </c>
      <c r="C435" s="9" t="inlineStr">
        <is>
          <t>Трубы и фитинги ВиК, отопления</t>
        </is>
      </c>
      <c r="D435" s="9" t="inlineStr">
        <is>
          <t>шт</t>
        </is>
      </c>
      <c r="E435" s="10" t="n">
        <v>1</v>
      </c>
      <c r="F435" s="4">
        <f>E435*IFERROR(INDEX(Работы!$D$4:$D$672,MATCH(SUBSTITUTE(SUBSTITUTE(SUBSTITUTE(A435,"~","~~"),"*","~*"),"?","~?"),Работы!$B$4:$B$672,0)),0)</f>
        <v/>
      </c>
      <c r="G435" s="10" t="n">
        <v>120</v>
      </c>
      <c r="H435" s="14" t="n">
        <v>1</v>
      </c>
      <c r="I435" s="11" t="n">
        <v>0.04</v>
      </c>
      <c r="J435" s="11" t="n">
        <v>0.12</v>
      </c>
      <c r="K435" s="10" t="n"/>
      <c r="L435" s="9" t="inlineStr">
        <is>
          <t>оценка</t>
        </is>
      </c>
      <c r="M435" s="9" t="inlineStr"/>
      <c r="N435" s="9" t="inlineStr">
        <is>
          <t>2026-10-29</t>
        </is>
      </c>
      <c r="O435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35" s="4">
        <f>IF(H435=1,G435/VAT_DIV,G435)</f>
        <v/>
      </c>
      <c r="Q435" s="4">
        <f>P435*(1+I435)*(1+DELIV)*(1+GROWTH+MONEY)</f>
        <v/>
      </c>
      <c r="R435" s="4">
        <f>IF(AND(K435&lt;&gt;"",Q435*(1+J435)&gt;K435/VAT_DIV),K435/VAT_DIV,Q435*(1+J435))</f>
        <v/>
      </c>
      <c r="S435" s="4">
        <f>Q435*F435</f>
        <v/>
      </c>
      <c r="T435" s="4">
        <f>R435*F435</f>
        <v/>
      </c>
      <c r="U435" s="3">
        <f>IF(AND(K435&lt;&gt;"",Q435*(1+J435)&gt;K435/VAT_DIV+0.01),"ДА","")</f>
        <v/>
      </c>
      <c r="V435" s="4">
        <f>P435*F435</f>
        <v/>
      </c>
    </row>
    <row r="436" ht="20" customHeight="1">
      <c r="A436" s="9" t="inlineStr">
        <is>
          <t>406. Тройники переходники МП 26х16х26</t>
        </is>
      </c>
      <c r="B436" s="13" t="inlineStr">
        <is>
          <t>Тройники переходники МП 26х16х26</t>
        </is>
      </c>
      <c r="C436" s="9" t="inlineStr">
        <is>
          <t>Трубы и фитинги ВиК, отопления</t>
        </is>
      </c>
      <c r="D436" s="9" t="inlineStr">
        <is>
          <t>шт</t>
        </is>
      </c>
      <c r="E436" s="10" t="n">
        <v>1</v>
      </c>
      <c r="F436" s="4">
        <f>E436*IFERROR(INDEX(Работы!$D$4:$D$672,MATCH(SUBSTITUTE(SUBSTITUTE(SUBSTITUTE(A436,"~","~~"),"*","~*"),"?","~?"),Работы!$B$4:$B$672,0)),0)</f>
        <v/>
      </c>
      <c r="G436" s="10" t="n">
        <v>180</v>
      </c>
      <c r="H436" s="14" t="n">
        <v>1</v>
      </c>
      <c r="I436" s="11" t="n">
        <v>0.04</v>
      </c>
      <c r="J436" s="11" t="n">
        <v>0.12</v>
      </c>
      <c r="K436" s="10" t="n"/>
      <c r="L436" s="9" t="inlineStr">
        <is>
          <t>оценка</t>
        </is>
      </c>
      <c r="M436" s="9" t="inlineStr"/>
      <c r="N436" s="9" t="inlineStr">
        <is>
          <t>2026-10-29</t>
        </is>
      </c>
      <c r="O436" s="13" t="inlineStr">
        <is>
          <t>оценка пресс-фитинга МП, запросить Valtec В Петрович, Лемана ПРО и Сатурн открытой карточки нет, оставлен прежний источник.</t>
        </is>
      </c>
      <c r="P436" s="4">
        <f>IF(H436=1,G436/VAT_DIV,G436)</f>
        <v/>
      </c>
      <c r="Q436" s="4">
        <f>P436*(1+I436)*(1+DELIV)*(1+GROWTH+MONEY)</f>
        <v/>
      </c>
      <c r="R436" s="4">
        <f>IF(AND(K436&lt;&gt;"",Q436*(1+J436)&gt;K436/VAT_DIV),K436/VAT_DIV,Q436*(1+J436))</f>
        <v/>
      </c>
      <c r="S436" s="4">
        <f>Q436*F436</f>
        <v/>
      </c>
      <c r="T436" s="4">
        <f>R436*F436</f>
        <v/>
      </c>
      <c r="U436" s="3">
        <f>IF(AND(K436&lt;&gt;"",Q436*(1+J436)&gt;K436/VAT_DIV+0.01),"ДА","")</f>
        <v/>
      </c>
      <c r="V436" s="4">
        <f>P436*F436</f>
        <v/>
      </c>
    </row>
    <row r="437" ht="20" customHeight="1">
      <c r="A437" s="9" t="inlineStr">
        <is>
          <t>407. Насос циркуляционный типа Grundfos UPS 25-40или аналог</t>
        </is>
      </c>
      <c r="B437" s="13" t="inlineStr">
        <is>
          <t>Насос UPS 25-40</t>
        </is>
      </c>
      <c r="C437" s="9" t="inlineStr">
        <is>
          <t>ОБОРУДОВАНИЕ (вентустановки, кондиционеры, насосы, щиты под заказ)</t>
        </is>
      </c>
      <c r="D437" s="9" t="inlineStr">
        <is>
          <t>шт</t>
        </is>
      </c>
      <c r="E437" s="10" t="n">
        <v>1</v>
      </c>
      <c r="F437" s="4">
        <f>E437*IFERROR(INDEX(Работы!$D$4:$D$672,MATCH(SUBSTITUTE(SUBSTITUTE(SUBSTITUTE(A437,"~","~~"),"*","~*"),"?","~?"),Работы!$B$4:$B$672,0)),0)</f>
        <v/>
      </c>
      <c r="G437" s="10" t="n">
        <v>12000</v>
      </c>
      <c r="H437" s="14" t="n">
        <v>1</v>
      </c>
      <c r="I437" s="11" t="n">
        <v>0</v>
      </c>
      <c r="J437" s="11" t="n">
        <v>0.1</v>
      </c>
      <c r="K437" s="10" t="n"/>
      <c r="L437" s="9" t="inlineStr">
        <is>
          <t>оценка</t>
        </is>
      </c>
      <c r="M437" s="9" t="inlineStr"/>
      <c r="N437" s="9" t="inlineStr">
        <is>
          <t>2026-10-29</t>
        </is>
      </c>
      <c r="O437" s="13" t="inlineStr">
        <is>
          <t>оценка, запросить КП Grundfos В Петрович, Лемана ПРО и Сатурн открытой карточки нет, оставлен прежний источник.</t>
        </is>
      </c>
      <c r="P437" s="4">
        <f>IF(H437=1,G437/VAT_DIV,G437)</f>
        <v/>
      </c>
      <c r="Q437" s="4">
        <f>P437*(1+I437)*(1+DELIV)*(1+GROWTH+MONEY)</f>
        <v/>
      </c>
      <c r="R437" s="4">
        <f>IF(AND(K437&lt;&gt;"",Q437*(1+J437)&gt;K437/VAT_DIV),K437/VAT_DIV,Q437*(1+J437))</f>
        <v/>
      </c>
      <c r="S437" s="4">
        <f>Q437*F437</f>
        <v/>
      </c>
      <c r="T437" s="4">
        <f>R437*F437</f>
        <v/>
      </c>
      <c r="U437" s="3">
        <f>IF(AND(K437&lt;&gt;"",Q437*(1+J437)&gt;K437/VAT_DIV+0.01),"ДА","")</f>
        <v/>
      </c>
      <c r="V437" s="4">
        <f>P437*F437</f>
        <v/>
      </c>
    </row>
    <row r="438" ht="20" customHeight="1">
      <c r="A438" s="9" t="inlineStr">
        <is>
          <t>408. Водонагреватель накопительный, электрический Термекс 30 или аналог</t>
        </is>
      </c>
      <c r="B438" s="13" t="inlineStr">
        <is>
          <t>Водонагреватель 30 л</t>
        </is>
      </c>
      <c r="C438" s="9" t="inlineStr">
        <is>
          <t>ОБОРУДОВАНИЕ (вентустановки, кондиционеры, насосы, щиты под заказ)</t>
        </is>
      </c>
      <c r="D438" s="9" t="inlineStr">
        <is>
          <t>шт</t>
        </is>
      </c>
      <c r="E438" s="10" t="n">
        <v>1</v>
      </c>
      <c r="F438" s="4">
        <f>E438*IFERROR(INDEX(Работы!$D$4:$D$672,MATCH(SUBSTITUTE(SUBSTITUTE(SUBSTITUTE(A438,"~","~~"),"*","~*"),"?","~?"),Работы!$B$4:$B$672,0)),0)</f>
        <v/>
      </c>
      <c r="G438" s="10" t="n">
        <v>4304.99</v>
      </c>
      <c r="H438" s="14" t="n">
        <v>1</v>
      </c>
      <c r="I438" s="11" t="n">
        <v>0</v>
      </c>
      <c r="J438" s="11" t="n">
        <v>0.1</v>
      </c>
      <c r="K438" s="10" t="n"/>
      <c r="L438" s="9" t="inlineStr">
        <is>
          <t>Петрович</t>
        </is>
      </c>
      <c r="M438" s="9" t="inlineStr">
        <is>
          <t>https://moscow.petrovich.ru/product/607431/</t>
        </is>
      </c>
      <c r="N438" s="9" t="inlineStr">
        <is>
          <t>2026-10-29</t>
        </is>
      </c>
      <c r="O438" s="13" t="inlineStr">
        <is>
          <t>Якорь Петрович Edisson ER 50 V = 5 849 руб. Меньший объём — степень 0,6, оценка.</t>
        </is>
      </c>
      <c r="P438" s="4">
        <f>IF(H438=1,G438/VAT_DIV,G438)</f>
        <v/>
      </c>
      <c r="Q438" s="4">
        <f>P438*(1+I438)*(1+DELIV)*(1+GROWTH+MONEY)</f>
        <v/>
      </c>
      <c r="R438" s="4">
        <f>IF(AND(K438&lt;&gt;"",Q438*(1+J438)&gt;K438/VAT_DIV),K438/VAT_DIV,Q438*(1+J438))</f>
        <v/>
      </c>
      <c r="S438" s="4">
        <f>Q438*F438</f>
        <v/>
      </c>
      <c r="T438" s="4">
        <f>R438*F438</f>
        <v/>
      </c>
      <c r="U438" s="3">
        <f>IF(AND(K438&lt;&gt;"",Q438*(1+J438)&gt;K438/VAT_DIV+0.01),"ДА","")</f>
        <v/>
      </c>
      <c r="V438" s="4">
        <f>P438*F438</f>
        <v/>
      </c>
    </row>
    <row r="439" ht="20" customHeight="1">
      <c r="A439" s="9" t="inlineStr">
        <is>
          <t>409. Водонагреватель накопительный, электрический Термекс 50 или аналог</t>
        </is>
      </c>
      <c r="B439" s="13" t="inlineStr">
        <is>
          <t>Водонагреватель 50 л</t>
        </is>
      </c>
      <c r="C439" s="9" t="inlineStr">
        <is>
          <t>ОБОРУДОВАНИЕ (вентустановки, кондиционеры, насосы, щиты под заказ)</t>
        </is>
      </c>
      <c r="D439" s="9" t="inlineStr">
        <is>
          <t>шт</t>
        </is>
      </c>
      <c r="E439" s="10" t="n">
        <v>1</v>
      </c>
      <c r="F439" s="4">
        <f>E439*IFERROR(INDEX(Работы!$D$4:$D$672,MATCH(SUBSTITUTE(SUBSTITUTE(SUBSTITUTE(A439,"~","~~"),"*","~*"),"?","~?"),Работы!$B$4:$B$672,0)),0)</f>
        <v/>
      </c>
      <c r="G439" s="10" t="n">
        <v>5849</v>
      </c>
      <c r="H439" s="14" t="n">
        <v>1</v>
      </c>
      <c r="I439" s="11" t="n">
        <v>0</v>
      </c>
      <c r="J439" s="11" t="n">
        <v>0.1</v>
      </c>
      <c r="K439" s="10" t="n"/>
      <c r="L439" s="9" t="inlineStr">
        <is>
          <t>Петрович</t>
        </is>
      </c>
      <c r="M439" s="9" t="inlineStr">
        <is>
          <t>https://moscow.petrovich.ru/product/607431/</t>
        </is>
      </c>
      <c r="N439" s="9" t="inlineStr">
        <is>
          <t>2026-10-29</t>
        </is>
      </c>
      <c r="O439" s="13" t="inlineStr">
        <is>
          <t>Якорь Петрович Edisson ER 50 V = 5 849 руб. Меньший объём — степень 0,6, оценка.</t>
        </is>
      </c>
      <c r="P439" s="4">
        <f>IF(H439=1,G439/VAT_DIV,G439)</f>
        <v/>
      </c>
      <c r="Q439" s="4">
        <f>P439*(1+I439)*(1+DELIV)*(1+GROWTH+MONEY)</f>
        <v/>
      </c>
      <c r="R439" s="4">
        <f>IF(AND(K439&lt;&gt;"",Q439*(1+J439)&gt;K439/VAT_DIV),K439/VAT_DIV,Q439*(1+J439))</f>
        <v/>
      </c>
      <c r="S439" s="4">
        <f>Q439*F439</f>
        <v/>
      </c>
      <c r="T439" s="4">
        <f>R439*F439</f>
        <v/>
      </c>
      <c r="U439" s="3">
        <f>IF(AND(K439&lt;&gt;"",Q439*(1+J439)&gt;K439/VAT_DIV+0.01),"ДА","")</f>
        <v/>
      </c>
      <c r="V439" s="4">
        <f>P439*F439</f>
        <v/>
      </c>
    </row>
    <row r="440" ht="20" customHeight="1">
      <c r="A440" s="9" t="inlineStr">
        <is>
          <t>410. Водонагреватель накопительный, электрический Термекс 80 или аналог</t>
        </is>
      </c>
      <c r="B440" s="13" t="inlineStr">
        <is>
          <t>Водонагреватель 80 л</t>
        </is>
      </c>
      <c r="C440" s="9" t="inlineStr">
        <is>
          <t>ОБОРУДОВАНИЕ (вентустановки, кондиционеры, насосы, щиты под заказ)</t>
        </is>
      </c>
      <c r="D440" s="9" t="inlineStr">
        <is>
          <t>шт</t>
        </is>
      </c>
      <c r="E440" s="10" t="n">
        <v>1</v>
      </c>
      <c r="F440" s="4">
        <f>E440*IFERROR(INDEX(Работы!$D$4:$D$672,MATCH(SUBSTITUTE(SUBSTITUTE(SUBSTITUTE(A440,"~","~~"),"*","~*"),"?","~?"),Работы!$B$4:$B$672,0)),0)</f>
        <v/>
      </c>
      <c r="G440" s="10" t="n">
        <v>8735</v>
      </c>
      <c r="H440" s="14" t="n">
        <v>1</v>
      </c>
      <c r="I440" s="11" t="n">
        <v>0</v>
      </c>
      <c r="J440" s="11" t="n">
        <v>0.1</v>
      </c>
      <c r="K440" s="10" t="n"/>
      <c r="L440" s="9" t="inlineStr">
        <is>
          <t>Лемана ПРО</t>
        </is>
      </c>
      <c r="M440" s="9" t="inlineStr">
        <is>
          <t>https://lemanapro.ru/product/vodonagrevatel-nakopitelnyy-ariston-80-l-92576062/</t>
        </is>
      </c>
      <c r="N440" s="9" t="inlineStr">
        <is>
          <t>2026-10-29</t>
        </is>
      </c>
      <c r="O440" s="13" t="inlineStr">
        <is>
          <t>Якорь Лемана ПРО Ariston 80 л = 8 735 руб. Сатурн Edisson 50 л = 6 495. Другой объём — степень 0,6, оценка.</t>
        </is>
      </c>
      <c r="P440" s="4">
        <f>IF(H440=1,G440/VAT_DIV,G440)</f>
        <v/>
      </c>
      <c r="Q440" s="4">
        <f>P440*(1+I440)*(1+DELIV)*(1+GROWTH+MONEY)</f>
        <v/>
      </c>
      <c r="R440" s="4">
        <f>IF(AND(K440&lt;&gt;"",Q440*(1+J440)&gt;K440/VAT_DIV),K440/VAT_DIV,Q440*(1+J440))</f>
        <v/>
      </c>
      <c r="S440" s="4">
        <f>Q440*F440</f>
        <v/>
      </c>
      <c r="T440" s="4">
        <f>R440*F440</f>
        <v/>
      </c>
      <c r="U440" s="3">
        <f>IF(AND(K440&lt;&gt;"",Q440*(1+J440)&gt;K440/VAT_DIV+0.01),"ДА","")</f>
        <v/>
      </c>
      <c r="V440" s="4">
        <f>P440*F440</f>
        <v/>
      </c>
    </row>
    <row r="441" ht="20" customHeight="1">
      <c r="A441" s="9" t="inlineStr">
        <is>
          <t>411. Водонагреватель накопительный, электрический Термекс 100 или аналог</t>
        </is>
      </c>
      <c r="B441" s="13" t="inlineStr">
        <is>
          <t>Водонагреватель 100 л</t>
        </is>
      </c>
      <c r="C441" s="9" t="inlineStr">
        <is>
          <t>ОБОРУДОВАНИЕ (вентустановки, кондиционеры, насосы, щиты под заказ)</t>
        </is>
      </c>
      <c r="D441" s="9" t="inlineStr">
        <is>
          <t>шт</t>
        </is>
      </c>
      <c r="E441" s="10" t="n">
        <v>1</v>
      </c>
      <c r="F441" s="4">
        <f>E441*IFERROR(INDEX(Работы!$D$4:$D$672,MATCH(SUBSTITUTE(SUBSTITUTE(SUBSTITUTE(A441,"~","~~"),"*","~*"),"?","~?"),Работы!$B$4:$B$672,0)),0)</f>
        <v/>
      </c>
      <c r="G441" s="10" t="n">
        <v>9986.4</v>
      </c>
      <c r="H441" s="14" t="n">
        <v>1</v>
      </c>
      <c r="I441" s="11" t="n">
        <v>0</v>
      </c>
      <c r="J441" s="11" t="n">
        <v>0.1</v>
      </c>
      <c r="K441" s="10" t="n"/>
      <c r="L441" s="9" t="inlineStr">
        <is>
          <t>Лемана ПРО</t>
        </is>
      </c>
      <c r="M441" s="9" t="inlineStr">
        <is>
          <t>https://lemanapro.ru/product/vodonagrevatel-nakopitelnyy-ariston-80-l-92576062/</t>
        </is>
      </c>
      <c r="N441" s="9" t="inlineStr">
        <is>
          <t>2026-10-29</t>
        </is>
      </c>
      <c r="O441" s="13" t="inlineStr">
        <is>
          <t>Якорь Лемана ПРО Ariston 80 л = 8 735 руб. Сатурн Edisson 50 л = 6 495. Другой объём — степень 0,6, оценка.</t>
        </is>
      </c>
      <c r="P441" s="4">
        <f>IF(H441=1,G441/VAT_DIV,G441)</f>
        <v/>
      </c>
      <c r="Q441" s="4">
        <f>P441*(1+I441)*(1+DELIV)*(1+GROWTH+MONEY)</f>
        <v/>
      </c>
      <c r="R441" s="4">
        <f>IF(AND(K441&lt;&gt;"",Q441*(1+J441)&gt;K441/VAT_DIV),K441/VAT_DIV,Q441*(1+J441))</f>
        <v/>
      </c>
      <c r="S441" s="4">
        <f>Q441*F441</f>
        <v/>
      </c>
      <c r="T441" s="4">
        <f>R441*F441</f>
        <v/>
      </c>
      <c r="U441" s="3">
        <f>IF(AND(K441&lt;&gt;"",Q441*(1+J441)&gt;K441/VAT_DIV+0.01),"ДА","")</f>
        <v/>
      </c>
      <c r="V441" s="4">
        <f>P441*F441</f>
        <v/>
      </c>
    </row>
    <row r="442" ht="20" customHeight="1">
      <c r="A442" s="9" t="inlineStr">
        <is>
          <t>412. Кран шаровой латунь 11б27п1 Ду 15 G1/2" Ру16 ВР</t>
        </is>
      </c>
      <c r="B442" s="13" t="inlineStr">
        <is>
          <t>Кран шаровой латунь 11б27п1 Ду 15 G1/2" Ру16 ВР</t>
        </is>
      </c>
      <c r="C442" s="9" t="inlineStr">
        <is>
          <t>Трубы и фитинги ВиК, отопления</t>
        </is>
      </c>
      <c r="D442" s="9" t="inlineStr">
        <is>
          <t>шт</t>
        </is>
      </c>
      <c r="E442" s="10" t="n">
        <v>1</v>
      </c>
      <c r="F442" s="4">
        <f>E442*IFERROR(INDEX(Работы!$D$4:$D$672,MATCH(SUBSTITUTE(SUBSTITUTE(SUBSTITUTE(A442,"~","~~"),"*","~*"),"?","~?"),Работы!$B$4:$B$672,0)),0)</f>
        <v/>
      </c>
      <c r="G442" s="10" t="n">
        <v>280</v>
      </c>
      <c r="H442" s="14" t="n">
        <v>1</v>
      </c>
      <c r="I442" s="11" t="n">
        <v>0.04</v>
      </c>
      <c r="J442" s="11" t="n">
        <v>0.12</v>
      </c>
      <c r="K442" s="10" t="n"/>
      <c r="L442" s="9" t="inlineStr">
        <is>
          <t>оценка</t>
        </is>
      </c>
      <c r="M442" s="9" t="inlineStr"/>
      <c r="N442" s="9" t="inlineStr">
        <is>
          <t>2026-10-29</t>
        </is>
      </c>
      <c r="O442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42" s="4">
        <f>IF(H442=1,G442/VAT_DIV,G442)</f>
        <v/>
      </c>
      <c r="Q442" s="4">
        <f>P442*(1+I442)*(1+DELIV)*(1+GROWTH+MONEY)</f>
        <v/>
      </c>
      <c r="R442" s="4">
        <f>IF(AND(K442&lt;&gt;"",Q442*(1+J442)&gt;K442/VAT_DIV),K442/VAT_DIV,Q442*(1+J442))</f>
        <v/>
      </c>
      <c r="S442" s="4">
        <f>Q442*F442</f>
        <v/>
      </c>
      <c r="T442" s="4">
        <f>R442*F442</f>
        <v/>
      </c>
      <c r="U442" s="3">
        <f>IF(AND(K442&lt;&gt;"",Q442*(1+J442)&gt;K442/VAT_DIV+0.01),"ДА","")</f>
        <v/>
      </c>
      <c r="V442" s="4">
        <f>P442*F442</f>
        <v/>
      </c>
    </row>
    <row r="443" ht="20" customHeight="1">
      <c r="A443" s="9" t="inlineStr">
        <is>
          <t>413. Кран шаровой латунь 11б27п1 Ду 20 G3/4" Ру16 ВР</t>
        </is>
      </c>
      <c r="B443" s="13" t="inlineStr">
        <is>
          <t>Кран шаровой латунь 11б27п1 Ду 20 G3/4" Ру16 ВР</t>
        </is>
      </c>
      <c r="C443" s="9" t="inlineStr">
        <is>
          <t>Трубы и фитинги ВиК, отопления</t>
        </is>
      </c>
      <c r="D443" s="9" t="inlineStr">
        <is>
          <t>шт</t>
        </is>
      </c>
      <c r="E443" s="10" t="n">
        <v>1</v>
      </c>
      <c r="F443" s="4">
        <f>E443*IFERROR(INDEX(Работы!$D$4:$D$672,MATCH(SUBSTITUTE(SUBSTITUTE(SUBSTITUTE(A443,"~","~~"),"*","~*"),"?","~?"),Работы!$B$4:$B$672,0)),0)</f>
        <v/>
      </c>
      <c r="G443" s="10" t="n">
        <v>380</v>
      </c>
      <c r="H443" s="14" t="n">
        <v>1</v>
      </c>
      <c r="I443" s="11" t="n">
        <v>0.04</v>
      </c>
      <c r="J443" s="11" t="n">
        <v>0.12</v>
      </c>
      <c r="K443" s="10" t="n"/>
      <c r="L443" s="9" t="inlineStr">
        <is>
          <t>оценка</t>
        </is>
      </c>
      <c r="M443" s="9" t="inlineStr"/>
      <c r="N443" s="9" t="inlineStr">
        <is>
          <t>2026-10-29</t>
        </is>
      </c>
      <c r="O443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43" s="4">
        <f>IF(H443=1,G443/VAT_DIV,G443)</f>
        <v/>
      </c>
      <c r="Q443" s="4">
        <f>P443*(1+I443)*(1+DELIV)*(1+GROWTH+MONEY)</f>
        <v/>
      </c>
      <c r="R443" s="4">
        <f>IF(AND(K443&lt;&gt;"",Q443*(1+J443)&gt;K443/VAT_DIV),K443/VAT_DIV,Q443*(1+J443))</f>
        <v/>
      </c>
      <c r="S443" s="4">
        <f>Q443*F443</f>
        <v/>
      </c>
      <c r="T443" s="4">
        <f>R443*F443</f>
        <v/>
      </c>
      <c r="U443" s="3">
        <f>IF(AND(K443&lt;&gt;"",Q443*(1+J443)&gt;K443/VAT_DIV+0.01),"ДА","")</f>
        <v/>
      </c>
      <c r="V443" s="4">
        <f>P443*F443</f>
        <v/>
      </c>
    </row>
    <row r="444" ht="20" customHeight="1">
      <c r="A444" s="9" t="inlineStr">
        <is>
          <t>414. Кран шаровой латунь 11б27п1 Ду 25 G1" Ру16 ВР</t>
        </is>
      </c>
      <c r="B444" s="13" t="inlineStr">
        <is>
          <t>Кран шаровой латунь 11б27п1 Ду 25 G1" Ру16 ВР</t>
        </is>
      </c>
      <c r="C444" s="9" t="inlineStr">
        <is>
          <t>Трубы и фитинги ВиК, отопления</t>
        </is>
      </c>
      <c r="D444" s="9" t="inlineStr">
        <is>
          <t>шт</t>
        </is>
      </c>
      <c r="E444" s="10" t="n">
        <v>1</v>
      </c>
      <c r="F444" s="4">
        <f>E444*IFERROR(INDEX(Работы!$D$4:$D$672,MATCH(SUBSTITUTE(SUBSTITUTE(SUBSTITUTE(A444,"~","~~"),"*","~*"),"?","~?"),Работы!$B$4:$B$672,0)),0)</f>
        <v/>
      </c>
      <c r="G444" s="10" t="n">
        <v>520</v>
      </c>
      <c r="H444" s="14" t="n">
        <v>1</v>
      </c>
      <c r="I444" s="11" t="n">
        <v>0.04</v>
      </c>
      <c r="J444" s="11" t="n">
        <v>0.12</v>
      </c>
      <c r="K444" s="10" t="n"/>
      <c r="L444" s="9" t="inlineStr">
        <is>
          <t>оценка</t>
        </is>
      </c>
      <c r="M444" s="9" t="inlineStr"/>
      <c r="N444" s="9" t="inlineStr">
        <is>
          <t>2026-10-29</t>
        </is>
      </c>
      <c r="O444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44" s="4">
        <f>IF(H444=1,G444/VAT_DIV,G444)</f>
        <v/>
      </c>
      <c r="Q444" s="4">
        <f>P444*(1+I444)*(1+DELIV)*(1+GROWTH+MONEY)</f>
        <v/>
      </c>
      <c r="R444" s="4">
        <f>IF(AND(K444&lt;&gt;"",Q444*(1+J444)&gt;K444/VAT_DIV),K444/VAT_DIV,Q444*(1+J444))</f>
        <v/>
      </c>
      <c r="S444" s="4">
        <f>Q444*F444</f>
        <v/>
      </c>
      <c r="T444" s="4">
        <f>R444*F444</f>
        <v/>
      </c>
      <c r="U444" s="3">
        <f>IF(AND(K444&lt;&gt;"",Q444*(1+J444)&gt;K444/VAT_DIV+0.01),"ДА","")</f>
        <v/>
      </c>
      <c r="V444" s="4">
        <f>P444*F444</f>
        <v/>
      </c>
    </row>
    <row r="445" ht="20" customHeight="1">
      <c r="A445" s="9" t="inlineStr">
        <is>
          <t>415. Кран шаровой латунь 11б27п1 Ду 32 G1 1/4" Ру16 ВР</t>
        </is>
      </c>
      <c r="B445" s="13" t="inlineStr">
        <is>
          <t>Кран шаровой латунь 11б27п1 Ду 32 G1 1/4" Ру16 ВР</t>
        </is>
      </c>
      <c r="C445" s="9" t="inlineStr">
        <is>
          <t>Трубы и фитинги ВиК, отопления</t>
        </is>
      </c>
      <c r="D445" s="9" t="inlineStr">
        <is>
          <t>шт</t>
        </is>
      </c>
      <c r="E445" s="10" t="n">
        <v>1</v>
      </c>
      <c r="F445" s="4">
        <f>E445*IFERROR(INDEX(Работы!$D$4:$D$672,MATCH(SUBSTITUTE(SUBSTITUTE(SUBSTITUTE(A445,"~","~~"),"*","~*"),"?","~?"),Работы!$B$4:$B$672,0)),0)</f>
        <v/>
      </c>
      <c r="G445" s="10" t="n">
        <v>900</v>
      </c>
      <c r="H445" s="14" t="n">
        <v>1</v>
      </c>
      <c r="I445" s="11" t="n">
        <v>0.04</v>
      </c>
      <c r="J445" s="11" t="n">
        <v>0.12</v>
      </c>
      <c r="K445" s="10" t="n"/>
      <c r="L445" s="9" t="inlineStr">
        <is>
          <t>оценка</t>
        </is>
      </c>
      <c r="M445" s="9" t="inlineStr"/>
      <c r="N445" s="9" t="inlineStr">
        <is>
          <t>2026-10-29</t>
        </is>
      </c>
      <c r="O445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45" s="4">
        <f>IF(H445=1,G445/VAT_DIV,G445)</f>
        <v/>
      </c>
      <c r="Q445" s="4">
        <f>P445*(1+I445)*(1+DELIV)*(1+GROWTH+MONEY)</f>
        <v/>
      </c>
      <c r="R445" s="4">
        <f>IF(AND(K445&lt;&gt;"",Q445*(1+J445)&gt;K445/VAT_DIV),K445/VAT_DIV,Q445*(1+J445))</f>
        <v/>
      </c>
      <c r="S445" s="4">
        <f>Q445*F445</f>
        <v/>
      </c>
      <c r="T445" s="4">
        <f>R445*F445</f>
        <v/>
      </c>
      <c r="U445" s="3">
        <f>IF(AND(K445&lt;&gt;"",Q445*(1+J445)&gt;K445/VAT_DIV+0.01),"ДА","")</f>
        <v/>
      </c>
      <c r="V445" s="4">
        <f>P445*F445</f>
        <v/>
      </c>
    </row>
    <row r="446" ht="20" customHeight="1">
      <c r="A446" s="9" t="inlineStr">
        <is>
          <t>416. Кран шаровой латунь 11б27п1 Ду 40 G1 1/2" Ру16 ВР</t>
        </is>
      </c>
      <c r="B446" s="13" t="inlineStr">
        <is>
          <t>Кран шаровой латунь 11б27п1 Ду 40 G1 1/2" Ру16 ВР</t>
        </is>
      </c>
      <c r="C446" s="9" t="inlineStr">
        <is>
          <t>Трубы и фитинги ВиК, отопления</t>
        </is>
      </c>
      <c r="D446" s="9" t="inlineStr">
        <is>
          <t>шт</t>
        </is>
      </c>
      <c r="E446" s="10" t="n">
        <v>1</v>
      </c>
      <c r="F446" s="4">
        <f>E446*IFERROR(INDEX(Работы!$D$4:$D$672,MATCH(SUBSTITUTE(SUBSTITUTE(SUBSTITUTE(A446,"~","~~"),"*","~*"),"?","~?"),Работы!$B$4:$B$672,0)),0)</f>
        <v/>
      </c>
      <c r="G446" s="10" t="n">
        <v>1400</v>
      </c>
      <c r="H446" s="14" t="n">
        <v>1</v>
      </c>
      <c r="I446" s="11" t="n">
        <v>0.04</v>
      </c>
      <c r="J446" s="11" t="n">
        <v>0.12</v>
      </c>
      <c r="K446" s="10" t="n"/>
      <c r="L446" s="9" t="inlineStr">
        <is>
          <t>оценка</t>
        </is>
      </c>
      <c r="M446" s="9" t="inlineStr"/>
      <c r="N446" s="9" t="inlineStr">
        <is>
          <t>2026-10-29</t>
        </is>
      </c>
      <c r="O446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46" s="4">
        <f>IF(H446=1,G446/VAT_DIV,G446)</f>
        <v/>
      </c>
      <c r="Q446" s="4">
        <f>P446*(1+I446)*(1+DELIV)*(1+GROWTH+MONEY)</f>
        <v/>
      </c>
      <c r="R446" s="4">
        <f>IF(AND(K446&lt;&gt;"",Q446*(1+J446)&gt;K446/VAT_DIV),K446/VAT_DIV,Q446*(1+J446))</f>
        <v/>
      </c>
      <c r="S446" s="4">
        <f>Q446*F446</f>
        <v/>
      </c>
      <c r="T446" s="4">
        <f>R446*F446</f>
        <v/>
      </c>
      <c r="U446" s="3">
        <f>IF(AND(K446&lt;&gt;"",Q446*(1+J446)&gt;K446/VAT_DIV+0.01),"ДА","")</f>
        <v/>
      </c>
      <c r="V446" s="4">
        <f>P446*F446</f>
        <v/>
      </c>
    </row>
    <row r="447" ht="20" customHeight="1">
      <c r="A447" s="9" t="inlineStr">
        <is>
          <t>417. Кран шаровой латунь 11б27п1 Ду 50 G2" Ру16 ВР</t>
        </is>
      </c>
      <c r="B447" s="13" t="inlineStr">
        <is>
          <t>Кран шаровой латунь 11б27п1 Ду 50 G2" Ру16 ВР</t>
        </is>
      </c>
      <c r="C447" s="9" t="inlineStr">
        <is>
          <t>Трубы и фитинги ВиК, отопления</t>
        </is>
      </c>
      <c r="D447" s="9" t="inlineStr">
        <is>
          <t>шт</t>
        </is>
      </c>
      <c r="E447" s="10" t="n">
        <v>1</v>
      </c>
      <c r="F447" s="4">
        <f>E447*IFERROR(INDEX(Работы!$D$4:$D$672,MATCH(SUBSTITUTE(SUBSTITUTE(SUBSTITUTE(A447,"~","~~"),"*","~*"),"?","~?"),Работы!$B$4:$B$672,0)),0)</f>
        <v/>
      </c>
      <c r="G447" s="10" t="n">
        <v>2100</v>
      </c>
      <c r="H447" s="14" t="n">
        <v>1</v>
      </c>
      <c r="I447" s="11" t="n">
        <v>0.04</v>
      </c>
      <c r="J447" s="11" t="n">
        <v>0.12</v>
      </c>
      <c r="K447" s="10" t="n"/>
      <c r="L447" s="9" t="inlineStr">
        <is>
          <t>оценка</t>
        </is>
      </c>
      <c r="M447" s="9" t="inlineStr"/>
      <c r="N447" s="9" t="inlineStr">
        <is>
          <t>2026-10-29</t>
        </is>
      </c>
      <c r="O447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47" s="4">
        <f>IF(H447=1,G447/VAT_DIV,G447)</f>
        <v/>
      </c>
      <c r="Q447" s="4">
        <f>P447*(1+I447)*(1+DELIV)*(1+GROWTH+MONEY)</f>
        <v/>
      </c>
      <c r="R447" s="4">
        <f>IF(AND(K447&lt;&gt;"",Q447*(1+J447)&gt;K447/VAT_DIV),K447/VAT_DIV,Q447*(1+J447))</f>
        <v/>
      </c>
      <c r="S447" s="4">
        <f>Q447*F447</f>
        <v/>
      </c>
      <c r="T447" s="4">
        <f>R447*F447</f>
        <v/>
      </c>
      <c r="U447" s="3">
        <f>IF(AND(K447&lt;&gt;"",Q447*(1+J447)&gt;K447/VAT_DIV+0.01),"ДА","")</f>
        <v/>
      </c>
      <c r="V447" s="4">
        <f>P447*F447</f>
        <v/>
      </c>
    </row>
    <row r="448" ht="20" customHeight="1">
      <c r="A448" s="9" t="inlineStr">
        <is>
          <t>418. Кран шаровой латунь 11б27п1 Ду 15 G1/2" Ру16 ВР/НР</t>
        </is>
      </c>
      <c r="B448" s="13" t="inlineStr">
        <is>
          <t>Кран шаровой латунь 11б27п1 Ду 15 G1/2" Ру16 ВР/НР</t>
        </is>
      </c>
      <c r="C448" s="9" t="inlineStr">
        <is>
          <t>Трубы и фитинги ВиК, отопления</t>
        </is>
      </c>
      <c r="D448" s="9" t="inlineStr">
        <is>
          <t>шт</t>
        </is>
      </c>
      <c r="E448" s="10" t="n">
        <v>1</v>
      </c>
      <c r="F448" s="4">
        <f>E448*IFERROR(INDEX(Работы!$D$4:$D$672,MATCH(SUBSTITUTE(SUBSTITUTE(SUBSTITUTE(A448,"~","~~"),"*","~*"),"?","~?"),Работы!$B$4:$B$672,0)),0)</f>
        <v/>
      </c>
      <c r="G448" s="10" t="n">
        <v>280</v>
      </c>
      <c r="H448" s="14" t="n">
        <v>1</v>
      </c>
      <c r="I448" s="11" t="n">
        <v>0.04</v>
      </c>
      <c r="J448" s="11" t="n">
        <v>0.12</v>
      </c>
      <c r="K448" s="10" t="n"/>
      <c r="L448" s="9" t="inlineStr">
        <is>
          <t>оценка</t>
        </is>
      </c>
      <c r="M448" s="9" t="inlineStr"/>
      <c r="N448" s="9" t="inlineStr">
        <is>
          <t>2026-10-29</t>
        </is>
      </c>
      <c r="O448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48" s="4">
        <f>IF(H448=1,G448/VAT_DIV,G448)</f>
        <v/>
      </c>
      <c r="Q448" s="4">
        <f>P448*(1+I448)*(1+DELIV)*(1+GROWTH+MONEY)</f>
        <v/>
      </c>
      <c r="R448" s="4">
        <f>IF(AND(K448&lt;&gt;"",Q448*(1+J448)&gt;K448/VAT_DIV),K448/VAT_DIV,Q448*(1+J448))</f>
        <v/>
      </c>
      <c r="S448" s="4">
        <f>Q448*F448</f>
        <v/>
      </c>
      <c r="T448" s="4">
        <f>R448*F448</f>
        <v/>
      </c>
      <c r="U448" s="3">
        <f>IF(AND(K448&lt;&gt;"",Q448*(1+J448)&gt;K448/VAT_DIV+0.01),"ДА","")</f>
        <v/>
      </c>
      <c r="V448" s="4">
        <f>P448*F448</f>
        <v/>
      </c>
    </row>
    <row r="449" ht="20" customHeight="1">
      <c r="A449" s="9" t="inlineStr">
        <is>
          <t>419. Кран шаровой латунь 11б27п1 Ду 20 G3/4" Ру16 ВР/НР</t>
        </is>
      </c>
      <c r="B449" s="13" t="inlineStr">
        <is>
          <t>Кран шаровой латунь 11б27п1 Ду 20 G3/4" Ру16 ВР/НР</t>
        </is>
      </c>
      <c r="C449" s="9" t="inlineStr">
        <is>
          <t>Трубы и фитинги ВиК, отопления</t>
        </is>
      </c>
      <c r="D449" s="9" t="inlineStr">
        <is>
          <t>шт</t>
        </is>
      </c>
      <c r="E449" s="10" t="n">
        <v>1</v>
      </c>
      <c r="F449" s="4">
        <f>E449*IFERROR(INDEX(Работы!$D$4:$D$672,MATCH(SUBSTITUTE(SUBSTITUTE(SUBSTITUTE(A449,"~","~~"),"*","~*"),"?","~?"),Работы!$B$4:$B$672,0)),0)</f>
        <v/>
      </c>
      <c r="G449" s="10" t="n">
        <v>380</v>
      </c>
      <c r="H449" s="14" t="n">
        <v>1</v>
      </c>
      <c r="I449" s="11" t="n">
        <v>0.04</v>
      </c>
      <c r="J449" s="11" t="n">
        <v>0.12</v>
      </c>
      <c r="K449" s="10" t="n"/>
      <c r="L449" s="9" t="inlineStr">
        <is>
          <t>оценка</t>
        </is>
      </c>
      <c r="M449" s="9" t="inlineStr"/>
      <c r="N449" s="9" t="inlineStr">
        <is>
          <t>2026-10-29</t>
        </is>
      </c>
      <c r="O449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49" s="4">
        <f>IF(H449=1,G449/VAT_DIV,G449)</f>
        <v/>
      </c>
      <c r="Q449" s="4">
        <f>P449*(1+I449)*(1+DELIV)*(1+GROWTH+MONEY)</f>
        <v/>
      </c>
      <c r="R449" s="4">
        <f>IF(AND(K449&lt;&gt;"",Q449*(1+J449)&gt;K449/VAT_DIV),K449/VAT_DIV,Q449*(1+J449))</f>
        <v/>
      </c>
      <c r="S449" s="4">
        <f>Q449*F449</f>
        <v/>
      </c>
      <c r="T449" s="4">
        <f>R449*F449</f>
        <v/>
      </c>
      <c r="U449" s="3">
        <f>IF(AND(K449&lt;&gt;"",Q449*(1+J449)&gt;K449/VAT_DIV+0.01),"ДА","")</f>
        <v/>
      </c>
      <c r="V449" s="4">
        <f>P449*F449</f>
        <v/>
      </c>
    </row>
    <row r="450" ht="20" customHeight="1">
      <c r="A450" s="9" t="inlineStr">
        <is>
          <t>420. Кран шаровой латунь 11б27п1 Ду 25 G1" Ру16 ВР/НР</t>
        </is>
      </c>
      <c r="B450" s="13" t="inlineStr">
        <is>
          <t>Кран шаровой латунь 11б27п1 Ду 25 G1" Ру16 ВР/НР</t>
        </is>
      </c>
      <c r="C450" s="9" t="inlineStr">
        <is>
          <t>Трубы и фитинги ВиК, отопления</t>
        </is>
      </c>
      <c r="D450" s="9" t="inlineStr">
        <is>
          <t>шт</t>
        </is>
      </c>
      <c r="E450" s="10" t="n">
        <v>1</v>
      </c>
      <c r="F450" s="4">
        <f>E450*IFERROR(INDEX(Работы!$D$4:$D$672,MATCH(SUBSTITUTE(SUBSTITUTE(SUBSTITUTE(A450,"~","~~"),"*","~*"),"?","~?"),Работы!$B$4:$B$672,0)),0)</f>
        <v/>
      </c>
      <c r="G450" s="10" t="n">
        <v>520</v>
      </c>
      <c r="H450" s="14" t="n">
        <v>1</v>
      </c>
      <c r="I450" s="11" t="n">
        <v>0.04</v>
      </c>
      <c r="J450" s="11" t="n">
        <v>0.12</v>
      </c>
      <c r="K450" s="10" t="n"/>
      <c r="L450" s="9" t="inlineStr">
        <is>
          <t>оценка</t>
        </is>
      </c>
      <c r="M450" s="9" t="inlineStr"/>
      <c r="N450" s="9" t="inlineStr">
        <is>
          <t>2026-10-29</t>
        </is>
      </c>
      <c r="O450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50" s="4">
        <f>IF(H450=1,G450/VAT_DIV,G450)</f>
        <v/>
      </c>
      <c r="Q450" s="4">
        <f>P450*(1+I450)*(1+DELIV)*(1+GROWTH+MONEY)</f>
        <v/>
      </c>
      <c r="R450" s="4">
        <f>IF(AND(K450&lt;&gt;"",Q450*(1+J450)&gt;K450/VAT_DIV),K450/VAT_DIV,Q450*(1+J450))</f>
        <v/>
      </c>
      <c r="S450" s="4">
        <f>Q450*F450</f>
        <v/>
      </c>
      <c r="T450" s="4">
        <f>R450*F450</f>
        <v/>
      </c>
      <c r="U450" s="3">
        <f>IF(AND(K450&lt;&gt;"",Q450*(1+J450)&gt;K450/VAT_DIV+0.01),"ДА","")</f>
        <v/>
      </c>
      <c r="V450" s="4">
        <f>P450*F450</f>
        <v/>
      </c>
    </row>
    <row r="451" ht="20" customHeight="1">
      <c r="A451" s="9" t="inlineStr">
        <is>
          <t>421. Кран шаровой латунь 11б27п1 Ду 32 G1 1/4" Ру16 ВР/НР</t>
        </is>
      </c>
      <c r="B451" s="13" t="inlineStr">
        <is>
          <t>Кран шаровой латунь 11б27п1 Ду 32 G1 1/4" Ру16 ВР/НР</t>
        </is>
      </c>
      <c r="C451" s="9" t="inlineStr">
        <is>
          <t>Трубы и фитинги ВиК, отопления</t>
        </is>
      </c>
      <c r="D451" s="9" t="inlineStr">
        <is>
          <t>шт</t>
        </is>
      </c>
      <c r="E451" s="10" t="n">
        <v>1</v>
      </c>
      <c r="F451" s="4">
        <f>E451*IFERROR(INDEX(Работы!$D$4:$D$672,MATCH(SUBSTITUTE(SUBSTITUTE(SUBSTITUTE(A451,"~","~~"),"*","~*"),"?","~?"),Работы!$B$4:$B$672,0)),0)</f>
        <v/>
      </c>
      <c r="G451" s="10" t="n">
        <v>900</v>
      </c>
      <c r="H451" s="14" t="n">
        <v>1</v>
      </c>
      <c r="I451" s="11" t="n">
        <v>0.04</v>
      </c>
      <c r="J451" s="11" t="n">
        <v>0.12</v>
      </c>
      <c r="K451" s="10" t="n"/>
      <c r="L451" s="9" t="inlineStr">
        <is>
          <t>оценка</t>
        </is>
      </c>
      <c r="M451" s="9" t="inlineStr"/>
      <c r="N451" s="9" t="inlineStr">
        <is>
          <t>2026-10-29</t>
        </is>
      </c>
      <c r="O451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51" s="4">
        <f>IF(H451=1,G451/VAT_DIV,G451)</f>
        <v/>
      </c>
      <c r="Q451" s="4">
        <f>P451*(1+I451)*(1+DELIV)*(1+GROWTH+MONEY)</f>
        <v/>
      </c>
      <c r="R451" s="4">
        <f>IF(AND(K451&lt;&gt;"",Q451*(1+J451)&gt;K451/VAT_DIV),K451/VAT_DIV,Q451*(1+J451))</f>
        <v/>
      </c>
      <c r="S451" s="4">
        <f>Q451*F451</f>
        <v/>
      </c>
      <c r="T451" s="4">
        <f>R451*F451</f>
        <v/>
      </c>
      <c r="U451" s="3">
        <f>IF(AND(K451&lt;&gt;"",Q451*(1+J451)&gt;K451/VAT_DIV+0.01),"ДА","")</f>
        <v/>
      </c>
      <c r="V451" s="4">
        <f>P451*F451</f>
        <v/>
      </c>
    </row>
    <row r="452" ht="20" customHeight="1">
      <c r="A452" s="9" t="inlineStr">
        <is>
          <t>422. Кран шаровой латунь 11б27п1 Ду 40 G1 1/2" Ру16 ВР/НР</t>
        </is>
      </c>
      <c r="B452" s="13" t="inlineStr">
        <is>
          <t>Кран шаровой латунь 11б27п1 Ду 40 G1 1/2" Ру16 ВР/НР</t>
        </is>
      </c>
      <c r="C452" s="9" t="inlineStr">
        <is>
          <t>Трубы и фитинги ВиК, отопления</t>
        </is>
      </c>
      <c r="D452" s="9" t="inlineStr">
        <is>
          <t>шт</t>
        </is>
      </c>
      <c r="E452" s="10" t="n">
        <v>1</v>
      </c>
      <c r="F452" s="4">
        <f>E452*IFERROR(INDEX(Работы!$D$4:$D$672,MATCH(SUBSTITUTE(SUBSTITUTE(SUBSTITUTE(A452,"~","~~"),"*","~*"),"?","~?"),Работы!$B$4:$B$672,0)),0)</f>
        <v/>
      </c>
      <c r="G452" s="10" t="n">
        <v>1400</v>
      </c>
      <c r="H452" s="14" t="n">
        <v>1</v>
      </c>
      <c r="I452" s="11" t="n">
        <v>0.04</v>
      </c>
      <c r="J452" s="11" t="n">
        <v>0.12</v>
      </c>
      <c r="K452" s="10" t="n"/>
      <c r="L452" s="9" t="inlineStr">
        <is>
          <t>оценка</t>
        </is>
      </c>
      <c r="M452" s="9" t="inlineStr"/>
      <c r="N452" s="9" t="inlineStr">
        <is>
          <t>2026-10-29</t>
        </is>
      </c>
      <c r="O452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52" s="4">
        <f>IF(H452=1,G452/VAT_DIV,G452)</f>
        <v/>
      </c>
      <c r="Q452" s="4">
        <f>P452*(1+I452)*(1+DELIV)*(1+GROWTH+MONEY)</f>
        <v/>
      </c>
      <c r="R452" s="4">
        <f>IF(AND(K452&lt;&gt;"",Q452*(1+J452)&gt;K452/VAT_DIV),K452/VAT_DIV,Q452*(1+J452))</f>
        <v/>
      </c>
      <c r="S452" s="4">
        <f>Q452*F452</f>
        <v/>
      </c>
      <c r="T452" s="4">
        <f>R452*F452</f>
        <v/>
      </c>
      <c r="U452" s="3">
        <f>IF(AND(K452&lt;&gt;"",Q452*(1+J452)&gt;K452/VAT_DIV+0.01),"ДА","")</f>
        <v/>
      </c>
      <c r="V452" s="4">
        <f>P452*F452</f>
        <v/>
      </c>
    </row>
    <row r="453" ht="20" customHeight="1">
      <c r="A453" s="9" t="inlineStr">
        <is>
          <t>423. Кран шаровой латунь 11б27п1 Ду 50 G2" Ру16 ВР/НР</t>
        </is>
      </c>
      <c r="B453" s="13" t="inlineStr">
        <is>
          <t>Кран шаровой латунь 11б27п1 Ду 50 G2" Ру16 ВР/НР</t>
        </is>
      </c>
      <c r="C453" s="9" t="inlineStr">
        <is>
          <t>Трубы и фитинги ВиК, отопления</t>
        </is>
      </c>
      <c r="D453" s="9" t="inlineStr">
        <is>
          <t>шт</t>
        </is>
      </c>
      <c r="E453" s="10" t="n">
        <v>1</v>
      </c>
      <c r="F453" s="4">
        <f>E453*IFERROR(INDEX(Работы!$D$4:$D$672,MATCH(SUBSTITUTE(SUBSTITUTE(SUBSTITUTE(A453,"~","~~"),"*","~*"),"?","~?"),Работы!$B$4:$B$672,0)),0)</f>
        <v/>
      </c>
      <c r="G453" s="10" t="n">
        <v>2100</v>
      </c>
      <c r="H453" s="14" t="n">
        <v>1</v>
      </c>
      <c r="I453" s="11" t="n">
        <v>0.04</v>
      </c>
      <c r="J453" s="11" t="n">
        <v>0.12</v>
      </c>
      <c r="K453" s="10" t="n"/>
      <c r="L453" s="9" t="inlineStr">
        <is>
          <t>оценка</t>
        </is>
      </c>
      <c r="M453" s="9" t="inlineStr"/>
      <c r="N453" s="9" t="inlineStr">
        <is>
          <t>2026-10-29</t>
        </is>
      </c>
      <c r="O453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53" s="4">
        <f>IF(H453=1,G453/VAT_DIV,G453)</f>
        <v/>
      </c>
      <c r="Q453" s="4">
        <f>P453*(1+I453)*(1+DELIV)*(1+GROWTH+MONEY)</f>
        <v/>
      </c>
      <c r="R453" s="4">
        <f>IF(AND(K453&lt;&gt;"",Q453*(1+J453)&gt;K453/VAT_DIV),K453/VAT_DIV,Q453*(1+J453))</f>
        <v/>
      </c>
      <c r="S453" s="4">
        <f>Q453*F453</f>
        <v/>
      </c>
      <c r="T453" s="4">
        <f>R453*F453</f>
        <v/>
      </c>
      <c r="U453" s="3">
        <f>IF(AND(K453&lt;&gt;"",Q453*(1+J453)&gt;K453/VAT_DIV+0.01),"ДА","")</f>
        <v/>
      </c>
      <c r="V453" s="4">
        <f>P453*F453</f>
        <v/>
      </c>
    </row>
    <row r="454" ht="20" customHeight="1">
      <c r="A454" s="9" t="inlineStr">
        <is>
          <t>424. Кран шаровой латунь 11б27п9 Ду 15 G1/2" Ру16 ВР/"американка" полнопроходной</t>
        </is>
      </c>
      <c r="B454" s="13" t="inlineStr">
        <is>
          <t>Кран шаровой латунь 11б27п9 Ду 15 G1/2" Ру16 ВР/"американка" полнопроходной</t>
        </is>
      </c>
      <c r="C454" s="9" t="inlineStr">
        <is>
          <t>Трубы и фитинги ВиК, отопления</t>
        </is>
      </c>
      <c r="D454" s="9" t="inlineStr">
        <is>
          <t>шт</t>
        </is>
      </c>
      <c r="E454" s="10" t="n">
        <v>1</v>
      </c>
      <c r="F454" s="4">
        <f>E454*IFERROR(INDEX(Работы!$D$4:$D$672,MATCH(SUBSTITUTE(SUBSTITUTE(SUBSTITUTE(A454,"~","~~"),"*","~*"),"?","~?"),Работы!$B$4:$B$672,0)),0)</f>
        <v/>
      </c>
      <c r="G454" s="10" t="n">
        <v>420</v>
      </c>
      <c r="H454" s="14" t="n">
        <v>1</v>
      </c>
      <c r="I454" s="11" t="n">
        <v>0.04</v>
      </c>
      <c r="J454" s="11" t="n">
        <v>0.12</v>
      </c>
      <c r="K454" s="10" t="n"/>
      <c r="L454" s="9" t="inlineStr">
        <is>
          <t>оценка</t>
        </is>
      </c>
      <c r="M454" s="9" t="inlineStr"/>
      <c r="N454" s="9" t="inlineStr">
        <is>
          <t>2026-10-29</t>
        </is>
      </c>
      <c r="O454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54" s="4">
        <f>IF(H454=1,G454/VAT_DIV,G454)</f>
        <v/>
      </c>
      <c r="Q454" s="4">
        <f>P454*(1+I454)*(1+DELIV)*(1+GROWTH+MONEY)</f>
        <v/>
      </c>
      <c r="R454" s="4">
        <f>IF(AND(K454&lt;&gt;"",Q454*(1+J454)&gt;K454/VAT_DIV),K454/VAT_DIV,Q454*(1+J454))</f>
        <v/>
      </c>
      <c r="S454" s="4">
        <f>Q454*F454</f>
        <v/>
      </c>
      <c r="T454" s="4">
        <f>R454*F454</f>
        <v/>
      </c>
      <c r="U454" s="3">
        <f>IF(AND(K454&lt;&gt;"",Q454*(1+J454)&gt;K454/VAT_DIV+0.01),"ДА","")</f>
        <v/>
      </c>
      <c r="V454" s="4">
        <f>P454*F454</f>
        <v/>
      </c>
    </row>
    <row r="455" ht="20" customHeight="1">
      <c r="A455" s="9" t="inlineStr">
        <is>
          <t>425. Кран шаровой латунь 11б27п9 Ду 20 G3/4" Ру16 ВР/"американка" полнопроходной</t>
        </is>
      </c>
      <c r="B455" s="13" t="inlineStr">
        <is>
          <t>Кран шаровой латунь 11б27п9 Ду 20 G3/4" Ру16 ВР/"американка" полнопроходной</t>
        </is>
      </c>
      <c r="C455" s="9" t="inlineStr">
        <is>
          <t>Трубы и фитинги ВиК, отопления</t>
        </is>
      </c>
      <c r="D455" s="9" t="inlineStr">
        <is>
          <t>шт</t>
        </is>
      </c>
      <c r="E455" s="10" t="n">
        <v>1</v>
      </c>
      <c r="F455" s="4">
        <f>E455*IFERROR(INDEX(Работы!$D$4:$D$672,MATCH(SUBSTITUTE(SUBSTITUTE(SUBSTITUTE(A455,"~","~~"),"*","~*"),"?","~?"),Работы!$B$4:$B$672,0)),0)</f>
        <v/>
      </c>
      <c r="G455" s="10" t="n">
        <v>570</v>
      </c>
      <c r="H455" s="14" t="n">
        <v>1</v>
      </c>
      <c r="I455" s="11" t="n">
        <v>0.04</v>
      </c>
      <c r="J455" s="11" t="n">
        <v>0.12</v>
      </c>
      <c r="K455" s="10" t="n"/>
      <c r="L455" s="9" t="inlineStr">
        <is>
          <t>оценка</t>
        </is>
      </c>
      <c r="M455" s="9" t="inlineStr"/>
      <c r="N455" s="9" t="inlineStr">
        <is>
          <t>2026-10-29</t>
        </is>
      </c>
      <c r="O455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55" s="4">
        <f>IF(H455=1,G455/VAT_DIV,G455)</f>
        <v/>
      </c>
      <c r="Q455" s="4">
        <f>P455*(1+I455)*(1+DELIV)*(1+GROWTH+MONEY)</f>
        <v/>
      </c>
      <c r="R455" s="4">
        <f>IF(AND(K455&lt;&gt;"",Q455*(1+J455)&gt;K455/VAT_DIV),K455/VAT_DIV,Q455*(1+J455))</f>
        <v/>
      </c>
      <c r="S455" s="4">
        <f>Q455*F455</f>
        <v/>
      </c>
      <c r="T455" s="4">
        <f>R455*F455</f>
        <v/>
      </c>
      <c r="U455" s="3">
        <f>IF(AND(K455&lt;&gt;"",Q455*(1+J455)&gt;K455/VAT_DIV+0.01),"ДА","")</f>
        <v/>
      </c>
      <c r="V455" s="4">
        <f>P455*F455</f>
        <v/>
      </c>
    </row>
    <row r="456" ht="20" customHeight="1">
      <c r="A456" s="9" t="inlineStr">
        <is>
          <t>426. Кран шаровой латунь 11б27п9 Ду 25 G1" Ру16 ВР/"американка" полнопроходной бабочка красный Цветлит 11б27п9</t>
        </is>
      </c>
      <c r="B456" s="13" t="inlineStr">
        <is>
          <t xml:space="preserve">Кран шаровой латунь 11б27п9 Ду 25 G1" Ру16 ВР/"американка" полнопроходной бабочка красный </t>
        </is>
      </c>
      <c r="C456" s="9" t="inlineStr">
        <is>
          <t>Трубы и фитинги ВиК, отопления</t>
        </is>
      </c>
      <c r="D456" s="9" t="inlineStr">
        <is>
          <t>шт</t>
        </is>
      </c>
      <c r="E456" s="10" t="n">
        <v>1</v>
      </c>
      <c r="F456" s="4">
        <f>E456*IFERROR(INDEX(Работы!$D$4:$D$672,MATCH(SUBSTITUTE(SUBSTITUTE(SUBSTITUTE(A456,"~","~~"),"*","~*"),"?","~?"),Работы!$B$4:$B$672,0)),0)</f>
        <v/>
      </c>
      <c r="G456" s="10" t="n">
        <v>780</v>
      </c>
      <c r="H456" s="14" t="n">
        <v>1</v>
      </c>
      <c r="I456" s="11" t="n">
        <v>0.04</v>
      </c>
      <c r="J456" s="11" t="n">
        <v>0.12</v>
      </c>
      <c r="K456" s="10" t="n"/>
      <c r="L456" s="9" t="inlineStr">
        <is>
          <t>оценка</t>
        </is>
      </c>
      <c r="M456" s="9" t="inlineStr"/>
      <c r="N456" s="9" t="inlineStr">
        <is>
          <t>2026-10-29</t>
        </is>
      </c>
      <c r="O456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56" s="4">
        <f>IF(H456=1,G456/VAT_DIV,G456)</f>
        <v/>
      </c>
      <c r="Q456" s="4">
        <f>P456*(1+I456)*(1+DELIV)*(1+GROWTH+MONEY)</f>
        <v/>
      </c>
      <c r="R456" s="4">
        <f>IF(AND(K456&lt;&gt;"",Q456*(1+J456)&gt;K456/VAT_DIV),K456/VAT_DIV,Q456*(1+J456))</f>
        <v/>
      </c>
      <c r="S456" s="4">
        <f>Q456*F456</f>
        <v/>
      </c>
      <c r="T456" s="4">
        <f>R456*F456</f>
        <v/>
      </c>
      <c r="U456" s="3">
        <f>IF(AND(K456&lt;&gt;"",Q456*(1+J456)&gt;K456/VAT_DIV+0.01),"ДА","")</f>
        <v/>
      </c>
      <c r="V456" s="4">
        <f>P456*F456</f>
        <v/>
      </c>
    </row>
    <row r="457" ht="20" customHeight="1">
      <c r="A457" s="9" t="inlineStr">
        <is>
          <t>427. Кран шаровой латунь 11б27п9 Ду 32 G1 1/4" Ру16 ВР/"американка" полнопроходной бабочка красный Цветлит 11б27п9</t>
        </is>
      </c>
      <c r="B457" s="13" t="inlineStr">
        <is>
          <t>Кран шаровой латунь 11б27п9 Ду 32 G1 1/4" Ру16 ВР/"американка" полнопроходной бабочка крас</t>
        </is>
      </c>
      <c r="C457" s="9" t="inlineStr">
        <is>
          <t>Трубы и фитинги ВиК, отопления</t>
        </is>
      </c>
      <c r="D457" s="9" t="inlineStr">
        <is>
          <t>шт</t>
        </is>
      </c>
      <c r="E457" s="10" t="n">
        <v>1</v>
      </c>
      <c r="F457" s="4">
        <f>E457*IFERROR(INDEX(Работы!$D$4:$D$672,MATCH(SUBSTITUTE(SUBSTITUTE(SUBSTITUTE(A457,"~","~~"),"*","~*"),"?","~?"),Работы!$B$4:$B$672,0)),0)</f>
        <v/>
      </c>
      <c r="G457" s="10" t="n">
        <v>1350</v>
      </c>
      <c r="H457" s="14" t="n">
        <v>1</v>
      </c>
      <c r="I457" s="11" t="n">
        <v>0.04</v>
      </c>
      <c r="J457" s="11" t="n">
        <v>0.12</v>
      </c>
      <c r="K457" s="10" t="n"/>
      <c r="L457" s="9" t="inlineStr">
        <is>
          <t>оценка</t>
        </is>
      </c>
      <c r="M457" s="9" t="inlineStr"/>
      <c r="N457" s="9" t="inlineStr">
        <is>
          <t>2026-10-29</t>
        </is>
      </c>
      <c r="O457" s="13" t="inlineStr">
        <is>
          <t>оценка латунного крана 11б27п, запросить КП В Петрович, Лемана ПРО и Сатурн открытой карточки нет, оставлен прежний источник.</t>
        </is>
      </c>
      <c r="P457" s="4">
        <f>IF(H457=1,G457/VAT_DIV,G457)</f>
        <v/>
      </c>
      <c r="Q457" s="4">
        <f>P457*(1+I457)*(1+DELIV)*(1+GROWTH+MONEY)</f>
        <v/>
      </c>
      <c r="R457" s="4">
        <f>IF(AND(K457&lt;&gt;"",Q457*(1+J457)&gt;K457/VAT_DIV),K457/VAT_DIV,Q457*(1+J457))</f>
        <v/>
      </c>
      <c r="S457" s="4">
        <f>Q457*F457</f>
        <v/>
      </c>
      <c r="T457" s="4">
        <f>R457*F457</f>
        <v/>
      </c>
      <c r="U457" s="3">
        <f>IF(AND(K457&lt;&gt;"",Q457*(1+J457)&gt;K457/VAT_DIV+0.01),"ДА","")</f>
        <v/>
      </c>
      <c r="V457" s="4">
        <f>P457*F457</f>
        <v/>
      </c>
    </row>
    <row r="458" ht="20" customHeight="1">
      <c r="A458" s="9" t="inlineStr">
        <is>
          <t>428. Желоб водосточный с порошковой окраскойd 125</t>
        </is>
      </c>
      <c r="B458" s="13" t="inlineStr">
        <is>
          <t>Краска</t>
        </is>
      </c>
      <c r="C458" s="9" t="inlineStr">
        <is>
          <t>Краски, грунты, ЛКМ</t>
        </is>
      </c>
      <c r="D458" s="9" t="inlineStr">
        <is>
          <t>кг</t>
        </is>
      </c>
      <c r="E458" s="10" t="n">
        <v>0.35</v>
      </c>
      <c r="F458" s="4">
        <f>E458*IFERROR(INDEX(Работы!$D$4:$D$672,MATCH(SUBSTITUTE(SUBSTITUTE(SUBSTITUTE(A458,"~","~~"),"*","~*"),"?","~?"),Работы!$B$4:$B$672,0)),0)</f>
        <v/>
      </c>
      <c r="G458" s="10" t="n">
        <v>128.57</v>
      </c>
      <c r="H458" s="14" t="n">
        <v>1</v>
      </c>
      <c r="I458" s="11" t="n">
        <v>0.05</v>
      </c>
      <c r="J458" s="11" t="n">
        <v>0.12</v>
      </c>
      <c r="K458" s="10" t="n"/>
      <c r="L458" s="9" t="inlineStr">
        <is>
          <t>Петрович</t>
        </is>
      </c>
      <c r="M458" s="9" t="inlineStr">
        <is>
          <t>https://moscow.petrovich.ru/product/103990/</t>
        </is>
      </c>
      <c r="N458" s="9" t="inlineStr">
        <is>
          <t>2026-10-29</t>
        </is>
      </c>
      <c r="O458" s="13" t="inlineStr">
        <is>
          <t>Петрович Москва, Текс влагостойкая 1 800 руб/14 кг</t>
        </is>
      </c>
      <c r="P458" s="4">
        <f>IF(H458=1,G458/VAT_DIV,G458)</f>
        <v/>
      </c>
      <c r="Q458" s="4">
        <f>P458*(1+I458)*(1+DELIV)*(1+GROWTH+MONEY)</f>
        <v/>
      </c>
      <c r="R458" s="4">
        <f>IF(AND(K458&lt;&gt;"",Q458*(1+J458)&gt;K458/VAT_DIV),K458/VAT_DIV,Q458*(1+J458))</f>
        <v/>
      </c>
      <c r="S458" s="4">
        <f>Q458*F458</f>
        <v/>
      </c>
      <c r="T458" s="4">
        <f>R458*F458</f>
        <v/>
      </c>
      <c r="U458" s="3">
        <f>IF(AND(K458&lt;&gt;"",Q458*(1+J458)&gt;K458/VAT_DIV+0.01),"ДА","")</f>
        <v/>
      </c>
      <c r="V458" s="4">
        <f>P458*F458</f>
        <v/>
      </c>
    </row>
    <row r="459" ht="20" customHeight="1">
      <c r="A459" s="9" t="inlineStr">
        <is>
          <t>429. Желоб водосточныйс порошковой окраской d 150</t>
        </is>
      </c>
      <c r="B459" s="13" t="inlineStr">
        <is>
          <t>Краска</t>
        </is>
      </c>
      <c r="C459" s="9" t="inlineStr">
        <is>
          <t>Краски, грунты, ЛКМ</t>
        </is>
      </c>
      <c r="D459" s="9" t="inlineStr">
        <is>
          <t>кг</t>
        </is>
      </c>
      <c r="E459" s="10" t="n">
        <v>0.35</v>
      </c>
      <c r="F459" s="4">
        <f>E459*IFERROR(INDEX(Работы!$D$4:$D$672,MATCH(SUBSTITUTE(SUBSTITUTE(SUBSTITUTE(A459,"~","~~"),"*","~*"),"?","~?"),Работы!$B$4:$B$672,0)),0)</f>
        <v/>
      </c>
      <c r="G459" s="10" t="n">
        <v>128.57</v>
      </c>
      <c r="H459" s="14" t="n">
        <v>1</v>
      </c>
      <c r="I459" s="11" t="n">
        <v>0.05</v>
      </c>
      <c r="J459" s="11" t="n">
        <v>0.12</v>
      </c>
      <c r="K459" s="10" t="n"/>
      <c r="L459" s="9" t="inlineStr">
        <is>
          <t>Петрович</t>
        </is>
      </c>
      <c r="M459" s="9" t="inlineStr">
        <is>
          <t>https://moscow.petrovich.ru/product/103990/</t>
        </is>
      </c>
      <c r="N459" s="9" t="inlineStr">
        <is>
          <t>2026-10-29</t>
        </is>
      </c>
      <c r="O459" s="13" t="inlineStr">
        <is>
          <t>Петрович Москва, Текс влагостойкая 1 800 руб/14 кг</t>
        </is>
      </c>
      <c r="P459" s="4">
        <f>IF(H459=1,G459/VAT_DIV,G459)</f>
        <v/>
      </c>
      <c r="Q459" s="4">
        <f>P459*(1+I459)*(1+DELIV)*(1+GROWTH+MONEY)</f>
        <v/>
      </c>
      <c r="R459" s="4">
        <f>IF(AND(K459&lt;&gt;"",Q459*(1+J459)&gt;K459/VAT_DIV),K459/VAT_DIV,Q459*(1+J459))</f>
        <v/>
      </c>
      <c r="S459" s="4">
        <f>Q459*F459</f>
        <v/>
      </c>
      <c r="T459" s="4">
        <f>R459*F459</f>
        <v/>
      </c>
      <c r="U459" s="3">
        <f>IF(AND(K459&lt;&gt;"",Q459*(1+J459)&gt;K459/VAT_DIV+0.01),"ДА","")</f>
        <v/>
      </c>
      <c r="V459" s="4">
        <f>P459*F459</f>
        <v/>
      </c>
    </row>
    <row r="460" ht="20" customHeight="1">
      <c r="A460" s="9" t="inlineStr">
        <is>
          <t>430. Крепление желоба с порошковой окраской d 125</t>
        </is>
      </c>
      <c r="B460" s="13" t="inlineStr">
        <is>
          <t>Краска</t>
        </is>
      </c>
      <c r="C460" s="9" t="inlineStr">
        <is>
          <t>Краски, грунты, ЛКМ</t>
        </is>
      </c>
      <c r="D460" s="9" t="inlineStr">
        <is>
          <t>кг</t>
        </is>
      </c>
      <c r="E460" s="10" t="n">
        <v>0.35</v>
      </c>
      <c r="F460" s="4">
        <f>E460*IFERROR(INDEX(Работы!$D$4:$D$672,MATCH(SUBSTITUTE(SUBSTITUTE(SUBSTITUTE(A460,"~","~~"),"*","~*"),"?","~?"),Работы!$B$4:$B$672,0)),0)</f>
        <v/>
      </c>
      <c r="G460" s="10" t="n">
        <v>128.57</v>
      </c>
      <c r="H460" s="14" t="n">
        <v>1</v>
      </c>
      <c r="I460" s="11" t="n">
        <v>0.05</v>
      </c>
      <c r="J460" s="11" t="n">
        <v>0.12</v>
      </c>
      <c r="K460" s="10" t="n"/>
      <c r="L460" s="9" t="inlineStr">
        <is>
          <t>Петрович</t>
        </is>
      </c>
      <c r="M460" s="9" t="inlineStr">
        <is>
          <t>https://moscow.petrovich.ru/product/103990/</t>
        </is>
      </c>
      <c r="N460" s="9" t="inlineStr">
        <is>
          <t>2026-10-29</t>
        </is>
      </c>
      <c r="O460" s="13" t="inlineStr">
        <is>
          <t>Петрович Москва, Текс влагостойкая 1 800 руб/14 кг</t>
        </is>
      </c>
      <c r="P460" s="4">
        <f>IF(H460=1,G460/VAT_DIV,G460)</f>
        <v/>
      </c>
      <c r="Q460" s="4">
        <f>P460*(1+I460)*(1+DELIV)*(1+GROWTH+MONEY)</f>
        <v/>
      </c>
      <c r="R460" s="4">
        <f>IF(AND(K460&lt;&gt;"",Q460*(1+J460)&gt;K460/VAT_DIV),K460/VAT_DIV,Q460*(1+J460))</f>
        <v/>
      </c>
      <c r="S460" s="4">
        <f>Q460*F460</f>
        <v/>
      </c>
      <c r="T460" s="4">
        <f>R460*F460</f>
        <v/>
      </c>
      <c r="U460" s="3">
        <f>IF(AND(K460&lt;&gt;"",Q460*(1+J460)&gt;K460/VAT_DIV+0.01),"ДА","")</f>
        <v/>
      </c>
      <c r="V460" s="4">
        <f>P460*F460</f>
        <v/>
      </c>
    </row>
    <row r="461" ht="20" customHeight="1">
      <c r="A461" s="9" t="inlineStr">
        <is>
          <t>431. Крепление желоба с порошковой окраской d 150</t>
        </is>
      </c>
      <c r="B461" s="13" t="inlineStr">
        <is>
          <t>Краска</t>
        </is>
      </c>
      <c r="C461" s="9" t="inlineStr">
        <is>
          <t>Краски, грунты, ЛКМ</t>
        </is>
      </c>
      <c r="D461" s="9" t="inlineStr">
        <is>
          <t>кг</t>
        </is>
      </c>
      <c r="E461" s="10" t="n">
        <v>0.35</v>
      </c>
      <c r="F461" s="4">
        <f>E461*IFERROR(INDEX(Работы!$D$4:$D$672,MATCH(SUBSTITUTE(SUBSTITUTE(SUBSTITUTE(A461,"~","~~"),"*","~*"),"?","~?"),Работы!$B$4:$B$672,0)),0)</f>
        <v/>
      </c>
      <c r="G461" s="10" t="n">
        <v>128.57</v>
      </c>
      <c r="H461" s="14" t="n">
        <v>1</v>
      </c>
      <c r="I461" s="11" t="n">
        <v>0.05</v>
      </c>
      <c r="J461" s="11" t="n">
        <v>0.12</v>
      </c>
      <c r="K461" s="10" t="n"/>
      <c r="L461" s="9" t="inlineStr">
        <is>
          <t>Петрович</t>
        </is>
      </c>
      <c r="M461" s="9" t="inlineStr">
        <is>
          <t>https://moscow.petrovich.ru/product/103990/</t>
        </is>
      </c>
      <c r="N461" s="9" t="inlineStr">
        <is>
          <t>2026-10-29</t>
        </is>
      </c>
      <c r="O461" s="13" t="inlineStr">
        <is>
          <t>Петрович Москва, Текс влагостойкая 1 800 руб/14 кг</t>
        </is>
      </c>
      <c r="P461" s="4">
        <f>IF(H461=1,G461/VAT_DIV,G461)</f>
        <v/>
      </c>
      <c r="Q461" s="4">
        <f>P461*(1+I461)*(1+DELIV)*(1+GROWTH+MONEY)</f>
        <v/>
      </c>
      <c r="R461" s="4">
        <f>IF(AND(K461&lt;&gt;"",Q461*(1+J461)&gt;K461/VAT_DIV),K461/VAT_DIV,Q461*(1+J461))</f>
        <v/>
      </c>
      <c r="S461" s="4">
        <f>Q461*F461</f>
        <v/>
      </c>
      <c r="T461" s="4">
        <f>R461*F461</f>
        <v/>
      </c>
      <c r="U461" s="3">
        <f>IF(AND(K461&lt;&gt;"",Q461*(1+J461)&gt;K461/VAT_DIV+0.01),"ДА","")</f>
        <v/>
      </c>
      <c r="V461" s="4">
        <f>P461*F461</f>
        <v/>
      </c>
    </row>
    <row r="462" ht="20" customHeight="1">
      <c r="A462" s="9" t="inlineStr">
        <is>
          <t>432. Труба водосточная из труб с порошковой окраскойd 125</t>
        </is>
      </c>
      <c r="B462" s="13" t="inlineStr">
        <is>
          <t>Краска</t>
        </is>
      </c>
      <c r="C462" s="9" t="inlineStr">
        <is>
          <t>Краски, грунты, ЛКМ</t>
        </is>
      </c>
      <c r="D462" s="9" t="inlineStr">
        <is>
          <t>кг</t>
        </is>
      </c>
      <c r="E462" s="10" t="n">
        <v>0.35</v>
      </c>
      <c r="F462" s="4">
        <f>E462*IFERROR(INDEX(Работы!$D$4:$D$672,MATCH(SUBSTITUTE(SUBSTITUTE(SUBSTITUTE(A462,"~","~~"),"*","~*"),"?","~?"),Работы!$B$4:$B$672,0)),0)</f>
        <v/>
      </c>
      <c r="G462" s="10" t="n">
        <v>128.57</v>
      </c>
      <c r="H462" s="14" t="n">
        <v>1</v>
      </c>
      <c r="I462" s="11" t="n">
        <v>0.05</v>
      </c>
      <c r="J462" s="11" t="n">
        <v>0.12</v>
      </c>
      <c r="K462" s="10" t="n"/>
      <c r="L462" s="9" t="inlineStr">
        <is>
          <t>Петрович</t>
        </is>
      </c>
      <c r="M462" s="9" t="inlineStr">
        <is>
          <t>https://moscow.petrovich.ru/product/103990/</t>
        </is>
      </c>
      <c r="N462" s="9" t="inlineStr">
        <is>
          <t>2026-10-29</t>
        </is>
      </c>
      <c r="O462" s="13" t="inlineStr">
        <is>
          <t>Петрович Москва, Текс влагостойкая 1 800 руб/14 кг</t>
        </is>
      </c>
      <c r="P462" s="4">
        <f>IF(H462=1,G462/VAT_DIV,G462)</f>
        <v/>
      </c>
      <c r="Q462" s="4">
        <f>P462*(1+I462)*(1+DELIV)*(1+GROWTH+MONEY)</f>
        <v/>
      </c>
      <c r="R462" s="4">
        <f>IF(AND(K462&lt;&gt;"",Q462*(1+J462)&gt;K462/VAT_DIV),K462/VAT_DIV,Q462*(1+J462))</f>
        <v/>
      </c>
      <c r="S462" s="4">
        <f>Q462*F462</f>
        <v/>
      </c>
      <c r="T462" s="4">
        <f>R462*F462</f>
        <v/>
      </c>
      <c r="U462" s="3">
        <f>IF(AND(K462&lt;&gt;"",Q462*(1+J462)&gt;K462/VAT_DIV+0.01),"ДА","")</f>
        <v/>
      </c>
      <c r="V462" s="4">
        <f>P462*F462</f>
        <v/>
      </c>
    </row>
    <row r="463" ht="20" customHeight="1">
      <c r="A463" s="9" t="inlineStr">
        <is>
          <t>433. Труба водосточная из труб с порошковой окраскойd 150</t>
        </is>
      </c>
      <c r="B463" s="13" t="inlineStr">
        <is>
          <t>Краска</t>
        </is>
      </c>
      <c r="C463" s="9" t="inlineStr">
        <is>
          <t>Краски, грунты, ЛКМ</t>
        </is>
      </c>
      <c r="D463" s="9" t="inlineStr">
        <is>
          <t>кг</t>
        </is>
      </c>
      <c r="E463" s="10" t="n">
        <v>0.35</v>
      </c>
      <c r="F463" s="4">
        <f>E463*IFERROR(INDEX(Работы!$D$4:$D$672,MATCH(SUBSTITUTE(SUBSTITUTE(SUBSTITUTE(A463,"~","~~"),"*","~*"),"?","~?"),Работы!$B$4:$B$672,0)),0)</f>
        <v/>
      </c>
      <c r="G463" s="10" t="n">
        <v>128.57</v>
      </c>
      <c r="H463" s="14" t="n">
        <v>1</v>
      </c>
      <c r="I463" s="11" t="n">
        <v>0.05</v>
      </c>
      <c r="J463" s="11" t="n">
        <v>0.12</v>
      </c>
      <c r="K463" s="10" t="n"/>
      <c r="L463" s="9" t="inlineStr">
        <is>
          <t>Петрович</t>
        </is>
      </c>
      <c r="M463" s="9" t="inlineStr">
        <is>
          <t>https://moscow.petrovich.ru/product/103990/</t>
        </is>
      </c>
      <c r="N463" s="9" t="inlineStr">
        <is>
          <t>2026-10-29</t>
        </is>
      </c>
      <c r="O463" s="13" t="inlineStr">
        <is>
          <t>Петрович Москва, Текс влагостойкая 1 800 руб/14 кг</t>
        </is>
      </c>
      <c r="P463" s="4">
        <f>IF(H463=1,G463/VAT_DIV,G463)</f>
        <v/>
      </c>
      <c r="Q463" s="4">
        <f>P463*(1+I463)*(1+DELIV)*(1+GROWTH+MONEY)</f>
        <v/>
      </c>
      <c r="R463" s="4">
        <f>IF(AND(K463&lt;&gt;"",Q463*(1+J463)&gt;K463/VAT_DIV),K463/VAT_DIV,Q463*(1+J463))</f>
        <v/>
      </c>
      <c r="S463" s="4">
        <f>Q463*F463</f>
        <v/>
      </c>
      <c r="T463" s="4">
        <f>R463*F463</f>
        <v/>
      </c>
      <c r="U463" s="3">
        <f>IF(AND(K463&lt;&gt;"",Q463*(1+J463)&gt;K463/VAT_DIV+0.01),"ДА","")</f>
        <v/>
      </c>
      <c r="V463" s="4">
        <f>P463*F463</f>
        <v/>
      </c>
    </row>
    <row r="464" ht="20" customHeight="1">
      <c r="A464" s="9" t="inlineStr">
        <is>
          <t>434. Угловой желоб с порошковой окраской d 125</t>
        </is>
      </c>
      <c r="B464" s="13" t="inlineStr">
        <is>
          <t>Краска</t>
        </is>
      </c>
      <c r="C464" s="9" t="inlineStr">
        <is>
          <t>Краски, грунты, ЛКМ</t>
        </is>
      </c>
      <c r="D464" s="9" t="inlineStr">
        <is>
          <t>кг</t>
        </is>
      </c>
      <c r="E464" s="10" t="n">
        <v>0.35</v>
      </c>
      <c r="F464" s="4">
        <f>E464*IFERROR(INDEX(Работы!$D$4:$D$672,MATCH(SUBSTITUTE(SUBSTITUTE(SUBSTITUTE(A464,"~","~~"),"*","~*"),"?","~?"),Работы!$B$4:$B$672,0)),0)</f>
        <v/>
      </c>
      <c r="G464" s="10" t="n">
        <v>128.57</v>
      </c>
      <c r="H464" s="14" t="n">
        <v>1</v>
      </c>
      <c r="I464" s="11" t="n">
        <v>0.05</v>
      </c>
      <c r="J464" s="11" t="n">
        <v>0.12</v>
      </c>
      <c r="K464" s="10" t="n"/>
      <c r="L464" s="9" t="inlineStr">
        <is>
          <t>Петрович</t>
        </is>
      </c>
      <c r="M464" s="9" t="inlineStr">
        <is>
          <t>https://moscow.petrovich.ru/product/103990/</t>
        </is>
      </c>
      <c r="N464" s="9" t="inlineStr">
        <is>
          <t>2026-10-29</t>
        </is>
      </c>
      <c r="O464" s="13" t="inlineStr">
        <is>
          <t>Петрович Москва, Текс влагостойкая 1 800 руб/14 кг</t>
        </is>
      </c>
      <c r="P464" s="4">
        <f>IF(H464=1,G464/VAT_DIV,G464)</f>
        <v/>
      </c>
      <c r="Q464" s="4">
        <f>P464*(1+I464)*(1+DELIV)*(1+GROWTH+MONEY)</f>
        <v/>
      </c>
      <c r="R464" s="4">
        <f>IF(AND(K464&lt;&gt;"",Q464*(1+J464)&gt;K464/VAT_DIV),K464/VAT_DIV,Q464*(1+J464))</f>
        <v/>
      </c>
      <c r="S464" s="4">
        <f>Q464*F464</f>
        <v/>
      </c>
      <c r="T464" s="4">
        <f>R464*F464</f>
        <v/>
      </c>
      <c r="U464" s="3">
        <f>IF(AND(K464&lt;&gt;"",Q464*(1+J464)&gt;K464/VAT_DIV+0.01),"ДА","")</f>
        <v/>
      </c>
      <c r="V464" s="4">
        <f>P464*F464</f>
        <v/>
      </c>
    </row>
    <row r="465" ht="20" customHeight="1">
      <c r="A465" s="9" t="inlineStr">
        <is>
          <t>435. Угловой желоб с порошковой окраской d 150</t>
        </is>
      </c>
      <c r="B465" s="13" t="inlineStr">
        <is>
          <t>Краска</t>
        </is>
      </c>
      <c r="C465" s="9" t="inlineStr">
        <is>
          <t>Краски, грунты, ЛКМ</t>
        </is>
      </c>
      <c r="D465" s="9" t="inlineStr">
        <is>
          <t>кг</t>
        </is>
      </c>
      <c r="E465" s="10" t="n">
        <v>0.35</v>
      </c>
      <c r="F465" s="4">
        <f>E465*IFERROR(INDEX(Работы!$D$4:$D$672,MATCH(SUBSTITUTE(SUBSTITUTE(SUBSTITUTE(A465,"~","~~"),"*","~*"),"?","~?"),Работы!$B$4:$B$672,0)),0)</f>
        <v/>
      </c>
      <c r="G465" s="10" t="n">
        <v>128.57</v>
      </c>
      <c r="H465" s="14" t="n">
        <v>1</v>
      </c>
      <c r="I465" s="11" t="n">
        <v>0.05</v>
      </c>
      <c r="J465" s="11" t="n">
        <v>0.12</v>
      </c>
      <c r="K465" s="10" t="n"/>
      <c r="L465" s="9" t="inlineStr">
        <is>
          <t>Петрович</t>
        </is>
      </c>
      <c r="M465" s="9" t="inlineStr">
        <is>
          <t>https://moscow.petrovich.ru/product/103990/</t>
        </is>
      </c>
      <c r="N465" s="9" t="inlineStr">
        <is>
          <t>2026-10-29</t>
        </is>
      </c>
      <c r="O465" s="13" t="inlineStr">
        <is>
          <t>Петрович Москва, Текс влагостойкая 1 800 руб/14 кг</t>
        </is>
      </c>
      <c r="P465" s="4">
        <f>IF(H465=1,G465/VAT_DIV,G465)</f>
        <v/>
      </c>
      <c r="Q465" s="4">
        <f>P465*(1+I465)*(1+DELIV)*(1+GROWTH+MONEY)</f>
        <v/>
      </c>
      <c r="R465" s="4">
        <f>IF(AND(K465&lt;&gt;"",Q465*(1+J465)&gt;K465/VAT_DIV),K465/VAT_DIV,Q465*(1+J465))</f>
        <v/>
      </c>
      <c r="S465" s="4">
        <f>Q465*F465</f>
        <v/>
      </c>
      <c r="T465" s="4">
        <f>R465*F465</f>
        <v/>
      </c>
      <c r="U465" s="3">
        <f>IF(AND(K465&lt;&gt;"",Q465*(1+J465)&gt;K465/VAT_DIV+0.01),"ДА","")</f>
        <v/>
      </c>
      <c r="V465" s="4">
        <f>P465*F465</f>
        <v/>
      </c>
    </row>
    <row r="466" ht="20" customHeight="1">
      <c r="A466" s="9" t="inlineStr">
        <is>
          <t>436. Воронка с порошковой окраской d 125</t>
        </is>
      </c>
      <c r="B466" s="13" t="inlineStr">
        <is>
          <t>Краска</t>
        </is>
      </c>
      <c r="C466" s="9" t="inlineStr">
        <is>
          <t>Краски, грунты, ЛКМ</t>
        </is>
      </c>
      <c r="D466" s="9" t="inlineStr">
        <is>
          <t>кг</t>
        </is>
      </c>
      <c r="E466" s="10" t="n">
        <v>0.35</v>
      </c>
      <c r="F466" s="4">
        <f>E466*IFERROR(INDEX(Работы!$D$4:$D$672,MATCH(SUBSTITUTE(SUBSTITUTE(SUBSTITUTE(A466,"~","~~"),"*","~*"),"?","~?"),Работы!$B$4:$B$672,0)),0)</f>
        <v/>
      </c>
      <c r="G466" s="10" t="n">
        <v>128.57</v>
      </c>
      <c r="H466" s="14" t="n">
        <v>1</v>
      </c>
      <c r="I466" s="11" t="n">
        <v>0.05</v>
      </c>
      <c r="J466" s="11" t="n">
        <v>0.12</v>
      </c>
      <c r="K466" s="10" t="n"/>
      <c r="L466" s="9" t="inlineStr">
        <is>
          <t>Петрович</t>
        </is>
      </c>
      <c r="M466" s="9" t="inlineStr">
        <is>
          <t>https://moscow.petrovich.ru/product/103990/</t>
        </is>
      </c>
      <c r="N466" s="9" t="inlineStr">
        <is>
          <t>2026-10-29</t>
        </is>
      </c>
      <c r="O466" s="13" t="inlineStr">
        <is>
          <t>Петрович Москва, Текс влагостойкая 1 800 руб/14 кг</t>
        </is>
      </c>
      <c r="P466" s="4">
        <f>IF(H466=1,G466/VAT_DIV,G466)</f>
        <v/>
      </c>
      <c r="Q466" s="4">
        <f>P466*(1+I466)*(1+DELIV)*(1+GROWTH+MONEY)</f>
        <v/>
      </c>
      <c r="R466" s="4">
        <f>IF(AND(K466&lt;&gt;"",Q466*(1+J466)&gt;K466/VAT_DIV),K466/VAT_DIV,Q466*(1+J466))</f>
        <v/>
      </c>
      <c r="S466" s="4">
        <f>Q466*F466</f>
        <v/>
      </c>
      <c r="T466" s="4">
        <f>R466*F466</f>
        <v/>
      </c>
      <c r="U466" s="3">
        <f>IF(AND(K466&lt;&gt;"",Q466*(1+J466)&gt;K466/VAT_DIV+0.01),"ДА","")</f>
        <v/>
      </c>
      <c r="V466" s="4">
        <f>P466*F466</f>
        <v/>
      </c>
    </row>
    <row r="467" ht="20" customHeight="1">
      <c r="A467" s="9" t="inlineStr">
        <is>
          <t>437. Воронка с порошковой окраской d 150</t>
        </is>
      </c>
      <c r="B467" s="13" t="inlineStr">
        <is>
          <t>Краска</t>
        </is>
      </c>
      <c r="C467" s="9" t="inlineStr">
        <is>
          <t>Краски, грунты, ЛКМ</t>
        </is>
      </c>
      <c r="D467" s="9" t="inlineStr">
        <is>
          <t>кг</t>
        </is>
      </c>
      <c r="E467" s="10" t="n">
        <v>0.35</v>
      </c>
      <c r="F467" s="4">
        <f>E467*IFERROR(INDEX(Работы!$D$4:$D$672,MATCH(SUBSTITUTE(SUBSTITUTE(SUBSTITUTE(A467,"~","~~"),"*","~*"),"?","~?"),Работы!$B$4:$B$672,0)),0)</f>
        <v/>
      </c>
      <c r="G467" s="10" t="n">
        <v>128.57</v>
      </c>
      <c r="H467" s="14" t="n">
        <v>1</v>
      </c>
      <c r="I467" s="11" t="n">
        <v>0.05</v>
      </c>
      <c r="J467" s="11" t="n">
        <v>0.12</v>
      </c>
      <c r="K467" s="10" t="n"/>
      <c r="L467" s="9" t="inlineStr">
        <is>
          <t>Петрович</t>
        </is>
      </c>
      <c r="M467" s="9" t="inlineStr">
        <is>
          <t>https://moscow.petrovich.ru/product/103990/</t>
        </is>
      </c>
      <c r="N467" s="9" t="inlineStr">
        <is>
          <t>2026-10-29</t>
        </is>
      </c>
      <c r="O467" s="13" t="inlineStr">
        <is>
          <t>Петрович Москва, Текс влагостойкая 1 800 руб/14 кг</t>
        </is>
      </c>
      <c r="P467" s="4">
        <f>IF(H467=1,G467/VAT_DIV,G467)</f>
        <v/>
      </c>
      <c r="Q467" s="4">
        <f>P467*(1+I467)*(1+DELIV)*(1+GROWTH+MONEY)</f>
        <v/>
      </c>
      <c r="R467" s="4">
        <f>IF(AND(K467&lt;&gt;"",Q467*(1+J467)&gt;K467/VAT_DIV),K467/VAT_DIV,Q467*(1+J467))</f>
        <v/>
      </c>
      <c r="S467" s="4">
        <f>Q467*F467</f>
        <v/>
      </c>
      <c r="T467" s="4">
        <f>R467*F467</f>
        <v/>
      </c>
      <c r="U467" s="3">
        <f>IF(AND(K467&lt;&gt;"",Q467*(1+J467)&gt;K467/VAT_DIV+0.01),"ДА","")</f>
        <v/>
      </c>
      <c r="V467" s="4">
        <f>P467*F467</f>
        <v/>
      </c>
    </row>
    <row r="468" ht="20" customHeight="1">
      <c r="A468" s="9" t="inlineStr">
        <is>
          <t>438. Колено с порошковой окраской d 100</t>
        </is>
      </c>
      <c r="B468" s="13" t="inlineStr">
        <is>
          <t>Краска</t>
        </is>
      </c>
      <c r="C468" s="9" t="inlineStr">
        <is>
          <t>Краски, грунты, ЛКМ</t>
        </is>
      </c>
      <c r="D468" s="9" t="inlineStr">
        <is>
          <t>кг</t>
        </is>
      </c>
      <c r="E468" s="10" t="n">
        <v>0.35</v>
      </c>
      <c r="F468" s="4">
        <f>E468*IFERROR(INDEX(Работы!$D$4:$D$672,MATCH(SUBSTITUTE(SUBSTITUTE(SUBSTITUTE(A468,"~","~~"),"*","~*"),"?","~?"),Работы!$B$4:$B$672,0)),0)</f>
        <v/>
      </c>
      <c r="G468" s="10" t="n">
        <v>128.57</v>
      </c>
      <c r="H468" s="14" t="n">
        <v>1</v>
      </c>
      <c r="I468" s="11" t="n">
        <v>0.05</v>
      </c>
      <c r="J468" s="11" t="n">
        <v>0.12</v>
      </c>
      <c r="K468" s="10" t="n"/>
      <c r="L468" s="9" t="inlineStr">
        <is>
          <t>Петрович</t>
        </is>
      </c>
      <c r="M468" s="9" t="inlineStr">
        <is>
          <t>https://moscow.petrovich.ru/product/103990/</t>
        </is>
      </c>
      <c r="N468" s="9" t="inlineStr">
        <is>
          <t>2026-10-29</t>
        </is>
      </c>
      <c r="O468" s="13" t="inlineStr">
        <is>
          <t>Петрович Москва, Текс влагостойкая 1 800 руб/14 кг</t>
        </is>
      </c>
      <c r="P468" s="4">
        <f>IF(H468=1,G468/VAT_DIV,G468)</f>
        <v/>
      </c>
      <c r="Q468" s="4">
        <f>P468*(1+I468)*(1+DELIV)*(1+GROWTH+MONEY)</f>
        <v/>
      </c>
      <c r="R468" s="4">
        <f>IF(AND(K468&lt;&gt;"",Q468*(1+J468)&gt;K468/VAT_DIV),K468/VAT_DIV,Q468*(1+J468))</f>
        <v/>
      </c>
      <c r="S468" s="4">
        <f>Q468*F468</f>
        <v/>
      </c>
      <c r="T468" s="4">
        <f>R468*F468</f>
        <v/>
      </c>
      <c r="U468" s="3">
        <f>IF(AND(K468&lt;&gt;"",Q468*(1+J468)&gt;K468/VAT_DIV+0.01),"ДА","")</f>
        <v/>
      </c>
      <c r="V468" s="4">
        <f>P468*F468</f>
        <v/>
      </c>
    </row>
    <row r="469" ht="20" customHeight="1">
      <c r="A469" s="9" t="inlineStr">
        <is>
          <t>439. Колено с порошковой окраской d 125</t>
        </is>
      </c>
      <c r="B469" s="13" t="inlineStr">
        <is>
          <t>Краска</t>
        </is>
      </c>
      <c r="C469" s="9" t="inlineStr">
        <is>
          <t>Краски, грунты, ЛКМ</t>
        </is>
      </c>
      <c r="D469" s="9" t="inlineStr">
        <is>
          <t>кг</t>
        </is>
      </c>
      <c r="E469" s="10" t="n">
        <v>0.35</v>
      </c>
      <c r="F469" s="4">
        <f>E469*IFERROR(INDEX(Работы!$D$4:$D$672,MATCH(SUBSTITUTE(SUBSTITUTE(SUBSTITUTE(A469,"~","~~"),"*","~*"),"?","~?"),Работы!$B$4:$B$672,0)),0)</f>
        <v/>
      </c>
      <c r="G469" s="10" t="n">
        <v>128.57</v>
      </c>
      <c r="H469" s="14" t="n">
        <v>1</v>
      </c>
      <c r="I469" s="11" t="n">
        <v>0.05</v>
      </c>
      <c r="J469" s="11" t="n">
        <v>0.12</v>
      </c>
      <c r="K469" s="10" t="n"/>
      <c r="L469" s="9" t="inlineStr">
        <is>
          <t>Петрович</t>
        </is>
      </c>
      <c r="M469" s="9" t="inlineStr">
        <is>
          <t>https://moscow.petrovich.ru/product/103990/</t>
        </is>
      </c>
      <c r="N469" s="9" t="inlineStr">
        <is>
          <t>2026-10-29</t>
        </is>
      </c>
      <c r="O469" s="13" t="inlineStr">
        <is>
          <t>Петрович Москва, Текс влагостойкая 1 800 руб/14 кг</t>
        </is>
      </c>
      <c r="P469" s="4">
        <f>IF(H469=1,G469/VAT_DIV,G469)</f>
        <v/>
      </c>
      <c r="Q469" s="4">
        <f>P469*(1+I469)*(1+DELIV)*(1+GROWTH+MONEY)</f>
        <v/>
      </c>
      <c r="R469" s="4">
        <f>IF(AND(K469&lt;&gt;"",Q469*(1+J469)&gt;K469/VAT_DIV),K469/VAT_DIV,Q469*(1+J469))</f>
        <v/>
      </c>
      <c r="S469" s="4">
        <f>Q469*F469</f>
        <v/>
      </c>
      <c r="T469" s="4">
        <f>R469*F469</f>
        <v/>
      </c>
      <c r="U469" s="3">
        <f>IF(AND(K469&lt;&gt;"",Q469*(1+J469)&gt;K469/VAT_DIV+0.01),"ДА","")</f>
        <v/>
      </c>
      <c r="V469" s="4">
        <f>P469*F469</f>
        <v/>
      </c>
    </row>
    <row r="470" ht="20" customHeight="1">
      <c r="A470" s="9" t="inlineStr">
        <is>
          <t>440. Снегодержатель трубчатый</t>
        </is>
      </c>
      <c r="B470" s="13" t="inlineStr">
        <is>
          <t>Снегодержатель трубчатый</t>
        </is>
      </c>
      <c r="C470" s="9" t="inlineStr">
        <is>
          <t>Кровельные материалы и утеплитель</t>
        </is>
      </c>
      <c r="D470" s="9" t="inlineStr">
        <is>
          <t>м</t>
        </is>
      </c>
      <c r="E470" s="10" t="n">
        <v>1</v>
      </c>
      <c r="F470" s="4">
        <f>E470*IFERROR(INDEX(Работы!$D$4:$D$672,MATCH(SUBSTITUTE(SUBSTITUTE(SUBSTITUTE(A470,"~","~~"),"*","~*"),"?","~?"),Работы!$B$4:$B$672,0)),0)</f>
        <v/>
      </c>
      <c r="G470" s="10" t="n">
        <v>280</v>
      </c>
      <c r="H470" s="14" t="n">
        <v>1</v>
      </c>
      <c r="I470" s="11" t="n">
        <v>0.1</v>
      </c>
      <c r="J470" s="11" t="n">
        <v>0.12</v>
      </c>
      <c r="K470" s="10" t="n"/>
      <c r="L470" s="9" t="inlineStr">
        <is>
          <t>оценка</t>
        </is>
      </c>
      <c r="M470" s="9" t="inlineStr"/>
      <c r="N470" s="9" t="inlineStr">
        <is>
          <t>2026-10-29</t>
        </is>
      </c>
      <c r="O470" s="13" t="inlineStr">
        <is>
          <t>оценка водостока В Петрович, Лемана ПРО и Сатурн открытой карточки нет, оставлен прежний источник.</t>
        </is>
      </c>
      <c r="P470" s="4">
        <f>IF(H470=1,G470/VAT_DIV,G470)</f>
        <v/>
      </c>
      <c r="Q470" s="4">
        <f>P470*(1+I470)*(1+DELIV)*(1+GROWTH+MONEY)</f>
        <v/>
      </c>
      <c r="R470" s="4">
        <f>IF(AND(K470&lt;&gt;"",Q470*(1+J470)&gt;K470/VAT_DIV),K470/VAT_DIV,Q470*(1+J470))</f>
        <v/>
      </c>
      <c r="S470" s="4">
        <f>Q470*F470</f>
        <v/>
      </c>
      <c r="T470" s="4">
        <f>R470*F470</f>
        <v/>
      </c>
      <c r="U470" s="3">
        <f>IF(AND(K470&lt;&gt;"",Q470*(1+J470)&gt;K470/VAT_DIV+0.01),"ДА","")</f>
        <v/>
      </c>
      <c r="V470" s="4">
        <f>P470*F470</f>
        <v/>
      </c>
    </row>
    <row r="471" ht="20" customHeight="1">
      <c r="A471" s="9" t="inlineStr">
        <is>
          <t>443. Конек оцинкованный профилированный</t>
        </is>
      </c>
      <c r="B471" s="13" t="inlineStr">
        <is>
          <t>Конек оцинкованный профилированный</t>
        </is>
      </c>
      <c r="C471" s="9" t="inlineStr">
        <is>
          <t>Кровельные материалы и утеплитель</t>
        </is>
      </c>
      <c r="D471" s="9" t="inlineStr">
        <is>
          <t>шт</t>
        </is>
      </c>
      <c r="E471" s="10" t="n">
        <v>1</v>
      </c>
      <c r="F471" s="4">
        <f>E471*IFERROR(INDEX(Работы!$D$4:$D$672,MATCH(SUBSTITUTE(SUBSTITUTE(SUBSTITUTE(A471,"~","~~"),"*","~*"),"?","~?"),Работы!$B$4:$B$672,0)),0)</f>
        <v/>
      </c>
      <c r="G471" s="10" t="n">
        <v>350</v>
      </c>
      <c r="H471" s="14" t="n">
        <v>1</v>
      </c>
      <c r="I471" s="11" t="n">
        <v>0.1</v>
      </c>
      <c r="J471" s="11" t="n">
        <v>0.12</v>
      </c>
      <c r="K471" s="10" t="n"/>
      <c r="L471" s="9" t="inlineStr">
        <is>
          <t>оценка</t>
        </is>
      </c>
      <c r="M471" s="9" t="inlineStr"/>
      <c r="N471" s="9" t="inlineStr">
        <is>
          <t>2026-10-29</t>
        </is>
      </c>
      <c r="O471" s="13" t="inlineStr">
        <is>
          <t>оценка водостока, запросить КП В Петрович, Лемана ПРО и Сатурн открытой карточки нет, оставлен прежний источник.</t>
        </is>
      </c>
      <c r="P471" s="4">
        <f>IF(H471=1,G471/VAT_DIV,G471)</f>
        <v/>
      </c>
      <c r="Q471" s="4">
        <f>P471*(1+I471)*(1+DELIV)*(1+GROWTH+MONEY)</f>
        <v/>
      </c>
      <c r="R471" s="4">
        <f>IF(AND(K471&lt;&gt;"",Q471*(1+J471)&gt;K471/VAT_DIV),K471/VAT_DIV,Q471*(1+J471))</f>
        <v/>
      </c>
      <c r="S471" s="4">
        <f>Q471*F471</f>
        <v/>
      </c>
      <c r="T471" s="4">
        <f>R471*F471</f>
        <v/>
      </c>
      <c r="U471" s="3">
        <f>IF(AND(K471&lt;&gt;"",Q471*(1+J471)&gt;K471/VAT_DIV+0.01),"ДА","")</f>
        <v/>
      </c>
      <c r="V471" s="4">
        <f>P471*F471</f>
        <v/>
      </c>
    </row>
    <row r="472" ht="20" customHeight="1">
      <c r="A472" s="9" t="inlineStr">
        <is>
          <t>444. Торцевая планка оцинкованная</t>
        </is>
      </c>
      <c r="B472" s="13" t="inlineStr">
        <is>
          <t>Торцевая планка оцинкованная</t>
        </is>
      </c>
      <c r="C472" s="9" t="inlineStr">
        <is>
          <t>Кровельные материалы и утеплитель</t>
        </is>
      </c>
      <c r="D472" s="9" t="inlineStr">
        <is>
          <t>шт</t>
        </is>
      </c>
      <c r="E472" s="10" t="n">
        <v>1</v>
      </c>
      <c r="F472" s="4">
        <f>E472*IFERROR(INDEX(Работы!$D$4:$D$672,MATCH(SUBSTITUTE(SUBSTITUTE(SUBSTITUTE(A472,"~","~~"),"*","~*"),"?","~?"),Работы!$B$4:$B$672,0)),0)</f>
        <v/>
      </c>
      <c r="G472" s="10" t="n">
        <v>350</v>
      </c>
      <c r="H472" s="14" t="n">
        <v>1</v>
      </c>
      <c r="I472" s="11" t="n">
        <v>0.1</v>
      </c>
      <c r="J472" s="11" t="n">
        <v>0.12</v>
      </c>
      <c r="K472" s="10" t="n"/>
      <c r="L472" s="9" t="inlineStr">
        <is>
          <t>оценка</t>
        </is>
      </c>
      <c r="M472" s="9" t="inlineStr"/>
      <c r="N472" s="9" t="inlineStr">
        <is>
          <t>2026-10-29</t>
        </is>
      </c>
      <c r="O472" s="13" t="inlineStr">
        <is>
          <t>оценка водостока, запросить КП В Петрович, Лемана ПРО и Сатурн открытой карточки нет, оставлен прежний источник.</t>
        </is>
      </c>
      <c r="P472" s="4">
        <f>IF(H472=1,G472/VAT_DIV,G472)</f>
        <v/>
      </c>
      <c r="Q472" s="4">
        <f>P472*(1+I472)*(1+DELIV)*(1+GROWTH+MONEY)</f>
        <v/>
      </c>
      <c r="R472" s="4">
        <f>IF(AND(K472&lt;&gt;"",Q472*(1+J472)&gt;K472/VAT_DIV),K472/VAT_DIV,Q472*(1+J472))</f>
        <v/>
      </c>
      <c r="S472" s="4">
        <f>Q472*F472</f>
        <v/>
      </c>
      <c r="T472" s="4">
        <f>R472*F472</f>
        <v/>
      </c>
      <c r="U472" s="3">
        <f>IF(AND(K472&lt;&gt;"",Q472*(1+J472)&gt;K472/VAT_DIV+0.01),"ДА","")</f>
        <v/>
      </c>
      <c r="V472" s="4">
        <f>P472*F472</f>
        <v/>
      </c>
    </row>
    <row r="473" ht="20" customHeight="1">
      <c r="A473" s="9" t="inlineStr">
        <is>
          <t>445. Колено большое оцинкованное</t>
        </is>
      </c>
      <c r="B473" s="13" t="inlineStr">
        <is>
          <t>Колено большое оцинкованное</t>
        </is>
      </c>
      <c r="C473" s="9" t="inlineStr">
        <is>
          <t>Кровельные материалы и утеплитель</t>
        </is>
      </c>
      <c r="D473" s="9" t="inlineStr">
        <is>
          <t>шт</t>
        </is>
      </c>
      <c r="E473" s="10" t="n">
        <v>1</v>
      </c>
      <c r="F473" s="4">
        <f>E473*IFERROR(INDEX(Работы!$D$4:$D$672,MATCH(SUBSTITUTE(SUBSTITUTE(SUBSTITUTE(A473,"~","~~"),"*","~*"),"?","~?"),Работы!$B$4:$B$672,0)),0)</f>
        <v/>
      </c>
      <c r="G473" s="10" t="n">
        <v>350</v>
      </c>
      <c r="H473" s="14" t="n">
        <v>1</v>
      </c>
      <c r="I473" s="11" t="n">
        <v>0.1</v>
      </c>
      <c r="J473" s="11" t="n">
        <v>0.12</v>
      </c>
      <c r="K473" s="10" t="n"/>
      <c r="L473" s="9" t="inlineStr">
        <is>
          <t>оценка</t>
        </is>
      </c>
      <c r="M473" s="9" t="inlineStr"/>
      <c r="N473" s="9" t="inlineStr">
        <is>
          <t>2026-10-29</t>
        </is>
      </c>
      <c r="O473" s="13" t="inlineStr">
        <is>
          <t>оценка водостока, запросить КП В Петрович, Лемана ПРО и Сатурн открытой карточки нет, оставлен прежний источник.</t>
        </is>
      </c>
      <c r="P473" s="4">
        <f>IF(H473=1,G473/VAT_DIV,G473)</f>
        <v/>
      </c>
      <c r="Q473" s="4">
        <f>P473*(1+I473)*(1+DELIV)*(1+GROWTH+MONEY)</f>
        <v/>
      </c>
      <c r="R473" s="4">
        <f>IF(AND(K473&lt;&gt;"",Q473*(1+J473)&gt;K473/VAT_DIV),K473/VAT_DIV,Q473*(1+J473))</f>
        <v/>
      </c>
      <c r="S473" s="4">
        <f>Q473*F473</f>
        <v/>
      </c>
      <c r="T473" s="4">
        <f>R473*F473</f>
        <v/>
      </c>
      <c r="U473" s="3">
        <f>IF(AND(K473&lt;&gt;"",Q473*(1+J473)&gt;K473/VAT_DIV+0.01),"ДА","")</f>
        <v/>
      </c>
      <c r="V473" s="4">
        <f>P473*F473</f>
        <v/>
      </c>
    </row>
    <row r="474" ht="20" customHeight="1">
      <c r="A474" s="9" t="inlineStr">
        <is>
          <t>446. Колено малое оцинкованное</t>
        </is>
      </c>
      <c r="B474" s="13" t="inlineStr">
        <is>
          <t>Колено малое оцинкованное</t>
        </is>
      </c>
      <c r="C474" s="9" t="inlineStr">
        <is>
          <t>Кровельные материалы и утеплитель</t>
        </is>
      </c>
      <c r="D474" s="9" t="inlineStr">
        <is>
          <t>шт</t>
        </is>
      </c>
      <c r="E474" s="10" t="n">
        <v>1</v>
      </c>
      <c r="F474" s="4">
        <f>E474*IFERROR(INDEX(Работы!$D$4:$D$672,MATCH(SUBSTITUTE(SUBSTITUTE(SUBSTITUTE(A474,"~","~~"),"*","~*"),"?","~?"),Работы!$B$4:$B$672,0)),0)</f>
        <v/>
      </c>
      <c r="G474" s="10" t="n">
        <v>350</v>
      </c>
      <c r="H474" s="14" t="n">
        <v>1</v>
      </c>
      <c r="I474" s="11" t="n">
        <v>0.1</v>
      </c>
      <c r="J474" s="11" t="n">
        <v>0.12</v>
      </c>
      <c r="K474" s="10" t="n"/>
      <c r="L474" s="9" t="inlineStr">
        <is>
          <t>оценка</t>
        </is>
      </c>
      <c r="M474" s="9" t="inlineStr"/>
      <c r="N474" s="9" t="inlineStr">
        <is>
          <t>2026-10-29</t>
        </is>
      </c>
      <c r="O474" s="13" t="inlineStr">
        <is>
          <t>оценка водостока, запросить КП В Петрович, Лемана ПРО и Сатурн открытой карточки нет, оставлен прежний источник.</t>
        </is>
      </c>
      <c r="P474" s="4">
        <f>IF(H474=1,G474/VAT_DIV,G474)</f>
        <v/>
      </c>
      <c r="Q474" s="4">
        <f>P474*(1+I474)*(1+DELIV)*(1+GROWTH+MONEY)</f>
        <v/>
      </c>
      <c r="R474" s="4">
        <f>IF(AND(K474&lt;&gt;"",Q474*(1+J474)&gt;K474/VAT_DIV),K474/VAT_DIV,Q474*(1+J474))</f>
        <v/>
      </c>
      <c r="S474" s="4">
        <f>Q474*F474</f>
        <v/>
      </c>
      <c r="T474" s="4">
        <f>R474*F474</f>
        <v/>
      </c>
      <c r="U474" s="3">
        <f>IF(AND(K474&lt;&gt;"",Q474*(1+J474)&gt;K474/VAT_DIV+0.01),"ДА","")</f>
        <v/>
      </c>
      <c r="V474" s="4">
        <f>P474*F474</f>
        <v/>
      </c>
    </row>
    <row r="475" ht="20" customHeight="1">
      <c r="A475" s="9" t="inlineStr">
        <is>
          <t>447. Канадка оцинкованная</t>
        </is>
      </c>
      <c r="B475" s="13" t="inlineStr">
        <is>
          <t>Канадка оцинкованная</t>
        </is>
      </c>
      <c r="C475" s="9" t="inlineStr">
        <is>
          <t>Кровельные материалы и утеплитель</t>
        </is>
      </c>
      <c r="D475" s="9" t="inlineStr">
        <is>
          <t>шт</t>
        </is>
      </c>
      <c r="E475" s="10" t="n">
        <v>1</v>
      </c>
      <c r="F475" s="4">
        <f>E475*IFERROR(INDEX(Работы!$D$4:$D$672,MATCH(SUBSTITUTE(SUBSTITUTE(SUBSTITUTE(A475,"~","~~"),"*","~*"),"?","~?"),Работы!$B$4:$B$672,0)),0)</f>
        <v/>
      </c>
      <c r="G475" s="10" t="n">
        <v>350</v>
      </c>
      <c r="H475" s="14" t="n">
        <v>1</v>
      </c>
      <c r="I475" s="11" t="n">
        <v>0.1</v>
      </c>
      <c r="J475" s="11" t="n">
        <v>0.12</v>
      </c>
      <c r="K475" s="10" t="n"/>
      <c r="L475" s="9" t="inlineStr">
        <is>
          <t>оценка</t>
        </is>
      </c>
      <c r="M475" s="9" t="inlineStr"/>
      <c r="N475" s="9" t="inlineStr">
        <is>
          <t>2026-10-29</t>
        </is>
      </c>
      <c r="O475" s="13" t="inlineStr">
        <is>
          <t>оценка водостока, запросить КП В Петрович, Лемана ПРО и Сатурн открытой карточки нет, оставлен прежний источник.</t>
        </is>
      </c>
      <c r="P475" s="4">
        <f>IF(H475=1,G475/VAT_DIV,G475)</f>
        <v/>
      </c>
      <c r="Q475" s="4">
        <f>P475*(1+I475)*(1+DELIV)*(1+GROWTH+MONEY)</f>
        <v/>
      </c>
      <c r="R475" s="4">
        <f>IF(AND(K475&lt;&gt;"",Q475*(1+J475)&gt;K475/VAT_DIV),K475/VAT_DIV,Q475*(1+J475))</f>
        <v/>
      </c>
      <c r="S475" s="4">
        <f>Q475*F475</f>
        <v/>
      </c>
      <c r="T475" s="4">
        <f>R475*F475</f>
        <v/>
      </c>
      <c r="U475" s="3">
        <f>IF(AND(K475&lt;&gt;"",Q475*(1+J475)&gt;K475/VAT_DIV+0.01),"ДА","")</f>
        <v/>
      </c>
      <c r="V475" s="4">
        <f>P475*F475</f>
        <v/>
      </c>
    </row>
    <row r="476" ht="20" customHeight="1">
      <c r="A476" s="9" t="inlineStr">
        <is>
          <t>448. Желоб угловой оцинкованный</t>
        </is>
      </c>
      <c r="B476" s="13" t="inlineStr">
        <is>
          <t>Желоб угловой оцинкованный</t>
        </is>
      </c>
      <c r="C476" s="9" t="inlineStr">
        <is>
          <t>Кровельные материалы и утеплитель</t>
        </is>
      </c>
      <c r="D476" s="9" t="inlineStr">
        <is>
          <t>шт</t>
        </is>
      </c>
      <c r="E476" s="10" t="n">
        <v>1</v>
      </c>
      <c r="F476" s="4">
        <f>E476*IFERROR(INDEX(Работы!$D$4:$D$672,MATCH(SUBSTITUTE(SUBSTITUTE(SUBSTITUTE(A476,"~","~~"),"*","~*"),"?","~?"),Работы!$B$4:$B$672,0)),0)</f>
        <v/>
      </c>
      <c r="G476" s="10" t="n">
        <v>350</v>
      </c>
      <c r="H476" s="14" t="n">
        <v>1</v>
      </c>
      <c r="I476" s="11" t="n">
        <v>0.1</v>
      </c>
      <c r="J476" s="11" t="n">
        <v>0.12</v>
      </c>
      <c r="K476" s="10" t="n"/>
      <c r="L476" s="9" t="inlineStr">
        <is>
          <t>оценка</t>
        </is>
      </c>
      <c r="M476" s="9" t="inlineStr"/>
      <c r="N476" s="9" t="inlineStr">
        <is>
          <t>2026-10-29</t>
        </is>
      </c>
      <c r="O476" s="13" t="inlineStr">
        <is>
          <t>оценка водостока, запросить КП В Петрович, Лемана ПРО и Сатурн открытой карточки нет, оставлен прежний источник.</t>
        </is>
      </c>
      <c r="P476" s="4">
        <f>IF(H476=1,G476/VAT_DIV,G476)</f>
        <v/>
      </c>
      <c r="Q476" s="4">
        <f>P476*(1+I476)*(1+DELIV)*(1+GROWTH+MONEY)</f>
        <v/>
      </c>
      <c r="R476" s="4">
        <f>IF(AND(K476&lt;&gt;"",Q476*(1+J476)&gt;K476/VAT_DIV),K476/VAT_DIV,Q476*(1+J476))</f>
        <v/>
      </c>
      <c r="S476" s="4">
        <f>Q476*F476</f>
        <v/>
      </c>
      <c r="T476" s="4">
        <f>R476*F476</f>
        <v/>
      </c>
      <c r="U476" s="3">
        <f>IF(AND(K476&lt;&gt;"",Q476*(1+J476)&gt;K476/VAT_DIV+0.01),"ДА","")</f>
        <v/>
      </c>
      <c r="V476" s="4">
        <f>P476*F476</f>
        <v/>
      </c>
    </row>
    <row r="477" ht="20" customHeight="1">
      <c r="A477" s="9" t="inlineStr">
        <is>
          <t>449. Крепление трубы оцинкованное</t>
        </is>
      </c>
      <c r="B477" s="13" t="inlineStr">
        <is>
          <t>Крепление трубы оцинкованное</t>
        </is>
      </c>
      <c r="C477" s="9" t="inlineStr">
        <is>
          <t>Кровельные материалы и утеплитель</t>
        </is>
      </c>
      <c r="D477" s="9" t="inlineStr">
        <is>
          <t>шт</t>
        </is>
      </c>
      <c r="E477" s="10" t="n">
        <v>1</v>
      </c>
      <c r="F477" s="4">
        <f>E477*IFERROR(INDEX(Работы!$D$4:$D$672,MATCH(SUBSTITUTE(SUBSTITUTE(SUBSTITUTE(A477,"~","~~"),"*","~*"),"?","~?"),Работы!$B$4:$B$672,0)),0)</f>
        <v/>
      </c>
      <c r="G477" s="10" t="n">
        <v>180</v>
      </c>
      <c r="H477" s="14" t="n">
        <v>1</v>
      </c>
      <c r="I477" s="11" t="n">
        <v>0.1</v>
      </c>
      <c r="J477" s="11" t="n">
        <v>0.12</v>
      </c>
      <c r="K477" s="10" t="n"/>
      <c r="L477" s="9" t="inlineStr">
        <is>
          <t>оценка</t>
        </is>
      </c>
      <c r="M477" s="9" t="inlineStr"/>
      <c r="N477" s="9" t="inlineStr">
        <is>
          <t>2026-10-29</t>
        </is>
      </c>
      <c r="O477" s="13" t="inlineStr">
        <is>
          <t>оценка водостока, запросить КП В Петрович, Лемана ПРО и Сатурн открытой карточки нет, оставлен прежний источник.</t>
        </is>
      </c>
      <c r="P477" s="4">
        <f>IF(H477=1,G477/VAT_DIV,G477)</f>
        <v/>
      </c>
      <c r="Q477" s="4">
        <f>P477*(1+I477)*(1+DELIV)*(1+GROWTH+MONEY)</f>
        <v/>
      </c>
      <c r="R477" s="4">
        <f>IF(AND(K477&lt;&gt;"",Q477*(1+J477)&gt;K477/VAT_DIV),K477/VAT_DIV,Q477*(1+J477))</f>
        <v/>
      </c>
      <c r="S477" s="4">
        <f>Q477*F477</f>
        <v/>
      </c>
      <c r="T477" s="4">
        <f>R477*F477</f>
        <v/>
      </c>
      <c r="U477" s="3">
        <f>IF(AND(K477&lt;&gt;"",Q477*(1+J477)&gt;K477/VAT_DIV+0.01),"ДА","")</f>
        <v/>
      </c>
      <c r="V477" s="4">
        <f>P477*F477</f>
        <v/>
      </c>
    </row>
    <row r="478" ht="20" customHeight="1">
      <c r="A478" s="9" t="inlineStr">
        <is>
          <t>450. Воронка (стакан) оцинк.</t>
        </is>
      </c>
      <c r="B478" s="13" t="inlineStr">
        <is>
          <t>Воронка (стакан) оцинк.</t>
        </is>
      </c>
      <c r="C478" s="9" t="inlineStr">
        <is>
          <t>Кровельные материалы и утеплитель</t>
        </is>
      </c>
      <c r="D478" s="9" t="inlineStr">
        <is>
          <t>шт</t>
        </is>
      </c>
      <c r="E478" s="10" t="n">
        <v>1</v>
      </c>
      <c r="F478" s="4">
        <f>E478*IFERROR(INDEX(Работы!$D$4:$D$672,MATCH(SUBSTITUTE(SUBSTITUTE(SUBSTITUTE(A478,"~","~~"),"*","~*"),"?","~?"),Работы!$B$4:$B$672,0)),0)</f>
        <v/>
      </c>
      <c r="G478" s="10" t="n">
        <v>350</v>
      </c>
      <c r="H478" s="14" t="n">
        <v>1</v>
      </c>
      <c r="I478" s="11" t="n">
        <v>0.1</v>
      </c>
      <c r="J478" s="11" t="n">
        <v>0.12</v>
      </c>
      <c r="K478" s="10" t="n"/>
      <c r="L478" s="9" t="inlineStr">
        <is>
          <t>оценка</t>
        </is>
      </c>
      <c r="M478" s="9" t="inlineStr"/>
      <c r="N478" s="9" t="inlineStr">
        <is>
          <t>2026-10-29</t>
        </is>
      </c>
      <c r="O478" s="13" t="inlineStr">
        <is>
          <t>оценка водостока, запросить КП В Петрович, Лемана ПРО и Сатурн открытой карточки нет, оставлен прежний источник.</t>
        </is>
      </c>
      <c r="P478" s="4">
        <f>IF(H478=1,G478/VAT_DIV,G478)</f>
        <v/>
      </c>
      <c r="Q478" s="4">
        <f>P478*(1+I478)*(1+DELIV)*(1+GROWTH+MONEY)</f>
        <v/>
      </c>
      <c r="R478" s="4">
        <f>IF(AND(K478&lt;&gt;"",Q478*(1+J478)&gt;K478/VAT_DIV),K478/VAT_DIV,Q478*(1+J478))</f>
        <v/>
      </c>
      <c r="S478" s="4">
        <f>Q478*F478</f>
        <v/>
      </c>
      <c r="T478" s="4">
        <f>R478*F478</f>
        <v/>
      </c>
      <c r="U478" s="3">
        <f>IF(AND(K478&lt;&gt;"",Q478*(1+J478)&gt;K478/VAT_DIV+0.01),"ДА","")</f>
        <v/>
      </c>
      <c r="V478" s="4">
        <f>P478*F478</f>
        <v/>
      </c>
    </row>
    <row r="479" ht="20" customHeight="1">
      <c r="A479" s="9" t="inlineStr">
        <is>
          <t>451. Желоб оцинкованный 1250мм</t>
        </is>
      </c>
      <c r="B479" s="13" t="inlineStr">
        <is>
          <t>Желоб оцинкованный 1250мм</t>
        </is>
      </c>
      <c r="C479" s="9" t="inlineStr">
        <is>
          <t>Кровельные материалы и утеплитель</t>
        </is>
      </c>
      <c r="D479" s="9" t="inlineStr">
        <is>
          <t>м</t>
        </is>
      </c>
      <c r="E479" s="10" t="n">
        <v>1</v>
      </c>
      <c r="F479" s="4">
        <f>E479*IFERROR(INDEX(Работы!$D$4:$D$672,MATCH(SUBSTITUTE(SUBSTITUTE(SUBSTITUTE(A479,"~","~~"),"*","~*"),"?","~?"),Работы!$B$4:$B$672,0)),0)</f>
        <v/>
      </c>
      <c r="G479" s="10" t="n">
        <v>350</v>
      </c>
      <c r="H479" s="14" t="n">
        <v>1</v>
      </c>
      <c r="I479" s="11" t="n">
        <v>0.1</v>
      </c>
      <c r="J479" s="11" t="n">
        <v>0.12</v>
      </c>
      <c r="K479" s="10" t="n"/>
      <c r="L479" s="9" t="inlineStr">
        <is>
          <t>оценка</t>
        </is>
      </c>
      <c r="M479" s="9" t="inlineStr"/>
      <c r="N479" s="9" t="inlineStr">
        <is>
          <t>2026-10-29</t>
        </is>
      </c>
      <c r="O479" s="13" t="inlineStr">
        <is>
          <t>оценка водостока В Петрович, Лемана ПРО и Сатурн открытой карточки нет, оставлен прежний источник.</t>
        </is>
      </c>
      <c r="P479" s="4">
        <f>IF(H479=1,G479/VAT_DIV,G479)</f>
        <v/>
      </c>
      <c r="Q479" s="4">
        <f>P479*(1+I479)*(1+DELIV)*(1+GROWTH+MONEY)</f>
        <v/>
      </c>
      <c r="R479" s="4">
        <f>IF(AND(K479&lt;&gt;"",Q479*(1+J479)&gt;K479/VAT_DIV),K479/VAT_DIV,Q479*(1+J479))</f>
        <v/>
      </c>
      <c r="S479" s="4">
        <f>Q479*F479</f>
        <v/>
      </c>
      <c r="T479" s="4">
        <f>R479*F479</f>
        <v/>
      </c>
      <c r="U479" s="3">
        <f>IF(AND(K479&lt;&gt;"",Q479*(1+J479)&gt;K479/VAT_DIV+0.01),"ДА","")</f>
        <v/>
      </c>
      <c r="V479" s="4">
        <f>P479*F479</f>
        <v/>
      </c>
    </row>
    <row r="480" ht="20" customHeight="1">
      <c r="A480" s="9" t="inlineStr">
        <is>
          <t>452. Желоб оцинкованный 2000мм</t>
        </is>
      </c>
      <c r="B480" s="13" t="inlineStr">
        <is>
          <t>Желоб оцинкованный 2000мм</t>
        </is>
      </c>
      <c r="C480" s="9" t="inlineStr">
        <is>
          <t>Кровельные материалы и утеплитель</t>
        </is>
      </c>
      <c r="D480" s="9" t="inlineStr">
        <is>
          <t>м</t>
        </is>
      </c>
      <c r="E480" s="10" t="n">
        <v>1</v>
      </c>
      <c r="F480" s="4">
        <f>E480*IFERROR(INDEX(Работы!$D$4:$D$672,MATCH(SUBSTITUTE(SUBSTITUTE(SUBSTITUTE(A480,"~","~~"),"*","~*"),"?","~?"),Работы!$B$4:$B$672,0)),0)</f>
        <v/>
      </c>
      <c r="G480" s="10" t="n">
        <v>280</v>
      </c>
      <c r="H480" s="14" t="n">
        <v>1</v>
      </c>
      <c r="I480" s="11" t="n">
        <v>0.1</v>
      </c>
      <c r="J480" s="11" t="n">
        <v>0.12</v>
      </c>
      <c r="K480" s="10" t="n"/>
      <c r="L480" s="9" t="inlineStr">
        <is>
          <t>оценка</t>
        </is>
      </c>
      <c r="M480" s="9" t="inlineStr"/>
      <c r="N480" s="9" t="inlineStr">
        <is>
          <t>2026-10-29</t>
        </is>
      </c>
      <c r="O480" s="13" t="inlineStr">
        <is>
          <t>оценка водостока В Петрович, Лемана ПРО и Сатурн открытой карточки нет, оставлен прежний источник.</t>
        </is>
      </c>
      <c r="P480" s="4">
        <f>IF(H480=1,G480/VAT_DIV,G480)</f>
        <v/>
      </c>
      <c r="Q480" s="4">
        <f>P480*(1+I480)*(1+DELIV)*(1+GROWTH+MONEY)</f>
        <v/>
      </c>
      <c r="R480" s="4">
        <f>IF(AND(K480&lt;&gt;"",Q480*(1+J480)&gt;K480/VAT_DIV),K480/VAT_DIV,Q480*(1+J480))</f>
        <v/>
      </c>
      <c r="S480" s="4">
        <f>Q480*F480</f>
        <v/>
      </c>
      <c r="T480" s="4">
        <f>R480*F480</f>
        <v/>
      </c>
      <c r="U480" s="3">
        <f>IF(AND(K480&lt;&gt;"",Q480*(1+J480)&gt;K480/VAT_DIV+0.01),"ДА","")</f>
        <v/>
      </c>
      <c r="V480" s="4">
        <f>P480*F480</f>
        <v/>
      </c>
    </row>
    <row r="481" ht="20" customHeight="1">
      <c r="A481" s="9" t="inlineStr">
        <is>
          <t>453. Крепление под желоб</t>
        </is>
      </c>
      <c r="B481" s="13" t="inlineStr">
        <is>
          <t>Крепление под желоб</t>
        </is>
      </c>
      <c r="C481" s="9" t="inlineStr">
        <is>
          <t>Кровельные материалы и утеплитель</t>
        </is>
      </c>
      <c r="D481" s="9" t="inlineStr">
        <is>
          <t>шт</t>
        </is>
      </c>
      <c r="E481" s="10" t="n">
        <v>1</v>
      </c>
      <c r="F481" s="4">
        <f>E481*IFERROR(INDEX(Работы!$D$4:$D$672,MATCH(SUBSTITUTE(SUBSTITUTE(SUBSTITUTE(A481,"~","~~"),"*","~*"),"?","~?"),Работы!$B$4:$B$672,0)),0)</f>
        <v/>
      </c>
      <c r="G481" s="10" t="n">
        <v>180</v>
      </c>
      <c r="H481" s="14" t="n">
        <v>1</v>
      </c>
      <c r="I481" s="11" t="n">
        <v>0.1</v>
      </c>
      <c r="J481" s="11" t="n">
        <v>0.12</v>
      </c>
      <c r="K481" s="10" t="n"/>
      <c r="L481" s="9" t="inlineStr">
        <is>
          <t>оценка</t>
        </is>
      </c>
      <c r="M481" s="9" t="inlineStr"/>
      <c r="N481" s="9" t="inlineStr">
        <is>
          <t>2026-10-29</t>
        </is>
      </c>
      <c r="O481" s="13" t="inlineStr">
        <is>
          <t>оценка водостока, запросить КП В Петрович, Лемана ПРО и Сатурн открытой карточки нет, оставлен прежний источник.</t>
        </is>
      </c>
      <c r="P481" s="4">
        <f>IF(H481=1,G481/VAT_DIV,G481)</f>
        <v/>
      </c>
      <c r="Q481" s="4">
        <f>P481*(1+I481)*(1+DELIV)*(1+GROWTH+MONEY)</f>
        <v/>
      </c>
      <c r="R481" s="4">
        <f>IF(AND(K481&lt;&gt;"",Q481*(1+J481)&gt;K481/VAT_DIV),K481/VAT_DIV,Q481*(1+J481))</f>
        <v/>
      </c>
      <c r="S481" s="4">
        <f>Q481*F481</f>
        <v/>
      </c>
      <c r="T481" s="4">
        <f>R481*F481</f>
        <v/>
      </c>
      <c r="U481" s="3">
        <f>IF(AND(K481&lt;&gt;"",Q481*(1+J481)&gt;K481/VAT_DIV+0.01),"ДА","")</f>
        <v/>
      </c>
      <c r="V481" s="4">
        <f>P481*F481</f>
        <v/>
      </c>
    </row>
    <row r="482" ht="20" customHeight="1">
      <c r="A482" s="9" t="inlineStr">
        <is>
          <t>454. Саморезы оцинкованные (4,8 х 100 мм) (100 шт.)</t>
        </is>
      </c>
      <c r="B482" s="13" t="inlineStr">
        <is>
          <t>Саморез 4,8х100, 100 шт</t>
        </is>
      </c>
      <c r="C482" s="9" t="inlineStr">
        <is>
          <t>Металлопрокат и метизы</t>
        </is>
      </c>
      <c r="D482" s="9" t="inlineStr">
        <is>
          <t>уп</t>
        </is>
      </c>
      <c r="E482" s="10" t="n">
        <v>1</v>
      </c>
      <c r="F482" s="4">
        <f>E482*IFERROR(INDEX(Работы!$D$4:$D$672,MATCH(SUBSTITUTE(SUBSTITUTE(SUBSTITUTE(A482,"~","~~"),"*","~*"),"?","~?"),Работы!$B$4:$B$672,0)),0)</f>
        <v/>
      </c>
      <c r="G482" s="10" t="n">
        <v>450</v>
      </c>
      <c r="H482" s="14" t="n">
        <v>1</v>
      </c>
      <c r="I482" s="11" t="n">
        <v>0.05</v>
      </c>
      <c r="J482" s="11" t="n">
        <v>0.1</v>
      </c>
      <c r="K482" s="10" t="n"/>
      <c r="L482" s="9" t="inlineStr">
        <is>
          <t>оценка</t>
        </is>
      </c>
      <c r="M482" s="9" t="inlineStr"/>
      <c r="N482" s="9" t="inlineStr">
        <is>
          <t>2026-10-29</t>
        </is>
      </c>
      <c r="O482" s="13" t="inlineStr">
        <is>
          <t>оценка В Петрович, Лемана ПРО и Сатурн открытой карточки нет, оставлен прежний источник.</t>
        </is>
      </c>
      <c r="P482" s="4">
        <f>IF(H482=1,G482/VAT_DIV,G482)</f>
        <v/>
      </c>
      <c r="Q482" s="4">
        <f>P482*(1+I482)*(1+DELIV)*(1+GROWTH+MONEY)</f>
        <v/>
      </c>
      <c r="R482" s="4">
        <f>IF(AND(K482&lt;&gt;"",Q482*(1+J482)&gt;K482/VAT_DIV),K482/VAT_DIV,Q482*(1+J482))</f>
        <v/>
      </c>
      <c r="S482" s="4">
        <f>Q482*F482</f>
        <v/>
      </c>
      <c r="T482" s="4">
        <f>R482*F482</f>
        <v/>
      </c>
      <c r="U482" s="3">
        <f>IF(AND(K482&lt;&gt;"",Q482*(1+J482)&gt;K482/VAT_DIV+0.01),"ДА","")</f>
        <v/>
      </c>
      <c r="V482" s="4">
        <f>P482*F482</f>
        <v/>
      </c>
    </row>
    <row r="483" ht="20" customHeight="1">
      <c r="A483" s="9" t="inlineStr">
        <is>
          <t>455. Пароизоляция армированная Техно НИКОЛЬ</t>
        </is>
      </c>
      <c r="B483" s="13" t="inlineStr">
        <is>
          <t>Пароизоляция ТехноНИКОЛЬ</t>
        </is>
      </c>
      <c r="C483" s="9" t="inlineStr">
        <is>
          <t>Кровельные материалы и утеплитель</t>
        </is>
      </c>
      <c r="D483" s="9" t="inlineStr">
        <is>
          <t>м2</t>
        </is>
      </c>
      <c r="E483" s="10" t="n">
        <v>1.15</v>
      </c>
      <c r="F483" s="4">
        <f>E483*IFERROR(INDEX(Работы!$D$4:$D$672,MATCH(SUBSTITUTE(SUBSTITUTE(SUBSTITUTE(A483,"~","~~"),"*","~*"),"?","~?"),Работы!$B$4:$B$672,0)),0)</f>
        <v/>
      </c>
      <c r="G483" s="10" t="n">
        <v>45</v>
      </c>
      <c r="H483" s="14" t="n">
        <v>1</v>
      </c>
      <c r="I483" s="11" t="n">
        <v>0.1</v>
      </c>
      <c r="J483" s="11" t="n">
        <v>0.12</v>
      </c>
      <c r="K483" s="10" t="n"/>
      <c r="L483" s="9" t="inlineStr">
        <is>
          <t>оценка</t>
        </is>
      </c>
      <c r="M483" s="9" t="inlineStr"/>
      <c r="N483" s="9" t="inlineStr">
        <is>
          <t>2026-10-29</t>
        </is>
      </c>
      <c r="O483" s="13" t="inlineStr">
        <is>
          <t>оценка В Петрович, Лемана ПРО и Сатурн открытой карточки нет, оставлен прежний источник.</t>
        </is>
      </c>
      <c r="P483" s="4">
        <f>IF(H483=1,G483/VAT_DIV,G483)</f>
        <v/>
      </c>
      <c r="Q483" s="4">
        <f>P483*(1+I483)*(1+DELIV)*(1+GROWTH+MONEY)</f>
        <v/>
      </c>
      <c r="R483" s="4">
        <f>IF(AND(K483&lt;&gt;"",Q483*(1+J483)&gt;K483/VAT_DIV),K483/VAT_DIV,Q483*(1+J483))</f>
        <v/>
      </c>
      <c r="S483" s="4">
        <f>Q483*F483</f>
        <v/>
      </c>
      <c r="T483" s="4">
        <f>R483*F483</f>
        <v/>
      </c>
      <c r="U483" s="3">
        <f>IF(AND(K483&lt;&gt;"",Q483*(1+J483)&gt;K483/VAT_DIV+0.01),"ДА","")</f>
        <v/>
      </c>
      <c r="V483" s="4">
        <f>P483*F483</f>
        <v/>
      </c>
    </row>
    <row r="484" ht="20" customHeight="1">
      <c r="A484" s="9" t="inlineStr">
        <is>
          <t>456. Желоб водосточный из оцинкованной стали 125</t>
        </is>
      </c>
      <c r="B484" s="13" t="inlineStr">
        <is>
          <t>Желоб водосточный из оцинкованной стали 125</t>
        </is>
      </c>
      <c r="C484" s="9" t="inlineStr">
        <is>
          <t>Кровельные материалы и утеплитель</t>
        </is>
      </c>
      <c r="D484" s="9" t="inlineStr">
        <is>
          <t>м</t>
        </is>
      </c>
      <c r="E484" s="10" t="n">
        <v>1</v>
      </c>
      <c r="F484" s="4">
        <f>E484*IFERROR(INDEX(Работы!$D$4:$D$672,MATCH(SUBSTITUTE(SUBSTITUTE(SUBSTITUTE(A484,"~","~~"),"*","~*"),"?","~?"),Работы!$B$4:$B$672,0)),0)</f>
        <v/>
      </c>
      <c r="G484" s="10" t="n">
        <v>350</v>
      </c>
      <c r="H484" s="14" t="n">
        <v>1</v>
      </c>
      <c r="I484" s="11" t="n">
        <v>0.1</v>
      </c>
      <c r="J484" s="11" t="n">
        <v>0.12</v>
      </c>
      <c r="K484" s="10" t="n"/>
      <c r="L484" s="9" t="inlineStr">
        <is>
          <t>оценка</t>
        </is>
      </c>
      <c r="M484" s="9" t="inlineStr"/>
      <c r="N484" s="9" t="inlineStr">
        <is>
          <t>2026-10-29</t>
        </is>
      </c>
      <c r="O484" s="13" t="inlineStr">
        <is>
          <t>оценка водостока В Петрович, Лемана ПРО и Сатурн открытой карточки нет, оставлен прежний источник.</t>
        </is>
      </c>
      <c r="P484" s="4">
        <f>IF(H484=1,G484/VAT_DIV,G484)</f>
        <v/>
      </c>
      <c r="Q484" s="4">
        <f>P484*(1+I484)*(1+DELIV)*(1+GROWTH+MONEY)</f>
        <v/>
      </c>
      <c r="R484" s="4">
        <f>IF(AND(K484&lt;&gt;"",Q484*(1+J484)&gt;K484/VAT_DIV),K484/VAT_DIV,Q484*(1+J484))</f>
        <v/>
      </c>
      <c r="S484" s="4">
        <f>Q484*F484</f>
        <v/>
      </c>
      <c r="T484" s="4">
        <f>R484*F484</f>
        <v/>
      </c>
      <c r="U484" s="3">
        <f>IF(AND(K484&lt;&gt;"",Q484*(1+J484)&gt;K484/VAT_DIV+0.01),"ДА","")</f>
        <v/>
      </c>
      <c r="V484" s="4">
        <f>P484*F484</f>
        <v/>
      </c>
    </row>
    <row r="485" ht="20" customHeight="1">
      <c r="A485" s="9" t="inlineStr">
        <is>
          <t>457. Желоб водосточный из оцинкованной стали 100</t>
        </is>
      </c>
      <c r="B485" s="13" t="inlineStr">
        <is>
          <t>Желоб водосточный из оцинкованной стали 100</t>
        </is>
      </c>
      <c r="C485" s="9" t="inlineStr">
        <is>
          <t>Кровельные материалы и утеплитель</t>
        </is>
      </c>
      <c r="D485" s="9" t="inlineStr">
        <is>
          <t>м</t>
        </is>
      </c>
      <c r="E485" s="10" t="n">
        <v>1</v>
      </c>
      <c r="F485" s="4">
        <f>E485*IFERROR(INDEX(Работы!$D$4:$D$672,MATCH(SUBSTITUTE(SUBSTITUTE(SUBSTITUTE(A485,"~","~~"),"*","~*"),"?","~?"),Работы!$B$4:$B$672,0)),0)</f>
        <v/>
      </c>
      <c r="G485" s="10" t="n">
        <v>280</v>
      </c>
      <c r="H485" s="14" t="n">
        <v>1</v>
      </c>
      <c r="I485" s="11" t="n">
        <v>0.1</v>
      </c>
      <c r="J485" s="11" t="n">
        <v>0.12</v>
      </c>
      <c r="K485" s="10" t="n"/>
      <c r="L485" s="9" t="inlineStr">
        <is>
          <t>оценка</t>
        </is>
      </c>
      <c r="M485" s="9" t="inlineStr"/>
      <c r="N485" s="9" t="inlineStr">
        <is>
          <t>2026-10-29</t>
        </is>
      </c>
      <c r="O485" s="13" t="inlineStr">
        <is>
          <t>оценка водостока В Петрович, Лемана ПРО и Сатурн открытой карточки нет, оставлен прежний источник.</t>
        </is>
      </c>
      <c r="P485" s="4">
        <f>IF(H485=1,G485/VAT_DIV,G485)</f>
        <v/>
      </c>
      <c r="Q485" s="4">
        <f>P485*(1+I485)*(1+DELIV)*(1+GROWTH+MONEY)</f>
        <v/>
      </c>
      <c r="R485" s="4">
        <f>IF(AND(K485&lt;&gt;"",Q485*(1+J485)&gt;K485/VAT_DIV),K485/VAT_DIV,Q485*(1+J485))</f>
        <v/>
      </c>
      <c r="S485" s="4">
        <f>Q485*F485</f>
        <v/>
      </c>
      <c r="T485" s="4">
        <f>R485*F485</f>
        <v/>
      </c>
      <c r="U485" s="3">
        <f>IF(AND(K485&lt;&gt;"",Q485*(1+J485)&gt;K485/VAT_DIV+0.01),"ДА","")</f>
        <v/>
      </c>
      <c r="V485" s="4">
        <f>P485*F485</f>
        <v/>
      </c>
    </row>
    <row r="486" ht="20" customHeight="1">
      <c r="A486" s="9" t="inlineStr">
        <is>
          <t>458. Желоб водосточный "HUNTER" 125 мм</t>
        </is>
      </c>
      <c r="B486" s="13" t="inlineStr">
        <is>
          <t>Желоб водосточный "HUNTER" 125 мм</t>
        </is>
      </c>
      <c r="C486" s="9" t="inlineStr">
        <is>
          <t>Кровельные материалы и утеплитель</t>
        </is>
      </c>
      <c r="D486" s="9" t="inlineStr">
        <is>
          <t>м</t>
        </is>
      </c>
      <c r="E486" s="10" t="n">
        <v>1</v>
      </c>
      <c r="F486" s="4">
        <f>E486*IFERROR(INDEX(Работы!$D$4:$D$672,MATCH(SUBSTITUTE(SUBSTITUTE(SUBSTITUTE(A486,"~","~~"),"*","~*"),"?","~?"),Работы!$B$4:$B$672,0)),0)</f>
        <v/>
      </c>
      <c r="G486" s="10" t="n">
        <v>525</v>
      </c>
      <c r="H486" s="14" t="n">
        <v>1</v>
      </c>
      <c r="I486" s="11" t="n">
        <v>0.1</v>
      </c>
      <c r="J486" s="11" t="n">
        <v>0.12</v>
      </c>
      <c r="K486" s="10" t="n"/>
      <c r="L486" s="9" t="inlineStr">
        <is>
          <t>оценка</t>
        </is>
      </c>
      <c r="M486" s="9" t="inlineStr"/>
      <c r="N486" s="9" t="inlineStr">
        <is>
          <t>2026-10-29</t>
        </is>
      </c>
      <c r="O486" s="13" t="inlineStr">
        <is>
          <t>оценка водостока В Петрович, Лемана ПРО и Сатурн открытой карточки нет, оставлен прежний источник.</t>
        </is>
      </c>
      <c r="P486" s="4">
        <f>IF(H486=1,G486/VAT_DIV,G486)</f>
        <v/>
      </c>
      <c r="Q486" s="4">
        <f>P486*(1+I486)*(1+DELIV)*(1+GROWTH+MONEY)</f>
        <v/>
      </c>
      <c r="R486" s="4">
        <f>IF(AND(K486&lt;&gt;"",Q486*(1+J486)&gt;K486/VAT_DIV),K486/VAT_DIV,Q486*(1+J486))</f>
        <v/>
      </c>
      <c r="S486" s="4">
        <f>Q486*F486</f>
        <v/>
      </c>
      <c r="T486" s="4">
        <f>R486*F486</f>
        <v/>
      </c>
      <c r="U486" s="3">
        <f>IF(AND(K486&lt;&gt;"",Q486*(1+J486)&gt;K486/VAT_DIV+0.01),"ДА","")</f>
        <v/>
      </c>
      <c r="V486" s="4">
        <f>P486*F486</f>
        <v/>
      </c>
    </row>
    <row r="487" ht="20" customHeight="1">
      <c r="A487" s="9" t="inlineStr">
        <is>
          <t>459. Герметик полиуретановый</t>
        </is>
      </c>
      <c r="B487" s="13" t="inlineStr">
        <is>
          <t>Герметик полиуретановый</t>
        </is>
      </c>
      <c r="C487" s="9" t="inlineStr">
        <is>
          <t>Кровельные материалы и утеплитель</t>
        </is>
      </c>
      <c r="D487" s="9" t="inlineStr">
        <is>
          <t>кг</t>
        </is>
      </c>
      <c r="E487" s="10" t="n">
        <v>1</v>
      </c>
      <c r="F487" s="4">
        <f>E487*IFERROR(INDEX(Работы!$D$4:$D$672,MATCH(SUBSTITUTE(SUBSTITUTE(SUBSTITUTE(A487,"~","~~"),"*","~*"),"?","~?"),Работы!$B$4:$B$672,0)),0)</f>
        <v/>
      </c>
      <c r="G487" s="10" t="n">
        <v>450</v>
      </c>
      <c r="H487" s="14" t="n">
        <v>1</v>
      </c>
      <c r="I487" s="11" t="n">
        <v>0.1</v>
      </c>
      <c r="J487" s="11" t="n">
        <v>0.12</v>
      </c>
      <c r="K487" s="10" t="n"/>
      <c r="L487" s="9" t="inlineStr">
        <is>
          <t>оценка</t>
        </is>
      </c>
      <c r="M487" s="9" t="inlineStr"/>
      <c r="N487" s="9" t="inlineStr">
        <is>
          <t>2026-10-29</t>
        </is>
      </c>
      <c r="O487" s="13" t="inlineStr">
        <is>
          <t>оценка В Петрович, Лемана ПРО и Сатурн открытой карточки нет, оставлен прежний источник.</t>
        </is>
      </c>
      <c r="P487" s="4">
        <f>IF(H487=1,G487/VAT_DIV,G487)</f>
        <v/>
      </c>
      <c r="Q487" s="4">
        <f>P487*(1+I487)*(1+DELIV)*(1+GROWTH+MONEY)</f>
        <v/>
      </c>
      <c r="R487" s="4">
        <f>IF(AND(K487&lt;&gt;"",Q487*(1+J487)&gt;K487/VAT_DIV),K487/VAT_DIV,Q487*(1+J487))</f>
        <v/>
      </c>
      <c r="S487" s="4">
        <f>Q487*F487</f>
        <v/>
      </c>
      <c r="T487" s="4">
        <f>R487*F487</f>
        <v/>
      </c>
      <c r="U487" s="3">
        <f>IF(AND(K487&lt;&gt;"",Q487*(1+J487)&gt;K487/VAT_DIV+0.01),"ДА","")</f>
        <v/>
      </c>
      <c r="V487" s="4">
        <f>P487*F487</f>
        <v/>
      </c>
    </row>
    <row r="488" ht="20" customHeight="1">
      <c r="A488" s="9" t="inlineStr">
        <is>
          <t>460. Труба водосточная из труб с порошковой окраскойd 100</t>
        </is>
      </c>
      <c r="B488" s="13" t="inlineStr">
        <is>
          <t>Краска</t>
        </is>
      </c>
      <c r="C488" s="9" t="inlineStr">
        <is>
          <t>Краски, грунты, ЛКМ</t>
        </is>
      </c>
      <c r="D488" s="9" t="inlineStr">
        <is>
          <t>кг</t>
        </is>
      </c>
      <c r="E488" s="10" t="n">
        <v>0.35</v>
      </c>
      <c r="F488" s="4">
        <f>E488*IFERROR(INDEX(Работы!$D$4:$D$672,MATCH(SUBSTITUTE(SUBSTITUTE(SUBSTITUTE(A488,"~","~~"),"*","~*"),"?","~?"),Работы!$B$4:$B$672,0)),0)</f>
        <v/>
      </c>
      <c r="G488" s="10" t="n">
        <v>128.57</v>
      </c>
      <c r="H488" s="14" t="n">
        <v>1</v>
      </c>
      <c r="I488" s="11" t="n">
        <v>0.05</v>
      </c>
      <c r="J488" s="11" t="n">
        <v>0.12</v>
      </c>
      <c r="K488" s="10" t="n"/>
      <c r="L488" s="9" t="inlineStr">
        <is>
          <t>Петрович</t>
        </is>
      </c>
      <c r="M488" s="9" t="inlineStr">
        <is>
          <t>https://moscow.petrovich.ru/product/103990/</t>
        </is>
      </c>
      <c r="N488" s="9" t="inlineStr">
        <is>
          <t>2026-10-29</t>
        </is>
      </c>
      <c r="O488" s="13" t="inlineStr">
        <is>
          <t>Петрович Москва, Текс влагостойкая 1 800 руб/14 кг</t>
        </is>
      </c>
      <c r="P488" s="4">
        <f>IF(H488=1,G488/VAT_DIV,G488)</f>
        <v/>
      </c>
      <c r="Q488" s="4">
        <f>P488*(1+I488)*(1+DELIV)*(1+GROWTH+MONEY)</f>
        <v/>
      </c>
      <c r="R488" s="4">
        <f>IF(AND(K488&lt;&gt;"",Q488*(1+J488)&gt;K488/VAT_DIV),K488/VAT_DIV,Q488*(1+J488))</f>
        <v/>
      </c>
      <c r="S488" s="4">
        <f>Q488*F488</f>
        <v/>
      </c>
      <c r="T488" s="4">
        <f>R488*F488</f>
        <v/>
      </c>
      <c r="U488" s="3">
        <f>IF(AND(K488&lt;&gt;"",Q488*(1+J488)&gt;K488/VAT_DIV+0.01),"ДА","")</f>
        <v/>
      </c>
      <c r="V488" s="4">
        <f>P488*F488</f>
        <v/>
      </c>
    </row>
    <row r="489" ht="20" customHeight="1">
      <c r="A489" s="9" t="inlineStr">
        <is>
          <t>461. Желоб водосточный с порошковой окраской d 100</t>
        </is>
      </c>
      <c r="B489" s="13" t="inlineStr">
        <is>
          <t>Краска</t>
        </is>
      </c>
      <c r="C489" s="9" t="inlineStr">
        <is>
          <t>Краски, грунты, ЛКМ</t>
        </is>
      </c>
      <c r="D489" s="9" t="inlineStr">
        <is>
          <t>кг</t>
        </is>
      </c>
      <c r="E489" s="10" t="n">
        <v>0.35</v>
      </c>
      <c r="F489" s="4">
        <f>E489*IFERROR(INDEX(Работы!$D$4:$D$672,MATCH(SUBSTITUTE(SUBSTITUTE(SUBSTITUTE(A489,"~","~~"),"*","~*"),"?","~?"),Работы!$B$4:$B$672,0)),0)</f>
        <v/>
      </c>
      <c r="G489" s="10" t="n">
        <v>128.57</v>
      </c>
      <c r="H489" s="14" t="n">
        <v>1</v>
      </c>
      <c r="I489" s="11" t="n">
        <v>0.05</v>
      </c>
      <c r="J489" s="11" t="n">
        <v>0.12</v>
      </c>
      <c r="K489" s="10" t="n"/>
      <c r="L489" s="9" t="inlineStr">
        <is>
          <t>Петрович</t>
        </is>
      </c>
      <c r="M489" s="9" t="inlineStr">
        <is>
          <t>https://moscow.petrovich.ru/product/103990/</t>
        </is>
      </c>
      <c r="N489" s="9" t="inlineStr">
        <is>
          <t>2026-10-29</t>
        </is>
      </c>
      <c r="O489" s="13" t="inlineStr">
        <is>
          <t>Петрович Москва, Текс влагостойкая 1 800 руб/14 кг</t>
        </is>
      </c>
      <c r="P489" s="4">
        <f>IF(H489=1,G489/VAT_DIV,G489)</f>
        <v/>
      </c>
      <c r="Q489" s="4">
        <f>P489*(1+I489)*(1+DELIV)*(1+GROWTH+MONEY)</f>
        <v/>
      </c>
      <c r="R489" s="4">
        <f>IF(AND(K489&lt;&gt;"",Q489*(1+J489)&gt;K489/VAT_DIV),K489/VAT_DIV,Q489*(1+J489))</f>
        <v/>
      </c>
      <c r="S489" s="4">
        <f>Q489*F489</f>
        <v/>
      </c>
      <c r="T489" s="4">
        <f>R489*F489</f>
        <v/>
      </c>
      <c r="U489" s="3">
        <f>IF(AND(K489&lt;&gt;"",Q489*(1+J489)&gt;K489/VAT_DIV+0.01),"ДА","")</f>
        <v/>
      </c>
      <c r="V489" s="4">
        <f>P489*F489</f>
        <v/>
      </c>
    </row>
    <row r="490" ht="20" customHeight="1">
      <c r="A490" s="9" t="inlineStr">
        <is>
          <t>462. Угловой желоб с порошковой окраской d 100</t>
        </is>
      </c>
      <c r="B490" s="13" t="inlineStr">
        <is>
          <t>Краска</t>
        </is>
      </c>
      <c r="C490" s="9" t="inlineStr">
        <is>
          <t>Краски, грунты, ЛКМ</t>
        </is>
      </c>
      <c r="D490" s="9" t="inlineStr">
        <is>
          <t>кг</t>
        </is>
      </c>
      <c r="E490" s="10" t="n">
        <v>0.35</v>
      </c>
      <c r="F490" s="4">
        <f>E490*IFERROR(INDEX(Работы!$D$4:$D$672,MATCH(SUBSTITUTE(SUBSTITUTE(SUBSTITUTE(A490,"~","~~"),"*","~*"),"?","~?"),Работы!$B$4:$B$672,0)),0)</f>
        <v/>
      </c>
      <c r="G490" s="10" t="n">
        <v>128.57</v>
      </c>
      <c r="H490" s="14" t="n">
        <v>1</v>
      </c>
      <c r="I490" s="11" t="n">
        <v>0.05</v>
      </c>
      <c r="J490" s="11" t="n">
        <v>0.12</v>
      </c>
      <c r="K490" s="10" t="n"/>
      <c r="L490" s="9" t="inlineStr">
        <is>
          <t>Петрович</t>
        </is>
      </c>
      <c r="M490" s="9" t="inlineStr">
        <is>
          <t>https://moscow.petrovich.ru/product/103990/</t>
        </is>
      </c>
      <c r="N490" s="9" t="inlineStr">
        <is>
          <t>2026-10-29</t>
        </is>
      </c>
      <c r="O490" s="13" t="inlineStr">
        <is>
          <t>Петрович Москва, Текс влагостойкая 1 800 руб/14 кг</t>
        </is>
      </c>
      <c r="P490" s="4">
        <f>IF(H490=1,G490/VAT_DIV,G490)</f>
        <v/>
      </c>
      <c r="Q490" s="4">
        <f>P490*(1+I490)*(1+DELIV)*(1+GROWTH+MONEY)</f>
        <v/>
      </c>
      <c r="R490" s="4">
        <f>IF(AND(K490&lt;&gt;"",Q490*(1+J490)&gt;K490/VAT_DIV),K490/VAT_DIV,Q490*(1+J490))</f>
        <v/>
      </c>
      <c r="S490" s="4">
        <f>Q490*F490</f>
        <v/>
      </c>
      <c r="T490" s="4">
        <f>R490*F490</f>
        <v/>
      </c>
      <c r="U490" s="3">
        <f>IF(AND(K490&lt;&gt;"",Q490*(1+J490)&gt;K490/VAT_DIV+0.01),"ДА","")</f>
        <v/>
      </c>
      <c r="V490" s="4">
        <f>P490*F490</f>
        <v/>
      </c>
    </row>
    <row r="491" ht="20" customHeight="1">
      <c r="A491" s="9" t="inlineStr">
        <is>
          <t>463. Монтаж водостоков из труб с порошковой окраской диаметром 100-125 мм</t>
        </is>
      </c>
      <c r="B491" s="13" t="inlineStr">
        <is>
          <t>Краска</t>
        </is>
      </c>
      <c r="C491" s="9" t="inlineStr">
        <is>
          <t>Краски, грунты, ЛКМ</t>
        </is>
      </c>
      <c r="D491" s="9" t="inlineStr">
        <is>
          <t>кг</t>
        </is>
      </c>
      <c r="E491" s="10" t="n">
        <v>0.35</v>
      </c>
      <c r="F491" s="4">
        <f>E491*IFERROR(INDEX(Работы!$D$4:$D$672,MATCH(SUBSTITUTE(SUBSTITUTE(SUBSTITUTE(A491,"~","~~"),"*","~*"),"?","~?"),Работы!$B$4:$B$672,0)),0)</f>
        <v/>
      </c>
      <c r="G491" s="10" t="n">
        <v>128.57</v>
      </c>
      <c r="H491" s="14" t="n">
        <v>1</v>
      </c>
      <c r="I491" s="11" t="n">
        <v>0.05</v>
      </c>
      <c r="J491" s="11" t="n">
        <v>0.12</v>
      </c>
      <c r="K491" s="10" t="n"/>
      <c r="L491" s="9" t="inlineStr">
        <is>
          <t>Петрович</t>
        </is>
      </c>
      <c r="M491" s="9" t="inlineStr">
        <is>
          <t>https://moscow.petrovich.ru/product/103990/</t>
        </is>
      </c>
      <c r="N491" s="9" t="inlineStr">
        <is>
          <t>2026-10-29</t>
        </is>
      </c>
      <c r="O491" s="13" t="inlineStr">
        <is>
          <t>Петрович Москва, Текс влагостойкая 1 800 руб/14 кг</t>
        </is>
      </c>
      <c r="P491" s="4">
        <f>IF(H491=1,G491/VAT_DIV,G491)</f>
        <v/>
      </c>
      <c r="Q491" s="4">
        <f>P491*(1+I491)*(1+DELIV)*(1+GROWTH+MONEY)</f>
        <v/>
      </c>
      <c r="R491" s="4">
        <f>IF(AND(K491&lt;&gt;"",Q491*(1+J491)&gt;K491/VAT_DIV),K491/VAT_DIV,Q491*(1+J491))</f>
        <v/>
      </c>
      <c r="S491" s="4">
        <f>Q491*F491</f>
        <v/>
      </c>
      <c r="T491" s="4">
        <f>R491*F491</f>
        <v/>
      </c>
      <c r="U491" s="3">
        <f>IF(AND(K491&lt;&gt;"",Q491*(1+J491)&gt;K491/VAT_DIV+0.01),"ДА","")</f>
        <v/>
      </c>
      <c r="V491" s="4">
        <f>P491*F491</f>
        <v/>
      </c>
    </row>
    <row r="492" ht="20" customHeight="1">
      <c r="A492" s="9" t="inlineStr">
        <is>
          <t>466. Монтаж желоба водосточного из труб с порошковой окраской 100-125 мм</t>
        </is>
      </c>
      <c r="B492" s="13" t="inlineStr">
        <is>
          <t>Краска</t>
        </is>
      </c>
      <c r="C492" s="9" t="inlineStr">
        <is>
          <t>Краски, грунты, ЛКМ</t>
        </is>
      </c>
      <c r="D492" s="9" t="inlineStr">
        <is>
          <t>кг</t>
        </is>
      </c>
      <c r="E492" s="10" t="n">
        <v>0.35</v>
      </c>
      <c r="F492" s="4">
        <f>E492*IFERROR(INDEX(Работы!$D$4:$D$672,MATCH(SUBSTITUTE(SUBSTITUTE(SUBSTITUTE(A492,"~","~~"),"*","~*"),"?","~?"),Работы!$B$4:$B$672,0)),0)</f>
        <v/>
      </c>
      <c r="G492" s="10" t="n">
        <v>128.57</v>
      </c>
      <c r="H492" s="14" t="n">
        <v>1</v>
      </c>
      <c r="I492" s="11" t="n">
        <v>0.05</v>
      </c>
      <c r="J492" s="11" t="n">
        <v>0.12</v>
      </c>
      <c r="K492" s="10" t="n"/>
      <c r="L492" s="9" t="inlineStr">
        <is>
          <t>Петрович</t>
        </is>
      </c>
      <c r="M492" s="9" t="inlineStr">
        <is>
          <t>https://moscow.petrovich.ru/product/103990/</t>
        </is>
      </c>
      <c r="N492" s="9" t="inlineStr">
        <is>
          <t>2026-10-29</t>
        </is>
      </c>
      <c r="O492" s="13" t="inlineStr">
        <is>
          <t>Петрович Москва, Текс влагостойкая 1 800 руб/14 кг</t>
        </is>
      </c>
      <c r="P492" s="4">
        <f>IF(H492=1,G492/VAT_DIV,G492)</f>
        <v/>
      </c>
      <c r="Q492" s="4">
        <f>P492*(1+I492)*(1+DELIV)*(1+GROWTH+MONEY)</f>
        <v/>
      </c>
      <c r="R492" s="4">
        <f>IF(AND(K492&lt;&gt;"",Q492*(1+J492)&gt;K492/VAT_DIV),K492/VAT_DIV,Q492*(1+J492))</f>
        <v/>
      </c>
      <c r="S492" s="4">
        <f>Q492*F492</f>
        <v/>
      </c>
      <c r="T492" s="4">
        <f>R492*F492</f>
        <v/>
      </c>
      <c r="U492" s="3">
        <f>IF(AND(K492&lt;&gt;"",Q492*(1+J492)&gt;K492/VAT_DIV+0.01),"ДА","")</f>
        <v/>
      </c>
      <c r="V492" s="4">
        <f>P492*F492</f>
        <v/>
      </c>
    </row>
    <row r="493" ht="20" customHeight="1">
      <c r="A493" s="9" t="inlineStr">
        <is>
          <t>467. Устройство подогрева воронок водосточных с ручных режимом включения (с учетом материалов)</t>
        </is>
      </c>
      <c r="B493" s="13" t="inlineStr">
        <is>
          <t>Кабель прогрева воронки, комплект</t>
        </is>
      </c>
      <c r="C493" s="9" t="inlineStr">
        <is>
          <t>Кабель и провод</t>
        </is>
      </c>
      <c r="D493" s="9" t="inlineStr">
        <is>
          <t>компл</t>
        </is>
      </c>
      <c r="E493" s="10" t="n">
        <v>1</v>
      </c>
      <c r="F493" s="4">
        <f>E493*IFERROR(INDEX(Работы!$D$4:$D$672,MATCH(SUBSTITUTE(SUBSTITUTE(SUBSTITUTE(A493,"~","~~"),"*","~*"),"?","~?"),Работы!$B$4:$B$672,0)),0)</f>
        <v/>
      </c>
      <c r="G493" s="10" t="n">
        <v>2500</v>
      </c>
      <c r="H493" s="14" t="n">
        <v>1</v>
      </c>
      <c r="I493" s="11" t="n">
        <v>0.04</v>
      </c>
      <c r="J493" s="11" t="n">
        <v>0.12</v>
      </c>
      <c r="K493" s="10" t="n"/>
      <c r="L493" s="9" t="inlineStr">
        <is>
          <t>оценка</t>
        </is>
      </c>
      <c r="M493" s="9" t="inlineStr"/>
      <c r="N493" s="9" t="inlineStr">
        <is>
          <t>2026-10-29</t>
        </is>
      </c>
      <c r="O493" s="13" t="inlineStr">
        <is>
          <t>оценка В Петрович, Лемана ПРО и Сатурн открытой карточки нет, оставлен прежний источник.</t>
        </is>
      </c>
      <c r="P493" s="4">
        <f>IF(H493=1,G493/VAT_DIV,G493)</f>
        <v/>
      </c>
      <c r="Q493" s="4">
        <f>P493*(1+I493)*(1+DELIV)*(1+GROWTH+MONEY)</f>
        <v/>
      </c>
      <c r="R493" s="4">
        <f>IF(AND(K493&lt;&gt;"",Q493*(1+J493)&gt;K493/VAT_DIV),K493/VAT_DIV,Q493*(1+J493))</f>
        <v/>
      </c>
      <c r="S493" s="4">
        <f>Q493*F493</f>
        <v/>
      </c>
      <c r="T493" s="4">
        <f>R493*F493</f>
        <v/>
      </c>
      <c r="U493" s="3">
        <f>IF(AND(K493&lt;&gt;"",Q493*(1+J493)&gt;K493/VAT_DIV+0.01),"ДА","")</f>
        <v/>
      </c>
      <c r="V493" s="4">
        <f>P493*F493</f>
        <v/>
      </c>
    </row>
    <row r="494" ht="20" customHeight="1">
      <c r="A494" s="9" t="inlineStr">
        <is>
          <t>471. Болт анкерный М20х200мм с гайкой (применение при креплении отбойников и стеллажного оборудования) СЦ</t>
        </is>
      </c>
      <c r="B494" s="13" t="inlineStr">
        <is>
          <t>Болт анкерный М20х200мм с гайкой (применение при креплении отбойников и стеллажн</t>
        </is>
      </c>
      <c r="C494" s="9" t="inlineStr">
        <is>
          <t>Металлопрокат и метизы</t>
        </is>
      </c>
      <c r="D494" s="9" t="inlineStr">
        <is>
          <t>шт</t>
        </is>
      </c>
      <c r="E494" s="10" t="n">
        <v>1</v>
      </c>
      <c r="F494" s="4">
        <f>E494*IFERROR(INDEX(Работы!$D$4:$D$672,MATCH(SUBSTITUTE(SUBSTITUTE(SUBSTITUTE(A494,"~","~~"),"*","~*"),"?","~?"),Работы!$B$4:$B$672,0)),0)</f>
        <v/>
      </c>
      <c r="G494" s="10" t="n">
        <v>4500</v>
      </c>
      <c r="H494" s="14" t="n">
        <v>1</v>
      </c>
      <c r="I494" s="11" t="n">
        <v>0.05</v>
      </c>
      <c r="J494" s="11" t="n">
        <v>0.1</v>
      </c>
      <c r="K494" s="10" t="n"/>
      <c r="L494" s="9" t="inlineStr">
        <is>
          <t>оценка</t>
        </is>
      </c>
      <c r="M494" s="9" t="inlineStr"/>
      <c r="N494" s="9" t="inlineStr">
        <is>
          <t>2026-10-29</t>
        </is>
      </c>
      <c r="O494" s="13" t="inlineStr">
        <is>
          <t>оценка отбойника, запросить КП В Петрович, Лемана ПРО и Сатурн открытой карточки нет, оставлен прежний источник.</t>
        </is>
      </c>
      <c r="P494" s="4">
        <f>IF(H494=1,G494/VAT_DIV,G494)</f>
        <v/>
      </c>
      <c r="Q494" s="4">
        <f>P494*(1+I494)*(1+DELIV)*(1+GROWTH+MONEY)</f>
        <v/>
      </c>
      <c r="R494" s="4">
        <f>IF(AND(K494&lt;&gt;"",Q494*(1+J494)&gt;K494/VAT_DIV),K494/VAT_DIV,Q494*(1+J494))</f>
        <v/>
      </c>
      <c r="S494" s="4">
        <f>Q494*F494</f>
        <v/>
      </c>
      <c r="T494" s="4">
        <f>R494*F494</f>
        <v/>
      </c>
      <c r="U494" s="3">
        <f>IF(AND(K494&lt;&gt;"",Q494*(1+J494)&gt;K494/VAT_DIV+0.01),"ДА","")</f>
        <v/>
      </c>
      <c r="V494" s="4">
        <f>P494*F494</f>
        <v/>
      </c>
    </row>
    <row r="495" ht="20" customHeight="1">
      <c r="A495" s="9" t="inlineStr">
        <is>
          <t>472. Болт анкерный М16*120мм с гайкой (применение при креплении отбойников и стеллажного оборудования) СЦ</t>
        </is>
      </c>
      <c r="B495" s="13" t="inlineStr">
        <is>
          <t>Болт анкерный М16*120мм с гайкой (применение при креплении отбойников и стеллажн</t>
        </is>
      </c>
      <c r="C495" s="9" t="inlineStr">
        <is>
          <t>Металлопрокат и метизы</t>
        </is>
      </c>
      <c r="D495" s="9" t="inlineStr">
        <is>
          <t>шт</t>
        </is>
      </c>
      <c r="E495" s="10" t="n">
        <v>1</v>
      </c>
      <c r="F495" s="4">
        <f>E495*IFERROR(INDEX(Работы!$D$4:$D$672,MATCH(SUBSTITUTE(SUBSTITUTE(SUBSTITUTE(A495,"~","~~"),"*","~*"),"?","~?"),Работы!$B$4:$B$672,0)),0)</f>
        <v/>
      </c>
      <c r="G495" s="10" t="n">
        <v>4500</v>
      </c>
      <c r="H495" s="14" t="n">
        <v>1</v>
      </c>
      <c r="I495" s="11" t="n">
        <v>0.05</v>
      </c>
      <c r="J495" s="11" t="n">
        <v>0.1</v>
      </c>
      <c r="K495" s="10" t="n"/>
      <c r="L495" s="9" t="inlineStr">
        <is>
          <t>оценка</t>
        </is>
      </c>
      <c r="M495" s="9" t="inlineStr"/>
      <c r="N495" s="9" t="inlineStr">
        <is>
          <t>2026-10-29</t>
        </is>
      </c>
      <c r="O495" s="13" t="inlineStr">
        <is>
          <t>оценка отбойника, запросить КП В Петрович, Лемана ПРО и Сатурн открытой карточки нет, оставлен прежний источник.</t>
        </is>
      </c>
      <c r="P495" s="4">
        <f>IF(H495=1,G495/VAT_DIV,G495)</f>
        <v/>
      </c>
      <c r="Q495" s="4">
        <f>P495*(1+I495)*(1+DELIV)*(1+GROWTH+MONEY)</f>
        <v/>
      </c>
      <c r="R495" s="4">
        <f>IF(AND(K495&lt;&gt;"",Q495*(1+J495)&gt;K495/VAT_DIV),K495/VAT_DIV,Q495*(1+J495))</f>
        <v/>
      </c>
      <c r="S495" s="4">
        <f>Q495*F495</f>
        <v/>
      </c>
      <c r="T495" s="4">
        <f>R495*F495</f>
        <v/>
      </c>
      <c r="U495" s="3">
        <f>IF(AND(K495&lt;&gt;"",Q495*(1+J495)&gt;K495/VAT_DIV+0.01),"ДА","")</f>
        <v/>
      </c>
      <c r="V495" s="4">
        <f>P495*F495</f>
        <v/>
      </c>
    </row>
    <row r="496" ht="20" customHeight="1">
      <c r="A496" s="9" t="inlineStr">
        <is>
          <t>473. Пластина металлическая монтажная для упорного бампера 500*250*100мм</t>
        </is>
      </c>
      <c r="B496" s="13" t="inlineStr">
        <is>
          <t>Пластина металлическая монтажная для упорного бампера 500*250*100мм</t>
        </is>
      </c>
      <c r="C496" s="9" t="inlineStr">
        <is>
          <t>Металлопрокат и метизы</t>
        </is>
      </c>
      <c r="D496" s="9" t="inlineStr">
        <is>
          <t>шт</t>
        </is>
      </c>
      <c r="E496" s="10" t="n">
        <v>1</v>
      </c>
      <c r="F496" s="4">
        <f>E496*IFERROR(INDEX(Работы!$D$4:$D$672,MATCH(SUBSTITUTE(SUBSTITUTE(SUBSTITUTE(A496,"~","~~"),"*","~*"),"?","~?"),Работы!$B$4:$B$672,0)),0)</f>
        <v/>
      </c>
      <c r="G496" s="10" t="n">
        <v>1800</v>
      </c>
      <c r="H496" s="14" t="n">
        <v>1</v>
      </c>
      <c r="I496" s="11" t="n">
        <v>0.05</v>
      </c>
      <c r="J496" s="11" t="n">
        <v>0.1</v>
      </c>
      <c r="K496" s="10" t="n"/>
      <c r="L496" s="9" t="inlineStr">
        <is>
          <t>оценка</t>
        </is>
      </c>
      <c r="M496" s="9" t="inlineStr"/>
      <c r="N496" s="9" t="inlineStr">
        <is>
          <t>2026-10-29</t>
        </is>
      </c>
      <c r="O496" s="13" t="inlineStr">
        <is>
          <t>оценка В Петрович, Лемана ПРО и Сатурн открытой карточки нет, оставлен прежний источник.</t>
        </is>
      </c>
      <c r="P496" s="4">
        <f>IF(H496=1,G496/VAT_DIV,G496)</f>
        <v/>
      </c>
      <c r="Q496" s="4">
        <f>P496*(1+I496)*(1+DELIV)*(1+GROWTH+MONEY)</f>
        <v/>
      </c>
      <c r="R496" s="4">
        <f>IF(AND(K496&lt;&gt;"",Q496*(1+J496)&gt;K496/VAT_DIV),K496/VAT_DIV,Q496*(1+J496))</f>
        <v/>
      </c>
      <c r="S496" s="4">
        <f>Q496*F496</f>
        <v/>
      </c>
      <c r="T496" s="4">
        <f>R496*F496</f>
        <v/>
      </c>
      <c r="U496" s="3">
        <f>IF(AND(K496&lt;&gt;"",Q496*(1+J496)&gt;K496/VAT_DIV+0.01),"ДА","")</f>
        <v/>
      </c>
      <c r="V496" s="4">
        <f>P496*F496</f>
        <v/>
      </c>
    </row>
    <row r="497" ht="20" customHeight="1">
      <c r="A497" s="9" t="inlineStr">
        <is>
          <t>474. Резиновый упор бампер 500*250*100мм</t>
        </is>
      </c>
      <c r="B497" s="13" t="inlineStr">
        <is>
          <t>Резиновый упор бампер 500*250*100мм</t>
        </is>
      </c>
      <c r="C497" s="9" t="inlineStr">
        <is>
          <t>Металлопрокат и метизы</t>
        </is>
      </c>
      <c r="D497" s="9" t="inlineStr">
        <is>
          <t>шт</t>
        </is>
      </c>
      <c r="E497" s="10" t="n">
        <v>1</v>
      </c>
      <c r="F497" s="4">
        <f>E497*IFERROR(INDEX(Работы!$D$4:$D$672,MATCH(SUBSTITUTE(SUBSTITUTE(SUBSTITUTE(A497,"~","~~"),"*","~*"),"?","~?"),Работы!$B$4:$B$672,0)),0)</f>
        <v/>
      </c>
      <c r="G497" s="10" t="n">
        <v>3500</v>
      </c>
      <c r="H497" s="14" t="n">
        <v>1</v>
      </c>
      <c r="I497" s="11" t="n">
        <v>0.05</v>
      </c>
      <c r="J497" s="11" t="n">
        <v>0.1</v>
      </c>
      <c r="K497" s="10" t="n"/>
      <c r="L497" s="9" t="inlineStr">
        <is>
          <t>оценка</t>
        </is>
      </c>
      <c r="M497" s="9" t="inlineStr"/>
      <c r="N497" s="9" t="inlineStr">
        <is>
          <t>2026-10-29</t>
        </is>
      </c>
      <c r="O497" s="13" t="inlineStr">
        <is>
          <t>оценка В Петрович, Лемана ПРО и Сатурн открытой карточки нет, оставлен прежний источник.</t>
        </is>
      </c>
      <c r="P497" s="4">
        <f>IF(H497=1,G497/VAT_DIV,G497)</f>
        <v/>
      </c>
      <c r="Q497" s="4">
        <f>P497*(1+I497)*(1+DELIV)*(1+GROWTH+MONEY)</f>
        <v/>
      </c>
      <c r="R497" s="4">
        <f>IF(AND(K497&lt;&gt;"",Q497*(1+J497)&gt;K497/VAT_DIV),K497/VAT_DIV,Q497*(1+J497))</f>
        <v/>
      </c>
      <c r="S497" s="4">
        <f>Q497*F497</f>
        <v/>
      </c>
      <c r="T497" s="4">
        <f>R497*F497</f>
        <v/>
      </c>
      <c r="U497" s="3">
        <f>IF(AND(K497&lt;&gt;"",Q497*(1+J497)&gt;K497/VAT_DIV+0.01),"ДА","")</f>
        <v/>
      </c>
      <c r="V497" s="4">
        <f>P497*F497</f>
        <v/>
      </c>
    </row>
    <row r="498" ht="20" customHeight="1">
      <c r="A498" s="9" t="inlineStr">
        <is>
          <t>475. Пленка ПВХ, морозостойкая, шир. 200х2мм (проезд на РЦ)</t>
        </is>
      </c>
      <c r="B498" s="13" t="inlineStr">
        <is>
          <t>Пленка ПВХ, морозостойкая, шир. 200х2мм (проезд на РЦ)</t>
        </is>
      </c>
      <c r="C498" s="9" t="inlineStr">
        <is>
          <t>Прочее</t>
        </is>
      </c>
      <c r="D498" s="9" t="inlineStr">
        <is>
          <t>м</t>
        </is>
      </c>
      <c r="E498" s="10" t="n">
        <v>1</v>
      </c>
      <c r="F498" s="4">
        <f>E498*IFERROR(INDEX(Работы!$D$4:$D$672,MATCH(SUBSTITUTE(SUBSTITUTE(SUBSTITUTE(A498,"~","~~"),"*","~*"),"?","~?"),Работы!$B$4:$B$672,0)),0)</f>
        <v/>
      </c>
      <c r="G498" s="10" t="n">
        <v>148.5</v>
      </c>
      <c r="H498" s="14" t="n">
        <v>1</v>
      </c>
      <c r="I498" s="11" t="n">
        <v>0.03</v>
      </c>
      <c r="J498" s="11" t="n">
        <v>0.15</v>
      </c>
      <c r="K498" s="10" t="n"/>
      <c r="L498" s="9" t="inlineStr">
        <is>
          <t>оценка</t>
        </is>
      </c>
      <c r="M498" s="9" t="inlineStr"/>
      <c r="N498" s="9" t="inlineStr">
        <is>
          <t>2026-10-29</t>
        </is>
      </c>
      <c r="O498" s="13" t="inlineStr">
        <is>
          <t>оценка ленты ПВХ В Петрович, Лемана ПРО и Сатурн открытой карточки нет, оставлен прежний источник.</t>
        </is>
      </c>
      <c r="P498" s="4">
        <f>IF(H498=1,G498/VAT_DIV,G498)</f>
        <v/>
      </c>
      <c r="Q498" s="4">
        <f>P498*(1+I498)*(1+DELIV)*(1+GROWTH+MONEY)</f>
        <v/>
      </c>
      <c r="R498" s="4">
        <f>IF(AND(K498&lt;&gt;"",Q498*(1+J498)&gt;K498/VAT_DIV),K498/VAT_DIV,Q498*(1+J498))</f>
        <v/>
      </c>
      <c r="S498" s="4">
        <f>Q498*F498</f>
        <v/>
      </c>
      <c r="T498" s="4">
        <f>R498*F498</f>
        <v/>
      </c>
      <c r="U498" s="3">
        <f>IF(AND(K498&lt;&gt;"",Q498*(1+J498)&gt;K498/VAT_DIV+0.01),"ДА","")</f>
        <v/>
      </c>
      <c r="V498" s="4">
        <f>P498*F498</f>
        <v/>
      </c>
    </row>
    <row r="499" ht="20" customHeight="1">
      <c r="A499" s="9" t="inlineStr">
        <is>
          <t>476. Пленка ПВХ, морозостойкая, шир. 300х3мм (проезд на РЦ)</t>
        </is>
      </c>
      <c r="B499" s="13" t="inlineStr">
        <is>
          <t>Пленка ПВХ, морозостойкая, шир. 300х3мм (проезд на РЦ)</t>
        </is>
      </c>
      <c r="C499" s="9" t="inlineStr">
        <is>
          <t>Прочее</t>
        </is>
      </c>
      <c r="D499" s="9" t="inlineStr">
        <is>
          <t>м</t>
        </is>
      </c>
      <c r="E499" s="10" t="n">
        <v>1</v>
      </c>
      <c r="F499" s="4">
        <f>E499*IFERROR(INDEX(Работы!$D$4:$D$672,MATCH(SUBSTITUTE(SUBSTITUTE(SUBSTITUTE(A499,"~","~~"),"*","~*"),"?","~?"),Работы!$B$4:$B$672,0)),0)</f>
        <v/>
      </c>
      <c r="G499" s="10" t="n">
        <v>195.75</v>
      </c>
      <c r="H499" s="14" t="n">
        <v>1</v>
      </c>
      <c r="I499" s="11" t="n">
        <v>0.03</v>
      </c>
      <c r="J499" s="11" t="n">
        <v>0.15</v>
      </c>
      <c r="K499" s="10" t="n"/>
      <c r="L499" s="9" t="inlineStr">
        <is>
          <t>оценка</t>
        </is>
      </c>
      <c r="M499" s="9" t="inlineStr"/>
      <c r="N499" s="9" t="inlineStr">
        <is>
          <t>2026-10-29</t>
        </is>
      </c>
      <c r="O499" s="13" t="inlineStr">
        <is>
          <t>оценка ленты ПВХ В Петрович, Лемана ПРО и Сатурн открытой карточки нет, оставлен прежний источник.</t>
        </is>
      </c>
      <c r="P499" s="4">
        <f>IF(H499=1,G499/VAT_DIV,G499)</f>
        <v/>
      </c>
      <c r="Q499" s="4">
        <f>P499*(1+I499)*(1+DELIV)*(1+GROWTH+MONEY)</f>
        <v/>
      </c>
      <c r="R499" s="4">
        <f>IF(AND(K499&lt;&gt;"",Q499*(1+J499)&gt;K499/VAT_DIV),K499/VAT_DIV,Q499*(1+J499))</f>
        <v/>
      </c>
      <c r="S499" s="4">
        <f>Q499*F499</f>
        <v/>
      </c>
      <c r="T499" s="4">
        <f>R499*F499</f>
        <v/>
      </c>
      <c r="U499" s="3">
        <f>IF(AND(K499&lt;&gt;"",Q499*(1+J499)&gt;K499/VAT_DIV+0.01),"ДА","")</f>
        <v/>
      </c>
      <c r="V499" s="4">
        <f>P499*F499</f>
        <v/>
      </c>
    </row>
    <row r="500" ht="20" customHeight="1">
      <c r="A500" s="9" t="inlineStr">
        <is>
          <t>477. Пленка ПВХ, морозостойкая, шир. 400х4мм (проезд на РЦ)</t>
        </is>
      </c>
      <c r="B500" s="13" t="inlineStr">
        <is>
          <t>Пленка ПВХ, морозостойкая, шир. 400х4мм (проезд на РЦ)</t>
        </is>
      </c>
      <c r="C500" s="9" t="inlineStr">
        <is>
          <t>Прочее</t>
        </is>
      </c>
      <c r="D500" s="9" t="inlineStr">
        <is>
          <t>м</t>
        </is>
      </c>
      <c r="E500" s="10" t="n">
        <v>1</v>
      </c>
      <c r="F500" s="4">
        <f>E500*IFERROR(INDEX(Работы!$D$4:$D$672,MATCH(SUBSTITUTE(SUBSTITUTE(SUBSTITUTE(A500,"~","~~"),"*","~*"),"?","~?"),Работы!$B$4:$B$672,0)),0)</f>
        <v/>
      </c>
      <c r="G500" s="10" t="n">
        <v>243</v>
      </c>
      <c r="H500" s="14" t="n">
        <v>1</v>
      </c>
      <c r="I500" s="11" t="n">
        <v>0.03</v>
      </c>
      <c r="J500" s="11" t="n">
        <v>0.15</v>
      </c>
      <c r="K500" s="10" t="n"/>
      <c r="L500" s="9" t="inlineStr">
        <is>
          <t>оценка</t>
        </is>
      </c>
      <c r="M500" s="9" t="inlineStr"/>
      <c r="N500" s="9" t="inlineStr">
        <is>
          <t>2026-10-29</t>
        </is>
      </c>
      <c r="O500" s="13" t="inlineStr">
        <is>
          <t>оценка ленты ПВХ В Петрович, Лемана ПРО и Сатурн открытой карточки нет, оставлен прежний источник.</t>
        </is>
      </c>
      <c r="P500" s="4">
        <f>IF(H500=1,G500/VAT_DIV,G500)</f>
        <v/>
      </c>
      <c r="Q500" s="4">
        <f>P500*(1+I500)*(1+DELIV)*(1+GROWTH+MONEY)</f>
        <v/>
      </c>
      <c r="R500" s="4">
        <f>IF(AND(K500&lt;&gt;"",Q500*(1+J500)&gt;K500/VAT_DIV),K500/VAT_DIV,Q500*(1+J500))</f>
        <v/>
      </c>
      <c r="S500" s="4">
        <f>Q500*F500</f>
        <v/>
      </c>
      <c r="T500" s="4">
        <f>R500*F500</f>
        <v/>
      </c>
      <c r="U500" s="3">
        <f>IF(AND(K500&lt;&gt;"",Q500*(1+J500)&gt;K500/VAT_DIV+0.01),"ДА","")</f>
        <v/>
      </c>
      <c r="V500" s="4">
        <f>P500*F500</f>
        <v/>
      </c>
    </row>
    <row r="501" ht="20" customHeight="1">
      <c r="A501" s="9" t="inlineStr">
        <is>
          <t>478. Пленка ПВХ, стандартная, шир. 200х2мм (проезд на РЦ)</t>
        </is>
      </c>
      <c r="B501" s="13" t="inlineStr">
        <is>
          <t>Пленка ПВХ, стандартная, шир. 200х2мм (проезд на РЦ)</t>
        </is>
      </c>
      <c r="C501" s="9" t="inlineStr">
        <is>
          <t>Прочее</t>
        </is>
      </c>
      <c r="D501" s="9" t="inlineStr">
        <is>
          <t>м</t>
        </is>
      </c>
      <c r="E501" s="10" t="n">
        <v>1</v>
      </c>
      <c r="F501" s="4">
        <f>E501*IFERROR(INDEX(Работы!$D$4:$D$672,MATCH(SUBSTITUTE(SUBSTITUTE(SUBSTITUTE(A501,"~","~~"),"*","~*"),"?","~?"),Работы!$B$4:$B$672,0)),0)</f>
        <v/>
      </c>
      <c r="G501" s="10" t="n">
        <v>110</v>
      </c>
      <c r="H501" s="14" t="n">
        <v>1</v>
      </c>
      <c r="I501" s="11" t="n">
        <v>0.03</v>
      </c>
      <c r="J501" s="11" t="n">
        <v>0.15</v>
      </c>
      <c r="K501" s="10" t="n"/>
      <c r="L501" s="9" t="inlineStr">
        <is>
          <t>оценка</t>
        </is>
      </c>
      <c r="M501" s="9" t="inlineStr"/>
      <c r="N501" s="9" t="inlineStr">
        <is>
          <t>2026-10-29</t>
        </is>
      </c>
      <c r="O501" s="13" t="inlineStr">
        <is>
          <t>оценка ленты ПВХ В Петрович, Лемана ПРО и Сатурн открытой карточки нет, оставлен прежний источник.</t>
        </is>
      </c>
      <c r="P501" s="4">
        <f>IF(H501=1,G501/VAT_DIV,G501)</f>
        <v/>
      </c>
      <c r="Q501" s="4">
        <f>P501*(1+I501)*(1+DELIV)*(1+GROWTH+MONEY)</f>
        <v/>
      </c>
      <c r="R501" s="4">
        <f>IF(AND(K501&lt;&gt;"",Q501*(1+J501)&gt;K501/VAT_DIV),K501/VAT_DIV,Q501*(1+J501))</f>
        <v/>
      </c>
      <c r="S501" s="4">
        <f>Q501*F501</f>
        <v/>
      </c>
      <c r="T501" s="4">
        <f>R501*F501</f>
        <v/>
      </c>
      <c r="U501" s="3">
        <f>IF(AND(K501&lt;&gt;"",Q501*(1+J501)&gt;K501/VAT_DIV+0.01),"ДА","")</f>
        <v/>
      </c>
      <c r="V501" s="4">
        <f>P501*F501</f>
        <v/>
      </c>
    </row>
    <row r="502" ht="20" customHeight="1">
      <c r="A502" s="9" t="inlineStr">
        <is>
          <t>479. Пленка ПВХ, стантартная, шир. 300х3мм (проезд на РЦ)</t>
        </is>
      </c>
      <c r="B502" s="13" t="inlineStr">
        <is>
          <t>Пленка ПВХ, стантартная, шир. 300х3мм (проезд на РЦ)</t>
        </is>
      </c>
      <c r="C502" s="9" t="inlineStr">
        <is>
          <t>Прочее</t>
        </is>
      </c>
      <c r="D502" s="9" t="inlineStr">
        <is>
          <t>м</t>
        </is>
      </c>
      <c r="E502" s="10" t="n">
        <v>1</v>
      </c>
      <c r="F502" s="4">
        <f>E502*IFERROR(INDEX(Работы!$D$4:$D$672,MATCH(SUBSTITUTE(SUBSTITUTE(SUBSTITUTE(A502,"~","~~"),"*","~*"),"?","~?"),Работы!$B$4:$B$672,0)),0)</f>
        <v/>
      </c>
      <c r="G502" s="10" t="n">
        <v>145</v>
      </c>
      <c r="H502" s="14" t="n">
        <v>1</v>
      </c>
      <c r="I502" s="11" t="n">
        <v>0.03</v>
      </c>
      <c r="J502" s="11" t="n">
        <v>0.15</v>
      </c>
      <c r="K502" s="10" t="n"/>
      <c r="L502" s="9" t="inlineStr">
        <is>
          <t>оценка</t>
        </is>
      </c>
      <c r="M502" s="9" t="inlineStr"/>
      <c r="N502" s="9" t="inlineStr">
        <is>
          <t>2026-10-29</t>
        </is>
      </c>
      <c r="O502" s="13" t="inlineStr">
        <is>
          <t>оценка ленты ПВХ В Петрович, Лемана ПРО и Сатурн открытой карточки нет, оставлен прежний источник.</t>
        </is>
      </c>
      <c r="P502" s="4">
        <f>IF(H502=1,G502/VAT_DIV,G502)</f>
        <v/>
      </c>
      <c r="Q502" s="4">
        <f>P502*(1+I502)*(1+DELIV)*(1+GROWTH+MONEY)</f>
        <v/>
      </c>
      <c r="R502" s="4">
        <f>IF(AND(K502&lt;&gt;"",Q502*(1+J502)&gt;K502/VAT_DIV),K502/VAT_DIV,Q502*(1+J502))</f>
        <v/>
      </c>
      <c r="S502" s="4">
        <f>Q502*F502</f>
        <v/>
      </c>
      <c r="T502" s="4">
        <f>R502*F502</f>
        <v/>
      </c>
      <c r="U502" s="3">
        <f>IF(AND(K502&lt;&gt;"",Q502*(1+J502)&gt;K502/VAT_DIV+0.01),"ДА","")</f>
        <v/>
      </c>
      <c r="V502" s="4">
        <f>P502*F502</f>
        <v/>
      </c>
    </row>
    <row r="503" ht="20" customHeight="1">
      <c r="A503" s="9" t="inlineStr">
        <is>
          <t>480. Пленка ПВХ, стандартная, шир. 400х4мм (проезд на РЦ)</t>
        </is>
      </c>
      <c r="B503" s="13" t="inlineStr">
        <is>
          <t>Пленка ПВХ, стандартная, шир. 400х4мм (проезд на РЦ)</t>
        </is>
      </c>
      <c r="C503" s="9" t="inlineStr">
        <is>
          <t>Прочее</t>
        </is>
      </c>
      <c r="D503" s="9" t="inlineStr">
        <is>
          <t>м</t>
        </is>
      </c>
      <c r="E503" s="10" t="n">
        <v>1</v>
      </c>
      <c r="F503" s="4">
        <f>E503*IFERROR(INDEX(Работы!$D$4:$D$672,MATCH(SUBSTITUTE(SUBSTITUTE(SUBSTITUTE(A503,"~","~~"),"*","~*"),"?","~?"),Работы!$B$4:$B$672,0)),0)</f>
        <v/>
      </c>
      <c r="G503" s="10" t="n">
        <v>180</v>
      </c>
      <c r="H503" s="14" t="n">
        <v>1</v>
      </c>
      <c r="I503" s="11" t="n">
        <v>0.03</v>
      </c>
      <c r="J503" s="11" t="n">
        <v>0.15</v>
      </c>
      <c r="K503" s="10" t="n"/>
      <c r="L503" s="9" t="inlineStr">
        <is>
          <t>оценка</t>
        </is>
      </c>
      <c r="M503" s="9" t="inlineStr"/>
      <c r="N503" s="9" t="inlineStr">
        <is>
          <t>2026-10-29</t>
        </is>
      </c>
      <c r="O503" s="13" t="inlineStr">
        <is>
          <t>оценка ленты ПВХ В Петрович, Лемана ПРО и Сатурн открытой карточки нет, оставлен прежний источник.</t>
        </is>
      </c>
      <c r="P503" s="4">
        <f>IF(H503=1,G503/VAT_DIV,G503)</f>
        <v/>
      </c>
      <c r="Q503" s="4">
        <f>P503*(1+I503)*(1+DELIV)*(1+GROWTH+MONEY)</f>
        <v/>
      </c>
      <c r="R503" s="4">
        <f>IF(AND(K503&lt;&gt;"",Q503*(1+J503)&gt;K503/VAT_DIV),K503/VAT_DIV,Q503*(1+J503))</f>
        <v/>
      </c>
      <c r="S503" s="4">
        <f>Q503*F503</f>
        <v/>
      </c>
      <c r="T503" s="4">
        <f>R503*F503</f>
        <v/>
      </c>
      <c r="U503" s="3">
        <f>IF(AND(K503&lt;&gt;"",Q503*(1+J503)&gt;K503/VAT_DIV+0.01),"ДА","")</f>
        <v/>
      </c>
      <c r="V503" s="4">
        <f>P503*F503</f>
        <v/>
      </c>
    </row>
    <row r="504" ht="20" customHeight="1">
      <c r="A504" s="9" t="inlineStr">
        <is>
          <t>484. Пожарный извещатель ручной электроконтактный Рубеж ИПР 513-10 или аналог</t>
        </is>
      </c>
      <c r="B504" s="13" t="inlineStr">
        <is>
          <t>Пожарный извещатель ручной электроконтактный Рубеж ИПР 513-10 или анал</t>
        </is>
      </c>
      <c r="C504" s="9" t="inlineStr">
        <is>
          <t>Электроустановочные изделия, щиты, автоматы</t>
        </is>
      </c>
      <c r="D504" s="9" t="inlineStr">
        <is>
          <t>шт</t>
        </is>
      </c>
      <c r="E504" s="10" t="n">
        <v>1</v>
      </c>
      <c r="F504" s="4">
        <f>E504*IFERROR(INDEX(Работы!$D$4:$D$672,MATCH(SUBSTITUTE(SUBSTITUTE(SUBSTITUTE(A504,"~","~~"),"*","~*"),"?","~?"),Работы!$B$4:$B$672,0)),0)</f>
        <v/>
      </c>
      <c r="G504" s="10" t="n">
        <v>450</v>
      </c>
      <c r="H504" s="14" t="n">
        <v>1</v>
      </c>
      <c r="I504" s="11" t="n">
        <v>0.01</v>
      </c>
      <c r="J504" s="11" t="n">
        <v>0.12</v>
      </c>
      <c r="K504" s="10" t="n"/>
      <c r="L504" s="9" t="inlineStr">
        <is>
          <t>оценка</t>
        </is>
      </c>
      <c r="M504" s="9" t="inlineStr"/>
      <c r="N504" s="9" t="inlineStr">
        <is>
          <t>2026-10-29</t>
        </is>
      </c>
      <c r="O504" s="13" t="inlineStr">
        <is>
          <t>оценка ИПР В Петрович, Лемана ПРО и Сатурн открытой карточки нет, оставлен прежний источник.</t>
        </is>
      </c>
      <c r="P504" s="4">
        <f>IF(H504=1,G504/VAT_DIV,G504)</f>
        <v/>
      </c>
      <c r="Q504" s="4">
        <f>P504*(1+I504)*(1+DELIV)*(1+GROWTH+MONEY)</f>
        <v/>
      </c>
      <c r="R504" s="4">
        <f>IF(AND(K504&lt;&gt;"",Q504*(1+J504)&gt;K504/VAT_DIV),K504/VAT_DIV,Q504*(1+J504))</f>
        <v/>
      </c>
      <c r="S504" s="4">
        <f>Q504*F504</f>
        <v/>
      </c>
      <c r="T504" s="4">
        <f>R504*F504</f>
        <v/>
      </c>
      <c r="U504" s="3">
        <f>IF(AND(K504&lt;&gt;"",Q504*(1+J504)&gt;K504/VAT_DIV+0.01),"ДА","")</f>
        <v/>
      </c>
      <c r="V504" s="4">
        <f>P504*F504</f>
        <v/>
      </c>
    </row>
    <row r="505" ht="20" customHeight="1">
      <c r="A505" s="9" t="inlineStr">
        <is>
          <t>486. Пожарный шкаф МИГ Метинтергрупп ШПК-320 НЗК 320-21 евро-ручка 1300х540х230 мм</t>
        </is>
      </c>
      <c r="B505" s="13" t="inlineStr">
        <is>
          <t>Пожарный шкаф МИГ Метинтергрупп ШПК-320 НЗК 320-21 евро-ручка 1300х540х230 мм</t>
        </is>
      </c>
      <c r="C505" s="9" t="inlineStr">
        <is>
          <t>Изделия под заказ (ворота, двери, окна, перегородки)</t>
        </is>
      </c>
      <c r="D505" s="9" t="inlineStr">
        <is>
          <t>шт</t>
        </is>
      </c>
      <c r="E505" s="10" t="n">
        <v>1</v>
      </c>
      <c r="F505" s="4">
        <f>E505*IFERROR(INDEX(Работы!$D$4:$D$672,MATCH(SUBSTITUTE(SUBSTITUTE(SUBSTITUTE(A505,"~","~~"),"*","~*"),"?","~?"),Работы!$B$4:$B$672,0)),0)</f>
        <v/>
      </c>
      <c r="G505" s="10" t="n">
        <v>11000</v>
      </c>
      <c r="H505" s="14" t="n">
        <v>1</v>
      </c>
      <c r="I505" s="11" t="n">
        <v>0</v>
      </c>
      <c r="J505" s="11" t="n">
        <v>0.12</v>
      </c>
      <c r="K505" s="10" t="n"/>
      <c r="L505" s="9" t="inlineStr">
        <is>
          <t>оценка</t>
        </is>
      </c>
      <c r="M505" s="9" t="inlineStr"/>
      <c r="N505" s="9" t="inlineStr">
        <is>
          <t>2026-10-29</t>
        </is>
      </c>
      <c r="O505" s="13" t="inlineStr">
        <is>
          <t>оценка пожарного шкафа, запросить КП В Петрович, Лемана ПРО и Сатурн открытой карточки нет, оставлен прежний источник.</t>
        </is>
      </c>
      <c r="P505" s="4">
        <f>IF(H505=1,G505/VAT_DIV,G505)</f>
        <v/>
      </c>
      <c r="Q505" s="4">
        <f>P505*(1+I505)*(1+DELIV)*(1+GROWTH+MONEY)</f>
        <v/>
      </c>
      <c r="R505" s="4">
        <f>IF(AND(K505&lt;&gt;"",Q505*(1+J505)&gt;K505/VAT_DIV),K505/VAT_DIV,Q505*(1+J505))</f>
        <v/>
      </c>
      <c r="S505" s="4">
        <f>Q505*F505</f>
        <v/>
      </c>
      <c r="T505" s="4">
        <f>R505*F505</f>
        <v/>
      </c>
      <c r="U505" s="3">
        <f>IF(AND(K505&lt;&gt;"",Q505*(1+J505)&gt;K505/VAT_DIV+0.01),"ДА","")</f>
        <v/>
      </c>
      <c r="V505" s="4">
        <f>P505*F505</f>
        <v/>
      </c>
    </row>
    <row r="506" ht="20" customHeight="1">
      <c r="A506" s="9" t="inlineStr">
        <is>
          <t>487. Пожарный шкаф ООО Метинтергрупп ШПКО-320 НЗК евро-ручка или аналог</t>
        </is>
      </c>
      <c r="B506" s="13" t="inlineStr">
        <is>
          <t>Пожарный шкаф ООО Метинтергрупп ШПКО-320 НЗК евро-ручка или аналог</t>
        </is>
      </c>
      <c r="C506" s="9" t="inlineStr">
        <is>
          <t>Изделия под заказ (ворота, двери, окна, перегородки)</t>
        </is>
      </c>
      <c r="D506" s="9" t="inlineStr">
        <is>
          <t>шт</t>
        </is>
      </c>
      <c r="E506" s="10" t="n">
        <v>1</v>
      </c>
      <c r="F506" s="4">
        <f>E506*IFERROR(INDEX(Работы!$D$4:$D$672,MATCH(SUBSTITUTE(SUBSTITUTE(SUBSTITUTE(A506,"~","~~"),"*","~*"),"?","~?"),Работы!$B$4:$B$672,0)),0)</f>
        <v/>
      </c>
      <c r="G506" s="10" t="n">
        <v>11000</v>
      </c>
      <c r="H506" s="14" t="n">
        <v>1</v>
      </c>
      <c r="I506" s="11" t="n">
        <v>0</v>
      </c>
      <c r="J506" s="11" t="n">
        <v>0.12</v>
      </c>
      <c r="K506" s="10" t="n"/>
      <c r="L506" s="9" t="inlineStr">
        <is>
          <t>оценка</t>
        </is>
      </c>
      <c r="M506" s="9" t="inlineStr"/>
      <c r="N506" s="9" t="inlineStr">
        <is>
          <t>2026-10-29</t>
        </is>
      </c>
      <c r="O506" s="13" t="inlineStr">
        <is>
          <t>оценка пожарного шкафа, запросить КП В Петрович, Лемана ПРО и Сатурн открытой карточки нет, оставлен прежний источник.</t>
        </is>
      </c>
      <c r="P506" s="4">
        <f>IF(H506=1,G506/VAT_DIV,G506)</f>
        <v/>
      </c>
      <c r="Q506" s="4">
        <f>P506*(1+I506)*(1+DELIV)*(1+GROWTH+MONEY)</f>
        <v/>
      </c>
      <c r="R506" s="4">
        <f>IF(AND(K506&lt;&gt;"",Q506*(1+J506)&gt;K506/VAT_DIV),K506/VAT_DIV,Q506*(1+J506))</f>
        <v/>
      </c>
      <c r="S506" s="4">
        <f>Q506*F506</f>
        <v/>
      </c>
      <c r="T506" s="4">
        <f>R506*F506</f>
        <v/>
      </c>
      <c r="U506" s="3">
        <f>IF(AND(K506&lt;&gt;"",Q506*(1+J506)&gt;K506/VAT_DIV+0.01),"ДА","")</f>
        <v/>
      </c>
      <c r="V506" s="4">
        <f>P506*F506</f>
        <v/>
      </c>
    </row>
    <row r="507" ht="20" customHeight="1">
      <c r="A507" s="9" t="inlineStr">
        <is>
          <t>488. Пожарный шкаф ООО Метинтергрупп ШПК-310 НЗБ евро-ручка или аналог</t>
        </is>
      </c>
      <c r="B507" s="13" t="inlineStr">
        <is>
          <t>Пожарный шкаф ООО Метинтергрупп ШПК-310 НЗБ евро-ручка или аналог</t>
        </is>
      </c>
      <c r="C507" s="9" t="inlineStr">
        <is>
          <t>Изделия под заказ (ворота, двери, окна, перегородки)</t>
        </is>
      </c>
      <c r="D507" s="9" t="inlineStr">
        <is>
          <t>шт</t>
        </is>
      </c>
      <c r="E507" s="10" t="n">
        <v>1</v>
      </c>
      <c r="F507" s="4">
        <f>E507*IFERROR(INDEX(Работы!$D$4:$D$672,MATCH(SUBSTITUTE(SUBSTITUTE(SUBSTITUTE(A507,"~","~~"),"*","~*"),"?","~?"),Работы!$B$4:$B$672,0)),0)</f>
        <v/>
      </c>
      <c r="G507" s="10" t="n">
        <v>11000</v>
      </c>
      <c r="H507" s="14" t="n">
        <v>1</v>
      </c>
      <c r="I507" s="11" t="n">
        <v>0</v>
      </c>
      <c r="J507" s="11" t="n">
        <v>0.12</v>
      </c>
      <c r="K507" s="10" t="n"/>
      <c r="L507" s="9" t="inlineStr">
        <is>
          <t>оценка</t>
        </is>
      </c>
      <c r="M507" s="9" t="inlineStr"/>
      <c r="N507" s="9" t="inlineStr">
        <is>
          <t>2026-10-29</t>
        </is>
      </c>
      <c r="O507" s="13" t="inlineStr">
        <is>
          <t>оценка пожарного шкафа, запросить КП В Петрович, Лемана ПРО и Сатурн открытой карточки нет, оставлен прежний источник.</t>
        </is>
      </c>
      <c r="P507" s="4">
        <f>IF(H507=1,G507/VAT_DIV,G507)</f>
        <v/>
      </c>
      <c r="Q507" s="4">
        <f>P507*(1+I507)*(1+DELIV)*(1+GROWTH+MONEY)</f>
        <v/>
      </c>
      <c r="R507" s="4">
        <f>IF(AND(K507&lt;&gt;"",Q507*(1+J507)&gt;K507/VAT_DIV),K507/VAT_DIV,Q507*(1+J507))</f>
        <v/>
      </c>
      <c r="S507" s="4">
        <f>Q507*F507</f>
        <v/>
      </c>
      <c r="T507" s="4">
        <f>R507*F507</f>
        <v/>
      </c>
      <c r="U507" s="3">
        <f>IF(AND(K507&lt;&gt;"",Q507*(1+J507)&gt;K507/VAT_DIV+0.01),"ДА","")</f>
        <v/>
      </c>
      <c r="V507" s="4">
        <f>P507*F507</f>
        <v/>
      </c>
    </row>
    <row r="508" ht="20" customHeight="1">
      <c r="A508" s="9" t="inlineStr">
        <is>
          <t>489. Шкаф пожарный Балтика-01 навесной ШП-К-320-21 НЗК (2ПК) ЗМ 1300x540x230 красный или аналог</t>
        </is>
      </c>
      <c r="B508" s="13" t="inlineStr">
        <is>
          <t xml:space="preserve">Шкаф пожарный Балтика-01 навесной ШП-К-320-21 НЗК (2ПК) ЗМ 1300x540x230 красный </t>
        </is>
      </c>
      <c r="C508" s="9" t="inlineStr">
        <is>
          <t>Изделия под заказ (ворота, двери, окна, перегородки)</t>
        </is>
      </c>
      <c r="D508" s="9" t="inlineStr">
        <is>
          <t>шт</t>
        </is>
      </c>
      <c r="E508" s="10" t="n">
        <v>1</v>
      </c>
      <c r="F508" s="4">
        <f>E508*IFERROR(INDEX(Работы!$D$4:$D$672,MATCH(SUBSTITUTE(SUBSTITUTE(SUBSTITUTE(A508,"~","~~"),"*","~*"),"?","~?"),Работы!$B$4:$B$672,0)),0)</f>
        <v/>
      </c>
      <c r="G508" s="10" t="n">
        <v>11000</v>
      </c>
      <c r="H508" s="14" t="n">
        <v>1</v>
      </c>
      <c r="I508" s="11" t="n">
        <v>0</v>
      </c>
      <c r="J508" s="11" t="n">
        <v>0.12</v>
      </c>
      <c r="K508" s="10" t="n"/>
      <c r="L508" s="9" t="inlineStr">
        <is>
          <t>оценка</t>
        </is>
      </c>
      <c r="M508" s="9" t="inlineStr"/>
      <c r="N508" s="9" t="inlineStr">
        <is>
          <t>2026-10-29</t>
        </is>
      </c>
      <c r="O508" s="13" t="inlineStr">
        <is>
          <t>оценка пожарного шкафа, запросить КП В Петрович, Лемана ПРО и Сатурн открытой карточки нет, оставлен прежний источник.</t>
        </is>
      </c>
      <c r="P508" s="4">
        <f>IF(H508=1,G508/VAT_DIV,G508)</f>
        <v/>
      </c>
      <c r="Q508" s="4">
        <f>P508*(1+I508)*(1+DELIV)*(1+GROWTH+MONEY)</f>
        <v/>
      </c>
      <c r="R508" s="4">
        <f>IF(AND(K508&lt;&gt;"",Q508*(1+J508)&gt;K508/VAT_DIV),K508/VAT_DIV,Q508*(1+J508))</f>
        <v/>
      </c>
      <c r="S508" s="4">
        <f>Q508*F508</f>
        <v/>
      </c>
      <c r="T508" s="4">
        <f>R508*F508</f>
        <v/>
      </c>
      <c r="U508" s="3">
        <f>IF(AND(K508&lt;&gt;"",Q508*(1+J508)&gt;K508/VAT_DIV+0.01),"ДА","")</f>
        <v/>
      </c>
      <c r="V508" s="4">
        <f>P508*F508</f>
        <v/>
      </c>
    </row>
    <row r="509" ht="20" customHeight="1">
      <c r="A509" s="9" t="inlineStr">
        <is>
          <t>491. Шкаф пожарный ШПК-320-12 НЗК или аналог</t>
        </is>
      </c>
      <c r="B509" s="13" t="inlineStr">
        <is>
          <t>Шкаф пожарный ШПК-320-12 НЗК или аналог</t>
        </is>
      </c>
      <c r="C509" s="9" t="inlineStr">
        <is>
          <t>Изделия под заказ (ворота, двери, окна, перегородки)</t>
        </is>
      </c>
      <c r="D509" s="9" t="inlineStr">
        <is>
          <t>шт</t>
        </is>
      </c>
      <c r="E509" s="10" t="n">
        <v>1</v>
      </c>
      <c r="F509" s="4">
        <f>E509*IFERROR(INDEX(Работы!$D$4:$D$672,MATCH(SUBSTITUTE(SUBSTITUTE(SUBSTITUTE(A509,"~","~~"),"*","~*"),"?","~?"),Работы!$B$4:$B$672,0)),0)</f>
        <v/>
      </c>
      <c r="G509" s="10" t="n">
        <v>11000</v>
      </c>
      <c r="H509" s="14" t="n">
        <v>1</v>
      </c>
      <c r="I509" s="11" t="n">
        <v>0</v>
      </c>
      <c r="J509" s="11" t="n">
        <v>0.12</v>
      </c>
      <c r="K509" s="10" t="n"/>
      <c r="L509" s="9" t="inlineStr">
        <is>
          <t>оценка</t>
        </is>
      </c>
      <c r="M509" s="9" t="inlineStr"/>
      <c r="N509" s="9" t="inlineStr">
        <is>
          <t>2026-10-29</t>
        </is>
      </c>
      <c r="O509" s="13" t="inlineStr">
        <is>
          <t>оценка пожарного шкафа, запросить КП В Петрович, Лемана ПРО и Сатурн открытой карточки нет, оставлен прежний источник.</t>
        </is>
      </c>
      <c r="P509" s="4">
        <f>IF(H509=1,G509/VAT_DIV,G509)</f>
        <v/>
      </c>
      <c r="Q509" s="4">
        <f>P509*(1+I509)*(1+DELIV)*(1+GROWTH+MONEY)</f>
        <v/>
      </c>
      <c r="R509" s="4">
        <f>IF(AND(K509&lt;&gt;"",Q509*(1+J509)&gt;K509/VAT_DIV),K509/VAT_DIV,Q509*(1+J509))</f>
        <v/>
      </c>
      <c r="S509" s="4">
        <f>Q509*F509</f>
        <v/>
      </c>
      <c r="T509" s="4">
        <f>R509*F509</f>
        <v/>
      </c>
      <c r="U509" s="3">
        <f>IF(AND(K509&lt;&gt;"",Q509*(1+J509)&gt;K509/VAT_DIV+0.01),"ДА","")</f>
        <v/>
      </c>
      <c r="V509" s="4">
        <f>P509*F509</f>
        <v/>
      </c>
    </row>
    <row r="510" ht="20" customHeight="1">
      <c r="A510" s="9" t="inlineStr">
        <is>
          <t>492. Шкаф ШПК-315 НОК650х840х230 или аналог</t>
        </is>
      </c>
      <c r="B510" s="13" t="inlineStr">
        <is>
          <t>Шкаф ШПК-315 НОК650х840х230 или аналог</t>
        </is>
      </c>
      <c r="C510" s="9" t="inlineStr">
        <is>
          <t>Изделия под заказ (ворота, двери, окна, перегородки)</t>
        </is>
      </c>
      <c r="D510" s="9" t="inlineStr">
        <is>
          <t>шт</t>
        </is>
      </c>
      <c r="E510" s="10" t="n">
        <v>1</v>
      </c>
      <c r="F510" s="4">
        <f>E510*IFERROR(INDEX(Работы!$D$4:$D$672,MATCH(SUBSTITUTE(SUBSTITUTE(SUBSTITUTE(A510,"~","~~"),"*","~*"),"?","~?"),Работы!$B$4:$B$672,0)),0)</f>
        <v/>
      </c>
      <c r="G510" s="10" t="n">
        <v>11000</v>
      </c>
      <c r="H510" s="14" t="n">
        <v>1</v>
      </c>
      <c r="I510" s="11" t="n">
        <v>0</v>
      </c>
      <c r="J510" s="11" t="n">
        <v>0.12</v>
      </c>
      <c r="K510" s="10" t="n"/>
      <c r="L510" s="9" t="inlineStr">
        <is>
          <t>оценка</t>
        </is>
      </c>
      <c r="M510" s="9" t="inlineStr"/>
      <c r="N510" s="9" t="inlineStr">
        <is>
          <t>2026-10-29</t>
        </is>
      </c>
      <c r="O510" s="13" t="inlineStr">
        <is>
          <t>оценка пожарного шкафа, запросить КП В Петрович, Лемана ПРО и Сатурн открытой карточки нет, оставлен прежний источник.</t>
        </is>
      </c>
      <c r="P510" s="4">
        <f>IF(H510=1,G510/VAT_DIV,G510)</f>
        <v/>
      </c>
      <c r="Q510" s="4">
        <f>P510*(1+I510)*(1+DELIV)*(1+GROWTH+MONEY)</f>
        <v/>
      </c>
      <c r="R510" s="4">
        <f>IF(AND(K510&lt;&gt;"",Q510*(1+J510)&gt;K510/VAT_DIV),K510/VAT_DIV,Q510*(1+J510))</f>
        <v/>
      </c>
      <c r="S510" s="4">
        <f>Q510*F510</f>
        <v/>
      </c>
      <c r="T510" s="4">
        <f>R510*F510</f>
        <v/>
      </c>
      <c r="U510" s="3">
        <f>IF(AND(K510&lt;&gt;"",Q510*(1+J510)&gt;K510/VAT_DIV+0.01),"ДА","")</f>
        <v/>
      </c>
      <c r="V510" s="4">
        <f>P510*F510</f>
        <v/>
      </c>
    </row>
    <row r="511" ht="20" customHeight="1">
      <c r="A511" s="9" t="inlineStr">
        <is>
          <t xml:space="preserve">493. Пожарный шкаф ШПК-320Н (540х1300х230) закрытый </t>
        </is>
      </c>
      <c r="B511" s="13" t="inlineStr">
        <is>
          <t xml:space="preserve">Пожарный шкаф ШПК-320Н (540х1300х230) закрытый </t>
        </is>
      </c>
      <c r="C511" s="9" t="inlineStr">
        <is>
          <t>Изделия под заказ (ворота, двери, окна, перегородки)</t>
        </is>
      </c>
      <c r="D511" s="9" t="inlineStr">
        <is>
          <t>шт</t>
        </is>
      </c>
      <c r="E511" s="10" t="n">
        <v>1</v>
      </c>
      <c r="F511" s="4">
        <f>E511*IFERROR(INDEX(Работы!$D$4:$D$672,MATCH(SUBSTITUTE(SUBSTITUTE(SUBSTITUTE(A511,"~","~~"),"*","~*"),"?","~?"),Работы!$B$4:$B$672,0)),0)</f>
        <v/>
      </c>
      <c r="G511" s="10" t="n">
        <v>11000</v>
      </c>
      <c r="H511" s="14" t="n">
        <v>1</v>
      </c>
      <c r="I511" s="11" t="n">
        <v>0</v>
      </c>
      <c r="J511" s="11" t="n">
        <v>0.12</v>
      </c>
      <c r="K511" s="10" t="n"/>
      <c r="L511" s="9" t="inlineStr">
        <is>
          <t>оценка</t>
        </is>
      </c>
      <c r="M511" s="9" t="inlineStr"/>
      <c r="N511" s="9" t="inlineStr">
        <is>
          <t>2026-10-29</t>
        </is>
      </c>
      <c r="O511" s="13" t="inlineStr">
        <is>
          <t>оценка пожарного шкафа, запросить КП В Петрович, Лемана ПРО и Сатурн открытой карточки нет, оставлен прежний источник.</t>
        </is>
      </c>
      <c r="P511" s="4">
        <f>IF(H511=1,G511/VAT_DIV,G511)</f>
        <v/>
      </c>
      <c r="Q511" s="4">
        <f>P511*(1+I511)*(1+DELIV)*(1+GROWTH+MONEY)</f>
        <v/>
      </c>
      <c r="R511" s="4">
        <f>IF(AND(K511&lt;&gt;"",Q511*(1+J511)&gt;K511/VAT_DIV),K511/VAT_DIV,Q511*(1+J511))</f>
        <v/>
      </c>
      <c r="S511" s="4">
        <f>Q511*F511</f>
        <v/>
      </c>
      <c r="T511" s="4">
        <f>R511*F511</f>
        <v/>
      </c>
      <c r="U511" s="3">
        <f>IF(AND(K511&lt;&gt;"",Q511*(1+J511)&gt;K511/VAT_DIV+0.01),"ДА","")</f>
        <v/>
      </c>
      <c r="V511" s="4">
        <f>P511*F511</f>
        <v/>
      </c>
    </row>
    <row r="512" ht="20" customHeight="1">
      <c r="A512" s="9" t="inlineStr">
        <is>
          <t>494. Шкаф пожарный Балтика-01 навесной ШП-К-320-21 НЗК (2ПК) ЗМ 1300x540x230 красный</t>
        </is>
      </c>
      <c r="B512" s="13" t="inlineStr">
        <is>
          <t>Шкаф пожарный Балтика-01 навесной ШП-К-320-21 НЗК (2ПК) ЗМ 1300x540x230 красный</t>
        </is>
      </c>
      <c r="C512" s="9" t="inlineStr">
        <is>
          <t>Изделия под заказ (ворота, двери, окна, перегородки)</t>
        </is>
      </c>
      <c r="D512" s="9" t="inlineStr">
        <is>
          <t>шт</t>
        </is>
      </c>
      <c r="E512" s="10" t="n">
        <v>1</v>
      </c>
      <c r="F512" s="4">
        <f>E512*IFERROR(INDEX(Работы!$D$4:$D$672,MATCH(SUBSTITUTE(SUBSTITUTE(SUBSTITUTE(A512,"~","~~"),"*","~*"),"?","~?"),Работы!$B$4:$B$672,0)),0)</f>
        <v/>
      </c>
      <c r="G512" s="10" t="n">
        <v>11000</v>
      </c>
      <c r="H512" s="14" t="n">
        <v>1</v>
      </c>
      <c r="I512" s="11" t="n">
        <v>0</v>
      </c>
      <c r="J512" s="11" t="n">
        <v>0.12</v>
      </c>
      <c r="K512" s="10" t="n"/>
      <c r="L512" s="9" t="inlineStr">
        <is>
          <t>оценка</t>
        </is>
      </c>
      <c r="M512" s="9" t="inlineStr"/>
      <c r="N512" s="9" t="inlineStr">
        <is>
          <t>2026-10-29</t>
        </is>
      </c>
      <c r="O512" s="13" t="inlineStr">
        <is>
          <t>оценка пожарного шкафа, запросить КП В Петрович, Лемана ПРО и Сатурн открытой карточки нет, оставлен прежний источник.</t>
        </is>
      </c>
      <c r="P512" s="4">
        <f>IF(H512=1,G512/VAT_DIV,G512)</f>
        <v/>
      </c>
      <c r="Q512" s="4">
        <f>P512*(1+I512)*(1+DELIV)*(1+GROWTH+MONEY)</f>
        <v/>
      </c>
      <c r="R512" s="4">
        <f>IF(AND(K512&lt;&gt;"",Q512*(1+J512)&gt;K512/VAT_DIV),K512/VAT_DIV,Q512*(1+J512))</f>
        <v/>
      </c>
      <c r="S512" s="4">
        <f>Q512*F512</f>
        <v/>
      </c>
      <c r="T512" s="4">
        <f>R512*F512</f>
        <v/>
      </c>
      <c r="U512" s="3">
        <f>IF(AND(K512&lt;&gt;"",Q512*(1+J512)&gt;K512/VAT_DIV+0.01),"ДА","")</f>
        <v/>
      </c>
      <c r="V512" s="4">
        <f>P512*F512</f>
        <v/>
      </c>
    </row>
    <row r="513" ht="20" customHeight="1">
      <c r="A513" s="9" t="inlineStr">
        <is>
          <t>495. Ремкомплект гидроузла рохли</t>
        </is>
      </c>
      <c r="B513" s="13" t="inlineStr">
        <is>
          <t>Ремкомплект гидроузла рохли</t>
        </is>
      </c>
      <c r="C513" s="9" t="inlineStr">
        <is>
          <t>ОБОРУДОВАНИЕ (вентустановки, кондиционеры, насосы, щиты под заказ)</t>
        </is>
      </c>
      <c r="D513" s="9" t="inlineStr">
        <is>
          <t>шт</t>
        </is>
      </c>
      <c r="E513" s="10" t="n">
        <v>1</v>
      </c>
      <c r="F513" s="4">
        <f>E513*IFERROR(INDEX(Работы!$D$4:$D$672,MATCH(SUBSTITUTE(SUBSTITUTE(SUBSTITUTE(A513,"~","~~"),"*","~*"),"?","~?"),Работы!$B$4:$B$672,0)),0)</f>
        <v/>
      </c>
      <c r="G513" s="10" t="n">
        <v>1500</v>
      </c>
      <c r="H513" s="14" t="n">
        <v>1</v>
      </c>
      <c r="I513" s="11" t="n">
        <v>0</v>
      </c>
      <c r="J513" s="11" t="n">
        <v>0.1</v>
      </c>
      <c r="K513" s="10" t="n"/>
      <c r="L513" s="9" t="inlineStr">
        <is>
          <t>оценка</t>
        </is>
      </c>
      <c r="M513" s="9" t="inlineStr"/>
      <c r="N513" s="9" t="inlineStr">
        <is>
          <t>2026-10-29</t>
        </is>
      </c>
      <c r="O513" s="13" t="inlineStr">
        <is>
          <t>оценка ЗИП рохли В Петрович, Лемана ПРО и Сатурн открытой карточки нет, оставлен прежний источник.</t>
        </is>
      </c>
      <c r="P513" s="4">
        <f>IF(H513=1,G513/VAT_DIV,G513)</f>
        <v/>
      </c>
      <c r="Q513" s="4">
        <f>P513*(1+I513)*(1+DELIV)*(1+GROWTH+MONEY)</f>
        <v/>
      </c>
      <c r="R513" s="4">
        <f>IF(AND(K513&lt;&gt;"",Q513*(1+J513)&gt;K513/VAT_DIV),K513/VAT_DIV,Q513*(1+J513))</f>
        <v/>
      </c>
      <c r="S513" s="4">
        <f>Q513*F513</f>
        <v/>
      </c>
      <c r="T513" s="4">
        <f>R513*F513</f>
        <v/>
      </c>
      <c r="U513" s="3">
        <f>IF(AND(K513&lt;&gt;"",Q513*(1+J513)&gt;K513/VAT_DIV+0.01),"ДА","")</f>
        <v/>
      </c>
      <c r="V513" s="4">
        <f>P513*F513</f>
        <v/>
      </c>
    </row>
    <row r="514" ht="20" customHeight="1">
      <c r="A514" s="9" t="inlineStr">
        <is>
          <t xml:space="preserve">496. Масло гидравлическое </t>
        </is>
      </c>
      <c r="B514" s="13" t="inlineStr">
        <is>
          <t xml:space="preserve">Масло гидравлическое </t>
        </is>
      </c>
      <c r="C514" s="9" t="inlineStr">
        <is>
          <t>ОБОРУДОВАНИЕ (вентустановки, кондиционеры, насосы, щиты под заказ)</t>
        </is>
      </c>
      <c r="D514" s="9" t="inlineStr">
        <is>
          <t>шт</t>
        </is>
      </c>
      <c r="E514" s="10" t="n">
        <v>1</v>
      </c>
      <c r="F514" s="4">
        <f>E514*IFERROR(INDEX(Работы!$D$4:$D$672,MATCH(SUBSTITUTE(SUBSTITUTE(SUBSTITUTE(A514,"~","~~"),"*","~*"),"?","~?"),Работы!$B$4:$B$672,0)),0)</f>
        <v/>
      </c>
      <c r="G514" s="10" t="n">
        <v>400</v>
      </c>
      <c r="H514" s="14" t="n">
        <v>1</v>
      </c>
      <c r="I514" s="11" t="n">
        <v>0</v>
      </c>
      <c r="J514" s="11" t="n">
        <v>0.1</v>
      </c>
      <c r="K514" s="10" t="n"/>
      <c r="L514" s="9" t="inlineStr">
        <is>
          <t>оценка</t>
        </is>
      </c>
      <c r="M514" s="9" t="inlineStr"/>
      <c r="N514" s="9" t="inlineStr">
        <is>
          <t>2026-10-29</t>
        </is>
      </c>
      <c r="O514" s="13" t="inlineStr">
        <is>
          <t>оценка ЗИП рохли В Петрович, Лемана ПРО и Сатурн открытой карточки нет, оставлен прежний источник.</t>
        </is>
      </c>
      <c r="P514" s="4">
        <f>IF(H514=1,G514/VAT_DIV,G514)</f>
        <v/>
      </c>
      <c r="Q514" s="4">
        <f>P514*(1+I514)*(1+DELIV)*(1+GROWTH+MONEY)</f>
        <v/>
      </c>
      <c r="R514" s="4">
        <f>IF(AND(K514&lt;&gt;"",Q514*(1+J514)&gt;K514/VAT_DIV),K514/VAT_DIV,Q514*(1+J514))</f>
        <v/>
      </c>
      <c r="S514" s="4">
        <f>Q514*F514</f>
        <v/>
      </c>
      <c r="T514" s="4">
        <f>R514*F514</f>
        <v/>
      </c>
      <c r="U514" s="3">
        <f>IF(AND(K514&lt;&gt;"",Q514*(1+J514)&gt;K514/VAT_DIV+0.01),"ДА","")</f>
        <v/>
      </c>
      <c r="V514" s="4">
        <f>P514*F514</f>
        <v/>
      </c>
    </row>
    <row r="515" ht="20" customHeight="1">
      <c r="A515" s="9" t="inlineStr">
        <is>
          <t>497. Смазка консистентная (400 мл)</t>
        </is>
      </c>
      <c r="B515" s="13" t="inlineStr">
        <is>
          <t>Смазка консистентная (400 мл)</t>
        </is>
      </c>
      <c r="C515" s="9" t="inlineStr">
        <is>
          <t>ОБОРУДОВАНИЕ (вентустановки, кондиционеры, насосы, щиты под заказ)</t>
        </is>
      </c>
      <c r="D515" s="9" t="inlineStr">
        <is>
          <t>шт</t>
        </is>
      </c>
      <c r="E515" s="10" t="n">
        <v>1</v>
      </c>
      <c r="F515" s="4">
        <f>E515*IFERROR(INDEX(Работы!$D$4:$D$672,MATCH(SUBSTITUTE(SUBSTITUTE(SUBSTITUTE(A515,"~","~~"),"*","~*"),"?","~?"),Работы!$B$4:$B$672,0)),0)</f>
        <v/>
      </c>
      <c r="G515" s="10" t="n">
        <v>250</v>
      </c>
      <c r="H515" s="14" t="n">
        <v>1</v>
      </c>
      <c r="I515" s="11" t="n">
        <v>0</v>
      </c>
      <c r="J515" s="11" t="n">
        <v>0.1</v>
      </c>
      <c r="K515" s="10" t="n"/>
      <c r="L515" s="9" t="inlineStr">
        <is>
          <t>оценка</t>
        </is>
      </c>
      <c r="M515" s="9" t="inlineStr"/>
      <c r="N515" s="9" t="inlineStr">
        <is>
          <t>2026-10-29</t>
        </is>
      </c>
      <c r="O515" s="13" t="inlineStr">
        <is>
          <t>оценка ЗИП рохли В Петрович, Лемана ПРО и Сатурн открытой карточки нет, оставлен прежний источник.</t>
        </is>
      </c>
      <c r="P515" s="4">
        <f>IF(H515=1,G515/VAT_DIV,G515)</f>
        <v/>
      </c>
      <c r="Q515" s="4">
        <f>P515*(1+I515)*(1+DELIV)*(1+GROWTH+MONEY)</f>
        <v/>
      </c>
      <c r="R515" s="4">
        <f>IF(AND(K515&lt;&gt;"",Q515*(1+J515)&gt;K515/VAT_DIV),K515/VAT_DIV,Q515*(1+J515))</f>
        <v/>
      </c>
      <c r="S515" s="4">
        <f>Q515*F515</f>
        <v/>
      </c>
      <c r="T515" s="4">
        <f>R515*F515</f>
        <v/>
      </c>
      <c r="U515" s="3">
        <f>IF(AND(K515&lt;&gt;"",Q515*(1+J515)&gt;K515/VAT_DIV+0.01),"ДА","")</f>
        <v/>
      </c>
      <c r="V515" s="4">
        <f>P515*F515</f>
        <v/>
      </c>
    </row>
    <row r="516" ht="20" customHeight="1">
      <c r="A516" s="9" t="inlineStr">
        <is>
          <t>498. Колесо (ведущее) опорное рохли (ступица - алюминий; контактный слой - резина)</t>
        </is>
      </c>
      <c r="B516" s="13" t="inlineStr">
        <is>
          <t xml:space="preserve">Колесо (ведущее) опорное рохли (ступица - алюминий; контактный слой - </t>
        </is>
      </c>
      <c r="C516" s="9" t="inlineStr">
        <is>
          <t>ОБОРУДОВАНИЕ (вентустановки, кондиционеры, насосы, щиты под заказ)</t>
        </is>
      </c>
      <c r="D516" s="9" t="inlineStr">
        <is>
          <t>шт</t>
        </is>
      </c>
      <c r="E516" s="10" t="n">
        <v>1</v>
      </c>
      <c r="F516" s="4">
        <f>E516*IFERROR(INDEX(Работы!$D$4:$D$672,MATCH(SUBSTITUTE(SUBSTITUTE(SUBSTITUTE(A516,"~","~~"),"*","~*"),"?","~?"),Работы!$B$4:$B$672,0)),0)</f>
        <v/>
      </c>
      <c r="G516" s="10" t="n">
        <v>2800</v>
      </c>
      <c r="H516" s="14" t="n">
        <v>1</v>
      </c>
      <c r="I516" s="11" t="n">
        <v>0</v>
      </c>
      <c r="J516" s="11" t="n">
        <v>0.1</v>
      </c>
      <c r="K516" s="10" t="n"/>
      <c r="L516" s="9" t="inlineStr">
        <is>
          <t>оценка</t>
        </is>
      </c>
      <c r="M516" s="9" t="inlineStr"/>
      <c r="N516" s="9" t="inlineStr">
        <is>
          <t>2026-10-29</t>
        </is>
      </c>
      <c r="O516" s="13" t="inlineStr">
        <is>
          <t>оценка ЗИП рохли В Петрович, Лемана ПРО и Сатурн открытой карточки нет, оставлен прежний источник.</t>
        </is>
      </c>
      <c r="P516" s="4">
        <f>IF(H516=1,G516/VAT_DIV,G516)</f>
        <v/>
      </c>
      <c r="Q516" s="4">
        <f>P516*(1+I516)*(1+DELIV)*(1+GROWTH+MONEY)</f>
        <v/>
      </c>
      <c r="R516" s="4">
        <f>IF(AND(K516&lt;&gt;"",Q516*(1+J516)&gt;K516/VAT_DIV),K516/VAT_DIV,Q516*(1+J516))</f>
        <v/>
      </c>
      <c r="S516" s="4">
        <f>Q516*F516</f>
        <v/>
      </c>
      <c r="T516" s="4">
        <f>R516*F516</f>
        <v/>
      </c>
      <c r="U516" s="3">
        <f>IF(AND(K516&lt;&gt;"",Q516*(1+J516)&gt;K516/VAT_DIV+0.01),"ДА","")</f>
        <v/>
      </c>
      <c r="V516" s="4">
        <f>P516*F516</f>
        <v/>
      </c>
    </row>
    <row r="517" ht="20" customHeight="1">
      <c r="A517" s="9" t="inlineStr">
        <is>
          <t>500. Пружина гидроузла рохли</t>
        </is>
      </c>
      <c r="B517" s="13" t="inlineStr">
        <is>
          <t>Пружина гидроузла рохли</t>
        </is>
      </c>
      <c r="C517" s="9" t="inlineStr">
        <is>
          <t>ОБОРУДОВАНИЕ (вентустановки, кондиционеры, насосы, щиты под заказ)</t>
        </is>
      </c>
      <c r="D517" s="9" t="inlineStr">
        <is>
          <t>шт</t>
        </is>
      </c>
      <c r="E517" s="10" t="n">
        <v>1</v>
      </c>
      <c r="F517" s="4">
        <f>E517*IFERROR(INDEX(Работы!$D$4:$D$672,MATCH(SUBSTITUTE(SUBSTITUTE(SUBSTITUTE(A517,"~","~~"),"*","~*"),"?","~?"),Работы!$B$4:$B$672,0)),0)</f>
        <v/>
      </c>
      <c r="G517" s="10" t="n">
        <v>1500</v>
      </c>
      <c r="H517" s="14" t="n">
        <v>1</v>
      </c>
      <c r="I517" s="11" t="n">
        <v>0</v>
      </c>
      <c r="J517" s="11" t="n">
        <v>0.1</v>
      </c>
      <c r="K517" s="10" t="n"/>
      <c r="L517" s="9" t="inlineStr">
        <is>
          <t>оценка</t>
        </is>
      </c>
      <c r="M517" s="9" t="inlineStr"/>
      <c r="N517" s="9" t="inlineStr">
        <is>
          <t>2026-10-29</t>
        </is>
      </c>
      <c r="O517" s="13" t="inlineStr">
        <is>
          <t>оценка ЗИП рохли В Петрович, Лемана ПРО и Сатурн открытой карточки нет, оставлен прежний источник.</t>
        </is>
      </c>
      <c r="P517" s="4">
        <f>IF(H517=1,G517/VAT_DIV,G517)</f>
        <v/>
      </c>
      <c r="Q517" s="4">
        <f>P517*(1+I517)*(1+DELIV)*(1+GROWTH+MONEY)</f>
        <v/>
      </c>
      <c r="R517" s="4">
        <f>IF(AND(K517&lt;&gt;"",Q517*(1+J517)&gt;K517/VAT_DIV),K517/VAT_DIV,Q517*(1+J517))</f>
        <v/>
      </c>
      <c r="S517" s="4">
        <f>Q517*F517</f>
        <v/>
      </c>
      <c r="T517" s="4">
        <f>R517*F517</f>
        <v/>
      </c>
      <c r="U517" s="3">
        <f>IF(AND(K517&lt;&gt;"",Q517*(1+J517)&gt;K517/VAT_DIV+0.01),"ДА","")</f>
        <v/>
      </c>
      <c r="V517" s="4">
        <f>P517*F517</f>
        <v/>
      </c>
    </row>
    <row r="518" ht="20" customHeight="1">
      <c r="A518" s="9" t="inlineStr">
        <is>
          <t>501. Клапан перепускной гидроузла Рохли</t>
        </is>
      </c>
      <c r="B518" s="13" t="inlineStr">
        <is>
          <t>Клапан перепускной гидроузла Рохли</t>
        </is>
      </c>
      <c r="C518" s="9" t="inlineStr">
        <is>
          <t>ОБОРУДОВАНИЕ (вентустановки, кондиционеры, насосы, щиты под заказ)</t>
        </is>
      </c>
      <c r="D518" s="9" t="inlineStr">
        <is>
          <t>шт</t>
        </is>
      </c>
      <c r="E518" s="10" t="n">
        <v>1</v>
      </c>
      <c r="F518" s="4">
        <f>E518*IFERROR(INDEX(Работы!$D$4:$D$672,MATCH(SUBSTITUTE(SUBSTITUTE(SUBSTITUTE(A518,"~","~~"),"*","~*"),"?","~?"),Работы!$B$4:$B$672,0)),0)</f>
        <v/>
      </c>
      <c r="G518" s="10" t="n">
        <v>1500</v>
      </c>
      <c r="H518" s="14" t="n">
        <v>1</v>
      </c>
      <c r="I518" s="11" t="n">
        <v>0</v>
      </c>
      <c r="J518" s="11" t="n">
        <v>0.1</v>
      </c>
      <c r="K518" s="10" t="n"/>
      <c r="L518" s="9" t="inlineStr">
        <is>
          <t>оценка</t>
        </is>
      </c>
      <c r="M518" s="9" t="inlineStr"/>
      <c r="N518" s="9" t="inlineStr">
        <is>
          <t>2026-10-29</t>
        </is>
      </c>
      <c r="O518" s="13" t="inlineStr">
        <is>
          <t>оценка ЗИП рохли В Петрович, Лемана ПРО и Сатурн открытой карточки нет, оставлен прежний источник.</t>
        </is>
      </c>
      <c r="P518" s="4">
        <f>IF(H518=1,G518/VAT_DIV,G518)</f>
        <v/>
      </c>
      <c r="Q518" s="4">
        <f>P518*(1+I518)*(1+DELIV)*(1+GROWTH+MONEY)</f>
        <v/>
      </c>
      <c r="R518" s="4">
        <f>IF(AND(K518&lt;&gt;"",Q518*(1+J518)&gt;K518/VAT_DIV),K518/VAT_DIV,Q518*(1+J518))</f>
        <v/>
      </c>
      <c r="S518" s="4">
        <f>Q518*F518</f>
        <v/>
      </c>
      <c r="T518" s="4">
        <f>R518*F518</f>
        <v/>
      </c>
      <c r="U518" s="3">
        <f>IF(AND(K518&lt;&gt;"",Q518*(1+J518)&gt;K518/VAT_DIV+0.01),"ДА","")</f>
        <v/>
      </c>
      <c r="V518" s="4">
        <f>P518*F518</f>
        <v/>
      </c>
    </row>
    <row r="519" ht="20" customHeight="1">
      <c r="A519" s="9" t="inlineStr">
        <is>
          <t>502. ИПР-3СУ извещатель пожарный ручной или аналог</t>
        </is>
      </c>
      <c r="B519" s="13" t="inlineStr">
        <is>
          <t>ИПР-3СУ извещатель пожарный ручной или аналог</t>
        </is>
      </c>
      <c r="C519" s="9" t="inlineStr">
        <is>
          <t>Электроустановочные изделия, щиты, автоматы</t>
        </is>
      </c>
      <c r="D519" s="9" t="inlineStr">
        <is>
          <t>шт</t>
        </is>
      </c>
      <c r="E519" s="10" t="n">
        <v>1</v>
      </c>
      <c r="F519" s="4">
        <f>E519*IFERROR(INDEX(Работы!$D$4:$D$672,MATCH(SUBSTITUTE(SUBSTITUTE(SUBSTITUTE(A519,"~","~~"),"*","~*"),"?","~?"),Работы!$B$4:$B$672,0)),0)</f>
        <v/>
      </c>
      <c r="G519" s="10" t="n">
        <v>450</v>
      </c>
      <c r="H519" s="14" t="n">
        <v>1</v>
      </c>
      <c r="I519" s="11" t="n">
        <v>0.01</v>
      </c>
      <c r="J519" s="11" t="n">
        <v>0.12</v>
      </c>
      <c r="K519" s="10" t="n"/>
      <c r="L519" s="9" t="inlineStr">
        <is>
          <t>оценка</t>
        </is>
      </c>
      <c r="M519" s="9" t="inlineStr"/>
      <c r="N519" s="9" t="inlineStr">
        <is>
          <t>2026-10-29</t>
        </is>
      </c>
      <c r="O519" s="13" t="inlineStr">
        <is>
          <t>оценка ИПР В Петрович, Лемана ПРО и Сатурн открытой карточки нет, оставлен прежний источник.</t>
        </is>
      </c>
      <c r="P519" s="4">
        <f>IF(H519=1,G519/VAT_DIV,G519)</f>
        <v/>
      </c>
      <c r="Q519" s="4">
        <f>P519*(1+I519)*(1+DELIV)*(1+GROWTH+MONEY)</f>
        <v/>
      </c>
      <c r="R519" s="4">
        <f>IF(AND(K519&lt;&gt;"",Q519*(1+J519)&gt;K519/VAT_DIV),K519/VAT_DIV,Q519*(1+J519))</f>
        <v/>
      </c>
      <c r="S519" s="4">
        <f>Q519*F519</f>
        <v/>
      </c>
      <c r="T519" s="4">
        <f>R519*F519</f>
        <v/>
      </c>
      <c r="U519" s="3">
        <f>IF(AND(K519&lt;&gt;"",Q519*(1+J519)&gt;K519/VAT_DIV+0.01),"ДА","")</f>
        <v/>
      </c>
      <c r="V519" s="4">
        <f>P519*F519</f>
        <v/>
      </c>
    </row>
    <row r="520" ht="20" customHeight="1">
      <c r="A520" s="9" t="inlineStr">
        <is>
          <t>503. Болид ИПР 513-3М или аналог</t>
        </is>
      </c>
      <c r="B520" s="13" t="inlineStr">
        <is>
          <t>Болид ИПР 513-3М или аналог</t>
        </is>
      </c>
      <c r="C520" s="9" t="inlineStr">
        <is>
          <t>Электроустановочные изделия, щиты, автоматы</t>
        </is>
      </c>
      <c r="D520" s="9" t="inlineStr">
        <is>
          <t>шт</t>
        </is>
      </c>
      <c r="E520" s="10" t="n">
        <v>1</v>
      </c>
      <c r="F520" s="4">
        <f>E520*IFERROR(INDEX(Работы!$D$4:$D$672,MATCH(SUBSTITUTE(SUBSTITUTE(SUBSTITUTE(A520,"~","~~"),"*","~*"),"?","~?"),Работы!$B$4:$B$672,0)),0)</f>
        <v/>
      </c>
      <c r="G520" s="10" t="n">
        <v>450</v>
      </c>
      <c r="H520" s="14" t="n">
        <v>1</v>
      </c>
      <c r="I520" s="11" t="n">
        <v>0.01</v>
      </c>
      <c r="J520" s="11" t="n">
        <v>0.12</v>
      </c>
      <c r="K520" s="10" t="n"/>
      <c r="L520" s="9" t="inlineStr">
        <is>
          <t>оценка</t>
        </is>
      </c>
      <c r="M520" s="9" t="inlineStr"/>
      <c r="N520" s="9" t="inlineStr">
        <is>
          <t>2026-10-29</t>
        </is>
      </c>
      <c r="O520" s="13" t="inlineStr">
        <is>
          <t>оценка ИПР В Петрович, Лемана ПРО и Сатурн открытой карточки нет, оставлен прежний источник.</t>
        </is>
      </c>
      <c r="P520" s="4">
        <f>IF(H520=1,G520/VAT_DIV,G520)</f>
        <v/>
      </c>
      <c r="Q520" s="4">
        <f>P520*(1+I520)*(1+DELIV)*(1+GROWTH+MONEY)</f>
        <v/>
      </c>
      <c r="R520" s="4">
        <f>IF(AND(K520&lt;&gt;"",Q520*(1+J520)&gt;K520/VAT_DIV),K520/VAT_DIV,Q520*(1+J520))</f>
        <v/>
      </c>
      <c r="S520" s="4">
        <f>Q520*F520</f>
        <v/>
      </c>
      <c r="T520" s="4">
        <f>R520*F520</f>
        <v/>
      </c>
      <c r="U520" s="3">
        <f>IF(AND(K520&lt;&gt;"",Q520*(1+J520)&gt;K520/VAT_DIV+0.01),"ДА","")</f>
        <v/>
      </c>
      <c r="V520" s="4">
        <f>P520*F520</f>
        <v/>
      </c>
    </row>
    <row r="521" ht="20" customHeight="1">
      <c r="A521" s="9" t="inlineStr">
        <is>
          <t>504. Защитный кожух ЗК-5 для ИПР или аналог</t>
        </is>
      </c>
      <c r="B521" s="13" t="inlineStr">
        <is>
          <t>Защитный кожух ЗК-5 для ИПР или аналог</t>
        </is>
      </c>
      <c r="C521" s="9" t="inlineStr">
        <is>
          <t>Электроустановочные изделия, щиты, автоматы</t>
        </is>
      </c>
      <c r="D521" s="9" t="inlineStr">
        <is>
          <t>шт</t>
        </is>
      </c>
      <c r="E521" s="10" t="n">
        <v>1</v>
      </c>
      <c r="F521" s="4">
        <f>E521*IFERROR(INDEX(Работы!$D$4:$D$672,MATCH(SUBSTITUTE(SUBSTITUTE(SUBSTITUTE(A521,"~","~~"),"*","~*"),"?","~?"),Работы!$B$4:$B$672,0)),0)</f>
        <v/>
      </c>
      <c r="G521" s="10" t="n">
        <v>200</v>
      </c>
      <c r="H521" s="14" t="n">
        <v>1</v>
      </c>
      <c r="I521" s="11" t="n">
        <v>0.01</v>
      </c>
      <c r="J521" s="11" t="n">
        <v>0.12</v>
      </c>
      <c r="K521" s="10" t="n"/>
      <c r="L521" s="9" t="inlineStr">
        <is>
          <t>оценка</t>
        </is>
      </c>
      <c r="M521" s="9" t="inlineStr"/>
      <c r="N521" s="9" t="inlineStr">
        <is>
          <t>2026-10-29</t>
        </is>
      </c>
      <c r="O521" s="13" t="inlineStr">
        <is>
          <t>оценка ИПР В Петрович, Лемана ПРО и Сатурн открытой карточки нет, оставлен прежний источник.</t>
        </is>
      </c>
      <c r="P521" s="4">
        <f>IF(H521=1,G521/VAT_DIV,G521)</f>
        <v/>
      </c>
      <c r="Q521" s="4">
        <f>P521*(1+I521)*(1+DELIV)*(1+GROWTH+MONEY)</f>
        <v/>
      </c>
      <c r="R521" s="4">
        <f>IF(AND(K521&lt;&gt;"",Q521*(1+J521)&gt;K521/VAT_DIV),K521/VAT_DIV,Q521*(1+J521))</f>
        <v/>
      </c>
      <c r="S521" s="4">
        <f>Q521*F521</f>
        <v/>
      </c>
      <c r="T521" s="4">
        <f>R521*F521</f>
        <v/>
      </c>
      <c r="U521" s="3">
        <f>IF(AND(K521&lt;&gt;"",Q521*(1+J521)&gt;K521/VAT_DIV+0.01),"ДА","")</f>
        <v/>
      </c>
      <c r="V521" s="4">
        <f>P521*F521</f>
        <v/>
      </c>
    </row>
    <row r="522" ht="20" customHeight="1">
      <c r="A522" s="9" t="inlineStr">
        <is>
          <t>507. Колесо промышленное поворотное с площадкой SC 55 (125 мм; 100 кг) включая метизы для крепления</t>
        </is>
      </c>
      <c r="B522" s="13" t="inlineStr">
        <is>
          <t>Колесо промышленное поворотное с площадкой SC 55 (125 мм; 100 кг) вклю</t>
        </is>
      </c>
      <c r="C522" s="9" t="inlineStr">
        <is>
          <t>ОБОРУДОВАНИЕ (вентустановки, кондиционеры, насосы, щиты под заказ)</t>
        </is>
      </c>
      <c r="D522" s="9" t="inlineStr">
        <is>
          <t>шт</t>
        </is>
      </c>
      <c r="E522" s="10" t="n">
        <v>1</v>
      </c>
      <c r="F522" s="4">
        <f>E522*IFERROR(INDEX(Работы!$D$4:$D$672,MATCH(SUBSTITUTE(SUBSTITUTE(SUBSTITUTE(A522,"~","~~"),"*","~*"),"?","~?"),Работы!$B$4:$B$672,0)),0)</f>
        <v/>
      </c>
      <c r="G522" s="10" t="n">
        <v>1200</v>
      </c>
      <c r="H522" s="14" t="n">
        <v>1</v>
      </c>
      <c r="I522" s="11" t="n">
        <v>0</v>
      </c>
      <c r="J522" s="11" t="n">
        <v>0.1</v>
      </c>
      <c r="K522" s="10" t="n"/>
      <c r="L522" s="9" t="inlineStr">
        <is>
          <t>оценка</t>
        </is>
      </c>
      <c r="M522" s="9" t="inlineStr"/>
      <c r="N522" s="9" t="inlineStr">
        <is>
          <t>2026-10-29</t>
        </is>
      </c>
      <c r="O522" s="13" t="inlineStr">
        <is>
          <t>оценка колеса В Петрович, Лемана ПРО и Сатурн открытой карточки нет, оставлен прежний источник.</t>
        </is>
      </c>
      <c r="P522" s="4">
        <f>IF(H522=1,G522/VAT_DIV,G522)</f>
        <v/>
      </c>
      <c r="Q522" s="4">
        <f>P522*(1+I522)*(1+DELIV)*(1+GROWTH+MONEY)</f>
        <v/>
      </c>
      <c r="R522" s="4">
        <f>IF(AND(K522&lt;&gt;"",Q522*(1+J522)&gt;K522/VAT_DIV),K522/VAT_DIV,Q522*(1+J522))</f>
        <v/>
      </c>
      <c r="S522" s="4">
        <f>Q522*F522</f>
        <v/>
      </c>
      <c r="T522" s="4">
        <f>R522*F522</f>
        <v/>
      </c>
      <c r="U522" s="3">
        <f>IF(AND(K522&lt;&gt;"",Q522*(1+J522)&gt;K522/VAT_DIV+0.01),"ДА","")</f>
        <v/>
      </c>
      <c r="V522" s="4">
        <f>P522*F522</f>
        <v/>
      </c>
    </row>
    <row r="523" ht="20" customHeight="1">
      <c r="A523" s="9" t="inlineStr">
        <is>
          <t>508. Колесо промышленное поворотное с площадкой SC 80 (200 мм; 185 кг)включая метизы для крепления</t>
        </is>
      </c>
      <c r="B523" s="13" t="inlineStr">
        <is>
          <t>Колесо промышленное поворотное с площадкой SC 80 (200 мм; 185 кг)включ</t>
        </is>
      </c>
      <c r="C523" s="9" t="inlineStr">
        <is>
          <t>ОБОРУДОВАНИЕ (вентустановки, кондиционеры, насосы, щиты под заказ)</t>
        </is>
      </c>
      <c r="D523" s="9" t="inlineStr">
        <is>
          <t>шт</t>
        </is>
      </c>
      <c r="E523" s="10" t="n">
        <v>1</v>
      </c>
      <c r="F523" s="4">
        <f>E523*IFERROR(INDEX(Работы!$D$4:$D$672,MATCH(SUBSTITUTE(SUBSTITUTE(SUBSTITUTE(A523,"~","~~"),"*","~*"),"?","~?"),Работы!$B$4:$B$672,0)),0)</f>
        <v/>
      </c>
      <c r="G523" s="10" t="n">
        <v>1500</v>
      </c>
      <c r="H523" s="14" t="n">
        <v>1</v>
      </c>
      <c r="I523" s="11" t="n">
        <v>0</v>
      </c>
      <c r="J523" s="11" t="n">
        <v>0.1</v>
      </c>
      <c r="K523" s="10" t="n"/>
      <c r="L523" s="9" t="inlineStr">
        <is>
          <t>оценка</t>
        </is>
      </c>
      <c r="M523" s="9" t="inlineStr"/>
      <c r="N523" s="9" t="inlineStr">
        <is>
          <t>2026-10-29</t>
        </is>
      </c>
      <c r="O523" s="13" t="inlineStr">
        <is>
          <t>оценка колеса В Петрович, Лемана ПРО и Сатурн открытой карточки нет, оставлен прежний источник.</t>
        </is>
      </c>
      <c r="P523" s="4">
        <f>IF(H523=1,G523/VAT_DIV,G523)</f>
        <v/>
      </c>
      <c r="Q523" s="4">
        <f>P523*(1+I523)*(1+DELIV)*(1+GROWTH+MONEY)</f>
        <v/>
      </c>
      <c r="R523" s="4">
        <f>IF(AND(K523&lt;&gt;"",Q523*(1+J523)&gt;K523/VAT_DIV),K523/VAT_DIV,Q523*(1+J523))</f>
        <v/>
      </c>
      <c r="S523" s="4">
        <f>Q523*F523</f>
        <v/>
      </c>
      <c r="T523" s="4">
        <f>R523*F523</f>
        <v/>
      </c>
      <c r="U523" s="3">
        <f>IF(AND(K523&lt;&gt;"",Q523*(1+J523)&gt;K523/VAT_DIV+0.01),"ДА","")</f>
        <v/>
      </c>
      <c r="V523" s="4">
        <f>P523*F523</f>
        <v/>
      </c>
    </row>
    <row r="524" ht="20" customHeight="1">
      <c r="A524" s="9" t="inlineStr">
        <is>
          <t>509. Колесо промышленное поворотное с подшипником 75мм резина/сталь Gigant G-04-09-13включая метизы для крепления</t>
        </is>
      </c>
      <c r="B524" s="13" t="inlineStr">
        <is>
          <t xml:space="preserve">Колесо промышленное поворотное с подшипником 75мм резина/сталь Gigant </t>
        </is>
      </c>
      <c r="C524" s="9" t="inlineStr">
        <is>
          <t>ОБОРУДОВАНИЕ (вентустановки, кондиционеры, насосы, щиты под заказ)</t>
        </is>
      </c>
      <c r="D524" s="9" t="inlineStr">
        <is>
          <t>шт</t>
        </is>
      </c>
      <c r="E524" s="10" t="n">
        <v>1</v>
      </c>
      <c r="F524" s="4">
        <f>E524*IFERROR(INDEX(Работы!$D$4:$D$672,MATCH(SUBSTITUTE(SUBSTITUTE(SUBSTITUTE(A524,"~","~~"),"*","~*"),"?","~?"),Работы!$B$4:$B$672,0)),0)</f>
        <v/>
      </c>
      <c r="G524" s="10" t="n">
        <v>1000</v>
      </c>
      <c r="H524" s="14" t="n">
        <v>1</v>
      </c>
      <c r="I524" s="11" t="n">
        <v>0</v>
      </c>
      <c r="J524" s="11" t="n">
        <v>0.1</v>
      </c>
      <c r="K524" s="10" t="n"/>
      <c r="L524" s="9" t="inlineStr">
        <is>
          <t>оценка</t>
        </is>
      </c>
      <c r="M524" s="9" t="inlineStr"/>
      <c r="N524" s="9" t="inlineStr">
        <is>
          <t>2026-10-29</t>
        </is>
      </c>
      <c r="O524" s="13" t="inlineStr">
        <is>
          <t>оценка колеса В Петрович, Лемана ПРО и Сатурн открытой карточки нет, оставлен прежний источник.</t>
        </is>
      </c>
      <c r="P524" s="4">
        <f>IF(H524=1,G524/VAT_DIV,G524)</f>
        <v/>
      </c>
      <c r="Q524" s="4">
        <f>P524*(1+I524)*(1+DELIV)*(1+GROWTH+MONEY)</f>
        <v/>
      </c>
      <c r="R524" s="4">
        <f>IF(AND(K524&lt;&gt;"",Q524*(1+J524)&gt;K524/VAT_DIV),K524/VAT_DIV,Q524*(1+J524))</f>
        <v/>
      </c>
      <c r="S524" s="4">
        <f>Q524*F524</f>
        <v/>
      </c>
      <c r="T524" s="4">
        <f>R524*F524</f>
        <v/>
      </c>
      <c r="U524" s="3">
        <f>IF(AND(K524&lt;&gt;"",Q524*(1+J524)&gt;K524/VAT_DIV+0.01),"ДА","")</f>
        <v/>
      </c>
      <c r="V524" s="4">
        <f>P524*F524</f>
        <v/>
      </c>
    </row>
    <row r="525" ht="20" customHeight="1">
      <c r="A525" s="9" t="inlineStr">
        <is>
          <t>510. Колесо промышленное поворотное с подшипником 200мм резина/сталь Gigant G-04-09-17включая метизы для крепления</t>
        </is>
      </c>
      <c r="B525" s="13" t="inlineStr">
        <is>
          <t>Колесо промышленное поворотное с подшипником 200мм резина/сталь Gigant</t>
        </is>
      </c>
      <c r="C525" s="9" t="inlineStr">
        <is>
          <t>ОБОРУДОВАНИЕ (вентустановки, кондиционеры, насосы, щиты под заказ)</t>
        </is>
      </c>
      <c r="D525" s="9" t="inlineStr">
        <is>
          <t>шт</t>
        </is>
      </c>
      <c r="E525" s="10" t="n">
        <v>1</v>
      </c>
      <c r="F525" s="4">
        <f>E525*IFERROR(INDEX(Работы!$D$4:$D$672,MATCH(SUBSTITUTE(SUBSTITUTE(SUBSTITUTE(A525,"~","~~"),"*","~*"),"?","~?"),Работы!$B$4:$B$672,0)),0)</f>
        <v/>
      </c>
      <c r="G525" s="10" t="n">
        <v>1500</v>
      </c>
      <c r="H525" s="14" t="n">
        <v>1</v>
      </c>
      <c r="I525" s="11" t="n">
        <v>0</v>
      </c>
      <c r="J525" s="11" t="n">
        <v>0.1</v>
      </c>
      <c r="K525" s="10" t="n"/>
      <c r="L525" s="9" t="inlineStr">
        <is>
          <t>оценка</t>
        </is>
      </c>
      <c r="M525" s="9" t="inlineStr"/>
      <c r="N525" s="9" t="inlineStr">
        <is>
          <t>2026-10-29</t>
        </is>
      </c>
      <c r="O525" s="13" t="inlineStr">
        <is>
          <t>оценка колеса В Петрович, Лемана ПРО и Сатурн открытой карточки нет, оставлен прежний источник.</t>
        </is>
      </c>
      <c r="P525" s="4">
        <f>IF(H525=1,G525/VAT_DIV,G525)</f>
        <v/>
      </c>
      <c r="Q525" s="4">
        <f>P525*(1+I525)*(1+DELIV)*(1+GROWTH+MONEY)</f>
        <v/>
      </c>
      <c r="R525" s="4">
        <f>IF(AND(K525&lt;&gt;"",Q525*(1+J525)&gt;K525/VAT_DIV),K525/VAT_DIV,Q525*(1+J525))</f>
        <v/>
      </c>
      <c r="S525" s="4">
        <f>Q525*F525</f>
        <v/>
      </c>
      <c r="T525" s="4">
        <f>R525*F525</f>
        <v/>
      </c>
      <c r="U525" s="3">
        <f>IF(AND(K525&lt;&gt;"",Q525*(1+J525)&gt;K525/VAT_DIV+0.01),"ДА","")</f>
        <v/>
      </c>
      <c r="V525" s="4">
        <f>P525*F525</f>
        <v/>
      </c>
    </row>
    <row r="526" ht="20" customHeight="1">
      <c r="A526" s="9" t="inlineStr">
        <is>
          <t>516. Демонтаж трубопроводов с запорной арматурой</t>
        </is>
      </c>
      <c r="B526" s="13" t="inlineStr">
        <is>
          <t>Арматура d10, 0.62 кг/м</t>
        </is>
      </c>
      <c r="C526" s="9" t="inlineStr">
        <is>
          <t>Арматура</t>
        </is>
      </c>
      <c r="D526" s="9" t="inlineStr">
        <is>
          <t>кг</t>
        </is>
      </c>
      <c r="E526" s="10" t="n">
        <v>0.617</v>
      </c>
      <c r="F526" s="4">
        <f>E526*IFERROR(INDEX(Работы!$D$4:$D$672,MATCH(SUBSTITUTE(SUBSTITUTE(SUBSTITUTE(A526,"~","~~"),"*","~*"),"?","~?"),Работы!$B$4:$B$672,0)),0)</f>
        <v/>
      </c>
      <c r="G526" s="10" t="n">
        <v>79.76000000000001</v>
      </c>
      <c r="H526" s="14" t="n">
        <v>1</v>
      </c>
      <c r="I526" s="11" t="n">
        <v>0.05</v>
      </c>
      <c r="J526" s="11" t="n">
        <v>0.1</v>
      </c>
      <c r="K526" s="10" t="n"/>
      <c r="L526" s="9" t="inlineStr">
        <is>
          <t>Петрович</t>
        </is>
      </c>
      <c r="M526" s="9" t="inlineStr">
        <is>
          <t>https://moscow.petrovich.ru/product/108534/</t>
        </is>
      </c>
      <c r="N526" s="9" t="inlineStr">
        <is>
          <t>2026-10-29</t>
        </is>
      </c>
      <c r="O526" s="13" t="inlineStr">
        <is>
          <t>Петрович, труба 40х40х2, 587 руб/3 м с НДС, 7,36 кг. Цена кг с НДС 79.76. Карта клуба не учитывалась.</t>
        </is>
      </c>
      <c r="P526" s="4">
        <f>IF(H526=1,G526/VAT_DIV,G526)</f>
        <v/>
      </c>
      <c r="Q526" s="4">
        <f>P526*(1+I526)*(1+DELIV)*(1+GROWTH+MONEY)</f>
        <v/>
      </c>
      <c r="R526" s="4">
        <f>IF(AND(K526&lt;&gt;"",Q526*(1+J526)&gt;K526/VAT_DIV),K526/VAT_DIV,Q526*(1+J526))</f>
        <v/>
      </c>
      <c r="S526" s="4">
        <f>Q526*F526</f>
        <v/>
      </c>
      <c r="T526" s="4">
        <f>R526*F526</f>
        <v/>
      </c>
      <c r="U526" s="3">
        <f>IF(AND(K526&lt;&gt;"",Q526*(1+J526)&gt;K526/VAT_DIV+0.01),"ДА","")</f>
        <v/>
      </c>
      <c r="V526" s="4">
        <f>P526*F526</f>
        <v/>
      </c>
    </row>
    <row r="527" ht="20" customHeight="1">
      <c r="A527" s="9" t="inlineStr">
        <is>
          <t>520. Демонтаж умывальников, в том числе со смесителями, подводками и запорной арматурой</t>
        </is>
      </c>
      <c r="B527" s="13" t="inlineStr">
        <is>
          <t>Смеситель для раковины</t>
        </is>
      </c>
      <c r="C527" s="9" t="inlineStr">
        <is>
          <t>Сантехприборы</t>
        </is>
      </c>
      <c r="D527" s="9" t="inlineStr">
        <is>
          <t>шт</t>
        </is>
      </c>
      <c r="E527" s="10" t="n">
        <v>1</v>
      </c>
      <c r="F527" s="4">
        <f>E527*IFERROR(INDEX(Работы!$D$4:$D$672,MATCH(SUBSTITUTE(SUBSTITUTE(SUBSTITUTE(A527,"~","~~"),"*","~*"),"?","~?"),Работы!$B$4:$B$672,0)),0)</f>
        <v/>
      </c>
      <c r="G527" s="10" t="n">
        <v>1108</v>
      </c>
      <c r="H527" s="14" t="n">
        <v>1</v>
      </c>
      <c r="I527" s="11" t="n">
        <v>0</v>
      </c>
      <c r="J527" s="11" t="n">
        <v>0.12</v>
      </c>
      <c r="K527" s="10" t="n"/>
      <c r="L527" s="9" t="inlineStr">
        <is>
          <t>Сатурн</t>
        </is>
      </c>
      <c r="M527" s="9" t="inlineStr">
        <is>
          <t>https://msk.saturn.net/product/smesitel-dlya-rakovini-klip-803/</t>
        </is>
      </c>
      <c r="N527" s="9" t="inlineStr">
        <is>
          <t>2026-10-29</t>
        </is>
      </c>
      <c r="O527" s="13" t="inlineStr">
        <is>
          <t>Минимум: Сатурн Klip 803 = 1 108 руб. Петрович РМС 1 176, Лемана ПРО Fixsen 3 680.</t>
        </is>
      </c>
      <c r="P527" s="4">
        <f>IF(H527=1,G527/VAT_DIV,G527)</f>
        <v/>
      </c>
      <c r="Q527" s="4">
        <f>P527*(1+I527)*(1+DELIV)*(1+GROWTH+MONEY)</f>
        <v/>
      </c>
      <c r="R527" s="4">
        <f>IF(AND(K527&lt;&gt;"",Q527*(1+J527)&gt;K527/VAT_DIV),K527/VAT_DIV,Q527*(1+J527))</f>
        <v/>
      </c>
      <c r="S527" s="4">
        <f>Q527*F527</f>
        <v/>
      </c>
      <c r="T527" s="4">
        <f>R527*F527</f>
        <v/>
      </c>
      <c r="U527" s="3">
        <f>IF(AND(K527&lt;&gt;"",Q527*(1+J527)&gt;K527/VAT_DIV+0.01),"ДА","")</f>
        <v/>
      </c>
      <c r="V527" s="4">
        <f>P527*F527</f>
        <v/>
      </c>
    </row>
    <row r="528" ht="20" customHeight="1">
      <c r="A528" s="9" t="inlineStr">
        <is>
          <t>521. Демонтаж унитазов и писсуаров, в том числе с запорной арматурой и подводками</t>
        </is>
      </c>
      <c r="B528" s="13" t="inlineStr">
        <is>
          <t>Арматура d10, 0.62 кг/м</t>
        </is>
      </c>
      <c r="C528" s="9" t="inlineStr">
        <is>
          <t>Арматура</t>
        </is>
      </c>
      <c r="D528" s="9" t="inlineStr">
        <is>
          <t>кг</t>
        </is>
      </c>
      <c r="E528" s="10" t="n">
        <v>0.617</v>
      </c>
      <c r="F528" s="4">
        <f>E528*IFERROR(INDEX(Работы!$D$4:$D$672,MATCH(SUBSTITUTE(SUBSTITUTE(SUBSTITUTE(A528,"~","~~"),"*","~*"),"?","~?"),Работы!$B$4:$B$672,0)),0)</f>
        <v/>
      </c>
      <c r="G528" s="10" t="n">
        <v>79.76000000000001</v>
      </c>
      <c r="H528" s="14" t="n">
        <v>1</v>
      </c>
      <c r="I528" s="11" t="n">
        <v>0.05</v>
      </c>
      <c r="J528" s="11" t="n">
        <v>0.1</v>
      </c>
      <c r="K528" s="10" t="n"/>
      <c r="L528" s="9" t="inlineStr">
        <is>
          <t>Петрович</t>
        </is>
      </c>
      <c r="M528" s="9" t="inlineStr">
        <is>
          <t>https://moscow.petrovich.ru/product/108534/</t>
        </is>
      </c>
      <c r="N528" s="9" t="inlineStr">
        <is>
          <t>2026-10-29</t>
        </is>
      </c>
      <c r="O528" s="13" t="inlineStr">
        <is>
          <t>Петрович, труба 40х40х2, 587 руб/3 м с НДС, 7,36 кг. Цена кг с НДС 79.76. Карта клуба не учитывалась.</t>
        </is>
      </c>
      <c r="P528" s="4">
        <f>IF(H528=1,G528/VAT_DIV,G528)</f>
        <v/>
      </c>
      <c r="Q528" s="4">
        <f>P528*(1+I528)*(1+DELIV)*(1+GROWTH+MONEY)</f>
        <v/>
      </c>
      <c r="R528" s="4">
        <f>IF(AND(K528&lt;&gt;"",Q528*(1+J528)&gt;K528/VAT_DIV),K528/VAT_DIV,Q528*(1+J528))</f>
        <v/>
      </c>
      <c r="S528" s="4">
        <f>Q528*F528</f>
        <v/>
      </c>
      <c r="T528" s="4">
        <f>R528*F528</f>
        <v/>
      </c>
      <c r="U528" s="3">
        <f>IF(AND(K528&lt;&gt;"",Q528*(1+J528)&gt;K528/VAT_DIV+0.01),"ДА","")</f>
        <v/>
      </c>
      <c r="V528" s="4">
        <f>P528*F528</f>
        <v/>
      </c>
    </row>
    <row r="529" ht="20" customHeight="1">
      <c r="A529" s="9" t="inlineStr">
        <is>
          <t>528. Устройство выравнивающих слоев из фанеры, оргалита, ДСП, ГКЛ и т.п.</t>
        </is>
      </c>
      <c r="B529" s="13" t="inlineStr">
        <is>
          <t>Устройство выравнивающих слоев из фанеры, оргалита, ДСП, ГКЛ и т.п.</t>
        </is>
      </c>
      <c r="C529" s="9" t="inlineStr">
        <is>
          <t>ГКЛ, профиль, комплектующие</t>
        </is>
      </c>
      <c r="D529" s="9" t="inlineStr">
        <is>
          <t>м2</t>
        </is>
      </c>
      <c r="E529" s="10" t="n">
        <v>1.05</v>
      </c>
      <c r="F529" s="4">
        <f>E529*IFERROR(INDEX(Работы!$D$4:$D$672,MATCH(SUBSTITUTE(SUBSTITUTE(SUBSTITUTE(A529,"~","~~"),"*","~*"),"?","~?"),Работы!$B$4:$B$672,0)),0)</f>
        <v/>
      </c>
      <c r="G529" s="10" t="n">
        <v>176.67</v>
      </c>
      <c r="H529" s="14" t="n">
        <v>1</v>
      </c>
      <c r="I529" s="11" t="n">
        <v>0.07000000000000001</v>
      </c>
      <c r="J529" s="11" t="n">
        <v>0.12</v>
      </c>
      <c r="K529" s="10" t="n"/>
      <c r="L529" s="9" t="inlineStr">
        <is>
          <t>Петрович</t>
        </is>
      </c>
      <c r="M529" s="9" t="inlineStr">
        <is>
          <t>https://petrovich.ru/product/101931/</t>
        </is>
      </c>
      <c r="N529" s="9" t="inlineStr">
        <is>
          <t>2026-10-29</t>
        </is>
      </c>
      <c r="O529" s="13" t="inlineStr">
        <is>
          <t>Knauf 12,5 мм 530 руб/лист 3 м2; в форме толщина 10 мм — взят лист 12,5 как аналог</t>
        </is>
      </c>
      <c r="P529" s="4">
        <f>IF(H529=1,G529/VAT_DIV,G529)</f>
        <v/>
      </c>
      <c r="Q529" s="4">
        <f>P529*(1+I529)*(1+DELIV)*(1+GROWTH+MONEY)</f>
        <v/>
      </c>
      <c r="R529" s="4">
        <f>IF(AND(K529&lt;&gt;"",Q529*(1+J529)&gt;K529/VAT_DIV),K529/VAT_DIV,Q529*(1+J529))</f>
        <v/>
      </c>
      <c r="S529" s="4">
        <f>Q529*F529</f>
        <v/>
      </c>
      <c r="T529" s="4">
        <f>R529*F529</f>
        <v/>
      </c>
      <c r="U529" s="3">
        <f>IF(AND(K529&lt;&gt;"",Q529*(1+J529)&gt;K529/VAT_DIV+0.01),"ДА","")</f>
        <v/>
      </c>
      <c r="V529" s="4">
        <f>P529*F529</f>
        <v/>
      </c>
    </row>
    <row r="530" ht="20" customHeight="1">
      <c r="A530" s="9" t="inlineStr">
        <is>
          <t xml:space="preserve">529. Устройство цементно-песчанной стяжки </t>
        </is>
      </c>
      <c r="B530" s="13" t="inlineStr">
        <is>
          <t>ЦПС</t>
        </is>
      </c>
      <c r="C530" s="9" t="inlineStr">
        <is>
          <t>Сухие смеси, штукатурки, шпаклёвки</t>
        </is>
      </c>
      <c r="D530" s="9" t="inlineStr">
        <is>
          <t>кг</t>
        </is>
      </c>
      <c r="E530" s="10" t="n">
        <v>20</v>
      </c>
      <c r="F530" s="4">
        <f>E530*IFERROR(INDEX(Работы!$D$4:$D$672,MATCH(SUBSTITUTE(SUBSTITUTE(SUBSTITUTE(A530,"~","~~"),"*","~*"),"?","~?"),Работы!$B$4:$B$672,0)),0)</f>
        <v/>
      </c>
      <c r="G530" s="10" t="n">
        <v>12</v>
      </c>
      <c r="H530" s="14" t="n">
        <v>1</v>
      </c>
      <c r="I530" s="11" t="n">
        <v>0.05</v>
      </c>
      <c r="J530" s="11" t="n">
        <v>0.12</v>
      </c>
      <c r="K530" s="10" t="n"/>
      <c r="L530" s="9" t="inlineStr">
        <is>
          <t>оценка</t>
        </is>
      </c>
      <c r="M530" s="9" t="inlineStr"/>
      <c r="N530" s="9" t="inlineStr">
        <is>
          <t>2026-10-29</t>
        </is>
      </c>
      <c r="O530" s="13" t="inlineStr">
        <is>
          <t>оценка слой 20 мм В Петрович, Лемана ПРО и Сатурн открытой карточки нет, оставлен прежний источник.</t>
        </is>
      </c>
      <c r="P530" s="4">
        <f>IF(H530=1,G530/VAT_DIV,G530)</f>
        <v/>
      </c>
      <c r="Q530" s="4">
        <f>P530*(1+I530)*(1+DELIV)*(1+GROWTH+MONEY)</f>
        <v/>
      </c>
      <c r="R530" s="4">
        <f>IF(AND(K530&lt;&gt;"",Q530*(1+J530)&gt;K530/VAT_DIV),K530/VAT_DIV,Q530*(1+J530))</f>
        <v/>
      </c>
      <c r="S530" s="4">
        <f>Q530*F530</f>
        <v/>
      </c>
      <c r="T530" s="4">
        <f>R530*F530</f>
        <v/>
      </c>
      <c r="U530" s="3">
        <f>IF(AND(K530&lt;&gt;"",Q530*(1+J530)&gt;K530/VAT_DIV+0.01),"ДА","")</f>
        <v/>
      </c>
      <c r="V530" s="4">
        <f>P530*F530</f>
        <v/>
      </c>
    </row>
    <row r="531" ht="20" customHeight="1">
      <c r="A531" s="9" t="inlineStr">
        <is>
          <t xml:space="preserve">530. Устройство наливного пола </t>
        </is>
      </c>
      <c r="B531" s="13" t="inlineStr">
        <is>
          <t>Ровнитель</t>
        </is>
      </c>
      <c r="C531" s="9" t="inlineStr">
        <is>
          <t>Сухие смеси, штукатурки, шпаклёвки</t>
        </is>
      </c>
      <c r="D531" s="9" t="inlineStr">
        <is>
          <t>кг</t>
        </is>
      </c>
      <c r="E531" s="10" t="n">
        <v>8</v>
      </c>
      <c r="F531" s="4">
        <f>E531*IFERROR(INDEX(Работы!$D$4:$D$672,MATCH(SUBSTITUTE(SUBSTITUTE(SUBSTITUTE(A531,"~","~~"),"*","~*"),"?","~?"),Работы!$B$4:$B$672,0)),0)</f>
        <v/>
      </c>
      <c r="G531" s="10" t="n">
        <v>20.2</v>
      </c>
      <c r="H531" s="14" t="n">
        <v>1</v>
      </c>
      <c r="I531" s="11" t="n">
        <v>0.05</v>
      </c>
      <c r="J531" s="11" t="n">
        <v>0.12</v>
      </c>
      <c r="K531" s="10" t="n"/>
      <c r="L531" s="9" t="inlineStr">
        <is>
          <t>Петрович</t>
        </is>
      </c>
      <c r="M531" s="9" t="inlineStr">
        <is>
          <t>https://moscow.petrovich.ru/product/998145/</t>
        </is>
      </c>
      <c r="N531" s="9" t="inlineStr">
        <is>
          <t>2026-10-29</t>
        </is>
      </c>
      <c r="O531" s="13" t="inlineStr">
        <is>
          <t>Петрович, Volma Nivelir Express 25 кг = 20,2 руб/кг. Лемана ПРО 19,76, Сатурн 19,04 — соседние SKU.</t>
        </is>
      </c>
      <c r="P531" s="4">
        <f>IF(H531=1,G531/VAT_DIV,G531)</f>
        <v/>
      </c>
      <c r="Q531" s="4">
        <f>P531*(1+I531)*(1+DELIV)*(1+GROWTH+MONEY)</f>
        <v/>
      </c>
      <c r="R531" s="4">
        <f>IF(AND(K531&lt;&gt;"",Q531*(1+J531)&gt;K531/VAT_DIV),K531/VAT_DIV,Q531*(1+J531))</f>
        <v/>
      </c>
      <c r="S531" s="4">
        <f>Q531*F531</f>
        <v/>
      </c>
      <c r="T531" s="4">
        <f>R531*F531</f>
        <v/>
      </c>
      <c r="U531" s="3">
        <f>IF(AND(K531&lt;&gt;"",Q531*(1+J531)&gt;K531/VAT_DIV+0.01),"ДА","")</f>
        <v/>
      </c>
      <c r="V531" s="4">
        <f>P531*F531</f>
        <v/>
      </c>
    </row>
    <row r="532" ht="20" customHeight="1">
      <c r="A532" s="9" t="inlineStr">
        <is>
          <t>531. Окраска полов  краской по бетону за 2 раза</t>
        </is>
      </c>
      <c r="B532" s="13" t="inlineStr">
        <is>
          <t>Краска</t>
        </is>
      </c>
      <c r="C532" s="9" t="inlineStr">
        <is>
          <t>Краски, грунты, ЛКМ</t>
        </is>
      </c>
      <c r="D532" s="9" t="inlineStr">
        <is>
          <t>кг</t>
        </is>
      </c>
      <c r="E532" s="10" t="n">
        <v>0.35</v>
      </c>
      <c r="F532" s="4">
        <f>E532*IFERROR(INDEX(Работы!$D$4:$D$672,MATCH(SUBSTITUTE(SUBSTITUTE(SUBSTITUTE(A532,"~","~~"),"*","~*"),"?","~?"),Работы!$B$4:$B$672,0)),0)</f>
        <v/>
      </c>
      <c r="G532" s="10" t="n">
        <v>128.57</v>
      </c>
      <c r="H532" s="14" t="n">
        <v>1</v>
      </c>
      <c r="I532" s="11" t="n">
        <v>0.05</v>
      </c>
      <c r="J532" s="11" t="n">
        <v>0.12</v>
      </c>
      <c r="K532" s="10" t="n"/>
      <c r="L532" s="9" t="inlineStr">
        <is>
          <t>Петрович</t>
        </is>
      </c>
      <c r="M532" s="9" t="inlineStr">
        <is>
          <t>https://moscow.petrovich.ru/product/103990/</t>
        </is>
      </c>
      <c r="N532" s="9" t="inlineStr">
        <is>
          <t>2026-10-29</t>
        </is>
      </c>
      <c r="O532" s="13" t="inlineStr">
        <is>
          <t>Петрович Москва, Текс влагостойкая 1 800 руб/14 кг</t>
        </is>
      </c>
      <c r="P532" s="4">
        <f>IF(H532=1,G532/VAT_DIV,G532)</f>
        <v/>
      </c>
      <c r="Q532" s="4">
        <f>P532*(1+I532)*(1+DELIV)*(1+GROWTH+MONEY)</f>
        <v/>
      </c>
      <c r="R532" s="4">
        <f>IF(AND(K532&lt;&gt;"",Q532*(1+J532)&gt;K532/VAT_DIV),K532/VAT_DIV,Q532*(1+J532))</f>
        <v/>
      </c>
      <c r="S532" s="4">
        <f>Q532*F532</f>
        <v/>
      </c>
      <c r="T532" s="4">
        <f>R532*F532</f>
        <v/>
      </c>
      <c r="U532" s="3">
        <f>IF(AND(K532&lt;&gt;"",Q532*(1+J532)&gt;K532/VAT_DIV+0.01),"ДА","")</f>
        <v/>
      </c>
      <c r="V532" s="4">
        <f>P532*F532</f>
        <v/>
      </c>
    </row>
    <row r="533" ht="20" customHeight="1">
      <c r="A533" s="9" t="inlineStr">
        <is>
          <t>532. Устройство покрытия полов плиткой керамической/керамогранит и более плотных материалов</t>
        </is>
      </c>
      <c r="B533" s="13" t="inlineStr">
        <is>
          <t>Клей C2</t>
        </is>
      </c>
      <c r="C533" s="9" t="inlineStr">
        <is>
          <t>Сухие смеси, штукатурки, шпаклёвки</t>
        </is>
      </c>
      <c r="D533" s="9" t="inlineStr">
        <is>
          <t>кг</t>
        </is>
      </c>
      <c r="E533" s="10" t="n">
        <v>5.5</v>
      </c>
      <c r="F533" s="4">
        <f>E533*IFERROR(INDEX(Работы!$D$4:$D$672,MATCH(SUBSTITUTE(SUBSTITUTE(SUBSTITUTE(A533,"~","~~"),"*","~*"),"?","~?"),Работы!$B$4:$B$672,0)),0)</f>
        <v/>
      </c>
      <c r="G533" s="10" t="n">
        <v>22.68</v>
      </c>
      <c r="H533" s="14" t="n">
        <v>1</v>
      </c>
      <c r="I533" s="11" t="n">
        <v>0.05</v>
      </c>
      <c r="J533" s="11" t="n">
        <v>0.12</v>
      </c>
      <c r="K533" s="10" t="n"/>
      <c r="L533" s="9" t="inlineStr">
        <is>
          <t>Лемана ПРО</t>
        </is>
      </c>
      <c r="M533" s="9" t="inlineStr">
        <is>
          <t>https://lemanapro.ru/product/kley-plitochnyy-ceresit-cm-11-pro-25-kg-89340445/</t>
        </is>
      </c>
      <c r="N533" s="9" t="inlineStr">
        <is>
          <t>2026-10-29</t>
        </is>
      </c>
      <c r="O533" s="13" t="inlineStr">
        <is>
          <t>Минимум из трёх: Лемана ПРО Ceresit CM 11 PRO 25 кг = 22,68 руб/кг. Петрович 24,76, Сатурн 27.</t>
        </is>
      </c>
      <c r="P533" s="4">
        <f>IF(H533=1,G533/VAT_DIV,G533)</f>
        <v/>
      </c>
      <c r="Q533" s="4">
        <f>P533*(1+I533)*(1+DELIV)*(1+GROWTH+MONEY)</f>
        <v/>
      </c>
      <c r="R533" s="4">
        <f>IF(AND(K533&lt;&gt;"",Q533*(1+J533)&gt;K533/VAT_DIV),K533/VAT_DIV,Q533*(1+J533))</f>
        <v/>
      </c>
      <c r="S533" s="4">
        <f>Q533*F533</f>
        <v/>
      </c>
      <c r="T533" s="4">
        <f>R533*F533</f>
        <v/>
      </c>
      <c r="U533" s="3">
        <f>IF(AND(K533&lt;&gt;"",Q533*(1+J533)&gt;K533/VAT_DIV+0.01),"ДА","")</f>
        <v/>
      </c>
      <c r="V533" s="4">
        <f>P533*F533</f>
        <v/>
      </c>
    </row>
    <row r="534" ht="20" customHeight="1">
      <c r="A534" s="9" t="inlineStr">
        <is>
          <t>532. Устройство покрытия полов плиткой керамической/керамогранит и более плотных материалов</t>
        </is>
      </c>
      <c r="B534" s="13" t="inlineStr">
        <is>
          <t>Затирка</t>
        </is>
      </c>
      <c r="C534" s="9" t="inlineStr">
        <is>
          <t>Сухие смеси, штукатурки, шпаклёвки</t>
        </is>
      </c>
      <c r="D534" s="9" t="inlineStr">
        <is>
          <t>кг</t>
        </is>
      </c>
      <c r="E534" s="10" t="n">
        <v>0.4</v>
      </c>
      <c r="F534" s="4">
        <f>E534*IFERROR(INDEX(Работы!$D$4:$D$672,MATCH(SUBSTITUTE(SUBSTITUTE(SUBSTITUTE(A534,"~","~~"),"*","~*"),"?","~?"),Работы!$B$4:$B$672,0)),0)</f>
        <v/>
      </c>
      <c r="G534" s="10" t="n">
        <v>155</v>
      </c>
      <c r="H534" s="14" t="n">
        <v>1</v>
      </c>
      <c r="I534" s="11" t="n">
        <v>0.05</v>
      </c>
      <c r="J534" s="11" t="n">
        <v>0.12</v>
      </c>
      <c r="K534" s="10" t="n"/>
      <c r="L534" s="9" t="inlineStr">
        <is>
          <t>Петрович</t>
        </is>
      </c>
      <c r="M534" s="9" t="inlineStr">
        <is>
          <t>https://moscow.petrovich.ru/product/102834/</t>
        </is>
      </c>
      <c r="N534" s="9" t="inlineStr">
        <is>
          <t>2026-10-29</t>
        </is>
      </c>
      <c r="O534" s="13" t="inlineStr">
        <is>
          <t>Петрович, Ceresit CE 33, 2 кг = 310 руб (155 руб/кг). Лемана ПРО 173, Сатурн 181,5 руб/кг.</t>
        </is>
      </c>
      <c r="P534" s="4">
        <f>IF(H534=1,G534/VAT_DIV,G534)</f>
        <v/>
      </c>
      <c r="Q534" s="4">
        <f>P534*(1+I534)*(1+DELIV)*(1+GROWTH+MONEY)</f>
        <v/>
      </c>
      <c r="R534" s="4">
        <f>IF(AND(K534&lt;&gt;"",Q534*(1+J534)&gt;K534/VAT_DIV),K534/VAT_DIV,Q534*(1+J534))</f>
        <v/>
      </c>
      <c r="S534" s="4">
        <f>Q534*F534</f>
        <v/>
      </c>
      <c r="T534" s="4">
        <f>R534*F534</f>
        <v/>
      </c>
      <c r="U534" s="3">
        <f>IF(AND(K534&lt;&gt;"",Q534*(1+J534)&gt;K534/VAT_DIV+0.01),"ДА","")</f>
        <v/>
      </c>
      <c r="V534" s="4">
        <f>P534*F534</f>
        <v/>
      </c>
    </row>
    <row r="535" ht="20" customHeight="1">
      <c r="A535" s="9" t="inlineStr">
        <is>
          <t>532. Устройство покрытия полов плиткой керамической/керамогранит и более плотных материалов</t>
        </is>
      </c>
      <c r="B535" s="13" t="inlineStr">
        <is>
          <t>Грунт</t>
        </is>
      </c>
      <c r="C535" s="9" t="inlineStr">
        <is>
          <t>Краски, грунты, ЛКМ</t>
        </is>
      </c>
      <c r="D535" s="9" t="inlineStr">
        <is>
          <t>л</t>
        </is>
      </c>
      <c r="E535" s="10" t="n">
        <v>0.15</v>
      </c>
      <c r="F535" s="4">
        <f>E535*IFERROR(INDEX(Работы!$D$4:$D$672,MATCH(SUBSTITUTE(SUBSTITUTE(SUBSTITUTE(A535,"~","~~"),"*","~*"),"?","~?"),Работы!$B$4:$B$672,0)),0)</f>
        <v/>
      </c>
      <c r="G535" s="10" t="n">
        <v>136.7</v>
      </c>
      <c r="H535" s="14" t="n">
        <v>1</v>
      </c>
      <c r="I535" s="11" t="n">
        <v>0.05</v>
      </c>
      <c r="J535" s="11" t="n">
        <v>0.12</v>
      </c>
      <c r="K535" s="10" t="n"/>
      <c r="L535" s="9" t="inlineStr">
        <is>
          <t>Лемана ПРО</t>
        </is>
      </c>
      <c r="M535" s="9" t="inlineStr">
        <is>
          <t>https://lemanapro.ru/product/grunt-ceresit-ct-17-transparent-glubokogo-proniknoveniya-10-l-89398668/</t>
        </is>
      </c>
      <c r="N535" s="9" t="inlineStr">
        <is>
          <t>2026-10-29</t>
        </is>
      </c>
      <c r="O535" s="13" t="inlineStr">
        <is>
          <t>Минимум из трёх: Лемана ПРО Ceresit CT 17, 10 л = 136,7 руб/л. Петрович CT 17 PRO 143,8, Сатурн 145,9.</t>
        </is>
      </c>
      <c r="P535" s="4">
        <f>IF(H535=1,G535/VAT_DIV,G535)</f>
        <v/>
      </c>
      <c r="Q535" s="4">
        <f>P535*(1+I535)*(1+DELIV)*(1+GROWTH+MONEY)</f>
        <v/>
      </c>
      <c r="R535" s="4">
        <f>IF(AND(K535&lt;&gt;"",Q535*(1+J535)&gt;K535/VAT_DIV),K535/VAT_DIV,Q535*(1+J535))</f>
        <v/>
      </c>
      <c r="S535" s="4">
        <f>Q535*F535</f>
        <v/>
      </c>
      <c r="T535" s="4">
        <f>R535*F535</f>
        <v/>
      </c>
      <c r="U535" s="3">
        <f>IF(AND(K535&lt;&gt;"",Q535*(1+J535)&gt;K535/VAT_DIV+0.01),"ДА","")</f>
        <v/>
      </c>
      <c r="V535" s="4">
        <f>P535*F535</f>
        <v/>
      </c>
    </row>
    <row r="536" ht="20" customHeight="1">
      <c r="A536" s="9" t="inlineStr">
        <is>
          <t xml:space="preserve">533. Устройство покрытия из кварцвиниловой ПВХ плитки </t>
        </is>
      </c>
      <c r="B536" s="13" t="inlineStr">
        <is>
          <t>Линолеум коммерческий 2 мм</t>
        </is>
      </c>
      <c r="C536" s="9" t="inlineStr">
        <is>
          <t>Напольные покрытия (линолеум, ПВХ, ковролин)</t>
        </is>
      </c>
      <c r="D536" s="9" t="inlineStr">
        <is>
          <t>м2</t>
        </is>
      </c>
      <c r="E536" s="10" t="n">
        <v>1.05</v>
      </c>
      <c r="F536" s="4">
        <f>E536*IFERROR(INDEX(Работы!$D$4:$D$672,MATCH(SUBSTITUTE(SUBSTITUTE(SUBSTITUTE(A536,"~","~~"),"*","~*"),"?","~?"),Работы!$B$4:$B$672,0)),0)</f>
        <v/>
      </c>
      <c r="G536" s="10" t="n">
        <v>399.67</v>
      </c>
      <c r="H536" s="14" t="n">
        <v>1</v>
      </c>
      <c r="I536" s="11" t="n">
        <v>0.08</v>
      </c>
      <c r="J536" s="11" t="n">
        <v>0.15</v>
      </c>
      <c r="K536" s="10" t="n"/>
      <c r="L536" s="9" t="inlineStr">
        <is>
          <t>Петрович</t>
        </is>
      </c>
      <c r="M536" s="9" t="inlineStr">
        <is>
          <t>https://moscow.petrovich.ru/product/1229558/</t>
        </is>
      </c>
      <c r="N536" s="9" t="inlineStr">
        <is>
          <t>2026-10-29</t>
        </is>
      </c>
      <c r="O536" s="13" t="inlineStr">
        <is>
          <t>Петрович, Tarkett Acczent Mineral, коммерческий, 399,67 руб/м2. Сатурн Polystyl 319 — другой класс.</t>
        </is>
      </c>
      <c r="P536" s="4">
        <f>IF(H536=1,G536/VAT_DIV,G536)</f>
        <v/>
      </c>
      <c r="Q536" s="4">
        <f>P536*(1+I536)*(1+DELIV)*(1+GROWTH+MONEY)</f>
        <v/>
      </c>
      <c r="R536" s="4">
        <f>IF(AND(K536&lt;&gt;"",Q536*(1+J536)&gt;K536/VAT_DIV),K536/VAT_DIV,Q536*(1+J536))</f>
        <v/>
      </c>
      <c r="S536" s="4">
        <f>Q536*F536</f>
        <v/>
      </c>
      <c r="T536" s="4">
        <f>R536*F536</f>
        <v/>
      </c>
      <c r="U536" s="3">
        <f>IF(AND(K536&lt;&gt;"",Q536*(1+J536)&gt;K536/VAT_DIV+0.01),"ДА","")</f>
        <v/>
      </c>
      <c r="V536" s="4">
        <f>P536*F536</f>
        <v/>
      </c>
    </row>
    <row r="537" ht="20" customHeight="1">
      <c r="A537" s="9" t="inlineStr">
        <is>
          <t xml:space="preserve">533. Устройство покрытия из кварцвиниловой ПВХ плитки </t>
        </is>
      </c>
      <c r="B537" s="13" t="inlineStr">
        <is>
          <t>Клей</t>
        </is>
      </c>
      <c r="C537" s="9" t="inlineStr">
        <is>
          <t>Напольные покрытия (линолеум, ПВХ, ковролин)</t>
        </is>
      </c>
      <c r="D537" s="9" t="inlineStr">
        <is>
          <t>кг</t>
        </is>
      </c>
      <c r="E537" s="10" t="n">
        <v>0.3</v>
      </c>
      <c r="F537" s="4">
        <f>E537*IFERROR(INDEX(Работы!$D$4:$D$672,MATCH(SUBSTITUTE(SUBSTITUTE(SUBSTITUTE(A537,"~","~~"),"*","~*"),"?","~?"),Работы!$B$4:$B$672,0)),0)</f>
        <v/>
      </c>
      <c r="G537" s="10" t="n">
        <v>180</v>
      </c>
      <c r="H537" s="14" t="n">
        <v>1</v>
      </c>
      <c r="I537" s="11" t="n">
        <v>0.08</v>
      </c>
      <c r="J537" s="11" t="n">
        <v>0.15</v>
      </c>
      <c r="K537" s="10" t="n"/>
      <c r="L537" s="9" t="inlineStr">
        <is>
          <t>оценка</t>
        </is>
      </c>
      <c r="M537" s="9" t="inlineStr"/>
      <c r="N537" s="9" t="inlineStr">
        <is>
          <t>2026-10-29</t>
        </is>
      </c>
      <c r="O537" s="13" t="inlineStr">
        <is>
          <t>оценка В Петрович, Лемана ПРО и Сатурн открытой карточки нет, оставлен прежний источник.</t>
        </is>
      </c>
      <c r="P537" s="4">
        <f>IF(H537=1,G537/VAT_DIV,G537)</f>
        <v/>
      </c>
      <c r="Q537" s="4">
        <f>P537*(1+I537)*(1+DELIV)*(1+GROWTH+MONEY)</f>
        <v/>
      </c>
      <c r="R537" s="4">
        <f>IF(AND(K537&lt;&gt;"",Q537*(1+J537)&gt;K537/VAT_DIV),K537/VAT_DIV,Q537*(1+J537))</f>
        <v/>
      </c>
      <c r="S537" s="4">
        <f>Q537*F537</f>
        <v/>
      </c>
      <c r="T537" s="4">
        <f>R537*F537</f>
        <v/>
      </c>
      <c r="U537" s="3">
        <f>IF(AND(K537&lt;&gt;"",Q537*(1+J537)&gt;K537/VAT_DIV+0.01),"ДА","")</f>
        <v/>
      </c>
      <c r="V537" s="4">
        <f>P537*F537</f>
        <v/>
      </c>
    </row>
    <row r="538" ht="20" customHeight="1">
      <c r="A538" s="9" t="inlineStr">
        <is>
          <t xml:space="preserve">534. Устройство покрытий из линолеума/мормолиума, в том числе антистатического </t>
        </is>
      </c>
      <c r="B538" s="13" t="inlineStr">
        <is>
          <t>Клей для линолеума</t>
        </is>
      </c>
      <c r="C538" s="9" t="inlineStr">
        <is>
          <t>Напольные покрытия (линолеум, ПВХ, ковролин)</t>
        </is>
      </c>
      <c r="D538" s="9" t="inlineStr">
        <is>
          <t>кг</t>
        </is>
      </c>
      <c r="E538" s="10" t="n">
        <v>0.3</v>
      </c>
      <c r="F538" s="4">
        <f>E538*IFERROR(INDEX(Работы!$D$4:$D$672,MATCH(SUBSTITUTE(SUBSTITUTE(SUBSTITUTE(A538,"~","~~"),"*","~*"),"?","~?"),Работы!$B$4:$B$672,0)),0)</f>
        <v/>
      </c>
      <c r="G538" s="10" t="n">
        <v>180</v>
      </c>
      <c r="H538" s="14" t="n">
        <v>1</v>
      </c>
      <c r="I538" s="11" t="n">
        <v>0.08</v>
      </c>
      <c r="J538" s="11" t="n">
        <v>0.15</v>
      </c>
      <c r="K538" s="10" t="n"/>
      <c r="L538" s="9" t="inlineStr">
        <is>
          <t>оценка</t>
        </is>
      </c>
      <c r="M538" s="9" t="inlineStr"/>
      <c r="N538" s="9" t="inlineStr">
        <is>
          <t>2026-10-29</t>
        </is>
      </c>
      <c r="O538" s="13" t="inlineStr">
        <is>
          <t>оценка В Петрович, Лемана ПРО и Сатурн открытой карточки нет, оставлен прежний источник.</t>
        </is>
      </c>
      <c r="P538" s="4">
        <f>IF(H538=1,G538/VAT_DIV,G538)</f>
        <v/>
      </c>
      <c r="Q538" s="4">
        <f>P538*(1+I538)*(1+DELIV)*(1+GROWTH+MONEY)</f>
        <v/>
      </c>
      <c r="R538" s="4">
        <f>IF(AND(K538&lt;&gt;"",Q538*(1+J538)&gt;K538/VAT_DIV),K538/VAT_DIV,Q538*(1+J538))</f>
        <v/>
      </c>
      <c r="S538" s="4">
        <f>Q538*F538</f>
        <v/>
      </c>
      <c r="T538" s="4">
        <f>R538*F538</f>
        <v/>
      </c>
      <c r="U538" s="3">
        <f>IF(AND(K538&lt;&gt;"",Q538*(1+J538)&gt;K538/VAT_DIV+0.01),"ДА","")</f>
        <v/>
      </c>
      <c r="V538" s="4">
        <f>P538*F538</f>
        <v/>
      </c>
    </row>
    <row r="539" ht="20" customHeight="1">
      <c r="A539" s="9" t="inlineStr">
        <is>
          <t>536. Устройство плинтусов</t>
        </is>
      </c>
      <c r="B539" s="13" t="inlineStr">
        <is>
          <t>Плинтус ПВХ с кабель-каналом</t>
        </is>
      </c>
      <c r="C539" s="9" t="inlineStr">
        <is>
          <t>Напольные покрытия (линолеум, ПВХ, ковролин)</t>
        </is>
      </c>
      <c r="D539" s="9" t="inlineStr">
        <is>
          <t>м</t>
        </is>
      </c>
      <c r="E539" s="10" t="n">
        <v>1</v>
      </c>
      <c r="F539" s="4">
        <f>E539*IFERROR(INDEX(Работы!$D$4:$D$672,MATCH(SUBSTITUTE(SUBSTITUTE(SUBSTITUTE(A539,"~","~~"),"*","~*"),"?","~?"),Работы!$B$4:$B$672,0)),0)</f>
        <v/>
      </c>
      <c r="G539" s="10" t="n">
        <v>55.91</v>
      </c>
      <c r="H539" s="14" t="n">
        <v>1</v>
      </c>
      <c r="I539" s="11" t="n">
        <v>0.08</v>
      </c>
      <c r="J539" s="11" t="n">
        <v>0.15</v>
      </c>
      <c r="K539" s="10" t="n"/>
      <c r="L539" s="9" t="inlineStr">
        <is>
          <t>Петрович</t>
        </is>
      </c>
      <c r="M539" s="9" t="inlineStr">
        <is>
          <t>https://moscow.petrovich.ru/product/1165202/</t>
        </is>
      </c>
      <c r="N539" s="9" t="inlineStr">
        <is>
          <t>2026-10-29</t>
        </is>
      </c>
      <c r="O539" s="13" t="inlineStr">
        <is>
          <t>Петрович, Ideal Классик 55 мм, 2,2 м. Лемана ПРО Tarkett 104,55 руб/м, Сатурн 63,18.</t>
        </is>
      </c>
      <c r="P539" s="4">
        <f>IF(H539=1,G539/VAT_DIV,G539)</f>
        <v/>
      </c>
      <c r="Q539" s="4">
        <f>P539*(1+I539)*(1+DELIV)*(1+GROWTH+MONEY)</f>
        <v/>
      </c>
      <c r="R539" s="4">
        <f>IF(AND(K539&lt;&gt;"",Q539*(1+J539)&gt;K539/VAT_DIV),K539/VAT_DIV,Q539*(1+J539))</f>
        <v/>
      </c>
      <c r="S539" s="4">
        <f>Q539*F539</f>
        <v/>
      </c>
      <c r="T539" s="4">
        <f>R539*F539</f>
        <v/>
      </c>
      <c r="U539" s="3">
        <f>IF(AND(K539&lt;&gt;"",Q539*(1+J539)&gt;K539/VAT_DIV+0.01),"ДА","")</f>
        <v/>
      </c>
      <c r="V539" s="4">
        <f>P539*F539</f>
        <v/>
      </c>
    </row>
    <row r="540" ht="20" customHeight="1">
      <c r="A540" s="9" t="inlineStr">
        <is>
          <t>537. Устройство плинтусов деревянных/шпонированных/МДФ/ПВХ</t>
        </is>
      </c>
      <c r="B540" s="13" t="inlineStr">
        <is>
          <t>Плинтус ПВХ с кабель-каналом</t>
        </is>
      </c>
      <c r="C540" s="9" t="inlineStr">
        <is>
          <t>Напольные покрытия (линолеум, ПВХ, ковролин)</t>
        </is>
      </c>
      <c r="D540" s="9" t="inlineStr">
        <is>
          <t>м</t>
        </is>
      </c>
      <c r="E540" s="10" t="n">
        <v>1</v>
      </c>
      <c r="F540" s="4">
        <f>E540*IFERROR(INDEX(Работы!$D$4:$D$672,MATCH(SUBSTITUTE(SUBSTITUTE(SUBSTITUTE(A540,"~","~~"),"*","~*"),"?","~?"),Работы!$B$4:$B$672,0)),0)</f>
        <v/>
      </c>
      <c r="G540" s="10" t="n">
        <v>55.91</v>
      </c>
      <c r="H540" s="14" t="n">
        <v>1</v>
      </c>
      <c r="I540" s="11" t="n">
        <v>0.08</v>
      </c>
      <c r="J540" s="11" t="n">
        <v>0.15</v>
      </c>
      <c r="K540" s="10" t="n"/>
      <c r="L540" s="9" t="inlineStr">
        <is>
          <t>Петрович</t>
        </is>
      </c>
      <c r="M540" s="9" t="inlineStr">
        <is>
          <t>https://moscow.petrovich.ru/product/1165202/</t>
        </is>
      </c>
      <c r="N540" s="9" t="inlineStr">
        <is>
          <t>2026-10-29</t>
        </is>
      </c>
      <c r="O540" s="13" t="inlineStr">
        <is>
          <t>Петрович, Ideal Классик 55 мм, 2,2 м. Лемана ПРО Tarkett 104,55 руб/м, Сатурн 63,18.</t>
        </is>
      </c>
      <c r="P540" s="4">
        <f>IF(H540=1,G540/VAT_DIV,G540)</f>
        <v/>
      </c>
      <c r="Q540" s="4">
        <f>P540*(1+I540)*(1+DELIV)*(1+GROWTH+MONEY)</f>
        <v/>
      </c>
      <c r="R540" s="4">
        <f>IF(AND(K540&lt;&gt;"",Q540*(1+J540)&gt;K540/VAT_DIV),K540/VAT_DIV,Q540*(1+J540))</f>
        <v/>
      </c>
      <c r="S540" s="4">
        <f>Q540*F540</f>
        <v/>
      </c>
      <c r="T540" s="4">
        <f>R540*F540</f>
        <v/>
      </c>
      <c r="U540" s="3">
        <f>IF(AND(K540&lt;&gt;"",Q540*(1+J540)&gt;K540/VAT_DIV+0.01),"ДА","")</f>
        <v/>
      </c>
      <c r="V540" s="4">
        <f>P540*F540</f>
        <v/>
      </c>
    </row>
    <row r="541" ht="20" customHeight="1">
      <c r="A541" s="9" t="inlineStr">
        <is>
          <t>539. Монтаж плинтуса с вставкой из ковролина/ПВХ</t>
        </is>
      </c>
      <c r="B541" s="13" t="inlineStr">
        <is>
          <t>Плинтус ПВХ с кабель-каналом</t>
        </is>
      </c>
      <c r="C541" s="9" t="inlineStr">
        <is>
          <t>Напольные покрытия (линолеум, ПВХ, ковролин)</t>
        </is>
      </c>
      <c r="D541" s="9" t="inlineStr">
        <is>
          <t>м</t>
        </is>
      </c>
      <c r="E541" s="10" t="n">
        <v>1</v>
      </c>
      <c r="F541" s="4">
        <f>E541*IFERROR(INDEX(Работы!$D$4:$D$672,MATCH(SUBSTITUTE(SUBSTITUTE(SUBSTITUTE(A541,"~","~~"),"*","~*"),"?","~?"),Работы!$B$4:$B$672,0)),0)</f>
        <v/>
      </c>
      <c r="G541" s="10" t="n">
        <v>55.91</v>
      </c>
      <c r="H541" s="14" t="n">
        <v>1</v>
      </c>
      <c r="I541" s="11" t="n">
        <v>0.08</v>
      </c>
      <c r="J541" s="11" t="n">
        <v>0.15</v>
      </c>
      <c r="K541" s="10" t="n"/>
      <c r="L541" s="9" t="inlineStr">
        <is>
          <t>Петрович</t>
        </is>
      </c>
      <c r="M541" s="9" t="inlineStr">
        <is>
          <t>https://moscow.petrovich.ru/product/1165202/</t>
        </is>
      </c>
      <c r="N541" s="9" t="inlineStr">
        <is>
          <t>2026-10-29</t>
        </is>
      </c>
      <c r="O541" s="13" t="inlineStr">
        <is>
          <t>Петрович, Ideal Классик 55 мм, 2,2 м. Лемана ПРО Tarkett 104,55 руб/м, Сатурн 63,18.</t>
        </is>
      </c>
      <c r="P541" s="4">
        <f>IF(H541=1,G541/VAT_DIV,G541)</f>
        <v/>
      </c>
      <c r="Q541" s="4">
        <f>P541*(1+I541)*(1+DELIV)*(1+GROWTH+MONEY)</f>
        <v/>
      </c>
      <c r="R541" s="4">
        <f>IF(AND(K541&lt;&gt;"",Q541*(1+J541)&gt;K541/VAT_DIV),K541/VAT_DIV,Q541*(1+J541))</f>
        <v/>
      </c>
      <c r="S541" s="4">
        <f>Q541*F541</f>
        <v/>
      </c>
      <c r="T541" s="4">
        <f>R541*F541</f>
        <v/>
      </c>
      <c r="U541" s="3">
        <f>IF(AND(K541&lt;&gt;"",Q541*(1+J541)&gt;K541/VAT_DIV+0.01),"ДА","")</f>
        <v/>
      </c>
      <c r="V541" s="4">
        <f>P541*F541</f>
        <v/>
      </c>
    </row>
    <row r="542" ht="20" customHeight="1">
      <c r="A542" s="9" t="inlineStr">
        <is>
          <t>542. Обшивка существующих колонн, откосов и коробов ГКВЛ</t>
        </is>
      </c>
      <c r="B542" s="13" t="inlineStr">
        <is>
          <t>Обшивка существующих колонн, откосов и коробов ГКВЛ</t>
        </is>
      </c>
      <c r="C542" s="9" t="inlineStr">
        <is>
          <t>ГКЛ, профиль, комплектующие</t>
        </is>
      </c>
      <c r="D542" s="9" t="inlineStr">
        <is>
          <t>м2</t>
        </is>
      </c>
      <c r="E542" s="10" t="n">
        <v>1.05</v>
      </c>
      <c r="F542" s="4">
        <f>E542*IFERROR(INDEX(Работы!$D$4:$D$672,MATCH(SUBSTITUTE(SUBSTITUTE(SUBSTITUTE(A542,"~","~~"),"*","~*"),"?","~?"),Работы!$B$4:$B$672,0)),0)</f>
        <v/>
      </c>
      <c r="G542" s="10" t="n">
        <v>218.33</v>
      </c>
      <c r="H542" s="14" t="n">
        <v>1</v>
      </c>
      <c r="I542" s="11" t="n">
        <v>0.07000000000000001</v>
      </c>
      <c r="J542" s="11" t="n">
        <v>0.12</v>
      </c>
      <c r="K542" s="10" t="n"/>
      <c r="L542" s="9" t="inlineStr">
        <is>
          <t>Петрович</t>
        </is>
      </c>
      <c r="M542" s="9" t="inlineStr">
        <is>
          <t>https://petrovich.ru/product/101931/</t>
        </is>
      </c>
      <c r="N542" s="9" t="inlineStr">
        <is>
          <t>2026-10-29</t>
        </is>
      </c>
      <c r="O542" s="13" t="inlineStr">
        <is>
          <t>Knauf 12,5 мм 530 руб/лист 3 м2; в форме толщина 10 мм — взят лист 12,5 как аналог</t>
        </is>
      </c>
      <c r="P542" s="4">
        <f>IF(H542=1,G542/VAT_DIV,G542)</f>
        <v/>
      </c>
      <c r="Q542" s="4">
        <f>P542*(1+I542)*(1+DELIV)*(1+GROWTH+MONEY)</f>
        <v/>
      </c>
      <c r="R542" s="4">
        <f>IF(AND(K542&lt;&gt;"",Q542*(1+J542)&gt;K542/VAT_DIV),K542/VAT_DIV,Q542*(1+J542))</f>
        <v/>
      </c>
      <c r="S542" s="4">
        <f>Q542*F542</f>
        <v/>
      </c>
      <c r="T542" s="4">
        <f>R542*F542</f>
        <v/>
      </c>
      <c r="U542" s="3">
        <f>IF(AND(K542&lt;&gt;"",Q542*(1+J542)&gt;K542/VAT_DIV+0.01),"ДА","")</f>
        <v/>
      </c>
      <c r="V542" s="4">
        <f>P542*F542</f>
        <v/>
      </c>
    </row>
    <row r="543" ht="20" customHeight="1">
      <c r="A543" s="9" t="inlineStr">
        <is>
          <t>543. Грунтовка стен/перегородок/откосов/колонн</t>
        </is>
      </c>
      <c r="B543" s="13" t="inlineStr">
        <is>
          <t>Грунт</t>
        </is>
      </c>
      <c r="C543" s="9" t="inlineStr">
        <is>
          <t>Краски, грунты, ЛКМ</t>
        </is>
      </c>
      <c r="D543" s="9" t="inlineStr">
        <is>
          <t>л</t>
        </is>
      </c>
      <c r="E543" s="10" t="n">
        <v>0.2</v>
      </c>
      <c r="F543" s="4">
        <f>E543*IFERROR(INDEX(Работы!$D$4:$D$672,MATCH(SUBSTITUTE(SUBSTITUTE(SUBSTITUTE(A543,"~","~~"),"*","~*"),"?","~?"),Работы!$B$4:$B$672,0)),0)</f>
        <v/>
      </c>
      <c r="G543" s="10" t="n">
        <v>136.7</v>
      </c>
      <c r="H543" s="14" t="n">
        <v>1</v>
      </c>
      <c r="I543" s="11" t="n">
        <v>0.05</v>
      </c>
      <c r="J543" s="11" t="n">
        <v>0.12</v>
      </c>
      <c r="K543" s="10" t="n"/>
      <c r="L543" s="9" t="inlineStr">
        <is>
          <t>Лемана ПРО</t>
        </is>
      </c>
      <c r="M543" s="9" t="inlineStr">
        <is>
          <t>https://lemanapro.ru/product/grunt-ceresit-ct-17-transparent-glubokogo-proniknoveniya-10-l-89398668/</t>
        </is>
      </c>
      <c r="N543" s="9" t="inlineStr">
        <is>
          <t>2026-10-29</t>
        </is>
      </c>
      <c r="O543" s="13" t="inlineStr">
        <is>
          <t>Минимум из трёх: Лемана ПРО Ceresit CT 17, 10 л = 136,7 руб/л. Петрович CT 17 PRO 143,8, Сатурн 145,9.</t>
        </is>
      </c>
      <c r="P543" s="4">
        <f>IF(H543=1,G543/VAT_DIV,G543)</f>
        <v/>
      </c>
      <c r="Q543" s="4">
        <f>P543*(1+I543)*(1+DELIV)*(1+GROWTH+MONEY)</f>
        <v/>
      </c>
      <c r="R543" s="4">
        <f>IF(AND(K543&lt;&gt;"",Q543*(1+J543)&gt;K543/VAT_DIV),K543/VAT_DIV,Q543*(1+J543))</f>
        <v/>
      </c>
      <c r="S543" s="4">
        <f>Q543*F543</f>
        <v/>
      </c>
      <c r="T543" s="4">
        <f>R543*F543</f>
        <v/>
      </c>
      <c r="U543" s="3">
        <f>IF(AND(K543&lt;&gt;"",Q543*(1+J543)&gt;K543/VAT_DIV+0.01),"ДА","")</f>
        <v/>
      </c>
      <c r="V543" s="4">
        <f>P543*F543</f>
        <v/>
      </c>
    </row>
    <row r="544" ht="20" customHeight="1">
      <c r="A544" s="9" t="inlineStr">
        <is>
          <t>544. Штукатурка стен/перегородок/откосов/колонн</t>
        </is>
      </c>
      <c r="B544" s="13" t="inlineStr">
        <is>
          <t>Штукатурка стен/перегородок/откосов/колонн</t>
        </is>
      </c>
      <c r="C544" s="9" t="inlineStr">
        <is>
          <t>Сухие смеси, штукатурки, шпаклёвки</t>
        </is>
      </c>
      <c r="D544" s="9" t="inlineStr">
        <is>
          <t>кг</t>
        </is>
      </c>
      <c r="E544" s="10" t="n">
        <v>8</v>
      </c>
      <c r="F544" s="4">
        <f>E544*IFERROR(INDEX(Работы!$D$4:$D$672,MATCH(SUBSTITUTE(SUBSTITUTE(SUBSTITUTE(A544,"~","~~"),"*","~*"),"?","~?"),Работы!$B$4:$B$672,0)),0)</f>
        <v/>
      </c>
      <c r="G544" s="10" t="n">
        <v>22</v>
      </c>
      <c r="H544" s="14" t="n">
        <v>1</v>
      </c>
      <c r="I544" s="11" t="n">
        <v>0.05</v>
      </c>
      <c r="J544" s="11" t="n">
        <v>0.12</v>
      </c>
      <c r="K544" s="10" t="n"/>
      <c r="L544" s="9" t="inlineStr">
        <is>
          <t>оценка</t>
        </is>
      </c>
      <c r="M544" s="9" t="inlineStr"/>
      <c r="N544" s="9" t="inlineStr">
        <is>
          <t>2026-10-29</t>
        </is>
      </c>
      <c r="O544" s="13" t="inlineStr">
        <is>
          <t>оценка гипсовой/цементной штукатурки В Петрович, Лемана ПРО и Сатурн открытой карточки нет, оставлен прежний источник.</t>
        </is>
      </c>
      <c r="P544" s="4">
        <f>IF(H544=1,G544/VAT_DIV,G544)</f>
        <v/>
      </c>
      <c r="Q544" s="4">
        <f>P544*(1+I544)*(1+DELIV)*(1+GROWTH+MONEY)</f>
        <v/>
      </c>
      <c r="R544" s="4">
        <f>IF(AND(K544&lt;&gt;"",Q544*(1+J544)&gt;K544/VAT_DIV),K544/VAT_DIV,Q544*(1+J544))</f>
        <v/>
      </c>
      <c r="S544" s="4">
        <f>Q544*F544</f>
        <v/>
      </c>
      <c r="T544" s="4">
        <f>R544*F544</f>
        <v/>
      </c>
      <c r="U544" s="3">
        <f>IF(AND(K544&lt;&gt;"",Q544*(1+J544)&gt;K544/VAT_DIV+0.01),"ДА","")</f>
        <v/>
      </c>
      <c r="V544" s="4">
        <f>P544*F544</f>
        <v/>
      </c>
    </row>
    <row r="545" ht="20" customHeight="1">
      <c r="A545" s="9" t="inlineStr">
        <is>
          <t>545. Шпаклевка стен/перегородок/откосов/колонн с оклейкой поверхности  стеклохолстом</t>
        </is>
      </c>
      <c r="B545" s="13" t="inlineStr">
        <is>
          <t>Шпаклевка стен/перегородок/откосов/колонн с оклейкой поверхн</t>
        </is>
      </c>
      <c r="C545" s="9" t="inlineStr">
        <is>
          <t>Сухие смеси, штукатурки, шпаклёвки</t>
        </is>
      </c>
      <c r="D545" s="9" t="inlineStr">
        <is>
          <t>кг</t>
        </is>
      </c>
      <c r="E545" s="10" t="n">
        <v>1.2</v>
      </c>
      <c r="F545" s="4">
        <f>E545*IFERROR(INDEX(Работы!$D$4:$D$672,MATCH(SUBSTITUTE(SUBSTITUTE(SUBSTITUTE(A545,"~","~~"),"*","~*"),"?","~?"),Работы!$B$4:$B$672,0)),0)</f>
        <v/>
      </c>
      <c r="G545" s="10" t="n">
        <v>43.55</v>
      </c>
      <c r="H545" s="14" t="n">
        <v>1</v>
      </c>
      <c r="I545" s="11" t="n">
        <v>0.05</v>
      </c>
      <c r="J545" s="11" t="n">
        <v>0.12</v>
      </c>
      <c r="K545" s="10" t="n"/>
      <c r="L545" s="9" t="inlineStr">
        <is>
          <t>Сатурн</t>
        </is>
      </c>
      <c r="M545" s="9" t="inlineStr">
        <is>
          <t>https://msk.saturn.net/product/shpaklevka-finishnaya-polimernaya-knauf-polymer-finish-20-kg/</t>
        </is>
      </c>
      <c r="N545" s="9" t="inlineStr">
        <is>
          <t>2026-10-29</t>
        </is>
      </c>
      <c r="O545" s="13" t="inlineStr">
        <is>
          <t>Минимум из трёх: Сатурн Knauf Polymer Finish 20 кг = 43,55 руб/кг. Петрович 45,75, Лемана ПРО Vetonit LR+ 45,6.</t>
        </is>
      </c>
      <c r="P545" s="4">
        <f>IF(H545=1,G545/VAT_DIV,G545)</f>
        <v/>
      </c>
      <c r="Q545" s="4">
        <f>P545*(1+I545)*(1+DELIV)*(1+GROWTH+MONEY)</f>
        <v/>
      </c>
      <c r="R545" s="4">
        <f>IF(AND(K545&lt;&gt;"",Q545*(1+J545)&gt;K545/VAT_DIV),K545/VAT_DIV,Q545*(1+J545))</f>
        <v/>
      </c>
      <c r="S545" s="4">
        <f>Q545*F545</f>
        <v/>
      </c>
      <c r="T545" s="4">
        <f>R545*F545</f>
        <v/>
      </c>
      <c r="U545" s="3">
        <f>IF(AND(K545&lt;&gt;"",Q545*(1+J545)&gt;K545/VAT_DIV+0.01),"ДА","")</f>
        <v/>
      </c>
      <c r="V545" s="4">
        <f>P545*F545</f>
        <v/>
      </c>
    </row>
    <row r="546" ht="20" customHeight="1">
      <c r="A546" s="9" t="inlineStr">
        <is>
          <t>546. Окраска стен/перегородок/откосов/колонн краской (тип краски согласовывается Заказчиком)</t>
        </is>
      </c>
      <c r="B546" s="13" t="inlineStr">
        <is>
          <t>Краска</t>
        </is>
      </c>
      <c r="C546" s="9" t="inlineStr">
        <is>
          <t>Краски, грунты, ЛКМ</t>
        </is>
      </c>
      <c r="D546" s="9" t="inlineStr">
        <is>
          <t>кг</t>
        </is>
      </c>
      <c r="E546" s="10" t="n">
        <v>0.35</v>
      </c>
      <c r="F546" s="4">
        <f>E546*IFERROR(INDEX(Работы!$D$4:$D$672,MATCH(SUBSTITUTE(SUBSTITUTE(SUBSTITUTE(A546,"~","~~"),"*","~*"),"?","~?"),Работы!$B$4:$B$672,0)),0)</f>
        <v/>
      </c>
      <c r="G546" s="10" t="n">
        <v>128.57</v>
      </c>
      <c r="H546" s="14" t="n">
        <v>1</v>
      </c>
      <c r="I546" s="11" t="n">
        <v>0.05</v>
      </c>
      <c r="J546" s="11" t="n">
        <v>0.12</v>
      </c>
      <c r="K546" s="10" t="n"/>
      <c r="L546" s="9" t="inlineStr">
        <is>
          <t>Петрович</t>
        </is>
      </c>
      <c r="M546" s="9" t="inlineStr">
        <is>
          <t>https://moscow.petrovich.ru/product/103990/</t>
        </is>
      </c>
      <c r="N546" s="9" t="inlineStr">
        <is>
          <t>2026-10-29</t>
        </is>
      </c>
      <c r="O546" s="13" t="inlineStr">
        <is>
          <t>Петрович Москва, Текс влагостойкая 1 800 руб/14 кг</t>
        </is>
      </c>
      <c r="P546" s="4">
        <f>IF(H546=1,G546/VAT_DIV,G546)</f>
        <v/>
      </c>
      <c r="Q546" s="4">
        <f>P546*(1+I546)*(1+DELIV)*(1+GROWTH+MONEY)</f>
        <v/>
      </c>
      <c r="R546" s="4">
        <f>IF(AND(K546&lt;&gt;"",Q546*(1+J546)&gt;K546/VAT_DIV),K546/VAT_DIV,Q546*(1+J546))</f>
        <v/>
      </c>
      <c r="S546" s="4">
        <f>Q546*F546</f>
        <v/>
      </c>
      <c r="T546" s="4">
        <f>R546*F546</f>
        <v/>
      </c>
      <c r="U546" s="3">
        <f>IF(AND(K546&lt;&gt;"",Q546*(1+J546)&gt;K546/VAT_DIV+0.01),"ДА","")</f>
        <v/>
      </c>
      <c r="V546" s="4">
        <f>P546*F546</f>
        <v/>
      </c>
    </row>
    <row r="547" ht="20" customHeight="1">
      <c r="A547" s="9" t="inlineStr">
        <is>
          <t>554. монтаж дверных доводчиков</t>
        </is>
      </c>
      <c r="B547" s="13" t="inlineStr">
        <is>
          <t>Доводчик</t>
        </is>
      </c>
      <c r="C547" s="9" t="inlineStr">
        <is>
          <t>Изделия под заказ (ворота, двери, окна, перегородки)</t>
        </is>
      </c>
      <c r="D547" s="9" t="inlineStr">
        <is>
          <t>шт</t>
        </is>
      </c>
      <c r="E547" s="10" t="n">
        <v>1</v>
      </c>
      <c r="F547" s="4">
        <f>E547*IFERROR(INDEX(Работы!$D$4:$D$672,MATCH(SUBSTITUTE(SUBSTITUTE(SUBSTITUTE(A547,"~","~~"),"*","~*"),"?","~?"),Работы!$B$4:$B$672,0)),0)</f>
        <v/>
      </c>
      <c r="G547" s="10" t="n">
        <v>1020</v>
      </c>
      <c r="H547" s="14" t="n">
        <v>1</v>
      </c>
      <c r="I547" s="11" t="n">
        <v>0</v>
      </c>
      <c r="J547" s="11" t="n">
        <v>0.12</v>
      </c>
      <c r="K547" s="10" t="n"/>
      <c r="L547" s="9" t="inlineStr">
        <is>
          <t>Петрович</t>
        </is>
      </c>
      <c r="M547" s="9" t="inlineStr">
        <is>
          <t>https://moscow.petrovich.ru/product/664866/</t>
        </is>
      </c>
      <c r="N547" s="9" t="inlineStr">
        <is>
          <t>2026-10-29</t>
        </is>
      </c>
      <c r="O547" s="13" t="inlineStr">
        <is>
          <t>Петрович, доводчик Corsa Deco 40–60 кг = 1 020 руб. Сатурн SCHLOSS до 110 кг = 3 399.</t>
        </is>
      </c>
      <c r="P547" s="4">
        <f>IF(H547=1,G547/VAT_DIV,G547)</f>
        <v/>
      </c>
      <c r="Q547" s="4">
        <f>P547*(1+I547)*(1+DELIV)*(1+GROWTH+MONEY)</f>
        <v/>
      </c>
      <c r="R547" s="4">
        <f>IF(AND(K547&lt;&gt;"",Q547*(1+J547)&gt;K547/VAT_DIV),K547/VAT_DIV,Q547*(1+J547))</f>
        <v/>
      </c>
      <c r="S547" s="4">
        <f>Q547*F547</f>
        <v/>
      </c>
      <c r="T547" s="4">
        <f>R547*F547</f>
        <v/>
      </c>
      <c r="U547" s="3">
        <f>IF(AND(K547&lt;&gt;"",Q547*(1+J547)&gt;K547/VAT_DIV+0.01),"ДА","")</f>
        <v/>
      </c>
      <c r="V547" s="4">
        <f>P547*F547</f>
        <v/>
      </c>
    </row>
    <row r="548" ht="20" customHeight="1">
      <c r="A548" s="9" t="inlineStr">
        <is>
          <t>556. Заделка проемов и отверстий в местах проходов через стены, перегородки и перекрытия противопожарной пеной</t>
        </is>
      </c>
      <c r="B548" s="13" t="inlineStr">
        <is>
          <t>Пена противопожарная</t>
        </is>
      </c>
      <c r="C548" s="9" t="inlineStr">
        <is>
          <t>Прочее</t>
        </is>
      </c>
      <c r="D548" s="9" t="inlineStr">
        <is>
          <t>шт</t>
        </is>
      </c>
      <c r="E548" s="10" t="n">
        <v>0.3</v>
      </c>
      <c r="F548" s="4">
        <f>E548*IFERROR(INDEX(Работы!$D$4:$D$672,MATCH(SUBSTITUTE(SUBSTITUTE(SUBSTITUTE(A548,"~","~~"),"*","~*"),"?","~?"),Работы!$B$4:$B$672,0)),0)</f>
        <v/>
      </c>
      <c r="G548" s="10" t="n">
        <v>890</v>
      </c>
      <c r="H548" s="14" t="n">
        <v>1</v>
      </c>
      <c r="I548" s="11" t="n">
        <v>0.03</v>
      </c>
      <c r="J548" s="11" t="n">
        <v>0.15</v>
      </c>
      <c r="K548" s="10" t="n"/>
      <c r="L548" s="9" t="inlineStr">
        <is>
          <t>Петрович</t>
        </is>
      </c>
      <c r="M548" s="9" t="inlineStr">
        <is>
          <t>https://moscow.petrovich.ru/product/138143/</t>
        </is>
      </c>
      <c r="N548" s="9" t="inlineStr">
        <is>
          <t>2026-10-29</t>
        </is>
      </c>
      <c r="O548" s="13" t="inlineStr">
        <is>
          <t>Петрович, Tytan B1 750 мл = 890 руб. Лемана ПРО 1092, Сатурн 1073.</t>
        </is>
      </c>
      <c r="P548" s="4">
        <f>IF(H548=1,G548/VAT_DIV,G548)</f>
        <v/>
      </c>
      <c r="Q548" s="4">
        <f>P548*(1+I548)*(1+DELIV)*(1+GROWTH+MONEY)</f>
        <v/>
      </c>
      <c r="R548" s="4">
        <f>IF(AND(K548&lt;&gt;"",Q548*(1+J548)&gt;K548/VAT_DIV),K548/VAT_DIV,Q548*(1+J548))</f>
        <v/>
      </c>
      <c r="S548" s="4">
        <f>Q548*F548</f>
        <v/>
      </c>
      <c r="T548" s="4">
        <f>R548*F548</f>
        <v/>
      </c>
      <c r="U548" s="3">
        <f>IF(AND(K548&lt;&gt;"",Q548*(1+J548)&gt;K548/VAT_DIV+0.01),"ДА","")</f>
        <v/>
      </c>
      <c r="V548" s="4">
        <f>P548*F548</f>
        <v/>
      </c>
    </row>
    <row r="549" ht="20" customHeight="1">
      <c r="A549" s="9" t="inlineStr">
        <is>
          <t xml:space="preserve">558. Покраска открытого потолка и инженерных коммуникаций </t>
        </is>
      </c>
      <c r="B549" s="13" t="inlineStr">
        <is>
          <t>Краска</t>
        </is>
      </c>
      <c r="C549" s="9" t="inlineStr">
        <is>
          <t>Краски, грунты, ЛКМ</t>
        </is>
      </c>
      <c r="D549" s="9" t="inlineStr">
        <is>
          <t>кг</t>
        </is>
      </c>
      <c r="E549" s="10" t="n">
        <v>0.35</v>
      </c>
      <c r="F549" s="4">
        <f>E549*IFERROR(INDEX(Работы!$D$4:$D$672,MATCH(SUBSTITUTE(SUBSTITUTE(SUBSTITUTE(A549,"~","~~"),"*","~*"),"?","~?"),Работы!$B$4:$B$672,0)),0)</f>
        <v/>
      </c>
      <c r="G549" s="10" t="n">
        <v>128.57</v>
      </c>
      <c r="H549" s="14" t="n">
        <v>1</v>
      </c>
      <c r="I549" s="11" t="n">
        <v>0.05</v>
      </c>
      <c r="J549" s="11" t="n">
        <v>0.12</v>
      </c>
      <c r="K549" s="10" t="n"/>
      <c r="L549" s="9" t="inlineStr">
        <is>
          <t>Петрович</t>
        </is>
      </c>
      <c r="M549" s="9" t="inlineStr">
        <is>
          <t>https://moscow.petrovich.ru/product/103990/</t>
        </is>
      </c>
      <c r="N549" s="9" t="inlineStr">
        <is>
          <t>2026-10-29</t>
        </is>
      </c>
      <c r="O549" s="13" t="inlineStr">
        <is>
          <t>Петрович Москва, Текс влагостойкая 1 800 руб/14 кг</t>
        </is>
      </c>
      <c r="P549" s="4">
        <f>IF(H549=1,G549/VAT_DIV,G549)</f>
        <v/>
      </c>
      <c r="Q549" s="4">
        <f>P549*(1+I549)*(1+DELIV)*(1+GROWTH+MONEY)</f>
        <v/>
      </c>
      <c r="R549" s="4">
        <f>IF(AND(K549&lt;&gt;"",Q549*(1+J549)&gt;K549/VAT_DIV),K549/VAT_DIV,Q549*(1+J549))</f>
        <v/>
      </c>
      <c r="S549" s="4">
        <f>Q549*F549</f>
        <v/>
      </c>
      <c r="T549" s="4">
        <f>R549*F549</f>
        <v/>
      </c>
      <c r="U549" s="3">
        <f>IF(AND(K549&lt;&gt;"",Q549*(1+J549)&gt;K549/VAT_DIV+0.01),"ДА","")</f>
        <v/>
      </c>
      <c r="V549" s="4">
        <f>P549*F549</f>
        <v/>
      </c>
    </row>
    <row r="550" ht="20" customHeight="1">
      <c r="A550" s="9" t="inlineStr">
        <is>
          <t xml:space="preserve">560. Грунтовка поверхностей потолка </t>
        </is>
      </c>
      <c r="B550" s="13" t="inlineStr">
        <is>
          <t>Грунт</t>
        </is>
      </c>
      <c r="C550" s="9" t="inlineStr">
        <is>
          <t>Краски, грунты, ЛКМ</t>
        </is>
      </c>
      <c r="D550" s="9" t="inlineStr">
        <is>
          <t>л</t>
        </is>
      </c>
      <c r="E550" s="10" t="n">
        <v>0.2</v>
      </c>
      <c r="F550" s="4">
        <f>E550*IFERROR(INDEX(Работы!$D$4:$D$672,MATCH(SUBSTITUTE(SUBSTITUTE(SUBSTITUTE(A550,"~","~~"),"*","~*"),"?","~?"),Работы!$B$4:$B$672,0)),0)</f>
        <v/>
      </c>
      <c r="G550" s="10" t="n">
        <v>136.7</v>
      </c>
      <c r="H550" s="14" t="n">
        <v>1</v>
      </c>
      <c r="I550" s="11" t="n">
        <v>0.05</v>
      </c>
      <c r="J550" s="11" t="n">
        <v>0.12</v>
      </c>
      <c r="K550" s="10" t="n"/>
      <c r="L550" s="9" t="inlineStr">
        <is>
          <t>Лемана ПРО</t>
        </is>
      </c>
      <c r="M550" s="9" t="inlineStr">
        <is>
          <t>https://lemanapro.ru/product/grunt-ceresit-ct-17-transparent-glubokogo-proniknoveniya-10-l-89398668/</t>
        </is>
      </c>
      <c r="N550" s="9" t="inlineStr">
        <is>
          <t>2026-10-29</t>
        </is>
      </c>
      <c r="O550" s="13" t="inlineStr">
        <is>
          <t>Минимум из трёх: Лемана ПРО Ceresit CT 17, 10 л = 136,7 руб/л. Петрович CT 17 PRO 143,8, Сатурн 145,9.</t>
        </is>
      </c>
      <c r="P550" s="4">
        <f>IF(H550=1,G550/VAT_DIV,G550)</f>
        <v/>
      </c>
      <c r="Q550" s="4">
        <f>P550*(1+I550)*(1+DELIV)*(1+GROWTH+MONEY)</f>
        <v/>
      </c>
      <c r="R550" s="4">
        <f>IF(AND(K550&lt;&gt;"",Q550*(1+J550)&gt;K550/VAT_DIV),K550/VAT_DIV,Q550*(1+J550))</f>
        <v/>
      </c>
      <c r="S550" s="4">
        <f>Q550*F550</f>
        <v/>
      </c>
      <c r="T550" s="4">
        <f>R550*F550</f>
        <v/>
      </c>
      <c r="U550" s="3">
        <f>IF(AND(K550&lt;&gt;"",Q550*(1+J550)&gt;K550/VAT_DIV+0.01),"ДА","")</f>
        <v/>
      </c>
      <c r="V550" s="4">
        <f>P550*F550</f>
        <v/>
      </c>
    </row>
    <row r="551" ht="20" customHeight="1">
      <c r="A551" s="9" t="inlineStr">
        <is>
          <t xml:space="preserve">561. Окраска подготовленных поверхностей потолка </t>
        </is>
      </c>
      <c r="B551" s="13" t="inlineStr">
        <is>
          <t>Краска</t>
        </is>
      </c>
      <c r="C551" s="9" t="inlineStr">
        <is>
          <t>Краски, грунты, ЛКМ</t>
        </is>
      </c>
      <c r="D551" s="9" t="inlineStr">
        <is>
          <t>кг</t>
        </is>
      </c>
      <c r="E551" s="10" t="n">
        <v>0.35</v>
      </c>
      <c r="F551" s="4">
        <f>E551*IFERROR(INDEX(Работы!$D$4:$D$672,MATCH(SUBSTITUTE(SUBSTITUTE(SUBSTITUTE(A551,"~","~~"),"*","~*"),"?","~?"),Работы!$B$4:$B$672,0)),0)</f>
        <v/>
      </c>
      <c r="G551" s="10" t="n">
        <v>128.57</v>
      </c>
      <c r="H551" s="14" t="n">
        <v>1</v>
      </c>
      <c r="I551" s="11" t="n">
        <v>0.05</v>
      </c>
      <c r="J551" s="11" t="n">
        <v>0.12</v>
      </c>
      <c r="K551" s="10" t="n"/>
      <c r="L551" s="9" t="inlineStr">
        <is>
          <t>Петрович</t>
        </is>
      </c>
      <c r="M551" s="9" t="inlineStr">
        <is>
          <t>https://moscow.petrovich.ru/product/103990/</t>
        </is>
      </c>
      <c r="N551" s="9" t="inlineStr">
        <is>
          <t>2026-10-29</t>
        </is>
      </c>
      <c r="O551" s="13" t="inlineStr">
        <is>
          <t>Петрович Москва, Текс влагостойкая 1 800 руб/14 кг</t>
        </is>
      </c>
      <c r="P551" s="4">
        <f>IF(H551=1,G551/VAT_DIV,G551)</f>
        <v/>
      </c>
      <c r="Q551" s="4">
        <f>P551*(1+I551)*(1+DELIV)*(1+GROWTH+MONEY)</f>
        <v/>
      </c>
      <c r="R551" s="4">
        <f>IF(AND(K551&lt;&gt;"",Q551*(1+J551)&gt;K551/VAT_DIV),K551/VAT_DIV,Q551*(1+J551))</f>
        <v/>
      </c>
      <c r="S551" s="4">
        <f>Q551*F551</f>
        <v/>
      </c>
      <c r="T551" s="4">
        <f>R551*F551</f>
        <v/>
      </c>
      <c r="U551" s="3">
        <f>IF(AND(K551&lt;&gt;"",Q551*(1+J551)&gt;K551/VAT_DIV+0.01),"ДА","")</f>
        <v/>
      </c>
      <c r="V551" s="4">
        <f>P551*F551</f>
        <v/>
      </c>
    </row>
    <row r="552" ht="20" customHeight="1">
      <c r="A552" s="9" t="inlineStr">
        <is>
          <t>572. Прокладка/локальная замена многожильных/одножильных кабелей с затяжкой в гофру с сечением до 6,6 мм2</t>
        </is>
      </c>
      <c r="B552" s="13" t="inlineStr">
        <is>
          <t xml:space="preserve">Прокладка/локальная замена многожильных/одножильных кабелей </t>
        </is>
      </c>
      <c r="C552" s="9" t="inlineStr">
        <is>
          <t>Кабель и провод</t>
        </is>
      </c>
      <c r="D552" s="9" t="inlineStr">
        <is>
          <t>м</t>
        </is>
      </c>
      <c r="E552" s="10" t="n">
        <v>1</v>
      </c>
      <c r="F552" s="4">
        <f>E552*IFERROR(INDEX(Работы!$D$4:$D$672,MATCH(SUBSTITUTE(SUBSTITUTE(SUBSTITUTE(A552,"~","~~"),"*","~*"),"?","~?"),Работы!$B$4:$B$672,0)),0)</f>
        <v/>
      </c>
      <c r="G552" s="10" t="n">
        <v>16.8</v>
      </c>
      <c r="H552" s="14" t="n">
        <v>1</v>
      </c>
      <c r="I552" s="11" t="n">
        <v>0.04</v>
      </c>
      <c r="J552" s="11" t="n">
        <v>0.12</v>
      </c>
      <c r="K552" s="10" t="n"/>
      <c r="L552" s="9" t="inlineStr">
        <is>
          <t>оценка</t>
        </is>
      </c>
      <c r="M552" s="9" t="inlineStr"/>
      <c r="N552" s="9" t="inlineStr">
        <is>
          <t>2026-10-29</t>
        </is>
      </c>
      <c r="O552" s="13" t="inlineStr">
        <is>
          <t>оценка трубы ПНД/гофры В Петрович, Лемана ПРО и Сатурн открытой карточки нет, оставлен прежний источник.</t>
        </is>
      </c>
      <c r="P552" s="4">
        <f>IF(H552=1,G552/VAT_DIV,G552)</f>
        <v/>
      </c>
      <c r="Q552" s="4">
        <f>P552*(1+I552)*(1+DELIV)*(1+GROWTH+MONEY)</f>
        <v/>
      </c>
      <c r="R552" s="4">
        <f>IF(AND(K552&lt;&gt;"",Q552*(1+J552)&gt;K552/VAT_DIV),K552/VAT_DIV,Q552*(1+J552))</f>
        <v/>
      </c>
      <c r="S552" s="4">
        <f>Q552*F552</f>
        <v/>
      </c>
      <c r="T552" s="4">
        <f>R552*F552</f>
        <v/>
      </c>
      <c r="U552" s="3">
        <f>IF(AND(K552&lt;&gt;"",Q552*(1+J552)&gt;K552/VAT_DIV+0.01),"ДА","")</f>
        <v/>
      </c>
      <c r="V552" s="4">
        <f>P552*F552</f>
        <v/>
      </c>
    </row>
    <row r="553" ht="20" customHeight="1">
      <c r="A553" s="9" t="inlineStr">
        <is>
          <t>573. Прокладка/локальная замена многожильных/одножильных кабелей с затяжкой в гофру с сечением до 35 мм2</t>
        </is>
      </c>
      <c r="B553" s="13" t="inlineStr">
        <is>
          <t xml:space="preserve">Прокладка/локальная замена многожильных/одножильных кабелей </t>
        </is>
      </c>
      <c r="C553" s="9" t="inlineStr">
        <is>
          <t>Кабель и провод</t>
        </is>
      </c>
      <c r="D553" s="9" t="inlineStr">
        <is>
          <t>м</t>
        </is>
      </c>
      <c r="E553" s="10" t="n">
        <v>1</v>
      </c>
      <c r="F553" s="4">
        <f>E553*IFERROR(INDEX(Работы!$D$4:$D$672,MATCH(SUBSTITUTE(SUBSTITUTE(SUBSTITUTE(A553,"~","~~"),"*","~*"),"?","~?"),Работы!$B$4:$B$672,0)),0)</f>
        <v/>
      </c>
      <c r="G553" s="10" t="n">
        <v>40</v>
      </c>
      <c r="H553" s="14" t="n">
        <v>1</v>
      </c>
      <c r="I553" s="11" t="n">
        <v>0.04</v>
      </c>
      <c r="J553" s="11" t="n">
        <v>0.12</v>
      </c>
      <c r="K553" s="10" t="n"/>
      <c r="L553" s="9" t="inlineStr">
        <is>
          <t>оценка</t>
        </is>
      </c>
      <c r="M553" s="9" t="inlineStr"/>
      <c r="N553" s="9" t="inlineStr">
        <is>
          <t>2026-10-29</t>
        </is>
      </c>
      <c r="O553" s="13" t="inlineStr">
        <is>
          <t>оценка трубы ПНД/гофры В Петрович, Лемана ПРО и Сатурн открытой карточки нет, оставлен прежний источник.</t>
        </is>
      </c>
      <c r="P553" s="4">
        <f>IF(H553=1,G553/VAT_DIV,G553)</f>
        <v/>
      </c>
      <c r="Q553" s="4">
        <f>P553*(1+I553)*(1+DELIV)*(1+GROWTH+MONEY)</f>
        <v/>
      </c>
      <c r="R553" s="4">
        <f>IF(AND(K553&lt;&gt;"",Q553*(1+J553)&gt;K553/VAT_DIV),K553/VAT_DIV,Q553*(1+J553))</f>
        <v/>
      </c>
      <c r="S553" s="4">
        <f>Q553*F553</f>
        <v/>
      </c>
      <c r="T553" s="4">
        <f>R553*F553</f>
        <v/>
      </c>
      <c r="U553" s="3">
        <f>IF(AND(K553&lt;&gt;"",Q553*(1+J553)&gt;K553/VAT_DIV+0.01),"ДА","")</f>
        <v/>
      </c>
      <c r="V553" s="4">
        <f>P553*F553</f>
        <v/>
      </c>
    </row>
    <row r="554" ht="20" customHeight="1">
      <c r="A554" s="9" t="inlineStr">
        <is>
          <t xml:space="preserve">574. Заземление лотков/стоек фальш-пола/лючков/розеток медным кабелем ПВ3 1х4 мм </t>
        </is>
      </c>
      <c r="B554" s="13" t="inlineStr">
        <is>
          <t>Клипсы и дюбели</t>
        </is>
      </c>
      <c r="C554" s="9" t="inlineStr">
        <is>
          <t>Электроустановочные изделия, щиты, автоматы</t>
        </is>
      </c>
      <c r="D554" s="9" t="inlineStr">
        <is>
          <t>компл</t>
        </is>
      </c>
      <c r="E554" s="10" t="n">
        <v>1</v>
      </c>
      <c r="F554" s="4">
        <f>E554*IFERROR(INDEX(Работы!$D$4:$D$672,MATCH(SUBSTITUTE(SUBSTITUTE(SUBSTITUTE(A554,"~","~~"),"*","~*"),"?","~?"),Работы!$B$4:$B$672,0)),0)</f>
        <v/>
      </c>
      <c r="G554" s="10" t="n">
        <v>15</v>
      </c>
      <c r="H554" s="14" t="n">
        <v>1</v>
      </c>
      <c r="I554" s="11" t="n">
        <v>0.01</v>
      </c>
      <c r="J554" s="11" t="n">
        <v>0.12</v>
      </c>
      <c r="K554" s="10" t="n"/>
      <c r="L554" s="9" t="inlineStr">
        <is>
          <t>оценка</t>
        </is>
      </c>
      <c r="M554" s="9" t="inlineStr"/>
      <c r="N554" s="9" t="inlineStr">
        <is>
          <t>2026-10-29</t>
        </is>
      </c>
      <c r="O554" s="13" t="inlineStr">
        <is>
          <t>комплект к 10.2.N3 В Петрович, Лемана ПРО и Сатурн открытой карточки нет, оставлен прежний источник.</t>
        </is>
      </c>
      <c r="P554" s="4">
        <f>IF(H554=1,G554/VAT_DIV,G554)</f>
        <v/>
      </c>
      <c r="Q554" s="4">
        <f>P554*(1+I554)*(1+DELIV)*(1+GROWTH+MONEY)</f>
        <v/>
      </c>
      <c r="R554" s="4">
        <f>IF(AND(K554&lt;&gt;"",Q554*(1+J554)&gt;K554/VAT_DIV),K554/VAT_DIV,Q554*(1+J554))</f>
        <v/>
      </c>
      <c r="S554" s="4">
        <f>Q554*F554</f>
        <v/>
      </c>
      <c r="T554" s="4">
        <f>R554*F554</f>
        <v/>
      </c>
      <c r="U554" s="3">
        <f>IF(AND(K554&lt;&gt;"",Q554*(1+J554)&gt;K554/VAT_DIV+0.01),"ДА","")</f>
        <v/>
      </c>
      <c r="V554" s="4">
        <f>P554*F554</f>
        <v/>
      </c>
    </row>
    <row r="555" ht="20" customHeight="1">
      <c r="A555" s="9" t="inlineStr">
        <is>
          <t>577. Монтаж подрозетников/колодок соединительных/клемм типа WAGA</t>
        </is>
      </c>
      <c r="B555" s="13" t="inlineStr">
        <is>
          <t>Подрозетник/клемма</t>
        </is>
      </c>
      <c r="C555" s="9" t="inlineStr">
        <is>
          <t>Электроустановочные изделия, щиты, автоматы</t>
        </is>
      </c>
      <c r="D555" s="9" t="inlineStr">
        <is>
          <t>шт</t>
        </is>
      </c>
      <c r="E555" s="10" t="n">
        <v>1</v>
      </c>
      <c r="F555" s="4">
        <f>E555*IFERROR(INDEX(Работы!$D$4:$D$672,MATCH(SUBSTITUTE(SUBSTITUTE(SUBSTITUTE(A555,"~","~~"),"*","~*"),"?","~?"),Работы!$B$4:$B$672,0)),0)</f>
        <v/>
      </c>
      <c r="G555" s="10" t="n">
        <v>25</v>
      </c>
      <c r="H555" s="14" t="n">
        <v>1</v>
      </c>
      <c r="I555" s="11" t="n">
        <v>0.01</v>
      </c>
      <c r="J555" s="11" t="n">
        <v>0.12</v>
      </c>
      <c r="K555" s="10" t="n"/>
      <c r="L555" s="9" t="inlineStr">
        <is>
          <t>оценка</t>
        </is>
      </c>
      <c r="M555" s="9" t="inlineStr"/>
      <c r="N555" s="9" t="inlineStr">
        <is>
          <t>2026-10-29</t>
        </is>
      </c>
      <c r="O555" s="13" t="inlineStr">
        <is>
          <t>оценка В Петрович, Лемана ПРО и Сатурн открытой карточки нет, оставлен прежний источник.</t>
        </is>
      </c>
      <c r="P555" s="4">
        <f>IF(H555=1,G555/VAT_DIV,G555)</f>
        <v/>
      </c>
      <c r="Q555" s="4">
        <f>P555*(1+I555)*(1+DELIV)*(1+GROWTH+MONEY)</f>
        <v/>
      </c>
      <c r="R555" s="4">
        <f>IF(AND(K555&lt;&gt;"",Q555*(1+J555)&gt;K555/VAT_DIV),K555/VAT_DIV,Q555*(1+J555))</f>
        <v/>
      </c>
      <c r="S555" s="4">
        <f>Q555*F555</f>
        <v/>
      </c>
      <c r="T555" s="4">
        <f>R555*F555</f>
        <v/>
      </c>
      <c r="U555" s="3">
        <f>IF(AND(K555&lt;&gt;"",Q555*(1+J555)&gt;K555/VAT_DIV+0.01),"ДА","")</f>
        <v/>
      </c>
      <c r="V555" s="4">
        <f>P555*F555</f>
        <v/>
      </c>
    </row>
    <row r="556" ht="20" customHeight="1">
      <c r="A556" s="9" t="inlineStr">
        <is>
          <t>578. Ремонт трубопроводов с запорной арматурой, включая подводку гибкую</t>
        </is>
      </c>
      <c r="B556" s="13" t="inlineStr">
        <is>
          <t>Арматура d10, 0.62 кг/м</t>
        </is>
      </c>
      <c r="C556" s="9" t="inlineStr">
        <is>
          <t>Арматура</t>
        </is>
      </c>
      <c r="D556" s="9" t="inlineStr">
        <is>
          <t>кг</t>
        </is>
      </c>
      <c r="E556" s="10" t="n">
        <v>0.617</v>
      </c>
      <c r="F556" s="4">
        <f>E556*IFERROR(INDEX(Работы!$D$4:$D$672,MATCH(SUBSTITUTE(SUBSTITUTE(SUBSTITUTE(A556,"~","~~"),"*","~*"),"?","~?"),Работы!$B$4:$B$672,0)),0)</f>
        <v/>
      </c>
      <c r="G556" s="10" t="n">
        <v>79.76000000000001</v>
      </c>
      <c r="H556" s="14" t="n">
        <v>1</v>
      </c>
      <c r="I556" s="11" t="n">
        <v>0.05</v>
      </c>
      <c r="J556" s="11" t="n">
        <v>0.1</v>
      </c>
      <c r="K556" s="10" t="n"/>
      <c r="L556" s="9" t="inlineStr">
        <is>
          <t>Петрович</t>
        </is>
      </c>
      <c r="M556" s="9" t="inlineStr">
        <is>
          <t>https://moscow.petrovich.ru/product/108534/</t>
        </is>
      </c>
      <c r="N556" s="9" t="inlineStr">
        <is>
          <t>2026-10-29</t>
        </is>
      </c>
      <c r="O556" s="13" t="inlineStr">
        <is>
          <t>Петрович, труба 40х40х2, 587 руб/3 м с НДС, 7,36 кг. Цена кг с НДС 79.76. Карта клуба не учитывалась.</t>
        </is>
      </c>
      <c r="P556" s="4">
        <f>IF(H556=1,G556/VAT_DIV,G556)</f>
        <v/>
      </c>
      <c r="Q556" s="4">
        <f>P556*(1+I556)*(1+DELIV)*(1+GROWTH+MONEY)</f>
        <v/>
      </c>
      <c r="R556" s="4">
        <f>IF(AND(K556&lt;&gt;"",Q556*(1+J556)&gt;K556/VAT_DIV),K556/VAT_DIV,Q556*(1+J556))</f>
        <v/>
      </c>
      <c r="S556" s="4">
        <f>Q556*F556</f>
        <v/>
      </c>
      <c r="T556" s="4">
        <f>R556*F556</f>
        <v/>
      </c>
      <c r="U556" s="3">
        <f>IF(AND(K556&lt;&gt;"",Q556*(1+J556)&gt;K556/VAT_DIV+0.01),"ДА","")</f>
        <v/>
      </c>
      <c r="V556" s="4">
        <f>P556*F556</f>
        <v/>
      </c>
    </row>
    <row r="557" ht="20" customHeight="1">
      <c r="A557" s="9" t="inlineStr">
        <is>
          <t>579. Монтаж трубопроводов с запорной арматурой, включая подводку гибкую</t>
        </is>
      </c>
      <c r="B557" s="13" t="inlineStr">
        <is>
          <t>Арматура d10, 0.62 кг/м</t>
        </is>
      </c>
      <c r="C557" s="9" t="inlineStr">
        <is>
          <t>Арматура</t>
        </is>
      </c>
      <c r="D557" s="9" t="inlineStr">
        <is>
          <t>кг</t>
        </is>
      </c>
      <c r="E557" s="10" t="n">
        <v>0.617</v>
      </c>
      <c r="F557" s="4">
        <f>E557*IFERROR(INDEX(Работы!$D$4:$D$672,MATCH(SUBSTITUTE(SUBSTITUTE(SUBSTITUTE(A557,"~","~~"),"*","~*"),"?","~?"),Работы!$B$4:$B$672,0)),0)</f>
        <v/>
      </c>
      <c r="G557" s="10" t="n">
        <v>79.76000000000001</v>
      </c>
      <c r="H557" s="14" t="n">
        <v>1</v>
      </c>
      <c r="I557" s="11" t="n">
        <v>0.05</v>
      </c>
      <c r="J557" s="11" t="n">
        <v>0.1</v>
      </c>
      <c r="K557" s="10" t="n"/>
      <c r="L557" s="9" t="inlineStr">
        <is>
          <t>Петрович</t>
        </is>
      </c>
      <c r="M557" s="9" t="inlineStr">
        <is>
          <t>https://moscow.petrovich.ru/product/108534/</t>
        </is>
      </c>
      <c r="N557" s="9" t="inlineStr">
        <is>
          <t>2026-10-29</t>
        </is>
      </c>
      <c r="O557" s="13" t="inlineStr">
        <is>
          <t>Петрович, труба 40х40х2, 587 руб/3 м с НДС, 7,36 кг. Цена кг с НДС 79.76. Карта клуба не учитывалась.</t>
        </is>
      </c>
      <c r="P557" s="4">
        <f>IF(H557=1,G557/VAT_DIV,G557)</f>
        <v/>
      </c>
      <c r="Q557" s="4">
        <f>P557*(1+I557)*(1+DELIV)*(1+GROWTH+MONEY)</f>
        <v/>
      </c>
      <c r="R557" s="4">
        <f>IF(AND(K557&lt;&gt;"",Q557*(1+J557)&gt;K557/VAT_DIV),K557/VAT_DIV,Q557*(1+J557))</f>
        <v/>
      </c>
      <c r="S557" s="4">
        <f>Q557*F557</f>
        <v/>
      </c>
      <c r="T557" s="4">
        <f>R557*F557</f>
        <v/>
      </c>
      <c r="U557" s="3">
        <f>IF(AND(K557&lt;&gt;"",Q557*(1+J557)&gt;K557/VAT_DIV+0.01),"ДА","")</f>
        <v/>
      </c>
      <c r="V557" s="4">
        <f>P557*F557</f>
        <v/>
      </c>
    </row>
    <row r="558" ht="20" customHeight="1">
      <c r="A558" s="9" t="inlineStr">
        <is>
          <t>580. Монтаж/ремонт фитингов трубопроводов</t>
        </is>
      </c>
      <c r="B558" s="13" t="inlineStr">
        <is>
          <t>Монтаж/ремонт фитингов трубопроводов</t>
        </is>
      </c>
      <c r="C558" s="9" t="inlineStr">
        <is>
          <t>Кабель и провод</t>
        </is>
      </c>
      <c r="D558" s="9" t="inlineStr">
        <is>
          <t>м</t>
        </is>
      </c>
      <c r="E558" s="10" t="n">
        <v>1</v>
      </c>
      <c r="F558" s="4">
        <f>E558*IFERROR(INDEX(Работы!$D$4:$D$672,MATCH(SUBSTITUTE(SUBSTITUTE(SUBSTITUTE(A558,"~","~~"),"*","~*"),"?","~?"),Работы!$B$4:$B$672,0)),0)</f>
        <v/>
      </c>
      <c r="G558" s="10" t="n">
        <v>134.27</v>
      </c>
      <c r="H558" s="14" t="n">
        <v>1</v>
      </c>
      <c r="I558" s="11" t="n">
        <v>0.04</v>
      </c>
      <c r="J558" s="11" t="n">
        <v>0.12</v>
      </c>
      <c r="K558" s="10" t="n"/>
      <c r="L558" s="9" t="inlineStr">
        <is>
          <t>KTZ</t>
        </is>
      </c>
      <c r="M558" s="9" t="inlineStr">
        <is>
          <t>https://ktz.ru/product/vvgng-ls-5x6/</t>
        </is>
      </c>
      <c r="N558" s="9" t="inlineStr">
        <is>
          <t>2026-10-29</t>
        </is>
      </c>
      <c r="O558" s="13" t="inlineStr">
        <is>
          <t>якорь ВВГнг-LS 5х6 = 422 руб/м с НДС (ktz.ru), ЭТМ 475,92; прочие сечения пропорционально меди + 90 руб оболочки, оценка В Петрович, Лемана ПРО и Сатурн открытой карточки нет, оставлен прежний источник.</t>
        </is>
      </c>
      <c r="P558" s="4">
        <f>IF(H558=1,G558/VAT_DIV,G558)</f>
        <v/>
      </c>
      <c r="Q558" s="4">
        <f>P558*(1+I558)*(1+DELIV)*(1+GROWTH+MONEY)</f>
        <v/>
      </c>
      <c r="R558" s="4">
        <f>IF(AND(K558&lt;&gt;"",Q558*(1+J558)&gt;K558/VAT_DIV),K558/VAT_DIV,Q558*(1+J558))</f>
        <v/>
      </c>
      <c r="S558" s="4">
        <f>Q558*F558</f>
        <v/>
      </c>
      <c r="T558" s="4">
        <f>R558*F558</f>
        <v/>
      </c>
      <c r="U558" s="3">
        <f>IF(AND(K558&lt;&gt;"",Q558*(1+J558)&gt;K558/VAT_DIV+0.01),"ДА","")</f>
        <v/>
      </c>
      <c r="V558" s="4">
        <f>P558*F558</f>
        <v/>
      </c>
    </row>
    <row r="559" ht="20" customHeight="1">
      <c r="A559" s="9" t="inlineStr">
        <is>
          <t>581. Ремонт фитингов трубопроводов</t>
        </is>
      </c>
      <c r="B559" s="13" t="inlineStr">
        <is>
          <t>Ремонт фитингов трубопроводов</t>
        </is>
      </c>
      <c r="C559" s="9" t="inlineStr">
        <is>
          <t>Кабель и провод</t>
        </is>
      </c>
      <c r="D559" s="9" t="inlineStr">
        <is>
          <t>м</t>
        </is>
      </c>
      <c r="E559" s="10" t="n">
        <v>1</v>
      </c>
      <c r="F559" s="4">
        <f>E559*IFERROR(INDEX(Работы!$D$4:$D$672,MATCH(SUBSTITUTE(SUBSTITUTE(SUBSTITUTE(A559,"~","~~"),"*","~*"),"?","~?"),Работы!$B$4:$B$672,0)),0)</f>
        <v/>
      </c>
      <c r="G559" s="10" t="n">
        <v>134.27</v>
      </c>
      <c r="H559" s="14" t="n">
        <v>1</v>
      </c>
      <c r="I559" s="11" t="n">
        <v>0.04</v>
      </c>
      <c r="J559" s="11" t="n">
        <v>0.12</v>
      </c>
      <c r="K559" s="10" t="n"/>
      <c r="L559" s="9" t="inlineStr">
        <is>
          <t>KTZ</t>
        </is>
      </c>
      <c r="M559" s="9" t="inlineStr">
        <is>
          <t>https://ktz.ru/product/vvgng-ls-5x6/</t>
        </is>
      </c>
      <c r="N559" s="9" t="inlineStr">
        <is>
          <t>2026-10-29</t>
        </is>
      </c>
      <c r="O559" s="13" t="inlineStr">
        <is>
          <t>якорь ВВГнг-LS 5х6 = 422 руб/м с НДС (ktz.ru), ЭТМ 475,92; прочие сечения пропорционально меди + 90 руб оболочки, оценка В Петрович, Лемана ПРО и Сатурн открытой карточки нет, оставлен прежний источник.</t>
        </is>
      </c>
      <c r="P559" s="4">
        <f>IF(H559=1,G559/VAT_DIV,G559)</f>
        <v/>
      </c>
      <c r="Q559" s="4">
        <f>P559*(1+I559)*(1+DELIV)*(1+GROWTH+MONEY)</f>
        <v/>
      </c>
      <c r="R559" s="4">
        <f>IF(AND(K559&lt;&gt;"",Q559*(1+J559)&gt;K559/VAT_DIV),K559/VAT_DIV,Q559*(1+J559))</f>
        <v/>
      </c>
      <c r="S559" s="4">
        <f>Q559*F559</f>
        <v/>
      </c>
      <c r="T559" s="4">
        <f>R559*F559</f>
        <v/>
      </c>
      <c r="U559" s="3">
        <f>IF(AND(K559&lt;&gt;"",Q559*(1+J559)&gt;K559/VAT_DIV+0.01),"ДА","")</f>
        <v/>
      </c>
      <c r="V559" s="4">
        <f>P559*F559</f>
        <v/>
      </c>
    </row>
    <row r="560" ht="20" customHeight="1">
      <c r="A560" s="9" t="inlineStr">
        <is>
          <t>585. Монтаж поддонов и душевых</t>
        </is>
      </c>
      <c r="B560" s="13" t="inlineStr">
        <is>
          <t>Душевой поддон 90х90</t>
        </is>
      </c>
      <c r="C560" s="9" t="inlineStr">
        <is>
          <t>Сантехприборы</t>
        </is>
      </c>
      <c r="D560" s="9" t="inlineStr">
        <is>
          <t>шт</t>
        </is>
      </c>
      <c r="E560" s="10" t="n">
        <v>1</v>
      </c>
      <c r="F560" s="4">
        <f>E560*IFERROR(INDEX(Работы!$D$4:$D$672,MATCH(SUBSTITUTE(SUBSTITUTE(SUBSTITUTE(A560,"~","~~"),"*","~*"),"?","~?"),Работы!$B$4:$B$672,0)),0)</f>
        <v/>
      </c>
      <c r="G560" s="10" t="n">
        <v>4500</v>
      </c>
      <c r="H560" s="14" t="n">
        <v>1</v>
      </c>
      <c r="I560" s="11" t="n">
        <v>0</v>
      </c>
      <c r="J560" s="11" t="n">
        <v>0.12</v>
      </c>
      <c r="K560" s="10" t="n"/>
      <c r="L560" s="9" t="inlineStr">
        <is>
          <t>оценка</t>
        </is>
      </c>
      <c r="M560" s="9" t="inlineStr"/>
      <c r="N560" s="9" t="inlineStr">
        <is>
          <t>2026-10-29</t>
        </is>
      </c>
      <c r="O560" s="13" t="inlineStr">
        <is>
          <t>оценка В Петрович, Лемана ПРО и Сатурн открытой карточки нет, оставлен прежний источник.</t>
        </is>
      </c>
      <c r="P560" s="4">
        <f>IF(H560=1,G560/VAT_DIV,G560)</f>
        <v/>
      </c>
      <c r="Q560" s="4">
        <f>P560*(1+I560)*(1+DELIV)*(1+GROWTH+MONEY)</f>
        <v/>
      </c>
      <c r="R560" s="4">
        <f>IF(AND(K560&lt;&gt;"",Q560*(1+J560)&gt;K560/VAT_DIV),K560/VAT_DIV,Q560*(1+J560))</f>
        <v/>
      </c>
      <c r="S560" s="4">
        <f>Q560*F560</f>
        <v/>
      </c>
      <c r="T560" s="4">
        <f>R560*F560</f>
        <v/>
      </c>
      <c r="U560" s="3">
        <f>IF(AND(K560&lt;&gt;"",Q560*(1+J560)&gt;K560/VAT_DIV+0.01),"ДА","")</f>
        <v/>
      </c>
      <c r="V560" s="4">
        <f>P560*F560</f>
        <v/>
      </c>
    </row>
    <row r="561" ht="20" customHeight="1">
      <c r="A561" s="9" t="inlineStr">
        <is>
          <t>586. Монтаж умывальников, в том числе со смесителями, подводками и запорной арматурой</t>
        </is>
      </c>
      <c r="B561" s="13" t="inlineStr">
        <is>
          <t>Смеситель для раковины</t>
        </is>
      </c>
      <c r="C561" s="9" t="inlineStr">
        <is>
          <t>Сантехприборы</t>
        </is>
      </c>
      <c r="D561" s="9" t="inlineStr">
        <is>
          <t>шт</t>
        </is>
      </c>
      <c r="E561" s="10" t="n">
        <v>1</v>
      </c>
      <c r="F561" s="4">
        <f>E561*IFERROR(INDEX(Работы!$D$4:$D$672,MATCH(SUBSTITUTE(SUBSTITUTE(SUBSTITUTE(A561,"~","~~"),"*","~*"),"?","~?"),Работы!$B$4:$B$672,0)),0)</f>
        <v/>
      </c>
      <c r="G561" s="10" t="n">
        <v>1108</v>
      </c>
      <c r="H561" s="14" t="n">
        <v>1</v>
      </c>
      <c r="I561" s="11" t="n">
        <v>0</v>
      </c>
      <c r="J561" s="11" t="n">
        <v>0.12</v>
      </c>
      <c r="K561" s="10" t="n"/>
      <c r="L561" s="9" t="inlineStr">
        <is>
          <t>Сатурн</t>
        </is>
      </c>
      <c r="M561" s="9" t="inlineStr">
        <is>
          <t>https://msk.saturn.net/product/smesitel-dlya-rakovini-klip-803/</t>
        </is>
      </c>
      <c r="N561" s="9" t="inlineStr">
        <is>
          <t>2026-10-29</t>
        </is>
      </c>
      <c r="O561" s="13" t="inlineStr">
        <is>
          <t>Минимум: Сатурн Klip 803 = 1 108 руб. Петрович РМС 1 176, Лемана ПРО Fixsen 3 680.</t>
        </is>
      </c>
      <c r="P561" s="4">
        <f>IF(H561=1,G561/VAT_DIV,G561)</f>
        <v/>
      </c>
      <c r="Q561" s="4">
        <f>P561*(1+I561)*(1+DELIV)*(1+GROWTH+MONEY)</f>
        <v/>
      </c>
      <c r="R561" s="4">
        <f>IF(AND(K561&lt;&gt;"",Q561*(1+J561)&gt;K561/VAT_DIV),K561/VAT_DIV,Q561*(1+J561))</f>
        <v/>
      </c>
      <c r="S561" s="4">
        <f>Q561*F561</f>
        <v/>
      </c>
      <c r="T561" s="4">
        <f>R561*F561</f>
        <v/>
      </c>
      <c r="U561" s="3">
        <f>IF(AND(K561&lt;&gt;"",Q561*(1+J561)&gt;K561/VAT_DIV+0.01),"ДА","")</f>
        <v/>
      </c>
      <c r="V561" s="4">
        <f>P561*F561</f>
        <v/>
      </c>
    </row>
    <row r="562" ht="20" customHeight="1">
      <c r="A562" s="9" t="inlineStr">
        <is>
          <t>587. Ремонт умывальников, в том числе со смесителями, подводками и запорной арматурой</t>
        </is>
      </c>
      <c r="B562" s="13" t="inlineStr">
        <is>
          <t>Смеситель для раковины</t>
        </is>
      </c>
      <c r="C562" s="9" t="inlineStr">
        <is>
          <t>Сантехприборы</t>
        </is>
      </c>
      <c r="D562" s="9" t="inlineStr">
        <is>
          <t>шт</t>
        </is>
      </c>
      <c r="E562" s="10" t="n">
        <v>1</v>
      </c>
      <c r="F562" s="4">
        <f>E562*IFERROR(INDEX(Работы!$D$4:$D$672,MATCH(SUBSTITUTE(SUBSTITUTE(SUBSTITUTE(A562,"~","~~"),"*","~*"),"?","~?"),Работы!$B$4:$B$672,0)),0)</f>
        <v/>
      </c>
      <c r="G562" s="10" t="n">
        <v>1108</v>
      </c>
      <c r="H562" s="14" t="n">
        <v>1</v>
      </c>
      <c r="I562" s="11" t="n">
        <v>0</v>
      </c>
      <c r="J562" s="11" t="n">
        <v>0.12</v>
      </c>
      <c r="K562" s="10" t="n"/>
      <c r="L562" s="9" t="inlineStr">
        <is>
          <t>Сатурн</t>
        </is>
      </c>
      <c r="M562" s="9" t="inlineStr">
        <is>
          <t>https://msk.saturn.net/product/smesitel-dlya-rakovini-klip-803/</t>
        </is>
      </c>
      <c r="N562" s="9" t="inlineStr">
        <is>
          <t>2026-10-29</t>
        </is>
      </c>
      <c r="O562" s="13" t="inlineStr">
        <is>
          <t>Минимум: Сатурн Klip 803 = 1 108 руб. Петрович РМС 1 176, Лемана ПРО Fixsen 3 680.</t>
        </is>
      </c>
      <c r="P562" s="4">
        <f>IF(H562=1,G562/VAT_DIV,G562)</f>
        <v/>
      </c>
      <c r="Q562" s="4">
        <f>P562*(1+I562)*(1+DELIV)*(1+GROWTH+MONEY)</f>
        <v/>
      </c>
      <c r="R562" s="4">
        <f>IF(AND(K562&lt;&gt;"",Q562*(1+J562)&gt;K562/VAT_DIV),K562/VAT_DIV,Q562*(1+J562))</f>
        <v/>
      </c>
      <c r="S562" s="4">
        <f>Q562*F562</f>
        <v/>
      </c>
      <c r="T562" s="4">
        <f>R562*F562</f>
        <v/>
      </c>
      <c r="U562" s="3">
        <f>IF(AND(K562&lt;&gt;"",Q562*(1+J562)&gt;K562/VAT_DIV+0.01),"ДА","")</f>
        <v/>
      </c>
      <c r="V562" s="4">
        <f>P562*F562</f>
        <v/>
      </c>
    </row>
    <row r="563" ht="20" customHeight="1">
      <c r="A563" s="9" t="inlineStr">
        <is>
          <t>588. Монтаж унитазов/писсуаров напольных  и подвесных, в том числе с запорной арматурой и подводками</t>
        </is>
      </c>
      <c r="B563" s="13" t="inlineStr">
        <is>
          <t>Унитаз-компакт</t>
        </is>
      </c>
      <c r="C563" s="9" t="inlineStr">
        <is>
          <t>Сантехприборы</t>
        </is>
      </c>
      <c r="D563" s="9" t="inlineStr">
        <is>
          <t>шт</t>
        </is>
      </c>
      <c r="E563" s="10" t="n">
        <v>1</v>
      </c>
      <c r="F563" s="4">
        <f>E563*IFERROR(INDEX(Работы!$D$4:$D$672,MATCH(SUBSTITUTE(SUBSTITUTE(SUBSTITUTE(A563,"~","~~"),"*","~*"),"?","~?"),Работы!$B$4:$B$672,0)),0)</f>
        <v/>
      </c>
      <c r="G563" s="10" t="n">
        <v>4990</v>
      </c>
      <c r="H563" s="14" t="n">
        <v>1</v>
      </c>
      <c r="I563" s="11" t="n">
        <v>0</v>
      </c>
      <c r="J563" s="11" t="n">
        <v>0.12</v>
      </c>
      <c r="K563" s="10" t="n"/>
      <c r="L563" s="9" t="inlineStr">
        <is>
          <t>Лемана ПРО</t>
        </is>
      </c>
      <c r="M563" s="9" t="inlineStr">
        <is>
          <t>https://lemanapro.ru/product/unitaz-kompakt-yauza-82199701/</t>
        </is>
      </c>
      <c r="N563" s="9" t="inlineStr">
        <is>
          <t>2026-10-29</t>
        </is>
      </c>
      <c r="O563" s="13" t="inlineStr">
        <is>
          <t>Минимум: Лемана ПРО Яуза 4 990 руб. Сатурн Sanita Эталон 5 666, Петрович Cersanit Trento 8 130.</t>
        </is>
      </c>
      <c r="P563" s="4">
        <f>IF(H563=1,G563/VAT_DIV,G563)</f>
        <v/>
      </c>
      <c r="Q563" s="4">
        <f>P563*(1+I563)*(1+DELIV)*(1+GROWTH+MONEY)</f>
        <v/>
      </c>
      <c r="R563" s="4">
        <f>IF(AND(K563&lt;&gt;"",Q563*(1+J563)&gt;K563/VAT_DIV),K563/VAT_DIV,Q563*(1+J563))</f>
        <v/>
      </c>
      <c r="S563" s="4">
        <f>Q563*F563</f>
        <v/>
      </c>
      <c r="T563" s="4">
        <f>R563*F563</f>
        <v/>
      </c>
      <c r="U563" s="3">
        <f>IF(AND(K563&lt;&gt;"",Q563*(1+J563)&gt;K563/VAT_DIV+0.01),"ДА","")</f>
        <v/>
      </c>
      <c r="V563" s="4">
        <f>P563*F563</f>
        <v/>
      </c>
    </row>
    <row r="564" ht="20" customHeight="1">
      <c r="A564" s="9" t="inlineStr">
        <is>
          <t>589. Ремонт унитазов/писсуаров напольных  и подвесных, в том числе с запорной арматурой и подводками</t>
        </is>
      </c>
      <c r="B564" s="13" t="inlineStr">
        <is>
          <t>Арматура d10, 0.62 кг/м</t>
        </is>
      </c>
      <c r="C564" s="9" t="inlineStr">
        <is>
          <t>Арматура</t>
        </is>
      </c>
      <c r="D564" s="9" t="inlineStr">
        <is>
          <t>кг</t>
        </is>
      </c>
      <c r="E564" s="10" t="n">
        <v>0.617</v>
      </c>
      <c r="F564" s="4">
        <f>E564*IFERROR(INDEX(Работы!$D$4:$D$672,MATCH(SUBSTITUTE(SUBSTITUTE(SUBSTITUTE(A564,"~","~~"),"*","~*"),"?","~?"),Работы!$B$4:$B$672,0)),0)</f>
        <v/>
      </c>
      <c r="G564" s="10" t="n">
        <v>79.76000000000001</v>
      </c>
      <c r="H564" s="14" t="n">
        <v>1</v>
      </c>
      <c r="I564" s="11" t="n">
        <v>0.05</v>
      </c>
      <c r="J564" s="11" t="n">
        <v>0.1</v>
      </c>
      <c r="K564" s="10" t="n"/>
      <c r="L564" s="9" t="inlineStr">
        <is>
          <t>Петрович</t>
        </is>
      </c>
      <c r="M564" s="9" t="inlineStr">
        <is>
          <t>https://moscow.petrovich.ru/product/108534/</t>
        </is>
      </c>
      <c r="N564" s="9" t="inlineStr">
        <is>
          <t>2026-10-29</t>
        </is>
      </c>
      <c r="O564" s="13" t="inlineStr">
        <is>
          <t>Петрович, труба 40х40х2, 587 руб/3 м с НДС, 7,36 кг. Цена кг с НДС 79.76. Карта клуба не учитывалась.</t>
        </is>
      </c>
      <c r="P564" s="4">
        <f>IF(H564=1,G564/VAT_DIV,G564)</f>
        <v/>
      </c>
      <c r="Q564" s="4">
        <f>P564*(1+I564)*(1+DELIV)*(1+GROWTH+MONEY)</f>
        <v/>
      </c>
      <c r="R564" s="4">
        <f>IF(AND(K564&lt;&gt;"",Q564*(1+J564)&gt;K564/VAT_DIV),K564/VAT_DIV,Q564*(1+J564))</f>
        <v/>
      </c>
      <c r="S564" s="4">
        <f>Q564*F564</f>
        <v/>
      </c>
      <c r="T564" s="4">
        <f>R564*F564</f>
        <v/>
      </c>
      <c r="U564" s="3">
        <f>IF(AND(K564&lt;&gt;"",Q564*(1+J564)&gt;K564/VAT_DIV+0.01),"ДА","")</f>
        <v/>
      </c>
      <c r="V564" s="4">
        <f>P564*F564</f>
        <v/>
      </c>
    </row>
    <row r="565" ht="20" customHeight="1">
      <c r="A565" s="9" t="inlineStr">
        <is>
          <t>592. Монтаж встроенных инсталяций унитазов и писсуаров</t>
        </is>
      </c>
      <c r="B565" s="13" t="inlineStr">
        <is>
          <t>Унитаз-компакт</t>
        </is>
      </c>
      <c r="C565" s="9" t="inlineStr">
        <is>
          <t>Сантехприборы</t>
        </is>
      </c>
      <c r="D565" s="9" t="inlineStr">
        <is>
          <t>шт</t>
        </is>
      </c>
      <c r="E565" s="10" t="n">
        <v>1</v>
      </c>
      <c r="F565" s="4">
        <f>E565*IFERROR(INDEX(Работы!$D$4:$D$672,MATCH(SUBSTITUTE(SUBSTITUTE(SUBSTITUTE(A565,"~","~~"),"*","~*"),"?","~?"),Работы!$B$4:$B$672,0)),0)</f>
        <v/>
      </c>
      <c r="G565" s="10" t="n">
        <v>4990</v>
      </c>
      <c r="H565" s="14" t="n">
        <v>1</v>
      </c>
      <c r="I565" s="11" t="n">
        <v>0</v>
      </c>
      <c r="J565" s="11" t="n">
        <v>0.12</v>
      </c>
      <c r="K565" s="10" t="n"/>
      <c r="L565" s="9" t="inlineStr">
        <is>
          <t>Лемана ПРО</t>
        </is>
      </c>
      <c r="M565" s="9" t="inlineStr">
        <is>
          <t>https://lemanapro.ru/product/unitaz-kompakt-yauza-82199701/</t>
        </is>
      </c>
      <c r="N565" s="9" t="inlineStr">
        <is>
          <t>2026-10-29</t>
        </is>
      </c>
      <c r="O565" s="13" t="inlineStr">
        <is>
          <t>Минимум: Лемана ПРО Яуза 4 990 руб. Сатурн Sanita Эталон 5 666, Петрович Cersanit Trento 8 130.</t>
        </is>
      </c>
      <c r="P565" s="4">
        <f>IF(H565=1,G565/VAT_DIV,G565)</f>
        <v/>
      </c>
      <c r="Q565" s="4">
        <f>P565*(1+I565)*(1+DELIV)*(1+GROWTH+MONEY)</f>
        <v/>
      </c>
      <c r="R565" s="4">
        <f>IF(AND(K565&lt;&gt;"",Q565*(1+J565)&gt;K565/VAT_DIV),K565/VAT_DIV,Q565*(1+J565))</f>
        <v/>
      </c>
      <c r="S565" s="4">
        <f>Q565*F565</f>
        <v/>
      </c>
      <c r="T565" s="4">
        <f>R565*F565</f>
        <v/>
      </c>
      <c r="U565" s="3">
        <f>IF(AND(K565&lt;&gt;"",Q565*(1+J565)&gt;K565/VAT_DIV+0.01),"ДА","")</f>
        <v/>
      </c>
      <c r="V565" s="4">
        <f>P565*F565</f>
        <v/>
      </c>
    </row>
    <row r="566" ht="20" customHeight="1">
      <c r="A566" s="9" t="inlineStr">
        <is>
          <t>593. Ремонт встроенных инсталяций унитазов и писсуаров</t>
        </is>
      </c>
      <c r="B566" s="13" t="inlineStr">
        <is>
          <t>Унитаз-компакт</t>
        </is>
      </c>
      <c r="C566" s="9" t="inlineStr">
        <is>
          <t>Сантехприборы</t>
        </is>
      </c>
      <c r="D566" s="9" t="inlineStr">
        <is>
          <t>шт</t>
        </is>
      </c>
      <c r="E566" s="10" t="n">
        <v>1</v>
      </c>
      <c r="F566" s="4">
        <f>E566*IFERROR(INDEX(Работы!$D$4:$D$672,MATCH(SUBSTITUTE(SUBSTITUTE(SUBSTITUTE(A566,"~","~~"),"*","~*"),"?","~?"),Работы!$B$4:$B$672,0)),0)</f>
        <v/>
      </c>
      <c r="G566" s="10" t="n">
        <v>4990</v>
      </c>
      <c r="H566" s="14" t="n">
        <v>1</v>
      </c>
      <c r="I566" s="11" t="n">
        <v>0</v>
      </c>
      <c r="J566" s="11" t="n">
        <v>0.12</v>
      </c>
      <c r="K566" s="10" t="n"/>
      <c r="L566" s="9" t="inlineStr">
        <is>
          <t>Лемана ПРО</t>
        </is>
      </c>
      <c r="M566" s="9" t="inlineStr">
        <is>
          <t>https://lemanapro.ru/product/unitaz-kompakt-yauza-82199701/</t>
        </is>
      </c>
      <c r="N566" s="9" t="inlineStr">
        <is>
          <t>2026-10-29</t>
        </is>
      </c>
      <c r="O566" s="13" t="inlineStr">
        <is>
          <t>Минимум: Лемана ПРО Яуза 4 990 руб. Сатурн Sanita Эталон 5 666, Петрович Cersanit Trento 8 130.</t>
        </is>
      </c>
      <c r="P566" s="4">
        <f>IF(H566=1,G566/VAT_DIV,G566)</f>
        <v/>
      </c>
      <c r="Q566" s="4">
        <f>P566*(1+I566)*(1+DELIV)*(1+GROWTH+MONEY)</f>
        <v/>
      </c>
      <c r="R566" s="4">
        <f>IF(AND(K566&lt;&gt;"",Q566*(1+J566)&gt;K566/VAT_DIV),K566/VAT_DIV,Q566*(1+J566))</f>
        <v/>
      </c>
      <c r="S566" s="4">
        <f>Q566*F566</f>
        <v/>
      </c>
      <c r="T566" s="4">
        <f>R566*F566</f>
        <v/>
      </c>
      <c r="U566" s="3">
        <f>IF(AND(K566&lt;&gt;"",Q566*(1+J566)&gt;K566/VAT_DIV+0.01),"ДА","")</f>
        <v/>
      </c>
      <c r="V566" s="4">
        <f>P566*F566</f>
        <v/>
      </c>
    </row>
    <row r="567" ht="20" customHeight="1">
      <c r="A567" s="9" t="inlineStr">
        <is>
          <t>598. Монтаж дренажной помпы наливной</t>
        </is>
      </c>
      <c r="B567" s="13" t="inlineStr">
        <is>
          <t>Ровнитель</t>
        </is>
      </c>
      <c r="C567" s="9" t="inlineStr">
        <is>
          <t>Сухие смеси, штукатурки, шпаклёвки</t>
        </is>
      </c>
      <c r="D567" s="9" t="inlineStr">
        <is>
          <t>кг</t>
        </is>
      </c>
      <c r="E567" s="10" t="n">
        <v>8</v>
      </c>
      <c r="F567" s="4">
        <f>E567*IFERROR(INDEX(Работы!$D$4:$D$672,MATCH(SUBSTITUTE(SUBSTITUTE(SUBSTITUTE(A567,"~","~~"),"*","~*"),"?","~?"),Работы!$B$4:$B$672,0)),0)</f>
        <v/>
      </c>
      <c r="G567" s="10" t="n">
        <v>20.2</v>
      </c>
      <c r="H567" s="14" t="n">
        <v>1</v>
      </c>
      <c r="I567" s="11" t="n">
        <v>0.05</v>
      </c>
      <c r="J567" s="11" t="n">
        <v>0.12</v>
      </c>
      <c r="K567" s="10" t="n"/>
      <c r="L567" s="9" t="inlineStr">
        <is>
          <t>Петрович</t>
        </is>
      </c>
      <c r="M567" s="9" t="inlineStr">
        <is>
          <t>https://moscow.petrovich.ru/product/998145/</t>
        </is>
      </c>
      <c r="N567" s="9" t="inlineStr">
        <is>
          <t>2026-10-29</t>
        </is>
      </c>
      <c r="O567" s="13" t="inlineStr">
        <is>
          <t>Петрович, Volma Nivelir Express 25 кг = 20,2 руб/кг. Лемана ПРО 19,76, Сатурн 19,04 — соседние SKU.</t>
        </is>
      </c>
      <c r="P567" s="4">
        <f>IF(H567=1,G567/VAT_DIV,G567)</f>
        <v/>
      </c>
      <c r="Q567" s="4">
        <f>P567*(1+I567)*(1+DELIV)*(1+GROWTH+MONEY)</f>
        <v/>
      </c>
      <c r="R567" s="4">
        <f>IF(AND(K567&lt;&gt;"",Q567*(1+J567)&gt;K567/VAT_DIV),K567/VAT_DIV,Q567*(1+J567))</f>
        <v/>
      </c>
      <c r="S567" s="4">
        <f>Q567*F567</f>
        <v/>
      </c>
      <c r="T567" s="4">
        <f>R567*F567</f>
        <v/>
      </c>
      <c r="U567" s="3">
        <f>IF(AND(K567&lt;&gt;"",Q567*(1+J567)&gt;K567/VAT_DIV+0.01),"ДА","")</f>
        <v/>
      </c>
      <c r="V567" s="4">
        <f>P567*F567</f>
        <v/>
      </c>
    </row>
    <row r="568" ht="20" customHeight="1">
      <c r="A568" s="9" t="inlineStr">
        <is>
          <t>614. Очистка перекрытий/потолков от набетонок, пятен, краски и пр.</t>
        </is>
      </c>
      <c r="B568" s="13" t="inlineStr">
        <is>
          <t>Краска</t>
        </is>
      </c>
      <c r="C568" s="9" t="inlineStr">
        <is>
          <t>Краски, грунты, ЛКМ</t>
        </is>
      </c>
      <c r="D568" s="9" t="inlineStr">
        <is>
          <t>кг</t>
        </is>
      </c>
      <c r="E568" s="10" t="n">
        <v>0.35</v>
      </c>
      <c r="F568" s="4">
        <f>E568*IFERROR(INDEX(Работы!$D$4:$D$672,MATCH(SUBSTITUTE(SUBSTITUTE(SUBSTITUTE(A568,"~","~~"),"*","~*"),"?","~?"),Работы!$B$4:$B$672,0)),0)</f>
        <v/>
      </c>
      <c r="G568" s="10" t="n">
        <v>128.57</v>
      </c>
      <c r="H568" s="14" t="n">
        <v>1</v>
      </c>
      <c r="I568" s="11" t="n">
        <v>0.05</v>
      </c>
      <c r="J568" s="11" t="n">
        <v>0.12</v>
      </c>
      <c r="K568" s="10" t="n"/>
      <c r="L568" s="9" t="inlineStr">
        <is>
          <t>Петрович</t>
        </is>
      </c>
      <c r="M568" s="9" t="inlineStr">
        <is>
          <t>https://moscow.petrovich.ru/product/103990/</t>
        </is>
      </c>
      <c r="N568" s="9" t="inlineStr">
        <is>
          <t>2026-10-29</t>
        </is>
      </c>
      <c r="O568" s="13" t="inlineStr">
        <is>
          <t>Петрович Москва, Текс влагостойкая 1 800 руб/14 кг</t>
        </is>
      </c>
      <c r="P568" s="4">
        <f>IF(H568=1,G568/VAT_DIV,G568)</f>
        <v/>
      </c>
      <c r="Q568" s="4">
        <f>P568*(1+I568)*(1+DELIV)*(1+GROWTH+MONEY)</f>
        <v/>
      </c>
      <c r="R568" s="4">
        <f>IF(AND(K568&lt;&gt;"",Q568*(1+J568)&gt;K568/VAT_DIV),K568/VAT_DIV,Q568*(1+J568))</f>
        <v/>
      </c>
      <c r="S568" s="4">
        <f>Q568*F568</f>
        <v/>
      </c>
      <c r="T568" s="4">
        <f>R568*F568</f>
        <v/>
      </c>
      <c r="U568" s="3">
        <f>IF(AND(K568&lt;&gt;"",Q568*(1+J568)&gt;K568/VAT_DIV+0.01),"ДА","")</f>
        <v/>
      </c>
      <c r="V568" s="4">
        <f>P568*F568</f>
        <v/>
      </c>
    </row>
    <row r="569" ht="20" customHeight="1">
      <c r="A569" s="9" t="inlineStr">
        <is>
          <t>615. Очистка металлоконструкций от ржавчины (очистка, обеспыливание, обезжиривание, огрунтовка)</t>
        </is>
      </c>
      <c r="B569" s="13" t="inlineStr">
        <is>
          <t>Грунт</t>
        </is>
      </c>
      <c r="C569" s="9" t="inlineStr">
        <is>
          <t>Краски, грунты, ЛКМ</t>
        </is>
      </c>
      <c r="D569" s="9" t="inlineStr">
        <is>
          <t>л</t>
        </is>
      </c>
      <c r="E569" s="10" t="n">
        <v>0.2</v>
      </c>
      <c r="F569" s="4">
        <f>E569*IFERROR(INDEX(Работы!$D$4:$D$672,MATCH(SUBSTITUTE(SUBSTITUTE(SUBSTITUTE(A569,"~","~~"),"*","~*"),"?","~?"),Работы!$B$4:$B$672,0)),0)</f>
        <v/>
      </c>
      <c r="G569" s="10" t="n">
        <v>136.7</v>
      </c>
      <c r="H569" s="14" t="n">
        <v>1</v>
      </c>
      <c r="I569" s="11" t="n">
        <v>0.05</v>
      </c>
      <c r="J569" s="11" t="n">
        <v>0.12</v>
      </c>
      <c r="K569" s="10" t="n"/>
      <c r="L569" s="9" t="inlineStr">
        <is>
          <t>Лемана ПРО</t>
        </is>
      </c>
      <c r="M569" s="9" t="inlineStr">
        <is>
          <t>https://lemanapro.ru/product/grunt-ceresit-ct-17-transparent-glubokogo-proniknoveniya-10-l-89398668/</t>
        </is>
      </c>
      <c r="N569" s="9" t="inlineStr">
        <is>
          <t>2026-10-29</t>
        </is>
      </c>
      <c r="O569" s="13" t="inlineStr">
        <is>
          <t>Минимум из трёх: Лемана ПРО Ceresit CT 17, 10 л = 136,7 руб/л. Петрович CT 17 PRO 143,8, Сатурн 145,9.</t>
        </is>
      </c>
      <c r="P569" s="4">
        <f>IF(H569=1,G569/VAT_DIV,G569)</f>
        <v/>
      </c>
      <c r="Q569" s="4">
        <f>P569*(1+I569)*(1+DELIV)*(1+GROWTH+MONEY)</f>
        <v/>
      </c>
      <c r="R569" s="4">
        <f>IF(AND(K569&lt;&gt;"",Q569*(1+J569)&gt;K569/VAT_DIV),K569/VAT_DIV,Q569*(1+J569))</f>
        <v/>
      </c>
      <c r="S569" s="4">
        <f>Q569*F569</f>
        <v/>
      </c>
      <c r="T569" s="4">
        <f>R569*F569</f>
        <v/>
      </c>
      <c r="U569" s="3">
        <f>IF(AND(K569&lt;&gt;"",Q569*(1+J569)&gt;K569/VAT_DIV+0.01),"ДА","")</f>
        <v/>
      </c>
      <c r="V569" s="4">
        <f>P569*F569</f>
        <v/>
      </c>
    </row>
    <row r="570" ht="20" customHeight="1">
      <c r="A570" s="9" t="inlineStr">
        <is>
          <t>629. Опора АО "АМИРА" ОГК-7, закл.деталь ФМ 0,133-1,5;295х295, мц 200х20, отв.4 s14 s4; кронштейн К2-1,5-1,5-0-1-00 СТ3/СТ3 или аналог *см по месту.</t>
        </is>
      </c>
      <c r="B570" s="13" t="inlineStr">
        <is>
          <t>Опора ОГК-7 с кронштейном</t>
        </is>
      </c>
      <c r="C570" s="9" t="inlineStr">
        <is>
          <t>ОБОРУДОВАНИЕ (вентустановки, кондиционеры, насосы, щиты под заказ)</t>
        </is>
      </c>
      <c r="D570" s="9" t="inlineStr">
        <is>
          <t>компл</t>
        </is>
      </c>
      <c r="E570" s="10" t="n">
        <v>1</v>
      </c>
      <c r="F570" s="4">
        <f>E570*IFERROR(INDEX(Работы!$D$4:$D$672,MATCH(SUBSTITUTE(SUBSTITUTE(SUBSTITUTE(A570,"~","~~"),"*","~*"),"?","~?"),Работы!$B$4:$B$672,0)),0)</f>
        <v/>
      </c>
      <c r="G570" s="10" t="n">
        <v>42000</v>
      </c>
      <c r="H570" s="14" t="n">
        <v>1</v>
      </c>
      <c r="I570" s="11" t="n">
        <v>0</v>
      </c>
      <c r="J570" s="11" t="n">
        <v>0.1</v>
      </c>
      <c r="K570" s="10" t="n"/>
      <c r="L570" s="9" t="inlineStr">
        <is>
          <t>оценка</t>
        </is>
      </c>
      <c r="M570" s="9" t="inlineStr"/>
      <c r="N570" s="9" t="inlineStr">
        <is>
          <t>2026-10-29</t>
        </is>
      </c>
      <c r="O570" s="13" t="inlineStr">
        <is>
          <t>оценка опоры, запросить КП Амира В Петрович, Лемана ПРО и Сатурн открытой карточки нет, оставлен прежний источник.</t>
        </is>
      </c>
      <c r="P570" s="4">
        <f>IF(H570=1,G570/VAT_DIV,G570)</f>
        <v/>
      </c>
      <c r="Q570" s="4">
        <f>P570*(1+I570)*(1+DELIV)*(1+GROWTH+MONEY)</f>
        <v/>
      </c>
      <c r="R570" s="4">
        <f>IF(AND(K570&lt;&gt;"",Q570*(1+J570)&gt;K570/VAT_DIV),K570/VAT_DIV,Q570*(1+J570))</f>
        <v/>
      </c>
      <c r="S570" s="4">
        <f>Q570*F570</f>
        <v/>
      </c>
      <c r="T570" s="4">
        <f>R570*F570</f>
        <v/>
      </c>
      <c r="U570" s="3">
        <f>IF(AND(K570&lt;&gt;"",Q570*(1+J570)&gt;K570/VAT_DIV+0.01),"ДА","")</f>
        <v/>
      </c>
      <c r="V570" s="4">
        <f>P570*F570</f>
        <v/>
      </c>
    </row>
    <row r="571" ht="20" customHeight="1">
      <c r="A571" s="9" t="inlineStr">
        <is>
          <t>633. Отлив угла состыковки уличных сэндвич панелей или аналог *см по месту.</t>
        </is>
      </c>
      <c r="B571" s="13" t="inlineStr">
        <is>
          <t>Фасонка окрашенная, ~1,3 кг/м</t>
        </is>
      </c>
      <c r="C571" s="9" t="inlineStr">
        <is>
          <t>Металлопрокат и метизы</t>
        </is>
      </c>
      <c r="D571" s="9" t="inlineStr">
        <is>
          <t>кг</t>
        </is>
      </c>
      <c r="E571" s="10" t="n">
        <v>1.3</v>
      </c>
      <c r="F571" s="4">
        <f>E571*IFERROR(INDEX(Работы!$D$4:$D$672,MATCH(SUBSTITUTE(SUBSTITUTE(SUBSTITUTE(A571,"~","~~"),"*","~*"),"?","~?"),Работы!$B$4:$B$672,0)),0)</f>
        <v/>
      </c>
      <c r="G571" s="10" t="n">
        <v>107.68</v>
      </c>
      <c r="H571" s="14" t="n">
        <v>1</v>
      </c>
      <c r="I571" s="11" t="n">
        <v>0.05</v>
      </c>
      <c r="J571" s="11" t="n">
        <v>0.1</v>
      </c>
      <c r="K571" s="10" t="n"/>
      <c r="L571" s="9" t="inlineStr">
        <is>
          <t>Петрович</t>
        </is>
      </c>
      <c r="M571" s="9" t="inlineStr">
        <is>
          <t>https://moscow.petrovich.ru/product/108534/</t>
        </is>
      </c>
      <c r="N571" s="9" t="inlineStr">
        <is>
          <t>2026-10-29</t>
        </is>
      </c>
      <c r="O571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71" s="4">
        <f>IF(H571=1,G571/VAT_DIV,G571)</f>
        <v/>
      </c>
      <c r="Q571" s="4">
        <f>P571*(1+I571)*(1+DELIV)*(1+GROWTH+MONEY)</f>
        <v/>
      </c>
      <c r="R571" s="4">
        <f>IF(AND(K571&lt;&gt;"",Q571*(1+J571)&gt;K571/VAT_DIV),K571/VAT_DIV,Q571*(1+J571))</f>
        <v/>
      </c>
      <c r="S571" s="4">
        <f>Q571*F571</f>
        <v/>
      </c>
      <c r="T571" s="4">
        <f>R571*F571</f>
        <v/>
      </c>
      <c r="U571" s="3">
        <f>IF(AND(K571&lt;&gt;"",Q571*(1+J571)&gt;K571/VAT_DIV+0.01),"ДА","")</f>
        <v/>
      </c>
      <c r="V571" s="4">
        <f>P571*F571</f>
        <v/>
      </c>
    </row>
    <row r="572" ht="20" customHeight="1">
      <c r="A572" s="9" t="inlineStr">
        <is>
          <t>634. Восстановление газона</t>
        </is>
      </c>
      <c r="B572" s="13" t="inlineStr">
        <is>
          <t>Рулонный газон и грунт</t>
        </is>
      </c>
      <c r="C572" s="9" t="inlineStr">
        <is>
          <t>Нерудные и дорожные (щебень, песок, асфальт)</t>
        </is>
      </c>
      <c r="D572" s="9" t="inlineStr">
        <is>
          <t>м2</t>
        </is>
      </c>
      <c r="E572" s="10" t="n">
        <v>1</v>
      </c>
      <c r="F572" s="4">
        <f>E572*IFERROR(INDEX(Работы!$D$4:$D$672,MATCH(SUBSTITUTE(SUBSTITUTE(SUBSTITUTE(A572,"~","~~"),"*","~*"),"?","~?"),Работы!$B$4:$B$672,0)),0)</f>
        <v/>
      </c>
      <c r="G572" s="10" t="n">
        <v>180</v>
      </c>
      <c r="H572" s="14" t="n">
        <v>1</v>
      </c>
      <c r="I572" s="11" t="n">
        <v>0.05</v>
      </c>
      <c r="J572" s="11" t="n">
        <v>0.08</v>
      </c>
      <c r="K572" s="10" t="n"/>
      <c r="L572" s="9" t="inlineStr">
        <is>
          <t>оценка</t>
        </is>
      </c>
      <c r="M572" s="9" t="inlineStr"/>
      <c r="N572" s="9" t="inlineStr">
        <is>
          <t>2026-10-29</t>
        </is>
      </c>
      <c r="O572" s="13" t="inlineStr">
        <is>
          <t>оценка В Петрович, Лемана ПРО и Сатурн открытой карточки нет, оставлен прежний источник.</t>
        </is>
      </c>
      <c r="P572" s="4">
        <f>IF(H572=1,G572/VAT_DIV,G572)</f>
        <v/>
      </c>
      <c r="Q572" s="4">
        <f>P572*(1+I572)*(1+DELIV)*(1+GROWTH+MONEY)</f>
        <v/>
      </c>
      <c r="R572" s="4">
        <f>IF(AND(K572&lt;&gt;"",Q572*(1+J572)&gt;K572/VAT_DIV),K572/VAT_DIV,Q572*(1+J572))</f>
        <v/>
      </c>
      <c r="S572" s="4">
        <f>Q572*F572</f>
        <v/>
      </c>
      <c r="T572" s="4">
        <f>R572*F572</f>
        <v/>
      </c>
      <c r="U572" s="3">
        <f>IF(AND(K572&lt;&gt;"",Q572*(1+J572)&gt;K572/VAT_DIV+0.01),"ДА","")</f>
        <v/>
      </c>
      <c r="V572" s="4">
        <f>P572*F572</f>
        <v/>
      </c>
    </row>
    <row r="573" ht="20" customHeight="1">
      <c r="A573" s="9" t="inlineStr">
        <is>
          <t>637. Стенд пожарный с ЯП-03 или аналог *см по месту.</t>
        </is>
      </c>
      <c r="B573" s="13" t="inlineStr">
        <is>
          <t>Стенд пожарный</t>
        </is>
      </c>
      <c r="C573" s="9" t="inlineStr">
        <is>
          <t>Прочее</t>
        </is>
      </c>
      <c r="D573" s="9" t="inlineStr">
        <is>
          <t>шт</t>
        </is>
      </c>
      <c r="E573" s="10" t="n">
        <v>1</v>
      </c>
      <c r="F573" s="4">
        <f>E573*IFERROR(INDEX(Работы!$D$4:$D$672,MATCH(SUBSTITUTE(SUBSTITUTE(SUBSTITUTE(A573,"~","~~"),"*","~*"),"?","~?"),Работы!$B$4:$B$672,0)),0)</f>
        <v/>
      </c>
      <c r="G573" s="10" t="n">
        <v>4500</v>
      </c>
      <c r="H573" s="14" t="n">
        <v>1</v>
      </c>
      <c r="I573" s="11" t="n">
        <v>0.03</v>
      </c>
      <c r="J573" s="11" t="n">
        <v>0.15</v>
      </c>
      <c r="K573" s="10" t="n"/>
      <c r="L573" s="9" t="inlineStr">
        <is>
          <t>оценка</t>
        </is>
      </c>
      <c r="M573" s="9" t="inlineStr"/>
      <c r="N573" s="9" t="inlineStr">
        <is>
          <t>2026-10-29</t>
        </is>
      </c>
      <c r="O573" s="13" t="inlineStr">
        <is>
          <t>оценка В Петрович, Лемана ПРО и Сатурн открытой карточки нет, оставлен прежний источник.</t>
        </is>
      </c>
      <c r="P573" s="4">
        <f>IF(H573=1,G573/VAT_DIV,G573)</f>
        <v/>
      </c>
      <c r="Q573" s="4">
        <f>P573*(1+I573)*(1+DELIV)*(1+GROWTH+MONEY)</f>
        <v/>
      </c>
      <c r="R573" s="4">
        <f>IF(AND(K573&lt;&gt;"",Q573*(1+J573)&gt;K573/VAT_DIV),K573/VAT_DIV,Q573*(1+J573))</f>
        <v/>
      </c>
      <c r="S573" s="4">
        <f>Q573*F573</f>
        <v/>
      </c>
      <c r="T573" s="4">
        <f>R573*F573</f>
        <v/>
      </c>
      <c r="U573" s="3">
        <f>IF(AND(K573&lt;&gt;"",Q573*(1+J573)&gt;K573/VAT_DIV+0.01),"ДА","")</f>
        <v/>
      </c>
      <c r="V573" s="4">
        <f>P573*F573</f>
        <v/>
      </c>
    </row>
    <row r="574" ht="20" customHeight="1">
      <c r="A574" s="9" t="inlineStr">
        <is>
          <t>638. ФЭС-1 подставочный профиль толщина 1.5мм размеры по месту</t>
        </is>
      </c>
      <c r="B574" s="13" t="inlineStr">
        <is>
          <t>Фасонка окрашенная, ~1,3 кг/м</t>
        </is>
      </c>
      <c r="C574" s="9" t="inlineStr">
        <is>
          <t>Металлопрокат и метизы</t>
        </is>
      </c>
      <c r="D574" s="9" t="inlineStr">
        <is>
          <t>кг</t>
        </is>
      </c>
      <c r="E574" s="10" t="n">
        <v>1.3</v>
      </c>
      <c r="F574" s="4">
        <f>E574*IFERROR(INDEX(Работы!$D$4:$D$672,MATCH(SUBSTITUTE(SUBSTITUTE(SUBSTITUTE(A574,"~","~~"),"*","~*"),"?","~?"),Работы!$B$4:$B$672,0)),0)</f>
        <v/>
      </c>
      <c r="G574" s="10" t="n">
        <v>107.68</v>
      </c>
      <c r="H574" s="14" t="n">
        <v>1</v>
      </c>
      <c r="I574" s="11" t="n">
        <v>0.05</v>
      </c>
      <c r="J574" s="11" t="n">
        <v>0.1</v>
      </c>
      <c r="K574" s="10" t="n"/>
      <c r="L574" s="9" t="inlineStr">
        <is>
          <t>Петрович</t>
        </is>
      </c>
      <c r="M574" s="9" t="inlineStr">
        <is>
          <t>https://moscow.petrovich.ru/product/108534/</t>
        </is>
      </c>
      <c r="N574" s="9" t="inlineStr">
        <is>
          <t>2026-10-29</t>
        </is>
      </c>
      <c r="O574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74" s="4">
        <f>IF(H574=1,G574/VAT_DIV,G574)</f>
        <v/>
      </c>
      <c r="Q574" s="4">
        <f>P574*(1+I574)*(1+DELIV)*(1+GROWTH+MONEY)</f>
        <v/>
      </c>
      <c r="R574" s="4">
        <f>IF(AND(K574&lt;&gt;"",Q574*(1+J574)&gt;K574/VAT_DIV),K574/VAT_DIV,Q574*(1+J574))</f>
        <v/>
      </c>
      <c r="S574" s="4">
        <f>Q574*F574</f>
        <v/>
      </c>
      <c r="T574" s="4">
        <f>R574*F574</f>
        <v/>
      </c>
      <c r="U574" s="3">
        <f>IF(AND(K574&lt;&gt;"",Q574*(1+J574)&gt;K574/VAT_DIV+0.01),"ДА","")</f>
        <v/>
      </c>
      <c r="V574" s="4">
        <f>P574*F574</f>
        <v/>
      </c>
    </row>
    <row r="575" ht="20" customHeight="1">
      <c r="A575" s="9" t="inlineStr">
        <is>
          <t>639.  ФЭС-2 черновой отлив размеры по месту</t>
        </is>
      </c>
      <c r="B575" s="13" t="inlineStr">
        <is>
          <t>Фасонка окрашенная, ~1,3 кг/м</t>
        </is>
      </c>
      <c r="C575" s="9" t="inlineStr">
        <is>
          <t>Металлопрокат и метизы</t>
        </is>
      </c>
      <c r="D575" s="9" t="inlineStr">
        <is>
          <t>кг</t>
        </is>
      </c>
      <c r="E575" s="10" t="n">
        <v>1.3</v>
      </c>
      <c r="F575" s="4">
        <f>E575*IFERROR(INDEX(Работы!$D$4:$D$672,MATCH(SUBSTITUTE(SUBSTITUTE(SUBSTITUTE(A575,"~","~~"),"*","~*"),"?","~?"),Работы!$B$4:$B$672,0)),0)</f>
        <v/>
      </c>
      <c r="G575" s="10" t="n">
        <v>107.68</v>
      </c>
      <c r="H575" s="14" t="n">
        <v>1</v>
      </c>
      <c r="I575" s="11" t="n">
        <v>0.05</v>
      </c>
      <c r="J575" s="11" t="n">
        <v>0.1</v>
      </c>
      <c r="K575" s="10" t="n"/>
      <c r="L575" s="9" t="inlineStr">
        <is>
          <t>Петрович</t>
        </is>
      </c>
      <c r="M575" s="9" t="inlineStr">
        <is>
          <t>https://moscow.petrovich.ru/product/108534/</t>
        </is>
      </c>
      <c r="N575" s="9" t="inlineStr">
        <is>
          <t>2026-10-29</t>
        </is>
      </c>
      <c r="O575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75" s="4">
        <f>IF(H575=1,G575/VAT_DIV,G575)</f>
        <v/>
      </c>
      <c r="Q575" s="4">
        <f>P575*(1+I575)*(1+DELIV)*(1+GROWTH+MONEY)</f>
        <v/>
      </c>
      <c r="R575" s="4">
        <f>IF(AND(K575&lt;&gt;"",Q575*(1+J575)&gt;K575/VAT_DIV),K575/VAT_DIV,Q575*(1+J575))</f>
        <v/>
      </c>
      <c r="S575" s="4">
        <f>Q575*F575</f>
        <v/>
      </c>
      <c r="T575" s="4">
        <f>R575*F575</f>
        <v/>
      </c>
      <c r="U575" s="3">
        <f>IF(AND(K575&lt;&gt;"",Q575*(1+J575)&gt;K575/VAT_DIV+0.01),"ДА","")</f>
        <v/>
      </c>
      <c r="V575" s="4">
        <f>P575*F575</f>
        <v/>
      </c>
    </row>
    <row r="576" ht="20" customHeight="1">
      <c r="A576" s="9" t="inlineStr">
        <is>
          <t>640.  ФЭС-3 отлив узла цоколя размеры по месту</t>
        </is>
      </c>
      <c r="B576" s="13" t="inlineStr">
        <is>
          <t>Фасонка окрашенная, ~1,3 кг/м</t>
        </is>
      </c>
      <c r="C576" s="9" t="inlineStr">
        <is>
          <t>Металлопрокат и метизы</t>
        </is>
      </c>
      <c r="D576" s="9" t="inlineStr">
        <is>
          <t>кг</t>
        </is>
      </c>
      <c r="E576" s="10" t="n">
        <v>1.3</v>
      </c>
      <c r="F576" s="4">
        <f>E576*IFERROR(INDEX(Работы!$D$4:$D$672,MATCH(SUBSTITUTE(SUBSTITUTE(SUBSTITUTE(A576,"~","~~"),"*","~*"),"?","~?"),Работы!$B$4:$B$672,0)),0)</f>
        <v/>
      </c>
      <c r="G576" s="10" t="n">
        <v>107.68</v>
      </c>
      <c r="H576" s="14" t="n">
        <v>1</v>
      </c>
      <c r="I576" s="11" t="n">
        <v>0.05</v>
      </c>
      <c r="J576" s="11" t="n">
        <v>0.1</v>
      </c>
      <c r="K576" s="10" t="n"/>
      <c r="L576" s="9" t="inlineStr">
        <is>
          <t>Петрович</t>
        </is>
      </c>
      <c r="M576" s="9" t="inlineStr">
        <is>
          <t>https://moscow.petrovich.ru/product/108534/</t>
        </is>
      </c>
      <c r="N576" s="9" t="inlineStr">
        <is>
          <t>2026-10-29</t>
        </is>
      </c>
      <c r="O576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76" s="4">
        <f>IF(H576=1,G576/VAT_DIV,G576)</f>
        <v/>
      </c>
      <c r="Q576" s="4">
        <f>P576*(1+I576)*(1+DELIV)*(1+GROWTH+MONEY)</f>
        <v/>
      </c>
      <c r="R576" s="4">
        <f>IF(AND(K576&lt;&gt;"",Q576*(1+J576)&gt;K576/VAT_DIV),K576/VAT_DIV,Q576*(1+J576))</f>
        <v/>
      </c>
      <c r="S576" s="4">
        <f>Q576*F576</f>
        <v/>
      </c>
      <c r="T576" s="4">
        <f>R576*F576</f>
        <v/>
      </c>
      <c r="U576" s="3">
        <f>IF(AND(K576&lt;&gt;"",Q576*(1+J576)&gt;K576/VAT_DIV+0.01),"ДА","")</f>
        <v/>
      </c>
      <c r="V576" s="4">
        <f>P576*F576</f>
        <v/>
      </c>
    </row>
    <row r="577" ht="20" customHeight="1">
      <c r="A577" s="9" t="inlineStr">
        <is>
          <t>641.  ФЭС-4 отлив цоколя размеры по месту</t>
        </is>
      </c>
      <c r="B577" s="13" t="inlineStr">
        <is>
          <t>Фасонка окрашенная, ~1,3 кг/м</t>
        </is>
      </c>
      <c r="C577" s="9" t="inlineStr">
        <is>
          <t>Металлопрокат и метизы</t>
        </is>
      </c>
      <c r="D577" s="9" t="inlineStr">
        <is>
          <t>кг</t>
        </is>
      </c>
      <c r="E577" s="10" t="n">
        <v>1.3</v>
      </c>
      <c r="F577" s="4">
        <f>E577*IFERROR(INDEX(Работы!$D$4:$D$672,MATCH(SUBSTITUTE(SUBSTITUTE(SUBSTITUTE(A577,"~","~~"),"*","~*"),"?","~?"),Работы!$B$4:$B$672,0)),0)</f>
        <v/>
      </c>
      <c r="G577" s="10" t="n">
        <v>107.68</v>
      </c>
      <c r="H577" s="14" t="n">
        <v>1</v>
      </c>
      <c r="I577" s="11" t="n">
        <v>0.05</v>
      </c>
      <c r="J577" s="11" t="n">
        <v>0.1</v>
      </c>
      <c r="K577" s="10" t="n"/>
      <c r="L577" s="9" t="inlineStr">
        <is>
          <t>Петрович</t>
        </is>
      </c>
      <c r="M577" s="9" t="inlineStr">
        <is>
          <t>https://moscow.petrovich.ru/product/108534/</t>
        </is>
      </c>
      <c r="N577" s="9" t="inlineStr">
        <is>
          <t>2026-10-29</t>
        </is>
      </c>
      <c r="O577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77" s="4">
        <f>IF(H577=1,G577/VAT_DIV,G577)</f>
        <v/>
      </c>
      <c r="Q577" s="4">
        <f>P577*(1+I577)*(1+DELIV)*(1+GROWTH+MONEY)</f>
        <v/>
      </c>
      <c r="R577" s="4">
        <f>IF(AND(K577&lt;&gt;"",Q577*(1+J577)&gt;K577/VAT_DIV),K577/VAT_DIV,Q577*(1+J577))</f>
        <v/>
      </c>
      <c r="S577" s="4">
        <f>Q577*F577</f>
        <v/>
      </c>
      <c r="T577" s="4">
        <f>R577*F577</f>
        <v/>
      </c>
      <c r="U577" s="3">
        <f>IF(AND(K577&lt;&gt;"",Q577*(1+J577)&gt;K577/VAT_DIV+0.01),"ДА","")</f>
        <v/>
      </c>
      <c r="V577" s="4">
        <f>P577*F577</f>
        <v/>
      </c>
    </row>
    <row r="578" ht="20" customHeight="1">
      <c r="A578" s="9" t="inlineStr">
        <is>
          <t>642. ФЭС-5 отлив цоколя размеры по месту</t>
        </is>
      </c>
      <c r="B578" s="13" t="inlineStr">
        <is>
          <t>Фасонка окрашенная, ~1,3 кг/м</t>
        </is>
      </c>
      <c r="C578" s="9" t="inlineStr">
        <is>
          <t>Металлопрокат и метизы</t>
        </is>
      </c>
      <c r="D578" s="9" t="inlineStr">
        <is>
          <t>кг</t>
        </is>
      </c>
      <c r="E578" s="10" t="n">
        <v>1.3</v>
      </c>
      <c r="F578" s="4">
        <f>E578*IFERROR(INDEX(Работы!$D$4:$D$672,MATCH(SUBSTITUTE(SUBSTITUTE(SUBSTITUTE(A578,"~","~~"),"*","~*"),"?","~?"),Работы!$B$4:$B$672,0)),0)</f>
        <v/>
      </c>
      <c r="G578" s="10" t="n">
        <v>107.68</v>
      </c>
      <c r="H578" s="14" t="n">
        <v>1</v>
      </c>
      <c r="I578" s="11" t="n">
        <v>0.05</v>
      </c>
      <c r="J578" s="11" t="n">
        <v>0.1</v>
      </c>
      <c r="K578" s="10" t="n"/>
      <c r="L578" s="9" t="inlineStr">
        <is>
          <t>Петрович</t>
        </is>
      </c>
      <c r="M578" s="9" t="inlineStr">
        <is>
          <t>https://moscow.petrovich.ru/product/108534/</t>
        </is>
      </c>
      <c r="N578" s="9" t="inlineStr">
        <is>
          <t>2026-10-29</t>
        </is>
      </c>
      <c r="O578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78" s="4">
        <f>IF(H578=1,G578/VAT_DIV,G578)</f>
        <v/>
      </c>
      <c r="Q578" s="4">
        <f>P578*(1+I578)*(1+DELIV)*(1+GROWTH+MONEY)</f>
        <v/>
      </c>
      <c r="R578" s="4">
        <f>IF(AND(K578&lt;&gt;"",Q578*(1+J578)&gt;K578/VAT_DIV),K578/VAT_DIV,Q578*(1+J578))</f>
        <v/>
      </c>
      <c r="S578" s="4">
        <f>Q578*F578</f>
        <v/>
      </c>
      <c r="T578" s="4">
        <f>R578*F578</f>
        <v/>
      </c>
      <c r="U578" s="3">
        <f>IF(AND(K578&lt;&gt;"",Q578*(1+J578)&gt;K578/VAT_DIV+0.01),"ДА","")</f>
        <v/>
      </c>
      <c r="V578" s="4">
        <f>P578*F578</f>
        <v/>
      </c>
    </row>
    <row r="579" ht="20" customHeight="1">
      <c r="A579" s="9" t="inlineStr">
        <is>
          <t>643. ФЭС-6 наружный отлив цоколя размеры по месту</t>
        </is>
      </c>
      <c r="B579" s="13" t="inlineStr">
        <is>
          <t>Фасонка окрашенная, ~1,3 кг/м</t>
        </is>
      </c>
      <c r="C579" s="9" t="inlineStr">
        <is>
          <t>Металлопрокат и метизы</t>
        </is>
      </c>
      <c r="D579" s="9" t="inlineStr">
        <is>
          <t>кг</t>
        </is>
      </c>
      <c r="E579" s="10" t="n">
        <v>1.3</v>
      </c>
      <c r="F579" s="4">
        <f>E579*IFERROR(INDEX(Работы!$D$4:$D$672,MATCH(SUBSTITUTE(SUBSTITUTE(SUBSTITUTE(A579,"~","~~"),"*","~*"),"?","~?"),Работы!$B$4:$B$672,0)),0)</f>
        <v/>
      </c>
      <c r="G579" s="10" t="n">
        <v>107.68</v>
      </c>
      <c r="H579" s="14" t="n">
        <v>1</v>
      </c>
      <c r="I579" s="11" t="n">
        <v>0.05</v>
      </c>
      <c r="J579" s="11" t="n">
        <v>0.1</v>
      </c>
      <c r="K579" s="10" t="n"/>
      <c r="L579" s="9" t="inlineStr">
        <is>
          <t>Петрович</t>
        </is>
      </c>
      <c r="M579" s="9" t="inlineStr">
        <is>
          <t>https://moscow.petrovich.ru/product/108534/</t>
        </is>
      </c>
      <c r="N579" s="9" t="inlineStr">
        <is>
          <t>2026-10-29</t>
        </is>
      </c>
      <c r="O579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79" s="4">
        <f>IF(H579=1,G579/VAT_DIV,G579)</f>
        <v/>
      </c>
      <c r="Q579" s="4">
        <f>P579*(1+I579)*(1+DELIV)*(1+GROWTH+MONEY)</f>
        <v/>
      </c>
      <c r="R579" s="4">
        <f>IF(AND(K579&lt;&gt;"",Q579*(1+J579)&gt;K579/VAT_DIV),K579/VAT_DIV,Q579*(1+J579))</f>
        <v/>
      </c>
      <c r="S579" s="4">
        <f>Q579*F579</f>
        <v/>
      </c>
      <c r="T579" s="4">
        <f>R579*F579</f>
        <v/>
      </c>
      <c r="U579" s="3">
        <f>IF(AND(K579&lt;&gt;"",Q579*(1+J579)&gt;K579/VAT_DIV+0.01),"ДА","")</f>
        <v/>
      </c>
      <c r="V579" s="4">
        <f>P579*F579</f>
        <v/>
      </c>
    </row>
    <row r="580" ht="20" customHeight="1">
      <c r="A580" s="9" t="inlineStr">
        <is>
          <t>644.  ФЭС-7 отлив цоколя на брус размеры по месту</t>
        </is>
      </c>
      <c r="B580" s="13" t="inlineStr">
        <is>
          <t>Фасонка окрашенная, ~1,3 кг/м</t>
        </is>
      </c>
      <c r="C580" s="9" t="inlineStr">
        <is>
          <t>Металлопрокат и метизы</t>
        </is>
      </c>
      <c r="D580" s="9" t="inlineStr">
        <is>
          <t>кг</t>
        </is>
      </c>
      <c r="E580" s="10" t="n">
        <v>1.3</v>
      </c>
      <c r="F580" s="4">
        <f>E580*IFERROR(INDEX(Работы!$D$4:$D$672,MATCH(SUBSTITUTE(SUBSTITUTE(SUBSTITUTE(A580,"~","~~"),"*","~*"),"?","~?"),Работы!$B$4:$B$672,0)),0)</f>
        <v/>
      </c>
      <c r="G580" s="10" t="n">
        <v>107.68</v>
      </c>
      <c r="H580" s="14" t="n">
        <v>1</v>
      </c>
      <c r="I580" s="11" t="n">
        <v>0.05</v>
      </c>
      <c r="J580" s="11" t="n">
        <v>0.1</v>
      </c>
      <c r="K580" s="10" t="n"/>
      <c r="L580" s="9" t="inlineStr">
        <is>
          <t>Петрович</t>
        </is>
      </c>
      <c r="M580" s="9" t="inlineStr">
        <is>
          <t>https://moscow.petrovich.ru/product/108534/</t>
        </is>
      </c>
      <c r="N580" s="9" t="inlineStr">
        <is>
          <t>2026-10-29</t>
        </is>
      </c>
      <c r="O580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80" s="4">
        <f>IF(H580=1,G580/VAT_DIV,G580)</f>
        <v/>
      </c>
      <c r="Q580" s="4">
        <f>P580*(1+I580)*(1+DELIV)*(1+GROWTH+MONEY)</f>
        <v/>
      </c>
      <c r="R580" s="4">
        <f>IF(AND(K580&lt;&gt;"",Q580*(1+J580)&gt;K580/VAT_DIV),K580/VAT_DIV,Q580*(1+J580))</f>
        <v/>
      </c>
      <c r="S580" s="4">
        <f>Q580*F580</f>
        <v/>
      </c>
      <c r="T580" s="4">
        <f>R580*F580</f>
        <v/>
      </c>
      <c r="U580" s="3">
        <f>IF(AND(K580&lt;&gt;"",Q580*(1+J580)&gt;K580/VAT_DIV+0.01),"ДА","")</f>
        <v/>
      </c>
      <c r="V580" s="4">
        <f>P580*F580</f>
        <v/>
      </c>
    </row>
    <row r="581" ht="20" customHeight="1">
      <c r="A581" s="9" t="inlineStr">
        <is>
          <t>645.  ФЭС-8 отлив цоколя размеры по месту</t>
        </is>
      </c>
      <c r="B581" s="13" t="inlineStr">
        <is>
          <t>Фасонка окрашенная, ~1,3 кг/м</t>
        </is>
      </c>
      <c r="C581" s="9" t="inlineStr">
        <is>
          <t>Металлопрокат и метизы</t>
        </is>
      </c>
      <c r="D581" s="9" t="inlineStr">
        <is>
          <t>кг</t>
        </is>
      </c>
      <c r="E581" s="10" t="n">
        <v>1.3</v>
      </c>
      <c r="F581" s="4">
        <f>E581*IFERROR(INDEX(Работы!$D$4:$D$672,MATCH(SUBSTITUTE(SUBSTITUTE(SUBSTITUTE(A581,"~","~~"),"*","~*"),"?","~?"),Работы!$B$4:$B$672,0)),0)</f>
        <v/>
      </c>
      <c r="G581" s="10" t="n">
        <v>107.68</v>
      </c>
      <c r="H581" s="14" t="n">
        <v>1</v>
      </c>
      <c r="I581" s="11" t="n">
        <v>0.05</v>
      </c>
      <c r="J581" s="11" t="n">
        <v>0.1</v>
      </c>
      <c r="K581" s="10" t="n"/>
      <c r="L581" s="9" t="inlineStr">
        <is>
          <t>Петрович</t>
        </is>
      </c>
      <c r="M581" s="9" t="inlineStr">
        <is>
          <t>https://moscow.petrovich.ru/product/108534/</t>
        </is>
      </c>
      <c r="N581" s="9" t="inlineStr">
        <is>
          <t>2026-10-29</t>
        </is>
      </c>
      <c r="O581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81" s="4">
        <f>IF(H581=1,G581/VAT_DIV,G581)</f>
        <v/>
      </c>
      <c r="Q581" s="4">
        <f>P581*(1+I581)*(1+DELIV)*(1+GROWTH+MONEY)</f>
        <v/>
      </c>
      <c r="R581" s="4">
        <f>IF(AND(K581&lt;&gt;"",Q581*(1+J581)&gt;K581/VAT_DIV),K581/VAT_DIV,Q581*(1+J581))</f>
        <v/>
      </c>
      <c r="S581" s="4">
        <f>Q581*F581</f>
        <v/>
      </c>
      <c r="T581" s="4">
        <f>R581*F581</f>
        <v/>
      </c>
      <c r="U581" s="3">
        <f>IF(AND(K581&lt;&gt;"",Q581*(1+J581)&gt;K581/VAT_DIV+0.01),"ДА","")</f>
        <v/>
      </c>
      <c r="V581" s="4">
        <f>P581*F581</f>
        <v/>
      </c>
    </row>
    <row r="582" ht="20" customHeight="1">
      <c r="A582" s="9" t="inlineStr">
        <is>
          <t>646. ФЭС-9 отлив цоколя размеры по месту</t>
        </is>
      </c>
      <c r="B582" s="13" t="inlineStr">
        <is>
          <t>Фасонка окрашенная, ~1,3 кг/м</t>
        </is>
      </c>
      <c r="C582" s="9" t="inlineStr">
        <is>
          <t>Металлопрокат и метизы</t>
        </is>
      </c>
      <c r="D582" s="9" t="inlineStr">
        <is>
          <t>кг</t>
        </is>
      </c>
      <c r="E582" s="10" t="n">
        <v>1.3</v>
      </c>
      <c r="F582" s="4">
        <f>E582*IFERROR(INDEX(Работы!$D$4:$D$672,MATCH(SUBSTITUTE(SUBSTITUTE(SUBSTITUTE(A582,"~","~~"),"*","~*"),"?","~?"),Работы!$B$4:$B$672,0)),0)</f>
        <v/>
      </c>
      <c r="G582" s="10" t="n">
        <v>107.68</v>
      </c>
      <c r="H582" s="14" t="n">
        <v>1</v>
      </c>
      <c r="I582" s="11" t="n">
        <v>0.05</v>
      </c>
      <c r="J582" s="11" t="n">
        <v>0.1</v>
      </c>
      <c r="K582" s="10" t="n"/>
      <c r="L582" s="9" t="inlineStr">
        <is>
          <t>Петрович</t>
        </is>
      </c>
      <c r="M582" s="9" t="inlineStr">
        <is>
          <t>https://moscow.petrovich.ru/product/108534/</t>
        </is>
      </c>
      <c r="N582" s="9" t="inlineStr">
        <is>
          <t>2026-10-29</t>
        </is>
      </c>
      <c r="O582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82" s="4">
        <f>IF(H582=1,G582/VAT_DIV,G582)</f>
        <v/>
      </c>
      <c r="Q582" s="4">
        <f>P582*(1+I582)*(1+DELIV)*(1+GROWTH+MONEY)</f>
        <v/>
      </c>
      <c r="R582" s="4">
        <f>IF(AND(K582&lt;&gt;"",Q582*(1+J582)&gt;K582/VAT_DIV),K582/VAT_DIV,Q582*(1+J582))</f>
        <v/>
      </c>
      <c r="S582" s="4">
        <f>Q582*F582</f>
        <v/>
      </c>
      <c r="T582" s="4">
        <f>R582*F582</f>
        <v/>
      </c>
      <c r="U582" s="3">
        <f>IF(AND(K582&lt;&gt;"",Q582*(1+J582)&gt;K582/VAT_DIV+0.01),"ДА","")</f>
        <v/>
      </c>
      <c r="V582" s="4">
        <f>P582*F582</f>
        <v/>
      </c>
    </row>
    <row r="583" ht="20" customHeight="1">
      <c r="A583" s="9" t="inlineStr">
        <is>
          <t>647. ФЭС-10 нащельник узла стыка сэндвич-панелей размеры по месту</t>
        </is>
      </c>
      <c r="B583" s="13" t="inlineStr">
        <is>
          <t>Фасонка окрашенная, ~1,3 кг/м</t>
        </is>
      </c>
      <c r="C583" s="9" t="inlineStr">
        <is>
          <t>Металлопрокат и метизы</t>
        </is>
      </c>
      <c r="D583" s="9" t="inlineStr">
        <is>
          <t>кг</t>
        </is>
      </c>
      <c r="E583" s="10" t="n">
        <v>1.3</v>
      </c>
      <c r="F583" s="4">
        <f>E583*IFERROR(INDEX(Работы!$D$4:$D$672,MATCH(SUBSTITUTE(SUBSTITUTE(SUBSTITUTE(A583,"~","~~"),"*","~*"),"?","~?"),Работы!$B$4:$B$672,0)),0)</f>
        <v/>
      </c>
      <c r="G583" s="10" t="n">
        <v>107.68</v>
      </c>
      <c r="H583" s="14" t="n">
        <v>1</v>
      </c>
      <c r="I583" s="11" t="n">
        <v>0.05</v>
      </c>
      <c r="J583" s="11" t="n">
        <v>0.1</v>
      </c>
      <c r="K583" s="10" t="n"/>
      <c r="L583" s="9" t="inlineStr">
        <is>
          <t>Петрович</t>
        </is>
      </c>
      <c r="M583" s="9" t="inlineStr">
        <is>
          <t>https://moscow.petrovich.ru/product/108534/</t>
        </is>
      </c>
      <c r="N583" s="9" t="inlineStr">
        <is>
          <t>2026-10-29</t>
        </is>
      </c>
      <c r="O583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83" s="4">
        <f>IF(H583=1,G583/VAT_DIV,G583)</f>
        <v/>
      </c>
      <c r="Q583" s="4">
        <f>P583*(1+I583)*(1+DELIV)*(1+GROWTH+MONEY)</f>
        <v/>
      </c>
      <c r="R583" s="4">
        <f>IF(AND(K583&lt;&gt;"",Q583*(1+J583)&gt;K583/VAT_DIV),K583/VAT_DIV,Q583*(1+J583))</f>
        <v/>
      </c>
      <c r="S583" s="4">
        <f>Q583*F583</f>
        <v/>
      </c>
      <c r="T583" s="4">
        <f>R583*F583</f>
        <v/>
      </c>
      <c r="U583" s="3">
        <f>IF(AND(K583&lt;&gt;"",Q583*(1+J583)&gt;K583/VAT_DIV+0.01),"ДА","")</f>
        <v/>
      </c>
      <c r="V583" s="4">
        <f>P583*F583</f>
        <v/>
      </c>
    </row>
    <row r="584" ht="20" customHeight="1">
      <c r="A584" s="9" t="inlineStr">
        <is>
          <t>648.  ФЭС-11 стыковочная рейка на стык панелей размеры по месту</t>
        </is>
      </c>
      <c r="B584" s="13" t="inlineStr">
        <is>
          <t>Фасонка окрашенная, ~1,3 кг/м</t>
        </is>
      </c>
      <c r="C584" s="9" t="inlineStr">
        <is>
          <t>Металлопрокат и метизы</t>
        </is>
      </c>
      <c r="D584" s="9" t="inlineStr">
        <is>
          <t>кг</t>
        </is>
      </c>
      <c r="E584" s="10" t="n">
        <v>1.3</v>
      </c>
      <c r="F584" s="4">
        <f>E584*IFERROR(INDEX(Работы!$D$4:$D$672,MATCH(SUBSTITUTE(SUBSTITUTE(SUBSTITUTE(A584,"~","~~"),"*","~*"),"?","~?"),Работы!$B$4:$B$672,0)),0)</f>
        <v/>
      </c>
      <c r="G584" s="10" t="n">
        <v>107.68</v>
      </c>
      <c r="H584" s="14" t="n">
        <v>1</v>
      </c>
      <c r="I584" s="11" t="n">
        <v>0.05</v>
      </c>
      <c r="J584" s="11" t="n">
        <v>0.1</v>
      </c>
      <c r="K584" s="10" t="n"/>
      <c r="L584" s="9" t="inlineStr">
        <is>
          <t>Петрович</t>
        </is>
      </c>
      <c r="M584" s="9" t="inlineStr">
        <is>
          <t>https://moscow.petrovich.ru/product/108534/</t>
        </is>
      </c>
      <c r="N584" s="9" t="inlineStr">
        <is>
          <t>2026-10-29</t>
        </is>
      </c>
      <c r="O584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84" s="4">
        <f>IF(H584=1,G584/VAT_DIV,G584)</f>
        <v/>
      </c>
      <c r="Q584" s="4">
        <f>P584*(1+I584)*(1+DELIV)*(1+GROWTH+MONEY)</f>
        <v/>
      </c>
      <c r="R584" s="4">
        <f>IF(AND(K584&lt;&gt;"",Q584*(1+J584)&gt;K584/VAT_DIV),K584/VAT_DIV,Q584*(1+J584))</f>
        <v/>
      </c>
      <c r="S584" s="4">
        <f>Q584*F584</f>
        <v/>
      </c>
      <c r="T584" s="4">
        <f>R584*F584</f>
        <v/>
      </c>
      <c r="U584" s="3">
        <f>IF(AND(K584&lt;&gt;"",Q584*(1+J584)&gt;K584/VAT_DIV+0.01),"ДА","")</f>
        <v/>
      </c>
      <c r="V584" s="4">
        <f>P584*F584</f>
        <v/>
      </c>
    </row>
    <row r="585" ht="20" customHeight="1">
      <c r="A585" s="9" t="inlineStr">
        <is>
          <t>649. ФЭС-12 нащельник узла стыка сэндвич-панелей размеры по месту</t>
        </is>
      </c>
      <c r="B585" s="13" t="inlineStr">
        <is>
          <t>Фасонка окрашенная, ~1,3 кг/м</t>
        </is>
      </c>
      <c r="C585" s="9" t="inlineStr">
        <is>
          <t>Металлопрокат и метизы</t>
        </is>
      </c>
      <c r="D585" s="9" t="inlineStr">
        <is>
          <t>кг</t>
        </is>
      </c>
      <c r="E585" s="10" t="n">
        <v>1.3</v>
      </c>
      <c r="F585" s="4">
        <f>E585*IFERROR(INDEX(Работы!$D$4:$D$672,MATCH(SUBSTITUTE(SUBSTITUTE(SUBSTITUTE(A585,"~","~~"),"*","~*"),"?","~?"),Работы!$B$4:$B$672,0)),0)</f>
        <v/>
      </c>
      <c r="G585" s="10" t="n">
        <v>107.68</v>
      </c>
      <c r="H585" s="14" t="n">
        <v>1</v>
      </c>
      <c r="I585" s="11" t="n">
        <v>0.05</v>
      </c>
      <c r="J585" s="11" t="n">
        <v>0.1</v>
      </c>
      <c r="K585" s="10" t="n"/>
      <c r="L585" s="9" t="inlineStr">
        <is>
          <t>Петрович</t>
        </is>
      </c>
      <c r="M585" s="9" t="inlineStr">
        <is>
          <t>https://moscow.petrovich.ru/product/108534/</t>
        </is>
      </c>
      <c r="N585" s="9" t="inlineStr">
        <is>
          <t>2026-10-29</t>
        </is>
      </c>
      <c r="O585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85" s="4">
        <f>IF(H585=1,G585/VAT_DIV,G585)</f>
        <v/>
      </c>
      <c r="Q585" s="4">
        <f>P585*(1+I585)*(1+DELIV)*(1+GROWTH+MONEY)</f>
        <v/>
      </c>
      <c r="R585" s="4">
        <f>IF(AND(K585&lt;&gt;"",Q585*(1+J585)&gt;K585/VAT_DIV),K585/VAT_DIV,Q585*(1+J585))</f>
        <v/>
      </c>
      <c r="S585" s="4">
        <f>Q585*F585</f>
        <v/>
      </c>
      <c r="T585" s="4">
        <f>R585*F585</f>
        <v/>
      </c>
      <c r="U585" s="3">
        <f>IF(AND(K585&lt;&gt;"",Q585*(1+J585)&gt;K585/VAT_DIV+0.01),"ДА","")</f>
        <v/>
      </c>
      <c r="V585" s="4">
        <f>P585*F585</f>
        <v/>
      </c>
    </row>
    <row r="586" ht="20" customHeight="1">
      <c r="A586" s="9" t="inlineStr">
        <is>
          <t>650. ФЭС-13 нащельник узла стыка сэндвич-панелей размеры по месту</t>
        </is>
      </c>
      <c r="B586" s="13" t="inlineStr">
        <is>
          <t>Фасонка окрашенная, ~1,3 кг/м</t>
        </is>
      </c>
      <c r="C586" s="9" t="inlineStr">
        <is>
          <t>Металлопрокат и метизы</t>
        </is>
      </c>
      <c r="D586" s="9" t="inlineStr">
        <is>
          <t>кг</t>
        </is>
      </c>
      <c r="E586" s="10" t="n">
        <v>1.3</v>
      </c>
      <c r="F586" s="4">
        <f>E586*IFERROR(INDEX(Работы!$D$4:$D$672,MATCH(SUBSTITUTE(SUBSTITUTE(SUBSTITUTE(A586,"~","~~"),"*","~*"),"?","~?"),Работы!$B$4:$B$672,0)),0)</f>
        <v/>
      </c>
      <c r="G586" s="10" t="n">
        <v>107.68</v>
      </c>
      <c r="H586" s="14" t="n">
        <v>1</v>
      </c>
      <c r="I586" s="11" t="n">
        <v>0.05</v>
      </c>
      <c r="J586" s="11" t="n">
        <v>0.1</v>
      </c>
      <c r="K586" s="10" t="n"/>
      <c r="L586" s="9" t="inlineStr">
        <is>
          <t>Петрович</t>
        </is>
      </c>
      <c r="M586" s="9" t="inlineStr">
        <is>
          <t>https://moscow.petrovich.ru/product/108534/</t>
        </is>
      </c>
      <c r="N586" s="9" t="inlineStr">
        <is>
          <t>2026-10-29</t>
        </is>
      </c>
      <c r="O586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86" s="4">
        <f>IF(H586=1,G586/VAT_DIV,G586)</f>
        <v/>
      </c>
      <c r="Q586" s="4">
        <f>P586*(1+I586)*(1+DELIV)*(1+GROWTH+MONEY)</f>
        <v/>
      </c>
      <c r="R586" s="4">
        <f>IF(AND(K586&lt;&gt;"",Q586*(1+J586)&gt;K586/VAT_DIV),K586/VAT_DIV,Q586*(1+J586))</f>
        <v/>
      </c>
      <c r="S586" s="4">
        <f>Q586*F586</f>
        <v/>
      </c>
      <c r="T586" s="4">
        <f>R586*F586</f>
        <v/>
      </c>
      <c r="U586" s="3">
        <f>IF(AND(K586&lt;&gt;"",Q586*(1+J586)&gt;K586/VAT_DIV+0.01),"ДА","")</f>
        <v/>
      </c>
      <c r="V586" s="4">
        <f>P586*F586</f>
        <v/>
      </c>
    </row>
    <row r="587" ht="20" customHeight="1">
      <c r="A587" s="9" t="inlineStr">
        <is>
          <t>651. ФЭС-14 нащельник стыковой размеры по месту</t>
        </is>
      </c>
      <c r="B587" s="13" t="inlineStr">
        <is>
          <t>Фасонка окрашенная, ~1,3 кг/м</t>
        </is>
      </c>
      <c r="C587" s="9" t="inlineStr">
        <is>
          <t>Металлопрокат и метизы</t>
        </is>
      </c>
      <c r="D587" s="9" t="inlineStr">
        <is>
          <t>кг</t>
        </is>
      </c>
      <c r="E587" s="10" t="n">
        <v>1.3</v>
      </c>
      <c r="F587" s="4">
        <f>E587*IFERROR(INDEX(Работы!$D$4:$D$672,MATCH(SUBSTITUTE(SUBSTITUTE(SUBSTITUTE(A587,"~","~~"),"*","~*"),"?","~?"),Работы!$B$4:$B$672,0)),0)</f>
        <v/>
      </c>
      <c r="G587" s="10" t="n">
        <v>107.68</v>
      </c>
      <c r="H587" s="14" t="n">
        <v>1</v>
      </c>
      <c r="I587" s="11" t="n">
        <v>0.05</v>
      </c>
      <c r="J587" s="11" t="n">
        <v>0.1</v>
      </c>
      <c r="K587" s="10" t="n"/>
      <c r="L587" s="9" t="inlineStr">
        <is>
          <t>Петрович</t>
        </is>
      </c>
      <c r="M587" s="9" t="inlineStr">
        <is>
          <t>https://moscow.petrovich.ru/product/108534/</t>
        </is>
      </c>
      <c r="N587" s="9" t="inlineStr">
        <is>
          <t>2026-10-29</t>
        </is>
      </c>
      <c r="O587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87" s="4">
        <f>IF(H587=1,G587/VAT_DIV,G587)</f>
        <v/>
      </c>
      <c r="Q587" s="4">
        <f>P587*(1+I587)*(1+DELIV)*(1+GROWTH+MONEY)</f>
        <v/>
      </c>
      <c r="R587" s="4">
        <f>IF(AND(K587&lt;&gt;"",Q587*(1+J587)&gt;K587/VAT_DIV),K587/VAT_DIV,Q587*(1+J587))</f>
        <v/>
      </c>
      <c r="S587" s="4">
        <f>Q587*F587</f>
        <v/>
      </c>
      <c r="T587" s="4">
        <f>R587*F587</f>
        <v/>
      </c>
      <c r="U587" s="3">
        <f>IF(AND(K587&lt;&gt;"",Q587*(1+J587)&gt;K587/VAT_DIV+0.01),"ДА","")</f>
        <v/>
      </c>
      <c r="V587" s="4">
        <f>P587*F587</f>
        <v/>
      </c>
    </row>
    <row r="588" ht="20" customHeight="1">
      <c r="A588" s="9" t="inlineStr">
        <is>
          <t>652. ФЭС-16 наружный угол стыка сэндвич-панелей размеры по месту</t>
        </is>
      </c>
      <c r="B588" s="13" t="inlineStr">
        <is>
          <t>Фасонка окрашенная, ~1,3 кг/м</t>
        </is>
      </c>
      <c r="C588" s="9" t="inlineStr">
        <is>
          <t>Металлопрокат и метизы</t>
        </is>
      </c>
      <c r="D588" s="9" t="inlineStr">
        <is>
          <t>кг</t>
        </is>
      </c>
      <c r="E588" s="10" t="n">
        <v>1.3</v>
      </c>
      <c r="F588" s="4">
        <f>E588*IFERROR(INDEX(Работы!$D$4:$D$672,MATCH(SUBSTITUTE(SUBSTITUTE(SUBSTITUTE(A588,"~","~~"),"*","~*"),"?","~?"),Работы!$B$4:$B$672,0)),0)</f>
        <v/>
      </c>
      <c r="G588" s="10" t="n">
        <v>107.68</v>
      </c>
      <c r="H588" s="14" t="n">
        <v>1</v>
      </c>
      <c r="I588" s="11" t="n">
        <v>0.05</v>
      </c>
      <c r="J588" s="11" t="n">
        <v>0.1</v>
      </c>
      <c r="K588" s="10" t="n"/>
      <c r="L588" s="9" t="inlineStr">
        <is>
          <t>Петрович</t>
        </is>
      </c>
      <c r="M588" s="9" t="inlineStr">
        <is>
          <t>https://moscow.petrovich.ru/product/108534/</t>
        </is>
      </c>
      <c r="N588" s="9" t="inlineStr">
        <is>
          <t>2026-10-29</t>
        </is>
      </c>
      <c r="O588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88" s="4">
        <f>IF(H588=1,G588/VAT_DIV,G588)</f>
        <v/>
      </c>
      <c r="Q588" s="4">
        <f>P588*(1+I588)*(1+DELIV)*(1+GROWTH+MONEY)</f>
        <v/>
      </c>
      <c r="R588" s="4">
        <f>IF(AND(K588&lt;&gt;"",Q588*(1+J588)&gt;K588/VAT_DIV),K588/VAT_DIV,Q588*(1+J588))</f>
        <v/>
      </c>
      <c r="S588" s="4">
        <f>Q588*F588</f>
        <v/>
      </c>
      <c r="T588" s="4">
        <f>R588*F588</f>
        <v/>
      </c>
      <c r="U588" s="3">
        <f>IF(AND(K588&lt;&gt;"",Q588*(1+J588)&gt;K588/VAT_DIV+0.01),"ДА","")</f>
        <v/>
      </c>
      <c r="V588" s="4">
        <f>P588*F588</f>
        <v/>
      </c>
    </row>
    <row r="589" ht="20" customHeight="1">
      <c r="A589" s="9" t="inlineStr">
        <is>
          <t>653. ФЭС-18 внутренний угол стыка сэндвич-панелей размеры по месту</t>
        </is>
      </c>
      <c r="B589" s="13" t="inlineStr">
        <is>
          <t>Фасонка окрашенная, ~1,3 кг/м</t>
        </is>
      </c>
      <c r="C589" s="9" t="inlineStr">
        <is>
          <t>Металлопрокат и метизы</t>
        </is>
      </c>
      <c r="D589" s="9" t="inlineStr">
        <is>
          <t>кг</t>
        </is>
      </c>
      <c r="E589" s="10" t="n">
        <v>1.3</v>
      </c>
      <c r="F589" s="4">
        <f>E589*IFERROR(INDEX(Работы!$D$4:$D$672,MATCH(SUBSTITUTE(SUBSTITUTE(SUBSTITUTE(A589,"~","~~"),"*","~*"),"?","~?"),Работы!$B$4:$B$672,0)),0)</f>
        <v/>
      </c>
      <c r="G589" s="10" t="n">
        <v>107.68</v>
      </c>
      <c r="H589" s="14" t="n">
        <v>1</v>
      </c>
      <c r="I589" s="11" t="n">
        <v>0.05</v>
      </c>
      <c r="J589" s="11" t="n">
        <v>0.1</v>
      </c>
      <c r="K589" s="10" t="n"/>
      <c r="L589" s="9" t="inlineStr">
        <is>
          <t>Петрович</t>
        </is>
      </c>
      <c r="M589" s="9" t="inlineStr">
        <is>
          <t>https://moscow.petrovich.ru/product/108534/</t>
        </is>
      </c>
      <c r="N589" s="9" t="inlineStr">
        <is>
          <t>2026-10-29</t>
        </is>
      </c>
      <c r="O589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89" s="4">
        <f>IF(H589=1,G589/VAT_DIV,G589)</f>
        <v/>
      </c>
      <c r="Q589" s="4">
        <f>P589*(1+I589)*(1+DELIV)*(1+GROWTH+MONEY)</f>
        <v/>
      </c>
      <c r="R589" s="4">
        <f>IF(AND(K589&lt;&gt;"",Q589*(1+J589)&gt;K589/VAT_DIV),K589/VAT_DIV,Q589*(1+J589))</f>
        <v/>
      </c>
      <c r="S589" s="4">
        <f>Q589*F589</f>
        <v/>
      </c>
      <c r="T589" s="4">
        <f>R589*F589</f>
        <v/>
      </c>
      <c r="U589" s="3">
        <f>IF(AND(K589&lt;&gt;"",Q589*(1+J589)&gt;K589/VAT_DIV+0.01),"ДА","")</f>
        <v/>
      </c>
      <c r="V589" s="4">
        <f>P589*F589</f>
        <v/>
      </c>
    </row>
    <row r="590" ht="20" customHeight="1">
      <c r="A590" s="9" t="inlineStr">
        <is>
          <t>654. ФЭС-22 нащельник торцевого среза сэндвич-панели размеры по месту</t>
        </is>
      </c>
      <c r="B590" s="13" t="inlineStr">
        <is>
          <t>Фасонка окрашенная, ~1,3 кг/м</t>
        </is>
      </c>
      <c r="C590" s="9" t="inlineStr">
        <is>
          <t>Металлопрокат и метизы</t>
        </is>
      </c>
      <c r="D590" s="9" t="inlineStr">
        <is>
          <t>кг</t>
        </is>
      </c>
      <c r="E590" s="10" t="n">
        <v>1.3</v>
      </c>
      <c r="F590" s="4">
        <f>E590*IFERROR(INDEX(Работы!$D$4:$D$672,MATCH(SUBSTITUTE(SUBSTITUTE(SUBSTITUTE(A590,"~","~~"),"*","~*"),"?","~?"),Работы!$B$4:$B$672,0)),0)</f>
        <v/>
      </c>
      <c r="G590" s="10" t="n">
        <v>107.68</v>
      </c>
      <c r="H590" s="14" t="n">
        <v>1</v>
      </c>
      <c r="I590" s="11" t="n">
        <v>0.05</v>
      </c>
      <c r="J590" s="11" t="n">
        <v>0.1</v>
      </c>
      <c r="K590" s="10" t="n"/>
      <c r="L590" s="9" t="inlineStr">
        <is>
          <t>Петрович</t>
        </is>
      </c>
      <c r="M590" s="9" t="inlineStr">
        <is>
          <t>https://moscow.petrovich.ru/product/108534/</t>
        </is>
      </c>
      <c r="N590" s="9" t="inlineStr">
        <is>
          <t>2026-10-29</t>
        </is>
      </c>
      <c r="O590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90" s="4">
        <f>IF(H590=1,G590/VAT_DIV,G590)</f>
        <v/>
      </c>
      <c r="Q590" s="4">
        <f>P590*(1+I590)*(1+DELIV)*(1+GROWTH+MONEY)</f>
        <v/>
      </c>
      <c r="R590" s="4">
        <f>IF(AND(K590&lt;&gt;"",Q590*(1+J590)&gt;K590/VAT_DIV),K590/VAT_DIV,Q590*(1+J590))</f>
        <v/>
      </c>
      <c r="S590" s="4">
        <f>Q590*F590</f>
        <v/>
      </c>
      <c r="T590" s="4">
        <f>R590*F590</f>
        <v/>
      </c>
      <c r="U590" s="3">
        <f>IF(AND(K590&lt;&gt;"",Q590*(1+J590)&gt;K590/VAT_DIV+0.01),"ДА","")</f>
        <v/>
      </c>
      <c r="V590" s="4">
        <f>P590*F590</f>
        <v/>
      </c>
    </row>
    <row r="591" ht="20" customHeight="1">
      <c r="A591" s="9" t="inlineStr">
        <is>
          <t>655. ФЭС-29 профиль обрамления ворот размеры по месту</t>
        </is>
      </c>
      <c r="B591" s="13" t="inlineStr">
        <is>
          <t>Фасонка окрашенная, ~1,3 кг/м</t>
        </is>
      </c>
      <c r="C591" s="9" t="inlineStr">
        <is>
          <t>Металлопрокат и метизы</t>
        </is>
      </c>
      <c r="D591" s="9" t="inlineStr">
        <is>
          <t>кг</t>
        </is>
      </c>
      <c r="E591" s="10" t="n">
        <v>1.3</v>
      </c>
      <c r="F591" s="4">
        <f>E591*IFERROR(INDEX(Работы!$D$4:$D$672,MATCH(SUBSTITUTE(SUBSTITUTE(SUBSTITUTE(A591,"~","~~"),"*","~*"),"?","~?"),Работы!$B$4:$B$672,0)),0)</f>
        <v/>
      </c>
      <c r="G591" s="10" t="n">
        <v>107.68</v>
      </c>
      <c r="H591" s="14" t="n">
        <v>1</v>
      </c>
      <c r="I591" s="11" t="n">
        <v>0.05</v>
      </c>
      <c r="J591" s="11" t="n">
        <v>0.1</v>
      </c>
      <c r="K591" s="10" t="n"/>
      <c r="L591" s="9" t="inlineStr">
        <is>
          <t>Петрович</t>
        </is>
      </c>
      <c r="M591" s="9" t="inlineStr">
        <is>
          <t>https://moscow.petrovich.ru/product/108534/</t>
        </is>
      </c>
      <c r="N591" s="9" t="inlineStr">
        <is>
          <t>2026-10-29</t>
        </is>
      </c>
      <c r="O591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91" s="4">
        <f>IF(H591=1,G591/VAT_DIV,G591)</f>
        <v/>
      </c>
      <c r="Q591" s="4">
        <f>P591*(1+I591)*(1+DELIV)*(1+GROWTH+MONEY)</f>
        <v/>
      </c>
      <c r="R591" s="4">
        <f>IF(AND(K591&lt;&gt;"",Q591*(1+J591)&gt;K591/VAT_DIV),K591/VAT_DIV,Q591*(1+J591))</f>
        <v/>
      </c>
      <c r="S591" s="4">
        <f>Q591*F591</f>
        <v/>
      </c>
      <c r="T591" s="4">
        <f>R591*F591</f>
        <v/>
      </c>
      <c r="U591" s="3">
        <f>IF(AND(K591&lt;&gt;"",Q591*(1+J591)&gt;K591/VAT_DIV+0.01),"ДА","")</f>
        <v/>
      </c>
      <c r="V591" s="4">
        <f>P591*F591</f>
        <v/>
      </c>
    </row>
    <row r="592" ht="20" customHeight="1">
      <c r="A592" s="9" t="inlineStr">
        <is>
          <t>656. ФЭС-30 капельник над воротами размеры по месту</t>
        </is>
      </c>
      <c r="B592" s="13" t="inlineStr">
        <is>
          <t>Фасонка окрашенная, ~1,3 кг/м</t>
        </is>
      </c>
      <c r="C592" s="9" t="inlineStr">
        <is>
          <t>Металлопрокат и метизы</t>
        </is>
      </c>
      <c r="D592" s="9" t="inlineStr">
        <is>
          <t>кг</t>
        </is>
      </c>
      <c r="E592" s="10" t="n">
        <v>1.3</v>
      </c>
      <c r="F592" s="4">
        <f>E592*IFERROR(INDEX(Работы!$D$4:$D$672,MATCH(SUBSTITUTE(SUBSTITUTE(SUBSTITUTE(A592,"~","~~"),"*","~*"),"?","~?"),Работы!$B$4:$B$672,0)),0)</f>
        <v/>
      </c>
      <c r="G592" s="10" t="n">
        <v>107.68</v>
      </c>
      <c r="H592" s="14" t="n">
        <v>1</v>
      </c>
      <c r="I592" s="11" t="n">
        <v>0.05</v>
      </c>
      <c r="J592" s="11" t="n">
        <v>0.1</v>
      </c>
      <c r="K592" s="10" t="n"/>
      <c r="L592" s="9" t="inlineStr">
        <is>
          <t>Петрович</t>
        </is>
      </c>
      <c r="M592" s="9" t="inlineStr">
        <is>
          <t>https://moscow.petrovich.ru/product/108534/</t>
        </is>
      </c>
      <c r="N592" s="9" t="inlineStr">
        <is>
          <t>2026-10-29</t>
        </is>
      </c>
      <c r="O592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92" s="4">
        <f>IF(H592=1,G592/VAT_DIV,G592)</f>
        <v/>
      </c>
      <c r="Q592" s="4">
        <f>P592*(1+I592)*(1+DELIV)*(1+GROWTH+MONEY)</f>
        <v/>
      </c>
      <c r="R592" s="4">
        <f>IF(AND(K592&lt;&gt;"",Q592*(1+J592)&gt;K592/VAT_DIV),K592/VAT_DIV,Q592*(1+J592))</f>
        <v/>
      </c>
      <c r="S592" s="4">
        <f>Q592*F592</f>
        <v/>
      </c>
      <c r="T592" s="4">
        <f>R592*F592</f>
        <v/>
      </c>
      <c r="U592" s="3">
        <f>IF(AND(K592&lt;&gt;"",Q592*(1+J592)&gt;K592/VAT_DIV+0.01),"ДА","")</f>
        <v/>
      </c>
      <c r="V592" s="4">
        <f>P592*F592</f>
        <v/>
      </c>
    </row>
    <row r="593" ht="20" customHeight="1">
      <c r="A593" s="9" t="inlineStr">
        <is>
          <t>657. ФЭС-31 наличник обрамления ворот размеры по месту</t>
        </is>
      </c>
      <c r="B593" s="13" t="inlineStr">
        <is>
          <t>ФЭС-31 наличник обрамления ворот размеры по месту</t>
        </is>
      </c>
      <c r="C593" s="9" t="inlineStr">
        <is>
          <t>Прочее</t>
        </is>
      </c>
      <c r="D593" s="9" t="inlineStr">
        <is>
          <t>м</t>
        </is>
      </c>
      <c r="E593" s="10" t="n">
        <v>1</v>
      </c>
      <c r="F593" s="4">
        <f>E593*IFERROR(INDEX(Работы!$D$4:$D$672,MATCH(SUBSTITUTE(SUBSTITUTE(SUBSTITUTE(A593,"~","~~"),"*","~*"),"?","~?"),Работы!$B$4:$B$672,0)),0)</f>
        <v/>
      </c>
      <c r="G593" s="10" t="n">
        <v>180</v>
      </c>
      <c r="H593" s="14" t="n">
        <v>1</v>
      </c>
      <c r="I593" s="11" t="n">
        <v>0.03</v>
      </c>
      <c r="J593" s="11" t="n">
        <v>0.15</v>
      </c>
      <c r="K593" s="10" t="n"/>
      <c r="L593" s="9" t="inlineStr">
        <is>
          <t>оценка</t>
        </is>
      </c>
      <c r="M593" s="9" t="inlineStr"/>
      <c r="N593" s="9" t="inlineStr">
        <is>
          <t>2026-10-29</t>
        </is>
      </c>
      <c r="O593" s="13" t="inlineStr">
        <is>
          <t>оценка фурнитуры В Петрович, Лемана ПРО и Сатурн открытой карточки нет, оставлен прежний источник.</t>
        </is>
      </c>
      <c r="P593" s="4">
        <f>IF(H593=1,G593/VAT_DIV,G593)</f>
        <v/>
      </c>
      <c r="Q593" s="4">
        <f>P593*(1+I593)*(1+DELIV)*(1+GROWTH+MONEY)</f>
        <v/>
      </c>
      <c r="R593" s="4">
        <f>IF(AND(K593&lt;&gt;"",Q593*(1+J593)&gt;K593/VAT_DIV),K593/VAT_DIV,Q593*(1+J593))</f>
        <v/>
      </c>
      <c r="S593" s="4">
        <f>Q593*F593</f>
        <v/>
      </c>
      <c r="T593" s="4">
        <f>R593*F593</f>
        <v/>
      </c>
      <c r="U593" s="3">
        <f>IF(AND(K593&lt;&gt;"",Q593*(1+J593)&gt;K593/VAT_DIV+0.01),"ДА","")</f>
        <v/>
      </c>
      <c r="V593" s="4">
        <f>P593*F593</f>
        <v/>
      </c>
    </row>
    <row r="594" ht="20" customHeight="1">
      <c r="A594" s="9" t="inlineStr">
        <is>
          <t>658. ФЭС-32 маска проема ворот размеры по месту</t>
        </is>
      </c>
      <c r="B594" s="13" t="inlineStr">
        <is>
          <t>Фасонка окрашенная, ~1,3 кг/м</t>
        </is>
      </c>
      <c r="C594" s="9" t="inlineStr">
        <is>
          <t>Металлопрокат и метизы</t>
        </is>
      </c>
      <c r="D594" s="9" t="inlineStr">
        <is>
          <t>кг</t>
        </is>
      </c>
      <c r="E594" s="10" t="n">
        <v>1.3</v>
      </c>
      <c r="F594" s="4">
        <f>E594*IFERROR(INDEX(Работы!$D$4:$D$672,MATCH(SUBSTITUTE(SUBSTITUTE(SUBSTITUTE(A594,"~","~~"),"*","~*"),"?","~?"),Работы!$B$4:$B$672,0)),0)</f>
        <v/>
      </c>
      <c r="G594" s="10" t="n">
        <v>107.68</v>
      </c>
      <c r="H594" s="14" t="n">
        <v>1</v>
      </c>
      <c r="I594" s="11" t="n">
        <v>0.05</v>
      </c>
      <c r="J594" s="11" t="n">
        <v>0.1</v>
      </c>
      <c r="K594" s="10" t="n"/>
      <c r="L594" s="9" t="inlineStr">
        <is>
          <t>Петрович</t>
        </is>
      </c>
      <c r="M594" s="9" t="inlineStr">
        <is>
          <t>https://moscow.petrovich.ru/product/108534/</t>
        </is>
      </c>
      <c r="N594" s="9" t="inlineStr">
        <is>
          <t>2026-10-29</t>
        </is>
      </c>
      <c r="O594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94" s="4">
        <f>IF(H594=1,G594/VAT_DIV,G594)</f>
        <v/>
      </c>
      <c r="Q594" s="4">
        <f>P594*(1+I594)*(1+DELIV)*(1+GROWTH+MONEY)</f>
        <v/>
      </c>
      <c r="R594" s="4">
        <f>IF(AND(K594&lt;&gt;"",Q594*(1+J594)&gt;K594/VAT_DIV),K594/VAT_DIV,Q594*(1+J594))</f>
        <v/>
      </c>
      <c r="S594" s="4">
        <f>Q594*F594</f>
        <v/>
      </c>
      <c r="T594" s="4">
        <f>R594*F594</f>
        <v/>
      </c>
      <c r="U594" s="3">
        <f>IF(AND(K594&lt;&gt;"",Q594*(1+J594)&gt;K594/VAT_DIV+0.01),"ДА","")</f>
        <v/>
      </c>
      <c r="V594" s="4">
        <f>P594*F594</f>
        <v/>
      </c>
    </row>
    <row r="595" ht="20" customHeight="1">
      <c r="A595" s="9" t="inlineStr">
        <is>
          <t>659. ФЭС-33 нащельник обрамления ворот размеры по месту</t>
        </is>
      </c>
      <c r="B595" s="13" t="inlineStr">
        <is>
          <t>Фасонка окрашенная, ~1,3 кг/м</t>
        </is>
      </c>
      <c r="C595" s="9" t="inlineStr">
        <is>
          <t>Металлопрокат и метизы</t>
        </is>
      </c>
      <c r="D595" s="9" t="inlineStr">
        <is>
          <t>кг</t>
        </is>
      </c>
      <c r="E595" s="10" t="n">
        <v>1.3</v>
      </c>
      <c r="F595" s="4">
        <f>E595*IFERROR(INDEX(Работы!$D$4:$D$672,MATCH(SUBSTITUTE(SUBSTITUTE(SUBSTITUTE(A595,"~","~~"),"*","~*"),"?","~?"),Работы!$B$4:$B$672,0)),0)</f>
        <v/>
      </c>
      <c r="G595" s="10" t="n">
        <v>107.68</v>
      </c>
      <c r="H595" s="14" t="n">
        <v>1</v>
      </c>
      <c r="I595" s="11" t="n">
        <v>0.05</v>
      </c>
      <c r="J595" s="11" t="n">
        <v>0.1</v>
      </c>
      <c r="K595" s="10" t="n"/>
      <c r="L595" s="9" t="inlineStr">
        <is>
          <t>Петрович</t>
        </is>
      </c>
      <c r="M595" s="9" t="inlineStr">
        <is>
          <t>https://moscow.petrovich.ru/product/108534/</t>
        </is>
      </c>
      <c r="N595" s="9" t="inlineStr">
        <is>
          <t>2026-10-29</t>
        </is>
      </c>
      <c r="O595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95" s="4">
        <f>IF(H595=1,G595/VAT_DIV,G595)</f>
        <v/>
      </c>
      <c r="Q595" s="4">
        <f>P595*(1+I595)*(1+DELIV)*(1+GROWTH+MONEY)</f>
        <v/>
      </c>
      <c r="R595" s="4">
        <f>IF(AND(K595&lt;&gt;"",Q595*(1+J595)&gt;K595/VAT_DIV),K595/VAT_DIV,Q595*(1+J595))</f>
        <v/>
      </c>
      <c r="S595" s="4">
        <f>Q595*F595</f>
        <v/>
      </c>
      <c r="T595" s="4">
        <f>R595*F595</f>
        <v/>
      </c>
      <c r="U595" s="3">
        <f>IF(AND(K595&lt;&gt;"",Q595*(1+J595)&gt;K595/VAT_DIV+0.01),"ДА","")</f>
        <v/>
      </c>
      <c r="V595" s="4">
        <f>P595*F595</f>
        <v/>
      </c>
    </row>
    <row r="596" ht="20" customHeight="1">
      <c r="A596" s="9" t="inlineStr">
        <is>
          <t>660. ФЭС-34 верхний отлив для ворот размеры по месту</t>
        </is>
      </c>
      <c r="B596" s="13" t="inlineStr">
        <is>
          <t>Фасонка окрашенная, ~1,3 кг/м</t>
        </is>
      </c>
      <c r="C596" s="9" t="inlineStr">
        <is>
          <t>Металлопрокат и метизы</t>
        </is>
      </c>
      <c r="D596" s="9" t="inlineStr">
        <is>
          <t>кг</t>
        </is>
      </c>
      <c r="E596" s="10" t="n">
        <v>1.3</v>
      </c>
      <c r="F596" s="4">
        <f>E596*IFERROR(INDEX(Работы!$D$4:$D$672,MATCH(SUBSTITUTE(SUBSTITUTE(SUBSTITUTE(A596,"~","~~"),"*","~*"),"?","~?"),Работы!$B$4:$B$672,0)),0)</f>
        <v/>
      </c>
      <c r="G596" s="10" t="n">
        <v>107.68</v>
      </c>
      <c r="H596" s="14" t="n">
        <v>1</v>
      </c>
      <c r="I596" s="11" t="n">
        <v>0.05</v>
      </c>
      <c r="J596" s="11" t="n">
        <v>0.1</v>
      </c>
      <c r="K596" s="10" t="n"/>
      <c r="L596" s="9" t="inlineStr">
        <is>
          <t>Петрович</t>
        </is>
      </c>
      <c r="M596" s="9" t="inlineStr">
        <is>
          <t>https://moscow.petrovich.ru/product/108534/</t>
        </is>
      </c>
      <c r="N596" s="9" t="inlineStr">
        <is>
          <t>2026-10-29</t>
        </is>
      </c>
      <c r="O596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96" s="4">
        <f>IF(H596=1,G596/VAT_DIV,G596)</f>
        <v/>
      </c>
      <c r="Q596" s="4">
        <f>P596*(1+I596)*(1+DELIV)*(1+GROWTH+MONEY)</f>
        <v/>
      </c>
      <c r="R596" s="4">
        <f>IF(AND(K596&lt;&gt;"",Q596*(1+J596)&gt;K596/VAT_DIV),K596/VAT_DIV,Q596*(1+J596))</f>
        <v/>
      </c>
      <c r="S596" s="4">
        <f>Q596*F596</f>
        <v/>
      </c>
      <c r="T596" s="4">
        <f>R596*F596</f>
        <v/>
      </c>
      <c r="U596" s="3">
        <f>IF(AND(K596&lt;&gt;"",Q596*(1+J596)&gt;K596/VAT_DIV+0.01),"ДА","")</f>
        <v/>
      </c>
      <c r="V596" s="4">
        <f>P596*F596</f>
        <v/>
      </c>
    </row>
    <row r="597" ht="20" customHeight="1">
      <c r="A597" s="9" t="inlineStr">
        <is>
          <t>661. ФЭК-1 парапетная крышка размеры по месту</t>
        </is>
      </c>
      <c r="B597" s="13" t="inlineStr">
        <is>
          <t>Фасонка окрашенная, ~1,3 кг/м</t>
        </is>
      </c>
      <c r="C597" s="9" t="inlineStr">
        <is>
          <t>Металлопрокат и метизы</t>
        </is>
      </c>
      <c r="D597" s="9" t="inlineStr">
        <is>
          <t>кг</t>
        </is>
      </c>
      <c r="E597" s="10" t="n">
        <v>1.3</v>
      </c>
      <c r="F597" s="4">
        <f>E597*IFERROR(INDEX(Работы!$D$4:$D$672,MATCH(SUBSTITUTE(SUBSTITUTE(SUBSTITUTE(A597,"~","~~"),"*","~*"),"?","~?"),Работы!$B$4:$B$672,0)),0)</f>
        <v/>
      </c>
      <c r="G597" s="10" t="n">
        <v>107.68</v>
      </c>
      <c r="H597" s="14" t="n">
        <v>1</v>
      </c>
      <c r="I597" s="11" t="n">
        <v>0.05</v>
      </c>
      <c r="J597" s="11" t="n">
        <v>0.1</v>
      </c>
      <c r="K597" s="10" t="n"/>
      <c r="L597" s="9" t="inlineStr">
        <is>
          <t>Петрович</t>
        </is>
      </c>
      <c r="M597" s="9" t="inlineStr">
        <is>
          <t>https://moscow.petrovich.ru/product/108534/</t>
        </is>
      </c>
      <c r="N597" s="9" t="inlineStr">
        <is>
          <t>2026-10-29</t>
        </is>
      </c>
      <c r="O597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97" s="4">
        <f>IF(H597=1,G597/VAT_DIV,G597)</f>
        <v/>
      </c>
      <c r="Q597" s="4">
        <f>P597*(1+I597)*(1+DELIV)*(1+GROWTH+MONEY)</f>
        <v/>
      </c>
      <c r="R597" s="4">
        <f>IF(AND(K597&lt;&gt;"",Q597*(1+J597)&gt;K597/VAT_DIV),K597/VAT_DIV,Q597*(1+J597))</f>
        <v/>
      </c>
      <c r="S597" s="4">
        <f>Q597*F597</f>
        <v/>
      </c>
      <c r="T597" s="4">
        <f>R597*F597</f>
        <v/>
      </c>
      <c r="U597" s="3">
        <f>IF(AND(K597&lt;&gt;"",Q597*(1+J597)&gt;K597/VAT_DIV+0.01),"ДА","")</f>
        <v/>
      </c>
      <c r="V597" s="4">
        <f>P597*F597</f>
        <v/>
      </c>
    </row>
    <row r="598" ht="20" customHeight="1">
      <c r="A598" s="9" t="inlineStr">
        <is>
          <t>662. ФЭК-2 парапетная крышка размеры по месту</t>
        </is>
      </c>
      <c r="B598" s="13" t="inlineStr">
        <is>
          <t>Фасонка окрашенная, ~1,3 кг/м</t>
        </is>
      </c>
      <c r="C598" s="9" t="inlineStr">
        <is>
          <t>Металлопрокат и метизы</t>
        </is>
      </c>
      <c r="D598" s="9" t="inlineStr">
        <is>
          <t>кг</t>
        </is>
      </c>
      <c r="E598" s="10" t="n">
        <v>1.3</v>
      </c>
      <c r="F598" s="4">
        <f>E598*IFERROR(INDEX(Работы!$D$4:$D$672,MATCH(SUBSTITUTE(SUBSTITUTE(SUBSTITUTE(A598,"~","~~"),"*","~*"),"?","~?"),Работы!$B$4:$B$672,0)),0)</f>
        <v/>
      </c>
      <c r="G598" s="10" t="n">
        <v>107.68</v>
      </c>
      <c r="H598" s="14" t="n">
        <v>1</v>
      </c>
      <c r="I598" s="11" t="n">
        <v>0.05</v>
      </c>
      <c r="J598" s="11" t="n">
        <v>0.1</v>
      </c>
      <c r="K598" s="10" t="n"/>
      <c r="L598" s="9" t="inlineStr">
        <is>
          <t>Петрович</t>
        </is>
      </c>
      <c r="M598" s="9" t="inlineStr">
        <is>
          <t>https://moscow.petrovich.ru/product/108534/</t>
        </is>
      </c>
      <c r="N598" s="9" t="inlineStr">
        <is>
          <t>2026-10-29</t>
        </is>
      </c>
      <c r="O598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98" s="4">
        <f>IF(H598=1,G598/VAT_DIV,G598)</f>
        <v/>
      </c>
      <c r="Q598" s="4">
        <f>P598*(1+I598)*(1+DELIV)*(1+GROWTH+MONEY)</f>
        <v/>
      </c>
      <c r="R598" s="4">
        <f>IF(AND(K598&lt;&gt;"",Q598*(1+J598)&gt;K598/VAT_DIV),K598/VAT_DIV,Q598*(1+J598))</f>
        <v/>
      </c>
      <c r="S598" s="4">
        <f>Q598*F598</f>
        <v/>
      </c>
      <c r="T598" s="4">
        <f>R598*F598</f>
        <v/>
      </c>
      <c r="U598" s="3">
        <f>IF(AND(K598&lt;&gt;"",Q598*(1+J598)&gt;K598/VAT_DIV+0.01),"ДА","")</f>
        <v/>
      </c>
      <c r="V598" s="4">
        <f>P598*F598</f>
        <v/>
      </c>
    </row>
    <row r="599" ht="20" customHeight="1">
      <c r="A599" s="9" t="inlineStr">
        <is>
          <t>663. ФЭК-3 планка примыкания парапета размеры по месту</t>
        </is>
      </c>
      <c r="B599" s="13" t="inlineStr">
        <is>
          <t>Планка 150х250, ~1,6 кг/м</t>
        </is>
      </c>
      <c r="C599" s="9" t="inlineStr">
        <is>
          <t>Металлопрокат и метизы</t>
        </is>
      </c>
      <c r="D599" s="9" t="inlineStr">
        <is>
          <t>кг</t>
        </is>
      </c>
      <c r="E599" s="10" t="n">
        <v>1.6</v>
      </c>
      <c r="F599" s="4">
        <f>E599*IFERROR(INDEX(Работы!$D$4:$D$672,MATCH(SUBSTITUTE(SUBSTITUTE(SUBSTITUTE(A599,"~","~~"),"*","~*"),"?","~?"),Работы!$B$4:$B$672,0)),0)</f>
        <v/>
      </c>
      <c r="G599" s="10" t="n">
        <v>107.68</v>
      </c>
      <c r="H599" s="14" t="n">
        <v>1</v>
      </c>
      <c r="I599" s="11" t="n">
        <v>0.05</v>
      </c>
      <c r="J599" s="11" t="n">
        <v>0.1</v>
      </c>
      <c r="K599" s="10" t="n"/>
      <c r="L599" s="9" t="inlineStr">
        <is>
          <t>Петрович</t>
        </is>
      </c>
      <c r="M599" s="9" t="inlineStr">
        <is>
          <t>https://moscow.petrovich.ru/product/108534/</t>
        </is>
      </c>
      <c r="N599" s="9" t="inlineStr">
        <is>
          <t>2026-10-29</t>
        </is>
      </c>
      <c r="O599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599" s="4">
        <f>IF(H599=1,G599/VAT_DIV,G599)</f>
        <v/>
      </c>
      <c r="Q599" s="4">
        <f>P599*(1+I599)*(1+DELIV)*(1+GROWTH+MONEY)</f>
        <v/>
      </c>
      <c r="R599" s="4">
        <f>IF(AND(K599&lt;&gt;"",Q599*(1+J599)&gt;K599/VAT_DIV),K599/VAT_DIV,Q599*(1+J599))</f>
        <v/>
      </c>
      <c r="S599" s="4">
        <f>Q599*F599</f>
        <v/>
      </c>
      <c r="T599" s="4">
        <f>R599*F599</f>
        <v/>
      </c>
      <c r="U599" s="3">
        <f>IF(AND(K599&lt;&gt;"",Q599*(1+J599)&gt;K599/VAT_DIV+0.01),"ДА","")</f>
        <v/>
      </c>
      <c r="V599" s="4">
        <f>P599*F599</f>
        <v/>
      </c>
    </row>
    <row r="600" ht="20" customHeight="1">
      <c r="A600" s="9" t="inlineStr">
        <is>
          <t>664. ФЭК-4 планка примыкания парапета размеры по месту</t>
        </is>
      </c>
      <c r="B600" s="13" t="inlineStr">
        <is>
          <t>Планка 150х250, ~1,6 кг/м</t>
        </is>
      </c>
      <c r="C600" s="9" t="inlineStr">
        <is>
          <t>Металлопрокат и метизы</t>
        </is>
      </c>
      <c r="D600" s="9" t="inlineStr">
        <is>
          <t>кг</t>
        </is>
      </c>
      <c r="E600" s="10" t="n">
        <v>1.6</v>
      </c>
      <c r="F600" s="4">
        <f>E600*IFERROR(INDEX(Работы!$D$4:$D$672,MATCH(SUBSTITUTE(SUBSTITUTE(SUBSTITUTE(A600,"~","~~"),"*","~*"),"?","~?"),Работы!$B$4:$B$672,0)),0)</f>
        <v/>
      </c>
      <c r="G600" s="10" t="n">
        <v>107.68</v>
      </c>
      <c r="H600" s="14" t="n">
        <v>1</v>
      </c>
      <c r="I600" s="11" t="n">
        <v>0.05</v>
      </c>
      <c r="J600" s="11" t="n">
        <v>0.1</v>
      </c>
      <c r="K600" s="10" t="n"/>
      <c r="L600" s="9" t="inlineStr">
        <is>
          <t>Петрович</t>
        </is>
      </c>
      <c r="M600" s="9" t="inlineStr">
        <is>
          <t>https://moscow.petrovich.ru/product/108534/</t>
        </is>
      </c>
      <c r="N600" s="9" t="inlineStr">
        <is>
          <t>2026-10-29</t>
        </is>
      </c>
      <c r="O600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600" s="4">
        <f>IF(H600=1,G600/VAT_DIV,G600)</f>
        <v/>
      </c>
      <c r="Q600" s="4">
        <f>P600*(1+I600)*(1+DELIV)*(1+GROWTH+MONEY)</f>
        <v/>
      </c>
      <c r="R600" s="4">
        <f>IF(AND(K600&lt;&gt;"",Q600*(1+J600)&gt;K600/VAT_DIV),K600/VAT_DIV,Q600*(1+J600))</f>
        <v/>
      </c>
      <c r="S600" s="4">
        <f>Q600*F600</f>
        <v/>
      </c>
      <c r="T600" s="4">
        <f>R600*F600</f>
        <v/>
      </c>
      <c r="U600" s="3">
        <f>IF(AND(K600&lt;&gt;"",Q600*(1+J600)&gt;K600/VAT_DIV+0.01),"ДА","")</f>
        <v/>
      </c>
      <c r="V600" s="4">
        <f>P600*F600</f>
        <v/>
      </c>
    </row>
    <row r="601" ht="20" customHeight="1">
      <c r="A601" s="9" t="inlineStr">
        <is>
          <t>665. ФЭК-6 примыкание к парапету поперечное размеры по месту</t>
        </is>
      </c>
      <c r="B601" s="13" t="inlineStr">
        <is>
          <t>Фасонка окрашенная, ~1,3 кг/м</t>
        </is>
      </c>
      <c r="C601" s="9" t="inlineStr">
        <is>
          <t>Металлопрокат и метизы</t>
        </is>
      </c>
      <c r="D601" s="9" t="inlineStr">
        <is>
          <t>кг</t>
        </is>
      </c>
      <c r="E601" s="10" t="n">
        <v>1.3</v>
      </c>
      <c r="F601" s="4">
        <f>E601*IFERROR(INDEX(Работы!$D$4:$D$672,MATCH(SUBSTITUTE(SUBSTITUTE(SUBSTITUTE(A601,"~","~~"),"*","~*"),"?","~?"),Работы!$B$4:$B$672,0)),0)</f>
        <v/>
      </c>
      <c r="G601" s="10" t="n">
        <v>107.68</v>
      </c>
      <c r="H601" s="14" t="n">
        <v>1</v>
      </c>
      <c r="I601" s="11" t="n">
        <v>0.05</v>
      </c>
      <c r="J601" s="11" t="n">
        <v>0.1</v>
      </c>
      <c r="K601" s="10" t="n"/>
      <c r="L601" s="9" t="inlineStr">
        <is>
          <t>Петрович</t>
        </is>
      </c>
      <c r="M601" s="9" t="inlineStr">
        <is>
          <t>https://moscow.petrovich.ru/product/108534/</t>
        </is>
      </c>
      <c r="N601" s="9" t="inlineStr">
        <is>
          <t>2026-10-29</t>
        </is>
      </c>
      <c r="O601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601" s="4">
        <f>IF(H601=1,G601/VAT_DIV,G601)</f>
        <v/>
      </c>
      <c r="Q601" s="4">
        <f>P601*(1+I601)*(1+DELIV)*(1+GROWTH+MONEY)</f>
        <v/>
      </c>
      <c r="R601" s="4">
        <f>IF(AND(K601&lt;&gt;"",Q601*(1+J601)&gt;K601/VAT_DIV),K601/VAT_DIV,Q601*(1+J601))</f>
        <v/>
      </c>
      <c r="S601" s="4">
        <f>Q601*F601</f>
        <v/>
      </c>
      <c r="T601" s="4">
        <f>R601*F601</f>
        <v/>
      </c>
      <c r="U601" s="3">
        <f>IF(AND(K601&lt;&gt;"",Q601*(1+J601)&gt;K601/VAT_DIV+0.01),"ДА","")</f>
        <v/>
      </c>
      <c r="V601" s="4">
        <f>P601*F601</f>
        <v/>
      </c>
    </row>
    <row r="602" ht="20" customHeight="1">
      <c r="A602" s="9" t="inlineStr">
        <is>
          <t>666. ФЭК-20 ветровая планка размеры по месту</t>
        </is>
      </c>
      <c r="B602" s="13" t="inlineStr">
        <is>
          <t>Фасонка окрашенная, ~1,3 кг/м</t>
        </is>
      </c>
      <c r="C602" s="9" t="inlineStr">
        <is>
          <t>Металлопрокат и метизы</t>
        </is>
      </c>
      <c r="D602" s="9" t="inlineStr">
        <is>
          <t>кг</t>
        </is>
      </c>
      <c r="E602" s="10" t="n">
        <v>1.3</v>
      </c>
      <c r="F602" s="4">
        <f>E602*IFERROR(INDEX(Работы!$D$4:$D$672,MATCH(SUBSTITUTE(SUBSTITUTE(SUBSTITUTE(A602,"~","~~"),"*","~*"),"?","~?"),Работы!$B$4:$B$672,0)),0)</f>
        <v/>
      </c>
      <c r="G602" s="10" t="n">
        <v>107.68</v>
      </c>
      <c r="H602" s="14" t="n">
        <v>1</v>
      </c>
      <c r="I602" s="11" t="n">
        <v>0.05</v>
      </c>
      <c r="J602" s="11" t="n">
        <v>0.1</v>
      </c>
      <c r="K602" s="10" t="n"/>
      <c r="L602" s="9" t="inlineStr">
        <is>
          <t>Петрович</t>
        </is>
      </c>
      <c r="M602" s="9" t="inlineStr">
        <is>
          <t>https://moscow.petrovich.ru/product/108534/</t>
        </is>
      </c>
      <c r="N602" s="9" t="inlineStr">
        <is>
          <t>2026-10-29</t>
        </is>
      </c>
      <c r="O602" s="13" t="inlineStr">
        <is>
          <t>Петрович, труба 40х40х2, 587 руб/3 м с НДС, 7,36 кг. Цена кг с НДС 79.76. Карта клуба не учитывалась. коэффициент 1.35 к чёрному — оценка, запросить КП металлобазы</t>
        </is>
      </c>
      <c r="P602" s="4">
        <f>IF(H602=1,G602/VAT_DIV,G602)</f>
        <v/>
      </c>
      <c r="Q602" s="4">
        <f>P602*(1+I602)*(1+DELIV)*(1+GROWTH+MONEY)</f>
        <v/>
      </c>
      <c r="R602" s="4">
        <f>IF(AND(K602&lt;&gt;"",Q602*(1+J602)&gt;K602/VAT_DIV),K602/VAT_DIV,Q602*(1+J602))</f>
        <v/>
      </c>
      <c r="S602" s="4">
        <f>Q602*F602</f>
        <v/>
      </c>
      <c r="T602" s="4">
        <f>R602*F602</f>
        <v/>
      </c>
      <c r="U602" s="3">
        <f>IF(AND(K602&lt;&gt;"",Q602*(1+J602)&gt;K602/VAT_DIV+0.01),"ДА","")</f>
        <v/>
      </c>
      <c r="V602" s="4">
        <f>P602*F602</f>
        <v/>
      </c>
    </row>
    <row r="603" ht="20" customHeight="1">
      <c r="A603" s="9" t="inlineStr">
        <is>
          <t>667. Уплотнительная лента ППЭ 3/30 20м.п</t>
        </is>
      </c>
      <c r="B603" s="13" t="inlineStr">
        <is>
          <t>Уплотнительная лента ППЭ 3/30 20м.п</t>
        </is>
      </c>
      <c r="C603" s="9" t="inlineStr">
        <is>
          <t>ГКЛ, профиль, комплектующие</t>
        </is>
      </c>
      <c r="D603" s="9" t="inlineStr">
        <is>
          <t>м</t>
        </is>
      </c>
      <c r="E603" s="10" t="n">
        <v>1</v>
      </c>
      <c r="F603" s="4">
        <f>E603*IFERROR(INDEX(Работы!$D$4:$D$672,MATCH(SUBSTITUTE(SUBSTITUTE(SUBSTITUTE(A603,"~","~~"),"*","~*"),"?","~?"),Работы!$B$4:$B$672,0)),0)</f>
        <v/>
      </c>
      <c r="G603" s="10" t="n">
        <v>15</v>
      </c>
      <c r="H603" s="14" t="n">
        <v>1</v>
      </c>
      <c r="I603" s="11" t="n">
        <v>0.07000000000000001</v>
      </c>
      <c r="J603" s="11" t="n">
        <v>0.12</v>
      </c>
      <c r="K603" s="10" t="n"/>
      <c r="L603" s="9" t="inlineStr">
        <is>
          <t>оценка</t>
        </is>
      </c>
      <c r="M603" s="9" t="inlineStr"/>
      <c r="N603" s="9" t="inlineStr">
        <is>
          <t>2026-10-29</t>
        </is>
      </c>
      <c r="O603" s="13" t="inlineStr">
        <is>
          <t>оценка В Петрович, Лемана ПРО и Сатурн открытой карточки нет, оставлен прежний источник.</t>
        </is>
      </c>
      <c r="P603" s="4">
        <f>IF(H603=1,G603/VAT_DIV,G603)</f>
        <v/>
      </c>
      <c r="Q603" s="4">
        <f>P603*(1+I603)*(1+DELIV)*(1+GROWTH+MONEY)</f>
        <v/>
      </c>
      <c r="R603" s="4">
        <f>IF(AND(K603&lt;&gt;"",Q603*(1+J603)&gt;K603/VAT_DIV),K603/VAT_DIV,Q603*(1+J603))</f>
        <v/>
      </c>
      <c r="S603" s="4">
        <f>Q603*F603</f>
        <v/>
      </c>
      <c r="T603" s="4">
        <f>R603*F603</f>
        <v/>
      </c>
      <c r="U603" s="3">
        <f>IF(AND(K603&lt;&gt;"",Q603*(1+J603)&gt;K603/VAT_DIV+0.01),"ДА","")</f>
        <v/>
      </c>
      <c r="V603" s="4">
        <f>P603*F603</f>
        <v/>
      </c>
    </row>
    <row r="604" ht="20" customHeight="1">
      <c r="A604" s="9" t="inlineStr">
        <is>
          <t>668. Шлагбаум  Came  GARD  6500 или аналог включая монтажно-демонтажные работы и ПНР</t>
        </is>
      </c>
      <c r="B604" s="13" t="inlineStr">
        <is>
          <t>Шлагбаум Came Gard 6500</t>
        </is>
      </c>
      <c r="C604" s="9" t="inlineStr">
        <is>
          <t>ОБОРУДОВАНИЕ (вентустановки, кондиционеры, насосы, щиты под заказ)</t>
        </is>
      </c>
      <c r="D604" s="9" t="inlineStr">
        <is>
          <t>шт</t>
        </is>
      </c>
      <c r="E604" s="10" t="n">
        <v>1</v>
      </c>
      <c r="F604" s="4">
        <f>E604*IFERROR(INDEX(Работы!$D$4:$D$672,MATCH(SUBSTITUTE(SUBSTITUTE(SUBSTITUTE(A604,"~","~~"),"*","~*"),"?","~?"),Работы!$B$4:$B$672,0)),0)</f>
        <v/>
      </c>
      <c r="G604" s="10" t="n">
        <v>158900</v>
      </c>
      <c r="H604" s="14" t="n">
        <v>1</v>
      </c>
      <c r="I604" s="11" t="n">
        <v>0</v>
      </c>
      <c r="J604" s="11" t="n">
        <v>0.1</v>
      </c>
      <c r="K604" s="10" t="n"/>
      <c r="L604" s="9" t="inlineStr">
        <is>
          <t>Тинко</t>
        </is>
      </c>
      <c r="M604" s="9" t="inlineStr">
        <is>
          <t>https://www.tinko.ru/catalog/product/287288/</t>
        </is>
      </c>
      <c r="N604" s="9" t="inlineStr">
        <is>
          <t>2026-10-29</t>
        </is>
      </c>
      <c r="O604" s="13" t="inlineStr">
        <is>
          <t>G6500 KIT 158 900 руб. Тинко и СЕК-ГРУПП; proshlagbaum 159 900. Монтаж в расценке отдельно В Петрович, Лемана ПРО и Сатурн открытой карточки нет, оставлен прежний источник.</t>
        </is>
      </c>
      <c r="P604" s="4">
        <f>IF(H604=1,G604/VAT_DIV,G604)</f>
        <v/>
      </c>
      <c r="Q604" s="4">
        <f>P604*(1+I604)*(1+DELIV)*(1+GROWTH+MONEY)</f>
        <v/>
      </c>
      <c r="R604" s="4">
        <f>IF(AND(K604&lt;&gt;"",Q604*(1+J604)&gt;K604/VAT_DIV),K604/VAT_DIV,Q604*(1+J604))</f>
        <v/>
      </c>
      <c r="S604" s="4">
        <f>Q604*F604</f>
        <v/>
      </c>
      <c r="T604" s="4">
        <f>R604*F604</f>
        <v/>
      </c>
      <c r="U604" s="3">
        <f>IF(AND(K604&lt;&gt;"",Q604*(1+J604)&gt;K604/VAT_DIV+0.01),"ДА","")</f>
        <v/>
      </c>
      <c r="V604" s="4">
        <f>P604*F604</f>
        <v/>
      </c>
    </row>
    <row r="605" ht="20" customHeight="1">
      <c r="A605" s="9" t="inlineStr">
        <is>
          <t>669. Перила для лестницы нержавейка комплект АЛЮТРЕЙД или аналог  включая монтаж и анкерное крепление</t>
        </is>
      </c>
      <c r="B605" s="13" t="inlineStr">
        <is>
          <t>Перила для лестницы нержавейка комплект АЛЮТРЕЙД или аналог  включая монтаж и ан</t>
        </is>
      </c>
      <c r="C605" s="9" t="inlineStr">
        <is>
          <t>Металлопрокат и метизы</t>
        </is>
      </c>
      <c r="D605" s="9" t="inlineStr">
        <is>
          <t>м</t>
        </is>
      </c>
      <c r="E605" s="10" t="n">
        <v>1</v>
      </c>
      <c r="F605" s="4">
        <f>E605*IFERROR(INDEX(Работы!$D$4:$D$672,MATCH(SUBSTITUTE(SUBSTITUTE(SUBSTITUTE(A605,"~","~~"),"*","~*"),"?","~?"),Работы!$B$4:$B$672,0)),0)</f>
        <v/>
      </c>
      <c r="G605" s="10" t="n">
        <v>4500</v>
      </c>
      <c r="H605" s="14" t="n">
        <v>1</v>
      </c>
      <c r="I605" s="11" t="n">
        <v>0.05</v>
      </c>
      <c r="J605" s="11" t="n">
        <v>0.1</v>
      </c>
      <c r="K605" s="10" t="n"/>
      <c r="L605" s="9" t="inlineStr">
        <is>
          <t>оценка</t>
        </is>
      </c>
      <c r="M605" s="9" t="inlineStr"/>
      <c r="N605" s="9" t="inlineStr">
        <is>
          <t>2026-10-29</t>
        </is>
      </c>
      <c r="O605" s="13" t="inlineStr">
        <is>
          <t>оценка нержавеющего ограждения, запросить КП В Петрович, Лемана ПРО и Сатурн открытой карточки нет, оставлен прежний источник.</t>
        </is>
      </c>
      <c r="P605" s="4">
        <f>IF(H605=1,G605/VAT_DIV,G605)</f>
        <v/>
      </c>
      <c r="Q605" s="4">
        <f>P605*(1+I605)*(1+DELIV)*(1+GROWTH+MONEY)</f>
        <v/>
      </c>
      <c r="R605" s="4">
        <f>IF(AND(K605&lt;&gt;"",Q605*(1+J605)&gt;K605/VAT_DIV),K605/VAT_DIV,Q605*(1+J605))</f>
        <v/>
      </c>
      <c r="S605" s="4">
        <f>Q605*F605</f>
        <v/>
      </c>
      <c r="T605" s="4">
        <f>R605*F605</f>
        <v/>
      </c>
      <c r="U605" s="3">
        <f>IF(AND(K605&lt;&gt;"",Q605*(1+J605)&gt;K605/VAT_DIV+0.01),"ДА","")</f>
        <v/>
      </c>
      <c r="V605" s="4">
        <f>P605*F605</f>
        <v/>
      </c>
    </row>
    <row r="606" ht="20" customHeight="1">
      <c r="A606" s="9" t="inlineStr">
        <is>
          <t>670. Профнастил С-10 дляфасада RAL по месту</t>
        </is>
      </c>
      <c r="B606" s="13" t="inlineStr">
        <is>
          <t>Профнастил С-10 дляфасада RAL по месту</t>
        </is>
      </c>
      <c r="C606" s="9" t="inlineStr">
        <is>
          <t>Кровельные материалы и утеплитель</t>
        </is>
      </c>
      <c r="D606" s="9" t="inlineStr">
        <is>
          <t>м2</t>
        </is>
      </c>
      <c r="E606" s="10" t="n">
        <v>1.08</v>
      </c>
      <c r="F606" s="4">
        <f>E606*IFERROR(INDEX(Работы!$D$4:$D$672,MATCH(SUBSTITUTE(SUBSTITUTE(SUBSTITUTE(A606,"~","~~"),"*","~*"),"?","~?"),Работы!$B$4:$B$672,0)),0)</f>
        <v/>
      </c>
      <c r="G606" s="10" t="n">
        <v>560</v>
      </c>
      <c r="H606" s="14" t="n">
        <v>1</v>
      </c>
      <c r="I606" s="11" t="n">
        <v>0.1</v>
      </c>
      <c r="J606" s="11" t="n">
        <v>0.12</v>
      </c>
      <c r="K606" s="10" t="n"/>
      <c r="L606" s="9" t="inlineStr">
        <is>
          <t>оценка</t>
        </is>
      </c>
      <c r="M606" s="9" t="inlineStr"/>
      <c r="N606" s="9" t="inlineStr">
        <is>
          <t>2026-10-29</t>
        </is>
      </c>
      <c r="O606" s="13" t="inlineStr">
        <is>
          <t>оценка профлиста С8 0,45–0,5, запросить металлобазу В Петрович, Лемана ПРО и Сатурн открытой карточки нет, оставлен прежний источник.</t>
        </is>
      </c>
      <c r="P606" s="4">
        <f>IF(H606=1,G606/VAT_DIV,G606)</f>
        <v/>
      </c>
      <c r="Q606" s="4">
        <f>P606*(1+I606)*(1+DELIV)*(1+GROWTH+MONEY)</f>
        <v/>
      </c>
      <c r="R606" s="4">
        <f>IF(AND(K606&lt;&gt;"",Q606*(1+J606)&gt;K606/VAT_DIV),K606/VAT_DIV,Q606*(1+J606))</f>
        <v/>
      </c>
      <c r="S606" s="4">
        <f>Q606*F606</f>
        <v/>
      </c>
      <c r="T606" s="4">
        <f>R606*F606</f>
        <v/>
      </c>
      <c r="U606" s="3">
        <f>IF(AND(K606&lt;&gt;"",Q606*(1+J606)&gt;K606/VAT_DIV+0.01),"ДА","")</f>
        <v/>
      </c>
      <c r="V606" s="4">
        <f>P606*F606</f>
        <v/>
      </c>
    </row>
  </sheetData>
  <autoFilter ref="A3:V3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8" customWidth="1" min="3" max="3"/>
  </cols>
  <sheetData>
    <row r="1">
      <c r="A1" s="12" t="inlineStr">
        <is>
          <t>Косвенные считаются от листов «Работы» и «Материалы» и от процентов на «Параметрах».</t>
        </is>
      </c>
    </row>
    <row r="2"/>
    <row r="3" ht="32" customHeight="1">
      <c r="A3" s="2" t="inlineStr">
        <is>
          <t>Статья</t>
        </is>
      </c>
      <c r="B3" s="2" t="inlineStr">
        <is>
          <t>Расчёт</t>
        </is>
      </c>
      <c r="C3" s="2" t="inlineStr">
        <is>
          <t>Сумма</t>
        </is>
      </c>
    </row>
    <row r="4">
      <c r="A4" s="9" t="inlineStr">
        <is>
          <t>Разъезды и мобилизация по площадкам Москвы и МО</t>
        </is>
      </c>
      <c r="B4" s="9" t="inlineStr">
        <is>
          <t>P_LOG * оплата бригадам</t>
        </is>
      </c>
      <c r="C4" s="4">
        <f>P_LOG*SUM(Работы!L4:L800)</f>
        <v/>
      </c>
    </row>
    <row r="5">
      <c r="A5" s="9" t="inlineStr">
        <is>
          <t>Мастер на заявках</t>
        </is>
      </c>
      <c r="B5" s="9" t="inlineStr">
        <is>
          <t>P_ITR * оплата бригадам. Диспетчер 24/7 сюда не входит</t>
        </is>
      </c>
      <c r="C5" s="4">
        <f>P_ITR*SUM(Работы!L4:L800)</f>
        <v/>
      </c>
    </row>
    <row r="6">
      <c r="A6" s="9" t="inlineStr">
        <is>
          <t>Резерв удержания цены 2 года</t>
        </is>
      </c>
      <c r="B6" s="9" t="inlineStr">
        <is>
          <t>P_HOLD * закупка материалов без НДС</t>
        </is>
      </c>
      <c r="C6" s="4">
        <f>P_HOLD*SUM(Материалы!V4:V800)</f>
        <v/>
      </c>
    </row>
    <row r="7">
      <c r="A7" s="9" t="inlineStr">
        <is>
          <t>Резерв на гарантию</t>
        </is>
      </c>
      <c r="B7" s="9" t="inlineStr">
        <is>
          <t>P_WAR * (бригада + закупка)</t>
        </is>
      </c>
      <c r="C7" s="4">
        <f>P_WAR*(SUM(Работы!L4:L800)+SUM(Материалы!V4:V800))</f>
        <v/>
      </c>
    </row>
    <row r="8">
      <c r="A8" s="9" t="inlineStr">
        <is>
          <t>Резерв на риски действующего склада</t>
        </is>
      </c>
      <c r="B8" s="9" t="inlineStr">
        <is>
          <t>P_RISK * (бригада + закупка)</t>
        </is>
      </c>
      <c r="C8" s="4">
        <f>P_RISK*(SUM(Работы!L4:L800)+SUM(Материалы!V4:V800))</f>
        <v/>
      </c>
    </row>
    <row r="9">
      <c r="A9" s="15" t="inlineStr">
        <is>
          <t>Итого</t>
        </is>
      </c>
      <c r="C9" s="6">
        <f>SUM(C4:C8)</f>
        <v/>
      </c>
    </row>
  </sheetData>
  <autoFilter ref="A3:C3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A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6" customWidth="1" min="4" max="4"/>
    <col width="16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 ht="48" customHeight="1">
      <c r="A1" s="2" t="inlineStr">
        <is>
          <t>Раздел</t>
        </is>
      </c>
      <c r="B1" s="2" t="inlineStr">
        <is>
          <t>Подраздел</t>
        </is>
      </c>
      <c r="C1" s="2" t="inlineStr">
        <is>
          <t>Тип работ</t>
        </is>
      </c>
      <c r="D1" s="2" t="inlineStr">
        <is>
          <t>Наименование материалов используемых в РСР</t>
        </is>
      </c>
      <c r="E1" s="2" t="inlineStr">
        <is>
          <t>Стоимость услуги за еденицу RUB без НДС</t>
        </is>
      </c>
      <c r="F1" s="2" t="inlineStr">
        <is>
          <t>Ед.изм</t>
        </is>
      </c>
      <c r="G1" s="2" t="inlineStr">
        <is>
          <t>1.Ozon Москва, Москва, ул Гренадерская, д. 1 стр. 6.</t>
        </is>
      </c>
      <c r="H1" s="2" t="inlineStr">
        <is>
          <t>2.	Московская область, городской округ Подольск, деревня Гривно, территория промышленного парка Гривно, д. 1, к. 13</t>
        </is>
      </c>
      <c r="I1" s="2" t="inlineStr">
        <is>
          <t>3.	Московская область городской округ Домодедово, дер. Кучино, стр. 52.</t>
        </is>
      </c>
      <c r="J1" s="2" t="inlineStr">
        <is>
          <t>4.	Московская область Жуковский, район Замоскворечье, 457, стр. 5</t>
        </is>
      </c>
      <c r="K1" s="2" t="inlineStr">
        <is>
          <t>5.	Московская область, Раменский городской округ, территория Логистический технопарк Софьино, 2/1</t>
        </is>
      </c>
      <c r="L1" s="2" t="inlineStr">
        <is>
          <t>6. Московская область, Троицкий муниципальный округ . Квартал номер 80</t>
        </is>
      </c>
      <c r="M1" s="2" t="inlineStr">
        <is>
          <t>7.Московская область, село Петровское территория МПСК ориентир запад здание 2</t>
        </is>
      </c>
      <c r="N1" s="2" t="inlineStr">
        <is>
          <t>Стоимость материалов без НДС</t>
        </is>
      </c>
      <c r="O1" s="2" t="inlineStr">
        <is>
          <t>Стоимость монтажных работ без НДС</t>
        </is>
      </c>
      <c r="P1" s="2" t="inlineStr">
        <is>
          <t xml:space="preserve">  8.  Московская область го Красногорск, поселок Ильинское-Усово , территория СмартПарк Новая Рига</t>
        </is>
      </c>
      <c r="Q1" s="2" t="inlineStr">
        <is>
          <t>9   обл. Московская, Никольское, МО Дмитровский р-он п. Никольское 205 стр 1</t>
        </is>
      </c>
      <c r="R1" s="2" t="inlineStr">
        <is>
          <t>10.   Московская область район Замоскворечье, 866, Жуковский, Московская область(склад шин)</t>
        </is>
      </c>
      <c r="S1" s="2" t="inlineStr">
        <is>
          <t>11.  Московская область район Замоскворечье, 92, Жуковский, Московская область</t>
        </is>
      </c>
      <c r="T1" s="2" t="inlineStr">
        <is>
          <t xml:space="preserve">12.  Московская область Промышленная улица, 10, микрорайон Центральный, Домодедово, </t>
        </is>
      </c>
      <c r="U1" s="2" t="inlineStr">
        <is>
          <t>13     Московская область территория МПСК Ориентир-Запад, 1Б, муниципальный округ Истра, Московская область</t>
        </is>
      </c>
      <c r="V1" s="2" t="inlineStr">
        <is>
          <t>14      Московская область территория МПСК Ориентир-Запад, 2, муниципальный округ Истра, Московская область</t>
        </is>
      </c>
      <c r="W1" s="2" t="inlineStr">
        <is>
          <t>15     Московская область Дачная улица, 3, деревня Давыдовское, муниципальный округ Истра, Московская область</t>
        </is>
      </c>
      <c r="X1" s="2" t="inlineStr">
        <is>
          <t>16     Московская область территория ПромТехАльянс, 1с2, городской округ Подольск, Московская область, 142143</t>
        </is>
      </c>
      <c r="Y1" s="2" t="inlineStr">
        <is>
          <t>17 г. Москва, Россия, Москва, Проектируемый проезд № 727, 22с1</t>
        </is>
      </c>
      <c r="Z1" s="2" t="inlineStr">
        <is>
          <t>18   Московская Область, город Химки, деревня Черная Грязь, Чёрная Грязь</t>
        </is>
      </c>
      <c r="AA1" s="2" t="inlineStr">
        <is>
          <t>19.Россия, обл. Московская, г. Истра, с. Павловская Слобода, промышленная зона квартала 0050343, д. 2</t>
        </is>
      </c>
    </row>
    <row r="2">
      <c r="A2" s="3" t="inlineStr">
        <is>
          <t>Аварийные работы</t>
        </is>
      </c>
      <c r="B2" s="3" t="inlineStr">
        <is>
          <t xml:space="preserve">Прочистка канализации </t>
        </is>
      </c>
      <c r="C2" s="3" t="inlineStr">
        <is>
          <t>Очистка</t>
        </is>
      </c>
      <c r="D2" s="3" t="inlineStr">
        <is>
          <t>Гидродинамическим спосбом включая вызов спец.техники</t>
        </is>
      </c>
      <c r="E2" s="4">
        <f>N2+O2</f>
        <v/>
      </c>
      <c r="F2" s="3" t="inlineStr">
        <is>
          <t>м.п.</t>
        </is>
      </c>
      <c r="G2" s="4">
        <f>IFERROR('[1]Лист1'!G2,2)</f>
        <v/>
      </c>
      <c r="H2" s="16" t="n">
        <v>2</v>
      </c>
      <c r="I2" s="16" t="n">
        <v>2</v>
      </c>
      <c r="J2" s="16" t="n">
        <v>2</v>
      </c>
      <c r="K2" s="16" t="n">
        <v>2</v>
      </c>
      <c r="L2" s="16" t="n">
        <v>2</v>
      </c>
      <c r="M2" s="16" t="n">
        <v>2</v>
      </c>
      <c r="N2" s="4">
        <f>Работы!S4</f>
        <v/>
      </c>
      <c r="O2" s="4">
        <f>Работы!R4</f>
        <v/>
      </c>
      <c r="P2" s="16" t="n">
        <v>2</v>
      </c>
      <c r="Q2" s="16" t="n">
        <v>2</v>
      </c>
      <c r="R2" s="16" t="n">
        <v>2</v>
      </c>
      <c r="S2" s="16" t="n">
        <v>2</v>
      </c>
      <c r="T2" s="16" t="n">
        <v>2</v>
      </c>
      <c r="U2" s="16" t="n">
        <v>2</v>
      </c>
      <c r="V2" s="16" t="n">
        <v>2</v>
      </c>
      <c r="W2" s="16" t="n">
        <v>2</v>
      </c>
      <c r="X2" s="16" t="n">
        <v>2</v>
      </c>
      <c r="Y2" s="16" t="n">
        <v>2</v>
      </c>
      <c r="Z2" s="16" t="n">
        <v>2</v>
      </c>
      <c r="AA2" s="16" t="n">
        <v>2</v>
      </c>
    </row>
    <row r="3">
      <c r="A3" s="3" t="inlineStr">
        <is>
          <t>Аварийные работы</t>
        </is>
      </c>
      <c r="B3" s="3" t="inlineStr">
        <is>
          <t xml:space="preserve">Прочистка канализации </t>
        </is>
      </c>
      <c r="C3" s="3" t="inlineStr">
        <is>
          <t>Очистка</t>
        </is>
      </c>
      <c r="D3" s="3" t="inlineStr">
        <is>
          <t>Ручным способом с применением спец.инструмента</t>
        </is>
      </c>
      <c r="E3" s="4">
        <f>N3+O3</f>
        <v/>
      </c>
      <c r="F3" s="3" t="inlineStr">
        <is>
          <t>м.п.</t>
        </is>
      </c>
      <c r="G3" s="4">
        <f>IFERROR('[1]Лист1'!G3,2)</f>
        <v/>
      </c>
      <c r="H3" s="16" t="n">
        <v>2</v>
      </c>
      <c r="I3" s="16" t="n">
        <v>2</v>
      </c>
      <c r="J3" s="16" t="n">
        <v>2</v>
      </c>
      <c r="K3" s="16" t="n">
        <v>2</v>
      </c>
      <c r="L3" s="16" t="n">
        <v>2</v>
      </c>
      <c r="M3" s="16" t="n">
        <v>2</v>
      </c>
      <c r="N3" s="4">
        <f>Работы!S5</f>
        <v/>
      </c>
      <c r="O3" s="4">
        <f>Работы!R5</f>
        <v/>
      </c>
      <c r="P3" s="16" t="n">
        <v>2</v>
      </c>
      <c r="Q3" s="16" t="n">
        <v>2</v>
      </c>
      <c r="R3" s="16" t="n">
        <v>2</v>
      </c>
      <c r="S3" s="16" t="n">
        <v>2</v>
      </c>
      <c r="T3" s="16" t="n">
        <v>2</v>
      </c>
      <c r="U3" s="16" t="n">
        <v>2</v>
      </c>
      <c r="V3" s="16" t="n">
        <v>2</v>
      </c>
      <c r="W3" s="16" t="n">
        <v>2</v>
      </c>
      <c r="X3" s="16" t="n">
        <v>2</v>
      </c>
      <c r="Y3" s="16" t="n">
        <v>2</v>
      </c>
      <c r="Z3" s="16" t="n">
        <v>2</v>
      </c>
      <c r="AA3" s="16" t="n">
        <v>2</v>
      </c>
    </row>
    <row r="4">
      <c r="A4" s="3" t="inlineStr">
        <is>
          <t>Аварийные работы</t>
        </is>
      </c>
      <c r="B4" s="3" t="inlineStr">
        <is>
          <t xml:space="preserve">Чистка пескоуловителей </t>
        </is>
      </c>
      <c r="C4" s="3" t="inlineStr">
        <is>
          <t>Очистка</t>
        </is>
      </c>
      <c r="D4" s="3" t="inlineStr">
        <is>
          <t>Ручная очистка пескоуловителя объемом до 1м3 включая разбоку и сборку,утилизацию мусора</t>
        </is>
      </c>
      <c r="E4" s="4">
        <f>N4+O4</f>
        <v/>
      </c>
      <c r="F4" s="3" t="inlineStr">
        <is>
          <t>шт.</t>
        </is>
      </c>
      <c r="G4" s="4">
        <f>IFERROR('[1]Лист1'!G4,2)</f>
        <v/>
      </c>
      <c r="H4" s="16" t="n">
        <v>2</v>
      </c>
      <c r="I4" s="16" t="n">
        <v>2</v>
      </c>
      <c r="J4" s="16" t="n">
        <v>2</v>
      </c>
      <c r="K4" s="16" t="n">
        <v>2</v>
      </c>
      <c r="L4" s="16" t="n">
        <v>2</v>
      </c>
      <c r="M4" s="16" t="n">
        <v>2</v>
      </c>
      <c r="N4" s="4">
        <f>Работы!S6</f>
        <v/>
      </c>
      <c r="O4" s="4">
        <f>Работы!R6</f>
        <v/>
      </c>
      <c r="P4" s="16" t="n">
        <v>2</v>
      </c>
      <c r="Q4" s="16" t="n">
        <v>2</v>
      </c>
      <c r="R4" s="16" t="n">
        <v>2</v>
      </c>
      <c r="S4" s="16" t="n">
        <v>2</v>
      </c>
      <c r="T4" s="16" t="n">
        <v>2</v>
      </c>
      <c r="U4" s="16" t="n">
        <v>2</v>
      </c>
      <c r="V4" s="16" t="n">
        <v>2</v>
      </c>
      <c r="W4" s="16" t="n">
        <v>2</v>
      </c>
      <c r="X4" s="16" t="n">
        <v>2</v>
      </c>
      <c r="Y4" s="16" t="n">
        <v>2</v>
      </c>
      <c r="Z4" s="16" t="n">
        <v>2</v>
      </c>
      <c r="AA4" s="16" t="n">
        <v>2</v>
      </c>
    </row>
    <row r="5">
      <c r="A5" s="3" t="inlineStr">
        <is>
          <t>Аварийные работы</t>
        </is>
      </c>
      <c r="B5" s="3" t="inlineStr">
        <is>
          <t>Ремонт откидных, перегрузочных мостов тип DoorHan или аналоги</t>
        </is>
      </c>
      <c r="C5" s="3" t="inlineStr">
        <is>
          <t>Диагностика</t>
        </is>
      </c>
      <c r="D5" s="3" t="inlineStr">
        <is>
          <t>Диагностика и дефектовка: Проверка механизма подъема (пружин или гидравлики), состояния аппарели и шарнирных соединений.</t>
        </is>
      </c>
      <c r="E5" s="4">
        <f>N5+O5</f>
        <v/>
      </c>
      <c r="F5" s="3" t="inlineStr">
        <is>
          <t>шт.</t>
        </is>
      </c>
      <c r="G5" s="4">
        <f>IFERROR('[1]Лист1'!G5,2)</f>
        <v/>
      </c>
      <c r="H5" s="16" t="n">
        <v>2</v>
      </c>
      <c r="I5" s="16" t="n">
        <v>2</v>
      </c>
      <c r="J5" s="16" t="n">
        <v>2</v>
      </c>
      <c r="K5" s="16" t="n">
        <v>2</v>
      </c>
      <c r="L5" s="16" t="n">
        <v>2</v>
      </c>
      <c r="M5" s="16" t="n">
        <v>2</v>
      </c>
      <c r="N5" s="4">
        <f>Работы!S7</f>
        <v/>
      </c>
      <c r="O5" s="4">
        <f>Работы!R7</f>
        <v/>
      </c>
      <c r="P5" s="16" t="n">
        <v>2</v>
      </c>
      <c r="Q5" s="16" t="n">
        <v>2</v>
      </c>
      <c r="R5" s="16" t="n">
        <v>2</v>
      </c>
      <c r="S5" s="16" t="n">
        <v>2</v>
      </c>
      <c r="T5" s="16" t="n">
        <v>2</v>
      </c>
      <c r="U5" s="16" t="n">
        <v>2</v>
      </c>
      <c r="V5" s="16" t="n">
        <v>2</v>
      </c>
      <c r="W5" s="16" t="n">
        <v>2</v>
      </c>
      <c r="X5" s="16" t="n">
        <v>2</v>
      </c>
      <c r="Y5" s="16" t="n">
        <v>2</v>
      </c>
      <c r="Z5" s="16" t="n">
        <v>2</v>
      </c>
      <c r="AA5" s="16" t="n">
        <v>2</v>
      </c>
    </row>
    <row r="6">
      <c r="A6" s="3" t="inlineStr">
        <is>
          <t>Аварийные работы</t>
        </is>
      </c>
      <c r="B6" s="3" t="inlineStr">
        <is>
          <t>Ремонт откидных, перегрузочных мостов тип DoorHan или аналоги</t>
        </is>
      </c>
      <c r="C6" s="3" t="inlineStr">
        <is>
          <t>Восстановительные работы</t>
        </is>
      </c>
      <c r="D6" s="3" t="inlineStr">
        <is>
          <t>Восстановление шарниров: Замена осей крепления, шплинтов, втулок и очистка петель от загрязнений.</t>
        </is>
      </c>
      <c r="E6" s="4">
        <f>N6+O6</f>
        <v/>
      </c>
      <c r="F6" s="3" t="inlineStr">
        <is>
          <t>шт.</t>
        </is>
      </c>
      <c r="G6" s="4">
        <f>IFERROR('[1]Лист1'!G6,20)</f>
        <v/>
      </c>
      <c r="H6" s="16" t="n">
        <v>20</v>
      </c>
      <c r="I6" s="16" t="n">
        <v>20</v>
      </c>
      <c r="J6" s="16" t="n">
        <v>20</v>
      </c>
      <c r="K6" s="16" t="n">
        <v>20</v>
      </c>
      <c r="L6" s="16" t="n">
        <v>20</v>
      </c>
      <c r="M6" s="16" t="n">
        <v>20</v>
      </c>
      <c r="N6" s="4">
        <f>Работы!S8</f>
        <v/>
      </c>
      <c r="O6" s="4">
        <f>Работы!R8</f>
        <v/>
      </c>
      <c r="P6" s="16" t="n">
        <v>20</v>
      </c>
      <c r="Q6" s="16" t="n">
        <v>20</v>
      </c>
      <c r="R6" s="16" t="n">
        <v>20</v>
      </c>
      <c r="S6" s="16" t="n">
        <v>20</v>
      </c>
      <c r="T6" s="16" t="n">
        <v>20</v>
      </c>
      <c r="U6" s="16" t="n">
        <v>20</v>
      </c>
      <c r="V6" s="16" t="n">
        <v>20</v>
      </c>
      <c r="W6" s="16" t="n">
        <v>20</v>
      </c>
      <c r="X6" s="16" t="n">
        <v>20</v>
      </c>
      <c r="Y6" s="16" t="n">
        <v>20</v>
      </c>
      <c r="Z6" s="16" t="n">
        <v>20</v>
      </c>
      <c r="AA6" s="16" t="n">
        <v>20</v>
      </c>
    </row>
    <row r="7">
      <c r="A7" s="3" t="inlineStr">
        <is>
          <t>Аварийные работы</t>
        </is>
      </c>
      <c r="B7" s="3" t="inlineStr">
        <is>
          <t>Ремонт откидных, перегрузочных мостов тип DoorHan или аналоги</t>
        </is>
      </c>
      <c r="C7" s="3" t="inlineStr">
        <is>
          <t>Сварочные работы</t>
        </is>
      </c>
      <c r="D7" s="3" t="inlineStr">
        <is>
          <t>Сварочные работы, усиление или замена листов с противоскользящим покрытием.</t>
        </is>
      </c>
      <c r="E7" s="4">
        <f>N7+O7</f>
        <v/>
      </c>
      <c r="F7" s="3" t="inlineStr">
        <is>
          <t>шт.</t>
        </is>
      </c>
      <c r="G7" s="4">
        <f>IFERROR('[1]Лист1'!G7,20)</f>
        <v/>
      </c>
      <c r="H7" s="16" t="n">
        <v>20</v>
      </c>
      <c r="I7" s="16" t="n">
        <v>20</v>
      </c>
      <c r="J7" s="16" t="n">
        <v>20</v>
      </c>
      <c r="K7" s="16" t="n">
        <v>20</v>
      </c>
      <c r="L7" s="16" t="n">
        <v>20</v>
      </c>
      <c r="M7" s="16" t="n">
        <v>20</v>
      </c>
      <c r="N7" s="4">
        <f>Работы!S9</f>
        <v/>
      </c>
      <c r="O7" s="4">
        <f>Работы!R9</f>
        <v/>
      </c>
      <c r="P7" s="16" t="n">
        <v>20</v>
      </c>
      <c r="Q7" s="16" t="n">
        <v>20</v>
      </c>
      <c r="R7" s="16" t="n">
        <v>20</v>
      </c>
      <c r="S7" s="16" t="n">
        <v>20</v>
      </c>
      <c r="T7" s="16" t="n">
        <v>20</v>
      </c>
      <c r="U7" s="16" t="n">
        <v>20</v>
      </c>
      <c r="V7" s="16" t="n">
        <v>20</v>
      </c>
      <c r="W7" s="16" t="n">
        <v>20</v>
      </c>
      <c r="X7" s="16" t="n">
        <v>20</v>
      </c>
      <c r="Y7" s="16" t="n">
        <v>20</v>
      </c>
      <c r="Z7" s="16" t="n">
        <v>20</v>
      </c>
      <c r="AA7" s="16" t="n">
        <v>20</v>
      </c>
    </row>
    <row r="8">
      <c r="A8" s="3" t="inlineStr">
        <is>
          <t>Аварийные работы</t>
        </is>
      </c>
      <c r="B8" s="3" t="inlineStr">
        <is>
          <t>Ремонт откидных, перегрузочных мостов тип DoorHan или аналоги</t>
        </is>
      </c>
      <c r="C8" s="3" t="inlineStr">
        <is>
          <t>Замена</t>
        </is>
      </c>
      <c r="D8" s="3" t="inlineStr">
        <is>
          <t>Замена пружин для плавного опускания/поднятия.</t>
        </is>
      </c>
      <c r="E8" s="4">
        <f>N8+O8</f>
        <v/>
      </c>
      <c r="F8" s="3" t="inlineStr">
        <is>
          <t>шт.</t>
        </is>
      </c>
      <c r="G8" s="4">
        <f>IFERROR('[1]Лист1'!G8,20)</f>
        <v/>
      </c>
      <c r="H8" s="16" t="n">
        <v>20</v>
      </c>
      <c r="I8" s="16" t="n">
        <v>20</v>
      </c>
      <c r="J8" s="16" t="n">
        <v>20</v>
      </c>
      <c r="K8" s="16" t="n">
        <v>20</v>
      </c>
      <c r="L8" s="16" t="n">
        <v>20</v>
      </c>
      <c r="M8" s="16" t="n">
        <v>20</v>
      </c>
      <c r="N8" s="4">
        <f>Работы!S10</f>
        <v/>
      </c>
      <c r="O8" s="4">
        <f>Работы!R10</f>
        <v/>
      </c>
      <c r="P8" s="16" t="n">
        <v>20</v>
      </c>
      <c r="Q8" s="16" t="n">
        <v>20</v>
      </c>
      <c r="R8" s="16" t="n">
        <v>20</v>
      </c>
      <c r="S8" s="16" t="n">
        <v>20</v>
      </c>
      <c r="T8" s="16" t="n">
        <v>20</v>
      </c>
      <c r="U8" s="16" t="n">
        <v>20</v>
      </c>
      <c r="V8" s="16" t="n">
        <v>20</v>
      </c>
      <c r="W8" s="16" t="n">
        <v>20</v>
      </c>
      <c r="X8" s="16" t="n">
        <v>20</v>
      </c>
      <c r="Y8" s="16" t="n">
        <v>20</v>
      </c>
      <c r="Z8" s="16" t="n">
        <v>20</v>
      </c>
      <c r="AA8" s="16" t="n">
        <v>20</v>
      </c>
    </row>
    <row r="9">
      <c r="A9" s="3" t="inlineStr">
        <is>
          <t>Аварийные работы</t>
        </is>
      </c>
      <c r="B9" s="3" t="inlineStr">
        <is>
          <t>Ремонт откидных, перегрузочных мостов тип DoorHan или аналоги</t>
        </is>
      </c>
      <c r="C9" s="3" t="inlineStr">
        <is>
          <t>Демонтажные работы</t>
        </is>
      </c>
      <c r="D9" s="3" t="inlineStr">
        <is>
          <t>Демонтажные работы, включая резку.</t>
        </is>
      </c>
      <c r="E9" s="4">
        <f>N9+O9</f>
        <v/>
      </c>
      <c r="F9" s="3" t="inlineStr">
        <is>
          <t>шт.</t>
        </is>
      </c>
      <c r="G9" s="4">
        <f>IFERROR('[1]Лист1'!G9,20)</f>
        <v/>
      </c>
      <c r="H9" s="16" t="n">
        <v>20</v>
      </c>
      <c r="I9" s="16" t="n">
        <v>20</v>
      </c>
      <c r="J9" s="16" t="n">
        <v>20</v>
      </c>
      <c r="K9" s="16" t="n">
        <v>20</v>
      </c>
      <c r="L9" s="16" t="n">
        <v>20</v>
      </c>
      <c r="M9" s="16" t="n">
        <v>20</v>
      </c>
      <c r="N9" s="4">
        <f>Работы!S11</f>
        <v/>
      </c>
      <c r="O9" s="4">
        <f>Работы!R11</f>
        <v/>
      </c>
      <c r="P9" s="16" t="n">
        <v>20</v>
      </c>
      <c r="Q9" s="16" t="n">
        <v>20</v>
      </c>
      <c r="R9" s="16" t="n">
        <v>20</v>
      </c>
      <c r="S9" s="16" t="n">
        <v>20</v>
      </c>
      <c r="T9" s="16" t="n">
        <v>20</v>
      </c>
      <c r="U9" s="16" t="n">
        <v>20</v>
      </c>
      <c r="V9" s="16" t="n">
        <v>20</v>
      </c>
      <c r="W9" s="16" t="n">
        <v>20</v>
      </c>
      <c r="X9" s="16" t="n">
        <v>20</v>
      </c>
      <c r="Y9" s="16" t="n">
        <v>20</v>
      </c>
      <c r="Z9" s="16" t="n">
        <v>20</v>
      </c>
      <c r="AA9" s="16" t="n">
        <v>20</v>
      </c>
    </row>
    <row r="10">
      <c r="A10" s="3" t="inlineStr">
        <is>
          <t>Аварийные работы</t>
        </is>
      </c>
      <c r="B10" s="3" t="inlineStr">
        <is>
          <t>Ремонт сантехнического оборудования</t>
        </is>
      </c>
      <c r="C10" s="3" t="inlineStr">
        <is>
          <t>Замена</t>
        </is>
      </c>
      <c r="D10" s="3" t="inlineStr">
        <is>
          <t>Замена арматуры сливного бачка типа «Компакт» (включая материалы и з/части)</t>
        </is>
      </c>
      <c r="E10" s="4">
        <f>N10+O10</f>
        <v/>
      </c>
      <c r="F10" s="3" t="inlineStr">
        <is>
          <t xml:space="preserve">шт. </t>
        </is>
      </c>
      <c r="G10" s="4">
        <f>IFERROR('[1]Лист1'!G10,20)</f>
        <v/>
      </c>
      <c r="H10" s="16" t="n">
        <v>20</v>
      </c>
      <c r="I10" s="16" t="n">
        <v>20</v>
      </c>
      <c r="J10" s="16" t="n">
        <v>20</v>
      </c>
      <c r="K10" s="16" t="n">
        <v>20</v>
      </c>
      <c r="L10" s="16" t="n">
        <v>20</v>
      </c>
      <c r="M10" s="16" t="n">
        <v>20</v>
      </c>
      <c r="N10" s="4">
        <f>Работы!S12</f>
        <v/>
      </c>
      <c r="O10" s="4">
        <f>Работы!R12</f>
        <v/>
      </c>
      <c r="P10" s="16" t="n">
        <v>20</v>
      </c>
      <c r="Q10" s="16" t="n">
        <v>20</v>
      </c>
      <c r="R10" s="16" t="n">
        <v>20</v>
      </c>
      <c r="S10" s="16" t="n">
        <v>20</v>
      </c>
      <c r="T10" s="16" t="n">
        <v>20</v>
      </c>
      <c r="U10" s="16" t="n">
        <v>20</v>
      </c>
      <c r="V10" s="16" t="n">
        <v>20</v>
      </c>
      <c r="W10" s="16" t="n">
        <v>20</v>
      </c>
      <c r="X10" s="16" t="n">
        <v>20</v>
      </c>
      <c r="Y10" s="16" t="n">
        <v>20</v>
      </c>
      <c r="Z10" s="16" t="n">
        <v>20</v>
      </c>
      <c r="AA10" s="16" t="n">
        <v>20</v>
      </c>
    </row>
    <row r="11">
      <c r="A11" s="3" t="inlineStr">
        <is>
          <t>Аварийные работы</t>
        </is>
      </c>
      <c r="B11" s="3" t="inlineStr">
        <is>
          <t>Ремонт сантехнического оборудования</t>
        </is>
      </c>
      <c r="C11" s="3" t="inlineStr">
        <is>
          <t>Замена</t>
        </is>
      </c>
      <c r="D11" s="3" t="inlineStr">
        <is>
          <t>Замена сливного бачка унитаза типа «Компакт» (включая материалы и з/части)</t>
        </is>
      </c>
      <c r="E11" s="4">
        <f>N11+O11</f>
        <v/>
      </c>
      <c r="F11" s="3" t="inlineStr">
        <is>
          <t xml:space="preserve">шт. </t>
        </is>
      </c>
      <c r="G11" s="4">
        <f>IFERROR('[1]Лист1'!G11,20)</f>
        <v/>
      </c>
      <c r="H11" s="16" t="n">
        <v>20</v>
      </c>
      <c r="I11" s="16" t="n">
        <v>20</v>
      </c>
      <c r="J11" s="16" t="n">
        <v>20</v>
      </c>
      <c r="K11" s="16" t="n">
        <v>20</v>
      </c>
      <c r="L11" s="16" t="n">
        <v>20</v>
      </c>
      <c r="M11" s="16" t="n">
        <v>20</v>
      </c>
      <c r="N11" s="4">
        <f>Работы!S13</f>
        <v/>
      </c>
      <c r="O11" s="4">
        <f>Работы!R13</f>
        <v/>
      </c>
      <c r="P11" s="16" t="n">
        <v>20</v>
      </c>
      <c r="Q11" s="16" t="n">
        <v>20</v>
      </c>
      <c r="R11" s="16" t="n">
        <v>20</v>
      </c>
      <c r="S11" s="16" t="n">
        <v>20</v>
      </c>
      <c r="T11" s="16" t="n">
        <v>20</v>
      </c>
      <c r="U11" s="16" t="n">
        <v>20</v>
      </c>
      <c r="V11" s="16" t="n">
        <v>20</v>
      </c>
      <c r="W11" s="16" t="n">
        <v>20</v>
      </c>
      <c r="X11" s="16" t="n">
        <v>20</v>
      </c>
      <c r="Y11" s="16" t="n">
        <v>20</v>
      </c>
      <c r="Z11" s="16" t="n">
        <v>20</v>
      </c>
      <c r="AA11" s="16" t="n">
        <v>20</v>
      </c>
    </row>
    <row r="12">
      <c r="A12" s="3" t="inlineStr">
        <is>
          <t>Аварийные работы</t>
        </is>
      </c>
      <c r="B12" s="3" t="inlineStr">
        <is>
          <t>Ремонт сантехнического оборудования</t>
        </is>
      </c>
      <c r="C12" s="3" t="inlineStr">
        <is>
          <t>Замена</t>
        </is>
      </c>
      <c r="D12" s="3" t="inlineStr">
        <is>
          <t>Замена унитаза типа «Компакт» (включая материалы и з/части)</t>
        </is>
      </c>
      <c r="E12" s="4">
        <f>N12+O12</f>
        <v/>
      </c>
      <c r="F12" s="3" t="inlineStr">
        <is>
          <t xml:space="preserve">шт. </t>
        </is>
      </c>
      <c r="G12" s="4">
        <f>IFERROR('[1]Лист1'!G12,20)</f>
        <v/>
      </c>
      <c r="H12" s="16" t="n">
        <v>20</v>
      </c>
      <c r="I12" s="16" t="n">
        <v>20</v>
      </c>
      <c r="J12" s="16" t="n">
        <v>20</v>
      </c>
      <c r="K12" s="16" t="n">
        <v>20</v>
      </c>
      <c r="L12" s="16" t="n">
        <v>20</v>
      </c>
      <c r="M12" s="16" t="n">
        <v>20</v>
      </c>
      <c r="N12" s="4">
        <f>Работы!S14</f>
        <v/>
      </c>
      <c r="O12" s="4">
        <f>Работы!R14</f>
        <v/>
      </c>
      <c r="P12" s="16" t="n">
        <v>20</v>
      </c>
      <c r="Q12" s="16" t="n">
        <v>20</v>
      </c>
      <c r="R12" s="16" t="n">
        <v>20</v>
      </c>
      <c r="S12" s="16" t="n">
        <v>20</v>
      </c>
      <c r="T12" s="16" t="n">
        <v>20</v>
      </c>
      <c r="U12" s="16" t="n">
        <v>20</v>
      </c>
      <c r="V12" s="16" t="n">
        <v>20</v>
      </c>
      <c r="W12" s="16" t="n">
        <v>20</v>
      </c>
      <c r="X12" s="16" t="n">
        <v>20</v>
      </c>
      <c r="Y12" s="16" t="n">
        <v>20</v>
      </c>
      <c r="Z12" s="16" t="n">
        <v>20</v>
      </c>
      <c r="AA12" s="16" t="n">
        <v>20</v>
      </c>
    </row>
    <row r="13">
      <c r="A13" s="3" t="inlineStr">
        <is>
          <t>Аварийные работы</t>
        </is>
      </c>
      <c r="B13" s="3" t="inlineStr">
        <is>
          <t>Ремонт сантехнического оборудования</t>
        </is>
      </c>
      <c r="C13" s="3" t="inlineStr">
        <is>
          <t>Замена</t>
        </is>
      </c>
      <c r="D13" s="3" t="inlineStr">
        <is>
          <t>Замена гибкой подводки сантехнической до 60 см (включая материалы и з/части)</t>
        </is>
      </c>
      <c r="E13" s="4">
        <f>N13+O13</f>
        <v/>
      </c>
      <c r="F13" s="3" t="inlineStr">
        <is>
          <t xml:space="preserve">шт. </t>
        </is>
      </c>
      <c r="G13" s="4">
        <f>IFERROR('[1]Лист1'!G13,20)</f>
        <v/>
      </c>
      <c r="H13" s="16" t="n">
        <v>20</v>
      </c>
      <c r="I13" s="16" t="n">
        <v>20</v>
      </c>
      <c r="J13" s="16" t="n">
        <v>20</v>
      </c>
      <c r="K13" s="16" t="n">
        <v>20</v>
      </c>
      <c r="L13" s="16" t="n">
        <v>20</v>
      </c>
      <c r="M13" s="16" t="n">
        <v>20</v>
      </c>
      <c r="N13" s="4">
        <f>Работы!S15</f>
        <v/>
      </c>
      <c r="O13" s="4">
        <f>Работы!R15</f>
        <v/>
      </c>
      <c r="P13" s="16" t="n">
        <v>20</v>
      </c>
      <c r="Q13" s="16" t="n">
        <v>20</v>
      </c>
      <c r="R13" s="16" t="n">
        <v>20</v>
      </c>
      <c r="S13" s="16" t="n">
        <v>20</v>
      </c>
      <c r="T13" s="16" t="n">
        <v>20</v>
      </c>
      <c r="U13" s="16" t="n">
        <v>20</v>
      </c>
      <c r="V13" s="16" t="n">
        <v>20</v>
      </c>
      <c r="W13" s="16" t="n">
        <v>20</v>
      </c>
      <c r="X13" s="16" t="n">
        <v>20</v>
      </c>
      <c r="Y13" s="16" t="n">
        <v>20</v>
      </c>
      <c r="Z13" s="16" t="n">
        <v>20</v>
      </c>
      <c r="AA13" s="16" t="n">
        <v>20</v>
      </c>
    </row>
    <row r="14">
      <c r="A14" s="3" t="inlineStr">
        <is>
          <t>Аварийные работы</t>
        </is>
      </c>
      <c r="B14" s="3" t="inlineStr">
        <is>
          <t>Ремонт сантехнического оборудования</t>
        </is>
      </c>
      <c r="C14" s="3" t="inlineStr">
        <is>
          <t>Замена</t>
        </is>
      </c>
      <c r="D14" s="3" t="inlineStr">
        <is>
          <t>Замена смесителя раковины (включая материалы и з/части)</t>
        </is>
      </c>
      <c r="E14" s="4">
        <f>N14+O14</f>
        <v/>
      </c>
      <c r="F14" s="3" t="inlineStr">
        <is>
          <t xml:space="preserve">шт. </t>
        </is>
      </c>
      <c r="G14" s="4">
        <f>IFERROR('[1]Лист1'!G14,20)</f>
        <v/>
      </c>
      <c r="H14" s="16" t="n">
        <v>20</v>
      </c>
      <c r="I14" s="16" t="n">
        <v>20</v>
      </c>
      <c r="J14" s="16" t="n">
        <v>20</v>
      </c>
      <c r="K14" s="16" t="n">
        <v>20</v>
      </c>
      <c r="L14" s="16" t="n">
        <v>20</v>
      </c>
      <c r="M14" s="16" t="n">
        <v>20</v>
      </c>
      <c r="N14" s="4">
        <f>Работы!S16</f>
        <v/>
      </c>
      <c r="O14" s="4">
        <f>Работы!R16</f>
        <v/>
      </c>
      <c r="P14" s="16" t="n">
        <v>20</v>
      </c>
      <c r="Q14" s="16" t="n">
        <v>20</v>
      </c>
      <c r="R14" s="16" t="n">
        <v>20</v>
      </c>
      <c r="S14" s="16" t="n">
        <v>20</v>
      </c>
      <c r="T14" s="16" t="n">
        <v>20</v>
      </c>
      <c r="U14" s="16" t="n">
        <v>20</v>
      </c>
      <c r="V14" s="16" t="n">
        <v>20</v>
      </c>
      <c r="W14" s="16" t="n">
        <v>20</v>
      </c>
      <c r="X14" s="16" t="n">
        <v>20</v>
      </c>
      <c r="Y14" s="16" t="n">
        <v>20</v>
      </c>
      <c r="Z14" s="16" t="n">
        <v>20</v>
      </c>
      <c r="AA14" s="16" t="n">
        <v>20</v>
      </c>
    </row>
    <row r="15">
      <c r="A15" s="3" t="inlineStr">
        <is>
          <t>Аварийные работы</t>
        </is>
      </c>
      <c r="B15" s="3" t="inlineStr">
        <is>
          <t>Ремонт сантехнического оборудования</t>
        </is>
      </c>
      <c r="C15" s="3" t="inlineStr">
        <is>
          <t>Замена</t>
        </is>
      </c>
      <c r="D15" s="3" t="inlineStr">
        <is>
          <t>Замена раковины керамической с пьедесталом (включая материалы и з/части)</t>
        </is>
      </c>
      <c r="E15" s="4">
        <f>N15+O15</f>
        <v/>
      </c>
      <c r="F15" s="3" t="inlineStr">
        <is>
          <t xml:space="preserve">шт. </t>
        </is>
      </c>
      <c r="G15" s="4">
        <f>IFERROR('[1]Лист1'!G15,20)</f>
        <v/>
      </c>
      <c r="H15" s="16" t="n">
        <v>20</v>
      </c>
      <c r="I15" s="16" t="n">
        <v>20</v>
      </c>
      <c r="J15" s="16" t="n">
        <v>20</v>
      </c>
      <c r="K15" s="16" t="n">
        <v>20</v>
      </c>
      <c r="L15" s="16" t="n">
        <v>20</v>
      </c>
      <c r="M15" s="16" t="n">
        <v>20</v>
      </c>
      <c r="N15" s="4">
        <f>Работы!S17</f>
        <v/>
      </c>
      <c r="O15" s="4">
        <f>Работы!R17</f>
        <v/>
      </c>
      <c r="P15" s="16" t="n">
        <v>20</v>
      </c>
      <c r="Q15" s="16" t="n">
        <v>20</v>
      </c>
      <c r="R15" s="16" t="n">
        <v>20</v>
      </c>
      <c r="S15" s="16" t="n">
        <v>20</v>
      </c>
      <c r="T15" s="16" t="n">
        <v>20</v>
      </c>
      <c r="U15" s="16" t="n">
        <v>20</v>
      </c>
      <c r="V15" s="16" t="n">
        <v>20</v>
      </c>
      <c r="W15" s="16" t="n">
        <v>20</v>
      </c>
      <c r="X15" s="16" t="n">
        <v>20</v>
      </c>
      <c r="Y15" s="16" t="n">
        <v>20</v>
      </c>
      <c r="Z15" s="16" t="n">
        <v>20</v>
      </c>
      <c r="AA15" s="16" t="n">
        <v>20</v>
      </c>
    </row>
    <row r="16">
      <c r="A16" s="3" t="inlineStr">
        <is>
          <t>Аварийные работы</t>
        </is>
      </c>
      <c r="B16" s="3" t="inlineStr">
        <is>
          <t>Ремонт сантехнического оборудования</t>
        </is>
      </c>
      <c r="C16" s="3" t="inlineStr">
        <is>
          <t>Замена</t>
        </is>
      </c>
      <c r="D16" s="3" t="inlineStr">
        <is>
          <t>Замена раковины металлической (включая материалы и з/части)</t>
        </is>
      </c>
      <c r="E16" s="4">
        <f>N16+O16</f>
        <v/>
      </c>
      <c r="F16" s="3" t="inlineStr">
        <is>
          <t xml:space="preserve">шт. </t>
        </is>
      </c>
      <c r="G16" s="4">
        <f>IFERROR('[1]Лист1'!G16,20)</f>
        <v/>
      </c>
      <c r="H16" s="16" t="n">
        <v>20</v>
      </c>
      <c r="I16" s="16" t="n">
        <v>20</v>
      </c>
      <c r="J16" s="16" t="n">
        <v>20</v>
      </c>
      <c r="K16" s="16" t="n">
        <v>20</v>
      </c>
      <c r="L16" s="16" t="n">
        <v>20</v>
      </c>
      <c r="M16" s="16" t="n">
        <v>20</v>
      </c>
      <c r="N16" s="4">
        <f>Работы!S18</f>
        <v/>
      </c>
      <c r="O16" s="4">
        <f>Работы!R18</f>
        <v/>
      </c>
      <c r="P16" s="16" t="n">
        <v>20</v>
      </c>
      <c r="Q16" s="16" t="n">
        <v>20</v>
      </c>
      <c r="R16" s="16" t="n">
        <v>20</v>
      </c>
      <c r="S16" s="16" t="n">
        <v>20</v>
      </c>
      <c r="T16" s="16" t="n">
        <v>20</v>
      </c>
      <c r="U16" s="16" t="n">
        <v>20</v>
      </c>
      <c r="V16" s="16" t="n">
        <v>20</v>
      </c>
      <c r="W16" s="16" t="n">
        <v>20</v>
      </c>
      <c r="X16" s="16" t="n">
        <v>20</v>
      </c>
      <c r="Y16" s="16" t="n">
        <v>20</v>
      </c>
      <c r="Z16" s="16" t="n">
        <v>20</v>
      </c>
      <c r="AA16" s="16" t="n">
        <v>20</v>
      </c>
    </row>
    <row r="17">
      <c r="A17" s="3" t="inlineStr">
        <is>
          <t>Аварийные работы</t>
        </is>
      </c>
      <c r="B17" s="3" t="inlineStr">
        <is>
          <t>Ремонт сантехнического оборудования</t>
        </is>
      </c>
      <c r="C17" s="3" t="inlineStr">
        <is>
          <t>Замена</t>
        </is>
      </c>
      <c r="D17" s="3" t="inlineStr">
        <is>
          <t>Замена смесителя для ванны с душевой лейкой (включая материалы и з/части)</t>
        </is>
      </c>
      <c r="E17" s="4">
        <f>N17+O17</f>
        <v/>
      </c>
      <c r="F17" s="3" t="inlineStr">
        <is>
          <t xml:space="preserve">шт. </t>
        </is>
      </c>
      <c r="G17" s="4">
        <f>IFERROR('[1]Лист1'!G17,20)</f>
        <v/>
      </c>
      <c r="H17" s="16" t="n">
        <v>20</v>
      </c>
      <c r="I17" s="16" t="n">
        <v>20</v>
      </c>
      <c r="J17" s="16" t="n">
        <v>20</v>
      </c>
      <c r="K17" s="16" t="n">
        <v>20</v>
      </c>
      <c r="L17" s="16" t="n">
        <v>20</v>
      </c>
      <c r="M17" s="16" t="n">
        <v>20</v>
      </c>
      <c r="N17" s="4">
        <f>Работы!S19</f>
        <v/>
      </c>
      <c r="O17" s="4">
        <f>Работы!R19</f>
        <v/>
      </c>
      <c r="P17" s="16" t="n">
        <v>20</v>
      </c>
      <c r="Q17" s="16" t="n">
        <v>20</v>
      </c>
      <c r="R17" s="16" t="n">
        <v>20</v>
      </c>
      <c r="S17" s="16" t="n">
        <v>20</v>
      </c>
      <c r="T17" s="16" t="n">
        <v>20</v>
      </c>
      <c r="U17" s="16" t="n">
        <v>20</v>
      </c>
      <c r="V17" s="16" t="n">
        <v>20</v>
      </c>
      <c r="W17" s="16" t="n">
        <v>20</v>
      </c>
      <c r="X17" s="16" t="n">
        <v>20</v>
      </c>
      <c r="Y17" s="16" t="n">
        <v>20</v>
      </c>
      <c r="Z17" s="16" t="n">
        <v>20</v>
      </c>
      <c r="AA17" s="16" t="n">
        <v>20</v>
      </c>
    </row>
    <row r="18">
      <c r="A18" s="3" t="inlineStr">
        <is>
          <t>Аварийные работы</t>
        </is>
      </c>
      <c r="B18" s="3" t="inlineStr">
        <is>
          <t>Ремонт сантехнического оборудования</t>
        </is>
      </c>
      <c r="C18" s="3" t="inlineStr">
        <is>
          <t>Замена</t>
        </is>
      </c>
      <c r="D18" s="3" t="inlineStr">
        <is>
          <t>Замена душевого поддона 90*90 см (включая материалы и з/части)</t>
        </is>
      </c>
      <c r="E18" s="4">
        <f>N18+O18</f>
        <v/>
      </c>
      <c r="F18" s="3" t="inlineStr">
        <is>
          <t xml:space="preserve">шт. </t>
        </is>
      </c>
      <c r="G18" s="4">
        <f>IFERROR('[1]Лист1'!G18,20)</f>
        <v/>
      </c>
      <c r="H18" s="16" t="n">
        <v>20</v>
      </c>
      <c r="I18" s="16" t="n">
        <v>20</v>
      </c>
      <c r="J18" s="16" t="n">
        <v>20</v>
      </c>
      <c r="K18" s="16" t="n">
        <v>20</v>
      </c>
      <c r="L18" s="16" t="n">
        <v>20</v>
      </c>
      <c r="M18" s="16" t="n">
        <v>20</v>
      </c>
      <c r="N18" s="4">
        <f>Работы!S20</f>
        <v/>
      </c>
      <c r="O18" s="4">
        <f>Работы!R20</f>
        <v/>
      </c>
      <c r="P18" s="16" t="n">
        <v>20</v>
      </c>
      <c r="Q18" s="16" t="n">
        <v>20</v>
      </c>
      <c r="R18" s="16" t="n">
        <v>20</v>
      </c>
      <c r="S18" s="16" t="n">
        <v>20</v>
      </c>
      <c r="T18" s="16" t="n">
        <v>20</v>
      </c>
      <c r="U18" s="16" t="n">
        <v>20</v>
      </c>
      <c r="V18" s="16" t="n">
        <v>20</v>
      </c>
      <c r="W18" s="16" t="n">
        <v>20</v>
      </c>
      <c r="X18" s="16" t="n">
        <v>20</v>
      </c>
      <c r="Y18" s="16" t="n">
        <v>20</v>
      </c>
      <c r="Z18" s="16" t="n">
        <v>20</v>
      </c>
      <c r="AA18" s="16" t="n">
        <v>20</v>
      </c>
    </row>
    <row r="19">
      <c r="A19" s="3" t="inlineStr">
        <is>
          <t>Аварийные работы</t>
        </is>
      </c>
      <c r="B19" s="3" t="inlineStr">
        <is>
          <t>Ремонт сантехнического оборудования</t>
        </is>
      </c>
      <c r="C19" s="3" t="inlineStr">
        <is>
          <t>Замена</t>
        </is>
      </c>
      <c r="D19" s="3" t="inlineStr">
        <is>
          <t>Замена сифона раковины (включая материалы и з/части)</t>
        </is>
      </c>
      <c r="E19" s="4">
        <f>N19+O19</f>
        <v/>
      </c>
      <c r="F19" s="3" t="inlineStr">
        <is>
          <t xml:space="preserve">шт. </t>
        </is>
      </c>
      <c r="G19" s="4">
        <f>IFERROR('[1]Лист1'!G19,20)</f>
        <v/>
      </c>
      <c r="H19" s="16" t="n">
        <v>20</v>
      </c>
      <c r="I19" s="16" t="n">
        <v>20</v>
      </c>
      <c r="J19" s="16" t="n">
        <v>20</v>
      </c>
      <c r="K19" s="16" t="n">
        <v>20</v>
      </c>
      <c r="L19" s="16" t="n">
        <v>20</v>
      </c>
      <c r="M19" s="16" t="n">
        <v>20</v>
      </c>
      <c r="N19" s="4">
        <f>Работы!S21</f>
        <v/>
      </c>
      <c r="O19" s="4">
        <f>Работы!R21</f>
        <v/>
      </c>
      <c r="P19" s="16" t="n">
        <v>20</v>
      </c>
      <c r="Q19" s="16" t="n">
        <v>20</v>
      </c>
      <c r="R19" s="16" t="n">
        <v>20</v>
      </c>
      <c r="S19" s="16" t="n">
        <v>20</v>
      </c>
      <c r="T19" s="16" t="n">
        <v>20</v>
      </c>
      <c r="U19" s="16" t="n">
        <v>20</v>
      </c>
      <c r="V19" s="16" t="n">
        <v>20</v>
      </c>
      <c r="W19" s="16" t="n">
        <v>20</v>
      </c>
      <c r="X19" s="16" t="n">
        <v>20</v>
      </c>
      <c r="Y19" s="16" t="n">
        <v>20</v>
      </c>
      <c r="Z19" s="16" t="n">
        <v>20</v>
      </c>
      <c r="AA19" s="16" t="n">
        <v>20</v>
      </c>
    </row>
    <row r="20">
      <c r="A20" s="3" t="inlineStr">
        <is>
          <t>Аварийные работы</t>
        </is>
      </c>
      <c r="B20" s="3" t="inlineStr">
        <is>
          <t>Ремонт сантехнического оборудования</t>
        </is>
      </c>
      <c r="C20" s="3" t="inlineStr">
        <is>
          <t>Замена</t>
        </is>
      </c>
      <c r="D20" s="3" t="inlineStr">
        <is>
          <t>Замена крана писсуара (включая материалы и з/части)</t>
        </is>
      </c>
      <c r="E20" s="4">
        <f>N20+O20</f>
        <v/>
      </c>
      <c r="F20" s="3" t="inlineStr">
        <is>
          <t xml:space="preserve">шт. </t>
        </is>
      </c>
      <c r="G20" s="4">
        <f>IFERROR('[1]Лист1'!G20,20)</f>
        <v/>
      </c>
      <c r="H20" s="16" t="n">
        <v>20</v>
      </c>
      <c r="I20" s="16" t="n">
        <v>20</v>
      </c>
      <c r="J20" s="16" t="n">
        <v>20</v>
      </c>
      <c r="K20" s="16" t="n">
        <v>20</v>
      </c>
      <c r="L20" s="16" t="n">
        <v>20</v>
      </c>
      <c r="M20" s="16" t="n">
        <v>20</v>
      </c>
      <c r="N20" s="4">
        <f>Работы!S22</f>
        <v/>
      </c>
      <c r="O20" s="4">
        <f>Работы!R22</f>
        <v/>
      </c>
      <c r="P20" s="16" t="n">
        <v>20</v>
      </c>
      <c r="Q20" s="16" t="n">
        <v>20</v>
      </c>
      <c r="R20" s="16" t="n">
        <v>20</v>
      </c>
      <c r="S20" s="16" t="n">
        <v>20</v>
      </c>
      <c r="T20" s="16" t="n">
        <v>20</v>
      </c>
      <c r="U20" s="16" t="n">
        <v>20</v>
      </c>
      <c r="V20" s="16" t="n">
        <v>20</v>
      </c>
      <c r="W20" s="16" t="n">
        <v>20</v>
      </c>
      <c r="X20" s="16" t="n">
        <v>20</v>
      </c>
      <c r="Y20" s="16" t="n">
        <v>20</v>
      </c>
      <c r="Z20" s="16" t="n">
        <v>20</v>
      </c>
      <c r="AA20" s="16" t="n">
        <v>20</v>
      </c>
    </row>
    <row r="21">
      <c r="A21" s="3" t="inlineStr">
        <is>
          <t>Аварийные работы</t>
        </is>
      </c>
      <c r="B21" s="3" t="inlineStr">
        <is>
          <t>Ремонт сантехнического оборудования</t>
        </is>
      </c>
      <c r="C21" s="3" t="inlineStr">
        <is>
          <t>Монтажные работы</t>
        </is>
      </c>
      <c r="D21" s="3" t="inlineStr">
        <is>
          <t>Прокладка трубопровода ХВС, ГВС из полипропиленовых труб Ø20-32 мм (включая материалы, комплетующие и з/части) за 1 п.м.</t>
        </is>
      </c>
      <c r="E21" s="4">
        <f>N21+O21</f>
        <v/>
      </c>
      <c r="F21" s="3" t="inlineStr">
        <is>
          <t>м.п.</t>
        </is>
      </c>
      <c r="G21" s="4">
        <f>IFERROR('[1]Лист1'!G21,20)</f>
        <v/>
      </c>
      <c r="H21" s="16" t="n">
        <v>20</v>
      </c>
      <c r="I21" s="16" t="n">
        <v>20</v>
      </c>
      <c r="J21" s="16" t="n">
        <v>20</v>
      </c>
      <c r="K21" s="16" t="n">
        <v>20</v>
      </c>
      <c r="L21" s="16" t="n">
        <v>20</v>
      </c>
      <c r="M21" s="16" t="n">
        <v>20</v>
      </c>
      <c r="N21" s="4">
        <f>Работы!S23</f>
        <v/>
      </c>
      <c r="O21" s="4">
        <f>Работы!R23</f>
        <v/>
      </c>
      <c r="P21" s="16" t="n">
        <v>20</v>
      </c>
      <c r="Q21" s="16" t="n">
        <v>20</v>
      </c>
      <c r="R21" s="16" t="n">
        <v>20</v>
      </c>
      <c r="S21" s="16" t="n">
        <v>20</v>
      </c>
      <c r="T21" s="16" t="n">
        <v>20</v>
      </c>
      <c r="U21" s="16" t="n">
        <v>20</v>
      </c>
      <c r="V21" s="16" t="n">
        <v>20</v>
      </c>
      <c r="W21" s="16" t="n">
        <v>20</v>
      </c>
      <c r="X21" s="16" t="n">
        <v>20</v>
      </c>
      <c r="Y21" s="16" t="n">
        <v>20</v>
      </c>
      <c r="Z21" s="16" t="n">
        <v>20</v>
      </c>
      <c r="AA21" s="16" t="n">
        <v>20</v>
      </c>
    </row>
    <row r="22">
      <c r="A22" s="3" t="inlineStr">
        <is>
          <t>Аварийные работы</t>
        </is>
      </c>
      <c r="B22" s="3" t="inlineStr">
        <is>
          <t>Ремонт сантехнического оборудования</t>
        </is>
      </c>
      <c r="C22" s="3" t="inlineStr">
        <is>
          <t>Монтажные работы</t>
        </is>
      </c>
      <c r="D22" s="3" t="inlineStr">
        <is>
          <t>Прокладка трубопровода внутренней канализации Ø40 мм (включая материалы и з/части) за 1 п.м.</t>
        </is>
      </c>
      <c r="E22" s="4">
        <f>N22+O22</f>
        <v/>
      </c>
      <c r="F22" s="3" t="inlineStr">
        <is>
          <t>м.п.</t>
        </is>
      </c>
      <c r="G22" s="4">
        <f>IFERROR('[1]Лист1'!G22,20)</f>
        <v/>
      </c>
      <c r="H22" s="16" t="n">
        <v>20</v>
      </c>
      <c r="I22" s="16" t="n">
        <v>20</v>
      </c>
      <c r="J22" s="16" t="n">
        <v>20</v>
      </c>
      <c r="K22" s="16" t="n">
        <v>20</v>
      </c>
      <c r="L22" s="16" t="n">
        <v>20</v>
      </c>
      <c r="M22" s="16" t="n">
        <v>20</v>
      </c>
      <c r="N22" s="4">
        <f>Работы!S24</f>
        <v/>
      </c>
      <c r="O22" s="4">
        <f>Работы!R24</f>
        <v/>
      </c>
      <c r="P22" s="16" t="n">
        <v>20</v>
      </c>
      <c r="Q22" s="16" t="n">
        <v>20</v>
      </c>
      <c r="R22" s="16" t="n">
        <v>20</v>
      </c>
      <c r="S22" s="16" t="n">
        <v>20</v>
      </c>
      <c r="T22" s="16" t="n">
        <v>20</v>
      </c>
      <c r="U22" s="16" t="n">
        <v>20</v>
      </c>
      <c r="V22" s="16" t="n">
        <v>20</v>
      </c>
      <c r="W22" s="16" t="n">
        <v>20</v>
      </c>
      <c r="X22" s="16" t="n">
        <v>20</v>
      </c>
      <c r="Y22" s="16" t="n">
        <v>20</v>
      </c>
      <c r="Z22" s="16" t="n">
        <v>20</v>
      </c>
      <c r="AA22" s="16" t="n">
        <v>20</v>
      </c>
    </row>
    <row r="23">
      <c r="A23" s="3" t="inlineStr">
        <is>
          <t>Аварийные работы</t>
        </is>
      </c>
      <c r="B23" s="3" t="inlineStr">
        <is>
          <t>Ремонт сантехнического оборудования</t>
        </is>
      </c>
      <c r="C23" s="3" t="inlineStr">
        <is>
          <t>Монтажные работы</t>
        </is>
      </c>
      <c r="D23" s="3" t="inlineStr">
        <is>
          <t>Прокладка трубопровода внутренней канализации Ø50 мм (включая материалы и з/части) за 1 п.м.</t>
        </is>
      </c>
      <c r="E23" s="4">
        <f>N23+O23</f>
        <v/>
      </c>
      <c r="F23" s="3" t="inlineStr">
        <is>
          <t>м.п.</t>
        </is>
      </c>
      <c r="G23" s="4">
        <f>IFERROR('[1]Лист1'!G23,20)</f>
        <v/>
      </c>
      <c r="H23" s="16" t="n">
        <v>20</v>
      </c>
      <c r="I23" s="16" t="n">
        <v>20</v>
      </c>
      <c r="J23" s="16" t="n">
        <v>20</v>
      </c>
      <c r="K23" s="16" t="n">
        <v>20</v>
      </c>
      <c r="L23" s="16" t="n">
        <v>20</v>
      </c>
      <c r="M23" s="16" t="n">
        <v>20</v>
      </c>
      <c r="N23" s="4">
        <f>Работы!S25</f>
        <v/>
      </c>
      <c r="O23" s="4">
        <f>Работы!R25</f>
        <v/>
      </c>
      <c r="P23" s="16" t="n">
        <v>20</v>
      </c>
      <c r="Q23" s="16" t="n">
        <v>20</v>
      </c>
      <c r="R23" s="16" t="n">
        <v>20</v>
      </c>
      <c r="S23" s="16" t="n">
        <v>20</v>
      </c>
      <c r="T23" s="16" t="n">
        <v>20</v>
      </c>
      <c r="U23" s="16" t="n">
        <v>20</v>
      </c>
      <c r="V23" s="16" t="n">
        <v>20</v>
      </c>
      <c r="W23" s="16" t="n">
        <v>20</v>
      </c>
      <c r="X23" s="16" t="n">
        <v>20</v>
      </c>
      <c r="Y23" s="16" t="n">
        <v>20</v>
      </c>
      <c r="Z23" s="16" t="n">
        <v>20</v>
      </c>
      <c r="AA23" s="16" t="n">
        <v>20</v>
      </c>
    </row>
    <row r="24">
      <c r="A24" s="3" t="inlineStr">
        <is>
          <t>Аварийные работы</t>
        </is>
      </c>
      <c r="B24" s="3" t="inlineStr">
        <is>
          <t>Ремонт сантехнического оборудования</t>
        </is>
      </c>
      <c r="C24" s="3" t="inlineStr">
        <is>
          <t>Монтажные работы</t>
        </is>
      </c>
      <c r="D24" s="3" t="inlineStr">
        <is>
          <t>Прокладка трубопровода внутренней канализации Ø100 мм (включая материалы и з/части) за 1 п.м.</t>
        </is>
      </c>
      <c r="E24" s="4">
        <f>N24+O24</f>
        <v/>
      </c>
      <c r="F24" s="3" t="inlineStr">
        <is>
          <t>м.п.</t>
        </is>
      </c>
      <c r="G24" s="4">
        <f>IFERROR('[1]Лист1'!G24,20)</f>
        <v/>
      </c>
      <c r="H24" s="16" t="n">
        <v>20</v>
      </c>
      <c r="I24" s="16" t="n">
        <v>20</v>
      </c>
      <c r="J24" s="16" t="n">
        <v>20</v>
      </c>
      <c r="K24" s="16" t="n">
        <v>20</v>
      </c>
      <c r="L24" s="16" t="n">
        <v>20</v>
      </c>
      <c r="M24" s="16" t="n">
        <v>20</v>
      </c>
      <c r="N24" s="4">
        <f>Работы!S26</f>
        <v/>
      </c>
      <c r="O24" s="4">
        <f>Работы!R26</f>
        <v/>
      </c>
      <c r="P24" s="16" t="n">
        <v>20</v>
      </c>
      <c r="Q24" s="16" t="n">
        <v>20</v>
      </c>
      <c r="R24" s="16" t="n">
        <v>20</v>
      </c>
      <c r="S24" s="16" t="n">
        <v>20</v>
      </c>
      <c r="T24" s="16" t="n">
        <v>20</v>
      </c>
      <c r="U24" s="16" t="n">
        <v>20</v>
      </c>
      <c r="V24" s="16" t="n">
        <v>20</v>
      </c>
      <c r="W24" s="16" t="n">
        <v>20</v>
      </c>
      <c r="X24" s="16" t="n">
        <v>20</v>
      </c>
      <c r="Y24" s="16" t="n">
        <v>20</v>
      </c>
      <c r="Z24" s="16" t="n">
        <v>20</v>
      </c>
      <c r="AA24" s="16" t="n">
        <v>20</v>
      </c>
    </row>
    <row r="25">
      <c r="A25" s="3" t="inlineStr">
        <is>
          <t>Аварийные работы</t>
        </is>
      </c>
      <c r="B25" s="3" t="inlineStr">
        <is>
          <t>Ремонт сантехнического оборудования</t>
        </is>
      </c>
      <c r="C25" s="3" t="inlineStr">
        <is>
          <t>Восстановительные работы</t>
        </is>
      </c>
      <c r="D25" s="3" t="inlineStr">
        <is>
          <t>Устранение протечек в сантехническом оборудовании (включая материалы и з/части) за 1 ед.</t>
        </is>
      </c>
      <c r="E25" s="4">
        <f>N25+O25</f>
        <v/>
      </c>
      <c r="F25" s="3" t="inlineStr">
        <is>
          <t xml:space="preserve">шт. </t>
        </is>
      </c>
      <c r="G25" s="4">
        <f>IFERROR('[1]Лист1'!G25,20)</f>
        <v/>
      </c>
      <c r="H25" s="16" t="n">
        <v>20</v>
      </c>
      <c r="I25" s="16" t="n">
        <v>20</v>
      </c>
      <c r="J25" s="16" t="n">
        <v>20</v>
      </c>
      <c r="K25" s="16" t="n">
        <v>20</v>
      </c>
      <c r="L25" s="16" t="n">
        <v>20</v>
      </c>
      <c r="M25" s="16" t="n">
        <v>20</v>
      </c>
      <c r="N25" s="4">
        <f>Работы!S27</f>
        <v/>
      </c>
      <c r="O25" s="4">
        <f>Работы!R27</f>
        <v/>
      </c>
      <c r="P25" s="16" t="n">
        <v>20</v>
      </c>
      <c r="Q25" s="16" t="n">
        <v>20</v>
      </c>
      <c r="R25" s="16" t="n">
        <v>20</v>
      </c>
      <c r="S25" s="16" t="n">
        <v>20</v>
      </c>
      <c r="T25" s="16" t="n">
        <v>20</v>
      </c>
      <c r="U25" s="16" t="n">
        <v>20</v>
      </c>
      <c r="V25" s="16" t="n">
        <v>20</v>
      </c>
      <c r="W25" s="16" t="n">
        <v>20</v>
      </c>
      <c r="X25" s="16" t="n">
        <v>20</v>
      </c>
      <c r="Y25" s="16" t="n">
        <v>20</v>
      </c>
      <c r="Z25" s="16" t="n">
        <v>20</v>
      </c>
      <c r="AA25" s="16" t="n">
        <v>20</v>
      </c>
    </row>
    <row r="26">
      <c r="A26" s="3" t="inlineStr">
        <is>
          <t>Аварийные работы</t>
        </is>
      </c>
      <c r="B26" s="3" t="inlineStr">
        <is>
          <t>Ремонт сантехнического оборудования</t>
        </is>
      </c>
      <c r="C26" s="3" t="inlineStr">
        <is>
          <t>Замена</t>
        </is>
      </c>
      <c r="D26" s="3" t="inlineStr">
        <is>
          <t>Замена запорной арматуры трубопроводов (включая материалы и з/части) за 1 ед.</t>
        </is>
      </c>
      <c r="E26" s="4">
        <f>N26+O26</f>
        <v/>
      </c>
      <c r="F26" s="3" t="inlineStr">
        <is>
          <t xml:space="preserve">шт. </t>
        </is>
      </c>
      <c r="G26" s="4">
        <f>IFERROR('[1]Лист1'!G26,20)</f>
        <v/>
      </c>
      <c r="H26" s="16" t="n">
        <v>20</v>
      </c>
      <c r="I26" s="16" t="n">
        <v>20</v>
      </c>
      <c r="J26" s="16" t="n">
        <v>20</v>
      </c>
      <c r="K26" s="16" t="n">
        <v>20</v>
      </c>
      <c r="L26" s="16" t="n">
        <v>20</v>
      </c>
      <c r="M26" s="16" t="n">
        <v>20</v>
      </c>
      <c r="N26" s="4">
        <f>Работы!S28</f>
        <v/>
      </c>
      <c r="O26" s="4">
        <f>Работы!R28</f>
        <v/>
      </c>
      <c r="P26" s="16" t="n">
        <v>20</v>
      </c>
      <c r="Q26" s="16" t="n">
        <v>20</v>
      </c>
      <c r="R26" s="16" t="n">
        <v>20</v>
      </c>
      <c r="S26" s="16" t="n">
        <v>20</v>
      </c>
      <c r="T26" s="16" t="n">
        <v>20</v>
      </c>
      <c r="U26" s="16" t="n">
        <v>20</v>
      </c>
      <c r="V26" s="16" t="n">
        <v>20</v>
      </c>
      <c r="W26" s="16" t="n">
        <v>20</v>
      </c>
      <c r="X26" s="16" t="n">
        <v>20</v>
      </c>
      <c r="Y26" s="16" t="n">
        <v>20</v>
      </c>
      <c r="Z26" s="16" t="n">
        <v>20</v>
      </c>
      <c r="AA26" s="16" t="n">
        <v>20</v>
      </c>
    </row>
    <row r="27">
      <c r="A27" s="3" t="inlineStr">
        <is>
          <t>Аварийные работы</t>
        </is>
      </c>
      <c r="B27" s="3" t="inlineStr">
        <is>
          <t>Ремонт сантехнического оборудования</t>
        </is>
      </c>
      <c r="C27" s="3" t="inlineStr">
        <is>
          <t>Монтажные работы</t>
        </is>
      </c>
      <c r="D27" s="3" t="inlineStr">
        <is>
          <t>Подключение к системе ХВС, ГВС приборов (водонагреватель, кулер, пурифайр, стиральная машинка и т.д.) (включая материалы, комплектующие, фитинги, з/части и т.д.) за 1 ед.</t>
        </is>
      </c>
      <c r="E27" s="4">
        <f>N27+O27</f>
        <v/>
      </c>
      <c r="F27" s="3" t="inlineStr">
        <is>
          <t xml:space="preserve">шт. </t>
        </is>
      </c>
      <c r="G27" s="4">
        <f>IFERROR('[1]Лист1'!G27,20)</f>
        <v/>
      </c>
      <c r="H27" s="16" t="n">
        <v>20</v>
      </c>
      <c r="I27" s="16" t="n">
        <v>20</v>
      </c>
      <c r="J27" s="16" t="n">
        <v>20</v>
      </c>
      <c r="K27" s="16" t="n">
        <v>20</v>
      </c>
      <c r="L27" s="16" t="n">
        <v>20</v>
      </c>
      <c r="M27" s="16" t="n">
        <v>20</v>
      </c>
      <c r="N27" s="4">
        <f>Работы!S29</f>
        <v/>
      </c>
      <c r="O27" s="4">
        <f>Работы!R29</f>
        <v/>
      </c>
      <c r="P27" s="16" t="n">
        <v>20</v>
      </c>
      <c r="Q27" s="16" t="n">
        <v>20</v>
      </c>
      <c r="R27" s="16" t="n">
        <v>20</v>
      </c>
      <c r="S27" s="16" t="n">
        <v>20</v>
      </c>
      <c r="T27" s="16" t="n">
        <v>20</v>
      </c>
      <c r="U27" s="16" t="n">
        <v>20</v>
      </c>
      <c r="V27" s="16" t="n">
        <v>20</v>
      </c>
      <c r="W27" s="16" t="n">
        <v>20</v>
      </c>
      <c r="X27" s="16" t="n">
        <v>20</v>
      </c>
      <c r="Y27" s="16" t="n">
        <v>20</v>
      </c>
      <c r="Z27" s="16" t="n">
        <v>20</v>
      </c>
      <c r="AA27" s="16" t="n">
        <v>20</v>
      </c>
    </row>
    <row r="28">
      <c r="A28" s="3" t="inlineStr">
        <is>
          <t>Аварийные работы</t>
        </is>
      </c>
      <c r="B28" s="3" t="inlineStr">
        <is>
          <t>Ремонт сантехнического оборудования</t>
        </is>
      </c>
      <c r="C28" s="3" t="inlineStr">
        <is>
          <t>Восстановительные работы</t>
        </is>
      </c>
      <c r="D28" s="3" t="inlineStr">
        <is>
          <t>Стоимость нормо-часа для работ, не вошедших в основной перечень</t>
        </is>
      </c>
      <c r="E28" s="4">
        <f>N28+O28</f>
        <v/>
      </c>
      <c r="F28" s="3" t="inlineStr">
        <is>
          <t>н/час</t>
        </is>
      </c>
      <c r="G28" s="4">
        <f>IFERROR('[1]Лист1'!G28,1)</f>
        <v/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4">
        <f>Работы!S30</f>
        <v/>
      </c>
      <c r="O28" s="4">
        <f>Работы!R30</f>
        <v/>
      </c>
      <c r="P28" s="16" t="n">
        <v>1</v>
      </c>
      <c r="Q28" s="16" t="n">
        <v>1</v>
      </c>
      <c r="R28" s="16" t="n">
        <v>1</v>
      </c>
      <c r="S28" s="16" t="n">
        <v>1</v>
      </c>
      <c r="T28" s="16" t="n">
        <v>1</v>
      </c>
      <c r="U28" s="16" t="n">
        <v>1</v>
      </c>
      <c r="V28" s="16" t="n">
        <v>1</v>
      </c>
      <c r="W28" s="16" t="n">
        <v>1</v>
      </c>
      <c r="X28" s="16" t="n">
        <v>1</v>
      </c>
      <c r="Y28" s="16" t="n">
        <v>1</v>
      </c>
      <c r="Z28" s="16" t="n">
        <v>1</v>
      </c>
      <c r="AA28" s="16" t="n">
        <v>1</v>
      </c>
    </row>
    <row r="29">
      <c r="A29" s="3" t="inlineStr">
        <is>
          <t>Фасад</t>
        </is>
      </c>
      <c r="B29" s="3" t="inlineStr">
        <is>
          <t>Доборные и Фасонные элементы Кровли и Фасада</t>
        </is>
      </c>
      <c r="C29" s="3" t="inlineStr">
        <is>
          <t>Монтажные работы</t>
        </is>
      </c>
      <c r="D29" s="3" t="inlineStr">
        <is>
          <t>Планка примыкания верхняя, нижняя 150 х 250 с полимерным покрытием по RAL по согласованию</t>
        </is>
      </c>
      <c r="E29" s="4">
        <f>N29+O29</f>
        <v/>
      </c>
      <c r="F29" s="3" t="inlineStr">
        <is>
          <t>п.м</t>
        </is>
      </c>
      <c r="G29" s="4">
        <f>IFERROR('[1]Лист1'!G29,50)</f>
        <v/>
      </c>
      <c r="H29" s="16" t="n">
        <v>50</v>
      </c>
      <c r="I29" s="16" t="n">
        <v>50</v>
      </c>
      <c r="J29" s="16" t="n">
        <v>50</v>
      </c>
      <c r="K29" s="16" t="n">
        <v>50</v>
      </c>
      <c r="L29" s="16" t="n">
        <v>50</v>
      </c>
      <c r="M29" s="16" t="n">
        <v>50</v>
      </c>
      <c r="N29" s="4">
        <f>Работы!S31</f>
        <v/>
      </c>
      <c r="O29" s="4">
        <f>Работы!R31</f>
        <v/>
      </c>
      <c r="P29" s="16" t="n">
        <v>50</v>
      </c>
      <c r="Q29" s="16" t="n">
        <v>50</v>
      </c>
      <c r="R29" s="16" t="n">
        <v>50</v>
      </c>
      <c r="S29" s="16" t="n">
        <v>50</v>
      </c>
      <c r="T29" s="16" t="n">
        <v>50</v>
      </c>
      <c r="U29" s="16" t="n">
        <v>50</v>
      </c>
      <c r="V29" s="16" t="n">
        <v>50</v>
      </c>
      <c r="W29" s="16" t="n">
        <v>50</v>
      </c>
      <c r="X29" s="16" t="n">
        <v>50</v>
      </c>
      <c r="Y29" s="16" t="n">
        <v>50</v>
      </c>
      <c r="Z29" s="16" t="n">
        <v>50</v>
      </c>
      <c r="AA29" s="16" t="n">
        <v>50</v>
      </c>
    </row>
    <row r="30">
      <c r="A30" s="3" t="inlineStr">
        <is>
          <t>Фасад</t>
        </is>
      </c>
      <c r="B30" s="3" t="inlineStr">
        <is>
          <t>Профлист окрашенный</t>
        </is>
      </c>
      <c r="C30" s="3" t="inlineStr">
        <is>
          <t>Монтажные работы</t>
        </is>
      </c>
      <c r="D30" s="3" t="inlineStr">
        <is>
          <t>Монтаж профлиста С8-115 - 0,50 окрашенный</t>
        </is>
      </c>
      <c r="E30" s="4">
        <f>N30+O30</f>
        <v/>
      </c>
      <c r="F30" s="3" t="inlineStr">
        <is>
          <t>м2</t>
        </is>
      </c>
      <c r="G30" s="4">
        <f>IFERROR('[1]Лист1'!G30,50)</f>
        <v/>
      </c>
      <c r="H30" s="16" t="n">
        <v>50</v>
      </c>
      <c r="I30" s="16" t="n">
        <v>50</v>
      </c>
      <c r="J30" s="16" t="n">
        <v>50</v>
      </c>
      <c r="K30" s="16" t="n">
        <v>50</v>
      </c>
      <c r="L30" s="16" t="n">
        <v>50</v>
      </c>
      <c r="M30" s="16" t="n">
        <v>50</v>
      </c>
      <c r="N30" s="4">
        <f>Работы!S32</f>
        <v/>
      </c>
      <c r="O30" s="4">
        <f>Работы!R32</f>
        <v/>
      </c>
      <c r="P30" s="16" t="n">
        <v>50</v>
      </c>
      <c r="Q30" s="16" t="n">
        <v>50</v>
      </c>
      <c r="R30" s="16" t="n">
        <v>50</v>
      </c>
      <c r="S30" s="16" t="n">
        <v>50</v>
      </c>
      <c r="T30" s="16" t="n">
        <v>50</v>
      </c>
      <c r="U30" s="16" t="n">
        <v>50</v>
      </c>
      <c r="V30" s="16" t="n">
        <v>50</v>
      </c>
      <c r="W30" s="16" t="n">
        <v>50</v>
      </c>
      <c r="X30" s="16" t="n">
        <v>50</v>
      </c>
      <c r="Y30" s="16" t="n">
        <v>50</v>
      </c>
      <c r="Z30" s="16" t="n">
        <v>50</v>
      </c>
      <c r="AA30" s="16" t="n">
        <v>50</v>
      </c>
    </row>
    <row r="31">
      <c r="A31" s="3" t="inlineStr">
        <is>
          <t>Фасад</t>
        </is>
      </c>
      <c r="B31" s="3" t="inlineStr">
        <is>
          <t>Профлист неокрашенный</t>
        </is>
      </c>
      <c r="C31" s="3" t="inlineStr">
        <is>
          <t>Монтажные работы</t>
        </is>
      </c>
      <c r="D31" s="3" t="inlineStr">
        <is>
          <t>Монтаж профлиста  С8, 0,45мм</t>
        </is>
      </c>
      <c r="E31" s="4">
        <f>N31+O31</f>
        <v/>
      </c>
      <c r="F31" s="3" t="inlineStr">
        <is>
          <t>м2</t>
        </is>
      </c>
      <c r="G31" s="4">
        <f>IFERROR('[1]Лист1'!G31,50)</f>
        <v/>
      </c>
      <c r="H31" s="16" t="n">
        <v>50</v>
      </c>
      <c r="I31" s="16" t="n">
        <v>50</v>
      </c>
      <c r="J31" s="16" t="n">
        <v>50</v>
      </c>
      <c r="K31" s="16" t="n">
        <v>50</v>
      </c>
      <c r="L31" s="16" t="n">
        <v>50</v>
      </c>
      <c r="M31" s="16" t="n">
        <v>50</v>
      </c>
      <c r="N31" s="4">
        <f>Работы!S33</f>
        <v/>
      </c>
      <c r="O31" s="4">
        <f>Работы!R33</f>
        <v/>
      </c>
      <c r="P31" s="16" t="n">
        <v>50</v>
      </c>
      <c r="Q31" s="16" t="n">
        <v>50</v>
      </c>
      <c r="R31" s="16" t="n">
        <v>50</v>
      </c>
      <c r="S31" s="16" t="n">
        <v>50</v>
      </c>
      <c r="T31" s="16" t="n">
        <v>50</v>
      </c>
      <c r="U31" s="16" t="n">
        <v>50</v>
      </c>
      <c r="V31" s="16" t="n">
        <v>50</v>
      </c>
      <c r="W31" s="16" t="n">
        <v>50</v>
      </c>
      <c r="X31" s="16" t="n">
        <v>50</v>
      </c>
      <c r="Y31" s="16" t="n">
        <v>50</v>
      </c>
      <c r="Z31" s="16" t="n">
        <v>50</v>
      </c>
      <c r="AA31" s="16" t="n">
        <v>50</v>
      </c>
    </row>
    <row r="32">
      <c r="A32" s="3" t="inlineStr">
        <is>
          <t>Фасад</t>
        </is>
      </c>
      <c r="B32" s="3" t="inlineStr">
        <is>
          <t>Профлист неокрашенный</t>
        </is>
      </c>
      <c r="C32" s="3" t="inlineStr">
        <is>
          <t>Монтажные работы</t>
        </is>
      </c>
      <c r="D32" s="3" t="inlineStr">
        <is>
          <t>Монтаж профлиста  С20, 0,45мм</t>
        </is>
      </c>
      <c r="E32" s="4">
        <f>N32+O32</f>
        <v/>
      </c>
      <c r="F32" s="3" t="inlineStr">
        <is>
          <t>м2</t>
        </is>
      </c>
      <c r="G32" s="4">
        <f>IFERROR('[1]Лист1'!G32,50)</f>
        <v/>
      </c>
      <c r="H32" s="16" t="n">
        <v>50</v>
      </c>
      <c r="I32" s="16" t="n">
        <v>50</v>
      </c>
      <c r="J32" s="16" t="n">
        <v>50</v>
      </c>
      <c r="K32" s="16" t="n">
        <v>50</v>
      </c>
      <c r="L32" s="16" t="n">
        <v>50</v>
      </c>
      <c r="M32" s="16" t="n">
        <v>50</v>
      </c>
      <c r="N32" s="4">
        <f>Работы!S34</f>
        <v/>
      </c>
      <c r="O32" s="4">
        <f>Работы!R34</f>
        <v/>
      </c>
      <c r="P32" s="16" t="n">
        <v>50</v>
      </c>
      <c r="Q32" s="16" t="n">
        <v>50</v>
      </c>
      <c r="R32" s="16" t="n">
        <v>50</v>
      </c>
      <c r="S32" s="16" t="n">
        <v>50</v>
      </c>
      <c r="T32" s="16" t="n">
        <v>50</v>
      </c>
      <c r="U32" s="16" t="n">
        <v>50</v>
      </c>
      <c r="V32" s="16" t="n">
        <v>50</v>
      </c>
      <c r="W32" s="16" t="n">
        <v>50</v>
      </c>
      <c r="X32" s="16" t="n">
        <v>50</v>
      </c>
      <c r="Y32" s="16" t="n">
        <v>50</v>
      </c>
      <c r="Z32" s="16" t="n">
        <v>50</v>
      </c>
      <c r="AA32" s="16" t="n">
        <v>50</v>
      </c>
    </row>
    <row r="33">
      <c r="A33" s="3" t="inlineStr">
        <is>
          <t>Главный вход</t>
        </is>
      </c>
      <c r="B33" s="3" t="inlineStr">
        <is>
          <t>Поручни</t>
        </is>
      </c>
      <c r="C33" s="3" t="inlineStr">
        <is>
          <t>Монтажные работы</t>
        </is>
      </c>
      <c r="D33" s="3" t="inlineStr">
        <is>
          <t>Поручни из нержавеющей стали ( с 3 ригелями )</t>
        </is>
      </c>
      <c r="E33" s="4">
        <f>N33+O33</f>
        <v/>
      </c>
      <c r="F33" s="3" t="inlineStr">
        <is>
          <t>м.п.</t>
        </is>
      </c>
      <c r="G33" s="4">
        <f>IFERROR('[1]Лист1'!G33,50)</f>
        <v/>
      </c>
      <c r="H33" s="16" t="n">
        <v>50</v>
      </c>
      <c r="I33" s="16" t="n">
        <v>50</v>
      </c>
      <c r="J33" s="16" t="n">
        <v>50</v>
      </c>
      <c r="K33" s="16" t="n">
        <v>50</v>
      </c>
      <c r="L33" s="16" t="n">
        <v>50</v>
      </c>
      <c r="M33" s="16" t="n">
        <v>50</v>
      </c>
      <c r="N33" s="4">
        <f>Работы!S35</f>
        <v/>
      </c>
      <c r="O33" s="4">
        <f>Работы!R35</f>
        <v/>
      </c>
      <c r="P33" s="16" t="n">
        <v>50</v>
      </c>
      <c r="Q33" s="16" t="n">
        <v>50</v>
      </c>
      <c r="R33" s="16" t="n">
        <v>50</v>
      </c>
      <c r="S33" s="16" t="n">
        <v>50</v>
      </c>
      <c r="T33" s="16" t="n">
        <v>50</v>
      </c>
      <c r="U33" s="16" t="n">
        <v>50</v>
      </c>
      <c r="V33" s="16" t="n">
        <v>50</v>
      </c>
      <c r="W33" s="16" t="n">
        <v>50</v>
      </c>
      <c r="X33" s="16" t="n">
        <v>50</v>
      </c>
      <c r="Y33" s="16" t="n">
        <v>50</v>
      </c>
      <c r="Z33" s="16" t="n">
        <v>50</v>
      </c>
      <c r="AA33" s="16" t="n">
        <v>50</v>
      </c>
    </row>
    <row r="34">
      <c r="A34" s="3" t="inlineStr">
        <is>
          <t>Главный вход</t>
        </is>
      </c>
      <c r="B34" s="3" t="inlineStr">
        <is>
          <t>Поручни</t>
        </is>
      </c>
      <c r="C34" s="3" t="inlineStr">
        <is>
          <t>Монтажные работы</t>
        </is>
      </c>
      <c r="D34" s="3" t="inlineStr">
        <is>
          <t>Поручни из нержавеющей стали ( с 2 ригелями, с двойным )</t>
        </is>
      </c>
      <c r="E34" s="4">
        <f>N34+O34</f>
        <v/>
      </c>
      <c r="F34" s="3" t="inlineStr">
        <is>
          <t>м.п.</t>
        </is>
      </c>
      <c r="G34" s="4">
        <f>IFERROR('[1]Лист1'!G34,50)</f>
        <v/>
      </c>
      <c r="H34" s="16" t="n">
        <v>50</v>
      </c>
      <c r="I34" s="16" t="n">
        <v>50</v>
      </c>
      <c r="J34" s="16" t="n">
        <v>50</v>
      </c>
      <c r="K34" s="16" t="n">
        <v>50</v>
      </c>
      <c r="L34" s="16" t="n">
        <v>50</v>
      </c>
      <c r="M34" s="16" t="n">
        <v>50</v>
      </c>
      <c r="N34" s="4">
        <f>Работы!S36</f>
        <v/>
      </c>
      <c r="O34" s="4">
        <f>Работы!R36</f>
        <v/>
      </c>
      <c r="P34" s="16" t="n">
        <v>50</v>
      </c>
      <c r="Q34" s="16" t="n">
        <v>50</v>
      </c>
      <c r="R34" s="16" t="n">
        <v>50</v>
      </c>
      <c r="S34" s="16" t="n">
        <v>50</v>
      </c>
      <c r="T34" s="16" t="n">
        <v>50</v>
      </c>
      <c r="U34" s="16" t="n">
        <v>50</v>
      </c>
      <c r="V34" s="16" t="n">
        <v>50</v>
      </c>
      <c r="W34" s="16" t="n">
        <v>50</v>
      </c>
      <c r="X34" s="16" t="n">
        <v>50</v>
      </c>
      <c r="Y34" s="16" t="n">
        <v>50</v>
      </c>
      <c r="Z34" s="16" t="n">
        <v>50</v>
      </c>
      <c r="AA34" s="16" t="n">
        <v>50</v>
      </c>
    </row>
    <row r="35">
      <c r="A35" s="3" t="inlineStr">
        <is>
          <t>Пол</t>
        </is>
      </c>
      <c r="B35" s="3" t="inlineStr">
        <is>
          <t>Плитка Керамогранит</t>
        </is>
      </c>
      <c r="C35" s="3" t="inlineStr">
        <is>
          <t>Монтажные работы</t>
        </is>
      </c>
      <c r="D35" s="3" t="inlineStr">
        <is>
          <t>Керамогранит 300х300х8 мм типа "Эстима" (цвет белый )RW-01 (вкл. За основу клей, грунтовку, затирку швов)</t>
        </is>
      </c>
      <c r="E35" s="4">
        <f>N35+O35</f>
        <v/>
      </c>
      <c r="F35" s="3" t="inlineStr">
        <is>
          <t>м2</t>
        </is>
      </c>
      <c r="G35" s="4">
        <f>IFERROR('[1]Лист1'!G35,150)</f>
        <v/>
      </c>
      <c r="H35" s="16" t="n">
        <v>150</v>
      </c>
      <c r="I35" s="16" t="n">
        <v>150</v>
      </c>
      <c r="J35" s="16" t="n">
        <v>150</v>
      </c>
      <c r="K35" s="16" t="n">
        <v>150</v>
      </c>
      <c r="L35" s="16" t="n">
        <v>150</v>
      </c>
      <c r="M35" s="16" t="n">
        <v>150</v>
      </c>
      <c r="N35" s="4">
        <f>Работы!S37</f>
        <v/>
      </c>
      <c r="O35" s="4">
        <f>Работы!R37</f>
        <v/>
      </c>
      <c r="P35" s="16" t="n">
        <v>150</v>
      </c>
      <c r="Q35" s="16" t="n">
        <v>150</v>
      </c>
      <c r="R35" s="16" t="n">
        <v>150</v>
      </c>
      <c r="S35" s="16" t="n">
        <v>150</v>
      </c>
      <c r="T35" s="16" t="n">
        <v>150</v>
      </c>
      <c r="U35" s="16" t="n">
        <v>150</v>
      </c>
      <c r="V35" s="16" t="n">
        <v>150</v>
      </c>
      <c r="W35" s="16" t="n">
        <v>150</v>
      </c>
      <c r="X35" s="16" t="n">
        <v>150</v>
      </c>
      <c r="Y35" s="16" t="n">
        <v>150</v>
      </c>
      <c r="Z35" s="16" t="n">
        <v>150</v>
      </c>
      <c r="AA35" s="16" t="n">
        <v>150</v>
      </c>
    </row>
    <row r="36">
      <c r="A36" s="3" t="inlineStr">
        <is>
          <t>Пол</t>
        </is>
      </c>
      <c r="B36" s="3" t="inlineStr">
        <is>
          <t>Плитка Керамогранит</t>
        </is>
      </c>
      <c r="C36" s="3" t="inlineStr">
        <is>
          <t>Монтажные работы</t>
        </is>
      </c>
      <c r="D36" s="3" t="inlineStr">
        <is>
          <t>Керамогранит 400х400х9 мм типа "Эстима" (цвет белый))RW-01 (вкл. За основу клей, грунтовку, затирку швов)</t>
        </is>
      </c>
      <c r="E36" s="4">
        <f>N36+O36</f>
        <v/>
      </c>
      <c r="F36" s="3" t="inlineStr">
        <is>
          <t>м2</t>
        </is>
      </c>
      <c r="G36" s="4">
        <f>IFERROR('[1]Лист1'!G36,150)</f>
        <v/>
      </c>
      <c r="H36" s="16" t="n">
        <v>150</v>
      </c>
      <c r="I36" s="16" t="n">
        <v>150</v>
      </c>
      <c r="J36" s="16" t="n">
        <v>150</v>
      </c>
      <c r="K36" s="16" t="n">
        <v>150</v>
      </c>
      <c r="L36" s="16" t="n">
        <v>150</v>
      </c>
      <c r="M36" s="16" t="n">
        <v>150</v>
      </c>
      <c r="N36" s="4">
        <f>Работы!S38</f>
        <v/>
      </c>
      <c r="O36" s="4">
        <f>Работы!R38</f>
        <v/>
      </c>
      <c r="P36" s="16" t="n">
        <v>150</v>
      </c>
      <c r="Q36" s="16" t="n">
        <v>150</v>
      </c>
      <c r="R36" s="16" t="n">
        <v>150</v>
      </c>
      <c r="S36" s="16" t="n">
        <v>150</v>
      </c>
      <c r="T36" s="16" t="n">
        <v>150</v>
      </c>
      <c r="U36" s="16" t="n">
        <v>150</v>
      </c>
      <c r="V36" s="16" t="n">
        <v>150</v>
      </c>
      <c r="W36" s="16" t="n">
        <v>150</v>
      </c>
      <c r="X36" s="16" t="n">
        <v>150</v>
      </c>
      <c r="Y36" s="16" t="n">
        <v>150</v>
      </c>
      <c r="Z36" s="16" t="n">
        <v>150</v>
      </c>
      <c r="AA36" s="16" t="n">
        <v>150</v>
      </c>
    </row>
    <row r="37">
      <c r="A37" s="3" t="inlineStr">
        <is>
          <t>Пол</t>
        </is>
      </c>
      <c r="B37" s="3" t="inlineStr">
        <is>
          <t>Плитка Керамогранит</t>
        </is>
      </c>
      <c r="C37" s="3" t="inlineStr">
        <is>
          <t>Монтажные работы</t>
        </is>
      </c>
      <c r="D37" s="3" t="inlineStr">
        <is>
          <t>Керамогранит 600х600х10 мм типа "Эстима" (цвет белый))RW-01 (вкл. За основу клей, грунтовку, затирку швов)</t>
        </is>
      </c>
      <c r="E37" s="4">
        <f>N37+O37</f>
        <v/>
      </c>
      <c r="F37" s="3" t="inlineStr">
        <is>
          <t>м2</t>
        </is>
      </c>
      <c r="G37" s="4">
        <f>IFERROR('[1]Лист1'!G37,150)</f>
        <v/>
      </c>
      <c r="H37" s="16" t="n">
        <v>150</v>
      </c>
      <c r="I37" s="16" t="n">
        <v>150</v>
      </c>
      <c r="J37" s="16" t="n">
        <v>150</v>
      </c>
      <c r="K37" s="16" t="n">
        <v>150</v>
      </c>
      <c r="L37" s="16" t="n">
        <v>150</v>
      </c>
      <c r="M37" s="16" t="n">
        <v>150</v>
      </c>
      <c r="N37" s="4">
        <f>Работы!S39</f>
        <v/>
      </c>
      <c r="O37" s="4">
        <f>Работы!R39</f>
        <v/>
      </c>
      <c r="P37" s="16" t="n">
        <v>150</v>
      </c>
      <c r="Q37" s="16" t="n">
        <v>150</v>
      </c>
      <c r="R37" s="16" t="n">
        <v>150</v>
      </c>
      <c r="S37" s="16" t="n">
        <v>150</v>
      </c>
      <c r="T37" s="16" t="n">
        <v>150</v>
      </c>
      <c r="U37" s="16" t="n">
        <v>150</v>
      </c>
      <c r="V37" s="16" t="n">
        <v>150</v>
      </c>
      <c r="W37" s="16" t="n">
        <v>150</v>
      </c>
      <c r="X37" s="16" t="n">
        <v>150</v>
      </c>
      <c r="Y37" s="16" t="n">
        <v>150</v>
      </c>
      <c r="Z37" s="16" t="n">
        <v>150</v>
      </c>
      <c r="AA37" s="16" t="n">
        <v>150</v>
      </c>
    </row>
    <row r="38">
      <c r="A38" s="3" t="inlineStr">
        <is>
          <t>Пол</t>
        </is>
      </c>
      <c r="B38" s="3" t="inlineStr">
        <is>
          <t>Плитка Керамогранит</t>
        </is>
      </c>
      <c r="C38" s="3" t="inlineStr">
        <is>
          <t>Монтажные работы</t>
        </is>
      </c>
      <c r="D38" s="3" t="inlineStr">
        <is>
          <t>Плитка керамогранита 200*200*12 мм типа "Эстима" (цвет-серый ) ST-101 (вкл. За основу клей, грунтовку, затирку швов)</t>
        </is>
      </c>
      <c r="E38" s="4">
        <f>N38+O38</f>
        <v/>
      </c>
      <c r="F38" s="3" t="inlineStr">
        <is>
          <t>м2</t>
        </is>
      </c>
      <c r="G38" s="4">
        <f>IFERROR('[1]Лист1'!G38,150)</f>
        <v/>
      </c>
      <c r="H38" s="16" t="n">
        <v>150</v>
      </c>
      <c r="I38" s="16" t="n">
        <v>150</v>
      </c>
      <c r="J38" s="16" t="n">
        <v>150</v>
      </c>
      <c r="K38" s="16" t="n">
        <v>150</v>
      </c>
      <c r="L38" s="16" t="n">
        <v>150</v>
      </c>
      <c r="M38" s="16" t="n">
        <v>150</v>
      </c>
      <c r="N38" s="4">
        <f>Работы!S40</f>
        <v/>
      </c>
      <c r="O38" s="4">
        <f>Работы!R40</f>
        <v/>
      </c>
      <c r="P38" s="16" t="n">
        <v>150</v>
      </c>
      <c r="Q38" s="16" t="n">
        <v>150</v>
      </c>
      <c r="R38" s="16" t="n">
        <v>150</v>
      </c>
      <c r="S38" s="16" t="n">
        <v>150</v>
      </c>
      <c r="T38" s="16" t="n">
        <v>150</v>
      </c>
      <c r="U38" s="16" t="n">
        <v>150</v>
      </c>
      <c r="V38" s="16" t="n">
        <v>150</v>
      </c>
      <c r="W38" s="16" t="n">
        <v>150</v>
      </c>
      <c r="X38" s="16" t="n">
        <v>150</v>
      </c>
      <c r="Y38" s="16" t="n">
        <v>150</v>
      </c>
      <c r="Z38" s="16" t="n">
        <v>150</v>
      </c>
      <c r="AA38" s="16" t="n">
        <v>150</v>
      </c>
    </row>
    <row r="39">
      <c r="A39" s="3" t="inlineStr">
        <is>
          <t>Пол</t>
        </is>
      </c>
      <c r="B39" s="3" t="inlineStr">
        <is>
          <t>Плитка Керамогранит</t>
        </is>
      </c>
      <c r="C39" s="3" t="inlineStr">
        <is>
          <t>Монтажные работы</t>
        </is>
      </c>
      <c r="D39" s="3" t="inlineStr">
        <is>
          <t>Плитка керамогранита 300*300*12 мм типа "Эстима" (цвет-серый ) ST-101 (вкл. За основу клей, грунтовку, затирку швов)</t>
        </is>
      </c>
      <c r="E39" s="4">
        <f>N39+O39</f>
        <v/>
      </c>
      <c r="F39" s="3" t="inlineStr">
        <is>
          <t>м2</t>
        </is>
      </c>
      <c r="G39" s="4">
        <f>IFERROR('[1]Лист1'!G39,150)</f>
        <v/>
      </c>
      <c r="H39" s="16" t="n">
        <v>150</v>
      </c>
      <c r="I39" s="16" t="n">
        <v>150</v>
      </c>
      <c r="J39" s="16" t="n">
        <v>150</v>
      </c>
      <c r="K39" s="16" t="n">
        <v>150</v>
      </c>
      <c r="L39" s="16" t="n">
        <v>150</v>
      </c>
      <c r="M39" s="16" t="n">
        <v>150</v>
      </c>
      <c r="N39" s="4">
        <f>Работы!S41</f>
        <v/>
      </c>
      <c r="O39" s="4">
        <f>Работы!R41</f>
        <v/>
      </c>
      <c r="P39" s="16" t="n">
        <v>150</v>
      </c>
      <c r="Q39" s="16" t="n">
        <v>150</v>
      </c>
      <c r="R39" s="16" t="n">
        <v>150</v>
      </c>
      <c r="S39" s="16" t="n">
        <v>150</v>
      </c>
      <c r="T39" s="16" t="n">
        <v>150</v>
      </c>
      <c r="U39" s="16" t="n">
        <v>150</v>
      </c>
      <c r="V39" s="16" t="n">
        <v>150</v>
      </c>
      <c r="W39" s="16" t="n">
        <v>150</v>
      </c>
      <c r="X39" s="16" t="n">
        <v>150</v>
      </c>
      <c r="Y39" s="16" t="n">
        <v>150</v>
      </c>
      <c r="Z39" s="16" t="n">
        <v>150</v>
      </c>
      <c r="AA39" s="16" t="n">
        <v>150</v>
      </c>
    </row>
    <row r="40">
      <c r="A40" s="3" t="inlineStr">
        <is>
          <t>Пол</t>
        </is>
      </c>
      <c r="B40" s="3" t="inlineStr">
        <is>
          <t>Плитка Керамогранит</t>
        </is>
      </c>
      <c r="C40" s="3" t="inlineStr">
        <is>
          <t>Монтажные работы</t>
        </is>
      </c>
      <c r="D40" s="3" t="inlineStr">
        <is>
          <t>Плитка керамогранита 300*300*8 мм типа "Эстима"(цвет-серый ) ST-03 (вкл. За основу клей, грунтовку, затирку швов)</t>
        </is>
      </c>
      <c r="E40" s="4">
        <f>N40+O40</f>
        <v/>
      </c>
      <c r="F40" s="3" t="inlineStr">
        <is>
          <t>м2</t>
        </is>
      </c>
      <c r="G40" s="4">
        <f>IFERROR('[1]Лист1'!G40,150)</f>
        <v/>
      </c>
      <c r="H40" s="16" t="n">
        <v>150</v>
      </c>
      <c r="I40" s="16" t="n">
        <v>150</v>
      </c>
      <c r="J40" s="16" t="n">
        <v>150</v>
      </c>
      <c r="K40" s="16" t="n">
        <v>150</v>
      </c>
      <c r="L40" s="16" t="n">
        <v>150</v>
      </c>
      <c r="M40" s="16" t="n">
        <v>150</v>
      </c>
      <c r="N40" s="4">
        <f>Работы!S42</f>
        <v/>
      </c>
      <c r="O40" s="4">
        <f>Работы!R42</f>
        <v/>
      </c>
      <c r="P40" s="16" t="n">
        <v>150</v>
      </c>
      <c r="Q40" s="16" t="n">
        <v>150</v>
      </c>
      <c r="R40" s="16" t="n">
        <v>150</v>
      </c>
      <c r="S40" s="16" t="n">
        <v>150</v>
      </c>
      <c r="T40" s="16" t="n">
        <v>150</v>
      </c>
      <c r="U40" s="16" t="n">
        <v>150</v>
      </c>
      <c r="V40" s="16" t="n">
        <v>150</v>
      </c>
      <c r="W40" s="16" t="n">
        <v>150</v>
      </c>
      <c r="X40" s="16" t="n">
        <v>150</v>
      </c>
      <c r="Y40" s="16" t="n">
        <v>150</v>
      </c>
      <c r="Z40" s="16" t="n">
        <v>150</v>
      </c>
      <c r="AA40" s="16" t="n">
        <v>150</v>
      </c>
    </row>
    <row r="41">
      <c r="A41" s="3" t="inlineStr">
        <is>
          <t>Пол</t>
        </is>
      </c>
      <c r="B41" s="3" t="inlineStr">
        <is>
          <t>Плитка Керамогранит</t>
        </is>
      </c>
      <c r="C41" s="3" t="inlineStr">
        <is>
          <t>Монтажные работы</t>
        </is>
      </c>
      <c r="D41" s="3" t="inlineStr">
        <is>
          <t>Плитка Керамогранит 400х400х9 мм типа "Эстима"(цвет-серый ) ST-03 (вкл. За основу клей, грунтовку, затирку швов)</t>
        </is>
      </c>
      <c r="E41" s="4">
        <f>N41+O41</f>
        <v/>
      </c>
      <c r="F41" s="3" t="inlineStr">
        <is>
          <t>м2</t>
        </is>
      </c>
      <c r="G41" s="4">
        <f>IFERROR('[1]Лист1'!G41,150)</f>
        <v/>
      </c>
      <c r="H41" s="16" t="n">
        <v>150</v>
      </c>
      <c r="I41" s="16" t="n">
        <v>150</v>
      </c>
      <c r="J41" s="16" t="n">
        <v>150</v>
      </c>
      <c r="K41" s="16" t="n">
        <v>150</v>
      </c>
      <c r="L41" s="16" t="n">
        <v>150</v>
      </c>
      <c r="M41" s="16" t="n">
        <v>150</v>
      </c>
      <c r="N41" s="4">
        <f>Работы!S43</f>
        <v/>
      </c>
      <c r="O41" s="4">
        <f>Работы!R43</f>
        <v/>
      </c>
      <c r="P41" s="16" t="n">
        <v>150</v>
      </c>
      <c r="Q41" s="16" t="n">
        <v>150</v>
      </c>
      <c r="R41" s="16" t="n">
        <v>150</v>
      </c>
      <c r="S41" s="16" t="n">
        <v>150</v>
      </c>
      <c r="T41" s="16" t="n">
        <v>150</v>
      </c>
      <c r="U41" s="16" t="n">
        <v>150</v>
      </c>
      <c r="V41" s="16" t="n">
        <v>150</v>
      </c>
      <c r="W41" s="16" t="n">
        <v>150</v>
      </c>
      <c r="X41" s="16" t="n">
        <v>150</v>
      </c>
      <c r="Y41" s="16" t="n">
        <v>150</v>
      </c>
      <c r="Z41" s="16" t="n">
        <v>150</v>
      </c>
      <c r="AA41" s="16" t="n">
        <v>150</v>
      </c>
    </row>
    <row r="42">
      <c r="A42" s="3" t="inlineStr">
        <is>
          <t>Пол</t>
        </is>
      </c>
      <c r="B42" s="3" t="inlineStr">
        <is>
          <t>Плитка Керамогранит</t>
        </is>
      </c>
      <c r="C42" s="3" t="inlineStr">
        <is>
          <t>Монтажные работы</t>
        </is>
      </c>
      <c r="D42" s="3" t="inlineStr">
        <is>
          <t>Плитка керамогранита 600*600*10 мм типа "Эстима"(цвет-серый ) ST-03 (вкл. За основу клей, грунтовку, затирку швов)</t>
        </is>
      </c>
      <c r="E42" s="4">
        <f>N42+O42</f>
        <v/>
      </c>
      <c r="F42" s="3" t="inlineStr">
        <is>
          <t>м2</t>
        </is>
      </c>
      <c r="G42" s="4">
        <f>IFERROR('[1]Лист1'!G42,150)</f>
        <v/>
      </c>
      <c r="H42" s="16" t="n">
        <v>150</v>
      </c>
      <c r="I42" s="16" t="n">
        <v>150</v>
      </c>
      <c r="J42" s="16" t="n">
        <v>150</v>
      </c>
      <c r="K42" s="16" t="n">
        <v>150</v>
      </c>
      <c r="L42" s="16" t="n">
        <v>150</v>
      </c>
      <c r="M42" s="16" t="n">
        <v>150</v>
      </c>
      <c r="N42" s="4">
        <f>Работы!S44</f>
        <v/>
      </c>
      <c r="O42" s="4">
        <f>Работы!R44</f>
        <v/>
      </c>
      <c r="P42" s="16" t="n">
        <v>150</v>
      </c>
      <c r="Q42" s="16" t="n">
        <v>150</v>
      </c>
      <c r="R42" s="16" t="n">
        <v>150</v>
      </c>
      <c r="S42" s="16" t="n">
        <v>150</v>
      </c>
      <c r="T42" s="16" t="n">
        <v>150</v>
      </c>
      <c r="U42" s="16" t="n">
        <v>150</v>
      </c>
      <c r="V42" s="16" t="n">
        <v>150</v>
      </c>
      <c r="W42" s="16" t="n">
        <v>150</v>
      </c>
      <c r="X42" s="16" t="n">
        <v>150</v>
      </c>
      <c r="Y42" s="16" t="n">
        <v>150</v>
      </c>
      <c r="Z42" s="16" t="n">
        <v>150</v>
      </c>
      <c r="AA42" s="16" t="n">
        <v>150</v>
      </c>
    </row>
    <row r="43">
      <c r="A43" s="3" t="inlineStr">
        <is>
          <t>Пол</t>
        </is>
      </c>
      <c r="B43" s="3" t="inlineStr">
        <is>
          <t>Плитка Керамогранит</t>
        </is>
      </c>
      <c r="C43" s="3" t="inlineStr">
        <is>
          <t>Монтажные работы</t>
        </is>
      </c>
      <c r="D43" s="3" t="inlineStr">
        <is>
          <t>Керамогранит для пола 200х200х12 мм (полосы, PEI 4) глазурованный (полосатая) (вкл. За основу клей, грунтовку, затирку швов)</t>
        </is>
      </c>
      <c r="E43" s="4">
        <f>N43+O43</f>
        <v/>
      </c>
      <c r="F43" s="3" t="inlineStr">
        <is>
          <t>м2</t>
        </is>
      </c>
      <c r="G43" s="4">
        <f>IFERROR('[1]Лист1'!G43,150)</f>
        <v/>
      </c>
      <c r="H43" s="16" t="n">
        <v>150</v>
      </c>
      <c r="I43" s="16" t="n">
        <v>150</v>
      </c>
      <c r="J43" s="16" t="n">
        <v>150</v>
      </c>
      <c r="K43" s="16" t="n">
        <v>150</v>
      </c>
      <c r="L43" s="16" t="n">
        <v>150</v>
      </c>
      <c r="M43" s="16" t="n">
        <v>150</v>
      </c>
      <c r="N43" s="4">
        <f>Работы!S45</f>
        <v/>
      </c>
      <c r="O43" s="4">
        <f>Работы!R45</f>
        <v/>
      </c>
      <c r="P43" s="16" t="n">
        <v>150</v>
      </c>
      <c r="Q43" s="16" t="n">
        <v>150</v>
      </c>
      <c r="R43" s="16" t="n">
        <v>150</v>
      </c>
      <c r="S43" s="16" t="n">
        <v>150</v>
      </c>
      <c r="T43" s="16" t="n">
        <v>150</v>
      </c>
      <c r="U43" s="16" t="n">
        <v>150</v>
      </c>
      <c r="V43" s="16" t="n">
        <v>150</v>
      </c>
      <c r="W43" s="16" t="n">
        <v>150</v>
      </c>
      <c r="X43" s="16" t="n">
        <v>150</v>
      </c>
      <c r="Y43" s="16" t="n">
        <v>150</v>
      </c>
      <c r="Z43" s="16" t="n">
        <v>150</v>
      </c>
      <c r="AA43" s="16" t="n">
        <v>150</v>
      </c>
    </row>
    <row r="44">
      <c r="A44" s="3" t="inlineStr">
        <is>
          <t>Пол</t>
        </is>
      </c>
      <c r="B44" s="3" t="inlineStr">
        <is>
          <t>Плитка</t>
        </is>
      </c>
      <c r="C44" s="3" t="inlineStr">
        <is>
          <t>Монтажные работы</t>
        </is>
      </c>
      <c r="D44" s="3" t="inlineStr">
        <is>
          <t>Керамогранит Техногрес 300х300х12мм соль-перец</t>
        </is>
      </c>
      <c r="E44" s="4">
        <f>N44+O44</f>
        <v/>
      </c>
      <c r="F44" s="3" t="inlineStr">
        <is>
          <t>м2</t>
        </is>
      </c>
      <c r="G44" s="4">
        <f>IFERROR('[1]Лист1'!G44,150)</f>
        <v/>
      </c>
      <c r="H44" s="16" t="n">
        <v>150</v>
      </c>
      <c r="I44" s="16" t="n">
        <v>150</v>
      </c>
      <c r="J44" s="16" t="n">
        <v>150</v>
      </c>
      <c r="K44" s="16" t="n">
        <v>150</v>
      </c>
      <c r="L44" s="16" t="n">
        <v>150</v>
      </c>
      <c r="M44" s="16" t="n">
        <v>150</v>
      </c>
      <c r="N44" s="4">
        <f>Работы!S46</f>
        <v/>
      </c>
      <c r="O44" s="4">
        <f>Работы!R46</f>
        <v/>
      </c>
      <c r="P44" s="16" t="n">
        <v>150</v>
      </c>
      <c r="Q44" s="16" t="n">
        <v>150</v>
      </c>
      <c r="R44" s="16" t="n">
        <v>150</v>
      </c>
      <c r="S44" s="16" t="n">
        <v>150</v>
      </c>
      <c r="T44" s="16" t="n">
        <v>150</v>
      </c>
      <c r="U44" s="16" t="n">
        <v>150</v>
      </c>
      <c r="V44" s="16" t="n">
        <v>150</v>
      </c>
      <c r="W44" s="16" t="n">
        <v>150</v>
      </c>
      <c r="X44" s="16" t="n">
        <v>150</v>
      </c>
      <c r="Y44" s="16" t="n">
        <v>150</v>
      </c>
      <c r="Z44" s="16" t="n">
        <v>150</v>
      </c>
      <c r="AA44" s="16" t="n">
        <v>150</v>
      </c>
    </row>
    <row r="45">
      <c r="A45" s="3" t="inlineStr">
        <is>
          <t>Пол</t>
        </is>
      </c>
      <c r="B45" s="3" t="inlineStr">
        <is>
          <t>Прочее</t>
        </is>
      </c>
      <c r="C45" s="3" t="inlineStr">
        <is>
          <t>Монтажные работы</t>
        </is>
      </c>
      <c r="D45" s="3" t="inlineStr">
        <is>
          <t>Плинтус напольный пластиковый 55 x 22 мм типа "Идеал" с кабель каналом</t>
        </is>
      </c>
      <c r="E45" s="4">
        <f>N45+O45</f>
        <v/>
      </c>
      <c r="F45" s="3" t="inlineStr">
        <is>
          <t>м.п.</t>
        </is>
      </c>
      <c r="G45" s="4">
        <f>IFERROR('[1]Лист1'!G45,300)</f>
        <v/>
      </c>
      <c r="H45" s="16" t="n">
        <v>300</v>
      </c>
      <c r="I45" s="16" t="n">
        <v>300</v>
      </c>
      <c r="J45" s="16" t="n">
        <v>300</v>
      </c>
      <c r="K45" s="16" t="n">
        <v>300</v>
      </c>
      <c r="L45" s="16" t="n">
        <v>300</v>
      </c>
      <c r="M45" s="16" t="n">
        <v>300</v>
      </c>
      <c r="N45" s="4">
        <f>Работы!S47</f>
        <v/>
      </c>
      <c r="O45" s="4">
        <f>Работы!R47</f>
        <v/>
      </c>
      <c r="P45" s="16" t="n">
        <v>300</v>
      </c>
      <c r="Q45" s="16" t="n">
        <v>300</v>
      </c>
      <c r="R45" s="16" t="n">
        <v>300</v>
      </c>
      <c r="S45" s="16" t="n">
        <v>300</v>
      </c>
      <c r="T45" s="16" t="n">
        <v>300</v>
      </c>
      <c r="U45" s="16" t="n">
        <v>300</v>
      </c>
      <c r="V45" s="16" t="n">
        <v>300</v>
      </c>
      <c r="W45" s="16" t="n">
        <v>300</v>
      </c>
      <c r="X45" s="16" t="n">
        <v>300</v>
      </c>
      <c r="Y45" s="16" t="n">
        <v>300</v>
      </c>
      <c r="Z45" s="16" t="n">
        <v>300</v>
      </c>
      <c r="AA45" s="16" t="n">
        <v>300</v>
      </c>
    </row>
    <row r="46">
      <c r="A46" s="3" t="inlineStr">
        <is>
          <t>Пол</t>
        </is>
      </c>
      <c r="B46" s="3" t="inlineStr">
        <is>
          <t>Прочее</t>
        </is>
      </c>
      <c r="C46" s="3" t="inlineStr">
        <is>
          <t>Монтажные работы</t>
        </is>
      </c>
      <c r="D46" s="3" t="inlineStr">
        <is>
          <t>Линолеум коммерческий толщиной не менее 2 мм (типа "Tarket" серии "Optima")</t>
        </is>
      </c>
      <c r="E46" s="4">
        <f>N46+O46</f>
        <v/>
      </c>
      <c r="F46" s="3" t="inlineStr">
        <is>
          <t>м2</t>
        </is>
      </c>
      <c r="G46" s="4">
        <f>IFERROR('[1]Лист1'!G46,500)</f>
        <v/>
      </c>
      <c r="H46" s="16" t="n">
        <v>500</v>
      </c>
      <c r="I46" s="16" t="n">
        <v>500</v>
      </c>
      <c r="J46" s="16" t="n">
        <v>500</v>
      </c>
      <c r="K46" s="16" t="n">
        <v>500</v>
      </c>
      <c r="L46" s="16" t="n">
        <v>500</v>
      </c>
      <c r="M46" s="16" t="n">
        <v>500</v>
      </c>
      <c r="N46" s="4">
        <f>Работы!S48</f>
        <v/>
      </c>
      <c r="O46" s="4">
        <f>Работы!R48</f>
        <v/>
      </c>
      <c r="P46" s="16" t="n">
        <v>500</v>
      </c>
      <c r="Q46" s="16" t="n">
        <v>500</v>
      </c>
      <c r="R46" s="16" t="n">
        <v>500</v>
      </c>
      <c r="S46" s="16" t="n">
        <v>500</v>
      </c>
      <c r="T46" s="16" t="n">
        <v>500</v>
      </c>
      <c r="U46" s="16" t="n">
        <v>500</v>
      </c>
      <c r="V46" s="16" t="n">
        <v>500</v>
      </c>
      <c r="W46" s="16" t="n">
        <v>500</v>
      </c>
      <c r="X46" s="16" t="n">
        <v>500</v>
      </c>
      <c r="Y46" s="16" t="n">
        <v>500</v>
      </c>
      <c r="Z46" s="16" t="n">
        <v>500</v>
      </c>
      <c r="AA46" s="16" t="n">
        <v>500</v>
      </c>
    </row>
    <row r="47">
      <c r="A47" s="3" t="inlineStr">
        <is>
          <t>Пол</t>
        </is>
      </c>
      <c r="B47" s="3" t="inlineStr">
        <is>
          <t>Прочее</t>
        </is>
      </c>
      <c r="C47" s="3" t="inlineStr">
        <is>
          <t>Монтажные работы</t>
        </is>
      </c>
      <c r="D47" s="3" t="inlineStr">
        <is>
          <t>Текстура: гладкая типа Апельсиновая корка. Цвет: RAL 7040</t>
        </is>
      </c>
      <c r="E47" s="4">
        <f>N47+O47</f>
        <v/>
      </c>
      <c r="F47" s="3" t="inlineStr">
        <is>
          <t>м2</t>
        </is>
      </c>
      <c r="G47" s="4">
        <f>IFERROR('[1]Лист1'!G47,500)</f>
        <v/>
      </c>
      <c r="H47" s="16" t="n">
        <v>500</v>
      </c>
      <c r="I47" s="16" t="n">
        <v>500</v>
      </c>
      <c r="J47" s="16" t="n">
        <v>500</v>
      </c>
      <c r="K47" s="16" t="n">
        <v>500</v>
      </c>
      <c r="L47" s="16" t="n">
        <v>500</v>
      </c>
      <c r="M47" s="16" t="n">
        <v>500</v>
      </c>
      <c r="N47" s="4">
        <f>Работы!S49</f>
        <v/>
      </c>
      <c r="O47" s="4">
        <f>Работы!R49</f>
        <v/>
      </c>
      <c r="P47" s="16" t="n">
        <v>500</v>
      </c>
      <c r="Q47" s="16" t="n">
        <v>500</v>
      </c>
      <c r="R47" s="16" t="n">
        <v>500</v>
      </c>
      <c r="S47" s="16" t="n">
        <v>500</v>
      </c>
      <c r="T47" s="16" t="n">
        <v>500</v>
      </c>
      <c r="U47" s="16" t="n">
        <v>500</v>
      </c>
      <c r="V47" s="16" t="n">
        <v>500</v>
      </c>
      <c r="W47" s="16" t="n">
        <v>500</v>
      </c>
      <c r="X47" s="16" t="n">
        <v>500</v>
      </c>
      <c r="Y47" s="16" t="n">
        <v>500</v>
      </c>
      <c r="Z47" s="16" t="n">
        <v>500</v>
      </c>
      <c r="AA47" s="16" t="n">
        <v>500</v>
      </c>
    </row>
    <row r="48">
      <c r="A48" s="3" t="inlineStr">
        <is>
          <t>Пол</t>
        </is>
      </c>
      <c r="B48" s="3" t="inlineStr">
        <is>
          <t>Прочее</t>
        </is>
      </c>
      <c r="C48" s="3" t="inlineStr">
        <is>
          <t>Монтажные работы</t>
        </is>
      </c>
      <c r="D48" s="3" t="inlineStr">
        <is>
          <t>Противоскользящие полосы</t>
        </is>
      </c>
      <c r="E48" s="4">
        <f>N48+O48</f>
        <v/>
      </c>
      <c r="F48" s="3" t="inlineStr">
        <is>
          <t>м.п.</t>
        </is>
      </c>
      <c r="G48" s="4">
        <f>IFERROR('[1]Лист1'!G48,500)</f>
        <v/>
      </c>
      <c r="H48" s="16" t="n">
        <v>500</v>
      </c>
      <c r="I48" s="16" t="n">
        <v>500</v>
      </c>
      <c r="J48" s="16" t="n">
        <v>500</v>
      </c>
      <c r="K48" s="16" t="n">
        <v>500</v>
      </c>
      <c r="L48" s="16" t="n">
        <v>500</v>
      </c>
      <c r="M48" s="16" t="n">
        <v>500</v>
      </c>
      <c r="N48" s="4">
        <f>Работы!S50</f>
        <v/>
      </c>
      <c r="O48" s="4">
        <f>Работы!R50</f>
        <v/>
      </c>
      <c r="P48" s="16" t="n">
        <v>500</v>
      </c>
      <c r="Q48" s="16" t="n">
        <v>500</v>
      </c>
      <c r="R48" s="16" t="n">
        <v>500</v>
      </c>
      <c r="S48" s="16" t="n">
        <v>500</v>
      </c>
      <c r="T48" s="16" t="n">
        <v>500</v>
      </c>
      <c r="U48" s="16" t="n">
        <v>500</v>
      </c>
      <c r="V48" s="16" t="n">
        <v>500</v>
      </c>
      <c r="W48" s="16" t="n">
        <v>500</v>
      </c>
      <c r="X48" s="16" t="n">
        <v>500</v>
      </c>
      <c r="Y48" s="16" t="n">
        <v>500</v>
      </c>
      <c r="Z48" s="16" t="n">
        <v>500</v>
      </c>
      <c r="AA48" s="16" t="n">
        <v>500</v>
      </c>
    </row>
    <row r="49">
      <c r="A49" s="3" t="inlineStr">
        <is>
          <t>Потолок</t>
        </is>
      </c>
      <c r="B49" s="3" t="inlineStr">
        <is>
          <t>Подвесные потолки</t>
        </is>
      </c>
      <c r="C49" s="3" t="inlineStr">
        <is>
          <t>Монтажные работы</t>
        </is>
      </c>
      <c r="D49" s="3" t="inlineStr">
        <is>
          <t>Подвесной  потолок  типа  "ARMSTRONG"(комплект)</t>
        </is>
      </c>
      <c r="E49" s="4">
        <f>N49+O49</f>
        <v/>
      </c>
      <c r="F49" s="3" t="inlineStr">
        <is>
          <t>м2</t>
        </is>
      </c>
      <c r="G49" s="4">
        <f>IFERROR('[1]Лист1'!G49,500)</f>
        <v/>
      </c>
      <c r="H49" s="16" t="n">
        <v>500</v>
      </c>
      <c r="I49" s="16" t="n">
        <v>500</v>
      </c>
      <c r="J49" s="16" t="n">
        <v>500</v>
      </c>
      <c r="K49" s="16" t="n">
        <v>500</v>
      </c>
      <c r="L49" s="16" t="n">
        <v>500</v>
      </c>
      <c r="M49" s="16" t="n">
        <v>500</v>
      </c>
      <c r="N49" s="4">
        <f>Работы!S51</f>
        <v/>
      </c>
      <c r="O49" s="4">
        <f>Работы!R51</f>
        <v/>
      </c>
      <c r="P49" s="16" t="n">
        <v>500</v>
      </c>
      <c r="Q49" s="16" t="n">
        <v>500</v>
      </c>
      <c r="R49" s="16" t="n">
        <v>500</v>
      </c>
      <c r="S49" s="16" t="n">
        <v>500</v>
      </c>
      <c r="T49" s="16" t="n">
        <v>500</v>
      </c>
      <c r="U49" s="16" t="n">
        <v>500</v>
      </c>
      <c r="V49" s="16" t="n">
        <v>500</v>
      </c>
      <c r="W49" s="16" t="n">
        <v>500</v>
      </c>
      <c r="X49" s="16" t="n">
        <v>500</v>
      </c>
      <c r="Y49" s="16" t="n">
        <v>500</v>
      </c>
      <c r="Z49" s="16" t="n">
        <v>500</v>
      </c>
      <c r="AA49" s="16" t="n">
        <v>500</v>
      </c>
    </row>
    <row r="50">
      <c r="A50" s="3" t="inlineStr">
        <is>
          <t>Стена</t>
        </is>
      </c>
      <c r="B50" s="3" t="inlineStr">
        <is>
          <t>Покрытие стен</t>
        </is>
      </c>
      <c r="C50" s="3" t="inlineStr">
        <is>
          <t>Монтажные работы</t>
        </is>
      </c>
      <c r="D50" s="3" t="inlineStr">
        <is>
          <t>Профильный материал для панели ЛГКЛ, направляющие, алюмин. профили ОМЕГА (вкл. крепежные элементы)</t>
        </is>
      </c>
      <c r="E50" s="4">
        <f>N50+O50</f>
        <v/>
      </c>
      <c r="F50" s="3" t="inlineStr">
        <is>
          <t>м2</t>
        </is>
      </c>
      <c r="G50" s="4">
        <f>IFERROR('[1]Лист1'!G50,500)</f>
        <v/>
      </c>
      <c r="H50" s="16" t="n">
        <v>500</v>
      </c>
      <c r="I50" s="16" t="n">
        <v>500</v>
      </c>
      <c r="J50" s="16" t="n">
        <v>500</v>
      </c>
      <c r="K50" s="16" t="n">
        <v>500</v>
      </c>
      <c r="L50" s="16" t="n">
        <v>500</v>
      </c>
      <c r="M50" s="16" t="n">
        <v>500</v>
      </c>
      <c r="N50" s="4">
        <f>Работы!S52</f>
        <v/>
      </c>
      <c r="O50" s="4">
        <f>Работы!R52</f>
        <v/>
      </c>
      <c r="P50" s="16" t="n">
        <v>500</v>
      </c>
      <c r="Q50" s="16" t="n">
        <v>500</v>
      </c>
      <c r="R50" s="16" t="n">
        <v>500</v>
      </c>
      <c r="S50" s="16" t="n">
        <v>500</v>
      </c>
      <c r="T50" s="16" t="n">
        <v>500</v>
      </c>
      <c r="U50" s="16" t="n">
        <v>500</v>
      </c>
      <c r="V50" s="16" t="n">
        <v>500</v>
      </c>
      <c r="W50" s="16" t="n">
        <v>500</v>
      </c>
      <c r="X50" s="16" t="n">
        <v>500</v>
      </c>
      <c r="Y50" s="16" t="n">
        <v>500</v>
      </c>
      <c r="Z50" s="16" t="n">
        <v>500</v>
      </c>
      <c r="AA50" s="16" t="n">
        <v>500</v>
      </c>
    </row>
    <row r="51">
      <c r="A51" s="3" t="inlineStr">
        <is>
          <t>Стена</t>
        </is>
      </c>
      <c r="B51" s="3" t="inlineStr">
        <is>
          <t>Покрытие стен</t>
        </is>
      </c>
      <c r="C51" s="3" t="inlineStr">
        <is>
          <t>Монтажные работы</t>
        </is>
      </c>
      <c r="D51" s="3" t="inlineStr">
        <is>
          <t>Панель ЛГКЛ (цвет RAL 6019, фактура «шагрень» или аналог) типа GYPROC (толщина 12,5 мм)</t>
        </is>
      </c>
      <c r="E51" s="4">
        <f>N51+O51</f>
        <v/>
      </c>
      <c r="F51" s="3" t="inlineStr">
        <is>
          <t>м2</t>
        </is>
      </c>
      <c r="G51" s="4">
        <f>IFERROR('[1]Лист1'!G51,200)</f>
        <v/>
      </c>
      <c r="H51" s="16" t="n">
        <v>200</v>
      </c>
      <c r="I51" s="16" t="n">
        <v>200</v>
      </c>
      <c r="J51" s="16" t="n">
        <v>200</v>
      </c>
      <c r="K51" s="16" t="n">
        <v>200</v>
      </c>
      <c r="L51" s="16" t="n">
        <v>200</v>
      </c>
      <c r="M51" s="16" t="n">
        <v>200</v>
      </c>
      <c r="N51" s="4">
        <f>Работы!S53</f>
        <v/>
      </c>
      <c r="O51" s="4">
        <f>Работы!R53</f>
        <v/>
      </c>
      <c r="P51" s="16" t="n">
        <v>200</v>
      </c>
      <c r="Q51" s="16" t="n">
        <v>200</v>
      </c>
      <c r="R51" s="16" t="n">
        <v>200</v>
      </c>
      <c r="S51" s="16" t="n">
        <v>200</v>
      </c>
      <c r="T51" s="16" t="n">
        <v>200</v>
      </c>
      <c r="U51" s="16" t="n">
        <v>200</v>
      </c>
      <c r="V51" s="16" t="n">
        <v>200</v>
      </c>
      <c r="W51" s="16" t="n">
        <v>200</v>
      </c>
      <c r="X51" s="16" t="n">
        <v>200</v>
      </c>
      <c r="Y51" s="16" t="n">
        <v>200</v>
      </c>
      <c r="Z51" s="16" t="n">
        <v>200</v>
      </c>
      <c r="AA51" s="16" t="n">
        <v>200</v>
      </c>
    </row>
    <row r="52">
      <c r="A52" s="3" t="inlineStr">
        <is>
          <t>Стена</t>
        </is>
      </c>
      <c r="B52" s="3" t="inlineStr">
        <is>
          <t>Покрытие стен</t>
        </is>
      </c>
      <c r="C52" s="3" t="inlineStr">
        <is>
          <t>Монтажные работы</t>
        </is>
      </c>
      <c r="D52" s="3" t="inlineStr">
        <is>
          <t>Кафельная настенная плитка Kerama Marazzi 200x200 ( цвет-белый) (вкл. За основу клей, грунтовку, затирку швов)</t>
        </is>
      </c>
      <c r="E52" s="4">
        <f>N52+O52</f>
        <v/>
      </c>
      <c r="F52" s="3" t="inlineStr">
        <is>
          <t>м2</t>
        </is>
      </c>
      <c r="G52" s="4">
        <f>IFERROR('[1]Лист1'!G52,50)</f>
        <v/>
      </c>
      <c r="H52" s="16" t="n">
        <v>50</v>
      </c>
      <c r="I52" s="16" t="n">
        <v>50</v>
      </c>
      <c r="J52" s="16" t="n">
        <v>50</v>
      </c>
      <c r="K52" s="16" t="n">
        <v>50</v>
      </c>
      <c r="L52" s="16" t="n">
        <v>50</v>
      </c>
      <c r="M52" s="16" t="n">
        <v>50</v>
      </c>
      <c r="N52" s="4">
        <f>Работы!S54</f>
        <v/>
      </c>
      <c r="O52" s="4">
        <f>Работы!R54</f>
        <v/>
      </c>
      <c r="P52" s="16" t="n">
        <v>50</v>
      </c>
      <c r="Q52" s="16" t="n">
        <v>50</v>
      </c>
      <c r="R52" s="16" t="n">
        <v>50</v>
      </c>
      <c r="S52" s="16" t="n">
        <v>50</v>
      </c>
      <c r="T52" s="16" t="n">
        <v>50</v>
      </c>
      <c r="U52" s="16" t="n">
        <v>50</v>
      </c>
      <c r="V52" s="16" t="n">
        <v>50</v>
      </c>
      <c r="W52" s="16" t="n">
        <v>50</v>
      </c>
      <c r="X52" s="16" t="n">
        <v>50</v>
      </c>
      <c r="Y52" s="16" t="n">
        <v>50</v>
      </c>
      <c r="Z52" s="16" t="n">
        <v>50</v>
      </c>
      <c r="AA52" s="16" t="n">
        <v>50</v>
      </c>
    </row>
    <row r="53">
      <c r="A53" s="3" t="inlineStr">
        <is>
          <t>Стена</t>
        </is>
      </c>
      <c r="B53" s="3" t="inlineStr">
        <is>
          <t>Кафельная плитка</t>
        </is>
      </c>
      <c r="C53" s="3" t="inlineStr">
        <is>
          <t>Монтажные работы</t>
        </is>
      </c>
      <c r="D53" s="3" t="inlineStr">
        <is>
          <t>Кафельная настенная плитка Kerama Marazzi 200x300 ( цвет-белый) (вкл. За основу клей, грунтовку, затирку швов)</t>
        </is>
      </c>
      <c r="E53" s="4">
        <f>N53+O53</f>
        <v/>
      </c>
      <c r="F53" s="3" t="inlineStr">
        <is>
          <t>м2</t>
        </is>
      </c>
      <c r="G53" s="4">
        <f>IFERROR('[1]Лист1'!G53,50)</f>
        <v/>
      </c>
      <c r="H53" s="16" t="n">
        <v>50</v>
      </c>
      <c r="I53" s="16" t="n">
        <v>50</v>
      </c>
      <c r="J53" s="16" t="n">
        <v>50</v>
      </c>
      <c r="K53" s="16" t="n">
        <v>50</v>
      </c>
      <c r="L53" s="16" t="n">
        <v>50</v>
      </c>
      <c r="M53" s="16" t="n">
        <v>50</v>
      </c>
      <c r="N53" s="4">
        <f>Работы!S55</f>
        <v/>
      </c>
      <c r="O53" s="4">
        <f>Работы!R55</f>
        <v/>
      </c>
      <c r="P53" s="16" t="n">
        <v>50</v>
      </c>
      <c r="Q53" s="16" t="n">
        <v>50</v>
      </c>
      <c r="R53" s="16" t="n">
        <v>50</v>
      </c>
      <c r="S53" s="16" t="n">
        <v>50</v>
      </c>
      <c r="T53" s="16" t="n">
        <v>50</v>
      </c>
      <c r="U53" s="16" t="n">
        <v>50</v>
      </c>
      <c r="V53" s="16" t="n">
        <v>50</v>
      </c>
      <c r="W53" s="16" t="n">
        <v>50</v>
      </c>
      <c r="X53" s="16" t="n">
        <v>50</v>
      </c>
      <c r="Y53" s="16" t="n">
        <v>50</v>
      </c>
      <c r="Z53" s="16" t="n">
        <v>50</v>
      </c>
      <c r="AA53" s="16" t="n">
        <v>50</v>
      </c>
    </row>
    <row r="54">
      <c r="A54" s="3" t="inlineStr">
        <is>
          <t>Стена</t>
        </is>
      </c>
      <c r="B54" s="3" t="inlineStr">
        <is>
          <t>Кафельная плитка</t>
        </is>
      </c>
      <c r="C54" s="3" t="inlineStr">
        <is>
          <t>Монтажные работы</t>
        </is>
      </c>
      <c r="D54" s="3" t="inlineStr">
        <is>
          <t>Кафельная настенная плитка Kerama Marazzi 200x200 (оранжевый) (вкл. За основу клей, грунтовку, затирку швов)</t>
        </is>
      </c>
      <c r="E54" s="4">
        <f>N54+O54</f>
        <v/>
      </c>
      <c r="F54" s="3" t="inlineStr">
        <is>
          <t>м2</t>
        </is>
      </c>
      <c r="G54" s="4">
        <f>IFERROR('[1]Лист1'!G54,50)</f>
        <v/>
      </c>
      <c r="H54" s="16" t="n">
        <v>50</v>
      </c>
      <c r="I54" s="16" t="n">
        <v>50</v>
      </c>
      <c r="J54" s="16" t="n">
        <v>50</v>
      </c>
      <c r="K54" s="16" t="n">
        <v>50</v>
      </c>
      <c r="L54" s="16" t="n">
        <v>50</v>
      </c>
      <c r="M54" s="16" t="n">
        <v>50</v>
      </c>
      <c r="N54" s="4">
        <f>Работы!S56</f>
        <v/>
      </c>
      <c r="O54" s="4">
        <f>Работы!R56</f>
        <v/>
      </c>
      <c r="P54" s="16" t="n">
        <v>50</v>
      </c>
      <c r="Q54" s="16" t="n">
        <v>50</v>
      </c>
      <c r="R54" s="16" t="n">
        <v>50</v>
      </c>
      <c r="S54" s="16" t="n">
        <v>50</v>
      </c>
      <c r="T54" s="16" t="n">
        <v>50</v>
      </c>
      <c r="U54" s="16" t="n">
        <v>50</v>
      </c>
      <c r="V54" s="16" t="n">
        <v>50</v>
      </c>
      <c r="W54" s="16" t="n">
        <v>50</v>
      </c>
      <c r="X54" s="16" t="n">
        <v>50</v>
      </c>
      <c r="Y54" s="16" t="n">
        <v>50</v>
      </c>
      <c r="Z54" s="16" t="n">
        <v>50</v>
      </c>
      <c r="AA54" s="16" t="n">
        <v>50</v>
      </c>
    </row>
    <row r="55">
      <c r="A55" s="3" t="inlineStr">
        <is>
          <t>Стена</t>
        </is>
      </c>
      <c r="B55" s="3" t="inlineStr">
        <is>
          <t>Кафельная плитка</t>
        </is>
      </c>
      <c r="C55" s="3" t="inlineStr">
        <is>
          <t>Монтажные работы</t>
        </is>
      </c>
      <c r="D55" s="3" t="inlineStr">
        <is>
          <t>Кафельная настенная плитка 200x200 (цвет серый, RAL ) (вкл. За основу клей, грунтовку, затирку швов белого цвета)</t>
        </is>
      </c>
      <c r="E55" s="4">
        <f>N55+O55</f>
        <v/>
      </c>
      <c r="F55" s="3" t="inlineStr">
        <is>
          <t>м2</t>
        </is>
      </c>
      <c r="G55" s="4">
        <f>IFERROR('[1]Лист1'!G55,50)</f>
        <v/>
      </c>
      <c r="H55" s="16" t="n">
        <v>50</v>
      </c>
      <c r="I55" s="16" t="n">
        <v>50</v>
      </c>
      <c r="J55" s="16" t="n">
        <v>50</v>
      </c>
      <c r="K55" s="16" t="n">
        <v>50</v>
      </c>
      <c r="L55" s="16" t="n">
        <v>50</v>
      </c>
      <c r="M55" s="16" t="n">
        <v>50</v>
      </c>
      <c r="N55" s="4">
        <f>Работы!S57</f>
        <v/>
      </c>
      <c r="O55" s="4">
        <f>Работы!R57</f>
        <v/>
      </c>
      <c r="P55" s="16" t="n">
        <v>50</v>
      </c>
      <c r="Q55" s="16" t="n">
        <v>50</v>
      </c>
      <c r="R55" s="16" t="n">
        <v>50</v>
      </c>
      <c r="S55" s="16" t="n">
        <v>50</v>
      </c>
      <c r="T55" s="16" t="n">
        <v>50</v>
      </c>
      <c r="U55" s="16" t="n">
        <v>50</v>
      </c>
      <c r="V55" s="16" t="n">
        <v>50</v>
      </c>
      <c r="W55" s="16" t="n">
        <v>50</v>
      </c>
      <c r="X55" s="16" t="n">
        <v>50</v>
      </c>
      <c r="Y55" s="16" t="n">
        <v>50</v>
      </c>
      <c r="Z55" s="16" t="n">
        <v>50</v>
      </c>
      <c r="AA55" s="16" t="n">
        <v>50</v>
      </c>
    </row>
    <row r="56">
      <c r="A56" s="3" t="inlineStr">
        <is>
          <t>Стена</t>
        </is>
      </c>
      <c r="B56" s="3" t="inlineStr">
        <is>
          <t>Сэндвич панель</t>
        </is>
      </c>
      <c r="C56" s="3" t="inlineStr">
        <is>
          <t>Монтажные работы</t>
        </is>
      </c>
      <c r="D56" s="3" t="inlineStr">
        <is>
          <t>Сэндвич панель толщина 120 мм (ППУ) или аналог</t>
        </is>
      </c>
      <c r="E56" s="4">
        <f>N56+O56</f>
        <v/>
      </c>
      <c r="F56" s="3" t="inlineStr">
        <is>
          <t>м2</t>
        </is>
      </c>
      <c r="G56" s="4">
        <f>IFERROR('[1]Лист1'!G56,100)</f>
        <v/>
      </c>
      <c r="H56" s="16" t="n">
        <v>100</v>
      </c>
      <c r="I56" s="16" t="n">
        <v>100</v>
      </c>
      <c r="J56" s="16" t="n">
        <v>100</v>
      </c>
      <c r="K56" s="16" t="n">
        <v>100</v>
      </c>
      <c r="L56" s="16" t="n">
        <v>100</v>
      </c>
      <c r="M56" s="16" t="n">
        <v>100</v>
      </c>
      <c r="N56" s="4">
        <f>Работы!S58</f>
        <v/>
      </c>
      <c r="O56" s="4">
        <f>Работы!R58</f>
        <v/>
      </c>
      <c r="P56" s="16" t="n">
        <v>100</v>
      </c>
      <c r="Q56" s="16" t="n">
        <v>100</v>
      </c>
      <c r="R56" s="16" t="n">
        <v>100</v>
      </c>
      <c r="S56" s="16" t="n">
        <v>100</v>
      </c>
      <c r="T56" s="16" t="n">
        <v>100</v>
      </c>
      <c r="U56" s="16" t="n">
        <v>100</v>
      </c>
      <c r="V56" s="16" t="n">
        <v>100</v>
      </c>
      <c r="W56" s="16" t="n">
        <v>100</v>
      </c>
      <c r="X56" s="16" t="n">
        <v>100</v>
      </c>
      <c r="Y56" s="16" t="n">
        <v>100</v>
      </c>
      <c r="Z56" s="16" t="n">
        <v>100</v>
      </c>
      <c r="AA56" s="16" t="n">
        <v>100</v>
      </c>
    </row>
    <row r="57">
      <c r="A57" s="3" t="inlineStr">
        <is>
          <t>Стена</t>
        </is>
      </c>
      <c r="B57" s="3" t="inlineStr">
        <is>
          <t>Сэндвич панель</t>
        </is>
      </c>
      <c r="C57" s="3" t="inlineStr">
        <is>
          <t>Монтажные работы</t>
        </is>
      </c>
      <c r="D57" s="3" t="inlineStr">
        <is>
          <t>Сендвич-панель стеновая ППУ (ПИР) 100мм или аналог</t>
        </is>
      </c>
      <c r="E57" s="4">
        <f>N57+O57</f>
        <v/>
      </c>
      <c r="F57" s="3" t="inlineStr">
        <is>
          <t>м2</t>
        </is>
      </c>
      <c r="G57" s="4">
        <f>IFERROR('[1]Лист1'!G57,100)</f>
        <v/>
      </c>
      <c r="H57" s="16" t="n">
        <v>100</v>
      </c>
      <c r="I57" s="16" t="n">
        <v>100</v>
      </c>
      <c r="J57" s="16" t="n">
        <v>100</v>
      </c>
      <c r="K57" s="16" t="n">
        <v>100</v>
      </c>
      <c r="L57" s="16" t="n">
        <v>100</v>
      </c>
      <c r="M57" s="16" t="n">
        <v>100</v>
      </c>
      <c r="N57" s="4">
        <f>Работы!S59</f>
        <v/>
      </c>
      <c r="O57" s="4">
        <f>Работы!R59</f>
        <v/>
      </c>
      <c r="P57" s="16" t="n">
        <v>100</v>
      </c>
      <c r="Q57" s="16" t="n">
        <v>100</v>
      </c>
      <c r="R57" s="16" t="n">
        <v>100</v>
      </c>
      <c r="S57" s="16" t="n">
        <v>100</v>
      </c>
      <c r="T57" s="16" t="n">
        <v>100</v>
      </c>
      <c r="U57" s="16" t="n">
        <v>100</v>
      </c>
      <c r="V57" s="16" t="n">
        <v>100</v>
      </c>
      <c r="W57" s="16" t="n">
        <v>100</v>
      </c>
      <c r="X57" s="16" t="n">
        <v>100</v>
      </c>
      <c r="Y57" s="16" t="n">
        <v>100</v>
      </c>
      <c r="Z57" s="16" t="n">
        <v>100</v>
      </c>
      <c r="AA57" s="16" t="n">
        <v>100</v>
      </c>
    </row>
    <row r="58">
      <c r="A58" s="3" t="inlineStr">
        <is>
          <t>Стена</t>
        </is>
      </c>
      <c r="B58" s="3" t="inlineStr">
        <is>
          <t>Сэндвич панель</t>
        </is>
      </c>
      <c r="C58" s="3" t="inlineStr">
        <is>
          <t>Монтажные работы</t>
        </is>
      </c>
      <c r="D58" s="3" t="inlineStr">
        <is>
          <t>Сэндвич панели стеновые | толщина 80 мм | базальтовые, трехслойные металлические, негорючие (огнестойкость по ei - 45)/ или аналог</t>
        </is>
      </c>
      <c r="E58" s="4">
        <f>N58+O58</f>
        <v/>
      </c>
      <c r="F58" s="3" t="inlineStr">
        <is>
          <t>м2</t>
        </is>
      </c>
      <c r="G58" s="4">
        <f>IFERROR('[1]Лист1'!G58,100)</f>
        <v/>
      </c>
      <c r="H58" s="16" t="n">
        <v>100</v>
      </c>
      <c r="I58" s="16" t="n">
        <v>100</v>
      </c>
      <c r="J58" s="16" t="n">
        <v>100</v>
      </c>
      <c r="K58" s="16" t="n">
        <v>100</v>
      </c>
      <c r="L58" s="16" t="n">
        <v>100</v>
      </c>
      <c r="M58" s="16" t="n">
        <v>100</v>
      </c>
      <c r="N58" s="4">
        <f>Работы!S60</f>
        <v/>
      </c>
      <c r="O58" s="4">
        <f>Работы!R60</f>
        <v/>
      </c>
      <c r="P58" s="16" t="n">
        <v>100</v>
      </c>
      <c r="Q58" s="16" t="n">
        <v>100</v>
      </c>
      <c r="R58" s="16" t="n">
        <v>100</v>
      </c>
      <c r="S58" s="16" t="n">
        <v>100</v>
      </c>
      <c r="T58" s="16" t="n">
        <v>100</v>
      </c>
      <c r="U58" s="16" t="n">
        <v>100</v>
      </c>
      <c r="V58" s="16" t="n">
        <v>100</v>
      </c>
      <c r="W58" s="16" t="n">
        <v>100</v>
      </c>
      <c r="X58" s="16" t="n">
        <v>100</v>
      </c>
      <c r="Y58" s="16" t="n">
        <v>100</v>
      </c>
      <c r="Z58" s="16" t="n">
        <v>100</v>
      </c>
      <c r="AA58" s="16" t="n">
        <v>100</v>
      </c>
    </row>
    <row r="59">
      <c r="A59" s="3" t="inlineStr">
        <is>
          <t>Стена</t>
        </is>
      </c>
      <c r="B59" s="3" t="inlineStr">
        <is>
          <t>Гипсокартон</t>
        </is>
      </c>
      <c r="C59" s="3" t="inlineStr">
        <is>
          <t>Монтажные работы</t>
        </is>
      </c>
      <c r="D59" s="3" t="inlineStr">
        <is>
          <t>Профильный  материал  для  гипсокартона, направляющие (вкл. крепежные элементы)</t>
        </is>
      </c>
      <c r="E59" s="4">
        <f>N59+O59</f>
        <v/>
      </c>
      <c r="F59" s="3" t="inlineStr">
        <is>
          <t>м2</t>
        </is>
      </c>
      <c r="G59" s="4">
        <f>IFERROR('[1]Лист1'!G59,100)</f>
        <v/>
      </c>
      <c r="H59" s="16" t="n">
        <v>100</v>
      </c>
      <c r="I59" s="16" t="n">
        <v>100</v>
      </c>
      <c r="J59" s="16" t="n">
        <v>100</v>
      </c>
      <c r="K59" s="16" t="n">
        <v>100</v>
      </c>
      <c r="L59" s="16" t="n">
        <v>100</v>
      </c>
      <c r="M59" s="16" t="n">
        <v>100</v>
      </c>
      <c r="N59" s="4">
        <f>Работы!S61</f>
        <v/>
      </c>
      <c r="O59" s="4">
        <f>Работы!R61</f>
        <v/>
      </c>
      <c r="P59" s="16" t="n">
        <v>100</v>
      </c>
      <c r="Q59" s="16" t="n">
        <v>100</v>
      </c>
      <c r="R59" s="16" t="n">
        <v>100</v>
      </c>
      <c r="S59" s="16" t="n">
        <v>100</v>
      </c>
      <c r="T59" s="16" t="n">
        <v>100</v>
      </c>
      <c r="U59" s="16" t="n">
        <v>100</v>
      </c>
      <c r="V59" s="16" t="n">
        <v>100</v>
      </c>
      <c r="W59" s="16" t="n">
        <v>100</v>
      </c>
      <c r="X59" s="16" t="n">
        <v>100</v>
      </c>
      <c r="Y59" s="16" t="n">
        <v>100</v>
      </c>
      <c r="Z59" s="16" t="n">
        <v>100</v>
      </c>
      <c r="AA59" s="16" t="n">
        <v>100</v>
      </c>
    </row>
    <row r="60">
      <c r="A60" s="3" t="inlineStr">
        <is>
          <t>Стена</t>
        </is>
      </c>
      <c r="B60" s="3" t="inlineStr">
        <is>
          <t>Гипсокартон</t>
        </is>
      </c>
      <c r="C60" s="3" t="inlineStr">
        <is>
          <t>Монтажные работы</t>
        </is>
      </c>
      <c r="D60" s="3" t="inlineStr">
        <is>
          <t>Гипсокартон ГКЛВ (влагостойкий гипсокартон) типа Knauf (толщина 10мм)</t>
        </is>
      </c>
      <c r="E60" s="4">
        <f>N60+O60</f>
        <v/>
      </c>
      <c r="F60" s="3" t="inlineStr">
        <is>
          <t>м2</t>
        </is>
      </c>
      <c r="G60" s="4">
        <f>IFERROR('[1]Лист1'!G60,100)</f>
        <v/>
      </c>
      <c r="H60" s="16" t="n">
        <v>100</v>
      </c>
      <c r="I60" s="16" t="n">
        <v>100</v>
      </c>
      <c r="J60" s="16" t="n">
        <v>100</v>
      </c>
      <c r="K60" s="16" t="n">
        <v>100</v>
      </c>
      <c r="L60" s="16" t="n">
        <v>100</v>
      </c>
      <c r="M60" s="16" t="n">
        <v>100</v>
      </c>
      <c r="N60" s="4">
        <f>Работы!S62</f>
        <v/>
      </c>
      <c r="O60" s="4">
        <f>Работы!R62</f>
        <v/>
      </c>
      <c r="P60" s="16" t="n">
        <v>100</v>
      </c>
      <c r="Q60" s="16" t="n">
        <v>100</v>
      </c>
      <c r="R60" s="16" t="n">
        <v>100</v>
      </c>
      <c r="S60" s="16" t="n">
        <v>100</v>
      </c>
      <c r="T60" s="16" t="n">
        <v>100</v>
      </c>
      <c r="U60" s="16" t="n">
        <v>100</v>
      </c>
      <c r="V60" s="16" t="n">
        <v>100</v>
      </c>
      <c r="W60" s="16" t="n">
        <v>100</v>
      </c>
      <c r="X60" s="16" t="n">
        <v>100</v>
      </c>
      <c r="Y60" s="16" t="n">
        <v>100</v>
      </c>
      <c r="Z60" s="16" t="n">
        <v>100</v>
      </c>
      <c r="AA60" s="16" t="n">
        <v>100</v>
      </c>
    </row>
    <row r="61">
      <c r="A61" s="3" t="inlineStr">
        <is>
          <t>Стена</t>
        </is>
      </c>
      <c r="B61" s="3" t="inlineStr">
        <is>
          <t>Гипсокартон</t>
        </is>
      </c>
      <c r="C61" s="3" t="inlineStr">
        <is>
          <t>Монтажные работы</t>
        </is>
      </c>
      <c r="D61" s="3" t="inlineStr">
        <is>
          <t>Гипсокартон ГКЛ (обычный гипсокартон) типа Knauf (толщина 10мм)</t>
        </is>
      </c>
      <c r="E61" s="4">
        <f>N61+O61</f>
        <v/>
      </c>
      <c r="F61" s="3" t="inlineStr">
        <is>
          <t>м2</t>
        </is>
      </c>
      <c r="G61" s="4">
        <f>IFERROR('[1]Лист1'!G61,100)</f>
        <v/>
      </c>
      <c r="H61" s="16" t="n">
        <v>100</v>
      </c>
      <c r="I61" s="16" t="n">
        <v>100</v>
      </c>
      <c r="J61" s="16" t="n">
        <v>100</v>
      </c>
      <c r="K61" s="16" t="n">
        <v>100</v>
      </c>
      <c r="L61" s="16" t="n">
        <v>100</v>
      </c>
      <c r="M61" s="16" t="n">
        <v>100</v>
      </c>
      <c r="N61" s="4">
        <f>Работы!S63</f>
        <v/>
      </c>
      <c r="O61" s="4">
        <f>Работы!R63</f>
        <v/>
      </c>
      <c r="P61" s="16" t="n">
        <v>100</v>
      </c>
      <c r="Q61" s="16" t="n">
        <v>100</v>
      </c>
      <c r="R61" s="16" t="n">
        <v>100</v>
      </c>
      <c r="S61" s="16" t="n">
        <v>100</v>
      </c>
      <c r="T61" s="16" t="n">
        <v>100</v>
      </c>
      <c r="U61" s="16" t="n">
        <v>100</v>
      </c>
      <c r="V61" s="16" t="n">
        <v>100</v>
      </c>
      <c r="W61" s="16" t="n">
        <v>100</v>
      </c>
      <c r="X61" s="16" t="n">
        <v>100</v>
      </c>
      <c r="Y61" s="16" t="n">
        <v>100</v>
      </c>
      <c r="Z61" s="16" t="n">
        <v>100</v>
      </c>
      <c r="AA61" s="16" t="n">
        <v>100</v>
      </c>
    </row>
    <row r="62">
      <c r="A62" s="3" t="inlineStr">
        <is>
          <t>Стена</t>
        </is>
      </c>
      <c r="B62" s="3" t="inlineStr">
        <is>
          <t>Гипсокартон</t>
        </is>
      </c>
      <c r="C62" s="3" t="inlineStr">
        <is>
          <t>Монтажные работы</t>
        </is>
      </c>
      <c r="D62" s="3" t="inlineStr">
        <is>
          <t>профиль для монтажа гипсокартона ПН 50х40 (вкл. крепежные элементы)</t>
        </is>
      </c>
      <c r="E62" s="4">
        <f>N62+O62</f>
        <v/>
      </c>
      <c r="F62" s="3" t="inlineStr">
        <is>
          <t>м.п.</t>
        </is>
      </c>
      <c r="G62" s="4">
        <f>IFERROR('[1]Лист1'!G62,100)</f>
        <v/>
      </c>
      <c r="H62" s="16" t="n">
        <v>100</v>
      </c>
      <c r="I62" s="16" t="n">
        <v>100</v>
      </c>
      <c r="J62" s="16" t="n">
        <v>100</v>
      </c>
      <c r="K62" s="16" t="n">
        <v>100</v>
      </c>
      <c r="L62" s="16" t="n">
        <v>100</v>
      </c>
      <c r="M62" s="16" t="n">
        <v>100</v>
      </c>
      <c r="N62" s="4">
        <f>Работы!S64</f>
        <v/>
      </c>
      <c r="O62" s="4">
        <f>Работы!R64</f>
        <v/>
      </c>
      <c r="P62" s="16" t="n">
        <v>100</v>
      </c>
      <c r="Q62" s="16" t="n">
        <v>100</v>
      </c>
      <c r="R62" s="16" t="n">
        <v>100</v>
      </c>
      <c r="S62" s="16" t="n">
        <v>100</v>
      </c>
      <c r="T62" s="16" t="n">
        <v>100</v>
      </c>
      <c r="U62" s="16" t="n">
        <v>100</v>
      </c>
      <c r="V62" s="16" t="n">
        <v>100</v>
      </c>
      <c r="W62" s="16" t="n">
        <v>100</v>
      </c>
      <c r="X62" s="16" t="n">
        <v>100</v>
      </c>
      <c r="Y62" s="16" t="n">
        <v>100</v>
      </c>
      <c r="Z62" s="16" t="n">
        <v>100</v>
      </c>
      <c r="AA62" s="16" t="n">
        <v>100</v>
      </c>
    </row>
    <row r="63">
      <c r="A63" s="3" t="inlineStr">
        <is>
          <t>Стена</t>
        </is>
      </c>
      <c r="B63" s="3" t="inlineStr">
        <is>
          <t>Гипсокартон</t>
        </is>
      </c>
      <c r="C63" s="3" t="inlineStr">
        <is>
          <t>Монтажные работы</t>
        </is>
      </c>
      <c r="D63" s="3" t="inlineStr">
        <is>
          <t>профиль для монтажа гипсокартона ПС 50х50 (вкл. крепежные элементы)</t>
        </is>
      </c>
      <c r="E63" s="4">
        <f>N63+O63</f>
        <v/>
      </c>
      <c r="F63" s="3" t="inlineStr">
        <is>
          <t>м.п.</t>
        </is>
      </c>
      <c r="G63" s="4">
        <f>IFERROR('[1]Лист1'!G63,100)</f>
        <v/>
      </c>
      <c r="H63" s="16" t="n">
        <v>100</v>
      </c>
      <c r="I63" s="16" t="n">
        <v>100</v>
      </c>
      <c r="J63" s="16" t="n">
        <v>100</v>
      </c>
      <c r="K63" s="16" t="n">
        <v>100</v>
      </c>
      <c r="L63" s="16" t="n">
        <v>100</v>
      </c>
      <c r="M63" s="16" t="n">
        <v>100</v>
      </c>
      <c r="N63" s="4">
        <f>Работы!S65</f>
        <v/>
      </c>
      <c r="O63" s="4">
        <f>Работы!R65</f>
        <v/>
      </c>
      <c r="P63" s="16" t="n">
        <v>100</v>
      </c>
      <c r="Q63" s="16" t="n">
        <v>100</v>
      </c>
      <c r="R63" s="16" t="n">
        <v>100</v>
      </c>
      <c r="S63" s="16" t="n">
        <v>100</v>
      </c>
      <c r="T63" s="16" t="n">
        <v>100</v>
      </c>
      <c r="U63" s="16" t="n">
        <v>100</v>
      </c>
      <c r="V63" s="16" t="n">
        <v>100</v>
      </c>
      <c r="W63" s="16" t="n">
        <v>100</v>
      </c>
      <c r="X63" s="16" t="n">
        <v>100</v>
      </c>
      <c r="Y63" s="16" t="n">
        <v>100</v>
      </c>
      <c r="Z63" s="16" t="n">
        <v>100</v>
      </c>
      <c r="AA63" s="16" t="n">
        <v>100</v>
      </c>
    </row>
    <row r="64">
      <c r="A64" s="3" t="inlineStr">
        <is>
          <t>Стена</t>
        </is>
      </c>
      <c r="B64" s="3" t="inlineStr">
        <is>
          <t>Краска</t>
        </is>
      </c>
      <c r="C64" s="3" t="inlineStr">
        <is>
          <t>Малярные работы</t>
        </is>
      </c>
      <c r="D64" s="3" t="inlineStr">
        <is>
          <t>Краска-эмаль типа Хамерайт (цвет по выбору) в 2 слоя</t>
        </is>
      </c>
      <c r="E64" s="4">
        <f>N64+O64</f>
        <v/>
      </c>
      <c r="F64" s="3" t="inlineStr">
        <is>
          <t>м2</t>
        </is>
      </c>
      <c r="G64" s="4">
        <f>IFERROR('[1]Лист1'!G64,100)</f>
        <v/>
      </c>
      <c r="H64" s="16" t="n">
        <v>100</v>
      </c>
      <c r="I64" s="16" t="n">
        <v>100</v>
      </c>
      <c r="J64" s="16" t="n">
        <v>100</v>
      </c>
      <c r="K64" s="16" t="n">
        <v>100</v>
      </c>
      <c r="L64" s="16" t="n">
        <v>100</v>
      </c>
      <c r="M64" s="16" t="n">
        <v>100</v>
      </c>
      <c r="N64" s="4">
        <f>Работы!S66</f>
        <v/>
      </c>
      <c r="O64" s="4">
        <f>Работы!R66</f>
        <v/>
      </c>
      <c r="P64" s="16" t="n">
        <v>100</v>
      </c>
      <c r="Q64" s="16" t="n">
        <v>100</v>
      </c>
      <c r="R64" s="16" t="n">
        <v>100</v>
      </c>
      <c r="S64" s="16" t="n">
        <v>100</v>
      </c>
      <c r="T64" s="16" t="n">
        <v>100</v>
      </c>
      <c r="U64" s="16" t="n">
        <v>100</v>
      </c>
      <c r="V64" s="16" t="n">
        <v>100</v>
      </c>
      <c r="W64" s="16" t="n">
        <v>100</v>
      </c>
      <c r="X64" s="16" t="n">
        <v>100</v>
      </c>
      <c r="Y64" s="16" t="n">
        <v>100</v>
      </c>
      <c r="Z64" s="16" t="n">
        <v>100</v>
      </c>
      <c r="AA64" s="16" t="n">
        <v>100</v>
      </c>
    </row>
    <row r="65">
      <c r="A65" s="3" t="inlineStr">
        <is>
          <t>Стена</t>
        </is>
      </c>
      <c r="B65" s="3" t="inlineStr">
        <is>
          <t>Краска</t>
        </is>
      </c>
      <c r="C65" s="3" t="inlineStr">
        <is>
          <t>Малярные работы</t>
        </is>
      </c>
      <c r="D65" s="3" t="inlineStr">
        <is>
          <t>Краска водоэмульсионная типа Dufa Mattlatex Russia (цвет по выбору) в 2 слоя</t>
        </is>
      </c>
      <c r="E65" s="4">
        <f>N65+O65</f>
        <v/>
      </c>
      <c r="F65" s="3" t="inlineStr">
        <is>
          <t>м2</t>
        </is>
      </c>
      <c r="G65" s="4">
        <f>IFERROR('[1]Лист1'!G65,100)</f>
        <v/>
      </c>
      <c r="H65" s="16" t="n">
        <v>100</v>
      </c>
      <c r="I65" s="16" t="n">
        <v>100</v>
      </c>
      <c r="J65" s="16" t="n">
        <v>100</v>
      </c>
      <c r="K65" s="16" t="n">
        <v>100</v>
      </c>
      <c r="L65" s="16" t="n">
        <v>100</v>
      </c>
      <c r="M65" s="16" t="n">
        <v>100</v>
      </c>
      <c r="N65" s="4">
        <f>Работы!S67</f>
        <v/>
      </c>
      <c r="O65" s="4">
        <f>Работы!R67</f>
        <v/>
      </c>
      <c r="P65" s="16" t="n">
        <v>100</v>
      </c>
      <c r="Q65" s="16" t="n">
        <v>100</v>
      </c>
      <c r="R65" s="16" t="n">
        <v>100</v>
      </c>
      <c r="S65" s="16" t="n">
        <v>100</v>
      </c>
      <c r="T65" s="16" t="n">
        <v>100</v>
      </c>
      <c r="U65" s="16" t="n">
        <v>100</v>
      </c>
      <c r="V65" s="16" t="n">
        <v>100</v>
      </c>
      <c r="W65" s="16" t="n">
        <v>100</v>
      </c>
      <c r="X65" s="16" t="n">
        <v>100</v>
      </c>
      <c r="Y65" s="16" t="n">
        <v>100</v>
      </c>
      <c r="Z65" s="16" t="n">
        <v>100</v>
      </c>
      <c r="AA65" s="16" t="n">
        <v>100</v>
      </c>
    </row>
    <row r="66">
      <c r="A66" s="3" t="inlineStr">
        <is>
          <t>Стена</t>
        </is>
      </c>
      <c r="B66" s="3" t="inlineStr">
        <is>
          <t>Краска</t>
        </is>
      </c>
      <c r="C66" s="3" t="inlineStr">
        <is>
          <t>Малярные работы</t>
        </is>
      </c>
      <c r="D66" s="3" t="inlineStr">
        <is>
          <t>Краска водоэмульсионная наружная типа Dufa Fassadenfarbe (цвет по выбору) в 2 слоя.</t>
        </is>
      </c>
      <c r="E66" s="4">
        <f>N66+O66</f>
        <v/>
      </c>
      <c r="F66" s="3" t="inlineStr">
        <is>
          <t>м2</t>
        </is>
      </c>
      <c r="G66" s="4">
        <f>IFERROR('[1]Лист1'!G66,100)</f>
        <v/>
      </c>
      <c r="H66" s="16" t="n">
        <v>100</v>
      </c>
      <c r="I66" s="16" t="n">
        <v>100</v>
      </c>
      <c r="J66" s="16" t="n">
        <v>100</v>
      </c>
      <c r="K66" s="16" t="n">
        <v>100</v>
      </c>
      <c r="L66" s="16" t="n">
        <v>100</v>
      </c>
      <c r="M66" s="16" t="n">
        <v>100</v>
      </c>
      <c r="N66" s="4">
        <f>Работы!S68</f>
        <v/>
      </c>
      <c r="O66" s="4">
        <f>Работы!R68</f>
        <v/>
      </c>
      <c r="P66" s="16" t="n">
        <v>100</v>
      </c>
      <c r="Q66" s="16" t="n">
        <v>100</v>
      </c>
      <c r="R66" s="16" t="n">
        <v>100</v>
      </c>
      <c r="S66" s="16" t="n">
        <v>100</v>
      </c>
      <c r="T66" s="16" t="n">
        <v>100</v>
      </c>
      <c r="U66" s="16" t="n">
        <v>100</v>
      </c>
      <c r="V66" s="16" t="n">
        <v>100</v>
      </c>
      <c r="W66" s="16" t="n">
        <v>100</v>
      </c>
      <c r="X66" s="16" t="n">
        <v>100</v>
      </c>
      <c r="Y66" s="16" t="n">
        <v>100</v>
      </c>
      <c r="Z66" s="16" t="n">
        <v>100</v>
      </c>
      <c r="AA66" s="16" t="n">
        <v>100</v>
      </c>
    </row>
    <row r="67">
      <c r="A67" s="3" t="inlineStr">
        <is>
          <t>Стена</t>
        </is>
      </c>
      <c r="B67" s="3" t="inlineStr">
        <is>
          <t>Отделочные материалы</t>
        </is>
      </c>
      <c r="C67" s="3" t="inlineStr">
        <is>
          <t>Штукатурные работы</t>
        </is>
      </c>
      <c r="D67" s="3" t="inlineStr">
        <is>
          <t>Штукатурка наружная типа "KNAUF sockelputz"</t>
        </is>
      </c>
      <c r="E67" s="4">
        <f>N67+O67</f>
        <v/>
      </c>
      <c r="F67" s="3" t="inlineStr">
        <is>
          <t>м2</t>
        </is>
      </c>
      <c r="G67" s="4">
        <f>IFERROR('[1]Лист1'!G67,100)</f>
        <v/>
      </c>
      <c r="H67" s="16" t="n">
        <v>100</v>
      </c>
      <c r="I67" s="16" t="n">
        <v>100</v>
      </c>
      <c r="J67" s="16" t="n">
        <v>100</v>
      </c>
      <c r="K67" s="16" t="n">
        <v>100</v>
      </c>
      <c r="L67" s="16" t="n">
        <v>100</v>
      </c>
      <c r="M67" s="16" t="n">
        <v>100</v>
      </c>
      <c r="N67" s="4">
        <f>Работы!S69</f>
        <v/>
      </c>
      <c r="O67" s="4">
        <f>Работы!R69</f>
        <v/>
      </c>
      <c r="P67" s="16" t="n">
        <v>100</v>
      </c>
      <c r="Q67" s="16" t="n">
        <v>100</v>
      </c>
      <c r="R67" s="16" t="n">
        <v>100</v>
      </c>
      <c r="S67" s="16" t="n">
        <v>100</v>
      </c>
      <c r="T67" s="16" t="n">
        <v>100</v>
      </c>
      <c r="U67" s="16" t="n">
        <v>100</v>
      </c>
      <c r="V67" s="16" t="n">
        <v>100</v>
      </c>
      <c r="W67" s="16" t="n">
        <v>100</v>
      </c>
      <c r="X67" s="16" t="n">
        <v>100</v>
      </c>
      <c r="Y67" s="16" t="n">
        <v>100</v>
      </c>
      <c r="Z67" s="16" t="n">
        <v>100</v>
      </c>
      <c r="AA67" s="16" t="n">
        <v>100</v>
      </c>
    </row>
    <row r="68">
      <c r="A68" s="3" t="inlineStr">
        <is>
          <t>Стена</t>
        </is>
      </c>
      <c r="B68" s="3" t="inlineStr">
        <is>
          <t>Отделочные материалы</t>
        </is>
      </c>
      <c r="C68" s="3" t="inlineStr">
        <is>
          <t>Штукатурные работы</t>
        </is>
      </c>
      <c r="D68" s="3" t="inlineStr">
        <is>
          <t>Шпаклевка типа UNIS фасадная</t>
        </is>
      </c>
      <c r="E68" s="4">
        <f>N68+O68</f>
        <v/>
      </c>
      <c r="F68" s="3" t="inlineStr">
        <is>
          <t>м2</t>
        </is>
      </c>
      <c r="G68" s="4">
        <f>IFERROR('[1]Лист1'!G68,100)</f>
        <v/>
      </c>
      <c r="H68" s="16" t="n">
        <v>100</v>
      </c>
      <c r="I68" s="16" t="n">
        <v>100</v>
      </c>
      <c r="J68" s="16" t="n">
        <v>100</v>
      </c>
      <c r="K68" s="16" t="n">
        <v>100</v>
      </c>
      <c r="L68" s="16" t="n">
        <v>100</v>
      </c>
      <c r="M68" s="16" t="n">
        <v>100</v>
      </c>
      <c r="N68" s="4">
        <f>Работы!S70</f>
        <v/>
      </c>
      <c r="O68" s="4">
        <f>Работы!R70</f>
        <v/>
      </c>
      <c r="P68" s="16" t="n">
        <v>100</v>
      </c>
      <c r="Q68" s="16" t="n">
        <v>100</v>
      </c>
      <c r="R68" s="16" t="n">
        <v>100</v>
      </c>
      <c r="S68" s="16" t="n">
        <v>100</v>
      </c>
      <c r="T68" s="16" t="n">
        <v>100</v>
      </c>
      <c r="U68" s="16" t="n">
        <v>100</v>
      </c>
      <c r="V68" s="16" t="n">
        <v>100</v>
      </c>
      <c r="W68" s="16" t="n">
        <v>100</v>
      </c>
      <c r="X68" s="16" t="n">
        <v>100</v>
      </c>
      <c r="Y68" s="16" t="n">
        <v>100</v>
      </c>
      <c r="Z68" s="16" t="n">
        <v>100</v>
      </c>
      <c r="AA68" s="16" t="n">
        <v>100</v>
      </c>
    </row>
    <row r="69">
      <c r="A69" s="3" t="inlineStr">
        <is>
          <t>Стена</t>
        </is>
      </c>
      <c r="B69" s="3" t="inlineStr">
        <is>
          <t>Отделочные материалы</t>
        </is>
      </c>
      <c r="C69" s="3" t="inlineStr">
        <is>
          <t>Штукатурные работы</t>
        </is>
      </c>
      <c r="D69" s="3" t="inlineStr">
        <is>
          <t>Грунтовка типа UNIS универсальная в 2 слоя</t>
        </is>
      </c>
      <c r="E69" s="4">
        <f>N69+O69</f>
        <v/>
      </c>
      <c r="F69" s="3" t="inlineStr">
        <is>
          <t>м2</t>
        </is>
      </c>
      <c r="G69" s="4">
        <f>IFERROR('[1]Лист1'!G69,100)</f>
        <v/>
      </c>
      <c r="H69" s="16" t="n">
        <v>100</v>
      </c>
      <c r="I69" s="16" t="n">
        <v>100</v>
      </c>
      <c r="J69" s="16" t="n">
        <v>100</v>
      </c>
      <c r="K69" s="16" t="n">
        <v>100</v>
      </c>
      <c r="L69" s="16" t="n">
        <v>100</v>
      </c>
      <c r="M69" s="16" t="n">
        <v>100</v>
      </c>
      <c r="N69" s="4">
        <f>Работы!S71</f>
        <v/>
      </c>
      <c r="O69" s="4">
        <f>Работы!R71</f>
        <v/>
      </c>
      <c r="P69" s="16" t="n">
        <v>100</v>
      </c>
      <c r="Q69" s="16" t="n">
        <v>100</v>
      </c>
      <c r="R69" s="16" t="n">
        <v>100</v>
      </c>
      <c r="S69" s="16" t="n">
        <v>100</v>
      </c>
      <c r="T69" s="16" t="n">
        <v>100</v>
      </c>
      <c r="U69" s="16" t="n">
        <v>100</v>
      </c>
      <c r="V69" s="16" t="n">
        <v>100</v>
      </c>
      <c r="W69" s="16" t="n">
        <v>100</v>
      </c>
      <c r="X69" s="16" t="n">
        <v>100</v>
      </c>
      <c r="Y69" s="16" t="n">
        <v>100</v>
      </c>
      <c r="Z69" s="16" t="n">
        <v>100</v>
      </c>
      <c r="AA69" s="16" t="n">
        <v>100</v>
      </c>
    </row>
    <row r="70">
      <c r="A70" s="3" t="inlineStr">
        <is>
          <t>Стена</t>
        </is>
      </c>
      <c r="B70" s="3" t="inlineStr">
        <is>
          <t>Отделочные материалы</t>
        </is>
      </c>
      <c r="C70" s="3" t="inlineStr">
        <is>
          <t>Штукатурные работы</t>
        </is>
      </c>
      <c r="D70" s="3" t="inlineStr">
        <is>
          <t>Штукатурка внутренняя типа "KNAUF MP 75"</t>
        </is>
      </c>
      <c r="E70" s="4">
        <f>N70+O70</f>
        <v/>
      </c>
      <c r="F70" s="3" t="inlineStr">
        <is>
          <t>м2</t>
        </is>
      </c>
      <c r="G70" s="4">
        <f>IFERROR('[1]Лист1'!G70,100)</f>
        <v/>
      </c>
      <c r="H70" s="16" t="n">
        <v>100</v>
      </c>
      <c r="I70" s="16" t="n">
        <v>100</v>
      </c>
      <c r="J70" s="16" t="n">
        <v>100</v>
      </c>
      <c r="K70" s="16" t="n">
        <v>100</v>
      </c>
      <c r="L70" s="16" t="n">
        <v>100</v>
      </c>
      <c r="M70" s="16" t="n">
        <v>100</v>
      </c>
      <c r="N70" s="4">
        <f>Работы!S72</f>
        <v/>
      </c>
      <c r="O70" s="4">
        <f>Работы!R72</f>
        <v/>
      </c>
      <c r="P70" s="16" t="n">
        <v>100</v>
      </c>
      <c r="Q70" s="16" t="n">
        <v>100</v>
      </c>
      <c r="R70" s="16" t="n">
        <v>100</v>
      </c>
      <c r="S70" s="16" t="n">
        <v>100</v>
      </c>
      <c r="T70" s="16" t="n">
        <v>100</v>
      </c>
      <c r="U70" s="16" t="n">
        <v>100</v>
      </c>
      <c r="V70" s="16" t="n">
        <v>100</v>
      </c>
      <c r="W70" s="16" t="n">
        <v>100</v>
      </c>
      <c r="X70" s="16" t="n">
        <v>100</v>
      </c>
      <c r="Y70" s="16" t="n">
        <v>100</v>
      </c>
      <c r="Z70" s="16" t="n">
        <v>100</v>
      </c>
      <c r="AA70" s="16" t="n">
        <v>100</v>
      </c>
    </row>
    <row r="71">
      <c r="A71" s="3" t="inlineStr">
        <is>
          <t>Стена</t>
        </is>
      </c>
      <c r="B71" s="3" t="inlineStr">
        <is>
          <t>Отделочные материалы</t>
        </is>
      </c>
      <c r="C71" s="3" t="inlineStr">
        <is>
          <t>Штукатурные работы</t>
        </is>
      </c>
      <c r="D71" s="3" t="inlineStr">
        <is>
          <t>Шпаклевка гипсовая типа "Unis БЛИК"</t>
        </is>
      </c>
      <c r="E71" s="4">
        <f>N71+O71</f>
        <v/>
      </c>
      <c r="F71" s="3" t="inlineStr">
        <is>
          <t>м2</t>
        </is>
      </c>
      <c r="G71" s="4">
        <f>IFERROR('[1]Лист1'!G71,100)</f>
        <v/>
      </c>
      <c r="H71" s="16" t="n">
        <v>100</v>
      </c>
      <c r="I71" s="16" t="n">
        <v>100</v>
      </c>
      <c r="J71" s="16" t="n">
        <v>100</v>
      </c>
      <c r="K71" s="16" t="n">
        <v>100</v>
      </c>
      <c r="L71" s="16" t="n">
        <v>100</v>
      </c>
      <c r="M71" s="16" t="n">
        <v>100</v>
      </c>
      <c r="N71" s="4">
        <f>Работы!S73</f>
        <v/>
      </c>
      <c r="O71" s="4">
        <f>Работы!R73</f>
        <v/>
      </c>
      <c r="P71" s="16" t="n">
        <v>100</v>
      </c>
      <c r="Q71" s="16" t="n">
        <v>100</v>
      </c>
      <c r="R71" s="16" t="n">
        <v>100</v>
      </c>
      <c r="S71" s="16" t="n">
        <v>100</v>
      </c>
      <c r="T71" s="16" t="n">
        <v>100</v>
      </c>
      <c r="U71" s="16" t="n">
        <v>100</v>
      </c>
      <c r="V71" s="16" t="n">
        <v>100</v>
      </c>
      <c r="W71" s="16" t="n">
        <v>100</v>
      </c>
      <c r="X71" s="16" t="n">
        <v>100</v>
      </c>
      <c r="Y71" s="16" t="n">
        <v>100</v>
      </c>
      <c r="Z71" s="16" t="n">
        <v>100</v>
      </c>
      <c r="AA71" s="16" t="n">
        <v>100</v>
      </c>
    </row>
    <row r="72">
      <c r="A72" s="3" t="inlineStr">
        <is>
          <t>Стена</t>
        </is>
      </c>
      <c r="B72" s="3" t="inlineStr">
        <is>
          <t>Отделочные материалы</t>
        </is>
      </c>
      <c r="C72" s="3" t="inlineStr">
        <is>
          <t>Монтажные работы</t>
        </is>
      </c>
      <c r="D72" s="3" t="inlineStr">
        <is>
          <t>Панель Випрок ламинированная 3000х1200х12,5</t>
        </is>
      </c>
      <c r="E72" s="4">
        <f>N72+O72</f>
        <v/>
      </c>
      <c r="F72" s="3" t="inlineStr">
        <is>
          <t>м2</t>
        </is>
      </c>
      <c r="G72" s="4">
        <f>IFERROR('[1]Лист1'!G72,100)</f>
        <v/>
      </c>
      <c r="H72" s="16" t="n">
        <v>100</v>
      </c>
      <c r="I72" s="16" t="n">
        <v>100</v>
      </c>
      <c r="J72" s="16" t="n">
        <v>100</v>
      </c>
      <c r="K72" s="16" t="n">
        <v>100</v>
      </c>
      <c r="L72" s="16" t="n">
        <v>100</v>
      </c>
      <c r="M72" s="16" t="n">
        <v>100</v>
      </c>
      <c r="N72" s="4">
        <f>Работы!S74</f>
        <v/>
      </c>
      <c r="O72" s="4">
        <f>Работы!R74</f>
        <v/>
      </c>
      <c r="P72" s="16" t="n">
        <v>100</v>
      </c>
      <c r="Q72" s="16" t="n">
        <v>100</v>
      </c>
      <c r="R72" s="16" t="n">
        <v>100</v>
      </c>
      <c r="S72" s="16" t="n">
        <v>100</v>
      </c>
      <c r="T72" s="16" t="n">
        <v>100</v>
      </c>
      <c r="U72" s="16" t="n">
        <v>100</v>
      </c>
      <c r="V72" s="16" t="n">
        <v>100</v>
      </c>
      <c r="W72" s="16" t="n">
        <v>100</v>
      </c>
      <c r="X72" s="16" t="n">
        <v>100</v>
      </c>
      <c r="Y72" s="16" t="n">
        <v>100</v>
      </c>
      <c r="Z72" s="16" t="n">
        <v>100</v>
      </c>
      <c r="AA72" s="16" t="n">
        <v>100</v>
      </c>
    </row>
    <row r="73">
      <c r="A73" s="3" t="inlineStr">
        <is>
          <t>Стена</t>
        </is>
      </c>
      <c r="B73" s="3" t="inlineStr">
        <is>
          <t>Отделочные материалы</t>
        </is>
      </c>
      <c r="C73" s="3" t="inlineStr">
        <is>
          <t>Монтажные работы</t>
        </is>
      </c>
      <c r="D73" s="3" t="inlineStr">
        <is>
          <t>Профиль Кнауф ПН 100х40з3000</t>
        </is>
      </c>
      <c r="E73" s="4">
        <f>N73+O73</f>
        <v/>
      </c>
      <c r="F73" s="3" t="inlineStr">
        <is>
          <t>п.м</t>
        </is>
      </c>
      <c r="G73" s="4">
        <f>IFERROR('[1]Лист1'!G73,100)</f>
        <v/>
      </c>
      <c r="H73" s="16" t="n">
        <v>100</v>
      </c>
      <c r="I73" s="16" t="n">
        <v>100</v>
      </c>
      <c r="J73" s="16" t="n">
        <v>100</v>
      </c>
      <c r="K73" s="16" t="n">
        <v>100</v>
      </c>
      <c r="L73" s="16" t="n">
        <v>100</v>
      </c>
      <c r="M73" s="16" t="n">
        <v>100</v>
      </c>
      <c r="N73" s="4">
        <f>Работы!S75</f>
        <v/>
      </c>
      <c r="O73" s="4">
        <f>Работы!R75</f>
        <v/>
      </c>
      <c r="P73" s="16" t="n">
        <v>100</v>
      </c>
      <c r="Q73" s="16" t="n">
        <v>100</v>
      </c>
      <c r="R73" s="16" t="n">
        <v>100</v>
      </c>
      <c r="S73" s="16" t="n">
        <v>100</v>
      </c>
      <c r="T73" s="16" t="n">
        <v>100</v>
      </c>
      <c r="U73" s="16" t="n">
        <v>100</v>
      </c>
      <c r="V73" s="16" t="n">
        <v>100</v>
      </c>
      <c r="W73" s="16" t="n">
        <v>100</v>
      </c>
      <c r="X73" s="16" t="n">
        <v>100</v>
      </c>
      <c r="Y73" s="16" t="n">
        <v>100</v>
      </c>
      <c r="Z73" s="16" t="n">
        <v>100</v>
      </c>
      <c r="AA73" s="16" t="n">
        <v>100</v>
      </c>
    </row>
    <row r="74">
      <c r="A74" s="3" t="inlineStr">
        <is>
          <t>Стена</t>
        </is>
      </c>
      <c r="B74" s="3" t="inlineStr">
        <is>
          <t>Отделочные материалы</t>
        </is>
      </c>
      <c r="C74" s="3" t="inlineStr">
        <is>
          <t>Монтажные работы</t>
        </is>
      </c>
      <c r="D74" s="3" t="inlineStr">
        <is>
          <t>Профиль  Кнауф ПС 100x50х3000</t>
        </is>
      </c>
      <c r="E74" s="4">
        <f>N74+O74</f>
        <v/>
      </c>
      <c r="F74" s="3" t="inlineStr">
        <is>
          <t>п.м</t>
        </is>
      </c>
      <c r="G74" s="4">
        <f>IFERROR('[1]Лист1'!G74,100)</f>
        <v/>
      </c>
      <c r="H74" s="16" t="n">
        <v>100</v>
      </c>
      <c r="I74" s="16" t="n">
        <v>100</v>
      </c>
      <c r="J74" s="16" t="n">
        <v>100</v>
      </c>
      <c r="K74" s="16" t="n">
        <v>100</v>
      </c>
      <c r="L74" s="16" t="n">
        <v>100</v>
      </c>
      <c r="M74" s="16" t="n">
        <v>100</v>
      </c>
      <c r="N74" s="4">
        <f>Работы!S76</f>
        <v/>
      </c>
      <c r="O74" s="4">
        <f>Работы!R76</f>
        <v/>
      </c>
      <c r="P74" s="16" t="n">
        <v>100</v>
      </c>
      <c r="Q74" s="16" t="n">
        <v>100</v>
      </c>
      <c r="R74" s="16" t="n">
        <v>100</v>
      </c>
      <c r="S74" s="16" t="n">
        <v>100</v>
      </c>
      <c r="T74" s="16" t="n">
        <v>100</v>
      </c>
      <c r="U74" s="16" t="n">
        <v>100</v>
      </c>
      <c r="V74" s="16" t="n">
        <v>100</v>
      </c>
      <c r="W74" s="16" t="n">
        <v>100</v>
      </c>
      <c r="X74" s="16" t="n">
        <v>100</v>
      </c>
      <c r="Y74" s="16" t="n">
        <v>100</v>
      </c>
      <c r="Z74" s="16" t="n">
        <v>100</v>
      </c>
      <c r="AA74" s="16" t="n">
        <v>100</v>
      </c>
    </row>
    <row r="75">
      <c r="A75" s="3" t="inlineStr">
        <is>
          <t>Стена</t>
        </is>
      </c>
      <c r="B75" s="3" t="inlineStr">
        <is>
          <t>Отделочные материалы</t>
        </is>
      </c>
      <c r="C75" s="3" t="inlineStr">
        <is>
          <t>Монтажные работы</t>
        </is>
      </c>
      <c r="D75" s="3" t="inlineStr">
        <is>
          <t>Лента уплотнительная 50 мм</t>
        </is>
      </c>
      <c r="E75" s="4">
        <f>N75+O75</f>
        <v/>
      </c>
      <c r="F75" s="3" t="inlineStr">
        <is>
          <t>м.п.</t>
        </is>
      </c>
      <c r="G75" s="4">
        <f>IFERROR('[1]Лист1'!G75,100)</f>
        <v/>
      </c>
      <c r="H75" s="16" t="n">
        <v>100</v>
      </c>
      <c r="I75" s="16" t="n">
        <v>100</v>
      </c>
      <c r="J75" s="16" t="n">
        <v>100</v>
      </c>
      <c r="K75" s="16" t="n">
        <v>100</v>
      </c>
      <c r="L75" s="16" t="n">
        <v>100</v>
      </c>
      <c r="M75" s="16" t="n">
        <v>100</v>
      </c>
      <c r="N75" s="4">
        <f>Работы!S77</f>
        <v/>
      </c>
      <c r="O75" s="4">
        <f>Работы!R77</f>
        <v/>
      </c>
      <c r="P75" s="16" t="n">
        <v>100</v>
      </c>
      <c r="Q75" s="16" t="n">
        <v>100</v>
      </c>
      <c r="R75" s="16" t="n">
        <v>100</v>
      </c>
      <c r="S75" s="16" t="n">
        <v>100</v>
      </c>
      <c r="T75" s="16" t="n">
        <v>100</v>
      </c>
      <c r="U75" s="16" t="n">
        <v>100</v>
      </c>
      <c r="V75" s="16" t="n">
        <v>100</v>
      </c>
      <c r="W75" s="16" t="n">
        <v>100</v>
      </c>
      <c r="X75" s="16" t="n">
        <v>100</v>
      </c>
      <c r="Y75" s="16" t="n">
        <v>100</v>
      </c>
      <c r="Z75" s="16" t="n">
        <v>100</v>
      </c>
      <c r="AA75" s="16" t="n">
        <v>100</v>
      </c>
    </row>
    <row r="76">
      <c r="A76" s="3" t="inlineStr">
        <is>
          <t>Стена</t>
        </is>
      </c>
      <c r="B76" s="3" t="inlineStr">
        <is>
          <t>Уголок декоративный</t>
        </is>
      </c>
      <c r="C76" s="3" t="inlineStr">
        <is>
          <t>Монтажные работы</t>
        </is>
      </c>
      <c r="D76" s="3" t="inlineStr">
        <is>
          <t>Уголок пластиковый 25х25 мм</t>
        </is>
      </c>
      <c r="E76" s="4">
        <f>N76+O76</f>
        <v/>
      </c>
      <c r="F76" s="3" t="inlineStr">
        <is>
          <t>м.п.</t>
        </is>
      </c>
      <c r="G76" s="4">
        <f>IFERROR('[1]Лист1'!G76,100)</f>
        <v/>
      </c>
      <c r="H76" s="16" t="n">
        <v>100</v>
      </c>
      <c r="I76" s="16" t="n">
        <v>100</v>
      </c>
      <c r="J76" s="16" t="n">
        <v>100</v>
      </c>
      <c r="K76" s="16" t="n">
        <v>100</v>
      </c>
      <c r="L76" s="16" t="n">
        <v>100</v>
      </c>
      <c r="M76" s="16" t="n">
        <v>100</v>
      </c>
      <c r="N76" s="4">
        <f>Работы!S78</f>
        <v/>
      </c>
      <c r="O76" s="4">
        <f>Работы!R78</f>
        <v/>
      </c>
      <c r="P76" s="16" t="n">
        <v>100</v>
      </c>
      <c r="Q76" s="16" t="n">
        <v>100</v>
      </c>
      <c r="R76" s="16" t="n">
        <v>100</v>
      </c>
      <c r="S76" s="16" t="n">
        <v>100</v>
      </c>
      <c r="T76" s="16" t="n">
        <v>100</v>
      </c>
      <c r="U76" s="16" t="n">
        <v>100</v>
      </c>
      <c r="V76" s="16" t="n">
        <v>100</v>
      </c>
      <c r="W76" s="16" t="n">
        <v>100</v>
      </c>
      <c r="X76" s="16" t="n">
        <v>100</v>
      </c>
      <c r="Y76" s="16" t="n">
        <v>100</v>
      </c>
      <c r="Z76" s="16" t="n">
        <v>100</v>
      </c>
      <c r="AA76" s="16" t="n">
        <v>100</v>
      </c>
    </row>
    <row r="77">
      <c r="A77" s="3" t="inlineStr">
        <is>
          <t>Стена</t>
        </is>
      </c>
      <c r="B77" s="3" t="inlineStr">
        <is>
          <t>Отделочные материалы</t>
        </is>
      </c>
      <c r="C77" s="3" t="inlineStr">
        <is>
          <t>Штукатурные работы</t>
        </is>
      </c>
      <c r="D77" s="3" t="inlineStr">
        <is>
          <t>Полимерная шпатлевка LR для внутренних работ. Рекомендуется для устранения мельчайших дефектов поверхности. CERESIT CT 127 (или аналог)</t>
        </is>
      </c>
      <c r="E77" s="4">
        <f>N77+O77</f>
        <v/>
      </c>
      <c r="F77" s="3" t="inlineStr">
        <is>
          <t>м2</t>
        </is>
      </c>
      <c r="G77" s="4">
        <f>IFERROR('[1]Лист1'!G77,100)</f>
        <v/>
      </c>
      <c r="H77" s="16" t="n">
        <v>100</v>
      </c>
      <c r="I77" s="16" t="n">
        <v>100</v>
      </c>
      <c r="J77" s="16" t="n">
        <v>100</v>
      </c>
      <c r="K77" s="16" t="n">
        <v>100</v>
      </c>
      <c r="L77" s="16" t="n">
        <v>100</v>
      </c>
      <c r="M77" s="16" t="n">
        <v>100</v>
      </c>
      <c r="N77" s="4">
        <f>Работы!S79</f>
        <v/>
      </c>
      <c r="O77" s="4">
        <f>Работы!R79</f>
        <v/>
      </c>
      <c r="P77" s="16" t="n">
        <v>100</v>
      </c>
      <c r="Q77" s="16" t="n">
        <v>100</v>
      </c>
      <c r="R77" s="16" t="n">
        <v>100</v>
      </c>
      <c r="S77" s="16" t="n">
        <v>100</v>
      </c>
      <c r="T77" s="16" t="n">
        <v>100</v>
      </c>
      <c r="U77" s="16" t="n">
        <v>100</v>
      </c>
      <c r="V77" s="16" t="n">
        <v>100</v>
      </c>
      <c r="W77" s="16" t="n">
        <v>100</v>
      </c>
      <c r="X77" s="16" t="n">
        <v>100</v>
      </c>
      <c r="Y77" s="16" t="n">
        <v>100</v>
      </c>
      <c r="Z77" s="16" t="n">
        <v>100</v>
      </c>
      <c r="AA77" s="16" t="n">
        <v>100</v>
      </c>
    </row>
    <row r="78">
      <c r="A78" s="3" t="inlineStr">
        <is>
          <t>Стена</t>
        </is>
      </c>
      <c r="B78" s="3" t="inlineStr">
        <is>
          <t>Отделочные материалы</t>
        </is>
      </c>
      <c r="C78" s="3" t="inlineStr">
        <is>
          <t>Штукатурные работы</t>
        </is>
      </c>
      <c r="D78" s="3" t="inlineStr">
        <is>
          <t>Полимерная шпатлевка KR для внутренних работ. Применяется для заделки трещин выбоин и др. дефектов поверхностей. CERESIT CT 127 (или аналог)</t>
        </is>
      </c>
      <c r="E78" s="4">
        <f>N78+O78</f>
        <v/>
      </c>
      <c r="F78" s="3" t="inlineStr">
        <is>
          <t>м2</t>
        </is>
      </c>
      <c r="G78" s="4">
        <f>IFERROR('[1]Лист1'!G78,100)</f>
        <v/>
      </c>
      <c r="H78" s="16" t="n">
        <v>100</v>
      </c>
      <c r="I78" s="16" t="n">
        <v>100</v>
      </c>
      <c r="J78" s="16" t="n">
        <v>100</v>
      </c>
      <c r="K78" s="16" t="n">
        <v>100</v>
      </c>
      <c r="L78" s="16" t="n">
        <v>100</v>
      </c>
      <c r="M78" s="16" t="n">
        <v>100</v>
      </c>
      <c r="N78" s="4">
        <f>Работы!S80</f>
        <v/>
      </c>
      <c r="O78" s="4">
        <f>Работы!R80</f>
        <v/>
      </c>
      <c r="P78" s="16" t="n">
        <v>100</v>
      </c>
      <c r="Q78" s="16" t="n">
        <v>100</v>
      </c>
      <c r="R78" s="16" t="n">
        <v>100</v>
      </c>
      <c r="S78" s="16" t="n">
        <v>100</v>
      </c>
      <c r="T78" s="16" t="n">
        <v>100</v>
      </c>
      <c r="U78" s="16" t="n">
        <v>100</v>
      </c>
      <c r="V78" s="16" t="n">
        <v>100</v>
      </c>
      <c r="W78" s="16" t="n">
        <v>100</v>
      </c>
      <c r="X78" s="16" t="n">
        <v>100</v>
      </c>
      <c r="Y78" s="16" t="n">
        <v>100</v>
      </c>
      <c r="Z78" s="16" t="n">
        <v>100</v>
      </c>
      <c r="AA78" s="16" t="n">
        <v>100</v>
      </c>
    </row>
    <row r="79">
      <c r="A79" s="3" t="inlineStr">
        <is>
          <t>Стена</t>
        </is>
      </c>
      <c r="B79" s="3" t="inlineStr">
        <is>
          <t>Отделочные материалы</t>
        </is>
      </c>
      <c r="C79" s="3" t="inlineStr">
        <is>
          <t>Штукатурные работы</t>
        </is>
      </c>
      <c r="D79" s="3" t="inlineStr">
        <is>
          <t>Фасадная финишная шпаклевка, серая. Рекомендуется для выравнивания поверхностей фасадов зданий , заделки выбоин , трещин, раковин слоем до 6 мм . CERESIT CT 225 (или аналог)</t>
        </is>
      </c>
      <c r="E79" s="4">
        <f>N79+O79</f>
        <v/>
      </c>
      <c r="F79" s="3" t="inlineStr">
        <is>
          <t>м2</t>
        </is>
      </c>
      <c r="G79" s="4">
        <f>IFERROR('[1]Лист1'!G79,100)</f>
        <v/>
      </c>
      <c r="H79" s="16" t="n">
        <v>100</v>
      </c>
      <c r="I79" s="16" t="n">
        <v>100</v>
      </c>
      <c r="J79" s="16" t="n">
        <v>100</v>
      </c>
      <c r="K79" s="16" t="n">
        <v>100</v>
      </c>
      <c r="L79" s="16" t="n">
        <v>100</v>
      </c>
      <c r="M79" s="16" t="n">
        <v>100</v>
      </c>
      <c r="N79" s="4">
        <f>Работы!S81</f>
        <v/>
      </c>
      <c r="O79" s="4">
        <f>Работы!R81</f>
        <v/>
      </c>
      <c r="P79" s="16" t="n">
        <v>100</v>
      </c>
      <c r="Q79" s="16" t="n">
        <v>100</v>
      </c>
      <c r="R79" s="16" t="n">
        <v>100</v>
      </c>
      <c r="S79" s="16" t="n">
        <v>100</v>
      </c>
      <c r="T79" s="16" t="n">
        <v>100</v>
      </c>
      <c r="U79" s="16" t="n">
        <v>100</v>
      </c>
      <c r="V79" s="16" t="n">
        <v>100</v>
      </c>
      <c r="W79" s="16" t="n">
        <v>100</v>
      </c>
      <c r="X79" s="16" t="n">
        <v>100</v>
      </c>
      <c r="Y79" s="16" t="n">
        <v>100</v>
      </c>
      <c r="Z79" s="16" t="n">
        <v>100</v>
      </c>
      <c r="AA79" s="16" t="n">
        <v>100</v>
      </c>
    </row>
    <row r="80">
      <c r="A80" s="3" t="inlineStr">
        <is>
          <t>Стена</t>
        </is>
      </c>
      <c r="B80" s="3" t="inlineStr">
        <is>
          <t>Отделочные материалы</t>
        </is>
      </c>
      <c r="C80" s="3" t="inlineStr">
        <is>
          <t>Штукатурные работы</t>
        </is>
      </c>
      <c r="D80" s="3" t="inlineStr">
        <is>
          <t>Финишная полимерная шпаклевка для внутренних работ.Рекомендуется для шпаклевания штукатурных и бетонных поверхностей стен и потолков перед оклейкой обоев или окраской. CERESIT CT 95 (или аналог)</t>
        </is>
      </c>
      <c r="E80" s="4">
        <f>N80+O80</f>
        <v/>
      </c>
      <c r="F80" s="3" t="inlineStr">
        <is>
          <t>м2</t>
        </is>
      </c>
      <c r="G80" s="4">
        <f>IFERROR('[1]Лист1'!G80,100)</f>
        <v/>
      </c>
      <c r="H80" s="16" t="n">
        <v>100</v>
      </c>
      <c r="I80" s="16" t="n">
        <v>100</v>
      </c>
      <c r="J80" s="16" t="n">
        <v>100</v>
      </c>
      <c r="K80" s="16" t="n">
        <v>100</v>
      </c>
      <c r="L80" s="16" t="n">
        <v>100</v>
      </c>
      <c r="M80" s="16" t="n">
        <v>100</v>
      </c>
      <c r="N80" s="4">
        <f>Работы!S82</f>
        <v/>
      </c>
      <c r="O80" s="4">
        <f>Работы!R82</f>
        <v/>
      </c>
      <c r="P80" s="16" t="n">
        <v>100</v>
      </c>
      <c r="Q80" s="16" t="n">
        <v>100</v>
      </c>
      <c r="R80" s="16" t="n">
        <v>100</v>
      </c>
      <c r="S80" s="16" t="n">
        <v>100</v>
      </c>
      <c r="T80" s="16" t="n">
        <v>100</v>
      </c>
      <c r="U80" s="16" t="n">
        <v>100</v>
      </c>
      <c r="V80" s="16" t="n">
        <v>100</v>
      </c>
      <c r="W80" s="16" t="n">
        <v>100</v>
      </c>
      <c r="X80" s="16" t="n">
        <v>100</v>
      </c>
      <c r="Y80" s="16" t="n">
        <v>100</v>
      </c>
      <c r="Z80" s="16" t="n">
        <v>100</v>
      </c>
      <c r="AA80" s="16" t="n">
        <v>100</v>
      </c>
    </row>
    <row r="81">
      <c r="A81" s="3" t="inlineStr">
        <is>
          <t>Стена</t>
        </is>
      </c>
      <c r="B81" s="3" t="inlineStr">
        <is>
          <t>Отделочные материалы</t>
        </is>
      </c>
      <c r="C81" s="3" t="inlineStr">
        <is>
          <t>Штукатурные работы</t>
        </is>
      </c>
      <c r="D81" s="3" t="inlineStr">
        <is>
          <t>Грунтовка для обработки гладких оснований . Рекомендуется для обработки слабо впитывающих Оснований к нанесению различных отделочных материалов перед нанесением гипсовых и цементных штукатурок, плиточных клеев. CERESIT 19 (или аналог)</t>
        </is>
      </c>
      <c r="E81" s="4">
        <f>N81+O81</f>
        <v/>
      </c>
      <c r="F81" s="3" t="inlineStr">
        <is>
          <t>м2</t>
        </is>
      </c>
      <c r="G81" s="4">
        <f>IFERROR('[1]Лист1'!G81,100)</f>
        <v/>
      </c>
      <c r="H81" s="16" t="n">
        <v>100</v>
      </c>
      <c r="I81" s="16" t="n">
        <v>100</v>
      </c>
      <c r="J81" s="16" t="n">
        <v>100</v>
      </c>
      <c r="K81" s="16" t="n">
        <v>100</v>
      </c>
      <c r="L81" s="16" t="n">
        <v>100</v>
      </c>
      <c r="M81" s="16" t="n">
        <v>100</v>
      </c>
      <c r="N81" s="4">
        <f>Работы!S83</f>
        <v/>
      </c>
      <c r="O81" s="4">
        <f>Работы!R83</f>
        <v/>
      </c>
      <c r="P81" s="16" t="n">
        <v>100</v>
      </c>
      <c r="Q81" s="16" t="n">
        <v>100</v>
      </c>
      <c r="R81" s="16" t="n">
        <v>100</v>
      </c>
      <c r="S81" s="16" t="n">
        <v>100</v>
      </c>
      <c r="T81" s="16" t="n">
        <v>100</v>
      </c>
      <c r="U81" s="16" t="n">
        <v>100</v>
      </c>
      <c r="V81" s="16" t="n">
        <v>100</v>
      </c>
      <c r="W81" s="16" t="n">
        <v>100</v>
      </c>
      <c r="X81" s="16" t="n">
        <v>100</v>
      </c>
      <c r="Y81" s="16" t="n">
        <v>100</v>
      </c>
      <c r="Z81" s="16" t="n">
        <v>100</v>
      </c>
      <c r="AA81" s="16" t="n">
        <v>100</v>
      </c>
    </row>
    <row r="82">
      <c r="A82" s="3" t="inlineStr">
        <is>
          <t>Стена</t>
        </is>
      </c>
      <c r="B82" s="3" t="inlineStr">
        <is>
          <t>Отделочные материалы</t>
        </is>
      </c>
      <c r="C82" s="3" t="inlineStr">
        <is>
          <t>Штукатурные работы</t>
        </is>
      </c>
      <c r="D82" s="3" t="inlineStr">
        <is>
          <t>Универсальная самовыравнивающаяся смесь . Финишный ровнитель для тщательного выравнивания и последующей укладки декоративных напольных покрытий, нанесения тонкослойных наливных ровнителей. CERESIT CN 175 (или аналог)</t>
        </is>
      </c>
      <c r="E82" s="4">
        <f>N82+O82</f>
        <v/>
      </c>
      <c r="F82" s="3" t="inlineStr">
        <is>
          <t>м2</t>
        </is>
      </c>
      <c r="G82" s="4">
        <f>IFERROR('[1]Лист1'!G82,100)</f>
        <v/>
      </c>
      <c r="H82" s="16" t="n">
        <v>100</v>
      </c>
      <c r="I82" s="16" t="n">
        <v>100</v>
      </c>
      <c r="J82" s="16" t="n">
        <v>100</v>
      </c>
      <c r="K82" s="16" t="n">
        <v>100</v>
      </c>
      <c r="L82" s="16" t="n">
        <v>100</v>
      </c>
      <c r="M82" s="16" t="n">
        <v>100</v>
      </c>
      <c r="N82" s="4">
        <f>Работы!S84</f>
        <v/>
      </c>
      <c r="O82" s="4">
        <f>Работы!R84</f>
        <v/>
      </c>
      <c r="P82" s="16" t="n">
        <v>100</v>
      </c>
      <c r="Q82" s="16" t="n">
        <v>100</v>
      </c>
      <c r="R82" s="16" t="n">
        <v>100</v>
      </c>
      <c r="S82" s="16" t="n">
        <v>100</v>
      </c>
      <c r="T82" s="16" t="n">
        <v>100</v>
      </c>
      <c r="U82" s="16" t="n">
        <v>100</v>
      </c>
      <c r="V82" s="16" t="n">
        <v>100</v>
      </c>
      <c r="W82" s="16" t="n">
        <v>100</v>
      </c>
      <c r="X82" s="16" t="n">
        <v>100</v>
      </c>
      <c r="Y82" s="16" t="n">
        <v>100</v>
      </c>
      <c r="Z82" s="16" t="n">
        <v>100</v>
      </c>
      <c r="AA82" s="16" t="n">
        <v>100</v>
      </c>
    </row>
    <row r="83">
      <c r="A83" s="3" t="inlineStr">
        <is>
          <t>Стена</t>
        </is>
      </c>
      <c r="B83" s="3" t="inlineStr">
        <is>
          <t>Уголок декоративный</t>
        </is>
      </c>
      <c r="C83" s="3" t="inlineStr">
        <is>
          <t>Монтажные работы</t>
        </is>
      </c>
      <c r="D83" s="3" t="inlineStr">
        <is>
          <t>Уголок пластиковый 25х25 мм</t>
        </is>
      </c>
      <c r="E83" s="4">
        <f>N83+O83</f>
        <v/>
      </c>
      <c r="F83" s="3" t="inlineStr">
        <is>
          <t>м.п.</t>
        </is>
      </c>
      <c r="G83" s="4">
        <f>IFERROR('[1]Лист1'!G83,100)</f>
        <v/>
      </c>
      <c r="H83" s="16" t="n">
        <v>100</v>
      </c>
      <c r="I83" s="16" t="n">
        <v>100</v>
      </c>
      <c r="J83" s="16" t="n">
        <v>100</v>
      </c>
      <c r="K83" s="16" t="n">
        <v>100</v>
      </c>
      <c r="L83" s="16" t="n">
        <v>100</v>
      </c>
      <c r="M83" s="16" t="n">
        <v>100</v>
      </c>
      <c r="N83" s="4">
        <f>Работы!S85</f>
        <v/>
      </c>
      <c r="O83" s="4">
        <f>Работы!R85</f>
        <v/>
      </c>
      <c r="P83" s="16" t="n">
        <v>100</v>
      </c>
      <c r="Q83" s="16" t="n">
        <v>100</v>
      </c>
      <c r="R83" s="16" t="n">
        <v>100</v>
      </c>
      <c r="S83" s="16" t="n">
        <v>100</v>
      </c>
      <c r="T83" s="16" t="n">
        <v>100</v>
      </c>
      <c r="U83" s="16" t="n">
        <v>100</v>
      </c>
      <c r="V83" s="16" t="n">
        <v>100</v>
      </c>
      <c r="W83" s="16" t="n">
        <v>100</v>
      </c>
      <c r="X83" s="16" t="n">
        <v>100</v>
      </c>
      <c r="Y83" s="16" t="n">
        <v>100</v>
      </c>
      <c r="Z83" s="16" t="n">
        <v>100</v>
      </c>
      <c r="AA83" s="16" t="n">
        <v>100</v>
      </c>
    </row>
    <row r="84">
      <c r="A84" s="3" t="inlineStr">
        <is>
          <t>Стена</t>
        </is>
      </c>
      <c r="B84" s="3" t="inlineStr">
        <is>
          <t>Уголок декоративный</t>
        </is>
      </c>
      <c r="C84" s="3" t="inlineStr">
        <is>
          <t>Монтажные работы</t>
        </is>
      </c>
      <c r="D84" s="3" t="inlineStr">
        <is>
          <t>Уголок пластиковый 40х40 мм</t>
        </is>
      </c>
      <c r="E84" s="4">
        <f>N84+O84</f>
        <v/>
      </c>
      <c r="F84" s="3" t="inlineStr">
        <is>
          <t>м.п.</t>
        </is>
      </c>
      <c r="G84" s="4">
        <f>IFERROR('[1]Лист1'!G84,100)</f>
        <v/>
      </c>
      <c r="H84" s="16" t="n">
        <v>100</v>
      </c>
      <c r="I84" s="16" t="n">
        <v>100</v>
      </c>
      <c r="J84" s="16" t="n">
        <v>100</v>
      </c>
      <c r="K84" s="16" t="n">
        <v>100</v>
      </c>
      <c r="L84" s="16" t="n">
        <v>100</v>
      </c>
      <c r="M84" s="16" t="n">
        <v>100</v>
      </c>
      <c r="N84" s="4">
        <f>Работы!S86</f>
        <v/>
      </c>
      <c r="O84" s="4">
        <f>Работы!R86</f>
        <v/>
      </c>
      <c r="P84" s="16" t="n">
        <v>100</v>
      </c>
      <c r="Q84" s="16" t="n">
        <v>100</v>
      </c>
      <c r="R84" s="16" t="n">
        <v>100</v>
      </c>
      <c r="S84" s="16" t="n">
        <v>100</v>
      </c>
      <c r="T84" s="16" t="n">
        <v>100</v>
      </c>
      <c r="U84" s="16" t="n">
        <v>100</v>
      </c>
      <c r="V84" s="16" t="n">
        <v>100</v>
      </c>
      <c r="W84" s="16" t="n">
        <v>100</v>
      </c>
      <c r="X84" s="16" t="n">
        <v>100</v>
      </c>
      <c r="Y84" s="16" t="n">
        <v>100</v>
      </c>
      <c r="Z84" s="16" t="n">
        <v>100</v>
      </c>
      <c r="AA84" s="16" t="n">
        <v>100</v>
      </c>
    </row>
    <row r="85">
      <c r="A85" s="3" t="inlineStr">
        <is>
          <t>Стена</t>
        </is>
      </c>
      <c r="B85" s="3" t="inlineStr">
        <is>
          <t>Уголок декоративный</t>
        </is>
      </c>
      <c r="C85" s="3" t="inlineStr">
        <is>
          <t>Монтажные работы</t>
        </is>
      </c>
      <c r="D85" s="3" t="inlineStr">
        <is>
          <t>Уголок пластиковый 60х60 мм</t>
        </is>
      </c>
      <c r="E85" s="4">
        <f>N85+O85</f>
        <v/>
      </c>
      <c r="F85" s="3" t="inlineStr">
        <is>
          <t>м.п.</t>
        </is>
      </c>
      <c r="G85" s="4">
        <f>IFERROR('[1]Лист1'!G85,100)</f>
        <v/>
      </c>
      <c r="H85" s="16" t="n">
        <v>100</v>
      </c>
      <c r="I85" s="16" t="n">
        <v>100</v>
      </c>
      <c r="J85" s="16" t="n">
        <v>100</v>
      </c>
      <c r="K85" s="16" t="n">
        <v>100</v>
      </c>
      <c r="L85" s="16" t="n">
        <v>100</v>
      </c>
      <c r="M85" s="16" t="n">
        <v>100</v>
      </c>
      <c r="N85" s="4">
        <f>Работы!S87</f>
        <v/>
      </c>
      <c r="O85" s="4">
        <f>Работы!R87</f>
        <v/>
      </c>
      <c r="P85" s="16" t="n">
        <v>100</v>
      </c>
      <c r="Q85" s="16" t="n">
        <v>100</v>
      </c>
      <c r="R85" s="16" t="n">
        <v>100</v>
      </c>
      <c r="S85" s="16" t="n">
        <v>100</v>
      </c>
      <c r="T85" s="16" t="n">
        <v>100</v>
      </c>
      <c r="U85" s="16" t="n">
        <v>100</v>
      </c>
      <c r="V85" s="16" t="n">
        <v>100</v>
      </c>
      <c r="W85" s="16" t="n">
        <v>100</v>
      </c>
      <c r="X85" s="16" t="n">
        <v>100</v>
      </c>
      <c r="Y85" s="16" t="n">
        <v>100</v>
      </c>
      <c r="Z85" s="16" t="n">
        <v>100</v>
      </c>
      <c r="AA85" s="16" t="n">
        <v>100</v>
      </c>
    </row>
    <row r="86">
      <c r="A86" s="3" t="inlineStr">
        <is>
          <t>Стена</t>
        </is>
      </c>
      <c r="B86" s="3" t="inlineStr">
        <is>
          <t>Алмазное бурение</t>
        </is>
      </c>
      <c r="C86" s="3" t="inlineStr">
        <is>
          <t>Монтажные работы</t>
        </is>
      </c>
      <c r="D86" s="3" t="inlineStr">
        <is>
          <t xml:space="preserve">Алмазное бурение. Диаметр отверстия от 50 мм до 200 мм включительно (Бетон) </t>
        </is>
      </c>
      <c r="E86" s="4">
        <f>N86+O86</f>
        <v/>
      </c>
      <c r="F86" s="3" t="inlineStr">
        <is>
          <t>см.</t>
        </is>
      </c>
      <c r="G86" s="4">
        <f>IFERROR('[1]Лист1'!G86,100)</f>
        <v/>
      </c>
      <c r="H86" s="16" t="n">
        <v>100</v>
      </c>
      <c r="I86" s="16" t="n">
        <v>100</v>
      </c>
      <c r="J86" s="16" t="n">
        <v>100</v>
      </c>
      <c r="K86" s="16" t="n">
        <v>100</v>
      </c>
      <c r="L86" s="16" t="n">
        <v>100</v>
      </c>
      <c r="M86" s="16" t="n">
        <v>100</v>
      </c>
      <c r="N86" s="4">
        <f>Работы!S88</f>
        <v/>
      </c>
      <c r="O86" s="4">
        <f>Работы!R88</f>
        <v/>
      </c>
      <c r="P86" s="16" t="n">
        <v>100</v>
      </c>
      <c r="Q86" s="16" t="n">
        <v>100</v>
      </c>
      <c r="R86" s="16" t="n">
        <v>100</v>
      </c>
      <c r="S86" s="16" t="n">
        <v>100</v>
      </c>
      <c r="T86" s="16" t="n">
        <v>100</v>
      </c>
      <c r="U86" s="16" t="n">
        <v>100</v>
      </c>
      <c r="V86" s="16" t="n">
        <v>100</v>
      </c>
      <c r="W86" s="16" t="n">
        <v>100</v>
      </c>
      <c r="X86" s="16" t="n">
        <v>100</v>
      </c>
      <c r="Y86" s="16" t="n">
        <v>100</v>
      </c>
      <c r="Z86" s="16" t="n">
        <v>100</v>
      </c>
      <c r="AA86" s="16" t="n">
        <v>100</v>
      </c>
    </row>
    <row r="87">
      <c r="A87" s="3" t="inlineStr">
        <is>
          <t>Фурнитура дверная</t>
        </is>
      </c>
      <c r="B87" s="3" t="inlineStr">
        <is>
          <t>Прочее</t>
        </is>
      </c>
      <c r="C87" s="3" t="inlineStr">
        <is>
          <t>Замена</t>
        </is>
      </c>
      <c r="D87" s="3" t="inlineStr">
        <is>
          <t>Стопор дверной типа Amig 103</t>
        </is>
      </c>
      <c r="E87" s="4">
        <f>N87+O87</f>
        <v/>
      </c>
      <c r="F87" s="3" t="inlineStr">
        <is>
          <t>шт.</t>
        </is>
      </c>
      <c r="G87" s="4">
        <f>IFERROR('[1]Лист1'!G87,100)</f>
        <v/>
      </c>
      <c r="H87" s="16" t="n">
        <v>100</v>
      </c>
      <c r="I87" s="16" t="n">
        <v>100</v>
      </c>
      <c r="J87" s="16" t="n">
        <v>100</v>
      </c>
      <c r="K87" s="16" t="n">
        <v>100</v>
      </c>
      <c r="L87" s="16" t="n">
        <v>100</v>
      </c>
      <c r="M87" s="16" t="n">
        <v>100</v>
      </c>
      <c r="N87" s="4">
        <f>Работы!S89</f>
        <v/>
      </c>
      <c r="O87" s="4">
        <f>Работы!R89</f>
        <v/>
      </c>
      <c r="P87" s="16" t="n">
        <v>100</v>
      </c>
      <c r="Q87" s="16" t="n">
        <v>100</v>
      </c>
      <c r="R87" s="16" t="n">
        <v>100</v>
      </c>
      <c r="S87" s="16" t="n">
        <v>100</v>
      </c>
      <c r="T87" s="16" t="n">
        <v>100</v>
      </c>
      <c r="U87" s="16" t="n">
        <v>100</v>
      </c>
      <c r="V87" s="16" t="n">
        <v>100</v>
      </c>
      <c r="W87" s="16" t="n">
        <v>100</v>
      </c>
      <c r="X87" s="16" t="n">
        <v>100</v>
      </c>
      <c r="Y87" s="16" t="n">
        <v>100</v>
      </c>
      <c r="Z87" s="16" t="n">
        <v>100</v>
      </c>
      <c r="AA87" s="16" t="n">
        <v>100</v>
      </c>
    </row>
    <row r="88">
      <c r="A88" s="3" t="inlineStr">
        <is>
          <t>Фурнетура дверная</t>
        </is>
      </c>
      <c r="B88" s="3" t="inlineStr">
        <is>
          <t>Прочее</t>
        </is>
      </c>
      <c r="C88" s="3" t="inlineStr">
        <is>
          <t>Замена</t>
        </is>
      </c>
      <c r="D88" s="3" t="inlineStr">
        <is>
          <t>Шпингалет APEX 100 мм.</t>
        </is>
      </c>
      <c r="E88" s="4">
        <f>N88+O88</f>
        <v/>
      </c>
      <c r="F88" s="3" t="inlineStr">
        <is>
          <t>шт.</t>
        </is>
      </c>
      <c r="G88" s="4">
        <f>IFERROR('[1]Лист1'!G88,100)</f>
        <v/>
      </c>
      <c r="H88" s="16" t="n">
        <v>100</v>
      </c>
      <c r="I88" s="16" t="n">
        <v>100</v>
      </c>
      <c r="J88" s="16" t="n">
        <v>100</v>
      </c>
      <c r="K88" s="16" t="n">
        <v>100</v>
      </c>
      <c r="L88" s="16" t="n">
        <v>100</v>
      </c>
      <c r="M88" s="16" t="n">
        <v>100</v>
      </c>
      <c r="N88" s="4">
        <f>Работы!S90</f>
        <v/>
      </c>
      <c r="O88" s="4">
        <f>Работы!R90</f>
        <v/>
      </c>
      <c r="P88" s="16" t="n">
        <v>100</v>
      </c>
      <c r="Q88" s="16" t="n">
        <v>100</v>
      </c>
      <c r="R88" s="16" t="n">
        <v>100</v>
      </c>
      <c r="S88" s="16" t="n">
        <v>100</v>
      </c>
      <c r="T88" s="16" t="n">
        <v>100</v>
      </c>
      <c r="U88" s="16" t="n">
        <v>100</v>
      </c>
      <c r="V88" s="16" t="n">
        <v>100</v>
      </c>
      <c r="W88" s="16" t="n">
        <v>100</v>
      </c>
      <c r="X88" s="16" t="n">
        <v>100</v>
      </c>
      <c r="Y88" s="16" t="n">
        <v>100</v>
      </c>
      <c r="Z88" s="16" t="n">
        <v>100</v>
      </c>
      <c r="AA88" s="16" t="n">
        <v>100</v>
      </c>
    </row>
    <row r="89">
      <c r="A89" s="3" t="inlineStr">
        <is>
          <t>Фурнетура дверная</t>
        </is>
      </c>
      <c r="B89" s="3" t="inlineStr">
        <is>
          <t>Прочее</t>
        </is>
      </c>
      <c r="C89" s="3" t="inlineStr">
        <is>
          <t>Замена</t>
        </is>
      </c>
      <c r="D89" s="3" t="inlineStr">
        <is>
          <t>Наличники дверные пвх</t>
        </is>
      </c>
      <c r="E89" s="4">
        <f>N89+O89</f>
        <v/>
      </c>
      <c r="F89" s="3" t="inlineStr">
        <is>
          <t>м.п.</t>
        </is>
      </c>
      <c r="G89" s="4">
        <f>IFERROR('[1]Лист1'!G89,100)</f>
        <v/>
      </c>
      <c r="H89" s="16" t="n">
        <v>100</v>
      </c>
      <c r="I89" s="16" t="n">
        <v>100</v>
      </c>
      <c r="J89" s="16" t="n">
        <v>100</v>
      </c>
      <c r="K89" s="16" t="n">
        <v>100</v>
      </c>
      <c r="L89" s="16" t="n">
        <v>100</v>
      </c>
      <c r="M89" s="16" t="n">
        <v>100</v>
      </c>
      <c r="N89" s="4">
        <f>Работы!S91</f>
        <v/>
      </c>
      <c r="O89" s="4">
        <f>Работы!R91</f>
        <v/>
      </c>
      <c r="P89" s="16" t="n">
        <v>100</v>
      </c>
      <c r="Q89" s="16" t="n">
        <v>100</v>
      </c>
      <c r="R89" s="16" t="n">
        <v>100</v>
      </c>
      <c r="S89" s="16" t="n">
        <v>100</v>
      </c>
      <c r="T89" s="16" t="n">
        <v>100</v>
      </c>
      <c r="U89" s="16" t="n">
        <v>100</v>
      </c>
      <c r="V89" s="16" t="n">
        <v>100</v>
      </c>
      <c r="W89" s="16" t="n">
        <v>100</v>
      </c>
      <c r="X89" s="16" t="n">
        <v>100</v>
      </c>
      <c r="Y89" s="16" t="n">
        <v>100</v>
      </c>
      <c r="Z89" s="16" t="n">
        <v>100</v>
      </c>
      <c r="AA89" s="16" t="n">
        <v>100</v>
      </c>
    </row>
    <row r="90">
      <c r="A90" s="3" t="inlineStr">
        <is>
          <t>Фурнетура дверная</t>
        </is>
      </c>
      <c r="B90" s="3" t="inlineStr">
        <is>
          <t>Прочее</t>
        </is>
      </c>
      <c r="C90" s="3" t="inlineStr">
        <is>
          <t>Замена</t>
        </is>
      </c>
      <c r="D90" s="3" t="inlineStr">
        <is>
          <t>Засов дверной (Москва-№6)</t>
        </is>
      </c>
      <c r="E90" s="4">
        <f>N90+O90</f>
        <v/>
      </c>
      <c r="F90" s="3" t="inlineStr">
        <is>
          <t>шт.</t>
        </is>
      </c>
      <c r="G90" s="4">
        <f>IFERROR('[1]Лист1'!G90,100)</f>
        <v/>
      </c>
      <c r="H90" s="16" t="n">
        <v>100</v>
      </c>
      <c r="I90" s="16" t="n">
        <v>100</v>
      </c>
      <c r="J90" s="16" t="n">
        <v>100</v>
      </c>
      <c r="K90" s="16" t="n">
        <v>100</v>
      </c>
      <c r="L90" s="16" t="n">
        <v>100</v>
      </c>
      <c r="M90" s="16" t="n">
        <v>100</v>
      </c>
      <c r="N90" s="4">
        <f>Работы!S92</f>
        <v/>
      </c>
      <c r="O90" s="4">
        <f>Работы!R92</f>
        <v/>
      </c>
      <c r="P90" s="16" t="n">
        <v>100</v>
      </c>
      <c r="Q90" s="16" t="n">
        <v>100</v>
      </c>
      <c r="R90" s="16" t="n">
        <v>100</v>
      </c>
      <c r="S90" s="16" t="n">
        <v>100</v>
      </c>
      <c r="T90" s="16" t="n">
        <v>100</v>
      </c>
      <c r="U90" s="16" t="n">
        <v>100</v>
      </c>
      <c r="V90" s="16" t="n">
        <v>100</v>
      </c>
      <c r="W90" s="16" t="n">
        <v>100</v>
      </c>
      <c r="X90" s="16" t="n">
        <v>100</v>
      </c>
      <c r="Y90" s="16" t="n">
        <v>100</v>
      </c>
      <c r="Z90" s="16" t="n">
        <v>100</v>
      </c>
      <c r="AA90" s="16" t="n">
        <v>100</v>
      </c>
    </row>
    <row r="91">
      <c r="A91" s="3" t="inlineStr">
        <is>
          <t>Фурнетура дверная</t>
        </is>
      </c>
      <c r="B91" s="3" t="inlineStr">
        <is>
          <t>Прочее</t>
        </is>
      </c>
      <c r="C91" s="3" t="inlineStr">
        <is>
          <t>Замена</t>
        </is>
      </c>
      <c r="D91" s="3" t="inlineStr">
        <is>
          <t>Упор дверной напольный "Крит" УД-П60/50-Цн</t>
        </is>
      </c>
      <c r="E91" s="4">
        <f>N91+O91</f>
        <v/>
      </c>
      <c r="F91" s="3" t="inlineStr">
        <is>
          <t>шт.</t>
        </is>
      </c>
      <c r="G91" s="4">
        <f>IFERROR('[1]Лист1'!G91,100)</f>
        <v/>
      </c>
      <c r="H91" s="16" t="n">
        <v>100</v>
      </c>
      <c r="I91" s="16" t="n">
        <v>100</v>
      </c>
      <c r="J91" s="16" t="n">
        <v>100</v>
      </c>
      <c r="K91" s="16" t="n">
        <v>100</v>
      </c>
      <c r="L91" s="16" t="n">
        <v>100</v>
      </c>
      <c r="M91" s="16" t="n">
        <v>100</v>
      </c>
      <c r="N91" s="4">
        <f>Работы!S93</f>
        <v/>
      </c>
      <c r="O91" s="4">
        <f>Работы!R93</f>
        <v/>
      </c>
      <c r="P91" s="16" t="n">
        <v>100</v>
      </c>
      <c r="Q91" s="16" t="n">
        <v>100</v>
      </c>
      <c r="R91" s="16" t="n">
        <v>100</v>
      </c>
      <c r="S91" s="16" t="n">
        <v>100</v>
      </c>
      <c r="T91" s="16" t="n">
        <v>100</v>
      </c>
      <c r="U91" s="16" t="n">
        <v>100</v>
      </c>
      <c r="V91" s="16" t="n">
        <v>100</v>
      </c>
      <c r="W91" s="16" t="n">
        <v>100</v>
      </c>
      <c r="X91" s="16" t="n">
        <v>100</v>
      </c>
      <c r="Y91" s="16" t="n">
        <v>100</v>
      </c>
      <c r="Z91" s="16" t="n">
        <v>100</v>
      </c>
      <c r="AA91" s="16" t="n">
        <v>100</v>
      </c>
    </row>
    <row r="92">
      <c r="A92" s="3" t="inlineStr">
        <is>
          <t>Фурнетура дверная</t>
        </is>
      </c>
      <c r="B92" s="3" t="inlineStr">
        <is>
          <t>Прочее</t>
        </is>
      </c>
      <c r="C92" s="3" t="inlineStr">
        <is>
          <t>Замена</t>
        </is>
      </c>
      <c r="D92" s="3" t="inlineStr">
        <is>
          <t>Фиксатор (стопор) открытого положения двери типа Palladium "КН" (любой цвет по RAL)</t>
        </is>
      </c>
      <c r="E92" s="4">
        <f>N92+O92</f>
        <v/>
      </c>
      <c r="F92" s="3" t="inlineStr">
        <is>
          <t>шт.</t>
        </is>
      </c>
      <c r="G92" s="4">
        <f>IFERROR('[1]Лист1'!G92,100)</f>
        <v/>
      </c>
      <c r="H92" s="16" t="n">
        <v>100</v>
      </c>
      <c r="I92" s="16" t="n">
        <v>100</v>
      </c>
      <c r="J92" s="16" t="n">
        <v>100</v>
      </c>
      <c r="K92" s="16" t="n">
        <v>100</v>
      </c>
      <c r="L92" s="16" t="n">
        <v>100</v>
      </c>
      <c r="M92" s="16" t="n">
        <v>100</v>
      </c>
      <c r="N92" s="4">
        <f>Работы!S94</f>
        <v/>
      </c>
      <c r="O92" s="4">
        <f>Работы!R94</f>
        <v/>
      </c>
      <c r="P92" s="16" t="n">
        <v>100</v>
      </c>
      <c r="Q92" s="16" t="n">
        <v>100</v>
      </c>
      <c r="R92" s="16" t="n">
        <v>100</v>
      </c>
      <c r="S92" s="16" t="n">
        <v>100</v>
      </c>
      <c r="T92" s="16" t="n">
        <v>100</v>
      </c>
      <c r="U92" s="16" t="n">
        <v>100</v>
      </c>
      <c r="V92" s="16" t="n">
        <v>100</v>
      </c>
      <c r="W92" s="16" t="n">
        <v>100</v>
      </c>
      <c r="X92" s="16" t="n">
        <v>100</v>
      </c>
      <c r="Y92" s="16" t="n">
        <v>100</v>
      </c>
      <c r="Z92" s="16" t="n">
        <v>100</v>
      </c>
      <c r="AA92" s="16" t="n">
        <v>100</v>
      </c>
    </row>
    <row r="93">
      <c r="A93" s="3" t="inlineStr">
        <is>
          <t>Фурнетура дверная</t>
        </is>
      </c>
      <c r="B93" s="3" t="inlineStr">
        <is>
          <t>Прочее</t>
        </is>
      </c>
      <c r="C93" s="3" t="inlineStr">
        <is>
          <t>Замена</t>
        </is>
      </c>
      <c r="D93" s="3" t="inlineStr">
        <is>
          <t>Концевой выключатель кнопочного типа "Elfin limit switch 050f02"</t>
        </is>
      </c>
      <c r="E93" s="4">
        <f>N93+O93</f>
        <v/>
      </c>
      <c r="F93" s="3" t="inlineStr">
        <is>
          <t>шт.</t>
        </is>
      </c>
      <c r="G93" s="4">
        <f>IFERROR('[1]Лист1'!G93,100)</f>
        <v/>
      </c>
      <c r="H93" s="16" t="n">
        <v>100</v>
      </c>
      <c r="I93" s="16" t="n">
        <v>100</v>
      </c>
      <c r="J93" s="16" t="n">
        <v>100</v>
      </c>
      <c r="K93" s="16" t="n">
        <v>100</v>
      </c>
      <c r="L93" s="16" t="n">
        <v>100</v>
      </c>
      <c r="M93" s="16" t="n">
        <v>100</v>
      </c>
      <c r="N93" s="4">
        <f>Работы!S95</f>
        <v/>
      </c>
      <c r="O93" s="4">
        <f>Работы!R95</f>
        <v/>
      </c>
      <c r="P93" s="16" t="n">
        <v>100</v>
      </c>
      <c r="Q93" s="16" t="n">
        <v>100</v>
      </c>
      <c r="R93" s="16" t="n">
        <v>100</v>
      </c>
      <c r="S93" s="16" t="n">
        <v>100</v>
      </c>
      <c r="T93" s="16" t="n">
        <v>100</v>
      </c>
      <c r="U93" s="16" t="n">
        <v>100</v>
      </c>
      <c r="V93" s="16" t="n">
        <v>100</v>
      </c>
      <c r="W93" s="16" t="n">
        <v>100</v>
      </c>
      <c r="X93" s="16" t="n">
        <v>100</v>
      </c>
      <c r="Y93" s="16" t="n">
        <v>100</v>
      </c>
      <c r="Z93" s="16" t="n">
        <v>100</v>
      </c>
      <c r="AA93" s="16" t="n">
        <v>100</v>
      </c>
    </row>
    <row r="94">
      <c r="A94" s="3" t="inlineStr">
        <is>
          <t>Фурнетура дверная</t>
        </is>
      </c>
      <c r="B94" s="3" t="inlineStr">
        <is>
          <t>Петля</t>
        </is>
      </c>
      <c r="C94" s="3" t="inlineStr">
        <is>
          <t>Замена</t>
        </is>
      </c>
      <c r="D94" s="3" t="inlineStr">
        <is>
          <t>Петля СТН (белая) "Сатурн"</t>
        </is>
      </c>
      <c r="E94" s="4">
        <f>N94+O94</f>
        <v/>
      </c>
      <c r="F94" s="3" t="inlineStr">
        <is>
          <t>шт.</t>
        </is>
      </c>
      <c r="G94" s="4">
        <f>IFERROR('[1]Лист1'!G94,100)</f>
        <v/>
      </c>
      <c r="H94" s="16" t="n">
        <v>100</v>
      </c>
      <c r="I94" s="16" t="n">
        <v>100</v>
      </c>
      <c r="J94" s="16" t="n">
        <v>100</v>
      </c>
      <c r="K94" s="16" t="n">
        <v>100</v>
      </c>
      <c r="L94" s="16" t="n">
        <v>100</v>
      </c>
      <c r="M94" s="16" t="n">
        <v>100</v>
      </c>
      <c r="N94" s="4">
        <f>Работы!S96</f>
        <v/>
      </c>
      <c r="O94" s="4">
        <f>Работы!R96</f>
        <v/>
      </c>
      <c r="P94" s="16" t="n">
        <v>100</v>
      </c>
      <c r="Q94" s="16" t="n">
        <v>100</v>
      </c>
      <c r="R94" s="16" t="n">
        <v>100</v>
      </c>
      <c r="S94" s="16" t="n">
        <v>100</v>
      </c>
      <c r="T94" s="16" t="n">
        <v>100</v>
      </c>
      <c r="U94" s="16" t="n">
        <v>100</v>
      </c>
      <c r="V94" s="16" t="n">
        <v>100</v>
      </c>
      <c r="W94" s="16" t="n">
        <v>100</v>
      </c>
      <c r="X94" s="16" t="n">
        <v>100</v>
      </c>
      <c r="Y94" s="16" t="n">
        <v>100</v>
      </c>
      <c r="Z94" s="16" t="n">
        <v>100</v>
      </c>
      <c r="AA94" s="16" t="n">
        <v>100</v>
      </c>
    </row>
    <row r="95">
      <c r="A95" s="3" t="inlineStr">
        <is>
          <t>Фурнетура дверная</t>
        </is>
      </c>
      <c r="B95" s="3" t="inlineStr">
        <is>
          <t>Петля</t>
        </is>
      </c>
      <c r="C95" s="3" t="inlineStr">
        <is>
          <t>Замена</t>
        </is>
      </c>
      <c r="D95" s="3" t="inlineStr">
        <is>
          <t>Петля дверная трёхсекционная с крепежом</t>
        </is>
      </c>
      <c r="E95" s="4">
        <f>N95+O95</f>
        <v/>
      </c>
      <c r="F95" s="3" t="inlineStr">
        <is>
          <t>шт.</t>
        </is>
      </c>
      <c r="G95" s="4">
        <f>IFERROR('[1]Лист1'!G95,100)</f>
        <v/>
      </c>
      <c r="H95" s="16" t="n">
        <v>100</v>
      </c>
      <c r="I95" s="16" t="n">
        <v>100</v>
      </c>
      <c r="J95" s="16" t="n">
        <v>100</v>
      </c>
      <c r="K95" s="16" t="n">
        <v>100</v>
      </c>
      <c r="L95" s="16" t="n">
        <v>100</v>
      </c>
      <c r="M95" s="16" t="n">
        <v>100</v>
      </c>
      <c r="N95" s="4">
        <f>Работы!S97</f>
        <v/>
      </c>
      <c r="O95" s="4">
        <f>Работы!R97</f>
        <v/>
      </c>
      <c r="P95" s="16" t="n">
        <v>100</v>
      </c>
      <c r="Q95" s="16" t="n">
        <v>100</v>
      </c>
      <c r="R95" s="16" t="n">
        <v>100</v>
      </c>
      <c r="S95" s="16" t="n">
        <v>100</v>
      </c>
      <c r="T95" s="16" t="n">
        <v>100</v>
      </c>
      <c r="U95" s="16" t="n">
        <v>100</v>
      </c>
      <c r="V95" s="16" t="n">
        <v>100</v>
      </c>
      <c r="W95" s="16" t="n">
        <v>100</v>
      </c>
      <c r="X95" s="16" t="n">
        <v>100</v>
      </c>
      <c r="Y95" s="16" t="n">
        <v>100</v>
      </c>
      <c r="Z95" s="16" t="n">
        <v>100</v>
      </c>
      <c r="AA95" s="16" t="n">
        <v>100</v>
      </c>
    </row>
    <row r="96">
      <c r="A96" s="3" t="inlineStr">
        <is>
          <t>Фурнетура дверная</t>
        </is>
      </c>
      <c r="B96" s="3" t="inlineStr">
        <is>
          <t>Петля</t>
        </is>
      </c>
      <c r="C96" s="3" t="inlineStr">
        <is>
          <t>Замена</t>
        </is>
      </c>
      <c r="D96" s="3" t="inlineStr">
        <is>
          <t>Петля типа FT 65</t>
        </is>
      </c>
      <c r="E96" s="4">
        <f>N96+O96</f>
        <v/>
      </c>
      <c r="F96" s="3" t="inlineStr">
        <is>
          <t>шт.</t>
        </is>
      </c>
      <c r="G96" s="4">
        <f>IFERROR('[1]Лист1'!G96,100)</f>
        <v/>
      </c>
      <c r="H96" s="16" t="n">
        <v>100</v>
      </c>
      <c r="I96" s="16" t="n">
        <v>100</v>
      </c>
      <c r="J96" s="16" t="n">
        <v>100</v>
      </c>
      <c r="K96" s="16" t="n">
        <v>100</v>
      </c>
      <c r="L96" s="16" t="n">
        <v>100</v>
      </c>
      <c r="M96" s="16" t="n">
        <v>100</v>
      </c>
      <c r="N96" s="4">
        <f>Работы!S98</f>
        <v/>
      </c>
      <c r="O96" s="4">
        <f>Работы!R98</f>
        <v/>
      </c>
      <c r="P96" s="16" t="n">
        <v>100</v>
      </c>
      <c r="Q96" s="16" t="n">
        <v>100</v>
      </c>
      <c r="R96" s="16" t="n">
        <v>100</v>
      </c>
      <c r="S96" s="16" t="n">
        <v>100</v>
      </c>
      <c r="T96" s="16" t="n">
        <v>100</v>
      </c>
      <c r="U96" s="16" t="n">
        <v>100</v>
      </c>
      <c r="V96" s="16" t="n">
        <v>100</v>
      </c>
      <c r="W96" s="16" t="n">
        <v>100</v>
      </c>
      <c r="X96" s="16" t="n">
        <v>100</v>
      </c>
      <c r="Y96" s="16" t="n">
        <v>100</v>
      </c>
      <c r="Z96" s="16" t="n">
        <v>100</v>
      </c>
      <c r="AA96" s="16" t="n">
        <v>100</v>
      </c>
    </row>
    <row r="97">
      <c r="A97" s="3" t="inlineStr">
        <is>
          <t>Фурнетура дверная</t>
        </is>
      </c>
      <c r="B97" s="3" t="inlineStr">
        <is>
          <t>Петля</t>
        </is>
      </c>
      <c r="C97" s="3" t="inlineStr">
        <is>
          <t>Замена</t>
        </is>
      </c>
      <c r="D97" s="3" t="inlineStr">
        <is>
          <t>Петля карточная типа Amig-1007-100*70 (латунь) универс.</t>
        </is>
      </c>
      <c r="E97" s="4">
        <f>N97+O97</f>
        <v/>
      </c>
      <c r="F97" s="3" t="inlineStr">
        <is>
          <t>шт.</t>
        </is>
      </c>
      <c r="G97" s="4">
        <f>IFERROR('[1]Лист1'!G97,100)</f>
        <v/>
      </c>
      <c r="H97" s="16" t="n">
        <v>100</v>
      </c>
      <c r="I97" s="16" t="n">
        <v>100</v>
      </c>
      <c r="J97" s="16" t="n">
        <v>100</v>
      </c>
      <c r="K97" s="16" t="n">
        <v>100</v>
      </c>
      <c r="L97" s="16" t="n">
        <v>100</v>
      </c>
      <c r="M97" s="16" t="n">
        <v>100</v>
      </c>
      <c r="N97" s="4">
        <f>Работы!S99</f>
        <v/>
      </c>
      <c r="O97" s="4">
        <f>Работы!R99</f>
        <v/>
      </c>
      <c r="P97" s="16" t="n">
        <v>100</v>
      </c>
      <c r="Q97" s="16" t="n">
        <v>100</v>
      </c>
      <c r="R97" s="16" t="n">
        <v>100</v>
      </c>
      <c r="S97" s="16" t="n">
        <v>100</v>
      </c>
      <c r="T97" s="16" t="n">
        <v>100</v>
      </c>
      <c r="U97" s="16" t="n">
        <v>100</v>
      </c>
      <c r="V97" s="16" t="n">
        <v>100</v>
      </c>
      <c r="W97" s="16" t="n">
        <v>100</v>
      </c>
      <c r="X97" s="16" t="n">
        <v>100</v>
      </c>
      <c r="Y97" s="16" t="n">
        <v>100</v>
      </c>
      <c r="Z97" s="16" t="n">
        <v>100</v>
      </c>
      <c r="AA97" s="16" t="n">
        <v>100</v>
      </c>
    </row>
    <row r="98">
      <c r="A98" s="3" t="inlineStr">
        <is>
          <t>Фурнетура дверная</t>
        </is>
      </c>
      <c r="B98" s="3" t="inlineStr">
        <is>
          <t>Петля</t>
        </is>
      </c>
      <c r="C98" s="3" t="inlineStr">
        <is>
          <t>Замена</t>
        </is>
      </c>
      <c r="D98" s="3" t="inlineStr">
        <is>
          <t>Петля карточная типа Apecs 120*80-F-B4-Steel-CR(хром)</t>
        </is>
      </c>
      <c r="E98" s="4">
        <f>N98+O98</f>
        <v/>
      </c>
      <c r="F98" s="3" t="inlineStr">
        <is>
          <t>шт.</t>
        </is>
      </c>
      <c r="G98" s="4">
        <f>IFERROR('[1]Лист1'!G98,100)</f>
        <v/>
      </c>
      <c r="H98" s="16" t="n">
        <v>100</v>
      </c>
      <c r="I98" s="16" t="n">
        <v>100</v>
      </c>
      <c r="J98" s="16" t="n">
        <v>100</v>
      </c>
      <c r="K98" s="16" t="n">
        <v>100</v>
      </c>
      <c r="L98" s="16" t="n">
        <v>100</v>
      </c>
      <c r="M98" s="16" t="n">
        <v>100</v>
      </c>
      <c r="N98" s="4">
        <f>Работы!S100</f>
        <v/>
      </c>
      <c r="O98" s="4">
        <f>Работы!R100</f>
        <v/>
      </c>
      <c r="P98" s="16" t="n">
        <v>100</v>
      </c>
      <c r="Q98" s="16" t="n">
        <v>100</v>
      </c>
      <c r="R98" s="16" t="n">
        <v>100</v>
      </c>
      <c r="S98" s="16" t="n">
        <v>100</v>
      </c>
      <c r="T98" s="16" t="n">
        <v>100</v>
      </c>
      <c r="U98" s="16" t="n">
        <v>100</v>
      </c>
      <c r="V98" s="16" t="n">
        <v>100</v>
      </c>
      <c r="W98" s="16" t="n">
        <v>100</v>
      </c>
      <c r="X98" s="16" t="n">
        <v>100</v>
      </c>
      <c r="Y98" s="16" t="n">
        <v>100</v>
      </c>
      <c r="Z98" s="16" t="n">
        <v>100</v>
      </c>
      <c r="AA98" s="16" t="n">
        <v>100</v>
      </c>
    </row>
    <row r="99">
      <c r="A99" s="3" t="inlineStr">
        <is>
          <t>Фурнетура дверная</t>
        </is>
      </c>
      <c r="B99" s="3" t="inlineStr">
        <is>
          <t>Петля</t>
        </is>
      </c>
      <c r="C99" s="3" t="inlineStr">
        <is>
          <t>Замена</t>
        </is>
      </c>
      <c r="D99" s="3" t="inlineStr">
        <is>
          <t>Петля под навесной замок</t>
        </is>
      </c>
      <c r="E99" s="4">
        <f>N99+O99</f>
        <v/>
      </c>
      <c r="F99" s="3" t="inlineStr">
        <is>
          <t>шт.</t>
        </is>
      </c>
      <c r="G99" s="4">
        <f>IFERROR('[1]Лист1'!G99,100)</f>
        <v/>
      </c>
      <c r="H99" s="16" t="n">
        <v>100</v>
      </c>
      <c r="I99" s="16" t="n">
        <v>100</v>
      </c>
      <c r="J99" s="16" t="n">
        <v>100</v>
      </c>
      <c r="K99" s="16" t="n">
        <v>100</v>
      </c>
      <c r="L99" s="16" t="n">
        <v>100</v>
      </c>
      <c r="M99" s="16" t="n">
        <v>100</v>
      </c>
      <c r="N99" s="4">
        <f>Работы!S101</f>
        <v/>
      </c>
      <c r="O99" s="4">
        <f>Работы!R101</f>
        <v/>
      </c>
      <c r="P99" s="16" t="n">
        <v>100</v>
      </c>
      <c r="Q99" s="16" t="n">
        <v>100</v>
      </c>
      <c r="R99" s="16" t="n">
        <v>100</v>
      </c>
      <c r="S99" s="16" t="n">
        <v>100</v>
      </c>
      <c r="T99" s="16" t="n">
        <v>100</v>
      </c>
      <c r="U99" s="16" t="n">
        <v>100</v>
      </c>
      <c r="V99" s="16" t="n">
        <v>100</v>
      </c>
      <c r="W99" s="16" t="n">
        <v>100</v>
      </c>
      <c r="X99" s="16" t="n">
        <v>100</v>
      </c>
      <c r="Y99" s="16" t="n">
        <v>100</v>
      </c>
      <c r="Z99" s="16" t="n">
        <v>100</v>
      </c>
      <c r="AA99" s="16" t="n">
        <v>100</v>
      </c>
    </row>
    <row r="100">
      <c r="A100" s="3" t="inlineStr">
        <is>
          <t>Фурнетура дверная</t>
        </is>
      </c>
      <c r="B100" s="3" t="inlineStr">
        <is>
          <t>Петля</t>
        </is>
      </c>
      <c r="C100" s="3" t="inlineStr">
        <is>
          <t>Замена</t>
        </is>
      </c>
      <c r="D100" s="3" t="inlineStr">
        <is>
          <t>Металлическая петля под металоконструкцию d16</t>
        </is>
      </c>
      <c r="E100" s="4">
        <f>N100+O100</f>
        <v/>
      </c>
      <c r="F100" s="3" t="inlineStr">
        <is>
          <t>шт.</t>
        </is>
      </c>
      <c r="G100" s="4">
        <f>IFERROR('[1]Лист1'!G100,100)</f>
        <v/>
      </c>
      <c r="H100" s="16" t="n">
        <v>100</v>
      </c>
      <c r="I100" s="16" t="n">
        <v>100</v>
      </c>
      <c r="J100" s="16" t="n">
        <v>100</v>
      </c>
      <c r="K100" s="16" t="n">
        <v>100</v>
      </c>
      <c r="L100" s="16" t="n">
        <v>100</v>
      </c>
      <c r="M100" s="16" t="n">
        <v>100</v>
      </c>
      <c r="N100" s="4">
        <f>Работы!S102</f>
        <v/>
      </c>
      <c r="O100" s="4">
        <f>Работы!R102</f>
        <v/>
      </c>
      <c r="P100" s="16" t="n">
        <v>100</v>
      </c>
      <c r="Q100" s="16" t="n">
        <v>100</v>
      </c>
      <c r="R100" s="16" t="n">
        <v>100</v>
      </c>
      <c r="S100" s="16" t="n">
        <v>100</v>
      </c>
      <c r="T100" s="16" t="n">
        <v>100</v>
      </c>
      <c r="U100" s="16" t="n">
        <v>100</v>
      </c>
      <c r="V100" s="16" t="n">
        <v>100</v>
      </c>
      <c r="W100" s="16" t="n">
        <v>100</v>
      </c>
      <c r="X100" s="16" t="n">
        <v>100</v>
      </c>
      <c r="Y100" s="16" t="n">
        <v>100</v>
      </c>
      <c r="Z100" s="16" t="n">
        <v>100</v>
      </c>
      <c r="AA100" s="16" t="n">
        <v>100</v>
      </c>
    </row>
    <row r="101">
      <c r="A101" s="3" t="inlineStr">
        <is>
          <t>Двери</t>
        </is>
      </c>
      <c r="B101" s="3" t="inlineStr">
        <is>
          <t>Межкомнатные двери</t>
        </is>
      </c>
      <c r="C101" s="3" t="inlineStr">
        <is>
          <t>Замена</t>
        </is>
      </c>
      <c r="D101" s="3" t="inlineStr">
        <is>
          <t>Дверь глухая пластиковая "Капелли", 900х2000, белая, комплект наличников и доборов на две стороны</t>
        </is>
      </c>
      <c r="E101" s="4">
        <f>N101+O101</f>
        <v/>
      </c>
      <c r="F101" s="3" t="inlineStr">
        <is>
          <t>шт.</t>
        </is>
      </c>
      <c r="G101" s="4">
        <f>IFERROR('[1]Лист1'!G101,100)</f>
        <v/>
      </c>
      <c r="H101" s="16" t="n">
        <v>100</v>
      </c>
      <c r="I101" s="16" t="n">
        <v>100</v>
      </c>
      <c r="J101" s="16" t="n">
        <v>100</v>
      </c>
      <c r="K101" s="16" t="n">
        <v>100</v>
      </c>
      <c r="L101" s="16" t="n">
        <v>100</v>
      </c>
      <c r="M101" s="16" t="n">
        <v>100</v>
      </c>
      <c r="N101" s="4">
        <f>Работы!S103</f>
        <v/>
      </c>
      <c r="O101" s="4">
        <f>Работы!R103</f>
        <v/>
      </c>
      <c r="P101" s="16" t="n">
        <v>100</v>
      </c>
      <c r="Q101" s="16" t="n">
        <v>100</v>
      </c>
      <c r="R101" s="16" t="n">
        <v>100</v>
      </c>
      <c r="S101" s="16" t="n">
        <v>100</v>
      </c>
      <c r="T101" s="16" t="n">
        <v>100</v>
      </c>
      <c r="U101" s="16" t="n">
        <v>100</v>
      </c>
      <c r="V101" s="16" t="n">
        <v>100</v>
      </c>
      <c r="W101" s="16" t="n">
        <v>100</v>
      </c>
      <c r="X101" s="16" t="n">
        <v>100</v>
      </c>
      <c r="Y101" s="16" t="n">
        <v>100</v>
      </c>
      <c r="Z101" s="16" t="n">
        <v>100</v>
      </c>
      <c r="AA101" s="16" t="n">
        <v>100</v>
      </c>
    </row>
    <row r="102">
      <c r="A102" s="3" t="inlineStr">
        <is>
          <t>Двери</t>
        </is>
      </c>
      <c r="B102" s="3" t="inlineStr">
        <is>
          <t>Межкомнатные двери</t>
        </is>
      </c>
      <c r="C102" s="3" t="inlineStr">
        <is>
          <t>Замена</t>
        </is>
      </c>
      <c r="D102" s="3" t="inlineStr">
        <is>
          <t>Дверей металлопластиковая одностворчатая глухая 900х2000, комплект наличников и доборов на две стороны</t>
        </is>
      </c>
      <c r="E102" s="4">
        <f>N102+O102</f>
        <v/>
      </c>
      <c r="F102" s="3" t="inlineStr">
        <is>
          <t>шт.</t>
        </is>
      </c>
      <c r="G102" s="4">
        <f>IFERROR('[1]Лист1'!G102,100)</f>
        <v/>
      </c>
      <c r="H102" s="16" t="n">
        <v>100</v>
      </c>
      <c r="I102" s="16" t="n">
        <v>100</v>
      </c>
      <c r="J102" s="16" t="n">
        <v>100</v>
      </c>
      <c r="K102" s="16" t="n">
        <v>100</v>
      </c>
      <c r="L102" s="16" t="n">
        <v>100</v>
      </c>
      <c r="M102" s="16" t="n">
        <v>100</v>
      </c>
      <c r="N102" s="4">
        <f>Работы!S104</f>
        <v/>
      </c>
      <c r="O102" s="4">
        <f>Работы!R104</f>
        <v/>
      </c>
      <c r="P102" s="16" t="n">
        <v>100</v>
      </c>
      <c r="Q102" s="16" t="n">
        <v>100</v>
      </c>
      <c r="R102" s="16" t="n">
        <v>100</v>
      </c>
      <c r="S102" s="16" t="n">
        <v>100</v>
      </c>
      <c r="T102" s="16" t="n">
        <v>100</v>
      </c>
      <c r="U102" s="16" t="n">
        <v>100</v>
      </c>
      <c r="V102" s="16" t="n">
        <v>100</v>
      </c>
      <c r="W102" s="16" t="n">
        <v>100</v>
      </c>
      <c r="X102" s="16" t="n">
        <v>100</v>
      </c>
      <c r="Y102" s="16" t="n">
        <v>100</v>
      </c>
      <c r="Z102" s="16" t="n">
        <v>100</v>
      </c>
      <c r="AA102" s="16" t="n">
        <v>100</v>
      </c>
    </row>
    <row r="103">
      <c r="A103" s="3" t="inlineStr">
        <is>
          <t>Двери</t>
        </is>
      </c>
      <c r="B103" s="3" t="inlineStr">
        <is>
          <t>Межкомнатные двери</t>
        </is>
      </c>
      <c r="C103" s="3" t="inlineStr">
        <is>
          <t>Замена</t>
        </is>
      </c>
      <c r="D103" s="3" t="inlineStr">
        <is>
          <t>Двери однопольные деревянные гладкие (типа Alavus, mod 200) размер полотна:  725х2040 мм Цвет  -  белый,  RAL-9016.  9010 Дверные стопоры (ограничители)- настенные.</t>
        </is>
      </c>
      <c r="E103" s="4">
        <f>N103+O103</f>
        <v/>
      </c>
      <c r="F103" s="3" t="inlineStr">
        <is>
          <t>шт.</t>
        </is>
      </c>
      <c r="G103" s="4">
        <f>IFERROR('[1]Лист1'!G103,100)</f>
        <v/>
      </c>
      <c r="H103" s="16" t="n">
        <v>100</v>
      </c>
      <c r="I103" s="16" t="n">
        <v>100</v>
      </c>
      <c r="J103" s="16" t="n">
        <v>100</v>
      </c>
      <c r="K103" s="16" t="n">
        <v>100</v>
      </c>
      <c r="L103" s="16" t="n">
        <v>100</v>
      </c>
      <c r="M103" s="16" t="n">
        <v>100</v>
      </c>
      <c r="N103" s="4">
        <f>Работы!S105</f>
        <v/>
      </c>
      <c r="O103" s="4">
        <f>Работы!R105</f>
        <v/>
      </c>
      <c r="P103" s="16" t="n">
        <v>100</v>
      </c>
      <c r="Q103" s="16" t="n">
        <v>100</v>
      </c>
      <c r="R103" s="16" t="n">
        <v>100</v>
      </c>
      <c r="S103" s="16" t="n">
        <v>100</v>
      </c>
      <c r="T103" s="16" t="n">
        <v>100</v>
      </c>
      <c r="U103" s="16" t="n">
        <v>100</v>
      </c>
      <c r="V103" s="16" t="n">
        <v>100</v>
      </c>
      <c r="W103" s="16" t="n">
        <v>100</v>
      </c>
      <c r="X103" s="16" t="n">
        <v>100</v>
      </c>
      <c r="Y103" s="16" t="n">
        <v>100</v>
      </c>
      <c r="Z103" s="16" t="n">
        <v>100</v>
      </c>
      <c r="AA103" s="16" t="n">
        <v>100</v>
      </c>
    </row>
    <row r="104">
      <c r="A104" s="3" t="inlineStr">
        <is>
          <t>Двери</t>
        </is>
      </c>
      <c r="B104" s="3" t="inlineStr">
        <is>
          <t>Межкомнатные двери</t>
        </is>
      </c>
      <c r="C104" s="3" t="inlineStr">
        <is>
          <t>Замена</t>
        </is>
      </c>
      <c r="D104" s="3" t="inlineStr">
        <is>
          <t>Двери однопольные деревянные гладкие (типа Alavus, mod 200) размер полотна:  825х2040 мм Цвет  -  белый,  RAL-9016.  9010 Дверные стопоры (ограничители)- настенные.</t>
        </is>
      </c>
      <c r="E104" s="4">
        <f>N104+O104</f>
        <v/>
      </c>
      <c r="F104" s="3" t="inlineStr">
        <is>
          <t>шт.</t>
        </is>
      </c>
      <c r="G104" s="4">
        <f>IFERROR('[1]Лист1'!G104,100)</f>
        <v/>
      </c>
      <c r="H104" s="16" t="n">
        <v>100</v>
      </c>
      <c r="I104" s="16" t="n">
        <v>100</v>
      </c>
      <c r="J104" s="16" t="n">
        <v>100</v>
      </c>
      <c r="K104" s="16" t="n">
        <v>100</v>
      </c>
      <c r="L104" s="16" t="n">
        <v>100</v>
      </c>
      <c r="M104" s="16" t="n">
        <v>100</v>
      </c>
      <c r="N104" s="4">
        <f>Работы!S106</f>
        <v/>
      </c>
      <c r="O104" s="4">
        <f>Работы!R106</f>
        <v/>
      </c>
      <c r="P104" s="16" t="n">
        <v>100</v>
      </c>
      <c r="Q104" s="16" t="n">
        <v>100</v>
      </c>
      <c r="R104" s="16" t="n">
        <v>100</v>
      </c>
      <c r="S104" s="16" t="n">
        <v>100</v>
      </c>
      <c r="T104" s="16" t="n">
        <v>100</v>
      </c>
      <c r="U104" s="16" t="n">
        <v>100</v>
      </c>
      <c r="V104" s="16" t="n">
        <v>100</v>
      </c>
      <c r="W104" s="16" t="n">
        <v>100</v>
      </c>
      <c r="X104" s="16" t="n">
        <v>100</v>
      </c>
      <c r="Y104" s="16" t="n">
        <v>100</v>
      </c>
      <c r="Z104" s="16" t="n">
        <v>100</v>
      </c>
      <c r="AA104" s="16" t="n">
        <v>100</v>
      </c>
    </row>
    <row r="105">
      <c r="A105" s="3" t="inlineStr">
        <is>
          <t>Двери</t>
        </is>
      </c>
      <c r="B105" s="3" t="inlineStr">
        <is>
          <t>Межкомнатные двери</t>
        </is>
      </c>
      <c r="C105" s="3" t="inlineStr">
        <is>
          <t>Замена</t>
        </is>
      </c>
      <c r="D105" s="3" t="inlineStr">
        <is>
          <t>Двери однопольные деревянные гладкие (типа Alavus, mod 200) размер полотна:  925х2040 мм Цвет  -  белый,  RAL-9016.  9010 Дверные стопоры (ограничители)- настенные.</t>
        </is>
      </c>
      <c r="E105" s="4">
        <f>N105+O105</f>
        <v/>
      </c>
      <c r="F105" s="3" t="inlineStr">
        <is>
          <t>шт.</t>
        </is>
      </c>
      <c r="G105" s="4">
        <f>IFERROR('[1]Лист1'!G105,100)</f>
        <v/>
      </c>
      <c r="H105" s="16" t="n">
        <v>100</v>
      </c>
      <c r="I105" s="16" t="n">
        <v>100</v>
      </c>
      <c r="J105" s="16" t="n">
        <v>100</v>
      </c>
      <c r="K105" s="16" t="n">
        <v>100</v>
      </c>
      <c r="L105" s="16" t="n">
        <v>100</v>
      </c>
      <c r="M105" s="16" t="n">
        <v>100</v>
      </c>
      <c r="N105" s="4">
        <f>Работы!S107</f>
        <v/>
      </c>
      <c r="O105" s="4">
        <f>Работы!R107</f>
        <v/>
      </c>
      <c r="P105" s="16" t="n">
        <v>100</v>
      </c>
      <c r="Q105" s="16" t="n">
        <v>100</v>
      </c>
      <c r="R105" s="16" t="n">
        <v>100</v>
      </c>
      <c r="S105" s="16" t="n">
        <v>100</v>
      </c>
      <c r="T105" s="16" t="n">
        <v>100</v>
      </c>
      <c r="U105" s="16" t="n">
        <v>100</v>
      </c>
      <c r="V105" s="16" t="n">
        <v>100</v>
      </c>
      <c r="W105" s="16" t="n">
        <v>100</v>
      </c>
      <c r="X105" s="16" t="n">
        <v>100</v>
      </c>
      <c r="Y105" s="16" t="n">
        <v>100</v>
      </c>
      <c r="Z105" s="16" t="n">
        <v>100</v>
      </c>
      <c r="AA105" s="16" t="n">
        <v>100</v>
      </c>
    </row>
    <row r="106">
      <c r="A106" s="3" t="inlineStr">
        <is>
          <t>Двери</t>
        </is>
      </c>
      <c r="B106" s="3" t="inlineStr">
        <is>
          <t>Межкомнатные двери</t>
        </is>
      </c>
      <c r="C106" s="3" t="inlineStr">
        <is>
          <t>Замена</t>
        </is>
      </c>
      <c r="D106" s="3" t="inlineStr">
        <is>
          <t>Двери однопольные деревянные гладкие (типа Alavus, mod 200) размер полотна:  1025х2040 мм Цвет  -  белый,  RAL-9016.  9010 Дверные стопоры (ограничители)- настенные.</t>
        </is>
      </c>
      <c r="E106" s="4">
        <f>N106+O106</f>
        <v/>
      </c>
      <c r="F106" s="3" t="inlineStr">
        <is>
          <t>шт.</t>
        </is>
      </c>
      <c r="G106" s="4">
        <f>IFERROR('[1]Лист1'!G106,100)</f>
        <v/>
      </c>
      <c r="H106" s="16" t="n">
        <v>100</v>
      </c>
      <c r="I106" s="16" t="n">
        <v>100</v>
      </c>
      <c r="J106" s="16" t="n">
        <v>100</v>
      </c>
      <c r="K106" s="16" t="n">
        <v>100</v>
      </c>
      <c r="L106" s="16" t="n">
        <v>100</v>
      </c>
      <c r="M106" s="16" t="n">
        <v>100</v>
      </c>
      <c r="N106" s="4">
        <f>Работы!S108</f>
        <v/>
      </c>
      <c r="O106" s="4">
        <f>Работы!R108</f>
        <v/>
      </c>
      <c r="P106" s="16" t="n">
        <v>100</v>
      </c>
      <c r="Q106" s="16" t="n">
        <v>100</v>
      </c>
      <c r="R106" s="16" t="n">
        <v>100</v>
      </c>
      <c r="S106" s="16" t="n">
        <v>100</v>
      </c>
      <c r="T106" s="16" t="n">
        <v>100</v>
      </c>
      <c r="U106" s="16" t="n">
        <v>100</v>
      </c>
      <c r="V106" s="16" t="n">
        <v>100</v>
      </c>
      <c r="W106" s="16" t="n">
        <v>100</v>
      </c>
      <c r="X106" s="16" t="n">
        <v>100</v>
      </c>
      <c r="Y106" s="16" t="n">
        <v>100</v>
      </c>
      <c r="Z106" s="16" t="n">
        <v>100</v>
      </c>
      <c r="AA106" s="16" t="n">
        <v>100</v>
      </c>
    </row>
    <row r="107">
      <c r="A107" s="3" t="inlineStr">
        <is>
          <t>Двери</t>
        </is>
      </c>
      <c r="B107" s="3" t="inlineStr">
        <is>
          <t>Межкомнатные двери</t>
        </is>
      </c>
      <c r="C107" s="3" t="inlineStr">
        <is>
          <t>Замена</t>
        </is>
      </c>
      <c r="D107" s="3" t="inlineStr">
        <is>
          <t>Дверь металлическая  противопожарная, изолированная минераловатой (типа Гефест 01) Размер  прохода: 700 х2100мм. Огнестойкость REI-60 (60 мин). Цвет – серый, RAL–7038.Производители: Российские компании Дверные стопоры (ограничители) – напольные.</t>
        </is>
      </c>
      <c r="E107" s="4">
        <f>N107+O107</f>
        <v/>
      </c>
      <c r="F107" s="3" t="inlineStr">
        <is>
          <t>шт.</t>
        </is>
      </c>
      <c r="G107" s="4">
        <f>IFERROR('[1]Лист1'!G107,100)</f>
        <v/>
      </c>
      <c r="H107" s="16" t="n">
        <v>100</v>
      </c>
      <c r="I107" s="16" t="n">
        <v>100</v>
      </c>
      <c r="J107" s="16" t="n">
        <v>100</v>
      </c>
      <c r="K107" s="16" t="n">
        <v>100</v>
      </c>
      <c r="L107" s="16" t="n">
        <v>100</v>
      </c>
      <c r="M107" s="16" t="n">
        <v>100</v>
      </c>
      <c r="N107" s="4">
        <f>Работы!S109</f>
        <v/>
      </c>
      <c r="O107" s="4">
        <f>Работы!R109</f>
        <v/>
      </c>
      <c r="P107" s="16" t="n">
        <v>100</v>
      </c>
      <c r="Q107" s="16" t="n">
        <v>100</v>
      </c>
      <c r="R107" s="16" t="n">
        <v>100</v>
      </c>
      <c r="S107" s="16" t="n">
        <v>100</v>
      </c>
      <c r="T107" s="16" t="n">
        <v>100</v>
      </c>
      <c r="U107" s="16" t="n">
        <v>100</v>
      </c>
      <c r="V107" s="16" t="n">
        <v>100</v>
      </c>
      <c r="W107" s="16" t="n">
        <v>100</v>
      </c>
      <c r="X107" s="16" t="n">
        <v>100</v>
      </c>
      <c r="Y107" s="16" t="n">
        <v>100</v>
      </c>
      <c r="Z107" s="16" t="n">
        <v>100</v>
      </c>
      <c r="AA107" s="16" t="n">
        <v>100</v>
      </c>
    </row>
    <row r="108">
      <c r="A108" s="3" t="inlineStr">
        <is>
          <t>Двери</t>
        </is>
      </c>
      <c r="B108" s="3" t="inlineStr">
        <is>
          <t>Межкомнатные двери</t>
        </is>
      </c>
      <c r="C108" s="3" t="inlineStr">
        <is>
          <t>Замена</t>
        </is>
      </c>
      <c r="D108" s="3" t="inlineStr">
        <is>
          <t>Дверь металлическая  противопожарная, изолированная минераловатой (типа Гефест 01) Размер  прохода: 800 х2100мм. Огнестойкость REI-60 (60 мин). Цвет – серый, RAL–7038.Производители: Российские компании Дверные стопоры (ограничители) – напольные.Производители: Российские компании Дверные стопоры (ограничители) – напольные.</t>
        </is>
      </c>
      <c r="E108" s="4">
        <f>N108+O108</f>
        <v/>
      </c>
      <c r="F108" s="3" t="inlineStr">
        <is>
          <t>шт.</t>
        </is>
      </c>
      <c r="G108" s="4">
        <f>IFERROR('[1]Лист1'!G108,100)</f>
        <v/>
      </c>
      <c r="H108" s="16" t="n">
        <v>100</v>
      </c>
      <c r="I108" s="16" t="n">
        <v>100</v>
      </c>
      <c r="J108" s="16" t="n">
        <v>100</v>
      </c>
      <c r="K108" s="16" t="n">
        <v>100</v>
      </c>
      <c r="L108" s="16" t="n">
        <v>100</v>
      </c>
      <c r="M108" s="16" t="n">
        <v>100</v>
      </c>
      <c r="N108" s="4">
        <f>Работы!S110</f>
        <v/>
      </c>
      <c r="O108" s="4">
        <f>Работы!R110</f>
        <v/>
      </c>
      <c r="P108" s="16" t="n">
        <v>100</v>
      </c>
      <c r="Q108" s="16" t="n">
        <v>100</v>
      </c>
      <c r="R108" s="16" t="n">
        <v>100</v>
      </c>
      <c r="S108" s="16" t="n">
        <v>100</v>
      </c>
      <c r="T108" s="16" t="n">
        <v>100</v>
      </c>
      <c r="U108" s="16" t="n">
        <v>100</v>
      </c>
      <c r="V108" s="16" t="n">
        <v>100</v>
      </c>
      <c r="W108" s="16" t="n">
        <v>100</v>
      </c>
      <c r="X108" s="16" t="n">
        <v>100</v>
      </c>
      <c r="Y108" s="16" t="n">
        <v>100</v>
      </c>
      <c r="Z108" s="16" t="n">
        <v>100</v>
      </c>
      <c r="AA108" s="16" t="n">
        <v>100</v>
      </c>
    </row>
    <row r="109">
      <c r="A109" s="3" t="inlineStr">
        <is>
          <t>Двери</t>
        </is>
      </c>
      <c r="B109" s="3" t="inlineStr">
        <is>
          <t>Межкомнатные двери</t>
        </is>
      </c>
      <c r="C109" s="3" t="inlineStr">
        <is>
          <t>Замена</t>
        </is>
      </c>
      <c r="D109" s="3" t="inlineStr">
        <is>
          <t>Дверь металлическая  противопожарная, изолированная минераловатой (типа Гефест 01) Размер  прохода: 900 х2100мм. Огнестойкость REI-60 (60 мин). Цвет – серый, RAL–7038.Производители: Российские компании Дверные стопоры (ограничители) – напольные.</t>
        </is>
      </c>
      <c r="E109" s="4">
        <f>N109+O109</f>
        <v/>
      </c>
      <c r="F109" s="3" t="inlineStr">
        <is>
          <t>шт.</t>
        </is>
      </c>
      <c r="G109" s="4">
        <f>IFERROR('[1]Лист1'!G109,100)</f>
        <v/>
      </c>
      <c r="H109" s="16" t="n">
        <v>100</v>
      </c>
      <c r="I109" s="16" t="n">
        <v>100</v>
      </c>
      <c r="J109" s="16" t="n">
        <v>100</v>
      </c>
      <c r="K109" s="16" t="n">
        <v>100</v>
      </c>
      <c r="L109" s="16" t="n">
        <v>100</v>
      </c>
      <c r="M109" s="16" t="n">
        <v>100</v>
      </c>
      <c r="N109" s="4">
        <f>Работы!S111</f>
        <v/>
      </c>
      <c r="O109" s="4">
        <f>Работы!R111</f>
        <v/>
      </c>
      <c r="P109" s="16" t="n">
        <v>100</v>
      </c>
      <c r="Q109" s="16" t="n">
        <v>100</v>
      </c>
      <c r="R109" s="16" t="n">
        <v>100</v>
      </c>
      <c r="S109" s="16" t="n">
        <v>100</v>
      </c>
      <c r="T109" s="16" t="n">
        <v>100</v>
      </c>
      <c r="U109" s="16" t="n">
        <v>100</v>
      </c>
      <c r="V109" s="16" t="n">
        <v>100</v>
      </c>
      <c r="W109" s="16" t="n">
        <v>100</v>
      </c>
      <c r="X109" s="16" t="n">
        <v>100</v>
      </c>
      <c r="Y109" s="16" t="n">
        <v>100</v>
      </c>
      <c r="Z109" s="16" t="n">
        <v>100</v>
      </c>
      <c r="AA109" s="16" t="n">
        <v>100</v>
      </c>
    </row>
    <row r="110">
      <c r="A110" s="3" t="inlineStr">
        <is>
          <t>Двери</t>
        </is>
      </c>
      <c r="B110" s="3" t="inlineStr">
        <is>
          <t>Противопожарные двери</t>
        </is>
      </c>
      <c r="C110" s="3" t="inlineStr">
        <is>
          <t>Замена</t>
        </is>
      </c>
      <c r="D110" s="3" t="inlineStr">
        <is>
          <t>Дверь металлическая  противопожарная, изолированная минераловатой (типа Гефест 01) Размер  прохода: 1000 х2100мм. Огнестойкость REI-60 (60 мин). Цвет – серый, RAL–7038.Производители: Российские компании Дверные стопоры (ограничители) – напольные.</t>
        </is>
      </c>
      <c r="E110" s="4">
        <f>N110+O110</f>
        <v/>
      </c>
      <c r="F110" s="3" t="inlineStr">
        <is>
          <t>шт.</t>
        </is>
      </c>
      <c r="G110" s="4">
        <f>IFERROR('[1]Лист1'!G110,100)</f>
        <v/>
      </c>
      <c r="H110" s="16" t="n">
        <v>100</v>
      </c>
      <c r="I110" s="16" t="n">
        <v>100</v>
      </c>
      <c r="J110" s="16" t="n">
        <v>100</v>
      </c>
      <c r="K110" s="16" t="n">
        <v>100</v>
      </c>
      <c r="L110" s="16" t="n">
        <v>100</v>
      </c>
      <c r="M110" s="16" t="n">
        <v>100</v>
      </c>
      <c r="N110" s="4">
        <f>Работы!S112</f>
        <v/>
      </c>
      <c r="O110" s="4">
        <f>Работы!R112</f>
        <v/>
      </c>
      <c r="P110" s="16" t="n">
        <v>100</v>
      </c>
      <c r="Q110" s="16" t="n">
        <v>100</v>
      </c>
      <c r="R110" s="16" t="n">
        <v>100</v>
      </c>
      <c r="S110" s="16" t="n">
        <v>100</v>
      </c>
      <c r="T110" s="16" t="n">
        <v>100</v>
      </c>
      <c r="U110" s="16" t="n">
        <v>100</v>
      </c>
      <c r="V110" s="16" t="n">
        <v>100</v>
      </c>
      <c r="W110" s="16" t="n">
        <v>100</v>
      </c>
      <c r="X110" s="16" t="n">
        <v>100</v>
      </c>
      <c r="Y110" s="16" t="n">
        <v>100</v>
      </c>
      <c r="Z110" s="16" t="n">
        <v>100</v>
      </c>
      <c r="AA110" s="16" t="n">
        <v>100</v>
      </c>
    </row>
    <row r="111">
      <c r="A111" s="3" t="inlineStr">
        <is>
          <t>Двери</t>
        </is>
      </c>
      <c r="B111" s="3" t="inlineStr">
        <is>
          <t>Противопожарные двери</t>
        </is>
      </c>
      <c r="C111" s="3" t="inlineStr">
        <is>
          <t>Замена</t>
        </is>
      </c>
      <c r="D111" s="3" t="inlineStr">
        <is>
          <t>Двери металлические противопожарные, изолированные минераловатой (типа Гефест 01) Размер  прохода: 1100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1" s="4">
        <f>N111+O111</f>
        <v/>
      </c>
      <c r="F111" s="3" t="inlineStr">
        <is>
          <t>шт.</t>
        </is>
      </c>
      <c r="G111" s="4">
        <f>IFERROR('[1]Лист1'!G111,100)</f>
        <v/>
      </c>
      <c r="H111" s="16" t="n">
        <v>100</v>
      </c>
      <c r="I111" s="16" t="n">
        <v>100</v>
      </c>
      <c r="J111" s="16" t="n">
        <v>100</v>
      </c>
      <c r="K111" s="16" t="n">
        <v>100</v>
      </c>
      <c r="L111" s="16" t="n">
        <v>100</v>
      </c>
      <c r="M111" s="16" t="n">
        <v>100</v>
      </c>
      <c r="N111" s="4">
        <f>Работы!S113</f>
        <v/>
      </c>
      <c r="O111" s="4">
        <f>Работы!R113</f>
        <v/>
      </c>
      <c r="P111" s="16" t="n">
        <v>100</v>
      </c>
      <c r="Q111" s="16" t="n">
        <v>100</v>
      </c>
      <c r="R111" s="16" t="n">
        <v>100</v>
      </c>
      <c r="S111" s="16" t="n">
        <v>100</v>
      </c>
      <c r="T111" s="16" t="n">
        <v>100</v>
      </c>
      <c r="U111" s="16" t="n">
        <v>100</v>
      </c>
      <c r="V111" s="16" t="n">
        <v>100</v>
      </c>
      <c r="W111" s="16" t="n">
        <v>100</v>
      </c>
      <c r="X111" s="16" t="n">
        <v>100</v>
      </c>
      <c r="Y111" s="16" t="n">
        <v>100</v>
      </c>
      <c r="Z111" s="16" t="n">
        <v>100</v>
      </c>
      <c r="AA111" s="16" t="n">
        <v>100</v>
      </c>
    </row>
    <row r="112">
      <c r="A112" s="3" t="inlineStr">
        <is>
          <t>Двери</t>
        </is>
      </c>
      <c r="B112" s="3" t="inlineStr">
        <is>
          <t>Противопожарные двери</t>
        </is>
      </c>
      <c r="C112" s="3" t="inlineStr">
        <is>
          <t>Замена</t>
        </is>
      </c>
      <c r="D112" s="3" t="inlineStr">
        <is>
          <t>Двери металлические противопожарные, изолированные минераловатой (типа Гефест 01) Размер  прохода: 1200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2" s="4">
        <f>N112+O112</f>
        <v/>
      </c>
      <c r="F112" s="3" t="inlineStr">
        <is>
          <t>шт.</t>
        </is>
      </c>
      <c r="G112" s="4">
        <f>IFERROR('[1]Лист1'!G112,100)</f>
        <v/>
      </c>
      <c r="H112" s="16" t="n">
        <v>100</v>
      </c>
      <c r="I112" s="16" t="n">
        <v>100</v>
      </c>
      <c r="J112" s="16" t="n">
        <v>100</v>
      </c>
      <c r="K112" s="16" t="n">
        <v>100</v>
      </c>
      <c r="L112" s="16" t="n">
        <v>100</v>
      </c>
      <c r="M112" s="16" t="n">
        <v>100</v>
      </c>
      <c r="N112" s="4">
        <f>Работы!S114</f>
        <v/>
      </c>
      <c r="O112" s="4">
        <f>Работы!R114</f>
        <v/>
      </c>
      <c r="P112" s="16" t="n">
        <v>100</v>
      </c>
      <c r="Q112" s="16" t="n">
        <v>100</v>
      </c>
      <c r="R112" s="16" t="n">
        <v>100</v>
      </c>
      <c r="S112" s="16" t="n">
        <v>100</v>
      </c>
      <c r="T112" s="16" t="n">
        <v>100</v>
      </c>
      <c r="U112" s="16" t="n">
        <v>100</v>
      </c>
      <c r="V112" s="16" t="n">
        <v>100</v>
      </c>
      <c r="W112" s="16" t="n">
        <v>100</v>
      </c>
      <c r="X112" s="16" t="n">
        <v>100</v>
      </c>
      <c r="Y112" s="16" t="n">
        <v>100</v>
      </c>
      <c r="Z112" s="16" t="n">
        <v>100</v>
      </c>
      <c r="AA112" s="16" t="n">
        <v>100</v>
      </c>
    </row>
    <row r="113">
      <c r="A113" s="3" t="inlineStr">
        <is>
          <t>Двери</t>
        </is>
      </c>
      <c r="B113" s="3" t="inlineStr">
        <is>
          <t>Противопожарные двери</t>
        </is>
      </c>
      <c r="C113" s="3" t="inlineStr">
        <is>
          <t>Замена</t>
        </is>
      </c>
      <c r="D113" s="3" t="inlineStr">
        <is>
          <t>Двери металлические противопожарные, изолированные минераловатой (типа Гефест 01) Размер  прохода: 1300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3" s="4">
        <f>N113+O113</f>
        <v/>
      </c>
      <c r="F113" s="3" t="inlineStr">
        <is>
          <t>шт.</t>
        </is>
      </c>
      <c r="G113" s="4">
        <f>IFERROR('[1]Лист1'!G113,100)</f>
        <v/>
      </c>
      <c r="H113" s="16" t="n">
        <v>100</v>
      </c>
      <c r="I113" s="16" t="n">
        <v>100</v>
      </c>
      <c r="J113" s="16" t="n">
        <v>100</v>
      </c>
      <c r="K113" s="16" t="n">
        <v>100</v>
      </c>
      <c r="L113" s="16" t="n">
        <v>100</v>
      </c>
      <c r="M113" s="16" t="n">
        <v>100</v>
      </c>
      <c r="N113" s="4">
        <f>Работы!S115</f>
        <v/>
      </c>
      <c r="O113" s="4">
        <f>Работы!R115</f>
        <v/>
      </c>
      <c r="P113" s="16" t="n">
        <v>100</v>
      </c>
      <c r="Q113" s="16" t="n">
        <v>100</v>
      </c>
      <c r="R113" s="16" t="n">
        <v>100</v>
      </c>
      <c r="S113" s="16" t="n">
        <v>100</v>
      </c>
      <c r="T113" s="16" t="n">
        <v>100</v>
      </c>
      <c r="U113" s="16" t="n">
        <v>100</v>
      </c>
      <c r="V113" s="16" t="n">
        <v>100</v>
      </c>
      <c r="W113" s="16" t="n">
        <v>100</v>
      </c>
      <c r="X113" s="16" t="n">
        <v>100</v>
      </c>
      <c r="Y113" s="16" t="n">
        <v>100</v>
      </c>
      <c r="Z113" s="16" t="n">
        <v>100</v>
      </c>
      <c r="AA113" s="16" t="n">
        <v>100</v>
      </c>
    </row>
    <row r="114">
      <c r="A114" s="3" t="inlineStr">
        <is>
          <t>Двери</t>
        </is>
      </c>
      <c r="B114" s="3" t="inlineStr">
        <is>
          <t>Противопожарные двери</t>
        </is>
      </c>
      <c r="C114" s="3" t="inlineStr">
        <is>
          <t>Замена</t>
        </is>
      </c>
      <c r="D114" s="3" t="inlineStr">
        <is>
          <t>Двери металлические противопожарные, изолированные минераловатой (типа Гефест 01) Размер  прохода: 1400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4" s="4">
        <f>N114+O114</f>
        <v/>
      </c>
      <c r="F114" s="3" t="inlineStr">
        <is>
          <t>шт.</t>
        </is>
      </c>
      <c r="G114" s="4">
        <f>IFERROR('[1]Лист1'!G114,100)</f>
        <v/>
      </c>
      <c r="H114" s="16" t="n">
        <v>100</v>
      </c>
      <c r="I114" s="16" t="n">
        <v>100</v>
      </c>
      <c r="J114" s="16" t="n">
        <v>100</v>
      </c>
      <c r="K114" s="16" t="n">
        <v>100</v>
      </c>
      <c r="L114" s="16" t="n">
        <v>100</v>
      </c>
      <c r="M114" s="16" t="n">
        <v>100</v>
      </c>
      <c r="N114" s="4">
        <f>Работы!S116</f>
        <v/>
      </c>
      <c r="O114" s="4">
        <f>Работы!R116</f>
        <v/>
      </c>
      <c r="P114" s="16" t="n">
        <v>100</v>
      </c>
      <c r="Q114" s="16" t="n">
        <v>100</v>
      </c>
      <c r="R114" s="16" t="n">
        <v>100</v>
      </c>
      <c r="S114" s="16" t="n">
        <v>100</v>
      </c>
      <c r="T114" s="16" t="n">
        <v>100</v>
      </c>
      <c r="U114" s="16" t="n">
        <v>100</v>
      </c>
      <c r="V114" s="16" t="n">
        <v>100</v>
      </c>
      <c r="W114" s="16" t="n">
        <v>100</v>
      </c>
      <c r="X114" s="16" t="n">
        <v>100</v>
      </c>
      <c r="Y114" s="16" t="n">
        <v>100</v>
      </c>
      <c r="Z114" s="16" t="n">
        <v>100</v>
      </c>
      <c r="AA114" s="16" t="n">
        <v>100</v>
      </c>
    </row>
    <row r="115">
      <c r="A115" s="3" t="inlineStr">
        <is>
          <t>Двери</t>
        </is>
      </c>
      <c r="B115" s="3" t="inlineStr">
        <is>
          <t>Противопожарные двери</t>
        </is>
      </c>
      <c r="C115" s="3" t="inlineStr">
        <is>
          <t>Замена</t>
        </is>
      </c>
      <c r="D115" s="3" t="inlineStr">
        <is>
          <t>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5" s="4">
        <f>N115+O115</f>
        <v/>
      </c>
      <c r="F115" s="3" t="inlineStr">
        <is>
          <t>шт.</t>
        </is>
      </c>
      <c r="G115" s="4">
        <f>IFERROR('[1]Лист1'!G115,100)</f>
        <v/>
      </c>
      <c r="H115" s="16" t="n">
        <v>100</v>
      </c>
      <c r="I115" s="16" t="n">
        <v>100</v>
      </c>
      <c r="J115" s="16" t="n">
        <v>100</v>
      </c>
      <c r="K115" s="16" t="n">
        <v>100</v>
      </c>
      <c r="L115" s="16" t="n">
        <v>100</v>
      </c>
      <c r="M115" s="16" t="n">
        <v>100</v>
      </c>
      <c r="N115" s="4">
        <f>Работы!S117</f>
        <v/>
      </c>
      <c r="O115" s="4">
        <f>Работы!R117</f>
        <v/>
      </c>
      <c r="P115" s="16" t="n">
        <v>100</v>
      </c>
      <c r="Q115" s="16" t="n">
        <v>100</v>
      </c>
      <c r="R115" s="16" t="n">
        <v>100</v>
      </c>
      <c r="S115" s="16" t="n">
        <v>100</v>
      </c>
      <c r="T115" s="16" t="n">
        <v>100</v>
      </c>
      <c r="U115" s="16" t="n">
        <v>100</v>
      </c>
      <c r="V115" s="16" t="n">
        <v>100</v>
      </c>
      <c r="W115" s="16" t="n">
        <v>100</v>
      </c>
      <c r="X115" s="16" t="n">
        <v>100</v>
      </c>
      <c r="Y115" s="16" t="n">
        <v>100</v>
      </c>
      <c r="Z115" s="16" t="n">
        <v>100</v>
      </c>
      <c r="AA115" s="16" t="n">
        <v>100</v>
      </c>
    </row>
    <row r="116">
      <c r="A116" s="3" t="inlineStr">
        <is>
          <t>Двери</t>
        </is>
      </c>
      <c r="B116" s="3" t="inlineStr">
        <is>
          <t>Противопожарные двери</t>
        </is>
      </c>
      <c r="C116" s="3" t="inlineStr">
        <is>
          <t>Замена</t>
        </is>
      </c>
      <c r="D116" s="3" t="inlineStr">
        <is>
          <t>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6" s="4">
        <f>N116+O116</f>
        <v/>
      </c>
      <c r="F116" s="3" t="inlineStr">
        <is>
          <t>шт.</t>
        </is>
      </c>
      <c r="G116" s="4">
        <f>IFERROR('[1]Лист1'!G116,100)</f>
        <v/>
      </c>
      <c r="H116" s="16" t="n">
        <v>100</v>
      </c>
      <c r="I116" s="16" t="n">
        <v>100</v>
      </c>
      <c r="J116" s="16" t="n">
        <v>100</v>
      </c>
      <c r="K116" s="16" t="n">
        <v>100</v>
      </c>
      <c r="L116" s="16" t="n">
        <v>100</v>
      </c>
      <c r="M116" s="16" t="n">
        <v>100</v>
      </c>
      <c r="N116" s="4">
        <f>Работы!S118</f>
        <v/>
      </c>
      <c r="O116" s="4">
        <f>Работы!R118</f>
        <v/>
      </c>
      <c r="P116" s="16" t="n">
        <v>100</v>
      </c>
      <c r="Q116" s="16" t="n">
        <v>100</v>
      </c>
      <c r="R116" s="16" t="n">
        <v>100</v>
      </c>
      <c r="S116" s="16" t="n">
        <v>100</v>
      </c>
      <c r="T116" s="16" t="n">
        <v>100</v>
      </c>
      <c r="U116" s="16" t="n">
        <v>100</v>
      </c>
      <c r="V116" s="16" t="n">
        <v>100</v>
      </c>
      <c r="W116" s="16" t="n">
        <v>100</v>
      </c>
      <c r="X116" s="16" t="n">
        <v>100</v>
      </c>
      <c r="Y116" s="16" t="n">
        <v>100</v>
      </c>
      <c r="Z116" s="16" t="n">
        <v>100</v>
      </c>
      <c r="AA116" s="16" t="n">
        <v>100</v>
      </c>
    </row>
    <row r="117">
      <c r="A117" s="3" t="inlineStr">
        <is>
          <t>Двери</t>
        </is>
      </c>
      <c r="B117" s="3" t="inlineStr">
        <is>
          <t>Противопожарные двери</t>
        </is>
      </c>
      <c r="C117" s="3" t="inlineStr">
        <is>
          <t>Замена</t>
        </is>
      </c>
      <c r="D117" s="3" t="inlineStr">
        <is>
          <t>Двери металлические противопожарные, изолированные минераловатой (типа Гефест 01) Размер  прохода: 1600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7" s="4">
        <f>N117+O117</f>
        <v/>
      </c>
      <c r="F117" s="3" t="inlineStr">
        <is>
          <t>шт.</t>
        </is>
      </c>
      <c r="G117" s="4">
        <f>IFERROR('[1]Лист1'!G117,100)</f>
        <v/>
      </c>
      <c r="H117" s="16" t="n">
        <v>100</v>
      </c>
      <c r="I117" s="16" t="n">
        <v>100</v>
      </c>
      <c r="J117" s="16" t="n">
        <v>100</v>
      </c>
      <c r="K117" s="16" t="n">
        <v>100</v>
      </c>
      <c r="L117" s="16" t="n">
        <v>100</v>
      </c>
      <c r="M117" s="16" t="n">
        <v>100</v>
      </c>
      <c r="N117" s="4">
        <f>Работы!S119</f>
        <v/>
      </c>
      <c r="O117" s="4">
        <f>Работы!R119</f>
        <v/>
      </c>
      <c r="P117" s="16" t="n">
        <v>100</v>
      </c>
      <c r="Q117" s="16" t="n">
        <v>100</v>
      </c>
      <c r="R117" s="16" t="n">
        <v>100</v>
      </c>
      <c r="S117" s="16" t="n">
        <v>100</v>
      </c>
      <c r="T117" s="16" t="n">
        <v>100</v>
      </c>
      <c r="U117" s="16" t="n">
        <v>100</v>
      </c>
      <c r="V117" s="16" t="n">
        <v>100</v>
      </c>
      <c r="W117" s="16" t="n">
        <v>100</v>
      </c>
      <c r="X117" s="16" t="n">
        <v>100</v>
      </c>
      <c r="Y117" s="16" t="n">
        <v>100</v>
      </c>
      <c r="Z117" s="16" t="n">
        <v>100</v>
      </c>
      <c r="AA117" s="16" t="n">
        <v>100</v>
      </c>
    </row>
    <row r="118">
      <c r="A118" s="3" t="inlineStr">
        <is>
          <t>Двери</t>
        </is>
      </c>
      <c r="B118" s="3" t="inlineStr">
        <is>
          <t>Технические двери</t>
        </is>
      </c>
      <c r="C118" s="3" t="inlineStr">
        <is>
          <t>Замена</t>
        </is>
      </c>
      <c r="D118" s="3" t="inlineStr">
        <is>
          <t>Дверь металлическая одностворчатая техническая, изолированная минеральной плитой. (типа Оптима ТХ-2)Дверной  блок:  600х2000 мм. Лист стали: 2  мм. Цвет –  серый, RAL–7038. Дверные стопоры (ограничители) – напольные.</t>
        </is>
      </c>
      <c r="E118" s="4">
        <f>N118+O118</f>
        <v/>
      </c>
      <c r="F118" s="3" t="inlineStr">
        <is>
          <t>шт.</t>
        </is>
      </c>
      <c r="G118" s="4">
        <f>IFERROR('[1]Лист1'!G118,100)</f>
        <v/>
      </c>
      <c r="H118" s="16" t="n">
        <v>100</v>
      </c>
      <c r="I118" s="16" t="n">
        <v>100</v>
      </c>
      <c r="J118" s="16" t="n">
        <v>100</v>
      </c>
      <c r="K118" s="16" t="n">
        <v>100</v>
      </c>
      <c r="L118" s="16" t="n">
        <v>100</v>
      </c>
      <c r="M118" s="16" t="n">
        <v>100</v>
      </c>
      <c r="N118" s="4">
        <f>Работы!S120</f>
        <v/>
      </c>
      <c r="O118" s="4">
        <f>Работы!R120</f>
        <v/>
      </c>
      <c r="P118" s="16" t="n">
        <v>100</v>
      </c>
      <c r="Q118" s="16" t="n">
        <v>100</v>
      </c>
      <c r="R118" s="16" t="n">
        <v>100</v>
      </c>
      <c r="S118" s="16" t="n">
        <v>100</v>
      </c>
      <c r="T118" s="16" t="n">
        <v>100</v>
      </c>
      <c r="U118" s="16" t="n">
        <v>100</v>
      </c>
      <c r="V118" s="16" t="n">
        <v>100</v>
      </c>
      <c r="W118" s="16" t="n">
        <v>100</v>
      </c>
      <c r="X118" s="16" t="n">
        <v>100</v>
      </c>
      <c r="Y118" s="16" t="n">
        <v>100</v>
      </c>
      <c r="Z118" s="16" t="n">
        <v>100</v>
      </c>
      <c r="AA118" s="16" t="n">
        <v>100</v>
      </c>
    </row>
    <row r="119">
      <c r="A119" s="3" t="inlineStr">
        <is>
          <t>Двери</t>
        </is>
      </c>
      <c r="B119" s="3" t="inlineStr">
        <is>
          <t>Технические двери</t>
        </is>
      </c>
      <c r="C119" s="3" t="inlineStr">
        <is>
          <t>Замена</t>
        </is>
      </c>
      <c r="D119" s="3" t="inlineStr">
        <is>
          <t>Дверь металлическая одностворчатая техническая, изолированная минеральной плитой. (типа Оптима ТХ-2)Дверной  блок:  800х2000 мм. Лист стали: 2  мм. Цвет –  серый, RAL–7038. Дверные стопоры (ограничители) – напольные.</t>
        </is>
      </c>
      <c r="E119" s="4">
        <f>N119+O119</f>
        <v/>
      </c>
      <c r="F119" s="3" t="inlineStr">
        <is>
          <t>шт.</t>
        </is>
      </c>
      <c r="G119" s="4">
        <f>IFERROR('[1]Лист1'!G119,100)</f>
        <v/>
      </c>
      <c r="H119" s="16" t="n">
        <v>100</v>
      </c>
      <c r="I119" s="16" t="n">
        <v>100</v>
      </c>
      <c r="J119" s="16" t="n">
        <v>100</v>
      </c>
      <c r="K119" s="16" t="n">
        <v>100</v>
      </c>
      <c r="L119" s="16" t="n">
        <v>100</v>
      </c>
      <c r="M119" s="16" t="n">
        <v>100</v>
      </c>
      <c r="N119" s="4">
        <f>Работы!S121</f>
        <v/>
      </c>
      <c r="O119" s="4">
        <f>Работы!R121</f>
        <v/>
      </c>
      <c r="P119" s="16" t="n">
        <v>100</v>
      </c>
      <c r="Q119" s="16" t="n">
        <v>100</v>
      </c>
      <c r="R119" s="16" t="n">
        <v>100</v>
      </c>
      <c r="S119" s="16" t="n">
        <v>100</v>
      </c>
      <c r="T119" s="16" t="n">
        <v>100</v>
      </c>
      <c r="U119" s="16" t="n">
        <v>100</v>
      </c>
      <c r="V119" s="16" t="n">
        <v>100</v>
      </c>
      <c r="W119" s="16" t="n">
        <v>100</v>
      </c>
      <c r="X119" s="16" t="n">
        <v>100</v>
      </c>
      <c r="Y119" s="16" t="n">
        <v>100</v>
      </c>
      <c r="Z119" s="16" t="n">
        <v>100</v>
      </c>
      <c r="AA119" s="16" t="n">
        <v>100</v>
      </c>
    </row>
    <row r="120">
      <c r="A120" s="3" t="inlineStr">
        <is>
          <t>Двери</t>
        </is>
      </c>
      <c r="B120" s="3" t="inlineStr">
        <is>
          <t>Технические двери</t>
        </is>
      </c>
      <c r="C120" s="3" t="inlineStr">
        <is>
          <t>Замена</t>
        </is>
      </c>
      <c r="D120" s="3" t="inlineStr">
        <is>
          <t>Дверной  блок:  900х2000 мм. Лист стали: 2  мм. Цвет –  серый, RAL–7038. Дверные стопоры (ограничители) – напольные.</t>
        </is>
      </c>
      <c r="E120" s="4">
        <f>N120+O120</f>
        <v/>
      </c>
      <c r="F120" s="3" t="inlineStr">
        <is>
          <t>шт.</t>
        </is>
      </c>
      <c r="G120" s="4">
        <f>IFERROR('[1]Лист1'!G120,100)</f>
        <v/>
      </c>
      <c r="H120" s="16" t="n">
        <v>100</v>
      </c>
      <c r="I120" s="16" t="n">
        <v>100</v>
      </c>
      <c r="J120" s="16" t="n">
        <v>100</v>
      </c>
      <c r="K120" s="16" t="n">
        <v>100</v>
      </c>
      <c r="L120" s="16" t="n">
        <v>100</v>
      </c>
      <c r="M120" s="16" t="n">
        <v>100</v>
      </c>
      <c r="N120" s="4">
        <f>Работы!S122</f>
        <v/>
      </c>
      <c r="O120" s="4">
        <f>Работы!R122</f>
        <v/>
      </c>
      <c r="P120" s="16" t="n">
        <v>100</v>
      </c>
      <c r="Q120" s="16" t="n">
        <v>100</v>
      </c>
      <c r="R120" s="16" t="n">
        <v>100</v>
      </c>
      <c r="S120" s="16" t="n">
        <v>100</v>
      </c>
      <c r="T120" s="16" t="n">
        <v>100</v>
      </c>
      <c r="U120" s="16" t="n">
        <v>100</v>
      </c>
      <c r="V120" s="16" t="n">
        <v>100</v>
      </c>
      <c r="W120" s="16" t="n">
        <v>100</v>
      </c>
      <c r="X120" s="16" t="n">
        <v>100</v>
      </c>
      <c r="Y120" s="16" t="n">
        <v>100</v>
      </c>
      <c r="Z120" s="16" t="n">
        <v>100</v>
      </c>
      <c r="AA120" s="16" t="n">
        <v>100</v>
      </c>
    </row>
    <row r="121">
      <c r="A121" s="3" t="inlineStr">
        <is>
          <t>Металлоконструкци</t>
        </is>
      </c>
      <c r="B121" s="3" t="inlineStr">
        <is>
          <t>Труба круглая</t>
        </is>
      </c>
      <c r="C121" s="3" t="inlineStr">
        <is>
          <t>Замена</t>
        </is>
      </c>
      <c r="D121" s="3" t="inlineStr">
        <is>
          <t>Металлическая круглая труба Ду50 (60х3,5мм)</t>
        </is>
      </c>
      <c r="E121" s="4">
        <f>N121+O121</f>
        <v/>
      </c>
      <c r="F121" s="3" t="inlineStr">
        <is>
          <t>м.п.</t>
        </is>
      </c>
      <c r="G121" s="4">
        <f>IFERROR('[1]Лист1'!G121,100)</f>
        <v/>
      </c>
      <c r="H121" s="16" t="n">
        <v>100</v>
      </c>
      <c r="I121" s="16" t="n">
        <v>100</v>
      </c>
      <c r="J121" s="16" t="n">
        <v>100</v>
      </c>
      <c r="K121" s="16" t="n">
        <v>100</v>
      </c>
      <c r="L121" s="16" t="n">
        <v>100</v>
      </c>
      <c r="M121" s="16" t="n">
        <v>100</v>
      </c>
      <c r="N121" s="4">
        <f>Работы!S123</f>
        <v/>
      </c>
      <c r="O121" s="4">
        <f>Работы!R123</f>
        <v/>
      </c>
      <c r="P121" s="16" t="n">
        <v>100</v>
      </c>
      <c r="Q121" s="16" t="n">
        <v>100</v>
      </c>
      <c r="R121" s="16" t="n">
        <v>100</v>
      </c>
      <c r="S121" s="16" t="n">
        <v>100</v>
      </c>
      <c r="T121" s="16" t="n">
        <v>100</v>
      </c>
      <c r="U121" s="16" t="n">
        <v>100</v>
      </c>
      <c r="V121" s="16" t="n">
        <v>100</v>
      </c>
      <c r="W121" s="16" t="n">
        <v>100</v>
      </c>
      <c r="X121" s="16" t="n">
        <v>100</v>
      </c>
      <c r="Y121" s="16" t="n">
        <v>100</v>
      </c>
      <c r="Z121" s="16" t="n">
        <v>100</v>
      </c>
      <c r="AA121" s="16" t="n">
        <v>100</v>
      </c>
    </row>
    <row r="122">
      <c r="A122" s="3" t="inlineStr">
        <is>
          <t>Металлоконструкци</t>
        </is>
      </c>
      <c r="B122" s="3" t="inlineStr">
        <is>
          <t>Труба круглая</t>
        </is>
      </c>
      <c r="C122" s="3" t="inlineStr">
        <is>
          <t>Замена</t>
        </is>
      </c>
      <c r="D122" s="3" t="inlineStr">
        <is>
          <t>Металлическая круглая труба Ду65 (75,5х4,0мм)</t>
        </is>
      </c>
      <c r="E122" s="4">
        <f>N122+O122</f>
        <v/>
      </c>
      <c r="F122" s="3" t="inlineStr">
        <is>
          <t>м.п.</t>
        </is>
      </c>
      <c r="G122" s="4">
        <f>IFERROR('[1]Лист1'!G122,100)</f>
        <v/>
      </c>
      <c r="H122" s="16" t="n">
        <v>100</v>
      </c>
      <c r="I122" s="16" t="n">
        <v>100</v>
      </c>
      <c r="J122" s="16" t="n">
        <v>100</v>
      </c>
      <c r="K122" s="16" t="n">
        <v>100</v>
      </c>
      <c r="L122" s="16" t="n">
        <v>100</v>
      </c>
      <c r="M122" s="16" t="n">
        <v>100</v>
      </c>
      <c r="N122" s="4">
        <f>Работы!S124</f>
        <v/>
      </c>
      <c r="O122" s="4">
        <f>Работы!R124</f>
        <v/>
      </c>
      <c r="P122" s="16" t="n">
        <v>100</v>
      </c>
      <c r="Q122" s="16" t="n">
        <v>100</v>
      </c>
      <c r="R122" s="16" t="n">
        <v>100</v>
      </c>
      <c r="S122" s="16" t="n">
        <v>100</v>
      </c>
      <c r="T122" s="16" t="n">
        <v>100</v>
      </c>
      <c r="U122" s="16" t="n">
        <v>100</v>
      </c>
      <c r="V122" s="16" t="n">
        <v>100</v>
      </c>
      <c r="W122" s="16" t="n">
        <v>100</v>
      </c>
      <c r="X122" s="16" t="n">
        <v>100</v>
      </c>
      <c r="Y122" s="16" t="n">
        <v>100</v>
      </c>
      <c r="Z122" s="16" t="n">
        <v>100</v>
      </c>
      <c r="AA122" s="16" t="n">
        <v>100</v>
      </c>
    </row>
    <row r="123">
      <c r="A123" s="3" t="inlineStr">
        <is>
          <t>Металлоконструкци</t>
        </is>
      </c>
      <c r="B123" s="3" t="inlineStr">
        <is>
          <t>Труба круглая</t>
        </is>
      </c>
      <c r="C123" s="3" t="inlineStr">
        <is>
          <t>Замена</t>
        </is>
      </c>
      <c r="D123" s="3" t="inlineStr">
        <is>
          <t>Металлическая круглая труба Ду80 (88,5х4,0мм)</t>
        </is>
      </c>
      <c r="E123" s="4">
        <f>N123+O123</f>
        <v/>
      </c>
      <c r="F123" s="3" t="inlineStr">
        <is>
          <t>м.п.</t>
        </is>
      </c>
      <c r="G123" s="4">
        <f>IFERROR('[1]Лист1'!G123,100)</f>
        <v/>
      </c>
      <c r="H123" s="16" t="n">
        <v>100</v>
      </c>
      <c r="I123" s="16" t="n">
        <v>100</v>
      </c>
      <c r="J123" s="16" t="n">
        <v>100</v>
      </c>
      <c r="K123" s="16" t="n">
        <v>100</v>
      </c>
      <c r="L123" s="16" t="n">
        <v>100</v>
      </c>
      <c r="M123" s="16" t="n">
        <v>100</v>
      </c>
      <c r="N123" s="4">
        <f>Работы!S125</f>
        <v/>
      </c>
      <c r="O123" s="4">
        <f>Работы!R125</f>
        <v/>
      </c>
      <c r="P123" s="16" t="n">
        <v>100</v>
      </c>
      <c r="Q123" s="16" t="n">
        <v>100</v>
      </c>
      <c r="R123" s="16" t="n">
        <v>100</v>
      </c>
      <c r="S123" s="16" t="n">
        <v>100</v>
      </c>
      <c r="T123" s="16" t="n">
        <v>100</v>
      </c>
      <c r="U123" s="16" t="n">
        <v>100</v>
      </c>
      <c r="V123" s="16" t="n">
        <v>100</v>
      </c>
      <c r="W123" s="16" t="n">
        <v>100</v>
      </c>
      <c r="X123" s="16" t="n">
        <v>100</v>
      </c>
      <c r="Y123" s="16" t="n">
        <v>100</v>
      </c>
      <c r="Z123" s="16" t="n">
        <v>100</v>
      </c>
      <c r="AA123" s="16" t="n">
        <v>100</v>
      </c>
    </row>
    <row r="124">
      <c r="A124" s="3" t="inlineStr">
        <is>
          <t>Металлоконструкци</t>
        </is>
      </c>
      <c r="B124" s="3" t="inlineStr">
        <is>
          <t>Труба круглая</t>
        </is>
      </c>
      <c r="C124" s="3" t="inlineStr">
        <is>
          <t>Замена</t>
        </is>
      </c>
      <c r="D124" s="3" t="inlineStr">
        <is>
          <t>Металлическая круглая труба Ду90 (101,3х4,5мм)</t>
        </is>
      </c>
      <c r="E124" s="4">
        <f>N124+O124</f>
        <v/>
      </c>
      <c r="F124" s="3" t="inlineStr">
        <is>
          <t>м.п.</t>
        </is>
      </c>
      <c r="G124" s="4">
        <f>IFERROR('[1]Лист1'!G124,100)</f>
        <v/>
      </c>
      <c r="H124" s="16" t="n">
        <v>100</v>
      </c>
      <c r="I124" s="16" t="n">
        <v>100</v>
      </c>
      <c r="J124" s="16" t="n">
        <v>100</v>
      </c>
      <c r="K124" s="16" t="n">
        <v>100</v>
      </c>
      <c r="L124" s="16" t="n">
        <v>100</v>
      </c>
      <c r="M124" s="16" t="n">
        <v>100</v>
      </c>
      <c r="N124" s="4">
        <f>Работы!S126</f>
        <v/>
      </c>
      <c r="O124" s="4">
        <f>Работы!R126</f>
        <v/>
      </c>
      <c r="P124" s="16" t="n">
        <v>100</v>
      </c>
      <c r="Q124" s="16" t="n">
        <v>100</v>
      </c>
      <c r="R124" s="16" t="n">
        <v>100</v>
      </c>
      <c r="S124" s="16" t="n">
        <v>100</v>
      </c>
      <c r="T124" s="16" t="n">
        <v>100</v>
      </c>
      <c r="U124" s="16" t="n">
        <v>100</v>
      </c>
      <c r="V124" s="16" t="n">
        <v>100</v>
      </c>
      <c r="W124" s="16" t="n">
        <v>100</v>
      </c>
      <c r="X124" s="16" t="n">
        <v>100</v>
      </c>
      <c r="Y124" s="16" t="n">
        <v>100</v>
      </c>
      <c r="Z124" s="16" t="n">
        <v>100</v>
      </c>
      <c r="AA124" s="16" t="n">
        <v>100</v>
      </c>
    </row>
    <row r="125">
      <c r="A125" s="3" t="inlineStr">
        <is>
          <t>Металлоконструкци</t>
        </is>
      </c>
      <c r="B125" s="3" t="inlineStr">
        <is>
          <t>Труба круглая</t>
        </is>
      </c>
      <c r="C125" s="3" t="inlineStr">
        <is>
          <t>Замена</t>
        </is>
      </c>
      <c r="D125" s="3" t="inlineStr">
        <is>
          <t>Металлическая круглая труба Ду100 (114х4,5мм)</t>
        </is>
      </c>
      <c r="E125" s="4">
        <f>N125+O125</f>
        <v/>
      </c>
      <c r="F125" s="3" t="inlineStr">
        <is>
          <t>м.п.</t>
        </is>
      </c>
      <c r="G125" s="4">
        <f>IFERROR('[1]Лист1'!G125,100)</f>
        <v/>
      </c>
      <c r="H125" s="16" t="n">
        <v>100</v>
      </c>
      <c r="I125" s="16" t="n">
        <v>100</v>
      </c>
      <c r="J125" s="16" t="n">
        <v>100</v>
      </c>
      <c r="K125" s="16" t="n">
        <v>100</v>
      </c>
      <c r="L125" s="16" t="n">
        <v>100</v>
      </c>
      <c r="M125" s="16" t="n">
        <v>100</v>
      </c>
      <c r="N125" s="4">
        <f>Работы!S127</f>
        <v/>
      </c>
      <c r="O125" s="4">
        <f>Работы!R127</f>
        <v/>
      </c>
      <c r="P125" s="16" t="n">
        <v>100</v>
      </c>
      <c r="Q125" s="16" t="n">
        <v>100</v>
      </c>
      <c r="R125" s="16" t="n">
        <v>100</v>
      </c>
      <c r="S125" s="16" t="n">
        <v>100</v>
      </c>
      <c r="T125" s="16" t="n">
        <v>100</v>
      </c>
      <c r="U125" s="16" t="n">
        <v>100</v>
      </c>
      <c r="V125" s="16" t="n">
        <v>100</v>
      </c>
      <c r="W125" s="16" t="n">
        <v>100</v>
      </c>
      <c r="X125" s="16" t="n">
        <v>100</v>
      </c>
      <c r="Y125" s="16" t="n">
        <v>100</v>
      </c>
      <c r="Z125" s="16" t="n">
        <v>100</v>
      </c>
      <c r="AA125" s="16" t="n">
        <v>100</v>
      </c>
    </row>
    <row r="126">
      <c r="A126" s="3" t="inlineStr">
        <is>
          <t>Металлоконструкци</t>
        </is>
      </c>
      <c r="B126" s="3" t="inlineStr">
        <is>
          <t>Труба профилированная</t>
        </is>
      </c>
      <c r="C126" s="3" t="inlineStr">
        <is>
          <t>Замена</t>
        </is>
      </c>
      <c r="D126" s="3" t="inlineStr">
        <is>
          <t>Металлическая профилированная труба 25х25x2 мм</t>
        </is>
      </c>
      <c r="E126" s="4">
        <f>N126+O126</f>
        <v/>
      </c>
      <c r="F126" s="3" t="inlineStr">
        <is>
          <t>м.п.</t>
        </is>
      </c>
      <c r="G126" s="4">
        <f>IFERROR('[1]Лист1'!G126,100)</f>
        <v/>
      </c>
      <c r="H126" s="16" t="n">
        <v>100</v>
      </c>
      <c r="I126" s="16" t="n">
        <v>100</v>
      </c>
      <c r="J126" s="16" t="n">
        <v>100</v>
      </c>
      <c r="K126" s="16" t="n">
        <v>100</v>
      </c>
      <c r="L126" s="16" t="n">
        <v>100</v>
      </c>
      <c r="M126" s="16" t="n">
        <v>100</v>
      </c>
      <c r="N126" s="4">
        <f>Работы!S128</f>
        <v/>
      </c>
      <c r="O126" s="4">
        <f>Работы!R128</f>
        <v/>
      </c>
      <c r="P126" s="16" t="n">
        <v>100</v>
      </c>
      <c r="Q126" s="16" t="n">
        <v>100</v>
      </c>
      <c r="R126" s="16" t="n">
        <v>100</v>
      </c>
      <c r="S126" s="16" t="n">
        <v>100</v>
      </c>
      <c r="T126" s="16" t="n">
        <v>100</v>
      </c>
      <c r="U126" s="16" t="n">
        <v>100</v>
      </c>
      <c r="V126" s="16" t="n">
        <v>100</v>
      </c>
      <c r="W126" s="16" t="n">
        <v>100</v>
      </c>
      <c r="X126" s="16" t="n">
        <v>100</v>
      </c>
      <c r="Y126" s="16" t="n">
        <v>100</v>
      </c>
      <c r="Z126" s="16" t="n">
        <v>100</v>
      </c>
      <c r="AA126" s="16" t="n">
        <v>100</v>
      </c>
    </row>
    <row r="127">
      <c r="A127" s="3" t="inlineStr">
        <is>
          <t>Металлоконструкци</t>
        </is>
      </c>
      <c r="B127" s="3" t="inlineStr">
        <is>
          <t>Труба профилированная</t>
        </is>
      </c>
      <c r="C127" s="3" t="inlineStr">
        <is>
          <t>Замена</t>
        </is>
      </c>
      <c r="D127" s="3" t="inlineStr">
        <is>
          <t>Металлическая профилированная труба 40х20x2 мм</t>
        </is>
      </c>
      <c r="E127" s="4">
        <f>N127+O127</f>
        <v/>
      </c>
      <c r="F127" s="3" t="inlineStr">
        <is>
          <t>м.п.</t>
        </is>
      </c>
      <c r="G127" s="4">
        <f>IFERROR('[1]Лист1'!G127,100)</f>
        <v/>
      </c>
      <c r="H127" s="16" t="n">
        <v>100</v>
      </c>
      <c r="I127" s="16" t="n">
        <v>100</v>
      </c>
      <c r="J127" s="16" t="n">
        <v>100</v>
      </c>
      <c r="K127" s="16" t="n">
        <v>100</v>
      </c>
      <c r="L127" s="16" t="n">
        <v>100</v>
      </c>
      <c r="M127" s="16" t="n">
        <v>100</v>
      </c>
      <c r="N127" s="4">
        <f>Работы!S129</f>
        <v/>
      </c>
      <c r="O127" s="4">
        <f>Работы!R129</f>
        <v/>
      </c>
      <c r="P127" s="16" t="n">
        <v>100</v>
      </c>
      <c r="Q127" s="16" t="n">
        <v>100</v>
      </c>
      <c r="R127" s="16" t="n">
        <v>100</v>
      </c>
      <c r="S127" s="16" t="n">
        <v>100</v>
      </c>
      <c r="T127" s="16" t="n">
        <v>100</v>
      </c>
      <c r="U127" s="16" t="n">
        <v>100</v>
      </c>
      <c r="V127" s="16" t="n">
        <v>100</v>
      </c>
      <c r="W127" s="16" t="n">
        <v>100</v>
      </c>
      <c r="X127" s="16" t="n">
        <v>100</v>
      </c>
      <c r="Y127" s="16" t="n">
        <v>100</v>
      </c>
      <c r="Z127" s="16" t="n">
        <v>100</v>
      </c>
      <c r="AA127" s="16" t="n">
        <v>100</v>
      </c>
    </row>
    <row r="128">
      <c r="A128" s="3" t="inlineStr">
        <is>
          <t>Металлоконструкци</t>
        </is>
      </c>
      <c r="B128" s="3" t="inlineStr">
        <is>
          <t>Труба профилированная</t>
        </is>
      </c>
      <c r="C128" s="3" t="inlineStr">
        <is>
          <t>Замена</t>
        </is>
      </c>
      <c r="D128" s="3" t="inlineStr">
        <is>
          <t>Металлическая профилированная труба 40х25x2 мм</t>
        </is>
      </c>
      <c r="E128" s="4">
        <f>N128+O128</f>
        <v/>
      </c>
      <c r="F128" s="3" t="inlineStr">
        <is>
          <t>м.п.</t>
        </is>
      </c>
      <c r="G128" s="4">
        <f>IFERROR('[1]Лист1'!G128,100)</f>
        <v/>
      </c>
      <c r="H128" s="16" t="n">
        <v>100</v>
      </c>
      <c r="I128" s="16" t="n">
        <v>100</v>
      </c>
      <c r="J128" s="16" t="n">
        <v>100</v>
      </c>
      <c r="K128" s="16" t="n">
        <v>100</v>
      </c>
      <c r="L128" s="16" t="n">
        <v>100</v>
      </c>
      <c r="M128" s="16" t="n">
        <v>100</v>
      </c>
      <c r="N128" s="4">
        <f>Работы!S130</f>
        <v/>
      </c>
      <c r="O128" s="4">
        <f>Работы!R130</f>
        <v/>
      </c>
      <c r="P128" s="16" t="n">
        <v>100</v>
      </c>
      <c r="Q128" s="16" t="n">
        <v>100</v>
      </c>
      <c r="R128" s="16" t="n">
        <v>100</v>
      </c>
      <c r="S128" s="16" t="n">
        <v>100</v>
      </c>
      <c r="T128" s="16" t="n">
        <v>100</v>
      </c>
      <c r="U128" s="16" t="n">
        <v>100</v>
      </c>
      <c r="V128" s="16" t="n">
        <v>100</v>
      </c>
      <c r="W128" s="16" t="n">
        <v>100</v>
      </c>
      <c r="X128" s="16" t="n">
        <v>100</v>
      </c>
      <c r="Y128" s="16" t="n">
        <v>100</v>
      </c>
      <c r="Z128" s="16" t="n">
        <v>100</v>
      </c>
      <c r="AA128" s="16" t="n">
        <v>100</v>
      </c>
    </row>
    <row r="129">
      <c r="A129" s="3" t="inlineStr">
        <is>
          <t>Металлоконструкци</t>
        </is>
      </c>
      <c r="B129" s="3" t="inlineStr">
        <is>
          <t>Труба профилированная</t>
        </is>
      </c>
      <c r="C129" s="3" t="inlineStr">
        <is>
          <t>Замена</t>
        </is>
      </c>
      <c r="D129" s="3" t="inlineStr">
        <is>
          <t>Металлическая профилированная труба 40х40х2 мм</t>
        </is>
      </c>
      <c r="E129" s="4">
        <f>N129+O129</f>
        <v/>
      </c>
      <c r="F129" s="3" t="inlineStr">
        <is>
          <t>м.п.</t>
        </is>
      </c>
      <c r="G129" s="4">
        <f>IFERROR('[1]Лист1'!G129,100)</f>
        <v/>
      </c>
      <c r="H129" s="16" t="n">
        <v>100</v>
      </c>
      <c r="I129" s="16" t="n">
        <v>100</v>
      </c>
      <c r="J129" s="16" t="n">
        <v>100</v>
      </c>
      <c r="K129" s="16" t="n">
        <v>100</v>
      </c>
      <c r="L129" s="16" t="n">
        <v>100</v>
      </c>
      <c r="M129" s="16" t="n">
        <v>100</v>
      </c>
      <c r="N129" s="4">
        <f>Работы!S131</f>
        <v/>
      </c>
      <c r="O129" s="4">
        <f>Работы!R131</f>
        <v/>
      </c>
      <c r="P129" s="16" t="n">
        <v>100</v>
      </c>
      <c r="Q129" s="16" t="n">
        <v>100</v>
      </c>
      <c r="R129" s="16" t="n">
        <v>100</v>
      </c>
      <c r="S129" s="16" t="n">
        <v>100</v>
      </c>
      <c r="T129" s="16" t="n">
        <v>100</v>
      </c>
      <c r="U129" s="16" t="n">
        <v>100</v>
      </c>
      <c r="V129" s="16" t="n">
        <v>100</v>
      </c>
      <c r="W129" s="16" t="n">
        <v>100</v>
      </c>
      <c r="X129" s="16" t="n">
        <v>100</v>
      </c>
      <c r="Y129" s="16" t="n">
        <v>100</v>
      </c>
      <c r="Z129" s="16" t="n">
        <v>100</v>
      </c>
      <c r="AA129" s="16" t="n">
        <v>100</v>
      </c>
    </row>
    <row r="130">
      <c r="A130" s="3" t="inlineStr">
        <is>
          <t>Металлоконструкци</t>
        </is>
      </c>
      <c r="B130" s="3" t="inlineStr">
        <is>
          <t>Труба профилированная</t>
        </is>
      </c>
      <c r="C130" s="3" t="inlineStr">
        <is>
          <t>Замена</t>
        </is>
      </c>
      <c r="D130" s="3" t="inlineStr">
        <is>
          <t>Металлическая профилированная труба 50х25х2 мм</t>
        </is>
      </c>
      <c r="E130" s="4">
        <f>N130+O130</f>
        <v/>
      </c>
      <c r="F130" s="3" t="inlineStr">
        <is>
          <t>м.п.</t>
        </is>
      </c>
      <c r="G130" s="4">
        <f>IFERROR('[1]Лист1'!G130,100)</f>
        <v/>
      </c>
      <c r="H130" s="16" t="n">
        <v>100</v>
      </c>
      <c r="I130" s="16" t="n">
        <v>100</v>
      </c>
      <c r="J130" s="16" t="n">
        <v>100</v>
      </c>
      <c r="K130" s="16" t="n">
        <v>100</v>
      </c>
      <c r="L130" s="16" t="n">
        <v>100</v>
      </c>
      <c r="M130" s="16" t="n">
        <v>100</v>
      </c>
      <c r="N130" s="4">
        <f>Работы!S132</f>
        <v/>
      </c>
      <c r="O130" s="4">
        <f>Работы!R132</f>
        <v/>
      </c>
      <c r="P130" s="16" t="n">
        <v>100</v>
      </c>
      <c r="Q130" s="16" t="n">
        <v>100</v>
      </c>
      <c r="R130" s="16" t="n">
        <v>100</v>
      </c>
      <c r="S130" s="16" t="n">
        <v>100</v>
      </c>
      <c r="T130" s="16" t="n">
        <v>100</v>
      </c>
      <c r="U130" s="16" t="n">
        <v>100</v>
      </c>
      <c r="V130" s="16" t="n">
        <v>100</v>
      </c>
      <c r="W130" s="16" t="n">
        <v>100</v>
      </c>
      <c r="X130" s="16" t="n">
        <v>100</v>
      </c>
      <c r="Y130" s="16" t="n">
        <v>100</v>
      </c>
      <c r="Z130" s="16" t="n">
        <v>100</v>
      </c>
      <c r="AA130" s="16" t="n">
        <v>100</v>
      </c>
    </row>
    <row r="131">
      <c r="A131" s="3" t="inlineStr">
        <is>
          <t>Металлоконструкци</t>
        </is>
      </c>
      <c r="B131" s="3" t="inlineStr">
        <is>
          <t>Труба профилированная</t>
        </is>
      </c>
      <c r="C131" s="3" t="inlineStr">
        <is>
          <t>Замена</t>
        </is>
      </c>
      <c r="D131" s="3" t="inlineStr">
        <is>
          <t>Металлическая профилированная труба 60х40х2 мм</t>
        </is>
      </c>
      <c r="E131" s="4">
        <f>N131+O131</f>
        <v/>
      </c>
      <c r="F131" s="3" t="inlineStr">
        <is>
          <t>м.п.</t>
        </is>
      </c>
      <c r="G131" s="4">
        <f>IFERROR('[1]Лист1'!G131,100)</f>
        <v/>
      </c>
      <c r="H131" s="16" t="n">
        <v>100</v>
      </c>
      <c r="I131" s="16" t="n">
        <v>100</v>
      </c>
      <c r="J131" s="16" t="n">
        <v>100</v>
      </c>
      <c r="K131" s="16" t="n">
        <v>100</v>
      </c>
      <c r="L131" s="16" t="n">
        <v>100</v>
      </c>
      <c r="M131" s="16" t="n">
        <v>100</v>
      </c>
      <c r="N131" s="4">
        <f>Работы!S133</f>
        <v/>
      </c>
      <c r="O131" s="4">
        <f>Работы!R133</f>
        <v/>
      </c>
      <c r="P131" s="16" t="n">
        <v>100</v>
      </c>
      <c r="Q131" s="16" t="n">
        <v>100</v>
      </c>
      <c r="R131" s="16" t="n">
        <v>100</v>
      </c>
      <c r="S131" s="16" t="n">
        <v>100</v>
      </c>
      <c r="T131" s="16" t="n">
        <v>100</v>
      </c>
      <c r="U131" s="16" t="n">
        <v>100</v>
      </c>
      <c r="V131" s="16" t="n">
        <v>100</v>
      </c>
      <c r="W131" s="16" t="n">
        <v>100</v>
      </c>
      <c r="X131" s="16" t="n">
        <v>100</v>
      </c>
      <c r="Y131" s="16" t="n">
        <v>100</v>
      </c>
      <c r="Z131" s="16" t="n">
        <v>100</v>
      </c>
      <c r="AA131" s="16" t="n">
        <v>100</v>
      </c>
    </row>
    <row r="132">
      <c r="A132" s="3" t="inlineStr">
        <is>
          <t>Металлоконструкци</t>
        </is>
      </c>
      <c r="B132" s="3" t="inlineStr">
        <is>
          <t>Труба профилированная</t>
        </is>
      </c>
      <c r="C132" s="3" t="inlineStr">
        <is>
          <t>Замена</t>
        </is>
      </c>
      <c r="D132" s="3" t="inlineStr">
        <is>
          <t>Металлическая профилированная труба 50х50х2 мм</t>
        </is>
      </c>
      <c r="E132" s="4">
        <f>N132+O132</f>
        <v/>
      </c>
      <c r="F132" s="3" t="inlineStr">
        <is>
          <t>м.п.</t>
        </is>
      </c>
      <c r="G132" s="4">
        <f>IFERROR('[1]Лист1'!G132,100)</f>
        <v/>
      </c>
      <c r="H132" s="16" t="n">
        <v>100</v>
      </c>
      <c r="I132" s="16" t="n">
        <v>100</v>
      </c>
      <c r="J132" s="16" t="n">
        <v>100</v>
      </c>
      <c r="K132" s="16" t="n">
        <v>100</v>
      </c>
      <c r="L132" s="16" t="n">
        <v>100</v>
      </c>
      <c r="M132" s="16" t="n">
        <v>100</v>
      </c>
      <c r="N132" s="4">
        <f>Работы!S134</f>
        <v/>
      </c>
      <c r="O132" s="4">
        <f>Работы!R134</f>
        <v/>
      </c>
      <c r="P132" s="16" t="n">
        <v>100</v>
      </c>
      <c r="Q132" s="16" t="n">
        <v>100</v>
      </c>
      <c r="R132" s="16" t="n">
        <v>100</v>
      </c>
      <c r="S132" s="16" t="n">
        <v>100</v>
      </c>
      <c r="T132" s="16" t="n">
        <v>100</v>
      </c>
      <c r="U132" s="16" t="n">
        <v>100</v>
      </c>
      <c r="V132" s="16" t="n">
        <v>100</v>
      </c>
      <c r="W132" s="16" t="n">
        <v>100</v>
      </c>
      <c r="X132" s="16" t="n">
        <v>100</v>
      </c>
      <c r="Y132" s="16" t="n">
        <v>100</v>
      </c>
      <c r="Z132" s="16" t="n">
        <v>100</v>
      </c>
      <c r="AA132" s="16" t="n">
        <v>100</v>
      </c>
    </row>
    <row r="133">
      <c r="A133" s="3" t="inlineStr">
        <is>
          <t>Металлоконструкци</t>
        </is>
      </c>
      <c r="B133" s="3" t="inlineStr">
        <is>
          <t>Труба профилированная</t>
        </is>
      </c>
      <c r="C133" s="3" t="inlineStr">
        <is>
          <t>Замена</t>
        </is>
      </c>
      <c r="D133" s="3" t="inlineStr">
        <is>
          <t>Металлическая профилированная труба 60х60x2 мм</t>
        </is>
      </c>
      <c r="E133" s="4">
        <f>N133+O133</f>
        <v/>
      </c>
      <c r="F133" s="3" t="inlineStr">
        <is>
          <t>м.п.</t>
        </is>
      </c>
      <c r="G133" s="4">
        <f>IFERROR('[1]Лист1'!G133,100)</f>
        <v/>
      </c>
      <c r="H133" s="16" t="n">
        <v>100</v>
      </c>
      <c r="I133" s="16" t="n">
        <v>100</v>
      </c>
      <c r="J133" s="16" t="n">
        <v>100</v>
      </c>
      <c r="K133" s="16" t="n">
        <v>100</v>
      </c>
      <c r="L133" s="16" t="n">
        <v>100</v>
      </c>
      <c r="M133" s="16" t="n">
        <v>100</v>
      </c>
      <c r="N133" s="4">
        <f>Работы!S135</f>
        <v/>
      </c>
      <c r="O133" s="4">
        <f>Работы!R135</f>
        <v/>
      </c>
      <c r="P133" s="16" t="n">
        <v>100</v>
      </c>
      <c r="Q133" s="16" t="n">
        <v>100</v>
      </c>
      <c r="R133" s="16" t="n">
        <v>100</v>
      </c>
      <c r="S133" s="16" t="n">
        <v>100</v>
      </c>
      <c r="T133" s="16" t="n">
        <v>100</v>
      </c>
      <c r="U133" s="16" t="n">
        <v>100</v>
      </c>
      <c r="V133" s="16" t="n">
        <v>100</v>
      </c>
      <c r="W133" s="16" t="n">
        <v>100</v>
      </c>
      <c r="X133" s="16" t="n">
        <v>100</v>
      </c>
      <c r="Y133" s="16" t="n">
        <v>100</v>
      </c>
      <c r="Z133" s="16" t="n">
        <v>100</v>
      </c>
      <c r="AA133" s="16" t="n">
        <v>100</v>
      </c>
    </row>
    <row r="134">
      <c r="A134" s="3" t="inlineStr">
        <is>
          <t>Металлоконструкци</t>
        </is>
      </c>
      <c r="B134" s="3" t="inlineStr">
        <is>
          <t>Труба профилированная</t>
        </is>
      </c>
      <c r="C134" s="3" t="inlineStr">
        <is>
          <t>Замена</t>
        </is>
      </c>
      <c r="D134" s="3" t="inlineStr">
        <is>
          <t>Металлическая профилированная труба 80х60x2 мм</t>
        </is>
      </c>
      <c r="E134" s="4">
        <f>N134+O134</f>
        <v/>
      </c>
      <c r="F134" s="3" t="inlineStr">
        <is>
          <t>м.п.</t>
        </is>
      </c>
      <c r="G134" s="4">
        <f>IFERROR('[1]Лист1'!G134,100)</f>
        <v/>
      </c>
      <c r="H134" s="16" t="n">
        <v>100</v>
      </c>
      <c r="I134" s="16" t="n">
        <v>100</v>
      </c>
      <c r="J134" s="16" t="n">
        <v>100</v>
      </c>
      <c r="K134" s="16" t="n">
        <v>100</v>
      </c>
      <c r="L134" s="16" t="n">
        <v>100</v>
      </c>
      <c r="M134" s="16" t="n">
        <v>100</v>
      </c>
      <c r="N134" s="4">
        <f>Работы!S136</f>
        <v/>
      </c>
      <c r="O134" s="4">
        <f>Работы!R136</f>
        <v/>
      </c>
      <c r="P134" s="16" t="n">
        <v>100</v>
      </c>
      <c r="Q134" s="16" t="n">
        <v>100</v>
      </c>
      <c r="R134" s="16" t="n">
        <v>100</v>
      </c>
      <c r="S134" s="16" t="n">
        <v>100</v>
      </c>
      <c r="T134" s="16" t="n">
        <v>100</v>
      </c>
      <c r="U134" s="16" t="n">
        <v>100</v>
      </c>
      <c r="V134" s="16" t="n">
        <v>100</v>
      </c>
      <c r="W134" s="16" t="n">
        <v>100</v>
      </c>
      <c r="X134" s="16" t="n">
        <v>100</v>
      </c>
      <c r="Y134" s="16" t="n">
        <v>100</v>
      </c>
      <c r="Z134" s="16" t="n">
        <v>100</v>
      </c>
      <c r="AA134" s="16" t="n">
        <v>100</v>
      </c>
    </row>
    <row r="135">
      <c r="A135" s="3" t="inlineStr">
        <is>
          <t>Металлоконструкци</t>
        </is>
      </c>
      <c r="B135" s="3" t="inlineStr">
        <is>
          <t>Труба профилированная</t>
        </is>
      </c>
      <c r="C135" s="3" t="inlineStr">
        <is>
          <t>Замена</t>
        </is>
      </c>
      <c r="D135" s="3" t="inlineStr">
        <is>
          <t>Металлическая профилированная труба 80х80x4 мм</t>
        </is>
      </c>
      <c r="E135" s="4">
        <f>N135+O135</f>
        <v/>
      </c>
      <c r="F135" s="3" t="inlineStr">
        <is>
          <t>м.п.</t>
        </is>
      </c>
      <c r="G135" s="4">
        <f>IFERROR('[1]Лист1'!G135,100)</f>
        <v/>
      </c>
      <c r="H135" s="16" t="n">
        <v>100</v>
      </c>
      <c r="I135" s="16" t="n">
        <v>100</v>
      </c>
      <c r="J135" s="16" t="n">
        <v>100</v>
      </c>
      <c r="K135" s="16" t="n">
        <v>100</v>
      </c>
      <c r="L135" s="16" t="n">
        <v>100</v>
      </c>
      <c r="M135" s="16" t="n">
        <v>100</v>
      </c>
      <c r="N135" s="4">
        <f>Работы!S137</f>
        <v/>
      </c>
      <c r="O135" s="4">
        <f>Работы!R137</f>
        <v/>
      </c>
      <c r="P135" s="16" t="n">
        <v>100</v>
      </c>
      <c r="Q135" s="16" t="n">
        <v>100</v>
      </c>
      <c r="R135" s="16" t="n">
        <v>100</v>
      </c>
      <c r="S135" s="16" t="n">
        <v>100</v>
      </c>
      <c r="T135" s="16" t="n">
        <v>100</v>
      </c>
      <c r="U135" s="16" t="n">
        <v>100</v>
      </c>
      <c r="V135" s="16" t="n">
        <v>100</v>
      </c>
      <c r="W135" s="16" t="n">
        <v>100</v>
      </c>
      <c r="X135" s="16" t="n">
        <v>100</v>
      </c>
      <c r="Y135" s="16" t="n">
        <v>100</v>
      </c>
      <c r="Z135" s="16" t="n">
        <v>100</v>
      </c>
      <c r="AA135" s="16" t="n">
        <v>100</v>
      </c>
    </row>
    <row r="136">
      <c r="A136" s="3" t="inlineStr">
        <is>
          <t>Металлоконструкци</t>
        </is>
      </c>
      <c r="B136" s="3" t="inlineStr">
        <is>
          <t>Труба профилированная</t>
        </is>
      </c>
      <c r="C136" s="3" t="inlineStr">
        <is>
          <t>Замена</t>
        </is>
      </c>
      <c r="D136" s="3" t="inlineStr">
        <is>
          <t>Металлическая профилированная труба 100х100x5 мм</t>
        </is>
      </c>
      <c r="E136" s="4">
        <f>N136+O136</f>
        <v/>
      </c>
      <c r="F136" s="3" t="inlineStr">
        <is>
          <t>м.п.</t>
        </is>
      </c>
      <c r="G136" s="4">
        <f>IFERROR('[1]Лист1'!G136,100)</f>
        <v/>
      </c>
      <c r="H136" s="16" t="n">
        <v>100</v>
      </c>
      <c r="I136" s="16" t="n">
        <v>100</v>
      </c>
      <c r="J136" s="16" t="n">
        <v>100</v>
      </c>
      <c r="K136" s="16" t="n">
        <v>100</v>
      </c>
      <c r="L136" s="16" t="n">
        <v>100</v>
      </c>
      <c r="M136" s="16" t="n">
        <v>100</v>
      </c>
      <c r="N136" s="4">
        <f>Работы!S138</f>
        <v/>
      </c>
      <c r="O136" s="4">
        <f>Работы!R138</f>
        <v/>
      </c>
      <c r="P136" s="16" t="n">
        <v>100</v>
      </c>
      <c r="Q136" s="16" t="n">
        <v>100</v>
      </c>
      <c r="R136" s="16" t="n">
        <v>100</v>
      </c>
      <c r="S136" s="16" t="n">
        <v>100</v>
      </c>
      <c r="T136" s="16" t="n">
        <v>100</v>
      </c>
      <c r="U136" s="16" t="n">
        <v>100</v>
      </c>
      <c r="V136" s="16" t="n">
        <v>100</v>
      </c>
      <c r="W136" s="16" t="n">
        <v>100</v>
      </c>
      <c r="X136" s="16" t="n">
        <v>100</v>
      </c>
      <c r="Y136" s="16" t="n">
        <v>100</v>
      </c>
      <c r="Z136" s="16" t="n">
        <v>100</v>
      </c>
      <c r="AA136" s="16" t="n">
        <v>100</v>
      </c>
    </row>
    <row r="137">
      <c r="A137" s="3" t="inlineStr">
        <is>
          <t>Металлоконструкци</t>
        </is>
      </c>
      <c r="B137" s="3" t="inlineStr">
        <is>
          <t>Труба профилированная</t>
        </is>
      </c>
      <c r="C137" s="3" t="inlineStr">
        <is>
          <t>Замена</t>
        </is>
      </c>
      <c r="D137" s="3" t="inlineStr">
        <is>
          <t>Металлическая профилированная труба 60х60x4 мм</t>
        </is>
      </c>
      <c r="E137" s="4">
        <f>N137+O137</f>
        <v/>
      </c>
      <c r="F137" s="3" t="inlineStr">
        <is>
          <t>м.п.</t>
        </is>
      </c>
      <c r="G137" s="4">
        <f>IFERROR('[1]Лист1'!G137,100)</f>
        <v/>
      </c>
      <c r="H137" s="16" t="n">
        <v>100</v>
      </c>
      <c r="I137" s="16" t="n">
        <v>100</v>
      </c>
      <c r="J137" s="16" t="n">
        <v>100</v>
      </c>
      <c r="K137" s="16" t="n">
        <v>100</v>
      </c>
      <c r="L137" s="16" t="n">
        <v>100</v>
      </c>
      <c r="M137" s="16" t="n">
        <v>100</v>
      </c>
      <c r="N137" s="4">
        <f>Работы!S139</f>
        <v/>
      </c>
      <c r="O137" s="4">
        <f>Работы!R139</f>
        <v/>
      </c>
      <c r="P137" s="16" t="n">
        <v>100</v>
      </c>
      <c r="Q137" s="16" t="n">
        <v>100</v>
      </c>
      <c r="R137" s="16" t="n">
        <v>100</v>
      </c>
      <c r="S137" s="16" t="n">
        <v>100</v>
      </c>
      <c r="T137" s="16" t="n">
        <v>100</v>
      </c>
      <c r="U137" s="16" t="n">
        <v>100</v>
      </c>
      <c r="V137" s="16" t="n">
        <v>100</v>
      </c>
      <c r="W137" s="16" t="n">
        <v>100</v>
      </c>
      <c r="X137" s="16" t="n">
        <v>100</v>
      </c>
      <c r="Y137" s="16" t="n">
        <v>100</v>
      </c>
      <c r="Z137" s="16" t="n">
        <v>100</v>
      </c>
      <c r="AA137" s="16" t="n">
        <v>100</v>
      </c>
    </row>
    <row r="138">
      <c r="A138" s="3" t="inlineStr">
        <is>
          <t>Металлоконструкци</t>
        </is>
      </c>
      <c r="B138" s="3" t="inlineStr">
        <is>
          <t>Уголок стальной</t>
        </is>
      </c>
      <c r="C138" s="3" t="inlineStr">
        <is>
          <t>Замена</t>
        </is>
      </c>
      <c r="D138" s="3" t="inlineStr">
        <is>
          <t>Уголок стальной 25х25х4 мм</t>
        </is>
      </c>
      <c r="E138" s="4">
        <f>N138+O138</f>
        <v/>
      </c>
      <c r="F138" s="3" t="inlineStr">
        <is>
          <t>м.п.</t>
        </is>
      </c>
      <c r="G138" s="4">
        <f>IFERROR('[1]Лист1'!G138,100)</f>
        <v/>
      </c>
      <c r="H138" s="16" t="n">
        <v>100</v>
      </c>
      <c r="I138" s="16" t="n">
        <v>100</v>
      </c>
      <c r="J138" s="16" t="n">
        <v>100</v>
      </c>
      <c r="K138" s="16" t="n">
        <v>100</v>
      </c>
      <c r="L138" s="16" t="n">
        <v>100</v>
      </c>
      <c r="M138" s="16" t="n">
        <v>100</v>
      </c>
      <c r="N138" s="4">
        <f>Работы!S140</f>
        <v/>
      </c>
      <c r="O138" s="4">
        <f>Работы!R140</f>
        <v/>
      </c>
      <c r="P138" s="16" t="n">
        <v>100</v>
      </c>
      <c r="Q138" s="16" t="n">
        <v>100</v>
      </c>
      <c r="R138" s="16" t="n">
        <v>100</v>
      </c>
      <c r="S138" s="16" t="n">
        <v>100</v>
      </c>
      <c r="T138" s="16" t="n">
        <v>100</v>
      </c>
      <c r="U138" s="16" t="n">
        <v>100</v>
      </c>
      <c r="V138" s="16" t="n">
        <v>100</v>
      </c>
      <c r="W138" s="16" t="n">
        <v>100</v>
      </c>
      <c r="X138" s="16" t="n">
        <v>100</v>
      </c>
      <c r="Y138" s="16" t="n">
        <v>100</v>
      </c>
      <c r="Z138" s="16" t="n">
        <v>100</v>
      </c>
      <c r="AA138" s="16" t="n">
        <v>100</v>
      </c>
    </row>
    <row r="139">
      <c r="A139" s="3" t="inlineStr">
        <is>
          <t>Металлоконструкци</t>
        </is>
      </c>
      <c r="B139" s="3" t="inlineStr">
        <is>
          <t>Уголок стальной</t>
        </is>
      </c>
      <c r="C139" s="3" t="inlineStr">
        <is>
          <t>Замена</t>
        </is>
      </c>
      <c r="D139" s="3" t="inlineStr">
        <is>
          <t>Уголок стальной 35х35х4 мм</t>
        </is>
      </c>
      <c r="E139" s="4">
        <f>N139+O139</f>
        <v/>
      </c>
      <c r="F139" s="3" t="inlineStr">
        <is>
          <t>м.п.</t>
        </is>
      </c>
      <c r="G139" s="4">
        <f>IFERROR('[1]Лист1'!G139,100)</f>
        <v/>
      </c>
      <c r="H139" s="16" t="n">
        <v>100</v>
      </c>
      <c r="I139" s="16" t="n">
        <v>100</v>
      </c>
      <c r="J139" s="16" t="n">
        <v>100</v>
      </c>
      <c r="K139" s="16" t="n">
        <v>100</v>
      </c>
      <c r="L139" s="16" t="n">
        <v>100</v>
      </c>
      <c r="M139" s="16" t="n">
        <v>100</v>
      </c>
      <c r="N139" s="4">
        <f>Работы!S141</f>
        <v/>
      </c>
      <c r="O139" s="4">
        <f>Работы!R141</f>
        <v/>
      </c>
      <c r="P139" s="16" t="n">
        <v>100</v>
      </c>
      <c r="Q139" s="16" t="n">
        <v>100</v>
      </c>
      <c r="R139" s="16" t="n">
        <v>100</v>
      </c>
      <c r="S139" s="16" t="n">
        <v>100</v>
      </c>
      <c r="T139" s="16" t="n">
        <v>100</v>
      </c>
      <c r="U139" s="16" t="n">
        <v>100</v>
      </c>
      <c r="V139" s="16" t="n">
        <v>100</v>
      </c>
      <c r="W139" s="16" t="n">
        <v>100</v>
      </c>
      <c r="X139" s="16" t="n">
        <v>100</v>
      </c>
      <c r="Y139" s="16" t="n">
        <v>100</v>
      </c>
      <c r="Z139" s="16" t="n">
        <v>100</v>
      </c>
      <c r="AA139" s="16" t="n">
        <v>100</v>
      </c>
    </row>
    <row r="140">
      <c r="A140" s="3" t="inlineStr">
        <is>
          <t>Металлоконструкци</t>
        </is>
      </c>
      <c r="B140" s="3" t="inlineStr">
        <is>
          <t>Уголок стальной</t>
        </is>
      </c>
      <c r="C140" s="3" t="inlineStr">
        <is>
          <t>Замена</t>
        </is>
      </c>
      <c r="D140" s="3" t="inlineStr">
        <is>
          <t>Уголок стальной 45х45х4 мм</t>
        </is>
      </c>
      <c r="E140" s="4">
        <f>N140+O140</f>
        <v/>
      </c>
      <c r="F140" s="3" t="inlineStr">
        <is>
          <t>м.п.</t>
        </is>
      </c>
      <c r="G140" s="4">
        <f>IFERROR('[1]Лист1'!G140,100)</f>
        <v/>
      </c>
      <c r="H140" s="16" t="n">
        <v>100</v>
      </c>
      <c r="I140" s="16" t="n">
        <v>100</v>
      </c>
      <c r="J140" s="16" t="n">
        <v>100</v>
      </c>
      <c r="K140" s="16" t="n">
        <v>100</v>
      </c>
      <c r="L140" s="16" t="n">
        <v>100</v>
      </c>
      <c r="M140" s="16" t="n">
        <v>100</v>
      </c>
      <c r="N140" s="4">
        <f>Работы!S142</f>
        <v/>
      </c>
      <c r="O140" s="4">
        <f>Работы!R142</f>
        <v/>
      </c>
      <c r="P140" s="16" t="n">
        <v>100</v>
      </c>
      <c r="Q140" s="16" t="n">
        <v>100</v>
      </c>
      <c r="R140" s="16" t="n">
        <v>100</v>
      </c>
      <c r="S140" s="16" t="n">
        <v>100</v>
      </c>
      <c r="T140" s="16" t="n">
        <v>100</v>
      </c>
      <c r="U140" s="16" t="n">
        <v>100</v>
      </c>
      <c r="V140" s="16" t="n">
        <v>100</v>
      </c>
      <c r="W140" s="16" t="n">
        <v>100</v>
      </c>
      <c r="X140" s="16" t="n">
        <v>100</v>
      </c>
      <c r="Y140" s="16" t="n">
        <v>100</v>
      </c>
      <c r="Z140" s="16" t="n">
        <v>100</v>
      </c>
      <c r="AA140" s="16" t="n">
        <v>100</v>
      </c>
    </row>
    <row r="141">
      <c r="A141" s="3" t="inlineStr">
        <is>
          <t>Металлоконструкци</t>
        </is>
      </c>
      <c r="B141" s="3" t="inlineStr">
        <is>
          <t>Уголок стальной</t>
        </is>
      </c>
      <c r="C141" s="3" t="inlineStr">
        <is>
          <t>Замена</t>
        </is>
      </c>
      <c r="D141" s="3" t="inlineStr">
        <is>
          <t>Уголок стальной 50х50х5 мм</t>
        </is>
      </c>
      <c r="E141" s="4">
        <f>N141+O141</f>
        <v/>
      </c>
      <c r="F141" s="3" t="inlineStr">
        <is>
          <t>м.п.</t>
        </is>
      </c>
      <c r="G141" s="4">
        <f>IFERROR('[1]Лист1'!G141,100)</f>
        <v/>
      </c>
      <c r="H141" s="16" t="n">
        <v>100</v>
      </c>
      <c r="I141" s="16" t="n">
        <v>100</v>
      </c>
      <c r="J141" s="16" t="n">
        <v>100</v>
      </c>
      <c r="K141" s="16" t="n">
        <v>100</v>
      </c>
      <c r="L141" s="16" t="n">
        <v>100</v>
      </c>
      <c r="M141" s="16" t="n">
        <v>100</v>
      </c>
      <c r="N141" s="4">
        <f>Работы!S143</f>
        <v/>
      </c>
      <c r="O141" s="4">
        <f>Работы!R143</f>
        <v/>
      </c>
      <c r="P141" s="16" t="n">
        <v>100</v>
      </c>
      <c r="Q141" s="16" t="n">
        <v>100</v>
      </c>
      <c r="R141" s="16" t="n">
        <v>100</v>
      </c>
      <c r="S141" s="16" t="n">
        <v>100</v>
      </c>
      <c r="T141" s="16" t="n">
        <v>100</v>
      </c>
      <c r="U141" s="16" t="n">
        <v>100</v>
      </c>
      <c r="V141" s="16" t="n">
        <v>100</v>
      </c>
      <c r="W141" s="16" t="n">
        <v>100</v>
      </c>
      <c r="X141" s="16" t="n">
        <v>100</v>
      </c>
      <c r="Y141" s="16" t="n">
        <v>100</v>
      </c>
      <c r="Z141" s="16" t="n">
        <v>100</v>
      </c>
      <c r="AA141" s="16" t="n">
        <v>100</v>
      </c>
    </row>
    <row r="142">
      <c r="A142" s="3" t="inlineStr">
        <is>
          <t>Металлоконструкци</t>
        </is>
      </c>
      <c r="B142" s="3" t="inlineStr">
        <is>
          <t>Уголок стальной</t>
        </is>
      </c>
      <c r="C142" s="3" t="inlineStr">
        <is>
          <t>Замена</t>
        </is>
      </c>
      <c r="D142" s="3" t="inlineStr">
        <is>
          <t>Уголок стальной 63х63х6 мм</t>
        </is>
      </c>
      <c r="E142" s="4">
        <f>N142+O142</f>
        <v/>
      </c>
      <c r="F142" s="3" t="inlineStr">
        <is>
          <t>м.п.</t>
        </is>
      </c>
      <c r="G142" s="4">
        <f>IFERROR('[1]Лист1'!G142,100)</f>
        <v/>
      </c>
      <c r="H142" s="16" t="n">
        <v>100</v>
      </c>
      <c r="I142" s="16" t="n">
        <v>100</v>
      </c>
      <c r="J142" s="16" t="n">
        <v>100</v>
      </c>
      <c r="K142" s="16" t="n">
        <v>100</v>
      </c>
      <c r="L142" s="16" t="n">
        <v>100</v>
      </c>
      <c r="M142" s="16" t="n">
        <v>100</v>
      </c>
      <c r="N142" s="4">
        <f>Работы!S144</f>
        <v/>
      </c>
      <c r="O142" s="4">
        <f>Работы!R144</f>
        <v/>
      </c>
      <c r="P142" s="16" t="n">
        <v>100</v>
      </c>
      <c r="Q142" s="16" t="n">
        <v>100</v>
      </c>
      <c r="R142" s="16" t="n">
        <v>100</v>
      </c>
      <c r="S142" s="16" t="n">
        <v>100</v>
      </c>
      <c r="T142" s="16" t="n">
        <v>100</v>
      </c>
      <c r="U142" s="16" t="n">
        <v>100</v>
      </c>
      <c r="V142" s="16" t="n">
        <v>100</v>
      </c>
      <c r="W142" s="16" t="n">
        <v>100</v>
      </c>
      <c r="X142" s="16" t="n">
        <v>100</v>
      </c>
      <c r="Y142" s="16" t="n">
        <v>100</v>
      </c>
      <c r="Z142" s="16" t="n">
        <v>100</v>
      </c>
      <c r="AA142" s="16" t="n">
        <v>100</v>
      </c>
    </row>
    <row r="143">
      <c r="A143" s="3" t="inlineStr">
        <is>
          <t>Металлоконструкци</t>
        </is>
      </c>
      <c r="B143" s="3" t="inlineStr">
        <is>
          <t>Уголок стальной</t>
        </is>
      </c>
      <c r="C143" s="3" t="inlineStr">
        <is>
          <t>Замена</t>
        </is>
      </c>
      <c r="D143" s="3" t="inlineStr">
        <is>
          <t>Уголок стальной 75х75х6 мм</t>
        </is>
      </c>
      <c r="E143" s="4">
        <f>N143+O143</f>
        <v/>
      </c>
      <c r="F143" s="3" t="inlineStr">
        <is>
          <t>м.п.</t>
        </is>
      </c>
      <c r="G143" s="4">
        <f>IFERROR('[1]Лист1'!G143,100)</f>
        <v/>
      </c>
      <c r="H143" s="16" t="n">
        <v>100</v>
      </c>
      <c r="I143" s="16" t="n">
        <v>100</v>
      </c>
      <c r="J143" s="16" t="n">
        <v>100</v>
      </c>
      <c r="K143" s="16" t="n">
        <v>100</v>
      </c>
      <c r="L143" s="16" t="n">
        <v>100</v>
      </c>
      <c r="M143" s="16" t="n">
        <v>100</v>
      </c>
      <c r="N143" s="4">
        <f>Работы!S145</f>
        <v/>
      </c>
      <c r="O143" s="4">
        <f>Работы!R145</f>
        <v/>
      </c>
      <c r="P143" s="16" t="n">
        <v>100</v>
      </c>
      <c r="Q143" s="16" t="n">
        <v>100</v>
      </c>
      <c r="R143" s="16" t="n">
        <v>100</v>
      </c>
      <c r="S143" s="16" t="n">
        <v>100</v>
      </c>
      <c r="T143" s="16" t="n">
        <v>100</v>
      </c>
      <c r="U143" s="16" t="n">
        <v>100</v>
      </c>
      <c r="V143" s="16" t="n">
        <v>100</v>
      </c>
      <c r="W143" s="16" t="n">
        <v>100</v>
      </c>
      <c r="X143" s="16" t="n">
        <v>100</v>
      </c>
      <c r="Y143" s="16" t="n">
        <v>100</v>
      </c>
      <c r="Z143" s="16" t="n">
        <v>100</v>
      </c>
      <c r="AA143" s="16" t="n">
        <v>100</v>
      </c>
    </row>
    <row r="144">
      <c r="A144" s="3" t="inlineStr">
        <is>
          <t>Металлоконструкци</t>
        </is>
      </c>
      <c r="B144" s="3" t="inlineStr">
        <is>
          <t>Уголок стальной</t>
        </is>
      </c>
      <c r="C144" s="3" t="inlineStr">
        <is>
          <t>Замена</t>
        </is>
      </c>
      <c r="D144" s="3" t="inlineStr">
        <is>
          <t>Уголок стальной 100х100х7 мм</t>
        </is>
      </c>
      <c r="E144" s="4">
        <f>N144+O144</f>
        <v/>
      </c>
      <c r="F144" s="3" t="inlineStr">
        <is>
          <t>м.п.</t>
        </is>
      </c>
      <c r="G144" s="4">
        <f>IFERROR('[1]Лист1'!G144,100)</f>
        <v/>
      </c>
      <c r="H144" s="16" t="n">
        <v>100</v>
      </c>
      <c r="I144" s="16" t="n">
        <v>100</v>
      </c>
      <c r="J144" s="16" t="n">
        <v>100</v>
      </c>
      <c r="K144" s="16" t="n">
        <v>100</v>
      </c>
      <c r="L144" s="16" t="n">
        <v>100</v>
      </c>
      <c r="M144" s="16" t="n">
        <v>100</v>
      </c>
      <c r="N144" s="4">
        <f>Работы!S146</f>
        <v/>
      </c>
      <c r="O144" s="4">
        <f>Работы!R146</f>
        <v/>
      </c>
      <c r="P144" s="16" t="n">
        <v>100</v>
      </c>
      <c r="Q144" s="16" t="n">
        <v>100</v>
      </c>
      <c r="R144" s="16" t="n">
        <v>100</v>
      </c>
      <c r="S144" s="16" t="n">
        <v>100</v>
      </c>
      <c r="T144" s="16" t="n">
        <v>100</v>
      </c>
      <c r="U144" s="16" t="n">
        <v>100</v>
      </c>
      <c r="V144" s="16" t="n">
        <v>100</v>
      </c>
      <c r="W144" s="16" t="n">
        <v>100</v>
      </c>
      <c r="X144" s="16" t="n">
        <v>100</v>
      </c>
      <c r="Y144" s="16" t="n">
        <v>100</v>
      </c>
      <c r="Z144" s="16" t="n">
        <v>100</v>
      </c>
      <c r="AA144" s="16" t="n">
        <v>100</v>
      </c>
    </row>
    <row r="145">
      <c r="A145" s="3" t="inlineStr">
        <is>
          <t>Металлоконструкци</t>
        </is>
      </c>
      <c r="B145" s="3" t="inlineStr">
        <is>
          <t>Отбойники</t>
        </is>
      </c>
      <c r="C145" s="3" t="inlineStr">
        <is>
          <t>Монтажные работы</t>
        </is>
      </c>
      <c r="D145" s="3" t="inlineStr">
        <is>
          <t>Отбойник угловой усиленный ОУУ-76 высота 350 мм.</t>
        </is>
      </c>
      <c r="E145" s="4">
        <f>N145+O145</f>
        <v/>
      </c>
      <c r="F145" s="3" t="inlineStr">
        <is>
          <t>м.п.</t>
        </is>
      </c>
      <c r="G145" s="4">
        <f>IFERROR('[1]Лист1'!G145,100)</f>
        <v/>
      </c>
      <c r="H145" s="16" t="n">
        <v>100</v>
      </c>
      <c r="I145" s="16" t="n">
        <v>100</v>
      </c>
      <c r="J145" s="16" t="n">
        <v>100</v>
      </c>
      <c r="K145" s="16" t="n">
        <v>100</v>
      </c>
      <c r="L145" s="16" t="n">
        <v>100</v>
      </c>
      <c r="M145" s="16" t="n">
        <v>100</v>
      </c>
      <c r="N145" s="4">
        <f>Работы!S147</f>
        <v/>
      </c>
      <c r="O145" s="4">
        <f>Работы!R147</f>
        <v/>
      </c>
      <c r="P145" s="16" t="n">
        <v>100</v>
      </c>
      <c r="Q145" s="16" t="n">
        <v>100</v>
      </c>
      <c r="R145" s="16" t="n">
        <v>100</v>
      </c>
      <c r="S145" s="16" t="n">
        <v>100</v>
      </c>
      <c r="T145" s="16" t="n">
        <v>100</v>
      </c>
      <c r="U145" s="16" t="n">
        <v>100</v>
      </c>
      <c r="V145" s="16" t="n">
        <v>100</v>
      </c>
      <c r="W145" s="16" t="n">
        <v>100</v>
      </c>
      <c r="X145" s="16" t="n">
        <v>100</v>
      </c>
      <c r="Y145" s="16" t="n">
        <v>100</v>
      </c>
      <c r="Z145" s="16" t="n">
        <v>100</v>
      </c>
      <c r="AA145" s="16" t="n">
        <v>100</v>
      </c>
    </row>
    <row r="146">
      <c r="A146" s="3" t="inlineStr">
        <is>
          <t>Металлоконструкци</t>
        </is>
      </c>
      <c r="B146" s="3" t="inlineStr">
        <is>
          <t>Отбойники</t>
        </is>
      </c>
      <c r="C146" s="3" t="inlineStr">
        <is>
          <t>Монтажные работы</t>
        </is>
      </c>
      <c r="D146" s="3" t="inlineStr">
        <is>
          <t>Прямой колесоотбойник КО-159.1.000 СБ</t>
        </is>
      </c>
      <c r="E146" s="4">
        <f>N146+O146</f>
        <v/>
      </c>
      <c r="F146" s="3" t="inlineStr">
        <is>
          <t>шт</t>
        </is>
      </c>
      <c r="G146" s="4">
        <f>IFERROR('[1]Лист1'!G146,100)</f>
        <v/>
      </c>
      <c r="H146" s="16" t="n">
        <v>100</v>
      </c>
      <c r="I146" s="16" t="n">
        <v>100</v>
      </c>
      <c r="J146" s="16" t="n">
        <v>100</v>
      </c>
      <c r="K146" s="16" t="n">
        <v>100</v>
      </c>
      <c r="L146" s="16" t="n">
        <v>100</v>
      </c>
      <c r="M146" s="16" t="n">
        <v>100</v>
      </c>
      <c r="N146" s="4">
        <f>Работы!S148</f>
        <v/>
      </c>
      <c r="O146" s="4">
        <f>Работы!R148</f>
        <v/>
      </c>
      <c r="P146" s="16" t="n">
        <v>100</v>
      </c>
      <c r="Q146" s="16" t="n">
        <v>100</v>
      </c>
      <c r="R146" s="16" t="n">
        <v>100</v>
      </c>
      <c r="S146" s="16" t="n">
        <v>100</v>
      </c>
      <c r="T146" s="16" t="n">
        <v>100</v>
      </c>
      <c r="U146" s="16" t="n">
        <v>100</v>
      </c>
      <c r="V146" s="16" t="n">
        <v>100</v>
      </c>
      <c r="W146" s="16" t="n">
        <v>100</v>
      </c>
      <c r="X146" s="16" t="n">
        <v>100</v>
      </c>
      <c r="Y146" s="16" t="n">
        <v>100</v>
      </c>
      <c r="Z146" s="16" t="n">
        <v>100</v>
      </c>
      <c r="AA146" s="16" t="n">
        <v>100</v>
      </c>
    </row>
    <row r="147">
      <c r="A147" s="3" t="inlineStr">
        <is>
          <t>Металлоконструкци</t>
        </is>
      </c>
      <c r="B147" s="3" t="inlineStr">
        <is>
          <t>Отбойники</t>
        </is>
      </c>
      <c r="C147" s="3" t="inlineStr">
        <is>
          <t>Монтажные работы</t>
        </is>
      </c>
      <c r="D147" s="3" t="inlineStr">
        <is>
          <t>Защита пожарных шкафов ЗПШ-06</t>
        </is>
      </c>
      <c r="E147" s="4">
        <f>N147+O147</f>
        <v/>
      </c>
      <c r="F147" s="3" t="inlineStr">
        <is>
          <t>шт</t>
        </is>
      </c>
      <c r="G147" s="4">
        <f>IFERROR('[1]Лист1'!G147,100)</f>
        <v/>
      </c>
      <c r="H147" s="16" t="n">
        <v>100</v>
      </c>
      <c r="I147" s="16" t="n">
        <v>100</v>
      </c>
      <c r="J147" s="16" t="n">
        <v>100</v>
      </c>
      <c r="K147" s="16" t="n">
        <v>100</v>
      </c>
      <c r="L147" s="16" t="n">
        <v>100</v>
      </c>
      <c r="M147" s="16" t="n">
        <v>100</v>
      </c>
      <c r="N147" s="4">
        <f>Работы!S149</f>
        <v/>
      </c>
      <c r="O147" s="4">
        <f>Работы!R149</f>
        <v/>
      </c>
      <c r="P147" s="16" t="n">
        <v>100</v>
      </c>
      <c r="Q147" s="16" t="n">
        <v>100</v>
      </c>
      <c r="R147" s="16" t="n">
        <v>100</v>
      </c>
      <c r="S147" s="16" t="n">
        <v>100</v>
      </c>
      <c r="T147" s="16" t="n">
        <v>100</v>
      </c>
      <c r="U147" s="16" t="n">
        <v>100</v>
      </c>
      <c r="V147" s="16" t="n">
        <v>100</v>
      </c>
      <c r="W147" s="16" t="n">
        <v>100</v>
      </c>
      <c r="X147" s="16" t="n">
        <v>100</v>
      </c>
      <c r="Y147" s="16" t="n">
        <v>100</v>
      </c>
      <c r="Z147" s="16" t="n">
        <v>100</v>
      </c>
      <c r="AA147" s="16" t="n">
        <v>100</v>
      </c>
    </row>
    <row r="148">
      <c r="A148" s="3" t="inlineStr">
        <is>
          <t>Металлоконструкци</t>
        </is>
      </c>
      <c r="B148" s="3" t="inlineStr">
        <is>
          <t xml:space="preserve"> Отбойники</t>
        </is>
      </c>
      <c r="C148" s="3" t="inlineStr">
        <is>
          <t>Монтажные работы</t>
        </is>
      </c>
      <c r="D148" s="3" t="inlineStr">
        <is>
          <t>Защита пожарных шкафов ЗПШ-04</t>
        </is>
      </c>
      <c r="E148" s="4">
        <f>N148+O148</f>
        <v/>
      </c>
      <c r="F148" s="3" t="inlineStr">
        <is>
          <t>шт</t>
        </is>
      </c>
      <c r="G148" s="4">
        <f>IFERROR('[1]Лист1'!G148,100)</f>
        <v/>
      </c>
      <c r="H148" s="16" t="n">
        <v>100</v>
      </c>
      <c r="I148" s="16" t="n">
        <v>100</v>
      </c>
      <c r="J148" s="16" t="n">
        <v>100</v>
      </c>
      <c r="K148" s="16" t="n">
        <v>100</v>
      </c>
      <c r="L148" s="16" t="n">
        <v>100</v>
      </c>
      <c r="M148" s="16" t="n">
        <v>100</v>
      </c>
      <c r="N148" s="4">
        <f>Работы!S150</f>
        <v/>
      </c>
      <c r="O148" s="4">
        <f>Работы!R150</f>
        <v/>
      </c>
      <c r="P148" s="16" t="n">
        <v>100</v>
      </c>
      <c r="Q148" s="16" t="n">
        <v>100</v>
      </c>
      <c r="R148" s="16" t="n">
        <v>100</v>
      </c>
      <c r="S148" s="16" t="n">
        <v>100</v>
      </c>
      <c r="T148" s="16" t="n">
        <v>100</v>
      </c>
      <c r="U148" s="16" t="n">
        <v>100</v>
      </c>
      <c r="V148" s="16" t="n">
        <v>100</v>
      </c>
      <c r="W148" s="16" t="n">
        <v>100</v>
      </c>
      <c r="X148" s="16" t="n">
        <v>100</v>
      </c>
      <c r="Y148" s="16" t="n">
        <v>100</v>
      </c>
      <c r="Z148" s="16" t="n">
        <v>100</v>
      </c>
      <c r="AA148" s="16" t="n">
        <v>100</v>
      </c>
    </row>
    <row r="149">
      <c r="A149" s="3" t="inlineStr">
        <is>
          <t>Металлоконструкци</t>
        </is>
      </c>
      <c r="B149" s="3" t="inlineStr">
        <is>
          <t>Отбойники</t>
        </is>
      </c>
      <c r="C149" s="3" t="inlineStr">
        <is>
          <t>Монтажные работы</t>
        </is>
      </c>
      <c r="D149" s="3" t="inlineStr">
        <is>
          <t>Отбойник П-образный ОПП-1</t>
        </is>
      </c>
      <c r="E149" s="4">
        <f>N149+O149</f>
        <v/>
      </c>
      <c r="F149" s="3" t="inlineStr">
        <is>
          <t>шт</t>
        </is>
      </c>
      <c r="G149" s="4">
        <f>IFERROR('[1]Лист1'!G149,100)</f>
        <v/>
      </c>
      <c r="H149" s="16" t="n">
        <v>100</v>
      </c>
      <c r="I149" s="16" t="n">
        <v>100</v>
      </c>
      <c r="J149" s="16" t="n">
        <v>100</v>
      </c>
      <c r="K149" s="16" t="n">
        <v>100</v>
      </c>
      <c r="L149" s="16" t="n">
        <v>100</v>
      </c>
      <c r="M149" s="16" t="n">
        <v>100</v>
      </c>
      <c r="N149" s="4">
        <f>Работы!S151</f>
        <v/>
      </c>
      <c r="O149" s="4">
        <f>Работы!R151</f>
        <v/>
      </c>
      <c r="P149" s="16" t="n">
        <v>100</v>
      </c>
      <c r="Q149" s="16" t="n">
        <v>100</v>
      </c>
      <c r="R149" s="16" t="n">
        <v>100</v>
      </c>
      <c r="S149" s="16" t="n">
        <v>100</v>
      </c>
      <c r="T149" s="16" t="n">
        <v>100</v>
      </c>
      <c r="U149" s="16" t="n">
        <v>100</v>
      </c>
      <c r="V149" s="16" t="n">
        <v>100</v>
      </c>
      <c r="W149" s="16" t="n">
        <v>100</v>
      </c>
      <c r="X149" s="16" t="n">
        <v>100</v>
      </c>
      <c r="Y149" s="16" t="n">
        <v>100</v>
      </c>
      <c r="Z149" s="16" t="n">
        <v>100</v>
      </c>
      <c r="AA149" s="16" t="n">
        <v>100</v>
      </c>
    </row>
    <row r="150">
      <c r="A150" s="3" t="inlineStr">
        <is>
          <t>Металлоконструкци</t>
        </is>
      </c>
      <c r="B150" s="3" t="inlineStr">
        <is>
          <t xml:space="preserve"> Отбойники</t>
        </is>
      </c>
      <c r="C150" s="3" t="inlineStr">
        <is>
          <t>Монтажные работы</t>
        </is>
      </c>
      <c r="D150" s="3" t="inlineStr">
        <is>
          <t>Колесоотбойник Ø159, направляющий (КМН-2ОТВ1П-159.2200-4,0)</t>
        </is>
      </c>
      <c r="E150" s="4">
        <f>N150+O150</f>
        <v/>
      </c>
      <c r="F150" s="3" t="inlineStr">
        <is>
          <t>шт</t>
        </is>
      </c>
      <c r="G150" s="4">
        <f>IFERROR('[1]Лист1'!G150,100)</f>
        <v/>
      </c>
      <c r="H150" s="16" t="n">
        <v>100</v>
      </c>
      <c r="I150" s="16" t="n">
        <v>100</v>
      </c>
      <c r="J150" s="16" t="n">
        <v>100</v>
      </c>
      <c r="K150" s="16" t="n">
        <v>100</v>
      </c>
      <c r="L150" s="16" t="n">
        <v>100</v>
      </c>
      <c r="M150" s="16" t="n">
        <v>100</v>
      </c>
      <c r="N150" s="4">
        <f>Работы!S152</f>
        <v/>
      </c>
      <c r="O150" s="4">
        <f>Работы!R152</f>
        <v/>
      </c>
      <c r="P150" s="16" t="n">
        <v>100</v>
      </c>
      <c r="Q150" s="16" t="n">
        <v>100</v>
      </c>
      <c r="R150" s="16" t="n">
        <v>100</v>
      </c>
      <c r="S150" s="16" t="n">
        <v>100</v>
      </c>
      <c r="T150" s="16" t="n">
        <v>100</v>
      </c>
      <c r="U150" s="16" t="n">
        <v>100</v>
      </c>
      <c r="V150" s="16" t="n">
        <v>100</v>
      </c>
      <c r="W150" s="16" t="n">
        <v>100</v>
      </c>
      <c r="X150" s="16" t="n">
        <v>100</v>
      </c>
      <c r="Y150" s="16" t="n">
        <v>100</v>
      </c>
      <c r="Z150" s="16" t="n">
        <v>100</v>
      </c>
      <c r="AA150" s="16" t="n">
        <v>100</v>
      </c>
    </row>
    <row r="151">
      <c r="A151" s="3" t="inlineStr">
        <is>
          <t>Металлоконструкци</t>
        </is>
      </c>
      <c r="B151" s="3" t="inlineStr">
        <is>
          <t xml:space="preserve"> Отбойники</t>
        </is>
      </c>
      <c r="C151" s="3" t="inlineStr">
        <is>
          <t>Монтажные работы</t>
        </is>
      </c>
      <c r="D151" s="3" t="inlineStr">
        <is>
          <t>Отбойник металлический для защиты пожарных шкафов ОЗ-4.76/ ST-97</t>
        </is>
      </c>
      <c r="E151" s="4">
        <f>N151+O151</f>
        <v/>
      </c>
      <c r="F151" s="3" t="inlineStr">
        <is>
          <t>шт</t>
        </is>
      </c>
      <c r="G151" s="4">
        <f>IFERROR('[1]Лист1'!G151,100)</f>
        <v/>
      </c>
      <c r="H151" s="16" t="n">
        <v>100</v>
      </c>
      <c r="I151" s="16" t="n">
        <v>100</v>
      </c>
      <c r="J151" s="16" t="n">
        <v>100</v>
      </c>
      <c r="K151" s="16" t="n">
        <v>100</v>
      </c>
      <c r="L151" s="16" t="n">
        <v>100</v>
      </c>
      <c r="M151" s="16" t="n">
        <v>100</v>
      </c>
      <c r="N151" s="4">
        <f>Работы!S153</f>
        <v/>
      </c>
      <c r="O151" s="4">
        <f>Работы!R153</f>
        <v/>
      </c>
      <c r="P151" s="16" t="n">
        <v>100</v>
      </c>
      <c r="Q151" s="16" t="n">
        <v>100</v>
      </c>
      <c r="R151" s="16" t="n">
        <v>100</v>
      </c>
      <c r="S151" s="16" t="n">
        <v>100</v>
      </c>
      <c r="T151" s="16" t="n">
        <v>100</v>
      </c>
      <c r="U151" s="16" t="n">
        <v>100</v>
      </c>
      <c r="V151" s="16" t="n">
        <v>100</v>
      </c>
      <c r="W151" s="16" t="n">
        <v>100</v>
      </c>
      <c r="X151" s="16" t="n">
        <v>100</v>
      </c>
      <c r="Y151" s="16" t="n">
        <v>100</v>
      </c>
      <c r="Z151" s="16" t="n">
        <v>100</v>
      </c>
      <c r="AA151" s="16" t="n">
        <v>100</v>
      </c>
    </row>
    <row r="152">
      <c r="A152" s="3" t="inlineStr">
        <is>
          <t>Металлоконструкци</t>
        </is>
      </c>
      <c r="B152" s="3" t="inlineStr">
        <is>
          <t xml:space="preserve"> Отбойники</t>
        </is>
      </c>
      <c r="C152" s="3" t="inlineStr">
        <is>
          <t>Монтажные работы</t>
        </is>
      </c>
      <c r="D152" s="3" t="inlineStr">
        <is>
          <t>Химический анкер Sormat ITH40 (или аналог)</t>
        </is>
      </c>
      <c r="E152" s="4">
        <f>N152+O152</f>
        <v/>
      </c>
      <c r="F152" s="3" t="inlineStr">
        <is>
          <t>шт</t>
        </is>
      </c>
      <c r="G152" s="4">
        <f>IFERROR('[1]Лист1'!G152,100)</f>
        <v/>
      </c>
      <c r="H152" s="16" t="n">
        <v>100</v>
      </c>
      <c r="I152" s="16" t="n">
        <v>100</v>
      </c>
      <c r="J152" s="16" t="n">
        <v>100</v>
      </c>
      <c r="K152" s="16" t="n">
        <v>100</v>
      </c>
      <c r="L152" s="16" t="n">
        <v>100</v>
      </c>
      <c r="M152" s="16" t="n">
        <v>100</v>
      </c>
      <c r="N152" s="4">
        <f>Работы!S154</f>
        <v/>
      </c>
      <c r="O152" s="4">
        <f>Работы!R154</f>
        <v/>
      </c>
      <c r="P152" s="16" t="n">
        <v>100</v>
      </c>
      <c r="Q152" s="16" t="n">
        <v>100</v>
      </c>
      <c r="R152" s="16" t="n">
        <v>100</v>
      </c>
      <c r="S152" s="16" t="n">
        <v>100</v>
      </c>
      <c r="T152" s="16" t="n">
        <v>100</v>
      </c>
      <c r="U152" s="16" t="n">
        <v>100</v>
      </c>
      <c r="V152" s="16" t="n">
        <v>100</v>
      </c>
      <c r="W152" s="16" t="n">
        <v>100</v>
      </c>
      <c r="X152" s="16" t="n">
        <v>100</v>
      </c>
      <c r="Y152" s="16" t="n">
        <v>100</v>
      </c>
      <c r="Z152" s="16" t="n">
        <v>100</v>
      </c>
      <c r="AA152" s="16" t="n">
        <v>100</v>
      </c>
    </row>
    <row r="153">
      <c r="A153" s="3" t="inlineStr">
        <is>
          <t>Металлоконструкци</t>
        </is>
      </c>
      <c r="B153" s="3" t="inlineStr">
        <is>
          <t>Металическая полоса</t>
        </is>
      </c>
      <c r="C153" s="3" t="inlineStr">
        <is>
          <t>Замена</t>
        </is>
      </c>
      <c r="D153" s="3" t="inlineStr">
        <is>
          <t>Металическая полоса 25х4 мм</t>
        </is>
      </c>
      <c r="E153" s="4">
        <f>N153+O153</f>
        <v/>
      </c>
      <c r="F153" s="3" t="inlineStr">
        <is>
          <t>м.п.</t>
        </is>
      </c>
      <c r="G153" s="4">
        <f>IFERROR('[1]Лист1'!G153,100)</f>
        <v/>
      </c>
      <c r="H153" s="16" t="n">
        <v>100</v>
      </c>
      <c r="I153" s="16" t="n">
        <v>100</v>
      </c>
      <c r="J153" s="16" t="n">
        <v>100</v>
      </c>
      <c r="K153" s="16" t="n">
        <v>100</v>
      </c>
      <c r="L153" s="16" t="n">
        <v>100</v>
      </c>
      <c r="M153" s="16" t="n">
        <v>100</v>
      </c>
      <c r="N153" s="4">
        <f>Работы!S155</f>
        <v/>
      </c>
      <c r="O153" s="4">
        <f>Работы!R155</f>
        <v/>
      </c>
      <c r="P153" s="16" t="n">
        <v>100</v>
      </c>
      <c r="Q153" s="16" t="n">
        <v>100</v>
      </c>
      <c r="R153" s="16" t="n">
        <v>100</v>
      </c>
      <c r="S153" s="16" t="n">
        <v>100</v>
      </c>
      <c r="T153" s="16" t="n">
        <v>100</v>
      </c>
      <c r="U153" s="16" t="n">
        <v>100</v>
      </c>
      <c r="V153" s="16" t="n">
        <v>100</v>
      </c>
      <c r="W153" s="16" t="n">
        <v>100</v>
      </c>
      <c r="X153" s="16" t="n">
        <v>100</v>
      </c>
      <c r="Y153" s="16" t="n">
        <v>100</v>
      </c>
      <c r="Z153" s="16" t="n">
        <v>100</v>
      </c>
      <c r="AA153" s="16" t="n">
        <v>100</v>
      </c>
    </row>
    <row r="154">
      <c r="A154" s="3" t="inlineStr">
        <is>
          <t>Металлоконструкци</t>
        </is>
      </c>
      <c r="B154" s="3" t="inlineStr">
        <is>
          <t>Металическая полоса</t>
        </is>
      </c>
      <c r="C154" s="3" t="inlineStr">
        <is>
          <t>Замена</t>
        </is>
      </c>
      <c r="D154" s="3" t="inlineStr">
        <is>
          <t>Металическая полоса 40х4 мм</t>
        </is>
      </c>
      <c r="E154" s="4">
        <f>N154+O154</f>
        <v/>
      </c>
      <c r="F154" s="3" t="inlineStr">
        <is>
          <t>м.п.</t>
        </is>
      </c>
      <c r="G154" s="4">
        <f>IFERROR('[1]Лист1'!G154,100)</f>
        <v/>
      </c>
      <c r="H154" s="16" t="n">
        <v>100</v>
      </c>
      <c r="I154" s="16" t="n">
        <v>100</v>
      </c>
      <c r="J154" s="16" t="n">
        <v>100</v>
      </c>
      <c r="K154" s="16" t="n">
        <v>100</v>
      </c>
      <c r="L154" s="16" t="n">
        <v>100</v>
      </c>
      <c r="M154" s="16" t="n">
        <v>100</v>
      </c>
      <c r="N154" s="4">
        <f>Работы!S156</f>
        <v/>
      </c>
      <c r="O154" s="4">
        <f>Работы!R156</f>
        <v/>
      </c>
      <c r="P154" s="16" t="n">
        <v>100</v>
      </c>
      <c r="Q154" s="16" t="n">
        <v>100</v>
      </c>
      <c r="R154" s="16" t="n">
        <v>100</v>
      </c>
      <c r="S154" s="16" t="n">
        <v>100</v>
      </c>
      <c r="T154" s="16" t="n">
        <v>100</v>
      </c>
      <c r="U154" s="16" t="n">
        <v>100</v>
      </c>
      <c r="V154" s="16" t="n">
        <v>100</v>
      </c>
      <c r="W154" s="16" t="n">
        <v>100</v>
      </c>
      <c r="X154" s="16" t="n">
        <v>100</v>
      </c>
      <c r="Y154" s="16" t="n">
        <v>100</v>
      </c>
      <c r="Z154" s="16" t="n">
        <v>100</v>
      </c>
      <c r="AA154" s="16" t="n">
        <v>100</v>
      </c>
    </row>
    <row r="155">
      <c r="A155" s="3" t="inlineStr">
        <is>
          <t>Металлоконструкци</t>
        </is>
      </c>
      <c r="B155" s="3" t="inlineStr">
        <is>
          <t>Металическая полоса</t>
        </is>
      </c>
      <c r="C155" s="3" t="inlineStr">
        <is>
          <t>Замена</t>
        </is>
      </c>
      <c r="D155" s="3" t="inlineStr">
        <is>
          <t>Металическая полоса 50х5 мм</t>
        </is>
      </c>
      <c r="E155" s="4">
        <f>N155+O155</f>
        <v/>
      </c>
      <c r="F155" s="3" t="inlineStr">
        <is>
          <t>м.п.</t>
        </is>
      </c>
      <c r="G155" s="4">
        <f>IFERROR('[1]Лист1'!G155,100)</f>
        <v/>
      </c>
      <c r="H155" s="16" t="n">
        <v>100</v>
      </c>
      <c r="I155" s="16" t="n">
        <v>100</v>
      </c>
      <c r="J155" s="16" t="n">
        <v>100</v>
      </c>
      <c r="K155" s="16" t="n">
        <v>100</v>
      </c>
      <c r="L155" s="16" t="n">
        <v>100</v>
      </c>
      <c r="M155" s="16" t="n">
        <v>100</v>
      </c>
      <c r="N155" s="4">
        <f>Работы!S157</f>
        <v/>
      </c>
      <c r="O155" s="4">
        <f>Работы!R157</f>
        <v/>
      </c>
      <c r="P155" s="16" t="n">
        <v>100</v>
      </c>
      <c r="Q155" s="16" t="n">
        <v>100</v>
      </c>
      <c r="R155" s="16" t="n">
        <v>100</v>
      </c>
      <c r="S155" s="16" t="n">
        <v>100</v>
      </c>
      <c r="T155" s="16" t="n">
        <v>100</v>
      </c>
      <c r="U155" s="16" t="n">
        <v>100</v>
      </c>
      <c r="V155" s="16" t="n">
        <v>100</v>
      </c>
      <c r="W155" s="16" t="n">
        <v>100</v>
      </c>
      <c r="X155" s="16" t="n">
        <v>100</v>
      </c>
      <c r="Y155" s="16" t="n">
        <v>100</v>
      </c>
      <c r="Z155" s="16" t="n">
        <v>100</v>
      </c>
      <c r="AA155" s="16" t="n">
        <v>100</v>
      </c>
    </row>
    <row r="156">
      <c r="A156" s="3" t="inlineStr">
        <is>
          <t>Металлоконструкци</t>
        </is>
      </c>
      <c r="B156" s="3" t="inlineStr">
        <is>
          <t>Оцинкованная сетка</t>
        </is>
      </c>
      <c r="C156" s="3" t="inlineStr">
        <is>
          <t>Замена</t>
        </is>
      </c>
      <c r="D156" s="3" t="inlineStr">
        <is>
          <t>Оцинкованная сетка “Рабица” 1 500 мм высота</t>
        </is>
      </c>
      <c r="E156" s="4">
        <f>N156+O156</f>
        <v/>
      </c>
      <c r="F156" s="3" t="inlineStr">
        <is>
          <t>м.п.</t>
        </is>
      </c>
      <c r="G156" s="4">
        <f>IFERROR('[1]Лист1'!G156,100)</f>
        <v/>
      </c>
      <c r="H156" s="16" t="n">
        <v>100</v>
      </c>
      <c r="I156" s="16" t="n">
        <v>100</v>
      </c>
      <c r="J156" s="16" t="n">
        <v>100</v>
      </c>
      <c r="K156" s="16" t="n">
        <v>100</v>
      </c>
      <c r="L156" s="16" t="n">
        <v>100</v>
      </c>
      <c r="M156" s="16" t="n">
        <v>100</v>
      </c>
      <c r="N156" s="4">
        <f>Работы!S158</f>
        <v/>
      </c>
      <c r="O156" s="4">
        <f>Работы!R158</f>
        <v/>
      </c>
      <c r="P156" s="16" t="n">
        <v>100</v>
      </c>
      <c r="Q156" s="16" t="n">
        <v>100</v>
      </c>
      <c r="R156" s="16" t="n">
        <v>100</v>
      </c>
      <c r="S156" s="16" t="n">
        <v>100</v>
      </c>
      <c r="T156" s="16" t="n">
        <v>100</v>
      </c>
      <c r="U156" s="16" t="n">
        <v>100</v>
      </c>
      <c r="V156" s="16" t="n">
        <v>100</v>
      </c>
      <c r="W156" s="16" t="n">
        <v>100</v>
      </c>
      <c r="X156" s="16" t="n">
        <v>100</v>
      </c>
      <c r="Y156" s="16" t="n">
        <v>100</v>
      </c>
      <c r="Z156" s="16" t="n">
        <v>100</v>
      </c>
      <c r="AA156" s="16" t="n">
        <v>100</v>
      </c>
    </row>
    <row r="157">
      <c r="A157" s="3" t="inlineStr">
        <is>
          <t>Металлоконструкци</t>
        </is>
      </c>
      <c r="B157" s="3" t="inlineStr">
        <is>
          <t>Оцинкованная сетка</t>
        </is>
      </c>
      <c r="C157" s="3" t="inlineStr">
        <is>
          <t>Замена</t>
        </is>
      </c>
      <c r="D157" s="3" t="inlineStr">
        <is>
          <t>Оцинкованная сетка “Рабица” 1 800 мм высота</t>
        </is>
      </c>
      <c r="E157" s="4">
        <f>N157+O157</f>
        <v/>
      </c>
      <c r="F157" s="3" t="inlineStr">
        <is>
          <t>м.п.</t>
        </is>
      </c>
      <c r="G157" s="4">
        <f>IFERROR('[1]Лист1'!G157,100)</f>
        <v/>
      </c>
      <c r="H157" s="16" t="n">
        <v>100</v>
      </c>
      <c r="I157" s="16" t="n">
        <v>100</v>
      </c>
      <c r="J157" s="16" t="n">
        <v>100</v>
      </c>
      <c r="K157" s="16" t="n">
        <v>100</v>
      </c>
      <c r="L157" s="16" t="n">
        <v>100</v>
      </c>
      <c r="M157" s="16" t="n">
        <v>100</v>
      </c>
      <c r="N157" s="4">
        <f>Работы!S159</f>
        <v/>
      </c>
      <c r="O157" s="4">
        <f>Работы!R159</f>
        <v/>
      </c>
      <c r="P157" s="16" t="n">
        <v>100</v>
      </c>
      <c r="Q157" s="16" t="n">
        <v>100</v>
      </c>
      <c r="R157" s="16" t="n">
        <v>100</v>
      </c>
      <c r="S157" s="16" t="n">
        <v>100</v>
      </c>
      <c r="T157" s="16" t="n">
        <v>100</v>
      </c>
      <c r="U157" s="16" t="n">
        <v>100</v>
      </c>
      <c r="V157" s="16" t="n">
        <v>100</v>
      </c>
      <c r="W157" s="16" t="n">
        <v>100</v>
      </c>
      <c r="X157" s="16" t="n">
        <v>100</v>
      </c>
      <c r="Y157" s="16" t="n">
        <v>100</v>
      </c>
      <c r="Z157" s="16" t="n">
        <v>100</v>
      </c>
      <c r="AA157" s="16" t="n">
        <v>100</v>
      </c>
    </row>
    <row r="158">
      <c r="A158" s="3" t="inlineStr">
        <is>
          <t>Металлоконструкци</t>
        </is>
      </c>
      <c r="B158" s="3" t="inlineStr">
        <is>
          <t>Оцинкованная сетка</t>
        </is>
      </c>
      <c r="C158" s="3" t="inlineStr">
        <is>
          <t>Замена</t>
        </is>
      </c>
      <c r="D158" s="3" t="inlineStr">
        <is>
          <t>Оцинкованная сетка “Рабица” 2 000 мм высота</t>
        </is>
      </c>
      <c r="E158" s="4">
        <f>N158+O158</f>
        <v/>
      </c>
      <c r="F158" s="3" t="inlineStr">
        <is>
          <t>м.п.</t>
        </is>
      </c>
      <c r="G158" s="4">
        <f>IFERROR('[1]Лист1'!G158,100)</f>
        <v/>
      </c>
      <c r="H158" s="16" t="n">
        <v>100</v>
      </c>
      <c r="I158" s="16" t="n">
        <v>100</v>
      </c>
      <c r="J158" s="16" t="n">
        <v>100</v>
      </c>
      <c r="K158" s="16" t="n">
        <v>100</v>
      </c>
      <c r="L158" s="16" t="n">
        <v>100</v>
      </c>
      <c r="M158" s="16" t="n">
        <v>100</v>
      </c>
      <c r="N158" s="4">
        <f>Работы!S160</f>
        <v/>
      </c>
      <c r="O158" s="4">
        <f>Работы!R160</f>
        <v/>
      </c>
      <c r="P158" s="16" t="n">
        <v>100</v>
      </c>
      <c r="Q158" s="16" t="n">
        <v>100</v>
      </c>
      <c r="R158" s="16" t="n">
        <v>100</v>
      </c>
      <c r="S158" s="16" t="n">
        <v>100</v>
      </c>
      <c r="T158" s="16" t="n">
        <v>100</v>
      </c>
      <c r="U158" s="16" t="n">
        <v>100</v>
      </c>
      <c r="V158" s="16" t="n">
        <v>100</v>
      </c>
      <c r="W158" s="16" t="n">
        <v>100</v>
      </c>
      <c r="X158" s="16" t="n">
        <v>100</v>
      </c>
      <c r="Y158" s="16" t="n">
        <v>100</v>
      </c>
      <c r="Z158" s="16" t="n">
        <v>100</v>
      </c>
      <c r="AA158" s="16" t="n">
        <v>100</v>
      </c>
    </row>
    <row r="159">
      <c r="A159" s="3" t="inlineStr">
        <is>
          <t>Металлоконструкци</t>
        </is>
      </c>
      <c r="B159" s="3" t="inlineStr">
        <is>
          <t>Листы металлические</t>
        </is>
      </c>
      <c r="C159" s="3" t="inlineStr">
        <is>
          <t>Замена</t>
        </is>
      </c>
      <c r="D159" s="3" t="inlineStr">
        <is>
          <t>Рифленый лист (черный металл) толщина 5 мм</t>
        </is>
      </c>
      <c r="E159" s="4">
        <f>N159+O159</f>
        <v/>
      </c>
      <c r="F159" s="3" t="inlineStr">
        <is>
          <t>м2</t>
        </is>
      </c>
      <c r="G159" s="4">
        <f>IFERROR('[1]Лист1'!G159,100)</f>
        <v/>
      </c>
      <c r="H159" s="16" t="n">
        <v>100</v>
      </c>
      <c r="I159" s="16" t="n">
        <v>100</v>
      </c>
      <c r="J159" s="16" t="n">
        <v>100</v>
      </c>
      <c r="K159" s="16" t="n">
        <v>100</v>
      </c>
      <c r="L159" s="16" t="n">
        <v>100</v>
      </c>
      <c r="M159" s="16" t="n">
        <v>100</v>
      </c>
      <c r="N159" s="4">
        <f>Работы!S161</f>
        <v/>
      </c>
      <c r="O159" s="4">
        <f>Работы!R161</f>
        <v/>
      </c>
      <c r="P159" s="16" t="n">
        <v>100</v>
      </c>
      <c r="Q159" s="16" t="n">
        <v>100</v>
      </c>
      <c r="R159" s="16" t="n">
        <v>100</v>
      </c>
      <c r="S159" s="16" t="n">
        <v>100</v>
      </c>
      <c r="T159" s="16" t="n">
        <v>100</v>
      </c>
      <c r="U159" s="16" t="n">
        <v>100</v>
      </c>
      <c r="V159" s="16" t="n">
        <v>100</v>
      </c>
      <c r="W159" s="16" t="n">
        <v>100</v>
      </c>
      <c r="X159" s="16" t="n">
        <v>100</v>
      </c>
      <c r="Y159" s="16" t="n">
        <v>100</v>
      </c>
      <c r="Z159" s="16" t="n">
        <v>100</v>
      </c>
      <c r="AA159" s="16" t="n">
        <v>100</v>
      </c>
    </row>
    <row r="160">
      <c r="A160" s="3" t="inlineStr">
        <is>
          <t>Металлоконструкци</t>
        </is>
      </c>
      <c r="B160" s="3" t="inlineStr">
        <is>
          <t>Листы металлические</t>
        </is>
      </c>
      <c r="C160" s="3" t="inlineStr">
        <is>
          <t>Замена</t>
        </is>
      </c>
      <c r="D160" s="3" t="inlineStr">
        <is>
          <t>Рифленый лист (черный металл) толщина 3 мм</t>
        </is>
      </c>
      <c r="E160" s="4">
        <f>N160+O160</f>
        <v/>
      </c>
      <c r="F160" s="3" t="inlineStr">
        <is>
          <t>м2</t>
        </is>
      </c>
      <c r="G160" s="4">
        <f>IFERROR('[1]Лист1'!G160,100)</f>
        <v/>
      </c>
      <c r="H160" s="16" t="n">
        <v>100</v>
      </c>
      <c r="I160" s="16" t="n">
        <v>100</v>
      </c>
      <c r="J160" s="16" t="n">
        <v>100</v>
      </c>
      <c r="K160" s="16" t="n">
        <v>100</v>
      </c>
      <c r="L160" s="16" t="n">
        <v>100</v>
      </c>
      <c r="M160" s="16" t="n">
        <v>100</v>
      </c>
      <c r="N160" s="4">
        <f>Работы!S162</f>
        <v/>
      </c>
      <c r="O160" s="4">
        <f>Работы!R162</f>
        <v/>
      </c>
      <c r="P160" s="16" t="n">
        <v>100</v>
      </c>
      <c r="Q160" s="16" t="n">
        <v>100</v>
      </c>
      <c r="R160" s="16" t="n">
        <v>100</v>
      </c>
      <c r="S160" s="16" t="n">
        <v>100</v>
      </c>
      <c r="T160" s="16" t="n">
        <v>100</v>
      </c>
      <c r="U160" s="16" t="n">
        <v>100</v>
      </c>
      <c r="V160" s="16" t="n">
        <v>100</v>
      </c>
      <c r="W160" s="16" t="n">
        <v>100</v>
      </c>
      <c r="X160" s="16" t="n">
        <v>100</v>
      </c>
      <c r="Y160" s="16" t="n">
        <v>100</v>
      </c>
      <c r="Z160" s="16" t="n">
        <v>100</v>
      </c>
      <c r="AA160" s="16" t="n">
        <v>100</v>
      </c>
    </row>
    <row r="161">
      <c r="A161" s="3" t="inlineStr">
        <is>
          <t>Металлоконструкци</t>
        </is>
      </c>
      <c r="B161" s="3" t="inlineStr">
        <is>
          <t>Листы металлические</t>
        </is>
      </c>
      <c r="C161" s="3" t="inlineStr">
        <is>
          <t>Замена</t>
        </is>
      </c>
      <c r="D161" s="3" t="inlineStr">
        <is>
          <t>Лист гладкий (черный металл) толщина 5 мм</t>
        </is>
      </c>
      <c r="E161" s="4">
        <f>N161+O161</f>
        <v/>
      </c>
      <c r="F161" s="3" t="inlineStr">
        <is>
          <t>м2</t>
        </is>
      </c>
      <c r="G161" s="4">
        <f>IFERROR('[1]Лист1'!G161,100)</f>
        <v/>
      </c>
      <c r="H161" s="16" t="n">
        <v>100</v>
      </c>
      <c r="I161" s="16" t="n">
        <v>100</v>
      </c>
      <c r="J161" s="16" t="n">
        <v>100</v>
      </c>
      <c r="K161" s="16" t="n">
        <v>100</v>
      </c>
      <c r="L161" s="16" t="n">
        <v>100</v>
      </c>
      <c r="M161" s="16" t="n">
        <v>100</v>
      </c>
      <c r="N161" s="4">
        <f>Работы!S163</f>
        <v/>
      </c>
      <c r="O161" s="4">
        <f>Работы!R163</f>
        <v/>
      </c>
      <c r="P161" s="16" t="n">
        <v>100</v>
      </c>
      <c r="Q161" s="16" t="n">
        <v>100</v>
      </c>
      <c r="R161" s="16" t="n">
        <v>100</v>
      </c>
      <c r="S161" s="16" t="n">
        <v>100</v>
      </c>
      <c r="T161" s="16" t="n">
        <v>100</v>
      </c>
      <c r="U161" s="16" t="n">
        <v>100</v>
      </c>
      <c r="V161" s="16" t="n">
        <v>100</v>
      </c>
      <c r="W161" s="16" t="n">
        <v>100</v>
      </c>
      <c r="X161" s="16" t="n">
        <v>100</v>
      </c>
      <c r="Y161" s="16" t="n">
        <v>100</v>
      </c>
      <c r="Z161" s="16" t="n">
        <v>100</v>
      </c>
      <c r="AA161" s="16" t="n">
        <v>100</v>
      </c>
    </row>
    <row r="162">
      <c r="A162" s="3" t="inlineStr">
        <is>
          <t>Металлоконструкци</t>
        </is>
      </c>
      <c r="B162" s="3" t="inlineStr">
        <is>
          <t>Листы металлические</t>
        </is>
      </c>
      <c r="C162" s="3" t="inlineStr">
        <is>
          <t>Замена</t>
        </is>
      </c>
      <c r="D162" s="3" t="inlineStr">
        <is>
          <t>Лист гладкий (черный металл) толщина 3 мм</t>
        </is>
      </c>
      <c r="E162" s="4">
        <f>N162+O162</f>
        <v/>
      </c>
      <c r="F162" s="3" t="inlineStr">
        <is>
          <t>м2</t>
        </is>
      </c>
      <c r="G162" s="4">
        <f>IFERROR('[1]Лист1'!G162,100)</f>
        <v/>
      </c>
      <c r="H162" s="16" t="n">
        <v>100</v>
      </c>
      <c r="I162" s="16" t="n">
        <v>100</v>
      </c>
      <c r="J162" s="16" t="n">
        <v>100</v>
      </c>
      <c r="K162" s="16" t="n">
        <v>100</v>
      </c>
      <c r="L162" s="16" t="n">
        <v>100</v>
      </c>
      <c r="M162" s="16" t="n">
        <v>100</v>
      </c>
      <c r="N162" s="4">
        <f>Работы!S164</f>
        <v/>
      </c>
      <c r="O162" s="4">
        <f>Работы!R164</f>
        <v/>
      </c>
      <c r="P162" s="16" t="n">
        <v>100</v>
      </c>
      <c r="Q162" s="16" t="n">
        <v>100</v>
      </c>
      <c r="R162" s="16" t="n">
        <v>100</v>
      </c>
      <c r="S162" s="16" t="n">
        <v>100</v>
      </c>
      <c r="T162" s="16" t="n">
        <v>100</v>
      </c>
      <c r="U162" s="16" t="n">
        <v>100</v>
      </c>
      <c r="V162" s="16" t="n">
        <v>100</v>
      </c>
      <c r="W162" s="16" t="n">
        <v>100</v>
      </c>
      <c r="X162" s="16" t="n">
        <v>100</v>
      </c>
      <c r="Y162" s="16" t="n">
        <v>100</v>
      </c>
      <c r="Z162" s="16" t="n">
        <v>100</v>
      </c>
      <c r="AA162" s="16" t="n">
        <v>100</v>
      </c>
    </row>
    <row r="163">
      <c r="A163" s="3" t="inlineStr">
        <is>
          <t>Металлоконструкци</t>
        </is>
      </c>
      <c r="B163" s="3" t="inlineStr">
        <is>
          <t>Листы металлические</t>
        </is>
      </c>
      <c r="C163" s="3" t="inlineStr">
        <is>
          <t>Замена</t>
        </is>
      </c>
      <c r="D163" s="3" t="inlineStr">
        <is>
          <t>Оцинкованный лист гладкий толщиной 0.55 мм</t>
        </is>
      </c>
      <c r="E163" s="4">
        <f>N163+O163</f>
        <v/>
      </c>
      <c r="F163" s="3" t="inlineStr">
        <is>
          <t>м2</t>
        </is>
      </c>
      <c r="G163" s="4">
        <f>IFERROR('[1]Лист1'!G163,100)</f>
        <v/>
      </c>
      <c r="H163" s="16" t="n">
        <v>100</v>
      </c>
      <c r="I163" s="16" t="n">
        <v>100</v>
      </c>
      <c r="J163" s="16" t="n">
        <v>100</v>
      </c>
      <c r="K163" s="16" t="n">
        <v>100</v>
      </c>
      <c r="L163" s="16" t="n">
        <v>100</v>
      </c>
      <c r="M163" s="16" t="n">
        <v>100</v>
      </c>
      <c r="N163" s="4">
        <f>Работы!S165</f>
        <v/>
      </c>
      <c r="O163" s="4">
        <f>Работы!R165</f>
        <v/>
      </c>
      <c r="P163" s="16" t="n">
        <v>100</v>
      </c>
      <c r="Q163" s="16" t="n">
        <v>100</v>
      </c>
      <c r="R163" s="16" t="n">
        <v>100</v>
      </c>
      <c r="S163" s="16" t="n">
        <v>100</v>
      </c>
      <c r="T163" s="16" t="n">
        <v>100</v>
      </c>
      <c r="U163" s="16" t="n">
        <v>100</v>
      </c>
      <c r="V163" s="16" t="n">
        <v>100</v>
      </c>
      <c r="W163" s="16" t="n">
        <v>100</v>
      </c>
      <c r="X163" s="16" t="n">
        <v>100</v>
      </c>
      <c r="Y163" s="16" t="n">
        <v>100</v>
      </c>
      <c r="Z163" s="16" t="n">
        <v>100</v>
      </c>
      <c r="AA163" s="16" t="n">
        <v>100</v>
      </c>
    </row>
    <row r="164">
      <c r="A164" s="3" t="inlineStr">
        <is>
          <t>Металлоконструкци</t>
        </is>
      </c>
      <c r="B164" s="3" t="inlineStr">
        <is>
          <t>Листы металлические</t>
        </is>
      </c>
      <c r="C164" s="3" t="inlineStr">
        <is>
          <t>Замена</t>
        </is>
      </c>
      <c r="D164" s="3" t="inlineStr">
        <is>
          <t>Лист рифленый нержавеющая сталь 1,5 мм</t>
        </is>
      </c>
      <c r="E164" s="4">
        <f>N164+O164</f>
        <v/>
      </c>
      <c r="F164" s="3" t="inlineStr">
        <is>
          <t>м2</t>
        </is>
      </c>
      <c r="G164" s="4">
        <f>IFERROR('[1]Лист1'!G164,100)</f>
        <v/>
      </c>
      <c r="H164" s="16" t="n">
        <v>100</v>
      </c>
      <c r="I164" s="16" t="n">
        <v>100</v>
      </c>
      <c r="J164" s="16" t="n">
        <v>100</v>
      </c>
      <c r="K164" s="16" t="n">
        <v>100</v>
      </c>
      <c r="L164" s="16" t="n">
        <v>100</v>
      </c>
      <c r="M164" s="16" t="n">
        <v>100</v>
      </c>
      <c r="N164" s="4">
        <f>Работы!S166</f>
        <v/>
      </c>
      <c r="O164" s="4">
        <f>Работы!R166</f>
        <v/>
      </c>
      <c r="P164" s="16" t="n">
        <v>100</v>
      </c>
      <c r="Q164" s="16" t="n">
        <v>100</v>
      </c>
      <c r="R164" s="16" t="n">
        <v>100</v>
      </c>
      <c r="S164" s="16" t="n">
        <v>100</v>
      </c>
      <c r="T164" s="16" t="n">
        <v>100</v>
      </c>
      <c r="U164" s="16" t="n">
        <v>100</v>
      </c>
      <c r="V164" s="16" t="n">
        <v>100</v>
      </c>
      <c r="W164" s="16" t="n">
        <v>100</v>
      </c>
      <c r="X164" s="16" t="n">
        <v>100</v>
      </c>
      <c r="Y164" s="16" t="n">
        <v>100</v>
      </c>
      <c r="Z164" s="16" t="n">
        <v>100</v>
      </c>
      <c r="AA164" s="16" t="n">
        <v>100</v>
      </c>
    </row>
    <row r="165">
      <c r="A165" s="3" t="inlineStr">
        <is>
          <t>Металлоконструкци</t>
        </is>
      </c>
      <c r="B165" s="3" t="inlineStr">
        <is>
          <t>Листы металлические</t>
        </is>
      </c>
      <c r="C165" s="3" t="inlineStr">
        <is>
          <t>Замена</t>
        </is>
      </c>
      <c r="D165" s="3" t="inlineStr">
        <is>
          <t>Алюминиевый рифленый лист с пятью рифлями«квинтет», толщиной 2 мм.</t>
        </is>
      </c>
      <c r="E165" s="4">
        <f>N165+O165</f>
        <v/>
      </c>
      <c r="F165" s="3" t="inlineStr">
        <is>
          <t>м2</t>
        </is>
      </c>
      <c r="G165" s="4">
        <f>IFERROR('[1]Лист1'!G165,100)</f>
        <v/>
      </c>
      <c r="H165" s="16" t="n">
        <v>100</v>
      </c>
      <c r="I165" s="16" t="n">
        <v>100</v>
      </c>
      <c r="J165" s="16" t="n">
        <v>100</v>
      </c>
      <c r="K165" s="16" t="n">
        <v>100</v>
      </c>
      <c r="L165" s="16" t="n">
        <v>100</v>
      </c>
      <c r="M165" s="16" t="n">
        <v>100</v>
      </c>
      <c r="N165" s="4">
        <f>Работы!S167</f>
        <v/>
      </c>
      <c r="O165" s="4">
        <f>Работы!R167</f>
        <v/>
      </c>
      <c r="P165" s="16" t="n">
        <v>100</v>
      </c>
      <c r="Q165" s="16" t="n">
        <v>100</v>
      </c>
      <c r="R165" s="16" t="n">
        <v>100</v>
      </c>
      <c r="S165" s="16" t="n">
        <v>100</v>
      </c>
      <c r="T165" s="16" t="n">
        <v>100</v>
      </c>
      <c r="U165" s="16" t="n">
        <v>100</v>
      </c>
      <c r="V165" s="16" t="n">
        <v>100</v>
      </c>
      <c r="W165" s="16" t="n">
        <v>100</v>
      </c>
      <c r="X165" s="16" t="n">
        <v>100</v>
      </c>
      <c r="Y165" s="16" t="n">
        <v>100</v>
      </c>
      <c r="Z165" s="16" t="n">
        <v>100</v>
      </c>
      <c r="AA165" s="16" t="n">
        <v>100</v>
      </c>
    </row>
    <row r="166">
      <c r="A166" s="3" t="inlineStr">
        <is>
          <t>Металлоконструкци</t>
        </is>
      </c>
      <c r="B166" s="3" t="inlineStr">
        <is>
          <t>Листы металлические</t>
        </is>
      </c>
      <c r="C166" s="3" t="inlineStr">
        <is>
          <t>Замена</t>
        </is>
      </c>
      <c r="D166" s="3" t="inlineStr">
        <is>
          <t>Лист гладкий (черный металл) толщина 10 мм.</t>
        </is>
      </c>
      <c r="E166" s="4">
        <f>N166+O166</f>
        <v/>
      </c>
      <c r="F166" s="3" t="inlineStr">
        <is>
          <t>м2</t>
        </is>
      </c>
      <c r="G166" s="4">
        <f>IFERROR('[1]Лист1'!G166,100)</f>
        <v/>
      </c>
      <c r="H166" s="16" t="n">
        <v>100</v>
      </c>
      <c r="I166" s="16" t="n">
        <v>100</v>
      </c>
      <c r="J166" s="16" t="n">
        <v>100</v>
      </c>
      <c r="K166" s="16" t="n">
        <v>100</v>
      </c>
      <c r="L166" s="16" t="n">
        <v>100</v>
      </c>
      <c r="M166" s="16" t="n">
        <v>100</v>
      </c>
      <c r="N166" s="4">
        <f>Работы!S168</f>
        <v/>
      </c>
      <c r="O166" s="4">
        <f>Работы!R168</f>
        <v/>
      </c>
      <c r="P166" s="16" t="n">
        <v>100</v>
      </c>
      <c r="Q166" s="16" t="n">
        <v>100</v>
      </c>
      <c r="R166" s="16" t="n">
        <v>100</v>
      </c>
      <c r="S166" s="16" t="n">
        <v>100</v>
      </c>
      <c r="T166" s="16" t="n">
        <v>100</v>
      </c>
      <c r="U166" s="16" t="n">
        <v>100</v>
      </c>
      <c r="V166" s="16" t="n">
        <v>100</v>
      </c>
      <c r="W166" s="16" t="n">
        <v>100</v>
      </c>
      <c r="X166" s="16" t="n">
        <v>100</v>
      </c>
      <c r="Y166" s="16" t="n">
        <v>100</v>
      </c>
      <c r="Z166" s="16" t="n">
        <v>100</v>
      </c>
      <c r="AA166" s="16" t="n">
        <v>100</v>
      </c>
    </row>
    <row r="167">
      <c r="A167" s="3" t="inlineStr">
        <is>
          <t>Металлоконструкци</t>
        </is>
      </c>
      <c r="B167" s="3" t="inlineStr">
        <is>
          <t>Листы металлические</t>
        </is>
      </c>
      <c r="C167" s="3" t="inlineStr">
        <is>
          <t>Замена</t>
        </is>
      </c>
      <c r="D167" s="3" t="inlineStr">
        <is>
          <t>Пластина металлическая 360х200х20мм,4 отверстия Д18-22мм</t>
        </is>
      </c>
      <c r="E167" s="4">
        <f>N167+O167</f>
        <v/>
      </c>
      <c r="F167" s="3" t="inlineStr">
        <is>
          <t>шт.</t>
        </is>
      </c>
      <c r="G167" s="4">
        <f>IFERROR('[1]Лист1'!G167,100)</f>
        <v/>
      </c>
      <c r="H167" s="16" t="n">
        <v>100</v>
      </c>
      <c r="I167" s="16" t="n">
        <v>100</v>
      </c>
      <c r="J167" s="16" t="n">
        <v>100</v>
      </c>
      <c r="K167" s="16" t="n">
        <v>100</v>
      </c>
      <c r="L167" s="16" t="n">
        <v>100</v>
      </c>
      <c r="M167" s="16" t="n">
        <v>100</v>
      </c>
      <c r="N167" s="4">
        <f>Работы!S169</f>
        <v/>
      </c>
      <c r="O167" s="4">
        <f>Работы!R169</f>
        <v/>
      </c>
      <c r="P167" s="16" t="n">
        <v>100</v>
      </c>
      <c r="Q167" s="16" t="n">
        <v>100</v>
      </c>
      <c r="R167" s="16" t="n">
        <v>100</v>
      </c>
      <c r="S167" s="16" t="n">
        <v>100</v>
      </c>
      <c r="T167" s="16" t="n">
        <v>100</v>
      </c>
      <c r="U167" s="16" t="n">
        <v>100</v>
      </c>
      <c r="V167" s="16" t="n">
        <v>100</v>
      </c>
      <c r="W167" s="16" t="n">
        <v>100</v>
      </c>
      <c r="X167" s="16" t="n">
        <v>100</v>
      </c>
      <c r="Y167" s="16" t="n">
        <v>100</v>
      </c>
      <c r="Z167" s="16" t="n">
        <v>100</v>
      </c>
      <c r="AA167" s="16" t="n">
        <v>100</v>
      </c>
    </row>
    <row r="168">
      <c r="A168" s="3" t="inlineStr">
        <is>
          <t>Металлоконструкци</t>
        </is>
      </c>
      <c r="B168" s="3" t="inlineStr">
        <is>
          <t>Листы металлические</t>
        </is>
      </c>
      <c r="C168" s="3" t="inlineStr">
        <is>
          <t>Замена</t>
        </is>
      </c>
      <c r="D168" s="3" t="inlineStr">
        <is>
          <t>лист гладкий (черный металл) толщина 4 мм</t>
        </is>
      </c>
      <c r="E168" s="4">
        <f>N168+O168</f>
        <v/>
      </c>
      <c r="F168" s="3" t="inlineStr">
        <is>
          <t>м2</t>
        </is>
      </c>
      <c r="G168" s="4">
        <f>IFERROR('[1]Лист1'!G168,100)</f>
        <v/>
      </c>
      <c r="H168" s="16" t="n">
        <v>100</v>
      </c>
      <c r="I168" s="16" t="n">
        <v>100</v>
      </c>
      <c r="J168" s="16" t="n">
        <v>100</v>
      </c>
      <c r="K168" s="16" t="n">
        <v>100</v>
      </c>
      <c r="L168" s="16" t="n">
        <v>100</v>
      </c>
      <c r="M168" s="16" t="n">
        <v>100</v>
      </c>
      <c r="N168" s="4">
        <f>Работы!S170</f>
        <v/>
      </c>
      <c r="O168" s="4">
        <f>Работы!R170</f>
        <v/>
      </c>
      <c r="P168" s="16" t="n">
        <v>100</v>
      </c>
      <c r="Q168" s="16" t="n">
        <v>100</v>
      </c>
      <c r="R168" s="16" t="n">
        <v>100</v>
      </c>
      <c r="S168" s="16" t="n">
        <v>100</v>
      </c>
      <c r="T168" s="16" t="n">
        <v>100</v>
      </c>
      <c r="U168" s="16" t="n">
        <v>100</v>
      </c>
      <c r="V168" s="16" t="n">
        <v>100</v>
      </c>
      <c r="W168" s="16" t="n">
        <v>100</v>
      </c>
      <c r="X168" s="16" t="n">
        <v>100</v>
      </c>
      <c r="Y168" s="16" t="n">
        <v>100</v>
      </c>
      <c r="Z168" s="16" t="n">
        <v>100</v>
      </c>
      <c r="AA168" s="16" t="n">
        <v>100</v>
      </c>
    </row>
    <row r="169">
      <c r="A169" s="3" t="inlineStr">
        <is>
          <t>Металлоконструкци</t>
        </is>
      </c>
      <c r="B169" s="3" t="inlineStr">
        <is>
          <t>Металлические сетки</t>
        </is>
      </c>
      <c r="C169" s="3" t="inlineStr">
        <is>
          <t>Замена</t>
        </is>
      </c>
      <c r="D169" s="3" t="inlineStr">
        <is>
          <t>Металлическая сетка 100х100х4 мм</t>
        </is>
      </c>
      <c r="E169" s="4">
        <f>N169+O169</f>
        <v/>
      </c>
      <c r="F169" s="3" t="inlineStr">
        <is>
          <t>м.п.</t>
        </is>
      </c>
      <c r="G169" s="4">
        <f>IFERROR('[1]Лист1'!G169,100)</f>
        <v/>
      </c>
      <c r="H169" s="16" t="n">
        <v>100</v>
      </c>
      <c r="I169" s="16" t="n">
        <v>100</v>
      </c>
      <c r="J169" s="16" t="n">
        <v>100</v>
      </c>
      <c r="K169" s="16" t="n">
        <v>100</v>
      </c>
      <c r="L169" s="16" t="n">
        <v>100</v>
      </c>
      <c r="M169" s="16" t="n">
        <v>100</v>
      </c>
      <c r="N169" s="4">
        <f>Работы!S171</f>
        <v/>
      </c>
      <c r="O169" s="4">
        <f>Работы!R171</f>
        <v/>
      </c>
      <c r="P169" s="16" t="n">
        <v>100</v>
      </c>
      <c r="Q169" s="16" t="n">
        <v>100</v>
      </c>
      <c r="R169" s="16" t="n">
        <v>100</v>
      </c>
      <c r="S169" s="16" t="n">
        <v>100</v>
      </c>
      <c r="T169" s="16" t="n">
        <v>100</v>
      </c>
      <c r="U169" s="16" t="n">
        <v>100</v>
      </c>
      <c r="V169" s="16" t="n">
        <v>100</v>
      </c>
      <c r="W169" s="16" t="n">
        <v>100</v>
      </c>
      <c r="X169" s="16" t="n">
        <v>100</v>
      </c>
      <c r="Y169" s="16" t="n">
        <v>100</v>
      </c>
      <c r="Z169" s="16" t="n">
        <v>100</v>
      </c>
      <c r="AA169" s="16" t="n">
        <v>100</v>
      </c>
    </row>
    <row r="170">
      <c r="A170" s="3" t="inlineStr">
        <is>
          <t>Металлоконструкци</t>
        </is>
      </c>
      <c r="B170" s="3" t="inlineStr">
        <is>
          <t>Металлические сетки</t>
        </is>
      </c>
      <c r="C170" s="3" t="inlineStr">
        <is>
          <t>Замена</t>
        </is>
      </c>
      <c r="D170" s="3" t="inlineStr">
        <is>
          <t>Металлическая сетка 50х50х4 мм</t>
        </is>
      </c>
      <c r="E170" s="4">
        <f>N170+O170</f>
        <v/>
      </c>
      <c r="F170" s="3" t="inlineStr">
        <is>
          <t>м.п.</t>
        </is>
      </c>
      <c r="G170" s="4">
        <f>IFERROR('[1]Лист1'!G170,100)</f>
        <v/>
      </c>
      <c r="H170" s="16" t="n">
        <v>100</v>
      </c>
      <c r="I170" s="16" t="n">
        <v>100</v>
      </c>
      <c r="J170" s="16" t="n">
        <v>100</v>
      </c>
      <c r="K170" s="16" t="n">
        <v>100</v>
      </c>
      <c r="L170" s="16" t="n">
        <v>100</v>
      </c>
      <c r="M170" s="16" t="n">
        <v>100</v>
      </c>
      <c r="N170" s="4">
        <f>Работы!S172</f>
        <v/>
      </c>
      <c r="O170" s="4">
        <f>Работы!R172</f>
        <v/>
      </c>
      <c r="P170" s="16" t="n">
        <v>100</v>
      </c>
      <c r="Q170" s="16" t="n">
        <v>100</v>
      </c>
      <c r="R170" s="16" t="n">
        <v>100</v>
      </c>
      <c r="S170" s="16" t="n">
        <v>100</v>
      </c>
      <c r="T170" s="16" t="n">
        <v>100</v>
      </c>
      <c r="U170" s="16" t="n">
        <v>100</v>
      </c>
      <c r="V170" s="16" t="n">
        <v>100</v>
      </c>
      <c r="W170" s="16" t="n">
        <v>100</v>
      </c>
      <c r="X170" s="16" t="n">
        <v>100</v>
      </c>
      <c r="Y170" s="16" t="n">
        <v>100</v>
      </c>
      <c r="Z170" s="16" t="n">
        <v>100</v>
      </c>
      <c r="AA170" s="16" t="n">
        <v>100</v>
      </c>
    </row>
    <row r="171">
      <c r="A171" s="3" t="inlineStr">
        <is>
          <t>Металлоконструкци</t>
        </is>
      </c>
      <c r="B171" s="3" t="inlineStr">
        <is>
          <t>Арматура</t>
        </is>
      </c>
      <c r="C171" s="3" t="inlineStr">
        <is>
          <t>Монтажные работы</t>
        </is>
      </c>
      <c r="D171" s="3" t="inlineStr">
        <is>
          <t>Арматурная сталь с сечением 6 мм</t>
        </is>
      </c>
      <c r="E171" s="4">
        <f>N171+O171</f>
        <v/>
      </c>
      <c r="F171" s="3" t="inlineStr">
        <is>
          <t>м.п.</t>
        </is>
      </c>
      <c r="G171" s="4">
        <f>IFERROR('[1]Лист1'!G171,100)</f>
        <v/>
      </c>
      <c r="H171" s="16" t="n">
        <v>100</v>
      </c>
      <c r="I171" s="16" t="n">
        <v>100</v>
      </c>
      <c r="J171" s="16" t="n">
        <v>100</v>
      </c>
      <c r="K171" s="16" t="n">
        <v>100</v>
      </c>
      <c r="L171" s="16" t="n">
        <v>100</v>
      </c>
      <c r="M171" s="16" t="n">
        <v>100</v>
      </c>
      <c r="N171" s="4">
        <f>Работы!S173</f>
        <v/>
      </c>
      <c r="O171" s="4">
        <f>Работы!R173</f>
        <v/>
      </c>
      <c r="P171" s="16" t="n">
        <v>100</v>
      </c>
      <c r="Q171" s="16" t="n">
        <v>100</v>
      </c>
      <c r="R171" s="16" t="n">
        <v>100</v>
      </c>
      <c r="S171" s="16" t="n">
        <v>100</v>
      </c>
      <c r="T171" s="16" t="n">
        <v>100</v>
      </c>
      <c r="U171" s="16" t="n">
        <v>100</v>
      </c>
      <c r="V171" s="16" t="n">
        <v>100</v>
      </c>
      <c r="W171" s="16" t="n">
        <v>100</v>
      </c>
      <c r="X171" s="16" t="n">
        <v>100</v>
      </c>
      <c r="Y171" s="16" t="n">
        <v>100</v>
      </c>
      <c r="Z171" s="16" t="n">
        <v>100</v>
      </c>
      <c r="AA171" s="16" t="n">
        <v>100</v>
      </c>
    </row>
    <row r="172">
      <c r="A172" s="3" t="inlineStr">
        <is>
          <t>Металлоконструкци</t>
        </is>
      </c>
      <c r="B172" s="3" t="inlineStr">
        <is>
          <t>Арматура</t>
        </is>
      </c>
      <c r="C172" s="3" t="inlineStr">
        <is>
          <t>Монтажные работы</t>
        </is>
      </c>
      <c r="D172" s="3" t="inlineStr">
        <is>
          <t>Арматурная сталь с сечением 8 мм</t>
        </is>
      </c>
      <c r="E172" s="4">
        <f>N172+O172</f>
        <v/>
      </c>
      <c r="F172" s="3" t="inlineStr">
        <is>
          <t>м.п.</t>
        </is>
      </c>
      <c r="G172" s="4">
        <f>IFERROR('[1]Лист1'!G172,100)</f>
        <v/>
      </c>
      <c r="H172" s="16" t="n">
        <v>100</v>
      </c>
      <c r="I172" s="16" t="n">
        <v>100</v>
      </c>
      <c r="J172" s="16" t="n">
        <v>100</v>
      </c>
      <c r="K172" s="16" t="n">
        <v>100</v>
      </c>
      <c r="L172" s="16" t="n">
        <v>100</v>
      </c>
      <c r="M172" s="16" t="n">
        <v>100</v>
      </c>
      <c r="N172" s="4">
        <f>Работы!S174</f>
        <v/>
      </c>
      <c r="O172" s="4">
        <f>Работы!R174</f>
        <v/>
      </c>
      <c r="P172" s="16" t="n">
        <v>100</v>
      </c>
      <c r="Q172" s="16" t="n">
        <v>100</v>
      </c>
      <c r="R172" s="16" t="n">
        <v>100</v>
      </c>
      <c r="S172" s="16" t="n">
        <v>100</v>
      </c>
      <c r="T172" s="16" t="n">
        <v>100</v>
      </c>
      <c r="U172" s="16" t="n">
        <v>100</v>
      </c>
      <c r="V172" s="16" t="n">
        <v>100</v>
      </c>
      <c r="W172" s="16" t="n">
        <v>100</v>
      </c>
      <c r="X172" s="16" t="n">
        <v>100</v>
      </c>
      <c r="Y172" s="16" t="n">
        <v>100</v>
      </c>
      <c r="Z172" s="16" t="n">
        <v>100</v>
      </c>
      <c r="AA172" s="16" t="n">
        <v>100</v>
      </c>
    </row>
    <row r="173">
      <c r="A173" s="3" t="inlineStr">
        <is>
          <t>Металлоконструкци</t>
        </is>
      </c>
      <c r="B173" s="3" t="inlineStr">
        <is>
          <t>Арматура</t>
        </is>
      </c>
      <c r="C173" s="3" t="inlineStr">
        <is>
          <t>Монтажные работы</t>
        </is>
      </c>
      <c r="D173" s="3" t="inlineStr">
        <is>
          <t>Арматурная сталь с сечением 10 мм</t>
        </is>
      </c>
      <c r="E173" s="4">
        <f>N173+O173</f>
        <v/>
      </c>
      <c r="F173" s="3" t="inlineStr">
        <is>
          <t>м.п.</t>
        </is>
      </c>
      <c r="G173" s="4">
        <f>IFERROR('[1]Лист1'!G173,100)</f>
        <v/>
      </c>
      <c r="H173" s="16" t="n">
        <v>100</v>
      </c>
      <c r="I173" s="16" t="n">
        <v>100</v>
      </c>
      <c r="J173" s="16" t="n">
        <v>100</v>
      </c>
      <c r="K173" s="16" t="n">
        <v>100</v>
      </c>
      <c r="L173" s="16" t="n">
        <v>100</v>
      </c>
      <c r="M173" s="16" t="n">
        <v>100</v>
      </c>
      <c r="N173" s="4">
        <f>Работы!S175</f>
        <v/>
      </c>
      <c r="O173" s="4">
        <f>Работы!R175</f>
        <v/>
      </c>
      <c r="P173" s="16" t="n">
        <v>100</v>
      </c>
      <c r="Q173" s="16" t="n">
        <v>100</v>
      </c>
      <c r="R173" s="16" t="n">
        <v>100</v>
      </c>
      <c r="S173" s="16" t="n">
        <v>100</v>
      </c>
      <c r="T173" s="16" t="n">
        <v>100</v>
      </c>
      <c r="U173" s="16" t="n">
        <v>100</v>
      </c>
      <c r="V173" s="16" t="n">
        <v>100</v>
      </c>
      <c r="W173" s="16" t="n">
        <v>100</v>
      </c>
      <c r="X173" s="16" t="n">
        <v>100</v>
      </c>
      <c r="Y173" s="16" t="n">
        <v>100</v>
      </c>
      <c r="Z173" s="16" t="n">
        <v>100</v>
      </c>
      <c r="AA173" s="16" t="n">
        <v>100</v>
      </c>
    </row>
    <row r="174">
      <c r="A174" s="3" t="inlineStr">
        <is>
          <t>Металлоконструкци</t>
        </is>
      </c>
      <c r="B174" s="3" t="inlineStr">
        <is>
          <t>Арматура</t>
        </is>
      </c>
      <c r="C174" s="3" t="inlineStr">
        <is>
          <t>Монтажные работы</t>
        </is>
      </c>
      <c r="D174" s="3" t="inlineStr">
        <is>
          <t>Арматурная сталь с сечением 12 мм</t>
        </is>
      </c>
      <c r="E174" s="4">
        <f>N174+O174</f>
        <v/>
      </c>
      <c r="F174" s="3" t="inlineStr">
        <is>
          <t>м.п.</t>
        </is>
      </c>
      <c r="G174" s="4">
        <f>IFERROR('[1]Лист1'!G174,100)</f>
        <v/>
      </c>
      <c r="H174" s="16" t="n">
        <v>100</v>
      </c>
      <c r="I174" s="16" t="n">
        <v>100</v>
      </c>
      <c r="J174" s="16" t="n">
        <v>100</v>
      </c>
      <c r="K174" s="16" t="n">
        <v>100</v>
      </c>
      <c r="L174" s="16" t="n">
        <v>100</v>
      </c>
      <c r="M174" s="16" t="n">
        <v>100</v>
      </c>
      <c r="N174" s="4">
        <f>Работы!S176</f>
        <v/>
      </c>
      <c r="O174" s="4">
        <f>Работы!R176</f>
        <v/>
      </c>
      <c r="P174" s="16" t="n">
        <v>100</v>
      </c>
      <c r="Q174" s="16" t="n">
        <v>100</v>
      </c>
      <c r="R174" s="16" t="n">
        <v>100</v>
      </c>
      <c r="S174" s="16" t="n">
        <v>100</v>
      </c>
      <c r="T174" s="16" t="n">
        <v>100</v>
      </c>
      <c r="U174" s="16" t="n">
        <v>100</v>
      </c>
      <c r="V174" s="16" t="n">
        <v>100</v>
      </c>
      <c r="W174" s="16" t="n">
        <v>100</v>
      </c>
      <c r="X174" s="16" t="n">
        <v>100</v>
      </c>
      <c r="Y174" s="16" t="n">
        <v>100</v>
      </c>
      <c r="Z174" s="16" t="n">
        <v>100</v>
      </c>
      <c r="AA174" s="16" t="n">
        <v>100</v>
      </c>
    </row>
    <row r="175">
      <c r="A175" s="3" t="inlineStr">
        <is>
          <t>Металлоконструкци</t>
        </is>
      </c>
      <c r="B175" s="3" t="inlineStr">
        <is>
          <t>Арматура</t>
        </is>
      </c>
      <c r="C175" s="3" t="inlineStr">
        <is>
          <t>Монтажные работы</t>
        </is>
      </c>
      <c r="D175" s="3" t="inlineStr">
        <is>
          <t>Арматурная сталь с сечением 14 мм</t>
        </is>
      </c>
      <c r="E175" s="4">
        <f>N175+O175</f>
        <v/>
      </c>
      <c r="F175" s="3" t="inlineStr">
        <is>
          <t>м.п.</t>
        </is>
      </c>
      <c r="G175" s="4">
        <f>IFERROR('[1]Лист1'!G175,100)</f>
        <v/>
      </c>
      <c r="H175" s="16" t="n">
        <v>100</v>
      </c>
      <c r="I175" s="16" t="n">
        <v>100</v>
      </c>
      <c r="J175" s="16" t="n">
        <v>100</v>
      </c>
      <c r="K175" s="16" t="n">
        <v>100</v>
      </c>
      <c r="L175" s="16" t="n">
        <v>100</v>
      </c>
      <c r="M175" s="16" t="n">
        <v>100</v>
      </c>
      <c r="N175" s="4">
        <f>Работы!S177</f>
        <v/>
      </c>
      <c r="O175" s="4">
        <f>Работы!R177</f>
        <v/>
      </c>
      <c r="P175" s="16" t="n">
        <v>100</v>
      </c>
      <c r="Q175" s="16" t="n">
        <v>100</v>
      </c>
      <c r="R175" s="16" t="n">
        <v>100</v>
      </c>
      <c r="S175" s="16" t="n">
        <v>100</v>
      </c>
      <c r="T175" s="16" t="n">
        <v>100</v>
      </c>
      <c r="U175" s="16" t="n">
        <v>100</v>
      </c>
      <c r="V175" s="16" t="n">
        <v>100</v>
      </c>
      <c r="W175" s="16" t="n">
        <v>100</v>
      </c>
      <c r="X175" s="16" t="n">
        <v>100</v>
      </c>
      <c r="Y175" s="16" t="n">
        <v>100</v>
      </c>
      <c r="Z175" s="16" t="n">
        <v>100</v>
      </c>
      <c r="AA175" s="16" t="n">
        <v>100</v>
      </c>
    </row>
    <row r="176">
      <c r="A176" s="3" t="inlineStr">
        <is>
          <t>Металлоконструкци</t>
        </is>
      </c>
      <c r="B176" s="3" t="inlineStr">
        <is>
          <t>Арматура</t>
        </is>
      </c>
      <c r="C176" s="3" t="inlineStr">
        <is>
          <t>Монтажные работы</t>
        </is>
      </c>
      <c r="D176" s="3" t="inlineStr">
        <is>
          <t>Арматурная сталь с сечением 16 мм</t>
        </is>
      </c>
      <c r="E176" s="4">
        <f>N176+O176</f>
        <v/>
      </c>
      <c r="F176" s="3" t="inlineStr">
        <is>
          <t>м.п.</t>
        </is>
      </c>
      <c r="G176" s="4">
        <f>IFERROR('[1]Лист1'!G176,100)</f>
        <v/>
      </c>
      <c r="H176" s="16" t="n">
        <v>100</v>
      </c>
      <c r="I176" s="16" t="n">
        <v>100</v>
      </c>
      <c r="J176" s="16" t="n">
        <v>100</v>
      </c>
      <c r="K176" s="16" t="n">
        <v>100</v>
      </c>
      <c r="L176" s="16" t="n">
        <v>100</v>
      </c>
      <c r="M176" s="16" t="n">
        <v>100</v>
      </c>
      <c r="N176" s="4">
        <f>Работы!S178</f>
        <v/>
      </c>
      <c r="O176" s="4">
        <f>Работы!R178</f>
        <v/>
      </c>
      <c r="P176" s="16" t="n">
        <v>100</v>
      </c>
      <c r="Q176" s="16" t="n">
        <v>100</v>
      </c>
      <c r="R176" s="16" t="n">
        <v>100</v>
      </c>
      <c r="S176" s="16" t="n">
        <v>100</v>
      </c>
      <c r="T176" s="16" t="n">
        <v>100</v>
      </c>
      <c r="U176" s="16" t="n">
        <v>100</v>
      </c>
      <c r="V176" s="16" t="n">
        <v>100</v>
      </c>
      <c r="W176" s="16" t="n">
        <v>100</v>
      </c>
      <c r="X176" s="16" t="n">
        <v>100</v>
      </c>
      <c r="Y176" s="16" t="n">
        <v>100</v>
      </c>
      <c r="Z176" s="16" t="n">
        <v>100</v>
      </c>
      <c r="AA176" s="16" t="n">
        <v>100</v>
      </c>
    </row>
    <row r="177">
      <c r="A177" s="3" t="inlineStr">
        <is>
          <t>Металлоконструкци</t>
        </is>
      </c>
      <c r="B177" s="3" t="inlineStr">
        <is>
          <t>Контейнерная площадка</t>
        </is>
      </c>
      <c r="C177" s="3" t="inlineStr">
        <is>
          <t>Монтажные работы</t>
        </is>
      </c>
      <c r="D177" s="3" t="inlineStr">
        <is>
          <t>Контейнерная площадки для размещения двух контейнеров с равными створкамы (Габаритные размеры: Ш 2,0 х Д 3,0 х В 2,0 м)</t>
        </is>
      </c>
      <c r="E177" s="4">
        <f>N177+O177</f>
        <v/>
      </c>
      <c r="F177" s="3" t="inlineStr">
        <is>
          <t>шт.</t>
        </is>
      </c>
      <c r="G177" s="4">
        <f>IFERROR('[1]Лист1'!G177,100)</f>
        <v/>
      </c>
      <c r="H177" s="16" t="n">
        <v>100</v>
      </c>
      <c r="I177" s="16" t="n">
        <v>100</v>
      </c>
      <c r="J177" s="16" t="n">
        <v>100</v>
      </c>
      <c r="K177" s="16" t="n">
        <v>100</v>
      </c>
      <c r="L177" s="16" t="n">
        <v>100</v>
      </c>
      <c r="M177" s="16" t="n">
        <v>100</v>
      </c>
      <c r="N177" s="4">
        <f>Работы!S179</f>
        <v/>
      </c>
      <c r="O177" s="4">
        <f>Работы!R179</f>
        <v/>
      </c>
      <c r="P177" s="16" t="n">
        <v>100</v>
      </c>
      <c r="Q177" s="16" t="n">
        <v>100</v>
      </c>
      <c r="R177" s="16" t="n">
        <v>100</v>
      </c>
      <c r="S177" s="16" t="n">
        <v>100</v>
      </c>
      <c r="T177" s="16" t="n">
        <v>100</v>
      </c>
      <c r="U177" s="16" t="n">
        <v>100</v>
      </c>
      <c r="V177" s="16" t="n">
        <v>100</v>
      </c>
      <c r="W177" s="16" t="n">
        <v>100</v>
      </c>
      <c r="X177" s="16" t="n">
        <v>100</v>
      </c>
      <c r="Y177" s="16" t="n">
        <v>100</v>
      </c>
      <c r="Z177" s="16" t="n">
        <v>100</v>
      </c>
      <c r="AA177" s="16" t="n">
        <v>100</v>
      </c>
    </row>
    <row r="178">
      <c r="A178" s="3" t="inlineStr">
        <is>
          <t>Металлоконструкци</t>
        </is>
      </c>
      <c r="B178" s="3" t="inlineStr">
        <is>
          <t>Контейнерная площадка</t>
        </is>
      </c>
      <c r="C178" s="3" t="inlineStr">
        <is>
          <t>Монтажные работы</t>
        </is>
      </c>
      <c r="D178" s="3" t="inlineStr">
        <is>
          <t>Контейнерная площадки для размещения трёх контейнеров с равными створкамы (Габаритные размеры: Ш 2,0 х Д 6,0 х В 2,0 м)</t>
        </is>
      </c>
      <c r="E178" s="4">
        <f>N178+O178</f>
        <v/>
      </c>
      <c r="F178" s="3" t="inlineStr">
        <is>
          <t>шт.</t>
        </is>
      </c>
      <c r="G178" s="4">
        <f>IFERROR('[1]Лист1'!G178,100)</f>
        <v/>
      </c>
      <c r="H178" s="16" t="n">
        <v>100</v>
      </c>
      <c r="I178" s="16" t="n">
        <v>100</v>
      </c>
      <c r="J178" s="16" t="n">
        <v>100</v>
      </c>
      <c r="K178" s="16" t="n">
        <v>100</v>
      </c>
      <c r="L178" s="16" t="n">
        <v>100</v>
      </c>
      <c r="M178" s="16" t="n">
        <v>100</v>
      </c>
      <c r="N178" s="4">
        <f>Работы!S180</f>
        <v/>
      </c>
      <c r="O178" s="4">
        <f>Работы!R180</f>
        <v/>
      </c>
      <c r="P178" s="16" t="n">
        <v>100</v>
      </c>
      <c r="Q178" s="16" t="n">
        <v>100</v>
      </c>
      <c r="R178" s="16" t="n">
        <v>100</v>
      </c>
      <c r="S178" s="16" t="n">
        <v>100</v>
      </c>
      <c r="T178" s="16" t="n">
        <v>100</v>
      </c>
      <c r="U178" s="16" t="n">
        <v>100</v>
      </c>
      <c r="V178" s="16" t="n">
        <v>100</v>
      </c>
      <c r="W178" s="16" t="n">
        <v>100</v>
      </c>
      <c r="X178" s="16" t="n">
        <v>100</v>
      </c>
      <c r="Y178" s="16" t="n">
        <v>100</v>
      </c>
      <c r="Z178" s="16" t="n">
        <v>100</v>
      </c>
      <c r="AA178" s="16" t="n">
        <v>100</v>
      </c>
    </row>
    <row r="179">
      <c r="A179" s="3" t="inlineStr">
        <is>
          <t>Металлоконструкци</t>
        </is>
      </c>
      <c r="B179" s="3" t="inlineStr">
        <is>
          <t>Помещение для курения</t>
        </is>
      </c>
      <c r="C179" s="3" t="inlineStr">
        <is>
          <t>Монтажные работы</t>
        </is>
      </c>
      <c r="D179" s="3" t="inlineStr">
        <is>
          <t>Помещение для курения   (Габаритные размеры: Ш 2,0 х Д 8,0 х В 2,0 м) включая деревянные лавочки</t>
        </is>
      </c>
      <c r="E179" s="4">
        <f>N179+O179</f>
        <v/>
      </c>
      <c r="F179" s="3" t="inlineStr">
        <is>
          <t>шт.</t>
        </is>
      </c>
      <c r="G179" s="4">
        <f>IFERROR('[1]Лист1'!G179,100)</f>
        <v/>
      </c>
      <c r="H179" s="16" t="n">
        <v>100</v>
      </c>
      <c r="I179" s="16" t="n">
        <v>100</v>
      </c>
      <c r="J179" s="16" t="n">
        <v>100</v>
      </c>
      <c r="K179" s="16" t="n">
        <v>100</v>
      </c>
      <c r="L179" s="16" t="n">
        <v>100</v>
      </c>
      <c r="M179" s="16" t="n">
        <v>100</v>
      </c>
      <c r="N179" s="4">
        <f>Работы!S181</f>
        <v/>
      </c>
      <c r="O179" s="4">
        <f>Работы!R181</f>
        <v/>
      </c>
      <c r="P179" s="16" t="n">
        <v>100</v>
      </c>
      <c r="Q179" s="16" t="n">
        <v>100</v>
      </c>
      <c r="R179" s="16" t="n">
        <v>100</v>
      </c>
      <c r="S179" s="16" t="n">
        <v>100</v>
      </c>
      <c r="T179" s="16" t="n">
        <v>100</v>
      </c>
      <c r="U179" s="16" t="n">
        <v>100</v>
      </c>
      <c r="V179" s="16" t="n">
        <v>100</v>
      </c>
      <c r="W179" s="16" t="n">
        <v>100</v>
      </c>
      <c r="X179" s="16" t="n">
        <v>100</v>
      </c>
      <c r="Y179" s="16" t="n">
        <v>100</v>
      </c>
      <c r="Z179" s="16" t="n">
        <v>100</v>
      </c>
      <c r="AA179" s="16" t="n">
        <v>100</v>
      </c>
    </row>
    <row r="180">
      <c r="A180" s="3" t="inlineStr">
        <is>
          <t>Металлоконструкци</t>
        </is>
      </c>
      <c r="B180" s="3" t="inlineStr">
        <is>
          <t>3D ограждения металлического сетчатого</t>
        </is>
      </c>
      <c r="C180" s="3" t="inlineStr">
        <is>
          <t>Монтажные работы</t>
        </is>
      </c>
      <c r="D180" s="3" t="inlineStr">
        <is>
          <t>Столб ограждения металлический 60*60*2мм L=2.000мм с приварным опорным фланцем 6*160*160мм, пластиковой заглушкой, полимерное покрытие цвет темно-зеленый (RAL 6005)</t>
        </is>
      </c>
      <c r="E180" s="4">
        <f>N180+O180</f>
        <v/>
      </c>
      <c r="F180" s="3" t="inlineStr">
        <is>
          <t>п.м</t>
        </is>
      </c>
      <c r="G180" s="4">
        <f>IFERROR('[1]Лист1'!G180,100)</f>
        <v/>
      </c>
      <c r="H180" s="16" t="n">
        <v>100</v>
      </c>
      <c r="I180" s="16" t="n">
        <v>100</v>
      </c>
      <c r="J180" s="16" t="n">
        <v>100</v>
      </c>
      <c r="K180" s="16" t="n">
        <v>100</v>
      </c>
      <c r="L180" s="16" t="n">
        <v>100</v>
      </c>
      <c r="M180" s="16" t="n">
        <v>100</v>
      </c>
      <c r="N180" s="4">
        <f>Работы!S182</f>
        <v/>
      </c>
      <c r="O180" s="4">
        <f>Работы!R182</f>
        <v/>
      </c>
      <c r="P180" s="16" t="n">
        <v>100</v>
      </c>
      <c r="Q180" s="16" t="n">
        <v>100</v>
      </c>
      <c r="R180" s="16" t="n">
        <v>100</v>
      </c>
      <c r="S180" s="16" t="n">
        <v>100</v>
      </c>
      <c r="T180" s="16" t="n">
        <v>100</v>
      </c>
      <c r="U180" s="16" t="n">
        <v>100</v>
      </c>
      <c r="V180" s="16" t="n">
        <v>100</v>
      </c>
      <c r="W180" s="16" t="n">
        <v>100</v>
      </c>
      <c r="X180" s="16" t="n">
        <v>100</v>
      </c>
      <c r="Y180" s="16" t="n">
        <v>100</v>
      </c>
      <c r="Z180" s="16" t="n">
        <v>100</v>
      </c>
      <c r="AA180" s="16" t="n">
        <v>100</v>
      </c>
    </row>
    <row r="181">
      <c r="A181" s="3" t="inlineStr">
        <is>
          <t>Металлоконструкци и</t>
        </is>
      </c>
      <c r="B181" s="3" t="inlineStr">
        <is>
          <t>3D ограждения металлического сетчатого</t>
        </is>
      </c>
      <c r="C181" s="3" t="inlineStr">
        <is>
          <t>Монтажные работы</t>
        </is>
      </c>
      <c r="D181" s="3" t="inlineStr">
        <is>
          <t>Анкер втулочный 16*150-180 или аналог</t>
        </is>
      </c>
      <c r="E181" s="4">
        <f>N181+O181</f>
        <v/>
      </c>
      <c r="F181" s="3" t="inlineStr">
        <is>
          <t>шт</t>
        </is>
      </c>
      <c r="G181" s="4">
        <f>IFERROR('[1]Лист1'!G181,100)</f>
        <v/>
      </c>
      <c r="H181" s="16" t="n">
        <v>100</v>
      </c>
      <c r="I181" s="16" t="n">
        <v>100</v>
      </c>
      <c r="J181" s="16" t="n">
        <v>100</v>
      </c>
      <c r="K181" s="16" t="n">
        <v>100</v>
      </c>
      <c r="L181" s="16" t="n">
        <v>100</v>
      </c>
      <c r="M181" s="16" t="n">
        <v>100</v>
      </c>
      <c r="N181" s="4">
        <f>Работы!S183</f>
        <v/>
      </c>
      <c r="O181" s="4">
        <f>Работы!R183</f>
        <v/>
      </c>
      <c r="P181" s="16" t="n">
        <v>100</v>
      </c>
      <c r="Q181" s="16" t="n">
        <v>100</v>
      </c>
      <c r="R181" s="16" t="n">
        <v>100</v>
      </c>
      <c r="S181" s="16" t="n">
        <v>100</v>
      </c>
      <c r="T181" s="16" t="n">
        <v>100</v>
      </c>
      <c r="U181" s="16" t="n">
        <v>100</v>
      </c>
      <c r="V181" s="16" t="n">
        <v>100</v>
      </c>
      <c r="W181" s="16" t="n">
        <v>100</v>
      </c>
      <c r="X181" s="16" t="n">
        <v>100</v>
      </c>
      <c r="Y181" s="16" t="n">
        <v>100</v>
      </c>
      <c r="Z181" s="16" t="n">
        <v>100</v>
      </c>
      <c r="AA181" s="16" t="n">
        <v>100</v>
      </c>
    </row>
    <row r="182">
      <c r="A182" s="3" t="inlineStr">
        <is>
          <t>Металлоконструкци и</t>
        </is>
      </c>
      <c r="B182" s="3" t="inlineStr">
        <is>
          <t>3D ограждения металлического сетчатого</t>
        </is>
      </c>
      <c r="C182" s="3" t="inlineStr">
        <is>
          <t>Монтажные работы</t>
        </is>
      </c>
      <c r="D182" s="3" t="inlineStr">
        <is>
          <t>Секция металлического сетчатого 3D ограждения 2.500*2.500мм (L*H), ячейка 55*200мм, пруток 4мм,  полимерное покрытие цвет темно-зеленый (RAL 6005)</t>
        </is>
      </c>
      <c r="E182" s="4">
        <f>N182+O182</f>
        <v/>
      </c>
      <c r="F182" s="3" t="inlineStr">
        <is>
          <t>шт</t>
        </is>
      </c>
      <c r="G182" s="4">
        <f>IFERROR('[1]Лист1'!G182,100)</f>
        <v/>
      </c>
      <c r="H182" s="16" t="n">
        <v>100</v>
      </c>
      <c r="I182" s="16" t="n">
        <v>100</v>
      </c>
      <c r="J182" s="16" t="n">
        <v>100</v>
      </c>
      <c r="K182" s="16" t="n">
        <v>100</v>
      </c>
      <c r="L182" s="16" t="n">
        <v>100</v>
      </c>
      <c r="M182" s="16" t="n">
        <v>100</v>
      </c>
      <c r="N182" s="4">
        <f>Работы!S184</f>
        <v/>
      </c>
      <c r="O182" s="4">
        <f>Работы!R184</f>
        <v/>
      </c>
      <c r="P182" s="16" t="n">
        <v>100</v>
      </c>
      <c r="Q182" s="16" t="n">
        <v>100</v>
      </c>
      <c r="R182" s="16" t="n">
        <v>100</v>
      </c>
      <c r="S182" s="16" t="n">
        <v>100</v>
      </c>
      <c r="T182" s="16" t="n">
        <v>100</v>
      </c>
      <c r="U182" s="16" t="n">
        <v>100</v>
      </c>
      <c r="V182" s="16" t="n">
        <v>100</v>
      </c>
      <c r="W182" s="16" t="n">
        <v>100</v>
      </c>
      <c r="X182" s="16" t="n">
        <v>100</v>
      </c>
      <c r="Y182" s="16" t="n">
        <v>100</v>
      </c>
      <c r="Z182" s="16" t="n">
        <v>100</v>
      </c>
      <c r="AA182" s="16" t="n">
        <v>100</v>
      </c>
    </row>
    <row r="183">
      <c r="A183" s="3" t="inlineStr">
        <is>
          <t>Металлоконструкци и</t>
        </is>
      </c>
      <c r="B183" s="3" t="inlineStr">
        <is>
          <t>3D ограждения металлического сетчатого</t>
        </is>
      </c>
      <c r="C183" s="3" t="inlineStr">
        <is>
          <t>Монтажные работы</t>
        </is>
      </c>
      <c r="D183" s="3" t="inlineStr">
        <is>
          <t xml:space="preserve">Комплект хомутов для крепления секции ограждения к столбу 60*60 концевой (стартовый) металлический штампованый 2мм, полимерное покрытие цвет темно-зеленый (RAL 6005) </t>
        </is>
      </c>
      <c r="E183" s="4">
        <f>N183+O183</f>
        <v/>
      </c>
      <c r="F183" s="3" t="inlineStr">
        <is>
          <t>комплект на столб</t>
        </is>
      </c>
      <c r="G183" s="4">
        <f>IFERROR('[1]Лист1'!G183,100)</f>
        <v/>
      </c>
      <c r="H183" s="16" t="n">
        <v>100</v>
      </c>
      <c r="I183" s="16" t="n">
        <v>100</v>
      </c>
      <c r="J183" s="16" t="n">
        <v>100</v>
      </c>
      <c r="K183" s="16" t="n">
        <v>100</v>
      </c>
      <c r="L183" s="16" t="n">
        <v>100</v>
      </c>
      <c r="M183" s="16" t="n">
        <v>100</v>
      </c>
      <c r="N183" s="4">
        <f>Работы!S185</f>
        <v/>
      </c>
      <c r="O183" s="4">
        <f>Работы!R185</f>
        <v/>
      </c>
      <c r="P183" s="16" t="n">
        <v>100</v>
      </c>
      <c r="Q183" s="16" t="n">
        <v>100</v>
      </c>
      <c r="R183" s="16" t="n">
        <v>100</v>
      </c>
      <c r="S183" s="16" t="n">
        <v>100</v>
      </c>
      <c r="T183" s="16" t="n">
        <v>100</v>
      </c>
      <c r="U183" s="16" t="n">
        <v>100</v>
      </c>
      <c r="V183" s="16" t="n">
        <v>100</v>
      </c>
      <c r="W183" s="16" t="n">
        <v>100</v>
      </c>
      <c r="X183" s="16" t="n">
        <v>100</v>
      </c>
      <c r="Y183" s="16" t="n">
        <v>100</v>
      </c>
      <c r="Z183" s="16" t="n">
        <v>100</v>
      </c>
      <c r="AA183" s="16" t="n">
        <v>100</v>
      </c>
    </row>
    <row r="184">
      <c r="A184" s="3" t="inlineStr">
        <is>
          <t>Металлоконструкци и</t>
        </is>
      </c>
      <c r="B184" s="3" t="inlineStr">
        <is>
          <t>3D ограждения металлического сетчатого</t>
        </is>
      </c>
      <c r="C184" s="3" t="inlineStr">
        <is>
          <t>Монтажные работы</t>
        </is>
      </c>
      <c r="D184" s="3" t="inlineStr">
        <is>
          <t>3D сетка  Grand  Line Панель  Bastion  3x2,4, цветRal 6005 или аналогс 5 ребрами жесткости.</t>
        </is>
      </c>
      <c r="E184" s="4">
        <f>N184+O184</f>
        <v/>
      </c>
      <c r="F184" s="3" t="inlineStr">
        <is>
          <t>шт</t>
        </is>
      </c>
      <c r="G184" s="4">
        <f>IFERROR('[1]Лист1'!G184,100)</f>
        <v/>
      </c>
      <c r="H184" s="16" t="n">
        <v>100</v>
      </c>
      <c r="I184" s="16" t="n">
        <v>100</v>
      </c>
      <c r="J184" s="16" t="n">
        <v>100</v>
      </c>
      <c r="K184" s="16" t="n">
        <v>100</v>
      </c>
      <c r="L184" s="16" t="n">
        <v>100</v>
      </c>
      <c r="M184" s="16" t="n">
        <v>100</v>
      </c>
      <c r="N184" s="4">
        <f>Работы!S186</f>
        <v/>
      </c>
      <c r="O184" s="4">
        <f>Работы!R186</f>
        <v/>
      </c>
      <c r="P184" s="16" t="n">
        <v>100</v>
      </c>
      <c r="Q184" s="16" t="n">
        <v>100</v>
      </c>
      <c r="R184" s="16" t="n">
        <v>100</v>
      </c>
      <c r="S184" s="16" t="n">
        <v>100</v>
      </c>
      <c r="T184" s="16" t="n">
        <v>100</v>
      </c>
      <c r="U184" s="16" t="n">
        <v>100</v>
      </c>
      <c r="V184" s="16" t="n">
        <v>100</v>
      </c>
      <c r="W184" s="16" t="n">
        <v>100</v>
      </c>
      <c r="X184" s="16" t="n">
        <v>100</v>
      </c>
      <c r="Y184" s="16" t="n">
        <v>100</v>
      </c>
      <c r="Z184" s="16" t="n">
        <v>100</v>
      </c>
      <c r="AA184" s="16" t="n">
        <v>100</v>
      </c>
    </row>
    <row r="185">
      <c r="A185" s="3" t="inlineStr">
        <is>
          <t>Металлоконструкци и</t>
        </is>
      </c>
      <c r="B185" s="3" t="inlineStr">
        <is>
          <t>3D ограждения металлического сетчатого</t>
        </is>
      </c>
      <c r="C185" s="3" t="inlineStr">
        <is>
          <t>Монтажные работы</t>
        </is>
      </c>
      <c r="D185" s="3" t="inlineStr">
        <is>
          <t xml:space="preserve">Столб 60х40х1,4х2500 RAL 6005 5 отверстийМ6 (1,53/1,73/2,03) или аналог. </t>
        </is>
      </c>
      <c r="E185" s="4">
        <f>N185+O185</f>
        <v/>
      </c>
      <c r="F185" s="3" t="inlineStr">
        <is>
          <t>шт</t>
        </is>
      </c>
      <c r="G185" s="4">
        <f>IFERROR('[1]Лист1'!G185,100)</f>
        <v/>
      </c>
      <c r="H185" s="16" t="n">
        <v>100</v>
      </c>
      <c r="I185" s="16" t="n">
        <v>100</v>
      </c>
      <c r="J185" s="16" t="n">
        <v>100</v>
      </c>
      <c r="K185" s="16" t="n">
        <v>100</v>
      </c>
      <c r="L185" s="16" t="n">
        <v>100</v>
      </c>
      <c r="M185" s="16" t="n">
        <v>100</v>
      </c>
      <c r="N185" s="4">
        <f>Работы!S187</f>
        <v/>
      </c>
      <c r="O185" s="4">
        <f>Работы!R187</f>
        <v/>
      </c>
      <c r="P185" s="16" t="n">
        <v>100</v>
      </c>
      <c r="Q185" s="16" t="n">
        <v>100</v>
      </c>
      <c r="R185" s="16" t="n">
        <v>100</v>
      </c>
      <c r="S185" s="16" t="n">
        <v>100</v>
      </c>
      <c r="T185" s="16" t="n">
        <v>100</v>
      </c>
      <c r="U185" s="16" t="n">
        <v>100</v>
      </c>
      <c r="V185" s="16" t="n">
        <v>100</v>
      </c>
      <c r="W185" s="16" t="n">
        <v>100</v>
      </c>
      <c r="X185" s="16" t="n">
        <v>100</v>
      </c>
      <c r="Y185" s="16" t="n">
        <v>100</v>
      </c>
      <c r="Z185" s="16" t="n">
        <v>100</v>
      </c>
      <c r="AA185" s="16" t="n">
        <v>100</v>
      </c>
    </row>
    <row r="186">
      <c r="A186" s="3" t="inlineStr">
        <is>
          <t>Электрика</t>
        </is>
      </c>
      <c r="B186" s="3" t="inlineStr">
        <is>
          <t>Кабель ВВГнг</t>
        </is>
      </c>
      <c r="C186" s="3" t="inlineStr">
        <is>
          <t>Электромонтажные работы</t>
        </is>
      </c>
      <c r="D186" s="3" t="inlineStr">
        <is>
          <t>Кабель ВВГ нг(А) LS 5x6 мм.кв.</t>
        </is>
      </c>
      <c r="E186" s="4">
        <f>N186+O186</f>
        <v/>
      </c>
      <c r="F186" s="3" t="inlineStr">
        <is>
          <t>м.п.</t>
        </is>
      </c>
      <c r="G186" s="4">
        <f>IFERROR('[1]Лист1'!G186,200)</f>
        <v/>
      </c>
      <c r="H186" s="16" t="n">
        <v>200</v>
      </c>
      <c r="I186" s="16" t="n">
        <v>200</v>
      </c>
      <c r="J186" s="16" t="n">
        <v>200</v>
      </c>
      <c r="K186" s="16" t="n">
        <v>200</v>
      </c>
      <c r="L186" s="16" t="n">
        <v>200</v>
      </c>
      <c r="M186" s="16" t="n">
        <v>200</v>
      </c>
      <c r="N186" s="4">
        <f>Работы!S188</f>
        <v/>
      </c>
      <c r="O186" s="4">
        <f>Работы!R188</f>
        <v/>
      </c>
      <c r="P186" s="16" t="n">
        <v>200</v>
      </c>
      <c r="Q186" s="16" t="n">
        <v>200</v>
      </c>
      <c r="R186" s="16" t="n">
        <v>200</v>
      </c>
      <c r="S186" s="16" t="n">
        <v>200</v>
      </c>
      <c r="T186" s="16" t="n">
        <v>200</v>
      </c>
      <c r="U186" s="16" t="n">
        <v>200</v>
      </c>
      <c r="V186" s="16" t="n">
        <v>200</v>
      </c>
      <c r="W186" s="16" t="n">
        <v>200</v>
      </c>
      <c r="X186" s="16" t="n">
        <v>200</v>
      </c>
      <c r="Y186" s="16" t="n">
        <v>200</v>
      </c>
      <c r="Z186" s="16" t="n">
        <v>200</v>
      </c>
      <c r="AA186" s="16" t="n">
        <v>200</v>
      </c>
    </row>
    <row r="187">
      <c r="A187" s="3" t="inlineStr">
        <is>
          <t>Электрика</t>
        </is>
      </c>
      <c r="B187" s="3" t="inlineStr">
        <is>
          <t>Кабель ВВГнг</t>
        </is>
      </c>
      <c r="C187" s="3" t="inlineStr">
        <is>
          <t>Электромонтажные работы</t>
        </is>
      </c>
      <c r="D187" s="3" t="inlineStr">
        <is>
          <t>Кабель КВВГ нг(А) LS 5x2,5 мм.кв.</t>
        </is>
      </c>
      <c r="E187" s="4">
        <f>N187+O187</f>
        <v/>
      </c>
      <c r="F187" s="3" t="inlineStr">
        <is>
          <t>м.п.</t>
        </is>
      </c>
      <c r="G187" s="4">
        <f>IFERROR('[1]Лист1'!G187,200)</f>
        <v/>
      </c>
      <c r="H187" s="16" t="n">
        <v>200</v>
      </c>
      <c r="I187" s="16" t="n">
        <v>200</v>
      </c>
      <c r="J187" s="16" t="n">
        <v>200</v>
      </c>
      <c r="K187" s="16" t="n">
        <v>200</v>
      </c>
      <c r="L187" s="16" t="n">
        <v>200</v>
      </c>
      <c r="M187" s="16" t="n">
        <v>200</v>
      </c>
      <c r="N187" s="4">
        <f>Работы!S189</f>
        <v/>
      </c>
      <c r="O187" s="4">
        <f>Работы!R189</f>
        <v/>
      </c>
      <c r="P187" s="16" t="n">
        <v>200</v>
      </c>
      <c r="Q187" s="16" t="n">
        <v>200</v>
      </c>
      <c r="R187" s="16" t="n">
        <v>200</v>
      </c>
      <c r="S187" s="16" t="n">
        <v>200</v>
      </c>
      <c r="T187" s="16" t="n">
        <v>200</v>
      </c>
      <c r="U187" s="16" t="n">
        <v>200</v>
      </c>
      <c r="V187" s="16" t="n">
        <v>200</v>
      </c>
      <c r="W187" s="16" t="n">
        <v>200</v>
      </c>
      <c r="X187" s="16" t="n">
        <v>200</v>
      </c>
      <c r="Y187" s="16" t="n">
        <v>200</v>
      </c>
      <c r="Z187" s="16" t="n">
        <v>200</v>
      </c>
      <c r="AA187" s="16" t="n">
        <v>200</v>
      </c>
    </row>
    <row r="188">
      <c r="A188" s="3" t="inlineStr">
        <is>
          <t>Электрика</t>
        </is>
      </c>
      <c r="B188" s="3" t="inlineStr">
        <is>
          <t>Кабель ВВГнг</t>
        </is>
      </c>
      <c r="C188" s="3" t="inlineStr">
        <is>
          <t>Электромонтажные работы</t>
        </is>
      </c>
      <c r="D188" s="3" t="inlineStr">
        <is>
          <t>Кабель нагревательный саморегулирующийся 30КСТМ2-Т</t>
        </is>
      </c>
      <c r="E188" s="4">
        <f>N188+O188</f>
        <v/>
      </c>
      <c r="F188" s="3" t="inlineStr">
        <is>
          <t>м.п.</t>
        </is>
      </c>
      <c r="G188" s="4">
        <f>IFERROR('[1]Лист1'!G188,200)</f>
        <v/>
      </c>
      <c r="H188" s="16" t="n">
        <v>200</v>
      </c>
      <c r="I188" s="16" t="n">
        <v>200</v>
      </c>
      <c r="J188" s="16" t="n">
        <v>200</v>
      </c>
      <c r="K188" s="16" t="n">
        <v>200</v>
      </c>
      <c r="L188" s="16" t="n">
        <v>200</v>
      </c>
      <c r="M188" s="16" t="n">
        <v>200</v>
      </c>
      <c r="N188" s="4">
        <f>Работы!S190</f>
        <v/>
      </c>
      <c r="O188" s="4">
        <f>Работы!R190</f>
        <v/>
      </c>
      <c r="P188" s="16" t="n">
        <v>200</v>
      </c>
      <c r="Q188" s="16" t="n">
        <v>200</v>
      </c>
      <c r="R188" s="16" t="n">
        <v>200</v>
      </c>
      <c r="S188" s="16" t="n">
        <v>200</v>
      </c>
      <c r="T188" s="16" t="n">
        <v>200</v>
      </c>
      <c r="U188" s="16" t="n">
        <v>200</v>
      </c>
      <c r="V188" s="16" t="n">
        <v>200</v>
      </c>
      <c r="W188" s="16" t="n">
        <v>200</v>
      </c>
      <c r="X188" s="16" t="n">
        <v>200</v>
      </c>
      <c r="Y188" s="16" t="n">
        <v>200</v>
      </c>
      <c r="Z188" s="16" t="n">
        <v>200</v>
      </c>
      <c r="AA188" s="16" t="n">
        <v>200</v>
      </c>
    </row>
    <row r="189">
      <c r="A189" s="3" t="inlineStr">
        <is>
          <t>Электрика</t>
        </is>
      </c>
      <c r="B189" s="3" t="inlineStr">
        <is>
          <t>Кабель АВВГ</t>
        </is>
      </c>
      <c r="C189" s="3" t="inlineStr">
        <is>
          <t>Электромонтажные работы</t>
        </is>
      </c>
      <c r="D189" s="3" t="inlineStr">
        <is>
          <t>СИП-2 -0,6/1 3х 16 + 1х25 кабель</t>
        </is>
      </c>
      <c r="E189" s="4">
        <f>N189+O189</f>
        <v/>
      </c>
      <c r="F189" s="3" t="inlineStr">
        <is>
          <t>м.п.</t>
        </is>
      </c>
      <c r="G189" s="4">
        <f>IFERROR('[1]Лист1'!G189,200)</f>
        <v/>
      </c>
      <c r="H189" s="16" t="n">
        <v>200</v>
      </c>
      <c r="I189" s="16" t="n">
        <v>200</v>
      </c>
      <c r="J189" s="16" t="n">
        <v>200</v>
      </c>
      <c r="K189" s="16" t="n">
        <v>200</v>
      </c>
      <c r="L189" s="16" t="n">
        <v>200</v>
      </c>
      <c r="M189" s="16" t="n">
        <v>200</v>
      </c>
      <c r="N189" s="4">
        <f>Работы!S191</f>
        <v/>
      </c>
      <c r="O189" s="4">
        <f>Работы!R191</f>
        <v/>
      </c>
      <c r="P189" s="16" t="n">
        <v>200</v>
      </c>
      <c r="Q189" s="16" t="n">
        <v>200</v>
      </c>
      <c r="R189" s="16" t="n">
        <v>200</v>
      </c>
      <c r="S189" s="16" t="n">
        <v>200</v>
      </c>
      <c r="T189" s="16" t="n">
        <v>200</v>
      </c>
      <c r="U189" s="16" t="n">
        <v>200</v>
      </c>
      <c r="V189" s="16" t="n">
        <v>200</v>
      </c>
      <c r="W189" s="16" t="n">
        <v>200</v>
      </c>
      <c r="X189" s="16" t="n">
        <v>200</v>
      </c>
      <c r="Y189" s="16" t="n">
        <v>200</v>
      </c>
      <c r="Z189" s="16" t="n">
        <v>200</v>
      </c>
      <c r="AA189" s="16" t="n">
        <v>200</v>
      </c>
    </row>
    <row r="190">
      <c r="A190" s="3" t="inlineStr">
        <is>
          <t>Электрика</t>
        </is>
      </c>
      <c r="B190" s="3" t="inlineStr">
        <is>
          <t>Кабель АВВГ</t>
        </is>
      </c>
      <c r="C190" s="3" t="inlineStr">
        <is>
          <t>Электромонтажные работы</t>
        </is>
      </c>
      <c r="D190" s="3" t="inlineStr">
        <is>
          <t>СИП-2 -0,6/1 3х 25 + 1х35 кабель</t>
        </is>
      </c>
      <c r="E190" s="4">
        <f>N190+O190</f>
        <v/>
      </c>
      <c r="F190" s="3" t="inlineStr">
        <is>
          <t>м.п.</t>
        </is>
      </c>
      <c r="G190" s="4">
        <f>IFERROR('[1]Лист1'!G190,200)</f>
        <v/>
      </c>
      <c r="H190" s="16" t="n">
        <v>200</v>
      </c>
      <c r="I190" s="16" t="n">
        <v>200</v>
      </c>
      <c r="J190" s="16" t="n">
        <v>200</v>
      </c>
      <c r="K190" s="16" t="n">
        <v>200</v>
      </c>
      <c r="L190" s="16" t="n">
        <v>200</v>
      </c>
      <c r="M190" s="16" t="n">
        <v>200</v>
      </c>
      <c r="N190" s="4">
        <f>Работы!S192</f>
        <v/>
      </c>
      <c r="O190" s="4">
        <f>Работы!R192</f>
        <v/>
      </c>
      <c r="P190" s="16" t="n">
        <v>200</v>
      </c>
      <c r="Q190" s="16" t="n">
        <v>200</v>
      </c>
      <c r="R190" s="16" t="n">
        <v>200</v>
      </c>
      <c r="S190" s="16" t="n">
        <v>200</v>
      </c>
      <c r="T190" s="16" t="n">
        <v>200</v>
      </c>
      <c r="U190" s="16" t="n">
        <v>200</v>
      </c>
      <c r="V190" s="16" t="n">
        <v>200</v>
      </c>
      <c r="W190" s="16" t="n">
        <v>200</v>
      </c>
      <c r="X190" s="16" t="n">
        <v>200</v>
      </c>
      <c r="Y190" s="16" t="n">
        <v>200</v>
      </c>
      <c r="Z190" s="16" t="n">
        <v>200</v>
      </c>
      <c r="AA190" s="16" t="n">
        <v>200</v>
      </c>
    </row>
    <row r="191">
      <c r="A191" s="3" t="inlineStr">
        <is>
          <t>Электрика</t>
        </is>
      </c>
      <c r="B191" s="3" t="inlineStr">
        <is>
          <t>Кабель АВВГ</t>
        </is>
      </c>
      <c r="C191" s="3" t="inlineStr">
        <is>
          <t>Электромонтажные работы</t>
        </is>
      </c>
      <c r="D191" s="3" t="inlineStr">
        <is>
          <t>СИП-2 -0,6/1 3х 35 + 1х54,6 кабель</t>
        </is>
      </c>
      <c r="E191" s="4">
        <f>N191+O191</f>
        <v/>
      </c>
      <c r="F191" s="3" t="inlineStr">
        <is>
          <t>м.п.</t>
        </is>
      </c>
      <c r="G191" s="4">
        <f>IFERROR('[1]Лист1'!G191,200)</f>
        <v/>
      </c>
      <c r="H191" s="16" t="n">
        <v>200</v>
      </c>
      <c r="I191" s="16" t="n">
        <v>200</v>
      </c>
      <c r="J191" s="16" t="n">
        <v>200</v>
      </c>
      <c r="K191" s="16" t="n">
        <v>200</v>
      </c>
      <c r="L191" s="16" t="n">
        <v>200</v>
      </c>
      <c r="M191" s="16" t="n">
        <v>200</v>
      </c>
      <c r="N191" s="4">
        <f>Работы!S193</f>
        <v/>
      </c>
      <c r="O191" s="4">
        <f>Работы!R193</f>
        <v/>
      </c>
      <c r="P191" s="16" t="n">
        <v>200</v>
      </c>
      <c r="Q191" s="16" t="n">
        <v>200</v>
      </c>
      <c r="R191" s="16" t="n">
        <v>200</v>
      </c>
      <c r="S191" s="16" t="n">
        <v>200</v>
      </c>
      <c r="T191" s="16" t="n">
        <v>200</v>
      </c>
      <c r="U191" s="16" t="n">
        <v>200</v>
      </c>
      <c r="V191" s="16" t="n">
        <v>200</v>
      </c>
      <c r="W191" s="16" t="n">
        <v>200</v>
      </c>
      <c r="X191" s="16" t="n">
        <v>200</v>
      </c>
      <c r="Y191" s="16" t="n">
        <v>200</v>
      </c>
      <c r="Z191" s="16" t="n">
        <v>200</v>
      </c>
      <c r="AA191" s="16" t="n">
        <v>200</v>
      </c>
    </row>
    <row r="192">
      <c r="A192" s="3" t="inlineStr">
        <is>
          <t>Электрика</t>
        </is>
      </c>
      <c r="B192" s="3" t="inlineStr">
        <is>
          <t>Кабель АВВГ</t>
        </is>
      </c>
      <c r="C192" s="3" t="inlineStr">
        <is>
          <t>Электромонтажные работы</t>
        </is>
      </c>
      <c r="D192" s="3" t="inlineStr">
        <is>
          <t>СИП-2 -0,6/1 3х 50 + 1х54,6 кабель</t>
        </is>
      </c>
      <c r="E192" s="4">
        <f>N192+O192</f>
        <v/>
      </c>
      <c r="F192" s="3" t="inlineStr">
        <is>
          <t>м.п.</t>
        </is>
      </c>
      <c r="G192" s="4">
        <f>IFERROR('[1]Лист1'!G192,200)</f>
        <v/>
      </c>
      <c r="H192" s="16" t="n">
        <v>200</v>
      </c>
      <c r="I192" s="16" t="n">
        <v>200</v>
      </c>
      <c r="J192" s="16" t="n">
        <v>200</v>
      </c>
      <c r="K192" s="16" t="n">
        <v>200</v>
      </c>
      <c r="L192" s="16" t="n">
        <v>200</v>
      </c>
      <c r="M192" s="16" t="n">
        <v>200</v>
      </c>
      <c r="N192" s="4">
        <f>Работы!S194</f>
        <v/>
      </c>
      <c r="O192" s="4">
        <f>Работы!R194</f>
        <v/>
      </c>
      <c r="P192" s="16" t="n">
        <v>200</v>
      </c>
      <c r="Q192" s="16" t="n">
        <v>200</v>
      </c>
      <c r="R192" s="16" t="n">
        <v>200</v>
      </c>
      <c r="S192" s="16" t="n">
        <v>200</v>
      </c>
      <c r="T192" s="16" t="n">
        <v>200</v>
      </c>
      <c r="U192" s="16" t="n">
        <v>200</v>
      </c>
      <c r="V192" s="16" t="n">
        <v>200</v>
      </c>
      <c r="W192" s="16" t="n">
        <v>200</v>
      </c>
      <c r="X192" s="16" t="n">
        <v>200</v>
      </c>
      <c r="Y192" s="16" t="n">
        <v>200</v>
      </c>
      <c r="Z192" s="16" t="n">
        <v>200</v>
      </c>
      <c r="AA192" s="16" t="n">
        <v>200</v>
      </c>
    </row>
    <row r="193">
      <c r="A193" s="3" t="inlineStr">
        <is>
          <t>Электрика</t>
        </is>
      </c>
      <c r="B193" s="3" t="inlineStr">
        <is>
          <t>Кабель АВВГ</t>
        </is>
      </c>
      <c r="C193" s="3" t="inlineStr">
        <is>
          <t>Электромонтажные работы</t>
        </is>
      </c>
      <c r="D193" s="3" t="inlineStr">
        <is>
          <t>СИП-2 -0,6/1 3х 70 + 1х54,6 кабель</t>
        </is>
      </c>
      <c r="E193" s="4">
        <f>N193+O193</f>
        <v/>
      </c>
      <c r="F193" s="3" t="inlineStr">
        <is>
          <t>м.п.</t>
        </is>
      </c>
      <c r="G193" s="4">
        <f>IFERROR('[1]Лист1'!G193,200)</f>
        <v/>
      </c>
      <c r="H193" s="16" t="n">
        <v>200</v>
      </c>
      <c r="I193" s="16" t="n">
        <v>200</v>
      </c>
      <c r="J193" s="16" t="n">
        <v>200</v>
      </c>
      <c r="K193" s="16" t="n">
        <v>200</v>
      </c>
      <c r="L193" s="16" t="n">
        <v>200</v>
      </c>
      <c r="M193" s="16" t="n">
        <v>200</v>
      </c>
      <c r="N193" s="4">
        <f>Работы!S195</f>
        <v/>
      </c>
      <c r="O193" s="4">
        <f>Работы!R195</f>
        <v/>
      </c>
      <c r="P193" s="16" t="n">
        <v>200</v>
      </c>
      <c r="Q193" s="16" t="n">
        <v>200</v>
      </c>
      <c r="R193" s="16" t="n">
        <v>200</v>
      </c>
      <c r="S193" s="16" t="n">
        <v>200</v>
      </c>
      <c r="T193" s="16" t="n">
        <v>200</v>
      </c>
      <c r="U193" s="16" t="n">
        <v>200</v>
      </c>
      <c r="V193" s="16" t="n">
        <v>200</v>
      </c>
      <c r="W193" s="16" t="n">
        <v>200</v>
      </c>
      <c r="X193" s="16" t="n">
        <v>200</v>
      </c>
      <c r="Y193" s="16" t="n">
        <v>200</v>
      </c>
      <c r="Z193" s="16" t="n">
        <v>200</v>
      </c>
      <c r="AA193" s="16" t="n">
        <v>200</v>
      </c>
    </row>
    <row r="194">
      <c r="A194" s="3" t="inlineStr">
        <is>
          <t>Электрика</t>
        </is>
      </c>
      <c r="B194" s="3" t="inlineStr">
        <is>
          <t>Розетки</t>
        </is>
      </c>
      <c r="C194" s="3" t="inlineStr">
        <is>
          <t>Электромонтажные работы</t>
        </is>
      </c>
      <c r="D194" s="3" t="inlineStr">
        <is>
          <t>Розетка одинарная наружная 220В 16А</t>
        </is>
      </c>
      <c r="E194" s="4">
        <f>N194+O194</f>
        <v/>
      </c>
      <c r="F194" s="3" t="inlineStr">
        <is>
          <t>шт.</t>
        </is>
      </c>
      <c r="G194" s="4">
        <f>IFERROR('[1]Лист1'!G194,200)</f>
        <v/>
      </c>
      <c r="H194" s="16" t="n">
        <v>200</v>
      </c>
      <c r="I194" s="16" t="n">
        <v>200</v>
      </c>
      <c r="J194" s="16" t="n">
        <v>200</v>
      </c>
      <c r="K194" s="16" t="n">
        <v>200</v>
      </c>
      <c r="L194" s="16" t="n">
        <v>200</v>
      </c>
      <c r="M194" s="16" t="n">
        <v>200</v>
      </c>
      <c r="N194" s="4">
        <f>Работы!S196</f>
        <v/>
      </c>
      <c r="O194" s="4">
        <f>Работы!R196</f>
        <v/>
      </c>
      <c r="P194" s="16" t="n">
        <v>200</v>
      </c>
      <c r="Q194" s="16" t="n">
        <v>200</v>
      </c>
      <c r="R194" s="16" t="n">
        <v>200</v>
      </c>
      <c r="S194" s="16" t="n">
        <v>200</v>
      </c>
      <c r="T194" s="16" t="n">
        <v>200</v>
      </c>
      <c r="U194" s="16" t="n">
        <v>200</v>
      </c>
      <c r="V194" s="16" t="n">
        <v>200</v>
      </c>
      <c r="W194" s="16" t="n">
        <v>200</v>
      </c>
      <c r="X194" s="16" t="n">
        <v>200</v>
      </c>
      <c r="Y194" s="16" t="n">
        <v>200</v>
      </c>
      <c r="Z194" s="16" t="n">
        <v>200</v>
      </c>
      <c r="AA194" s="16" t="n">
        <v>200</v>
      </c>
    </row>
    <row r="195">
      <c r="A195" s="3" t="inlineStr">
        <is>
          <t>Электрика</t>
        </is>
      </c>
      <c r="B195" s="3" t="inlineStr">
        <is>
          <t>Розетки</t>
        </is>
      </c>
      <c r="C195" s="3" t="inlineStr">
        <is>
          <t>Электромонтажные работы</t>
        </is>
      </c>
      <c r="D195" s="3" t="inlineStr">
        <is>
          <t>Розетка одинарная внутренняя 220В 16А</t>
        </is>
      </c>
      <c r="E195" s="4">
        <f>N195+O195</f>
        <v/>
      </c>
      <c r="F195" s="3" t="inlineStr">
        <is>
          <t>шт.</t>
        </is>
      </c>
      <c r="G195" s="4">
        <f>IFERROR('[1]Лист1'!G195,200)</f>
        <v/>
      </c>
      <c r="H195" s="16" t="n">
        <v>200</v>
      </c>
      <c r="I195" s="16" t="n">
        <v>200</v>
      </c>
      <c r="J195" s="16" t="n">
        <v>200</v>
      </c>
      <c r="K195" s="16" t="n">
        <v>200</v>
      </c>
      <c r="L195" s="16" t="n">
        <v>200</v>
      </c>
      <c r="M195" s="16" t="n">
        <v>200</v>
      </c>
      <c r="N195" s="4">
        <f>Работы!S197</f>
        <v/>
      </c>
      <c r="O195" s="4">
        <f>Работы!R197</f>
        <v/>
      </c>
      <c r="P195" s="16" t="n">
        <v>200</v>
      </c>
      <c r="Q195" s="16" t="n">
        <v>200</v>
      </c>
      <c r="R195" s="16" t="n">
        <v>200</v>
      </c>
      <c r="S195" s="16" t="n">
        <v>200</v>
      </c>
      <c r="T195" s="16" t="n">
        <v>200</v>
      </c>
      <c r="U195" s="16" t="n">
        <v>200</v>
      </c>
      <c r="V195" s="16" t="n">
        <v>200</v>
      </c>
      <c r="W195" s="16" t="n">
        <v>200</v>
      </c>
      <c r="X195" s="16" t="n">
        <v>200</v>
      </c>
      <c r="Y195" s="16" t="n">
        <v>200</v>
      </c>
      <c r="Z195" s="16" t="n">
        <v>200</v>
      </c>
      <c r="AA195" s="16" t="n">
        <v>200</v>
      </c>
    </row>
    <row r="196">
      <c r="A196" s="3" t="inlineStr">
        <is>
          <t>Электрика</t>
        </is>
      </c>
      <c r="B196" s="3" t="inlineStr">
        <is>
          <t>Розетки</t>
        </is>
      </c>
      <c r="C196" s="3" t="inlineStr">
        <is>
          <t>Электромонтажные работы</t>
        </is>
      </c>
      <c r="D196" s="3" t="inlineStr">
        <is>
          <t>Розетка двойная наружная 220В 16А</t>
        </is>
      </c>
      <c r="E196" s="4">
        <f>N196+O196</f>
        <v/>
      </c>
      <c r="F196" s="3" t="inlineStr">
        <is>
          <t>шт.</t>
        </is>
      </c>
      <c r="G196" s="4">
        <f>IFERROR('[1]Лист1'!G196,200)</f>
        <v/>
      </c>
      <c r="H196" s="16" t="n">
        <v>200</v>
      </c>
      <c r="I196" s="16" t="n">
        <v>200</v>
      </c>
      <c r="J196" s="16" t="n">
        <v>200</v>
      </c>
      <c r="K196" s="16" t="n">
        <v>200</v>
      </c>
      <c r="L196" s="16" t="n">
        <v>200</v>
      </c>
      <c r="M196" s="16" t="n">
        <v>200</v>
      </c>
      <c r="N196" s="4">
        <f>Работы!S198</f>
        <v/>
      </c>
      <c r="O196" s="4">
        <f>Работы!R198</f>
        <v/>
      </c>
      <c r="P196" s="16" t="n">
        <v>200</v>
      </c>
      <c r="Q196" s="16" t="n">
        <v>200</v>
      </c>
      <c r="R196" s="16" t="n">
        <v>200</v>
      </c>
      <c r="S196" s="16" t="n">
        <v>200</v>
      </c>
      <c r="T196" s="16" t="n">
        <v>200</v>
      </c>
      <c r="U196" s="16" t="n">
        <v>200</v>
      </c>
      <c r="V196" s="16" t="n">
        <v>200</v>
      </c>
      <c r="W196" s="16" t="n">
        <v>200</v>
      </c>
      <c r="X196" s="16" t="n">
        <v>200</v>
      </c>
      <c r="Y196" s="16" t="n">
        <v>200</v>
      </c>
      <c r="Z196" s="16" t="n">
        <v>200</v>
      </c>
      <c r="AA196" s="16" t="n">
        <v>200</v>
      </c>
    </row>
    <row r="197">
      <c r="A197" s="3" t="inlineStr">
        <is>
          <t>Электрика</t>
        </is>
      </c>
      <c r="B197" s="3" t="inlineStr">
        <is>
          <t>Розетки</t>
        </is>
      </c>
      <c r="C197" s="3" t="inlineStr">
        <is>
          <t>Электромонтажные работы</t>
        </is>
      </c>
      <c r="D197" s="3" t="inlineStr">
        <is>
          <t>Розетка двойная внутренняя 220В 16А</t>
        </is>
      </c>
      <c r="E197" s="4">
        <f>N197+O197</f>
        <v/>
      </c>
      <c r="F197" s="3" t="inlineStr">
        <is>
          <t>шт.</t>
        </is>
      </c>
      <c r="G197" s="4">
        <f>IFERROR('[1]Лист1'!G197,200)</f>
        <v/>
      </c>
      <c r="H197" s="16" t="n">
        <v>200</v>
      </c>
      <c r="I197" s="16" t="n">
        <v>200</v>
      </c>
      <c r="J197" s="16" t="n">
        <v>200</v>
      </c>
      <c r="K197" s="16" t="n">
        <v>200</v>
      </c>
      <c r="L197" s="16" t="n">
        <v>200</v>
      </c>
      <c r="M197" s="16" t="n">
        <v>200</v>
      </c>
      <c r="N197" s="4">
        <f>Работы!S199</f>
        <v/>
      </c>
      <c r="O197" s="4">
        <f>Работы!R199</f>
        <v/>
      </c>
      <c r="P197" s="16" t="n">
        <v>200</v>
      </c>
      <c r="Q197" s="16" t="n">
        <v>200</v>
      </c>
      <c r="R197" s="16" t="n">
        <v>200</v>
      </c>
      <c r="S197" s="16" t="n">
        <v>200</v>
      </c>
      <c r="T197" s="16" t="n">
        <v>200</v>
      </c>
      <c r="U197" s="16" t="n">
        <v>200</v>
      </c>
      <c r="V197" s="16" t="n">
        <v>200</v>
      </c>
      <c r="W197" s="16" t="n">
        <v>200</v>
      </c>
      <c r="X197" s="16" t="n">
        <v>200</v>
      </c>
      <c r="Y197" s="16" t="n">
        <v>200</v>
      </c>
      <c r="Z197" s="16" t="n">
        <v>200</v>
      </c>
      <c r="AA197" s="16" t="n">
        <v>200</v>
      </c>
    </row>
    <row r="198">
      <c r="A198" s="3" t="inlineStr">
        <is>
          <t>Электрика</t>
        </is>
      </c>
      <c r="B198" s="3" t="inlineStr">
        <is>
          <t>Розетки</t>
        </is>
      </c>
      <c r="C198" s="3" t="inlineStr">
        <is>
          <t>Электромонтажные работы</t>
        </is>
      </c>
      <c r="D198" s="3" t="inlineStr">
        <is>
          <t>Розетка тройная наружная 220В 16А</t>
        </is>
      </c>
      <c r="E198" s="4">
        <f>N198+O198</f>
        <v/>
      </c>
      <c r="F198" s="3" t="inlineStr">
        <is>
          <t>шт.</t>
        </is>
      </c>
      <c r="G198" s="4">
        <f>IFERROR('[1]Лист1'!G198,200)</f>
        <v/>
      </c>
      <c r="H198" s="16" t="n">
        <v>200</v>
      </c>
      <c r="I198" s="16" t="n">
        <v>200</v>
      </c>
      <c r="J198" s="16" t="n">
        <v>200</v>
      </c>
      <c r="K198" s="16" t="n">
        <v>200</v>
      </c>
      <c r="L198" s="16" t="n">
        <v>200</v>
      </c>
      <c r="M198" s="16" t="n">
        <v>200</v>
      </c>
      <c r="N198" s="4">
        <f>Работы!S200</f>
        <v/>
      </c>
      <c r="O198" s="4">
        <f>Работы!R200</f>
        <v/>
      </c>
      <c r="P198" s="16" t="n">
        <v>200</v>
      </c>
      <c r="Q198" s="16" t="n">
        <v>200</v>
      </c>
      <c r="R198" s="16" t="n">
        <v>200</v>
      </c>
      <c r="S198" s="16" t="n">
        <v>200</v>
      </c>
      <c r="T198" s="16" t="n">
        <v>200</v>
      </c>
      <c r="U198" s="16" t="n">
        <v>200</v>
      </c>
      <c r="V198" s="16" t="n">
        <v>200</v>
      </c>
      <c r="W198" s="16" t="n">
        <v>200</v>
      </c>
      <c r="X198" s="16" t="n">
        <v>200</v>
      </c>
      <c r="Y198" s="16" t="n">
        <v>200</v>
      </c>
      <c r="Z198" s="16" t="n">
        <v>200</v>
      </c>
      <c r="AA198" s="16" t="n">
        <v>200</v>
      </c>
    </row>
    <row r="199">
      <c r="A199" s="3" t="inlineStr">
        <is>
          <t>Электрика</t>
        </is>
      </c>
      <c r="B199" s="3" t="inlineStr">
        <is>
          <t>Розетки</t>
        </is>
      </c>
      <c r="C199" s="3" t="inlineStr">
        <is>
          <t>Электромонтажные работы</t>
        </is>
      </c>
      <c r="D199" s="3" t="inlineStr">
        <is>
          <t>Розетка встраиваемая 380В 32А 3P+N+E ABB</t>
        </is>
      </c>
      <c r="E199" s="4">
        <f>N199+O199</f>
        <v/>
      </c>
      <c r="F199" s="3" t="inlineStr">
        <is>
          <t>шт.</t>
        </is>
      </c>
      <c r="G199" s="4">
        <f>IFERROR('[1]Лист1'!G199,200)</f>
        <v/>
      </c>
      <c r="H199" s="16" t="n">
        <v>200</v>
      </c>
      <c r="I199" s="16" t="n">
        <v>200</v>
      </c>
      <c r="J199" s="16" t="n">
        <v>200</v>
      </c>
      <c r="K199" s="16" t="n">
        <v>200</v>
      </c>
      <c r="L199" s="16" t="n">
        <v>200</v>
      </c>
      <c r="M199" s="16" t="n">
        <v>200</v>
      </c>
      <c r="N199" s="4">
        <f>Работы!S201</f>
        <v/>
      </c>
      <c r="O199" s="4">
        <f>Работы!R201</f>
        <v/>
      </c>
      <c r="P199" s="16" t="n">
        <v>200</v>
      </c>
      <c r="Q199" s="16" t="n">
        <v>200</v>
      </c>
      <c r="R199" s="16" t="n">
        <v>200</v>
      </c>
      <c r="S199" s="16" t="n">
        <v>200</v>
      </c>
      <c r="T199" s="16" t="n">
        <v>200</v>
      </c>
      <c r="U199" s="16" t="n">
        <v>200</v>
      </c>
      <c r="V199" s="16" t="n">
        <v>200</v>
      </c>
      <c r="W199" s="16" t="n">
        <v>200</v>
      </c>
      <c r="X199" s="16" t="n">
        <v>200</v>
      </c>
      <c r="Y199" s="16" t="n">
        <v>200</v>
      </c>
      <c r="Z199" s="16" t="n">
        <v>200</v>
      </c>
      <c r="AA199" s="16" t="n">
        <v>200</v>
      </c>
    </row>
    <row r="200">
      <c r="A200" s="3" t="inlineStr">
        <is>
          <t>Электрика</t>
        </is>
      </c>
      <c r="B200" s="3" t="inlineStr">
        <is>
          <t>Розетки</t>
        </is>
      </c>
      <c r="C200" s="3" t="inlineStr">
        <is>
          <t>Электромонтажные работы</t>
        </is>
      </c>
      <c r="D200" s="3" t="inlineStr">
        <is>
          <t>Розетка накладная 380В 32А 3P+N+E ABB</t>
        </is>
      </c>
      <c r="E200" s="4">
        <f>N200+O200</f>
        <v/>
      </c>
      <c r="F200" s="3" t="inlineStr">
        <is>
          <t>шт.</t>
        </is>
      </c>
      <c r="G200" s="4">
        <f>IFERROR('[1]Лист1'!G200,200)</f>
        <v/>
      </c>
      <c r="H200" s="16" t="n">
        <v>200</v>
      </c>
      <c r="I200" s="16" t="n">
        <v>200</v>
      </c>
      <c r="J200" s="16" t="n">
        <v>200</v>
      </c>
      <c r="K200" s="16" t="n">
        <v>200</v>
      </c>
      <c r="L200" s="16" t="n">
        <v>200</v>
      </c>
      <c r="M200" s="16" t="n">
        <v>200</v>
      </c>
      <c r="N200" s="4">
        <f>Работы!S202</f>
        <v/>
      </c>
      <c r="O200" s="4">
        <f>Работы!R202</f>
        <v/>
      </c>
      <c r="P200" s="16" t="n">
        <v>200</v>
      </c>
      <c r="Q200" s="16" t="n">
        <v>200</v>
      </c>
      <c r="R200" s="16" t="n">
        <v>200</v>
      </c>
      <c r="S200" s="16" t="n">
        <v>200</v>
      </c>
      <c r="T200" s="16" t="n">
        <v>200</v>
      </c>
      <c r="U200" s="16" t="n">
        <v>200</v>
      </c>
      <c r="V200" s="16" t="n">
        <v>200</v>
      </c>
      <c r="W200" s="16" t="n">
        <v>200</v>
      </c>
      <c r="X200" s="16" t="n">
        <v>200</v>
      </c>
      <c r="Y200" s="16" t="n">
        <v>200</v>
      </c>
      <c r="Z200" s="16" t="n">
        <v>200</v>
      </c>
      <c r="AA200" s="16" t="n">
        <v>200</v>
      </c>
    </row>
    <row r="201">
      <c r="A201" s="3" t="inlineStr">
        <is>
          <t>Электрика</t>
        </is>
      </c>
      <c r="B201" s="3" t="inlineStr">
        <is>
          <t>Розетки</t>
        </is>
      </c>
      <c r="C201" s="3" t="inlineStr">
        <is>
          <t>Электромонтажные работы</t>
        </is>
      </c>
      <c r="D201" s="3" t="inlineStr">
        <is>
          <t>Розетка встраиваемая 380В 16А 3P+N+E ABB</t>
        </is>
      </c>
      <c r="E201" s="4">
        <f>N201+O201</f>
        <v/>
      </c>
      <c r="F201" s="3" t="inlineStr">
        <is>
          <t>шт.</t>
        </is>
      </c>
      <c r="G201" s="4">
        <f>IFERROR('[1]Лист1'!G201,200)</f>
        <v/>
      </c>
      <c r="H201" s="16" t="n">
        <v>200</v>
      </c>
      <c r="I201" s="16" t="n">
        <v>200</v>
      </c>
      <c r="J201" s="16" t="n">
        <v>200</v>
      </c>
      <c r="K201" s="16" t="n">
        <v>200</v>
      </c>
      <c r="L201" s="16" t="n">
        <v>200</v>
      </c>
      <c r="M201" s="16" t="n">
        <v>200</v>
      </c>
      <c r="N201" s="4">
        <f>Работы!S203</f>
        <v/>
      </c>
      <c r="O201" s="4">
        <f>Работы!R203</f>
        <v/>
      </c>
      <c r="P201" s="16" t="n">
        <v>200</v>
      </c>
      <c r="Q201" s="16" t="n">
        <v>200</v>
      </c>
      <c r="R201" s="16" t="n">
        <v>200</v>
      </c>
      <c r="S201" s="16" t="n">
        <v>200</v>
      </c>
      <c r="T201" s="16" t="n">
        <v>200</v>
      </c>
      <c r="U201" s="16" t="n">
        <v>200</v>
      </c>
      <c r="V201" s="16" t="n">
        <v>200</v>
      </c>
      <c r="W201" s="16" t="n">
        <v>200</v>
      </c>
      <c r="X201" s="16" t="n">
        <v>200</v>
      </c>
      <c r="Y201" s="16" t="n">
        <v>200</v>
      </c>
      <c r="Z201" s="16" t="n">
        <v>200</v>
      </c>
      <c r="AA201" s="16" t="n">
        <v>200</v>
      </c>
    </row>
    <row r="202">
      <c r="A202" s="3" t="inlineStr">
        <is>
          <t>Электрика</t>
        </is>
      </c>
      <c r="B202" s="3" t="inlineStr">
        <is>
          <t>Розетки</t>
        </is>
      </c>
      <c r="C202" s="3" t="inlineStr">
        <is>
          <t>Электромонтажные работы</t>
        </is>
      </c>
      <c r="D202" s="3" t="inlineStr">
        <is>
          <t>Розетка накладная 380В 16А 3P+N+E ABB</t>
        </is>
      </c>
      <c r="E202" s="4">
        <f>N202+O202</f>
        <v/>
      </c>
      <c r="F202" s="3" t="inlineStr">
        <is>
          <t>шт.</t>
        </is>
      </c>
      <c r="G202" s="4">
        <f>IFERROR('[1]Лист1'!G202,200)</f>
        <v/>
      </c>
      <c r="H202" s="16" t="n">
        <v>200</v>
      </c>
      <c r="I202" s="16" t="n">
        <v>200</v>
      </c>
      <c r="J202" s="16" t="n">
        <v>200</v>
      </c>
      <c r="K202" s="16" t="n">
        <v>200</v>
      </c>
      <c r="L202" s="16" t="n">
        <v>200</v>
      </c>
      <c r="M202" s="16" t="n">
        <v>200</v>
      </c>
      <c r="N202" s="4">
        <f>Работы!S204</f>
        <v/>
      </c>
      <c r="O202" s="4">
        <f>Работы!R204</f>
        <v/>
      </c>
      <c r="P202" s="16" t="n">
        <v>200</v>
      </c>
      <c r="Q202" s="16" t="n">
        <v>200</v>
      </c>
      <c r="R202" s="16" t="n">
        <v>200</v>
      </c>
      <c r="S202" s="16" t="n">
        <v>200</v>
      </c>
      <c r="T202" s="16" t="n">
        <v>200</v>
      </c>
      <c r="U202" s="16" t="n">
        <v>200</v>
      </c>
      <c r="V202" s="16" t="n">
        <v>200</v>
      </c>
      <c r="W202" s="16" t="n">
        <v>200</v>
      </c>
      <c r="X202" s="16" t="n">
        <v>200</v>
      </c>
      <c r="Y202" s="16" t="n">
        <v>200</v>
      </c>
      <c r="Z202" s="16" t="n">
        <v>200</v>
      </c>
      <c r="AA202" s="16" t="n">
        <v>200</v>
      </c>
    </row>
    <row r="203">
      <c r="A203" s="3" t="inlineStr">
        <is>
          <t>Электрика</t>
        </is>
      </c>
      <c r="B203" s="3" t="inlineStr">
        <is>
          <t>Розетки</t>
        </is>
      </c>
      <c r="C203" s="3" t="inlineStr">
        <is>
          <t>Электромонтажные работы</t>
        </is>
      </c>
      <c r="D203" s="3" t="inlineStr">
        <is>
          <t>Розетка двойная наружная 220В 16А IP 54</t>
        </is>
      </c>
      <c r="E203" s="4">
        <f>N203+O203</f>
        <v/>
      </c>
      <c r="F203" s="3" t="inlineStr">
        <is>
          <t>шт.</t>
        </is>
      </c>
      <c r="G203" s="4">
        <f>IFERROR('[1]Лист1'!G203,200)</f>
        <v/>
      </c>
      <c r="H203" s="16" t="n">
        <v>200</v>
      </c>
      <c r="I203" s="16" t="n">
        <v>200</v>
      </c>
      <c r="J203" s="16" t="n">
        <v>200</v>
      </c>
      <c r="K203" s="16" t="n">
        <v>200</v>
      </c>
      <c r="L203" s="16" t="n">
        <v>200</v>
      </c>
      <c r="M203" s="16" t="n">
        <v>200</v>
      </c>
      <c r="N203" s="4">
        <f>Работы!S205</f>
        <v/>
      </c>
      <c r="O203" s="4">
        <f>Работы!R205</f>
        <v/>
      </c>
      <c r="P203" s="16" t="n">
        <v>200</v>
      </c>
      <c r="Q203" s="16" t="n">
        <v>200</v>
      </c>
      <c r="R203" s="16" t="n">
        <v>200</v>
      </c>
      <c r="S203" s="16" t="n">
        <v>200</v>
      </c>
      <c r="T203" s="16" t="n">
        <v>200</v>
      </c>
      <c r="U203" s="16" t="n">
        <v>200</v>
      </c>
      <c r="V203" s="16" t="n">
        <v>200</v>
      </c>
      <c r="W203" s="16" t="n">
        <v>200</v>
      </c>
      <c r="X203" s="16" t="n">
        <v>200</v>
      </c>
      <c r="Y203" s="16" t="n">
        <v>200</v>
      </c>
      <c r="Z203" s="16" t="n">
        <v>200</v>
      </c>
      <c r="AA203" s="16" t="n">
        <v>200</v>
      </c>
    </row>
    <row r="204">
      <c r="A204" s="3" t="inlineStr">
        <is>
          <t>Электрика</t>
        </is>
      </c>
      <c r="B204" s="3" t="inlineStr">
        <is>
          <t>Розетки</t>
        </is>
      </c>
      <c r="C204" s="3" t="inlineStr">
        <is>
          <t>Электромонтажные работы</t>
        </is>
      </c>
      <c r="D204" s="3" t="inlineStr">
        <is>
          <t>Розетка одинарная наружная 220В 16А IP 54</t>
        </is>
      </c>
      <c r="E204" s="4">
        <f>N204+O204</f>
        <v/>
      </c>
      <c r="F204" s="3" t="inlineStr">
        <is>
          <t>шт.</t>
        </is>
      </c>
      <c r="G204" s="4">
        <f>IFERROR('[1]Лист1'!G204,200)</f>
        <v/>
      </c>
      <c r="H204" s="16" t="n">
        <v>200</v>
      </c>
      <c r="I204" s="16" t="n">
        <v>200</v>
      </c>
      <c r="J204" s="16" t="n">
        <v>200</v>
      </c>
      <c r="K204" s="16" t="n">
        <v>200</v>
      </c>
      <c r="L204" s="16" t="n">
        <v>200</v>
      </c>
      <c r="M204" s="16" t="n">
        <v>200</v>
      </c>
      <c r="N204" s="4">
        <f>Работы!S206</f>
        <v/>
      </c>
      <c r="O204" s="4">
        <f>Работы!R206</f>
        <v/>
      </c>
      <c r="P204" s="16" t="n">
        <v>200</v>
      </c>
      <c r="Q204" s="16" t="n">
        <v>200</v>
      </c>
      <c r="R204" s="16" t="n">
        <v>200</v>
      </c>
      <c r="S204" s="16" t="n">
        <v>200</v>
      </c>
      <c r="T204" s="16" t="n">
        <v>200</v>
      </c>
      <c r="U204" s="16" t="n">
        <v>200</v>
      </c>
      <c r="V204" s="16" t="n">
        <v>200</v>
      </c>
      <c r="W204" s="16" t="n">
        <v>200</v>
      </c>
      <c r="X204" s="16" t="n">
        <v>200</v>
      </c>
      <c r="Y204" s="16" t="n">
        <v>200</v>
      </c>
      <c r="Z204" s="16" t="n">
        <v>200</v>
      </c>
      <c r="AA204" s="16" t="n">
        <v>200</v>
      </c>
    </row>
    <row r="205">
      <c r="A205" s="3" t="inlineStr">
        <is>
          <t>Электрика</t>
        </is>
      </c>
      <c r="B205" s="3" t="inlineStr">
        <is>
          <t>Розетки</t>
        </is>
      </c>
      <c r="C205" s="3" t="inlineStr">
        <is>
          <t>Электромонтажные работы</t>
        </is>
      </c>
      <c r="D205" s="3" t="inlineStr">
        <is>
          <t>Розетка с механическим таймером типа: REXANT RX-28 11-6005 или аналог</t>
        </is>
      </c>
      <c r="E205" s="4">
        <f>N205+O205</f>
        <v/>
      </c>
      <c r="F205" s="3" t="inlineStr">
        <is>
          <t>шт.</t>
        </is>
      </c>
      <c r="G205" s="4">
        <f>IFERROR('[1]Лист1'!G205,200)</f>
        <v/>
      </c>
      <c r="H205" s="16" t="n">
        <v>200</v>
      </c>
      <c r="I205" s="16" t="n">
        <v>200</v>
      </c>
      <c r="J205" s="16" t="n">
        <v>200</v>
      </c>
      <c r="K205" s="16" t="n">
        <v>200</v>
      </c>
      <c r="L205" s="16" t="n">
        <v>200</v>
      </c>
      <c r="M205" s="16" t="n">
        <v>200</v>
      </c>
      <c r="N205" s="4">
        <f>Работы!S207</f>
        <v/>
      </c>
      <c r="O205" s="4">
        <f>Работы!R207</f>
        <v/>
      </c>
      <c r="P205" s="16" t="n">
        <v>200</v>
      </c>
      <c r="Q205" s="16" t="n">
        <v>200</v>
      </c>
      <c r="R205" s="16" t="n">
        <v>200</v>
      </c>
      <c r="S205" s="16" t="n">
        <v>200</v>
      </c>
      <c r="T205" s="16" t="n">
        <v>200</v>
      </c>
      <c r="U205" s="16" t="n">
        <v>200</v>
      </c>
      <c r="V205" s="16" t="n">
        <v>200</v>
      </c>
      <c r="W205" s="16" t="n">
        <v>200</v>
      </c>
      <c r="X205" s="16" t="n">
        <v>200</v>
      </c>
      <c r="Y205" s="16" t="n">
        <v>200</v>
      </c>
      <c r="Z205" s="16" t="n">
        <v>200</v>
      </c>
      <c r="AA205" s="16" t="n">
        <v>200</v>
      </c>
    </row>
    <row r="206">
      <c r="A206" s="3" t="inlineStr">
        <is>
          <t>Электрика</t>
        </is>
      </c>
      <c r="B206" s="3" t="inlineStr">
        <is>
          <t>Розетки</t>
        </is>
      </c>
      <c r="C206" s="3" t="inlineStr">
        <is>
          <t>Электромонтажные работы</t>
        </is>
      </c>
      <c r="D206" s="3" t="inlineStr">
        <is>
          <t>Розетка кабельная 125А 3Р+N+E IР67 на поверхность 415В CEWE (4125 RS6W)</t>
        </is>
      </c>
      <c r="E206" s="4">
        <f>N206+O206</f>
        <v/>
      </c>
      <c r="F206" s="3" t="inlineStr">
        <is>
          <t>шт.</t>
        </is>
      </c>
      <c r="G206" s="4">
        <f>IFERROR('[1]Лист1'!G206,200)</f>
        <v/>
      </c>
      <c r="H206" s="16" t="n">
        <v>200</v>
      </c>
      <c r="I206" s="16" t="n">
        <v>200</v>
      </c>
      <c r="J206" s="16" t="n">
        <v>200</v>
      </c>
      <c r="K206" s="16" t="n">
        <v>200</v>
      </c>
      <c r="L206" s="16" t="n">
        <v>200</v>
      </c>
      <c r="M206" s="16" t="n">
        <v>200</v>
      </c>
      <c r="N206" s="4">
        <f>Работы!S208</f>
        <v/>
      </c>
      <c r="O206" s="4">
        <f>Работы!R208</f>
        <v/>
      </c>
      <c r="P206" s="16" t="n">
        <v>200</v>
      </c>
      <c r="Q206" s="16" t="n">
        <v>200</v>
      </c>
      <c r="R206" s="16" t="n">
        <v>200</v>
      </c>
      <c r="S206" s="16" t="n">
        <v>200</v>
      </c>
      <c r="T206" s="16" t="n">
        <v>200</v>
      </c>
      <c r="U206" s="16" t="n">
        <v>200</v>
      </c>
      <c r="V206" s="16" t="n">
        <v>200</v>
      </c>
      <c r="W206" s="16" t="n">
        <v>200</v>
      </c>
      <c r="X206" s="16" t="n">
        <v>200</v>
      </c>
      <c r="Y206" s="16" t="n">
        <v>200</v>
      </c>
      <c r="Z206" s="16" t="n">
        <v>200</v>
      </c>
      <c r="AA206" s="16" t="n">
        <v>200</v>
      </c>
    </row>
    <row r="207">
      <c r="A207" s="3" t="inlineStr">
        <is>
          <t>Электрика</t>
        </is>
      </c>
      <c r="B207" s="3" t="inlineStr">
        <is>
          <t>Вилка</t>
        </is>
      </c>
      <c r="C207" s="3" t="inlineStr">
        <is>
          <t>Электромонтажные работы</t>
        </is>
      </c>
      <c r="D207" s="3" t="inlineStr">
        <is>
          <t>Вилка 380В 16А 3P+N+E АВВ</t>
        </is>
      </c>
      <c r="E207" s="4">
        <f>N207+O207</f>
        <v/>
      </c>
      <c r="F207" s="3" t="inlineStr">
        <is>
          <t>шт.</t>
        </is>
      </c>
      <c r="G207" s="4">
        <f>IFERROR('[1]Лист1'!G207,200)</f>
        <v/>
      </c>
      <c r="H207" s="16" t="n">
        <v>200</v>
      </c>
      <c r="I207" s="16" t="n">
        <v>200</v>
      </c>
      <c r="J207" s="16" t="n">
        <v>200</v>
      </c>
      <c r="K207" s="16" t="n">
        <v>200</v>
      </c>
      <c r="L207" s="16" t="n">
        <v>200</v>
      </c>
      <c r="M207" s="16" t="n">
        <v>200</v>
      </c>
      <c r="N207" s="4">
        <f>Работы!S209</f>
        <v/>
      </c>
      <c r="O207" s="4">
        <f>Работы!R209</f>
        <v/>
      </c>
      <c r="P207" s="16" t="n">
        <v>200</v>
      </c>
      <c r="Q207" s="16" t="n">
        <v>200</v>
      </c>
      <c r="R207" s="16" t="n">
        <v>200</v>
      </c>
      <c r="S207" s="16" t="n">
        <v>200</v>
      </c>
      <c r="T207" s="16" t="n">
        <v>200</v>
      </c>
      <c r="U207" s="16" t="n">
        <v>200</v>
      </c>
      <c r="V207" s="16" t="n">
        <v>200</v>
      </c>
      <c r="W207" s="16" t="n">
        <v>200</v>
      </c>
      <c r="X207" s="16" t="n">
        <v>200</v>
      </c>
      <c r="Y207" s="16" t="n">
        <v>200</v>
      </c>
      <c r="Z207" s="16" t="n">
        <v>200</v>
      </c>
      <c r="AA207" s="16" t="n">
        <v>200</v>
      </c>
    </row>
    <row r="208">
      <c r="A208" s="3" t="inlineStr">
        <is>
          <t>Электрика</t>
        </is>
      </c>
      <c r="B208" s="3" t="inlineStr">
        <is>
          <t>Вилка</t>
        </is>
      </c>
      <c r="C208" s="3" t="inlineStr">
        <is>
          <t>Электромонтажные работы</t>
        </is>
      </c>
      <c r="D208" s="3" t="inlineStr">
        <is>
          <t>Вилка 380В 32А 3P+N+E АВВ</t>
        </is>
      </c>
      <c r="E208" s="4">
        <f>N208+O208</f>
        <v/>
      </c>
      <c r="F208" s="3" t="inlineStr">
        <is>
          <t>шт.</t>
        </is>
      </c>
      <c r="G208" s="4">
        <f>IFERROR('[1]Лист1'!G208,200)</f>
        <v/>
      </c>
      <c r="H208" s="16" t="n">
        <v>200</v>
      </c>
      <c r="I208" s="16" t="n">
        <v>200</v>
      </c>
      <c r="J208" s="16" t="n">
        <v>200</v>
      </c>
      <c r="K208" s="16" t="n">
        <v>200</v>
      </c>
      <c r="L208" s="16" t="n">
        <v>200</v>
      </c>
      <c r="M208" s="16" t="n">
        <v>200</v>
      </c>
      <c r="N208" s="4">
        <f>Работы!S210</f>
        <v/>
      </c>
      <c r="O208" s="4">
        <f>Работы!R210</f>
        <v/>
      </c>
      <c r="P208" s="16" t="n">
        <v>200</v>
      </c>
      <c r="Q208" s="16" t="n">
        <v>200</v>
      </c>
      <c r="R208" s="16" t="n">
        <v>200</v>
      </c>
      <c r="S208" s="16" t="n">
        <v>200</v>
      </c>
      <c r="T208" s="16" t="n">
        <v>200</v>
      </c>
      <c r="U208" s="16" t="n">
        <v>200</v>
      </c>
      <c r="V208" s="16" t="n">
        <v>200</v>
      </c>
      <c r="W208" s="16" t="n">
        <v>200</v>
      </c>
      <c r="X208" s="16" t="n">
        <v>200</v>
      </c>
      <c r="Y208" s="16" t="n">
        <v>200</v>
      </c>
      <c r="Z208" s="16" t="n">
        <v>200</v>
      </c>
      <c r="AA208" s="16" t="n">
        <v>200</v>
      </c>
    </row>
    <row r="209">
      <c r="A209" s="3" t="inlineStr">
        <is>
          <t>Электрика</t>
        </is>
      </c>
      <c r="B209" s="3" t="inlineStr">
        <is>
          <t>Вилка</t>
        </is>
      </c>
      <c r="C209" s="3" t="inlineStr">
        <is>
          <t>Электромонтажные работы</t>
        </is>
      </c>
      <c r="D209" s="3" t="inlineStr">
        <is>
          <t>Вилка 220В 16А 2P+E АВВ</t>
        </is>
      </c>
      <c r="E209" s="4">
        <f>N209+O209</f>
        <v/>
      </c>
      <c r="F209" s="3" t="inlineStr">
        <is>
          <t>шт.</t>
        </is>
      </c>
      <c r="G209" s="4">
        <f>IFERROR('[1]Лист1'!G209,200)</f>
        <v/>
      </c>
      <c r="H209" s="16" t="n">
        <v>200</v>
      </c>
      <c r="I209" s="16" t="n">
        <v>200</v>
      </c>
      <c r="J209" s="16" t="n">
        <v>200</v>
      </c>
      <c r="K209" s="16" t="n">
        <v>200</v>
      </c>
      <c r="L209" s="16" t="n">
        <v>200</v>
      </c>
      <c r="M209" s="16" t="n">
        <v>200</v>
      </c>
      <c r="N209" s="4">
        <f>Работы!S211</f>
        <v/>
      </c>
      <c r="O209" s="4">
        <f>Работы!R211</f>
        <v/>
      </c>
      <c r="P209" s="16" t="n">
        <v>200</v>
      </c>
      <c r="Q209" s="16" t="n">
        <v>200</v>
      </c>
      <c r="R209" s="16" t="n">
        <v>200</v>
      </c>
      <c r="S209" s="16" t="n">
        <v>200</v>
      </c>
      <c r="T209" s="16" t="n">
        <v>200</v>
      </c>
      <c r="U209" s="16" t="n">
        <v>200</v>
      </c>
      <c r="V209" s="16" t="n">
        <v>200</v>
      </c>
      <c r="W209" s="16" t="n">
        <v>200</v>
      </c>
      <c r="X209" s="16" t="n">
        <v>200</v>
      </c>
      <c r="Y209" s="16" t="n">
        <v>200</v>
      </c>
      <c r="Z209" s="16" t="n">
        <v>200</v>
      </c>
      <c r="AA209" s="16" t="n">
        <v>200</v>
      </c>
    </row>
    <row r="210">
      <c r="A210" s="3" t="inlineStr">
        <is>
          <t>Электрика</t>
        </is>
      </c>
      <c r="B210" s="3" t="inlineStr">
        <is>
          <t>Вилка</t>
        </is>
      </c>
      <c r="C210" s="3" t="inlineStr">
        <is>
          <t>Электромонтажные работы</t>
        </is>
      </c>
      <c r="D210" s="3" t="inlineStr">
        <is>
          <t>Вилка 220В 32А 2P+E АВВ</t>
        </is>
      </c>
      <c r="E210" s="4">
        <f>N210+O210</f>
        <v/>
      </c>
      <c r="F210" s="3" t="inlineStr">
        <is>
          <t>шт.</t>
        </is>
      </c>
      <c r="G210" s="4">
        <f>IFERROR('[1]Лист1'!G210,200)</f>
        <v/>
      </c>
      <c r="H210" s="16" t="n">
        <v>200</v>
      </c>
      <c r="I210" s="16" t="n">
        <v>200</v>
      </c>
      <c r="J210" s="16" t="n">
        <v>200</v>
      </c>
      <c r="K210" s="16" t="n">
        <v>200</v>
      </c>
      <c r="L210" s="16" t="n">
        <v>200</v>
      </c>
      <c r="M210" s="16" t="n">
        <v>200</v>
      </c>
      <c r="N210" s="4">
        <f>Работы!S212</f>
        <v/>
      </c>
      <c r="O210" s="4">
        <f>Работы!R212</f>
        <v/>
      </c>
      <c r="P210" s="16" t="n">
        <v>200</v>
      </c>
      <c r="Q210" s="16" t="n">
        <v>200</v>
      </c>
      <c r="R210" s="16" t="n">
        <v>200</v>
      </c>
      <c r="S210" s="16" t="n">
        <v>200</v>
      </c>
      <c r="T210" s="16" t="n">
        <v>200</v>
      </c>
      <c r="U210" s="16" t="n">
        <v>200</v>
      </c>
      <c r="V210" s="16" t="n">
        <v>200</v>
      </c>
      <c r="W210" s="16" t="n">
        <v>200</v>
      </c>
      <c r="X210" s="16" t="n">
        <v>200</v>
      </c>
      <c r="Y210" s="16" t="n">
        <v>200</v>
      </c>
      <c r="Z210" s="16" t="n">
        <v>200</v>
      </c>
      <c r="AA210" s="16" t="n">
        <v>200</v>
      </c>
    </row>
    <row r="211">
      <c r="A211" s="3" t="inlineStr">
        <is>
          <t>Электрика</t>
        </is>
      </c>
      <c r="B211" s="3" t="inlineStr">
        <is>
          <t>Вилка</t>
        </is>
      </c>
      <c r="C211" s="3" t="inlineStr">
        <is>
          <t>Электромонтажные работы</t>
        </is>
      </c>
      <c r="D211" s="3" t="inlineStr">
        <is>
          <t>Вилка 220В 16А евр. прямой ввод (КОРР Германия) или аналог</t>
        </is>
      </c>
      <c r="E211" s="4">
        <f>N211+O211</f>
        <v/>
      </c>
      <c r="F211" s="3" t="inlineStr">
        <is>
          <t>шт.</t>
        </is>
      </c>
      <c r="G211" s="4">
        <f>IFERROR('[1]Лист1'!G211,200)</f>
        <v/>
      </c>
      <c r="H211" s="16" t="n">
        <v>200</v>
      </c>
      <c r="I211" s="16" t="n">
        <v>200</v>
      </c>
      <c r="J211" s="16" t="n">
        <v>200</v>
      </c>
      <c r="K211" s="16" t="n">
        <v>200</v>
      </c>
      <c r="L211" s="16" t="n">
        <v>200</v>
      </c>
      <c r="M211" s="16" t="n">
        <v>200</v>
      </c>
      <c r="N211" s="4">
        <f>Работы!S213</f>
        <v/>
      </c>
      <c r="O211" s="4">
        <f>Работы!R213</f>
        <v/>
      </c>
      <c r="P211" s="16" t="n">
        <v>200</v>
      </c>
      <c r="Q211" s="16" t="n">
        <v>200</v>
      </c>
      <c r="R211" s="16" t="n">
        <v>200</v>
      </c>
      <c r="S211" s="16" t="n">
        <v>200</v>
      </c>
      <c r="T211" s="16" t="n">
        <v>200</v>
      </c>
      <c r="U211" s="16" t="n">
        <v>200</v>
      </c>
      <c r="V211" s="16" t="n">
        <v>200</v>
      </c>
      <c r="W211" s="16" t="n">
        <v>200</v>
      </c>
      <c r="X211" s="16" t="n">
        <v>200</v>
      </c>
      <c r="Y211" s="16" t="n">
        <v>200</v>
      </c>
      <c r="Z211" s="16" t="n">
        <v>200</v>
      </c>
      <c r="AA211" s="16" t="n">
        <v>200</v>
      </c>
    </row>
    <row r="212">
      <c r="A212" s="3" t="inlineStr">
        <is>
          <t>Электрика</t>
        </is>
      </c>
      <c r="B212" s="3" t="inlineStr">
        <is>
          <t>Вилка</t>
        </is>
      </c>
      <c r="C212" s="3" t="inlineStr">
        <is>
          <t>Электромонтажные работы</t>
        </is>
      </c>
      <c r="D212" s="3" t="inlineStr">
        <is>
          <t>Вилка 220В 16А евр. боковой ввод (КОРР Германия) или аналог</t>
        </is>
      </c>
      <c r="E212" s="4">
        <f>N212+O212</f>
        <v/>
      </c>
      <c r="F212" s="3" t="inlineStr">
        <is>
          <t>шт.</t>
        </is>
      </c>
      <c r="G212" s="4">
        <f>IFERROR('[1]Лист1'!G212,200)</f>
        <v/>
      </c>
      <c r="H212" s="16" t="n">
        <v>200</v>
      </c>
      <c r="I212" s="16" t="n">
        <v>200</v>
      </c>
      <c r="J212" s="16" t="n">
        <v>200</v>
      </c>
      <c r="K212" s="16" t="n">
        <v>200</v>
      </c>
      <c r="L212" s="16" t="n">
        <v>200</v>
      </c>
      <c r="M212" s="16" t="n">
        <v>200</v>
      </c>
      <c r="N212" s="4">
        <f>Работы!S214</f>
        <v/>
      </c>
      <c r="O212" s="4">
        <f>Работы!R214</f>
        <v/>
      </c>
      <c r="P212" s="16" t="n">
        <v>200</v>
      </c>
      <c r="Q212" s="16" t="n">
        <v>200</v>
      </c>
      <c r="R212" s="16" t="n">
        <v>200</v>
      </c>
      <c r="S212" s="16" t="n">
        <v>200</v>
      </c>
      <c r="T212" s="16" t="n">
        <v>200</v>
      </c>
      <c r="U212" s="16" t="n">
        <v>200</v>
      </c>
      <c r="V212" s="16" t="n">
        <v>200</v>
      </c>
      <c r="W212" s="16" t="n">
        <v>200</v>
      </c>
      <c r="X212" s="16" t="n">
        <v>200</v>
      </c>
      <c r="Y212" s="16" t="n">
        <v>200</v>
      </c>
      <c r="Z212" s="16" t="n">
        <v>200</v>
      </c>
      <c r="AA212" s="16" t="n">
        <v>200</v>
      </c>
    </row>
    <row r="213">
      <c r="A213" s="3" t="inlineStr">
        <is>
          <t>Электрика</t>
        </is>
      </c>
      <c r="B213" s="3" t="inlineStr">
        <is>
          <t>Вилка</t>
        </is>
      </c>
      <c r="C213" s="3" t="inlineStr">
        <is>
          <t>Электромонтажные работы</t>
        </is>
      </c>
      <c r="D213" s="3" t="inlineStr">
        <is>
          <t>Вилка кабельная 125А 3Р+N+E IР67 переносная 415В CEWE (4125 P6W)</t>
        </is>
      </c>
      <c r="E213" s="4">
        <f>N213+O213</f>
        <v/>
      </c>
      <c r="F213" s="3" t="inlineStr">
        <is>
          <t>шт.</t>
        </is>
      </c>
      <c r="G213" s="4">
        <f>IFERROR('[1]Лист1'!G213,200)</f>
        <v/>
      </c>
      <c r="H213" s="16" t="n">
        <v>200</v>
      </c>
      <c r="I213" s="16" t="n">
        <v>200</v>
      </c>
      <c r="J213" s="16" t="n">
        <v>200</v>
      </c>
      <c r="K213" s="16" t="n">
        <v>200</v>
      </c>
      <c r="L213" s="16" t="n">
        <v>200</v>
      </c>
      <c r="M213" s="16" t="n">
        <v>200</v>
      </c>
      <c r="N213" s="4">
        <f>Работы!S215</f>
        <v/>
      </c>
      <c r="O213" s="4">
        <f>Работы!R215</f>
        <v/>
      </c>
      <c r="P213" s="16" t="n">
        <v>200</v>
      </c>
      <c r="Q213" s="16" t="n">
        <v>200</v>
      </c>
      <c r="R213" s="16" t="n">
        <v>200</v>
      </c>
      <c r="S213" s="16" t="n">
        <v>200</v>
      </c>
      <c r="T213" s="16" t="n">
        <v>200</v>
      </c>
      <c r="U213" s="16" t="n">
        <v>200</v>
      </c>
      <c r="V213" s="16" t="n">
        <v>200</v>
      </c>
      <c r="W213" s="16" t="n">
        <v>200</v>
      </c>
      <c r="X213" s="16" t="n">
        <v>200</v>
      </c>
      <c r="Y213" s="16" t="n">
        <v>200</v>
      </c>
      <c r="Z213" s="16" t="n">
        <v>200</v>
      </c>
      <c r="AA213" s="16" t="n">
        <v>200</v>
      </c>
    </row>
    <row r="214">
      <c r="A214" s="3" t="inlineStr">
        <is>
          <t>Электрика</t>
        </is>
      </c>
      <c r="B214" s="3" t="inlineStr">
        <is>
          <t>Выключатель</t>
        </is>
      </c>
      <c r="C214" s="3" t="inlineStr">
        <is>
          <t>Электромонтажные работы</t>
        </is>
      </c>
      <c r="D214" s="3" t="inlineStr">
        <is>
          <t>Выключатель одинарный наружный</t>
        </is>
      </c>
      <c r="E214" s="4">
        <f>N214+O214</f>
        <v/>
      </c>
      <c r="F214" s="3" t="inlineStr">
        <is>
          <t>шт.</t>
        </is>
      </c>
      <c r="G214" s="4">
        <f>IFERROR('[1]Лист1'!G214,200)</f>
        <v/>
      </c>
      <c r="H214" s="16" t="n">
        <v>200</v>
      </c>
      <c r="I214" s="16" t="n">
        <v>200</v>
      </c>
      <c r="J214" s="16" t="n">
        <v>200</v>
      </c>
      <c r="K214" s="16" t="n">
        <v>200</v>
      </c>
      <c r="L214" s="16" t="n">
        <v>200</v>
      </c>
      <c r="M214" s="16" t="n">
        <v>200</v>
      </c>
      <c r="N214" s="4">
        <f>Работы!S216</f>
        <v/>
      </c>
      <c r="O214" s="4">
        <f>Работы!R216</f>
        <v/>
      </c>
      <c r="P214" s="16" t="n">
        <v>200</v>
      </c>
      <c r="Q214" s="16" t="n">
        <v>200</v>
      </c>
      <c r="R214" s="16" t="n">
        <v>200</v>
      </c>
      <c r="S214" s="16" t="n">
        <v>200</v>
      </c>
      <c r="T214" s="16" t="n">
        <v>200</v>
      </c>
      <c r="U214" s="16" t="n">
        <v>200</v>
      </c>
      <c r="V214" s="16" t="n">
        <v>200</v>
      </c>
      <c r="W214" s="16" t="n">
        <v>200</v>
      </c>
      <c r="X214" s="16" t="n">
        <v>200</v>
      </c>
      <c r="Y214" s="16" t="n">
        <v>200</v>
      </c>
      <c r="Z214" s="16" t="n">
        <v>200</v>
      </c>
      <c r="AA214" s="16" t="n">
        <v>200</v>
      </c>
    </row>
    <row r="215">
      <c r="A215" s="3" t="inlineStr">
        <is>
          <t>Электрика</t>
        </is>
      </c>
      <c r="B215" s="3" t="inlineStr">
        <is>
          <t>Выключатель</t>
        </is>
      </c>
      <c r="C215" s="3" t="inlineStr">
        <is>
          <t>Электромонтажные работы</t>
        </is>
      </c>
      <c r="D215" s="3" t="inlineStr">
        <is>
          <t>Выключатель одинарный внутренний</t>
        </is>
      </c>
      <c r="E215" s="4">
        <f>N215+O215</f>
        <v/>
      </c>
      <c r="F215" s="3" t="inlineStr">
        <is>
          <t>шт.</t>
        </is>
      </c>
      <c r="G215" s="4">
        <f>IFERROR('[1]Лист1'!G215,200)</f>
        <v/>
      </c>
      <c r="H215" s="16" t="n">
        <v>200</v>
      </c>
      <c r="I215" s="16" t="n">
        <v>200</v>
      </c>
      <c r="J215" s="16" t="n">
        <v>200</v>
      </c>
      <c r="K215" s="16" t="n">
        <v>200</v>
      </c>
      <c r="L215" s="16" t="n">
        <v>200</v>
      </c>
      <c r="M215" s="16" t="n">
        <v>200</v>
      </c>
      <c r="N215" s="4">
        <f>Работы!S217</f>
        <v/>
      </c>
      <c r="O215" s="4">
        <f>Работы!R217</f>
        <v/>
      </c>
      <c r="P215" s="16" t="n">
        <v>200</v>
      </c>
      <c r="Q215" s="16" t="n">
        <v>200</v>
      </c>
      <c r="R215" s="16" t="n">
        <v>200</v>
      </c>
      <c r="S215" s="16" t="n">
        <v>200</v>
      </c>
      <c r="T215" s="16" t="n">
        <v>200</v>
      </c>
      <c r="U215" s="16" t="n">
        <v>200</v>
      </c>
      <c r="V215" s="16" t="n">
        <v>200</v>
      </c>
      <c r="W215" s="16" t="n">
        <v>200</v>
      </c>
      <c r="X215" s="16" t="n">
        <v>200</v>
      </c>
      <c r="Y215" s="16" t="n">
        <v>200</v>
      </c>
      <c r="Z215" s="16" t="n">
        <v>200</v>
      </c>
      <c r="AA215" s="16" t="n">
        <v>200</v>
      </c>
    </row>
    <row r="216">
      <c r="A216" s="3" t="inlineStr">
        <is>
          <t>Электрика</t>
        </is>
      </c>
      <c r="B216" s="3" t="inlineStr">
        <is>
          <t>Выключатель</t>
        </is>
      </c>
      <c r="C216" s="3" t="inlineStr">
        <is>
          <t>Электромонтажные работы</t>
        </is>
      </c>
      <c r="D216" s="3" t="inlineStr">
        <is>
          <t>Выключатель двойной наружный</t>
        </is>
      </c>
      <c r="E216" s="4">
        <f>N216+O216</f>
        <v/>
      </c>
      <c r="F216" s="3" t="inlineStr">
        <is>
          <t>шт.</t>
        </is>
      </c>
      <c r="G216" s="4">
        <f>IFERROR('[1]Лист1'!G216,200)</f>
        <v/>
      </c>
      <c r="H216" s="16" t="n">
        <v>200</v>
      </c>
      <c r="I216" s="16" t="n">
        <v>200</v>
      </c>
      <c r="J216" s="16" t="n">
        <v>200</v>
      </c>
      <c r="K216" s="16" t="n">
        <v>200</v>
      </c>
      <c r="L216" s="16" t="n">
        <v>200</v>
      </c>
      <c r="M216" s="16" t="n">
        <v>200</v>
      </c>
      <c r="N216" s="4">
        <f>Работы!S218</f>
        <v/>
      </c>
      <c r="O216" s="4">
        <f>Работы!R218</f>
        <v/>
      </c>
      <c r="P216" s="16" t="n">
        <v>200</v>
      </c>
      <c r="Q216" s="16" t="n">
        <v>200</v>
      </c>
      <c r="R216" s="16" t="n">
        <v>200</v>
      </c>
      <c r="S216" s="16" t="n">
        <v>200</v>
      </c>
      <c r="T216" s="16" t="n">
        <v>200</v>
      </c>
      <c r="U216" s="16" t="n">
        <v>200</v>
      </c>
      <c r="V216" s="16" t="n">
        <v>200</v>
      </c>
      <c r="W216" s="16" t="n">
        <v>200</v>
      </c>
      <c r="X216" s="16" t="n">
        <v>200</v>
      </c>
      <c r="Y216" s="16" t="n">
        <v>200</v>
      </c>
      <c r="Z216" s="16" t="n">
        <v>200</v>
      </c>
      <c r="AA216" s="16" t="n">
        <v>200</v>
      </c>
    </row>
    <row r="217">
      <c r="A217" s="3" t="inlineStr">
        <is>
          <t>Электрика</t>
        </is>
      </c>
      <c r="B217" s="3" t="inlineStr">
        <is>
          <t>Выключатель</t>
        </is>
      </c>
      <c r="C217" s="3" t="inlineStr">
        <is>
          <t>Электромонтажные работы</t>
        </is>
      </c>
      <c r="D217" s="3" t="inlineStr">
        <is>
          <t>Выключатель двойной внутренний</t>
        </is>
      </c>
      <c r="E217" s="4">
        <f>N217+O217</f>
        <v/>
      </c>
      <c r="F217" s="3" t="inlineStr">
        <is>
          <t>шт.</t>
        </is>
      </c>
      <c r="G217" s="4">
        <f>IFERROR('[1]Лист1'!G217,200)</f>
        <v/>
      </c>
      <c r="H217" s="16" t="n">
        <v>200</v>
      </c>
      <c r="I217" s="16" t="n">
        <v>200</v>
      </c>
      <c r="J217" s="16" t="n">
        <v>200</v>
      </c>
      <c r="K217" s="16" t="n">
        <v>200</v>
      </c>
      <c r="L217" s="16" t="n">
        <v>200</v>
      </c>
      <c r="M217" s="16" t="n">
        <v>200</v>
      </c>
      <c r="N217" s="4">
        <f>Работы!S219</f>
        <v/>
      </c>
      <c r="O217" s="4">
        <f>Работы!R219</f>
        <v/>
      </c>
      <c r="P217" s="16" t="n">
        <v>200</v>
      </c>
      <c r="Q217" s="16" t="n">
        <v>200</v>
      </c>
      <c r="R217" s="16" t="n">
        <v>200</v>
      </c>
      <c r="S217" s="16" t="n">
        <v>200</v>
      </c>
      <c r="T217" s="16" t="n">
        <v>200</v>
      </c>
      <c r="U217" s="16" t="n">
        <v>200</v>
      </c>
      <c r="V217" s="16" t="n">
        <v>200</v>
      </c>
      <c r="W217" s="16" t="n">
        <v>200</v>
      </c>
      <c r="X217" s="16" t="n">
        <v>200</v>
      </c>
      <c r="Y217" s="16" t="n">
        <v>200</v>
      </c>
      <c r="Z217" s="16" t="n">
        <v>200</v>
      </c>
      <c r="AA217" s="16" t="n">
        <v>200</v>
      </c>
    </row>
    <row r="218">
      <c r="A218" s="3" t="inlineStr">
        <is>
          <t>Электрика</t>
        </is>
      </c>
      <c r="B218" s="3" t="inlineStr">
        <is>
          <t>Выключатель</t>
        </is>
      </c>
      <c r="C218" s="3" t="inlineStr">
        <is>
          <t>Электромонтажные работы</t>
        </is>
      </c>
      <c r="D218" s="3" t="inlineStr">
        <is>
          <t>Выключатель кулачковый 25А/32А 3 пол.(Россия)</t>
        </is>
      </c>
      <c r="E218" s="4">
        <f>N218+O218</f>
        <v/>
      </c>
      <c r="F218" s="3" t="inlineStr">
        <is>
          <t>шт.</t>
        </is>
      </c>
      <c r="G218" s="4">
        <f>IFERROR('[1]Лист1'!G218,200)</f>
        <v/>
      </c>
      <c r="H218" s="16" t="n">
        <v>200</v>
      </c>
      <c r="I218" s="16" t="n">
        <v>200</v>
      </c>
      <c r="J218" s="16" t="n">
        <v>200</v>
      </c>
      <c r="K218" s="16" t="n">
        <v>200</v>
      </c>
      <c r="L218" s="16" t="n">
        <v>200</v>
      </c>
      <c r="M218" s="16" t="n">
        <v>200</v>
      </c>
      <c r="N218" s="4">
        <f>Работы!S220</f>
        <v/>
      </c>
      <c r="O218" s="4">
        <f>Работы!R220</f>
        <v/>
      </c>
      <c r="P218" s="16" t="n">
        <v>200</v>
      </c>
      <c r="Q218" s="16" t="n">
        <v>200</v>
      </c>
      <c r="R218" s="16" t="n">
        <v>200</v>
      </c>
      <c r="S218" s="16" t="n">
        <v>200</v>
      </c>
      <c r="T218" s="16" t="n">
        <v>200</v>
      </c>
      <c r="U218" s="16" t="n">
        <v>200</v>
      </c>
      <c r="V218" s="16" t="n">
        <v>200</v>
      </c>
      <c r="W218" s="16" t="n">
        <v>200</v>
      </c>
      <c r="X218" s="16" t="n">
        <v>200</v>
      </c>
      <c r="Y218" s="16" t="n">
        <v>200</v>
      </c>
      <c r="Z218" s="16" t="n">
        <v>200</v>
      </c>
      <c r="AA218" s="16" t="n">
        <v>200</v>
      </c>
    </row>
    <row r="219">
      <c r="A219" s="3" t="inlineStr">
        <is>
          <t>Электрика</t>
        </is>
      </c>
      <c r="B219" s="3" t="inlineStr">
        <is>
          <t>Выключатель</t>
        </is>
      </c>
      <c r="C219" s="3" t="inlineStr">
        <is>
          <t>Электромонтажные работы</t>
        </is>
      </c>
      <c r="D219" s="3" t="inlineStr">
        <is>
          <t>Переключатель ONU1PBR 3-х поз.(1-0-2) 25 А (АВВ) или аналог</t>
        </is>
      </c>
      <c r="E219" s="4">
        <f>N219+O219</f>
        <v/>
      </c>
      <c r="F219" s="3" t="inlineStr">
        <is>
          <t>шт.</t>
        </is>
      </c>
      <c r="G219" s="4">
        <f>IFERROR('[1]Лист1'!G219,200)</f>
        <v/>
      </c>
      <c r="H219" s="16" t="n">
        <v>200</v>
      </c>
      <c r="I219" s="16" t="n">
        <v>200</v>
      </c>
      <c r="J219" s="16" t="n">
        <v>200</v>
      </c>
      <c r="K219" s="16" t="n">
        <v>200</v>
      </c>
      <c r="L219" s="16" t="n">
        <v>200</v>
      </c>
      <c r="M219" s="16" t="n">
        <v>200</v>
      </c>
      <c r="N219" s="4">
        <f>Работы!S221</f>
        <v/>
      </c>
      <c r="O219" s="4">
        <f>Работы!R221</f>
        <v/>
      </c>
      <c r="P219" s="16" t="n">
        <v>200</v>
      </c>
      <c r="Q219" s="16" t="n">
        <v>200</v>
      </c>
      <c r="R219" s="16" t="n">
        <v>200</v>
      </c>
      <c r="S219" s="16" t="n">
        <v>200</v>
      </c>
      <c r="T219" s="16" t="n">
        <v>200</v>
      </c>
      <c r="U219" s="16" t="n">
        <v>200</v>
      </c>
      <c r="V219" s="16" t="n">
        <v>200</v>
      </c>
      <c r="W219" s="16" t="n">
        <v>200</v>
      </c>
      <c r="X219" s="16" t="n">
        <v>200</v>
      </c>
      <c r="Y219" s="16" t="n">
        <v>200</v>
      </c>
      <c r="Z219" s="16" t="n">
        <v>200</v>
      </c>
      <c r="AA219" s="16" t="n">
        <v>200</v>
      </c>
    </row>
    <row r="220">
      <c r="A220" s="3" t="inlineStr">
        <is>
          <t>Электрика</t>
        </is>
      </c>
      <c r="B220" s="3" t="inlineStr">
        <is>
          <t>Выключатель</t>
        </is>
      </c>
      <c r="C220" s="3" t="inlineStr">
        <is>
          <t>Электромонтажные работы</t>
        </is>
      </c>
      <c r="D220" s="3" t="inlineStr">
        <is>
          <t>Переключатель ONU1М 3-х поз.(1-0-2) 25 А (АВВ) или аналог</t>
        </is>
      </c>
      <c r="E220" s="4">
        <f>N220+O220</f>
        <v/>
      </c>
      <c r="F220" s="3" t="inlineStr">
        <is>
          <t>шт.</t>
        </is>
      </c>
      <c r="G220" s="4">
        <f>IFERROR('[1]Лист1'!G220,200)</f>
        <v/>
      </c>
      <c r="H220" s="16" t="n">
        <v>200</v>
      </c>
      <c r="I220" s="16" t="n">
        <v>200</v>
      </c>
      <c r="J220" s="16" t="n">
        <v>200</v>
      </c>
      <c r="K220" s="16" t="n">
        <v>200</v>
      </c>
      <c r="L220" s="16" t="n">
        <v>200</v>
      </c>
      <c r="M220" s="16" t="n">
        <v>200</v>
      </c>
      <c r="N220" s="4">
        <f>Работы!S222</f>
        <v/>
      </c>
      <c r="O220" s="4">
        <f>Работы!R222</f>
        <v/>
      </c>
      <c r="P220" s="16" t="n">
        <v>200</v>
      </c>
      <c r="Q220" s="16" t="n">
        <v>200</v>
      </c>
      <c r="R220" s="16" t="n">
        <v>200</v>
      </c>
      <c r="S220" s="16" t="n">
        <v>200</v>
      </c>
      <c r="T220" s="16" t="n">
        <v>200</v>
      </c>
      <c r="U220" s="16" t="n">
        <v>200</v>
      </c>
      <c r="V220" s="16" t="n">
        <v>200</v>
      </c>
      <c r="W220" s="16" t="n">
        <v>200</v>
      </c>
      <c r="X220" s="16" t="n">
        <v>200</v>
      </c>
      <c r="Y220" s="16" t="n">
        <v>200</v>
      </c>
      <c r="Z220" s="16" t="n">
        <v>200</v>
      </c>
      <c r="AA220" s="16" t="n">
        <v>200</v>
      </c>
    </row>
    <row r="221">
      <c r="A221" s="3" t="inlineStr">
        <is>
          <t>Электрика</t>
        </is>
      </c>
      <c r="B221" s="3" t="inlineStr">
        <is>
          <t>Кабель-канал пластиковый</t>
        </is>
      </c>
      <c r="C221" s="3" t="inlineStr">
        <is>
          <t>Электромонтажные работы</t>
        </is>
      </c>
      <c r="D221" s="3" t="inlineStr">
        <is>
          <t>Кабель-канал 20х10 мм</t>
        </is>
      </c>
      <c r="E221" s="4">
        <f>N221+O221</f>
        <v/>
      </c>
      <c r="F221" s="3" t="inlineStr">
        <is>
          <t>м.п.</t>
        </is>
      </c>
      <c r="G221" s="4">
        <f>IFERROR('[1]Лист1'!G221,200)</f>
        <v/>
      </c>
      <c r="H221" s="16" t="n">
        <v>200</v>
      </c>
      <c r="I221" s="16" t="n">
        <v>200</v>
      </c>
      <c r="J221" s="16" t="n">
        <v>200</v>
      </c>
      <c r="K221" s="16" t="n">
        <v>200</v>
      </c>
      <c r="L221" s="16" t="n">
        <v>200</v>
      </c>
      <c r="M221" s="16" t="n">
        <v>200</v>
      </c>
      <c r="N221" s="4">
        <f>Работы!S223</f>
        <v/>
      </c>
      <c r="O221" s="4">
        <f>Работы!R223</f>
        <v/>
      </c>
      <c r="P221" s="16" t="n">
        <v>200</v>
      </c>
      <c r="Q221" s="16" t="n">
        <v>200</v>
      </c>
      <c r="R221" s="16" t="n">
        <v>200</v>
      </c>
      <c r="S221" s="16" t="n">
        <v>200</v>
      </c>
      <c r="T221" s="16" t="n">
        <v>200</v>
      </c>
      <c r="U221" s="16" t="n">
        <v>200</v>
      </c>
      <c r="V221" s="16" t="n">
        <v>200</v>
      </c>
      <c r="W221" s="16" t="n">
        <v>200</v>
      </c>
      <c r="X221" s="16" t="n">
        <v>200</v>
      </c>
      <c r="Y221" s="16" t="n">
        <v>200</v>
      </c>
      <c r="Z221" s="16" t="n">
        <v>200</v>
      </c>
      <c r="AA221" s="16" t="n">
        <v>200</v>
      </c>
    </row>
    <row r="222">
      <c r="A222" s="3" t="inlineStr">
        <is>
          <t>Электрика</t>
        </is>
      </c>
      <c r="B222" s="3" t="inlineStr">
        <is>
          <t>Кабель-канал пластиковый</t>
        </is>
      </c>
      <c r="C222" s="3" t="inlineStr">
        <is>
          <t>Электромонтажные работы</t>
        </is>
      </c>
      <c r="D222" s="3" t="inlineStr">
        <is>
          <t>Кабель-канал 32х16 мм</t>
        </is>
      </c>
      <c r="E222" s="4">
        <f>N222+O222</f>
        <v/>
      </c>
      <c r="F222" s="3" t="inlineStr">
        <is>
          <t>м.п.</t>
        </is>
      </c>
      <c r="G222" s="4">
        <f>IFERROR('[1]Лист1'!G222,200)</f>
        <v/>
      </c>
      <c r="H222" s="16" t="n">
        <v>200</v>
      </c>
      <c r="I222" s="16" t="n">
        <v>200</v>
      </c>
      <c r="J222" s="16" t="n">
        <v>200</v>
      </c>
      <c r="K222" s="16" t="n">
        <v>200</v>
      </c>
      <c r="L222" s="16" t="n">
        <v>200</v>
      </c>
      <c r="M222" s="16" t="n">
        <v>200</v>
      </c>
      <c r="N222" s="4">
        <f>Работы!S224</f>
        <v/>
      </c>
      <c r="O222" s="4">
        <f>Работы!R224</f>
        <v/>
      </c>
      <c r="P222" s="16" t="n">
        <v>200</v>
      </c>
      <c r="Q222" s="16" t="n">
        <v>200</v>
      </c>
      <c r="R222" s="16" t="n">
        <v>200</v>
      </c>
      <c r="S222" s="16" t="n">
        <v>200</v>
      </c>
      <c r="T222" s="16" t="n">
        <v>200</v>
      </c>
      <c r="U222" s="16" t="n">
        <v>200</v>
      </c>
      <c r="V222" s="16" t="n">
        <v>200</v>
      </c>
      <c r="W222" s="16" t="n">
        <v>200</v>
      </c>
      <c r="X222" s="16" t="n">
        <v>200</v>
      </c>
      <c r="Y222" s="16" t="n">
        <v>200</v>
      </c>
      <c r="Z222" s="16" t="n">
        <v>200</v>
      </c>
      <c r="AA222" s="16" t="n">
        <v>200</v>
      </c>
    </row>
    <row r="223">
      <c r="A223" s="3" t="inlineStr">
        <is>
          <t>Электрика</t>
        </is>
      </c>
      <c r="B223" s="3" t="inlineStr">
        <is>
          <t>Кабель-канал пластиковый</t>
        </is>
      </c>
      <c r="C223" s="3" t="inlineStr">
        <is>
          <t>Электромонтажные работы</t>
        </is>
      </c>
      <c r="D223" s="3" t="inlineStr">
        <is>
          <t>Кабель-канал 60х40 мм</t>
        </is>
      </c>
      <c r="E223" s="4">
        <f>N223+O223</f>
        <v/>
      </c>
      <c r="F223" s="3" t="inlineStr">
        <is>
          <t>м.п.</t>
        </is>
      </c>
      <c r="G223" s="4">
        <f>IFERROR('[1]Лист1'!G223,200)</f>
        <v/>
      </c>
      <c r="H223" s="16" t="n">
        <v>200</v>
      </c>
      <c r="I223" s="16" t="n">
        <v>200</v>
      </c>
      <c r="J223" s="16" t="n">
        <v>200</v>
      </c>
      <c r="K223" s="16" t="n">
        <v>200</v>
      </c>
      <c r="L223" s="16" t="n">
        <v>200</v>
      </c>
      <c r="M223" s="16" t="n">
        <v>200</v>
      </c>
      <c r="N223" s="4">
        <f>Работы!S225</f>
        <v/>
      </c>
      <c r="O223" s="4">
        <f>Работы!R225</f>
        <v/>
      </c>
      <c r="P223" s="16" t="n">
        <v>200</v>
      </c>
      <c r="Q223" s="16" t="n">
        <v>200</v>
      </c>
      <c r="R223" s="16" t="n">
        <v>200</v>
      </c>
      <c r="S223" s="16" t="n">
        <v>200</v>
      </c>
      <c r="T223" s="16" t="n">
        <v>200</v>
      </c>
      <c r="U223" s="16" t="n">
        <v>200</v>
      </c>
      <c r="V223" s="16" t="n">
        <v>200</v>
      </c>
      <c r="W223" s="16" t="n">
        <v>200</v>
      </c>
      <c r="X223" s="16" t="n">
        <v>200</v>
      </c>
      <c r="Y223" s="16" t="n">
        <v>200</v>
      </c>
      <c r="Z223" s="16" t="n">
        <v>200</v>
      </c>
      <c r="AA223" s="16" t="n">
        <v>200</v>
      </c>
    </row>
    <row r="224">
      <c r="A224" s="3" t="inlineStr">
        <is>
          <t>Электрика</t>
        </is>
      </c>
      <c r="B224" s="3" t="inlineStr">
        <is>
          <t>Кабель-канал пластиковый</t>
        </is>
      </c>
      <c r="C224" s="3" t="inlineStr">
        <is>
          <t>Электромонтажные работы</t>
        </is>
      </c>
      <c r="D224" s="3" t="inlineStr">
        <is>
          <t>Кабель-канал 80х40 мм</t>
        </is>
      </c>
      <c r="E224" s="4">
        <f>N224+O224</f>
        <v/>
      </c>
      <c r="F224" s="3" t="inlineStr">
        <is>
          <t>м.п.</t>
        </is>
      </c>
      <c r="G224" s="4">
        <f>IFERROR('[1]Лист1'!G224,200)</f>
        <v/>
      </c>
      <c r="H224" s="16" t="n">
        <v>200</v>
      </c>
      <c r="I224" s="16" t="n">
        <v>200</v>
      </c>
      <c r="J224" s="16" t="n">
        <v>200</v>
      </c>
      <c r="K224" s="16" t="n">
        <v>200</v>
      </c>
      <c r="L224" s="16" t="n">
        <v>200</v>
      </c>
      <c r="M224" s="16" t="n">
        <v>200</v>
      </c>
      <c r="N224" s="4">
        <f>Работы!S226</f>
        <v/>
      </c>
      <c r="O224" s="4">
        <f>Работы!R226</f>
        <v/>
      </c>
      <c r="P224" s="16" t="n">
        <v>200</v>
      </c>
      <c r="Q224" s="16" t="n">
        <v>200</v>
      </c>
      <c r="R224" s="16" t="n">
        <v>200</v>
      </c>
      <c r="S224" s="16" t="n">
        <v>200</v>
      </c>
      <c r="T224" s="16" t="n">
        <v>200</v>
      </c>
      <c r="U224" s="16" t="n">
        <v>200</v>
      </c>
      <c r="V224" s="16" t="n">
        <v>200</v>
      </c>
      <c r="W224" s="16" t="n">
        <v>200</v>
      </c>
      <c r="X224" s="16" t="n">
        <v>200</v>
      </c>
      <c r="Y224" s="16" t="n">
        <v>200</v>
      </c>
      <c r="Z224" s="16" t="n">
        <v>200</v>
      </c>
      <c r="AA224" s="16" t="n">
        <v>200</v>
      </c>
    </row>
    <row r="225">
      <c r="A225" s="3" t="inlineStr">
        <is>
          <t>Электрика</t>
        </is>
      </c>
      <c r="B225" s="3" t="inlineStr">
        <is>
          <t>Кабель-канал пластиковый</t>
        </is>
      </c>
      <c r="C225" s="3" t="inlineStr">
        <is>
          <t>Электромонтажные работы</t>
        </is>
      </c>
      <c r="D225" s="3" t="inlineStr">
        <is>
          <t>Кабель-канал 80х60 мм</t>
        </is>
      </c>
      <c r="E225" s="4">
        <f>N225+O225</f>
        <v/>
      </c>
      <c r="F225" s="3" t="inlineStr">
        <is>
          <t>м.п.</t>
        </is>
      </c>
      <c r="G225" s="4">
        <f>IFERROR('[1]Лист1'!G225,200)</f>
        <v/>
      </c>
      <c r="H225" s="16" t="n">
        <v>200</v>
      </c>
      <c r="I225" s="16" t="n">
        <v>200</v>
      </c>
      <c r="J225" s="16" t="n">
        <v>200</v>
      </c>
      <c r="K225" s="16" t="n">
        <v>200</v>
      </c>
      <c r="L225" s="16" t="n">
        <v>200</v>
      </c>
      <c r="M225" s="16" t="n">
        <v>200</v>
      </c>
      <c r="N225" s="4">
        <f>Работы!S227</f>
        <v/>
      </c>
      <c r="O225" s="4">
        <f>Работы!R227</f>
        <v/>
      </c>
      <c r="P225" s="16" t="n">
        <v>200</v>
      </c>
      <c r="Q225" s="16" t="n">
        <v>200</v>
      </c>
      <c r="R225" s="16" t="n">
        <v>200</v>
      </c>
      <c r="S225" s="16" t="n">
        <v>200</v>
      </c>
      <c r="T225" s="16" t="n">
        <v>200</v>
      </c>
      <c r="U225" s="16" t="n">
        <v>200</v>
      </c>
      <c r="V225" s="16" t="n">
        <v>200</v>
      </c>
      <c r="W225" s="16" t="n">
        <v>200</v>
      </c>
      <c r="X225" s="16" t="n">
        <v>200</v>
      </c>
      <c r="Y225" s="16" t="n">
        <v>200</v>
      </c>
      <c r="Z225" s="16" t="n">
        <v>200</v>
      </c>
      <c r="AA225" s="16" t="n">
        <v>200</v>
      </c>
    </row>
    <row r="226">
      <c r="A226" s="3" t="inlineStr">
        <is>
          <t>Электрика</t>
        </is>
      </c>
      <c r="B226" s="3" t="inlineStr">
        <is>
          <t>Кабель-канал пластиковый</t>
        </is>
      </c>
      <c r="C226" s="3" t="inlineStr">
        <is>
          <t>Электромонтажные работы</t>
        </is>
      </c>
      <c r="D226" s="3" t="inlineStr">
        <is>
          <t>Кабель-канал 100х60 мм</t>
        </is>
      </c>
      <c r="E226" s="4">
        <f>N226+O226</f>
        <v/>
      </c>
      <c r="F226" s="3" t="inlineStr">
        <is>
          <t>м.п.</t>
        </is>
      </c>
      <c r="G226" s="4">
        <f>IFERROR('[1]Лист1'!G226,200)</f>
        <v/>
      </c>
      <c r="H226" s="16" t="n">
        <v>200</v>
      </c>
      <c r="I226" s="16" t="n">
        <v>200</v>
      </c>
      <c r="J226" s="16" t="n">
        <v>200</v>
      </c>
      <c r="K226" s="16" t="n">
        <v>200</v>
      </c>
      <c r="L226" s="16" t="n">
        <v>200</v>
      </c>
      <c r="M226" s="16" t="n">
        <v>200</v>
      </c>
      <c r="N226" s="4">
        <f>Работы!S228</f>
        <v/>
      </c>
      <c r="O226" s="4">
        <f>Работы!R228</f>
        <v/>
      </c>
      <c r="P226" s="16" t="n">
        <v>200</v>
      </c>
      <c r="Q226" s="16" t="n">
        <v>200</v>
      </c>
      <c r="R226" s="16" t="n">
        <v>200</v>
      </c>
      <c r="S226" s="16" t="n">
        <v>200</v>
      </c>
      <c r="T226" s="16" t="n">
        <v>200</v>
      </c>
      <c r="U226" s="16" t="n">
        <v>200</v>
      </c>
      <c r="V226" s="16" t="n">
        <v>200</v>
      </c>
      <c r="W226" s="16" t="n">
        <v>200</v>
      </c>
      <c r="X226" s="16" t="n">
        <v>200</v>
      </c>
      <c r="Y226" s="16" t="n">
        <v>200</v>
      </c>
      <c r="Z226" s="16" t="n">
        <v>200</v>
      </c>
      <c r="AA226" s="16" t="n">
        <v>200</v>
      </c>
    </row>
    <row r="227">
      <c r="A227" s="3" t="inlineStr">
        <is>
          <t>Электрика</t>
        </is>
      </c>
      <c r="B227" s="3" t="inlineStr">
        <is>
          <t>Кабель-канал пластиковый</t>
        </is>
      </c>
      <c r="C227" s="3" t="inlineStr">
        <is>
          <t>Электромонтажные работы</t>
        </is>
      </c>
      <c r="D227" s="3" t="inlineStr">
        <is>
          <t>Кабель-канал перф. 15х17мм</t>
        </is>
      </c>
      <c r="E227" s="4">
        <f>N227+O227</f>
        <v/>
      </c>
      <c r="F227" s="3" t="inlineStr">
        <is>
          <t>м.п.</t>
        </is>
      </c>
      <c r="G227" s="4">
        <f>IFERROR('[1]Лист1'!G227,200)</f>
        <v/>
      </c>
      <c r="H227" s="16" t="n">
        <v>200</v>
      </c>
      <c r="I227" s="16" t="n">
        <v>200</v>
      </c>
      <c r="J227" s="16" t="n">
        <v>200</v>
      </c>
      <c r="K227" s="16" t="n">
        <v>200</v>
      </c>
      <c r="L227" s="16" t="n">
        <v>200</v>
      </c>
      <c r="M227" s="16" t="n">
        <v>200</v>
      </c>
      <c r="N227" s="4">
        <f>Работы!S229</f>
        <v/>
      </c>
      <c r="O227" s="4">
        <f>Работы!R229</f>
        <v/>
      </c>
      <c r="P227" s="16" t="n">
        <v>200</v>
      </c>
      <c r="Q227" s="16" t="n">
        <v>200</v>
      </c>
      <c r="R227" s="16" t="n">
        <v>200</v>
      </c>
      <c r="S227" s="16" t="n">
        <v>200</v>
      </c>
      <c r="T227" s="16" t="n">
        <v>200</v>
      </c>
      <c r="U227" s="16" t="n">
        <v>200</v>
      </c>
      <c r="V227" s="16" t="n">
        <v>200</v>
      </c>
      <c r="W227" s="16" t="n">
        <v>200</v>
      </c>
      <c r="X227" s="16" t="n">
        <v>200</v>
      </c>
      <c r="Y227" s="16" t="n">
        <v>200</v>
      </c>
      <c r="Z227" s="16" t="n">
        <v>200</v>
      </c>
      <c r="AA227" s="16" t="n">
        <v>200</v>
      </c>
    </row>
    <row r="228">
      <c r="A228" s="3" t="inlineStr">
        <is>
          <t>Электрика</t>
        </is>
      </c>
      <c r="B228" s="3" t="inlineStr">
        <is>
          <t>Кабель-канал пластиковый</t>
        </is>
      </c>
      <c r="C228" s="3" t="inlineStr">
        <is>
          <t>Электромонтажные работы</t>
        </is>
      </c>
      <c r="D228" s="3" t="inlineStr">
        <is>
          <t>Кабель-канал перф. 25х30мм</t>
        </is>
      </c>
      <c r="E228" s="4">
        <f>N228+O228</f>
        <v/>
      </c>
      <c r="F228" s="3" t="inlineStr">
        <is>
          <t>м.п.</t>
        </is>
      </c>
      <c r="G228" s="4">
        <f>IFERROR('[1]Лист1'!G228,200)</f>
        <v/>
      </c>
      <c r="H228" s="16" t="n">
        <v>200</v>
      </c>
      <c r="I228" s="16" t="n">
        <v>200</v>
      </c>
      <c r="J228" s="16" t="n">
        <v>200</v>
      </c>
      <c r="K228" s="16" t="n">
        <v>200</v>
      </c>
      <c r="L228" s="16" t="n">
        <v>200</v>
      </c>
      <c r="M228" s="16" t="n">
        <v>200</v>
      </c>
      <c r="N228" s="4">
        <f>Работы!S230</f>
        <v/>
      </c>
      <c r="O228" s="4">
        <f>Работы!R230</f>
        <v/>
      </c>
      <c r="P228" s="16" t="n">
        <v>200</v>
      </c>
      <c r="Q228" s="16" t="n">
        <v>200</v>
      </c>
      <c r="R228" s="16" t="n">
        <v>200</v>
      </c>
      <c r="S228" s="16" t="n">
        <v>200</v>
      </c>
      <c r="T228" s="16" t="n">
        <v>200</v>
      </c>
      <c r="U228" s="16" t="n">
        <v>200</v>
      </c>
      <c r="V228" s="16" t="n">
        <v>200</v>
      </c>
      <c r="W228" s="16" t="n">
        <v>200</v>
      </c>
      <c r="X228" s="16" t="n">
        <v>200</v>
      </c>
      <c r="Y228" s="16" t="n">
        <v>200</v>
      </c>
      <c r="Z228" s="16" t="n">
        <v>200</v>
      </c>
      <c r="AA228" s="16" t="n">
        <v>200</v>
      </c>
    </row>
    <row r="229">
      <c r="A229" s="3" t="inlineStr">
        <is>
          <t>Электрика</t>
        </is>
      </c>
      <c r="B229" s="3" t="inlineStr">
        <is>
          <t>Кабель-канал пластиковый</t>
        </is>
      </c>
      <c r="C229" s="3" t="inlineStr">
        <is>
          <t>Электромонтажные работы</t>
        </is>
      </c>
      <c r="D229" s="3" t="inlineStr">
        <is>
          <t>Кабель-канал перф. 40х30мм</t>
        </is>
      </c>
      <c r="E229" s="4">
        <f>N229+O229</f>
        <v/>
      </c>
      <c r="F229" s="3" t="inlineStr">
        <is>
          <t>м.п.</t>
        </is>
      </c>
      <c r="G229" s="4">
        <f>IFERROR('[1]Лист1'!G229,200)</f>
        <v/>
      </c>
      <c r="H229" s="16" t="n">
        <v>200</v>
      </c>
      <c r="I229" s="16" t="n">
        <v>200</v>
      </c>
      <c r="J229" s="16" t="n">
        <v>200</v>
      </c>
      <c r="K229" s="16" t="n">
        <v>200</v>
      </c>
      <c r="L229" s="16" t="n">
        <v>200</v>
      </c>
      <c r="M229" s="16" t="n">
        <v>200</v>
      </c>
      <c r="N229" s="4">
        <f>Работы!S231</f>
        <v/>
      </c>
      <c r="O229" s="4">
        <f>Работы!R231</f>
        <v/>
      </c>
      <c r="P229" s="16" t="n">
        <v>200</v>
      </c>
      <c r="Q229" s="16" t="n">
        <v>200</v>
      </c>
      <c r="R229" s="16" t="n">
        <v>200</v>
      </c>
      <c r="S229" s="16" t="n">
        <v>200</v>
      </c>
      <c r="T229" s="16" t="n">
        <v>200</v>
      </c>
      <c r="U229" s="16" t="n">
        <v>200</v>
      </c>
      <c r="V229" s="16" t="n">
        <v>200</v>
      </c>
      <c r="W229" s="16" t="n">
        <v>200</v>
      </c>
      <c r="X229" s="16" t="n">
        <v>200</v>
      </c>
      <c r="Y229" s="16" t="n">
        <v>200</v>
      </c>
      <c r="Z229" s="16" t="n">
        <v>200</v>
      </c>
      <c r="AA229" s="16" t="n">
        <v>200</v>
      </c>
    </row>
    <row r="230">
      <c r="A230" s="3" t="inlineStr">
        <is>
          <t>Электрика</t>
        </is>
      </c>
      <c r="B230" s="3" t="inlineStr">
        <is>
          <t>Кабель-канал пластиковый</t>
        </is>
      </c>
      <c r="C230" s="3" t="inlineStr">
        <is>
          <t>Электромонтажные работы</t>
        </is>
      </c>
      <c r="D230" s="3" t="inlineStr">
        <is>
          <t>Кабель-канал перф. 60х30мм</t>
        </is>
      </c>
      <c r="E230" s="4">
        <f>N230+O230</f>
        <v/>
      </c>
      <c r="F230" s="3" t="inlineStr">
        <is>
          <t>м.п.</t>
        </is>
      </c>
      <c r="G230" s="4">
        <f>IFERROR('[1]Лист1'!G230,200)</f>
        <v/>
      </c>
      <c r="H230" s="16" t="n">
        <v>200</v>
      </c>
      <c r="I230" s="16" t="n">
        <v>200</v>
      </c>
      <c r="J230" s="16" t="n">
        <v>200</v>
      </c>
      <c r="K230" s="16" t="n">
        <v>200</v>
      </c>
      <c r="L230" s="16" t="n">
        <v>200</v>
      </c>
      <c r="M230" s="16" t="n">
        <v>200</v>
      </c>
      <c r="N230" s="4">
        <f>Работы!S232</f>
        <v/>
      </c>
      <c r="O230" s="4">
        <f>Работы!R232</f>
        <v/>
      </c>
      <c r="P230" s="16" t="n">
        <v>200</v>
      </c>
      <c r="Q230" s="16" t="n">
        <v>200</v>
      </c>
      <c r="R230" s="16" t="n">
        <v>200</v>
      </c>
      <c r="S230" s="16" t="n">
        <v>200</v>
      </c>
      <c r="T230" s="16" t="n">
        <v>200</v>
      </c>
      <c r="U230" s="16" t="n">
        <v>200</v>
      </c>
      <c r="V230" s="16" t="n">
        <v>200</v>
      </c>
      <c r="W230" s="16" t="n">
        <v>200</v>
      </c>
      <c r="X230" s="16" t="n">
        <v>200</v>
      </c>
      <c r="Y230" s="16" t="n">
        <v>200</v>
      </c>
      <c r="Z230" s="16" t="n">
        <v>200</v>
      </c>
      <c r="AA230" s="16" t="n">
        <v>200</v>
      </c>
    </row>
    <row r="231">
      <c r="A231" s="3" t="inlineStr">
        <is>
          <t>Электрика</t>
        </is>
      </c>
      <c r="B231" s="3" t="inlineStr">
        <is>
          <t>Кабель-канал пластиковый</t>
        </is>
      </c>
      <c r="C231" s="3" t="inlineStr">
        <is>
          <t>Электромонтажные работы</t>
        </is>
      </c>
      <c r="D231" s="3" t="inlineStr">
        <is>
          <t>Кабель-канал гибкий 16x16мм ШхВ длина 500мм</t>
        </is>
      </c>
      <c r="E231" s="4">
        <f>N231+O231</f>
        <v/>
      </c>
      <c r="F231" s="3" t="inlineStr">
        <is>
          <t>м.п.</t>
        </is>
      </c>
      <c r="G231" s="4">
        <f>IFERROR('[1]Лист1'!G231,200)</f>
        <v/>
      </c>
      <c r="H231" s="16" t="n">
        <v>200</v>
      </c>
      <c r="I231" s="16" t="n">
        <v>200</v>
      </c>
      <c r="J231" s="16" t="n">
        <v>200</v>
      </c>
      <c r="K231" s="16" t="n">
        <v>200</v>
      </c>
      <c r="L231" s="16" t="n">
        <v>200</v>
      </c>
      <c r="M231" s="16" t="n">
        <v>200</v>
      </c>
      <c r="N231" s="4">
        <f>Работы!S233</f>
        <v/>
      </c>
      <c r="O231" s="4">
        <f>Работы!R233</f>
        <v/>
      </c>
      <c r="P231" s="16" t="n">
        <v>200</v>
      </c>
      <c r="Q231" s="16" t="n">
        <v>200</v>
      </c>
      <c r="R231" s="16" t="n">
        <v>200</v>
      </c>
      <c r="S231" s="16" t="n">
        <v>200</v>
      </c>
      <c r="T231" s="16" t="n">
        <v>200</v>
      </c>
      <c r="U231" s="16" t="n">
        <v>200</v>
      </c>
      <c r="V231" s="16" t="n">
        <v>200</v>
      </c>
      <c r="W231" s="16" t="n">
        <v>200</v>
      </c>
      <c r="X231" s="16" t="n">
        <v>200</v>
      </c>
      <c r="Y231" s="16" t="n">
        <v>200</v>
      </c>
      <c r="Z231" s="16" t="n">
        <v>200</v>
      </c>
      <c r="AA231" s="16" t="n">
        <v>200</v>
      </c>
    </row>
    <row r="232">
      <c r="A232" s="3" t="inlineStr">
        <is>
          <t>Электрика</t>
        </is>
      </c>
      <c r="B232" s="3" t="inlineStr">
        <is>
          <t>Пакетные выключатели</t>
        </is>
      </c>
      <c r="C232" s="3" t="inlineStr">
        <is>
          <t>Электромонтажные работы</t>
        </is>
      </c>
      <c r="D232" s="3" t="inlineStr">
        <is>
          <t>Пакетные выключатели ПВ3160М3 IP00</t>
        </is>
      </c>
      <c r="E232" s="4">
        <f>N232+O232</f>
        <v/>
      </c>
      <c r="F232" s="3" t="inlineStr">
        <is>
          <t>шт.</t>
        </is>
      </c>
      <c r="G232" s="4">
        <f>IFERROR('[1]Лист1'!G232,200)</f>
        <v/>
      </c>
      <c r="H232" s="16" t="n">
        <v>200</v>
      </c>
      <c r="I232" s="16" t="n">
        <v>200</v>
      </c>
      <c r="J232" s="16" t="n">
        <v>200</v>
      </c>
      <c r="K232" s="16" t="n">
        <v>200</v>
      </c>
      <c r="L232" s="16" t="n">
        <v>200</v>
      </c>
      <c r="M232" s="16" t="n">
        <v>200</v>
      </c>
      <c r="N232" s="4">
        <f>Работы!S234</f>
        <v/>
      </c>
      <c r="O232" s="4">
        <f>Работы!R234</f>
        <v/>
      </c>
      <c r="P232" s="16" t="n">
        <v>200</v>
      </c>
      <c r="Q232" s="16" t="n">
        <v>200</v>
      </c>
      <c r="R232" s="16" t="n">
        <v>200</v>
      </c>
      <c r="S232" s="16" t="n">
        <v>200</v>
      </c>
      <c r="T232" s="16" t="n">
        <v>200</v>
      </c>
      <c r="U232" s="16" t="n">
        <v>200</v>
      </c>
      <c r="V232" s="16" t="n">
        <v>200</v>
      </c>
      <c r="W232" s="16" t="n">
        <v>200</v>
      </c>
      <c r="X232" s="16" t="n">
        <v>200</v>
      </c>
      <c r="Y232" s="16" t="n">
        <v>200</v>
      </c>
      <c r="Z232" s="16" t="n">
        <v>200</v>
      </c>
      <c r="AA232" s="16" t="n">
        <v>200</v>
      </c>
    </row>
    <row r="233">
      <c r="A233" s="3" t="inlineStr">
        <is>
          <t>Электрика</t>
        </is>
      </c>
      <c r="B233" s="3" t="inlineStr">
        <is>
          <t>Светильники</t>
        </is>
      </c>
      <c r="C233" s="3" t="inlineStr">
        <is>
          <t>Электромонтажные работы</t>
        </is>
      </c>
      <c r="D233" s="3" t="inlineStr">
        <is>
          <t>Светильник светодиодный промышленный профильный «FS-MAN-DMD-AC-LED-48-110W-65-5000К-400-PP» 110Вт 5000К IP65 Драйвер выносной или аналог</t>
        </is>
      </c>
      <c r="E233" s="4">
        <f>N233+O233</f>
        <v/>
      </c>
      <c r="F233" s="3" t="inlineStr">
        <is>
          <t>шт.</t>
        </is>
      </c>
      <c r="G233" s="4">
        <f>IFERROR('[1]Лист1'!G233,200)</f>
        <v/>
      </c>
      <c r="H233" s="16" t="n">
        <v>200</v>
      </c>
      <c r="I233" s="16" t="n">
        <v>200</v>
      </c>
      <c r="J233" s="16" t="n">
        <v>200</v>
      </c>
      <c r="K233" s="16" t="n">
        <v>200</v>
      </c>
      <c r="L233" s="16" t="n">
        <v>200</v>
      </c>
      <c r="M233" s="16" t="n">
        <v>200</v>
      </c>
      <c r="N233" s="4">
        <f>Работы!S235</f>
        <v/>
      </c>
      <c r="O233" s="4">
        <f>Работы!R235</f>
        <v/>
      </c>
      <c r="P233" s="16" t="n">
        <v>200</v>
      </c>
      <c r="Q233" s="16" t="n">
        <v>200</v>
      </c>
      <c r="R233" s="16" t="n">
        <v>200</v>
      </c>
      <c r="S233" s="16" t="n">
        <v>200</v>
      </c>
      <c r="T233" s="16" t="n">
        <v>200</v>
      </c>
      <c r="U233" s="16" t="n">
        <v>200</v>
      </c>
      <c r="V233" s="16" t="n">
        <v>200</v>
      </c>
      <c r="W233" s="16" t="n">
        <v>200</v>
      </c>
      <c r="X233" s="16" t="n">
        <v>200</v>
      </c>
      <c r="Y233" s="16" t="n">
        <v>200</v>
      </c>
      <c r="Z233" s="16" t="n">
        <v>200</v>
      </c>
      <c r="AA233" s="16" t="n">
        <v>200</v>
      </c>
    </row>
    <row r="234">
      <c r="A234" s="3" t="inlineStr">
        <is>
          <t>Электрика</t>
        </is>
      </c>
      <c r="B234" s="3" t="inlineStr">
        <is>
          <t>Светильники</t>
        </is>
      </c>
      <c r="C234" s="3" t="inlineStr">
        <is>
          <t>Электромонтажные работы</t>
        </is>
      </c>
      <c r="D234" s="3" t="inlineStr">
        <is>
          <t>Светильник светодиодный промышленный профильный «FS-MAN-DMD-AC-LED-48-110W-65-5000К-400-PP-А1» 110Вт 5000К IP65 БАП 1ч Драйвер выносной или аналог</t>
        </is>
      </c>
      <c r="E234" s="4">
        <f>N234+O234</f>
        <v/>
      </c>
      <c r="F234" s="3" t="inlineStr">
        <is>
          <t>шт.</t>
        </is>
      </c>
      <c r="G234" s="4">
        <f>IFERROR('[1]Лист1'!G234,200)</f>
        <v/>
      </c>
      <c r="H234" s="16" t="n">
        <v>200</v>
      </c>
      <c r="I234" s="16" t="n">
        <v>200</v>
      </c>
      <c r="J234" s="16" t="n">
        <v>200</v>
      </c>
      <c r="K234" s="16" t="n">
        <v>200</v>
      </c>
      <c r="L234" s="16" t="n">
        <v>200</v>
      </c>
      <c r="M234" s="16" t="n">
        <v>200</v>
      </c>
      <c r="N234" s="4">
        <f>Работы!S236</f>
        <v/>
      </c>
      <c r="O234" s="4">
        <f>Работы!R236</f>
        <v/>
      </c>
      <c r="P234" s="16" t="n">
        <v>200</v>
      </c>
      <c r="Q234" s="16" t="n">
        <v>200</v>
      </c>
      <c r="R234" s="16" t="n">
        <v>200</v>
      </c>
      <c r="S234" s="16" t="n">
        <v>200</v>
      </c>
      <c r="T234" s="16" t="n">
        <v>200</v>
      </c>
      <c r="U234" s="16" t="n">
        <v>200</v>
      </c>
      <c r="V234" s="16" t="n">
        <v>200</v>
      </c>
      <c r="W234" s="16" t="n">
        <v>200</v>
      </c>
      <c r="X234" s="16" t="n">
        <v>200</v>
      </c>
      <c r="Y234" s="16" t="n">
        <v>200</v>
      </c>
      <c r="Z234" s="16" t="n">
        <v>200</v>
      </c>
      <c r="AA234" s="16" t="n">
        <v>200</v>
      </c>
    </row>
    <row r="235">
      <c r="A235" s="3" t="inlineStr">
        <is>
          <t>Электрика</t>
        </is>
      </c>
      <c r="B235" s="3" t="inlineStr">
        <is>
          <t>Светильники</t>
        </is>
      </c>
      <c r="C235" s="3" t="inlineStr">
        <is>
          <t>Электромонтажные работы</t>
        </is>
      </c>
      <c r="D235" s="3" t="inlineStr">
        <is>
          <t>Светильник Arlight DL-TITAN-FRAMELESS-S600x600-40W Day4000, IP40, металл или аналог</t>
        </is>
      </c>
      <c r="E235" s="4">
        <f>N235+O235</f>
        <v/>
      </c>
      <c r="F235" s="3" t="inlineStr">
        <is>
          <t>шт.</t>
        </is>
      </c>
      <c r="G235" s="4">
        <f>IFERROR('[1]Лист1'!G235,200)</f>
        <v/>
      </c>
      <c r="H235" s="16" t="n">
        <v>200</v>
      </c>
      <c r="I235" s="16" t="n">
        <v>200</v>
      </c>
      <c r="J235" s="16" t="n">
        <v>200</v>
      </c>
      <c r="K235" s="16" t="n">
        <v>200</v>
      </c>
      <c r="L235" s="16" t="n">
        <v>200</v>
      </c>
      <c r="M235" s="16" t="n">
        <v>200</v>
      </c>
      <c r="N235" s="4">
        <f>Работы!S237</f>
        <v/>
      </c>
      <c r="O235" s="4">
        <f>Работы!R237</f>
        <v/>
      </c>
      <c r="P235" s="16" t="n">
        <v>200</v>
      </c>
      <c r="Q235" s="16" t="n">
        <v>200</v>
      </c>
      <c r="R235" s="16" t="n">
        <v>200</v>
      </c>
      <c r="S235" s="16" t="n">
        <v>200</v>
      </c>
      <c r="T235" s="16" t="n">
        <v>200</v>
      </c>
      <c r="U235" s="16" t="n">
        <v>200</v>
      </c>
      <c r="V235" s="16" t="n">
        <v>200</v>
      </c>
      <c r="W235" s="16" t="n">
        <v>200</v>
      </c>
      <c r="X235" s="16" t="n">
        <v>200</v>
      </c>
      <c r="Y235" s="16" t="n">
        <v>200</v>
      </c>
      <c r="Z235" s="16" t="n">
        <v>200</v>
      </c>
      <c r="AA235" s="16" t="n">
        <v>200</v>
      </c>
    </row>
    <row r="236">
      <c r="A236" s="3" t="inlineStr">
        <is>
          <t>Электрика</t>
        </is>
      </c>
      <c r="B236" s="3" t="inlineStr">
        <is>
          <t>Светильники</t>
        </is>
      </c>
      <c r="C236" s="3" t="inlineStr">
        <is>
          <t>Электромонтажные работы</t>
        </is>
      </c>
      <c r="D236" s="3" t="inlineStr">
        <is>
          <t>Светильник аварийный ВЫХОД LED 1.5 часа</t>
        </is>
      </c>
      <c r="E236" s="4">
        <f>N236+O236</f>
        <v/>
      </c>
      <c r="F236" s="3" t="inlineStr">
        <is>
          <t>шт.</t>
        </is>
      </c>
      <c r="G236" s="4">
        <f>IFERROR('[1]Лист1'!G236,200)</f>
        <v/>
      </c>
      <c r="H236" s="16" t="n">
        <v>200</v>
      </c>
      <c r="I236" s="16" t="n">
        <v>200</v>
      </c>
      <c r="J236" s="16" t="n">
        <v>200</v>
      </c>
      <c r="K236" s="16" t="n">
        <v>200</v>
      </c>
      <c r="L236" s="16" t="n">
        <v>200</v>
      </c>
      <c r="M236" s="16" t="n">
        <v>200</v>
      </c>
      <c r="N236" s="4">
        <f>Работы!S238</f>
        <v/>
      </c>
      <c r="O236" s="4">
        <f>Работы!R238</f>
        <v/>
      </c>
      <c r="P236" s="16" t="n">
        <v>200</v>
      </c>
      <c r="Q236" s="16" t="n">
        <v>200</v>
      </c>
      <c r="R236" s="16" t="n">
        <v>200</v>
      </c>
      <c r="S236" s="16" t="n">
        <v>200</v>
      </c>
      <c r="T236" s="16" t="n">
        <v>200</v>
      </c>
      <c r="U236" s="16" t="n">
        <v>200</v>
      </c>
      <c r="V236" s="16" t="n">
        <v>200</v>
      </c>
      <c r="W236" s="16" t="n">
        <v>200</v>
      </c>
      <c r="X236" s="16" t="n">
        <v>200</v>
      </c>
      <c r="Y236" s="16" t="n">
        <v>200</v>
      </c>
      <c r="Z236" s="16" t="n">
        <v>200</v>
      </c>
      <c r="AA236" s="16" t="n">
        <v>200</v>
      </c>
    </row>
    <row r="237">
      <c r="A237" s="3" t="inlineStr">
        <is>
          <t>Электрика</t>
        </is>
      </c>
      <c r="B237" s="3" t="inlineStr">
        <is>
          <t>Светильники</t>
        </is>
      </c>
      <c r="C237" s="3" t="inlineStr">
        <is>
          <t>Электромонтажные работы</t>
        </is>
      </c>
      <c r="D237" s="3" t="inlineStr">
        <is>
          <t>Светильник типа demos 2x1х58 ЕD</t>
        </is>
      </c>
      <c r="E237" s="4">
        <f>N237+O237</f>
        <v/>
      </c>
      <c r="F237" s="3" t="inlineStr">
        <is>
          <t>шт.</t>
        </is>
      </c>
      <c r="G237" s="4">
        <f>IFERROR('[1]Лист1'!G237,200)</f>
        <v/>
      </c>
      <c r="H237" s="16" t="n">
        <v>200</v>
      </c>
      <c r="I237" s="16" t="n">
        <v>200</v>
      </c>
      <c r="J237" s="16" t="n">
        <v>200</v>
      </c>
      <c r="K237" s="16" t="n">
        <v>200</v>
      </c>
      <c r="L237" s="16" t="n">
        <v>200</v>
      </c>
      <c r="M237" s="16" t="n">
        <v>200</v>
      </c>
      <c r="N237" s="4">
        <f>Работы!S239</f>
        <v/>
      </c>
      <c r="O237" s="4">
        <f>Работы!R239</f>
        <v/>
      </c>
      <c r="P237" s="16" t="n">
        <v>200</v>
      </c>
      <c r="Q237" s="16" t="n">
        <v>200</v>
      </c>
      <c r="R237" s="16" t="n">
        <v>200</v>
      </c>
      <c r="S237" s="16" t="n">
        <v>200</v>
      </c>
      <c r="T237" s="16" t="n">
        <v>200</v>
      </c>
      <c r="U237" s="16" t="n">
        <v>200</v>
      </c>
      <c r="V237" s="16" t="n">
        <v>200</v>
      </c>
      <c r="W237" s="16" t="n">
        <v>200</v>
      </c>
      <c r="X237" s="16" t="n">
        <v>200</v>
      </c>
      <c r="Y237" s="16" t="n">
        <v>200</v>
      </c>
      <c r="Z237" s="16" t="n">
        <v>200</v>
      </c>
      <c r="AA237" s="16" t="n">
        <v>200</v>
      </c>
    </row>
    <row r="238">
      <c r="A238" s="3" t="inlineStr">
        <is>
          <t>Электрика</t>
        </is>
      </c>
      <c r="B238" s="3" t="inlineStr">
        <is>
          <t>Светильники</t>
        </is>
      </c>
      <c r="C238" s="3" t="inlineStr">
        <is>
          <t>Электромонтажные работы</t>
        </is>
      </c>
      <c r="D238" s="3" t="inlineStr">
        <is>
          <t>Светильник типа demos 1х58 ЕD</t>
        </is>
      </c>
      <c r="E238" s="4">
        <f>N238+O238</f>
        <v/>
      </c>
      <c r="F238" s="3" t="inlineStr">
        <is>
          <t>шт.</t>
        </is>
      </c>
      <c r="G238" s="4">
        <f>IFERROR('[1]Лист1'!G238,200)</f>
        <v/>
      </c>
      <c r="H238" s="16" t="n">
        <v>200</v>
      </c>
      <c r="I238" s="16" t="n">
        <v>200</v>
      </c>
      <c r="J238" s="16" t="n">
        <v>200</v>
      </c>
      <c r="K238" s="16" t="n">
        <v>200</v>
      </c>
      <c r="L238" s="16" t="n">
        <v>200</v>
      </c>
      <c r="M238" s="16" t="n">
        <v>200</v>
      </c>
      <c r="N238" s="4">
        <f>Работы!S240</f>
        <v/>
      </c>
      <c r="O238" s="4">
        <f>Работы!R240</f>
        <v/>
      </c>
      <c r="P238" s="16" t="n">
        <v>200</v>
      </c>
      <c r="Q238" s="16" t="n">
        <v>200</v>
      </c>
      <c r="R238" s="16" t="n">
        <v>200</v>
      </c>
      <c r="S238" s="16" t="n">
        <v>200</v>
      </c>
      <c r="T238" s="16" t="n">
        <v>200</v>
      </c>
      <c r="U238" s="16" t="n">
        <v>200</v>
      </c>
      <c r="V238" s="16" t="n">
        <v>200</v>
      </c>
      <c r="W238" s="16" t="n">
        <v>200</v>
      </c>
      <c r="X238" s="16" t="n">
        <v>200</v>
      </c>
      <c r="Y238" s="16" t="n">
        <v>200</v>
      </c>
      <c r="Z238" s="16" t="n">
        <v>200</v>
      </c>
      <c r="AA238" s="16" t="n">
        <v>200</v>
      </c>
    </row>
    <row r="239">
      <c r="A239" s="3" t="inlineStr">
        <is>
          <t>Электрика</t>
        </is>
      </c>
      <c r="B239" s="3" t="inlineStr">
        <is>
          <t>Светильники</t>
        </is>
      </c>
      <c r="C239" s="3" t="inlineStr">
        <is>
          <t>Электромонтажные работы</t>
        </is>
      </c>
      <c r="D239" s="3" t="inlineStr">
        <is>
          <t>Светильник типа demos 1*58 EA</t>
        </is>
      </c>
      <c r="E239" s="4">
        <f>N239+O239</f>
        <v/>
      </c>
      <c r="F239" s="3" t="inlineStr">
        <is>
          <t>шт.</t>
        </is>
      </c>
      <c r="G239" s="4">
        <f>IFERROR('[1]Лист1'!G239,200)</f>
        <v/>
      </c>
      <c r="H239" s="16" t="n">
        <v>200</v>
      </c>
      <c r="I239" s="16" t="n">
        <v>200</v>
      </c>
      <c r="J239" s="16" t="n">
        <v>200</v>
      </c>
      <c r="K239" s="16" t="n">
        <v>200</v>
      </c>
      <c r="L239" s="16" t="n">
        <v>200</v>
      </c>
      <c r="M239" s="16" t="n">
        <v>200</v>
      </c>
      <c r="N239" s="4">
        <f>Работы!S241</f>
        <v/>
      </c>
      <c r="O239" s="4">
        <f>Работы!R241</f>
        <v/>
      </c>
      <c r="P239" s="16" t="n">
        <v>200</v>
      </c>
      <c r="Q239" s="16" t="n">
        <v>200</v>
      </c>
      <c r="R239" s="16" t="n">
        <v>200</v>
      </c>
      <c r="S239" s="16" t="n">
        <v>200</v>
      </c>
      <c r="T239" s="16" t="n">
        <v>200</v>
      </c>
      <c r="U239" s="16" t="n">
        <v>200</v>
      </c>
      <c r="V239" s="16" t="n">
        <v>200</v>
      </c>
      <c r="W239" s="16" t="n">
        <v>200</v>
      </c>
      <c r="X239" s="16" t="n">
        <v>200</v>
      </c>
      <c r="Y239" s="16" t="n">
        <v>200</v>
      </c>
      <c r="Z239" s="16" t="n">
        <v>200</v>
      </c>
      <c r="AA239" s="16" t="n">
        <v>200</v>
      </c>
    </row>
    <row r="240">
      <c r="A240" s="3" t="inlineStr">
        <is>
          <t>Электрика</t>
        </is>
      </c>
      <c r="B240" s="3" t="inlineStr">
        <is>
          <t>Светильники</t>
        </is>
      </c>
      <c r="C240" s="3" t="inlineStr">
        <is>
          <t>Электромонтажные работы</t>
        </is>
      </c>
      <c r="D240" s="3" t="inlineStr">
        <is>
          <t>Светодиодный прожектор WOLTA WFL-100W/06 100Вт 5700К IP65</t>
        </is>
      </c>
      <c r="E240" s="4">
        <f>N240+O240</f>
        <v/>
      </c>
      <c r="F240" s="3" t="inlineStr">
        <is>
          <t>шт.</t>
        </is>
      </c>
      <c r="G240" s="4">
        <f>IFERROR('[1]Лист1'!G240,200)</f>
        <v/>
      </c>
      <c r="H240" s="16" t="n">
        <v>200</v>
      </c>
      <c r="I240" s="16" t="n">
        <v>200</v>
      </c>
      <c r="J240" s="16" t="n">
        <v>200</v>
      </c>
      <c r="K240" s="16" t="n">
        <v>200</v>
      </c>
      <c r="L240" s="16" t="n">
        <v>200</v>
      </c>
      <c r="M240" s="16" t="n">
        <v>200</v>
      </c>
      <c r="N240" s="4">
        <f>Работы!S242</f>
        <v/>
      </c>
      <c r="O240" s="4">
        <f>Работы!R242</f>
        <v/>
      </c>
      <c r="P240" s="16" t="n">
        <v>200</v>
      </c>
      <c r="Q240" s="16" t="n">
        <v>200</v>
      </c>
      <c r="R240" s="16" t="n">
        <v>200</v>
      </c>
      <c r="S240" s="16" t="n">
        <v>200</v>
      </c>
      <c r="T240" s="16" t="n">
        <v>200</v>
      </c>
      <c r="U240" s="16" t="n">
        <v>200</v>
      </c>
      <c r="V240" s="16" t="n">
        <v>200</v>
      </c>
      <c r="W240" s="16" t="n">
        <v>200</v>
      </c>
      <c r="X240" s="16" t="n">
        <v>200</v>
      </c>
      <c r="Y240" s="16" t="n">
        <v>200</v>
      </c>
      <c r="Z240" s="16" t="n">
        <v>200</v>
      </c>
      <c r="AA240" s="16" t="n">
        <v>200</v>
      </c>
    </row>
    <row r="241">
      <c r="A241" s="3" t="inlineStr">
        <is>
          <t>Электрика</t>
        </is>
      </c>
      <c r="B241" s="3" t="inlineStr">
        <is>
          <t>Светильники</t>
        </is>
      </c>
      <c r="C241" s="3" t="inlineStr">
        <is>
          <t>Электромонтажные работы</t>
        </is>
      </c>
      <c r="D241" s="3" t="inlineStr">
        <is>
          <t>Прожектор LED IP65, 4000К, СДО-10</t>
        </is>
      </c>
      <c r="E241" s="4">
        <f>N241+O241</f>
        <v/>
      </c>
      <c r="F241" s="3" t="inlineStr">
        <is>
          <t>шт.</t>
        </is>
      </c>
      <c r="G241" s="4">
        <f>IFERROR('[1]Лист1'!G241,200)</f>
        <v/>
      </c>
      <c r="H241" s="16" t="n">
        <v>200</v>
      </c>
      <c r="I241" s="16" t="n">
        <v>200</v>
      </c>
      <c r="J241" s="16" t="n">
        <v>200</v>
      </c>
      <c r="K241" s="16" t="n">
        <v>200</v>
      </c>
      <c r="L241" s="16" t="n">
        <v>200</v>
      </c>
      <c r="M241" s="16" t="n">
        <v>200</v>
      </c>
      <c r="N241" s="4">
        <f>Работы!S243</f>
        <v/>
      </c>
      <c r="O241" s="4">
        <f>Работы!R243</f>
        <v/>
      </c>
      <c r="P241" s="16" t="n">
        <v>200</v>
      </c>
      <c r="Q241" s="16" t="n">
        <v>200</v>
      </c>
      <c r="R241" s="16" t="n">
        <v>200</v>
      </c>
      <c r="S241" s="16" t="n">
        <v>200</v>
      </c>
      <c r="T241" s="16" t="n">
        <v>200</v>
      </c>
      <c r="U241" s="16" t="n">
        <v>200</v>
      </c>
      <c r="V241" s="16" t="n">
        <v>200</v>
      </c>
      <c r="W241" s="16" t="n">
        <v>200</v>
      </c>
      <c r="X241" s="16" t="n">
        <v>200</v>
      </c>
      <c r="Y241" s="16" t="n">
        <v>200</v>
      </c>
      <c r="Z241" s="16" t="n">
        <v>200</v>
      </c>
      <c r="AA241" s="16" t="n">
        <v>200</v>
      </c>
    </row>
    <row r="242">
      <c r="A242" s="3" t="inlineStr">
        <is>
          <t>Электрика</t>
        </is>
      </c>
      <c r="B242" s="3" t="inlineStr">
        <is>
          <t>Светильники</t>
        </is>
      </c>
      <c r="C242" s="3" t="inlineStr">
        <is>
          <t>Электромонтажные работы</t>
        </is>
      </c>
      <c r="D242" s="3" t="inlineStr">
        <is>
          <t>Прожектор LED IP65, 4000К, СДО-20</t>
        </is>
      </c>
      <c r="E242" s="4">
        <f>N242+O242</f>
        <v/>
      </c>
      <c r="F242" s="3" t="inlineStr">
        <is>
          <t>шт.</t>
        </is>
      </c>
      <c r="G242" s="4">
        <f>IFERROR('[1]Лист1'!G242,200)</f>
        <v/>
      </c>
      <c r="H242" s="16" t="n">
        <v>200</v>
      </c>
      <c r="I242" s="16" t="n">
        <v>200</v>
      </c>
      <c r="J242" s="16" t="n">
        <v>200</v>
      </c>
      <c r="K242" s="16" t="n">
        <v>200</v>
      </c>
      <c r="L242" s="16" t="n">
        <v>200</v>
      </c>
      <c r="M242" s="16" t="n">
        <v>200</v>
      </c>
      <c r="N242" s="4">
        <f>Работы!S244</f>
        <v/>
      </c>
      <c r="O242" s="4">
        <f>Работы!R244</f>
        <v/>
      </c>
      <c r="P242" s="16" t="n">
        <v>200</v>
      </c>
      <c r="Q242" s="16" t="n">
        <v>200</v>
      </c>
      <c r="R242" s="16" t="n">
        <v>200</v>
      </c>
      <c r="S242" s="16" t="n">
        <v>200</v>
      </c>
      <c r="T242" s="16" t="n">
        <v>200</v>
      </c>
      <c r="U242" s="16" t="n">
        <v>200</v>
      </c>
      <c r="V242" s="16" t="n">
        <v>200</v>
      </c>
      <c r="W242" s="16" t="n">
        <v>200</v>
      </c>
      <c r="X242" s="16" t="n">
        <v>200</v>
      </c>
      <c r="Y242" s="16" t="n">
        <v>200</v>
      </c>
      <c r="Z242" s="16" t="n">
        <v>200</v>
      </c>
      <c r="AA242" s="16" t="n">
        <v>200</v>
      </c>
    </row>
    <row r="243">
      <c r="A243" s="3" t="inlineStr">
        <is>
          <t>Электрика</t>
        </is>
      </c>
      <c r="B243" s="3" t="inlineStr">
        <is>
          <t>Светильники</t>
        </is>
      </c>
      <c r="C243" s="3" t="inlineStr">
        <is>
          <t>Электромонтажные работы</t>
        </is>
      </c>
      <c r="D243" s="3" t="inlineStr">
        <is>
          <t>Прожектор LED IP65, 4000К, СДО-30</t>
        </is>
      </c>
      <c r="E243" s="4">
        <f>N243+O243</f>
        <v/>
      </c>
      <c r="F243" s="3" t="inlineStr">
        <is>
          <t>шт.</t>
        </is>
      </c>
      <c r="G243" s="4">
        <f>IFERROR('[1]Лист1'!G243,200)</f>
        <v/>
      </c>
      <c r="H243" s="16" t="n">
        <v>200</v>
      </c>
      <c r="I243" s="16" t="n">
        <v>200</v>
      </c>
      <c r="J243" s="16" t="n">
        <v>200</v>
      </c>
      <c r="K243" s="16" t="n">
        <v>200</v>
      </c>
      <c r="L243" s="16" t="n">
        <v>200</v>
      </c>
      <c r="M243" s="16" t="n">
        <v>200</v>
      </c>
      <c r="N243" s="4">
        <f>Работы!S245</f>
        <v/>
      </c>
      <c r="O243" s="4">
        <f>Работы!R245</f>
        <v/>
      </c>
      <c r="P243" s="16" t="n">
        <v>200</v>
      </c>
      <c r="Q243" s="16" t="n">
        <v>200</v>
      </c>
      <c r="R243" s="16" t="n">
        <v>200</v>
      </c>
      <c r="S243" s="16" t="n">
        <v>200</v>
      </c>
      <c r="T243" s="16" t="n">
        <v>200</v>
      </c>
      <c r="U243" s="16" t="n">
        <v>200</v>
      </c>
      <c r="V243" s="16" t="n">
        <v>200</v>
      </c>
      <c r="W243" s="16" t="n">
        <v>200</v>
      </c>
      <c r="X243" s="16" t="n">
        <v>200</v>
      </c>
      <c r="Y243" s="16" t="n">
        <v>200</v>
      </c>
      <c r="Z243" s="16" t="n">
        <v>200</v>
      </c>
      <c r="AA243" s="16" t="n">
        <v>200</v>
      </c>
    </row>
    <row r="244">
      <c r="A244" s="3" t="inlineStr">
        <is>
          <t>Электрика</t>
        </is>
      </c>
      <c r="B244" s="3" t="inlineStr">
        <is>
          <t>Светильники</t>
        </is>
      </c>
      <c r="C244" s="3" t="inlineStr">
        <is>
          <t>Электромонтажные работы</t>
        </is>
      </c>
      <c r="D244" s="3" t="inlineStr">
        <is>
          <t>Прожектор LED IP65, 4000К, СДО-50</t>
        </is>
      </c>
      <c r="E244" s="4">
        <f>N244+O244</f>
        <v/>
      </c>
      <c r="F244" s="3" t="inlineStr">
        <is>
          <t>шт.</t>
        </is>
      </c>
      <c r="G244" s="4">
        <f>IFERROR('[1]Лист1'!G244,200)</f>
        <v/>
      </c>
      <c r="H244" s="16" t="n">
        <v>200</v>
      </c>
      <c r="I244" s="16" t="n">
        <v>200</v>
      </c>
      <c r="J244" s="16" t="n">
        <v>200</v>
      </c>
      <c r="K244" s="16" t="n">
        <v>200</v>
      </c>
      <c r="L244" s="16" t="n">
        <v>200</v>
      </c>
      <c r="M244" s="16" t="n">
        <v>200</v>
      </c>
      <c r="N244" s="4">
        <f>Работы!S246</f>
        <v/>
      </c>
      <c r="O244" s="4">
        <f>Работы!R246</f>
        <v/>
      </c>
      <c r="P244" s="16" t="n">
        <v>200</v>
      </c>
      <c r="Q244" s="16" t="n">
        <v>200</v>
      </c>
      <c r="R244" s="16" t="n">
        <v>200</v>
      </c>
      <c r="S244" s="16" t="n">
        <v>200</v>
      </c>
      <c r="T244" s="16" t="n">
        <v>200</v>
      </c>
      <c r="U244" s="16" t="n">
        <v>200</v>
      </c>
      <c r="V244" s="16" t="n">
        <v>200</v>
      </c>
      <c r="W244" s="16" t="n">
        <v>200</v>
      </c>
      <c r="X244" s="16" t="n">
        <v>200</v>
      </c>
      <c r="Y244" s="16" t="n">
        <v>200</v>
      </c>
      <c r="Z244" s="16" t="n">
        <v>200</v>
      </c>
      <c r="AA244" s="16" t="n">
        <v>200</v>
      </c>
    </row>
    <row r="245">
      <c r="A245" s="3" t="inlineStr">
        <is>
          <t>Электрика</t>
        </is>
      </c>
      <c r="B245" s="3" t="inlineStr">
        <is>
          <t>Светильники</t>
        </is>
      </c>
      <c r="C245" s="3" t="inlineStr">
        <is>
          <t>Электромонтажные работы</t>
        </is>
      </c>
      <c r="D245" s="3" t="inlineStr">
        <is>
          <t>Прожектор LED IP65, 4000К, СДО-70</t>
        </is>
      </c>
      <c r="E245" s="4">
        <f>N245+O245</f>
        <v/>
      </c>
      <c r="F245" s="3" t="inlineStr">
        <is>
          <t>шт.</t>
        </is>
      </c>
      <c r="G245" s="4">
        <f>IFERROR('[1]Лист1'!G245,200)</f>
        <v/>
      </c>
      <c r="H245" s="16" t="n">
        <v>200</v>
      </c>
      <c r="I245" s="16" t="n">
        <v>200</v>
      </c>
      <c r="J245" s="16" t="n">
        <v>200</v>
      </c>
      <c r="K245" s="16" t="n">
        <v>200</v>
      </c>
      <c r="L245" s="16" t="n">
        <v>200</v>
      </c>
      <c r="M245" s="16" t="n">
        <v>200</v>
      </c>
      <c r="N245" s="4">
        <f>Работы!S247</f>
        <v/>
      </c>
      <c r="O245" s="4">
        <f>Работы!R247</f>
        <v/>
      </c>
      <c r="P245" s="16" t="n">
        <v>200</v>
      </c>
      <c r="Q245" s="16" t="n">
        <v>200</v>
      </c>
      <c r="R245" s="16" t="n">
        <v>200</v>
      </c>
      <c r="S245" s="16" t="n">
        <v>200</v>
      </c>
      <c r="T245" s="16" t="n">
        <v>200</v>
      </c>
      <c r="U245" s="16" t="n">
        <v>200</v>
      </c>
      <c r="V245" s="16" t="n">
        <v>200</v>
      </c>
      <c r="W245" s="16" t="n">
        <v>200</v>
      </c>
      <c r="X245" s="16" t="n">
        <v>200</v>
      </c>
      <c r="Y245" s="16" t="n">
        <v>200</v>
      </c>
      <c r="Z245" s="16" t="n">
        <v>200</v>
      </c>
      <c r="AA245" s="16" t="n">
        <v>200</v>
      </c>
    </row>
    <row r="246">
      <c r="A246" s="3" t="inlineStr">
        <is>
          <t>Электрика</t>
        </is>
      </c>
      <c r="B246" s="3" t="inlineStr">
        <is>
          <t>Светильники</t>
        </is>
      </c>
      <c r="C246" s="3" t="inlineStr">
        <is>
          <t>Электромонтажные работы</t>
        </is>
      </c>
      <c r="D246" s="3" t="inlineStr">
        <is>
          <t>Светильник УО PSL 36W 3865Lm Jazzway</t>
        </is>
      </c>
      <c r="E246" s="4">
        <f>N246+O246</f>
        <v/>
      </c>
      <c r="F246" s="3" t="inlineStr">
        <is>
          <t>шт.</t>
        </is>
      </c>
      <c r="G246" s="4">
        <f>IFERROR('[1]Лист1'!G246,200)</f>
        <v/>
      </c>
      <c r="H246" s="16" t="n">
        <v>200</v>
      </c>
      <c r="I246" s="16" t="n">
        <v>200</v>
      </c>
      <c r="J246" s="16" t="n">
        <v>200</v>
      </c>
      <c r="K246" s="16" t="n">
        <v>200</v>
      </c>
      <c r="L246" s="16" t="n">
        <v>200</v>
      </c>
      <c r="M246" s="16" t="n">
        <v>200</v>
      </c>
      <c r="N246" s="4">
        <f>Работы!S248</f>
        <v/>
      </c>
      <c r="O246" s="4">
        <f>Работы!R248</f>
        <v/>
      </c>
      <c r="P246" s="16" t="n">
        <v>200</v>
      </c>
      <c r="Q246" s="16" t="n">
        <v>200</v>
      </c>
      <c r="R246" s="16" t="n">
        <v>200</v>
      </c>
      <c r="S246" s="16" t="n">
        <v>200</v>
      </c>
      <c r="T246" s="16" t="n">
        <v>200</v>
      </c>
      <c r="U246" s="16" t="n">
        <v>200</v>
      </c>
      <c r="V246" s="16" t="n">
        <v>200</v>
      </c>
      <c r="W246" s="16" t="n">
        <v>200</v>
      </c>
      <c r="X246" s="16" t="n">
        <v>200</v>
      </c>
      <c r="Y246" s="16" t="n">
        <v>200</v>
      </c>
      <c r="Z246" s="16" t="n">
        <v>200</v>
      </c>
      <c r="AA246" s="16" t="n">
        <v>200</v>
      </c>
    </row>
    <row r="247">
      <c r="A247" s="3" t="inlineStr">
        <is>
          <t>Электрика</t>
        </is>
      </c>
      <c r="B247" s="3" t="inlineStr">
        <is>
          <t>Светильники</t>
        </is>
      </c>
      <c r="C247" s="3" t="inlineStr">
        <is>
          <t>Электромонтажные работы</t>
        </is>
      </c>
      <c r="D247" s="3" t="inlineStr">
        <is>
          <t>Поворотный - светильник точечный белый MR16 GU5,3</t>
        </is>
      </c>
      <c r="E247" s="4">
        <f>N247+O247</f>
        <v/>
      </c>
      <c r="F247" s="3" t="inlineStr">
        <is>
          <t>шт.</t>
        </is>
      </c>
      <c r="G247" s="4">
        <f>IFERROR('[1]Лист1'!G247,200)</f>
        <v/>
      </c>
      <c r="H247" s="16" t="n">
        <v>200</v>
      </c>
      <c r="I247" s="16" t="n">
        <v>200</v>
      </c>
      <c r="J247" s="16" t="n">
        <v>200</v>
      </c>
      <c r="K247" s="16" t="n">
        <v>200</v>
      </c>
      <c r="L247" s="16" t="n">
        <v>200</v>
      </c>
      <c r="M247" s="16" t="n">
        <v>200</v>
      </c>
      <c r="N247" s="4">
        <f>Работы!S249</f>
        <v/>
      </c>
      <c r="O247" s="4">
        <f>Работы!R249</f>
        <v/>
      </c>
      <c r="P247" s="16" t="n">
        <v>200</v>
      </c>
      <c r="Q247" s="16" t="n">
        <v>200</v>
      </c>
      <c r="R247" s="16" t="n">
        <v>200</v>
      </c>
      <c r="S247" s="16" t="n">
        <v>200</v>
      </c>
      <c r="T247" s="16" t="n">
        <v>200</v>
      </c>
      <c r="U247" s="16" t="n">
        <v>200</v>
      </c>
      <c r="V247" s="16" t="n">
        <v>200</v>
      </c>
      <c r="W247" s="16" t="n">
        <v>200</v>
      </c>
      <c r="X247" s="16" t="n">
        <v>200</v>
      </c>
      <c r="Y247" s="16" t="n">
        <v>200</v>
      </c>
      <c r="Z247" s="16" t="n">
        <v>200</v>
      </c>
      <c r="AA247" s="16" t="n">
        <v>200</v>
      </c>
    </row>
    <row r="248">
      <c r="A248" s="3" t="inlineStr">
        <is>
          <t>Электрика</t>
        </is>
      </c>
      <c r="B248" s="3" t="inlineStr">
        <is>
          <t>Светильники</t>
        </is>
      </c>
      <c r="C248" s="3" t="inlineStr">
        <is>
          <t>Электромонтажные работы</t>
        </is>
      </c>
      <c r="D248" s="3" t="inlineStr">
        <is>
          <t>Светильник для высоты подвеса 12-15м. (LED, ip65, 140Вт, 16100Лм, наружн)</t>
        </is>
      </c>
      <c r="E248" s="4">
        <f>N248+O248</f>
        <v/>
      </c>
      <c r="F248" s="3" t="inlineStr">
        <is>
          <t>шт.</t>
        </is>
      </c>
      <c r="G248" s="4">
        <f>IFERROR('[1]Лист1'!G248,200)</f>
        <v/>
      </c>
      <c r="H248" s="16" t="n">
        <v>200</v>
      </c>
      <c r="I248" s="16" t="n">
        <v>200</v>
      </c>
      <c r="J248" s="16" t="n">
        <v>200</v>
      </c>
      <c r="K248" s="16" t="n">
        <v>200</v>
      </c>
      <c r="L248" s="16" t="n">
        <v>200</v>
      </c>
      <c r="M248" s="16" t="n">
        <v>200</v>
      </c>
      <c r="N248" s="4">
        <f>Работы!S250</f>
        <v/>
      </c>
      <c r="O248" s="4">
        <f>Работы!R250</f>
        <v/>
      </c>
      <c r="P248" s="16" t="n">
        <v>200</v>
      </c>
      <c r="Q248" s="16" t="n">
        <v>200</v>
      </c>
      <c r="R248" s="16" t="n">
        <v>200</v>
      </c>
      <c r="S248" s="16" t="n">
        <v>200</v>
      </c>
      <c r="T248" s="16" t="n">
        <v>200</v>
      </c>
      <c r="U248" s="16" t="n">
        <v>200</v>
      </c>
      <c r="V248" s="16" t="n">
        <v>200</v>
      </c>
      <c r="W248" s="16" t="n">
        <v>200</v>
      </c>
      <c r="X248" s="16" t="n">
        <v>200</v>
      </c>
      <c r="Y248" s="16" t="n">
        <v>200</v>
      </c>
      <c r="Z248" s="16" t="n">
        <v>200</v>
      </c>
      <c r="AA248" s="16" t="n">
        <v>200</v>
      </c>
    </row>
    <row r="249">
      <c r="A249" s="3" t="inlineStr">
        <is>
          <t>Электрика</t>
        </is>
      </c>
      <c r="B249" s="3" t="inlineStr">
        <is>
          <t>Светильники</t>
        </is>
      </c>
      <c r="C249" s="3" t="inlineStr">
        <is>
          <t>Электромонтажные работы</t>
        </is>
      </c>
      <c r="D249" s="3" t="inlineStr">
        <is>
          <t>Светильник для высоты подвеса 6 -9 м.(LED, ip65, 70Вт, 8050Лм, наружн)</t>
        </is>
      </c>
      <c r="E249" s="4">
        <f>N249+O249</f>
        <v/>
      </c>
      <c r="F249" s="3" t="inlineStr">
        <is>
          <t>шт.</t>
        </is>
      </c>
      <c r="G249" s="4">
        <f>IFERROR('[1]Лист1'!G249,200)</f>
        <v/>
      </c>
      <c r="H249" s="16" t="n">
        <v>200</v>
      </c>
      <c r="I249" s="16" t="n">
        <v>200</v>
      </c>
      <c r="J249" s="16" t="n">
        <v>200</v>
      </c>
      <c r="K249" s="16" t="n">
        <v>200</v>
      </c>
      <c r="L249" s="16" t="n">
        <v>200</v>
      </c>
      <c r="M249" s="16" t="n">
        <v>200</v>
      </c>
      <c r="N249" s="4">
        <f>Работы!S251</f>
        <v/>
      </c>
      <c r="O249" s="4">
        <f>Работы!R251</f>
        <v/>
      </c>
      <c r="P249" s="16" t="n">
        <v>200</v>
      </c>
      <c r="Q249" s="16" t="n">
        <v>200</v>
      </c>
      <c r="R249" s="16" t="n">
        <v>200</v>
      </c>
      <c r="S249" s="16" t="n">
        <v>200</v>
      </c>
      <c r="T249" s="16" t="n">
        <v>200</v>
      </c>
      <c r="U249" s="16" t="n">
        <v>200</v>
      </c>
      <c r="V249" s="16" t="n">
        <v>200</v>
      </c>
      <c r="W249" s="16" t="n">
        <v>200</v>
      </c>
      <c r="X249" s="16" t="n">
        <v>200</v>
      </c>
      <c r="Y249" s="16" t="n">
        <v>200</v>
      </c>
      <c r="Z249" s="16" t="n">
        <v>200</v>
      </c>
      <c r="AA249" s="16" t="n">
        <v>200</v>
      </c>
    </row>
    <row r="250">
      <c r="A250" s="3" t="inlineStr">
        <is>
          <t>Электрика</t>
        </is>
      </c>
      <c r="B250" s="3" t="inlineStr">
        <is>
          <t>Светильники</t>
        </is>
      </c>
      <c r="C250" s="3" t="inlineStr">
        <is>
          <t>Электромонтажные работы</t>
        </is>
      </c>
      <c r="D250" s="3" t="inlineStr">
        <is>
          <t>Светильник для ДОКов (LED, ip65, 35Вт, 4025Лм, наружн)</t>
        </is>
      </c>
      <c r="E250" s="4">
        <f>N250+O250</f>
        <v/>
      </c>
      <c r="F250" s="3" t="inlineStr">
        <is>
          <t>шт.</t>
        </is>
      </c>
      <c r="G250" s="4">
        <f>IFERROR('[1]Лист1'!G250,200)</f>
        <v/>
      </c>
      <c r="H250" s="16" t="n">
        <v>200</v>
      </c>
      <c r="I250" s="16" t="n">
        <v>200</v>
      </c>
      <c r="J250" s="16" t="n">
        <v>200</v>
      </c>
      <c r="K250" s="16" t="n">
        <v>200</v>
      </c>
      <c r="L250" s="16" t="n">
        <v>200</v>
      </c>
      <c r="M250" s="16" t="n">
        <v>200</v>
      </c>
      <c r="N250" s="4">
        <f>Работы!S252</f>
        <v/>
      </c>
      <c r="O250" s="4">
        <f>Работы!R252</f>
        <v/>
      </c>
      <c r="P250" s="16" t="n">
        <v>200</v>
      </c>
      <c r="Q250" s="16" t="n">
        <v>200</v>
      </c>
      <c r="R250" s="16" t="n">
        <v>200</v>
      </c>
      <c r="S250" s="16" t="n">
        <v>200</v>
      </c>
      <c r="T250" s="16" t="n">
        <v>200</v>
      </c>
      <c r="U250" s="16" t="n">
        <v>200</v>
      </c>
      <c r="V250" s="16" t="n">
        <v>200</v>
      </c>
      <c r="W250" s="16" t="n">
        <v>200</v>
      </c>
      <c r="X250" s="16" t="n">
        <v>200</v>
      </c>
      <c r="Y250" s="16" t="n">
        <v>200</v>
      </c>
      <c r="Z250" s="16" t="n">
        <v>200</v>
      </c>
      <c r="AA250" s="16" t="n">
        <v>200</v>
      </c>
    </row>
    <row r="251">
      <c r="A251" s="3" t="inlineStr">
        <is>
          <t>Электрика</t>
        </is>
      </c>
      <c r="B251" s="3" t="inlineStr">
        <is>
          <t>Светильники</t>
        </is>
      </c>
      <c r="C251" s="3" t="inlineStr">
        <is>
          <t>Электромонтажные работы</t>
        </is>
      </c>
      <c r="D251" s="3" t="inlineStr">
        <is>
          <t>Комплект подсветки LED с креплением -  (длина профиля 1 м.п.)</t>
        </is>
      </c>
      <c r="E251" s="4">
        <f>N251+O251</f>
        <v/>
      </c>
      <c r="F251" s="3" t="inlineStr">
        <is>
          <t>шт.</t>
        </is>
      </c>
      <c r="G251" s="4">
        <f>IFERROR('[1]Лист1'!G251,200)</f>
        <v/>
      </c>
      <c r="H251" s="16" t="n">
        <v>200</v>
      </c>
      <c r="I251" s="16" t="n">
        <v>200</v>
      </c>
      <c r="J251" s="16" t="n">
        <v>200</v>
      </c>
      <c r="K251" s="16" t="n">
        <v>200</v>
      </c>
      <c r="L251" s="16" t="n">
        <v>200</v>
      </c>
      <c r="M251" s="16" t="n">
        <v>200</v>
      </c>
      <c r="N251" s="4">
        <f>Работы!S253</f>
        <v/>
      </c>
      <c r="O251" s="4">
        <f>Работы!R253</f>
        <v/>
      </c>
      <c r="P251" s="16" t="n">
        <v>200</v>
      </c>
      <c r="Q251" s="16" t="n">
        <v>200</v>
      </c>
      <c r="R251" s="16" t="n">
        <v>200</v>
      </c>
      <c r="S251" s="16" t="n">
        <v>200</v>
      </c>
      <c r="T251" s="16" t="n">
        <v>200</v>
      </c>
      <c r="U251" s="16" t="n">
        <v>200</v>
      </c>
      <c r="V251" s="16" t="n">
        <v>200</v>
      </c>
      <c r="W251" s="16" t="n">
        <v>200</v>
      </c>
      <c r="X251" s="16" t="n">
        <v>200</v>
      </c>
      <c r="Y251" s="16" t="n">
        <v>200</v>
      </c>
      <c r="Z251" s="16" t="n">
        <v>200</v>
      </c>
      <c r="AA251" s="16" t="n">
        <v>200</v>
      </c>
    </row>
    <row r="252">
      <c r="A252" s="3" t="inlineStr">
        <is>
          <t>Электрика</t>
        </is>
      </c>
      <c r="B252" s="3" t="inlineStr">
        <is>
          <t>Лампы</t>
        </is>
      </c>
      <c r="C252" s="3" t="inlineStr">
        <is>
          <t>Электромонтажные работы</t>
        </is>
      </c>
      <c r="D252" s="3" t="inlineStr">
        <is>
          <t>Лампа энергосберегающая osram 13 вт</t>
        </is>
      </c>
      <c r="E252" s="4">
        <f>N252+O252</f>
        <v/>
      </c>
      <c r="F252" s="3" t="inlineStr">
        <is>
          <t>шт.</t>
        </is>
      </c>
      <c r="G252" s="4">
        <f>IFERROR('[1]Лист1'!G252,200)</f>
        <v/>
      </c>
      <c r="H252" s="16" t="n">
        <v>200</v>
      </c>
      <c r="I252" s="16" t="n">
        <v>200</v>
      </c>
      <c r="J252" s="16" t="n">
        <v>200</v>
      </c>
      <c r="K252" s="16" t="n">
        <v>200</v>
      </c>
      <c r="L252" s="16" t="n">
        <v>200</v>
      </c>
      <c r="M252" s="16" t="n">
        <v>200</v>
      </c>
      <c r="N252" s="4">
        <f>Работы!S254</f>
        <v/>
      </c>
      <c r="O252" s="4">
        <f>Работы!R254</f>
        <v/>
      </c>
      <c r="P252" s="16" t="n">
        <v>200</v>
      </c>
      <c r="Q252" s="16" t="n">
        <v>200</v>
      </c>
      <c r="R252" s="16" t="n">
        <v>200</v>
      </c>
      <c r="S252" s="16" t="n">
        <v>200</v>
      </c>
      <c r="T252" s="16" t="n">
        <v>200</v>
      </c>
      <c r="U252" s="16" t="n">
        <v>200</v>
      </c>
      <c r="V252" s="16" t="n">
        <v>200</v>
      </c>
      <c r="W252" s="16" t="n">
        <v>200</v>
      </c>
      <c r="X252" s="16" t="n">
        <v>200</v>
      </c>
      <c r="Y252" s="16" t="n">
        <v>200</v>
      </c>
      <c r="Z252" s="16" t="n">
        <v>200</v>
      </c>
      <c r="AA252" s="16" t="n">
        <v>200</v>
      </c>
    </row>
    <row r="253">
      <c r="A253" s="3" t="inlineStr">
        <is>
          <t>Электрика</t>
        </is>
      </c>
      <c r="B253" s="3" t="inlineStr">
        <is>
          <t>Лампы</t>
        </is>
      </c>
      <c r="C253" s="3" t="inlineStr">
        <is>
          <t>Электромонтажные работы</t>
        </is>
      </c>
      <c r="D253" s="3" t="inlineStr">
        <is>
          <t>Лампа ДРЛ Osram 250 вт(Россия)</t>
        </is>
      </c>
      <c r="E253" s="4">
        <f>N253+O253</f>
        <v/>
      </c>
      <c r="F253" s="3" t="inlineStr">
        <is>
          <t>шт.</t>
        </is>
      </c>
      <c r="G253" s="4">
        <f>IFERROR('[1]Лист1'!G253,200)</f>
        <v/>
      </c>
      <c r="H253" s="16" t="n">
        <v>200</v>
      </c>
      <c r="I253" s="16" t="n">
        <v>200</v>
      </c>
      <c r="J253" s="16" t="n">
        <v>200</v>
      </c>
      <c r="K253" s="16" t="n">
        <v>200</v>
      </c>
      <c r="L253" s="16" t="n">
        <v>200</v>
      </c>
      <c r="M253" s="16" t="n">
        <v>200</v>
      </c>
      <c r="N253" s="4">
        <f>Работы!S255</f>
        <v/>
      </c>
      <c r="O253" s="4">
        <f>Работы!R255</f>
        <v/>
      </c>
      <c r="P253" s="16" t="n">
        <v>200</v>
      </c>
      <c r="Q253" s="16" t="n">
        <v>200</v>
      </c>
      <c r="R253" s="16" t="n">
        <v>200</v>
      </c>
      <c r="S253" s="16" t="n">
        <v>200</v>
      </c>
      <c r="T253" s="16" t="n">
        <v>200</v>
      </c>
      <c r="U253" s="16" t="n">
        <v>200</v>
      </c>
      <c r="V253" s="16" t="n">
        <v>200</v>
      </c>
      <c r="W253" s="16" t="n">
        <v>200</v>
      </c>
      <c r="X253" s="16" t="n">
        <v>200</v>
      </c>
      <c r="Y253" s="16" t="n">
        <v>200</v>
      </c>
      <c r="Z253" s="16" t="n">
        <v>200</v>
      </c>
      <c r="AA253" s="16" t="n">
        <v>200</v>
      </c>
    </row>
    <row r="254">
      <c r="A254" s="3" t="inlineStr">
        <is>
          <t>Электрика</t>
        </is>
      </c>
      <c r="B254" s="3" t="inlineStr">
        <is>
          <t>Лампы</t>
        </is>
      </c>
      <c r="C254" s="3" t="inlineStr">
        <is>
          <t>Электромонтажные работы</t>
        </is>
      </c>
      <c r="D254" s="3" t="inlineStr">
        <is>
          <t>Лампа ДРЛ Osram 400 вт(Россия)</t>
        </is>
      </c>
      <c r="E254" s="4">
        <f>N254+O254</f>
        <v/>
      </c>
      <c r="F254" s="3" t="inlineStr">
        <is>
          <t>шт.</t>
        </is>
      </c>
      <c r="G254" s="4">
        <f>IFERROR('[1]Лист1'!G254,200)</f>
        <v/>
      </c>
      <c r="H254" s="16" t="n">
        <v>200</v>
      </c>
      <c r="I254" s="16" t="n">
        <v>200</v>
      </c>
      <c r="J254" s="16" t="n">
        <v>200</v>
      </c>
      <c r="K254" s="16" t="n">
        <v>200</v>
      </c>
      <c r="L254" s="16" t="n">
        <v>200</v>
      </c>
      <c r="M254" s="16" t="n">
        <v>200</v>
      </c>
      <c r="N254" s="4">
        <f>Работы!S256</f>
        <v/>
      </c>
      <c r="O254" s="4">
        <f>Работы!R256</f>
        <v/>
      </c>
      <c r="P254" s="16" t="n">
        <v>200</v>
      </c>
      <c r="Q254" s="16" t="n">
        <v>200</v>
      </c>
      <c r="R254" s="16" t="n">
        <v>200</v>
      </c>
      <c r="S254" s="16" t="n">
        <v>200</v>
      </c>
      <c r="T254" s="16" t="n">
        <v>200</v>
      </c>
      <c r="U254" s="16" t="n">
        <v>200</v>
      </c>
      <c r="V254" s="16" t="n">
        <v>200</v>
      </c>
      <c r="W254" s="16" t="n">
        <v>200</v>
      </c>
      <c r="X254" s="16" t="n">
        <v>200</v>
      </c>
      <c r="Y254" s="16" t="n">
        <v>200</v>
      </c>
      <c r="Z254" s="16" t="n">
        <v>200</v>
      </c>
      <c r="AA254" s="16" t="n">
        <v>200</v>
      </c>
    </row>
    <row r="255">
      <c r="A255" s="3" t="inlineStr">
        <is>
          <t>Электрика</t>
        </is>
      </c>
      <c r="B255" s="3" t="inlineStr">
        <is>
          <t>Лампы</t>
        </is>
      </c>
      <c r="C255" s="3" t="inlineStr">
        <is>
          <t>Электромонтажные работы</t>
        </is>
      </c>
      <c r="D255" s="3" t="inlineStr">
        <is>
          <t>Лампа галогенная КГ-100вт 220в R7s 118мм</t>
        </is>
      </c>
      <c r="E255" s="4">
        <f>N255+O255</f>
        <v/>
      </c>
      <c r="F255" s="3" t="inlineStr">
        <is>
          <t>шт.</t>
        </is>
      </c>
      <c r="G255" s="4">
        <f>IFERROR('[1]Лист1'!G255,200)</f>
        <v/>
      </c>
      <c r="H255" s="16" t="n">
        <v>200</v>
      </c>
      <c r="I255" s="16" t="n">
        <v>200</v>
      </c>
      <c r="J255" s="16" t="n">
        <v>200</v>
      </c>
      <c r="K255" s="16" t="n">
        <v>200</v>
      </c>
      <c r="L255" s="16" t="n">
        <v>200</v>
      </c>
      <c r="M255" s="16" t="n">
        <v>200</v>
      </c>
      <c r="N255" s="4">
        <f>Работы!S257</f>
        <v/>
      </c>
      <c r="O255" s="4">
        <f>Работы!R257</f>
        <v/>
      </c>
      <c r="P255" s="16" t="n">
        <v>200</v>
      </c>
      <c r="Q255" s="16" t="n">
        <v>200</v>
      </c>
      <c r="R255" s="16" t="n">
        <v>200</v>
      </c>
      <c r="S255" s="16" t="n">
        <v>200</v>
      </c>
      <c r="T255" s="16" t="n">
        <v>200</v>
      </c>
      <c r="U255" s="16" t="n">
        <v>200</v>
      </c>
      <c r="V255" s="16" t="n">
        <v>200</v>
      </c>
      <c r="W255" s="16" t="n">
        <v>200</v>
      </c>
      <c r="X255" s="16" t="n">
        <v>200</v>
      </c>
      <c r="Y255" s="16" t="n">
        <v>200</v>
      </c>
      <c r="Z255" s="16" t="n">
        <v>200</v>
      </c>
      <c r="AA255" s="16" t="n">
        <v>200</v>
      </c>
    </row>
    <row r="256">
      <c r="A256" s="3" t="inlineStr">
        <is>
          <t>Электрика</t>
        </is>
      </c>
      <c r="B256" s="3" t="inlineStr">
        <is>
          <t>Лампы</t>
        </is>
      </c>
      <c r="C256" s="3" t="inlineStr">
        <is>
          <t>Электромонтажные работы</t>
        </is>
      </c>
      <c r="D256" s="3" t="inlineStr">
        <is>
          <t>Лампа галогенная КГ-150вт 220в R7S 117мм</t>
        </is>
      </c>
      <c r="E256" s="4">
        <f>N256+O256</f>
        <v/>
      </c>
      <c r="F256" s="3" t="inlineStr">
        <is>
          <t>шт.</t>
        </is>
      </c>
      <c r="G256" s="4">
        <f>IFERROR('[1]Лист1'!G256,200)</f>
        <v/>
      </c>
      <c r="H256" s="16" t="n">
        <v>200</v>
      </c>
      <c r="I256" s="16" t="n">
        <v>200</v>
      </c>
      <c r="J256" s="16" t="n">
        <v>200</v>
      </c>
      <c r="K256" s="16" t="n">
        <v>200</v>
      </c>
      <c r="L256" s="16" t="n">
        <v>200</v>
      </c>
      <c r="M256" s="16" t="n">
        <v>200</v>
      </c>
      <c r="N256" s="4">
        <f>Работы!S258</f>
        <v/>
      </c>
      <c r="O256" s="4">
        <f>Работы!R258</f>
        <v/>
      </c>
      <c r="P256" s="16" t="n">
        <v>200</v>
      </c>
      <c r="Q256" s="16" t="n">
        <v>200</v>
      </c>
      <c r="R256" s="16" t="n">
        <v>200</v>
      </c>
      <c r="S256" s="16" t="n">
        <v>200</v>
      </c>
      <c r="T256" s="16" t="n">
        <v>200</v>
      </c>
      <c r="U256" s="16" t="n">
        <v>200</v>
      </c>
      <c r="V256" s="16" t="n">
        <v>200</v>
      </c>
      <c r="W256" s="16" t="n">
        <v>200</v>
      </c>
      <c r="X256" s="16" t="n">
        <v>200</v>
      </c>
      <c r="Y256" s="16" t="n">
        <v>200</v>
      </c>
      <c r="Z256" s="16" t="n">
        <v>200</v>
      </c>
      <c r="AA256" s="16" t="n">
        <v>200</v>
      </c>
    </row>
    <row r="257">
      <c r="A257" s="3" t="inlineStr">
        <is>
          <t>Электрика</t>
        </is>
      </c>
      <c r="B257" s="3" t="inlineStr">
        <is>
          <t>Лампы</t>
        </is>
      </c>
      <c r="C257" s="3" t="inlineStr">
        <is>
          <t>Электромонтажные работы</t>
        </is>
      </c>
      <c r="D257" s="3" t="inlineStr">
        <is>
          <t>Лампа галогенная КГ-250вт 220в R7s 118мм</t>
        </is>
      </c>
      <c r="E257" s="4">
        <f>N257+O257</f>
        <v/>
      </c>
      <c r="F257" s="3" t="inlineStr">
        <is>
          <t>шт.</t>
        </is>
      </c>
      <c r="G257" s="4">
        <f>IFERROR('[1]Лист1'!G257,200)</f>
        <v/>
      </c>
      <c r="H257" s="16" t="n">
        <v>200</v>
      </c>
      <c r="I257" s="16" t="n">
        <v>200</v>
      </c>
      <c r="J257" s="16" t="n">
        <v>200</v>
      </c>
      <c r="K257" s="16" t="n">
        <v>200</v>
      </c>
      <c r="L257" s="16" t="n">
        <v>200</v>
      </c>
      <c r="M257" s="16" t="n">
        <v>200</v>
      </c>
      <c r="N257" s="4">
        <f>Работы!S259</f>
        <v/>
      </c>
      <c r="O257" s="4">
        <f>Работы!R259</f>
        <v/>
      </c>
      <c r="P257" s="16" t="n">
        <v>200</v>
      </c>
      <c r="Q257" s="16" t="n">
        <v>200</v>
      </c>
      <c r="R257" s="16" t="n">
        <v>200</v>
      </c>
      <c r="S257" s="16" t="n">
        <v>200</v>
      </c>
      <c r="T257" s="16" t="n">
        <v>200</v>
      </c>
      <c r="U257" s="16" t="n">
        <v>200</v>
      </c>
      <c r="V257" s="16" t="n">
        <v>200</v>
      </c>
      <c r="W257" s="16" t="n">
        <v>200</v>
      </c>
      <c r="X257" s="16" t="n">
        <v>200</v>
      </c>
      <c r="Y257" s="16" t="n">
        <v>200</v>
      </c>
      <c r="Z257" s="16" t="n">
        <v>200</v>
      </c>
      <c r="AA257" s="16" t="n">
        <v>200</v>
      </c>
    </row>
    <row r="258">
      <c r="A258" s="3" t="inlineStr">
        <is>
          <t>Электрика</t>
        </is>
      </c>
      <c r="B258" s="3" t="inlineStr">
        <is>
          <t>Лампы</t>
        </is>
      </c>
      <c r="C258" s="3" t="inlineStr">
        <is>
          <t>Электромонтажные работы</t>
        </is>
      </c>
      <c r="D258" s="3" t="inlineStr">
        <is>
          <t>Лампа гал.ECO 80WR7S 20X1 OSRAM Германия или аналог</t>
        </is>
      </c>
      <c r="E258" s="4">
        <f>N258+O258</f>
        <v/>
      </c>
      <c r="F258" s="3" t="inlineStr">
        <is>
          <t>шт.</t>
        </is>
      </c>
      <c r="G258" s="4">
        <f>IFERROR('[1]Лист1'!G258,200)</f>
        <v/>
      </c>
      <c r="H258" s="16" t="n">
        <v>200</v>
      </c>
      <c r="I258" s="16" t="n">
        <v>200</v>
      </c>
      <c r="J258" s="16" t="n">
        <v>200</v>
      </c>
      <c r="K258" s="16" t="n">
        <v>200</v>
      </c>
      <c r="L258" s="16" t="n">
        <v>200</v>
      </c>
      <c r="M258" s="16" t="n">
        <v>200</v>
      </c>
      <c r="N258" s="4">
        <f>Работы!S260</f>
        <v/>
      </c>
      <c r="O258" s="4">
        <f>Работы!R260</f>
        <v/>
      </c>
      <c r="P258" s="16" t="n">
        <v>200</v>
      </c>
      <c r="Q258" s="16" t="n">
        <v>200</v>
      </c>
      <c r="R258" s="16" t="n">
        <v>200</v>
      </c>
      <c r="S258" s="16" t="n">
        <v>200</v>
      </c>
      <c r="T258" s="16" t="n">
        <v>200</v>
      </c>
      <c r="U258" s="16" t="n">
        <v>200</v>
      </c>
      <c r="V258" s="16" t="n">
        <v>200</v>
      </c>
      <c r="W258" s="16" t="n">
        <v>200</v>
      </c>
      <c r="X258" s="16" t="n">
        <v>200</v>
      </c>
      <c r="Y258" s="16" t="n">
        <v>200</v>
      </c>
      <c r="Z258" s="16" t="n">
        <v>200</v>
      </c>
      <c r="AA258" s="16" t="n">
        <v>200</v>
      </c>
    </row>
    <row r="259">
      <c r="A259" s="3" t="inlineStr">
        <is>
          <t>Электрика</t>
        </is>
      </c>
      <c r="B259" s="3" t="inlineStr">
        <is>
          <t>Лампы</t>
        </is>
      </c>
      <c r="C259" s="3" t="inlineStr">
        <is>
          <t>Электромонтажные работы</t>
        </is>
      </c>
      <c r="D259" s="3" t="inlineStr">
        <is>
          <t>Лампа люминесцентная Osram 18вт(Россия)</t>
        </is>
      </c>
      <c r="E259" s="4">
        <f>N259+O259</f>
        <v/>
      </c>
      <c r="F259" s="3" t="inlineStr">
        <is>
          <t>шт.</t>
        </is>
      </c>
      <c r="G259" s="4">
        <f>IFERROR('[1]Лист1'!G259,200)</f>
        <v/>
      </c>
      <c r="H259" s="16" t="n">
        <v>200</v>
      </c>
      <c r="I259" s="16" t="n">
        <v>200</v>
      </c>
      <c r="J259" s="16" t="n">
        <v>200</v>
      </c>
      <c r="K259" s="16" t="n">
        <v>200</v>
      </c>
      <c r="L259" s="16" t="n">
        <v>200</v>
      </c>
      <c r="M259" s="16" t="n">
        <v>200</v>
      </c>
      <c r="N259" s="4">
        <f>Работы!S261</f>
        <v/>
      </c>
      <c r="O259" s="4">
        <f>Работы!R261</f>
        <v/>
      </c>
      <c r="P259" s="16" t="n">
        <v>200</v>
      </c>
      <c r="Q259" s="16" t="n">
        <v>200</v>
      </c>
      <c r="R259" s="16" t="n">
        <v>200</v>
      </c>
      <c r="S259" s="16" t="n">
        <v>200</v>
      </c>
      <c r="T259" s="16" t="n">
        <v>200</v>
      </c>
      <c r="U259" s="16" t="n">
        <v>200</v>
      </c>
      <c r="V259" s="16" t="n">
        <v>200</v>
      </c>
      <c r="W259" s="16" t="n">
        <v>200</v>
      </c>
      <c r="X259" s="16" t="n">
        <v>200</v>
      </c>
      <c r="Y259" s="16" t="n">
        <v>200</v>
      </c>
      <c r="Z259" s="16" t="n">
        <v>200</v>
      </c>
      <c r="AA259" s="16" t="n">
        <v>200</v>
      </c>
    </row>
    <row r="260">
      <c r="A260" s="3" t="inlineStr">
        <is>
          <t>Электрика</t>
        </is>
      </c>
      <c r="B260" s="3" t="inlineStr">
        <is>
          <t>Лампы</t>
        </is>
      </c>
      <c r="C260" s="3" t="inlineStr">
        <is>
          <t>Электромонтажные работы</t>
        </is>
      </c>
      <c r="D260" s="3" t="inlineStr">
        <is>
          <t>Лампа люм. 36 Вт L 36/640 RU Osram(Россия)</t>
        </is>
      </c>
      <c r="E260" s="4">
        <f>N260+O260</f>
        <v/>
      </c>
      <c r="F260" s="3" t="inlineStr">
        <is>
          <t>шт.</t>
        </is>
      </c>
      <c r="G260" s="4">
        <f>IFERROR('[1]Лист1'!G260,200)</f>
        <v/>
      </c>
      <c r="H260" s="16" t="n">
        <v>200</v>
      </c>
      <c r="I260" s="16" t="n">
        <v>200</v>
      </c>
      <c r="J260" s="16" t="n">
        <v>200</v>
      </c>
      <c r="K260" s="16" t="n">
        <v>200</v>
      </c>
      <c r="L260" s="16" t="n">
        <v>200</v>
      </c>
      <c r="M260" s="16" t="n">
        <v>200</v>
      </c>
      <c r="N260" s="4">
        <f>Работы!S262</f>
        <v/>
      </c>
      <c r="O260" s="4">
        <f>Работы!R262</f>
        <v/>
      </c>
      <c r="P260" s="16" t="n">
        <v>200</v>
      </c>
      <c r="Q260" s="16" t="n">
        <v>200</v>
      </c>
      <c r="R260" s="16" t="n">
        <v>200</v>
      </c>
      <c r="S260" s="16" t="n">
        <v>200</v>
      </c>
      <c r="T260" s="16" t="n">
        <v>200</v>
      </c>
      <c r="U260" s="16" t="n">
        <v>200</v>
      </c>
      <c r="V260" s="16" t="n">
        <v>200</v>
      </c>
      <c r="W260" s="16" t="n">
        <v>200</v>
      </c>
      <c r="X260" s="16" t="n">
        <v>200</v>
      </c>
      <c r="Y260" s="16" t="n">
        <v>200</v>
      </c>
      <c r="Z260" s="16" t="n">
        <v>200</v>
      </c>
      <c r="AA260" s="16" t="n">
        <v>200</v>
      </c>
    </row>
    <row r="261">
      <c r="A261" s="3" t="inlineStr">
        <is>
          <t>Электрика</t>
        </is>
      </c>
      <c r="B261" s="3" t="inlineStr">
        <is>
          <t>Лампы</t>
        </is>
      </c>
      <c r="C261" s="3" t="inlineStr">
        <is>
          <t>Электромонтажные работы</t>
        </is>
      </c>
      <c r="D261" s="3" t="inlineStr">
        <is>
          <t>Лампа люм. 58Вт L58W/640 G13 4000К Osram(Россия)</t>
        </is>
      </c>
      <c r="E261" s="4">
        <f>N261+O261</f>
        <v/>
      </c>
      <c r="F261" s="3" t="inlineStr">
        <is>
          <t>шт.</t>
        </is>
      </c>
      <c r="G261" s="4">
        <f>IFERROR('[1]Лист1'!G261,200)</f>
        <v/>
      </c>
      <c r="H261" s="16" t="n">
        <v>200</v>
      </c>
      <c r="I261" s="16" t="n">
        <v>200</v>
      </c>
      <c r="J261" s="16" t="n">
        <v>200</v>
      </c>
      <c r="K261" s="16" t="n">
        <v>200</v>
      </c>
      <c r="L261" s="16" t="n">
        <v>200</v>
      </c>
      <c r="M261" s="16" t="n">
        <v>200</v>
      </c>
      <c r="N261" s="4">
        <f>Работы!S263</f>
        <v/>
      </c>
      <c r="O261" s="4">
        <f>Работы!R263</f>
        <v/>
      </c>
      <c r="P261" s="16" t="n">
        <v>200</v>
      </c>
      <c r="Q261" s="16" t="n">
        <v>200</v>
      </c>
      <c r="R261" s="16" t="n">
        <v>200</v>
      </c>
      <c r="S261" s="16" t="n">
        <v>200</v>
      </c>
      <c r="T261" s="16" t="n">
        <v>200</v>
      </c>
      <c r="U261" s="16" t="n">
        <v>200</v>
      </c>
      <c r="V261" s="16" t="n">
        <v>200</v>
      </c>
      <c r="W261" s="16" t="n">
        <v>200</v>
      </c>
      <c r="X261" s="16" t="n">
        <v>200</v>
      </c>
      <c r="Y261" s="16" t="n">
        <v>200</v>
      </c>
      <c r="Z261" s="16" t="n">
        <v>200</v>
      </c>
      <c r="AA261" s="16" t="n">
        <v>200</v>
      </c>
    </row>
    <row r="262">
      <c r="A262" s="3" t="inlineStr">
        <is>
          <t>Электрика</t>
        </is>
      </c>
      <c r="B262" s="3" t="inlineStr">
        <is>
          <t>Лампы</t>
        </is>
      </c>
      <c r="C262" s="3" t="inlineStr">
        <is>
          <t>Электромонтажные работы</t>
        </is>
      </c>
      <c r="D262" s="3" t="inlineStr">
        <is>
          <t>Лампа LED 3960\3560lm 1500мм</t>
        </is>
      </c>
      <c r="E262" s="4">
        <f>N262+O262</f>
        <v/>
      </c>
      <c r="F262" s="3" t="inlineStr">
        <is>
          <t>шт.</t>
        </is>
      </c>
      <c r="G262" s="4">
        <f>IFERROR('[1]Лист1'!G262,200)</f>
        <v/>
      </c>
      <c r="H262" s="16" t="n">
        <v>200</v>
      </c>
      <c r="I262" s="16" t="n">
        <v>200</v>
      </c>
      <c r="J262" s="16" t="n">
        <v>200</v>
      </c>
      <c r="K262" s="16" t="n">
        <v>200</v>
      </c>
      <c r="L262" s="16" t="n">
        <v>200</v>
      </c>
      <c r="M262" s="16" t="n">
        <v>200</v>
      </c>
      <c r="N262" s="4">
        <f>Работы!S264</f>
        <v/>
      </c>
      <c r="O262" s="4">
        <f>Работы!R264</f>
        <v/>
      </c>
      <c r="P262" s="16" t="n">
        <v>200</v>
      </c>
      <c r="Q262" s="16" t="n">
        <v>200</v>
      </c>
      <c r="R262" s="16" t="n">
        <v>200</v>
      </c>
      <c r="S262" s="16" t="n">
        <v>200</v>
      </c>
      <c r="T262" s="16" t="n">
        <v>200</v>
      </c>
      <c r="U262" s="16" t="n">
        <v>200</v>
      </c>
      <c r="V262" s="16" t="n">
        <v>200</v>
      </c>
      <c r="W262" s="16" t="n">
        <v>200</v>
      </c>
      <c r="X262" s="16" t="n">
        <v>200</v>
      </c>
      <c r="Y262" s="16" t="n">
        <v>200</v>
      </c>
      <c r="Z262" s="16" t="n">
        <v>200</v>
      </c>
      <c r="AA262" s="16" t="n">
        <v>200</v>
      </c>
    </row>
    <row r="263">
      <c r="A263" s="3" t="inlineStr">
        <is>
          <t>Электрика</t>
        </is>
      </c>
      <c r="B263" s="3" t="inlineStr">
        <is>
          <t>Лампы</t>
        </is>
      </c>
      <c r="C263" s="3" t="inlineStr">
        <is>
          <t>Электромонтажные работы</t>
        </is>
      </c>
      <c r="D263" s="3" t="inlineStr">
        <is>
          <t>Лампа люминисцентная 900мм 30W T8 G13 (765)</t>
        </is>
      </c>
      <c r="E263" s="4">
        <f>N263+O263</f>
        <v/>
      </c>
      <c r="F263" s="3" t="inlineStr">
        <is>
          <t>шт.</t>
        </is>
      </c>
      <c r="G263" s="4">
        <f>IFERROR('[1]Лист1'!G263,200)</f>
        <v/>
      </c>
      <c r="H263" s="16" t="n">
        <v>200</v>
      </c>
      <c r="I263" s="16" t="n">
        <v>200</v>
      </c>
      <c r="J263" s="16" t="n">
        <v>200</v>
      </c>
      <c r="K263" s="16" t="n">
        <v>200</v>
      </c>
      <c r="L263" s="16" t="n">
        <v>200</v>
      </c>
      <c r="M263" s="16" t="n">
        <v>200</v>
      </c>
      <c r="N263" s="4">
        <f>Работы!S265</f>
        <v/>
      </c>
      <c r="O263" s="4">
        <f>Работы!R265</f>
        <v/>
      </c>
      <c r="P263" s="16" t="n">
        <v>200</v>
      </c>
      <c r="Q263" s="16" t="n">
        <v>200</v>
      </c>
      <c r="R263" s="16" t="n">
        <v>200</v>
      </c>
      <c r="S263" s="16" t="n">
        <v>200</v>
      </c>
      <c r="T263" s="16" t="n">
        <v>200</v>
      </c>
      <c r="U263" s="16" t="n">
        <v>200</v>
      </c>
      <c r="V263" s="16" t="n">
        <v>200</v>
      </c>
      <c r="W263" s="16" t="n">
        <v>200</v>
      </c>
      <c r="X263" s="16" t="n">
        <v>200</v>
      </c>
      <c r="Y263" s="16" t="n">
        <v>200</v>
      </c>
      <c r="Z263" s="16" t="n">
        <v>200</v>
      </c>
      <c r="AA263" s="16" t="n">
        <v>200</v>
      </c>
    </row>
    <row r="264">
      <c r="A264" s="3" t="inlineStr">
        <is>
          <t>Электрика</t>
        </is>
      </c>
      <c r="B264" s="3" t="inlineStr">
        <is>
          <t>Лампы</t>
        </is>
      </c>
      <c r="C264" s="3" t="inlineStr">
        <is>
          <t>Электромонтажные работы</t>
        </is>
      </c>
      <c r="D264" s="3" t="inlineStr">
        <is>
          <t>Лампа люминисцентная 900мм 21W Т5 G5 (765) Navigator</t>
        </is>
      </c>
      <c r="E264" s="4">
        <f>N264+O264</f>
        <v/>
      </c>
      <c r="F264" s="3" t="inlineStr">
        <is>
          <t>шт.</t>
        </is>
      </c>
      <c r="G264" s="4">
        <f>IFERROR('[1]Лист1'!G264,200)</f>
        <v/>
      </c>
      <c r="H264" s="16" t="n">
        <v>200</v>
      </c>
      <c r="I264" s="16" t="n">
        <v>200</v>
      </c>
      <c r="J264" s="16" t="n">
        <v>200</v>
      </c>
      <c r="K264" s="16" t="n">
        <v>200</v>
      </c>
      <c r="L264" s="16" t="n">
        <v>200</v>
      </c>
      <c r="M264" s="16" t="n">
        <v>200</v>
      </c>
      <c r="N264" s="4">
        <f>Работы!S266</f>
        <v/>
      </c>
      <c r="O264" s="4">
        <f>Работы!R266</f>
        <v/>
      </c>
      <c r="P264" s="16" t="n">
        <v>200</v>
      </c>
      <c r="Q264" s="16" t="n">
        <v>200</v>
      </c>
      <c r="R264" s="16" t="n">
        <v>200</v>
      </c>
      <c r="S264" s="16" t="n">
        <v>200</v>
      </c>
      <c r="T264" s="16" t="n">
        <v>200</v>
      </c>
      <c r="U264" s="16" t="n">
        <v>200</v>
      </c>
      <c r="V264" s="16" t="n">
        <v>200</v>
      </c>
      <c r="W264" s="16" t="n">
        <v>200</v>
      </c>
      <c r="X264" s="16" t="n">
        <v>200</v>
      </c>
      <c r="Y264" s="16" t="n">
        <v>200</v>
      </c>
      <c r="Z264" s="16" t="n">
        <v>200</v>
      </c>
      <c r="AA264" s="16" t="n">
        <v>200</v>
      </c>
    </row>
    <row r="265">
      <c r="A265" s="3" t="inlineStr">
        <is>
          <t>Электрика</t>
        </is>
      </c>
      <c r="B265" s="3" t="inlineStr">
        <is>
          <t>Лампы</t>
        </is>
      </c>
      <c r="C265" s="3" t="inlineStr">
        <is>
          <t>Электромонтажные работы</t>
        </is>
      </c>
      <c r="D265" s="3" t="inlineStr">
        <is>
          <t>Лампа люминисцентная 600мм 18W Т8 G13 (лампа18/840)</t>
        </is>
      </c>
      <c r="E265" s="4">
        <f>N265+O265</f>
        <v/>
      </c>
      <c r="F265" s="3" t="inlineStr">
        <is>
          <t>шт.</t>
        </is>
      </c>
      <c r="G265" s="4">
        <f>IFERROR('[1]Лист1'!G265,200)</f>
        <v/>
      </c>
      <c r="H265" s="16" t="n">
        <v>200</v>
      </c>
      <c r="I265" s="16" t="n">
        <v>200</v>
      </c>
      <c r="J265" s="16" t="n">
        <v>200</v>
      </c>
      <c r="K265" s="16" t="n">
        <v>200</v>
      </c>
      <c r="L265" s="16" t="n">
        <v>200</v>
      </c>
      <c r="M265" s="16" t="n">
        <v>200</v>
      </c>
      <c r="N265" s="4">
        <f>Работы!S267</f>
        <v/>
      </c>
      <c r="O265" s="4">
        <f>Работы!R267</f>
        <v/>
      </c>
      <c r="P265" s="16" t="n">
        <v>200</v>
      </c>
      <c r="Q265" s="16" t="n">
        <v>200</v>
      </c>
      <c r="R265" s="16" t="n">
        <v>200</v>
      </c>
      <c r="S265" s="16" t="n">
        <v>200</v>
      </c>
      <c r="T265" s="16" t="n">
        <v>200</v>
      </c>
      <c r="U265" s="16" t="n">
        <v>200</v>
      </c>
      <c r="V265" s="16" t="n">
        <v>200</v>
      </c>
      <c r="W265" s="16" t="n">
        <v>200</v>
      </c>
      <c r="X265" s="16" t="n">
        <v>200</v>
      </c>
      <c r="Y265" s="16" t="n">
        <v>200</v>
      </c>
      <c r="Z265" s="16" t="n">
        <v>200</v>
      </c>
      <c r="AA265" s="16" t="n">
        <v>200</v>
      </c>
    </row>
    <row r="266">
      <c r="A266" s="3" t="inlineStr">
        <is>
          <t>Электрика</t>
        </is>
      </c>
      <c r="B266" s="3" t="inlineStr">
        <is>
          <t>Лампы</t>
        </is>
      </c>
      <c r="C266" s="3" t="inlineStr">
        <is>
          <t>Электромонтажные работы</t>
        </is>
      </c>
      <c r="D266" s="3" t="inlineStr">
        <is>
          <t>Светодиодная лампа Led Favourite t5 g5 18w 165-265v 1149mm glass (5800-6500 К)</t>
        </is>
      </c>
      <c r="E266" s="4">
        <f>N266+O266</f>
        <v/>
      </c>
      <c r="F266" s="3" t="inlineStr">
        <is>
          <t>шт.</t>
        </is>
      </c>
      <c r="G266" s="4">
        <f>IFERROR('[1]Лист1'!G266,200)</f>
        <v/>
      </c>
      <c r="H266" s="16" t="n">
        <v>200</v>
      </c>
      <c r="I266" s="16" t="n">
        <v>200</v>
      </c>
      <c r="J266" s="16" t="n">
        <v>200</v>
      </c>
      <c r="K266" s="16" t="n">
        <v>200</v>
      </c>
      <c r="L266" s="16" t="n">
        <v>200</v>
      </c>
      <c r="M266" s="16" t="n">
        <v>200</v>
      </c>
      <c r="N266" s="4">
        <f>Работы!S268</f>
        <v/>
      </c>
      <c r="O266" s="4">
        <f>Работы!R268</f>
        <v/>
      </c>
      <c r="P266" s="16" t="n">
        <v>200</v>
      </c>
      <c r="Q266" s="16" t="n">
        <v>200</v>
      </c>
      <c r="R266" s="16" t="n">
        <v>200</v>
      </c>
      <c r="S266" s="16" t="n">
        <v>200</v>
      </c>
      <c r="T266" s="16" t="n">
        <v>200</v>
      </c>
      <c r="U266" s="16" t="n">
        <v>200</v>
      </c>
      <c r="V266" s="16" t="n">
        <v>200</v>
      </c>
      <c r="W266" s="16" t="n">
        <v>200</v>
      </c>
      <c r="X266" s="16" t="n">
        <v>200</v>
      </c>
      <c r="Y266" s="16" t="n">
        <v>200</v>
      </c>
      <c r="Z266" s="16" t="n">
        <v>200</v>
      </c>
      <c r="AA266" s="16" t="n">
        <v>200</v>
      </c>
    </row>
    <row r="267">
      <c r="A267" s="3" t="inlineStr">
        <is>
          <t>Электрика</t>
        </is>
      </c>
      <c r="B267" s="3" t="inlineStr">
        <is>
          <t>Лампы</t>
        </is>
      </c>
      <c r="C267" s="3" t="inlineStr">
        <is>
          <t>Электромонтажные работы</t>
        </is>
      </c>
      <c r="D267" s="3" t="inlineStr">
        <is>
          <t>Лампа люминесцентная HO 54Вт/840 54Вт T5 4000К G5 OSRAM 4099854128677</t>
        </is>
      </c>
      <c r="E267" s="4">
        <f>N267+O267</f>
        <v/>
      </c>
      <c r="F267" s="3" t="inlineStr">
        <is>
          <t>шт.</t>
        </is>
      </c>
      <c r="G267" s="4">
        <f>IFERROR('[1]Лист1'!G267,200)</f>
        <v/>
      </c>
      <c r="H267" s="16" t="n">
        <v>200</v>
      </c>
      <c r="I267" s="16" t="n">
        <v>200</v>
      </c>
      <c r="J267" s="16" t="n">
        <v>200</v>
      </c>
      <c r="K267" s="16" t="n">
        <v>200</v>
      </c>
      <c r="L267" s="16" t="n">
        <v>200</v>
      </c>
      <c r="M267" s="16" t="n">
        <v>200</v>
      </c>
      <c r="N267" s="4">
        <f>Работы!S269</f>
        <v/>
      </c>
      <c r="O267" s="4">
        <f>Работы!R269</f>
        <v/>
      </c>
      <c r="P267" s="16" t="n">
        <v>200</v>
      </c>
      <c r="Q267" s="16" t="n">
        <v>200</v>
      </c>
      <c r="R267" s="16" t="n">
        <v>200</v>
      </c>
      <c r="S267" s="16" t="n">
        <v>200</v>
      </c>
      <c r="T267" s="16" t="n">
        <v>200</v>
      </c>
      <c r="U267" s="16" t="n">
        <v>200</v>
      </c>
      <c r="V267" s="16" t="n">
        <v>200</v>
      </c>
      <c r="W267" s="16" t="n">
        <v>200</v>
      </c>
      <c r="X267" s="16" t="n">
        <v>200</v>
      </c>
      <c r="Y267" s="16" t="n">
        <v>200</v>
      </c>
      <c r="Z267" s="16" t="n">
        <v>200</v>
      </c>
      <c r="AA267" s="16" t="n">
        <v>200</v>
      </c>
    </row>
    <row r="268">
      <c r="A268" s="3" t="inlineStr">
        <is>
          <t>Электрика</t>
        </is>
      </c>
      <c r="B268" s="3" t="inlineStr">
        <is>
          <t>Лампы</t>
        </is>
      </c>
      <c r="C268" s="3" t="inlineStr">
        <is>
          <t>Электромонтажные работы</t>
        </is>
      </c>
      <c r="D268" s="3" t="inlineStr">
        <is>
          <t>Аппарат пускорегулирующий электронный (ЭПРА) 258 для линейных ЛЛ T8</t>
        </is>
      </c>
      <c r="E268" s="4">
        <f>N268+O268</f>
        <v/>
      </c>
      <c r="F268" s="3" t="inlineStr">
        <is>
          <t>шт.</t>
        </is>
      </c>
      <c r="G268" s="4">
        <f>IFERROR('[1]Лист1'!G268,200)</f>
        <v/>
      </c>
      <c r="H268" s="16" t="n">
        <v>200</v>
      </c>
      <c r="I268" s="16" t="n">
        <v>200</v>
      </c>
      <c r="J268" s="16" t="n">
        <v>200</v>
      </c>
      <c r="K268" s="16" t="n">
        <v>200</v>
      </c>
      <c r="L268" s="16" t="n">
        <v>200</v>
      </c>
      <c r="M268" s="16" t="n">
        <v>200</v>
      </c>
      <c r="N268" s="4">
        <f>Работы!S270</f>
        <v/>
      </c>
      <c r="O268" s="4">
        <f>Работы!R270</f>
        <v/>
      </c>
      <c r="P268" s="16" t="n">
        <v>200</v>
      </c>
      <c r="Q268" s="16" t="n">
        <v>200</v>
      </c>
      <c r="R268" s="16" t="n">
        <v>200</v>
      </c>
      <c r="S268" s="16" t="n">
        <v>200</v>
      </c>
      <c r="T268" s="16" t="n">
        <v>200</v>
      </c>
      <c r="U268" s="16" t="n">
        <v>200</v>
      </c>
      <c r="V268" s="16" t="n">
        <v>200</v>
      </c>
      <c r="W268" s="16" t="n">
        <v>200</v>
      </c>
      <c r="X268" s="16" t="n">
        <v>200</v>
      </c>
      <c r="Y268" s="16" t="n">
        <v>200</v>
      </c>
      <c r="Z268" s="16" t="n">
        <v>200</v>
      </c>
      <c r="AA268" s="16" t="n">
        <v>200</v>
      </c>
    </row>
    <row r="269">
      <c r="A269" s="3" t="inlineStr">
        <is>
          <t>Электрика</t>
        </is>
      </c>
      <c r="B269" s="3" t="inlineStr">
        <is>
          <t>Лампы</t>
        </is>
      </c>
      <c r="C269" s="3" t="inlineStr">
        <is>
          <t>Электромонтажные работы</t>
        </is>
      </c>
      <c r="D269" s="3" t="inlineStr">
        <is>
          <t>Светильник светодиодный 93 563 NLP-MS4-25-4K 25Вт 4000К 3050лм 176–264В IP20 панель универс. микропризма NAVIGATOR 93563</t>
        </is>
      </c>
      <c r="E269" s="4">
        <f>N269+O269</f>
        <v/>
      </c>
      <c r="F269" s="3" t="inlineStr">
        <is>
          <t>шт.</t>
        </is>
      </c>
      <c r="G269" s="4">
        <f>IFERROR('[1]Лист1'!G269,200)</f>
        <v/>
      </c>
      <c r="H269" s="16" t="n">
        <v>200</v>
      </c>
      <c r="I269" s="16" t="n">
        <v>200</v>
      </c>
      <c r="J269" s="16" t="n">
        <v>200</v>
      </c>
      <c r="K269" s="16" t="n">
        <v>200</v>
      </c>
      <c r="L269" s="16" t="n">
        <v>200</v>
      </c>
      <c r="M269" s="16" t="n">
        <v>200</v>
      </c>
      <c r="N269" s="4">
        <f>Работы!S271</f>
        <v/>
      </c>
      <c r="O269" s="4">
        <f>Работы!R271</f>
        <v/>
      </c>
      <c r="P269" s="16" t="n">
        <v>200</v>
      </c>
      <c r="Q269" s="16" t="n">
        <v>200</v>
      </c>
      <c r="R269" s="16" t="n">
        <v>200</v>
      </c>
      <c r="S269" s="16" t="n">
        <v>200</v>
      </c>
      <c r="T269" s="16" t="n">
        <v>200</v>
      </c>
      <c r="U269" s="16" t="n">
        <v>200</v>
      </c>
      <c r="V269" s="16" t="n">
        <v>200</v>
      </c>
      <c r="W269" s="16" t="n">
        <v>200</v>
      </c>
      <c r="X269" s="16" t="n">
        <v>200</v>
      </c>
      <c r="Y269" s="16" t="n">
        <v>200</v>
      </c>
      <c r="Z269" s="16" t="n">
        <v>200</v>
      </c>
      <c r="AA269" s="16" t="n">
        <v>200</v>
      </c>
    </row>
    <row r="270">
      <c r="A270" s="3" t="inlineStr">
        <is>
          <t>Электрика</t>
        </is>
      </c>
      <c r="B270" s="3" t="inlineStr">
        <is>
          <t>Лампы</t>
        </is>
      </c>
      <c r="C270" s="3" t="inlineStr">
        <is>
          <t>Электромонтажные работы</t>
        </is>
      </c>
      <c r="D270" s="3" t="inlineStr">
        <is>
          <t>Лампа люминисцентная 450мм 15W T8 G13 (865)</t>
        </is>
      </c>
      <c r="E270" s="4">
        <f>N270+O270</f>
        <v/>
      </c>
      <c r="F270" s="3" t="inlineStr">
        <is>
          <t>шт.</t>
        </is>
      </c>
      <c r="G270" s="4">
        <f>IFERROR('[1]Лист1'!G270,200)</f>
        <v/>
      </c>
      <c r="H270" s="16" t="n">
        <v>200</v>
      </c>
      <c r="I270" s="16" t="n">
        <v>200</v>
      </c>
      <c r="J270" s="16" t="n">
        <v>200</v>
      </c>
      <c r="K270" s="16" t="n">
        <v>200</v>
      </c>
      <c r="L270" s="16" t="n">
        <v>200</v>
      </c>
      <c r="M270" s="16" t="n">
        <v>200</v>
      </c>
      <c r="N270" s="4">
        <f>Работы!S272</f>
        <v/>
      </c>
      <c r="O270" s="4">
        <f>Работы!R272</f>
        <v/>
      </c>
      <c r="P270" s="16" t="n">
        <v>200</v>
      </c>
      <c r="Q270" s="16" t="n">
        <v>200</v>
      </c>
      <c r="R270" s="16" t="n">
        <v>200</v>
      </c>
      <c r="S270" s="16" t="n">
        <v>200</v>
      </c>
      <c r="T270" s="16" t="n">
        <v>200</v>
      </c>
      <c r="U270" s="16" t="n">
        <v>200</v>
      </c>
      <c r="V270" s="16" t="n">
        <v>200</v>
      </c>
      <c r="W270" s="16" t="n">
        <v>200</v>
      </c>
      <c r="X270" s="16" t="n">
        <v>200</v>
      </c>
      <c r="Y270" s="16" t="n">
        <v>200</v>
      </c>
      <c r="Z270" s="16" t="n">
        <v>200</v>
      </c>
      <c r="AA270" s="16" t="n">
        <v>200</v>
      </c>
    </row>
    <row r="271">
      <c r="A271" s="3" t="inlineStr">
        <is>
          <t>Электрика</t>
        </is>
      </c>
      <c r="B271" s="3" t="inlineStr">
        <is>
          <t>Лампы</t>
        </is>
      </c>
      <c r="C271" s="3" t="inlineStr">
        <is>
          <t>Электромонтажные работы</t>
        </is>
      </c>
      <c r="D271" s="3" t="inlineStr">
        <is>
          <t>Лампа энергосберег. 15 Вт Е27</t>
        </is>
      </c>
      <c r="E271" s="4">
        <f>N271+O271</f>
        <v/>
      </c>
      <c r="F271" s="3" t="inlineStr">
        <is>
          <t>шт.</t>
        </is>
      </c>
      <c r="G271" s="4">
        <f>IFERROR('[1]Лист1'!G271,200)</f>
        <v/>
      </c>
      <c r="H271" s="16" t="n">
        <v>200</v>
      </c>
      <c r="I271" s="16" t="n">
        <v>200</v>
      </c>
      <c r="J271" s="16" t="n">
        <v>200</v>
      </c>
      <c r="K271" s="16" t="n">
        <v>200</v>
      </c>
      <c r="L271" s="16" t="n">
        <v>200</v>
      </c>
      <c r="M271" s="16" t="n">
        <v>200</v>
      </c>
      <c r="N271" s="4">
        <f>Работы!S273</f>
        <v/>
      </c>
      <c r="O271" s="4">
        <f>Работы!R273</f>
        <v/>
      </c>
      <c r="P271" s="16" t="n">
        <v>200</v>
      </c>
      <c r="Q271" s="16" t="n">
        <v>200</v>
      </c>
      <c r="R271" s="16" t="n">
        <v>200</v>
      </c>
      <c r="S271" s="16" t="n">
        <v>200</v>
      </c>
      <c r="T271" s="16" t="n">
        <v>200</v>
      </c>
      <c r="U271" s="16" t="n">
        <v>200</v>
      </c>
      <c r="V271" s="16" t="n">
        <v>200</v>
      </c>
      <c r="W271" s="16" t="n">
        <v>200</v>
      </c>
      <c r="X271" s="16" t="n">
        <v>200</v>
      </c>
      <c r="Y271" s="16" t="n">
        <v>200</v>
      </c>
      <c r="Z271" s="16" t="n">
        <v>200</v>
      </c>
      <c r="AA271" s="16" t="n">
        <v>200</v>
      </c>
    </row>
    <row r="272">
      <c r="A272" s="3" t="inlineStr">
        <is>
          <t>Электрика</t>
        </is>
      </c>
      <c r="B272" s="3" t="inlineStr">
        <is>
          <t>Лампы</t>
        </is>
      </c>
      <c r="C272" s="3" t="inlineStr">
        <is>
          <t>Электромонтажные работы</t>
        </is>
      </c>
      <c r="D272" s="3" t="inlineStr">
        <is>
          <t>Лампа накаливания 60 Вт</t>
        </is>
      </c>
      <c r="E272" s="4">
        <f>N272+O272</f>
        <v/>
      </c>
      <c r="F272" s="3" t="inlineStr">
        <is>
          <t>шт.</t>
        </is>
      </c>
      <c r="G272" s="4">
        <f>IFERROR('[1]Лист1'!G272,200)</f>
        <v/>
      </c>
      <c r="H272" s="16" t="n">
        <v>200</v>
      </c>
      <c r="I272" s="16" t="n">
        <v>200</v>
      </c>
      <c r="J272" s="16" t="n">
        <v>200</v>
      </c>
      <c r="K272" s="16" t="n">
        <v>200</v>
      </c>
      <c r="L272" s="16" t="n">
        <v>200</v>
      </c>
      <c r="M272" s="16" t="n">
        <v>200</v>
      </c>
      <c r="N272" s="4">
        <f>Работы!S274</f>
        <v/>
      </c>
      <c r="O272" s="4">
        <f>Работы!R274</f>
        <v/>
      </c>
      <c r="P272" s="16" t="n">
        <v>200</v>
      </c>
      <c r="Q272" s="16" t="n">
        <v>200</v>
      </c>
      <c r="R272" s="16" t="n">
        <v>200</v>
      </c>
      <c r="S272" s="16" t="n">
        <v>200</v>
      </c>
      <c r="T272" s="16" t="n">
        <v>200</v>
      </c>
      <c r="U272" s="16" t="n">
        <v>200</v>
      </c>
      <c r="V272" s="16" t="n">
        <v>200</v>
      </c>
      <c r="W272" s="16" t="n">
        <v>200</v>
      </c>
      <c r="X272" s="16" t="n">
        <v>200</v>
      </c>
      <c r="Y272" s="16" t="n">
        <v>200</v>
      </c>
      <c r="Z272" s="16" t="n">
        <v>200</v>
      </c>
      <c r="AA272" s="16" t="n">
        <v>200</v>
      </c>
    </row>
    <row r="273">
      <c r="A273" s="3" t="inlineStr">
        <is>
          <t>Электрика</t>
        </is>
      </c>
      <c r="B273" s="3" t="inlineStr">
        <is>
          <t>Лампы</t>
        </is>
      </c>
      <c r="C273" s="3" t="inlineStr">
        <is>
          <t>Электромонтажные работы</t>
        </is>
      </c>
      <c r="D273" s="3" t="inlineStr">
        <is>
          <t>Лампа светодиодная T8 G13 1200мм, 18 Вт</t>
        </is>
      </c>
      <c r="E273" s="4">
        <f>N273+O273</f>
        <v/>
      </c>
      <c r="F273" s="3" t="inlineStr">
        <is>
          <t>шт.</t>
        </is>
      </c>
      <c r="G273" s="4">
        <f>IFERROR('[1]Лист1'!G273,200)</f>
        <v/>
      </c>
      <c r="H273" s="16" t="n">
        <v>200</v>
      </c>
      <c r="I273" s="16" t="n">
        <v>200</v>
      </c>
      <c r="J273" s="16" t="n">
        <v>200</v>
      </c>
      <c r="K273" s="16" t="n">
        <v>200</v>
      </c>
      <c r="L273" s="16" t="n">
        <v>200</v>
      </c>
      <c r="M273" s="16" t="n">
        <v>200</v>
      </c>
      <c r="N273" s="4">
        <f>Работы!S275</f>
        <v/>
      </c>
      <c r="O273" s="4">
        <f>Работы!R275</f>
        <v/>
      </c>
      <c r="P273" s="16" t="n">
        <v>200</v>
      </c>
      <c r="Q273" s="16" t="n">
        <v>200</v>
      </c>
      <c r="R273" s="16" t="n">
        <v>200</v>
      </c>
      <c r="S273" s="16" t="n">
        <v>200</v>
      </c>
      <c r="T273" s="16" t="n">
        <v>200</v>
      </c>
      <c r="U273" s="16" t="n">
        <v>200</v>
      </c>
      <c r="V273" s="16" t="n">
        <v>200</v>
      </c>
      <c r="W273" s="16" t="n">
        <v>200</v>
      </c>
      <c r="X273" s="16" t="n">
        <v>200</v>
      </c>
      <c r="Y273" s="16" t="n">
        <v>200</v>
      </c>
      <c r="Z273" s="16" t="n">
        <v>200</v>
      </c>
      <c r="AA273" s="16" t="n">
        <v>200</v>
      </c>
    </row>
    <row r="274">
      <c r="A274" s="3" t="inlineStr">
        <is>
          <t>Электрика</t>
        </is>
      </c>
      <c r="B274" s="3" t="inlineStr">
        <is>
          <t>Лампы</t>
        </is>
      </c>
      <c r="C274" s="3" t="inlineStr">
        <is>
          <t>Электромонтажные работы</t>
        </is>
      </c>
      <c r="D274" s="3" t="inlineStr">
        <is>
          <t>Лампа светодиодная E27, 7-10 Вт</t>
        </is>
      </c>
      <c r="E274" s="4">
        <f>N274+O274</f>
        <v/>
      </c>
      <c r="F274" s="3" t="inlineStr">
        <is>
          <t>шт.</t>
        </is>
      </c>
      <c r="G274" s="4">
        <f>IFERROR('[1]Лист1'!G274,200)</f>
        <v/>
      </c>
      <c r="H274" s="16" t="n">
        <v>200</v>
      </c>
      <c r="I274" s="16" t="n">
        <v>200</v>
      </c>
      <c r="J274" s="16" t="n">
        <v>200</v>
      </c>
      <c r="K274" s="16" t="n">
        <v>200</v>
      </c>
      <c r="L274" s="16" t="n">
        <v>200</v>
      </c>
      <c r="M274" s="16" t="n">
        <v>200</v>
      </c>
      <c r="N274" s="4">
        <f>Работы!S276</f>
        <v/>
      </c>
      <c r="O274" s="4">
        <f>Работы!R276</f>
        <v/>
      </c>
      <c r="P274" s="16" t="n">
        <v>200</v>
      </c>
      <c r="Q274" s="16" t="n">
        <v>200</v>
      </c>
      <c r="R274" s="16" t="n">
        <v>200</v>
      </c>
      <c r="S274" s="16" t="n">
        <v>200</v>
      </c>
      <c r="T274" s="16" t="n">
        <v>200</v>
      </c>
      <c r="U274" s="16" t="n">
        <v>200</v>
      </c>
      <c r="V274" s="16" t="n">
        <v>200</v>
      </c>
      <c r="W274" s="16" t="n">
        <v>200</v>
      </c>
      <c r="X274" s="16" t="n">
        <v>200</v>
      </c>
      <c r="Y274" s="16" t="n">
        <v>200</v>
      </c>
      <c r="Z274" s="16" t="n">
        <v>200</v>
      </c>
      <c r="AA274" s="16" t="n">
        <v>200</v>
      </c>
    </row>
    <row r="275">
      <c r="A275" s="3" t="inlineStr">
        <is>
          <t>Электрика</t>
        </is>
      </c>
      <c r="B275" s="3" t="inlineStr">
        <is>
          <t>Коммутационное оборудование</t>
        </is>
      </c>
      <c r="C275" s="3" t="inlineStr">
        <is>
          <t>Электромонтажные работы</t>
        </is>
      </c>
      <c r="D275" s="3" t="inlineStr">
        <is>
          <t>Блок распределительный 4P 125A BRTC125A(АВВ) или аналог</t>
        </is>
      </c>
      <c r="E275" s="4">
        <f>N275+O275</f>
        <v/>
      </c>
      <c r="F275" s="3" t="inlineStr">
        <is>
          <t>шт.</t>
        </is>
      </c>
      <c r="G275" s="4">
        <f>IFERROR('[1]Лист1'!G275,200)</f>
        <v/>
      </c>
      <c r="H275" s="16" t="n">
        <v>200</v>
      </c>
      <c r="I275" s="16" t="n">
        <v>200</v>
      </c>
      <c r="J275" s="16" t="n">
        <v>200</v>
      </c>
      <c r="K275" s="16" t="n">
        <v>200</v>
      </c>
      <c r="L275" s="16" t="n">
        <v>200</v>
      </c>
      <c r="M275" s="16" t="n">
        <v>200</v>
      </c>
      <c r="N275" s="4">
        <f>Работы!S277</f>
        <v/>
      </c>
      <c r="O275" s="4">
        <f>Работы!R277</f>
        <v/>
      </c>
      <c r="P275" s="16" t="n">
        <v>200</v>
      </c>
      <c r="Q275" s="16" t="n">
        <v>200</v>
      </c>
      <c r="R275" s="16" t="n">
        <v>200</v>
      </c>
      <c r="S275" s="16" t="n">
        <v>200</v>
      </c>
      <c r="T275" s="16" t="n">
        <v>200</v>
      </c>
      <c r="U275" s="16" t="n">
        <v>200</v>
      </c>
      <c r="V275" s="16" t="n">
        <v>200</v>
      </c>
      <c r="W275" s="16" t="n">
        <v>200</v>
      </c>
      <c r="X275" s="16" t="n">
        <v>200</v>
      </c>
      <c r="Y275" s="16" t="n">
        <v>200</v>
      </c>
      <c r="Z275" s="16" t="n">
        <v>200</v>
      </c>
      <c r="AA275" s="16" t="n">
        <v>200</v>
      </c>
    </row>
    <row r="276">
      <c r="A276" s="3" t="inlineStr">
        <is>
          <t>Электрика</t>
        </is>
      </c>
      <c r="B276" s="3" t="inlineStr">
        <is>
          <t>Коммутационное оборудование</t>
        </is>
      </c>
      <c r="C276" s="3" t="inlineStr">
        <is>
          <t>Электромонтажные работы</t>
        </is>
      </c>
      <c r="D276" s="3" t="inlineStr">
        <is>
          <t>Кросс-модуль на DIN-рейку 2х7 групп 100А ШН-103</t>
        </is>
      </c>
      <c r="E276" s="4">
        <f>N276+O276</f>
        <v/>
      </c>
      <c r="F276" s="3" t="inlineStr">
        <is>
          <t>шт.</t>
        </is>
      </c>
      <c r="G276" s="4">
        <f>IFERROR('[1]Лист1'!G276,200)</f>
        <v/>
      </c>
      <c r="H276" s="16" t="n">
        <v>200</v>
      </c>
      <c r="I276" s="16" t="n">
        <v>200</v>
      </c>
      <c r="J276" s="16" t="n">
        <v>200</v>
      </c>
      <c r="K276" s="16" t="n">
        <v>200</v>
      </c>
      <c r="L276" s="16" t="n">
        <v>200</v>
      </c>
      <c r="M276" s="16" t="n">
        <v>200</v>
      </c>
      <c r="N276" s="4">
        <f>Работы!S278</f>
        <v/>
      </c>
      <c r="O276" s="4">
        <f>Работы!R278</f>
        <v/>
      </c>
      <c r="P276" s="16" t="n">
        <v>200</v>
      </c>
      <c r="Q276" s="16" t="n">
        <v>200</v>
      </c>
      <c r="R276" s="16" t="n">
        <v>200</v>
      </c>
      <c r="S276" s="16" t="n">
        <v>200</v>
      </c>
      <c r="T276" s="16" t="n">
        <v>200</v>
      </c>
      <c r="U276" s="16" t="n">
        <v>200</v>
      </c>
      <c r="V276" s="16" t="n">
        <v>200</v>
      </c>
      <c r="W276" s="16" t="n">
        <v>200</v>
      </c>
      <c r="X276" s="16" t="n">
        <v>200</v>
      </c>
      <c r="Y276" s="16" t="n">
        <v>200</v>
      </c>
      <c r="Z276" s="16" t="n">
        <v>200</v>
      </c>
      <c r="AA276" s="16" t="n">
        <v>200</v>
      </c>
    </row>
    <row r="277">
      <c r="A277" s="3" t="inlineStr">
        <is>
          <t>Электрика</t>
        </is>
      </c>
      <c r="B277" s="3" t="inlineStr">
        <is>
          <t>Коммутационное оборудование</t>
        </is>
      </c>
      <c r="C277" s="3" t="inlineStr">
        <is>
          <t>Электромонтажные работы</t>
        </is>
      </c>
      <c r="D277" s="3" t="inlineStr">
        <is>
          <t>Кросс-модуль на DIN-рейку 4х7 групп 100А ШН-103</t>
        </is>
      </c>
      <c r="E277" s="4">
        <f>N277+O277</f>
        <v/>
      </c>
      <c r="F277" s="3" t="inlineStr">
        <is>
          <t>шт.</t>
        </is>
      </c>
      <c r="G277" s="4">
        <f>IFERROR('[1]Лист1'!G277,200)</f>
        <v/>
      </c>
      <c r="H277" s="16" t="n">
        <v>200</v>
      </c>
      <c r="I277" s="16" t="n">
        <v>200</v>
      </c>
      <c r="J277" s="16" t="n">
        <v>200</v>
      </c>
      <c r="K277" s="16" t="n">
        <v>200</v>
      </c>
      <c r="L277" s="16" t="n">
        <v>200</v>
      </c>
      <c r="M277" s="16" t="n">
        <v>200</v>
      </c>
      <c r="N277" s="4">
        <f>Работы!S279</f>
        <v/>
      </c>
      <c r="O277" s="4">
        <f>Работы!R279</f>
        <v/>
      </c>
      <c r="P277" s="16" t="n">
        <v>200</v>
      </c>
      <c r="Q277" s="16" t="n">
        <v>200</v>
      </c>
      <c r="R277" s="16" t="n">
        <v>200</v>
      </c>
      <c r="S277" s="16" t="n">
        <v>200</v>
      </c>
      <c r="T277" s="16" t="n">
        <v>200</v>
      </c>
      <c r="U277" s="16" t="n">
        <v>200</v>
      </c>
      <c r="V277" s="16" t="n">
        <v>200</v>
      </c>
      <c r="W277" s="16" t="n">
        <v>200</v>
      </c>
      <c r="X277" s="16" t="n">
        <v>200</v>
      </c>
      <c r="Y277" s="16" t="n">
        <v>200</v>
      </c>
      <c r="Z277" s="16" t="n">
        <v>200</v>
      </c>
      <c r="AA277" s="16" t="n">
        <v>200</v>
      </c>
    </row>
    <row r="278">
      <c r="A278" s="3" t="inlineStr">
        <is>
          <t>Электрика</t>
        </is>
      </c>
      <c r="B278" s="3" t="inlineStr">
        <is>
          <t>Коммутационное оборудование</t>
        </is>
      </c>
      <c r="C278" s="3" t="inlineStr">
        <is>
          <t>Электромонтажные работы</t>
        </is>
      </c>
      <c r="D278" s="3" t="inlineStr">
        <is>
          <t>Шина комплектная 1ф 12 модулей 63А (АВВ) или аналог</t>
        </is>
      </c>
      <c r="E278" s="4">
        <f>N278+O278</f>
        <v/>
      </c>
      <c r="F278" s="3" t="inlineStr">
        <is>
          <t>шт.</t>
        </is>
      </c>
      <c r="G278" s="4">
        <f>IFERROR('[1]Лист1'!G278,200)</f>
        <v/>
      </c>
      <c r="H278" s="16" t="n">
        <v>200</v>
      </c>
      <c r="I278" s="16" t="n">
        <v>200</v>
      </c>
      <c r="J278" s="16" t="n">
        <v>200</v>
      </c>
      <c r="K278" s="16" t="n">
        <v>200</v>
      </c>
      <c r="L278" s="16" t="n">
        <v>200</v>
      </c>
      <c r="M278" s="16" t="n">
        <v>200</v>
      </c>
      <c r="N278" s="4">
        <f>Работы!S280</f>
        <v/>
      </c>
      <c r="O278" s="4">
        <f>Работы!R280</f>
        <v/>
      </c>
      <c r="P278" s="16" t="n">
        <v>200</v>
      </c>
      <c r="Q278" s="16" t="n">
        <v>200</v>
      </c>
      <c r="R278" s="16" t="n">
        <v>200</v>
      </c>
      <c r="S278" s="16" t="n">
        <v>200</v>
      </c>
      <c r="T278" s="16" t="n">
        <v>200</v>
      </c>
      <c r="U278" s="16" t="n">
        <v>200</v>
      </c>
      <c r="V278" s="16" t="n">
        <v>200</v>
      </c>
      <c r="W278" s="16" t="n">
        <v>200</v>
      </c>
      <c r="X278" s="16" t="n">
        <v>200</v>
      </c>
      <c r="Y278" s="16" t="n">
        <v>200</v>
      </c>
      <c r="Z278" s="16" t="n">
        <v>200</v>
      </c>
      <c r="AA278" s="16" t="n">
        <v>200</v>
      </c>
    </row>
    <row r="279">
      <c r="A279" s="3" t="inlineStr">
        <is>
          <t>Электрика</t>
        </is>
      </c>
      <c r="B279" s="3" t="inlineStr">
        <is>
          <t>Коммутационное оборудование</t>
        </is>
      </c>
      <c r="C279" s="3" t="inlineStr">
        <is>
          <t>Электромонтажные работы</t>
        </is>
      </c>
      <c r="D279" s="3" t="inlineStr">
        <is>
          <t>Шина комплектная 2ф 12 модулей 63А (АВВ) или аналог</t>
        </is>
      </c>
      <c r="E279" s="4">
        <f>N279+O279</f>
        <v/>
      </c>
      <c r="F279" s="3" t="inlineStr">
        <is>
          <t>шт.</t>
        </is>
      </c>
      <c r="G279" s="4">
        <f>IFERROR('[1]Лист1'!G279,200)</f>
        <v/>
      </c>
      <c r="H279" s="16" t="n">
        <v>200</v>
      </c>
      <c r="I279" s="16" t="n">
        <v>200</v>
      </c>
      <c r="J279" s="16" t="n">
        <v>200</v>
      </c>
      <c r="K279" s="16" t="n">
        <v>200</v>
      </c>
      <c r="L279" s="16" t="n">
        <v>200</v>
      </c>
      <c r="M279" s="16" t="n">
        <v>200</v>
      </c>
      <c r="N279" s="4">
        <f>Работы!S281</f>
        <v/>
      </c>
      <c r="O279" s="4">
        <f>Работы!R281</f>
        <v/>
      </c>
      <c r="P279" s="16" t="n">
        <v>200</v>
      </c>
      <c r="Q279" s="16" t="n">
        <v>200</v>
      </c>
      <c r="R279" s="16" t="n">
        <v>200</v>
      </c>
      <c r="S279" s="16" t="n">
        <v>200</v>
      </c>
      <c r="T279" s="16" t="n">
        <v>200</v>
      </c>
      <c r="U279" s="16" t="n">
        <v>200</v>
      </c>
      <c r="V279" s="16" t="n">
        <v>200</v>
      </c>
      <c r="W279" s="16" t="n">
        <v>200</v>
      </c>
      <c r="X279" s="16" t="n">
        <v>200</v>
      </c>
      <c r="Y279" s="16" t="n">
        <v>200</v>
      </c>
      <c r="Z279" s="16" t="n">
        <v>200</v>
      </c>
      <c r="AA279" s="16" t="n">
        <v>200</v>
      </c>
    </row>
    <row r="280">
      <c r="A280" s="3" t="inlineStr">
        <is>
          <t>Электрика</t>
        </is>
      </c>
      <c r="B280" s="3" t="inlineStr">
        <is>
          <t>Коммутационное оборудование</t>
        </is>
      </c>
      <c r="C280" s="3" t="inlineStr">
        <is>
          <t>Электромонтажные работы</t>
        </is>
      </c>
      <c r="D280" s="3" t="inlineStr">
        <is>
          <t>Шина комплектная 3ф 12 модулей 63А (АВВ) или аналог</t>
        </is>
      </c>
      <c r="E280" s="4">
        <f>N280+O280</f>
        <v/>
      </c>
      <c r="F280" s="3" t="inlineStr">
        <is>
          <t>шт.</t>
        </is>
      </c>
      <c r="G280" s="4">
        <f>IFERROR('[1]Лист1'!G280,200)</f>
        <v/>
      </c>
      <c r="H280" s="16" t="n">
        <v>200</v>
      </c>
      <c r="I280" s="16" t="n">
        <v>200</v>
      </c>
      <c r="J280" s="16" t="n">
        <v>200</v>
      </c>
      <c r="K280" s="16" t="n">
        <v>200</v>
      </c>
      <c r="L280" s="16" t="n">
        <v>200</v>
      </c>
      <c r="M280" s="16" t="n">
        <v>200</v>
      </c>
      <c r="N280" s="4">
        <f>Работы!S282</f>
        <v/>
      </c>
      <c r="O280" s="4">
        <f>Работы!R282</f>
        <v/>
      </c>
      <c r="P280" s="16" t="n">
        <v>200</v>
      </c>
      <c r="Q280" s="16" t="n">
        <v>200</v>
      </c>
      <c r="R280" s="16" t="n">
        <v>200</v>
      </c>
      <c r="S280" s="16" t="n">
        <v>200</v>
      </c>
      <c r="T280" s="16" t="n">
        <v>200</v>
      </c>
      <c r="U280" s="16" t="n">
        <v>200</v>
      </c>
      <c r="V280" s="16" t="n">
        <v>200</v>
      </c>
      <c r="W280" s="16" t="n">
        <v>200</v>
      </c>
      <c r="X280" s="16" t="n">
        <v>200</v>
      </c>
      <c r="Y280" s="16" t="n">
        <v>200</v>
      </c>
      <c r="Z280" s="16" t="n">
        <v>200</v>
      </c>
      <c r="AA280" s="16" t="n">
        <v>200</v>
      </c>
    </row>
    <row r="281">
      <c r="A281" s="3" t="inlineStr">
        <is>
          <t>Электрика</t>
        </is>
      </c>
      <c r="B281" s="3" t="inlineStr">
        <is>
          <t>Коммутационное оборудование</t>
        </is>
      </c>
      <c r="C281" s="3" t="inlineStr">
        <is>
          <t>Электромонтажные работы</t>
        </is>
      </c>
      <c r="D281" s="3" t="inlineStr">
        <is>
          <t>Шина нулевая на DIN-изоляции Стойка ШНИ- 8х12-12</t>
        </is>
      </c>
      <c r="E281" s="4">
        <f>N281+O281</f>
        <v/>
      </c>
      <c r="F281" s="3" t="inlineStr">
        <is>
          <t>шт.</t>
        </is>
      </c>
      <c r="G281" s="4">
        <f>IFERROR('[1]Лист1'!G281,200)</f>
        <v/>
      </c>
      <c r="H281" s="16" t="n">
        <v>200</v>
      </c>
      <c r="I281" s="16" t="n">
        <v>200</v>
      </c>
      <c r="J281" s="16" t="n">
        <v>200</v>
      </c>
      <c r="K281" s="16" t="n">
        <v>200</v>
      </c>
      <c r="L281" s="16" t="n">
        <v>200</v>
      </c>
      <c r="M281" s="16" t="n">
        <v>200</v>
      </c>
      <c r="N281" s="4">
        <f>Работы!S283</f>
        <v/>
      </c>
      <c r="O281" s="4">
        <f>Работы!R283</f>
        <v/>
      </c>
      <c r="P281" s="16" t="n">
        <v>200</v>
      </c>
      <c r="Q281" s="16" t="n">
        <v>200</v>
      </c>
      <c r="R281" s="16" t="n">
        <v>200</v>
      </c>
      <c r="S281" s="16" t="n">
        <v>200</v>
      </c>
      <c r="T281" s="16" t="n">
        <v>200</v>
      </c>
      <c r="U281" s="16" t="n">
        <v>200</v>
      </c>
      <c r="V281" s="16" t="n">
        <v>200</v>
      </c>
      <c r="W281" s="16" t="n">
        <v>200</v>
      </c>
      <c r="X281" s="16" t="n">
        <v>200</v>
      </c>
      <c r="Y281" s="16" t="n">
        <v>200</v>
      </c>
      <c r="Z281" s="16" t="n">
        <v>200</v>
      </c>
      <c r="AA281" s="16" t="n">
        <v>200</v>
      </c>
    </row>
    <row r="282">
      <c r="A282" s="3" t="inlineStr">
        <is>
          <t>Электрика</t>
        </is>
      </c>
      <c r="B282" s="3" t="inlineStr">
        <is>
          <t>Лоток электротехнический</t>
        </is>
      </c>
      <c r="C282" s="3" t="inlineStr">
        <is>
          <t>Электромонтажные работы</t>
        </is>
      </c>
      <c r="D282" s="3" t="inlineStr">
        <is>
          <t>Лоток проволочный F5 Combitech 50х50х3000(DKC)</t>
        </is>
      </c>
      <c r="E282" s="4">
        <f>N282+O282</f>
        <v/>
      </c>
      <c r="F282" s="3" t="inlineStr">
        <is>
          <t>шт</t>
        </is>
      </c>
      <c r="G282" s="4">
        <f>IFERROR('[1]Лист1'!G282,200)</f>
        <v/>
      </c>
      <c r="H282" s="16" t="n">
        <v>200</v>
      </c>
      <c r="I282" s="16" t="n">
        <v>200</v>
      </c>
      <c r="J282" s="16" t="n">
        <v>200</v>
      </c>
      <c r="K282" s="16" t="n">
        <v>200</v>
      </c>
      <c r="L282" s="16" t="n">
        <v>200</v>
      </c>
      <c r="M282" s="16" t="n">
        <v>200</v>
      </c>
      <c r="N282" s="4">
        <f>Работы!S284</f>
        <v/>
      </c>
      <c r="O282" s="4">
        <f>Работы!R284</f>
        <v/>
      </c>
      <c r="P282" s="16" t="n">
        <v>200</v>
      </c>
      <c r="Q282" s="16" t="n">
        <v>200</v>
      </c>
      <c r="R282" s="16" t="n">
        <v>200</v>
      </c>
      <c r="S282" s="16" t="n">
        <v>200</v>
      </c>
      <c r="T282" s="16" t="n">
        <v>200</v>
      </c>
      <c r="U282" s="16" t="n">
        <v>200</v>
      </c>
      <c r="V282" s="16" t="n">
        <v>200</v>
      </c>
      <c r="W282" s="16" t="n">
        <v>200</v>
      </c>
      <c r="X282" s="16" t="n">
        <v>200</v>
      </c>
      <c r="Y282" s="16" t="n">
        <v>200</v>
      </c>
      <c r="Z282" s="16" t="n">
        <v>200</v>
      </c>
      <c r="AA282" s="16" t="n">
        <v>200</v>
      </c>
    </row>
    <row r="283">
      <c r="A283" s="3" t="inlineStr">
        <is>
          <t>Электрика</t>
        </is>
      </c>
      <c r="B283" s="3" t="inlineStr">
        <is>
          <t>Лоток электротехнический</t>
        </is>
      </c>
      <c r="C283" s="3" t="inlineStr">
        <is>
          <t>Электромонтажные работы</t>
        </is>
      </c>
      <c r="D283" s="3" t="inlineStr">
        <is>
          <t>Лоток проволочный F5 Combitech 100х50х3000(DKC)</t>
        </is>
      </c>
      <c r="E283" s="4">
        <f>N283+O283</f>
        <v/>
      </c>
      <c r="F283" s="3" t="inlineStr">
        <is>
          <t>шт</t>
        </is>
      </c>
      <c r="G283" s="4">
        <f>IFERROR('[1]Лист1'!G283,200)</f>
        <v/>
      </c>
      <c r="H283" s="16" t="n">
        <v>200</v>
      </c>
      <c r="I283" s="16" t="n">
        <v>200</v>
      </c>
      <c r="J283" s="16" t="n">
        <v>200</v>
      </c>
      <c r="K283" s="16" t="n">
        <v>200</v>
      </c>
      <c r="L283" s="16" t="n">
        <v>200</v>
      </c>
      <c r="M283" s="16" t="n">
        <v>200</v>
      </c>
      <c r="N283" s="4">
        <f>Работы!S285</f>
        <v/>
      </c>
      <c r="O283" s="4">
        <f>Работы!R285</f>
        <v/>
      </c>
      <c r="P283" s="16" t="n">
        <v>200</v>
      </c>
      <c r="Q283" s="16" t="n">
        <v>200</v>
      </c>
      <c r="R283" s="16" t="n">
        <v>200</v>
      </c>
      <c r="S283" s="16" t="n">
        <v>200</v>
      </c>
      <c r="T283" s="16" t="n">
        <v>200</v>
      </c>
      <c r="U283" s="16" t="n">
        <v>200</v>
      </c>
      <c r="V283" s="16" t="n">
        <v>200</v>
      </c>
      <c r="W283" s="16" t="n">
        <v>200</v>
      </c>
      <c r="X283" s="16" t="n">
        <v>200</v>
      </c>
      <c r="Y283" s="16" t="n">
        <v>200</v>
      </c>
      <c r="Z283" s="16" t="n">
        <v>200</v>
      </c>
      <c r="AA283" s="16" t="n">
        <v>200</v>
      </c>
    </row>
    <row r="284">
      <c r="A284" s="3" t="inlineStr">
        <is>
          <t>Электрика</t>
        </is>
      </c>
      <c r="B284" s="3" t="inlineStr">
        <is>
          <t>Лоток электротехнический</t>
        </is>
      </c>
      <c r="C284" s="3" t="inlineStr">
        <is>
          <t>Электромонтажные работы</t>
        </is>
      </c>
      <c r="D284" s="3" t="inlineStr">
        <is>
          <t>Лоток проволочный F5 Combitech 200х50х3000(DKC)</t>
        </is>
      </c>
      <c r="E284" s="4">
        <f>N284+O284</f>
        <v/>
      </c>
      <c r="F284" s="3" t="inlineStr">
        <is>
          <t>шт</t>
        </is>
      </c>
      <c r="G284" s="4">
        <f>IFERROR('[1]Лист1'!G284,200)</f>
        <v/>
      </c>
      <c r="H284" s="16" t="n">
        <v>200</v>
      </c>
      <c r="I284" s="16" t="n">
        <v>200</v>
      </c>
      <c r="J284" s="16" t="n">
        <v>200</v>
      </c>
      <c r="K284" s="16" t="n">
        <v>200</v>
      </c>
      <c r="L284" s="16" t="n">
        <v>200</v>
      </c>
      <c r="M284" s="16" t="n">
        <v>200</v>
      </c>
      <c r="N284" s="4">
        <f>Работы!S286</f>
        <v/>
      </c>
      <c r="O284" s="4">
        <f>Работы!R286</f>
        <v/>
      </c>
      <c r="P284" s="16" t="n">
        <v>200</v>
      </c>
      <c r="Q284" s="16" t="n">
        <v>200</v>
      </c>
      <c r="R284" s="16" t="n">
        <v>200</v>
      </c>
      <c r="S284" s="16" t="n">
        <v>200</v>
      </c>
      <c r="T284" s="16" t="n">
        <v>200</v>
      </c>
      <c r="U284" s="16" t="n">
        <v>200</v>
      </c>
      <c r="V284" s="16" t="n">
        <v>200</v>
      </c>
      <c r="W284" s="16" t="n">
        <v>200</v>
      </c>
      <c r="X284" s="16" t="n">
        <v>200</v>
      </c>
      <c r="Y284" s="16" t="n">
        <v>200</v>
      </c>
      <c r="Z284" s="16" t="n">
        <v>200</v>
      </c>
      <c r="AA284" s="16" t="n">
        <v>200</v>
      </c>
    </row>
    <row r="285">
      <c r="A285" s="3" t="inlineStr">
        <is>
          <t>Электрика</t>
        </is>
      </c>
      <c r="B285" s="3" t="inlineStr">
        <is>
          <t>Лоток электротехнический</t>
        </is>
      </c>
      <c r="C285" s="3" t="inlineStr">
        <is>
          <t>Электромонтажные работы</t>
        </is>
      </c>
      <c r="D285" s="3" t="inlineStr">
        <is>
          <t>Лоток перфорированный S5 Combitech 50х50х3000(DKC)</t>
        </is>
      </c>
      <c r="E285" s="4">
        <f>N285+O285</f>
        <v/>
      </c>
      <c r="F285" s="3" t="inlineStr">
        <is>
          <t>шт</t>
        </is>
      </c>
      <c r="G285" s="4">
        <f>IFERROR('[1]Лист1'!G285,200)</f>
        <v/>
      </c>
      <c r="H285" s="16" t="n">
        <v>200</v>
      </c>
      <c r="I285" s="16" t="n">
        <v>200</v>
      </c>
      <c r="J285" s="16" t="n">
        <v>200</v>
      </c>
      <c r="K285" s="16" t="n">
        <v>200</v>
      </c>
      <c r="L285" s="16" t="n">
        <v>200</v>
      </c>
      <c r="M285" s="16" t="n">
        <v>200</v>
      </c>
      <c r="N285" s="4">
        <f>Работы!S287</f>
        <v/>
      </c>
      <c r="O285" s="4">
        <f>Работы!R287</f>
        <v/>
      </c>
      <c r="P285" s="16" t="n">
        <v>200</v>
      </c>
      <c r="Q285" s="16" t="n">
        <v>200</v>
      </c>
      <c r="R285" s="16" t="n">
        <v>200</v>
      </c>
      <c r="S285" s="16" t="n">
        <v>200</v>
      </c>
      <c r="T285" s="16" t="n">
        <v>200</v>
      </c>
      <c r="U285" s="16" t="n">
        <v>200</v>
      </c>
      <c r="V285" s="16" t="n">
        <v>200</v>
      </c>
      <c r="W285" s="16" t="n">
        <v>200</v>
      </c>
      <c r="X285" s="16" t="n">
        <v>200</v>
      </c>
      <c r="Y285" s="16" t="n">
        <v>200</v>
      </c>
      <c r="Z285" s="16" t="n">
        <v>200</v>
      </c>
      <c r="AA285" s="16" t="n">
        <v>200</v>
      </c>
    </row>
    <row r="286">
      <c r="A286" s="3" t="inlineStr">
        <is>
          <t>Электрика</t>
        </is>
      </c>
      <c r="B286" s="3" t="inlineStr">
        <is>
          <t>Лоток электротехнический</t>
        </is>
      </c>
      <c r="C286" s="3" t="inlineStr">
        <is>
          <t>Электромонтажные работы</t>
        </is>
      </c>
      <c r="D286" s="3" t="inlineStr">
        <is>
          <t>Лоток перфорированный S5 Combitech100х50х3000 (DKC)</t>
        </is>
      </c>
      <c r="E286" s="4">
        <f>N286+O286</f>
        <v/>
      </c>
      <c r="F286" s="3" t="inlineStr">
        <is>
          <t>шт</t>
        </is>
      </c>
      <c r="G286" s="4">
        <f>IFERROR('[1]Лист1'!G286,200)</f>
        <v/>
      </c>
      <c r="H286" s="16" t="n">
        <v>200</v>
      </c>
      <c r="I286" s="16" t="n">
        <v>200</v>
      </c>
      <c r="J286" s="16" t="n">
        <v>200</v>
      </c>
      <c r="K286" s="16" t="n">
        <v>200</v>
      </c>
      <c r="L286" s="16" t="n">
        <v>200</v>
      </c>
      <c r="M286" s="16" t="n">
        <v>200</v>
      </c>
      <c r="N286" s="4">
        <f>Работы!S288</f>
        <v/>
      </c>
      <c r="O286" s="4">
        <f>Работы!R288</f>
        <v/>
      </c>
      <c r="P286" s="16" t="n">
        <v>200</v>
      </c>
      <c r="Q286" s="16" t="n">
        <v>200</v>
      </c>
      <c r="R286" s="16" t="n">
        <v>200</v>
      </c>
      <c r="S286" s="16" t="n">
        <v>200</v>
      </c>
      <c r="T286" s="16" t="n">
        <v>200</v>
      </c>
      <c r="U286" s="16" t="n">
        <v>200</v>
      </c>
      <c r="V286" s="16" t="n">
        <v>200</v>
      </c>
      <c r="W286" s="16" t="n">
        <v>200</v>
      </c>
      <c r="X286" s="16" t="n">
        <v>200</v>
      </c>
      <c r="Y286" s="16" t="n">
        <v>200</v>
      </c>
      <c r="Z286" s="16" t="n">
        <v>200</v>
      </c>
      <c r="AA286" s="16" t="n">
        <v>200</v>
      </c>
    </row>
    <row r="287">
      <c r="A287" s="3" t="inlineStr">
        <is>
          <t>Электрика</t>
        </is>
      </c>
      <c r="B287" s="3" t="inlineStr">
        <is>
          <t>Лоток электротехнический</t>
        </is>
      </c>
      <c r="C287" s="3" t="inlineStr">
        <is>
          <t>Электромонтажные работы</t>
        </is>
      </c>
      <c r="D287" s="3" t="inlineStr">
        <is>
          <t>Лоток перфорированный S5 Combitech200х50х3000 (DKC)</t>
        </is>
      </c>
      <c r="E287" s="4">
        <f>N287+O287</f>
        <v/>
      </c>
      <c r="F287" s="3" t="inlineStr">
        <is>
          <t>шт</t>
        </is>
      </c>
      <c r="G287" s="4">
        <f>IFERROR('[1]Лист1'!G287,200)</f>
        <v/>
      </c>
      <c r="H287" s="16" t="n">
        <v>200</v>
      </c>
      <c r="I287" s="16" t="n">
        <v>200</v>
      </c>
      <c r="J287" s="16" t="n">
        <v>200</v>
      </c>
      <c r="K287" s="16" t="n">
        <v>200</v>
      </c>
      <c r="L287" s="16" t="n">
        <v>200</v>
      </c>
      <c r="M287" s="16" t="n">
        <v>200</v>
      </c>
      <c r="N287" s="4">
        <f>Работы!S289</f>
        <v/>
      </c>
      <c r="O287" s="4">
        <f>Работы!R289</f>
        <v/>
      </c>
      <c r="P287" s="16" t="n">
        <v>200</v>
      </c>
      <c r="Q287" s="16" t="n">
        <v>200</v>
      </c>
      <c r="R287" s="16" t="n">
        <v>200</v>
      </c>
      <c r="S287" s="16" t="n">
        <v>200</v>
      </c>
      <c r="T287" s="16" t="n">
        <v>200</v>
      </c>
      <c r="U287" s="16" t="n">
        <v>200</v>
      </c>
      <c r="V287" s="16" t="n">
        <v>200</v>
      </c>
      <c r="W287" s="16" t="n">
        <v>200</v>
      </c>
      <c r="X287" s="16" t="n">
        <v>200</v>
      </c>
      <c r="Y287" s="16" t="n">
        <v>200</v>
      </c>
      <c r="Z287" s="16" t="n">
        <v>200</v>
      </c>
      <c r="AA287" s="16" t="n">
        <v>200</v>
      </c>
    </row>
    <row r="288">
      <c r="A288" s="3" t="inlineStr">
        <is>
          <t>Электрика</t>
        </is>
      </c>
      <c r="B288" s="3" t="inlineStr">
        <is>
          <t>Лоток электротехнический</t>
        </is>
      </c>
      <c r="C288" s="3" t="inlineStr">
        <is>
          <t>Электромонтажные работы</t>
        </is>
      </c>
      <c r="D288" s="3" t="inlineStr">
        <is>
          <t>крышка лотка перфорированная S5 Combitech50х15х3000 (DKC)</t>
        </is>
      </c>
      <c r="E288" s="4">
        <f>N288+O288</f>
        <v/>
      </c>
      <c r="F288" s="3" t="inlineStr">
        <is>
          <t>шт</t>
        </is>
      </c>
      <c r="G288" s="4">
        <f>IFERROR('[1]Лист1'!G288,200)</f>
        <v/>
      </c>
      <c r="H288" s="16" t="n">
        <v>200</v>
      </c>
      <c r="I288" s="16" t="n">
        <v>200</v>
      </c>
      <c r="J288" s="16" t="n">
        <v>200</v>
      </c>
      <c r="K288" s="16" t="n">
        <v>200</v>
      </c>
      <c r="L288" s="16" t="n">
        <v>200</v>
      </c>
      <c r="M288" s="16" t="n">
        <v>200</v>
      </c>
      <c r="N288" s="4">
        <f>Работы!S290</f>
        <v/>
      </c>
      <c r="O288" s="4">
        <f>Работы!R290</f>
        <v/>
      </c>
      <c r="P288" s="16" t="n">
        <v>200</v>
      </c>
      <c r="Q288" s="16" t="n">
        <v>200</v>
      </c>
      <c r="R288" s="16" t="n">
        <v>200</v>
      </c>
      <c r="S288" s="16" t="n">
        <v>200</v>
      </c>
      <c r="T288" s="16" t="n">
        <v>200</v>
      </c>
      <c r="U288" s="16" t="n">
        <v>200</v>
      </c>
      <c r="V288" s="16" t="n">
        <v>200</v>
      </c>
      <c r="W288" s="16" t="n">
        <v>200</v>
      </c>
      <c r="X288" s="16" t="n">
        <v>200</v>
      </c>
      <c r="Y288" s="16" t="n">
        <v>200</v>
      </c>
      <c r="Z288" s="16" t="n">
        <v>200</v>
      </c>
      <c r="AA288" s="16" t="n">
        <v>200</v>
      </c>
    </row>
    <row r="289">
      <c r="A289" s="3" t="inlineStr">
        <is>
          <t>Электрика</t>
        </is>
      </c>
      <c r="B289" s="3" t="inlineStr">
        <is>
          <t>Лоток электротехнический</t>
        </is>
      </c>
      <c r="C289" s="3" t="inlineStr">
        <is>
          <t>Электромонтажные работы</t>
        </is>
      </c>
      <c r="D289" s="3" t="inlineStr">
        <is>
          <t>крышка лотка перфорированная S5 Combitech100х15х3000 (DKC)</t>
        </is>
      </c>
      <c r="E289" s="4">
        <f>N289+O289</f>
        <v/>
      </c>
      <c r="F289" s="3" t="inlineStr">
        <is>
          <t>шт</t>
        </is>
      </c>
      <c r="G289" s="4">
        <f>IFERROR('[1]Лист1'!G289,200)</f>
        <v/>
      </c>
      <c r="H289" s="16" t="n">
        <v>200</v>
      </c>
      <c r="I289" s="16" t="n">
        <v>200</v>
      </c>
      <c r="J289" s="16" t="n">
        <v>200</v>
      </c>
      <c r="K289" s="16" t="n">
        <v>200</v>
      </c>
      <c r="L289" s="16" t="n">
        <v>200</v>
      </c>
      <c r="M289" s="16" t="n">
        <v>200</v>
      </c>
      <c r="N289" s="4">
        <f>Работы!S291</f>
        <v/>
      </c>
      <c r="O289" s="4">
        <f>Работы!R291</f>
        <v/>
      </c>
      <c r="P289" s="16" t="n">
        <v>200</v>
      </c>
      <c r="Q289" s="16" t="n">
        <v>200</v>
      </c>
      <c r="R289" s="16" t="n">
        <v>200</v>
      </c>
      <c r="S289" s="16" t="n">
        <v>200</v>
      </c>
      <c r="T289" s="16" t="n">
        <v>200</v>
      </c>
      <c r="U289" s="16" t="n">
        <v>200</v>
      </c>
      <c r="V289" s="16" t="n">
        <v>200</v>
      </c>
      <c r="W289" s="16" t="n">
        <v>200</v>
      </c>
      <c r="X289" s="16" t="n">
        <v>200</v>
      </c>
      <c r="Y289" s="16" t="n">
        <v>200</v>
      </c>
      <c r="Z289" s="16" t="n">
        <v>200</v>
      </c>
      <c r="AA289" s="16" t="n">
        <v>200</v>
      </c>
    </row>
    <row r="290">
      <c r="A290" s="3" t="inlineStr">
        <is>
          <t>Электрика</t>
        </is>
      </c>
      <c r="B290" s="3" t="inlineStr">
        <is>
          <t>Лоток электротехнический</t>
        </is>
      </c>
      <c r="C290" s="3" t="inlineStr">
        <is>
          <t>Электромонтажные работы</t>
        </is>
      </c>
      <c r="D290" s="3" t="inlineStr">
        <is>
          <t>крышка лотка перфорированная S5 Combitech200х15х3000 (DKC)</t>
        </is>
      </c>
      <c r="E290" s="4">
        <f>N290+O290</f>
        <v/>
      </c>
      <c r="F290" s="3" t="inlineStr">
        <is>
          <t>шт</t>
        </is>
      </c>
      <c r="G290" s="4">
        <f>IFERROR('[1]Лист1'!G290,200)</f>
        <v/>
      </c>
      <c r="H290" s="16" t="n">
        <v>200</v>
      </c>
      <c r="I290" s="16" t="n">
        <v>200</v>
      </c>
      <c r="J290" s="16" t="n">
        <v>200</v>
      </c>
      <c r="K290" s="16" t="n">
        <v>200</v>
      </c>
      <c r="L290" s="16" t="n">
        <v>200</v>
      </c>
      <c r="M290" s="16" t="n">
        <v>200</v>
      </c>
      <c r="N290" s="4">
        <f>Работы!S292</f>
        <v/>
      </c>
      <c r="O290" s="4">
        <f>Работы!R292</f>
        <v/>
      </c>
      <c r="P290" s="16" t="n">
        <v>200</v>
      </c>
      <c r="Q290" s="16" t="n">
        <v>200</v>
      </c>
      <c r="R290" s="16" t="n">
        <v>200</v>
      </c>
      <c r="S290" s="16" t="n">
        <v>200</v>
      </c>
      <c r="T290" s="16" t="n">
        <v>200</v>
      </c>
      <c r="U290" s="16" t="n">
        <v>200</v>
      </c>
      <c r="V290" s="16" t="n">
        <v>200</v>
      </c>
      <c r="W290" s="16" t="n">
        <v>200</v>
      </c>
      <c r="X290" s="16" t="n">
        <v>200</v>
      </c>
      <c r="Y290" s="16" t="n">
        <v>200</v>
      </c>
      <c r="Z290" s="16" t="n">
        <v>200</v>
      </c>
      <c r="AA290" s="16" t="n">
        <v>200</v>
      </c>
    </row>
    <row r="291">
      <c r="A291" s="3" t="inlineStr">
        <is>
          <t>Электрика</t>
        </is>
      </c>
      <c r="B291" s="3" t="inlineStr">
        <is>
          <t>Труба ПНД</t>
        </is>
      </c>
      <c r="C291" s="3" t="inlineStr">
        <is>
          <t>Электромонтажные работы</t>
        </is>
      </c>
      <c r="D291" s="3" t="inlineStr">
        <is>
          <t>Труба ПНД Д-16</t>
        </is>
      </c>
      <c r="E291" s="4">
        <f>N291+O291</f>
        <v/>
      </c>
      <c r="F291" s="3" t="inlineStr">
        <is>
          <t>м.п.</t>
        </is>
      </c>
      <c r="G291" s="4">
        <f>IFERROR('[1]Лист1'!G291,200)</f>
        <v/>
      </c>
      <c r="H291" s="16" t="n">
        <v>200</v>
      </c>
      <c r="I291" s="16" t="n">
        <v>200</v>
      </c>
      <c r="J291" s="16" t="n">
        <v>200</v>
      </c>
      <c r="K291" s="16" t="n">
        <v>200</v>
      </c>
      <c r="L291" s="16" t="n">
        <v>200</v>
      </c>
      <c r="M291" s="16" t="n">
        <v>200</v>
      </c>
      <c r="N291" s="4">
        <f>Работы!S293</f>
        <v/>
      </c>
      <c r="O291" s="4">
        <f>Работы!R293</f>
        <v/>
      </c>
      <c r="P291" s="16" t="n">
        <v>200</v>
      </c>
      <c r="Q291" s="16" t="n">
        <v>200</v>
      </c>
      <c r="R291" s="16" t="n">
        <v>200</v>
      </c>
      <c r="S291" s="16" t="n">
        <v>200</v>
      </c>
      <c r="T291" s="16" t="n">
        <v>200</v>
      </c>
      <c r="U291" s="16" t="n">
        <v>200</v>
      </c>
      <c r="V291" s="16" t="n">
        <v>200</v>
      </c>
      <c r="W291" s="16" t="n">
        <v>200</v>
      </c>
      <c r="X291" s="16" t="n">
        <v>200</v>
      </c>
      <c r="Y291" s="16" t="n">
        <v>200</v>
      </c>
      <c r="Z291" s="16" t="n">
        <v>200</v>
      </c>
      <c r="AA291" s="16" t="n">
        <v>200</v>
      </c>
    </row>
    <row r="292">
      <c r="A292" s="3" t="inlineStr">
        <is>
          <t>Электрика</t>
        </is>
      </c>
      <c r="B292" s="3" t="inlineStr">
        <is>
          <t>Труба ПНД</t>
        </is>
      </c>
      <c r="C292" s="3" t="inlineStr">
        <is>
          <t>Электромонтажные работы</t>
        </is>
      </c>
      <c r="D292" s="3" t="inlineStr">
        <is>
          <t>Труба ПНД Д-20</t>
        </is>
      </c>
      <c r="E292" s="4">
        <f>N292+O292</f>
        <v/>
      </c>
      <c r="F292" s="3" t="inlineStr">
        <is>
          <t>м.п.</t>
        </is>
      </c>
      <c r="G292" s="4">
        <f>IFERROR('[1]Лист1'!G292,200)</f>
        <v/>
      </c>
      <c r="H292" s="16" t="n">
        <v>200</v>
      </c>
      <c r="I292" s="16" t="n">
        <v>200</v>
      </c>
      <c r="J292" s="16" t="n">
        <v>200</v>
      </c>
      <c r="K292" s="16" t="n">
        <v>200</v>
      </c>
      <c r="L292" s="16" t="n">
        <v>200</v>
      </c>
      <c r="M292" s="16" t="n">
        <v>200</v>
      </c>
      <c r="N292" s="4">
        <f>Работы!S294</f>
        <v/>
      </c>
      <c r="O292" s="4">
        <f>Работы!R294</f>
        <v/>
      </c>
      <c r="P292" s="16" t="n">
        <v>200</v>
      </c>
      <c r="Q292" s="16" t="n">
        <v>200</v>
      </c>
      <c r="R292" s="16" t="n">
        <v>200</v>
      </c>
      <c r="S292" s="16" t="n">
        <v>200</v>
      </c>
      <c r="T292" s="16" t="n">
        <v>200</v>
      </c>
      <c r="U292" s="16" t="n">
        <v>200</v>
      </c>
      <c r="V292" s="16" t="n">
        <v>200</v>
      </c>
      <c r="W292" s="16" t="n">
        <v>200</v>
      </c>
      <c r="X292" s="16" t="n">
        <v>200</v>
      </c>
      <c r="Y292" s="16" t="n">
        <v>200</v>
      </c>
      <c r="Z292" s="16" t="n">
        <v>200</v>
      </c>
      <c r="AA292" s="16" t="n">
        <v>200</v>
      </c>
    </row>
    <row r="293">
      <c r="A293" s="3" t="inlineStr">
        <is>
          <t>Электрика</t>
        </is>
      </c>
      <c r="B293" s="3" t="inlineStr">
        <is>
          <t>Труба ПНД</t>
        </is>
      </c>
      <c r="C293" s="3" t="inlineStr">
        <is>
          <t>Электромонтажные работы</t>
        </is>
      </c>
      <c r="D293" s="3" t="inlineStr">
        <is>
          <t>Труба ПНД Д-25</t>
        </is>
      </c>
      <c r="E293" s="4">
        <f>N293+O293</f>
        <v/>
      </c>
      <c r="F293" s="3" t="inlineStr">
        <is>
          <t>м.п.</t>
        </is>
      </c>
      <c r="G293" s="4">
        <f>IFERROR('[1]Лист1'!G293,200)</f>
        <v/>
      </c>
      <c r="H293" s="16" t="n">
        <v>200</v>
      </c>
      <c r="I293" s="16" t="n">
        <v>200</v>
      </c>
      <c r="J293" s="16" t="n">
        <v>200</v>
      </c>
      <c r="K293" s="16" t="n">
        <v>200</v>
      </c>
      <c r="L293" s="16" t="n">
        <v>200</v>
      </c>
      <c r="M293" s="16" t="n">
        <v>200</v>
      </c>
      <c r="N293" s="4">
        <f>Работы!S295</f>
        <v/>
      </c>
      <c r="O293" s="4">
        <f>Работы!R295</f>
        <v/>
      </c>
      <c r="P293" s="16" t="n">
        <v>200</v>
      </c>
      <c r="Q293" s="16" t="n">
        <v>200</v>
      </c>
      <c r="R293" s="16" t="n">
        <v>200</v>
      </c>
      <c r="S293" s="16" t="n">
        <v>200</v>
      </c>
      <c r="T293" s="16" t="n">
        <v>200</v>
      </c>
      <c r="U293" s="16" t="n">
        <v>200</v>
      </c>
      <c r="V293" s="16" t="n">
        <v>200</v>
      </c>
      <c r="W293" s="16" t="n">
        <v>200</v>
      </c>
      <c r="X293" s="16" t="n">
        <v>200</v>
      </c>
      <c r="Y293" s="16" t="n">
        <v>200</v>
      </c>
      <c r="Z293" s="16" t="n">
        <v>200</v>
      </c>
      <c r="AA293" s="16" t="n">
        <v>200</v>
      </c>
    </row>
    <row r="294">
      <c r="A294" s="3" t="inlineStr">
        <is>
          <t>Электрика</t>
        </is>
      </c>
      <c r="B294" s="3" t="inlineStr">
        <is>
          <t>Труба ПНД</t>
        </is>
      </c>
      <c r="C294" s="3" t="inlineStr">
        <is>
          <t>Электромонтажные работы</t>
        </is>
      </c>
      <c r="D294" s="3" t="inlineStr">
        <is>
          <t>Труба ПНД Д-32</t>
        </is>
      </c>
      <c r="E294" s="4">
        <f>N294+O294</f>
        <v/>
      </c>
      <c r="F294" s="3" t="inlineStr">
        <is>
          <t>м.п.</t>
        </is>
      </c>
      <c r="G294" s="4">
        <f>IFERROR('[1]Лист1'!G294,200)</f>
        <v/>
      </c>
      <c r="H294" s="16" t="n">
        <v>200</v>
      </c>
      <c r="I294" s="16" t="n">
        <v>200</v>
      </c>
      <c r="J294" s="16" t="n">
        <v>200</v>
      </c>
      <c r="K294" s="16" t="n">
        <v>200</v>
      </c>
      <c r="L294" s="16" t="n">
        <v>200</v>
      </c>
      <c r="M294" s="16" t="n">
        <v>200</v>
      </c>
      <c r="N294" s="4">
        <f>Работы!S296</f>
        <v/>
      </c>
      <c r="O294" s="4">
        <f>Работы!R296</f>
        <v/>
      </c>
      <c r="P294" s="16" t="n">
        <v>200</v>
      </c>
      <c r="Q294" s="16" t="n">
        <v>200</v>
      </c>
      <c r="R294" s="16" t="n">
        <v>200</v>
      </c>
      <c r="S294" s="16" t="n">
        <v>200</v>
      </c>
      <c r="T294" s="16" t="n">
        <v>200</v>
      </c>
      <c r="U294" s="16" t="n">
        <v>200</v>
      </c>
      <c r="V294" s="16" t="n">
        <v>200</v>
      </c>
      <c r="W294" s="16" t="n">
        <v>200</v>
      </c>
      <c r="X294" s="16" t="n">
        <v>200</v>
      </c>
      <c r="Y294" s="16" t="n">
        <v>200</v>
      </c>
      <c r="Z294" s="16" t="n">
        <v>200</v>
      </c>
      <c r="AA294" s="16" t="n">
        <v>200</v>
      </c>
    </row>
    <row r="295">
      <c r="A295" s="3" t="inlineStr">
        <is>
          <t>Электрика</t>
        </is>
      </c>
      <c r="B295" s="3" t="inlineStr">
        <is>
          <t>Прочее</t>
        </is>
      </c>
      <c r="C295" s="3" t="inlineStr">
        <is>
          <t>Электромонтажные работы</t>
        </is>
      </c>
      <c r="D295" s="3" t="inlineStr">
        <is>
          <t>Нулевая шина медная/Шина Заземления</t>
        </is>
      </c>
      <c r="E295" s="4">
        <f>N295+O295</f>
        <v/>
      </c>
      <c r="F295" s="3" t="inlineStr">
        <is>
          <t>шт.</t>
        </is>
      </c>
      <c r="G295" s="4">
        <f>IFERROR('[1]Лист1'!G295,30)</f>
        <v/>
      </c>
      <c r="H295" s="16" t="n">
        <v>30</v>
      </c>
      <c r="I295" s="16" t="n">
        <v>30</v>
      </c>
      <c r="J295" s="16" t="n">
        <v>30</v>
      </c>
      <c r="K295" s="16" t="n">
        <v>30</v>
      </c>
      <c r="L295" s="16" t="n">
        <v>30</v>
      </c>
      <c r="M295" s="16" t="n">
        <v>30</v>
      </c>
      <c r="N295" s="4">
        <f>Работы!S297</f>
        <v/>
      </c>
      <c r="O295" s="4">
        <f>Работы!R297</f>
        <v/>
      </c>
      <c r="P295" s="16" t="n">
        <v>30</v>
      </c>
      <c r="Q295" s="16" t="n">
        <v>30</v>
      </c>
      <c r="R295" s="16" t="n">
        <v>30</v>
      </c>
      <c r="S295" s="16" t="n">
        <v>30</v>
      </c>
      <c r="T295" s="16" t="n">
        <v>30</v>
      </c>
      <c r="U295" s="16" t="n">
        <v>30</v>
      </c>
      <c r="V295" s="16" t="n">
        <v>30</v>
      </c>
      <c r="W295" s="16" t="n">
        <v>30</v>
      </c>
      <c r="X295" s="16" t="n">
        <v>30</v>
      </c>
      <c r="Y295" s="16" t="n">
        <v>30</v>
      </c>
      <c r="Z295" s="16" t="n">
        <v>30</v>
      </c>
      <c r="AA295" s="16" t="n">
        <v>30</v>
      </c>
    </row>
    <row r="296">
      <c r="A296" s="3" t="inlineStr">
        <is>
          <t>Электрика</t>
        </is>
      </c>
      <c r="B296" s="3" t="inlineStr">
        <is>
          <t>Прочее</t>
        </is>
      </c>
      <c r="C296" s="3" t="inlineStr">
        <is>
          <t>Электромонтажные работы</t>
        </is>
      </c>
      <c r="D296" s="3" t="inlineStr">
        <is>
          <t>Держатели плавких вставок габарит 00</t>
        </is>
      </c>
      <c r="E296" s="4">
        <f>N296+O296</f>
        <v/>
      </c>
      <c r="F296" s="3" t="inlineStr">
        <is>
          <t>шт.</t>
        </is>
      </c>
      <c r="G296" s="4">
        <f>IFERROR('[1]Лист1'!G296,30)</f>
        <v/>
      </c>
      <c r="H296" s="16" t="n">
        <v>30</v>
      </c>
      <c r="I296" s="16" t="n">
        <v>30</v>
      </c>
      <c r="J296" s="16" t="n">
        <v>30</v>
      </c>
      <c r="K296" s="16" t="n">
        <v>30</v>
      </c>
      <c r="L296" s="16" t="n">
        <v>30</v>
      </c>
      <c r="M296" s="16" t="n">
        <v>30</v>
      </c>
      <c r="N296" s="4">
        <f>Работы!S298</f>
        <v/>
      </c>
      <c r="O296" s="4">
        <f>Работы!R298</f>
        <v/>
      </c>
      <c r="P296" s="16" t="n">
        <v>30</v>
      </c>
      <c r="Q296" s="16" t="n">
        <v>30</v>
      </c>
      <c r="R296" s="16" t="n">
        <v>30</v>
      </c>
      <c r="S296" s="16" t="n">
        <v>30</v>
      </c>
      <c r="T296" s="16" t="n">
        <v>30</v>
      </c>
      <c r="U296" s="16" t="n">
        <v>30</v>
      </c>
      <c r="V296" s="16" t="n">
        <v>30</v>
      </c>
      <c r="W296" s="16" t="n">
        <v>30</v>
      </c>
      <c r="X296" s="16" t="n">
        <v>30</v>
      </c>
      <c r="Y296" s="16" t="n">
        <v>30</v>
      </c>
      <c r="Z296" s="16" t="n">
        <v>30</v>
      </c>
      <c r="AA296" s="16" t="n">
        <v>30</v>
      </c>
    </row>
    <row r="297">
      <c r="A297" s="3" t="inlineStr">
        <is>
          <t>Электрика</t>
        </is>
      </c>
      <c r="B297" s="3" t="inlineStr">
        <is>
          <t>Прочее</t>
        </is>
      </c>
      <c r="C297" s="3" t="inlineStr">
        <is>
          <t>Электромонтажные работы</t>
        </is>
      </c>
      <c r="D297" s="3" t="inlineStr">
        <is>
          <t>Коробка распределительная 100х100х50 IP55 6 -вводов</t>
        </is>
      </c>
      <c r="E297" s="4">
        <f>N297+O297</f>
        <v/>
      </c>
      <c r="F297" s="3" t="inlineStr">
        <is>
          <t>шт.</t>
        </is>
      </c>
      <c r="G297" s="4">
        <f>IFERROR('[1]Лист1'!G297,30)</f>
        <v/>
      </c>
      <c r="H297" s="16" t="n">
        <v>30</v>
      </c>
      <c r="I297" s="16" t="n">
        <v>30</v>
      </c>
      <c r="J297" s="16" t="n">
        <v>30</v>
      </c>
      <c r="K297" s="16" t="n">
        <v>30</v>
      </c>
      <c r="L297" s="16" t="n">
        <v>30</v>
      </c>
      <c r="M297" s="16" t="n">
        <v>30</v>
      </c>
      <c r="N297" s="4">
        <f>Работы!S299</f>
        <v/>
      </c>
      <c r="O297" s="4">
        <f>Работы!R299</f>
        <v/>
      </c>
      <c r="P297" s="16" t="n">
        <v>30</v>
      </c>
      <c r="Q297" s="16" t="n">
        <v>30</v>
      </c>
      <c r="R297" s="16" t="n">
        <v>30</v>
      </c>
      <c r="S297" s="16" t="n">
        <v>30</v>
      </c>
      <c r="T297" s="16" t="n">
        <v>30</v>
      </c>
      <c r="U297" s="16" t="n">
        <v>30</v>
      </c>
      <c r="V297" s="16" t="n">
        <v>30</v>
      </c>
      <c r="W297" s="16" t="n">
        <v>30</v>
      </c>
      <c r="X297" s="16" t="n">
        <v>30</v>
      </c>
      <c r="Y297" s="16" t="n">
        <v>30</v>
      </c>
      <c r="Z297" s="16" t="n">
        <v>30</v>
      </c>
      <c r="AA297" s="16" t="n">
        <v>30</v>
      </c>
    </row>
    <row r="298">
      <c r="A298" s="3" t="inlineStr">
        <is>
          <t>Электрика</t>
        </is>
      </c>
      <c r="B298" s="3" t="inlineStr">
        <is>
          <t>Прочее</t>
        </is>
      </c>
      <c r="C298" s="3" t="inlineStr">
        <is>
          <t>Электромонтажные работы</t>
        </is>
      </c>
      <c r="D298" s="3" t="inlineStr">
        <is>
          <t>Датчики движения н/в установки Steinel или аналог</t>
        </is>
      </c>
      <c r="E298" s="4">
        <f>N298+O298</f>
        <v/>
      </c>
      <c r="F298" s="3" t="inlineStr">
        <is>
          <t>шт.</t>
        </is>
      </c>
      <c r="G298" s="4">
        <f>IFERROR('[1]Лист1'!G298,30)</f>
        <v/>
      </c>
      <c r="H298" s="16" t="n">
        <v>30</v>
      </c>
      <c r="I298" s="16" t="n">
        <v>30</v>
      </c>
      <c r="J298" s="16" t="n">
        <v>30</v>
      </c>
      <c r="K298" s="16" t="n">
        <v>30</v>
      </c>
      <c r="L298" s="16" t="n">
        <v>30</v>
      </c>
      <c r="M298" s="16" t="n">
        <v>30</v>
      </c>
      <c r="N298" s="4">
        <f>Работы!S300</f>
        <v/>
      </c>
      <c r="O298" s="4">
        <f>Работы!R300</f>
        <v/>
      </c>
      <c r="P298" s="16" t="n">
        <v>30</v>
      </c>
      <c r="Q298" s="16" t="n">
        <v>30</v>
      </c>
      <c r="R298" s="16" t="n">
        <v>30</v>
      </c>
      <c r="S298" s="16" t="n">
        <v>30</v>
      </c>
      <c r="T298" s="16" t="n">
        <v>30</v>
      </c>
      <c r="U298" s="16" t="n">
        <v>30</v>
      </c>
      <c r="V298" s="16" t="n">
        <v>30</v>
      </c>
      <c r="W298" s="16" t="n">
        <v>30</v>
      </c>
      <c r="X298" s="16" t="n">
        <v>30</v>
      </c>
      <c r="Y298" s="16" t="n">
        <v>30</v>
      </c>
      <c r="Z298" s="16" t="n">
        <v>30</v>
      </c>
      <c r="AA298" s="16" t="n">
        <v>30</v>
      </c>
    </row>
    <row r="299">
      <c r="A299" s="3" t="inlineStr">
        <is>
          <t>Электрика</t>
        </is>
      </c>
      <c r="B299" s="3" t="inlineStr">
        <is>
          <t>Прочее</t>
        </is>
      </c>
      <c r="C299" s="3" t="inlineStr">
        <is>
          <t>Электромонтажные работы</t>
        </is>
      </c>
      <c r="D299" s="3" t="inlineStr">
        <is>
          <t>Проведение приёмо-сдаточных испытаний (Технический отчёт о проведении испытаний электроустановки помещения) / услуга</t>
        </is>
      </c>
      <c r="E299" s="4">
        <f>N299+O299</f>
        <v/>
      </c>
      <c r="F299" s="3" t="inlineStr">
        <is>
          <t>шт.</t>
        </is>
      </c>
      <c r="G299" s="4">
        <f>IFERROR('[1]Лист1'!G299,30)</f>
        <v/>
      </c>
      <c r="H299" s="16" t="n">
        <v>30</v>
      </c>
      <c r="I299" s="16" t="n">
        <v>30</v>
      </c>
      <c r="J299" s="16" t="n">
        <v>30</v>
      </c>
      <c r="K299" s="16" t="n">
        <v>30</v>
      </c>
      <c r="L299" s="16" t="n">
        <v>30</v>
      </c>
      <c r="M299" s="16" t="n">
        <v>30</v>
      </c>
      <c r="N299" s="4">
        <f>Работы!S301</f>
        <v/>
      </c>
      <c r="O299" s="4">
        <f>Работы!R301</f>
        <v/>
      </c>
      <c r="P299" s="16" t="n">
        <v>30</v>
      </c>
      <c r="Q299" s="16" t="n">
        <v>30</v>
      </c>
      <c r="R299" s="16" t="n">
        <v>30</v>
      </c>
      <c r="S299" s="16" t="n">
        <v>30</v>
      </c>
      <c r="T299" s="16" t="n">
        <v>30</v>
      </c>
      <c r="U299" s="16" t="n">
        <v>30</v>
      </c>
      <c r="V299" s="16" t="n">
        <v>30</v>
      </c>
      <c r="W299" s="16" t="n">
        <v>30</v>
      </c>
      <c r="X299" s="16" t="n">
        <v>30</v>
      </c>
      <c r="Y299" s="16" t="n">
        <v>30</v>
      </c>
      <c r="Z299" s="16" t="n">
        <v>30</v>
      </c>
      <c r="AA299" s="16" t="n">
        <v>30</v>
      </c>
    </row>
    <row r="300">
      <c r="A300" s="3" t="inlineStr">
        <is>
          <t>Электрика</t>
        </is>
      </c>
      <c r="B300" s="3" t="inlineStr">
        <is>
          <t>Прочее</t>
        </is>
      </c>
      <c r="C300" s="3" t="inlineStr">
        <is>
          <t>Электромонтажные работы</t>
        </is>
      </c>
      <c r="D300" s="3" t="inlineStr">
        <is>
          <t>Ламподержатель для Светильника 4*18</t>
        </is>
      </c>
      <c r="E300" s="4">
        <f>N300+O300</f>
        <v/>
      </c>
      <c r="F300" s="3" t="inlineStr">
        <is>
          <t>шт.</t>
        </is>
      </c>
      <c r="G300" s="4">
        <f>IFERROR('[1]Лист1'!G300,30)</f>
        <v/>
      </c>
      <c r="H300" s="16" t="n">
        <v>30</v>
      </c>
      <c r="I300" s="16" t="n">
        <v>30</v>
      </c>
      <c r="J300" s="16" t="n">
        <v>30</v>
      </c>
      <c r="K300" s="16" t="n">
        <v>30</v>
      </c>
      <c r="L300" s="16" t="n">
        <v>30</v>
      </c>
      <c r="M300" s="16" t="n">
        <v>30</v>
      </c>
      <c r="N300" s="4">
        <f>Работы!S302</f>
        <v/>
      </c>
      <c r="O300" s="4">
        <f>Работы!R302</f>
        <v/>
      </c>
      <c r="P300" s="16" t="n">
        <v>30</v>
      </c>
      <c r="Q300" s="16" t="n">
        <v>30</v>
      </c>
      <c r="R300" s="16" t="n">
        <v>30</v>
      </c>
      <c r="S300" s="16" t="n">
        <v>30</v>
      </c>
      <c r="T300" s="16" t="n">
        <v>30</v>
      </c>
      <c r="U300" s="16" t="n">
        <v>30</v>
      </c>
      <c r="V300" s="16" t="n">
        <v>30</v>
      </c>
      <c r="W300" s="16" t="n">
        <v>30</v>
      </c>
      <c r="X300" s="16" t="n">
        <v>30</v>
      </c>
      <c r="Y300" s="16" t="n">
        <v>30</v>
      </c>
      <c r="Z300" s="16" t="n">
        <v>30</v>
      </c>
      <c r="AA300" s="16" t="n">
        <v>30</v>
      </c>
    </row>
    <row r="301">
      <c r="A301" s="3" t="inlineStr">
        <is>
          <t>Электрика</t>
        </is>
      </c>
      <c r="B301" s="3" t="inlineStr">
        <is>
          <t>Прочее</t>
        </is>
      </c>
      <c r="C301" s="3" t="inlineStr">
        <is>
          <t>Электромонтажные работы</t>
        </is>
      </c>
      <c r="D301" s="3" t="inlineStr">
        <is>
          <t>TYCO/IEK Коробка распределительная 100х100х50мм откидная крышка 8 вводов IP54</t>
        </is>
      </c>
      <c r="E301" s="4">
        <f>N301+O301</f>
        <v/>
      </c>
      <c r="F301" s="3" t="inlineStr">
        <is>
          <t>шт.</t>
        </is>
      </c>
      <c r="G301" s="4">
        <f>IFERROR('[1]Лист1'!G301,30)</f>
        <v/>
      </c>
      <c r="H301" s="16" t="n">
        <v>30</v>
      </c>
      <c r="I301" s="16" t="n">
        <v>30</v>
      </c>
      <c r="J301" s="16" t="n">
        <v>30</v>
      </c>
      <c r="K301" s="16" t="n">
        <v>30</v>
      </c>
      <c r="L301" s="16" t="n">
        <v>30</v>
      </c>
      <c r="M301" s="16" t="n">
        <v>30</v>
      </c>
      <c r="N301" s="4">
        <f>Работы!S303</f>
        <v/>
      </c>
      <c r="O301" s="4">
        <f>Работы!R303</f>
        <v/>
      </c>
      <c r="P301" s="16" t="n">
        <v>30</v>
      </c>
      <c r="Q301" s="16" t="n">
        <v>30</v>
      </c>
      <c r="R301" s="16" t="n">
        <v>30</v>
      </c>
      <c r="S301" s="16" t="n">
        <v>30</v>
      </c>
      <c r="T301" s="16" t="n">
        <v>30</v>
      </c>
      <c r="U301" s="16" t="n">
        <v>30</v>
      </c>
      <c r="V301" s="16" t="n">
        <v>30</v>
      </c>
      <c r="W301" s="16" t="n">
        <v>30</v>
      </c>
      <c r="X301" s="16" t="n">
        <v>30</v>
      </c>
      <c r="Y301" s="16" t="n">
        <v>30</v>
      </c>
      <c r="Z301" s="16" t="n">
        <v>30</v>
      </c>
      <c r="AA301" s="16" t="n">
        <v>30</v>
      </c>
    </row>
    <row r="302">
      <c r="A302" s="3" t="inlineStr">
        <is>
          <t>Электрика</t>
        </is>
      </c>
      <c r="B302" s="3" t="inlineStr">
        <is>
          <t>Прочее</t>
        </is>
      </c>
      <c r="C302" s="3" t="inlineStr">
        <is>
          <t>Электромонтажные работы</t>
        </is>
      </c>
      <c r="D302" s="3" t="inlineStr">
        <is>
          <t>TYCO/IEK Коробка распределительная 85х85х50мм откидная крышка 8 вводов IP54</t>
        </is>
      </c>
      <c r="E302" s="4">
        <f>N302+O302</f>
        <v/>
      </c>
      <c r="F302" s="3" t="inlineStr">
        <is>
          <t>шт.</t>
        </is>
      </c>
      <c r="G302" s="4">
        <f>IFERROR('[1]Лист1'!G302,30)</f>
        <v/>
      </c>
      <c r="H302" s="16" t="n">
        <v>30</v>
      </c>
      <c r="I302" s="16" t="n">
        <v>30</v>
      </c>
      <c r="J302" s="16" t="n">
        <v>30</v>
      </c>
      <c r="K302" s="16" t="n">
        <v>30</v>
      </c>
      <c r="L302" s="16" t="n">
        <v>30</v>
      </c>
      <c r="M302" s="16" t="n">
        <v>30</v>
      </c>
      <c r="N302" s="4">
        <f>Работы!S304</f>
        <v/>
      </c>
      <c r="O302" s="4">
        <f>Работы!R304</f>
        <v/>
      </c>
      <c r="P302" s="16" t="n">
        <v>30</v>
      </c>
      <c r="Q302" s="16" t="n">
        <v>30</v>
      </c>
      <c r="R302" s="16" t="n">
        <v>30</v>
      </c>
      <c r="S302" s="16" t="n">
        <v>30</v>
      </c>
      <c r="T302" s="16" t="n">
        <v>30</v>
      </c>
      <c r="U302" s="16" t="n">
        <v>30</v>
      </c>
      <c r="V302" s="16" t="n">
        <v>30</v>
      </c>
      <c r="W302" s="16" t="n">
        <v>30</v>
      </c>
      <c r="X302" s="16" t="n">
        <v>30</v>
      </c>
      <c r="Y302" s="16" t="n">
        <v>30</v>
      </c>
      <c r="Z302" s="16" t="n">
        <v>30</v>
      </c>
      <c r="AA302" s="16" t="n">
        <v>30</v>
      </c>
    </row>
    <row r="303">
      <c r="A303" s="3" t="inlineStr">
        <is>
          <t>Электрика</t>
        </is>
      </c>
      <c r="B303" s="3" t="inlineStr">
        <is>
          <t>Прочее</t>
        </is>
      </c>
      <c r="C303" s="3" t="inlineStr">
        <is>
          <t>Электромонтажные работы</t>
        </is>
      </c>
      <c r="D303" s="3" t="inlineStr">
        <is>
          <t>TYCO|IEK Коробка распределительная 50х50х50мм откидная крышка IP54</t>
        </is>
      </c>
      <c r="E303" s="4">
        <f>N303+O303</f>
        <v/>
      </c>
      <c r="F303" s="3" t="inlineStr">
        <is>
          <t>шт.</t>
        </is>
      </c>
      <c r="G303" s="4">
        <f>IFERROR('[1]Лист1'!G303,30)</f>
        <v/>
      </c>
      <c r="H303" s="16" t="n">
        <v>30</v>
      </c>
      <c r="I303" s="16" t="n">
        <v>30</v>
      </c>
      <c r="J303" s="16" t="n">
        <v>30</v>
      </c>
      <c r="K303" s="16" t="n">
        <v>30</v>
      </c>
      <c r="L303" s="16" t="n">
        <v>30</v>
      </c>
      <c r="M303" s="16" t="n">
        <v>30</v>
      </c>
      <c r="N303" s="4">
        <f>Работы!S305</f>
        <v/>
      </c>
      <c r="O303" s="4">
        <f>Работы!R305</f>
        <v/>
      </c>
      <c r="P303" s="16" t="n">
        <v>30</v>
      </c>
      <c r="Q303" s="16" t="n">
        <v>30</v>
      </c>
      <c r="R303" s="16" t="n">
        <v>30</v>
      </c>
      <c r="S303" s="16" t="n">
        <v>30</v>
      </c>
      <c r="T303" s="16" t="n">
        <v>30</v>
      </c>
      <c r="U303" s="16" t="n">
        <v>30</v>
      </c>
      <c r="V303" s="16" t="n">
        <v>30</v>
      </c>
      <c r="W303" s="16" t="n">
        <v>30</v>
      </c>
      <c r="X303" s="16" t="n">
        <v>30</v>
      </c>
      <c r="Y303" s="16" t="n">
        <v>30</v>
      </c>
      <c r="Z303" s="16" t="n">
        <v>30</v>
      </c>
      <c r="AA303" s="16" t="n">
        <v>30</v>
      </c>
    </row>
    <row r="304">
      <c r="A304" s="3" t="inlineStr">
        <is>
          <t>Электрика</t>
        </is>
      </c>
      <c r="B304" s="3" t="inlineStr">
        <is>
          <t>Прочее</t>
        </is>
      </c>
      <c r="C304" s="3" t="inlineStr">
        <is>
          <t>Электромонтажные работы</t>
        </is>
      </c>
      <c r="D304" s="3" t="inlineStr">
        <is>
          <t>Патрон G13 для лампы освещения</t>
        </is>
      </c>
      <c r="E304" s="4">
        <f>N304+O304</f>
        <v/>
      </c>
      <c r="F304" s="3" t="inlineStr">
        <is>
          <t>шт.</t>
        </is>
      </c>
      <c r="G304" s="4">
        <f>IFERROR('[1]Лист1'!G304,30)</f>
        <v/>
      </c>
      <c r="H304" s="16" t="n">
        <v>30</v>
      </c>
      <c r="I304" s="16" t="n">
        <v>30</v>
      </c>
      <c r="J304" s="16" t="n">
        <v>30</v>
      </c>
      <c r="K304" s="16" t="n">
        <v>30</v>
      </c>
      <c r="L304" s="16" t="n">
        <v>30</v>
      </c>
      <c r="M304" s="16" t="n">
        <v>30</v>
      </c>
      <c r="N304" s="4">
        <f>Работы!S306</f>
        <v/>
      </c>
      <c r="O304" s="4">
        <f>Работы!R306</f>
        <v/>
      </c>
      <c r="P304" s="16" t="n">
        <v>30</v>
      </c>
      <c r="Q304" s="16" t="n">
        <v>30</v>
      </c>
      <c r="R304" s="16" t="n">
        <v>30</v>
      </c>
      <c r="S304" s="16" t="n">
        <v>30</v>
      </c>
      <c r="T304" s="16" t="n">
        <v>30</v>
      </c>
      <c r="U304" s="16" t="n">
        <v>30</v>
      </c>
      <c r="V304" s="16" t="n">
        <v>30</v>
      </c>
      <c r="W304" s="16" t="n">
        <v>30</v>
      </c>
      <c r="X304" s="16" t="n">
        <v>30</v>
      </c>
      <c r="Y304" s="16" t="n">
        <v>30</v>
      </c>
      <c r="Z304" s="16" t="n">
        <v>30</v>
      </c>
      <c r="AA304" s="16" t="n">
        <v>30</v>
      </c>
    </row>
    <row r="305">
      <c r="A305" s="3" t="inlineStr">
        <is>
          <t>Электрика</t>
        </is>
      </c>
      <c r="B305" s="3" t="inlineStr">
        <is>
          <t>Прочее</t>
        </is>
      </c>
      <c r="C305" s="3" t="inlineStr">
        <is>
          <t>Электромонтажные работы</t>
        </is>
      </c>
      <c r="D305" s="3" t="inlineStr">
        <is>
          <t>Патрон E27 для лампы освещения</t>
        </is>
      </c>
      <c r="E305" s="4">
        <f>N305+O305</f>
        <v/>
      </c>
      <c r="F305" s="3" t="inlineStr">
        <is>
          <t>шт.</t>
        </is>
      </c>
      <c r="G305" s="4">
        <f>IFERROR('[1]Лист1'!G305,30)</f>
        <v/>
      </c>
      <c r="H305" s="16" t="n">
        <v>30</v>
      </c>
      <c r="I305" s="16" t="n">
        <v>30</v>
      </c>
      <c r="J305" s="16" t="n">
        <v>30</v>
      </c>
      <c r="K305" s="16" t="n">
        <v>30</v>
      </c>
      <c r="L305" s="16" t="n">
        <v>30</v>
      </c>
      <c r="M305" s="16" t="n">
        <v>30</v>
      </c>
      <c r="N305" s="4">
        <f>Работы!S307</f>
        <v/>
      </c>
      <c r="O305" s="4">
        <f>Работы!R307</f>
        <v/>
      </c>
      <c r="P305" s="16" t="n">
        <v>30</v>
      </c>
      <c r="Q305" s="16" t="n">
        <v>30</v>
      </c>
      <c r="R305" s="16" t="n">
        <v>30</v>
      </c>
      <c r="S305" s="16" t="n">
        <v>30</v>
      </c>
      <c r="T305" s="16" t="n">
        <v>30</v>
      </c>
      <c r="U305" s="16" t="n">
        <v>30</v>
      </c>
      <c r="V305" s="16" t="n">
        <v>30</v>
      </c>
      <c r="W305" s="16" t="n">
        <v>30</v>
      </c>
      <c r="X305" s="16" t="n">
        <v>30</v>
      </c>
      <c r="Y305" s="16" t="n">
        <v>30</v>
      </c>
      <c r="Z305" s="16" t="n">
        <v>30</v>
      </c>
      <c r="AA305" s="16" t="n">
        <v>30</v>
      </c>
    </row>
    <row r="306">
      <c r="A306" s="3" t="inlineStr">
        <is>
          <t>Электрика</t>
        </is>
      </c>
      <c r="B306" s="3" t="inlineStr">
        <is>
          <t>Прочее</t>
        </is>
      </c>
      <c r="C306" s="3" t="inlineStr">
        <is>
          <t>Электромонтажные работы</t>
        </is>
      </c>
      <c r="D306" s="3" t="inlineStr">
        <is>
          <t>Муфта соединительная, тип Стп-10-150/240</t>
        </is>
      </c>
      <c r="E306" s="4">
        <f>N306+O306</f>
        <v/>
      </c>
      <c r="F306" s="3" t="inlineStr">
        <is>
          <t>шт.</t>
        </is>
      </c>
      <c r="G306" s="4">
        <f>IFERROR('[1]Лист1'!G306,30)</f>
        <v/>
      </c>
      <c r="H306" s="16" t="n">
        <v>30</v>
      </c>
      <c r="I306" s="16" t="n">
        <v>30</v>
      </c>
      <c r="J306" s="16" t="n">
        <v>30</v>
      </c>
      <c r="K306" s="16" t="n">
        <v>30</v>
      </c>
      <c r="L306" s="16" t="n">
        <v>30</v>
      </c>
      <c r="M306" s="16" t="n">
        <v>30</v>
      </c>
      <c r="N306" s="4">
        <f>Работы!S308</f>
        <v/>
      </c>
      <c r="O306" s="4">
        <f>Работы!R308</f>
        <v/>
      </c>
      <c r="P306" s="16" t="n">
        <v>30</v>
      </c>
      <c r="Q306" s="16" t="n">
        <v>30</v>
      </c>
      <c r="R306" s="16" t="n">
        <v>30</v>
      </c>
      <c r="S306" s="16" t="n">
        <v>30</v>
      </c>
      <c r="T306" s="16" t="n">
        <v>30</v>
      </c>
      <c r="U306" s="16" t="n">
        <v>30</v>
      </c>
      <c r="V306" s="16" t="n">
        <v>30</v>
      </c>
      <c r="W306" s="16" t="n">
        <v>30</v>
      </c>
      <c r="X306" s="16" t="n">
        <v>30</v>
      </c>
      <c r="Y306" s="16" t="n">
        <v>30</v>
      </c>
      <c r="Z306" s="16" t="n">
        <v>30</v>
      </c>
      <c r="AA306" s="16" t="n">
        <v>30</v>
      </c>
    </row>
    <row r="307">
      <c r="A307" s="3" t="inlineStr">
        <is>
          <t>Электрика</t>
        </is>
      </c>
      <c r="B307" s="3" t="inlineStr">
        <is>
          <t>Прочее</t>
        </is>
      </c>
      <c r="C307" s="3" t="inlineStr">
        <is>
          <t>Электромонтажные работы</t>
        </is>
      </c>
      <c r="D307" s="3" t="inlineStr">
        <is>
          <t>Аккумулятор Энергия АКБ 12-55 (12В, 55 Ач, В235×Ш229×Г138)</t>
        </is>
      </c>
      <c r="E307" s="4">
        <f>N307+O307</f>
        <v/>
      </c>
      <c r="F307" s="3" t="inlineStr">
        <is>
          <t>шт.</t>
        </is>
      </c>
      <c r="G307" s="4">
        <f>IFERROR('[1]Лист1'!G307,30)</f>
        <v/>
      </c>
      <c r="H307" s="16" t="n">
        <v>30</v>
      </c>
      <c r="I307" s="16" t="n">
        <v>30</v>
      </c>
      <c r="J307" s="16" t="n">
        <v>30</v>
      </c>
      <c r="K307" s="16" t="n">
        <v>30</v>
      </c>
      <c r="L307" s="16" t="n">
        <v>30</v>
      </c>
      <c r="M307" s="16" t="n">
        <v>30</v>
      </c>
      <c r="N307" s="4">
        <f>Работы!S309</f>
        <v/>
      </c>
      <c r="O307" s="4">
        <f>Работы!R309</f>
        <v/>
      </c>
      <c r="P307" s="16" t="n">
        <v>30</v>
      </c>
      <c r="Q307" s="16" t="n">
        <v>30</v>
      </c>
      <c r="R307" s="16" t="n">
        <v>30</v>
      </c>
      <c r="S307" s="16" t="n">
        <v>30</v>
      </c>
      <c r="T307" s="16" t="n">
        <v>30</v>
      </c>
      <c r="U307" s="16" t="n">
        <v>30</v>
      </c>
      <c r="V307" s="16" t="n">
        <v>30</v>
      </c>
      <c r="W307" s="16" t="n">
        <v>30</v>
      </c>
      <c r="X307" s="16" t="n">
        <v>30</v>
      </c>
      <c r="Y307" s="16" t="n">
        <v>30</v>
      </c>
      <c r="Z307" s="16" t="n">
        <v>30</v>
      </c>
      <c r="AA307" s="16" t="n">
        <v>30</v>
      </c>
    </row>
    <row r="308">
      <c r="A308" s="3" t="inlineStr">
        <is>
          <t>Электрика</t>
        </is>
      </c>
      <c r="B308" s="3" t="inlineStr">
        <is>
          <t>ИБП</t>
        </is>
      </c>
      <c r="C308" s="3" t="inlineStr">
        <is>
          <t>Электромонтажные работы</t>
        </is>
      </c>
      <c r="D308" s="3" t="inlineStr">
        <is>
          <t>ИБП KEOR LP 3000ВА Legrand или аналог</t>
        </is>
      </c>
      <c r="E308" s="4">
        <f>N308+O308</f>
        <v/>
      </c>
      <c r="F308" s="3" t="inlineStr">
        <is>
          <t>шт.</t>
        </is>
      </c>
      <c r="G308" s="4">
        <f>IFERROR('[1]Лист1'!G308,30)</f>
        <v/>
      </c>
      <c r="H308" s="16" t="n">
        <v>30</v>
      </c>
      <c r="I308" s="16" t="n">
        <v>30</v>
      </c>
      <c r="J308" s="16" t="n">
        <v>30</v>
      </c>
      <c r="K308" s="16" t="n">
        <v>30</v>
      </c>
      <c r="L308" s="16" t="n">
        <v>30</v>
      </c>
      <c r="M308" s="16" t="n">
        <v>30</v>
      </c>
      <c r="N308" s="4">
        <f>Работы!S310</f>
        <v/>
      </c>
      <c r="O308" s="4">
        <f>Работы!R310</f>
        <v/>
      </c>
      <c r="P308" s="16" t="n">
        <v>30</v>
      </c>
      <c r="Q308" s="16" t="n">
        <v>30</v>
      </c>
      <c r="R308" s="16" t="n">
        <v>30</v>
      </c>
      <c r="S308" s="16" t="n">
        <v>30</v>
      </c>
      <c r="T308" s="16" t="n">
        <v>30</v>
      </c>
      <c r="U308" s="16" t="n">
        <v>30</v>
      </c>
      <c r="V308" s="16" t="n">
        <v>30</v>
      </c>
      <c r="W308" s="16" t="n">
        <v>30</v>
      </c>
      <c r="X308" s="16" t="n">
        <v>30</v>
      </c>
      <c r="Y308" s="16" t="n">
        <v>30</v>
      </c>
      <c r="Z308" s="16" t="n">
        <v>30</v>
      </c>
      <c r="AA308" s="16" t="n">
        <v>30</v>
      </c>
    </row>
    <row r="309">
      <c r="A309" s="3" t="inlineStr">
        <is>
          <t>Электрика</t>
        </is>
      </c>
      <c r="B309" s="3" t="inlineStr">
        <is>
          <t>Прочее</t>
        </is>
      </c>
      <c r="C309" s="3" t="inlineStr">
        <is>
          <t>Электромонтажные работы</t>
        </is>
      </c>
      <c r="D309" s="3" t="inlineStr">
        <is>
          <t>Разработка однолинейной схемы</t>
        </is>
      </c>
      <c r="E309" s="4">
        <f>N309+O309</f>
        <v/>
      </c>
      <c r="F309" s="3" t="inlineStr">
        <is>
          <t>шт.</t>
        </is>
      </c>
      <c r="G309" s="4">
        <f>IFERROR('[1]Лист1'!G309,30)</f>
        <v/>
      </c>
      <c r="H309" s="16" t="n">
        <v>30</v>
      </c>
      <c r="I309" s="16" t="n">
        <v>30</v>
      </c>
      <c r="J309" s="16" t="n">
        <v>30</v>
      </c>
      <c r="K309" s="16" t="n">
        <v>30</v>
      </c>
      <c r="L309" s="16" t="n">
        <v>30</v>
      </c>
      <c r="M309" s="16" t="n">
        <v>30</v>
      </c>
      <c r="N309" s="4">
        <f>Работы!S311</f>
        <v/>
      </c>
      <c r="O309" s="4">
        <f>Работы!R311</f>
        <v/>
      </c>
      <c r="P309" s="16" t="n">
        <v>30</v>
      </c>
      <c r="Q309" s="16" t="n">
        <v>30</v>
      </c>
      <c r="R309" s="16" t="n">
        <v>30</v>
      </c>
      <c r="S309" s="16" t="n">
        <v>30</v>
      </c>
      <c r="T309" s="16" t="n">
        <v>30</v>
      </c>
      <c r="U309" s="16" t="n">
        <v>30</v>
      </c>
      <c r="V309" s="16" t="n">
        <v>30</v>
      </c>
      <c r="W309" s="16" t="n">
        <v>30</v>
      </c>
      <c r="X309" s="16" t="n">
        <v>30</v>
      </c>
      <c r="Y309" s="16" t="n">
        <v>30</v>
      </c>
      <c r="Z309" s="16" t="n">
        <v>30</v>
      </c>
      <c r="AA309" s="16" t="n">
        <v>30</v>
      </c>
    </row>
    <row r="310">
      <c r="A310" s="3" t="inlineStr">
        <is>
          <t>Сантехника</t>
        </is>
      </c>
      <c r="B310" s="3" t="inlineStr">
        <is>
          <t>Фаянс</t>
        </is>
      </c>
      <c r="C310" s="3" t="inlineStr">
        <is>
          <t>Замена</t>
        </is>
      </c>
      <c r="D310" s="3" t="inlineStr">
        <is>
          <t>Раковина подвесная 1-й величины ~45х36 см</t>
        </is>
      </c>
      <c r="E310" s="4">
        <f>N310+O310</f>
        <v/>
      </c>
      <c r="F310" s="3" t="inlineStr">
        <is>
          <t>шт.</t>
        </is>
      </c>
      <c r="G310" s="4">
        <f>IFERROR('[1]Лист1'!G310,30)</f>
        <v/>
      </c>
      <c r="H310" s="16" t="n">
        <v>30</v>
      </c>
      <c r="I310" s="16" t="n">
        <v>30</v>
      </c>
      <c r="J310" s="16" t="n">
        <v>30</v>
      </c>
      <c r="K310" s="16" t="n">
        <v>30</v>
      </c>
      <c r="L310" s="16" t="n">
        <v>30</v>
      </c>
      <c r="M310" s="16" t="n">
        <v>30</v>
      </c>
      <c r="N310" s="4">
        <f>Работы!S312</f>
        <v/>
      </c>
      <c r="O310" s="4">
        <f>Работы!R312</f>
        <v/>
      </c>
      <c r="P310" s="16" t="n">
        <v>30</v>
      </c>
      <c r="Q310" s="16" t="n">
        <v>30</v>
      </c>
      <c r="R310" s="16" t="n">
        <v>30</v>
      </c>
      <c r="S310" s="16" t="n">
        <v>30</v>
      </c>
      <c r="T310" s="16" t="n">
        <v>30</v>
      </c>
      <c r="U310" s="16" t="n">
        <v>30</v>
      </c>
      <c r="V310" s="16" t="n">
        <v>30</v>
      </c>
      <c r="W310" s="16" t="n">
        <v>30</v>
      </c>
      <c r="X310" s="16" t="n">
        <v>30</v>
      </c>
      <c r="Y310" s="16" t="n">
        <v>30</v>
      </c>
      <c r="Z310" s="16" t="n">
        <v>30</v>
      </c>
      <c r="AA310" s="16" t="n">
        <v>30</v>
      </c>
    </row>
    <row r="311">
      <c r="A311" s="3" t="inlineStr">
        <is>
          <t>Сантехника</t>
        </is>
      </c>
      <c r="B311" s="3" t="inlineStr">
        <is>
          <t>Фаянс</t>
        </is>
      </c>
      <c r="C311" s="3" t="inlineStr">
        <is>
          <t>Замена</t>
        </is>
      </c>
      <c r="D311" s="3" t="inlineStr">
        <is>
          <t>Раковина подвесная 2-й величины ~55х46 см</t>
        </is>
      </c>
      <c r="E311" s="4">
        <f>N311+O311</f>
        <v/>
      </c>
      <c r="F311" s="3" t="inlineStr">
        <is>
          <t>шт.</t>
        </is>
      </c>
      <c r="G311" s="4">
        <f>IFERROR('[1]Лист1'!G311,30)</f>
        <v/>
      </c>
      <c r="H311" s="16" t="n">
        <v>30</v>
      </c>
      <c r="I311" s="16" t="n">
        <v>30</v>
      </c>
      <c r="J311" s="16" t="n">
        <v>30</v>
      </c>
      <c r="K311" s="16" t="n">
        <v>30</v>
      </c>
      <c r="L311" s="16" t="n">
        <v>30</v>
      </c>
      <c r="M311" s="16" t="n">
        <v>30</v>
      </c>
      <c r="N311" s="4">
        <f>Работы!S313</f>
        <v/>
      </c>
      <c r="O311" s="4">
        <f>Работы!R313</f>
        <v/>
      </c>
      <c r="P311" s="16" t="n">
        <v>30</v>
      </c>
      <c r="Q311" s="16" t="n">
        <v>30</v>
      </c>
      <c r="R311" s="16" t="n">
        <v>30</v>
      </c>
      <c r="S311" s="16" t="n">
        <v>30</v>
      </c>
      <c r="T311" s="16" t="n">
        <v>30</v>
      </c>
      <c r="U311" s="16" t="n">
        <v>30</v>
      </c>
      <c r="V311" s="16" t="n">
        <v>30</v>
      </c>
      <c r="W311" s="16" t="n">
        <v>30</v>
      </c>
      <c r="X311" s="16" t="n">
        <v>30</v>
      </c>
      <c r="Y311" s="16" t="n">
        <v>30</v>
      </c>
      <c r="Z311" s="16" t="n">
        <v>30</v>
      </c>
      <c r="AA311" s="16" t="n">
        <v>30</v>
      </c>
    </row>
    <row r="312">
      <c r="A312" s="3" t="inlineStr">
        <is>
          <t>Сантехника</t>
        </is>
      </c>
      <c r="B312" s="3" t="inlineStr">
        <is>
          <t>Фаянс</t>
        </is>
      </c>
      <c r="C312" s="3" t="inlineStr">
        <is>
          <t>Замена</t>
        </is>
      </c>
      <c r="D312" s="3" t="inlineStr">
        <is>
          <t>Раковина на пъедестале 55х44 см</t>
        </is>
      </c>
      <c r="E312" s="4">
        <f>N312+O312</f>
        <v/>
      </c>
      <c r="F312" s="3" t="inlineStr">
        <is>
          <t>шт.</t>
        </is>
      </c>
      <c r="G312" s="4">
        <f>IFERROR('[1]Лист1'!G312,30)</f>
        <v/>
      </c>
      <c r="H312" s="16" t="n">
        <v>30</v>
      </c>
      <c r="I312" s="16" t="n">
        <v>30</v>
      </c>
      <c r="J312" s="16" t="n">
        <v>30</v>
      </c>
      <c r="K312" s="16" t="n">
        <v>30</v>
      </c>
      <c r="L312" s="16" t="n">
        <v>30</v>
      </c>
      <c r="M312" s="16" t="n">
        <v>30</v>
      </c>
      <c r="N312" s="4">
        <f>Работы!S314</f>
        <v/>
      </c>
      <c r="O312" s="4">
        <f>Работы!R314</f>
        <v/>
      </c>
      <c r="P312" s="16" t="n">
        <v>30</v>
      </c>
      <c r="Q312" s="16" t="n">
        <v>30</v>
      </c>
      <c r="R312" s="16" t="n">
        <v>30</v>
      </c>
      <c r="S312" s="16" t="n">
        <v>30</v>
      </c>
      <c r="T312" s="16" t="n">
        <v>30</v>
      </c>
      <c r="U312" s="16" t="n">
        <v>30</v>
      </c>
      <c r="V312" s="16" t="n">
        <v>30</v>
      </c>
      <c r="W312" s="16" t="n">
        <v>30</v>
      </c>
      <c r="X312" s="16" t="n">
        <v>30</v>
      </c>
      <c r="Y312" s="16" t="n">
        <v>30</v>
      </c>
      <c r="Z312" s="16" t="n">
        <v>30</v>
      </c>
      <c r="AA312" s="16" t="n">
        <v>30</v>
      </c>
    </row>
    <row r="313">
      <c r="A313" s="3" t="inlineStr">
        <is>
          <t>Сантехника</t>
        </is>
      </c>
      <c r="B313" s="3" t="inlineStr">
        <is>
          <t>Фаянс</t>
        </is>
      </c>
      <c r="C313" s="3" t="inlineStr">
        <is>
          <t>Замена</t>
        </is>
      </c>
      <c r="D313" s="3" t="inlineStr">
        <is>
          <t>Раковина угловая ~33х33 см</t>
        </is>
      </c>
      <c r="E313" s="4">
        <f>N313+O313</f>
        <v/>
      </c>
      <c r="F313" s="3" t="inlineStr">
        <is>
          <t>шт.</t>
        </is>
      </c>
      <c r="G313" s="4">
        <f>IFERROR('[1]Лист1'!G313,30)</f>
        <v/>
      </c>
      <c r="H313" s="16" t="n">
        <v>30</v>
      </c>
      <c r="I313" s="16" t="n">
        <v>30</v>
      </c>
      <c r="J313" s="16" t="n">
        <v>30</v>
      </c>
      <c r="K313" s="16" t="n">
        <v>30</v>
      </c>
      <c r="L313" s="16" t="n">
        <v>30</v>
      </c>
      <c r="M313" s="16" t="n">
        <v>30</v>
      </c>
      <c r="N313" s="4">
        <f>Работы!S315</f>
        <v/>
      </c>
      <c r="O313" s="4">
        <f>Работы!R315</f>
        <v/>
      </c>
      <c r="P313" s="16" t="n">
        <v>30</v>
      </c>
      <c r="Q313" s="16" t="n">
        <v>30</v>
      </c>
      <c r="R313" s="16" t="n">
        <v>30</v>
      </c>
      <c r="S313" s="16" t="n">
        <v>30</v>
      </c>
      <c r="T313" s="16" t="n">
        <v>30</v>
      </c>
      <c r="U313" s="16" t="n">
        <v>30</v>
      </c>
      <c r="V313" s="16" t="n">
        <v>30</v>
      </c>
      <c r="W313" s="16" t="n">
        <v>30</v>
      </c>
      <c r="X313" s="16" t="n">
        <v>30</v>
      </c>
      <c r="Y313" s="16" t="n">
        <v>30</v>
      </c>
      <c r="Z313" s="16" t="n">
        <v>30</v>
      </c>
      <c r="AA313" s="16" t="n">
        <v>30</v>
      </c>
    </row>
    <row r="314">
      <c r="A314" s="3" t="inlineStr">
        <is>
          <t>Сантехника</t>
        </is>
      </c>
      <c r="B314" s="3" t="inlineStr">
        <is>
          <t>Фаянс</t>
        </is>
      </c>
      <c r="C314" s="3" t="inlineStr">
        <is>
          <t>Замена</t>
        </is>
      </c>
      <c r="D314" s="3" t="inlineStr">
        <is>
          <t>Унитаз-компакт типа "Воротынский"</t>
        </is>
      </c>
      <c r="E314" s="4">
        <f>N314+O314</f>
        <v/>
      </c>
      <c r="F314" s="3" t="inlineStr">
        <is>
          <t>шт.</t>
        </is>
      </c>
      <c r="G314" s="4">
        <f>IFERROR('[1]Лист1'!G314,30)</f>
        <v/>
      </c>
      <c r="H314" s="16" t="n">
        <v>30</v>
      </c>
      <c r="I314" s="16" t="n">
        <v>30</v>
      </c>
      <c r="J314" s="16" t="n">
        <v>30</v>
      </c>
      <c r="K314" s="16" t="n">
        <v>30</v>
      </c>
      <c r="L314" s="16" t="n">
        <v>30</v>
      </c>
      <c r="M314" s="16" t="n">
        <v>30</v>
      </c>
      <c r="N314" s="4">
        <f>Работы!S316</f>
        <v/>
      </c>
      <c r="O314" s="4">
        <f>Работы!R316</f>
        <v/>
      </c>
      <c r="P314" s="16" t="n">
        <v>30</v>
      </c>
      <c r="Q314" s="16" t="n">
        <v>30</v>
      </c>
      <c r="R314" s="16" t="n">
        <v>30</v>
      </c>
      <c r="S314" s="16" t="n">
        <v>30</v>
      </c>
      <c r="T314" s="16" t="n">
        <v>30</v>
      </c>
      <c r="U314" s="16" t="n">
        <v>30</v>
      </c>
      <c r="V314" s="16" t="n">
        <v>30</v>
      </c>
      <c r="W314" s="16" t="n">
        <v>30</v>
      </c>
      <c r="X314" s="16" t="n">
        <v>30</v>
      </c>
      <c r="Y314" s="16" t="n">
        <v>30</v>
      </c>
      <c r="Z314" s="16" t="n">
        <v>30</v>
      </c>
      <c r="AA314" s="16" t="n">
        <v>30</v>
      </c>
    </row>
    <row r="315">
      <c r="A315" s="3" t="inlineStr">
        <is>
          <t>Сантехника</t>
        </is>
      </c>
      <c r="B315" s="3" t="inlineStr">
        <is>
          <t>Фаянс</t>
        </is>
      </c>
      <c r="C315" s="3" t="inlineStr">
        <is>
          <t>Замена</t>
        </is>
      </c>
      <c r="D315" s="3" t="inlineStr">
        <is>
          <t>Умывальник на пьедестале С/О по центру, С/П 47 см ПОЛУКРУГЛЫЙ (390х470х840)</t>
        </is>
      </c>
      <c r="E315" s="4">
        <f>N315+O315</f>
        <v/>
      </c>
      <c r="F315" s="3" t="inlineStr">
        <is>
          <t>шт.</t>
        </is>
      </c>
      <c r="G315" s="4">
        <f>IFERROR('[1]Лист1'!G315,30)</f>
        <v/>
      </c>
      <c r="H315" s="16" t="n">
        <v>30</v>
      </c>
      <c r="I315" s="16" t="n">
        <v>30</v>
      </c>
      <c r="J315" s="16" t="n">
        <v>30</v>
      </c>
      <c r="K315" s="16" t="n">
        <v>30</v>
      </c>
      <c r="L315" s="16" t="n">
        <v>30</v>
      </c>
      <c r="M315" s="16" t="n">
        <v>30</v>
      </c>
      <c r="N315" s="4">
        <f>Работы!S317</f>
        <v/>
      </c>
      <c r="O315" s="4">
        <f>Работы!R317</f>
        <v/>
      </c>
      <c r="P315" s="16" t="n">
        <v>30</v>
      </c>
      <c r="Q315" s="16" t="n">
        <v>30</v>
      </c>
      <c r="R315" s="16" t="n">
        <v>30</v>
      </c>
      <c r="S315" s="16" t="n">
        <v>30</v>
      </c>
      <c r="T315" s="16" t="n">
        <v>30</v>
      </c>
      <c r="U315" s="16" t="n">
        <v>30</v>
      </c>
      <c r="V315" s="16" t="n">
        <v>30</v>
      </c>
      <c r="W315" s="16" t="n">
        <v>30</v>
      </c>
      <c r="X315" s="16" t="n">
        <v>30</v>
      </c>
      <c r="Y315" s="16" t="n">
        <v>30</v>
      </c>
      <c r="Z315" s="16" t="n">
        <v>30</v>
      </c>
      <c r="AA315" s="16" t="n">
        <v>30</v>
      </c>
    </row>
    <row r="316">
      <c r="A316" s="3" t="inlineStr">
        <is>
          <t>Сантехника</t>
        </is>
      </c>
      <c r="B316" s="3" t="inlineStr">
        <is>
          <t>Фаянс</t>
        </is>
      </c>
      <c r="C316" s="3" t="inlineStr">
        <is>
          <t>Замена</t>
        </is>
      </c>
      <c r="D316" s="3" t="inlineStr">
        <is>
          <t>Напольный унитаз Sanita Эталон Стандарт или аналог</t>
        </is>
      </c>
      <c r="E316" s="4">
        <f>N316+O316</f>
        <v/>
      </c>
      <c r="F316" s="3" t="inlineStr">
        <is>
          <t>шт.</t>
        </is>
      </c>
      <c r="G316" s="4">
        <f>IFERROR('[1]Лист1'!G316,30)</f>
        <v/>
      </c>
      <c r="H316" s="16" t="n">
        <v>30</v>
      </c>
      <c r="I316" s="16" t="n">
        <v>30</v>
      </c>
      <c r="J316" s="16" t="n">
        <v>30</v>
      </c>
      <c r="K316" s="16" t="n">
        <v>30</v>
      </c>
      <c r="L316" s="16" t="n">
        <v>30</v>
      </c>
      <c r="M316" s="16" t="n">
        <v>30</v>
      </c>
      <c r="N316" s="4">
        <f>Работы!S318</f>
        <v/>
      </c>
      <c r="O316" s="4">
        <f>Работы!R318</f>
        <v/>
      </c>
      <c r="P316" s="16" t="n">
        <v>30</v>
      </c>
      <c r="Q316" s="16" t="n">
        <v>30</v>
      </c>
      <c r="R316" s="16" t="n">
        <v>30</v>
      </c>
      <c r="S316" s="16" t="n">
        <v>30</v>
      </c>
      <c r="T316" s="16" t="n">
        <v>30</v>
      </c>
      <c r="U316" s="16" t="n">
        <v>30</v>
      </c>
      <c r="V316" s="16" t="n">
        <v>30</v>
      </c>
      <c r="W316" s="16" t="n">
        <v>30</v>
      </c>
      <c r="X316" s="16" t="n">
        <v>30</v>
      </c>
      <c r="Y316" s="16" t="n">
        <v>30</v>
      </c>
      <c r="Z316" s="16" t="n">
        <v>30</v>
      </c>
      <c r="AA316" s="16" t="n">
        <v>30</v>
      </c>
    </row>
    <row r="317">
      <c r="A317" s="3" t="inlineStr">
        <is>
          <t>Сантехника</t>
        </is>
      </c>
      <c r="B317" s="3" t="inlineStr">
        <is>
          <t>Фаянс</t>
        </is>
      </c>
      <c r="C317" s="3" t="inlineStr">
        <is>
          <t>Замена</t>
        </is>
      </c>
      <c r="D317" s="3" t="inlineStr">
        <is>
          <t>Душевой поддон</t>
        </is>
      </c>
      <c r="E317" s="4">
        <f>N317+O317</f>
        <v/>
      </c>
      <c r="F317" s="3" t="inlineStr">
        <is>
          <t>шт.</t>
        </is>
      </c>
      <c r="G317" s="4">
        <f>IFERROR('[1]Лист1'!G317,30)</f>
        <v/>
      </c>
      <c r="H317" s="16" t="n">
        <v>30</v>
      </c>
      <c r="I317" s="16" t="n">
        <v>30</v>
      </c>
      <c r="J317" s="16" t="n">
        <v>30</v>
      </c>
      <c r="K317" s="16" t="n">
        <v>30</v>
      </c>
      <c r="L317" s="16" t="n">
        <v>30</v>
      </c>
      <c r="M317" s="16" t="n">
        <v>30</v>
      </c>
      <c r="N317" s="4">
        <f>Работы!S319</f>
        <v/>
      </c>
      <c r="O317" s="4">
        <f>Работы!R319</f>
        <v/>
      </c>
      <c r="P317" s="16" t="n">
        <v>30</v>
      </c>
      <c r="Q317" s="16" t="n">
        <v>30</v>
      </c>
      <c r="R317" s="16" t="n">
        <v>30</v>
      </c>
      <c r="S317" s="16" t="n">
        <v>30</v>
      </c>
      <c r="T317" s="16" t="n">
        <v>30</v>
      </c>
      <c r="U317" s="16" t="n">
        <v>30</v>
      </c>
      <c r="V317" s="16" t="n">
        <v>30</v>
      </c>
      <c r="W317" s="16" t="n">
        <v>30</v>
      </c>
      <c r="X317" s="16" t="n">
        <v>30</v>
      </c>
      <c r="Y317" s="16" t="n">
        <v>30</v>
      </c>
      <c r="Z317" s="16" t="n">
        <v>30</v>
      </c>
      <c r="AA317" s="16" t="n">
        <v>30</v>
      </c>
    </row>
    <row r="318">
      <c r="A318" s="3" t="inlineStr">
        <is>
          <t>Сантехника</t>
        </is>
      </c>
      <c r="B318" s="3" t="inlineStr">
        <is>
          <t>Фаянс</t>
        </is>
      </c>
      <c r="C318" s="3" t="inlineStr">
        <is>
          <t>Замена</t>
        </is>
      </c>
      <c r="D318" s="3" t="inlineStr">
        <is>
          <t>Технологическая мойка из нержавеющей стали односекционная с размером чаши не менее 600x600x300 мм</t>
        </is>
      </c>
      <c r="E318" s="4">
        <f>N318+O318</f>
        <v/>
      </c>
      <c r="F318" s="3" t="inlineStr">
        <is>
          <t>шт.</t>
        </is>
      </c>
      <c r="G318" s="4">
        <f>IFERROR('[1]Лист1'!G318,30)</f>
        <v/>
      </c>
      <c r="H318" s="16" t="n">
        <v>30</v>
      </c>
      <c r="I318" s="16" t="n">
        <v>30</v>
      </c>
      <c r="J318" s="16" t="n">
        <v>30</v>
      </c>
      <c r="K318" s="16" t="n">
        <v>30</v>
      </c>
      <c r="L318" s="16" t="n">
        <v>30</v>
      </c>
      <c r="M318" s="16" t="n">
        <v>30</v>
      </c>
      <c r="N318" s="4">
        <f>Работы!S320</f>
        <v/>
      </c>
      <c r="O318" s="4">
        <f>Работы!R320</f>
        <v/>
      </c>
      <c r="P318" s="16" t="n">
        <v>30</v>
      </c>
      <c r="Q318" s="16" t="n">
        <v>30</v>
      </c>
      <c r="R318" s="16" t="n">
        <v>30</v>
      </c>
      <c r="S318" s="16" t="n">
        <v>30</v>
      </c>
      <c r="T318" s="16" t="n">
        <v>30</v>
      </c>
      <c r="U318" s="16" t="n">
        <v>30</v>
      </c>
      <c r="V318" s="16" t="n">
        <v>30</v>
      </c>
      <c r="W318" s="16" t="n">
        <v>30</v>
      </c>
      <c r="X318" s="16" t="n">
        <v>30</v>
      </c>
      <c r="Y318" s="16" t="n">
        <v>30</v>
      </c>
      <c r="Z318" s="16" t="n">
        <v>30</v>
      </c>
      <c r="AA318" s="16" t="n">
        <v>30</v>
      </c>
    </row>
    <row r="319">
      <c r="A319" s="3" t="inlineStr">
        <is>
          <t>Сантехника</t>
        </is>
      </c>
      <c r="B319" s="3" t="inlineStr">
        <is>
          <t>Фаянс</t>
        </is>
      </c>
      <c r="C319" s="3" t="inlineStr">
        <is>
          <t>Замена</t>
        </is>
      </c>
      <c r="D319" s="3" t="inlineStr">
        <is>
          <t xml:space="preserve"> Стол с мойкой К-МС-П1 из нержавеющей стали, 1 чаша 1200x600x870мм в сборе со смесителем, подводкой и сифоном</t>
        </is>
      </c>
      <c r="E319" s="4">
        <f>N319+O319</f>
        <v/>
      </c>
      <c r="F319" s="3" t="inlineStr">
        <is>
          <t>шт.</t>
        </is>
      </c>
      <c r="G319" s="4">
        <f>IFERROR('[1]Лист1'!G319,30)</f>
        <v/>
      </c>
      <c r="H319" s="16" t="n">
        <v>30</v>
      </c>
      <c r="I319" s="16" t="n">
        <v>30</v>
      </c>
      <c r="J319" s="16" t="n">
        <v>30</v>
      </c>
      <c r="K319" s="16" t="n">
        <v>30</v>
      </c>
      <c r="L319" s="16" t="n">
        <v>30</v>
      </c>
      <c r="M319" s="16" t="n">
        <v>30</v>
      </c>
      <c r="N319" s="4">
        <f>Работы!S321</f>
        <v/>
      </c>
      <c r="O319" s="4">
        <f>Работы!R321</f>
        <v/>
      </c>
      <c r="P319" s="16" t="n">
        <v>30</v>
      </c>
      <c r="Q319" s="16" t="n">
        <v>30</v>
      </c>
      <c r="R319" s="16" t="n">
        <v>30</v>
      </c>
      <c r="S319" s="16" t="n">
        <v>30</v>
      </c>
      <c r="T319" s="16" t="n">
        <v>30</v>
      </c>
      <c r="U319" s="16" t="n">
        <v>30</v>
      </c>
      <c r="V319" s="16" t="n">
        <v>30</v>
      </c>
      <c r="W319" s="16" t="n">
        <v>30</v>
      </c>
      <c r="X319" s="16" t="n">
        <v>30</v>
      </c>
      <c r="Y319" s="16" t="n">
        <v>30</v>
      </c>
      <c r="Z319" s="16" t="n">
        <v>30</v>
      </c>
      <c r="AA319" s="16" t="n">
        <v>30</v>
      </c>
    </row>
    <row r="320">
      <c r="A320" s="3" t="inlineStr">
        <is>
          <t>Сантехника</t>
        </is>
      </c>
      <c r="B320" s="3" t="inlineStr">
        <is>
          <t>Фаянс</t>
        </is>
      </c>
      <c r="C320" s="3" t="inlineStr">
        <is>
          <t>Замена</t>
        </is>
      </c>
      <c r="D320" s="3" t="inlineStr">
        <is>
          <t xml:space="preserve">Котломойка из нержавеющей стали  двойная 1200х800х800 </t>
        </is>
      </c>
      <c r="E320" s="4">
        <f>N320+O320</f>
        <v/>
      </c>
      <c r="F320" s="3" t="inlineStr">
        <is>
          <t>шт.</t>
        </is>
      </c>
      <c r="G320" s="4">
        <f>IFERROR('[1]Лист1'!G320,30)</f>
        <v/>
      </c>
      <c r="H320" s="16" t="n">
        <v>30</v>
      </c>
      <c r="I320" s="16" t="n">
        <v>30</v>
      </c>
      <c r="J320" s="16" t="n">
        <v>30</v>
      </c>
      <c r="K320" s="16" t="n">
        <v>30</v>
      </c>
      <c r="L320" s="16" t="n">
        <v>30</v>
      </c>
      <c r="M320" s="16" t="n">
        <v>30</v>
      </c>
      <c r="N320" s="4">
        <f>Работы!S322</f>
        <v/>
      </c>
      <c r="O320" s="4">
        <f>Работы!R322</f>
        <v/>
      </c>
      <c r="P320" s="16" t="n">
        <v>30</v>
      </c>
      <c r="Q320" s="16" t="n">
        <v>30</v>
      </c>
      <c r="R320" s="16" t="n">
        <v>30</v>
      </c>
      <c r="S320" s="16" t="n">
        <v>30</v>
      </c>
      <c r="T320" s="16" t="n">
        <v>30</v>
      </c>
      <c r="U320" s="16" t="n">
        <v>30</v>
      </c>
      <c r="V320" s="16" t="n">
        <v>30</v>
      </c>
      <c r="W320" s="16" t="n">
        <v>30</v>
      </c>
      <c r="X320" s="16" t="n">
        <v>30</v>
      </c>
      <c r="Y320" s="16" t="n">
        <v>30</v>
      </c>
      <c r="Z320" s="16" t="n">
        <v>30</v>
      </c>
      <c r="AA320" s="16" t="n">
        <v>30</v>
      </c>
    </row>
    <row r="321">
      <c r="A321" s="3" t="inlineStr">
        <is>
          <t>Сантехника</t>
        </is>
      </c>
      <c r="B321" s="3" t="inlineStr">
        <is>
          <t xml:space="preserve">Пескоуловители </t>
        </is>
      </c>
      <c r="C321" s="3" t="inlineStr">
        <is>
          <t>Замена</t>
        </is>
      </c>
      <c r="D321" s="3" t="inlineStr">
        <is>
          <t>пескоуловитель для поломоечн.машин ОВП120 КОВП120ПМ или аналог</t>
        </is>
      </c>
      <c r="E321" s="4">
        <f>N321+O321</f>
        <v/>
      </c>
      <c r="F321" s="3" t="inlineStr">
        <is>
          <t>шт.</t>
        </is>
      </c>
      <c r="G321" s="4">
        <f>IFERROR('[1]Лист1'!G321,30)</f>
        <v/>
      </c>
      <c r="H321" s="16" t="n">
        <v>30</v>
      </c>
      <c r="I321" s="16" t="n">
        <v>30</v>
      </c>
      <c r="J321" s="16" t="n">
        <v>30</v>
      </c>
      <c r="K321" s="16" t="n">
        <v>30</v>
      </c>
      <c r="L321" s="16" t="n">
        <v>30</v>
      </c>
      <c r="M321" s="16" t="n">
        <v>30</v>
      </c>
      <c r="N321" s="4">
        <f>Работы!S323</f>
        <v/>
      </c>
      <c r="O321" s="4">
        <f>Работы!R323</f>
        <v/>
      </c>
      <c r="P321" s="16" t="n">
        <v>30</v>
      </c>
      <c r="Q321" s="16" t="n">
        <v>30</v>
      </c>
      <c r="R321" s="16" t="n">
        <v>30</v>
      </c>
      <c r="S321" s="16" t="n">
        <v>30</v>
      </c>
      <c r="T321" s="16" t="n">
        <v>30</v>
      </c>
      <c r="U321" s="16" t="n">
        <v>30</v>
      </c>
      <c r="V321" s="16" t="n">
        <v>30</v>
      </c>
      <c r="W321" s="16" t="n">
        <v>30</v>
      </c>
      <c r="X321" s="16" t="n">
        <v>30</v>
      </c>
      <c r="Y321" s="16" t="n">
        <v>30</v>
      </c>
      <c r="Z321" s="16" t="n">
        <v>30</v>
      </c>
      <c r="AA321" s="16" t="n">
        <v>30</v>
      </c>
    </row>
    <row r="322">
      <c r="A322" s="3" t="inlineStr">
        <is>
          <t>Сантехника</t>
        </is>
      </c>
      <c r="B322" s="3" t="inlineStr">
        <is>
          <t xml:space="preserve">Пескоуловители </t>
        </is>
      </c>
      <c r="C322" s="3" t="inlineStr">
        <is>
          <t>Замена</t>
        </is>
      </c>
      <c r="D322" s="3" t="inlineStr">
        <is>
          <t>Пескоуловители 0,5-30 (Стандарт)</t>
        </is>
      </c>
      <c r="E322" s="4">
        <f>N322+O322</f>
        <v/>
      </c>
      <c r="F322" s="3" t="inlineStr">
        <is>
          <t>шт.</t>
        </is>
      </c>
      <c r="G322" s="4">
        <f>IFERROR('[1]Лист1'!G322,30)</f>
        <v/>
      </c>
      <c r="H322" s="16" t="n">
        <v>30</v>
      </c>
      <c r="I322" s="16" t="n">
        <v>30</v>
      </c>
      <c r="J322" s="16" t="n">
        <v>30</v>
      </c>
      <c r="K322" s="16" t="n">
        <v>30</v>
      </c>
      <c r="L322" s="16" t="n">
        <v>30</v>
      </c>
      <c r="M322" s="16" t="n">
        <v>30</v>
      </c>
      <c r="N322" s="4">
        <f>Работы!S324</f>
        <v/>
      </c>
      <c r="O322" s="4">
        <f>Работы!R324</f>
        <v/>
      </c>
      <c r="P322" s="16" t="n">
        <v>30</v>
      </c>
      <c r="Q322" s="16" t="n">
        <v>30</v>
      </c>
      <c r="R322" s="16" t="n">
        <v>30</v>
      </c>
      <c r="S322" s="16" t="n">
        <v>30</v>
      </c>
      <c r="T322" s="16" t="n">
        <v>30</v>
      </c>
      <c r="U322" s="16" t="n">
        <v>30</v>
      </c>
      <c r="V322" s="16" t="n">
        <v>30</v>
      </c>
      <c r="W322" s="16" t="n">
        <v>30</v>
      </c>
      <c r="X322" s="16" t="n">
        <v>30</v>
      </c>
      <c r="Y322" s="16" t="n">
        <v>30</v>
      </c>
      <c r="Z322" s="16" t="n">
        <v>30</v>
      </c>
      <c r="AA322" s="16" t="n">
        <v>30</v>
      </c>
    </row>
    <row r="323">
      <c r="A323" s="3" t="inlineStr">
        <is>
          <t>Сантехника</t>
        </is>
      </c>
      <c r="B323" s="3" t="inlineStr">
        <is>
          <t xml:space="preserve">Пескоуловители </t>
        </is>
      </c>
      <c r="C323" s="3" t="inlineStr">
        <is>
          <t>Замена</t>
        </is>
      </c>
      <c r="D323" s="3" t="inlineStr">
        <is>
          <t>Пескоуловители 0,5-50 (Стандарт)</t>
        </is>
      </c>
      <c r="E323" s="4">
        <f>N323+O323</f>
        <v/>
      </c>
      <c r="F323" s="3" t="inlineStr">
        <is>
          <t>шт.</t>
        </is>
      </c>
      <c r="G323" s="4">
        <f>IFERROR('[1]Лист1'!G323,30)</f>
        <v/>
      </c>
      <c r="H323" s="16" t="n">
        <v>30</v>
      </c>
      <c r="I323" s="16" t="n">
        <v>30</v>
      </c>
      <c r="J323" s="16" t="n">
        <v>30</v>
      </c>
      <c r="K323" s="16" t="n">
        <v>30</v>
      </c>
      <c r="L323" s="16" t="n">
        <v>30</v>
      </c>
      <c r="M323" s="16" t="n">
        <v>30</v>
      </c>
      <c r="N323" s="4">
        <f>Работы!S325</f>
        <v/>
      </c>
      <c r="O323" s="4">
        <f>Работы!R325</f>
        <v/>
      </c>
      <c r="P323" s="16" t="n">
        <v>30</v>
      </c>
      <c r="Q323" s="16" t="n">
        <v>30</v>
      </c>
      <c r="R323" s="16" t="n">
        <v>30</v>
      </c>
      <c r="S323" s="16" t="n">
        <v>30</v>
      </c>
      <c r="T323" s="16" t="n">
        <v>30</v>
      </c>
      <c r="U323" s="16" t="n">
        <v>30</v>
      </c>
      <c r="V323" s="16" t="n">
        <v>30</v>
      </c>
      <c r="W323" s="16" t="n">
        <v>30</v>
      </c>
      <c r="X323" s="16" t="n">
        <v>30</v>
      </c>
      <c r="Y323" s="16" t="n">
        <v>30</v>
      </c>
      <c r="Z323" s="16" t="n">
        <v>30</v>
      </c>
      <c r="AA323" s="16" t="n">
        <v>30</v>
      </c>
    </row>
    <row r="324">
      <c r="A324" s="3" t="inlineStr">
        <is>
          <t>Сантехника</t>
        </is>
      </c>
      <c r="B324" s="3" t="inlineStr">
        <is>
          <t xml:space="preserve">Пескоуловители </t>
        </is>
      </c>
      <c r="C324" s="3" t="inlineStr">
        <is>
          <t>Замена</t>
        </is>
      </c>
      <c r="D324" s="3" t="inlineStr">
        <is>
          <t>Пескоуловители 1,0-80 (Стандарт)</t>
        </is>
      </c>
      <c r="E324" s="4">
        <f>N324+O324</f>
        <v/>
      </c>
      <c r="F324" s="3" t="inlineStr">
        <is>
          <t>шт.</t>
        </is>
      </c>
      <c r="G324" s="4">
        <f>IFERROR('[1]Лист1'!G324,30)</f>
        <v/>
      </c>
      <c r="H324" s="16" t="n">
        <v>30</v>
      </c>
      <c r="I324" s="16" t="n">
        <v>30</v>
      </c>
      <c r="J324" s="16" t="n">
        <v>30</v>
      </c>
      <c r="K324" s="16" t="n">
        <v>30</v>
      </c>
      <c r="L324" s="16" t="n">
        <v>30</v>
      </c>
      <c r="M324" s="16" t="n">
        <v>30</v>
      </c>
      <c r="N324" s="4">
        <f>Работы!S326</f>
        <v/>
      </c>
      <c r="O324" s="4">
        <f>Работы!R326</f>
        <v/>
      </c>
      <c r="P324" s="16" t="n">
        <v>30</v>
      </c>
      <c r="Q324" s="16" t="n">
        <v>30</v>
      </c>
      <c r="R324" s="16" t="n">
        <v>30</v>
      </c>
      <c r="S324" s="16" t="n">
        <v>30</v>
      </c>
      <c r="T324" s="16" t="n">
        <v>30</v>
      </c>
      <c r="U324" s="16" t="n">
        <v>30</v>
      </c>
      <c r="V324" s="16" t="n">
        <v>30</v>
      </c>
      <c r="W324" s="16" t="n">
        <v>30</v>
      </c>
      <c r="X324" s="16" t="n">
        <v>30</v>
      </c>
      <c r="Y324" s="16" t="n">
        <v>30</v>
      </c>
      <c r="Z324" s="16" t="n">
        <v>30</v>
      </c>
      <c r="AA324" s="16" t="n">
        <v>30</v>
      </c>
    </row>
    <row r="325">
      <c r="A325" s="3" t="inlineStr">
        <is>
          <t>Сантехника</t>
        </is>
      </c>
      <c r="B325" s="3" t="inlineStr">
        <is>
          <t xml:space="preserve">Пескоуловители </t>
        </is>
      </c>
      <c r="C325" s="3" t="inlineStr">
        <is>
          <t>Замена</t>
        </is>
      </c>
      <c r="D325" s="3" t="inlineStr">
        <is>
          <t>Пескоуловители 1,5-100 (Стандарт)</t>
        </is>
      </c>
      <c r="E325" s="4">
        <f>N325+O325</f>
        <v/>
      </c>
      <c r="F325" s="3" t="inlineStr">
        <is>
          <t>шт.</t>
        </is>
      </c>
      <c r="G325" s="4">
        <f>IFERROR('[1]Лист1'!G325,30)</f>
        <v/>
      </c>
      <c r="H325" s="16" t="n">
        <v>30</v>
      </c>
      <c r="I325" s="16" t="n">
        <v>30</v>
      </c>
      <c r="J325" s="16" t="n">
        <v>30</v>
      </c>
      <c r="K325" s="16" t="n">
        <v>30</v>
      </c>
      <c r="L325" s="16" t="n">
        <v>30</v>
      </c>
      <c r="M325" s="16" t="n">
        <v>30</v>
      </c>
      <c r="N325" s="4">
        <f>Работы!S327</f>
        <v/>
      </c>
      <c r="O325" s="4">
        <f>Работы!R327</f>
        <v/>
      </c>
      <c r="P325" s="16" t="n">
        <v>30</v>
      </c>
      <c r="Q325" s="16" t="n">
        <v>30</v>
      </c>
      <c r="R325" s="16" t="n">
        <v>30</v>
      </c>
      <c r="S325" s="16" t="n">
        <v>30</v>
      </c>
      <c r="T325" s="16" t="n">
        <v>30</v>
      </c>
      <c r="U325" s="16" t="n">
        <v>30</v>
      </c>
      <c r="V325" s="16" t="n">
        <v>30</v>
      </c>
      <c r="W325" s="16" t="n">
        <v>30</v>
      </c>
      <c r="X325" s="16" t="n">
        <v>30</v>
      </c>
      <c r="Y325" s="16" t="n">
        <v>30</v>
      </c>
      <c r="Z325" s="16" t="n">
        <v>30</v>
      </c>
      <c r="AA325" s="16" t="n">
        <v>30</v>
      </c>
    </row>
    <row r="326">
      <c r="A326" s="3" t="inlineStr">
        <is>
          <t>Сантехника</t>
        </is>
      </c>
      <c r="B326" s="3" t="inlineStr">
        <is>
          <t>Наружная канализация</t>
        </is>
      </c>
      <c r="C326" s="3" t="inlineStr">
        <is>
          <t>Монтажные работы</t>
        </is>
      </c>
      <c r="D326" s="3" t="inlineStr">
        <is>
          <t>Заглушка ПВХ наружной канализации 110</t>
        </is>
      </c>
      <c r="E326" s="4">
        <f>N326+O326</f>
        <v/>
      </c>
      <c r="F326" s="3" t="inlineStr">
        <is>
          <t>шт.</t>
        </is>
      </c>
      <c r="G326" s="4">
        <f>IFERROR('[1]Лист1'!G326,30)</f>
        <v/>
      </c>
      <c r="H326" s="16" t="n">
        <v>30</v>
      </c>
      <c r="I326" s="16" t="n">
        <v>30</v>
      </c>
      <c r="J326" s="16" t="n">
        <v>30</v>
      </c>
      <c r="K326" s="16" t="n">
        <v>30</v>
      </c>
      <c r="L326" s="16" t="n">
        <v>30</v>
      </c>
      <c r="M326" s="16" t="n">
        <v>30</v>
      </c>
      <c r="N326" s="4">
        <f>Работы!S328</f>
        <v/>
      </c>
      <c r="O326" s="4">
        <f>Работы!R328</f>
        <v/>
      </c>
      <c r="P326" s="16" t="n">
        <v>30</v>
      </c>
      <c r="Q326" s="16" t="n">
        <v>30</v>
      </c>
      <c r="R326" s="16" t="n">
        <v>30</v>
      </c>
      <c r="S326" s="16" t="n">
        <v>30</v>
      </c>
      <c r="T326" s="16" t="n">
        <v>30</v>
      </c>
      <c r="U326" s="16" t="n">
        <v>30</v>
      </c>
      <c r="V326" s="16" t="n">
        <v>30</v>
      </c>
      <c r="W326" s="16" t="n">
        <v>30</v>
      </c>
      <c r="X326" s="16" t="n">
        <v>30</v>
      </c>
      <c r="Y326" s="16" t="n">
        <v>30</v>
      </c>
      <c r="Z326" s="16" t="n">
        <v>30</v>
      </c>
      <c r="AA326" s="16" t="n">
        <v>30</v>
      </c>
    </row>
    <row r="327">
      <c r="A327" s="3" t="inlineStr">
        <is>
          <t>Сантехника</t>
        </is>
      </c>
      <c r="B327" s="3" t="inlineStr">
        <is>
          <t>Наружная канализация</t>
        </is>
      </c>
      <c r="C327" s="3" t="inlineStr">
        <is>
          <t>Монтажные работы</t>
        </is>
      </c>
      <c r="D327" s="3" t="inlineStr">
        <is>
          <t>Ревизия с прямоугольным люком ПВХ наружной канализации 110</t>
        </is>
      </c>
      <c r="E327" s="4">
        <f>N327+O327</f>
        <v/>
      </c>
      <c r="F327" s="3" t="inlineStr">
        <is>
          <t>шт.</t>
        </is>
      </c>
      <c r="G327" s="4">
        <f>IFERROR('[1]Лист1'!G327,30)</f>
        <v/>
      </c>
      <c r="H327" s="16" t="n">
        <v>30</v>
      </c>
      <c r="I327" s="16" t="n">
        <v>30</v>
      </c>
      <c r="J327" s="16" t="n">
        <v>30</v>
      </c>
      <c r="K327" s="16" t="n">
        <v>30</v>
      </c>
      <c r="L327" s="16" t="n">
        <v>30</v>
      </c>
      <c r="M327" s="16" t="n">
        <v>30</v>
      </c>
      <c r="N327" s="4">
        <f>Работы!S329</f>
        <v/>
      </c>
      <c r="O327" s="4">
        <f>Работы!R329</f>
        <v/>
      </c>
      <c r="P327" s="16" t="n">
        <v>30</v>
      </c>
      <c r="Q327" s="16" t="n">
        <v>30</v>
      </c>
      <c r="R327" s="16" t="n">
        <v>30</v>
      </c>
      <c r="S327" s="16" t="n">
        <v>30</v>
      </c>
      <c r="T327" s="16" t="n">
        <v>30</v>
      </c>
      <c r="U327" s="16" t="n">
        <v>30</v>
      </c>
      <c r="V327" s="16" t="n">
        <v>30</v>
      </c>
      <c r="W327" s="16" t="n">
        <v>30</v>
      </c>
      <c r="X327" s="16" t="n">
        <v>30</v>
      </c>
      <c r="Y327" s="16" t="n">
        <v>30</v>
      </c>
      <c r="Z327" s="16" t="n">
        <v>30</v>
      </c>
      <c r="AA327" s="16" t="n">
        <v>30</v>
      </c>
    </row>
    <row r="328">
      <c r="A328" s="3" t="inlineStr">
        <is>
          <t>Сантехника</t>
        </is>
      </c>
      <c r="B328" s="3" t="inlineStr">
        <is>
          <t>Внутренняя канализация</t>
        </is>
      </c>
      <c r="C328" s="3" t="inlineStr">
        <is>
          <t>Монтажные работы</t>
        </is>
      </c>
      <c r="D328" s="3" t="inlineStr">
        <is>
          <t>Отвод ПП внутренней канализации 50/45</t>
        </is>
      </c>
      <c r="E328" s="4">
        <f>N328+O328</f>
        <v/>
      </c>
      <c r="F328" s="3" t="inlineStr">
        <is>
          <t>шт.</t>
        </is>
      </c>
      <c r="G328" s="4">
        <f>IFERROR('[1]Лист1'!G328,30)</f>
        <v/>
      </c>
      <c r="H328" s="16" t="n">
        <v>30</v>
      </c>
      <c r="I328" s="16" t="n">
        <v>30</v>
      </c>
      <c r="J328" s="16" t="n">
        <v>30</v>
      </c>
      <c r="K328" s="16" t="n">
        <v>30</v>
      </c>
      <c r="L328" s="16" t="n">
        <v>30</v>
      </c>
      <c r="M328" s="16" t="n">
        <v>30</v>
      </c>
      <c r="N328" s="4">
        <f>Работы!S330</f>
        <v/>
      </c>
      <c r="O328" s="4">
        <f>Работы!R330</f>
        <v/>
      </c>
      <c r="P328" s="16" t="n">
        <v>30</v>
      </c>
      <c r="Q328" s="16" t="n">
        <v>30</v>
      </c>
      <c r="R328" s="16" t="n">
        <v>30</v>
      </c>
      <c r="S328" s="16" t="n">
        <v>30</v>
      </c>
      <c r="T328" s="16" t="n">
        <v>30</v>
      </c>
      <c r="U328" s="16" t="n">
        <v>30</v>
      </c>
      <c r="V328" s="16" t="n">
        <v>30</v>
      </c>
      <c r="W328" s="16" t="n">
        <v>30</v>
      </c>
      <c r="X328" s="16" t="n">
        <v>30</v>
      </c>
      <c r="Y328" s="16" t="n">
        <v>30</v>
      </c>
      <c r="Z328" s="16" t="n">
        <v>30</v>
      </c>
      <c r="AA328" s="16" t="n">
        <v>30</v>
      </c>
    </row>
    <row r="329">
      <c r="A329" s="3" t="inlineStr">
        <is>
          <t>Сантехника</t>
        </is>
      </c>
      <c r="B329" s="3" t="inlineStr">
        <is>
          <t>Внутренняя канализация</t>
        </is>
      </c>
      <c r="C329" s="3" t="inlineStr">
        <is>
          <t>Монтажные работы</t>
        </is>
      </c>
      <c r="D329" s="3" t="inlineStr">
        <is>
          <t>Отвод ПП внутренней канализации 50/67</t>
        </is>
      </c>
      <c r="E329" s="4">
        <f>N329+O329</f>
        <v/>
      </c>
      <c r="F329" s="3" t="inlineStr">
        <is>
          <t>шт.</t>
        </is>
      </c>
      <c r="G329" s="4">
        <f>IFERROR('[1]Лист1'!G329,30)</f>
        <v/>
      </c>
      <c r="H329" s="16" t="n">
        <v>30</v>
      </c>
      <c r="I329" s="16" t="n">
        <v>30</v>
      </c>
      <c r="J329" s="16" t="n">
        <v>30</v>
      </c>
      <c r="K329" s="16" t="n">
        <v>30</v>
      </c>
      <c r="L329" s="16" t="n">
        <v>30</v>
      </c>
      <c r="M329" s="16" t="n">
        <v>30</v>
      </c>
      <c r="N329" s="4">
        <f>Работы!S331</f>
        <v/>
      </c>
      <c r="O329" s="4">
        <f>Работы!R331</f>
        <v/>
      </c>
      <c r="P329" s="16" t="n">
        <v>30</v>
      </c>
      <c r="Q329" s="16" t="n">
        <v>30</v>
      </c>
      <c r="R329" s="16" t="n">
        <v>30</v>
      </c>
      <c r="S329" s="16" t="n">
        <v>30</v>
      </c>
      <c r="T329" s="16" t="n">
        <v>30</v>
      </c>
      <c r="U329" s="16" t="n">
        <v>30</v>
      </c>
      <c r="V329" s="16" t="n">
        <v>30</v>
      </c>
      <c r="W329" s="16" t="n">
        <v>30</v>
      </c>
      <c r="X329" s="16" t="n">
        <v>30</v>
      </c>
      <c r="Y329" s="16" t="n">
        <v>30</v>
      </c>
      <c r="Z329" s="16" t="n">
        <v>30</v>
      </c>
      <c r="AA329" s="16" t="n">
        <v>30</v>
      </c>
    </row>
    <row r="330">
      <c r="A330" s="3" t="inlineStr">
        <is>
          <t>Сантехника</t>
        </is>
      </c>
      <c r="B330" s="3" t="inlineStr">
        <is>
          <t>Внутренняя канализация</t>
        </is>
      </c>
      <c r="C330" s="3" t="inlineStr">
        <is>
          <t>Монтажные работы</t>
        </is>
      </c>
      <c r="D330" s="3" t="inlineStr">
        <is>
          <t>Отвод ПП внутренней канализации 50/87</t>
        </is>
      </c>
      <c r="E330" s="4">
        <f>N330+O330</f>
        <v/>
      </c>
      <c r="F330" s="3" t="inlineStr">
        <is>
          <t>шт.</t>
        </is>
      </c>
      <c r="G330" s="4">
        <f>IFERROR('[1]Лист1'!G330,30)</f>
        <v/>
      </c>
      <c r="H330" s="16" t="n">
        <v>30</v>
      </c>
      <c r="I330" s="16" t="n">
        <v>30</v>
      </c>
      <c r="J330" s="16" t="n">
        <v>30</v>
      </c>
      <c r="K330" s="16" t="n">
        <v>30</v>
      </c>
      <c r="L330" s="16" t="n">
        <v>30</v>
      </c>
      <c r="M330" s="16" t="n">
        <v>30</v>
      </c>
      <c r="N330" s="4">
        <f>Работы!S332</f>
        <v/>
      </c>
      <c r="O330" s="4">
        <f>Работы!R332</f>
        <v/>
      </c>
      <c r="P330" s="16" t="n">
        <v>30</v>
      </c>
      <c r="Q330" s="16" t="n">
        <v>30</v>
      </c>
      <c r="R330" s="16" t="n">
        <v>30</v>
      </c>
      <c r="S330" s="16" t="n">
        <v>30</v>
      </c>
      <c r="T330" s="16" t="n">
        <v>30</v>
      </c>
      <c r="U330" s="16" t="n">
        <v>30</v>
      </c>
      <c r="V330" s="16" t="n">
        <v>30</v>
      </c>
      <c r="W330" s="16" t="n">
        <v>30</v>
      </c>
      <c r="X330" s="16" t="n">
        <v>30</v>
      </c>
      <c r="Y330" s="16" t="n">
        <v>30</v>
      </c>
      <c r="Z330" s="16" t="n">
        <v>30</v>
      </c>
      <c r="AA330" s="16" t="n">
        <v>30</v>
      </c>
    </row>
    <row r="331">
      <c r="A331" s="3" t="inlineStr">
        <is>
          <t>Сантехника</t>
        </is>
      </c>
      <c r="B331" s="3" t="inlineStr">
        <is>
          <t>Внутренняя канализация</t>
        </is>
      </c>
      <c r="C331" s="3" t="inlineStr">
        <is>
          <t>Монтажные работы</t>
        </is>
      </c>
      <c r="D331" s="3" t="inlineStr">
        <is>
          <t>Отвод ПП внутренней канализации 110/30</t>
        </is>
      </c>
      <c r="E331" s="4">
        <f>N331+O331</f>
        <v/>
      </c>
      <c r="F331" s="3" t="inlineStr">
        <is>
          <t>шт.</t>
        </is>
      </c>
      <c r="G331" s="4">
        <f>IFERROR('[1]Лист1'!G331,30)</f>
        <v/>
      </c>
      <c r="H331" s="16" t="n">
        <v>30</v>
      </c>
      <c r="I331" s="16" t="n">
        <v>30</v>
      </c>
      <c r="J331" s="16" t="n">
        <v>30</v>
      </c>
      <c r="K331" s="16" t="n">
        <v>30</v>
      </c>
      <c r="L331" s="16" t="n">
        <v>30</v>
      </c>
      <c r="M331" s="16" t="n">
        <v>30</v>
      </c>
      <c r="N331" s="4">
        <f>Работы!S333</f>
        <v/>
      </c>
      <c r="O331" s="4">
        <f>Работы!R333</f>
        <v/>
      </c>
      <c r="P331" s="16" t="n">
        <v>30</v>
      </c>
      <c r="Q331" s="16" t="n">
        <v>30</v>
      </c>
      <c r="R331" s="16" t="n">
        <v>30</v>
      </c>
      <c r="S331" s="16" t="n">
        <v>30</v>
      </c>
      <c r="T331" s="16" t="n">
        <v>30</v>
      </c>
      <c r="U331" s="16" t="n">
        <v>30</v>
      </c>
      <c r="V331" s="16" t="n">
        <v>30</v>
      </c>
      <c r="W331" s="16" t="n">
        <v>30</v>
      </c>
      <c r="X331" s="16" t="n">
        <v>30</v>
      </c>
      <c r="Y331" s="16" t="n">
        <v>30</v>
      </c>
      <c r="Z331" s="16" t="n">
        <v>30</v>
      </c>
      <c r="AA331" s="16" t="n">
        <v>30</v>
      </c>
    </row>
    <row r="332">
      <c r="A332" s="3" t="inlineStr">
        <is>
          <t>Сантехника</t>
        </is>
      </c>
      <c r="B332" s="3" t="inlineStr">
        <is>
          <t>Внутренняя канализация</t>
        </is>
      </c>
      <c r="C332" s="3" t="inlineStr">
        <is>
          <t>Монтажные работы</t>
        </is>
      </c>
      <c r="D332" s="3" t="inlineStr">
        <is>
          <t>Отвод ПП внутренней канализации 110/45</t>
        </is>
      </c>
      <c r="E332" s="4">
        <f>N332+O332</f>
        <v/>
      </c>
      <c r="F332" s="3" t="inlineStr">
        <is>
          <t>шт.</t>
        </is>
      </c>
      <c r="G332" s="4">
        <f>IFERROR('[1]Лист1'!G332,30)</f>
        <v/>
      </c>
      <c r="H332" s="16" t="n">
        <v>30</v>
      </c>
      <c r="I332" s="16" t="n">
        <v>30</v>
      </c>
      <c r="J332" s="16" t="n">
        <v>30</v>
      </c>
      <c r="K332" s="16" t="n">
        <v>30</v>
      </c>
      <c r="L332" s="16" t="n">
        <v>30</v>
      </c>
      <c r="M332" s="16" t="n">
        <v>30</v>
      </c>
      <c r="N332" s="4">
        <f>Работы!S334</f>
        <v/>
      </c>
      <c r="O332" s="4">
        <f>Работы!R334</f>
        <v/>
      </c>
      <c r="P332" s="16" t="n">
        <v>30</v>
      </c>
      <c r="Q332" s="16" t="n">
        <v>30</v>
      </c>
      <c r="R332" s="16" t="n">
        <v>30</v>
      </c>
      <c r="S332" s="16" t="n">
        <v>30</v>
      </c>
      <c r="T332" s="16" t="n">
        <v>30</v>
      </c>
      <c r="U332" s="16" t="n">
        <v>30</v>
      </c>
      <c r="V332" s="16" t="n">
        <v>30</v>
      </c>
      <c r="W332" s="16" t="n">
        <v>30</v>
      </c>
      <c r="X332" s="16" t="n">
        <v>30</v>
      </c>
      <c r="Y332" s="16" t="n">
        <v>30</v>
      </c>
      <c r="Z332" s="16" t="n">
        <v>30</v>
      </c>
      <c r="AA332" s="16" t="n">
        <v>30</v>
      </c>
    </row>
    <row r="333">
      <c r="A333" s="3" t="inlineStr">
        <is>
          <t>Сантехника</t>
        </is>
      </c>
      <c r="B333" s="3" t="inlineStr">
        <is>
          <t>Внутренняя канализация</t>
        </is>
      </c>
      <c r="C333" s="3" t="inlineStr">
        <is>
          <t>Монтажные работы</t>
        </is>
      </c>
      <c r="D333" s="3" t="inlineStr">
        <is>
          <t>Переход ПП внутренней канализации 50х40</t>
        </is>
      </c>
      <c r="E333" s="4">
        <f>N333+O333</f>
        <v/>
      </c>
      <c r="F333" s="3" t="inlineStr">
        <is>
          <t>шт.</t>
        </is>
      </c>
      <c r="G333" s="4">
        <f>IFERROR('[1]Лист1'!G333,30)</f>
        <v/>
      </c>
      <c r="H333" s="16" t="n">
        <v>30</v>
      </c>
      <c r="I333" s="16" t="n">
        <v>30</v>
      </c>
      <c r="J333" s="16" t="n">
        <v>30</v>
      </c>
      <c r="K333" s="16" t="n">
        <v>30</v>
      </c>
      <c r="L333" s="16" t="n">
        <v>30</v>
      </c>
      <c r="M333" s="16" t="n">
        <v>30</v>
      </c>
      <c r="N333" s="4">
        <f>Работы!S335</f>
        <v/>
      </c>
      <c r="O333" s="4">
        <f>Работы!R335</f>
        <v/>
      </c>
      <c r="P333" s="16" t="n">
        <v>30</v>
      </c>
      <c r="Q333" s="16" t="n">
        <v>30</v>
      </c>
      <c r="R333" s="16" t="n">
        <v>30</v>
      </c>
      <c r="S333" s="16" t="n">
        <v>30</v>
      </c>
      <c r="T333" s="16" t="n">
        <v>30</v>
      </c>
      <c r="U333" s="16" t="n">
        <v>30</v>
      </c>
      <c r="V333" s="16" t="n">
        <v>30</v>
      </c>
      <c r="W333" s="16" t="n">
        <v>30</v>
      </c>
      <c r="X333" s="16" t="n">
        <v>30</v>
      </c>
      <c r="Y333" s="16" t="n">
        <v>30</v>
      </c>
      <c r="Z333" s="16" t="n">
        <v>30</v>
      </c>
      <c r="AA333" s="16" t="n">
        <v>30</v>
      </c>
    </row>
    <row r="334">
      <c r="A334" s="3" t="inlineStr">
        <is>
          <t>Сантехника</t>
        </is>
      </c>
      <c r="B334" s="3" t="inlineStr">
        <is>
          <t>Внутренняя канализация</t>
        </is>
      </c>
      <c r="C334" s="3" t="inlineStr">
        <is>
          <t>Монтажные работы</t>
        </is>
      </c>
      <c r="D334" s="3" t="inlineStr">
        <is>
          <t>Переход ПП внутренней канализации 110х50</t>
        </is>
      </c>
      <c r="E334" s="4">
        <f>N334+O334</f>
        <v/>
      </c>
      <c r="F334" s="3" t="inlineStr">
        <is>
          <t>шт.</t>
        </is>
      </c>
      <c r="G334" s="4">
        <f>IFERROR('[1]Лист1'!G334,30)</f>
        <v/>
      </c>
      <c r="H334" s="16" t="n">
        <v>30</v>
      </c>
      <c r="I334" s="16" t="n">
        <v>30</v>
      </c>
      <c r="J334" s="16" t="n">
        <v>30</v>
      </c>
      <c r="K334" s="16" t="n">
        <v>30</v>
      </c>
      <c r="L334" s="16" t="n">
        <v>30</v>
      </c>
      <c r="M334" s="16" t="n">
        <v>30</v>
      </c>
      <c r="N334" s="4">
        <f>Работы!S336</f>
        <v/>
      </c>
      <c r="O334" s="4">
        <f>Работы!R336</f>
        <v/>
      </c>
      <c r="P334" s="16" t="n">
        <v>30</v>
      </c>
      <c r="Q334" s="16" t="n">
        <v>30</v>
      </c>
      <c r="R334" s="16" t="n">
        <v>30</v>
      </c>
      <c r="S334" s="16" t="n">
        <v>30</v>
      </c>
      <c r="T334" s="16" t="n">
        <v>30</v>
      </c>
      <c r="U334" s="16" t="n">
        <v>30</v>
      </c>
      <c r="V334" s="16" t="n">
        <v>30</v>
      </c>
      <c r="W334" s="16" t="n">
        <v>30</v>
      </c>
      <c r="X334" s="16" t="n">
        <v>30</v>
      </c>
      <c r="Y334" s="16" t="n">
        <v>30</v>
      </c>
      <c r="Z334" s="16" t="n">
        <v>30</v>
      </c>
      <c r="AA334" s="16" t="n">
        <v>30</v>
      </c>
    </row>
    <row r="335">
      <c r="A335" s="3" t="inlineStr">
        <is>
          <t>Сантехника</t>
        </is>
      </c>
      <c r="B335" s="3" t="inlineStr">
        <is>
          <t>Внутренняя канализация</t>
        </is>
      </c>
      <c r="C335" s="3" t="inlineStr">
        <is>
          <t>Монтажные работы</t>
        </is>
      </c>
      <c r="D335" s="3" t="inlineStr">
        <is>
          <t>Крестовина ПП внутренней канализации 50х50/45</t>
        </is>
      </c>
      <c r="E335" s="4">
        <f>N335+O335</f>
        <v/>
      </c>
      <c r="F335" s="3" t="inlineStr">
        <is>
          <t>шт.</t>
        </is>
      </c>
      <c r="G335" s="4">
        <f>IFERROR('[1]Лист1'!G335,30)</f>
        <v/>
      </c>
      <c r="H335" s="16" t="n">
        <v>30</v>
      </c>
      <c r="I335" s="16" t="n">
        <v>30</v>
      </c>
      <c r="J335" s="16" t="n">
        <v>30</v>
      </c>
      <c r="K335" s="16" t="n">
        <v>30</v>
      </c>
      <c r="L335" s="16" t="n">
        <v>30</v>
      </c>
      <c r="M335" s="16" t="n">
        <v>30</v>
      </c>
      <c r="N335" s="4">
        <f>Работы!S337</f>
        <v/>
      </c>
      <c r="O335" s="4">
        <f>Работы!R337</f>
        <v/>
      </c>
      <c r="P335" s="16" t="n">
        <v>30</v>
      </c>
      <c r="Q335" s="16" t="n">
        <v>30</v>
      </c>
      <c r="R335" s="16" t="n">
        <v>30</v>
      </c>
      <c r="S335" s="16" t="n">
        <v>30</v>
      </c>
      <c r="T335" s="16" t="n">
        <v>30</v>
      </c>
      <c r="U335" s="16" t="n">
        <v>30</v>
      </c>
      <c r="V335" s="16" t="n">
        <v>30</v>
      </c>
      <c r="W335" s="16" t="n">
        <v>30</v>
      </c>
      <c r="X335" s="16" t="n">
        <v>30</v>
      </c>
      <c r="Y335" s="16" t="n">
        <v>30</v>
      </c>
      <c r="Z335" s="16" t="n">
        <v>30</v>
      </c>
      <c r="AA335" s="16" t="n">
        <v>30</v>
      </c>
    </row>
    <row r="336">
      <c r="A336" s="3" t="inlineStr">
        <is>
          <t>Сантехника</t>
        </is>
      </c>
      <c r="B336" s="3" t="inlineStr">
        <is>
          <t>Внутренняя канализация</t>
        </is>
      </c>
      <c r="C336" s="3" t="inlineStr">
        <is>
          <t>Монтажные работы</t>
        </is>
      </c>
      <c r="D336" s="3" t="inlineStr">
        <is>
          <t>Крестовина ПП внутренней канализации 50х50/87</t>
        </is>
      </c>
      <c r="E336" s="4">
        <f>N336+O336</f>
        <v/>
      </c>
      <c r="F336" s="3" t="inlineStr">
        <is>
          <t>шт.</t>
        </is>
      </c>
      <c r="G336" s="4">
        <f>IFERROR('[1]Лист1'!G336,30)</f>
        <v/>
      </c>
      <c r="H336" s="16" t="n">
        <v>30</v>
      </c>
      <c r="I336" s="16" t="n">
        <v>30</v>
      </c>
      <c r="J336" s="16" t="n">
        <v>30</v>
      </c>
      <c r="K336" s="16" t="n">
        <v>30</v>
      </c>
      <c r="L336" s="16" t="n">
        <v>30</v>
      </c>
      <c r="M336" s="16" t="n">
        <v>30</v>
      </c>
      <c r="N336" s="4">
        <f>Работы!S338</f>
        <v/>
      </c>
      <c r="O336" s="4">
        <f>Работы!R338</f>
        <v/>
      </c>
      <c r="P336" s="16" t="n">
        <v>30</v>
      </c>
      <c r="Q336" s="16" t="n">
        <v>30</v>
      </c>
      <c r="R336" s="16" t="n">
        <v>30</v>
      </c>
      <c r="S336" s="16" t="n">
        <v>30</v>
      </c>
      <c r="T336" s="16" t="n">
        <v>30</v>
      </c>
      <c r="U336" s="16" t="n">
        <v>30</v>
      </c>
      <c r="V336" s="16" t="n">
        <v>30</v>
      </c>
      <c r="W336" s="16" t="n">
        <v>30</v>
      </c>
      <c r="X336" s="16" t="n">
        <v>30</v>
      </c>
      <c r="Y336" s="16" t="n">
        <v>30</v>
      </c>
      <c r="Z336" s="16" t="n">
        <v>30</v>
      </c>
      <c r="AA336" s="16" t="n">
        <v>30</v>
      </c>
    </row>
    <row r="337">
      <c r="A337" s="3" t="inlineStr">
        <is>
          <t>Сантехника</t>
        </is>
      </c>
      <c r="B337" s="3" t="inlineStr">
        <is>
          <t>Внутренняя канализация</t>
        </is>
      </c>
      <c r="C337" s="3" t="inlineStr">
        <is>
          <t>Монтажные работы</t>
        </is>
      </c>
      <c r="D337" s="3" t="inlineStr">
        <is>
          <t>Крестовина ПП внутренней канализации 110х50/45</t>
        </is>
      </c>
      <c r="E337" s="4">
        <f>N337+O337</f>
        <v/>
      </c>
      <c r="F337" s="3" t="inlineStr">
        <is>
          <t>шт.</t>
        </is>
      </c>
      <c r="G337" s="4">
        <f>IFERROR('[1]Лист1'!G337,30)</f>
        <v/>
      </c>
      <c r="H337" s="16" t="n">
        <v>30</v>
      </c>
      <c r="I337" s="16" t="n">
        <v>30</v>
      </c>
      <c r="J337" s="16" t="n">
        <v>30</v>
      </c>
      <c r="K337" s="16" t="n">
        <v>30</v>
      </c>
      <c r="L337" s="16" t="n">
        <v>30</v>
      </c>
      <c r="M337" s="16" t="n">
        <v>30</v>
      </c>
      <c r="N337" s="4">
        <f>Работы!S339</f>
        <v/>
      </c>
      <c r="O337" s="4">
        <f>Работы!R339</f>
        <v/>
      </c>
      <c r="P337" s="16" t="n">
        <v>30</v>
      </c>
      <c r="Q337" s="16" t="n">
        <v>30</v>
      </c>
      <c r="R337" s="16" t="n">
        <v>30</v>
      </c>
      <c r="S337" s="16" t="n">
        <v>30</v>
      </c>
      <c r="T337" s="16" t="n">
        <v>30</v>
      </c>
      <c r="U337" s="16" t="n">
        <v>30</v>
      </c>
      <c r="V337" s="16" t="n">
        <v>30</v>
      </c>
      <c r="W337" s="16" t="n">
        <v>30</v>
      </c>
      <c r="X337" s="16" t="n">
        <v>30</v>
      </c>
      <c r="Y337" s="16" t="n">
        <v>30</v>
      </c>
      <c r="Z337" s="16" t="n">
        <v>30</v>
      </c>
      <c r="AA337" s="16" t="n">
        <v>30</v>
      </c>
    </row>
    <row r="338">
      <c r="A338" s="3" t="inlineStr">
        <is>
          <t>Сантехника</t>
        </is>
      </c>
      <c r="B338" s="3" t="inlineStr">
        <is>
          <t>Внутренняя канализация</t>
        </is>
      </c>
      <c r="C338" s="3" t="inlineStr">
        <is>
          <t>Монтажные работы</t>
        </is>
      </c>
      <c r="D338" s="3" t="inlineStr">
        <is>
          <t>Крестовина ПП внутренней канализации 110х50/87</t>
        </is>
      </c>
      <c r="E338" s="4">
        <f>N338+O338</f>
        <v/>
      </c>
      <c r="F338" s="3" t="inlineStr">
        <is>
          <t>шт.</t>
        </is>
      </c>
      <c r="G338" s="4">
        <f>IFERROR('[1]Лист1'!G338,30)</f>
        <v/>
      </c>
      <c r="H338" s="16" t="n">
        <v>30</v>
      </c>
      <c r="I338" s="16" t="n">
        <v>30</v>
      </c>
      <c r="J338" s="16" t="n">
        <v>30</v>
      </c>
      <c r="K338" s="16" t="n">
        <v>30</v>
      </c>
      <c r="L338" s="16" t="n">
        <v>30</v>
      </c>
      <c r="M338" s="16" t="n">
        <v>30</v>
      </c>
      <c r="N338" s="4">
        <f>Работы!S340</f>
        <v/>
      </c>
      <c r="O338" s="4">
        <f>Работы!R340</f>
        <v/>
      </c>
      <c r="P338" s="16" t="n">
        <v>30</v>
      </c>
      <c r="Q338" s="16" t="n">
        <v>30</v>
      </c>
      <c r="R338" s="16" t="n">
        <v>30</v>
      </c>
      <c r="S338" s="16" t="n">
        <v>30</v>
      </c>
      <c r="T338" s="16" t="n">
        <v>30</v>
      </c>
      <c r="U338" s="16" t="n">
        <v>30</v>
      </c>
      <c r="V338" s="16" t="n">
        <v>30</v>
      </c>
      <c r="W338" s="16" t="n">
        <v>30</v>
      </c>
      <c r="X338" s="16" t="n">
        <v>30</v>
      </c>
      <c r="Y338" s="16" t="n">
        <v>30</v>
      </c>
      <c r="Z338" s="16" t="n">
        <v>30</v>
      </c>
      <c r="AA338" s="16" t="n">
        <v>30</v>
      </c>
    </row>
    <row r="339">
      <c r="A339" s="3" t="inlineStr">
        <is>
          <t>Сантехника</t>
        </is>
      </c>
      <c r="B339" s="3" t="inlineStr">
        <is>
          <t>Внутренняя канализация</t>
        </is>
      </c>
      <c r="C339" s="3" t="inlineStr">
        <is>
          <t>Монтажные работы</t>
        </is>
      </c>
      <c r="D339" s="3" t="inlineStr">
        <is>
          <t>Крестовина ПП внутренней канализации 110х110/45</t>
        </is>
      </c>
      <c r="E339" s="4">
        <f>N339+O339</f>
        <v/>
      </c>
      <c r="F339" s="3" t="inlineStr">
        <is>
          <t>шт.</t>
        </is>
      </c>
      <c r="G339" s="4">
        <f>IFERROR('[1]Лист1'!G339,30)</f>
        <v/>
      </c>
      <c r="H339" s="16" t="n">
        <v>30</v>
      </c>
      <c r="I339" s="16" t="n">
        <v>30</v>
      </c>
      <c r="J339" s="16" t="n">
        <v>30</v>
      </c>
      <c r="K339" s="16" t="n">
        <v>30</v>
      </c>
      <c r="L339" s="16" t="n">
        <v>30</v>
      </c>
      <c r="M339" s="16" t="n">
        <v>30</v>
      </c>
      <c r="N339" s="4">
        <f>Работы!S341</f>
        <v/>
      </c>
      <c r="O339" s="4">
        <f>Работы!R341</f>
        <v/>
      </c>
      <c r="P339" s="16" t="n">
        <v>30</v>
      </c>
      <c r="Q339" s="16" t="n">
        <v>30</v>
      </c>
      <c r="R339" s="16" t="n">
        <v>30</v>
      </c>
      <c r="S339" s="16" t="n">
        <v>30</v>
      </c>
      <c r="T339" s="16" t="n">
        <v>30</v>
      </c>
      <c r="U339" s="16" t="n">
        <v>30</v>
      </c>
      <c r="V339" s="16" t="n">
        <v>30</v>
      </c>
      <c r="W339" s="16" t="n">
        <v>30</v>
      </c>
      <c r="X339" s="16" t="n">
        <v>30</v>
      </c>
      <c r="Y339" s="16" t="n">
        <v>30</v>
      </c>
      <c r="Z339" s="16" t="n">
        <v>30</v>
      </c>
      <c r="AA339" s="16" t="n">
        <v>30</v>
      </c>
    </row>
    <row r="340">
      <c r="A340" s="3" t="inlineStr">
        <is>
          <t>Сантехника</t>
        </is>
      </c>
      <c r="B340" s="3" t="inlineStr">
        <is>
          <t>Внутренняя канализация</t>
        </is>
      </c>
      <c r="C340" s="3" t="inlineStr">
        <is>
          <t>Монтажные работы</t>
        </is>
      </c>
      <c r="D340" s="3" t="inlineStr">
        <is>
          <t>Ревизия ПП внутренней канализации 50</t>
        </is>
      </c>
      <c r="E340" s="4">
        <f>N340+O340</f>
        <v/>
      </c>
      <c r="F340" s="3" t="inlineStr">
        <is>
          <t>шт.</t>
        </is>
      </c>
      <c r="G340" s="4">
        <f>IFERROR('[1]Лист1'!G340,30)</f>
        <v/>
      </c>
      <c r="H340" s="16" t="n">
        <v>30</v>
      </c>
      <c r="I340" s="16" t="n">
        <v>30</v>
      </c>
      <c r="J340" s="16" t="n">
        <v>30</v>
      </c>
      <c r="K340" s="16" t="n">
        <v>30</v>
      </c>
      <c r="L340" s="16" t="n">
        <v>30</v>
      </c>
      <c r="M340" s="16" t="n">
        <v>30</v>
      </c>
      <c r="N340" s="4">
        <f>Работы!S342</f>
        <v/>
      </c>
      <c r="O340" s="4">
        <f>Работы!R342</f>
        <v/>
      </c>
      <c r="P340" s="16" t="n">
        <v>30</v>
      </c>
      <c r="Q340" s="16" t="n">
        <v>30</v>
      </c>
      <c r="R340" s="16" t="n">
        <v>30</v>
      </c>
      <c r="S340" s="16" t="n">
        <v>30</v>
      </c>
      <c r="T340" s="16" t="n">
        <v>30</v>
      </c>
      <c r="U340" s="16" t="n">
        <v>30</v>
      </c>
      <c r="V340" s="16" t="n">
        <v>30</v>
      </c>
      <c r="W340" s="16" t="n">
        <v>30</v>
      </c>
      <c r="X340" s="16" t="n">
        <v>30</v>
      </c>
      <c r="Y340" s="16" t="n">
        <v>30</v>
      </c>
      <c r="Z340" s="16" t="n">
        <v>30</v>
      </c>
      <c r="AA340" s="16" t="n">
        <v>30</v>
      </c>
    </row>
    <row r="341">
      <c r="A341" s="3" t="inlineStr">
        <is>
          <t>Сантехника</t>
        </is>
      </c>
      <c r="B341" s="3" t="inlineStr">
        <is>
          <t>Внутренняя канализация</t>
        </is>
      </c>
      <c r="C341" s="3" t="inlineStr">
        <is>
          <t>Монтажные работы</t>
        </is>
      </c>
      <c r="D341" s="3" t="inlineStr">
        <is>
          <t>Ревизия ПП внутренней канализации 110</t>
        </is>
      </c>
      <c r="E341" s="4">
        <f>N341+O341</f>
        <v/>
      </c>
      <c r="F341" s="3" t="inlineStr">
        <is>
          <t>шт.</t>
        </is>
      </c>
      <c r="G341" s="4">
        <f>IFERROR('[1]Лист1'!G341,30)</f>
        <v/>
      </c>
      <c r="H341" s="16" t="n">
        <v>30</v>
      </c>
      <c r="I341" s="16" t="n">
        <v>30</v>
      </c>
      <c r="J341" s="16" t="n">
        <v>30</v>
      </c>
      <c r="K341" s="16" t="n">
        <v>30</v>
      </c>
      <c r="L341" s="16" t="n">
        <v>30</v>
      </c>
      <c r="M341" s="16" t="n">
        <v>30</v>
      </c>
      <c r="N341" s="4">
        <f>Работы!S343</f>
        <v/>
      </c>
      <c r="O341" s="4">
        <f>Работы!R343</f>
        <v/>
      </c>
      <c r="P341" s="16" t="n">
        <v>30</v>
      </c>
      <c r="Q341" s="16" t="n">
        <v>30</v>
      </c>
      <c r="R341" s="16" t="n">
        <v>30</v>
      </c>
      <c r="S341" s="16" t="n">
        <v>30</v>
      </c>
      <c r="T341" s="16" t="n">
        <v>30</v>
      </c>
      <c r="U341" s="16" t="n">
        <v>30</v>
      </c>
      <c r="V341" s="16" t="n">
        <v>30</v>
      </c>
      <c r="W341" s="16" t="n">
        <v>30</v>
      </c>
      <c r="X341" s="16" t="n">
        <v>30</v>
      </c>
      <c r="Y341" s="16" t="n">
        <v>30</v>
      </c>
      <c r="Z341" s="16" t="n">
        <v>30</v>
      </c>
      <c r="AA341" s="16" t="n">
        <v>30</v>
      </c>
    </row>
    <row r="342">
      <c r="A342" s="3" t="inlineStr">
        <is>
          <t>Сантехника</t>
        </is>
      </c>
      <c r="B342" s="3" t="inlineStr">
        <is>
          <t>Внутренняя канализация</t>
        </is>
      </c>
      <c r="C342" s="3" t="inlineStr">
        <is>
          <t>Монтажные работы</t>
        </is>
      </c>
      <c r="D342" s="3" t="inlineStr">
        <is>
          <t>Трубы ПВХ внутренней канализации d 32</t>
        </is>
      </c>
      <c r="E342" s="4">
        <f>N342+O342</f>
        <v/>
      </c>
      <c r="F342" s="3" t="inlineStr">
        <is>
          <t>м.п.</t>
        </is>
      </c>
      <c r="G342" s="4">
        <f>IFERROR('[1]Лист1'!G342,30)</f>
        <v/>
      </c>
      <c r="H342" s="16" t="n">
        <v>30</v>
      </c>
      <c r="I342" s="16" t="n">
        <v>30</v>
      </c>
      <c r="J342" s="16" t="n">
        <v>30</v>
      </c>
      <c r="K342" s="16" t="n">
        <v>30</v>
      </c>
      <c r="L342" s="16" t="n">
        <v>30</v>
      </c>
      <c r="M342" s="16" t="n">
        <v>30</v>
      </c>
      <c r="N342" s="4">
        <f>Работы!S344</f>
        <v/>
      </c>
      <c r="O342" s="4">
        <f>Работы!R344</f>
        <v/>
      </c>
      <c r="P342" s="16" t="n">
        <v>30</v>
      </c>
      <c r="Q342" s="16" t="n">
        <v>30</v>
      </c>
      <c r="R342" s="16" t="n">
        <v>30</v>
      </c>
      <c r="S342" s="16" t="n">
        <v>30</v>
      </c>
      <c r="T342" s="16" t="n">
        <v>30</v>
      </c>
      <c r="U342" s="16" t="n">
        <v>30</v>
      </c>
      <c r="V342" s="16" t="n">
        <v>30</v>
      </c>
      <c r="W342" s="16" t="n">
        <v>30</v>
      </c>
      <c r="X342" s="16" t="n">
        <v>30</v>
      </c>
      <c r="Y342" s="16" t="n">
        <v>30</v>
      </c>
      <c r="Z342" s="16" t="n">
        <v>30</v>
      </c>
      <c r="AA342" s="16" t="n">
        <v>30</v>
      </c>
    </row>
    <row r="343">
      <c r="A343" s="3" t="inlineStr">
        <is>
          <t>Сантехника</t>
        </is>
      </c>
      <c r="B343" s="3" t="inlineStr">
        <is>
          <t>Внутренняя канализация</t>
        </is>
      </c>
      <c r="C343" s="3" t="inlineStr">
        <is>
          <t>Монтажные работы</t>
        </is>
      </c>
      <c r="D343" s="3" t="inlineStr">
        <is>
          <t>Трубы ПВХ внутренней канализации d 40</t>
        </is>
      </c>
      <c r="E343" s="4">
        <f>N343+O343</f>
        <v/>
      </c>
      <c r="F343" s="3" t="inlineStr">
        <is>
          <t>м.п.</t>
        </is>
      </c>
      <c r="G343" s="4">
        <f>IFERROR('[1]Лист1'!G343,30)</f>
        <v/>
      </c>
      <c r="H343" s="16" t="n">
        <v>30</v>
      </c>
      <c r="I343" s="16" t="n">
        <v>30</v>
      </c>
      <c r="J343" s="16" t="n">
        <v>30</v>
      </c>
      <c r="K343" s="16" t="n">
        <v>30</v>
      </c>
      <c r="L343" s="16" t="n">
        <v>30</v>
      </c>
      <c r="M343" s="16" t="n">
        <v>30</v>
      </c>
      <c r="N343" s="4">
        <f>Работы!S345</f>
        <v/>
      </c>
      <c r="O343" s="4">
        <f>Работы!R345</f>
        <v/>
      </c>
      <c r="P343" s="16" t="n">
        <v>30</v>
      </c>
      <c r="Q343" s="16" t="n">
        <v>30</v>
      </c>
      <c r="R343" s="16" t="n">
        <v>30</v>
      </c>
      <c r="S343" s="16" t="n">
        <v>30</v>
      </c>
      <c r="T343" s="16" t="n">
        <v>30</v>
      </c>
      <c r="U343" s="16" t="n">
        <v>30</v>
      </c>
      <c r="V343" s="16" t="n">
        <v>30</v>
      </c>
      <c r="W343" s="16" t="n">
        <v>30</v>
      </c>
      <c r="X343" s="16" t="n">
        <v>30</v>
      </c>
      <c r="Y343" s="16" t="n">
        <v>30</v>
      </c>
      <c r="Z343" s="16" t="n">
        <v>30</v>
      </c>
      <c r="AA343" s="16" t="n">
        <v>30</v>
      </c>
    </row>
    <row r="344">
      <c r="A344" s="3" t="inlineStr">
        <is>
          <t>Сантехника</t>
        </is>
      </c>
      <c r="B344" s="3" t="inlineStr">
        <is>
          <t>Внутренняя канализация</t>
        </is>
      </c>
      <c r="C344" s="3" t="inlineStr">
        <is>
          <t>Монтажные работы</t>
        </is>
      </c>
      <c r="D344" s="3" t="inlineStr">
        <is>
          <t>Трубы ПВХ внутренней канализации d 50</t>
        </is>
      </c>
      <c r="E344" s="4">
        <f>N344+O344</f>
        <v/>
      </c>
      <c r="F344" s="3" t="inlineStr">
        <is>
          <t>м.п.</t>
        </is>
      </c>
      <c r="G344" s="4">
        <f>IFERROR('[1]Лист1'!G344,30)</f>
        <v/>
      </c>
      <c r="H344" s="16" t="n">
        <v>30</v>
      </c>
      <c r="I344" s="16" t="n">
        <v>30</v>
      </c>
      <c r="J344" s="16" t="n">
        <v>30</v>
      </c>
      <c r="K344" s="16" t="n">
        <v>30</v>
      </c>
      <c r="L344" s="16" t="n">
        <v>30</v>
      </c>
      <c r="M344" s="16" t="n">
        <v>30</v>
      </c>
      <c r="N344" s="4">
        <f>Работы!S346</f>
        <v/>
      </c>
      <c r="O344" s="4">
        <f>Работы!R346</f>
        <v/>
      </c>
      <c r="P344" s="16" t="n">
        <v>30</v>
      </c>
      <c r="Q344" s="16" t="n">
        <v>30</v>
      </c>
      <c r="R344" s="16" t="n">
        <v>30</v>
      </c>
      <c r="S344" s="16" t="n">
        <v>30</v>
      </c>
      <c r="T344" s="16" t="n">
        <v>30</v>
      </c>
      <c r="U344" s="16" t="n">
        <v>30</v>
      </c>
      <c r="V344" s="16" t="n">
        <v>30</v>
      </c>
      <c r="W344" s="16" t="n">
        <v>30</v>
      </c>
      <c r="X344" s="16" t="n">
        <v>30</v>
      </c>
      <c r="Y344" s="16" t="n">
        <v>30</v>
      </c>
      <c r="Z344" s="16" t="n">
        <v>30</v>
      </c>
      <c r="AA344" s="16" t="n">
        <v>30</v>
      </c>
    </row>
    <row r="345">
      <c r="A345" s="3" t="inlineStr">
        <is>
          <t>Сантехника</t>
        </is>
      </c>
      <c r="B345" s="3" t="inlineStr">
        <is>
          <t>Внутренняя канализация</t>
        </is>
      </c>
      <c r="C345" s="3" t="inlineStr">
        <is>
          <t>Монтажные работы</t>
        </is>
      </c>
      <c r="D345" s="3" t="inlineStr">
        <is>
          <t>Заглушки ВПХ d 50</t>
        </is>
      </c>
      <c r="E345" s="4">
        <f>N345+O345</f>
        <v/>
      </c>
      <c r="F345" s="3" t="inlineStr">
        <is>
          <t>шт.</t>
        </is>
      </c>
      <c r="G345" s="4">
        <f>IFERROR('[1]Лист1'!G345,30)</f>
        <v/>
      </c>
      <c r="H345" s="16" t="n">
        <v>30</v>
      </c>
      <c r="I345" s="16" t="n">
        <v>30</v>
      </c>
      <c r="J345" s="16" t="n">
        <v>30</v>
      </c>
      <c r="K345" s="16" t="n">
        <v>30</v>
      </c>
      <c r="L345" s="16" t="n">
        <v>30</v>
      </c>
      <c r="M345" s="16" t="n">
        <v>30</v>
      </c>
      <c r="N345" s="4">
        <f>Работы!S347</f>
        <v/>
      </c>
      <c r="O345" s="4">
        <f>Работы!R347</f>
        <v/>
      </c>
      <c r="P345" s="16" t="n">
        <v>30</v>
      </c>
      <c r="Q345" s="16" t="n">
        <v>30</v>
      </c>
      <c r="R345" s="16" t="n">
        <v>30</v>
      </c>
      <c r="S345" s="16" t="n">
        <v>30</v>
      </c>
      <c r="T345" s="16" t="n">
        <v>30</v>
      </c>
      <c r="U345" s="16" t="n">
        <v>30</v>
      </c>
      <c r="V345" s="16" t="n">
        <v>30</v>
      </c>
      <c r="W345" s="16" t="n">
        <v>30</v>
      </c>
      <c r="X345" s="16" t="n">
        <v>30</v>
      </c>
      <c r="Y345" s="16" t="n">
        <v>30</v>
      </c>
      <c r="Z345" s="16" t="n">
        <v>30</v>
      </c>
      <c r="AA345" s="16" t="n">
        <v>30</v>
      </c>
    </row>
    <row r="346">
      <c r="A346" s="3" t="inlineStr">
        <is>
          <t>Сантехника</t>
        </is>
      </c>
      <c r="B346" s="3" t="inlineStr">
        <is>
          <t>Внутренняя канализация</t>
        </is>
      </c>
      <c r="C346" s="3" t="inlineStr">
        <is>
          <t>Монтажные работы</t>
        </is>
      </c>
      <c r="D346" s="3" t="inlineStr">
        <is>
          <t>трап диаметром 100 мм</t>
        </is>
      </c>
      <c r="E346" s="4">
        <f>N346+O346</f>
        <v/>
      </c>
      <c r="F346" s="3" t="inlineStr">
        <is>
          <t>шт.</t>
        </is>
      </c>
      <c r="G346" s="4">
        <f>IFERROR('[1]Лист1'!G346,30)</f>
        <v/>
      </c>
      <c r="H346" s="16" t="n">
        <v>30</v>
      </c>
      <c r="I346" s="16" t="n">
        <v>30</v>
      </c>
      <c r="J346" s="16" t="n">
        <v>30</v>
      </c>
      <c r="K346" s="16" t="n">
        <v>30</v>
      </c>
      <c r="L346" s="16" t="n">
        <v>30</v>
      </c>
      <c r="M346" s="16" t="n">
        <v>30</v>
      </c>
      <c r="N346" s="4">
        <f>Работы!S348</f>
        <v/>
      </c>
      <c r="O346" s="4">
        <f>Работы!R348</f>
        <v/>
      </c>
      <c r="P346" s="16" t="n">
        <v>30</v>
      </c>
      <c r="Q346" s="16" t="n">
        <v>30</v>
      </c>
      <c r="R346" s="16" t="n">
        <v>30</v>
      </c>
      <c r="S346" s="16" t="n">
        <v>30</v>
      </c>
      <c r="T346" s="16" t="n">
        <v>30</v>
      </c>
      <c r="U346" s="16" t="n">
        <v>30</v>
      </c>
      <c r="V346" s="16" t="n">
        <v>30</v>
      </c>
      <c r="W346" s="16" t="n">
        <v>30</v>
      </c>
      <c r="X346" s="16" t="n">
        <v>30</v>
      </c>
      <c r="Y346" s="16" t="n">
        <v>30</v>
      </c>
      <c r="Z346" s="16" t="n">
        <v>30</v>
      </c>
      <c r="AA346" s="16" t="n">
        <v>30</v>
      </c>
    </row>
    <row r="347">
      <c r="A347" s="3" t="inlineStr">
        <is>
          <t>Сантехника</t>
        </is>
      </c>
      <c r="B347" s="3" t="inlineStr">
        <is>
          <t>Внутренняя канализация</t>
        </is>
      </c>
      <c r="C347" s="3" t="inlineStr">
        <is>
          <t>Монтажные работы</t>
        </is>
      </c>
      <c r="D347" s="3" t="inlineStr">
        <is>
          <t>трап диаметром 50 мм</t>
        </is>
      </c>
      <c r="E347" s="4">
        <f>N347+O347</f>
        <v/>
      </c>
      <c r="F347" s="3" t="inlineStr">
        <is>
          <t>шт.</t>
        </is>
      </c>
      <c r="G347" s="4">
        <f>IFERROR('[1]Лист1'!G347,30)</f>
        <v/>
      </c>
      <c r="H347" s="16" t="n">
        <v>30</v>
      </c>
      <c r="I347" s="16" t="n">
        <v>30</v>
      </c>
      <c r="J347" s="16" t="n">
        <v>30</v>
      </c>
      <c r="K347" s="16" t="n">
        <v>30</v>
      </c>
      <c r="L347" s="16" t="n">
        <v>30</v>
      </c>
      <c r="M347" s="16" t="n">
        <v>30</v>
      </c>
      <c r="N347" s="4">
        <f>Работы!S349</f>
        <v/>
      </c>
      <c r="O347" s="4">
        <f>Работы!R349</f>
        <v/>
      </c>
      <c r="P347" s="16" t="n">
        <v>30</v>
      </c>
      <c r="Q347" s="16" t="n">
        <v>30</v>
      </c>
      <c r="R347" s="16" t="n">
        <v>30</v>
      </c>
      <c r="S347" s="16" t="n">
        <v>30</v>
      </c>
      <c r="T347" s="16" t="n">
        <v>30</v>
      </c>
      <c r="U347" s="16" t="n">
        <v>30</v>
      </c>
      <c r="V347" s="16" t="n">
        <v>30</v>
      </c>
      <c r="W347" s="16" t="n">
        <v>30</v>
      </c>
      <c r="X347" s="16" t="n">
        <v>30</v>
      </c>
      <c r="Y347" s="16" t="n">
        <v>30</v>
      </c>
      <c r="Z347" s="16" t="n">
        <v>30</v>
      </c>
      <c r="AA347" s="16" t="n">
        <v>30</v>
      </c>
    </row>
    <row r="348">
      <c r="A348" s="3" t="inlineStr">
        <is>
          <t>Сантехника</t>
        </is>
      </c>
      <c r="B348" s="3" t="inlineStr">
        <is>
          <t>Внутренняя канализация</t>
        </is>
      </c>
      <c r="C348" s="3" t="inlineStr">
        <is>
          <t>Монтажные работы</t>
        </is>
      </c>
      <c r="D348" s="3" t="inlineStr">
        <is>
          <t>Резиновые манжеты переходные для канализационных систем 50х32</t>
        </is>
      </c>
      <c r="E348" s="4">
        <f>N348+O348</f>
        <v/>
      </c>
      <c r="F348" s="3" t="inlineStr">
        <is>
          <t>шт.</t>
        </is>
      </c>
      <c r="G348" s="4">
        <f>IFERROR('[1]Лист1'!G348,30)</f>
        <v/>
      </c>
      <c r="H348" s="16" t="n">
        <v>30</v>
      </c>
      <c r="I348" s="16" t="n">
        <v>30</v>
      </c>
      <c r="J348" s="16" t="n">
        <v>30</v>
      </c>
      <c r="K348" s="16" t="n">
        <v>30</v>
      </c>
      <c r="L348" s="16" t="n">
        <v>30</v>
      </c>
      <c r="M348" s="16" t="n">
        <v>30</v>
      </c>
      <c r="N348" s="4">
        <f>Работы!S350</f>
        <v/>
      </c>
      <c r="O348" s="4">
        <f>Работы!R350</f>
        <v/>
      </c>
      <c r="P348" s="16" t="n">
        <v>30</v>
      </c>
      <c r="Q348" s="16" t="n">
        <v>30</v>
      </c>
      <c r="R348" s="16" t="n">
        <v>30</v>
      </c>
      <c r="S348" s="16" t="n">
        <v>30</v>
      </c>
      <c r="T348" s="16" t="n">
        <v>30</v>
      </c>
      <c r="U348" s="16" t="n">
        <v>30</v>
      </c>
      <c r="V348" s="16" t="n">
        <v>30</v>
      </c>
      <c r="W348" s="16" t="n">
        <v>30</v>
      </c>
      <c r="X348" s="16" t="n">
        <v>30</v>
      </c>
      <c r="Y348" s="16" t="n">
        <v>30</v>
      </c>
      <c r="Z348" s="16" t="n">
        <v>30</v>
      </c>
      <c r="AA348" s="16" t="n">
        <v>30</v>
      </c>
    </row>
    <row r="349">
      <c r="A349" s="3" t="inlineStr">
        <is>
          <t>Сантехника</t>
        </is>
      </c>
      <c r="B349" s="3" t="inlineStr">
        <is>
          <t>Внутренняя канализация</t>
        </is>
      </c>
      <c r="C349" s="3" t="inlineStr">
        <is>
          <t>Монтажные работы</t>
        </is>
      </c>
      <c r="D349" s="3" t="inlineStr">
        <is>
          <t>Резиновые манжеты переходные для канализационных систем 50х40</t>
        </is>
      </c>
      <c r="E349" s="4">
        <f>N349+O349</f>
        <v/>
      </c>
      <c r="F349" s="3" t="inlineStr">
        <is>
          <t>шт.</t>
        </is>
      </c>
      <c r="G349" s="4">
        <f>IFERROR('[1]Лист1'!G349,30)</f>
        <v/>
      </c>
      <c r="H349" s="16" t="n">
        <v>30</v>
      </c>
      <c r="I349" s="16" t="n">
        <v>30</v>
      </c>
      <c r="J349" s="16" t="n">
        <v>30</v>
      </c>
      <c r="K349" s="16" t="n">
        <v>30</v>
      </c>
      <c r="L349" s="16" t="n">
        <v>30</v>
      </c>
      <c r="M349" s="16" t="n">
        <v>30</v>
      </c>
      <c r="N349" s="4">
        <f>Работы!S351</f>
        <v/>
      </c>
      <c r="O349" s="4">
        <f>Работы!R351</f>
        <v/>
      </c>
      <c r="P349" s="16" t="n">
        <v>30</v>
      </c>
      <c r="Q349" s="16" t="n">
        <v>30</v>
      </c>
      <c r="R349" s="16" t="n">
        <v>30</v>
      </c>
      <c r="S349" s="16" t="n">
        <v>30</v>
      </c>
      <c r="T349" s="16" t="n">
        <v>30</v>
      </c>
      <c r="U349" s="16" t="n">
        <v>30</v>
      </c>
      <c r="V349" s="16" t="n">
        <v>30</v>
      </c>
      <c r="W349" s="16" t="n">
        <v>30</v>
      </c>
      <c r="X349" s="16" t="n">
        <v>30</v>
      </c>
      <c r="Y349" s="16" t="n">
        <v>30</v>
      </c>
      <c r="Z349" s="16" t="n">
        <v>30</v>
      </c>
      <c r="AA349" s="16" t="n">
        <v>30</v>
      </c>
    </row>
    <row r="350">
      <c r="A350" s="3" t="inlineStr">
        <is>
          <t>Сантехника</t>
        </is>
      </c>
      <c r="B350" s="3" t="inlineStr">
        <is>
          <t>Внутренняя канализация</t>
        </is>
      </c>
      <c r="C350" s="3" t="inlineStr">
        <is>
          <t>Монтажные работы</t>
        </is>
      </c>
      <c r="D350" s="3" t="inlineStr">
        <is>
          <t>обратный клапан для канализации 110 мм</t>
        </is>
      </c>
      <c r="E350" s="4">
        <f>N350+O350</f>
        <v/>
      </c>
      <c r="F350" s="3" t="inlineStr">
        <is>
          <t>шт.</t>
        </is>
      </c>
      <c r="G350" s="4">
        <f>IFERROR('[1]Лист1'!G350,30)</f>
        <v/>
      </c>
      <c r="H350" s="16" t="n">
        <v>30</v>
      </c>
      <c r="I350" s="16" t="n">
        <v>30</v>
      </c>
      <c r="J350" s="16" t="n">
        <v>30</v>
      </c>
      <c r="K350" s="16" t="n">
        <v>30</v>
      </c>
      <c r="L350" s="16" t="n">
        <v>30</v>
      </c>
      <c r="M350" s="16" t="n">
        <v>30</v>
      </c>
      <c r="N350" s="4">
        <f>Работы!S352</f>
        <v/>
      </c>
      <c r="O350" s="4">
        <f>Работы!R352</f>
        <v/>
      </c>
      <c r="P350" s="16" t="n">
        <v>30</v>
      </c>
      <c r="Q350" s="16" t="n">
        <v>30</v>
      </c>
      <c r="R350" s="16" t="n">
        <v>30</v>
      </c>
      <c r="S350" s="16" t="n">
        <v>30</v>
      </c>
      <c r="T350" s="16" t="n">
        <v>30</v>
      </c>
      <c r="U350" s="16" t="n">
        <v>30</v>
      </c>
      <c r="V350" s="16" t="n">
        <v>30</v>
      </c>
      <c r="W350" s="16" t="n">
        <v>30</v>
      </c>
      <c r="X350" s="16" t="n">
        <v>30</v>
      </c>
      <c r="Y350" s="16" t="n">
        <v>30</v>
      </c>
      <c r="Z350" s="16" t="n">
        <v>30</v>
      </c>
      <c r="AA350" s="16" t="n">
        <v>30</v>
      </c>
    </row>
    <row r="351">
      <c r="A351" s="3" t="inlineStr">
        <is>
          <t>Сантехника</t>
        </is>
      </c>
      <c r="B351" s="3" t="inlineStr">
        <is>
          <t>Внутренняя канализация</t>
        </is>
      </c>
      <c r="C351" s="3" t="inlineStr">
        <is>
          <t>Монтажные работы</t>
        </is>
      </c>
      <c r="D351" s="3" t="inlineStr">
        <is>
          <t>обратный клапан для канализации 50 мм</t>
        </is>
      </c>
      <c r="E351" s="4">
        <f>N351+O351</f>
        <v/>
      </c>
      <c r="F351" s="3" t="inlineStr">
        <is>
          <t>шт.</t>
        </is>
      </c>
      <c r="G351" s="4">
        <f>IFERROR('[1]Лист1'!G351,30)</f>
        <v/>
      </c>
      <c r="H351" s="16" t="n">
        <v>30</v>
      </c>
      <c r="I351" s="16" t="n">
        <v>30</v>
      </c>
      <c r="J351" s="16" t="n">
        <v>30</v>
      </c>
      <c r="K351" s="16" t="n">
        <v>30</v>
      </c>
      <c r="L351" s="16" t="n">
        <v>30</v>
      </c>
      <c r="M351" s="16" t="n">
        <v>30</v>
      </c>
      <c r="N351" s="4">
        <f>Работы!S353</f>
        <v/>
      </c>
      <c r="O351" s="4">
        <f>Работы!R353</f>
        <v/>
      </c>
      <c r="P351" s="16" t="n">
        <v>30</v>
      </c>
      <c r="Q351" s="16" t="n">
        <v>30</v>
      </c>
      <c r="R351" s="16" t="n">
        <v>30</v>
      </c>
      <c r="S351" s="16" t="n">
        <v>30</v>
      </c>
      <c r="T351" s="16" t="n">
        <v>30</v>
      </c>
      <c r="U351" s="16" t="n">
        <v>30</v>
      </c>
      <c r="V351" s="16" t="n">
        <v>30</v>
      </c>
      <c r="W351" s="16" t="n">
        <v>30</v>
      </c>
      <c r="X351" s="16" t="n">
        <v>30</v>
      </c>
      <c r="Y351" s="16" t="n">
        <v>30</v>
      </c>
      <c r="Z351" s="16" t="n">
        <v>30</v>
      </c>
      <c r="AA351" s="16" t="n">
        <v>30</v>
      </c>
    </row>
    <row r="352">
      <c r="A352" s="3" t="inlineStr">
        <is>
          <t>Сантехника</t>
        </is>
      </c>
      <c r="B352" s="3" t="inlineStr">
        <is>
          <t>Внутренняя канализация</t>
        </is>
      </c>
      <c r="C352" s="3" t="inlineStr">
        <is>
          <t>Монтажные работы</t>
        </is>
      </c>
      <c r="D352" s="3" t="inlineStr">
        <is>
          <t>Трап HL (Hutterer Lechner) 71 с решеткой из ABS,песколовкой, гидрозатвором</t>
        </is>
      </c>
      <c r="E352" s="4">
        <f>N352+O352</f>
        <v/>
      </c>
      <c r="F352" s="3" t="inlineStr">
        <is>
          <t>шт.</t>
        </is>
      </c>
      <c r="G352" s="4">
        <f>IFERROR('[1]Лист1'!G352,30)</f>
        <v/>
      </c>
      <c r="H352" s="16" t="n">
        <v>30</v>
      </c>
      <c r="I352" s="16" t="n">
        <v>30</v>
      </c>
      <c r="J352" s="16" t="n">
        <v>30</v>
      </c>
      <c r="K352" s="16" t="n">
        <v>30</v>
      </c>
      <c r="L352" s="16" t="n">
        <v>30</v>
      </c>
      <c r="M352" s="16" t="n">
        <v>30</v>
      </c>
      <c r="N352" s="4">
        <f>Работы!S354</f>
        <v/>
      </c>
      <c r="O352" s="4">
        <f>Работы!R354</f>
        <v/>
      </c>
      <c r="P352" s="16" t="n">
        <v>30</v>
      </c>
      <c r="Q352" s="16" t="n">
        <v>30</v>
      </c>
      <c r="R352" s="16" t="n">
        <v>30</v>
      </c>
      <c r="S352" s="16" t="n">
        <v>30</v>
      </c>
      <c r="T352" s="16" t="n">
        <v>30</v>
      </c>
      <c r="U352" s="16" t="n">
        <v>30</v>
      </c>
      <c r="V352" s="16" t="n">
        <v>30</v>
      </c>
      <c r="W352" s="16" t="n">
        <v>30</v>
      </c>
      <c r="X352" s="16" t="n">
        <v>30</v>
      </c>
      <c r="Y352" s="16" t="n">
        <v>30</v>
      </c>
      <c r="Z352" s="16" t="n">
        <v>30</v>
      </c>
      <c r="AA352" s="16" t="n">
        <v>30</v>
      </c>
    </row>
    <row r="353">
      <c r="A353" s="3" t="inlineStr">
        <is>
          <t>Сантехника</t>
        </is>
      </c>
      <c r="B353" s="3" t="inlineStr">
        <is>
          <t>Трубы полипропилен. и фитинги</t>
        </is>
      </c>
      <c r="C353" s="3" t="inlineStr">
        <is>
          <t>Монтажные работы</t>
        </is>
      </c>
      <c r="D353" s="3" t="inlineStr">
        <is>
          <t>Трубы полипропиленованные d 20</t>
        </is>
      </c>
      <c r="E353" s="4">
        <f>N353+O353</f>
        <v/>
      </c>
      <c r="F353" s="3" t="inlineStr">
        <is>
          <t>м.п.</t>
        </is>
      </c>
      <c r="G353" s="4">
        <f>IFERROR('[1]Лист1'!G353,30)</f>
        <v/>
      </c>
      <c r="H353" s="16" t="n">
        <v>30</v>
      </c>
      <c r="I353" s="16" t="n">
        <v>30</v>
      </c>
      <c r="J353" s="16" t="n">
        <v>30</v>
      </c>
      <c r="K353" s="16" t="n">
        <v>30</v>
      </c>
      <c r="L353" s="16" t="n">
        <v>30</v>
      </c>
      <c r="M353" s="16" t="n">
        <v>30</v>
      </c>
      <c r="N353" s="4">
        <f>Работы!S355</f>
        <v/>
      </c>
      <c r="O353" s="4">
        <f>Работы!R355</f>
        <v/>
      </c>
      <c r="P353" s="16" t="n">
        <v>30</v>
      </c>
      <c r="Q353" s="16" t="n">
        <v>30</v>
      </c>
      <c r="R353" s="16" t="n">
        <v>30</v>
      </c>
      <c r="S353" s="16" t="n">
        <v>30</v>
      </c>
      <c r="T353" s="16" t="n">
        <v>30</v>
      </c>
      <c r="U353" s="16" t="n">
        <v>30</v>
      </c>
      <c r="V353" s="16" t="n">
        <v>30</v>
      </c>
      <c r="W353" s="16" t="n">
        <v>30</v>
      </c>
      <c r="X353" s="16" t="n">
        <v>30</v>
      </c>
      <c r="Y353" s="16" t="n">
        <v>30</v>
      </c>
      <c r="Z353" s="16" t="n">
        <v>30</v>
      </c>
      <c r="AA353" s="16" t="n">
        <v>30</v>
      </c>
    </row>
    <row r="354">
      <c r="A354" s="3" t="inlineStr">
        <is>
          <t>Сантехника</t>
        </is>
      </c>
      <c r="B354" s="3" t="inlineStr">
        <is>
          <t>Трубы полипропилен. и фитинги</t>
        </is>
      </c>
      <c r="C354" s="3" t="inlineStr">
        <is>
          <t>Монтажные работы</t>
        </is>
      </c>
      <c r="D354" s="3" t="inlineStr">
        <is>
          <t>Трубы полипропиленованные d 25</t>
        </is>
      </c>
      <c r="E354" s="4">
        <f>N354+O354</f>
        <v/>
      </c>
      <c r="F354" s="3" t="inlineStr">
        <is>
          <t>м.п.</t>
        </is>
      </c>
      <c r="G354" s="4">
        <f>IFERROR('[1]Лист1'!G354,30)</f>
        <v/>
      </c>
      <c r="H354" s="16" t="n">
        <v>30</v>
      </c>
      <c r="I354" s="16" t="n">
        <v>30</v>
      </c>
      <c r="J354" s="16" t="n">
        <v>30</v>
      </c>
      <c r="K354" s="16" t="n">
        <v>30</v>
      </c>
      <c r="L354" s="16" t="n">
        <v>30</v>
      </c>
      <c r="M354" s="16" t="n">
        <v>30</v>
      </c>
      <c r="N354" s="4">
        <f>Работы!S356</f>
        <v/>
      </c>
      <c r="O354" s="4">
        <f>Работы!R356</f>
        <v/>
      </c>
      <c r="P354" s="16" t="n">
        <v>30</v>
      </c>
      <c r="Q354" s="16" t="n">
        <v>30</v>
      </c>
      <c r="R354" s="16" t="n">
        <v>30</v>
      </c>
      <c r="S354" s="16" t="n">
        <v>30</v>
      </c>
      <c r="T354" s="16" t="n">
        <v>30</v>
      </c>
      <c r="U354" s="16" t="n">
        <v>30</v>
      </c>
      <c r="V354" s="16" t="n">
        <v>30</v>
      </c>
      <c r="W354" s="16" t="n">
        <v>30</v>
      </c>
      <c r="X354" s="16" t="n">
        <v>30</v>
      </c>
      <c r="Y354" s="16" t="n">
        <v>30</v>
      </c>
      <c r="Z354" s="16" t="n">
        <v>30</v>
      </c>
      <c r="AA354" s="16" t="n">
        <v>30</v>
      </c>
    </row>
    <row r="355">
      <c r="A355" s="3" t="inlineStr">
        <is>
          <t>Сантехника</t>
        </is>
      </c>
      <c r="B355" s="3" t="inlineStr">
        <is>
          <t>Трубы полипропилен. и фитинги</t>
        </is>
      </c>
      <c r="C355" s="3" t="inlineStr">
        <is>
          <t>Монтажные работы</t>
        </is>
      </c>
      <c r="D355" s="3" t="inlineStr">
        <is>
          <t>Трубы полипропиленованные d 32</t>
        </is>
      </c>
      <c r="E355" s="4">
        <f>N355+O355</f>
        <v/>
      </c>
      <c r="F355" s="3" t="inlineStr">
        <is>
          <t>м.п.</t>
        </is>
      </c>
      <c r="G355" s="4">
        <f>IFERROR('[1]Лист1'!G355,30)</f>
        <v/>
      </c>
      <c r="H355" s="16" t="n">
        <v>30</v>
      </c>
      <c r="I355" s="16" t="n">
        <v>30</v>
      </c>
      <c r="J355" s="16" t="n">
        <v>30</v>
      </c>
      <c r="K355" s="16" t="n">
        <v>30</v>
      </c>
      <c r="L355" s="16" t="n">
        <v>30</v>
      </c>
      <c r="M355" s="16" t="n">
        <v>30</v>
      </c>
      <c r="N355" s="4">
        <f>Работы!S357</f>
        <v/>
      </c>
      <c r="O355" s="4">
        <f>Работы!R357</f>
        <v/>
      </c>
      <c r="P355" s="16" t="n">
        <v>30</v>
      </c>
      <c r="Q355" s="16" t="n">
        <v>30</v>
      </c>
      <c r="R355" s="16" t="n">
        <v>30</v>
      </c>
      <c r="S355" s="16" t="n">
        <v>30</v>
      </c>
      <c r="T355" s="16" t="n">
        <v>30</v>
      </c>
      <c r="U355" s="16" t="n">
        <v>30</v>
      </c>
      <c r="V355" s="16" t="n">
        <v>30</v>
      </c>
      <c r="W355" s="16" t="n">
        <v>30</v>
      </c>
      <c r="X355" s="16" t="n">
        <v>30</v>
      </c>
      <c r="Y355" s="16" t="n">
        <v>30</v>
      </c>
      <c r="Z355" s="16" t="n">
        <v>30</v>
      </c>
      <c r="AA355" s="16" t="n">
        <v>30</v>
      </c>
    </row>
    <row r="356">
      <c r="A356" s="3" t="inlineStr">
        <is>
          <t>Сантехника</t>
        </is>
      </c>
      <c r="B356" s="3" t="inlineStr">
        <is>
          <t>Трубы полипропилен. и фитинги</t>
        </is>
      </c>
      <c r="C356" s="3" t="inlineStr">
        <is>
          <t>Монтажные работы</t>
        </is>
      </c>
      <c r="D356" s="3" t="inlineStr">
        <is>
          <t>Трубы полипропиленованные d 40</t>
        </is>
      </c>
      <c r="E356" s="4">
        <f>N356+O356</f>
        <v/>
      </c>
      <c r="F356" s="3" t="inlineStr">
        <is>
          <t>м.п.</t>
        </is>
      </c>
      <c r="G356" s="4">
        <f>IFERROR('[1]Лист1'!G356,30)</f>
        <v/>
      </c>
      <c r="H356" s="16" t="n">
        <v>30</v>
      </c>
      <c r="I356" s="16" t="n">
        <v>30</v>
      </c>
      <c r="J356" s="16" t="n">
        <v>30</v>
      </c>
      <c r="K356" s="16" t="n">
        <v>30</v>
      </c>
      <c r="L356" s="16" t="n">
        <v>30</v>
      </c>
      <c r="M356" s="16" t="n">
        <v>30</v>
      </c>
      <c r="N356" s="4">
        <f>Работы!S358</f>
        <v/>
      </c>
      <c r="O356" s="4">
        <f>Работы!R358</f>
        <v/>
      </c>
      <c r="P356" s="16" t="n">
        <v>30</v>
      </c>
      <c r="Q356" s="16" t="n">
        <v>30</v>
      </c>
      <c r="R356" s="16" t="n">
        <v>30</v>
      </c>
      <c r="S356" s="16" t="n">
        <v>30</v>
      </c>
      <c r="T356" s="16" t="n">
        <v>30</v>
      </c>
      <c r="U356" s="16" t="n">
        <v>30</v>
      </c>
      <c r="V356" s="16" t="n">
        <v>30</v>
      </c>
      <c r="W356" s="16" t="n">
        <v>30</v>
      </c>
      <c r="X356" s="16" t="n">
        <v>30</v>
      </c>
      <c r="Y356" s="16" t="n">
        <v>30</v>
      </c>
      <c r="Z356" s="16" t="n">
        <v>30</v>
      </c>
      <c r="AA356" s="16" t="n">
        <v>30</v>
      </c>
    </row>
    <row r="357">
      <c r="A357" s="3" t="inlineStr">
        <is>
          <t>Сантехника</t>
        </is>
      </c>
      <c r="B357" s="3" t="inlineStr">
        <is>
          <t>Трубы полипропилен. и фитинги</t>
        </is>
      </c>
      <c r="C357" s="3" t="inlineStr">
        <is>
          <t>Монтажные работы</t>
        </is>
      </c>
      <c r="D357" s="3" t="inlineStr">
        <is>
          <t>Трубы полипропиленованные армированные алюминием (стекловолокном) d 20</t>
        </is>
      </c>
      <c r="E357" s="4">
        <f>N357+O357</f>
        <v/>
      </c>
      <c r="F357" s="3" t="inlineStr">
        <is>
          <t>м.п.</t>
        </is>
      </c>
      <c r="G357" s="4">
        <f>IFERROR('[1]Лист1'!G357,30)</f>
        <v/>
      </c>
      <c r="H357" s="16" t="n">
        <v>30</v>
      </c>
      <c r="I357" s="16" t="n">
        <v>30</v>
      </c>
      <c r="J357" s="16" t="n">
        <v>30</v>
      </c>
      <c r="K357" s="16" t="n">
        <v>30</v>
      </c>
      <c r="L357" s="16" t="n">
        <v>30</v>
      </c>
      <c r="M357" s="16" t="n">
        <v>30</v>
      </c>
      <c r="N357" s="4">
        <f>Работы!S359</f>
        <v/>
      </c>
      <c r="O357" s="4">
        <f>Работы!R359</f>
        <v/>
      </c>
      <c r="P357" s="16" t="n">
        <v>30</v>
      </c>
      <c r="Q357" s="16" t="n">
        <v>30</v>
      </c>
      <c r="R357" s="16" t="n">
        <v>30</v>
      </c>
      <c r="S357" s="16" t="n">
        <v>30</v>
      </c>
      <c r="T357" s="16" t="n">
        <v>30</v>
      </c>
      <c r="U357" s="16" t="n">
        <v>30</v>
      </c>
      <c r="V357" s="16" t="n">
        <v>30</v>
      </c>
      <c r="W357" s="16" t="n">
        <v>30</v>
      </c>
      <c r="X357" s="16" t="n">
        <v>30</v>
      </c>
      <c r="Y357" s="16" t="n">
        <v>30</v>
      </c>
      <c r="Z357" s="16" t="n">
        <v>30</v>
      </c>
      <c r="AA357" s="16" t="n">
        <v>30</v>
      </c>
    </row>
    <row r="358">
      <c r="A358" s="3" t="inlineStr">
        <is>
          <t>Сантехника</t>
        </is>
      </c>
      <c r="B358" s="3" t="inlineStr">
        <is>
          <t>Трубы полипропилен. и фитинги</t>
        </is>
      </c>
      <c r="C358" s="3" t="inlineStr">
        <is>
          <t>Монтажные работы</t>
        </is>
      </c>
      <c r="D358" s="3" t="inlineStr">
        <is>
          <t>Трубы полипропиленованные армированные алюминием (стекловолокном) d 25</t>
        </is>
      </c>
      <c r="E358" s="4">
        <f>N358+O358</f>
        <v/>
      </c>
      <c r="F358" s="3" t="inlineStr">
        <is>
          <t>м.п.</t>
        </is>
      </c>
      <c r="G358" s="4">
        <f>IFERROR('[1]Лист1'!G358,30)</f>
        <v/>
      </c>
      <c r="H358" s="16" t="n">
        <v>30</v>
      </c>
      <c r="I358" s="16" t="n">
        <v>30</v>
      </c>
      <c r="J358" s="16" t="n">
        <v>30</v>
      </c>
      <c r="K358" s="16" t="n">
        <v>30</v>
      </c>
      <c r="L358" s="16" t="n">
        <v>30</v>
      </c>
      <c r="M358" s="16" t="n">
        <v>30</v>
      </c>
      <c r="N358" s="4">
        <f>Работы!S360</f>
        <v/>
      </c>
      <c r="O358" s="4">
        <f>Работы!R360</f>
        <v/>
      </c>
      <c r="P358" s="16" t="n">
        <v>30</v>
      </c>
      <c r="Q358" s="16" t="n">
        <v>30</v>
      </c>
      <c r="R358" s="16" t="n">
        <v>30</v>
      </c>
      <c r="S358" s="16" t="n">
        <v>30</v>
      </c>
      <c r="T358" s="16" t="n">
        <v>30</v>
      </c>
      <c r="U358" s="16" t="n">
        <v>30</v>
      </c>
      <c r="V358" s="16" t="n">
        <v>30</v>
      </c>
      <c r="W358" s="16" t="n">
        <v>30</v>
      </c>
      <c r="X358" s="16" t="n">
        <v>30</v>
      </c>
      <c r="Y358" s="16" t="n">
        <v>30</v>
      </c>
      <c r="Z358" s="16" t="n">
        <v>30</v>
      </c>
      <c r="AA358" s="16" t="n">
        <v>30</v>
      </c>
    </row>
    <row r="359">
      <c r="A359" s="3" t="inlineStr">
        <is>
          <t>Сантехника</t>
        </is>
      </c>
      <c r="B359" s="3" t="inlineStr">
        <is>
          <t>Трубы полипропилен. и фитинги</t>
        </is>
      </c>
      <c r="C359" s="3" t="inlineStr">
        <is>
          <t>Монтажные работы</t>
        </is>
      </c>
      <c r="D359" s="3" t="inlineStr">
        <is>
          <t>Трубы полипропиленованные армированные алюминием (стекловолокном) d 32</t>
        </is>
      </c>
      <c r="E359" s="4">
        <f>N359+O359</f>
        <v/>
      </c>
      <c r="F359" s="3" t="inlineStr">
        <is>
          <t>м.п.</t>
        </is>
      </c>
      <c r="G359" s="4">
        <f>IFERROR('[1]Лист1'!G359,30)</f>
        <v/>
      </c>
      <c r="H359" s="16" t="n">
        <v>30</v>
      </c>
      <c r="I359" s="16" t="n">
        <v>30</v>
      </c>
      <c r="J359" s="16" t="n">
        <v>30</v>
      </c>
      <c r="K359" s="16" t="n">
        <v>30</v>
      </c>
      <c r="L359" s="16" t="n">
        <v>30</v>
      </c>
      <c r="M359" s="16" t="n">
        <v>30</v>
      </c>
      <c r="N359" s="4">
        <f>Работы!S361</f>
        <v/>
      </c>
      <c r="O359" s="4">
        <f>Работы!R361</f>
        <v/>
      </c>
      <c r="P359" s="16" t="n">
        <v>30</v>
      </c>
      <c r="Q359" s="16" t="n">
        <v>30</v>
      </c>
      <c r="R359" s="16" t="n">
        <v>30</v>
      </c>
      <c r="S359" s="16" t="n">
        <v>30</v>
      </c>
      <c r="T359" s="16" t="n">
        <v>30</v>
      </c>
      <c r="U359" s="16" t="n">
        <v>30</v>
      </c>
      <c r="V359" s="16" t="n">
        <v>30</v>
      </c>
      <c r="W359" s="16" t="n">
        <v>30</v>
      </c>
      <c r="X359" s="16" t="n">
        <v>30</v>
      </c>
      <c r="Y359" s="16" t="n">
        <v>30</v>
      </c>
      <c r="Z359" s="16" t="n">
        <v>30</v>
      </c>
      <c r="AA359" s="16" t="n">
        <v>30</v>
      </c>
    </row>
    <row r="360">
      <c r="A360" s="3" t="inlineStr">
        <is>
          <t>Сантехника</t>
        </is>
      </c>
      <c r="B360" s="3" t="inlineStr">
        <is>
          <t>Трубы полипропилен. и фитинги</t>
        </is>
      </c>
      <c r="C360" s="3" t="inlineStr">
        <is>
          <t>Монтажные работы</t>
        </is>
      </c>
      <c r="D360" s="3" t="inlineStr">
        <is>
          <t>Трубы полипропиленованные армированные алюминием (стекловолокном) d 40</t>
        </is>
      </c>
      <c r="E360" s="4">
        <f>N360+O360</f>
        <v/>
      </c>
      <c r="F360" s="3" t="inlineStr">
        <is>
          <t>м.п.</t>
        </is>
      </c>
      <c r="G360" s="4">
        <f>IFERROR('[1]Лист1'!G360,30)</f>
        <v/>
      </c>
      <c r="H360" s="16" t="n">
        <v>30</v>
      </c>
      <c r="I360" s="16" t="n">
        <v>30</v>
      </c>
      <c r="J360" s="16" t="n">
        <v>30</v>
      </c>
      <c r="K360" s="16" t="n">
        <v>30</v>
      </c>
      <c r="L360" s="16" t="n">
        <v>30</v>
      </c>
      <c r="M360" s="16" t="n">
        <v>30</v>
      </c>
      <c r="N360" s="4">
        <f>Работы!S362</f>
        <v/>
      </c>
      <c r="O360" s="4">
        <f>Работы!R362</f>
        <v/>
      </c>
      <c r="P360" s="16" t="n">
        <v>30</v>
      </c>
      <c r="Q360" s="16" t="n">
        <v>30</v>
      </c>
      <c r="R360" s="16" t="n">
        <v>30</v>
      </c>
      <c r="S360" s="16" t="n">
        <v>30</v>
      </c>
      <c r="T360" s="16" t="n">
        <v>30</v>
      </c>
      <c r="U360" s="16" t="n">
        <v>30</v>
      </c>
      <c r="V360" s="16" t="n">
        <v>30</v>
      </c>
      <c r="W360" s="16" t="n">
        <v>30</v>
      </c>
      <c r="X360" s="16" t="n">
        <v>30</v>
      </c>
      <c r="Y360" s="16" t="n">
        <v>30</v>
      </c>
      <c r="Z360" s="16" t="n">
        <v>30</v>
      </c>
      <c r="AA360" s="16" t="n">
        <v>30</v>
      </c>
    </row>
    <row r="361">
      <c r="A361" s="3" t="inlineStr">
        <is>
          <t>Сантехника</t>
        </is>
      </c>
      <c r="B361" s="3" t="inlineStr">
        <is>
          <t>Трубы полипропилен. и фитинги</t>
        </is>
      </c>
      <c r="C361" s="3" t="inlineStr">
        <is>
          <t>Монтажные работы</t>
        </is>
      </c>
      <c r="D361" s="3" t="inlineStr">
        <is>
          <t>Муфта полипропиленовая 20</t>
        </is>
      </c>
      <c r="E361" s="4">
        <f>N361+O361</f>
        <v/>
      </c>
      <c r="F361" s="3" t="inlineStr">
        <is>
          <t>шт.</t>
        </is>
      </c>
      <c r="G361" s="4">
        <f>IFERROR('[1]Лист1'!G361,30)</f>
        <v/>
      </c>
      <c r="H361" s="16" t="n">
        <v>30</v>
      </c>
      <c r="I361" s="16" t="n">
        <v>30</v>
      </c>
      <c r="J361" s="16" t="n">
        <v>30</v>
      </c>
      <c r="K361" s="16" t="n">
        <v>30</v>
      </c>
      <c r="L361" s="16" t="n">
        <v>30</v>
      </c>
      <c r="M361" s="16" t="n">
        <v>30</v>
      </c>
      <c r="N361" s="4">
        <f>Работы!S363</f>
        <v/>
      </c>
      <c r="O361" s="4">
        <f>Работы!R363</f>
        <v/>
      </c>
      <c r="P361" s="16" t="n">
        <v>30</v>
      </c>
      <c r="Q361" s="16" t="n">
        <v>30</v>
      </c>
      <c r="R361" s="16" t="n">
        <v>30</v>
      </c>
      <c r="S361" s="16" t="n">
        <v>30</v>
      </c>
      <c r="T361" s="16" t="n">
        <v>30</v>
      </c>
      <c r="U361" s="16" t="n">
        <v>30</v>
      </c>
      <c r="V361" s="16" t="n">
        <v>30</v>
      </c>
      <c r="W361" s="16" t="n">
        <v>30</v>
      </c>
      <c r="X361" s="16" t="n">
        <v>30</v>
      </c>
      <c r="Y361" s="16" t="n">
        <v>30</v>
      </c>
      <c r="Z361" s="16" t="n">
        <v>30</v>
      </c>
      <c r="AA361" s="16" t="n">
        <v>30</v>
      </c>
    </row>
    <row r="362">
      <c r="A362" s="3" t="inlineStr">
        <is>
          <t>Сантехника</t>
        </is>
      </c>
      <c r="B362" s="3" t="inlineStr">
        <is>
          <t>Трубы полипропилен. и фитинги</t>
        </is>
      </c>
      <c r="C362" s="3" t="inlineStr">
        <is>
          <t>Монтажные работы</t>
        </is>
      </c>
      <c r="D362" s="3" t="inlineStr">
        <is>
          <t>Муфта полипропиленовая 25</t>
        </is>
      </c>
      <c r="E362" s="4">
        <f>N362+O362</f>
        <v/>
      </c>
      <c r="F362" s="3" t="inlineStr">
        <is>
          <t>шт.</t>
        </is>
      </c>
      <c r="G362" s="4">
        <f>IFERROR('[1]Лист1'!G362,30)</f>
        <v/>
      </c>
      <c r="H362" s="16" t="n">
        <v>30</v>
      </c>
      <c r="I362" s="16" t="n">
        <v>30</v>
      </c>
      <c r="J362" s="16" t="n">
        <v>30</v>
      </c>
      <c r="K362" s="16" t="n">
        <v>30</v>
      </c>
      <c r="L362" s="16" t="n">
        <v>30</v>
      </c>
      <c r="M362" s="16" t="n">
        <v>30</v>
      </c>
      <c r="N362" s="4">
        <f>Работы!S364</f>
        <v/>
      </c>
      <c r="O362" s="4">
        <f>Работы!R364</f>
        <v/>
      </c>
      <c r="P362" s="16" t="n">
        <v>30</v>
      </c>
      <c r="Q362" s="16" t="n">
        <v>30</v>
      </c>
      <c r="R362" s="16" t="n">
        <v>30</v>
      </c>
      <c r="S362" s="16" t="n">
        <v>30</v>
      </c>
      <c r="T362" s="16" t="n">
        <v>30</v>
      </c>
      <c r="U362" s="16" t="n">
        <v>30</v>
      </c>
      <c r="V362" s="16" t="n">
        <v>30</v>
      </c>
      <c r="W362" s="16" t="n">
        <v>30</v>
      </c>
      <c r="X362" s="16" t="n">
        <v>30</v>
      </c>
      <c r="Y362" s="16" t="n">
        <v>30</v>
      </c>
      <c r="Z362" s="16" t="n">
        <v>30</v>
      </c>
      <c r="AA362" s="16" t="n">
        <v>30</v>
      </c>
    </row>
    <row r="363">
      <c r="A363" s="3" t="inlineStr">
        <is>
          <t>Сантехника</t>
        </is>
      </c>
      <c r="B363" s="3" t="inlineStr">
        <is>
          <t>Трубы полипропилен. и фитинги</t>
        </is>
      </c>
      <c r="C363" s="3" t="inlineStr">
        <is>
          <t>Монтажные работы</t>
        </is>
      </c>
      <c r="D363" s="3" t="inlineStr">
        <is>
          <t>Муфта полипропиленовая 32</t>
        </is>
      </c>
      <c r="E363" s="4">
        <f>N363+O363</f>
        <v/>
      </c>
      <c r="F363" s="3" t="inlineStr">
        <is>
          <t>шт.</t>
        </is>
      </c>
      <c r="G363" s="4">
        <f>IFERROR('[1]Лист1'!G363,30)</f>
        <v/>
      </c>
      <c r="H363" s="16" t="n">
        <v>30</v>
      </c>
      <c r="I363" s="16" t="n">
        <v>30</v>
      </c>
      <c r="J363" s="16" t="n">
        <v>30</v>
      </c>
      <c r="K363" s="16" t="n">
        <v>30</v>
      </c>
      <c r="L363" s="16" t="n">
        <v>30</v>
      </c>
      <c r="M363" s="16" t="n">
        <v>30</v>
      </c>
      <c r="N363" s="4">
        <f>Работы!S365</f>
        <v/>
      </c>
      <c r="O363" s="4">
        <f>Работы!R365</f>
        <v/>
      </c>
      <c r="P363" s="16" t="n">
        <v>30</v>
      </c>
      <c r="Q363" s="16" t="n">
        <v>30</v>
      </c>
      <c r="R363" s="16" t="n">
        <v>30</v>
      </c>
      <c r="S363" s="16" t="n">
        <v>30</v>
      </c>
      <c r="T363" s="16" t="n">
        <v>30</v>
      </c>
      <c r="U363" s="16" t="n">
        <v>30</v>
      </c>
      <c r="V363" s="16" t="n">
        <v>30</v>
      </c>
      <c r="W363" s="16" t="n">
        <v>30</v>
      </c>
      <c r="X363" s="16" t="n">
        <v>30</v>
      </c>
      <c r="Y363" s="16" t="n">
        <v>30</v>
      </c>
      <c r="Z363" s="16" t="n">
        <v>30</v>
      </c>
      <c r="AA363" s="16" t="n">
        <v>30</v>
      </c>
    </row>
    <row r="364">
      <c r="A364" s="3" t="inlineStr">
        <is>
          <t>Сантехника</t>
        </is>
      </c>
      <c r="B364" s="3" t="inlineStr">
        <is>
          <t>Трубы полипропилен. и фитинги</t>
        </is>
      </c>
      <c r="C364" s="3" t="inlineStr">
        <is>
          <t>Монтажные работы</t>
        </is>
      </c>
      <c r="D364" s="3" t="inlineStr">
        <is>
          <t>Муфта полипропиленовая 40</t>
        </is>
      </c>
      <c r="E364" s="4">
        <f>N364+O364</f>
        <v/>
      </c>
      <c r="F364" s="3" t="inlineStr">
        <is>
          <t>шт.</t>
        </is>
      </c>
      <c r="G364" s="4">
        <f>IFERROR('[1]Лист1'!G364,30)</f>
        <v/>
      </c>
      <c r="H364" s="16" t="n">
        <v>30</v>
      </c>
      <c r="I364" s="16" t="n">
        <v>30</v>
      </c>
      <c r="J364" s="16" t="n">
        <v>30</v>
      </c>
      <c r="K364" s="16" t="n">
        <v>30</v>
      </c>
      <c r="L364" s="16" t="n">
        <v>30</v>
      </c>
      <c r="M364" s="16" t="n">
        <v>30</v>
      </c>
      <c r="N364" s="4">
        <f>Работы!S366</f>
        <v/>
      </c>
      <c r="O364" s="4">
        <f>Работы!R366</f>
        <v/>
      </c>
      <c r="P364" s="16" t="n">
        <v>30</v>
      </c>
      <c r="Q364" s="16" t="n">
        <v>30</v>
      </c>
      <c r="R364" s="16" t="n">
        <v>30</v>
      </c>
      <c r="S364" s="16" t="n">
        <v>30</v>
      </c>
      <c r="T364" s="16" t="n">
        <v>30</v>
      </c>
      <c r="U364" s="16" t="n">
        <v>30</v>
      </c>
      <c r="V364" s="16" t="n">
        <v>30</v>
      </c>
      <c r="W364" s="16" t="n">
        <v>30</v>
      </c>
      <c r="X364" s="16" t="n">
        <v>30</v>
      </c>
      <c r="Y364" s="16" t="n">
        <v>30</v>
      </c>
      <c r="Z364" s="16" t="n">
        <v>30</v>
      </c>
      <c r="AA364" s="16" t="n">
        <v>30</v>
      </c>
    </row>
    <row r="365">
      <c r="A365" s="3" t="inlineStr">
        <is>
          <t>Сантехника</t>
        </is>
      </c>
      <c r="B365" s="3" t="inlineStr">
        <is>
          <t>Трубы полипропилен. и фитинги</t>
        </is>
      </c>
      <c r="C365" s="3" t="inlineStr">
        <is>
          <t>Монтажные работы</t>
        </is>
      </c>
      <c r="D365" s="3" t="inlineStr">
        <is>
          <t>Муфта полипропиленовая комбинированная с внутренней резьбой 20*1/2"</t>
        </is>
      </c>
      <c r="E365" s="4">
        <f>N365+O365</f>
        <v/>
      </c>
      <c r="F365" s="3" t="inlineStr">
        <is>
          <t>шт.</t>
        </is>
      </c>
      <c r="G365" s="4">
        <f>IFERROR('[1]Лист1'!G365,30)</f>
        <v/>
      </c>
      <c r="H365" s="16" t="n">
        <v>30</v>
      </c>
      <c r="I365" s="16" t="n">
        <v>30</v>
      </c>
      <c r="J365" s="16" t="n">
        <v>30</v>
      </c>
      <c r="K365" s="16" t="n">
        <v>30</v>
      </c>
      <c r="L365" s="16" t="n">
        <v>30</v>
      </c>
      <c r="M365" s="16" t="n">
        <v>30</v>
      </c>
      <c r="N365" s="4">
        <f>Работы!S367</f>
        <v/>
      </c>
      <c r="O365" s="4">
        <f>Работы!R367</f>
        <v/>
      </c>
      <c r="P365" s="16" t="n">
        <v>30</v>
      </c>
      <c r="Q365" s="16" t="n">
        <v>30</v>
      </c>
      <c r="R365" s="16" t="n">
        <v>30</v>
      </c>
      <c r="S365" s="16" t="n">
        <v>30</v>
      </c>
      <c r="T365" s="16" t="n">
        <v>30</v>
      </c>
      <c r="U365" s="16" t="n">
        <v>30</v>
      </c>
      <c r="V365" s="16" t="n">
        <v>30</v>
      </c>
      <c r="W365" s="16" t="n">
        <v>30</v>
      </c>
      <c r="X365" s="16" t="n">
        <v>30</v>
      </c>
      <c r="Y365" s="16" t="n">
        <v>30</v>
      </c>
      <c r="Z365" s="16" t="n">
        <v>30</v>
      </c>
      <c r="AA365" s="16" t="n">
        <v>30</v>
      </c>
    </row>
    <row r="366">
      <c r="A366" s="3" t="inlineStr">
        <is>
          <t>Сантехника</t>
        </is>
      </c>
      <c r="B366" s="3" t="inlineStr">
        <is>
          <t>Трубы полипропилен. и фитинги</t>
        </is>
      </c>
      <c r="C366" s="3" t="inlineStr">
        <is>
          <t>Монтажные работы</t>
        </is>
      </c>
      <c r="D366" s="3" t="inlineStr">
        <is>
          <t>Муфта полипропиленовая комбинированная с внутренней резьбой 20*3/4"</t>
        </is>
      </c>
      <c r="E366" s="4">
        <f>N366+O366</f>
        <v/>
      </c>
      <c r="F366" s="3" t="inlineStr">
        <is>
          <t>шт.</t>
        </is>
      </c>
      <c r="G366" s="4">
        <f>IFERROR('[1]Лист1'!G366,30)</f>
        <v/>
      </c>
      <c r="H366" s="16" t="n">
        <v>30</v>
      </c>
      <c r="I366" s="16" t="n">
        <v>30</v>
      </c>
      <c r="J366" s="16" t="n">
        <v>30</v>
      </c>
      <c r="K366" s="16" t="n">
        <v>30</v>
      </c>
      <c r="L366" s="16" t="n">
        <v>30</v>
      </c>
      <c r="M366" s="16" t="n">
        <v>30</v>
      </c>
      <c r="N366" s="4">
        <f>Работы!S368</f>
        <v/>
      </c>
      <c r="O366" s="4">
        <f>Работы!R368</f>
        <v/>
      </c>
      <c r="P366" s="16" t="n">
        <v>30</v>
      </c>
      <c r="Q366" s="16" t="n">
        <v>30</v>
      </c>
      <c r="R366" s="16" t="n">
        <v>30</v>
      </c>
      <c r="S366" s="16" t="n">
        <v>30</v>
      </c>
      <c r="T366" s="16" t="n">
        <v>30</v>
      </c>
      <c r="U366" s="16" t="n">
        <v>30</v>
      </c>
      <c r="V366" s="16" t="n">
        <v>30</v>
      </c>
      <c r="W366" s="16" t="n">
        <v>30</v>
      </c>
      <c r="X366" s="16" t="n">
        <v>30</v>
      </c>
      <c r="Y366" s="16" t="n">
        <v>30</v>
      </c>
      <c r="Z366" s="16" t="n">
        <v>30</v>
      </c>
      <c r="AA366" s="16" t="n">
        <v>30</v>
      </c>
    </row>
    <row r="367">
      <c r="A367" s="3" t="inlineStr">
        <is>
          <t>Сантехника</t>
        </is>
      </c>
      <c r="B367" s="3" t="inlineStr">
        <is>
          <t>Трубы полипропилен. и фитинги</t>
        </is>
      </c>
      <c r="C367" s="3" t="inlineStr">
        <is>
          <t>Монтажные работы</t>
        </is>
      </c>
      <c r="D367" s="3" t="inlineStr">
        <is>
          <t>Муфта полипропиленовая комбинированная с внутренней резьбой 25*1/2"</t>
        </is>
      </c>
      <c r="E367" s="4">
        <f>N367+O367</f>
        <v/>
      </c>
      <c r="F367" s="3" t="inlineStr">
        <is>
          <t>шт.</t>
        </is>
      </c>
      <c r="G367" s="4">
        <f>IFERROR('[1]Лист1'!G367,30)</f>
        <v/>
      </c>
      <c r="H367" s="16" t="n">
        <v>30</v>
      </c>
      <c r="I367" s="16" t="n">
        <v>30</v>
      </c>
      <c r="J367" s="16" t="n">
        <v>30</v>
      </c>
      <c r="K367" s="16" t="n">
        <v>30</v>
      </c>
      <c r="L367" s="16" t="n">
        <v>30</v>
      </c>
      <c r="M367" s="16" t="n">
        <v>30</v>
      </c>
      <c r="N367" s="4">
        <f>Работы!S369</f>
        <v/>
      </c>
      <c r="O367" s="4">
        <f>Работы!R369</f>
        <v/>
      </c>
      <c r="P367" s="16" t="n">
        <v>30</v>
      </c>
      <c r="Q367" s="16" t="n">
        <v>30</v>
      </c>
      <c r="R367" s="16" t="n">
        <v>30</v>
      </c>
      <c r="S367" s="16" t="n">
        <v>30</v>
      </c>
      <c r="T367" s="16" t="n">
        <v>30</v>
      </c>
      <c r="U367" s="16" t="n">
        <v>30</v>
      </c>
      <c r="V367" s="16" t="n">
        <v>30</v>
      </c>
      <c r="W367" s="16" t="n">
        <v>30</v>
      </c>
      <c r="X367" s="16" t="n">
        <v>30</v>
      </c>
      <c r="Y367" s="16" t="n">
        <v>30</v>
      </c>
      <c r="Z367" s="16" t="n">
        <v>30</v>
      </c>
      <c r="AA367" s="16" t="n">
        <v>30</v>
      </c>
    </row>
    <row r="368">
      <c r="A368" s="3" t="inlineStr">
        <is>
          <t>Сантехника</t>
        </is>
      </c>
      <c r="B368" s="3" t="inlineStr">
        <is>
          <t>Трубы полипропилен. и фитинги</t>
        </is>
      </c>
      <c r="C368" s="3" t="inlineStr">
        <is>
          <t>Монтажные работы</t>
        </is>
      </c>
      <c r="D368" s="3" t="inlineStr">
        <is>
          <t>Муфта полипропиленовая комбинированная с внутренней резьбой 25*3/4"</t>
        </is>
      </c>
      <c r="E368" s="4">
        <f>N368+O368</f>
        <v/>
      </c>
      <c r="F368" s="3" t="inlineStr">
        <is>
          <t>шт.</t>
        </is>
      </c>
      <c r="G368" s="4">
        <f>IFERROR('[1]Лист1'!G368,30)</f>
        <v/>
      </c>
      <c r="H368" s="16" t="n">
        <v>30</v>
      </c>
      <c r="I368" s="16" t="n">
        <v>30</v>
      </c>
      <c r="J368" s="16" t="n">
        <v>30</v>
      </c>
      <c r="K368" s="16" t="n">
        <v>30</v>
      </c>
      <c r="L368" s="16" t="n">
        <v>30</v>
      </c>
      <c r="M368" s="16" t="n">
        <v>30</v>
      </c>
      <c r="N368" s="4">
        <f>Работы!S370</f>
        <v/>
      </c>
      <c r="O368" s="4">
        <f>Работы!R370</f>
        <v/>
      </c>
      <c r="P368" s="16" t="n">
        <v>30</v>
      </c>
      <c r="Q368" s="16" t="n">
        <v>30</v>
      </c>
      <c r="R368" s="16" t="n">
        <v>30</v>
      </c>
      <c r="S368" s="16" t="n">
        <v>30</v>
      </c>
      <c r="T368" s="16" t="n">
        <v>30</v>
      </c>
      <c r="U368" s="16" t="n">
        <v>30</v>
      </c>
      <c r="V368" s="16" t="n">
        <v>30</v>
      </c>
      <c r="W368" s="16" t="n">
        <v>30</v>
      </c>
      <c r="X368" s="16" t="n">
        <v>30</v>
      </c>
      <c r="Y368" s="16" t="n">
        <v>30</v>
      </c>
      <c r="Z368" s="16" t="n">
        <v>30</v>
      </c>
      <c r="AA368" s="16" t="n">
        <v>30</v>
      </c>
    </row>
    <row r="369">
      <c r="A369" s="3" t="inlineStr">
        <is>
          <t>Сантехника</t>
        </is>
      </c>
      <c r="B369" s="3" t="inlineStr">
        <is>
          <t>Трубы полипропилен. и фитинги</t>
        </is>
      </c>
      <c r="C369" s="3" t="inlineStr">
        <is>
          <t>Монтажные работы</t>
        </is>
      </c>
      <c r="D369" s="3" t="inlineStr">
        <is>
          <t>Муфта полипропиленовая комбинированная с внутренней резьбой 32*3/4"</t>
        </is>
      </c>
      <c r="E369" s="4">
        <f>N369+O369</f>
        <v/>
      </c>
      <c r="F369" s="3" t="inlineStr">
        <is>
          <t>шт.</t>
        </is>
      </c>
      <c r="G369" s="4">
        <f>IFERROR('[1]Лист1'!G369,30)</f>
        <v/>
      </c>
      <c r="H369" s="16" t="n">
        <v>30</v>
      </c>
      <c r="I369" s="16" t="n">
        <v>30</v>
      </c>
      <c r="J369" s="16" t="n">
        <v>30</v>
      </c>
      <c r="K369" s="16" t="n">
        <v>30</v>
      </c>
      <c r="L369" s="16" t="n">
        <v>30</v>
      </c>
      <c r="M369" s="16" t="n">
        <v>30</v>
      </c>
      <c r="N369" s="4">
        <f>Работы!S371</f>
        <v/>
      </c>
      <c r="O369" s="4">
        <f>Работы!R371</f>
        <v/>
      </c>
      <c r="P369" s="16" t="n">
        <v>30</v>
      </c>
      <c r="Q369" s="16" t="n">
        <v>30</v>
      </c>
      <c r="R369" s="16" t="n">
        <v>30</v>
      </c>
      <c r="S369" s="16" t="n">
        <v>30</v>
      </c>
      <c r="T369" s="16" t="n">
        <v>30</v>
      </c>
      <c r="U369" s="16" t="n">
        <v>30</v>
      </c>
      <c r="V369" s="16" t="n">
        <v>30</v>
      </c>
      <c r="W369" s="16" t="n">
        <v>30</v>
      </c>
      <c r="X369" s="16" t="n">
        <v>30</v>
      </c>
      <c r="Y369" s="16" t="n">
        <v>30</v>
      </c>
      <c r="Z369" s="16" t="n">
        <v>30</v>
      </c>
      <c r="AA369" s="16" t="n">
        <v>30</v>
      </c>
    </row>
    <row r="370">
      <c r="A370" s="3" t="inlineStr">
        <is>
          <t>Сантехника</t>
        </is>
      </c>
      <c r="B370" s="3" t="inlineStr">
        <is>
          <t>Трубы полипропилен. и фитинги</t>
        </is>
      </c>
      <c r="C370" s="3" t="inlineStr">
        <is>
          <t>Монтажные работы</t>
        </is>
      </c>
      <c r="D370" s="3" t="inlineStr">
        <is>
          <t>Муфта полипропиленовая комбинированная с внутренней резьбой 32*1"</t>
        </is>
      </c>
      <c r="E370" s="4">
        <f>N370+O370</f>
        <v/>
      </c>
      <c r="F370" s="3" t="inlineStr">
        <is>
          <t>шт.</t>
        </is>
      </c>
      <c r="G370" s="4">
        <f>IFERROR('[1]Лист1'!G370,30)</f>
        <v/>
      </c>
      <c r="H370" s="16" t="n">
        <v>30</v>
      </c>
      <c r="I370" s="16" t="n">
        <v>30</v>
      </c>
      <c r="J370" s="16" t="n">
        <v>30</v>
      </c>
      <c r="K370" s="16" t="n">
        <v>30</v>
      </c>
      <c r="L370" s="16" t="n">
        <v>30</v>
      </c>
      <c r="M370" s="16" t="n">
        <v>30</v>
      </c>
      <c r="N370" s="4">
        <f>Работы!S372</f>
        <v/>
      </c>
      <c r="O370" s="4">
        <f>Работы!R372</f>
        <v/>
      </c>
      <c r="P370" s="16" t="n">
        <v>30</v>
      </c>
      <c r="Q370" s="16" t="n">
        <v>30</v>
      </c>
      <c r="R370" s="16" t="n">
        <v>30</v>
      </c>
      <c r="S370" s="16" t="n">
        <v>30</v>
      </c>
      <c r="T370" s="16" t="n">
        <v>30</v>
      </c>
      <c r="U370" s="16" t="n">
        <v>30</v>
      </c>
      <c r="V370" s="16" t="n">
        <v>30</v>
      </c>
      <c r="W370" s="16" t="n">
        <v>30</v>
      </c>
      <c r="X370" s="16" t="n">
        <v>30</v>
      </c>
      <c r="Y370" s="16" t="n">
        <v>30</v>
      </c>
      <c r="Z370" s="16" t="n">
        <v>30</v>
      </c>
      <c r="AA370" s="16" t="n">
        <v>30</v>
      </c>
    </row>
    <row r="371">
      <c r="A371" s="3" t="inlineStr">
        <is>
          <t>Сантехника</t>
        </is>
      </c>
      <c r="B371" s="3" t="inlineStr">
        <is>
          <t>Трубы полипропилен. и фитинги</t>
        </is>
      </c>
      <c r="C371" s="3" t="inlineStr">
        <is>
          <t>Монтажные работы</t>
        </is>
      </c>
      <c r="D371" s="3" t="inlineStr">
        <is>
          <t>Муфта полипропиленовая комбинированная с наружной резьбой 20*1/2"</t>
        </is>
      </c>
      <c r="E371" s="4">
        <f>N371+O371</f>
        <v/>
      </c>
      <c r="F371" s="3" t="inlineStr">
        <is>
          <t>шт.</t>
        </is>
      </c>
      <c r="G371" s="4">
        <f>IFERROR('[1]Лист1'!G371,30)</f>
        <v/>
      </c>
      <c r="H371" s="16" t="n">
        <v>30</v>
      </c>
      <c r="I371" s="16" t="n">
        <v>30</v>
      </c>
      <c r="J371" s="16" t="n">
        <v>30</v>
      </c>
      <c r="K371" s="16" t="n">
        <v>30</v>
      </c>
      <c r="L371" s="16" t="n">
        <v>30</v>
      </c>
      <c r="M371" s="16" t="n">
        <v>30</v>
      </c>
      <c r="N371" s="4">
        <f>Работы!S373</f>
        <v/>
      </c>
      <c r="O371" s="4">
        <f>Работы!R373</f>
        <v/>
      </c>
      <c r="P371" s="16" t="n">
        <v>30</v>
      </c>
      <c r="Q371" s="16" t="n">
        <v>30</v>
      </c>
      <c r="R371" s="16" t="n">
        <v>30</v>
      </c>
      <c r="S371" s="16" t="n">
        <v>30</v>
      </c>
      <c r="T371" s="16" t="n">
        <v>30</v>
      </c>
      <c r="U371" s="16" t="n">
        <v>30</v>
      </c>
      <c r="V371" s="16" t="n">
        <v>30</v>
      </c>
      <c r="W371" s="16" t="n">
        <v>30</v>
      </c>
      <c r="X371" s="16" t="n">
        <v>30</v>
      </c>
      <c r="Y371" s="16" t="n">
        <v>30</v>
      </c>
      <c r="Z371" s="16" t="n">
        <v>30</v>
      </c>
      <c r="AA371" s="16" t="n">
        <v>30</v>
      </c>
    </row>
    <row r="372">
      <c r="A372" s="3" t="inlineStr">
        <is>
          <t>Сантехника</t>
        </is>
      </c>
      <c r="B372" s="3" t="inlineStr">
        <is>
          <t>Трубы полипропилен. и фитинги</t>
        </is>
      </c>
      <c r="C372" s="3" t="inlineStr">
        <is>
          <t>Монтажные работы</t>
        </is>
      </c>
      <c r="D372" s="3" t="inlineStr">
        <is>
          <t>Муфта полипропиленовая комбинированная с наружной резьбой 20*3/4"</t>
        </is>
      </c>
      <c r="E372" s="4">
        <f>N372+O372</f>
        <v/>
      </c>
      <c r="F372" s="3" t="inlineStr">
        <is>
          <t>шт.</t>
        </is>
      </c>
      <c r="G372" s="4">
        <f>IFERROR('[1]Лист1'!G372,30)</f>
        <v/>
      </c>
      <c r="H372" s="16" t="n">
        <v>30</v>
      </c>
      <c r="I372" s="16" t="n">
        <v>30</v>
      </c>
      <c r="J372" s="16" t="n">
        <v>30</v>
      </c>
      <c r="K372" s="16" t="n">
        <v>30</v>
      </c>
      <c r="L372" s="16" t="n">
        <v>30</v>
      </c>
      <c r="M372" s="16" t="n">
        <v>30</v>
      </c>
      <c r="N372" s="4">
        <f>Работы!S374</f>
        <v/>
      </c>
      <c r="O372" s="4">
        <f>Работы!R374</f>
        <v/>
      </c>
      <c r="P372" s="16" t="n">
        <v>30</v>
      </c>
      <c r="Q372" s="16" t="n">
        <v>30</v>
      </c>
      <c r="R372" s="16" t="n">
        <v>30</v>
      </c>
      <c r="S372" s="16" t="n">
        <v>30</v>
      </c>
      <c r="T372" s="16" t="n">
        <v>30</v>
      </c>
      <c r="U372" s="16" t="n">
        <v>30</v>
      </c>
      <c r="V372" s="16" t="n">
        <v>30</v>
      </c>
      <c r="W372" s="16" t="n">
        <v>30</v>
      </c>
      <c r="X372" s="16" t="n">
        <v>30</v>
      </c>
      <c r="Y372" s="16" t="n">
        <v>30</v>
      </c>
      <c r="Z372" s="16" t="n">
        <v>30</v>
      </c>
      <c r="AA372" s="16" t="n">
        <v>30</v>
      </c>
    </row>
    <row r="373">
      <c r="A373" s="3" t="inlineStr">
        <is>
          <t>Сантехника</t>
        </is>
      </c>
      <c r="B373" s="3" t="inlineStr">
        <is>
          <t>Трубы полипропилен. и фитинги</t>
        </is>
      </c>
      <c r="C373" s="3" t="inlineStr">
        <is>
          <t>Монтажные работы</t>
        </is>
      </c>
      <c r="D373" s="3" t="inlineStr">
        <is>
          <t>Муфта полипропиленовая комбинированная с наружной резьбой 25*1/2"</t>
        </is>
      </c>
      <c r="E373" s="4">
        <f>N373+O373</f>
        <v/>
      </c>
      <c r="F373" s="3" t="inlineStr">
        <is>
          <t>шт.</t>
        </is>
      </c>
      <c r="G373" s="4">
        <f>IFERROR('[1]Лист1'!G373,30)</f>
        <v/>
      </c>
      <c r="H373" s="16" t="n">
        <v>30</v>
      </c>
      <c r="I373" s="16" t="n">
        <v>30</v>
      </c>
      <c r="J373" s="16" t="n">
        <v>30</v>
      </c>
      <c r="K373" s="16" t="n">
        <v>30</v>
      </c>
      <c r="L373" s="16" t="n">
        <v>30</v>
      </c>
      <c r="M373" s="16" t="n">
        <v>30</v>
      </c>
      <c r="N373" s="4">
        <f>Работы!S375</f>
        <v/>
      </c>
      <c r="O373" s="4">
        <f>Работы!R375</f>
        <v/>
      </c>
      <c r="P373" s="16" t="n">
        <v>30</v>
      </c>
      <c r="Q373" s="16" t="n">
        <v>30</v>
      </c>
      <c r="R373" s="16" t="n">
        <v>30</v>
      </c>
      <c r="S373" s="16" t="n">
        <v>30</v>
      </c>
      <c r="T373" s="16" t="n">
        <v>30</v>
      </c>
      <c r="U373" s="16" t="n">
        <v>30</v>
      </c>
      <c r="V373" s="16" t="n">
        <v>30</v>
      </c>
      <c r="W373" s="16" t="n">
        <v>30</v>
      </c>
      <c r="X373" s="16" t="n">
        <v>30</v>
      </c>
      <c r="Y373" s="16" t="n">
        <v>30</v>
      </c>
      <c r="Z373" s="16" t="n">
        <v>30</v>
      </c>
      <c r="AA373" s="16" t="n">
        <v>30</v>
      </c>
    </row>
    <row r="374">
      <c r="A374" s="3" t="inlineStr">
        <is>
          <t>Сантехника</t>
        </is>
      </c>
      <c r="B374" s="3" t="inlineStr">
        <is>
          <t>Трубы полипропилен. и фитинги</t>
        </is>
      </c>
      <c r="C374" s="3" t="inlineStr">
        <is>
          <t>Монтажные работы</t>
        </is>
      </c>
      <c r="D374" s="3" t="inlineStr">
        <is>
          <t>Муфта полипропиленовая комбинированная с наружной резьбой 25*3/4"</t>
        </is>
      </c>
      <c r="E374" s="4">
        <f>N374+O374</f>
        <v/>
      </c>
      <c r="F374" s="3" t="inlineStr">
        <is>
          <t>шт.</t>
        </is>
      </c>
      <c r="G374" s="4">
        <f>IFERROR('[1]Лист1'!G374,30)</f>
        <v/>
      </c>
      <c r="H374" s="16" t="n">
        <v>30</v>
      </c>
      <c r="I374" s="16" t="n">
        <v>30</v>
      </c>
      <c r="J374" s="16" t="n">
        <v>30</v>
      </c>
      <c r="K374" s="16" t="n">
        <v>30</v>
      </c>
      <c r="L374" s="16" t="n">
        <v>30</v>
      </c>
      <c r="M374" s="16" t="n">
        <v>30</v>
      </c>
      <c r="N374" s="4">
        <f>Работы!S376</f>
        <v/>
      </c>
      <c r="O374" s="4">
        <f>Работы!R376</f>
        <v/>
      </c>
      <c r="P374" s="16" t="n">
        <v>30</v>
      </c>
      <c r="Q374" s="16" t="n">
        <v>30</v>
      </c>
      <c r="R374" s="16" t="n">
        <v>30</v>
      </c>
      <c r="S374" s="16" t="n">
        <v>30</v>
      </c>
      <c r="T374" s="16" t="n">
        <v>30</v>
      </c>
      <c r="U374" s="16" t="n">
        <v>30</v>
      </c>
      <c r="V374" s="16" t="n">
        <v>30</v>
      </c>
      <c r="W374" s="16" t="n">
        <v>30</v>
      </c>
      <c r="X374" s="16" t="n">
        <v>30</v>
      </c>
      <c r="Y374" s="16" t="n">
        <v>30</v>
      </c>
      <c r="Z374" s="16" t="n">
        <v>30</v>
      </c>
      <c r="AA374" s="16" t="n">
        <v>30</v>
      </c>
    </row>
    <row r="375">
      <c r="A375" s="3" t="inlineStr">
        <is>
          <t>Сантехника</t>
        </is>
      </c>
      <c r="B375" s="3" t="inlineStr">
        <is>
          <t>Трубы полипропилен. и фитинги</t>
        </is>
      </c>
      <c r="C375" s="3" t="inlineStr">
        <is>
          <t>Монтажные работы</t>
        </is>
      </c>
      <c r="D375" s="3" t="inlineStr">
        <is>
          <t>Муфта полипропиленовая комбинированная с наружной резьбой 32*3/4"</t>
        </is>
      </c>
      <c r="E375" s="4">
        <f>N375+O375</f>
        <v/>
      </c>
      <c r="F375" s="3" t="inlineStr">
        <is>
          <t>шт.</t>
        </is>
      </c>
      <c r="G375" s="4">
        <f>IFERROR('[1]Лист1'!G375,30)</f>
        <v/>
      </c>
      <c r="H375" s="16" t="n">
        <v>30</v>
      </c>
      <c r="I375" s="16" t="n">
        <v>30</v>
      </c>
      <c r="J375" s="16" t="n">
        <v>30</v>
      </c>
      <c r="K375" s="16" t="n">
        <v>30</v>
      </c>
      <c r="L375" s="16" t="n">
        <v>30</v>
      </c>
      <c r="M375" s="16" t="n">
        <v>30</v>
      </c>
      <c r="N375" s="4">
        <f>Работы!S377</f>
        <v/>
      </c>
      <c r="O375" s="4">
        <f>Работы!R377</f>
        <v/>
      </c>
      <c r="P375" s="16" t="n">
        <v>30</v>
      </c>
      <c r="Q375" s="16" t="n">
        <v>30</v>
      </c>
      <c r="R375" s="16" t="n">
        <v>30</v>
      </c>
      <c r="S375" s="16" t="n">
        <v>30</v>
      </c>
      <c r="T375" s="16" t="n">
        <v>30</v>
      </c>
      <c r="U375" s="16" t="n">
        <v>30</v>
      </c>
      <c r="V375" s="16" t="n">
        <v>30</v>
      </c>
      <c r="W375" s="16" t="n">
        <v>30</v>
      </c>
      <c r="X375" s="16" t="n">
        <v>30</v>
      </c>
      <c r="Y375" s="16" t="n">
        <v>30</v>
      </c>
      <c r="Z375" s="16" t="n">
        <v>30</v>
      </c>
      <c r="AA375" s="16" t="n">
        <v>30</v>
      </c>
    </row>
    <row r="376">
      <c r="A376" s="3" t="inlineStr">
        <is>
          <t>Сантехника</t>
        </is>
      </c>
      <c r="B376" s="3" t="inlineStr">
        <is>
          <t>Трубы полипропилен. и фитинги</t>
        </is>
      </c>
      <c r="C376" s="3" t="inlineStr">
        <is>
          <t>Монтажные работы</t>
        </is>
      </c>
      <c r="D376" s="3" t="inlineStr">
        <is>
          <t>Муфта полипропиленовая комбинированная с наружной резьбой 32*1"</t>
        </is>
      </c>
      <c r="E376" s="4">
        <f>N376+O376</f>
        <v/>
      </c>
      <c r="F376" s="3" t="inlineStr">
        <is>
          <t>шт.</t>
        </is>
      </c>
      <c r="G376" s="4">
        <f>IFERROR('[1]Лист1'!G376,30)</f>
        <v/>
      </c>
      <c r="H376" s="16" t="n">
        <v>30</v>
      </c>
      <c r="I376" s="16" t="n">
        <v>30</v>
      </c>
      <c r="J376" s="16" t="n">
        <v>30</v>
      </c>
      <c r="K376" s="16" t="n">
        <v>30</v>
      </c>
      <c r="L376" s="16" t="n">
        <v>30</v>
      </c>
      <c r="M376" s="16" t="n">
        <v>30</v>
      </c>
      <c r="N376" s="4">
        <f>Работы!S378</f>
        <v/>
      </c>
      <c r="O376" s="4">
        <f>Работы!R378</f>
        <v/>
      </c>
      <c r="P376" s="16" t="n">
        <v>30</v>
      </c>
      <c r="Q376" s="16" t="n">
        <v>30</v>
      </c>
      <c r="R376" s="16" t="n">
        <v>30</v>
      </c>
      <c r="S376" s="16" t="n">
        <v>30</v>
      </c>
      <c r="T376" s="16" t="n">
        <v>30</v>
      </c>
      <c r="U376" s="16" t="n">
        <v>30</v>
      </c>
      <c r="V376" s="16" t="n">
        <v>30</v>
      </c>
      <c r="W376" s="16" t="n">
        <v>30</v>
      </c>
      <c r="X376" s="16" t="n">
        <v>30</v>
      </c>
      <c r="Y376" s="16" t="n">
        <v>30</v>
      </c>
      <c r="Z376" s="16" t="n">
        <v>30</v>
      </c>
      <c r="AA376" s="16" t="n">
        <v>30</v>
      </c>
    </row>
    <row r="377">
      <c r="A377" s="3" t="inlineStr">
        <is>
          <t>Сантехника</t>
        </is>
      </c>
      <c r="B377" s="3" t="inlineStr">
        <is>
          <t>Трубы полипропилен. и фитинги</t>
        </is>
      </c>
      <c r="C377" s="3" t="inlineStr">
        <is>
          <t>Монтажные работы</t>
        </is>
      </c>
      <c r="D377" s="3" t="inlineStr">
        <is>
          <t>Муфта полипропиленовая с накидной гайкой20*1/2"</t>
        </is>
      </c>
      <c r="E377" s="4">
        <f>N377+O377</f>
        <v/>
      </c>
      <c r="F377" s="3" t="inlineStr">
        <is>
          <t>шт.</t>
        </is>
      </c>
      <c r="G377" s="4">
        <f>IFERROR('[1]Лист1'!G377,30)</f>
        <v/>
      </c>
      <c r="H377" s="16" t="n">
        <v>30</v>
      </c>
      <c r="I377" s="16" t="n">
        <v>30</v>
      </c>
      <c r="J377" s="16" t="n">
        <v>30</v>
      </c>
      <c r="K377" s="16" t="n">
        <v>30</v>
      </c>
      <c r="L377" s="16" t="n">
        <v>30</v>
      </c>
      <c r="M377" s="16" t="n">
        <v>30</v>
      </c>
      <c r="N377" s="4">
        <f>Работы!S379</f>
        <v/>
      </c>
      <c r="O377" s="4">
        <f>Работы!R379</f>
        <v/>
      </c>
      <c r="P377" s="16" t="n">
        <v>30</v>
      </c>
      <c r="Q377" s="16" t="n">
        <v>30</v>
      </c>
      <c r="R377" s="16" t="n">
        <v>30</v>
      </c>
      <c r="S377" s="16" t="n">
        <v>30</v>
      </c>
      <c r="T377" s="16" t="n">
        <v>30</v>
      </c>
      <c r="U377" s="16" t="n">
        <v>30</v>
      </c>
      <c r="V377" s="16" t="n">
        <v>30</v>
      </c>
      <c r="W377" s="16" t="n">
        <v>30</v>
      </c>
      <c r="X377" s="16" t="n">
        <v>30</v>
      </c>
      <c r="Y377" s="16" t="n">
        <v>30</v>
      </c>
      <c r="Z377" s="16" t="n">
        <v>30</v>
      </c>
      <c r="AA377" s="16" t="n">
        <v>30</v>
      </c>
    </row>
    <row r="378">
      <c r="A378" s="3" t="inlineStr">
        <is>
          <t>Сантехника</t>
        </is>
      </c>
      <c r="B378" s="3" t="inlineStr">
        <is>
          <t>Трубы полипропилен. и фитинги</t>
        </is>
      </c>
      <c r="C378" s="3" t="inlineStr">
        <is>
          <t>Монтажные работы</t>
        </is>
      </c>
      <c r="D378" s="3" t="inlineStr">
        <is>
          <t>Муфта полипропиленовая с накидной гайкой 20*3/4"</t>
        </is>
      </c>
      <c r="E378" s="4">
        <f>N378+O378</f>
        <v/>
      </c>
      <c r="F378" s="3" t="inlineStr">
        <is>
          <t>шт.</t>
        </is>
      </c>
      <c r="G378" s="4">
        <f>IFERROR('[1]Лист1'!G378,30)</f>
        <v/>
      </c>
      <c r="H378" s="16" t="n">
        <v>30</v>
      </c>
      <c r="I378" s="16" t="n">
        <v>30</v>
      </c>
      <c r="J378" s="16" t="n">
        <v>30</v>
      </c>
      <c r="K378" s="16" t="n">
        <v>30</v>
      </c>
      <c r="L378" s="16" t="n">
        <v>30</v>
      </c>
      <c r="M378" s="16" t="n">
        <v>30</v>
      </c>
      <c r="N378" s="4">
        <f>Работы!S380</f>
        <v/>
      </c>
      <c r="O378" s="4">
        <f>Работы!R380</f>
        <v/>
      </c>
      <c r="P378" s="16" t="n">
        <v>30</v>
      </c>
      <c r="Q378" s="16" t="n">
        <v>30</v>
      </c>
      <c r="R378" s="16" t="n">
        <v>30</v>
      </c>
      <c r="S378" s="16" t="n">
        <v>30</v>
      </c>
      <c r="T378" s="16" t="n">
        <v>30</v>
      </c>
      <c r="U378" s="16" t="n">
        <v>30</v>
      </c>
      <c r="V378" s="16" t="n">
        <v>30</v>
      </c>
      <c r="W378" s="16" t="n">
        <v>30</v>
      </c>
      <c r="X378" s="16" t="n">
        <v>30</v>
      </c>
      <c r="Y378" s="16" t="n">
        <v>30</v>
      </c>
      <c r="Z378" s="16" t="n">
        <v>30</v>
      </c>
      <c r="AA378" s="16" t="n">
        <v>30</v>
      </c>
    </row>
    <row r="379">
      <c r="A379" s="3" t="inlineStr">
        <is>
          <t>Сантехника</t>
        </is>
      </c>
      <c r="B379" s="3" t="inlineStr">
        <is>
          <t>Трубы полипропилен. и фитинги</t>
        </is>
      </c>
      <c r="C379" s="3" t="inlineStr">
        <is>
          <t>Монтажные работы</t>
        </is>
      </c>
      <c r="D379" s="3" t="inlineStr">
        <is>
          <t>Муфта полипропиленовая с накидной гайкой 25*3/4"</t>
        </is>
      </c>
      <c r="E379" s="4">
        <f>N379+O379</f>
        <v/>
      </c>
      <c r="F379" s="3" t="inlineStr">
        <is>
          <t>шт.</t>
        </is>
      </c>
      <c r="G379" s="4">
        <f>IFERROR('[1]Лист1'!G379,30)</f>
        <v/>
      </c>
      <c r="H379" s="16" t="n">
        <v>30</v>
      </c>
      <c r="I379" s="16" t="n">
        <v>30</v>
      </c>
      <c r="J379" s="16" t="n">
        <v>30</v>
      </c>
      <c r="K379" s="16" t="n">
        <v>30</v>
      </c>
      <c r="L379" s="16" t="n">
        <v>30</v>
      </c>
      <c r="M379" s="16" t="n">
        <v>30</v>
      </c>
      <c r="N379" s="4">
        <f>Работы!S381</f>
        <v/>
      </c>
      <c r="O379" s="4">
        <f>Работы!R381</f>
        <v/>
      </c>
      <c r="P379" s="16" t="n">
        <v>30</v>
      </c>
      <c r="Q379" s="16" t="n">
        <v>30</v>
      </c>
      <c r="R379" s="16" t="n">
        <v>30</v>
      </c>
      <c r="S379" s="16" t="n">
        <v>30</v>
      </c>
      <c r="T379" s="16" t="n">
        <v>30</v>
      </c>
      <c r="U379" s="16" t="n">
        <v>30</v>
      </c>
      <c r="V379" s="16" t="n">
        <v>30</v>
      </c>
      <c r="W379" s="16" t="n">
        <v>30</v>
      </c>
      <c r="X379" s="16" t="n">
        <v>30</v>
      </c>
      <c r="Y379" s="16" t="n">
        <v>30</v>
      </c>
      <c r="Z379" s="16" t="n">
        <v>30</v>
      </c>
      <c r="AA379" s="16" t="n">
        <v>30</v>
      </c>
    </row>
    <row r="380">
      <c r="A380" s="3" t="inlineStr">
        <is>
          <t>Сантехника</t>
        </is>
      </c>
      <c r="B380" s="3" t="inlineStr">
        <is>
          <t>Трубы полипропилен. и фитинги</t>
        </is>
      </c>
      <c r="C380" s="3" t="inlineStr">
        <is>
          <t>Монтажные работы</t>
        </is>
      </c>
      <c r="D380" s="3" t="inlineStr">
        <is>
          <t>Муфта полипропиленовая с накидной гайкой 25*1"</t>
        </is>
      </c>
      <c r="E380" s="4">
        <f>N380+O380</f>
        <v/>
      </c>
      <c r="F380" s="3" t="inlineStr">
        <is>
          <t>шт.</t>
        </is>
      </c>
      <c r="G380" s="4">
        <f>IFERROR('[1]Лист1'!G380,30)</f>
        <v/>
      </c>
      <c r="H380" s="16" t="n">
        <v>30</v>
      </c>
      <c r="I380" s="16" t="n">
        <v>30</v>
      </c>
      <c r="J380" s="16" t="n">
        <v>30</v>
      </c>
      <c r="K380" s="16" t="n">
        <v>30</v>
      </c>
      <c r="L380" s="16" t="n">
        <v>30</v>
      </c>
      <c r="M380" s="16" t="n">
        <v>30</v>
      </c>
      <c r="N380" s="4">
        <f>Работы!S382</f>
        <v/>
      </c>
      <c r="O380" s="4">
        <f>Работы!R382</f>
        <v/>
      </c>
      <c r="P380" s="16" t="n">
        <v>30</v>
      </c>
      <c r="Q380" s="16" t="n">
        <v>30</v>
      </c>
      <c r="R380" s="16" t="n">
        <v>30</v>
      </c>
      <c r="S380" s="16" t="n">
        <v>30</v>
      </c>
      <c r="T380" s="16" t="n">
        <v>30</v>
      </c>
      <c r="U380" s="16" t="n">
        <v>30</v>
      </c>
      <c r="V380" s="16" t="n">
        <v>30</v>
      </c>
      <c r="W380" s="16" t="n">
        <v>30</v>
      </c>
      <c r="X380" s="16" t="n">
        <v>30</v>
      </c>
      <c r="Y380" s="16" t="n">
        <v>30</v>
      </c>
      <c r="Z380" s="16" t="n">
        <v>30</v>
      </c>
      <c r="AA380" s="16" t="n">
        <v>30</v>
      </c>
    </row>
    <row r="381">
      <c r="A381" s="3" t="inlineStr">
        <is>
          <t>Сантехника</t>
        </is>
      </c>
      <c r="B381" s="3" t="inlineStr">
        <is>
          <t>Трубы полипропилен. и фитинги</t>
        </is>
      </c>
      <c r="C381" s="3" t="inlineStr">
        <is>
          <t>Монтажные работы</t>
        </is>
      </c>
      <c r="D381" s="3" t="inlineStr">
        <is>
          <t>Муфта полипропиленовая с накидной гайкой 32*1"</t>
        </is>
      </c>
      <c r="E381" s="4">
        <f>N381+O381</f>
        <v/>
      </c>
      <c r="F381" s="3" t="inlineStr">
        <is>
          <t>шт.</t>
        </is>
      </c>
      <c r="G381" s="4">
        <f>IFERROR('[1]Лист1'!G381,30)</f>
        <v/>
      </c>
      <c r="H381" s="16" t="n">
        <v>30</v>
      </c>
      <c r="I381" s="16" t="n">
        <v>30</v>
      </c>
      <c r="J381" s="16" t="n">
        <v>30</v>
      </c>
      <c r="K381" s="16" t="n">
        <v>30</v>
      </c>
      <c r="L381" s="16" t="n">
        <v>30</v>
      </c>
      <c r="M381" s="16" t="n">
        <v>30</v>
      </c>
      <c r="N381" s="4">
        <f>Работы!S383</f>
        <v/>
      </c>
      <c r="O381" s="4">
        <f>Работы!R383</f>
        <v/>
      </c>
      <c r="P381" s="16" t="n">
        <v>30</v>
      </c>
      <c r="Q381" s="16" t="n">
        <v>30</v>
      </c>
      <c r="R381" s="16" t="n">
        <v>30</v>
      </c>
      <c r="S381" s="16" t="n">
        <v>30</v>
      </c>
      <c r="T381" s="16" t="n">
        <v>30</v>
      </c>
      <c r="U381" s="16" t="n">
        <v>30</v>
      </c>
      <c r="V381" s="16" t="n">
        <v>30</v>
      </c>
      <c r="W381" s="16" t="n">
        <v>30</v>
      </c>
      <c r="X381" s="16" t="n">
        <v>30</v>
      </c>
      <c r="Y381" s="16" t="n">
        <v>30</v>
      </c>
      <c r="Z381" s="16" t="n">
        <v>30</v>
      </c>
      <c r="AA381" s="16" t="n">
        <v>30</v>
      </c>
    </row>
    <row r="382">
      <c r="A382" s="3" t="inlineStr">
        <is>
          <t>Сантехника</t>
        </is>
      </c>
      <c r="B382" s="3" t="inlineStr">
        <is>
          <t>Трубы металлопласт. и фитинги</t>
        </is>
      </c>
      <c r="C382" s="3" t="inlineStr">
        <is>
          <t>Монтажные работы</t>
        </is>
      </c>
      <c r="D382" s="3" t="inlineStr">
        <is>
          <t>Муфта переходник МП 32x26</t>
        </is>
      </c>
      <c r="E382" s="4">
        <f>N382+O382</f>
        <v/>
      </c>
      <c r="F382" s="3" t="inlineStr">
        <is>
          <t>шт.</t>
        </is>
      </c>
      <c r="G382" s="4">
        <f>IFERROR('[1]Лист1'!G382,30)</f>
        <v/>
      </c>
      <c r="H382" s="16" t="n">
        <v>30</v>
      </c>
      <c r="I382" s="16" t="n">
        <v>30</v>
      </c>
      <c r="J382" s="16" t="n">
        <v>30</v>
      </c>
      <c r="K382" s="16" t="n">
        <v>30</v>
      </c>
      <c r="L382" s="16" t="n">
        <v>30</v>
      </c>
      <c r="M382" s="16" t="n">
        <v>30</v>
      </c>
      <c r="N382" s="4">
        <f>Работы!S384</f>
        <v/>
      </c>
      <c r="O382" s="4">
        <f>Работы!R384</f>
        <v/>
      </c>
      <c r="P382" s="16" t="n">
        <v>30</v>
      </c>
      <c r="Q382" s="16" t="n">
        <v>30</v>
      </c>
      <c r="R382" s="16" t="n">
        <v>30</v>
      </c>
      <c r="S382" s="16" t="n">
        <v>30</v>
      </c>
      <c r="T382" s="16" t="n">
        <v>30</v>
      </c>
      <c r="U382" s="16" t="n">
        <v>30</v>
      </c>
      <c r="V382" s="16" t="n">
        <v>30</v>
      </c>
      <c r="W382" s="16" t="n">
        <v>30</v>
      </c>
      <c r="X382" s="16" t="n">
        <v>30</v>
      </c>
      <c r="Y382" s="16" t="n">
        <v>30</v>
      </c>
      <c r="Z382" s="16" t="n">
        <v>30</v>
      </c>
      <c r="AA382" s="16" t="n">
        <v>30</v>
      </c>
    </row>
    <row r="383">
      <c r="A383" s="3" t="inlineStr">
        <is>
          <t>Сантехника</t>
        </is>
      </c>
      <c r="B383" s="3" t="inlineStr">
        <is>
          <t>Трубы металлопласт. и фитинги</t>
        </is>
      </c>
      <c r="C383" s="3" t="inlineStr">
        <is>
          <t>Монтажные работы</t>
        </is>
      </c>
      <c r="D383" s="3" t="inlineStr">
        <is>
          <t>Уголки МП d16</t>
        </is>
      </c>
      <c r="E383" s="4">
        <f>N383+O383</f>
        <v/>
      </c>
      <c r="F383" s="3" t="inlineStr">
        <is>
          <t>шт.</t>
        </is>
      </c>
      <c r="G383" s="4">
        <f>IFERROR('[1]Лист1'!G383,30)</f>
        <v/>
      </c>
      <c r="H383" s="16" t="n">
        <v>30</v>
      </c>
      <c r="I383" s="16" t="n">
        <v>30</v>
      </c>
      <c r="J383" s="16" t="n">
        <v>30</v>
      </c>
      <c r="K383" s="16" t="n">
        <v>30</v>
      </c>
      <c r="L383" s="16" t="n">
        <v>30</v>
      </c>
      <c r="M383" s="16" t="n">
        <v>30</v>
      </c>
      <c r="N383" s="4">
        <f>Работы!S385</f>
        <v/>
      </c>
      <c r="O383" s="4">
        <f>Работы!R385</f>
        <v/>
      </c>
      <c r="P383" s="16" t="n">
        <v>30</v>
      </c>
      <c r="Q383" s="16" t="n">
        <v>30</v>
      </c>
      <c r="R383" s="16" t="n">
        <v>30</v>
      </c>
      <c r="S383" s="16" t="n">
        <v>30</v>
      </c>
      <c r="T383" s="16" t="n">
        <v>30</v>
      </c>
      <c r="U383" s="16" t="n">
        <v>30</v>
      </c>
      <c r="V383" s="16" t="n">
        <v>30</v>
      </c>
      <c r="W383" s="16" t="n">
        <v>30</v>
      </c>
      <c r="X383" s="16" t="n">
        <v>30</v>
      </c>
      <c r="Y383" s="16" t="n">
        <v>30</v>
      </c>
      <c r="Z383" s="16" t="n">
        <v>30</v>
      </c>
      <c r="AA383" s="16" t="n">
        <v>30</v>
      </c>
    </row>
    <row r="384">
      <c r="A384" s="3" t="inlineStr">
        <is>
          <t>Сантехника</t>
        </is>
      </c>
      <c r="B384" s="3" t="inlineStr">
        <is>
          <t>Трубы металлопласт. и фитинги</t>
        </is>
      </c>
      <c r="C384" s="3" t="inlineStr">
        <is>
          <t>Монтажные работы</t>
        </is>
      </c>
      <c r="D384" s="3" t="inlineStr">
        <is>
          <t>Уголки МП d20</t>
        </is>
      </c>
      <c r="E384" s="4">
        <f>N384+O384</f>
        <v/>
      </c>
      <c r="F384" s="3" t="inlineStr">
        <is>
          <t>шт.</t>
        </is>
      </c>
      <c r="G384" s="4">
        <f>IFERROR('[1]Лист1'!G384,30)</f>
        <v/>
      </c>
      <c r="H384" s="16" t="n">
        <v>30</v>
      </c>
      <c r="I384" s="16" t="n">
        <v>30</v>
      </c>
      <c r="J384" s="16" t="n">
        <v>30</v>
      </c>
      <c r="K384" s="16" t="n">
        <v>30</v>
      </c>
      <c r="L384" s="16" t="n">
        <v>30</v>
      </c>
      <c r="M384" s="16" t="n">
        <v>30</v>
      </c>
      <c r="N384" s="4">
        <f>Работы!S386</f>
        <v/>
      </c>
      <c r="O384" s="4">
        <f>Работы!R386</f>
        <v/>
      </c>
      <c r="P384" s="16" t="n">
        <v>30</v>
      </c>
      <c r="Q384" s="16" t="n">
        <v>30</v>
      </c>
      <c r="R384" s="16" t="n">
        <v>30</v>
      </c>
      <c r="S384" s="16" t="n">
        <v>30</v>
      </c>
      <c r="T384" s="16" t="n">
        <v>30</v>
      </c>
      <c r="U384" s="16" t="n">
        <v>30</v>
      </c>
      <c r="V384" s="16" t="n">
        <v>30</v>
      </c>
      <c r="W384" s="16" t="n">
        <v>30</v>
      </c>
      <c r="X384" s="16" t="n">
        <v>30</v>
      </c>
      <c r="Y384" s="16" t="n">
        <v>30</v>
      </c>
      <c r="Z384" s="16" t="n">
        <v>30</v>
      </c>
      <c r="AA384" s="16" t="n">
        <v>30</v>
      </c>
    </row>
    <row r="385">
      <c r="A385" s="3" t="inlineStr">
        <is>
          <t>Сантехника</t>
        </is>
      </c>
      <c r="B385" s="3" t="inlineStr">
        <is>
          <t>Трубы металлопласт. и фитинги</t>
        </is>
      </c>
      <c r="C385" s="3" t="inlineStr">
        <is>
          <t>Монтажные работы</t>
        </is>
      </c>
      <c r="D385" s="3" t="inlineStr">
        <is>
          <t>Уголки МП d26</t>
        </is>
      </c>
      <c r="E385" s="4">
        <f>N385+O385</f>
        <v/>
      </c>
      <c r="F385" s="3" t="inlineStr">
        <is>
          <t>шт.</t>
        </is>
      </c>
      <c r="G385" s="4">
        <f>IFERROR('[1]Лист1'!G385,30)</f>
        <v/>
      </c>
      <c r="H385" s="16" t="n">
        <v>30</v>
      </c>
      <c r="I385" s="16" t="n">
        <v>30</v>
      </c>
      <c r="J385" s="16" t="n">
        <v>30</v>
      </c>
      <c r="K385" s="16" t="n">
        <v>30</v>
      </c>
      <c r="L385" s="16" t="n">
        <v>30</v>
      </c>
      <c r="M385" s="16" t="n">
        <v>30</v>
      </c>
      <c r="N385" s="4">
        <f>Работы!S387</f>
        <v/>
      </c>
      <c r="O385" s="4">
        <f>Работы!R387</f>
        <v/>
      </c>
      <c r="P385" s="16" t="n">
        <v>30</v>
      </c>
      <c r="Q385" s="16" t="n">
        <v>30</v>
      </c>
      <c r="R385" s="16" t="n">
        <v>30</v>
      </c>
      <c r="S385" s="16" t="n">
        <v>30</v>
      </c>
      <c r="T385" s="16" t="n">
        <v>30</v>
      </c>
      <c r="U385" s="16" t="n">
        <v>30</v>
      </c>
      <c r="V385" s="16" t="n">
        <v>30</v>
      </c>
      <c r="W385" s="16" t="n">
        <v>30</v>
      </c>
      <c r="X385" s="16" t="n">
        <v>30</v>
      </c>
      <c r="Y385" s="16" t="n">
        <v>30</v>
      </c>
      <c r="Z385" s="16" t="n">
        <v>30</v>
      </c>
      <c r="AA385" s="16" t="n">
        <v>30</v>
      </c>
    </row>
    <row r="386">
      <c r="A386" s="3" t="inlineStr">
        <is>
          <t>Сантехника</t>
        </is>
      </c>
      <c r="B386" s="3" t="inlineStr">
        <is>
          <t>Трубы металлопласт. и фитинги</t>
        </is>
      </c>
      <c r="C386" s="3" t="inlineStr">
        <is>
          <t>Монтажные работы</t>
        </is>
      </c>
      <c r="D386" s="3" t="inlineStr">
        <is>
          <t>Уголки МП d32</t>
        </is>
      </c>
      <c r="E386" s="4">
        <f>N386+O386</f>
        <v/>
      </c>
      <c r="F386" s="3" t="inlineStr">
        <is>
          <t>шт.</t>
        </is>
      </c>
      <c r="G386" s="4">
        <f>IFERROR('[1]Лист1'!G386,30)</f>
        <v/>
      </c>
      <c r="H386" s="16" t="n">
        <v>30</v>
      </c>
      <c r="I386" s="16" t="n">
        <v>30</v>
      </c>
      <c r="J386" s="16" t="n">
        <v>30</v>
      </c>
      <c r="K386" s="16" t="n">
        <v>30</v>
      </c>
      <c r="L386" s="16" t="n">
        <v>30</v>
      </c>
      <c r="M386" s="16" t="n">
        <v>30</v>
      </c>
      <c r="N386" s="4">
        <f>Работы!S388</f>
        <v/>
      </c>
      <c r="O386" s="4">
        <f>Работы!R388</f>
        <v/>
      </c>
      <c r="P386" s="16" t="n">
        <v>30</v>
      </c>
      <c r="Q386" s="16" t="n">
        <v>30</v>
      </c>
      <c r="R386" s="16" t="n">
        <v>30</v>
      </c>
      <c r="S386" s="16" t="n">
        <v>30</v>
      </c>
      <c r="T386" s="16" t="n">
        <v>30</v>
      </c>
      <c r="U386" s="16" t="n">
        <v>30</v>
      </c>
      <c r="V386" s="16" t="n">
        <v>30</v>
      </c>
      <c r="W386" s="16" t="n">
        <v>30</v>
      </c>
      <c r="X386" s="16" t="n">
        <v>30</v>
      </c>
      <c r="Y386" s="16" t="n">
        <v>30</v>
      </c>
      <c r="Z386" s="16" t="n">
        <v>30</v>
      </c>
      <c r="AA386" s="16" t="n">
        <v>30</v>
      </c>
    </row>
    <row r="387">
      <c r="A387" s="3" t="inlineStr">
        <is>
          <t>Сантехника</t>
        </is>
      </c>
      <c r="B387" s="3" t="inlineStr">
        <is>
          <t>Трубы металлопласт. и фитинги</t>
        </is>
      </c>
      <c r="C387" s="3" t="inlineStr">
        <is>
          <t>Монтажные работы</t>
        </is>
      </c>
      <c r="D387" s="3" t="inlineStr">
        <is>
          <t>Уголки МП с наружной резьбой d16</t>
        </is>
      </c>
      <c r="E387" s="4">
        <f>N387+O387</f>
        <v/>
      </c>
      <c r="F387" s="3" t="inlineStr">
        <is>
          <t>шт.</t>
        </is>
      </c>
      <c r="G387" s="4">
        <f>IFERROR('[1]Лист1'!G387,30)</f>
        <v/>
      </c>
      <c r="H387" s="16" t="n">
        <v>30</v>
      </c>
      <c r="I387" s="16" t="n">
        <v>30</v>
      </c>
      <c r="J387" s="16" t="n">
        <v>30</v>
      </c>
      <c r="K387" s="16" t="n">
        <v>30</v>
      </c>
      <c r="L387" s="16" t="n">
        <v>30</v>
      </c>
      <c r="M387" s="16" t="n">
        <v>30</v>
      </c>
      <c r="N387" s="4">
        <f>Работы!S389</f>
        <v/>
      </c>
      <c r="O387" s="4">
        <f>Работы!R389</f>
        <v/>
      </c>
      <c r="P387" s="16" t="n">
        <v>30</v>
      </c>
      <c r="Q387" s="16" t="n">
        <v>30</v>
      </c>
      <c r="R387" s="16" t="n">
        <v>30</v>
      </c>
      <c r="S387" s="16" t="n">
        <v>30</v>
      </c>
      <c r="T387" s="16" t="n">
        <v>30</v>
      </c>
      <c r="U387" s="16" t="n">
        <v>30</v>
      </c>
      <c r="V387" s="16" t="n">
        <v>30</v>
      </c>
      <c r="W387" s="16" t="n">
        <v>30</v>
      </c>
      <c r="X387" s="16" t="n">
        <v>30</v>
      </c>
      <c r="Y387" s="16" t="n">
        <v>30</v>
      </c>
      <c r="Z387" s="16" t="n">
        <v>30</v>
      </c>
      <c r="AA387" s="16" t="n">
        <v>30</v>
      </c>
    </row>
    <row r="388">
      <c r="A388" s="3" t="inlineStr">
        <is>
          <t>Сантехника</t>
        </is>
      </c>
      <c r="B388" s="3" t="inlineStr">
        <is>
          <t>Трубы металлопласт. и фитинги</t>
        </is>
      </c>
      <c r="C388" s="3" t="inlineStr">
        <is>
          <t>Монтажные работы</t>
        </is>
      </c>
      <c r="D388" s="3" t="inlineStr">
        <is>
          <t>Уголки МП с наружной резьбой d20</t>
        </is>
      </c>
      <c r="E388" s="4">
        <f>N388+O388</f>
        <v/>
      </c>
      <c r="F388" s="3" t="inlineStr">
        <is>
          <t>шт.</t>
        </is>
      </c>
      <c r="G388" s="4">
        <f>IFERROR('[1]Лист1'!G388,30)</f>
        <v/>
      </c>
      <c r="H388" s="16" t="n">
        <v>30</v>
      </c>
      <c r="I388" s="16" t="n">
        <v>30</v>
      </c>
      <c r="J388" s="16" t="n">
        <v>30</v>
      </c>
      <c r="K388" s="16" t="n">
        <v>30</v>
      </c>
      <c r="L388" s="16" t="n">
        <v>30</v>
      </c>
      <c r="M388" s="16" t="n">
        <v>30</v>
      </c>
      <c r="N388" s="4">
        <f>Работы!S390</f>
        <v/>
      </c>
      <c r="O388" s="4">
        <f>Работы!R390</f>
        <v/>
      </c>
      <c r="P388" s="16" t="n">
        <v>30</v>
      </c>
      <c r="Q388" s="16" t="n">
        <v>30</v>
      </c>
      <c r="R388" s="16" t="n">
        <v>30</v>
      </c>
      <c r="S388" s="16" t="n">
        <v>30</v>
      </c>
      <c r="T388" s="16" t="n">
        <v>30</v>
      </c>
      <c r="U388" s="16" t="n">
        <v>30</v>
      </c>
      <c r="V388" s="16" t="n">
        <v>30</v>
      </c>
      <c r="W388" s="16" t="n">
        <v>30</v>
      </c>
      <c r="X388" s="16" t="n">
        <v>30</v>
      </c>
      <c r="Y388" s="16" t="n">
        <v>30</v>
      </c>
      <c r="Z388" s="16" t="n">
        <v>30</v>
      </c>
      <c r="AA388" s="16" t="n">
        <v>30</v>
      </c>
    </row>
    <row r="389">
      <c r="A389" s="3" t="inlineStr">
        <is>
          <t>Сантехника</t>
        </is>
      </c>
      <c r="B389" s="3" t="inlineStr">
        <is>
          <t>Трубы металлопласт. и фитинги</t>
        </is>
      </c>
      <c r="C389" s="3" t="inlineStr">
        <is>
          <t>Монтажные работы</t>
        </is>
      </c>
      <c r="D389" s="3" t="inlineStr">
        <is>
          <t>Уголки МП с наружной резьбой d26</t>
        </is>
      </c>
      <c r="E389" s="4">
        <f>N389+O389</f>
        <v/>
      </c>
      <c r="F389" s="3" t="inlineStr">
        <is>
          <t>шт.</t>
        </is>
      </c>
      <c r="G389" s="4">
        <f>IFERROR('[1]Лист1'!G389,30)</f>
        <v/>
      </c>
      <c r="H389" s="16" t="n">
        <v>30</v>
      </c>
      <c r="I389" s="16" t="n">
        <v>30</v>
      </c>
      <c r="J389" s="16" t="n">
        <v>30</v>
      </c>
      <c r="K389" s="16" t="n">
        <v>30</v>
      </c>
      <c r="L389" s="16" t="n">
        <v>30</v>
      </c>
      <c r="M389" s="16" t="n">
        <v>30</v>
      </c>
      <c r="N389" s="4">
        <f>Работы!S391</f>
        <v/>
      </c>
      <c r="O389" s="4">
        <f>Работы!R391</f>
        <v/>
      </c>
      <c r="P389" s="16" t="n">
        <v>30</v>
      </c>
      <c r="Q389" s="16" t="n">
        <v>30</v>
      </c>
      <c r="R389" s="16" t="n">
        <v>30</v>
      </c>
      <c r="S389" s="16" t="n">
        <v>30</v>
      </c>
      <c r="T389" s="16" t="n">
        <v>30</v>
      </c>
      <c r="U389" s="16" t="n">
        <v>30</v>
      </c>
      <c r="V389" s="16" t="n">
        <v>30</v>
      </c>
      <c r="W389" s="16" t="n">
        <v>30</v>
      </c>
      <c r="X389" s="16" t="n">
        <v>30</v>
      </c>
      <c r="Y389" s="16" t="n">
        <v>30</v>
      </c>
      <c r="Z389" s="16" t="n">
        <v>30</v>
      </c>
      <c r="AA389" s="16" t="n">
        <v>30</v>
      </c>
    </row>
    <row r="390">
      <c r="A390" s="3" t="inlineStr">
        <is>
          <t>Сантехника</t>
        </is>
      </c>
      <c r="B390" s="3" t="inlineStr">
        <is>
          <t>Трубы металлопласт. и фитинги</t>
        </is>
      </c>
      <c r="C390" s="3" t="inlineStr">
        <is>
          <t>Монтажные работы</t>
        </is>
      </c>
      <c r="D390" s="3" t="inlineStr">
        <is>
          <t>Уголки МП с наружной резьбой d32</t>
        </is>
      </c>
      <c r="E390" s="4">
        <f>N390+O390</f>
        <v/>
      </c>
      <c r="F390" s="3" t="inlineStr">
        <is>
          <t>шт.</t>
        </is>
      </c>
      <c r="G390" s="4">
        <f>IFERROR('[1]Лист1'!G390,30)</f>
        <v/>
      </c>
      <c r="H390" s="16" t="n">
        <v>30</v>
      </c>
      <c r="I390" s="16" t="n">
        <v>30</v>
      </c>
      <c r="J390" s="16" t="n">
        <v>30</v>
      </c>
      <c r="K390" s="16" t="n">
        <v>30</v>
      </c>
      <c r="L390" s="16" t="n">
        <v>30</v>
      </c>
      <c r="M390" s="16" t="n">
        <v>30</v>
      </c>
      <c r="N390" s="4">
        <f>Работы!S392</f>
        <v/>
      </c>
      <c r="O390" s="4">
        <f>Работы!R392</f>
        <v/>
      </c>
      <c r="P390" s="16" t="n">
        <v>30</v>
      </c>
      <c r="Q390" s="16" t="n">
        <v>30</v>
      </c>
      <c r="R390" s="16" t="n">
        <v>30</v>
      </c>
      <c r="S390" s="16" t="n">
        <v>30</v>
      </c>
      <c r="T390" s="16" t="n">
        <v>30</v>
      </c>
      <c r="U390" s="16" t="n">
        <v>30</v>
      </c>
      <c r="V390" s="16" t="n">
        <v>30</v>
      </c>
      <c r="W390" s="16" t="n">
        <v>30</v>
      </c>
      <c r="X390" s="16" t="n">
        <v>30</v>
      </c>
      <c r="Y390" s="16" t="n">
        <v>30</v>
      </c>
      <c r="Z390" s="16" t="n">
        <v>30</v>
      </c>
      <c r="AA390" s="16" t="n">
        <v>30</v>
      </c>
    </row>
    <row r="391">
      <c r="A391" s="3" t="inlineStr">
        <is>
          <t>Сантехника</t>
        </is>
      </c>
      <c r="B391" s="3" t="inlineStr">
        <is>
          <t>Трубы металлопласт. и фитинги</t>
        </is>
      </c>
      <c r="C391" s="3" t="inlineStr">
        <is>
          <t>Монтажные работы</t>
        </is>
      </c>
      <c r="D391" s="3" t="inlineStr">
        <is>
          <t>Уголки МП с внутренней резьбой d16</t>
        </is>
      </c>
      <c r="E391" s="4">
        <f>N391+O391</f>
        <v/>
      </c>
      <c r="F391" s="3" t="inlineStr">
        <is>
          <t>шт.</t>
        </is>
      </c>
      <c r="G391" s="4">
        <f>IFERROR('[1]Лист1'!G391,30)</f>
        <v/>
      </c>
      <c r="H391" s="16" t="n">
        <v>30</v>
      </c>
      <c r="I391" s="16" t="n">
        <v>30</v>
      </c>
      <c r="J391" s="16" t="n">
        <v>30</v>
      </c>
      <c r="K391" s="16" t="n">
        <v>30</v>
      </c>
      <c r="L391" s="16" t="n">
        <v>30</v>
      </c>
      <c r="M391" s="16" t="n">
        <v>30</v>
      </c>
      <c r="N391" s="4">
        <f>Работы!S393</f>
        <v/>
      </c>
      <c r="O391" s="4">
        <f>Работы!R393</f>
        <v/>
      </c>
      <c r="P391" s="16" t="n">
        <v>30</v>
      </c>
      <c r="Q391" s="16" t="n">
        <v>30</v>
      </c>
      <c r="R391" s="16" t="n">
        <v>30</v>
      </c>
      <c r="S391" s="16" t="n">
        <v>30</v>
      </c>
      <c r="T391" s="16" t="n">
        <v>30</v>
      </c>
      <c r="U391" s="16" t="n">
        <v>30</v>
      </c>
      <c r="V391" s="16" t="n">
        <v>30</v>
      </c>
      <c r="W391" s="16" t="n">
        <v>30</v>
      </c>
      <c r="X391" s="16" t="n">
        <v>30</v>
      </c>
      <c r="Y391" s="16" t="n">
        <v>30</v>
      </c>
      <c r="Z391" s="16" t="n">
        <v>30</v>
      </c>
      <c r="AA391" s="16" t="n">
        <v>30</v>
      </c>
    </row>
    <row r="392">
      <c r="A392" s="3" t="inlineStr">
        <is>
          <t>Сантехника</t>
        </is>
      </c>
      <c r="B392" s="3" t="inlineStr">
        <is>
          <t>Трубы металлопласт. и фитинги</t>
        </is>
      </c>
      <c r="C392" s="3" t="inlineStr">
        <is>
          <t>Монтажные работы</t>
        </is>
      </c>
      <c r="D392" s="3" t="inlineStr">
        <is>
          <t>Уголки МП с внутренней резьбой d20</t>
        </is>
      </c>
      <c r="E392" s="4">
        <f>N392+O392</f>
        <v/>
      </c>
      <c r="F392" s="3" t="inlineStr">
        <is>
          <t>шт.</t>
        </is>
      </c>
      <c r="G392" s="4">
        <f>IFERROR('[1]Лист1'!G392,30)</f>
        <v/>
      </c>
      <c r="H392" s="16" t="n">
        <v>30</v>
      </c>
      <c r="I392" s="16" t="n">
        <v>30</v>
      </c>
      <c r="J392" s="16" t="n">
        <v>30</v>
      </c>
      <c r="K392" s="16" t="n">
        <v>30</v>
      </c>
      <c r="L392" s="16" t="n">
        <v>30</v>
      </c>
      <c r="M392" s="16" t="n">
        <v>30</v>
      </c>
      <c r="N392" s="4">
        <f>Работы!S394</f>
        <v/>
      </c>
      <c r="O392" s="4">
        <f>Работы!R394</f>
        <v/>
      </c>
      <c r="P392" s="16" t="n">
        <v>30</v>
      </c>
      <c r="Q392" s="16" t="n">
        <v>30</v>
      </c>
      <c r="R392" s="16" t="n">
        <v>30</v>
      </c>
      <c r="S392" s="16" t="n">
        <v>30</v>
      </c>
      <c r="T392" s="16" t="n">
        <v>30</v>
      </c>
      <c r="U392" s="16" t="n">
        <v>30</v>
      </c>
      <c r="V392" s="16" t="n">
        <v>30</v>
      </c>
      <c r="W392" s="16" t="n">
        <v>30</v>
      </c>
      <c r="X392" s="16" t="n">
        <v>30</v>
      </c>
      <c r="Y392" s="16" t="n">
        <v>30</v>
      </c>
      <c r="Z392" s="16" t="n">
        <v>30</v>
      </c>
      <c r="AA392" s="16" t="n">
        <v>30</v>
      </c>
    </row>
    <row r="393">
      <c r="A393" s="3" t="inlineStr">
        <is>
          <t>Сантехника</t>
        </is>
      </c>
      <c r="B393" s="3" t="inlineStr">
        <is>
          <t>Трубы металлопласт. и фитинги</t>
        </is>
      </c>
      <c r="C393" s="3" t="inlineStr">
        <is>
          <t>Монтажные работы</t>
        </is>
      </c>
      <c r="D393" s="3" t="inlineStr">
        <is>
          <t>Уголки МП с внутренней резьбой d26</t>
        </is>
      </c>
      <c r="E393" s="4">
        <f>N393+O393</f>
        <v/>
      </c>
      <c r="F393" s="3" t="inlineStr">
        <is>
          <t>шт.</t>
        </is>
      </c>
      <c r="G393" s="4">
        <f>IFERROR('[1]Лист1'!G393,30)</f>
        <v/>
      </c>
      <c r="H393" s="16" t="n">
        <v>30</v>
      </c>
      <c r="I393" s="16" t="n">
        <v>30</v>
      </c>
      <c r="J393" s="16" t="n">
        <v>30</v>
      </c>
      <c r="K393" s="16" t="n">
        <v>30</v>
      </c>
      <c r="L393" s="16" t="n">
        <v>30</v>
      </c>
      <c r="M393" s="16" t="n">
        <v>30</v>
      </c>
      <c r="N393" s="4">
        <f>Работы!S395</f>
        <v/>
      </c>
      <c r="O393" s="4">
        <f>Работы!R395</f>
        <v/>
      </c>
      <c r="P393" s="16" t="n">
        <v>30</v>
      </c>
      <c r="Q393" s="16" t="n">
        <v>30</v>
      </c>
      <c r="R393" s="16" t="n">
        <v>30</v>
      </c>
      <c r="S393" s="16" t="n">
        <v>30</v>
      </c>
      <c r="T393" s="16" t="n">
        <v>30</v>
      </c>
      <c r="U393" s="16" t="n">
        <v>30</v>
      </c>
      <c r="V393" s="16" t="n">
        <v>30</v>
      </c>
      <c r="W393" s="16" t="n">
        <v>30</v>
      </c>
      <c r="X393" s="16" t="n">
        <v>30</v>
      </c>
      <c r="Y393" s="16" t="n">
        <v>30</v>
      </c>
      <c r="Z393" s="16" t="n">
        <v>30</v>
      </c>
      <c r="AA393" s="16" t="n">
        <v>30</v>
      </c>
    </row>
    <row r="394">
      <c r="A394" s="3" t="inlineStr">
        <is>
          <t>Сантехника</t>
        </is>
      </c>
      <c r="B394" s="3" t="inlineStr">
        <is>
          <t>Трубы металлопласт. и фитинги</t>
        </is>
      </c>
      <c r="C394" s="3" t="inlineStr">
        <is>
          <t>Монтажные работы</t>
        </is>
      </c>
      <c r="D394" s="3" t="inlineStr">
        <is>
          <t>Уголки МП с внутренней резьбой d32</t>
        </is>
      </c>
      <c r="E394" s="4">
        <f>N394+O394</f>
        <v/>
      </c>
      <c r="F394" s="3" t="inlineStr">
        <is>
          <t>шт.</t>
        </is>
      </c>
      <c r="G394" s="4">
        <f>IFERROR('[1]Лист1'!G394,30)</f>
        <v/>
      </c>
      <c r="H394" s="16" t="n">
        <v>30</v>
      </c>
      <c r="I394" s="16" t="n">
        <v>30</v>
      </c>
      <c r="J394" s="16" t="n">
        <v>30</v>
      </c>
      <c r="K394" s="16" t="n">
        <v>30</v>
      </c>
      <c r="L394" s="16" t="n">
        <v>30</v>
      </c>
      <c r="M394" s="16" t="n">
        <v>30</v>
      </c>
      <c r="N394" s="4">
        <f>Работы!S396</f>
        <v/>
      </c>
      <c r="O394" s="4">
        <f>Работы!R396</f>
        <v/>
      </c>
      <c r="P394" s="16" t="n">
        <v>30</v>
      </c>
      <c r="Q394" s="16" t="n">
        <v>30</v>
      </c>
      <c r="R394" s="16" t="n">
        <v>30</v>
      </c>
      <c r="S394" s="16" t="n">
        <v>30</v>
      </c>
      <c r="T394" s="16" t="n">
        <v>30</v>
      </c>
      <c r="U394" s="16" t="n">
        <v>30</v>
      </c>
      <c r="V394" s="16" t="n">
        <v>30</v>
      </c>
      <c r="W394" s="16" t="n">
        <v>30</v>
      </c>
      <c r="X394" s="16" t="n">
        <v>30</v>
      </c>
      <c r="Y394" s="16" t="n">
        <v>30</v>
      </c>
      <c r="Z394" s="16" t="n">
        <v>30</v>
      </c>
      <c r="AA394" s="16" t="n">
        <v>30</v>
      </c>
    </row>
    <row r="395">
      <c r="A395" s="3" t="inlineStr">
        <is>
          <t>Сантехника</t>
        </is>
      </c>
      <c r="B395" s="3" t="inlineStr">
        <is>
          <t>Трубы металлопласт. и фитинги</t>
        </is>
      </c>
      <c r="C395" s="3" t="inlineStr">
        <is>
          <t>Монтажные работы</t>
        </is>
      </c>
      <c r="D395" s="3" t="inlineStr">
        <is>
          <t>Уголки МП с креплением d16</t>
        </is>
      </c>
      <c r="E395" s="4">
        <f>N395+O395</f>
        <v/>
      </c>
      <c r="F395" s="3" t="inlineStr">
        <is>
          <t>шт.</t>
        </is>
      </c>
      <c r="G395" s="4">
        <f>IFERROR('[1]Лист1'!G395,30)</f>
        <v/>
      </c>
      <c r="H395" s="16" t="n">
        <v>30</v>
      </c>
      <c r="I395" s="16" t="n">
        <v>30</v>
      </c>
      <c r="J395" s="16" t="n">
        <v>30</v>
      </c>
      <c r="K395" s="16" t="n">
        <v>30</v>
      </c>
      <c r="L395" s="16" t="n">
        <v>30</v>
      </c>
      <c r="M395" s="16" t="n">
        <v>30</v>
      </c>
      <c r="N395" s="4">
        <f>Работы!S397</f>
        <v/>
      </c>
      <c r="O395" s="4">
        <f>Работы!R397</f>
        <v/>
      </c>
      <c r="P395" s="16" t="n">
        <v>30</v>
      </c>
      <c r="Q395" s="16" t="n">
        <v>30</v>
      </c>
      <c r="R395" s="16" t="n">
        <v>30</v>
      </c>
      <c r="S395" s="16" t="n">
        <v>30</v>
      </c>
      <c r="T395" s="16" t="n">
        <v>30</v>
      </c>
      <c r="U395" s="16" t="n">
        <v>30</v>
      </c>
      <c r="V395" s="16" t="n">
        <v>30</v>
      </c>
      <c r="W395" s="16" t="n">
        <v>30</v>
      </c>
      <c r="X395" s="16" t="n">
        <v>30</v>
      </c>
      <c r="Y395" s="16" t="n">
        <v>30</v>
      </c>
      <c r="Z395" s="16" t="n">
        <v>30</v>
      </c>
      <c r="AA395" s="16" t="n">
        <v>30</v>
      </c>
    </row>
    <row r="396">
      <c r="A396" s="3" t="inlineStr">
        <is>
          <t>Сантехника</t>
        </is>
      </c>
      <c r="B396" s="3" t="inlineStr">
        <is>
          <t>Трубы металлопласт. и фитинги</t>
        </is>
      </c>
      <c r="C396" s="3" t="inlineStr">
        <is>
          <t>Монтажные работы</t>
        </is>
      </c>
      <c r="D396" s="3" t="inlineStr">
        <is>
          <t>Уголки МП с креплением d20</t>
        </is>
      </c>
      <c r="E396" s="4">
        <f>N396+O396</f>
        <v/>
      </c>
      <c r="F396" s="3" t="inlineStr">
        <is>
          <t>шт.</t>
        </is>
      </c>
      <c r="G396" s="4">
        <f>IFERROR('[1]Лист1'!G396,30)</f>
        <v/>
      </c>
      <c r="H396" s="16" t="n">
        <v>30</v>
      </c>
      <c r="I396" s="16" t="n">
        <v>30</v>
      </c>
      <c r="J396" s="16" t="n">
        <v>30</v>
      </c>
      <c r="K396" s="16" t="n">
        <v>30</v>
      </c>
      <c r="L396" s="16" t="n">
        <v>30</v>
      </c>
      <c r="M396" s="16" t="n">
        <v>30</v>
      </c>
      <c r="N396" s="4">
        <f>Работы!S398</f>
        <v/>
      </c>
      <c r="O396" s="4">
        <f>Работы!R398</f>
        <v/>
      </c>
      <c r="P396" s="16" t="n">
        <v>30</v>
      </c>
      <c r="Q396" s="16" t="n">
        <v>30</v>
      </c>
      <c r="R396" s="16" t="n">
        <v>30</v>
      </c>
      <c r="S396" s="16" t="n">
        <v>30</v>
      </c>
      <c r="T396" s="16" t="n">
        <v>30</v>
      </c>
      <c r="U396" s="16" t="n">
        <v>30</v>
      </c>
      <c r="V396" s="16" t="n">
        <v>30</v>
      </c>
      <c r="W396" s="16" t="n">
        <v>30</v>
      </c>
      <c r="X396" s="16" t="n">
        <v>30</v>
      </c>
      <c r="Y396" s="16" t="n">
        <v>30</v>
      </c>
      <c r="Z396" s="16" t="n">
        <v>30</v>
      </c>
      <c r="AA396" s="16" t="n">
        <v>30</v>
      </c>
    </row>
    <row r="397">
      <c r="A397" s="3" t="inlineStr">
        <is>
          <t>Сантехника</t>
        </is>
      </c>
      <c r="B397" s="3" t="inlineStr">
        <is>
          <t>Трубы металлопласт. и фитинги</t>
        </is>
      </c>
      <c r="C397" s="3" t="inlineStr">
        <is>
          <t>Монтажные работы</t>
        </is>
      </c>
      <c r="D397" s="3" t="inlineStr">
        <is>
          <t>Тройники соединительные МП d16</t>
        </is>
      </c>
      <c r="E397" s="4">
        <f>N397+O397</f>
        <v/>
      </c>
      <c r="F397" s="3" t="inlineStr">
        <is>
          <t>шт.</t>
        </is>
      </c>
      <c r="G397" s="4">
        <f>IFERROR('[1]Лист1'!G397,30)</f>
        <v/>
      </c>
      <c r="H397" s="16" t="n">
        <v>30</v>
      </c>
      <c r="I397" s="16" t="n">
        <v>30</v>
      </c>
      <c r="J397" s="16" t="n">
        <v>30</v>
      </c>
      <c r="K397" s="16" t="n">
        <v>30</v>
      </c>
      <c r="L397" s="16" t="n">
        <v>30</v>
      </c>
      <c r="M397" s="16" t="n">
        <v>30</v>
      </c>
      <c r="N397" s="4">
        <f>Работы!S399</f>
        <v/>
      </c>
      <c r="O397" s="4">
        <f>Работы!R399</f>
        <v/>
      </c>
      <c r="P397" s="16" t="n">
        <v>30</v>
      </c>
      <c r="Q397" s="16" t="n">
        <v>30</v>
      </c>
      <c r="R397" s="16" t="n">
        <v>30</v>
      </c>
      <c r="S397" s="16" t="n">
        <v>30</v>
      </c>
      <c r="T397" s="16" t="n">
        <v>30</v>
      </c>
      <c r="U397" s="16" t="n">
        <v>30</v>
      </c>
      <c r="V397" s="16" t="n">
        <v>30</v>
      </c>
      <c r="W397" s="16" t="n">
        <v>30</v>
      </c>
      <c r="X397" s="16" t="n">
        <v>30</v>
      </c>
      <c r="Y397" s="16" t="n">
        <v>30</v>
      </c>
      <c r="Z397" s="16" t="n">
        <v>30</v>
      </c>
      <c r="AA397" s="16" t="n">
        <v>30</v>
      </c>
    </row>
    <row r="398">
      <c r="A398" s="3" t="inlineStr">
        <is>
          <t>Сантехника</t>
        </is>
      </c>
      <c r="B398" s="3" t="inlineStr">
        <is>
          <t>Трубы металлопласт. и фитинги</t>
        </is>
      </c>
      <c r="C398" s="3" t="inlineStr">
        <is>
          <t>Монтажные работы</t>
        </is>
      </c>
      <c r="D398" s="3" t="inlineStr">
        <is>
          <t>Тройники соединительные МП d20</t>
        </is>
      </c>
      <c r="E398" s="4">
        <f>N398+O398</f>
        <v/>
      </c>
      <c r="F398" s="3" t="inlineStr">
        <is>
          <t>шт.</t>
        </is>
      </c>
      <c r="G398" s="4">
        <f>IFERROR('[1]Лист1'!G398,30)</f>
        <v/>
      </c>
      <c r="H398" s="16" t="n">
        <v>30</v>
      </c>
      <c r="I398" s="16" t="n">
        <v>30</v>
      </c>
      <c r="J398" s="16" t="n">
        <v>30</v>
      </c>
      <c r="K398" s="16" t="n">
        <v>30</v>
      </c>
      <c r="L398" s="16" t="n">
        <v>30</v>
      </c>
      <c r="M398" s="16" t="n">
        <v>30</v>
      </c>
      <c r="N398" s="4">
        <f>Работы!S400</f>
        <v/>
      </c>
      <c r="O398" s="4">
        <f>Работы!R400</f>
        <v/>
      </c>
      <c r="P398" s="16" t="n">
        <v>30</v>
      </c>
      <c r="Q398" s="16" t="n">
        <v>30</v>
      </c>
      <c r="R398" s="16" t="n">
        <v>30</v>
      </c>
      <c r="S398" s="16" t="n">
        <v>30</v>
      </c>
      <c r="T398" s="16" t="n">
        <v>30</v>
      </c>
      <c r="U398" s="16" t="n">
        <v>30</v>
      </c>
      <c r="V398" s="16" t="n">
        <v>30</v>
      </c>
      <c r="W398" s="16" t="n">
        <v>30</v>
      </c>
      <c r="X398" s="16" t="n">
        <v>30</v>
      </c>
      <c r="Y398" s="16" t="n">
        <v>30</v>
      </c>
      <c r="Z398" s="16" t="n">
        <v>30</v>
      </c>
      <c r="AA398" s="16" t="n">
        <v>30</v>
      </c>
    </row>
    <row r="399">
      <c r="A399" s="3" t="inlineStr">
        <is>
          <t>Сантехника</t>
        </is>
      </c>
      <c r="B399" s="3" t="inlineStr">
        <is>
          <t>Трубы металлопласт. и фитинги</t>
        </is>
      </c>
      <c r="C399" s="3" t="inlineStr">
        <is>
          <t>Монтажные работы</t>
        </is>
      </c>
      <c r="D399" s="3" t="inlineStr">
        <is>
          <t>Тройники соединительные МП d26</t>
        </is>
      </c>
      <c r="E399" s="4">
        <f>N399+O399</f>
        <v/>
      </c>
      <c r="F399" s="3" t="inlineStr">
        <is>
          <t>шт.</t>
        </is>
      </c>
      <c r="G399" s="4">
        <f>IFERROR('[1]Лист1'!G399,30)</f>
        <v/>
      </c>
      <c r="H399" s="16" t="n">
        <v>30</v>
      </c>
      <c r="I399" s="16" t="n">
        <v>30</v>
      </c>
      <c r="J399" s="16" t="n">
        <v>30</v>
      </c>
      <c r="K399" s="16" t="n">
        <v>30</v>
      </c>
      <c r="L399" s="16" t="n">
        <v>30</v>
      </c>
      <c r="M399" s="16" t="n">
        <v>30</v>
      </c>
      <c r="N399" s="4">
        <f>Работы!S401</f>
        <v/>
      </c>
      <c r="O399" s="4">
        <f>Работы!R401</f>
        <v/>
      </c>
      <c r="P399" s="16" t="n">
        <v>30</v>
      </c>
      <c r="Q399" s="16" t="n">
        <v>30</v>
      </c>
      <c r="R399" s="16" t="n">
        <v>30</v>
      </c>
      <c r="S399" s="16" t="n">
        <v>30</v>
      </c>
      <c r="T399" s="16" t="n">
        <v>30</v>
      </c>
      <c r="U399" s="16" t="n">
        <v>30</v>
      </c>
      <c r="V399" s="16" t="n">
        <v>30</v>
      </c>
      <c r="W399" s="16" t="n">
        <v>30</v>
      </c>
      <c r="X399" s="16" t="n">
        <v>30</v>
      </c>
      <c r="Y399" s="16" t="n">
        <v>30</v>
      </c>
      <c r="Z399" s="16" t="n">
        <v>30</v>
      </c>
      <c r="AA399" s="16" t="n">
        <v>30</v>
      </c>
    </row>
    <row r="400">
      <c r="A400" s="3" t="inlineStr">
        <is>
          <t>Сантехника</t>
        </is>
      </c>
      <c r="B400" s="3" t="inlineStr">
        <is>
          <t>Трубы металлопласт. и фитинги</t>
        </is>
      </c>
      <c r="C400" s="3" t="inlineStr">
        <is>
          <t>Монтажные работы</t>
        </is>
      </c>
      <c r="D400" s="3" t="inlineStr">
        <is>
          <t>Тройники соединительные МП d32</t>
        </is>
      </c>
      <c r="E400" s="4">
        <f>N400+O400</f>
        <v/>
      </c>
      <c r="F400" s="3" t="inlineStr">
        <is>
          <t>шт.</t>
        </is>
      </c>
      <c r="G400" s="4">
        <f>IFERROR('[1]Лист1'!G400,30)</f>
        <v/>
      </c>
      <c r="H400" s="16" t="n">
        <v>30</v>
      </c>
      <c r="I400" s="16" t="n">
        <v>30</v>
      </c>
      <c r="J400" s="16" t="n">
        <v>30</v>
      </c>
      <c r="K400" s="16" t="n">
        <v>30</v>
      </c>
      <c r="L400" s="16" t="n">
        <v>30</v>
      </c>
      <c r="M400" s="16" t="n">
        <v>30</v>
      </c>
      <c r="N400" s="4">
        <f>Работы!S402</f>
        <v/>
      </c>
      <c r="O400" s="4">
        <f>Работы!R402</f>
        <v/>
      </c>
      <c r="P400" s="16" t="n">
        <v>30</v>
      </c>
      <c r="Q400" s="16" t="n">
        <v>30</v>
      </c>
      <c r="R400" s="16" t="n">
        <v>30</v>
      </c>
      <c r="S400" s="16" t="n">
        <v>30</v>
      </c>
      <c r="T400" s="16" t="n">
        <v>30</v>
      </c>
      <c r="U400" s="16" t="n">
        <v>30</v>
      </c>
      <c r="V400" s="16" t="n">
        <v>30</v>
      </c>
      <c r="W400" s="16" t="n">
        <v>30</v>
      </c>
      <c r="X400" s="16" t="n">
        <v>30</v>
      </c>
      <c r="Y400" s="16" t="n">
        <v>30</v>
      </c>
      <c r="Z400" s="16" t="n">
        <v>30</v>
      </c>
      <c r="AA400" s="16" t="n">
        <v>30</v>
      </c>
    </row>
    <row r="401">
      <c r="A401" s="3" t="inlineStr">
        <is>
          <t>Сантехника</t>
        </is>
      </c>
      <c r="B401" s="3" t="inlineStr">
        <is>
          <t>Трубы металлопласт. и фитинги</t>
        </is>
      </c>
      <c r="C401" s="3" t="inlineStr">
        <is>
          <t>Монтажные работы</t>
        </is>
      </c>
      <c r="D401" s="3" t="inlineStr">
        <is>
          <t>Тройники переходники МП 16х20х16</t>
        </is>
      </c>
      <c r="E401" s="4">
        <f>N401+O401</f>
        <v/>
      </c>
      <c r="F401" s="3" t="inlineStr">
        <is>
          <t>шт.</t>
        </is>
      </c>
      <c r="G401" s="4">
        <f>IFERROR('[1]Лист1'!G401,30)</f>
        <v/>
      </c>
      <c r="H401" s="16" t="n">
        <v>30</v>
      </c>
      <c r="I401" s="16" t="n">
        <v>30</v>
      </c>
      <c r="J401" s="16" t="n">
        <v>30</v>
      </c>
      <c r="K401" s="16" t="n">
        <v>30</v>
      </c>
      <c r="L401" s="16" t="n">
        <v>30</v>
      </c>
      <c r="M401" s="16" t="n">
        <v>30</v>
      </c>
      <c r="N401" s="4">
        <f>Работы!S403</f>
        <v/>
      </c>
      <c r="O401" s="4">
        <f>Работы!R403</f>
        <v/>
      </c>
      <c r="P401" s="16" t="n">
        <v>30</v>
      </c>
      <c r="Q401" s="16" t="n">
        <v>30</v>
      </c>
      <c r="R401" s="16" t="n">
        <v>30</v>
      </c>
      <c r="S401" s="16" t="n">
        <v>30</v>
      </c>
      <c r="T401" s="16" t="n">
        <v>30</v>
      </c>
      <c r="U401" s="16" t="n">
        <v>30</v>
      </c>
      <c r="V401" s="16" t="n">
        <v>30</v>
      </c>
      <c r="W401" s="16" t="n">
        <v>30</v>
      </c>
      <c r="X401" s="16" t="n">
        <v>30</v>
      </c>
      <c r="Y401" s="16" t="n">
        <v>30</v>
      </c>
      <c r="Z401" s="16" t="n">
        <v>30</v>
      </c>
      <c r="AA401" s="16" t="n">
        <v>30</v>
      </c>
    </row>
    <row r="402">
      <c r="A402" s="3" t="inlineStr">
        <is>
          <t>Сантехника</t>
        </is>
      </c>
      <c r="B402" s="3" t="inlineStr">
        <is>
          <t>Трубы металлопласт. и фитинги</t>
        </is>
      </c>
      <c r="C402" s="3" t="inlineStr">
        <is>
          <t>Монтажные работы</t>
        </is>
      </c>
      <c r="D402" s="3" t="inlineStr">
        <is>
          <t>Тройники переходники МП 20х16х16</t>
        </is>
      </c>
      <c r="E402" s="4">
        <f>N402+O402</f>
        <v/>
      </c>
      <c r="F402" s="3" t="inlineStr">
        <is>
          <t>шт.</t>
        </is>
      </c>
      <c r="G402" s="4">
        <f>IFERROR('[1]Лист1'!G402,30)</f>
        <v/>
      </c>
      <c r="H402" s="16" t="n">
        <v>30</v>
      </c>
      <c r="I402" s="16" t="n">
        <v>30</v>
      </c>
      <c r="J402" s="16" t="n">
        <v>30</v>
      </c>
      <c r="K402" s="16" t="n">
        <v>30</v>
      </c>
      <c r="L402" s="16" t="n">
        <v>30</v>
      </c>
      <c r="M402" s="16" t="n">
        <v>30</v>
      </c>
      <c r="N402" s="4">
        <f>Работы!S404</f>
        <v/>
      </c>
      <c r="O402" s="4">
        <f>Работы!R404</f>
        <v/>
      </c>
      <c r="P402" s="16" t="n">
        <v>30</v>
      </c>
      <c r="Q402" s="16" t="n">
        <v>30</v>
      </c>
      <c r="R402" s="16" t="n">
        <v>30</v>
      </c>
      <c r="S402" s="16" t="n">
        <v>30</v>
      </c>
      <c r="T402" s="16" t="n">
        <v>30</v>
      </c>
      <c r="U402" s="16" t="n">
        <v>30</v>
      </c>
      <c r="V402" s="16" t="n">
        <v>30</v>
      </c>
      <c r="W402" s="16" t="n">
        <v>30</v>
      </c>
      <c r="X402" s="16" t="n">
        <v>30</v>
      </c>
      <c r="Y402" s="16" t="n">
        <v>30</v>
      </c>
      <c r="Z402" s="16" t="n">
        <v>30</v>
      </c>
      <c r="AA402" s="16" t="n">
        <v>30</v>
      </c>
    </row>
    <row r="403">
      <c r="A403" s="3" t="inlineStr">
        <is>
          <t>Сантехника</t>
        </is>
      </c>
      <c r="B403" s="3" t="inlineStr">
        <is>
          <t>Трубы металлопласт. и фитинги</t>
        </is>
      </c>
      <c r="C403" s="3" t="inlineStr">
        <is>
          <t>Монтажные работы</t>
        </is>
      </c>
      <c r="D403" s="3" t="inlineStr">
        <is>
          <t>Тройники переходники МП 20х16х20</t>
        </is>
      </c>
      <c r="E403" s="4">
        <f>N403+O403</f>
        <v/>
      </c>
      <c r="F403" s="3" t="inlineStr">
        <is>
          <t>шт.</t>
        </is>
      </c>
      <c r="G403" s="4">
        <f>IFERROR('[1]Лист1'!G403,30)</f>
        <v/>
      </c>
      <c r="H403" s="16" t="n">
        <v>30</v>
      </c>
      <c r="I403" s="16" t="n">
        <v>30</v>
      </c>
      <c r="J403" s="16" t="n">
        <v>30</v>
      </c>
      <c r="K403" s="16" t="n">
        <v>30</v>
      </c>
      <c r="L403" s="16" t="n">
        <v>30</v>
      </c>
      <c r="M403" s="16" t="n">
        <v>30</v>
      </c>
      <c r="N403" s="4">
        <f>Работы!S405</f>
        <v/>
      </c>
      <c r="O403" s="4">
        <f>Работы!R405</f>
        <v/>
      </c>
      <c r="P403" s="16" t="n">
        <v>30</v>
      </c>
      <c r="Q403" s="16" t="n">
        <v>30</v>
      </c>
      <c r="R403" s="16" t="n">
        <v>30</v>
      </c>
      <c r="S403" s="16" t="n">
        <v>30</v>
      </c>
      <c r="T403" s="16" t="n">
        <v>30</v>
      </c>
      <c r="U403" s="16" t="n">
        <v>30</v>
      </c>
      <c r="V403" s="16" t="n">
        <v>30</v>
      </c>
      <c r="W403" s="16" t="n">
        <v>30</v>
      </c>
      <c r="X403" s="16" t="n">
        <v>30</v>
      </c>
      <c r="Y403" s="16" t="n">
        <v>30</v>
      </c>
      <c r="Z403" s="16" t="n">
        <v>30</v>
      </c>
      <c r="AA403" s="16" t="n">
        <v>30</v>
      </c>
    </row>
    <row r="404">
      <c r="A404" s="3" t="inlineStr">
        <is>
          <t>Сантехника</t>
        </is>
      </c>
      <c r="B404" s="3" t="inlineStr">
        <is>
          <t>Трубы металлопласт. и фитинги</t>
        </is>
      </c>
      <c r="C404" s="3" t="inlineStr">
        <is>
          <t>Монтажные работы</t>
        </is>
      </c>
      <c r="D404" s="3" t="inlineStr">
        <is>
          <t>Тройники переходники МП 20х20х16</t>
        </is>
      </c>
      <c r="E404" s="4">
        <f>N404+O404</f>
        <v/>
      </c>
      <c r="F404" s="3" t="inlineStr">
        <is>
          <t>шт.</t>
        </is>
      </c>
      <c r="G404" s="4">
        <f>IFERROR('[1]Лист1'!G404,30)</f>
        <v/>
      </c>
      <c r="H404" s="16" t="n">
        <v>30</v>
      </c>
      <c r="I404" s="16" t="n">
        <v>30</v>
      </c>
      <c r="J404" s="16" t="n">
        <v>30</v>
      </c>
      <c r="K404" s="16" t="n">
        <v>30</v>
      </c>
      <c r="L404" s="16" t="n">
        <v>30</v>
      </c>
      <c r="M404" s="16" t="n">
        <v>30</v>
      </c>
      <c r="N404" s="4">
        <f>Работы!S406</f>
        <v/>
      </c>
      <c r="O404" s="4">
        <f>Работы!R406</f>
        <v/>
      </c>
      <c r="P404" s="16" t="n">
        <v>30</v>
      </c>
      <c r="Q404" s="16" t="n">
        <v>30</v>
      </c>
      <c r="R404" s="16" t="n">
        <v>30</v>
      </c>
      <c r="S404" s="16" t="n">
        <v>30</v>
      </c>
      <c r="T404" s="16" t="n">
        <v>30</v>
      </c>
      <c r="U404" s="16" t="n">
        <v>30</v>
      </c>
      <c r="V404" s="16" t="n">
        <v>30</v>
      </c>
      <c r="W404" s="16" t="n">
        <v>30</v>
      </c>
      <c r="X404" s="16" t="n">
        <v>30</v>
      </c>
      <c r="Y404" s="16" t="n">
        <v>30</v>
      </c>
      <c r="Z404" s="16" t="n">
        <v>30</v>
      </c>
      <c r="AA404" s="16" t="n">
        <v>30</v>
      </c>
    </row>
    <row r="405">
      <c r="A405" s="3" t="inlineStr">
        <is>
          <t>Сантехника</t>
        </is>
      </c>
      <c r="B405" s="3" t="inlineStr">
        <is>
          <t>Трубы металлопласт. и фитинги</t>
        </is>
      </c>
      <c r="C405" s="3" t="inlineStr">
        <is>
          <t>Монтажные работы</t>
        </is>
      </c>
      <c r="D405" s="3" t="inlineStr">
        <is>
          <t>Тройники переходники МП 20х26х20</t>
        </is>
      </c>
      <c r="E405" s="4">
        <f>N405+O405</f>
        <v/>
      </c>
      <c r="F405" s="3" t="inlineStr">
        <is>
          <t>шт.</t>
        </is>
      </c>
      <c r="G405" s="4">
        <f>IFERROR('[1]Лист1'!G405,30)</f>
        <v/>
      </c>
      <c r="H405" s="16" t="n">
        <v>30</v>
      </c>
      <c r="I405" s="16" t="n">
        <v>30</v>
      </c>
      <c r="J405" s="16" t="n">
        <v>30</v>
      </c>
      <c r="K405" s="16" t="n">
        <v>30</v>
      </c>
      <c r="L405" s="16" t="n">
        <v>30</v>
      </c>
      <c r="M405" s="16" t="n">
        <v>30</v>
      </c>
      <c r="N405" s="4">
        <f>Работы!S407</f>
        <v/>
      </c>
      <c r="O405" s="4">
        <f>Работы!R407</f>
        <v/>
      </c>
      <c r="P405" s="16" t="n">
        <v>30</v>
      </c>
      <c r="Q405" s="16" t="n">
        <v>30</v>
      </c>
      <c r="R405" s="16" t="n">
        <v>30</v>
      </c>
      <c r="S405" s="16" t="n">
        <v>30</v>
      </c>
      <c r="T405" s="16" t="n">
        <v>30</v>
      </c>
      <c r="U405" s="16" t="n">
        <v>30</v>
      </c>
      <c r="V405" s="16" t="n">
        <v>30</v>
      </c>
      <c r="W405" s="16" t="n">
        <v>30</v>
      </c>
      <c r="X405" s="16" t="n">
        <v>30</v>
      </c>
      <c r="Y405" s="16" t="n">
        <v>30</v>
      </c>
      <c r="Z405" s="16" t="n">
        <v>30</v>
      </c>
      <c r="AA405" s="16" t="n">
        <v>30</v>
      </c>
    </row>
    <row r="406">
      <c r="A406" s="3" t="inlineStr">
        <is>
          <t>Сантехника</t>
        </is>
      </c>
      <c r="B406" s="3" t="inlineStr">
        <is>
          <t>Трубы металлопласт. и фитинги</t>
        </is>
      </c>
      <c r="C406" s="3" t="inlineStr">
        <is>
          <t>Монтажные работы</t>
        </is>
      </c>
      <c r="D406" s="3" t="inlineStr">
        <is>
          <t>Тройники переходники МП 26х16х26</t>
        </is>
      </c>
      <c r="E406" s="4">
        <f>N406+O406</f>
        <v/>
      </c>
      <c r="F406" s="3" t="inlineStr">
        <is>
          <t>шт.</t>
        </is>
      </c>
      <c r="G406" s="4">
        <f>IFERROR('[1]Лист1'!G406,30)</f>
        <v/>
      </c>
      <c r="H406" s="16" t="n">
        <v>30</v>
      </c>
      <c r="I406" s="16" t="n">
        <v>30</v>
      </c>
      <c r="J406" s="16" t="n">
        <v>30</v>
      </c>
      <c r="K406" s="16" t="n">
        <v>30</v>
      </c>
      <c r="L406" s="16" t="n">
        <v>30</v>
      </c>
      <c r="M406" s="16" t="n">
        <v>30</v>
      </c>
      <c r="N406" s="4">
        <f>Работы!S408</f>
        <v/>
      </c>
      <c r="O406" s="4">
        <f>Работы!R408</f>
        <v/>
      </c>
      <c r="P406" s="16" t="n">
        <v>30</v>
      </c>
      <c r="Q406" s="16" t="n">
        <v>30</v>
      </c>
      <c r="R406" s="16" t="n">
        <v>30</v>
      </c>
      <c r="S406" s="16" t="n">
        <v>30</v>
      </c>
      <c r="T406" s="16" t="n">
        <v>30</v>
      </c>
      <c r="U406" s="16" t="n">
        <v>30</v>
      </c>
      <c r="V406" s="16" t="n">
        <v>30</v>
      </c>
      <c r="W406" s="16" t="n">
        <v>30</v>
      </c>
      <c r="X406" s="16" t="n">
        <v>30</v>
      </c>
      <c r="Y406" s="16" t="n">
        <v>30</v>
      </c>
      <c r="Z406" s="16" t="n">
        <v>30</v>
      </c>
      <c r="AA406" s="16" t="n">
        <v>30</v>
      </c>
    </row>
    <row r="407">
      <c r="A407" s="3" t="inlineStr">
        <is>
          <t>Сантехника</t>
        </is>
      </c>
      <c r="B407" s="3" t="inlineStr">
        <is>
          <t>Насосы</t>
        </is>
      </c>
      <c r="C407" s="3" t="inlineStr">
        <is>
          <t>Монтажные работы</t>
        </is>
      </c>
      <c r="D407" s="3" t="inlineStr">
        <is>
          <t>Насос циркуляционный типа Grundfos UPS 25-40или аналог</t>
        </is>
      </c>
      <c r="E407" s="4">
        <f>N407+O407</f>
        <v/>
      </c>
      <c r="F407" s="3" t="inlineStr">
        <is>
          <t>шт.</t>
        </is>
      </c>
      <c r="G407" s="4">
        <f>IFERROR('[1]Лист1'!G407,30)</f>
        <v/>
      </c>
      <c r="H407" s="16" t="n">
        <v>30</v>
      </c>
      <c r="I407" s="16" t="n">
        <v>30</v>
      </c>
      <c r="J407" s="16" t="n">
        <v>30</v>
      </c>
      <c r="K407" s="16" t="n">
        <v>30</v>
      </c>
      <c r="L407" s="16" t="n">
        <v>30</v>
      </c>
      <c r="M407" s="16" t="n">
        <v>30</v>
      </c>
      <c r="N407" s="4">
        <f>Работы!S409</f>
        <v/>
      </c>
      <c r="O407" s="4">
        <f>Работы!R409</f>
        <v/>
      </c>
      <c r="P407" s="16" t="n">
        <v>30</v>
      </c>
      <c r="Q407" s="16" t="n">
        <v>30</v>
      </c>
      <c r="R407" s="16" t="n">
        <v>30</v>
      </c>
      <c r="S407" s="16" t="n">
        <v>30</v>
      </c>
      <c r="T407" s="16" t="n">
        <v>30</v>
      </c>
      <c r="U407" s="16" t="n">
        <v>30</v>
      </c>
      <c r="V407" s="16" t="n">
        <v>30</v>
      </c>
      <c r="W407" s="16" t="n">
        <v>30</v>
      </c>
      <c r="X407" s="16" t="n">
        <v>30</v>
      </c>
      <c r="Y407" s="16" t="n">
        <v>30</v>
      </c>
      <c r="Z407" s="16" t="n">
        <v>30</v>
      </c>
      <c r="AA407" s="16" t="n">
        <v>30</v>
      </c>
    </row>
    <row r="408">
      <c r="A408" s="3" t="inlineStr">
        <is>
          <t>Сантехника</t>
        </is>
      </c>
      <c r="B408" s="3" t="inlineStr">
        <is>
          <t>Водонагреватели</t>
        </is>
      </c>
      <c r="C408" s="3" t="inlineStr">
        <is>
          <t>Монтажные работы</t>
        </is>
      </c>
      <c r="D408" s="3" t="inlineStr">
        <is>
          <t>Водонагреватель накопительный, электрический Термекс 30 или аналог</t>
        </is>
      </c>
      <c r="E408" s="4">
        <f>N408+O408</f>
        <v/>
      </c>
      <c r="F408" s="3" t="inlineStr">
        <is>
          <t>шт.</t>
        </is>
      </c>
      <c r="G408" s="4">
        <f>IFERROR('[1]Лист1'!G408,30)</f>
        <v/>
      </c>
      <c r="H408" s="16" t="n">
        <v>30</v>
      </c>
      <c r="I408" s="16" t="n">
        <v>30</v>
      </c>
      <c r="J408" s="16" t="n">
        <v>30</v>
      </c>
      <c r="K408" s="16" t="n">
        <v>30</v>
      </c>
      <c r="L408" s="16" t="n">
        <v>30</v>
      </c>
      <c r="M408" s="16" t="n">
        <v>30</v>
      </c>
      <c r="N408" s="4">
        <f>Работы!S410</f>
        <v/>
      </c>
      <c r="O408" s="4">
        <f>Работы!R410</f>
        <v/>
      </c>
      <c r="P408" s="16" t="n">
        <v>30</v>
      </c>
      <c r="Q408" s="16" t="n">
        <v>30</v>
      </c>
      <c r="R408" s="16" t="n">
        <v>30</v>
      </c>
      <c r="S408" s="16" t="n">
        <v>30</v>
      </c>
      <c r="T408" s="16" t="n">
        <v>30</v>
      </c>
      <c r="U408" s="16" t="n">
        <v>30</v>
      </c>
      <c r="V408" s="16" t="n">
        <v>30</v>
      </c>
      <c r="W408" s="16" t="n">
        <v>30</v>
      </c>
      <c r="X408" s="16" t="n">
        <v>30</v>
      </c>
      <c r="Y408" s="16" t="n">
        <v>30</v>
      </c>
      <c r="Z408" s="16" t="n">
        <v>30</v>
      </c>
      <c r="AA408" s="16" t="n">
        <v>30</v>
      </c>
    </row>
    <row r="409">
      <c r="A409" s="3" t="inlineStr">
        <is>
          <t>Сантехника</t>
        </is>
      </c>
      <c r="B409" s="3" t="inlineStr">
        <is>
          <t>Водонагреватели</t>
        </is>
      </c>
      <c r="C409" s="3" t="inlineStr">
        <is>
          <t>Монтажные работы</t>
        </is>
      </c>
      <c r="D409" s="3" t="inlineStr">
        <is>
          <t>Водонагреватель накопительный, электрический Термекс 50 или аналог</t>
        </is>
      </c>
      <c r="E409" s="4">
        <f>N409+O409</f>
        <v/>
      </c>
      <c r="F409" s="3" t="inlineStr">
        <is>
          <t>шт.</t>
        </is>
      </c>
      <c r="G409" s="4">
        <f>IFERROR('[1]Лист1'!G409,30)</f>
        <v/>
      </c>
      <c r="H409" s="16" t="n">
        <v>30</v>
      </c>
      <c r="I409" s="16" t="n">
        <v>30</v>
      </c>
      <c r="J409" s="16" t="n">
        <v>30</v>
      </c>
      <c r="K409" s="16" t="n">
        <v>30</v>
      </c>
      <c r="L409" s="16" t="n">
        <v>30</v>
      </c>
      <c r="M409" s="16" t="n">
        <v>30</v>
      </c>
      <c r="N409" s="4">
        <f>Работы!S411</f>
        <v/>
      </c>
      <c r="O409" s="4">
        <f>Работы!R411</f>
        <v/>
      </c>
      <c r="P409" s="16" t="n">
        <v>30</v>
      </c>
      <c r="Q409" s="16" t="n">
        <v>30</v>
      </c>
      <c r="R409" s="16" t="n">
        <v>30</v>
      </c>
      <c r="S409" s="16" t="n">
        <v>30</v>
      </c>
      <c r="T409" s="16" t="n">
        <v>30</v>
      </c>
      <c r="U409" s="16" t="n">
        <v>30</v>
      </c>
      <c r="V409" s="16" t="n">
        <v>30</v>
      </c>
      <c r="W409" s="16" t="n">
        <v>30</v>
      </c>
      <c r="X409" s="16" t="n">
        <v>30</v>
      </c>
      <c r="Y409" s="16" t="n">
        <v>30</v>
      </c>
      <c r="Z409" s="16" t="n">
        <v>30</v>
      </c>
      <c r="AA409" s="16" t="n">
        <v>30</v>
      </c>
    </row>
    <row r="410">
      <c r="A410" s="3" t="inlineStr">
        <is>
          <t>Сантехника</t>
        </is>
      </c>
      <c r="B410" s="3" t="inlineStr">
        <is>
          <t>Водонагреватели</t>
        </is>
      </c>
      <c r="C410" s="3" t="inlineStr">
        <is>
          <t>Монтажные работы</t>
        </is>
      </c>
      <c r="D410" s="3" t="inlineStr">
        <is>
          <t>Водонагреватель накопительный, электрический Термекс 80 или аналог</t>
        </is>
      </c>
      <c r="E410" s="4">
        <f>N410+O410</f>
        <v/>
      </c>
      <c r="F410" s="3" t="inlineStr">
        <is>
          <t>шт.</t>
        </is>
      </c>
      <c r="G410" s="4">
        <f>IFERROR('[1]Лист1'!G410,30)</f>
        <v/>
      </c>
      <c r="H410" s="16" t="n">
        <v>30</v>
      </c>
      <c r="I410" s="16" t="n">
        <v>30</v>
      </c>
      <c r="J410" s="16" t="n">
        <v>30</v>
      </c>
      <c r="K410" s="16" t="n">
        <v>30</v>
      </c>
      <c r="L410" s="16" t="n">
        <v>30</v>
      </c>
      <c r="M410" s="16" t="n">
        <v>30</v>
      </c>
      <c r="N410" s="4">
        <f>Работы!S412</f>
        <v/>
      </c>
      <c r="O410" s="4">
        <f>Работы!R412</f>
        <v/>
      </c>
      <c r="P410" s="16" t="n">
        <v>30</v>
      </c>
      <c r="Q410" s="16" t="n">
        <v>30</v>
      </c>
      <c r="R410" s="16" t="n">
        <v>30</v>
      </c>
      <c r="S410" s="16" t="n">
        <v>30</v>
      </c>
      <c r="T410" s="16" t="n">
        <v>30</v>
      </c>
      <c r="U410" s="16" t="n">
        <v>30</v>
      </c>
      <c r="V410" s="16" t="n">
        <v>30</v>
      </c>
      <c r="W410" s="16" t="n">
        <v>30</v>
      </c>
      <c r="X410" s="16" t="n">
        <v>30</v>
      </c>
      <c r="Y410" s="16" t="n">
        <v>30</v>
      </c>
      <c r="Z410" s="16" t="n">
        <v>30</v>
      </c>
      <c r="AA410" s="16" t="n">
        <v>30</v>
      </c>
    </row>
    <row r="411">
      <c r="A411" s="3" t="inlineStr">
        <is>
          <t>Сантехника</t>
        </is>
      </c>
      <c r="B411" s="3" t="inlineStr">
        <is>
          <t>Водонагреватели</t>
        </is>
      </c>
      <c r="C411" s="3" t="inlineStr">
        <is>
          <t>Монтажные работы</t>
        </is>
      </c>
      <c r="D411" s="3" t="inlineStr">
        <is>
          <t>Водонагреватель накопительный, электрический Термекс 100 или аналог</t>
        </is>
      </c>
      <c r="E411" s="4">
        <f>N411+O411</f>
        <v/>
      </c>
      <c r="F411" s="3" t="inlineStr">
        <is>
          <t>шт.</t>
        </is>
      </c>
      <c r="G411" s="4">
        <f>IFERROR('[1]Лист1'!G411,30)</f>
        <v/>
      </c>
      <c r="H411" s="16" t="n">
        <v>30</v>
      </c>
      <c r="I411" s="16" t="n">
        <v>30</v>
      </c>
      <c r="J411" s="16" t="n">
        <v>30</v>
      </c>
      <c r="K411" s="16" t="n">
        <v>30</v>
      </c>
      <c r="L411" s="16" t="n">
        <v>30</v>
      </c>
      <c r="M411" s="16" t="n">
        <v>30</v>
      </c>
      <c r="N411" s="4">
        <f>Работы!S413</f>
        <v/>
      </c>
      <c r="O411" s="4">
        <f>Работы!R413</f>
        <v/>
      </c>
      <c r="P411" s="16" t="n">
        <v>30</v>
      </c>
      <c r="Q411" s="16" t="n">
        <v>30</v>
      </c>
      <c r="R411" s="16" t="n">
        <v>30</v>
      </c>
      <c r="S411" s="16" t="n">
        <v>30</v>
      </c>
      <c r="T411" s="16" t="n">
        <v>30</v>
      </c>
      <c r="U411" s="16" t="n">
        <v>30</v>
      </c>
      <c r="V411" s="16" t="n">
        <v>30</v>
      </c>
      <c r="W411" s="16" t="n">
        <v>30</v>
      </c>
      <c r="X411" s="16" t="n">
        <v>30</v>
      </c>
      <c r="Y411" s="16" t="n">
        <v>30</v>
      </c>
      <c r="Z411" s="16" t="n">
        <v>30</v>
      </c>
      <c r="AA411" s="16" t="n">
        <v>30</v>
      </c>
    </row>
    <row r="412">
      <c r="A412" s="3" t="inlineStr">
        <is>
          <t>Сантехника</t>
        </is>
      </c>
      <c r="B412" s="3" t="inlineStr">
        <is>
          <t>Запорная арматура</t>
        </is>
      </c>
      <c r="C412" s="3" t="inlineStr">
        <is>
          <t>Монтажные работы</t>
        </is>
      </c>
      <c r="D412" s="3" t="inlineStr">
        <is>
          <t>Кран шаровой латунь 11б27п1 Ду 15 G1/2" Ру16 ВР</t>
        </is>
      </c>
      <c r="E412" s="4">
        <f>N412+O412</f>
        <v/>
      </c>
      <c r="F412" s="3" t="inlineStr">
        <is>
          <t>шт.</t>
        </is>
      </c>
      <c r="G412" s="4">
        <f>IFERROR('[1]Лист1'!G412,30)</f>
        <v/>
      </c>
      <c r="H412" s="16" t="n">
        <v>30</v>
      </c>
      <c r="I412" s="16" t="n">
        <v>30</v>
      </c>
      <c r="J412" s="16" t="n">
        <v>30</v>
      </c>
      <c r="K412" s="16" t="n">
        <v>30</v>
      </c>
      <c r="L412" s="16" t="n">
        <v>30</v>
      </c>
      <c r="M412" s="16" t="n">
        <v>30</v>
      </c>
      <c r="N412" s="4">
        <f>Работы!S414</f>
        <v/>
      </c>
      <c r="O412" s="4">
        <f>Работы!R414</f>
        <v/>
      </c>
      <c r="P412" s="16" t="n">
        <v>30</v>
      </c>
      <c r="Q412" s="16" t="n">
        <v>30</v>
      </c>
      <c r="R412" s="16" t="n">
        <v>30</v>
      </c>
      <c r="S412" s="16" t="n">
        <v>30</v>
      </c>
      <c r="T412" s="16" t="n">
        <v>30</v>
      </c>
      <c r="U412" s="16" t="n">
        <v>30</v>
      </c>
      <c r="V412" s="16" t="n">
        <v>30</v>
      </c>
      <c r="W412" s="16" t="n">
        <v>30</v>
      </c>
      <c r="X412" s="16" t="n">
        <v>30</v>
      </c>
      <c r="Y412" s="16" t="n">
        <v>30</v>
      </c>
      <c r="Z412" s="16" t="n">
        <v>30</v>
      </c>
      <c r="AA412" s="16" t="n">
        <v>30</v>
      </c>
    </row>
    <row r="413">
      <c r="A413" s="3" t="inlineStr">
        <is>
          <t>Сантехника</t>
        </is>
      </c>
      <c r="B413" s="3" t="inlineStr">
        <is>
          <t>Запорная арматура</t>
        </is>
      </c>
      <c r="C413" s="3" t="inlineStr">
        <is>
          <t>Монтажные работы</t>
        </is>
      </c>
      <c r="D413" s="3" t="inlineStr">
        <is>
          <t>Кран шаровой латунь 11б27п1 Ду 20 G3/4" Ру16 ВР</t>
        </is>
      </c>
      <c r="E413" s="4">
        <f>N413+O413</f>
        <v/>
      </c>
      <c r="F413" s="3" t="inlineStr">
        <is>
          <t>шт.</t>
        </is>
      </c>
      <c r="G413" s="4">
        <f>IFERROR('[1]Лист1'!G413,30)</f>
        <v/>
      </c>
      <c r="H413" s="16" t="n">
        <v>30</v>
      </c>
      <c r="I413" s="16" t="n">
        <v>30</v>
      </c>
      <c r="J413" s="16" t="n">
        <v>30</v>
      </c>
      <c r="K413" s="16" t="n">
        <v>30</v>
      </c>
      <c r="L413" s="16" t="n">
        <v>30</v>
      </c>
      <c r="M413" s="16" t="n">
        <v>30</v>
      </c>
      <c r="N413" s="4">
        <f>Работы!S415</f>
        <v/>
      </c>
      <c r="O413" s="4">
        <f>Работы!R415</f>
        <v/>
      </c>
      <c r="P413" s="16" t="n">
        <v>30</v>
      </c>
      <c r="Q413" s="16" t="n">
        <v>30</v>
      </c>
      <c r="R413" s="16" t="n">
        <v>30</v>
      </c>
      <c r="S413" s="16" t="n">
        <v>30</v>
      </c>
      <c r="T413" s="16" t="n">
        <v>30</v>
      </c>
      <c r="U413" s="16" t="n">
        <v>30</v>
      </c>
      <c r="V413" s="16" t="n">
        <v>30</v>
      </c>
      <c r="W413" s="16" t="n">
        <v>30</v>
      </c>
      <c r="X413" s="16" t="n">
        <v>30</v>
      </c>
      <c r="Y413" s="16" t="n">
        <v>30</v>
      </c>
      <c r="Z413" s="16" t="n">
        <v>30</v>
      </c>
      <c r="AA413" s="16" t="n">
        <v>30</v>
      </c>
    </row>
    <row r="414">
      <c r="A414" s="3" t="inlineStr">
        <is>
          <t>Сантехника</t>
        </is>
      </c>
      <c r="B414" s="3" t="inlineStr">
        <is>
          <t>Запорная арматура</t>
        </is>
      </c>
      <c r="C414" s="3" t="inlineStr">
        <is>
          <t>Монтажные работы</t>
        </is>
      </c>
      <c r="D414" s="3" t="inlineStr">
        <is>
          <t>Кран шаровой латунь 11б27п1 Ду 25 G1" Ру16 ВР</t>
        </is>
      </c>
      <c r="E414" s="4">
        <f>N414+O414</f>
        <v/>
      </c>
      <c r="F414" s="3" t="inlineStr">
        <is>
          <t>шт.</t>
        </is>
      </c>
      <c r="G414" s="4">
        <f>IFERROR('[1]Лист1'!G414,30)</f>
        <v/>
      </c>
      <c r="H414" s="16" t="n">
        <v>30</v>
      </c>
      <c r="I414" s="16" t="n">
        <v>30</v>
      </c>
      <c r="J414" s="16" t="n">
        <v>30</v>
      </c>
      <c r="K414" s="16" t="n">
        <v>30</v>
      </c>
      <c r="L414" s="16" t="n">
        <v>30</v>
      </c>
      <c r="M414" s="16" t="n">
        <v>30</v>
      </c>
      <c r="N414" s="4">
        <f>Работы!S416</f>
        <v/>
      </c>
      <c r="O414" s="4">
        <f>Работы!R416</f>
        <v/>
      </c>
      <c r="P414" s="16" t="n">
        <v>30</v>
      </c>
      <c r="Q414" s="16" t="n">
        <v>30</v>
      </c>
      <c r="R414" s="16" t="n">
        <v>30</v>
      </c>
      <c r="S414" s="16" t="n">
        <v>30</v>
      </c>
      <c r="T414" s="16" t="n">
        <v>30</v>
      </c>
      <c r="U414" s="16" t="n">
        <v>30</v>
      </c>
      <c r="V414" s="16" t="n">
        <v>30</v>
      </c>
      <c r="W414" s="16" t="n">
        <v>30</v>
      </c>
      <c r="X414" s="16" t="n">
        <v>30</v>
      </c>
      <c r="Y414" s="16" t="n">
        <v>30</v>
      </c>
      <c r="Z414" s="16" t="n">
        <v>30</v>
      </c>
      <c r="AA414" s="16" t="n">
        <v>30</v>
      </c>
    </row>
    <row r="415">
      <c r="A415" s="3" t="inlineStr">
        <is>
          <t>Сантехника</t>
        </is>
      </c>
      <c r="B415" s="3" t="inlineStr">
        <is>
          <t>Запорная арматура</t>
        </is>
      </c>
      <c r="C415" s="3" t="inlineStr">
        <is>
          <t>Монтажные работы</t>
        </is>
      </c>
      <c r="D415" s="3" t="inlineStr">
        <is>
          <t>Кран шаровой латунь 11б27п1 Ду 32 G1 1/4" Ру16 ВР</t>
        </is>
      </c>
      <c r="E415" s="4">
        <f>N415+O415</f>
        <v/>
      </c>
      <c r="F415" s="3" t="inlineStr">
        <is>
          <t>шт.</t>
        </is>
      </c>
      <c r="G415" s="4">
        <f>IFERROR('[1]Лист1'!G415,30)</f>
        <v/>
      </c>
      <c r="H415" s="16" t="n">
        <v>30</v>
      </c>
      <c r="I415" s="16" t="n">
        <v>30</v>
      </c>
      <c r="J415" s="16" t="n">
        <v>30</v>
      </c>
      <c r="K415" s="16" t="n">
        <v>30</v>
      </c>
      <c r="L415" s="16" t="n">
        <v>30</v>
      </c>
      <c r="M415" s="16" t="n">
        <v>30</v>
      </c>
      <c r="N415" s="4">
        <f>Работы!S417</f>
        <v/>
      </c>
      <c r="O415" s="4">
        <f>Работы!R417</f>
        <v/>
      </c>
      <c r="P415" s="16" t="n">
        <v>30</v>
      </c>
      <c r="Q415" s="16" t="n">
        <v>30</v>
      </c>
      <c r="R415" s="16" t="n">
        <v>30</v>
      </c>
      <c r="S415" s="16" t="n">
        <v>30</v>
      </c>
      <c r="T415" s="16" t="n">
        <v>30</v>
      </c>
      <c r="U415" s="16" t="n">
        <v>30</v>
      </c>
      <c r="V415" s="16" t="n">
        <v>30</v>
      </c>
      <c r="W415" s="16" t="n">
        <v>30</v>
      </c>
      <c r="X415" s="16" t="n">
        <v>30</v>
      </c>
      <c r="Y415" s="16" t="n">
        <v>30</v>
      </c>
      <c r="Z415" s="16" t="n">
        <v>30</v>
      </c>
      <c r="AA415" s="16" t="n">
        <v>30</v>
      </c>
    </row>
    <row r="416">
      <c r="A416" s="3" t="inlineStr">
        <is>
          <t>Сантехника</t>
        </is>
      </c>
      <c r="B416" s="3" t="inlineStr">
        <is>
          <t>Запорная арматура</t>
        </is>
      </c>
      <c r="C416" s="3" t="inlineStr">
        <is>
          <t>Монтажные работы</t>
        </is>
      </c>
      <c r="D416" s="3" t="inlineStr">
        <is>
          <t>Кран шаровой латунь 11б27п1 Ду 40 G1 1/2" Ру16 ВР</t>
        </is>
      </c>
      <c r="E416" s="4">
        <f>N416+O416</f>
        <v/>
      </c>
      <c r="F416" s="3" t="inlineStr">
        <is>
          <t>шт.</t>
        </is>
      </c>
      <c r="G416" s="4">
        <f>IFERROR('[1]Лист1'!G416,30)</f>
        <v/>
      </c>
      <c r="H416" s="16" t="n">
        <v>30</v>
      </c>
      <c r="I416" s="16" t="n">
        <v>30</v>
      </c>
      <c r="J416" s="16" t="n">
        <v>30</v>
      </c>
      <c r="K416" s="16" t="n">
        <v>30</v>
      </c>
      <c r="L416" s="16" t="n">
        <v>30</v>
      </c>
      <c r="M416" s="16" t="n">
        <v>30</v>
      </c>
      <c r="N416" s="4">
        <f>Работы!S418</f>
        <v/>
      </c>
      <c r="O416" s="4">
        <f>Работы!R418</f>
        <v/>
      </c>
      <c r="P416" s="16" t="n">
        <v>30</v>
      </c>
      <c r="Q416" s="16" t="n">
        <v>30</v>
      </c>
      <c r="R416" s="16" t="n">
        <v>30</v>
      </c>
      <c r="S416" s="16" t="n">
        <v>30</v>
      </c>
      <c r="T416" s="16" t="n">
        <v>30</v>
      </c>
      <c r="U416" s="16" t="n">
        <v>30</v>
      </c>
      <c r="V416" s="16" t="n">
        <v>30</v>
      </c>
      <c r="W416" s="16" t="n">
        <v>30</v>
      </c>
      <c r="X416" s="16" t="n">
        <v>30</v>
      </c>
      <c r="Y416" s="16" t="n">
        <v>30</v>
      </c>
      <c r="Z416" s="16" t="n">
        <v>30</v>
      </c>
      <c r="AA416" s="16" t="n">
        <v>30</v>
      </c>
    </row>
    <row r="417">
      <c r="A417" s="3" t="inlineStr">
        <is>
          <t>Сантехника</t>
        </is>
      </c>
      <c r="B417" s="3" t="inlineStr">
        <is>
          <t>Запорная арматура</t>
        </is>
      </c>
      <c r="C417" s="3" t="inlineStr">
        <is>
          <t>Монтажные работы</t>
        </is>
      </c>
      <c r="D417" s="3" t="inlineStr">
        <is>
          <t>Кран шаровой латунь 11б27п1 Ду 50 G2" Ру16 ВР</t>
        </is>
      </c>
      <c r="E417" s="4">
        <f>N417+O417</f>
        <v/>
      </c>
      <c r="F417" s="3" t="inlineStr">
        <is>
          <t>шт.</t>
        </is>
      </c>
      <c r="G417" s="4">
        <f>IFERROR('[1]Лист1'!G417,30)</f>
        <v/>
      </c>
      <c r="H417" s="16" t="n">
        <v>30</v>
      </c>
      <c r="I417" s="16" t="n">
        <v>30</v>
      </c>
      <c r="J417" s="16" t="n">
        <v>30</v>
      </c>
      <c r="K417" s="16" t="n">
        <v>30</v>
      </c>
      <c r="L417" s="16" t="n">
        <v>30</v>
      </c>
      <c r="M417" s="16" t="n">
        <v>30</v>
      </c>
      <c r="N417" s="4">
        <f>Работы!S419</f>
        <v/>
      </c>
      <c r="O417" s="4">
        <f>Работы!R419</f>
        <v/>
      </c>
      <c r="P417" s="16" t="n">
        <v>30</v>
      </c>
      <c r="Q417" s="16" t="n">
        <v>30</v>
      </c>
      <c r="R417" s="16" t="n">
        <v>30</v>
      </c>
      <c r="S417" s="16" t="n">
        <v>30</v>
      </c>
      <c r="T417" s="16" t="n">
        <v>30</v>
      </c>
      <c r="U417" s="16" t="n">
        <v>30</v>
      </c>
      <c r="V417" s="16" t="n">
        <v>30</v>
      </c>
      <c r="W417" s="16" t="n">
        <v>30</v>
      </c>
      <c r="X417" s="16" t="n">
        <v>30</v>
      </c>
      <c r="Y417" s="16" t="n">
        <v>30</v>
      </c>
      <c r="Z417" s="16" t="n">
        <v>30</v>
      </c>
      <c r="AA417" s="16" t="n">
        <v>30</v>
      </c>
    </row>
    <row r="418">
      <c r="A418" s="3" t="inlineStr">
        <is>
          <t>Сантехника</t>
        </is>
      </c>
      <c r="B418" s="3" t="inlineStr">
        <is>
          <t>Запорная арматура</t>
        </is>
      </c>
      <c r="C418" s="3" t="inlineStr">
        <is>
          <t>Монтажные работы</t>
        </is>
      </c>
      <c r="D418" s="3" t="inlineStr">
        <is>
          <t>Кран шаровой латунь 11б27п1 Ду 15 G1/2" Ру16 ВР/НР</t>
        </is>
      </c>
      <c r="E418" s="4">
        <f>N418+O418</f>
        <v/>
      </c>
      <c r="F418" s="3" t="inlineStr">
        <is>
          <t>шт.</t>
        </is>
      </c>
      <c r="G418" s="4">
        <f>IFERROR('[1]Лист1'!G418,30)</f>
        <v/>
      </c>
      <c r="H418" s="16" t="n">
        <v>30</v>
      </c>
      <c r="I418" s="16" t="n">
        <v>30</v>
      </c>
      <c r="J418" s="16" t="n">
        <v>30</v>
      </c>
      <c r="K418" s="16" t="n">
        <v>30</v>
      </c>
      <c r="L418" s="16" t="n">
        <v>30</v>
      </c>
      <c r="M418" s="16" t="n">
        <v>30</v>
      </c>
      <c r="N418" s="4">
        <f>Работы!S420</f>
        <v/>
      </c>
      <c r="O418" s="4">
        <f>Работы!R420</f>
        <v/>
      </c>
      <c r="P418" s="16" t="n">
        <v>30</v>
      </c>
      <c r="Q418" s="16" t="n">
        <v>30</v>
      </c>
      <c r="R418" s="16" t="n">
        <v>30</v>
      </c>
      <c r="S418" s="16" t="n">
        <v>30</v>
      </c>
      <c r="T418" s="16" t="n">
        <v>30</v>
      </c>
      <c r="U418" s="16" t="n">
        <v>30</v>
      </c>
      <c r="V418" s="16" t="n">
        <v>30</v>
      </c>
      <c r="W418" s="16" t="n">
        <v>30</v>
      </c>
      <c r="X418" s="16" t="n">
        <v>30</v>
      </c>
      <c r="Y418" s="16" t="n">
        <v>30</v>
      </c>
      <c r="Z418" s="16" t="n">
        <v>30</v>
      </c>
      <c r="AA418" s="16" t="n">
        <v>30</v>
      </c>
    </row>
    <row r="419">
      <c r="A419" s="3" t="inlineStr">
        <is>
          <t>Сантехника</t>
        </is>
      </c>
      <c r="B419" s="3" t="inlineStr">
        <is>
          <t>Запорная арматура</t>
        </is>
      </c>
      <c r="C419" s="3" t="inlineStr">
        <is>
          <t>Монтажные работы</t>
        </is>
      </c>
      <c r="D419" s="3" t="inlineStr">
        <is>
          <t>Кран шаровой латунь 11б27п1 Ду 20 G3/4" Ру16 ВР/НР</t>
        </is>
      </c>
      <c r="E419" s="4">
        <f>N419+O419</f>
        <v/>
      </c>
      <c r="F419" s="3" t="inlineStr">
        <is>
          <t>шт.</t>
        </is>
      </c>
      <c r="G419" s="4">
        <f>IFERROR('[1]Лист1'!G419,30)</f>
        <v/>
      </c>
      <c r="H419" s="16" t="n">
        <v>30</v>
      </c>
      <c r="I419" s="16" t="n">
        <v>30</v>
      </c>
      <c r="J419" s="16" t="n">
        <v>30</v>
      </c>
      <c r="K419" s="16" t="n">
        <v>30</v>
      </c>
      <c r="L419" s="16" t="n">
        <v>30</v>
      </c>
      <c r="M419" s="16" t="n">
        <v>30</v>
      </c>
      <c r="N419" s="4">
        <f>Работы!S421</f>
        <v/>
      </c>
      <c r="O419" s="4">
        <f>Работы!R421</f>
        <v/>
      </c>
      <c r="P419" s="16" t="n">
        <v>30</v>
      </c>
      <c r="Q419" s="16" t="n">
        <v>30</v>
      </c>
      <c r="R419" s="16" t="n">
        <v>30</v>
      </c>
      <c r="S419" s="16" t="n">
        <v>30</v>
      </c>
      <c r="T419" s="16" t="n">
        <v>30</v>
      </c>
      <c r="U419" s="16" t="n">
        <v>30</v>
      </c>
      <c r="V419" s="16" t="n">
        <v>30</v>
      </c>
      <c r="W419" s="16" t="n">
        <v>30</v>
      </c>
      <c r="X419" s="16" t="n">
        <v>30</v>
      </c>
      <c r="Y419" s="16" t="n">
        <v>30</v>
      </c>
      <c r="Z419" s="16" t="n">
        <v>30</v>
      </c>
      <c r="AA419" s="16" t="n">
        <v>30</v>
      </c>
    </row>
    <row r="420">
      <c r="A420" s="3" t="inlineStr">
        <is>
          <t>Сантехника</t>
        </is>
      </c>
      <c r="B420" s="3" t="inlineStr">
        <is>
          <t>Запорная арматура</t>
        </is>
      </c>
      <c r="C420" s="3" t="inlineStr">
        <is>
          <t>Монтажные работы</t>
        </is>
      </c>
      <c r="D420" s="3" t="inlineStr">
        <is>
          <t>Кран шаровой латунь 11б27п1 Ду 25 G1" Ру16 ВР/НР</t>
        </is>
      </c>
      <c r="E420" s="4">
        <f>N420+O420</f>
        <v/>
      </c>
      <c r="F420" s="3" t="inlineStr">
        <is>
          <t>шт.</t>
        </is>
      </c>
      <c r="G420" s="4">
        <f>IFERROR('[1]Лист1'!G420,30)</f>
        <v/>
      </c>
      <c r="H420" s="16" t="n">
        <v>30</v>
      </c>
      <c r="I420" s="16" t="n">
        <v>30</v>
      </c>
      <c r="J420" s="16" t="n">
        <v>30</v>
      </c>
      <c r="K420" s="16" t="n">
        <v>30</v>
      </c>
      <c r="L420" s="16" t="n">
        <v>30</v>
      </c>
      <c r="M420" s="16" t="n">
        <v>30</v>
      </c>
      <c r="N420" s="4">
        <f>Работы!S422</f>
        <v/>
      </c>
      <c r="O420" s="4">
        <f>Работы!R422</f>
        <v/>
      </c>
      <c r="P420" s="16" t="n">
        <v>30</v>
      </c>
      <c r="Q420" s="16" t="n">
        <v>30</v>
      </c>
      <c r="R420" s="16" t="n">
        <v>30</v>
      </c>
      <c r="S420" s="16" t="n">
        <v>30</v>
      </c>
      <c r="T420" s="16" t="n">
        <v>30</v>
      </c>
      <c r="U420" s="16" t="n">
        <v>30</v>
      </c>
      <c r="V420" s="16" t="n">
        <v>30</v>
      </c>
      <c r="W420" s="16" t="n">
        <v>30</v>
      </c>
      <c r="X420" s="16" t="n">
        <v>30</v>
      </c>
      <c r="Y420" s="16" t="n">
        <v>30</v>
      </c>
      <c r="Z420" s="16" t="n">
        <v>30</v>
      </c>
      <c r="AA420" s="16" t="n">
        <v>30</v>
      </c>
    </row>
    <row r="421">
      <c r="A421" s="3" t="inlineStr">
        <is>
          <t>Сантехника</t>
        </is>
      </c>
      <c r="B421" s="3" t="inlineStr">
        <is>
          <t>Запорная арматура</t>
        </is>
      </c>
      <c r="C421" s="3" t="inlineStr">
        <is>
          <t>Монтажные работы</t>
        </is>
      </c>
      <c r="D421" s="3" t="inlineStr">
        <is>
          <t>Кран шаровой латунь 11б27п1 Ду 32 G1 1/4" Ру16 ВР/НР</t>
        </is>
      </c>
      <c r="E421" s="4">
        <f>N421+O421</f>
        <v/>
      </c>
      <c r="F421" s="3" t="inlineStr">
        <is>
          <t>шт.</t>
        </is>
      </c>
      <c r="G421" s="4">
        <f>IFERROR('[1]Лист1'!G421,30)</f>
        <v/>
      </c>
      <c r="H421" s="16" t="n">
        <v>30</v>
      </c>
      <c r="I421" s="16" t="n">
        <v>30</v>
      </c>
      <c r="J421" s="16" t="n">
        <v>30</v>
      </c>
      <c r="K421" s="16" t="n">
        <v>30</v>
      </c>
      <c r="L421" s="16" t="n">
        <v>30</v>
      </c>
      <c r="M421" s="16" t="n">
        <v>30</v>
      </c>
      <c r="N421" s="4">
        <f>Работы!S423</f>
        <v/>
      </c>
      <c r="O421" s="4">
        <f>Работы!R423</f>
        <v/>
      </c>
      <c r="P421" s="16" t="n">
        <v>30</v>
      </c>
      <c r="Q421" s="16" t="n">
        <v>30</v>
      </c>
      <c r="R421" s="16" t="n">
        <v>30</v>
      </c>
      <c r="S421" s="16" t="n">
        <v>30</v>
      </c>
      <c r="T421" s="16" t="n">
        <v>30</v>
      </c>
      <c r="U421" s="16" t="n">
        <v>30</v>
      </c>
      <c r="V421" s="16" t="n">
        <v>30</v>
      </c>
      <c r="W421" s="16" t="n">
        <v>30</v>
      </c>
      <c r="X421" s="16" t="n">
        <v>30</v>
      </c>
      <c r="Y421" s="16" t="n">
        <v>30</v>
      </c>
      <c r="Z421" s="16" t="n">
        <v>30</v>
      </c>
      <c r="AA421" s="16" t="n">
        <v>30</v>
      </c>
    </row>
    <row r="422">
      <c r="A422" s="3" t="inlineStr">
        <is>
          <t>Сантехника</t>
        </is>
      </c>
      <c r="B422" s="3" t="inlineStr">
        <is>
          <t>Запорная арматура</t>
        </is>
      </c>
      <c r="C422" s="3" t="inlineStr">
        <is>
          <t>Монтажные работы</t>
        </is>
      </c>
      <c r="D422" s="3" t="inlineStr">
        <is>
          <t>Кран шаровой латунь 11б27п1 Ду 40 G1 1/2" Ру16 ВР/НР</t>
        </is>
      </c>
      <c r="E422" s="4">
        <f>N422+O422</f>
        <v/>
      </c>
      <c r="F422" s="3" t="inlineStr">
        <is>
          <t>шт.</t>
        </is>
      </c>
      <c r="G422" s="4">
        <f>IFERROR('[1]Лист1'!G422,30)</f>
        <v/>
      </c>
      <c r="H422" s="16" t="n">
        <v>30</v>
      </c>
      <c r="I422" s="16" t="n">
        <v>30</v>
      </c>
      <c r="J422" s="16" t="n">
        <v>30</v>
      </c>
      <c r="K422" s="16" t="n">
        <v>30</v>
      </c>
      <c r="L422" s="16" t="n">
        <v>30</v>
      </c>
      <c r="M422" s="16" t="n">
        <v>30</v>
      </c>
      <c r="N422" s="4">
        <f>Работы!S424</f>
        <v/>
      </c>
      <c r="O422" s="4">
        <f>Работы!R424</f>
        <v/>
      </c>
      <c r="P422" s="16" t="n">
        <v>30</v>
      </c>
      <c r="Q422" s="16" t="n">
        <v>30</v>
      </c>
      <c r="R422" s="16" t="n">
        <v>30</v>
      </c>
      <c r="S422" s="16" t="n">
        <v>30</v>
      </c>
      <c r="T422" s="16" t="n">
        <v>30</v>
      </c>
      <c r="U422" s="16" t="n">
        <v>30</v>
      </c>
      <c r="V422" s="16" t="n">
        <v>30</v>
      </c>
      <c r="W422" s="16" t="n">
        <v>30</v>
      </c>
      <c r="X422" s="16" t="n">
        <v>30</v>
      </c>
      <c r="Y422" s="16" t="n">
        <v>30</v>
      </c>
      <c r="Z422" s="16" t="n">
        <v>30</v>
      </c>
      <c r="AA422" s="16" t="n">
        <v>30</v>
      </c>
    </row>
    <row r="423">
      <c r="A423" s="3" t="inlineStr">
        <is>
          <t>Сантехника</t>
        </is>
      </c>
      <c r="B423" s="3" t="inlineStr">
        <is>
          <t>Запорная арматура</t>
        </is>
      </c>
      <c r="C423" s="3" t="inlineStr">
        <is>
          <t>Монтажные работы</t>
        </is>
      </c>
      <c r="D423" s="3" t="inlineStr">
        <is>
          <t>Кран шаровой латунь 11б27п1 Ду 50 G2" Ру16 ВР/НР</t>
        </is>
      </c>
      <c r="E423" s="4">
        <f>N423+O423</f>
        <v/>
      </c>
      <c r="F423" s="3" t="inlineStr">
        <is>
          <t>шт.</t>
        </is>
      </c>
      <c r="G423" s="4">
        <f>IFERROR('[1]Лист1'!G423,30)</f>
        <v/>
      </c>
      <c r="H423" s="16" t="n">
        <v>30</v>
      </c>
      <c r="I423" s="16" t="n">
        <v>30</v>
      </c>
      <c r="J423" s="16" t="n">
        <v>30</v>
      </c>
      <c r="K423" s="16" t="n">
        <v>30</v>
      </c>
      <c r="L423" s="16" t="n">
        <v>30</v>
      </c>
      <c r="M423" s="16" t="n">
        <v>30</v>
      </c>
      <c r="N423" s="4">
        <f>Работы!S425</f>
        <v/>
      </c>
      <c r="O423" s="4">
        <f>Работы!R425</f>
        <v/>
      </c>
      <c r="P423" s="16" t="n">
        <v>30</v>
      </c>
      <c r="Q423" s="16" t="n">
        <v>30</v>
      </c>
      <c r="R423" s="16" t="n">
        <v>30</v>
      </c>
      <c r="S423" s="16" t="n">
        <v>30</v>
      </c>
      <c r="T423" s="16" t="n">
        <v>30</v>
      </c>
      <c r="U423" s="16" t="n">
        <v>30</v>
      </c>
      <c r="V423" s="16" t="n">
        <v>30</v>
      </c>
      <c r="W423" s="16" t="n">
        <v>30</v>
      </c>
      <c r="X423" s="16" t="n">
        <v>30</v>
      </c>
      <c r="Y423" s="16" t="n">
        <v>30</v>
      </c>
      <c r="Z423" s="16" t="n">
        <v>30</v>
      </c>
      <c r="AA423" s="16" t="n">
        <v>30</v>
      </c>
    </row>
    <row r="424">
      <c r="A424" s="3" t="inlineStr">
        <is>
          <t>Сантехника</t>
        </is>
      </c>
      <c r="B424" s="3" t="inlineStr">
        <is>
          <t>Запорная арматура</t>
        </is>
      </c>
      <c r="C424" s="3" t="inlineStr">
        <is>
          <t>Монтажные работы</t>
        </is>
      </c>
      <c r="D424" s="3" t="inlineStr">
        <is>
          <t>Кран шаровой латунь 11б27п9 Ду 15 G1/2" Ру16 ВР/"американка" полнопроходной</t>
        </is>
      </c>
      <c r="E424" s="4">
        <f>N424+O424</f>
        <v/>
      </c>
      <c r="F424" s="3" t="inlineStr">
        <is>
          <t>шт.</t>
        </is>
      </c>
      <c r="G424" s="4">
        <f>IFERROR('[1]Лист1'!G424,30)</f>
        <v/>
      </c>
      <c r="H424" s="16" t="n">
        <v>30</v>
      </c>
      <c r="I424" s="16" t="n">
        <v>30</v>
      </c>
      <c r="J424" s="16" t="n">
        <v>30</v>
      </c>
      <c r="K424" s="16" t="n">
        <v>30</v>
      </c>
      <c r="L424" s="16" t="n">
        <v>30</v>
      </c>
      <c r="M424" s="16" t="n">
        <v>30</v>
      </c>
      <c r="N424" s="4">
        <f>Работы!S426</f>
        <v/>
      </c>
      <c r="O424" s="4">
        <f>Работы!R426</f>
        <v/>
      </c>
      <c r="P424" s="16" t="n">
        <v>30</v>
      </c>
      <c r="Q424" s="16" t="n">
        <v>30</v>
      </c>
      <c r="R424" s="16" t="n">
        <v>30</v>
      </c>
      <c r="S424" s="16" t="n">
        <v>30</v>
      </c>
      <c r="T424" s="16" t="n">
        <v>30</v>
      </c>
      <c r="U424" s="16" t="n">
        <v>30</v>
      </c>
      <c r="V424" s="16" t="n">
        <v>30</v>
      </c>
      <c r="W424" s="16" t="n">
        <v>30</v>
      </c>
      <c r="X424" s="16" t="n">
        <v>30</v>
      </c>
      <c r="Y424" s="16" t="n">
        <v>30</v>
      </c>
      <c r="Z424" s="16" t="n">
        <v>30</v>
      </c>
      <c r="AA424" s="16" t="n">
        <v>30</v>
      </c>
    </row>
    <row r="425">
      <c r="A425" s="3" t="inlineStr">
        <is>
          <t>Сантехника</t>
        </is>
      </c>
      <c r="B425" s="3" t="inlineStr">
        <is>
          <t>Запорная арматура</t>
        </is>
      </c>
      <c r="C425" s="3" t="inlineStr">
        <is>
          <t>Монтажные работы</t>
        </is>
      </c>
      <c r="D425" s="3" t="inlineStr">
        <is>
          <t>Кран шаровой латунь 11б27п9 Ду 20 G3/4" Ру16 ВР/"американка" полнопроходной</t>
        </is>
      </c>
      <c r="E425" s="4">
        <f>N425+O425</f>
        <v/>
      </c>
      <c r="F425" s="3" t="inlineStr">
        <is>
          <t>шт.</t>
        </is>
      </c>
      <c r="G425" s="4">
        <f>IFERROR('[1]Лист1'!G425,30)</f>
        <v/>
      </c>
      <c r="H425" s="16" t="n">
        <v>30</v>
      </c>
      <c r="I425" s="16" t="n">
        <v>30</v>
      </c>
      <c r="J425" s="16" t="n">
        <v>30</v>
      </c>
      <c r="K425" s="16" t="n">
        <v>30</v>
      </c>
      <c r="L425" s="16" t="n">
        <v>30</v>
      </c>
      <c r="M425" s="16" t="n">
        <v>30</v>
      </c>
      <c r="N425" s="4">
        <f>Работы!S427</f>
        <v/>
      </c>
      <c r="O425" s="4">
        <f>Работы!R427</f>
        <v/>
      </c>
      <c r="P425" s="16" t="n">
        <v>30</v>
      </c>
      <c r="Q425" s="16" t="n">
        <v>30</v>
      </c>
      <c r="R425" s="16" t="n">
        <v>30</v>
      </c>
      <c r="S425" s="16" t="n">
        <v>30</v>
      </c>
      <c r="T425" s="16" t="n">
        <v>30</v>
      </c>
      <c r="U425" s="16" t="n">
        <v>30</v>
      </c>
      <c r="V425" s="16" t="n">
        <v>30</v>
      </c>
      <c r="W425" s="16" t="n">
        <v>30</v>
      </c>
      <c r="X425" s="16" t="n">
        <v>30</v>
      </c>
      <c r="Y425" s="16" t="n">
        <v>30</v>
      </c>
      <c r="Z425" s="16" t="n">
        <v>30</v>
      </c>
      <c r="AA425" s="16" t="n">
        <v>30</v>
      </c>
    </row>
    <row r="426">
      <c r="A426" s="3" t="inlineStr">
        <is>
          <t>Сантехника</t>
        </is>
      </c>
      <c r="B426" s="3" t="inlineStr">
        <is>
          <t>Запорная арматура</t>
        </is>
      </c>
      <c r="C426" s="3" t="inlineStr">
        <is>
          <t>Монтажные работы</t>
        </is>
      </c>
      <c r="D426" s="3" t="inlineStr">
        <is>
          <t>Кран шаровой латунь 11б27п9 Ду 25 G1" Ру16 ВР/"американка" полнопроходной бабочка красный Цветлит 11б27п9</t>
        </is>
      </c>
      <c r="E426" s="4">
        <f>N426+O426</f>
        <v/>
      </c>
      <c r="F426" s="3" t="inlineStr">
        <is>
          <t>шт.</t>
        </is>
      </c>
      <c r="G426" s="4">
        <f>IFERROR('[1]Лист1'!G426,30)</f>
        <v/>
      </c>
      <c r="H426" s="16" t="n">
        <v>30</v>
      </c>
      <c r="I426" s="16" t="n">
        <v>30</v>
      </c>
      <c r="J426" s="16" t="n">
        <v>30</v>
      </c>
      <c r="K426" s="16" t="n">
        <v>30</v>
      </c>
      <c r="L426" s="16" t="n">
        <v>30</v>
      </c>
      <c r="M426" s="16" t="n">
        <v>30</v>
      </c>
      <c r="N426" s="4">
        <f>Работы!S428</f>
        <v/>
      </c>
      <c r="O426" s="4">
        <f>Работы!R428</f>
        <v/>
      </c>
      <c r="P426" s="16" t="n">
        <v>30</v>
      </c>
      <c r="Q426" s="16" t="n">
        <v>30</v>
      </c>
      <c r="R426" s="16" t="n">
        <v>30</v>
      </c>
      <c r="S426" s="16" t="n">
        <v>30</v>
      </c>
      <c r="T426" s="16" t="n">
        <v>30</v>
      </c>
      <c r="U426" s="16" t="n">
        <v>30</v>
      </c>
      <c r="V426" s="16" t="n">
        <v>30</v>
      </c>
      <c r="W426" s="16" t="n">
        <v>30</v>
      </c>
      <c r="X426" s="16" t="n">
        <v>30</v>
      </c>
      <c r="Y426" s="16" t="n">
        <v>30</v>
      </c>
      <c r="Z426" s="16" t="n">
        <v>30</v>
      </c>
      <c r="AA426" s="16" t="n">
        <v>30</v>
      </c>
    </row>
    <row r="427">
      <c r="A427" s="3" t="inlineStr">
        <is>
          <t>Сантехника</t>
        </is>
      </c>
      <c r="B427" s="3" t="inlineStr">
        <is>
          <t>Запорная арматура</t>
        </is>
      </c>
      <c r="C427" s="3" t="inlineStr">
        <is>
          <t>Монтажные работы</t>
        </is>
      </c>
      <c r="D427" s="3" t="inlineStr">
        <is>
          <t>Кран шаровой латунь 11б27п9 Ду 32 G1 1/4" Ру16 ВР/"американка" полнопроходной бабочка красный Цветлит 11б27п9</t>
        </is>
      </c>
      <c r="E427" s="4">
        <f>N427+O427</f>
        <v/>
      </c>
      <c r="F427" s="3" t="inlineStr">
        <is>
          <t>шт.</t>
        </is>
      </c>
      <c r="G427" s="4">
        <f>IFERROR('[1]Лист1'!G427,30)</f>
        <v/>
      </c>
      <c r="H427" s="16" t="n">
        <v>30</v>
      </c>
      <c r="I427" s="16" t="n">
        <v>30</v>
      </c>
      <c r="J427" s="16" t="n">
        <v>30</v>
      </c>
      <c r="K427" s="16" t="n">
        <v>30</v>
      </c>
      <c r="L427" s="16" t="n">
        <v>30</v>
      </c>
      <c r="M427" s="16" t="n">
        <v>30</v>
      </c>
      <c r="N427" s="4">
        <f>Работы!S429</f>
        <v/>
      </c>
      <c r="O427" s="4">
        <f>Работы!R429</f>
        <v/>
      </c>
      <c r="P427" s="16" t="n">
        <v>30</v>
      </c>
      <c r="Q427" s="16" t="n">
        <v>30</v>
      </c>
      <c r="R427" s="16" t="n">
        <v>30</v>
      </c>
      <c r="S427" s="16" t="n">
        <v>30</v>
      </c>
      <c r="T427" s="16" t="n">
        <v>30</v>
      </c>
      <c r="U427" s="16" t="n">
        <v>30</v>
      </c>
      <c r="V427" s="16" t="n">
        <v>30</v>
      </c>
      <c r="W427" s="16" t="n">
        <v>30</v>
      </c>
      <c r="X427" s="16" t="n">
        <v>30</v>
      </c>
      <c r="Y427" s="16" t="n">
        <v>30</v>
      </c>
      <c r="Z427" s="16" t="n">
        <v>30</v>
      </c>
      <c r="AA427" s="16" t="n">
        <v>30</v>
      </c>
    </row>
    <row r="428">
      <c r="A428" s="3" t="inlineStr">
        <is>
          <t>Водосток</t>
        </is>
      </c>
      <c r="B428" s="3" t="inlineStr">
        <is>
          <t>Водосточная система</t>
        </is>
      </c>
      <c r="C428" s="3" t="inlineStr">
        <is>
          <t>Монтажные работы</t>
        </is>
      </c>
      <c r="D428" s="3" t="inlineStr">
        <is>
          <t>Желоб водосточный с порошковой окраскойd 125</t>
        </is>
      </c>
      <c r="E428" s="4">
        <f>N428+O428</f>
        <v/>
      </c>
      <c r="F428" s="3" t="inlineStr">
        <is>
          <t>м.п.</t>
        </is>
      </c>
      <c r="G428" s="4">
        <f>IFERROR('[1]Лист1'!G428,30)</f>
        <v/>
      </c>
      <c r="H428" s="16" t="n">
        <v>30</v>
      </c>
      <c r="I428" s="16" t="n">
        <v>30</v>
      </c>
      <c r="J428" s="16" t="n">
        <v>30</v>
      </c>
      <c r="K428" s="16" t="n">
        <v>30</v>
      </c>
      <c r="L428" s="16" t="n">
        <v>30</v>
      </c>
      <c r="M428" s="16" t="n">
        <v>30</v>
      </c>
      <c r="N428" s="4">
        <f>Работы!S430</f>
        <v/>
      </c>
      <c r="O428" s="4">
        <f>Работы!R430</f>
        <v/>
      </c>
      <c r="P428" s="16" t="n">
        <v>30</v>
      </c>
      <c r="Q428" s="16" t="n">
        <v>30</v>
      </c>
      <c r="R428" s="16" t="n">
        <v>30</v>
      </c>
      <c r="S428" s="16" t="n">
        <v>30</v>
      </c>
      <c r="T428" s="16" t="n">
        <v>30</v>
      </c>
      <c r="U428" s="16" t="n">
        <v>30</v>
      </c>
      <c r="V428" s="16" t="n">
        <v>30</v>
      </c>
      <c r="W428" s="16" t="n">
        <v>30</v>
      </c>
      <c r="X428" s="16" t="n">
        <v>30</v>
      </c>
      <c r="Y428" s="16" t="n">
        <v>30</v>
      </c>
      <c r="Z428" s="16" t="n">
        <v>30</v>
      </c>
      <c r="AA428" s="16" t="n">
        <v>30</v>
      </c>
    </row>
    <row r="429">
      <c r="A429" s="3" t="inlineStr">
        <is>
          <t>Водосток</t>
        </is>
      </c>
      <c r="B429" s="3" t="inlineStr">
        <is>
          <t>Водосточная система</t>
        </is>
      </c>
      <c r="C429" s="3" t="inlineStr">
        <is>
          <t>Монтажные работы</t>
        </is>
      </c>
      <c r="D429" s="3" t="inlineStr">
        <is>
          <t>Желоб водосточныйс порошковой окраской d 150</t>
        </is>
      </c>
      <c r="E429" s="4">
        <f>N429+O429</f>
        <v/>
      </c>
      <c r="F429" s="3" t="inlineStr">
        <is>
          <t>м.п.</t>
        </is>
      </c>
      <c r="G429" s="4">
        <f>IFERROR('[1]Лист1'!G429,30)</f>
        <v/>
      </c>
      <c r="H429" s="16" t="n">
        <v>30</v>
      </c>
      <c r="I429" s="16" t="n">
        <v>30</v>
      </c>
      <c r="J429" s="16" t="n">
        <v>30</v>
      </c>
      <c r="K429" s="16" t="n">
        <v>30</v>
      </c>
      <c r="L429" s="16" t="n">
        <v>30</v>
      </c>
      <c r="M429" s="16" t="n">
        <v>30</v>
      </c>
      <c r="N429" s="4">
        <f>Работы!S431</f>
        <v/>
      </c>
      <c r="O429" s="4">
        <f>Работы!R431</f>
        <v/>
      </c>
      <c r="P429" s="16" t="n">
        <v>30</v>
      </c>
      <c r="Q429" s="16" t="n">
        <v>30</v>
      </c>
      <c r="R429" s="16" t="n">
        <v>30</v>
      </c>
      <c r="S429" s="16" t="n">
        <v>30</v>
      </c>
      <c r="T429" s="16" t="n">
        <v>30</v>
      </c>
      <c r="U429" s="16" t="n">
        <v>30</v>
      </c>
      <c r="V429" s="16" t="n">
        <v>30</v>
      </c>
      <c r="W429" s="16" t="n">
        <v>30</v>
      </c>
      <c r="X429" s="16" t="n">
        <v>30</v>
      </c>
      <c r="Y429" s="16" t="n">
        <v>30</v>
      </c>
      <c r="Z429" s="16" t="n">
        <v>30</v>
      </c>
      <c r="AA429" s="16" t="n">
        <v>30</v>
      </c>
    </row>
    <row r="430">
      <c r="A430" s="3" t="inlineStr">
        <is>
          <t>Водосток</t>
        </is>
      </c>
      <c r="B430" s="3" t="inlineStr">
        <is>
          <t>Водосточная система</t>
        </is>
      </c>
      <c r="C430" s="3" t="inlineStr">
        <is>
          <t>Монтажные работы</t>
        </is>
      </c>
      <c r="D430" s="3" t="inlineStr">
        <is>
          <t>Крепление желоба с порошковой окраской d 125</t>
        </is>
      </c>
      <c r="E430" s="4">
        <f>N430+O430</f>
        <v/>
      </c>
      <c r="F430" s="3" t="inlineStr">
        <is>
          <t>шт.</t>
        </is>
      </c>
      <c r="G430" s="4">
        <f>IFERROR('[1]Лист1'!G430,30)</f>
        <v/>
      </c>
      <c r="H430" s="16" t="n">
        <v>30</v>
      </c>
      <c r="I430" s="16" t="n">
        <v>30</v>
      </c>
      <c r="J430" s="16" t="n">
        <v>30</v>
      </c>
      <c r="K430" s="16" t="n">
        <v>30</v>
      </c>
      <c r="L430" s="16" t="n">
        <v>30</v>
      </c>
      <c r="M430" s="16" t="n">
        <v>30</v>
      </c>
      <c r="N430" s="4">
        <f>Работы!S432</f>
        <v/>
      </c>
      <c r="O430" s="4">
        <f>Работы!R432</f>
        <v/>
      </c>
      <c r="P430" s="16" t="n">
        <v>30</v>
      </c>
      <c r="Q430" s="16" t="n">
        <v>30</v>
      </c>
      <c r="R430" s="16" t="n">
        <v>30</v>
      </c>
      <c r="S430" s="16" t="n">
        <v>30</v>
      </c>
      <c r="T430" s="16" t="n">
        <v>30</v>
      </c>
      <c r="U430" s="16" t="n">
        <v>30</v>
      </c>
      <c r="V430" s="16" t="n">
        <v>30</v>
      </c>
      <c r="W430" s="16" t="n">
        <v>30</v>
      </c>
      <c r="X430" s="16" t="n">
        <v>30</v>
      </c>
      <c r="Y430" s="16" t="n">
        <v>30</v>
      </c>
      <c r="Z430" s="16" t="n">
        <v>30</v>
      </c>
      <c r="AA430" s="16" t="n">
        <v>30</v>
      </c>
    </row>
    <row r="431">
      <c r="A431" s="3" t="inlineStr">
        <is>
          <t>Водосток</t>
        </is>
      </c>
      <c r="B431" s="3" t="inlineStr">
        <is>
          <t>Водосточная система</t>
        </is>
      </c>
      <c r="C431" s="3" t="inlineStr">
        <is>
          <t>Монтажные работы</t>
        </is>
      </c>
      <c r="D431" s="3" t="inlineStr">
        <is>
          <t>Крепление желоба с порошковой окраской d 150</t>
        </is>
      </c>
      <c r="E431" s="4">
        <f>N431+O431</f>
        <v/>
      </c>
      <c r="F431" s="3" t="inlineStr">
        <is>
          <t>шт.</t>
        </is>
      </c>
      <c r="G431" s="4">
        <f>IFERROR('[1]Лист1'!G431,30)</f>
        <v/>
      </c>
      <c r="H431" s="16" t="n">
        <v>30</v>
      </c>
      <c r="I431" s="16" t="n">
        <v>30</v>
      </c>
      <c r="J431" s="16" t="n">
        <v>30</v>
      </c>
      <c r="K431" s="16" t="n">
        <v>30</v>
      </c>
      <c r="L431" s="16" t="n">
        <v>30</v>
      </c>
      <c r="M431" s="16" t="n">
        <v>30</v>
      </c>
      <c r="N431" s="4">
        <f>Работы!S433</f>
        <v/>
      </c>
      <c r="O431" s="4">
        <f>Работы!R433</f>
        <v/>
      </c>
      <c r="P431" s="16" t="n">
        <v>30</v>
      </c>
      <c r="Q431" s="16" t="n">
        <v>30</v>
      </c>
      <c r="R431" s="16" t="n">
        <v>30</v>
      </c>
      <c r="S431" s="16" t="n">
        <v>30</v>
      </c>
      <c r="T431" s="16" t="n">
        <v>30</v>
      </c>
      <c r="U431" s="16" t="n">
        <v>30</v>
      </c>
      <c r="V431" s="16" t="n">
        <v>30</v>
      </c>
      <c r="W431" s="16" t="n">
        <v>30</v>
      </c>
      <c r="X431" s="16" t="n">
        <v>30</v>
      </c>
      <c r="Y431" s="16" t="n">
        <v>30</v>
      </c>
      <c r="Z431" s="16" t="n">
        <v>30</v>
      </c>
      <c r="AA431" s="16" t="n">
        <v>30</v>
      </c>
    </row>
    <row r="432">
      <c r="A432" s="3" t="inlineStr">
        <is>
          <t>Водосток</t>
        </is>
      </c>
      <c r="B432" s="3" t="inlineStr">
        <is>
          <t>Водосточная система</t>
        </is>
      </c>
      <c r="C432" s="3" t="inlineStr">
        <is>
          <t>Монтажные работы</t>
        </is>
      </c>
      <c r="D432" s="3" t="inlineStr">
        <is>
          <t>Труба водосточная из труб с порошковой окраскойd 125</t>
        </is>
      </c>
      <c r="E432" s="4">
        <f>N432+O432</f>
        <v/>
      </c>
      <c r="F432" s="3" t="inlineStr">
        <is>
          <t>м.п.</t>
        </is>
      </c>
      <c r="G432" s="4">
        <f>IFERROR('[1]Лист1'!G432,30)</f>
        <v/>
      </c>
      <c r="H432" s="16" t="n">
        <v>30</v>
      </c>
      <c r="I432" s="16" t="n">
        <v>30</v>
      </c>
      <c r="J432" s="16" t="n">
        <v>30</v>
      </c>
      <c r="K432" s="16" t="n">
        <v>30</v>
      </c>
      <c r="L432" s="16" t="n">
        <v>30</v>
      </c>
      <c r="M432" s="16" t="n">
        <v>30</v>
      </c>
      <c r="N432" s="4">
        <f>Работы!S434</f>
        <v/>
      </c>
      <c r="O432" s="4">
        <f>Работы!R434</f>
        <v/>
      </c>
      <c r="P432" s="16" t="n">
        <v>30</v>
      </c>
      <c r="Q432" s="16" t="n">
        <v>30</v>
      </c>
      <c r="R432" s="16" t="n">
        <v>30</v>
      </c>
      <c r="S432" s="16" t="n">
        <v>30</v>
      </c>
      <c r="T432" s="16" t="n">
        <v>30</v>
      </c>
      <c r="U432" s="16" t="n">
        <v>30</v>
      </c>
      <c r="V432" s="16" t="n">
        <v>30</v>
      </c>
      <c r="W432" s="16" t="n">
        <v>30</v>
      </c>
      <c r="X432" s="16" t="n">
        <v>30</v>
      </c>
      <c r="Y432" s="16" t="n">
        <v>30</v>
      </c>
      <c r="Z432" s="16" t="n">
        <v>30</v>
      </c>
      <c r="AA432" s="16" t="n">
        <v>30</v>
      </c>
    </row>
    <row r="433">
      <c r="A433" s="3" t="inlineStr">
        <is>
          <t>Водосток</t>
        </is>
      </c>
      <c r="B433" s="3" t="inlineStr">
        <is>
          <t>Водосточная система</t>
        </is>
      </c>
      <c r="C433" s="3" t="inlineStr">
        <is>
          <t>Монтажные работы</t>
        </is>
      </c>
      <c r="D433" s="3" t="inlineStr">
        <is>
          <t>Труба водосточная из труб с порошковой окраскойd 150</t>
        </is>
      </c>
      <c r="E433" s="4">
        <f>N433+O433</f>
        <v/>
      </c>
      <c r="F433" s="3" t="inlineStr">
        <is>
          <t>м.п.</t>
        </is>
      </c>
      <c r="G433" s="4">
        <f>IFERROR('[1]Лист1'!G433,30)</f>
        <v/>
      </c>
      <c r="H433" s="16" t="n">
        <v>30</v>
      </c>
      <c r="I433" s="16" t="n">
        <v>30</v>
      </c>
      <c r="J433" s="16" t="n">
        <v>30</v>
      </c>
      <c r="K433" s="16" t="n">
        <v>30</v>
      </c>
      <c r="L433" s="16" t="n">
        <v>30</v>
      </c>
      <c r="M433" s="16" t="n">
        <v>30</v>
      </c>
      <c r="N433" s="4">
        <f>Работы!S435</f>
        <v/>
      </c>
      <c r="O433" s="4">
        <f>Работы!R435</f>
        <v/>
      </c>
      <c r="P433" s="16" t="n">
        <v>30</v>
      </c>
      <c r="Q433" s="16" t="n">
        <v>30</v>
      </c>
      <c r="R433" s="16" t="n">
        <v>30</v>
      </c>
      <c r="S433" s="16" t="n">
        <v>30</v>
      </c>
      <c r="T433" s="16" t="n">
        <v>30</v>
      </c>
      <c r="U433" s="16" t="n">
        <v>30</v>
      </c>
      <c r="V433" s="16" t="n">
        <v>30</v>
      </c>
      <c r="W433" s="16" t="n">
        <v>30</v>
      </c>
      <c r="X433" s="16" t="n">
        <v>30</v>
      </c>
      <c r="Y433" s="16" t="n">
        <v>30</v>
      </c>
      <c r="Z433" s="16" t="n">
        <v>30</v>
      </c>
      <c r="AA433" s="16" t="n">
        <v>30</v>
      </c>
    </row>
    <row r="434">
      <c r="A434" s="3" t="inlineStr">
        <is>
          <t>Водосток</t>
        </is>
      </c>
      <c r="B434" s="3" t="inlineStr">
        <is>
          <t>Водосточная система</t>
        </is>
      </c>
      <c r="C434" s="3" t="inlineStr">
        <is>
          <t>Монтажные работы</t>
        </is>
      </c>
      <c r="D434" s="3" t="inlineStr">
        <is>
          <t>Угловой желоб с порошковой окраской d 125</t>
        </is>
      </c>
      <c r="E434" s="4">
        <f>N434+O434</f>
        <v/>
      </c>
      <c r="F434" s="3" t="inlineStr">
        <is>
          <t>шт.</t>
        </is>
      </c>
      <c r="G434" s="4">
        <f>IFERROR('[1]Лист1'!G434,30)</f>
        <v/>
      </c>
      <c r="H434" s="16" t="n">
        <v>30</v>
      </c>
      <c r="I434" s="16" t="n">
        <v>30</v>
      </c>
      <c r="J434" s="16" t="n">
        <v>30</v>
      </c>
      <c r="K434" s="16" t="n">
        <v>30</v>
      </c>
      <c r="L434" s="16" t="n">
        <v>30</v>
      </c>
      <c r="M434" s="16" t="n">
        <v>30</v>
      </c>
      <c r="N434" s="4">
        <f>Работы!S436</f>
        <v/>
      </c>
      <c r="O434" s="4">
        <f>Работы!R436</f>
        <v/>
      </c>
      <c r="P434" s="16" t="n">
        <v>30</v>
      </c>
      <c r="Q434" s="16" t="n">
        <v>30</v>
      </c>
      <c r="R434" s="16" t="n">
        <v>30</v>
      </c>
      <c r="S434" s="16" t="n">
        <v>30</v>
      </c>
      <c r="T434" s="16" t="n">
        <v>30</v>
      </c>
      <c r="U434" s="16" t="n">
        <v>30</v>
      </c>
      <c r="V434" s="16" t="n">
        <v>30</v>
      </c>
      <c r="W434" s="16" t="n">
        <v>30</v>
      </c>
      <c r="X434" s="16" t="n">
        <v>30</v>
      </c>
      <c r="Y434" s="16" t="n">
        <v>30</v>
      </c>
      <c r="Z434" s="16" t="n">
        <v>30</v>
      </c>
      <c r="AA434" s="16" t="n">
        <v>30</v>
      </c>
    </row>
    <row r="435">
      <c r="A435" s="3" t="inlineStr">
        <is>
          <t>Водосток</t>
        </is>
      </c>
      <c r="B435" s="3" t="inlineStr">
        <is>
          <t>Водосточная система</t>
        </is>
      </c>
      <c r="C435" s="3" t="inlineStr">
        <is>
          <t>Монтажные работы</t>
        </is>
      </c>
      <c r="D435" s="3" t="inlineStr">
        <is>
          <t>Угловой желоб с порошковой окраской d 150</t>
        </is>
      </c>
      <c r="E435" s="4">
        <f>N435+O435</f>
        <v/>
      </c>
      <c r="F435" s="3" t="inlineStr">
        <is>
          <t>шт.</t>
        </is>
      </c>
      <c r="G435" s="4">
        <f>IFERROR('[1]Лист1'!G435,30)</f>
        <v/>
      </c>
      <c r="H435" s="16" t="n">
        <v>30</v>
      </c>
      <c r="I435" s="16" t="n">
        <v>30</v>
      </c>
      <c r="J435" s="16" t="n">
        <v>30</v>
      </c>
      <c r="K435" s="16" t="n">
        <v>30</v>
      </c>
      <c r="L435" s="16" t="n">
        <v>30</v>
      </c>
      <c r="M435" s="16" t="n">
        <v>30</v>
      </c>
      <c r="N435" s="4">
        <f>Работы!S437</f>
        <v/>
      </c>
      <c r="O435" s="4">
        <f>Работы!R437</f>
        <v/>
      </c>
      <c r="P435" s="16" t="n">
        <v>30</v>
      </c>
      <c r="Q435" s="16" t="n">
        <v>30</v>
      </c>
      <c r="R435" s="16" t="n">
        <v>30</v>
      </c>
      <c r="S435" s="16" t="n">
        <v>30</v>
      </c>
      <c r="T435" s="16" t="n">
        <v>30</v>
      </c>
      <c r="U435" s="16" t="n">
        <v>30</v>
      </c>
      <c r="V435" s="16" t="n">
        <v>30</v>
      </c>
      <c r="W435" s="16" t="n">
        <v>30</v>
      </c>
      <c r="X435" s="16" t="n">
        <v>30</v>
      </c>
      <c r="Y435" s="16" t="n">
        <v>30</v>
      </c>
      <c r="Z435" s="16" t="n">
        <v>30</v>
      </c>
      <c r="AA435" s="16" t="n">
        <v>30</v>
      </c>
    </row>
    <row r="436">
      <c r="A436" s="3" t="inlineStr">
        <is>
          <t>Водосток</t>
        </is>
      </c>
      <c r="B436" s="3" t="inlineStr">
        <is>
          <t>Водосточная система</t>
        </is>
      </c>
      <c r="C436" s="3" t="inlineStr">
        <is>
          <t>Монтажные работы</t>
        </is>
      </c>
      <c r="D436" s="3" t="inlineStr">
        <is>
          <t>Воронка с порошковой окраской d 125</t>
        </is>
      </c>
      <c r="E436" s="4">
        <f>N436+O436</f>
        <v/>
      </c>
      <c r="F436" s="3" t="inlineStr">
        <is>
          <t>шт.</t>
        </is>
      </c>
      <c r="G436" s="4">
        <f>IFERROR('[1]Лист1'!G436,30)</f>
        <v/>
      </c>
      <c r="H436" s="16" t="n">
        <v>30</v>
      </c>
      <c r="I436" s="16" t="n">
        <v>30</v>
      </c>
      <c r="J436" s="16" t="n">
        <v>30</v>
      </c>
      <c r="K436" s="16" t="n">
        <v>30</v>
      </c>
      <c r="L436" s="16" t="n">
        <v>30</v>
      </c>
      <c r="M436" s="16" t="n">
        <v>30</v>
      </c>
      <c r="N436" s="4">
        <f>Работы!S438</f>
        <v/>
      </c>
      <c r="O436" s="4">
        <f>Работы!R438</f>
        <v/>
      </c>
      <c r="P436" s="16" t="n">
        <v>30</v>
      </c>
      <c r="Q436" s="16" t="n">
        <v>30</v>
      </c>
      <c r="R436" s="16" t="n">
        <v>30</v>
      </c>
      <c r="S436" s="16" t="n">
        <v>30</v>
      </c>
      <c r="T436" s="16" t="n">
        <v>30</v>
      </c>
      <c r="U436" s="16" t="n">
        <v>30</v>
      </c>
      <c r="V436" s="16" t="n">
        <v>30</v>
      </c>
      <c r="W436" s="16" t="n">
        <v>30</v>
      </c>
      <c r="X436" s="16" t="n">
        <v>30</v>
      </c>
      <c r="Y436" s="16" t="n">
        <v>30</v>
      </c>
      <c r="Z436" s="16" t="n">
        <v>30</v>
      </c>
      <c r="AA436" s="16" t="n">
        <v>30</v>
      </c>
    </row>
    <row r="437">
      <c r="A437" s="3" t="inlineStr">
        <is>
          <t>Водосток</t>
        </is>
      </c>
      <c r="B437" s="3" t="inlineStr">
        <is>
          <t>Водосточная система</t>
        </is>
      </c>
      <c r="C437" s="3" t="inlineStr">
        <is>
          <t>Монтажные работы</t>
        </is>
      </c>
      <c r="D437" s="3" t="inlineStr">
        <is>
          <t>Воронка с порошковой окраской d 150</t>
        </is>
      </c>
      <c r="E437" s="4">
        <f>N437+O437</f>
        <v/>
      </c>
      <c r="F437" s="3" t="inlineStr">
        <is>
          <t>шт.</t>
        </is>
      </c>
      <c r="G437" s="4">
        <f>IFERROR('[1]Лист1'!G437,30)</f>
        <v/>
      </c>
      <c r="H437" s="16" t="n">
        <v>30</v>
      </c>
      <c r="I437" s="16" t="n">
        <v>30</v>
      </c>
      <c r="J437" s="16" t="n">
        <v>30</v>
      </c>
      <c r="K437" s="16" t="n">
        <v>30</v>
      </c>
      <c r="L437" s="16" t="n">
        <v>30</v>
      </c>
      <c r="M437" s="16" t="n">
        <v>30</v>
      </c>
      <c r="N437" s="4">
        <f>Работы!S439</f>
        <v/>
      </c>
      <c r="O437" s="4">
        <f>Работы!R439</f>
        <v/>
      </c>
      <c r="P437" s="16" t="n">
        <v>30</v>
      </c>
      <c r="Q437" s="16" t="n">
        <v>30</v>
      </c>
      <c r="R437" s="16" t="n">
        <v>30</v>
      </c>
      <c r="S437" s="16" t="n">
        <v>30</v>
      </c>
      <c r="T437" s="16" t="n">
        <v>30</v>
      </c>
      <c r="U437" s="16" t="n">
        <v>30</v>
      </c>
      <c r="V437" s="16" t="n">
        <v>30</v>
      </c>
      <c r="W437" s="16" t="n">
        <v>30</v>
      </c>
      <c r="X437" s="16" t="n">
        <v>30</v>
      </c>
      <c r="Y437" s="16" t="n">
        <v>30</v>
      </c>
      <c r="Z437" s="16" t="n">
        <v>30</v>
      </c>
      <c r="AA437" s="16" t="n">
        <v>30</v>
      </c>
    </row>
    <row r="438">
      <c r="A438" s="3" t="inlineStr">
        <is>
          <t>Водосток</t>
        </is>
      </c>
      <c r="B438" s="3" t="inlineStr">
        <is>
          <t>Водосточная система</t>
        </is>
      </c>
      <c r="C438" s="3" t="inlineStr">
        <is>
          <t>Монтажные работы</t>
        </is>
      </c>
      <c r="D438" s="3" t="inlineStr">
        <is>
          <t>Колено с порошковой окраской d 100</t>
        </is>
      </c>
      <c r="E438" s="4">
        <f>N438+O438</f>
        <v/>
      </c>
      <c r="F438" s="3" t="inlineStr">
        <is>
          <t>шт.</t>
        </is>
      </c>
      <c r="G438" s="4">
        <f>IFERROR('[1]Лист1'!G438,30)</f>
        <v/>
      </c>
      <c r="H438" s="16" t="n">
        <v>30</v>
      </c>
      <c r="I438" s="16" t="n">
        <v>30</v>
      </c>
      <c r="J438" s="16" t="n">
        <v>30</v>
      </c>
      <c r="K438" s="16" t="n">
        <v>30</v>
      </c>
      <c r="L438" s="16" t="n">
        <v>30</v>
      </c>
      <c r="M438" s="16" t="n">
        <v>30</v>
      </c>
      <c r="N438" s="4">
        <f>Работы!S440</f>
        <v/>
      </c>
      <c r="O438" s="4">
        <f>Работы!R440</f>
        <v/>
      </c>
      <c r="P438" s="16" t="n">
        <v>30</v>
      </c>
      <c r="Q438" s="16" t="n">
        <v>30</v>
      </c>
      <c r="R438" s="16" t="n">
        <v>30</v>
      </c>
      <c r="S438" s="16" t="n">
        <v>30</v>
      </c>
      <c r="T438" s="16" t="n">
        <v>30</v>
      </c>
      <c r="U438" s="16" t="n">
        <v>30</v>
      </c>
      <c r="V438" s="16" t="n">
        <v>30</v>
      </c>
      <c r="W438" s="16" t="n">
        <v>30</v>
      </c>
      <c r="X438" s="16" t="n">
        <v>30</v>
      </c>
      <c r="Y438" s="16" t="n">
        <v>30</v>
      </c>
      <c r="Z438" s="16" t="n">
        <v>30</v>
      </c>
      <c r="AA438" s="16" t="n">
        <v>30</v>
      </c>
    </row>
    <row r="439">
      <c r="A439" s="3" t="inlineStr">
        <is>
          <t>Водосток</t>
        </is>
      </c>
      <c r="B439" s="3" t="inlineStr">
        <is>
          <t>Водосточная система</t>
        </is>
      </c>
      <c r="C439" s="3" t="inlineStr">
        <is>
          <t>Монтажные работы</t>
        </is>
      </c>
      <c r="D439" s="3" t="inlineStr">
        <is>
          <t>Колено с порошковой окраской d 125</t>
        </is>
      </c>
      <c r="E439" s="4">
        <f>N439+O439</f>
        <v/>
      </c>
      <c r="F439" s="3" t="inlineStr">
        <is>
          <t>шт.</t>
        </is>
      </c>
      <c r="G439" s="4">
        <f>IFERROR('[1]Лист1'!G439,30)</f>
        <v/>
      </c>
      <c r="H439" s="16" t="n">
        <v>30</v>
      </c>
      <c r="I439" s="16" t="n">
        <v>30</v>
      </c>
      <c r="J439" s="16" t="n">
        <v>30</v>
      </c>
      <c r="K439" s="16" t="n">
        <v>30</v>
      </c>
      <c r="L439" s="16" t="n">
        <v>30</v>
      </c>
      <c r="M439" s="16" t="n">
        <v>30</v>
      </c>
      <c r="N439" s="4">
        <f>Работы!S441</f>
        <v/>
      </c>
      <c r="O439" s="4">
        <f>Работы!R441</f>
        <v/>
      </c>
      <c r="P439" s="16" t="n">
        <v>30</v>
      </c>
      <c r="Q439" s="16" t="n">
        <v>30</v>
      </c>
      <c r="R439" s="16" t="n">
        <v>30</v>
      </c>
      <c r="S439" s="16" t="n">
        <v>30</v>
      </c>
      <c r="T439" s="16" t="n">
        <v>30</v>
      </c>
      <c r="U439" s="16" t="n">
        <v>30</v>
      </c>
      <c r="V439" s="16" t="n">
        <v>30</v>
      </c>
      <c r="W439" s="16" t="n">
        <v>30</v>
      </c>
      <c r="X439" s="16" t="n">
        <v>30</v>
      </c>
      <c r="Y439" s="16" t="n">
        <v>30</v>
      </c>
      <c r="Z439" s="16" t="n">
        <v>30</v>
      </c>
      <c r="AA439" s="16" t="n">
        <v>30</v>
      </c>
    </row>
    <row r="440">
      <c r="A440" s="3" t="inlineStr">
        <is>
          <t>Водосток</t>
        </is>
      </c>
      <c r="B440" s="3" t="inlineStr">
        <is>
          <t>Водосточная система</t>
        </is>
      </c>
      <c r="C440" s="3" t="inlineStr">
        <is>
          <t>Монтажные работы</t>
        </is>
      </c>
      <c r="D440" s="3" t="inlineStr">
        <is>
          <t>Снегодержатель трубчатый</t>
        </is>
      </c>
      <c r="E440" s="4">
        <f>N440+O440</f>
        <v/>
      </c>
      <c r="F440" s="3" t="inlineStr">
        <is>
          <t>м.п.</t>
        </is>
      </c>
      <c r="G440" s="4">
        <f>IFERROR('[1]Лист1'!G440,30)</f>
        <v/>
      </c>
      <c r="H440" s="16" t="n">
        <v>30</v>
      </c>
      <c r="I440" s="16" t="n">
        <v>30</v>
      </c>
      <c r="J440" s="16" t="n">
        <v>30</v>
      </c>
      <c r="K440" s="16" t="n">
        <v>30</v>
      </c>
      <c r="L440" s="16" t="n">
        <v>30</v>
      </c>
      <c r="M440" s="16" t="n">
        <v>30</v>
      </c>
      <c r="N440" s="4">
        <f>Работы!S442</f>
        <v/>
      </c>
      <c r="O440" s="4">
        <f>Работы!R442</f>
        <v/>
      </c>
      <c r="P440" s="16" t="n">
        <v>30</v>
      </c>
      <c r="Q440" s="16" t="n">
        <v>30</v>
      </c>
      <c r="R440" s="16" t="n">
        <v>30</v>
      </c>
      <c r="S440" s="16" t="n">
        <v>30</v>
      </c>
      <c r="T440" s="16" t="n">
        <v>30</v>
      </c>
      <c r="U440" s="16" t="n">
        <v>30</v>
      </c>
      <c r="V440" s="16" t="n">
        <v>30</v>
      </c>
      <c r="W440" s="16" t="n">
        <v>30</v>
      </c>
      <c r="X440" s="16" t="n">
        <v>30</v>
      </c>
      <c r="Y440" s="16" t="n">
        <v>30</v>
      </c>
      <c r="Z440" s="16" t="n">
        <v>30</v>
      </c>
      <c r="AA440" s="16" t="n">
        <v>30</v>
      </c>
    </row>
    <row r="441">
      <c r="A441" s="3" t="inlineStr">
        <is>
          <t>Водосток</t>
        </is>
      </c>
      <c r="B441" s="3" t="inlineStr">
        <is>
          <t>Водосточная система</t>
        </is>
      </c>
      <c r="C441" s="3" t="inlineStr">
        <is>
          <t>Монтажные работы</t>
        </is>
      </c>
      <c r="D441" s="3" t="inlineStr">
        <is>
          <t>Труба водосточная из оцинкованной стали d 125</t>
        </is>
      </c>
      <c r="E441" s="4">
        <f>N441+O441</f>
        <v/>
      </c>
      <c r="F441" s="3" t="inlineStr">
        <is>
          <t>м.п.</t>
        </is>
      </c>
      <c r="G441" s="4">
        <f>IFERROR('[1]Лист1'!G441,30)</f>
        <v/>
      </c>
      <c r="H441" s="16" t="n">
        <v>30</v>
      </c>
      <c r="I441" s="16" t="n">
        <v>30</v>
      </c>
      <c r="J441" s="16" t="n">
        <v>30</v>
      </c>
      <c r="K441" s="16" t="n">
        <v>30</v>
      </c>
      <c r="L441" s="16" t="n">
        <v>30</v>
      </c>
      <c r="M441" s="16" t="n">
        <v>30</v>
      </c>
      <c r="N441" s="4">
        <f>Работы!S443</f>
        <v/>
      </c>
      <c r="O441" s="4">
        <f>Работы!R443</f>
        <v/>
      </c>
      <c r="P441" s="16" t="n">
        <v>30</v>
      </c>
      <c r="Q441" s="16" t="n">
        <v>30</v>
      </c>
      <c r="R441" s="16" t="n">
        <v>30</v>
      </c>
      <c r="S441" s="16" t="n">
        <v>30</v>
      </c>
      <c r="T441" s="16" t="n">
        <v>30</v>
      </c>
      <c r="U441" s="16" t="n">
        <v>30</v>
      </c>
      <c r="V441" s="16" t="n">
        <v>30</v>
      </c>
      <c r="W441" s="16" t="n">
        <v>30</v>
      </c>
      <c r="X441" s="16" t="n">
        <v>30</v>
      </c>
      <c r="Y441" s="16" t="n">
        <v>30</v>
      </c>
      <c r="Z441" s="16" t="n">
        <v>30</v>
      </c>
      <c r="AA441" s="16" t="n">
        <v>30</v>
      </c>
    </row>
    <row r="442">
      <c r="A442" s="3" t="inlineStr">
        <is>
          <t>Водосток</t>
        </is>
      </c>
      <c r="B442" s="3" t="inlineStr">
        <is>
          <t>Водосточная система</t>
        </is>
      </c>
      <c r="C442" s="3" t="inlineStr">
        <is>
          <t>Монтажные работы</t>
        </is>
      </c>
      <c r="D442" s="3" t="inlineStr">
        <is>
          <t>Труба водосточная из оцинкованной стали d 150</t>
        </is>
      </c>
      <c r="E442" s="4">
        <f>N442+O442</f>
        <v/>
      </c>
      <c r="F442" s="3" t="inlineStr">
        <is>
          <t>м.п.</t>
        </is>
      </c>
      <c r="G442" s="4">
        <f>IFERROR('[1]Лист1'!G442,30)</f>
        <v/>
      </c>
      <c r="H442" s="16" t="n">
        <v>30</v>
      </c>
      <c r="I442" s="16" t="n">
        <v>30</v>
      </c>
      <c r="J442" s="16" t="n">
        <v>30</v>
      </c>
      <c r="K442" s="16" t="n">
        <v>30</v>
      </c>
      <c r="L442" s="16" t="n">
        <v>30</v>
      </c>
      <c r="M442" s="16" t="n">
        <v>30</v>
      </c>
      <c r="N442" s="4">
        <f>Работы!S444</f>
        <v/>
      </c>
      <c r="O442" s="4">
        <f>Работы!R444</f>
        <v/>
      </c>
      <c r="P442" s="16" t="n">
        <v>30</v>
      </c>
      <c r="Q442" s="16" t="n">
        <v>30</v>
      </c>
      <c r="R442" s="16" t="n">
        <v>30</v>
      </c>
      <c r="S442" s="16" t="n">
        <v>30</v>
      </c>
      <c r="T442" s="16" t="n">
        <v>30</v>
      </c>
      <c r="U442" s="16" t="n">
        <v>30</v>
      </c>
      <c r="V442" s="16" t="n">
        <v>30</v>
      </c>
      <c r="W442" s="16" t="n">
        <v>30</v>
      </c>
      <c r="X442" s="16" t="n">
        <v>30</v>
      </c>
      <c r="Y442" s="16" t="n">
        <v>30</v>
      </c>
      <c r="Z442" s="16" t="n">
        <v>30</v>
      </c>
      <c r="AA442" s="16" t="n">
        <v>30</v>
      </c>
    </row>
    <row r="443">
      <c r="A443" s="3" t="inlineStr">
        <is>
          <t>Водосток</t>
        </is>
      </c>
      <c r="B443" s="3" t="inlineStr">
        <is>
          <t>Водосточная система</t>
        </is>
      </c>
      <c r="C443" s="3" t="inlineStr">
        <is>
          <t>Монтажные работы</t>
        </is>
      </c>
      <c r="D443" s="3" t="inlineStr">
        <is>
          <t>Конек оцинкованный профилированный</t>
        </is>
      </c>
      <c r="E443" s="4">
        <f>N443+O443</f>
        <v/>
      </c>
      <c r="F443" s="3" t="inlineStr">
        <is>
          <t>шт.</t>
        </is>
      </c>
      <c r="G443" s="4">
        <f>IFERROR('[1]Лист1'!G443,30)</f>
        <v/>
      </c>
      <c r="H443" s="16" t="n">
        <v>30</v>
      </c>
      <c r="I443" s="16" t="n">
        <v>30</v>
      </c>
      <c r="J443" s="16" t="n">
        <v>30</v>
      </c>
      <c r="K443" s="16" t="n">
        <v>30</v>
      </c>
      <c r="L443" s="16" t="n">
        <v>30</v>
      </c>
      <c r="M443" s="16" t="n">
        <v>30</v>
      </c>
      <c r="N443" s="4">
        <f>Работы!S445</f>
        <v/>
      </c>
      <c r="O443" s="4">
        <f>Работы!R445</f>
        <v/>
      </c>
      <c r="P443" s="16" t="n">
        <v>30</v>
      </c>
      <c r="Q443" s="16" t="n">
        <v>30</v>
      </c>
      <c r="R443" s="16" t="n">
        <v>30</v>
      </c>
      <c r="S443" s="16" t="n">
        <v>30</v>
      </c>
      <c r="T443" s="16" t="n">
        <v>30</v>
      </c>
      <c r="U443" s="16" t="n">
        <v>30</v>
      </c>
      <c r="V443" s="16" t="n">
        <v>30</v>
      </c>
      <c r="W443" s="16" t="n">
        <v>30</v>
      </c>
      <c r="X443" s="16" t="n">
        <v>30</v>
      </c>
      <c r="Y443" s="16" t="n">
        <v>30</v>
      </c>
      <c r="Z443" s="16" t="n">
        <v>30</v>
      </c>
      <c r="AA443" s="16" t="n">
        <v>30</v>
      </c>
    </row>
    <row r="444">
      <c r="A444" s="3" t="inlineStr">
        <is>
          <t>Водосток</t>
        </is>
      </c>
      <c r="B444" s="3" t="inlineStr">
        <is>
          <t>Водосточная система</t>
        </is>
      </c>
      <c r="C444" s="3" t="inlineStr">
        <is>
          <t>Монтажные работы</t>
        </is>
      </c>
      <c r="D444" s="3" t="inlineStr">
        <is>
          <t>Торцевая планка оцинкованная</t>
        </is>
      </c>
      <c r="E444" s="4">
        <f>N444+O444</f>
        <v/>
      </c>
      <c r="F444" s="3" t="inlineStr">
        <is>
          <t>шт.</t>
        </is>
      </c>
      <c r="G444" s="4">
        <f>IFERROR('[1]Лист1'!G444,30)</f>
        <v/>
      </c>
      <c r="H444" s="16" t="n">
        <v>30</v>
      </c>
      <c r="I444" s="16" t="n">
        <v>30</v>
      </c>
      <c r="J444" s="16" t="n">
        <v>30</v>
      </c>
      <c r="K444" s="16" t="n">
        <v>30</v>
      </c>
      <c r="L444" s="16" t="n">
        <v>30</v>
      </c>
      <c r="M444" s="16" t="n">
        <v>30</v>
      </c>
      <c r="N444" s="4">
        <f>Работы!S446</f>
        <v/>
      </c>
      <c r="O444" s="4">
        <f>Работы!R446</f>
        <v/>
      </c>
      <c r="P444" s="16" t="n">
        <v>30</v>
      </c>
      <c r="Q444" s="16" t="n">
        <v>30</v>
      </c>
      <c r="R444" s="16" t="n">
        <v>30</v>
      </c>
      <c r="S444" s="16" t="n">
        <v>30</v>
      </c>
      <c r="T444" s="16" t="n">
        <v>30</v>
      </c>
      <c r="U444" s="16" t="n">
        <v>30</v>
      </c>
      <c r="V444" s="16" t="n">
        <v>30</v>
      </c>
      <c r="W444" s="16" t="n">
        <v>30</v>
      </c>
      <c r="X444" s="16" t="n">
        <v>30</v>
      </c>
      <c r="Y444" s="16" t="n">
        <v>30</v>
      </c>
      <c r="Z444" s="16" t="n">
        <v>30</v>
      </c>
      <c r="AA444" s="16" t="n">
        <v>30</v>
      </c>
    </row>
    <row r="445">
      <c r="A445" s="3" t="inlineStr">
        <is>
          <t>Водосток</t>
        </is>
      </c>
      <c r="B445" s="3" t="inlineStr">
        <is>
          <t>Водосточная система</t>
        </is>
      </c>
      <c r="C445" s="3" t="inlineStr">
        <is>
          <t>Монтажные работы</t>
        </is>
      </c>
      <c r="D445" s="3" t="inlineStr">
        <is>
          <t>Колено большое оцинкованное</t>
        </is>
      </c>
      <c r="E445" s="4">
        <f>N445+O445</f>
        <v/>
      </c>
      <c r="F445" s="3" t="inlineStr">
        <is>
          <t>шт.</t>
        </is>
      </c>
      <c r="G445" s="4">
        <f>IFERROR('[1]Лист1'!G445,30)</f>
        <v/>
      </c>
      <c r="H445" s="16" t="n">
        <v>30</v>
      </c>
      <c r="I445" s="16" t="n">
        <v>30</v>
      </c>
      <c r="J445" s="16" t="n">
        <v>30</v>
      </c>
      <c r="K445" s="16" t="n">
        <v>30</v>
      </c>
      <c r="L445" s="16" t="n">
        <v>30</v>
      </c>
      <c r="M445" s="16" t="n">
        <v>30</v>
      </c>
      <c r="N445" s="4">
        <f>Работы!S447</f>
        <v/>
      </c>
      <c r="O445" s="4">
        <f>Работы!R447</f>
        <v/>
      </c>
      <c r="P445" s="16" t="n">
        <v>30</v>
      </c>
      <c r="Q445" s="16" t="n">
        <v>30</v>
      </c>
      <c r="R445" s="16" t="n">
        <v>30</v>
      </c>
      <c r="S445" s="16" t="n">
        <v>30</v>
      </c>
      <c r="T445" s="16" t="n">
        <v>30</v>
      </c>
      <c r="U445" s="16" t="n">
        <v>30</v>
      </c>
      <c r="V445" s="16" t="n">
        <v>30</v>
      </c>
      <c r="W445" s="16" t="n">
        <v>30</v>
      </c>
      <c r="X445" s="16" t="n">
        <v>30</v>
      </c>
      <c r="Y445" s="16" t="n">
        <v>30</v>
      </c>
      <c r="Z445" s="16" t="n">
        <v>30</v>
      </c>
      <c r="AA445" s="16" t="n">
        <v>30</v>
      </c>
    </row>
    <row r="446">
      <c r="A446" s="3" t="inlineStr">
        <is>
          <t>Водосток</t>
        </is>
      </c>
      <c r="B446" s="3" t="inlineStr">
        <is>
          <t>Водосточная система</t>
        </is>
      </c>
      <c r="C446" s="3" t="inlineStr">
        <is>
          <t>Монтажные работы</t>
        </is>
      </c>
      <c r="D446" s="3" t="inlineStr">
        <is>
          <t>Колено малое оцинкованное</t>
        </is>
      </c>
      <c r="E446" s="4">
        <f>N446+O446</f>
        <v/>
      </c>
      <c r="F446" s="3" t="inlineStr">
        <is>
          <t>шт.</t>
        </is>
      </c>
      <c r="G446" s="4">
        <f>IFERROR('[1]Лист1'!G446,30)</f>
        <v/>
      </c>
      <c r="H446" s="16" t="n">
        <v>30</v>
      </c>
      <c r="I446" s="16" t="n">
        <v>30</v>
      </c>
      <c r="J446" s="16" t="n">
        <v>30</v>
      </c>
      <c r="K446" s="16" t="n">
        <v>30</v>
      </c>
      <c r="L446" s="16" t="n">
        <v>30</v>
      </c>
      <c r="M446" s="16" t="n">
        <v>30</v>
      </c>
      <c r="N446" s="4">
        <f>Работы!S448</f>
        <v/>
      </c>
      <c r="O446" s="4">
        <f>Работы!R448</f>
        <v/>
      </c>
      <c r="P446" s="16" t="n">
        <v>30</v>
      </c>
      <c r="Q446" s="16" t="n">
        <v>30</v>
      </c>
      <c r="R446" s="16" t="n">
        <v>30</v>
      </c>
      <c r="S446" s="16" t="n">
        <v>30</v>
      </c>
      <c r="T446" s="16" t="n">
        <v>30</v>
      </c>
      <c r="U446" s="16" t="n">
        <v>30</v>
      </c>
      <c r="V446" s="16" t="n">
        <v>30</v>
      </c>
      <c r="W446" s="16" t="n">
        <v>30</v>
      </c>
      <c r="X446" s="16" t="n">
        <v>30</v>
      </c>
      <c r="Y446" s="16" t="n">
        <v>30</v>
      </c>
      <c r="Z446" s="16" t="n">
        <v>30</v>
      </c>
      <c r="AA446" s="16" t="n">
        <v>30</v>
      </c>
    </row>
    <row r="447">
      <c r="A447" s="3" t="inlineStr">
        <is>
          <t>Водосток</t>
        </is>
      </c>
      <c r="B447" s="3" t="inlineStr">
        <is>
          <t>Водосточная система</t>
        </is>
      </c>
      <c r="C447" s="3" t="inlineStr">
        <is>
          <t>Монтажные работы</t>
        </is>
      </c>
      <c r="D447" s="3" t="inlineStr">
        <is>
          <t>Канадка оцинкованная</t>
        </is>
      </c>
      <c r="E447" s="4">
        <f>N447+O447</f>
        <v/>
      </c>
      <c r="F447" s="3" t="inlineStr">
        <is>
          <t>шт.</t>
        </is>
      </c>
      <c r="G447" s="4">
        <f>IFERROR('[1]Лист1'!G447,30)</f>
        <v/>
      </c>
      <c r="H447" s="16" t="n">
        <v>30</v>
      </c>
      <c r="I447" s="16" t="n">
        <v>30</v>
      </c>
      <c r="J447" s="16" t="n">
        <v>30</v>
      </c>
      <c r="K447" s="16" t="n">
        <v>30</v>
      </c>
      <c r="L447" s="16" t="n">
        <v>30</v>
      </c>
      <c r="M447" s="16" t="n">
        <v>30</v>
      </c>
      <c r="N447" s="4">
        <f>Работы!S449</f>
        <v/>
      </c>
      <c r="O447" s="4">
        <f>Работы!R449</f>
        <v/>
      </c>
      <c r="P447" s="16" t="n">
        <v>30</v>
      </c>
      <c r="Q447" s="16" t="n">
        <v>30</v>
      </c>
      <c r="R447" s="16" t="n">
        <v>30</v>
      </c>
      <c r="S447" s="16" t="n">
        <v>30</v>
      </c>
      <c r="T447" s="16" t="n">
        <v>30</v>
      </c>
      <c r="U447" s="16" t="n">
        <v>30</v>
      </c>
      <c r="V447" s="16" t="n">
        <v>30</v>
      </c>
      <c r="W447" s="16" t="n">
        <v>30</v>
      </c>
      <c r="X447" s="16" t="n">
        <v>30</v>
      </c>
      <c r="Y447" s="16" t="n">
        <v>30</v>
      </c>
      <c r="Z447" s="16" t="n">
        <v>30</v>
      </c>
      <c r="AA447" s="16" t="n">
        <v>30</v>
      </c>
    </row>
    <row r="448">
      <c r="A448" s="3" t="inlineStr">
        <is>
          <t>Водосток</t>
        </is>
      </c>
      <c r="B448" s="3" t="inlineStr">
        <is>
          <t>Водосточная система</t>
        </is>
      </c>
      <c r="C448" s="3" t="inlineStr">
        <is>
          <t>Монтажные работы</t>
        </is>
      </c>
      <c r="D448" s="3" t="inlineStr">
        <is>
          <t>Желоб угловой оцинкованный</t>
        </is>
      </c>
      <c r="E448" s="4">
        <f>N448+O448</f>
        <v/>
      </c>
      <c r="F448" s="3" t="inlineStr">
        <is>
          <t>шт.</t>
        </is>
      </c>
      <c r="G448" s="4">
        <f>IFERROR('[1]Лист1'!G448,30)</f>
        <v/>
      </c>
      <c r="H448" s="16" t="n">
        <v>30</v>
      </c>
      <c r="I448" s="16" t="n">
        <v>30</v>
      </c>
      <c r="J448" s="16" t="n">
        <v>30</v>
      </c>
      <c r="K448" s="16" t="n">
        <v>30</v>
      </c>
      <c r="L448" s="16" t="n">
        <v>30</v>
      </c>
      <c r="M448" s="16" t="n">
        <v>30</v>
      </c>
      <c r="N448" s="4">
        <f>Работы!S450</f>
        <v/>
      </c>
      <c r="O448" s="4">
        <f>Работы!R450</f>
        <v/>
      </c>
      <c r="P448" s="16" t="n">
        <v>30</v>
      </c>
      <c r="Q448" s="16" t="n">
        <v>30</v>
      </c>
      <c r="R448" s="16" t="n">
        <v>30</v>
      </c>
      <c r="S448" s="16" t="n">
        <v>30</v>
      </c>
      <c r="T448" s="16" t="n">
        <v>30</v>
      </c>
      <c r="U448" s="16" t="n">
        <v>30</v>
      </c>
      <c r="V448" s="16" t="n">
        <v>30</v>
      </c>
      <c r="W448" s="16" t="n">
        <v>30</v>
      </c>
      <c r="X448" s="16" t="n">
        <v>30</v>
      </c>
      <c r="Y448" s="16" t="n">
        <v>30</v>
      </c>
      <c r="Z448" s="16" t="n">
        <v>30</v>
      </c>
      <c r="AA448" s="16" t="n">
        <v>30</v>
      </c>
    </row>
    <row r="449">
      <c r="A449" s="3" t="inlineStr">
        <is>
          <t>Водосток</t>
        </is>
      </c>
      <c r="B449" s="3" t="inlineStr">
        <is>
          <t>Водосточная система</t>
        </is>
      </c>
      <c r="C449" s="3" t="inlineStr">
        <is>
          <t>Монтажные работы</t>
        </is>
      </c>
      <c r="D449" s="3" t="inlineStr">
        <is>
          <t>Крепление трубы оцинкованное</t>
        </is>
      </c>
      <c r="E449" s="4">
        <f>N449+O449</f>
        <v/>
      </c>
      <c r="F449" s="3" t="inlineStr">
        <is>
          <t>шт.</t>
        </is>
      </c>
      <c r="G449" s="4">
        <f>IFERROR('[1]Лист1'!G449,30)</f>
        <v/>
      </c>
      <c r="H449" s="16" t="n">
        <v>30</v>
      </c>
      <c r="I449" s="16" t="n">
        <v>30</v>
      </c>
      <c r="J449" s="16" t="n">
        <v>30</v>
      </c>
      <c r="K449" s="16" t="n">
        <v>30</v>
      </c>
      <c r="L449" s="16" t="n">
        <v>30</v>
      </c>
      <c r="M449" s="16" t="n">
        <v>30</v>
      </c>
      <c r="N449" s="4">
        <f>Работы!S451</f>
        <v/>
      </c>
      <c r="O449" s="4">
        <f>Работы!R451</f>
        <v/>
      </c>
      <c r="P449" s="16" t="n">
        <v>30</v>
      </c>
      <c r="Q449" s="16" t="n">
        <v>30</v>
      </c>
      <c r="R449" s="16" t="n">
        <v>30</v>
      </c>
      <c r="S449" s="16" t="n">
        <v>30</v>
      </c>
      <c r="T449" s="16" t="n">
        <v>30</v>
      </c>
      <c r="U449" s="16" t="n">
        <v>30</v>
      </c>
      <c r="V449" s="16" t="n">
        <v>30</v>
      </c>
      <c r="W449" s="16" t="n">
        <v>30</v>
      </c>
      <c r="X449" s="16" t="n">
        <v>30</v>
      </c>
      <c r="Y449" s="16" t="n">
        <v>30</v>
      </c>
      <c r="Z449" s="16" t="n">
        <v>30</v>
      </c>
      <c r="AA449" s="16" t="n">
        <v>30</v>
      </c>
    </row>
    <row r="450">
      <c r="A450" s="3" t="inlineStr">
        <is>
          <t>Водосток</t>
        </is>
      </c>
      <c r="B450" s="3" t="inlineStr">
        <is>
          <t>Водосточная система</t>
        </is>
      </c>
      <c r="C450" s="3" t="inlineStr">
        <is>
          <t>Монтажные работы</t>
        </is>
      </c>
      <c r="D450" s="3" t="inlineStr">
        <is>
          <t>Воронка (стакан) оцинк.</t>
        </is>
      </c>
      <c r="E450" s="4">
        <f>N450+O450</f>
        <v/>
      </c>
      <c r="F450" s="3" t="inlineStr">
        <is>
          <t>шт.</t>
        </is>
      </c>
      <c r="G450" s="4">
        <f>IFERROR('[1]Лист1'!G450,30)</f>
        <v/>
      </c>
      <c r="H450" s="16" t="n">
        <v>30</v>
      </c>
      <c r="I450" s="16" t="n">
        <v>30</v>
      </c>
      <c r="J450" s="16" t="n">
        <v>30</v>
      </c>
      <c r="K450" s="16" t="n">
        <v>30</v>
      </c>
      <c r="L450" s="16" t="n">
        <v>30</v>
      </c>
      <c r="M450" s="16" t="n">
        <v>30</v>
      </c>
      <c r="N450" s="4">
        <f>Работы!S452</f>
        <v/>
      </c>
      <c r="O450" s="4">
        <f>Работы!R452</f>
        <v/>
      </c>
      <c r="P450" s="16" t="n">
        <v>30</v>
      </c>
      <c r="Q450" s="16" t="n">
        <v>30</v>
      </c>
      <c r="R450" s="16" t="n">
        <v>30</v>
      </c>
      <c r="S450" s="16" t="n">
        <v>30</v>
      </c>
      <c r="T450" s="16" t="n">
        <v>30</v>
      </c>
      <c r="U450" s="16" t="n">
        <v>30</v>
      </c>
      <c r="V450" s="16" t="n">
        <v>30</v>
      </c>
      <c r="W450" s="16" t="n">
        <v>30</v>
      </c>
      <c r="X450" s="16" t="n">
        <v>30</v>
      </c>
      <c r="Y450" s="16" t="n">
        <v>30</v>
      </c>
      <c r="Z450" s="16" t="n">
        <v>30</v>
      </c>
      <c r="AA450" s="16" t="n">
        <v>30</v>
      </c>
    </row>
    <row r="451">
      <c r="A451" s="3" t="inlineStr">
        <is>
          <t>Водосток</t>
        </is>
      </c>
      <c r="B451" s="3" t="inlineStr">
        <is>
          <t>Водосточная система</t>
        </is>
      </c>
      <c r="C451" s="3" t="inlineStr">
        <is>
          <t>Монтажные работы</t>
        </is>
      </c>
      <c r="D451" s="3" t="inlineStr">
        <is>
          <t>Желоб оцинкованный 1250мм</t>
        </is>
      </c>
      <c r="E451" s="4">
        <f>N451+O451</f>
        <v/>
      </c>
      <c r="F451" s="3" t="inlineStr">
        <is>
          <t>м.п.</t>
        </is>
      </c>
      <c r="G451" s="4">
        <f>IFERROR('[1]Лист1'!G451,30)</f>
        <v/>
      </c>
      <c r="H451" s="16" t="n">
        <v>30</v>
      </c>
      <c r="I451" s="16" t="n">
        <v>30</v>
      </c>
      <c r="J451" s="16" t="n">
        <v>30</v>
      </c>
      <c r="K451" s="16" t="n">
        <v>30</v>
      </c>
      <c r="L451" s="16" t="n">
        <v>30</v>
      </c>
      <c r="M451" s="16" t="n">
        <v>30</v>
      </c>
      <c r="N451" s="4">
        <f>Работы!S453</f>
        <v/>
      </c>
      <c r="O451" s="4">
        <f>Работы!R453</f>
        <v/>
      </c>
      <c r="P451" s="16" t="n">
        <v>30</v>
      </c>
      <c r="Q451" s="16" t="n">
        <v>30</v>
      </c>
      <c r="R451" s="16" t="n">
        <v>30</v>
      </c>
      <c r="S451" s="16" t="n">
        <v>30</v>
      </c>
      <c r="T451" s="16" t="n">
        <v>30</v>
      </c>
      <c r="U451" s="16" t="n">
        <v>30</v>
      </c>
      <c r="V451" s="16" t="n">
        <v>30</v>
      </c>
      <c r="W451" s="16" t="n">
        <v>30</v>
      </c>
      <c r="X451" s="16" t="n">
        <v>30</v>
      </c>
      <c r="Y451" s="16" t="n">
        <v>30</v>
      </c>
      <c r="Z451" s="16" t="n">
        <v>30</v>
      </c>
      <c r="AA451" s="16" t="n">
        <v>30</v>
      </c>
    </row>
    <row r="452">
      <c r="A452" s="3" t="inlineStr">
        <is>
          <t>Водосток</t>
        </is>
      </c>
      <c r="B452" s="3" t="inlineStr">
        <is>
          <t>Водосточная система</t>
        </is>
      </c>
      <c r="C452" s="3" t="inlineStr">
        <is>
          <t>Монтажные работы</t>
        </is>
      </c>
      <c r="D452" s="3" t="inlineStr">
        <is>
          <t>Желоб оцинкованный 2000мм</t>
        </is>
      </c>
      <c r="E452" s="4">
        <f>N452+O452</f>
        <v/>
      </c>
      <c r="F452" s="3" t="inlineStr">
        <is>
          <t>м.п.</t>
        </is>
      </c>
      <c r="G452" s="4">
        <f>IFERROR('[1]Лист1'!G452,30)</f>
        <v/>
      </c>
      <c r="H452" s="16" t="n">
        <v>30</v>
      </c>
      <c r="I452" s="16" t="n">
        <v>30</v>
      </c>
      <c r="J452" s="16" t="n">
        <v>30</v>
      </c>
      <c r="K452" s="16" t="n">
        <v>30</v>
      </c>
      <c r="L452" s="16" t="n">
        <v>30</v>
      </c>
      <c r="M452" s="16" t="n">
        <v>30</v>
      </c>
      <c r="N452" s="4">
        <f>Работы!S454</f>
        <v/>
      </c>
      <c r="O452" s="4">
        <f>Работы!R454</f>
        <v/>
      </c>
      <c r="P452" s="16" t="n">
        <v>30</v>
      </c>
      <c r="Q452" s="16" t="n">
        <v>30</v>
      </c>
      <c r="R452" s="16" t="n">
        <v>30</v>
      </c>
      <c r="S452" s="16" t="n">
        <v>30</v>
      </c>
      <c r="T452" s="16" t="n">
        <v>30</v>
      </c>
      <c r="U452" s="16" t="n">
        <v>30</v>
      </c>
      <c r="V452" s="16" t="n">
        <v>30</v>
      </c>
      <c r="W452" s="16" t="n">
        <v>30</v>
      </c>
      <c r="X452" s="16" t="n">
        <v>30</v>
      </c>
      <c r="Y452" s="16" t="n">
        <v>30</v>
      </c>
      <c r="Z452" s="16" t="n">
        <v>30</v>
      </c>
      <c r="AA452" s="16" t="n">
        <v>30</v>
      </c>
    </row>
    <row r="453">
      <c r="A453" s="3" t="inlineStr">
        <is>
          <t>Водосток</t>
        </is>
      </c>
      <c r="B453" s="3" t="inlineStr">
        <is>
          <t>Водосточная система</t>
        </is>
      </c>
      <c r="C453" s="3" t="inlineStr">
        <is>
          <t>Монтажные работы</t>
        </is>
      </c>
      <c r="D453" s="3" t="inlineStr">
        <is>
          <t>Крепление под желоб</t>
        </is>
      </c>
      <c r="E453" s="4">
        <f>N453+O453</f>
        <v/>
      </c>
      <c r="F453" s="3" t="inlineStr">
        <is>
          <t>шт.</t>
        </is>
      </c>
      <c r="G453" s="4">
        <f>IFERROR('[1]Лист1'!G453,30)</f>
        <v/>
      </c>
      <c r="H453" s="16" t="n">
        <v>30</v>
      </c>
      <c r="I453" s="16" t="n">
        <v>30</v>
      </c>
      <c r="J453" s="16" t="n">
        <v>30</v>
      </c>
      <c r="K453" s="16" t="n">
        <v>30</v>
      </c>
      <c r="L453" s="16" t="n">
        <v>30</v>
      </c>
      <c r="M453" s="16" t="n">
        <v>30</v>
      </c>
      <c r="N453" s="4">
        <f>Работы!S455</f>
        <v/>
      </c>
      <c r="O453" s="4">
        <f>Работы!R455</f>
        <v/>
      </c>
      <c r="P453" s="16" t="n">
        <v>30</v>
      </c>
      <c r="Q453" s="16" t="n">
        <v>30</v>
      </c>
      <c r="R453" s="16" t="n">
        <v>30</v>
      </c>
      <c r="S453" s="16" t="n">
        <v>30</v>
      </c>
      <c r="T453" s="16" t="n">
        <v>30</v>
      </c>
      <c r="U453" s="16" t="n">
        <v>30</v>
      </c>
      <c r="V453" s="16" t="n">
        <v>30</v>
      </c>
      <c r="W453" s="16" t="n">
        <v>30</v>
      </c>
      <c r="X453" s="16" t="n">
        <v>30</v>
      </c>
      <c r="Y453" s="16" t="n">
        <v>30</v>
      </c>
      <c r="Z453" s="16" t="n">
        <v>30</v>
      </c>
      <c r="AA453" s="16" t="n">
        <v>30</v>
      </c>
    </row>
    <row r="454">
      <c r="A454" s="3" t="inlineStr">
        <is>
          <t>Водосток</t>
        </is>
      </c>
      <c r="B454" s="3" t="inlineStr">
        <is>
          <t>Водосточная система</t>
        </is>
      </c>
      <c r="C454" s="3" t="inlineStr">
        <is>
          <t>Монтажные работы</t>
        </is>
      </c>
      <c r="D454" s="3" t="inlineStr">
        <is>
          <t>Саморезы оцинкованные (4,8 х 100 мм) (100 шт.)</t>
        </is>
      </c>
      <c r="E454" s="4">
        <f>N454+O454</f>
        <v/>
      </c>
      <c r="F454" s="3" t="inlineStr">
        <is>
          <t>шт.</t>
        </is>
      </c>
      <c r="G454" s="4">
        <f>IFERROR('[1]Лист1'!G454,30)</f>
        <v/>
      </c>
      <c r="H454" s="16" t="n">
        <v>30</v>
      </c>
      <c r="I454" s="16" t="n">
        <v>30</v>
      </c>
      <c r="J454" s="16" t="n">
        <v>30</v>
      </c>
      <c r="K454" s="16" t="n">
        <v>30</v>
      </c>
      <c r="L454" s="16" t="n">
        <v>30</v>
      </c>
      <c r="M454" s="16" t="n">
        <v>30</v>
      </c>
      <c r="N454" s="4">
        <f>Работы!S456</f>
        <v/>
      </c>
      <c r="O454" s="4">
        <f>Работы!R456</f>
        <v/>
      </c>
      <c r="P454" s="16" t="n">
        <v>30</v>
      </c>
      <c r="Q454" s="16" t="n">
        <v>30</v>
      </c>
      <c r="R454" s="16" t="n">
        <v>30</v>
      </c>
      <c r="S454" s="16" t="n">
        <v>30</v>
      </c>
      <c r="T454" s="16" t="n">
        <v>30</v>
      </c>
      <c r="U454" s="16" t="n">
        <v>30</v>
      </c>
      <c r="V454" s="16" t="n">
        <v>30</v>
      </c>
      <c r="W454" s="16" t="n">
        <v>30</v>
      </c>
      <c r="X454" s="16" t="n">
        <v>30</v>
      </c>
      <c r="Y454" s="16" t="n">
        <v>30</v>
      </c>
      <c r="Z454" s="16" t="n">
        <v>30</v>
      </c>
      <c r="AA454" s="16" t="n">
        <v>30</v>
      </c>
    </row>
    <row r="455">
      <c r="A455" s="3" t="inlineStr">
        <is>
          <t>Водосток</t>
        </is>
      </c>
      <c r="B455" s="3" t="inlineStr">
        <is>
          <t>Водосточная система</t>
        </is>
      </c>
      <c r="C455" s="3" t="inlineStr">
        <is>
          <t>Монтажные работы</t>
        </is>
      </c>
      <c r="D455" s="3" t="inlineStr">
        <is>
          <t>Пароизоляция армированная Техно НИКОЛЬ</t>
        </is>
      </c>
      <c r="E455" s="4">
        <f>N455+O455</f>
        <v/>
      </c>
      <c r="F455" s="3" t="inlineStr">
        <is>
          <t>м2</t>
        </is>
      </c>
      <c r="G455" s="4">
        <f>IFERROR('[1]Лист1'!G455,30)</f>
        <v/>
      </c>
      <c r="H455" s="16" t="n">
        <v>30</v>
      </c>
      <c r="I455" s="16" t="n">
        <v>30</v>
      </c>
      <c r="J455" s="16" t="n">
        <v>30</v>
      </c>
      <c r="K455" s="16" t="n">
        <v>30</v>
      </c>
      <c r="L455" s="16" t="n">
        <v>30</v>
      </c>
      <c r="M455" s="16" t="n">
        <v>30</v>
      </c>
      <c r="N455" s="4">
        <f>Работы!S457</f>
        <v/>
      </c>
      <c r="O455" s="4">
        <f>Работы!R457</f>
        <v/>
      </c>
      <c r="P455" s="16" t="n">
        <v>30</v>
      </c>
      <c r="Q455" s="16" t="n">
        <v>30</v>
      </c>
      <c r="R455" s="16" t="n">
        <v>30</v>
      </c>
      <c r="S455" s="16" t="n">
        <v>30</v>
      </c>
      <c r="T455" s="16" t="n">
        <v>30</v>
      </c>
      <c r="U455" s="16" t="n">
        <v>30</v>
      </c>
      <c r="V455" s="16" t="n">
        <v>30</v>
      </c>
      <c r="W455" s="16" t="n">
        <v>30</v>
      </c>
      <c r="X455" s="16" t="n">
        <v>30</v>
      </c>
      <c r="Y455" s="16" t="n">
        <v>30</v>
      </c>
      <c r="Z455" s="16" t="n">
        <v>30</v>
      </c>
      <c r="AA455" s="16" t="n">
        <v>30</v>
      </c>
    </row>
    <row r="456">
      <c r="A456" s="3" t="inlineStr">
        <is>
          <t>Водосток</t>
        </is>
      </c>
      <c r="B456" s="3" t="inlineStr">
        <is>
          <t>Водосточная система</t>
        </is>
      </c>
      <c r="C456" s="3" t="inlineStr">
        <is>
          <t>Монтажные работы</t>
        </is>
      </c>
      <c r="D456" s="3" t="inlineStr">
        <is>
          <t>Желоб водосточный из оцинкованной стали 125</t>
        </is>
      </c>
      <c r="E456" s="4">
        <f>N456+O456</f>
        <v/>
      </c>
      <c r="F456" s="3" t="inlineStr">
        <is>
          <t>м.п.</t>
        </is>
      </c>
      <c r="G456" s="4">
        <f>IFERROR('[1]Лист1'!G456,30)</f>
        <v/>
      </c>
      <c r="H456" s="16" t="n">
        <v>30</v>
      </c>
      <c r="I456" s="16" t="n">
        <v>30</v>
      </c>
      <c r="J456" s="16" t="n">
        <v>30</v>
      </c>
      <c r="K456" s="16" t="n">
        <v>30</v>
      </c>
      <c r="L456" s="16" t="n">
        <v>30</v>
      </c>
      <c r="M456" s="16" t="n">
        <v>30</v>
      </c>
      <c r="N456" s="4">
        <f>Работы!S458</f>
        <v/>
      </c>
      <c r="O456" s="4">
        <f>Работы!R458</f>
        <v/>
      </c>
      <c r="P456" s="16" t="n">
        <v>30</v>
      </c>
      <c r="Q456" s="16" t="n">
        <v>30</v>
      </c>
      <c r="R456" s="16" t="n">
        <v>30</v>
      </c>
      <c r="S456" s="16" t="n">
        <v>30</v>
      </c>
      <c r="T456" s="16" t="n">
        <v>30</v>
      </c>
      <c r="U456" s="16" t="n">
        <v>30</v>
      </c>
      <c r="V456" s="16" t="n">
        <v>30</v>
      </c>
      <c r="W456" s="16" t="n">
        <v>30</v>
      </c>
      <c r="X456" s="16" t="n">
        <v>30</v>
      </c>
      <c r="Y456" s="16" t="n">
        <v>30</v>
      </c>
      <c r="Z456" s="16" t="n">
        <v>30</v>
      </c>
      <c r="AA456" s="16" t="n">
        <v>30</v>
      </c>
    </row>
    <row r="457">
      <c r="A457" s="3" t="inlineStr">
        <is>
          <t>Водосток</t>
        </is>
      </c>
      <c r="B457" s="3" t="inlineStr">
        <is>
          <t>Водосточная система</t>
        </is>
      </c>
      <c r="C457" s="3" t="inlineStr">
        <is>
          <t>Монтажные работы</t>
        </is>
      </c>
      <c r="D457" s="3" t="inlineStr">
        <is>
          <t>Желоб водосточный из оцинкованной стали 100</t>
        </is>
      </c>
      <c r="E457" s="4">
        <f>N457+O457</f>
        <v/>
      </c>
      <c r="F457" s="3" t="inlineStr">
        <is>
          <t>м.п.</t>
        </is>
      </c>
      <c r="G457" s="4">
        <f>IFERROR('[1]Лист1'!G457,30)</f>
        <v/>
      </c>
      <c r="H457" s="16" t="n">
        <v>30</v>
      </c>
      <c r="I457" s="16" t="n">
        <v>30</v>
      </c>
      <c r="J457" s="16" t="n">
        <v>30</v>
      </c>
      <c r="K457" s="16" t="n">
        <v>30</v>
      </c>
      <c r="L457" s="16" t="n">
        <v>30</v>
      </c>
      <c r="M457" s="16" t="n">
        <v>30</v>
      </c>
      <c r="N457" s="4">
        <f>Работы!S459</f>
        <v/>
      </c>
      <c r="O457" s="4">
        <f>Работы!R459</f>
        <v/>
      </c>
      <c r="P457" s="16" t="n">
        <v>30</v>
      </c>
      <c r="Q457" s="16" t="n">
        <v>30</v>
      </c>
      <c r="R457" s="16" t="n">
        <v>30</v>
      </c>
      <c r="S457" s="16" t="n">
        <v>30</v>
      </c>
      <c r="T457" s="16" t="n">
        <v>30</v>
      </c>
      <c r="U457" s="16" t="n">
        <v>30</v>
      </c>
      <c r="V457" s="16" t="n">
        <v>30</v>
      </c>
      <c r="W457" s="16" t="n">
        <v>30</v>
      </c>
      <c r="X457" s="16" t="n">
        <v>30</v>
      </c>
      <c r="Y457" s="16" t="n">
        <v>30</v>
      </c>
      <c r="Z457" s="16" t="n">
        <v>30</v>
      </c>
      <c r="AA457" s="16" t="n">
        <v>30</v>
      </c>
    </row>
    <row r="458">
      <c r="A458" s="3" t="inlineStr">
        <is>
          <t>Водосток</t>
        </is>
      </c>
      <c r="B458" s="3" t="inlineStr">
        <is>
          <t>Водосточная система</t>
        </is>
      </c>
      <c r="C458" s="3" t="inlineStr">
        <is>
          <t>Монтажные работы</t>
        </is>
      </c>
      <c r="D458" s="3" t="inlineStr">
        <is>
          <t>Желоб водосточный "HUNTER" 125 мм</t>
        </is>
      </c>
      <c r="E458" s="4">
        <f>N458+O458</f>
        <v/>
      </c>
      <c r="F458" s="3" t="inlineStr">
        <is>
          <t>м.п.</t>
        </is>
      </c>
      <c r="G458" s="4">
        <f>IFERROR('[1]Лист1'!G458,30)</f>
        <v/>
      </c>
      <c r="H458" s="16" t="n">
        <v>30</v>
      </c>
      <c r="I458" s="16" t="n">
        <v>30</v>
      </c>
      <c r="J458" s="16" t="n">
        <v>30</v>
      </c>
      <c r="K458" s="16" t="n">
        <v>30</v>
      </c>
      <c r="L458" s="16" t="n">
        <v>30</v>
      </c>
      <c r="M458" s="16" t="n">
        <v>30</v>
      </c>
      <c r="N458" s="4">
        <f>Работы!S460</f>
        <v/>
      </c>
      <c r="O458" s="4">
        <f>Работы!R460</f>
        <v/>
      </c>
      <c r="P458" s="16" t="n">
        <v>30</v>
      </c>
      <c r="Q458" s="16" t="n">
        <v>30</v>
      </c>
      <c r="R458" s="16" t="n">
        <v>30</v>
      </c>
      <c r="S458" s="16" t="n">
        <v>30</v>
      </c>
      <c r="T458" s="16" t="n">
        <v>30</v>
      </c>
      <c r="U458" s="16" t="n">
        <v>30</v>
      </c>
      <c r="V458" s="16" t="n">
        <v>30</v>
      </c>
      <c r="W458" s="16" t="n">
        <v>30</v>
      </c>
      <c r="X458" s="16" t="n">
        <v>30</v>
      </c>
      <c r="Y458" s="16" t="n">
        <v>30</v>
      </c>
      <c r="Z458" s="16" t="n">
        <v>30</v>
      </c>
      <c r="AA458" s="16" t="n">
        <v>30</v>
      </c>
    </row>
    <row r="459">
      <c r="A459" s="3" t="inlineStr">
        <is>
          <t>Водосток</t>
        </is>
      </c>
      <c r="B459" s="3" t="inlineStr">
        <is>
          <t>Водосточная система</t>
        </is>
      </c>
      <c r="C459" s="3" t="inlineStr">
        <is>
          <t>Монтажные работы</t>
        </is>
      </c>
      <c r="D459" s="3" t="inlineStr">
        <is>
          <t>Герметик полиуретановый</t>
        </is>
      </c>
      <c r="E459" s="4">
        <f>N459+O459</f>
        <v/>
      </c>
      <c r="F459" s="3" t="inlineStr">
        <is>
          <t>кг.</t>
        </is>
      </c>
      <c r="G459" s="4">
        <f>IFERROR('[1]Лист1'!G459,30)</f>
        <v/>
      </c>
      <c r="H459" s="16" t="n">
        <v>30</v>
      </c>
      <c r="I459" s="16" t="n">
        <v>30</v>
      </c>
      <c r="J459" s="16" t="n">
        <v>30</v>
      </c>
      <c r="K459" s="16" t="n">
        <v>30</v>
      </c>
      <c r="L459" s="16" t="n">
        <v>30</v>
      </c>
      <c r="M459" s="16" t="n">
        <v>30</v>
      </c>
      <c r="N459" s="4">
        <f>Работы!S461</f>
        <v/>
      </c>
      <c r="O459" s="4">
        <f>Работы!R461</f>
        <v/>
      </c>
      <c r="P459" s="16" t="n">
        <v>30</v>
      </c>
      <c r="Q459" s="16" t="n">
        <v>30</v>
      </c>
      <c r="R459" s="16" t="n">
        <v>30</v>
      </c>
      <c r="S459" s="16" t="n">
        <v>30</v>
      </c>
      <c r="T459" s="16" t="n">
        <v>30</v>
      </c>
      <c r="U459" s="16" t="n">
        <v>30</v>
      </c>
      <c r="V459" s="16" t="n">
        <v>30</v>
      </c>
      <c r="W459" s="16" t="n">
        <v>30</v>
      </c>
      <c r="X459" s="16" t="n">
        <v>30</v>
      </c>
      <c r="Y459" s="16" t="n">
        <v>30</v>
      </c>
      <c r="Z459" s="16" t="n">
        <v>30</v>
      </c>
      <c r="AA459" s="16" t="n">
        <v>30</v>
      </c>
    </row>
    <row r="460">
      <c r="A460" s="3" t="inlineStr">
        <is>
          <t>Водосток</t>
        </is>
      </c>
      <c r="B460" s="3" t="inlineStr">
        <is>
          <t>Водосточная система</t>
        </is>
      </c>
      <c r="C460" s="3" t="inlineStr">
        <is>
          <t>Монтажные работы</t>
        </is>
      </c>
      <c r="D460" s="3" t="inlineStr">
        <is>
          <t>Труба водосточная из труб с порошковой окраскойd 100</t>
        </is>
      </c>
      <c r="E460" s="4">
        <f>N460+O460</f>
        <v/>
      </c>
      <c r="F460" s="3" t="inlineStr">
        <is>
          <t>м.п.</t>
        </is>
      </c>
      <c r="G460" s="4">
        <f>IFERROR('[1]Лист1'!G460,30)</f>
        <v/>
      </c>
      <c r="H460" s="16" t="n">
        <v>30</v>
      </c>
      <c r="I460" s="16" t="n">
        <v>30</v>
      </c>
      <c r="J460" s="16" t="n">
        <v>30</v>
      </c>
      <c r="K460" s="16" t="n">
        <v>30</v>
      </c>
      <c r="L460" s="16" t="n">
        <v>30</v>
      </c>
      <c r="M460" s="16" t="n">
        <v>30</v>
      </c>
      <c r="N460" s="4">
        <f>Работы!S462</f>
        <v/>
      </c>
      <c r="O460" s="4">
        <f>Работы!R462</f>
        <v/>
      </c>
      <c r="P460" s="16" t="n">
        <v>30</v>
      </c>
      <c r="Q460" s="16" t="n">
        <v>30</v>
      </c>
      <c r="R460" s="16" t="n">
        <v>30</v>
      </c>
      <c r="S460" s="16" t="n">
        <v>30</v>
      </c>
      <c r="T460" s="16" t="n">
        <v>30</v>
      </c>
      <c r="U460" s="16" t="n">
        <v>30</v>
      </c>
      <c r="V460" s="16" t="n">
        <v>30</v>
      </c>
      <c r="W460" s="16" t="n">
        <v>30</v>
      </c>
      <c r="X460" s="16" t="n">
        <v>30</v>
      </c>
      <c r="Y460" s="16" t="n">
        <v>30</v>
      </c>
      <c r="Z460" s="16" t="n">
        <v>30</v>
      </c>
      <c r="AA460" s="16" t="n">
        <v>30</v>
      </c>
    </row>
    <row r="461">
      <c r="A461" s="3" t="inlineStr">
        <is>
          <t>Водосток</t>
        </is>
      </c>
      <c r="B461" s="3" t="inlineStr">
        <is>
          <t>Водосточная система</t>
        </is>
      </c>
      <c r="C461" s="3" t="inlineStr">
        <is>
          <t>Монтажные работы</t>
        </is>
      </c>
      <c r="D461" s="3" t="inlineStr">
        <is>
          <t>Желоб водосточный с порошковой окраской d 100</t>
        </is>
      </c>
      <c r="E461" s="4">
        <f>N461+O461</f>
        <v/>
      </c>
      <c r="F461" s="3" t="inlineStr">
        <is>
          <t>м.п.</t>
        </is>
      </c>
      <c r="G461" s="4">
        <f>IFERROR('[1]Лист1'!G461,30)</f>
        <v/>
      </c>
      <c r="H461" s="16" t="n">
        <v>30</v>
      </c>
      <c r="I461" s="16" t="n">
        <v>30</v>
      </c>
      <c r="J461" s="16" t="n">
        <v>30</v>
      </c>
      <c r="K461" s="16" t="n">
        <v>30</v>
      </c>
      <c r="L461" s="16" t="n">
        <v>30</v>
      </c>
      <c r="M461" s="16" t="n">
        <v>30</v>
      </c>
      <c r="N461" s="4">
        <f>Работы!S463</f>
        <v/>
      </c>
      <c r="O461" s="4">
        <f>Работы!R463</f>
        <v/>
      </c>
      <c r="P461" s="16" t="n">
        <v>30</v>
      </c>
      <c r="Q461" s="16" t="n">
        <v>30</v>
      </c>
      <c r="R461" s="16" t="n">
        <v>30</v>
      </c>
      <c r="S461" s="16" t="n">
        <v>30</v>
      </c>
      <c r="T461" s="16" t="n">
        <v>30</v>
      </c>
      <c r="U461" s="16" t="n">
        <v>30</v>
      </c>
      <c r="V461" s="16" t="n">
        <v>30</v>
      </c>
      <c r="W461" s="16" t="n">
        <v>30</v>
      </c>
      <c r="X461" s="16" t="n">
        <v>30</v>
      </c>
      <c r="Y461" s="16" t="n">
        <v>30</v>
      </c>
      <c r="Z461" s="16" t="n">
        <v>30</v>
      </c>
      <c r="AA461" s="16" t="n">
        <v>30</v>
      </c>
    </row>
    <row r="462">
      <c r="A462" s="3" t="inlineStr">
        <is>
          <t>Водосток</t>
        </is>
      </c>
      <c r="B462" s="3" t="inlineStr">
        <is>
          <t>Водосточная система</t>
        </is>
      </c>
      <c r="C462" s="3" t="inlineStr">
        <is>
          <t>Монтажные работы</t>
        </is>
      </c>
      <c r="D462" s="3" t="inlineStr">
        <is>
          <t>Угловой желоб с порошковой окраской d 100</t>
        </is>
      </c>
      <c r="E462" s="4">
        <f>N462+O462</f>
        <v/>
      </c>
      <c r="F462" s="3" t="inlineStr">
        <is>
          <t>шт.</t>
        </is>
      </c>
      <c r="G462" s="4">
        <f>IFERROR('[1]Лист1'!G462,30)</f>
        <v/>
      </c>
      <c r="H462" s="16" t="n">
        <v>30</v>
      </c>
      <c r="I462" s="16" t="n">
        <v>30</v>
      </c>
      <c r="J462" s="16" t="n">
        <v>30</v>
      </c>
      <c r="K462" s="16" t="n">
        <v>30</v>
      </c>
      <c r="L462" s="16" t="n">
        <v>30</v>
      </c>
      <c r="M462" s="16" t="n">
        <v>30</v>
      </c>
      <c r="N462" s="4">
        <f>Работы!S464</f>
        <v/>
      </c>
      <c r="O462" s="4">
        <f>Работы!R464</f>
        <v/>
      </c>
      <c r="P462" s="16" t="n">
        <v>30</v>
      </c>
      <c r="Q462" s="16" t="n">
        <v>30</v>
      </c>
      <c r="R462" s="16" t="n">
        <v>30</v>
      </c>
      <c r="S462" s="16" t="n">
        <v>30</v>
      </c>
      <c r="T462" s="16" t="n">
        <v>30</v>
      </c>
      <c r="U462" s="16" t="n">
        <v>30</v>
      </c>
      <c r="V462" s="16" t="n">
        <v>30</v>
      </c>
      <c r="W462" s="16" t="n">
        <v>30</v>
      </c>
      <c r="X462" s="16" t="n">
        <v>30</v>
      </c>
      <c r="Y462" s="16" t="n">
        <v>30</v>
      </c>
      <c r="Z462" s="16" t="n">
        <v>30</v>
      </c>
      <c r="AA462" s="16" t="n">
        <v>30</v>
      </c>
    </row>
    <row r="463">
      <c r="A463" s="3" t="inlineStr">
        <is>
          <t>Водосток</t>
        </is>
      </c>
      <c r="B463" s="3" t="inlineStr">
        <is>
          <t>Услуги по кровли</t>
        </is>
      </c>
      <c r="C463" s="3" t="inlineStr">
        <is>
          <t>Монтажные работы</t>
        </is>
      </c>
      <c r="D463" s="3" t="inlineStr">
        <is>
          <t>Монтаж водостоков из труб с порошковой окраской диаметром 100-125 мм</t>
        </is>
      </c>
      <c r="E463" s="4">
        <f>N463+O463</f>
        <v/>
      </c>
      <c r="F463" s="3" t="inlineStr">
        <is>
          <t>м.п.</t>
        </is>
      </c>
      <c r="G463" s="4">
        <f>IFERROR('[1]Лист1'!G463,30)</f>
        <v/>
      </c>
      <c r="H463" s="16" t="n">
        <v>30</v>
      </c>
      <c r="I463" s="16" t="n">
        <v>30</v>
      </c>
      <c r="J463" s="16" t="n">
        <v>30</v>
      </c>
      <c r="K463" s="16" t="n">
        <v>30</v>
      </c>
      <c r="L463" s="16" t="n">
        <v>30</v>
      </c>
      <c r="M463" s="16" t="n">
        <v>30</v>
      </c>
      <c r="N463" s="4">
        <f>Работы!S465</f>
        <v/>
      </c>
      <c r="O463" s="4">
        <f>Работы!R465</f>
        <v/>
      </c>
      <c r="P463" s="16" t="n">
        <v>30</v>
      </c>
      <c r="Q463" s="16" t="n">
        <v>30</v>
      </c>
      <c r="R463" s="16" t="n">
        <v>30</v>
      </c>
      <c r="S463" s="16" t="n">
        <v>30</v>
      </c>
      <c r="T463" s="16" t="n">
        <v>30</v>
      </c>
      <c r="U463" s="16" t="n">
        <v>30</v>
      </c>
      <c r="V463" s="16" t="n">
        <v>30</v>
      </c>
      <c r="W463" s="16" t="n">
        <v>30</v>
      </c>
      <c r="X463" s="16" t="n">
        <v>30</v>
      </c>
      <c r="Y463" s="16" t="n">
        <v>30</v>
      </c>
      <c r="Z463" s="16" t="n">
        <v>30</v>
      </c>
      <c r="AA463" s="16" t="n">
        <v>30</v>
      </c>
    </row>
    <row r="464">
      <c r="A464" s="3" t="inlineStr">
        <is>
          <t>Водосток</t>
        </is>
      </c>
      <c r="B464" s="3" t="inlineStr">
        <is>
          <t>Услуги по кровли</t>
        </is>
      </c>
      <c r="C464" s="3" t="inlineStr">
        <is>
          <t>Монтажные работы</t>
        </is>
      </c>
      <c r="D464" s="3" t="inlineStr">
        <is>
          <t>Монтаж водосточной системы типа "HUNTER" 125 мм</t>
        </is>
      </c>
      <c r="E464" s="4">
        <f>N464+O464</f>
        <v/>
      </c>
      <c r="F464" s="3" t="inlineStr">
        <is>
          <t>м.п.</t>
        </is>
      </c>
      <c r="G464" s="4">
        <f>IFERROR('[1]Лист1'!G464,30)</f>
        <v/>
      </c>
      <c r="H464" s="16" t="n">
        <v>30</v>
      </c>
      <c r="I464" s="16" t="n">
        <v>30</v>
      </c>
      <c r="J464" s="16" t="n">
        <v>30</v>
      </c>
      <c r="K464" s="16" t="n">
        <v>30</v>
      </c>
      <c r="L464" s="16" t="n">
        <v>30</v>
      </c>
      <c r="M464" s="16" t="n">
        <v>30</v>
      </c>
      <c r="N464" s="4">
        <f>Работы!S466</f>
        <v/>
      </c>
      <c r="O464" s="4">
        <f>Работы!R466</f>
        <v/>
      </c>
      <c r="P464" s="16" t="n">
        <v>30</v>
      </c>
      <c r="Q464" s="16" t="n">
        <v>30</v>
      </c>
      <c r="R464" s="16" t="n">
        <v>30</v>
      </c>
      <c r="S464" s="16" t="n">
        <v>30</v>
      </c>
      <c r="T464" s="16" t="n">
        <v>30</v>
      </c>
      <c r="U464" s="16" t="n">
        <v>30</v>
      </c>
      <c r="V464" s="16" t="n">
        <v>30</v>
      </c>
      <c r="W464" s="16" t="n">
        <v>30</v>
      </c>
      <c r="X464" s="16" t="n">
        <v>30</v>
      </c>
      <c r="Y464" s="16" t="n">
        <v>30</v>
      </c>
      <c r="Z464" s="16" t="n">
        <v>30</v>
      </c>
      <c r="AA464" s="16" t="n">
        <v>30</v>
      </c>
    </row>
    <row r="465">
      <c r="A465" s="3" t="inlineStr">
        <is>
          <t>Водосток</t>
        </is>
      </c>
      <c r="B465" s="3" t="inlineStr">
        <is>
          <t>Услуги по кровли</t>
        </is>
      </c>
      <c r="C465" s="3" t="inlineStr">
        <is>
          <t>Монтажные работы</t>
        </is>
      </c>
      <c r="D465" s="3" t="inlineStr">
        <is>
          <t>Монтаж желоба водосточного из оцинкованной стали 100-125 мм</t>
        </is>
      </c>
      <c r="E465" s="4">
        <f>N465+O465</f>
        <v/>
      </c>
      <c r="F465" s="3" t="inlineStr">
        <is>
          <t>м.п.</t>
        </is>
      </c>
      <c r="G465" s="4">
        <f>IFERROR('[1]Лист1'!G465,30)</f>
        <v/>
      </c>
      <c r="H465" s="16" t="n">
        <v>30</v>
      </c>
      <c r="I465" s="16" t="n">
        <v>30</v>
      </c>
      <c r="J465" s="16" t="n">
        <v>30</v>
      </c>
      <c r="K465" s="16" t="n">
        <v>30</v>
      </c>
      <c r="L465" s="16" t="n">
        <v>30</v>
      </c>
      <c r="M465" s="16" t="n">
        <v>30</v>
      </c>
      <c r="N465" s="4">
        <f>Работы!S467</f>
        <v/>
      </c>
      <c r="O465" s="4">
        <f>Работы!R467</f>
        <v/>
      </c>
      <c r="P465" s="16" t="n">
        <v>30</v>
      </c>
      <c r="Q465" s="16" t="n">
        <v>30</v>
      </c>
      <c r="R465" s="16" t="n">
        <v>30</v>
      </c>
      <c r="S465" s="16" t="n">
        <v>30</v>
      </c>
      <c r="T465" s="16" t="n">
        <v>30</v>
      </c>
      <c r="U465" s="16" t="n">
        <v>30</v>
      </c>
      <c r="V465" s="16" t="n">
        <v>30</v>
      </c>
      <c r="W465" s="16" t="n">
        <v>30</v>
      </c>
      <c r="X465" s="16" t="n">
        <v>30</v>
      </c>
      <c r="Y465" s="16" t="n">
        <v>30</v>
      </c>
      <c r="Z465" s="16" t="n">
        <v>30</v>
      </c>
      <c r="AA465" s="16" t="n">
        <v>30</v>
      </c>
    </row>
    <row r="466">
      <c r="A466" s="3" t="inlineStr">
        <is>
          <t>Водосток</t>
        </is>
      </c>
      <c r="B466" s="3" t="inlineStr">
        <is>
          <t>Услуги по кровли</t>
        </is>
      </c>
      <c r="C466" s="3" t="inlineStr">
        <is>
          <t>Монтажные работы</t>
        </is>
      </c>
      <c r="D466" s="3" t="inlineStr">
        <is>
          <t>Монтаж желоба водосточного из труб с порошковой окраской 100-125 мм</t>
        </is>
      </c>
      <c r="E466" s="4">
        <f>N466+O466</f>
        <v/>
      </c>
      <c r="F466" s="3" t="inlineStr">
        <is>
          <t>м.п.</t>
        </is>
      </c>
      <c r="G466" s="4">
        <f>IFERROR('[1]Лист1'!G466,30)</f>
        <v/>
      </c>
      <c r="H466" s="16" t="n">
        <v>30</v>
      </c>
      <c r="I466" s="16" t="n">
        <v>30</v>
      </c>
      <c r="J466" s="16" t="n">
        <v>30</v>
      </c>
      <c r="K466" s="16" t="n">
        <v>30</v>
      </c>
      <c r="L466" s="16" t="n">
        <v>30</v>
      </c>
      <c r="M466" s="16" t="n">
        <v>30</v>
      </c>
      <c r="N466" s="4">
        <f>Работы!S468</f>
        <v/>
      </c>
      <c r="O466" s="4">
        <f>Работы!R468</f>
        <v/>
      </c>
      <c r="P466" s="16" t="n">
        <v>30</v>
      </c>
      <c r="Q466" s="16" t="n">
        <v>30</v>
      </c>
      <c r="R466" s="16" t="n">
        <v>30</v>
      </c>
      <c r="S466" s="16" t="n">
        <v>30</v>
      </c>
      <c r="T466" s="16" t="n">
        <v>30</v>
      </c>
      <c r="U466" s="16" t="n">
        <v>30</v>
      </c>
      <c r="V466" s="16" t="n">
        <v>30</v>
      </c>
      <c r="W466" s="16" t="n">
        <v>30</v>
      </c>
      <c r="X466" s="16" t="n">
        <v>30</v>
      </c>
      <c r="Y466" s="16" t="n">
        <v>30</v>
      </c>
      <c r="Z466" s="16" t="n">
        <v>30</v>
      </c>
      <c r="AA466" s="16" t="n">
        <v>30</v>
      </c>
    </row>
    <row r="467">
      <c r="A467" s="3" t="inlineStr">
        <is>
          <t>Водосток</t>
        </is>
      </c>
      <c r="B467" s="3" t="inlineStr">
        <is>
          <t>Услуги по кровли</t>
        </is>
      </c>
      <c r="C467" s="3" t="inlineStr">
        <is>
          <t>Монтажные работы</t>
        </is>
      </c>
      <c r="D467" s="3" t="inlineStr">
        <is>
          <t>Устройство подогрева воронок водосточных с ручных режимом включения (с учетом материалов)</t>
        </is>
      </c>
      <c r="E467" s="4">
        <f>N467+O467</f>
        <v/>
      </c>
      <c r="F467" s="3" t="inlineStr">
        <is>
          <t>шт.</t>
        </is>
      </c>
      <c r="G467" s="4">
        <f>IFERROR('[1]Лист1'!G467,30)</f>
        <v/>
      </c>
      <c r="H467" s="16" t="n">
        <v>30</v>
      </c>
      <c r="I467" s="16" t="n">
        <v>30</v>
      </c>
      <c r="J467" s="16" t="n">
        <v>30</v>
      </c>
      <c r="K467" s="16" t="n">
        <v>30</v>
      </c>
      <c r="L467" s="16" t="n">
        <v>30</v>
      </c>
      <c r="M467" s="16" t="n">
        <v>30</v>
      </c>
      <c r="N467" s="4">
        <f>Работы!S469</f>
        <v/>
      </c>
      <c r="O467" s="4">
        <f>Работы!R469</f>
        <v/>
      </c>
      <c r="P467" s="16" t="n">
        <v>30</v>
      </c>
      <c r="Q467" s="16" t="n">
        <v>30</v>
      </c>
      <c r="R467" s="16" t="n">
        <v>30</v>
      </c>
      <c r="S467" s="16" t="n">
        <v>30</v>
      </c>
      <c r="T467" s="16" t="n">
        <v>30</v>
      </c>
      <c r="U467" s="16" t="n">
        <v>30</v>
      </c>
      <c r="V467" s="16" t="n">
        <v>30</v>
      </c>
      <c r="W467" s="16" t="n">
        <v>30</v>
      </c>
      <c r="X467" s="16" t="n">
        <v>30</v>
      </c>
      <c r="Y467" s="16" t="n">
        <v>30</v>
      </c>
      <c r="Z467" s="16" t="n">
        <v>30</v>
      </c>
      <c r="AA467" s="16" t="n">
        <v>30</v>
      </c>
    </row>
    <row r="468">
      <c r="A468" s="3" t="inlineStr">
        <is>
          <t>Услуги ассенизации</t>
        </is>
      </c>
      <c r="B468" s="3" t="inlineStr">
        <is>
          <t>Услуги ассенизации</t>
        </is>
      </c>
      <c r="C468" s="3" t="inlineStr">
        <is>
          <t>Монтажные работы</t>
        </is>
      </c>
      <c r="D468" s="3" t="inlineStr">
        <is>
          <t xml:space="preserve">Услуга по откачке ЖБО от 8 до 10 м3 (предоставление техники; сбор, вывоз и утилизация, в т.ч. ГСМ) </t>
        </is>
      </c>
      <c r="E468" s="4">
        <f>N468+O468</f>
        <v/>
      </c>
      <c r="F468" s="3" t="inlineStr">
        <is>
          <t>шт.</t>
        </is>
      </c>
      <c r="G468" s="4">
        <f>IFERROR('[1]Лист1'!G468,2)</f>
        <v/>
      </c>
      <c r="H468" s="16" t="n">
        <v>2</v>
      </c>
      <c r="I468" s="16" t="n">
        <v>2</v>
      </c>
      <c r="J468" s="16" t="n">
        <v>2</v>
      </c>
      <c r="K468" s="16" t="n">
        <v>2</v>
      </c>
      <c r="L468" s="16" t="n">
        <v>2</v>
      </c>
      <c r="M468" s="16" t="n">
        <v>2</v>
      </c>
      <c r="N468" s="4">
        <f>Работы!S470</f>
        <v/>
      </c>
      <c r="O468" s="4">
        <f>Работы!R470</f>
        <v/>
      </c>
      <c r="P468" s="16" t="n">
        <v>2</v>
      </c>
      <c r="Q468" s="16" t="n">
        <v>2</v>
      </c>
      <c r="R468" s="16" t="n">
        <v>2</v>
      </c>
      <c r="S468" s="16" t="n">
        <v>2</v>
      </c>
      <c r="T468" s="16" t="n">
        <v>2</v>
      </c>
      <c r="U468" s="16" t="n">
        <v>2</v>
      </c>
      <c r="V468" s="16" t="n">
        <v>2</v>
      </c>
      <c r="W468" s="16" t="n">
        <v>2</v>
      </c>
      <c r="X468" s="16" t="n">
        <v>2</v>
      </c>
      <c r="Y468" s="16" t="n">
        <v>2</v>
      </c>
      <c r="Z468" s="16" t="n">
        <v>2</v>
      </c>
      <c r="AA468" s="16" t="n">
        <v>2</v>
      </c>
    </row>
    <row r="469">
      <c r="A469" s="3" t="inlineStr">
        <is>
          <t>Аренда спецтехники</t>
        </is>
      </c>
      <c r="B469" s="3" t="inlineStr">
        <is>
          <t>Аренда строительных лесов</t>
        </is>
      </c>
      <c r="C469" s="3" t="inlineStr">
        <is>
          <t>Аренда</t>
        </is>
      </c>
      <c r="D469" s="3" t="inlineStr">
        <is>
          <t>Строительные леса ЛРСП/ЛШ (вкл. сборку/разборку) применение при реконструкции фасада здания и в помещениях с высотой потолка более 5 м.</t>
        </is>
      </c>
      <c r="E469" s="4">
        <f>N469+O469</f>
        <v/>
      </c>
      <c r="F469" s="3" t="inlineStr">
        <is>
          <t>шт.</t>
        </is>
      </c>
      <c r="G469" s="4">
        <f>IFERROR('[1]Лист1'!G469,2)</f>
        <v/>
      </c>
      <c r="H469" s="16" t="n">
        <v>2</v>
      </c>
      <c r="I469" s="16" t="n">
        <v>2</v>
      </c>
      <c r="J469" s="16" t="n">
        <v>2</v>
      </c>
      <c r="K469" s="16" t="n">
        <v>2</v>
      </c>
      <c r="L469" s="16" t="n">
        <v>2</v>
      </c>
      <c r="M469" s="16" t="n">
        <v>2</v>
      </c>
      <c r="N469" s="4">
        <f>Работы!S471</f>
        <v/>
      </c>
      <c r="O469" s="4">
        <f>Работы!R471</f>
        <v/>
      </c>
      <c r="P469" s="16" t="n">
        <v>2</v>
      </c>
      <c r="Q469" s="16" t="n">
        <v>2</v>
      </c>
      <c r="R469" s="16" t="n">
        <v>2</v>
      </c>
      <c r="S469" s="16" t="n">
        <v>2</v>
      </c>
      <c r="T469" s="16" t="n">
        <v>2</v>
      </c>
      <c r="U469" s="16" t="n">
        <v>2</v>
      </c>
      <c r="V469" s="16" t="n">
        <v>2</v>
      </c>
      <c r="W469" s="16" t="n">
        <v>2</v>
      </c>
      <c r="X469" s="16" t="n">
        <v>2</v>
      </c>
      <c r="Y469" s="16" t="n">
        <v>2</v>
      </c>
      <c r="Z469" s="16" t="n">
        <v>2</v>
      </c>
      <c r="AA469" s="16" t="n">
        <v>2</v>
      </c>
    </row>
    <row r="470">
      <c r="A470" s="3" t="inlineStr">
        <is>
          <t>Аренда спецтехники</t>
        </is>
      </c>
      <c r="B470" s="3" t="inlineStr">
        <is>
          <t>Аренда ножничного подъемника</t>
        </is>
      </c>
      <c r="C470" s="3" t="inlineStr">
        <is>
          <t>Аренда</t>
        </is>
      </c>
      <c r="D470" s="3" t="inlineStr">
        <is>
          <t>Подъемник MAGNI ES1612 Рабочая высота, м 15,7 или аналог.</t>
        </is>
      </c>
      <c r="E470" s="4">
        <f>N470+O470</f>
        <v/>
      </c>
      <c r="F470" s="3" t="inlineStr">
        <is>
          <t>маш.ч</t>
        </is>
      </c>
      <c r="G470" s="4">
        <f>IFERROR('[1]Лист1'!G470,2)</f>
        <v/>
      </c>
      <c r="H470" s="16" t="n">
        <v>2</v>
      </c>
      <c r="I470" s="16" t="n">
        <v>2</v>
      </c>
      <c r="J470" s="16" t="n">
        <v>2</v>
      </c>
      <c r="K470" s="16" t="n">
        <v>2</v>
      </c>
      <c r="L470" s="16" t="n">
        <v>2</v>
      </c>
      <c r="M470" s="16" t="n">
        <v>2</v>
      </c>
      <c r="N470" s="4">
        <f>Работы!S472</f>
        <v/>
      </c>
      <c r="O470" s="4">
        <f>Работы!R472</f>
        <v/>
      </c>
      <c r="P470" s="16" t="n">
        <v>2</v>
      </c>
      <c r="Q470" s="16" t="n">
        <v>2</v>
      </c>
      <c r="R470" s="16" t="n">
        <v>2</v>
      </c>
      <c r="S470" s="16" t="n">
        <v>2</v>
      </c>
      <c r="T470" s="16" t="n">
        <v>2</v>
      </c>
      <c r="U470" s="16" t="n">
        <v>2</v>
      </c>
      <c r="V470" s="16" t="n">
        <v>2</v>
      </c>
      <c r="W470" s="16" t="n">
        <v>2</v>
      </c>
      <c r="X470" s="16" t="n">
        <v>2</v>
      </c>
      <c r="Y470" s="16" t="n">
        <v>2</v>
      </c>
      <c r="Z470" s="16" t="n">
        <v>2</v>
      </c>
      <c r="AA470" s="16" t="n">
        <v>2</v>
      </c>
    </row>
    <row r="471">
      <c r="A471" s="3" t="inlineStr">
        <is>
          <t>СЦ. Услуги и материалы</t>
        </is>
      </c>
      <c r="B471" s="3" t="inlineStr">
        <is>
          <t>Прочее</t>
        </is>
      </c>
      <c r="C471" s="3" t="inlineStr">
        <is>
          <t>Монтажные работы</t>
        </is>
      </c>
      <c r="D471" s="3" t="inlineStr">
        <is>
          <t>Болт анкерный М20х200мм с гайкой (применение при креплении отбойников и стеллажного оборудования) СЦ</t>
        </is>
      </c>
      <c r="E471" s="4">
        <f>N471+O471</f>
        <v/>
      </c>
      <c r="F471" s="3" t="inlineStr">
        <is>
          <t>шт.</t>
        </is>
      </c>
      <c r="G471" s="4">
        <f>IFERROR('[1]Лист1'!G471,100)</f>
        <v/>
      </c>
      <c r="H471" s="16" t="n">
        <v>100</v>
      </c>
      <c r="I471" s="16" t="n">
        <v>100</v>
      </c>
      <c r="J471" s="16" t="n">
        <v>100</v>
      </c>
      <c r="K471" s="16" t="n">
        <v>100</v>
      </c>
      <c r="L471" s="16" t="n">
        <v>100</v>
      </c>
      <c r="M471" s="16" t="n">
        <v>100</v>
      </c>
      <c r="N471" s="4">
        <f>Работы!S473</f>
        <v/>
      </c>
      <c r="O471" s="4">
        <f>Работы!R473</f>
        <v/>
      </c>
      <c r="P471" s="16" t="n">
        <v>100</v>
      </c>
      <c r="Q471" s="16" t="n">
        <v>100</v>
      </c>
      <c r="R471" s="16" t="n">
        <v>100</v>
      </c>
      <c r="S471" s="16" t="n">
        <v>100</v>
      </c>
      <c r="T471" s="16" t="n">
        <v>100</v>
      </c>
      <c r="U471" s="16" t="n">
        <v>100</v>
      </c>
      <c r="V471" s="16" t="n">
        <v>100</v>
      </c>
      <c r="W471" s="16" t="n">
        <v>100</v>
      </c>
      <c r="X471" s="16" t="n">
        <v>100</v>
      </c>
      <c r="Y471" s="16" t="n">
        <v>100</v>
      </c>
      <c r="Z471" s="16" t="n">
        <v>100</v>
      </c>
      <c r="AA471" s="16" t="n">
        <v>100</v>
      </c>
    </row>
    <row r="472">
      <c r="A472" s="3" t="inlineStr">
        <is>
          <t>СЦ. Услуги и материалы</t>
        </is>
      </c>
      <c r="B472" s="3" t="inlineStr">
        <is>
          <t>Прочее</t>
        </is>
      </c>
      <c r="C472" s="3" t="inlineStr">
        <is>
          <t>Монтажные работы</t>
        </is>
      </c>
      <c r="D472" s="3" t="inlineStr">
        <is>
          <t>Болт анкерный М16*120мм с гайкой (применение при креплении отбойников и стеллажного оборудования) СЦ</t>
        </is>
      </c>
      <c r="E472" s="4">
        <f>N472+O472</f>
        <v/>
      </c>
      <c r="F472" s="3" t="inlineStr">
        <is>
          <t>шт.</t>
        </is>
      </c>
      <c r="G472" s="4">
        <f>IFERROR('[1]Лист1'!G472,100)</f>
        <v/>
      </c>
      <c r="H472" s="16" t="n">
        <v>100</v>
      </c>
      <c r="I472" s="16" t="n">
        <v>100</v>
      </c>
      <c r="J472" s="16" t="n">
        <v>100</v>
      </c>
      <c r="K472" s="16" t="n">
        <v>100</v>
      </c>
      <c r="L472" s="16" t="n">
        <v>100</v>
      </c>
      <c r="M472" s="16" t="n">
        <v>100</v>
      </c>
      <c r="N472" s="4">
        <f>Работы!S474</f>
        <v/>
      </c>
      <c r="O472" s="4">
        <f>Работы!R474</f>
        <v/>
      </c>
      <c r="P472" s="16" t="n">
        <v>100</v>
      </c>
      <c r="Q472" s="16" t="n">
        <v>100</v>
      </c>
      <c r="R472" s="16" t="n">
        <v>100</v>
      </c>
      <c r="S472" s="16" t="n">
        <v>100</v>
      </c>
      <c r="T472" s="16" t="n">
        <v>100</v>
      </c>
      <c r="U472" s="16" t="n">
        <v>100</v>
      </c>
      <c r="V472" s="16" t="n">
        <v>100</v>
      </c>
      <c r="W472" s="16" t="n">
        <v>100</v>
      </c>
      <c r="X472" s="16" t="n">
        <v>100</v>
      </c>
      <c r="Y472" s="16" t="n">
        <v>100</v>
      </c>
      <c r="Z472" s="16" t="n">
        <v>100</v>
      </c>
      <c r="AA472" s="16" t="n">
        <v>100</v>
      </c>
    </row>
    <row r="473">
      <c r="A473" s="3" t="inlineStr">
        <is>
          <t>СЦ. Услуги и материалы</t>
        </is>
      </c>
      <c r="B473" s="3" t="inlineStr">
        <is>
          <t>Прочее</t>
        </is>
      </c>
      <c r="C473" s="3" t="inlineStr">
        <is>
          <t>Монтажные работы</t>
        </is>
      </c>
      <c r="D473" s="3" t="inlineStr">
        <is>
          <t>Пластина металлическая монтажная для упорного бампера 500*250*100мм</t>
        </is>
      </c>
      <c r="E473" s="4">
        <f>N473+O473</f>
        <v/>
      </c>
      <c r="F473" s="3" t="inlineStr">
        <is>
          <t>шт.</t>
        </is>
      </c>
      <c r="G473" s="4">
        <f>IFERROR('[1]Лист1'!G473,100)</f>
        <v/>
      </c>
      <c r="H473" s="16" t="n">
        <v>100</v>
      </c>
      <c r="I473" s="16" t="n">
        <v>100</v>
      </c>
      <c r="J473" s="16" t="n">
        <v>100</v>
      </c>
      <c r="K473" s="16" t="n">
        <v>100</v>
      </c>
      <c r="L473" s="16" t="n">
        <v>100</v>
      </c>
      <c r="M473" s="16" t="n">
        <v>100</v>
      </c>
      <c r="N473" s="4">
        <f>Работы!S475</f>
        <v/>
      </c>
      <c r="O473" s="4">
        <f>Работы!R475</f>
        <v/>
      </c>
      <c r="P473" s="16" t="n">
        <v>100</v>
      </c>
      <c r="Q473" s="16" t="n">
        <v>100</v>
      </c>
      <c r="R473" s="16" t="n">
        <v>100</v>
      </c>
      <c r="S473" s="16" t="n">
        <v>100</v>
      </c>
      <c r="T473" s="16" t="n">
        <v>100</v>
      </c>
      <c r="U473" s="16" t="n">
        <v>100</v>
      </c>
      <c r="V473" s="16" t="n">
        <v>100</v>
      </c>
      <c r="W473" s="16" t="n">
        <v>100</v>
      </c>
      <c r="X473" s="16" t="n">
        <v>100</v>
      </c>
      <c r="Y473" s="16" t="n">
        <v>100</v>
      </c>
      <c r="Z473" s="16" t="n">
        <v>100</v>
      </c>
      <c r="AA473" s="16" t="n">
        <v>100</v>
      </c>
    </row>
    <row r="474">
      <c r="A474" s="3" t="inlineStr">
        <is>
          <t>СЦ. Услуги и материалы</t>
        </is>
      </c>
      <c r="B474" s="3" t="inlineStr">
        <is>
          <t>Прочее</t>
        </is>
      </c>
      <c r="C474" s="3" t="inlineStr">
        <is>
          <t>Монтажные работы</t>
        </is>
      </c>
      <c r="D474" s="3" t="inlineStr">
        <is>
          <t>Резиновый упор бампер 500*250*100мм</t>
        </is>
      </c>
      <c r="E474" s="4">
        <f>N474+O474</f>
        <v/>
      </c>
      <c r="F474" s="3" t="inlineStr">
        <is>
          <t>шт.</t>
        </is>
      </c>
      <c r="G474" s="4">
        <f>IFERROR('[1]Лист1'!G474,100)</f>
        <v/>
      </c>
      <c r="H474" s="16" t="n">
        <v>100</v>
      </c>
      <c r="I474" s="16" t="n">
        <v>100</v>
      </c>
      <c r="J474" s="16" t="n">
        <v>100</v>
      </c>
      <c r="K474" s="16" t="n">
        <v>100</v>
      </c>
      <c r="L474" s="16" t="n">
        <v>100</v>
      </c>
      <c r="M474" s="16" t="n">
        <v>100</v>
      </c>
      <c r="N474" s="4">
        <f>Работы!S476</f>
        <v/>
      </c>
      <c r="O474" s="4">
        <f>Работы!R476</f>
        <v/>
      </c>
      <c r="P474" s="16" t="n">
        <v>100</v>
      </c>
      <c r="Q474" s="16" t="n">
        <v>100</v>
      </c>
      <c r="R474" s="16" t="n">
        <v>100</v>
      </c>
      <c r="S474" s="16" t="n">
        <v>100</v>
      </c>
      <c r="T474" s="16" t="n">
        <v>100</v>
      </c>
      <c r="U474" s="16" t="n">
        <v>100</v>
      </c>
      <c r="V474" s="16" t="n">
        <v>100</v>
      </c>
      <c r="W474" s="16" t="n">
        <v>100</v>
      </c>
      <c r="X474" s="16" t="n">
        <v>100</v>
      </c>
      <c r="Y474" s="16" t="n">
        <v>100</v>
      </c>
      <c r="Z474" s="16" t="n">
        <v>100</v>
      </c>
      <c r="AA474" s="16" t="n">
        <v>100</v>
      </c>
    </row>
    <row r="475">
      <c r="A475" s="3" t="inlineStr">
        <is>
          <t>СЦ. Услуги и материалы</t>
        </is>
      </c>
      <c r="B475" s="3" t="inlineStr">
        <is>
          <t>ПВХ Завесы</t>
        </is>
      </c>
      <c r="C475" s="3" t="inlineStr">
        <is>
          <t>Монтажные работы</t>
        </is>
      </c>
      <c r="D475" s="3" t="inlineStr">
        <is>
          <t>Пленка ПВХ, морозостойкая, шир. 200х2мм (проезд на РЦ)</t>
        </is>
      </c>
      <c r="E475" s="4">
        <f>N475+O475</f>
        <v/>
      </c>
      <c r="F475" s="3" t="inlineStr">
        <is>
          <t>м.п.</t>
        </is>
      </c>
      <c r="G475" s="4">
        <f>IFERROR('[1]Лист1'!G475,100)</f>
        <v/>
      </c>
      <c r="H475" s="16" t="n">
        <v>100</v>
      </c>
      <c r="I475" s="16" t="n">
        <v>100</v>
      </c>
      <c r="J475" s="16" t="n">
        <v>100</v>
      </c>
      <c r="K475" s="16" t="n">
        <v>100</v>
      </c>
      <c r="L475" s="16" t="n">
        <v>100</v>
      </c>
      <c r="M475" s="16" t="n">
        <v>100</v>
      </c>
      <c r="N475" s="4">
        <f>Работы!S477</f>
        <v/>
      </c>
      <c r="O475" s="4">
        <f>Работы!R477</f>
        <v/>
      </c>
      <c r="P475" s="16" t="n">
        <v>100</v>
      </c>
      <c r="Q475" s="16" t="n">
        <v>100</v>
      </c>
      <c r="R475" s="16" t="n">
        <v>100</v>
      </c>
      <c r="S475" s="16" t="n">
        <v>100</v>
      </c>
      <c r="T475" s="16" t="n">
        <v>100</v>
      </c>
      <c r="U475" s="16" t="n">
        <v>100</v>
      </c>
      <c r="V475" s="16" t="n">
        <v>100</v>
      </c>
      <c r="W475" s="16" t="n">
        <v>100</v>
      </c>
      <c r="X475" s="16" t="n">
        <v>100</v>
      </c>
      <c r="Y475" s="16" t="n">
        <v>100</v>
      </c>
      <c r="Z475" s="16" t="n">
        <v>100</v>
      </c>
      <c r="AA475" s="16" t="n">
        <v>100</v>
      </c>
    </row>
    <row r="476">
      <c r="A476" s="3" t="inlineStr">
        <is>
          <t>СЦ. Услуги и материалы</t>
        </is>
      </c>
      <c r="B476" s="3" t="inlineStr">
        <is>
          <t>ПВХ Завесы</t>
        </is>
      </c>
      <c r="C476" s="3" t="inlineStr">
        <is>
          <t>Монтажные работы</t>
        </is>
      </c>
      <c r="D476" s="3" t="inlineStr">
        <is>
          <t>Пленка ПВХ, морозостойкая, шир. 300х3мм (проезд на РЦ)</t>
        </is>
      </c>
      <c r="E476" s="4">
        <f>N476+O476</f>
        <v/>
      </c>
      <c r="F476" s="3" t="inlineStr">
        <is>
          <t>м.п.</t>
        </is>
      </c>
      <c r="G476" s="4">
        <f>IFERROR('[1]Лист1'!G476,100)</f>
        <v/>
      </c>
      <c r="H476" s="16" t="n">
        <v>100</v>
      </c>
      <c r="I476" s="16" t="n">
        <v>100</v>
      </c>
      <c r="J476" s="16" t="n">
        <v>100</v>
      </c>
      <c r="K476" s="16" t="n">
        <v>100</v>
      </c>
      <c r="L476" s="16" t="n">
        <v>100</v>
      </c>
      <c r="M476" s="16" t="n">
        <v>100</v>
      </c>
      <c r="N476" s="4">
        <f>Работы!S478</f>
        <v/>
      </c>
      <c r="O476" s="4">
        <f>Работы!R478</f>
        <v/>
      </c>
      <c r="P476" s="16" t="n">
        <v>100</v>
      </c>
      <c r="Q476" s="16" t="n">
        <v>100</v>
      </c>
      <c r="R476" s="16" t="n">
        <v>100</v>
      </c>
      <c r="S476" s="16" t="n">
        <v>100</v>
      </c>
      <c r="T476" s="16" t="n">
        <v>100</v>
      </c>
      <c r="U476" s="16" t="n">
        <v>100</v>
      </c>
      <c r="V476" s="16" t="n">
        <v>100</v>
      </c>
      <c r="W476" s="16" t="n">
        <v>100</v>
      </c>
      <c r="X476" s="16" t="n">
        <v>100</v>
      </c>
      <c r="Y476" s="16" t="n">
        <v>100</v>
      </c>
      <c r="Z476" s="16" t="n">
        <v>100</v>
      </c>
      <c r="AA476" s="16" t="n">
        <v>100</v>
      </c>
    </row>
    <row r="477">
      <c r="A477" s="3" t="inlineStr">
        <is>
          <t>СЦ. Услуги и материалы</t>
        </is>
      </c>
      <c r="B477" s="3" t="inlineStr">
        <is>
          <t>ПВХ Завесы</t>
        </is>
      </c>
      <c r="C477" s="3" t="inlineStr">
        <is>
          <t>Монтажные работы</t>
        </is>
      </c>
      <c r="D477" s="3" t="inlineStr">
        <is>
          <t>Пленка ПВХ, морозостойкая, шир. 400х4мм (проезд на РЦ)</t>
        </is>
      </c>
      <c r="E477" s="4">
        <f>N477+O477</f>
        <v/>
      </c>
      <c r="F477" s="3" t="inlineStr">
        <is>
          <t>м.п.</t>
        </is>
      </c>
      <c r="G477" s="4">
        <f>IFERROR('[1]Лист1'!G477,100)</f>
        <v/>
      </c>
      <c r="H477" s="16" t="n">
        <v>100</v>
      </c>
      <c r="I477" s="16" t="n">
        <v>100</v>
      </c>
      <c r="J477" s="16" t="n">
        <v>100</v>
      </c>
      <c r="K477" s="16" t="n">
        <v>100</v>
      </c>
      <c r="L477" s="16" t="n">
        <v>100</v>
      </c>
      <c r="M477" s="16" t="n">
        <v>100</v>
      </c>
      <c r="N477" s="4">
        <f>Работы!S479</f>
        <v/>
      </c>
      <c r="O477" s="4">
        <f>Работы!R479</f>
        <v/>
      </c>
      <c r="P477" s="16" t="n">
        <v>100</v>
      </c>
      <c r="Q477" s="16" t="n">
        <v>100</v>
      </c>
      <c r="R477" s="16" t="n">
        <v>100</v>
      </c>
      <c r="S477" s="16" t="n">
        <v>100</v>
      </c>
      <c r="T477" s="16" t="n">
        <v>100</v>
      </c>
      <c r="U477" s="16" t="n">
        <v>100</v>
      </c>
      <c r="V477" s="16" t="n">
        <v>100</v>
      </c>
      <c r="W477" s="16" t="n">
        <v>100</v>
      </c>
      <c r="X477" s="16" t="n">
        <v>100</v>
      </c>
      <c r="Y477" s="16" t="n">
        <v>100</v>
      </c>
      <c r="Z477" s="16" t="n">
        <v>100</v>
      </c>
      <c r="AA477" s="16" t="n">
        <v>100</v>
      </c>
    </row>
    <row r="478">
      <c r="A478" s="3" t="inlineStr">
        <is>
          <t>СЦ. Услуги и материалы</t>
        </is>
      </c>
      <c r="B478" s="3" t="inlineStr">
        <is>
          <t>ПВХ Завесы</t>
        </is>
      </c>
      <c r="C478" s="3" t="inlineStr">
        <is>
          <t>Монтажные работы</t>
        </is>
      </c>
      <c r="D478" s="3" t="inlineStr">
        <is>
          <t>Пленка ПВХ, стандартная, шир. 200х2мм (проезд на РЦ)</t>
        </is>
      </c>
      <c r="E478" s="4">
        <f>N478+O478</f>
        <v/>
      </c>
      <c r="F478" s="3" t="inlineStr">
        <is>
          <t>м.п.</t>
        </is>
      </c>
      <c r="G478" s="4">
        <f>IFERROR('[1]Лист1'!G478,100)</f>
        <v/>
      </c>
      <c r="H478" s="16" t="n">
        <v>100</v>
      </c>
      <c r="I478" s="16" t="n">
        <v>100</v>
      </c>
      <c r="J478" s="16" t="n">
        <v>100</v>
      </c>
      <c r="K478" s="16" t="n">
        <v>100</v>
      </c>
      <c r="L478" s="16" t="n">
        <v>100</v>
      </c>
      <c r="M478" s="16" t="n">
        <v>100</v>
      </c>
      <c r="N478" s="4">
        <f>Работы!S480</f>
        <v/>
      </c>
      <c r="O478" s="4">
        <f>Работы!R480</f>
        <v/>
      </c>
      <c r="P478" s="16" t="n">
        <v>100</v>
      </c>
      <c r="Q478" s="16" t="n">
        <v>100</v>
      </c>
      <c r="R478" s="16" t="n">
        <v>100</v>
      </c>
      <c r="S478" s="16" t="n">
        <v>100</v>
      </c>
      <c r="T478" s="16" t="n">
        <v>100</v>
      </c>
      <c r="U478" s="16" t="n">
        <v>100</v>
      </c>
      <c r="V478" s="16" t="n">
        <v>100</v>
      </c>
      <c r="W478" s="16" t="n">
        <v>100</v>
      </c>
      <c r="X478" s="16" t="n">
        <v>100</v>
      </c>
      <c r="Y478" s="16" t="n">
        <v>100</v>
      </c>
      <c r="Z478" s="16" t="n">
        <v>100</v>
      </c>
      <c r="AA478" s="16" t="n">
        <v>100</v>
      </c>
    </row>
    <row r="479">
      <c r="A479" s="3" t="inlineStr">
        <is>
          <t>СЦ. Услуги и материалы</t>
        </is>
      </c>
      <c r="B479" s="3" t="inlineStr">
        <is>
          <t>ПВХ Завесы</t>
        </is>
      </c>
      <c r="C479" s="3" t="inlineStr">
        <is>
          <t>Монтажные работы</t>
        </is>
      </c>
      <c r="D479" s="3" t="inlineStr">
        <is>
          <t>Пленка ПВХ, стантартная, шир. 300х3мм (проезд на РЦ)</t>
        </is>
      </c>
      <c r="E479" s="4">
        <f>N479+O479</f>
        <v/>
      </c>
      <c r="F479" s="3" t="inlineStr">
        <is>
          <t>м.п.</t>
        </is>
      </c>
      <c r="G479" s="4">
        <f>IFERROR('[1]Лист1'!G479,100)</f>
        <v/>
      </c>
      <c r="H479" s="16" t="n">
        <v>100</v>
      </c>
      <c r="I479" s="16" t="n">
        <v>100</v>
      </c>
      <c r="J479" s="16" t="n">
        <v>100</v>
      </c>
      <c r="K479" s="16" t="n">
        <v>100</v>
      </c>
      <c r="L479" s="16" t="n">
        <v>100</v>
      </c>
      <c r="M479" s="16" t="n">
        <v>100</v>
      </c>
      <c r="N479" s="4">
        <f>Работы!S481</f>
        <v/>
      </c>
      <c r="O479" s="4">
        <f>Работы!R481</f>
        <v/>
      </c>
      <c r="P479" s="16" t="n">
        <v>100</v>
      </c>
      <c r="Q479" s="16" t="n">
        <v>100</v>
      </c>
      <c r="R479" s="16" t="n">
        <v>100</v>
      </c>
      <c r="S479" s="16" t="n">
        <v>100</v>
      </c>
      <c r="T479" s="16" t="n">
        <v>100</v>
      </c>
      <c r="U479" s="16" t="n">
        <v>100</v>
      </c>
      <c r="V479" s="16" t="n">
        <v>100</v>
      </c>
      <c r="W479" s="16" t="n">
        <v>100</v>
      </c>
      <c r="X479" s="16" t="n">
        <v>100</v>
      </c>
      <c r="Y479" s="16" t="n">
        <v>100</v>
      </c>
      <c r="Z479" s="16" t="n">
        <v>100</v>
      </c>
      <c r="AA479" s="16" t="n">
        <v>100</v>
      </c>
    </row>
    <row r="480">
      <c r="A480" s="3" t="inlineStr">
        <is>
          <t>СЦ. Услуги и материалы</t>
        </is>
      </c>
      <c r="B480" s="3" t="inlineStr">
        <is>
          <t>ПВХ Завесы</t>
        </is>
      </c>
      <c r="C480" s="3" t="inlineStr">
        <is>
          <t>Монтажные работы</t>
        </is>
      </c>
      <c r="D480" s="3" t="inlineStr">
        <is>
          <t>Пленка ПВХ, стандартная, шир. 400х4мм (проезд на РЦ)</t>
        </is>
      </c>
      <c r="E480" s="4">
        <f>N480+O480</f>
        <v/>
      </c>
      <c r="F480" s="3" t="inlineStr">
        <is>
          <t>м.п.</t>
        </is>
      </c>
      <c r="G480" s="4">
        <f>IFERROR('[1]Лист1'!G480,100)</f>
        <v/>
      </c>
      <c r="H480" s="16" t="n">
        <v>100</v>
      </c>
      <c r="I480" s="16" t="n">
        <v>100</v>
      </c>
      <c r="J480" s="16" t="n">
        <v>100</v>
      </c>
      <c r="K480" s="16" t="n">
        <v>100</v>
      </c>
      <c r="L480" s="16" t="n">
        <v>100</v>
      </c>
      <c r="M480" s="16" t="n">
        <v>100</v>
      </c>
      <c r="N480" s="4">
        <f>Работы!S482</f>
        <v/>
      </c>
      <c r="O480" s="4">
        <f>Работы!R482</f>
        <v/>
      </c>
      <c r="P480" s="16" t="n">
        <v>100</v>
      </c>
      <c r="Q480" s="16" t="n">
        <v>100</v>
      </c>
      <c r="R480" s="16" t="n">
        <v>100</v>
      </c>
      <c r="S480" s="16" t="n">
        <v>100</v>
      </c>
      <c r="T480" s="16" t="n">
        <v>100</v>
      </c>
      <c r="U480" s="16" t="n">
        <v>100</v>
      </c>
      <c r="V480" s="16" t="n">
        <v>100</v>
      </c>
      <c r="W480" s="16" t="n">
        <v>100</v>
      </c>
      <c r="X480" s="16" t="n">
        <v>100</v>
      </c>
      <c r="Y480" s="16" t="n">
        <v>100</v>
      </c>
      <c r="Z480" s="16" t="n">
        <v>100</v>
      </c>
      <c r="AA480" s="16" t="n">
        <v>100</v>
      </c>
    </row>
    <row r="481">
      <c r="A481" s="3" t="inlineStr">
        <is>
          <t>СЦ. Услуги и материалы</t>
        </is>
      </c>
      <c r="B481" s="3" t="inlineStr">
        <is>
          <t>Промышленные полы</t>
        </is>
      </c>
      <c r="C481" s="3" t="inlineStr">
        <is>
          <t>Восстановительные работы</t>
        </is>
      </c>
      <c r="D481" s="3" t="inlineStr">
        <is>
          <t>Восстановление разрушений в плите пола эпоксидным составом «ESP 2106» (или аналогичным) без учёта материалов ( СЦ )</t>
        </is>
      </c>
      <c r="E481" s="4">
        <f>N481+O481</f>
        <v/>
      </c>
      <c r="F481" s="3" t="inlineStr">
        <is>
          <t>м2</t>
        </is>
      </c>
      <c r="G481" s="4">
        <f>IFERROR('[1]Лист1'!G481,100)</f>
        <v/>
      </c>
      <c r="H481" s="16" t="n">
        <v>100</v>
      </c>
      <c r="I481" s="16" t="n">
        <v>100</v>
      </c>
      <c r="J481" s="16" t="n">
        <v>100</v>
      </c>
      <c r="K481" s="16" t="n">
        <v>100</v>
      </c>
      <c r="L481" s="16" t="n">
        <v>100</v>
      </c>
      <c r="M481" s="16" t="n">
        <v>100</v>
      </c>
      <c r="N481" s="4">
        <f>Работы!S483</f>
        <v/>
      </c>
      <c r="O481" s="4">
        <f>Работы!R483</f>
        <v/>
      </c>
      <c r="P481" s="16" t="n">
        <v>100</v>
      </c>
      <c r="Q481" s="16" t="n">
        <v>100</v>
      </c>
      <c r="R481" s="16" t="n">
        <v>100</v>
      </c>
      <c r="S481" s="16" t="n">
        <v>100</v>
      </c>
      <c r="T481" s="16" t="n">
        <v>100</v>
      </c>
      <c r="U481" s="16" t="n">
        <v>100</v>
      </c>
      <c r="V481" s="16" t="n">
        <v>100</v>
      </c>
      <c r="W481" s="16" t="n">
        <v>100</v>
      </c>
      <c r="X481" s="16" t="n">
        <v>100</v>
      </c>
      <c r="Y481" s="16" t="n">
        <v>100</v>
      </c>
      <c r="Z481" s="16" t="n">
        <v>100</v>
      </c>
      <c r="AA481" s="16" t="n">
        <v>100</v>
      </c>
    </row>
    <row r="482">
      <c r="A482" s="3" t="inlineStr">
        <is>
          <t>СЦ. Услуги и материалы</t>
        </is>
      </c>
      <c r="B482" s="3" t="inlineStr">
        <is>
          <t>Промышленные полы</t>
        </is>
      </c>
      <c r="C482" s="3" t="inlineStr">
        <is>
          <t>Восстановительные работы</t>
        </is>
      </c>
      <c r="D482" s="3" t="inlineStr">
        <is>
          <t>Ремонт трещин в плите пола эпоксидным составом</t>
        </is>
      </c>
      <c r="E482" s="4">
        <f>N482+O482</f>
        <v/>
      </c>
      <c r="F482" s="3" t="inlineStr">
        <is>
          <t>м2</t>
        </is>
      </c>
      <c r="G482" s="4">
        <f>IFERROR('[1]Лист1'!G482,100)</f>
        <v/>
      </c>
      <c r="H482" s="16" t="n">
        <v>100</v>
      </c>
      <c r="I482" s="16" t="n">
        <v>100</v>
      </c>
      <c r="J482" s="16" t="n">
        <v>100</v>
      </c>
      <c r="K482" s="16" t="n">
        <v>100</v>
      </c>
      <c r="L482" s="16" t="n">
        <v>100</v>
      </c>
      <c r="M482" s="16" t="n">
        <v>100</v>
      </c>
      <c r="N482" s="4">
        <f>Работы!S484</f>
        <v/>
      </c>
      <c r="O482" s="4">
        <f>Работы!R484</f>
        <v/>
      </c>
      <c r="P482" s="16" t="n">
        <v>100</v>
      </c>
      <c r="Q482" s="16" t="n">
        <v>100</v>
      </c>
      <c r="R482" s="16" t="n">
        <v>100</v>
      </c>
      <c r="S482" s="16" t="n">
        <v>100</v>
      </c>
      <c r="T482" s="16" t="n">
        <v>100</v>
      </c>
      <c r="U482" s="16" t="n">
        <v>100</v>
      </c>
      <c r="V482" s="16" t="n">
        <v>100</v>
      </c>
      <c r="W482" s="16" t="n">
        <v>100</v>
      </c>
      <c r="X482" s="16" t="n">
        <v>100</v>
      </c>
      <c r="Y482" s="16" t="n">
        <v>100</v>
      </c>
      <c r="Z482" s="16" t="n">
        <v>100</v>
      </c>
      <c r="AA482" s="16" t="n">
        <v>100</v>
      </c>
    </row>
    <row r="483">
      <c r="A483" s="3" t="inlineStr">
        <is>
          <t>СЦ. Услуги и материалы</t>
        </is>
      </c>
      <c r="B483" s="3" t="inlineStr">
        <is>
          <t>Промышленные полы</t>
        </is>
      </c>
      <c r="C483" s="3" t="inlineStr">
        <is>
          <t>Восстановительные работы</t>
        </is>
      </c>
      <c r="D483" s="3" t="inlineStr">
        <is>
          <t>«ESP 2106» (или аналогичным) без учёта материалов ( СЦ )</t>
        </is>
      </c>
      <c r="E483" s="4">
        <f>N483+O483</f>
        <v/>
      </c>
      <c r="F483" s="3" t="inlineStr">
        <is>
          <t>м.п.</t>
        </is>
      </c>
      <c r="G483" s="4">
        <f>IFERROR('[1]Лист1'!G483,100)</f>
        <v/>
      </c>
      <c r="H483" s="16" t="n">
        <v>100</v>
      </c>
      <c r="I483" s="16" t="n">
        <v>100</v>
      </c>
      <c r="J483" s="16" t="n">
        <v>100</v>
      </c>
      <c r="K483" s="16" t="n">
        <v>100</v>
      </c>
      <c r="L483" s="16" t="n">
        <v>100</v>
      </c>
      <c r="M483" s="16" t="n">
        <v>100</v>
      </c>
      <c r="N483" s="4">
        <f>Работы!S485</f>
        <v/>
      </c>
      <c r="O483" s="4">
        <f>Работы!R485</f>
        <v/>
      </c>
      <c r="P483" s="16" t="n">
        <v>100</v>
      </c>
      <c r="Q483" s="16" t="n">
        <v>100</v>
      </c>
      <c r="R483" s="16" t="n">
        <v>100</v>
      </c>
      <c r="S483" s="16" t="n">
        <v>100</v>
      </c>
      <c r="T483" s="16" t="n">
        <v>100</v>
      </c>
      <c r="U483" s="16" t="n">
        <v>100</v>
      </c>
      <c r="V483" s="16" t="n">
        <v>100</v>
      </c>
      <c r="W483" s="16" t="n">
        <v>100</v>
      </c>
      <c r="X483" s="16" t="n">
        <v>100</v>
      </c>
      <c r="Y483" s="16" t="n">
        <v>100</v>
      </c>
      <c r="Z483" s="16" t="n">
        <v>100</v>
      </c>
      <c r="AA483" s="16" t="n">
        <v>100</v>
      </c>
    </row>
    <row r="484">
      <c r="A484" s="3" t="inlineStr">
        <is>
          <t>СЦ. Услуги и материалы</t>
        </is>
      </c>
      <c r="B484" s="3" t="inlineStr">
        <is>
          <t>Пож.безопасность</t>
        </is>
      </c>
      <c r="C484" s="3" t="inlineStr">
        <is>
          <t>Замена</t>
        </is>
      </c>
      <c r="D484" s="3" t="inlineStr">
        <is>
          <t>Пожарный извещатель ручной электроконтактный Рубеж ИПР 513-10 или аналог</t>
        </is>
      </c>
      <c r="E484" s="4">
        <f>N484+O484</f>
        <v/>
      </c>
      <c r="F484" s="3" t="inlineStr">
        <is>
          <t>шт.</t>
        </is>
      </c>
      <c r="G484" s="4">
        <f>IFERROR('[1]Лист1'!G484,100)</f>
        <v/>
      </c>
      <c r="H484" s="16" t="n">
        <v>100</v>
      </c>
      <c r="I484" s="16" t="n">
        <v>100</v>
      </c>
      <c r="J484" s="16" t="n">
        <v>100</v>
      </c>
      <c r="K484" s="16" t="n">
        <v>100</v>
      </c>
      <c r="L484" s="16" t="n">
        <v>100</v>
      </c>
      <c r="M484" s="16" t="n">
        <v>100</v>
      </c>
      <c r="N484" s="4">
        <f>Работы!S486</f>
        <v/>
      </c>
      <c r="O484" s="4">
        <f>Работы!R486</f>
        <v/>
      </c>
      <c r="P484" s="16" t="n">
        <v>100</v>
      </c>
      <c r="Q484" s="16" t="n">
        <v>100</v>
      </c>
      <c r="R484" s="16" t="n">
        <v>100</v>
      </c>
      <c r="S484" s="16" t="n">
        <v>100</v>
      </c>
      <c r="T484" s="16" t="n">
        <v>100</v>
      </c>
      <c r="U484" s="16" t="n">
        <v>100</v>
      </c>
      <c r="V484" s="16" t="n">
        <v>100</v>
      </c>
      <c r="W484" s="16" t="n">
        <v>100</v>
      </c>
      <c r="X484" s="16" t="n">
        <v>100</v>
      </c>
      <c r="Y484" s="16" t="n">
        <v>100</v>
      </c>
      <c r="Z484" s="16" t="n">
        <v>100</v>
      </c>
      <c r="AA484" s="16" t="n">
        <v>100</v>
      </c>
    </row>
    <row r="485">
      <c r="A485" s="3" t="inlineStr">
        <is>
          <t>СЦ. Услуги и материалы</t>
        </is>
      </c>
      <c r="B485" s="3" t="inlineStr">
        <is>
          <t>Пож.безопасность</t>
        </is>
      </c>
      <c r="C485" s="3" t="inlineStr">
        <is>
          <t>Замена</t>
        </is>
      </c>
      <c r="D485" s="3" t="inlineStr">
        <is>
          <t>Щит пожарный закрытый металл (1250х700х300) или аналог</t>
        </is>
      </c>
      <c r="E485" s="4">
        <f>N485+O485</f>
        <v/>
      </c>
      <c r="F485" s="3" t="inlineStr">
        <is>
          <t>шт.</t>
        </is>
      </c>
      <c r="G485" s="4">
        <f>IFERROR('[1]Лист1'!G485,100)</f>
        <v/>
      </c>
      <c r="H485" s="16" t="n">
        <v>100</v>
      </c>
      <c r="I485" s="16" t="n">
        <v>100</v>
      </c>
      <c r="J485" s="16" t="n">
        <v>100</v>
      </c>
      <c r="K485" s="16" t="n">
        <v>100</v>
      </c>
      <c r="L485" s="16" t="n">
        <v>100</v>
      </c>
      <c r="M485" s="16" t="n">
        <v>100</v>
      </c>
      <c r="N485" s="4">
        <f>Работы!S487</f>
        <v/>
      </c>
      <c r="O485" s="4">
        <f>Работы!R487</f>
        <v/>
      </c>
      <c r="P485" s="16" t="n">
        <v>100</v>
      </c>
      <c r="Q485" s="16" t="n">
        <v>100</v>
      </c>
      <c r="R485" s="16" t="n">
        <v>100</v>
      </c>
      <c r="S485" s="16" t="n">
        <v>100</v>
      </c>
      <c r="T485" s="16" t="n">
        <v>100</v>
      </c>
      <c r="U485" s="16" t="n">
        <v>100</v>
      </c>
      <c r="V485" s="16" t="n">
        <v>100</v>
      </c>
      <c r="W485" s="16" t="n">
        <v>100</v>
      </c>
      <c r="X485" s="16" t="n">
        <v>100</v>
      </c>
      <c r="Y485" s="16" t="n">
        <v>100</v>
      </c>
      <c r="Z485" s="16" t="n">
        <v>100</v>
      </c>
      <c r="AA485" s="16" t="n">
        <v>100</v>
      </c>
    </row>
    <row r="486">
      <c r="A486" s="3" t="inlineStr">
        <is>
          <t>СЦ. Услуги и материалы</t>
        </is>
      </c>
      <c r="B486" s="3" t="inlineStr">
        <is>
          <t>Пож.безопасность</t>
        </is>
      </c>
      <c r="C486" s="3" t="inlineStr">
        <is>
          <t>Замена</t>
        </is>
      </c>
      <c r="D486" s="3" t="inlineStr">
        <is>
          <t>Пожарный шкаф МИГ Метинтергрупп ШПК-320 НЗК 320-21 евро-ручка 1300х540х230 мм</t>
        </is>
      </c>
      <c r="E486" s="4">
        <f>N486+O486</f>
        <v/>
      </c>
      <c r="F486" s="3" t="inlineStr">
        <is>
          <t>шт.</t>
        </is>
      </c>
      <c r="G486" s="4">
        <f>IFERROR('[1]Лист1'!G486,100)</f>
        <v/>
      </c>
      <c r="H486" s="16" t="n">
        <v>100</v>
      </c>
      <c r="I486" s="16" t="n">
        <v>100</v>
      </c>
      <c r="J486" s="16" t="n">
        <v>100</v>
      </c>
      <c r="K486" s="16" t="n">
        <v>100</v>
      </c>
      <c r="L486" s="16" t="n">
        <v>100</v>
      </c>
      <c r="M486" s="16" t="n">
        <v>100</v>
      </c>
      <c r="N486" s="4">
        <f>Работы!S488</f>
        <v/>
      </c>
      <c r="O486" s="4">
        <f>Работы!R488</f>
        <v/>
      </c>
      <c r="P486" s="16" t="n">
        <v>100</v>
      </c>
      <c r="Q486" s="16" t="n">
        <v>100</v>
      </c>
      <c r="R486" s="16" t="n">
        <v>100</v>
      </c>
      <c r="S486" s="16" t="n">
        <v>100</v>
      </c>
      <c r="T486" s="16" t="n">
        <v>100</v>
      </c>
      <c r="U486" s="16" t="n">
        <v>100</v>
      </c>
      <c r="V486" s="16" t="n">
        <v>100</v>
      </c>
      <c r="W486" s="16" t="n">
        <v>100</v>
      </c>
      <c r="X486" s="16" t="n">
        <v>100</v>
      </c>
      <c r="Y486" s="16" t="n">
        <v>100</v>
      </c>
      <c r="Z486" s="16" t="n">
        <v>100</v>
      </c>
      <c r="AA486" s="16" t="n">
        <v>100</v>
      </c>
    </row>
    <row r="487">
      <c r="A487" s="3" t="inlineStr">
        <is>
          <t>СЦ. Услуги и материалы</t>
        </is>
      </c>
      <c r="B487" s="3" t="inlineStr">
        <is>
          <t>Пож.безопасность</t>
        </is>
      </c>
      <c r="C487" s="3" t="inlineStr">
        <is>
          <t>Замена</t>
        </is>
      </c>
      <c r="D487" s="3" t="inlineStr">
        <is>
          <t>Пожарный шкаф ООО Метинтергрупп ШПКО-320 НЗК евро-ручка или аналог</t>
        </is>
      </c>
      <c r="E487" s="4">
        <f>N487+O487</f>
        <v/>
      </c>
      <c r="F487" s="3" t="inlineStr">
        <is>
          <t>шт.</t>
        </is>
      </c>
      <c r="G487" s="4">
        <f>IFERROR('[1]Лист1'!G487,100)</f>
        <v/>
      </c>
      <c r="H487" s="16" t="n">
        <v>100</v>
      </c>
      <c r="I487" s="16" t="n">
        <v>100</v>
      </c>
      <c r="J487" s="16" t="n">
        <v>100</v>
      </c>
      <c r="K487" s="16" t="n">
        <v>100</v>
      </c>
      <c r="L487" s="16" t="n">
        <v>100</v>
      </c>
      <c r="M487" s="16" t="n">
        <v>100</v>
      </c>
      <c r="N487" s="4">
        <f>Работы!S489</f>
        <v/>
      </c>
      <c r="O487" s="4">
        <f>Работы!R489</f>
        <v/>
      </c>
      <c r="P487" s="16" t="n">
        <v>100</v>
      </c>
      <c r="Q487" s="16" t="n">
        <v>100</v>
      </c>
      <c r="R487" s="16" t="n">
        <v>100</v>
      </c>
      <c r="S487" s="16" t="n">
        <v>100</v>
      </c>
      <c r="T487" s="16" t="n">
        <v>100</v>
      </c>
      <c r="U487" s="16" t="n">
        <v>100</v>
      </c>
      <c r="V487" s="16" t="n">
        <v>100</v>
      </c>
      <c r="W487" s="16" t="n">
        <v>100</v>
      </c>
      <c r="X487" s="16" t="n">
        <v>100</v>
      </c>
      <c r="Y487" s="16" t="n">
        <v>100</v>
      </c>
      <c r="Z487" s="16" t="n">
        <v>100</v>
      </c>
      <c r="AA487" s="16" t="n">
        <v>100</v>
      </c>
    </row>
    <row r="488">
      <c r="A488" s="3" t="inlineStr">
        <is>
          <t>СЦ. Услуги и материалы</t>
        </is>
      </c>
      <c r="B488" s="3" t="inlineStr">
        <is>
          <t>Пож.безопасность</t>
        </is>
      </c>
      <c r="C488" s="3" t="inlineStr">
        <is>
          <t>Замена</t>
        </is>
      </c>
      <c r="D488" s="3" t="inlineStr">
        <is>
          <t>Пожарный шкаф ООО Метинтергрупп ШПК-310 НЗБ евро-ручка или аналог</t>
        </is>
      </c>
      <c r="E488" s="4">
        <f>N488+O488</f>
        <v/>
      </c>
      <c r="F488" s="3" t="inlineStr">
        <is>
          <t>шт.</t>
        </is>
      </c>
      <c r="G488" s="4">
        <f>IFERROR('[1]Лист1'!G488,100)</f>
        <v/>
      </c>
      <c r="H488" s="16" t="n">
        <v>100</v>
      </c>
      <c r="I488" s="16" t="n">
        <v>100</v>
      </c>
      <c r="J488" s="16" t="n">
        <v>100</v>
      </c>
      <c r="K488" s="16" t="n">
        <v>100</v>
      </c>
      <c r="L488" s="16" t="n">
        <v>100</v>
      </c>
      <c r="M488" s="16" t="n">
        <v>100</v>
      </c>
      <c r="N488" s="4">
        <f>Работы!S490</f>
        <v/>
      </c>
      <c r="O488" s="4">
        <f>Работы!R490</f>
        <v/>
      </c>
      <c r="P488" s="16" t="n">
        <v>100</v>
      </c>
      <c r="Q488" s="16" t="n">
        <v>100</v>
      </c>
      <c r="R488" s="16" t="n">
        <v>100</v>
      </c>
      <c r="S488" s="16" t="n">
        <v>100</v>
      </c>
      <c r="T488" s="16" t="n">
        <v>100</v>
      </c>
      <c r="U488" s="16" t="n">
        <v>100</v>
      </c>
      <c r="V488" s="16" t="n">
        <v>100</v>
      </c>
      <c r="W488" s="16" t="n">
        <v>100</v>
      </c>
      <c r="X488" s="16" t="n">
        <v>100</v>
      </c>
      <c r="Y488" s="16" t="n">
        <v>100</v>
      </c>
      <c r="Z488" s="16" t="n">
        <v>100</v>
      </c>
      <c r="AA488" s="16" t="n">
        <v>100</v>
      </c>
    </row>
    <row r="489">
      <c r="A489" s="3" t="inlineStr">
        <is>
          <t>СЦ. Услуги и материалы</t>
        </is>
      </c>
      <c r="B489" s="3" t="inlineStr">
        <is>
          <t>Пож.безопасность</t>
        </is>
      </c>
      <c r="C489" s="3" t="inlineStr">
        <is>
          <t>Замена</t>
        </is>
      </c>
      <c r="D489" s="3" t="inlineStr">
        <is>
          <t>Шкаф пожарный Балтика-01 навесной ШП-К-320-21 НЗК (2ПК) ЗМ 1300x540x230 красный или аналог</t>
        </is>
      </c>
      <c r="E489" s="4">
        <f>N489+O489</f>
        <v/>
      </c>
      <c r="F489" s="3" t="inlineStr">
        <is>
          <t>шт.</t>
        </is>
      </c>
      <c r="G489" s="4">
        <f>IFERROR('[1]Лист1'!G489,100)</f>
        <v/>
      </c>
      <c r="H489" s="16" t="n">
        <v>100</v>
      </c>
      <c r="I489" s="16" t="n">
        <v>100</v>
      </c>
      <c r="J489" s="16" t="n">
        <v>100</v>
      </c>
      <c r="K489" s="16" t="n">
        <v>100</v>
      </c>
      <c r="L489" s="16" t="n">
        <v>100</v>
      </c>
      <c r="M489" s="16" t="n">
        <v>100</v>
      </c>
      <c r="N489" s="4">
        <f>Работы!S491</f>
        <v/>
      </c>
      <c r="O489" s="4">
        <f>Работы!R491</f>
        <v/>
      </c>
      <c r="P489" s="16" t="n">
        <v>100</v>
      </c>
      <c r="Q489" s="16" t="n">
        <v>100</v>
      </c>
      <c r="R489" s="16" t="n">
        <v>100</v>
      </c>
      <c r="S489" s="16" t="n">
        <v>100</v>
      </c>
      <c r="T489" s="16" t="n">
        <v>100</v>
      </c>
      <c r="U489" s="16" t="n">
        <v>100</v>
      </c>
      <c r="V489" s="16" t="n">
        <v>100</v>
      </c>
      <c r="W489" s="16" t="n">
        <v>100</v>
      </c>
      <c r="X489" s="16" t="n">
        <v>100</v>
      </c>
      <c r="Y489" s="16" t="n">
        <v>100</v>
      </c>
      <c r="Z489" s="16" t="n">
        <v>100</v>
      </c>
      <c r="AA489" s="16" t="n">
        <v>100</v>
      </c>
    </row>
    <row r="490">
      <c r="A490" s="3" t="inlineStr">
        <is>
          <t>СЦ. Услуги и материалы</t>
        </is>
      </c>
      <c r="B490" s="3" t="inlineStr">
        <is>
          <t>Пож.безопасность</t>
        </is>
      </c>
      <c r="C490" s="3" t="inlineStr">
        <is>
          <t>Замена</t>
        </is>
      </c>
      <c r="D490" s="3" t="inlineStr">
        <is>
          <t>ШП-К-О-Пульс-320-12 НЗК Н/С 4 кассеты, без перфорации в нижней секции, навесной, закрытый, красный, 700х1300х300 или аналог</t>
        </is>
      </c>
      <c r="E490" s="4">
        <f>N490+O490</f>
        <v/>
      </c>
      <c r="F490" s="3" t="inlineStr">
        <is>
          <t>шт.</t>
        </is>
      </c>
      <c r="G490" s="4">
        <f>IFERROR('[1]Лист1'!G490,100)</f>
        <v/>
      </c>
      <c r="H490" s="16" t="n">
        <v>100</v>
      </c>
      <c r="I490" s="16" t="n">
        <v>100</v>
      </c>
      <c r="J490" s="16" t="n">
        <v>100</v>
      </c>
      <c r="K490" s="16" t="n">
        <v>100</v>
      </c>
      <c r="L490" s="16" t="n">
        <v>100</v>
      </c>
      <c r="M490" s="16" t="n">
        <v>100</v>
      </c>
      <c r="N490" s="4">
        <f>Работы!S492</f>
        <v/>
      </c>
      <c r="O490" s="4">
        <f>Работы!R492</f>
        <v/>
      </c>
      <c r="P490" s="16" t="n">
        <v>100</v>
      </c>
      <c r="Q490" s="16" t="n">
        <v>100</v>
      </c>
      <c r="R490" s="16" t="n">
        <v>100</v>
      </c>
      <c r="S490" s="16" t="n">
        <v>100</v>
      </c>
      <c r="T490" s="16" t="n">
        <v>100</v>
      </c>
      <c r="U490" s="16" t="n">
        <v>100</v>
      </c>
      <c r="V490" s="16" t="n">
        <v>100</v>
      </c>
      <c r="W490" s="16" t="n">
        <v>100</v>
      </c>
      <c r="X490" s="16" t="n">
        <v>100</v>
      </c>
      <c r="Y490" s="16" t="n">
        <v>100</v>
      </c>
      <c r="Z490" s="16" t="n">
        <v>100</v>
      </c>
      <c r="AA490" s="16" t="n">
        <v>100</v>
      </c>
    </row>
    <row r="491">
      <c r="A491" s="3" t="inlineStr">
        <is>
          <t>СЦ. Услуги и материалы</t>
        </is>
      </c>
      <c r="B491" s="3" t="inlineStr">
        <is>
          <t>Пож.безопасность</t>
        </is>
      </c>
      <c r="C491" s="3" t="inlineStr">
        <is>
          <t>Замена</t>
        </is>
      </c>
      <c r="D491" s="3" t="inlineStr">
        <is>
          <t>Шкаф пожарный ШПК-320-12 НЗК или аналог</t>
        </is>
      </c>
      <c r="E491" s="4">
        <f>N491+O491</f>
        <v/>
      </c>
      <c r="F491" s="3" t="inlineStr">
        <is>
          <t>шт.</t>
        </is>
      </c>
      <c r="G491" s="4">
        <f>IFERROR('[1]Лист1'!G491,100)</f>
        <v/>
      </c>
      <c r="H491" s="16" t="n">
        <v>100</v>
      </c>
      <c r="I491" s="16" t="n">
        <v>100</v>
      </c>
      <c r="J491" s="16" t="n">
        <v>100</v>
      </c>
      <c r="K491" s="16" t="n">
        <v>100</v>
      </c>
      <c r="L491" s="16" t="n">
        <v>100</v>
      </c>
      <c r="M491" s="16" t="n">
        <v>100</v>
      </c>
      <c r="N491" s="4">
        <f>Работы!S493</f>
        <v/>
      </c>
      <c r="O491" s="4">
        <f>Работы!R493</f>
        <v/>
      </c>
      <c r="P491" s="16" t="n">
        <v>100</v>
      </c>
      <c r="Q491" s="16" t="n">
        <v>100</v>
      </c>
      <c r="R491" s="16" t="n">
        <v>100</v>
      </c>
      <c r="S491" s="16" t="n">
        <v>100</v>
      </c>
      <c r="T491" s="16" t="n">
        <v>100</v>
      </c>
      <c r="U491" s="16" t="n">
        <v>100</v>
      </c>
      <c r="V491" s="16" t="n">
        <v>100</v>
      </c>
      <c r="W491" s="16" t="n">
        <v>100</v>
      </c>
      <c r="X491" s="16" t="n">
        <v>100</v>
      </c>
      <c r="Y491" s="16" t="n">
        <v>100</v>
      </c>
      <c r="Z491" s="16" t="n">
        <v>100</v>
      </c>
      <c r="AA491" s="16" t="n">
        <v>100</v>
      </c>
    </row>
    <row r="492">
      <c r="A492" s="3" t="inlineStr">
        <is>
          <t>СЦ. Услуги и материалы</t>
        </is>
      </c>
      <c r="B492" s="3" t="inlineStr">
        <is>
          <t>Пож.безопасность</t>
        </is>
      </c>
      <c r="C492" s="3" t="inlineStr">
        <is>
          <t>Замена</t>
        </is>
      </c>
      <c r="D492" s="3" t="inlineStr">
        <is>
          <t>Шкаф ШПК-315 НОК650х840х230 или аналог</t>
        </is>
      </c>
      <c r="E492" s="4">
        <f>N492+O492</f>
        <v/>
      </c>
      <c r="F492" s="3" t="inlineStr">
        <is>
          <t>шт.</t>
        </is>
      </c>
      <c r="G492" s="4">
        <f>IFERROR('[1]Лист1'!G492,100)</f>
        <v/>
      </c>
      <c r="H492" s="16" t="n">
        <v>100</v>
      </c>
      <c r="I492" s="16" t="n">
        <v>100</v>
      </c>
      <c r="J492" s="16" t="n">
        <v>100</v>
      </c>
      <c r="K492" s="16" t="n">
        <v>100</v>
      </c>
      <c r="L492" s="16" t="n">
        <v>100</v>
      </c>
      <c r="M492" s="16" t="n">
        <v>100</v>
      </c>
      <c r="N492" s="4">
        <f>Работы!S494</f>
        <v/>
      </c>
      <c r="O492" s="4">
        <f>Работы!R494</f>
        <v/>
      </c>
      <c r="P492" s="16" t="n">
        <v>100</v>
      </c>
      <c r="Q492" s="16" t="n">
        <v>100</v>
      </c>
      <c r="R492" s="16" t="n">
        <v>100</v>
      </c>
      <c r="S492" s="16" t="n">
        <v>100</v>
      </c>
      <c r="T492" s="16" t="n">
        <v>100</v>
      </c>
      <c r="U492" s="16" t="n">
        <v>100</v>
      </c>
      <c r="V492" s="16" t="n">
        <v>100</v>
      </c>
      <c r="W492" s="16" t="n">
        <v>100</v>
      </c>
      <c r="X492" s="16" t="n">
        <v>100</v>
      </c>
      <c r="Y492" s="16" t="n">
        <v>100</v>
      </c>
      <c r="Z492" s="16" t="n">
        <v>100</v>
      </c>
      <c r="AA492" s="16" t="n">
        <v>100</v>
      </c>
    </row>
    <row r="493">
      <c r="A493" s="3" t="inlineStr">
        <is>
          <t>СЦ. Услуги и материалы</t>
        </is>
      </c>
      <c r="B493" s="3" t="inlineStr">
        <is>
          <t>Пож.безопасность</t>
        </is>
      </c>
      <c r="C493" s="3" t="inlineStr">
        <is>
          <t>Замена</t>
        </is>
      </c>
      <c r="D493" s="3" t="inlineStr">
        <is>
          <t xml:space="preserve">Пожарный шкаф ШПК-320Н (540х1300х230) закрытый </t>
        </is>
      </c>
      <c r="E493" s="4">
        <f>N493+O493</f>
        <v/>
      </c>
      <c r="F493" s="3" t="inlineStr">
        <is>
          <t>шт.</t>
        </is>
      </c>
      <c r="G493" s="4">
        <f>IFERROR('[1]Лист1'!G493,100)</f>
        <v/>
      </c>
      <c r="H493" s="16" t="n">
        <v>100</v>
      </c>
      <c r="I493" s="16" t="n">
        <v>100</v>
      </c>
      <c r="J493" s="16" t="n">
        <v>100</v>
      </c>
      <c r="K493" s="16" t="n">
        <v>100</v>
      </c>
      <c r="L493" s="16" t="n">
        <v>100</v>
      </c>
      <c r="M493" s="16" t="n">
        <v>100</v>
      </c>
      <c r="N493" s="4">
        <f>Работы!S495</f>
        <v/>
      </c>
      <c r="O493" s="4">
        <f>Работы!R495</f>
        <v/>
      </c>
      <c r="P493" s="16" t="n">
        <v>100</v>
      </c>
      <c r="Q493" s="16" t="n">
        <v>100</v>
      </c>
      <c r="R493" s="16" t="n">
        <v>100</v>
      </c>
      <c r="S493" s="16" t="n">
        <v>100</v>
      </c>
      <c r="T493" s="16" t="n">
        <v>100</v>
      </c>
      <c r="U493" s="16" t="n">
        <v>100</v>
      </c>
      <c r="V493" s="16" t="n">
        <v>100</v>
      </c>
      <c r="W493" s="16" t="n">
        <v>100</v>
      </c>
      <c r="X493" s="16" t="n">
        <v>100</v>
      </c>
      <c r="Y493" s="16" t="n">
        <v>100</v>
      </c>
      <c r="Z493" s="16" t="n">
        <v>100</v>
      </c>
      <c r="AA493" s="16" t="n">
        <v>100</v>
      </c>
    </row>
    <row r="494">
      <c r="A494" s="3" t="inlineStr">
        <is>
          <t>СЦ. Услуги и материалы</t>
        </is>
      </c>
      <c r="B494" s="3" t="inlineStr">
        <is>
          <t>Пож.безопасность</t>
        </is>
      </c>
      <c r="C494" s="3" t="inlineStr">
        <is>
          <t>Замена</t>
        </is>
      </c>
      <c r="D494" s="3" t="inlineStr">
        <is>
          <t>Шкаф пожарный Балтика-01 навесной ШП-К-320-21 НЗК (2ПК) ЗМ 1300x540x230 красный</t>
        </is>
      </c>
      <c r="E494" s="4">
        <f>N494+O494</f>
        <v/>
      </c>
      <c r="F494" s="3" t="inlineStr">
        <is>
          <t>шт.</t>
        </is>
      </c>
      <c r="G494" s="4">
        <f>IFERROR('[1]Лист1'!G494,100)</f>
        <v/>
      </c>
      <c r="H494" s="16" t="n">
        <v>100</v>
      </c>
      <c r="I494" s="16" t="n">
        <v>100</v>
      </c>
      <c r="J494" s="16" t="n">
        <v>100</v>
      </c>
      <c r="K494" s="16" t="n">
        <v>100</v>
      </c>
      <c r="L494" s="16" t="n">
        <v>100</v>
      </c>
      <c r="M494" s="16" t="n">
        <v>100</v>
      </c>
      <c r="N494" s="4">
        <f>Работы!S496</f>
        <v/>
      </c>
      <c r="O494" s="4">
        <f>Работы!R496</f>
        <v/>
      </c>
      <c r="P494" s="16" t="n">
        <v>100</v>
      </c>
      <c r="Q494" s="16" t="n">
        <v>100</v>
      </c>
      <c r="R494" s="16" t="n">
        <v>100</v>
      </c>
      <c r="S494" s="16" t="n">
        <v>100</v>
      </c>
      <c r="T494" s="16" t="n">
        <v>100</v>
      </c>
      <c r="U494" s="16" t="n">
        <v>100</v>
      </c>
      <c r="V494" s="16" t="n">
        <v>100</v>
      </c>
      <c r="W494" s="16" t="n">
        <v>100</v>
      </c>
      <c r="X494" s="16" t="n">
        <v>100</v>
      </c>
      <c r="Y494" s="16" t="n">
        <v>100</v>
      </c>
      <c r="Z494" s="16" t="n">
        <v>100</v>
      </c>
      <c r="AA494" s="16" t="n">
        <v>100</v>
      </c>
    </row>
    <row r="495">
      <c r="A495" s="3" t="inlineStr">
        <is>
          <t>СЦ. Услуги и материалы</t>
        </is>
      </c>
      <c r="B495" s="3" t="inlineStr">
        <is>
          <t>Ремонт гидравлических тележек</t>
        </is>
      </c>
      <c r="C495" s="3" t="inlineStr">
        <is>
          <t>Монтажные работы</t>
        </is>
      </c>
      <c r="D495" s="3" t="inlineStr">
        <is>
          <t>Ремкомплект гидроузла рохли</t>
        </is>
      </c>
      <c r="E495" s="4">
        <f>N495+O495</f>
        <v/>
      </c>
      <c r="F495" s="3" t="inlineStr">
        <is>
          <t>шт.</t>
        </is>
      </c>
      <c r="G495" s="4">
        <f>IFERROR('[1]Лист1'!G495,100)</f>
        <v/>
      </c>
      <c r="H495" s="16" t="n">
        <v>100</v>
      </c>
      <c r="I495" s="16" t="n">
        <v>100</v>
      </c>
      <c r="J495" s="16" t="n">
        <v>100</v>
      </c>
      <c r="K495" s="16" t="n">
        <v>100</v>
      </c>
      <c r="L495" s="16" t="n">
        <v>100</v>
      </c>
      <c r="M495" s="16" t="n">
        <v>100</v>
      </c>
      <c r="N495" s="4">
        <f>Работы!S497</f>
        <v/>
      </c>
      <c r="O495" s="4">
        <f>Работы!R497</f>
        <v/>
      </c>
      <c r="P495" s="16" t="n">
        <v>100</v>
      </c>
      <c r="Q495" s="16" t="n">
        <v>100</v>
      </c>
      <c r="R495" s="16" t="n">
        <v>100</v>
      </c>
      <c r="S495" s="16" t="n">
        <v>100</v>
      </c>
      <c r="T495" s="16" t="n">
        <v>100</v>
      </c>
      <c r="U495" s="16" t="n">
        <v>100</v>
      </c>
      <c r="V495" s="16" t="n">
        <v>100</v>
      </c>
      <c r="W495" s="16" t="n">
        <v>100</v>
      </c>
      <c r="X495" s="16" t="n">
        <v>100</v>
      </c>
      <c r="Y495" s="16" t="n">
        <v>100</v>
      </c>
      <c r="Z495" s="16" t="n">
        <v>100</v>
      </c>
      <c r="AA495" s="16" t="n">
        <v>100</v>
      </c>
    </row>
    <row r="496">
      <c r="A496" s="3" t="inlineStr">
        <is>
          <t>СЦ. Услуги и материалы</t>
        </is>
      </c>
      <c r="B496" s="3" t="inlineStr">
        <is>
          <t>Ремонт гидравлических тележек</t>
        </is>
      </c>
      <c r="C496" s="3" t="inlineStr">
        <is>
          <t>Монтажные работы</t>
        </is>
      </c>
      <c r="D496" s="3" t="inlineStr">
        <is>
          <t xml:space="preserve">Масло гидравлическое </t>
        </is>
      </c>
      <c r="E496" s="4">
        <f>N496+O496</f>
        <v/>
      </c>
      <c r="F496" s="3" t="inlineStr">
        <is>
          <t>шт.</t>
        </is>
      </c>
      <c r="G496" s="4">
        <f>IFERROR('[1]Лист1'!G496,100)</f>
        <v/>
      </c>
      <c r="H496" s="16" t="n">
        <v>100</v>
      </c>
      <c r="I496" s="16" t="n">
        <v>100</v>
      </c>
      <c r="J496" s="16" t="n">
        <v>100</v>
      </c>
      <c r="K496" s="16" t="n">
        <v>100</v>
      </c>
      <c r="L496" s="16" t="n">
        <v>100</v>
      </c>
      <c r="M496" s="16" t="n">
        <v>100</v>
      </c>
      <c r="N496" s="4">
        <f>Работы!S498</f>
        <v/>
      </c>
      <c r="O496" s="4">
        <f>Работы!R498</f>
        <v/>
      </c>
      <c r="P496" s="16" t="n">
        <v>100</v>
      </c>
      <c r="Q496" s="16" t="n">
        <v>100</v>
      </c>
      <c r="R496" s="16" t="n">
        <v>100</v>
      </c>
      <c r="S496" s="16" t="n">
        <v>100</v>
      </c>
      <c r="T496" s="16" t="n">
        <v>100</v>
      </c>
      <c r="U496" s="16" t="n">
        <v>100</v>
      </c>
      <c r="V496" s="16" t="n">
        <v>100</v>
      </c>
      <c r="W496" s="16" t="n">
        <v>100</v>
      </c>
      <c r="X496" s="16" t="n">
        <v>100</v>
      </c>
      <c r="Y496" s="16" t="n">
        <v>100</v>
      </c>
      <c r="Z496" s="16" t="n">
        <v>100</v>
      </c>
      <c r="AA496" s="16" t="n">
        <v>100</v>
      </c>
    </row>
    <row r="497">
      <c r="A497" s="3" t="inlineStr">
        <is>
          <t>СЦ. Услуги и материалы</t>
        </is>
      </c>
      <c r="B497" s="3" t="inlineStr">
        <is>
          <t>Ремонт гидравлических тележек</t>
        </is>
      </c>
      <c r="C497" s="3" t="inlineStr">
        <is>
          <t>Монтажные работы</t>
        </is>
      </c>
      <c r="D497" s="3" t="inlineStr">
        <is>
          <t>Смазка консистентная (400 мл)</t>
        </is>
      </c>
      <c r="E497" s="4">
        <f>N497+O497</f>
        <v/>
      </c>
      <c r="F497" s="3" t="inlineStr">
        <is>
          <t>шт.</t>
        </is>
      </c>
      <c r="G497" s="4">
        <f>IFERROR('[1]Лист1'!G497,100)</f>
        <v/>
      </c>
      <c r="H497" s="16" t="n">
        <v>100</v>
      </c>
      <c r="I497" s="16" t="n">
        <v>100</v>
      </c>
      <c r="J497" s="16" t="n">
        <v>100</v>
      </c>
      <c r="K497" s="16" t="n">
        <v>100</v>
      </c>
      <c r="L497" s="16" t="n">
        <v>100</v>
      </c>
      <c r="M497" s="16" t="n">
        <v>100</v>
      </c>
      <c r="N497" s="4">
        <f>Работы!S499</f>
        <v/>
      </c>
      <c r="O497" s="4">
        <f>Работы!R499</f>
        <v/>
      </c>
      <c r="P497" s="16" t="n">
        <v>100</v>
      </c>
      <c r="Q497" s="16" t="n">
        <v>100</v>
      </c>
      <c r="R497" s="16" t="n">
        <v>100</v>
      </c>
      <c r="S497" s="16" t="n">
        <v>100</v>
      </c>
      <c r="T497" s="16" t="n">
        <v>100</v>
      </c>
      <c r="U497" s="16" t="n">
        <v>100</v>
      </c>
      <c r="V497" s="16" t="n">
        <v>100</v>
      </c>
      <c r="W497" s="16" t="n">
        <v>100</v>
      </c>
      <c r="X497" s="16" t="n">
        <v>100</v>
      </c>
      <c r="Y497" s="16" t="n">
        <v>100</v>
      </c>
      <c r="Z497" s="16" t="n">
        <v>100</v>
      </c>
      <c r="AA497" s="16" t="n">
        <v>100</v>
      </c>
    </row>
    <row r="498">
      <c r="A498" s="3" t="inlineStr">
        <is>
          <t>СЦ. Услуги и материалы</t>
        </is>
      </c>
      <c r="B498" s="3" t="inlineStr">
        <is>
          <t>Ремонт гидравлических тележек</t>
        </is>
      </c>
      <c r="C498" s="3" t="inlineStr">
        <is>
          <t>Монтажные работы</t>
        </is>
      </c>
      <c r="D498" s="3" t="inlineStr">
        <is>
          <t>Колесо (ведущее) опорное рохли (ступица - алюминий; контактный слой - резина)</t>
        </is>
      </c>
      <c r="E498" s="4">
        <f>N498+O498</f>
        <v/>
      </c>
      <c r="F498" s="3" t="inlineStr">
        <is>
          <t>шт.</t>
        </is>
      </c>
      <c r="G498" s="4">
        <f>IFERROR('[1]Лист1'!G498,100)</f>
        <v/>
      </c>
      <c r="H498" s="16" t="n">
        <v>100</v>
      </c>
      <c r="I498" s="16" t="n">
        <v>100</v>
      </c>
      <c r="J498" s="16" t="n">
        <v>100</v>
      </c>
      <c r="K498" s="16" t="n">
        <v>100</v>
      </c>
      <c r="L498" s="16" t="n">
        <v>100</v>
      </c>
      <c r="M498" s="16" t="n">
        <v>100</v>
      </c>
      <c r="N498" s="4">
        <f>Работы!S500</f>
        <v/>
      </c>
      <c r="O498" s="4">
        <f>Работы!R500</f>
        <v/>
      </c>
      <c r="P498" s="16" t="n">
        <v>100</v>
      </c>
      <c r="Q498" s="16" t="n">
        <v>100</v>
      </c>
      <c r="R498" s="16" t="n">
        <v>100</v>
      </c>
      <c r="S498" s="16" t="n">
        <v>100</v>
      </c>
      <c r="T498" s="16" t="n">
        <v>100</v>
      </c>
      <c r="U498" s="16" t="n">
        <v>100</v>
      </c>
      <c r="V498" s="16" t="n">
        <v>100</v>
      </c>
      <c r="W498" s="16" t="n">
        <v>100</v>
      </c>
      <c r="X498" s="16" t="n">
        <v>100</v>
      </c>
      <c r="Y498" s="16" t="n">
        <v>100</v>
      </c>
      <c r="Z498" s="16" t="n">
        <v>100</v>
      </c>
      <c r="AA498" s="16" t="n">
        <v>100</v>
      </c>
    </row>
    <row r="499">
      <c r="A499" s="3" t="inlineStr">
        <is>
          <t>СЦ. Услуги и материалы</t>
        </is>
      </c>
      <c r="B499" s="3" t="inlineStr">
        <is>
          <t>Ремонт гидравлических тележек</t>
        </is>
      </c>
      <c r="C499" s="3" t="inlineStr">
        <is>
          <t>Монтажные работы</t>
        </is>
      </c>
      <c r="D499" s="3" t="inlineStr">
        <is>
          <t>Колесо (ролик) малое грузовое рохли (полиуретан) 80x70</t>
        </is>
      </c>
      <c r="E499" s="4">
        <f>N499+O499</f>
        <v/>
      </c>
      <c r="F499" s="3" t="inlineStr">
        <is>
          <t>шт.</t>
        </is>
      </c>
      <c r="G499" s="4">
        <f>IFERROR('[1]Лист1'!G499,100)</f>
        <v/>
      </c>
      <c r="H499" s="16" t="n">
        <v>100</v>
      </c>
      <c r="I499" s="16" t="n">
        <v>100</v>
      </c>
      <c r="J499" s="16" t="n">
        <v>100</v>
      </c>
      <c r="K499" s="16" t="n">
        <v>100</v>
      </c>
      <c r="L499" s="16" t="n">
        <v>100</v>
      </c>
      <c r="M499" s="16" t="n">
        <v>100</v>
      </c>
      <c r="N499" s="4">
        <f>Работы!S501</f>
        <v/>
      </c>
      <c r="O499" s="4">
        <f>Работы!R501</f>
        <v/>
      </c>
      <c r="P499" s="16" t="n">
        <v>100</v>
      </c>
      <c r="Q499" s="16" t="n">
        <v>100</v>
      </c>
      <c r="R499" s="16" t="n">
        <v>100</v>
      </c>
      <c r="S499" s="16" t="n">
        <v>100</v>
      </c>
      <c r="T499" s="16" t="n">
        <v>100</v>
      </c>
      <c r="U499" s="16" t="n">
        <v>100</v>
      </c>
      <c r="V499" s="16" t="n">
        <v>100</v>
      </c>
      <c r="W499" s="16" t="n">
        <v>100</v>
      </c>
      <c r="X499" s="16" t="n">
        <v>100</v>
      </c>
      <c r="Y499" s="16" t="n">
        <v>100</v>
      </c>
      <c r="Z499" s="16" t="n">
        <v>100</v>
      </c>
      <c r="AA499" s="16" t="n">
        <v>100</v>
      </c>
    </row>
    <row r="500">
      <c r="A500" s="3" t="inlineStr">
        <is>
          <t>СЦ. Услуги и материалы</t>
        </is>
      </c>
      <c r="B500" s="3" t="inlineStr">
        <is>
          <t>Ремонт гидравлических тележек</t>
        </is>
      </c>
      <c r="C500" s="3" t="inlineStr">
        <is>
          <t>Монтажные работы</t>
        </is>
      </c>
      <c r="D500" s="3" t="inlineStr">
        <is>
          <t>Пружина гидроузла рохли</t>
        </is>
      </c>
      <c r="E500" s="4">
        <f>N500+O500</f>
        <v/>
      </c>
      <c r="F500" s="3" t="inlineStr">
        <is>
          <t>шт.</t>
        </is>
      </c>
      <c r="G500" s="4">
        <f>IFERROR('[1]Лист1'!G500,100)</f>
        <v/>
      </c>
      <c r="H500" s="16" t="n">
        <v>100</v>
      </c>
      <c r="I500" s="16" t="n">
        <v>100</v>
      </c>
      <c r="J500" s="16" t="n">
        <v>100</v>
      </c>
      <c r="K500" s="16" t="n">
        <v>100</v>
      </c>
      <c r="L500" s="16" t="n">
        <v>100</v>
      </c>
      <c r="M500" s="16" t="n">
        <v>100</v>
      </c>
      <c r="N500" s="4">
        <f>Работы!S502</f>
        <v/>
      </c>
      <c r="O500" s="4">
        <f>Работы!R502</f>
        <v/>
      </c>
      <c r="P500" s="16" t="n">
        <v>100</v>
      </c>
      <c r="Q500" s="16" t="n">
        <v>100</v>
      </c>
      <c r="R500" s="16" t="n">
        <v>100</v>
      </c>
      <c r="S500" s="16" t="n">
        <v>100</v>
      </c>
      <c r="T500" s="16" t="n">
        <v>100</v>
      </c>
      <c r="U500" s="16" t="n">
        <v>100</v>
      </c>
      <c r="V500" s="16" t="n">
        <v>100</v>
      </c>
      <c r="W500" s="16" t="n">
        <v>100</v>
      </c>
      <c r="X500" s="16" t="n">
        <v>100</v>
      </c>
      <c r="Y500" s="16" t="n">
        <v>100</v>
      </c>
      <c r="Z500" s="16" t="n">
        <v>100</v>
      </c>
      <c r="AA500" s="16" t="n">
        <v>100</v>
      </c>
    </row>
    <row r="501">
      <c r="A501" s="3" t="inlineStr">
        <is>
          <t>СЦ. Услуги и материалы</t>
        </is>
      </c>
      <c r="B501" s="3" t="inlineStr">
        <is>
          <t>Ремонт гидравлических тележек</t>
        </is>
      </c>
      <c r="C501" s="3" t="inlineStr">
        <is>
          <t>Монтажные работы</t>
        </is>
      </c>
      <c r="D501" s="3" t="inlineStr">
        <is>
          <t>Клапан перепускной гидроузла Рохли</t>
        </is>
      </c>
      <c r="E501" s="4">
        <f>N501+O501</f>
        <v/>
      </c>
      <c r="F501" s="3" t="inlineStr">
        <is>
          <t>шт.</t>
        </is>
      </c>
      <c r="G501" s="4">
        <f>IFERROR('[1]Лист1'!G501,100)</f>
        <v/>
      </c>
      <c r="H501" s="16" t="n">
        <v>100</v>
      </c>
      <c r="I501" s="16" t="n">
        <v>100</v>
      </c>
      <c r="J501" s="16" t="n">
        <v>100</v>
      </c>
      <c r="K501" s="16" t="n">
        <v>100</v>
      </c>
      <c r="L501" s="16" t="n">
        <v>100</v>
      </c>
      <c r="M501" s="16" t="n">
        <v>100</v>
      </c>
      <c r="N501" s="4">
        <f>Работы!S503</f>
        <v/>
      </c>
      <c r="O501" s="4">
        <f>Работы!R503</f>
        <v/>
      </c>
      <c r="P501" s="16" t="n">
        <v>100</v>
      </c>
      <c r="Q501" s="16" t="n">
        <v>100</v>
      </c>
      <c r="R501" s="16" t="n">
        <v>100</v>
      </c>
      <c r="S501" s="16" t="n">
        <v>100</v>
      </c>
      <c r="T501" s="16" t="n">
        <v>100</v>
      </c>
      <c r="U501" s="16" t="n">
        <v>100</v>
      </c>
      <c r="V501" s="16" t="n">
        <v>100</v>
      </c>
      <c r="W501" s="16" t="n">
        <v>100</v>
      </c>
      <c r="X501" s="16" t="n">
        <v>100</v>
      </c>
      <c r="Y501" s="16" t="n">
        <v>100</v>
      </c>
      <c r="Z501" s="16" t="n">
        <v>100</v>
      </c>
      <c r="AA501" s="16" t="n">
        <v>100</v>
      </c>
    </row>
    <row r="502">
      <c r="A502" s="3" t="inlineStr">
        <is>
          <t>СЦ. Услуги и материалы</t>
        </is>
      </c>
      <c r="B502" s="3" t="inlineStr">
        <is>
          <t>Пож.безопасность</t>
        </is>
      </c>
      <c r="C502" s="3" t="inlineStr">
        <is>
          <t>Замена</t>
        </is>
      </c>
      <c r="D502" s="3" t="inlineStr">
        <is>
          <t>ИПР-3СУ извещатель пожарный ручной или аналог</t>
        </is>
      </c>
      <c r="E502" s="4">
        <f>N502+O502</f>
        <v/>
      </c>
      <c r="F502" s="3" t="inlineStr">
        <is>
          <t>шт.</t>
        </is>
      </c>
      <c r="G502" s="4">
        <f>IFERROR('[1]Лист1'!G502,100)</f>
        <v/>
      </c>
      <c r="H502" s="16" t="n">
        <v>100</v>
      </c>
      <c r="I502" s="16" t="n">
        <v>100</v>
      </c>
      <c r="J502" s="16" t="n">
        <v>100</v>
      </c>
      <c r="K502" s="16" t="n">
        <v>100</v>
      </c>
      <c r="L502" s="16" t="n">
        <v>100</v>
      </c>
      <c r="M502" s="16" t="n">
        <v>100</v>
      </c>
      <c r="N502" s="4">
        <f>Работы!S504</f>
        <v/>
      </c>
      <c r="O502" s="4">
        <f>Работы!R504</f>
        <v/>
      </c>
      <c r="P502" s="16" t="n">
        <v>100</v>
      </c>
      <c r="Q502" s="16" t="n">
        <v>100</v>
      </c>
      <c r="R502" s="16" t="n">
        <v>100</v>
      </c>
      <c r="S502" s="16" t="n">
        <v>100</v>
      </c>
      <c r="T502" s="16" t="n">
        <v>100</v>
      </c>
      <c r="U502" s="16" t="n">
        <v>100</v>
      </c>
      <c r="V502" s="16" t="n">
        <v>100</v>
      </c>
      <c r="W502" s="16" t="n">
        <v>100</v>
      </c>
      <c r="X502" s="16" t="n">
        <v>100</v>
      </c>
      <c r="Y502" s="16" t="n">
        <v>100</v>
      </c>
      <c r="Z502" s="16" t="n">
        <v>100</v>
      </c>
      <c r="AA502" s="16" t="n">
        <v>100</v>
      </c>
    </row>
    <row r="503">
      <c r="A503" s="3" t="inlineStr">
        <is>
          <t>СЦ. Услуги и материалы</t>
        </is>
      </c>
      <c r="B503" s="3" t="inlineStr">
        <is>
          <t>Пож.безопасность</t>
        </is>
      </c>
      <c r="C503" s="3" t="inlineStr">
        <is>
          <t>Замена</t>
        </is>
      </c>
      <c r="D503" s="3" t="inlineStr">
        <is>
          <t>Болид ИПР 513-3М или аналог</t>
        </is>
      </c>
      <c r="E503" s="4">
        <f>N503+O503</f>
        <v/>
      </c>
      <c r="F503" s="3" t="inlineStr">
        <is>
          <t>шт.</t>
        </is>
      </c>
      <c r="G503" s="4">
        <f>IFERROR('[1]Лист1'!G503,100)</f>
        <v/>
      </c>
      <c r="H503" s="16" t="n">
        <v>100</v>
      </c>
      <c r="I503" s="16" t="n">
        <v>100</v>
      </c>
      <c r="J503" s="16" t="n">
        <v>100</v>
      </c>
      <c r="K503" s="16" t="n">
        <v>100</v>
      </c>
      <c r="L503" s="16" t="n">
        <v>100</v>
      </c>
      <c r="M503" s="16" t="n">
        <v>100</v>
      </c>
      <c r="N503" s="4">
        <f>Работы!S505</f>
        <v/>
      </c>
      <c r="O503" s="4">
        <f>Работы!R505</f>
        <v/>
      </c>
      <c r="P503" s="16" t="n">
        <v>100</v>
      </c>
      <c r="Q503" s="16" t="n">
        <v>100</v>
      </c>
      <c r="R503" s="16" t="n">
        <v>100</v>
      </c>
      <c r="S503" s="16" t="n">
        <v>100</v>
      </c>
      <c r="T503" s="16" t="n">
        <v>100</v>
      </c>
      <c r="U503" s="16" t="n">
        <v>100</v>
      </c>
      <c r="V503" s="16" t="n">
        <v>100</v>
      </c>
      <c r="W503" s="16" t="n">
        <v>100</v>
      </c>
      <c r="X503" s="16" t="n">
        <v>100</v>
      </c>
      <c r="Y503" s="16" t="n">
        <v>100</v>
      </c>
      <c r="Z503" s="16" t="n">
        <v>100</v>
      </c>
      <c r="AA503" s="16" t="n">
        <v>100</v>
      </c>
    </row>
    <row r="504">
      <c r="A504" s="3" t="inlineStr">
        <is>
          <t>СЦ. Услуги и материалы</t>
        </is>
      </c>
      <c r="B504" s="3" t="inlineStr">
        <is>
          <t>Пож.безопасность</t>
        </is>
      </c>
      <c r="C504" s="3" t="inlineStr">
        <is>
          <t>Замена</t>
        </is>
      </c>
      <c r="D504" s="3" t="inlineStr">
        <is>
          <t>Защитный кожух ЗК-5 для ИПР или аналог</t>
        </is>
      </c>
      <c r="E504" s="4">
        <f>N504+O504</f>
        <v/>
      </c>
      <c r="F504" s="3" t="inlineStr">
        <is>
          <t>шт.</t>
        </is>
      </c>
      <c r="G504" s="4">
        <f>IFERROR('[1]Лист1'!G504,100)</f>
        <v/>
      </c>
      <c r="H504" s="16" t="n">
        <v>100</v>
      </c>
      <c r="I504" s="16" t="n">
        <v>100</v>
      </c>
      <c r="J504" s="16" t="n">
        <v>100</v>
      </c>
      <c r="K504" s="16" t="n">
        <v>100</v>
      </c>
      <c r="L504" s="16" t="n">
        <v>100</v>
      </c>
      <c r="M504" s="16" t="n">
        <v>100</v>
      </c>
      <c r="N504" s="4">
        <f>Работы!S506</f>
        <v/>
      </c>
      <c r="O504" s="4">
        <f>Работы!R506</f>
        <v/>
      </c>
      <c r="P504" s="16" t="n">
        <v>100</v>
      </c>
      <c r="Q504" s="16" t="n">
        <v>100</v>
      </c>
      <c r="R504" s="16" t="n">
        <v>100</v>
      </c>
      <c r="S504" s="16" t="n">
        <v>100</v>
      </c>
      <c r="T504" s="16" t="n">
        <v>100</v>
      </c>
      <c r="U504" s="16" t="n">
        <v>100</v>
      </c>
      <c r="V504" s="16" t="n">
        <v>100</v>
      </c>
      <c r="W504" s="16" t="n">
        <v>100</v>
      </c>
      <c r="X504" s="16" t="n">
        <v>100</v>
      </c>
      <c r="Y504" s="16" t="n">
        <v>100</v>
      </c>
      <c r="Z504" s="16" t="n">
        <v>100</v>
      </c>
      <c r="AA504" s="16" t="n">
        <v>100</v>
      </c>
    </row>
    <row r="505">
      <c r="A505" s="3" t="inlineStr">
        <is>
          <t>СЦ. Услуги и материалы</t>
        </is>
      </c>
      <c r="B505" s="3" t="inlineStr">
        <is>
          <t>Предоставление ДГУ</t>
        </is>
      </c>
      <c r="C505" s="3" t="inlineStr">
        <is>
          <t>Аренда</t>
        </is>
      </c>
      <c r="D505" s="3" t="inlineStr">
        <is>
          <t xml:space="preserve">Предоставление ДГУ 40-80 кВт (подключение установки и ее функционирования, в т.ч. ГСМ), до 5 суток, цена за час </t>
        </is>
      </c>
      <c r="E505" s="4">
        <f>N505+O505</f>
        <v/>
      </c>
      <c r="F505" s="3" t="inlineStr">
        <is>
          <t>маш.ч</t>
        </is>
      </c>
      <c r="G505" s="4">
        <f>IFERROR('[1]Лист1'!G505,100)</f>
        <v/>
      </c>
      <c r="H505" s="16" t="n">
        <v>100</v>
      </c>
      <c r="I505" s="16" t="n">
        <v>100</v>
      </c>
      <c r="J505" s="16" t="n">
        <v>100</v>
      </c>
      <c r="K505" s="16" t="n">
        <v>100</v>
      </c>
      <c r="L505" s="16" t="n">
        <v>100</v>
      </c>
      <c r="M505" s="16" t="n">
        <v>100</v>
      </c>
      <c r="N505" s="4">
        <f>Работы!S507</f>
        <v/>
      </c>
      <c r="O505" s="4">
        <f>Работы!R507</f>
        <v/>
      </c>
      <c r="P505" s="16" t="n">
        <v>100</v>
      </c>
      <c r="Q505" s="16" t="n">
        <v>100</v>
      </c>
      <c r="R505" s="16" t="n">
        <v>100</v>
      </c>
      <c r="S505" s="16" t="n">
        <v>100</v>
      </c>
      <c r="T505" s="16" t="n">
        <v>100</v>
      </c>
      <c r="U505" s="16" t="n">
        <v>100</v>
      </c>
      <c r="V505" s="16" t="n">
        <v>100</v>
      </c>
      <c r="W505" s="16" t="n">
        <v>100</v>
      </c>
      <c r="X505" s="16" t="n">
        <v>100</v>
      </c>
      <c r="Y505" s="16" t="n">
        <v>100</v>
      </c>
      <c r="Z505" s="16" t="n">
        <v>100</v>
      </c>
      <c r="AA505" s="16" t="n">
        <v>100</v>
      </c>
    </row>
    <row r="506">
      <c r="A506" s="3" t="inlineStr">
        <is>
          <t>СЦ. Услуги и материалы</t>
        </is>
      </c>
      <c r="B506" s="3" t="inlineStr">
        <is>
          <t>Ремонт складского оборудования</t>
        </is>
      </c>
      <c r="C506" s="3" t="inlineStr">
        <is>
          <t>Восстановительные работы</t>
        </is>
      </c>
      <c r="D506" s="3" t="inlineStr">
        <is>
          <t>мелкий ремонт МК (сборка разборка) и прочее</t>
        </is>
      </c>
      <c r="E506" s="4">
        <f>N506+O506</f>
        <v/>
      </c>
      <c r="F506" s="3" t="inlineStr">
        <is>
          <t>чел.час</t>
        </is>
      </c>
      <c r="G506" s="4">
        <f>IFERROR('[1]Лист1'!G506,100)</f>
        <v/>
      </c>
      <c r="H506" s="16" t="n">
        <v>100</v>
      </c>
      <c r="I506" s="16" t="n">
        <v>100</v>
      </c>
      <c r="J506" s="16" t="n">
        <v>100</v>
      </c>
      <c r="K506" s="16" t="n">
        <v>100</v>
      </c>
      <c r="L506" s="16" t="n">
        <v>100</v>
      </c>
      <c r="M506" s="16" t="n">
        <v>100</v>
      </c>
      <c r="N506" s="4">
        <f>Работы!S508</f>
        <v/>
      </c>
      <c r="O506" s="4">
        <f>Работы!R508</f>
        <v/>
      </c>
      <c r="P506" s="16" t="n">
        <v>100</v>
      </c>
      <c r="Q506" s="16" t="n">
        <v>100</v>
      </c>
      <c r="R506" s="16" t="n">
        <v>100</v>
      </c>
      <c r="S506" s="16" t="n">
        <v>100</v>
      </c>
      <c r="T506" s="16" t="n">
        <v>100</v>
      </c>
      <c r="U506" s="16" t="n">
        <v>100</v>
      </c>
      <c r="V506" s="16" t="n">
        <v>100</v>
      </c>
      <c r="W506" s="16" t="n">
        <v>100</v>
      </c>
      <c r="X506" s="16" t="n">
        <v>100</v>
      </c>
      <c r="Y506" s="16" t="n">
        <v>100</v>
      </c>
      <c r="Z506" s="16" t="n">
        <v>100</v>
      </c>
      <c r="AA506" s="16" t="n">
        <v>100</v>
      </c>
    </row>
    <row r="507">
      <c r="A507" s="3" t="inlineStr">
        <is>
          <t>СЦ. Услуги и материалы</t>
        </is>
      </c>
      <c r="B507" s="3" t="inlineStr">
        <is>
          <t>Ремонт складского оборудования</t>
        </is>
      </c>
      <c r="C507" s="3" t="inlineStr">
        <is>
          <t>Монтажные работы</t>
        </is>
      </c>
      <c r="D507" s="3" t="inlineStr">
        <is>
          <t>Колесо промышленное поворотное с площадкой SC 55 (125 мм; 100 кг) включая метизы для крепления</t>
        </is>
      </c>
      <c r="E507" s="4">
        <f>N507+O507</f>
        <v/>
      </c>
      <c r="F507" s="3" t="inlineStr">
        <is>
          <t>шт.</t>
        </is>
      </c>
      <c r="G507" s="4">
        <f>IFERROR('[1]Лист1'!G507,100)</f>
        <v/>
      </c>
      <c r="H507" s="16" t="n">
        <v>100</v>
      </c>
      <c r="I507" s="16" t="n">
        <v>100</v>
      </c>
      <c r="J507" s="16" t="n">
        <v>100</v>
      </c>
      <c r="K507" s="16" t="n">
        <v>100</v>
      </c>
      <c r="L507" s="16" t="n">
        <v>100</v>
      </c>
      <c r="M507" s="16" t="n">
        <v>100</v>
      </c>
      <c r="N507" s="4">
        <f>Работы!S509</f>
        <v/>
      </c>
      <c r="O507" s="4">
        <f>Работы!R509</f>
        <v/>
      </c>
      <c r="P507" s="16" t="n">
        <v>100</v>
      </c>
      <c r="Q507" s="16" t="n">
        <v>100</v>
      </c>
      <c r="R507" s="16" t="n">
        <v>100</v>
      </c>
      <c r="S507" s="16" t="n">
        <v>100</v>
      </c>
      <c r="T507" s="16" t="n">
        <v>100</v>
      </c>
      <c r="U507" s="16" t="n">
        <v>100</v>
      </c>
      <c r="V507" s="16" t="n">
        <v>100</v>
      </c>
      <c r="W507" s="16" t="n">
        <v>100</v>
      </c>
      <c r="X507" s="16" t="n">
        <v>100</v>
      </c>
      <c r="Y507" s="16" t="n">
        <v>100</v>
      </c>
      <c r="Z507" s="16" t="n">
        <v>100</v>
      </c>
      <c r="AA507" s="16" t="n">
        <v>100</v>
      </c>
    </row>
    <row r="508">
      <c r="A508" s="3" t="inlineStr">
        <is>
          <t>СЦ. Услуги и материалы</t>
        </is>
      </c>
      <c r="B508" s="3" t="inlineStr">
        <is>
          <t>Ремонт складского оборудования</t>
        </is>
      </c>
      <c r="C508" s="3" t="inlineStr">
        <is>
          <t>Монтажные работы</t>
        </is>
      </c>
      <c r="D508" s="3" t="inlineStr">
        <is>
          <t>Колесо промышленное поворотное с площадкой SC 80 (200 мм; 185 кг)включая метизы для крепления</t>
        </is>
      </c>
      <c r="E508" s="4">
        <f>N508+O508</f>
        <v/>
      </c>
      <c r="F508" s="3" t="inlineStr">
        <is>
          <t>шт.</t>
        </is>
      </c>
      <c r="G508" s="4">
        <f>IFERROR('[1]Лист1'!G508,100)</f>
        <v/>
      </c>
      <c r="H508" s="16" t="n">
        <v>100</v>
      </c>
      <c r="I508" s="16" t="n">
        <v>100</v>
      </c>
      <c r="J508" s="16" t="n">
        <v>100</v>
      </c>
      <c r="K508" s="16" t="n">
        <v>100</v>
      </c>
      <c r="L508" s="16" t="n">
        <v>100</v>
      </c>
      <c r="M508" s="16" t="n">
        <v>100</v>
      </c>
      <c r="N508" s="4">
        <f>Работы!S510</f>
        <v/>
      </c>
      <c r="O508" s="4">
        <f>Работы!R510</f>
        <v/>
      </c>
      <c r="P508" s="16" t="n">
        <v>100</v>
      </c>
      <c r="Q508" s="16" t="n">
        <v>100</v>
      </c>
      <c r="R508" s="16" t="n">
        <v>100</v>
      </c>
      <c r="S508" s="16" t="n">
        <v>100</v>
      </c>
      <c r="T508" s="16" t="n">
        <v>100</v>
      </c>
      <c r="U508" s="16" t="n">
        <v>100</v>
      </c>
      <c r="V508" s="16" t="n">
        <v>100</v>
      </c>
      <c r="W508" s="16" t="n">
        <v>100</v>
      </c>
      <c r="X508" s="16" t="n">
        <v>100</v>
      </c>
      <c r="Y508" s="16" t="n">
        <v>100</v>
      </c>
      <c r="Z508" s="16" t="n">
        <v>100</v>
      </c>
      <c r="AA508" s="16" t="n">
        <v>100</v>
      </c>
    </row>
    <row r="509">
      <c r="A509" s="3" t="inlineStr">
        <is>
          <t>СЦ. Услуги и материалы</t>
        </is>
      </c>
      <c r="B509" s="3" t="inlineStr">
        <is>
          <t>Ремонт складского оборудования</t>
        </is>
      </c>
      <c r="C509" s="3" t="inlineStr">
        <is>
          <t>Монтажные работы</t>
        </is>
      </c>
      <c r="D509" s="3" t="inlineStr">
        <is>
          <t>Колесо промышленное поворотное с подшипником 75мм резина/сталь Gigant G-04-09-13включая метизы для крепления</t>
        </is>
      </c>
      <c r="E509" s="4">
        <f>N509+O509</f>
        <v/>
      </c>
      <c r="F509" s="3" t="inlineStr">
        <is>
          <t>шт.</t>
        </is>
      </c>
      <c r="G509" s="4">
        <f>IFERROR('[1]Лист1'!G509,100)</f>
        <v/>
      </c>
      <c r="H509" s="16" t="n">
        <v>100</v>
      </c>
      <c r="I509" s="16" t="n">
        <v>100</v>
      </c>
      <c r="J509" s="16" t="n">
        <v>100</v>
      </c>
      <c r="K509" s="16" t="n">
        <v>100</v>
      </c>
      <c r="L509" s="16" t="n">
        <v>100</v>
      </c>
      <c r="M509" s="16" t="n">
        <v>100</v>
      </c>
      <c r="N509" s="4">
        <f>Работы!S511</f>
        <v/>
      </c>
      <c r="O509" s="4">
        <f>Работы!R511</f>
        <v/>
      </c>
      <c r="P509" s="16" t="n">
        <v>100</v>
      </c>
      <c r="Q509" s="16" t="n">
        <v>100</v>
      </c>
      <c r="R509" s="16" t="n">
        <v>100</v>
      </c>
      <c r="S509" s="16" t="n">
        <v>100</v>
      </c>
      <c r="T509" s="16" t="n">
        <v>100</v>
      </c>
      <c r="U509" s="16" t="n">
        <v>100</v>
      </c>
      <c r="V509" s="16" t="n">
        <v>100</v>
      </c>
      <c r="W509" s="16" t="n">
        <v>100</v>
      </c>
      <c r="X509" s="16" t="n">
        <v>100</v>
      </c>
      <c r="Y509" s="16" t="n">
        <v>100</v>
      </c>
      <c r="Z509" s="16" t="n">
        <v>100</v>
      </c>
      <c r="AA509" s="16" t="n">
        <v>100</v>
      </c>
    </row>
    <row r="510">
      <c r="A510" s="3" t="inlineStr">
        <is>
          <t>СЦ. Услуги и материалы</t>
        </is>
      </c>
      <c r="B510" s="3" t="inlineStr">
        <is>
          <t>Ремонт складского оборудования</t>
        </is>
      </c>
      <c r="C510" s="3" t="inlineStr">
        <is>
          <t>Монтажные работы</t>
        </is>
      </c>
      <c r="D510" s="3" t="inlineStr">
        <is>
          <t>Колесо промышленное поворотное с подшипником 200мм резина/сталь Gigant G-04-09-17включая метизы для крепления</t>
        </is>
      </c>
      <c r="E510" s="4">
        <f>N510+O510</f>
        <v/>
      </c>
      <c r="F510" s="3" t="inlineStr">
        <is>
          <t>шт</t>
        </is>
      </c>
      <c r="G510" s="4">
        <f>IFERROR('[1]Лист1'!G510,100)</f>
        <v/>
      </c>
      <c r="H510" s="16" t="n">
        <v>100</v>
      </c>
      <c r="I510" s="16" t="n">
        <v>100</v>
      </c>
      <c r="J510" s="16" t="n">
        <v>100</v>
      </c>
      <c r="K510" s="16" t="n">
        <v>100</v>
      </c>
      <c r="L510" s="16" t="n">
        <v>100</v>
      </c>
      <c r="M510" s="16" t="n">
        <v>100</v>
      </c>
      <c r="N510" s="4">
        <f>Работы!S512</f>
        <v/>
      </c>
      <c r="O510" s="4">
        <f>Работы!R512</f>
        <v/>
      </c>
      <c r="P510" s="16" t="n">
        <v>100</v>
      </c>
      <c r="Q510" s="16" t="n">
        <v>100</v>
      </c>
      <c r="R510" s="16" t="n">
        <v>100</v>
      </c>
      <c r="S510" s="16" t="n">
        <v>100</v>
      </c>
      <c r="T510" s="16" t="n">
        <v>100</v>
      </c>
      <c r="U510" s="16" t="n">
        <v>100</v>
      </c>
      <c r="V510" s="16" t="n">
        <v>100</v>
      </c>
      <c r="W510" s="16" t="n">
        <v>100</v>
      </c>
      <c r="X510" s="16" t="n">
        <v>100</v>
      </c>
      <c r="Y510" s="16" t="n">
        <v>100</v>
      </c>
      <c r="Z510" s="16" t="n">
        <v>100</v>
      </c>
      <c r="AA510" s="16" t="n">
        <v>100</v>
      </c>
    </row>
    <row r="511">
      <c r="A511" s="3" t="inlineStr">
        <is>
          <t>СЦ. Услуги и материалы</t>
        </is>
      </c>
      <c r="B511" s="3" t="inlineStr">
        <is>
          <t>Прочие работы</t>
        </is>
      </c>
      <c r="C511" s="3" t="inlineStr">
        <is>
          <t>Демонтажные работы</t>
        </is>
      </c>
      <c r="D511" s="3" t="inlineStr">
        <is>
          <t>Демонтаж пленума/решетки распределительной, КСД</t>
        </is>
      </c>
      <c r="E511" s="4">
        <f>N511+O511</f>
        <v/>
      </c>
      <c r="F511" s="3" t="inlineStr">
        <is>
          <t>шт.</t>
        </is>
      </c>
      <c r="G511" s="4">
        <f>IFERROR('[1]Лист1'!G511,100)</f>
        <v/>
      </c>
      <c r="H511" s="16" t="n">
        <v>100</v>
      </c>
      <c r="I511" s="16" t="n">
        <v>100</v>
      </c>
      <c r="J511" s="16" t="n">
        <v>100</v>
      </c>
      <c r="K511" s="16" t="n">
        <v>100</v>
      </c>
      <c r="L511" s="16" t="n">
        <v>100</v>
      </c>
      <c r="M511" s="16" t="n">
        <v>100</v>
      </c>
      <c r="N511" s="4">
        <f>Работы!S513</f>
        <v/>
      </c>
      <c r="O511" s="4">
        <f>Работы!R513</f>
        <v/>
      </c>
      <c r="P511" s="16" t="n">
        <v>100</v>
      </c>
      <c r="Q511" s="16" t="n">
        <v>100</v>
      </c>
      <c r="R511" s="16" t="n">
        <v>100</v>
      </c>
      <c r="S511" s="16" t="n">
        <v>100</v>
      </c>
      <c r="T511" s="16" t="n">
        <v>100</v>
      </c>
      <c r="U511" s="16" t="n">
        <v>100</v>
      </c>
      <c r="V511" s="16" t="n">
        <v>100</v>
      </c>
      <c r="W511" s="16" t="n">
        <v>100</v>
      </c>
      <c r="X511" s="16" t="n">
        <v>100</v>
      </c>
      <c r="Y511" s="16" t="n">
        <v>100</v>
      </c>
      <c r="Z511" s="16" t="n">
        <v>100</v>
      </c>
      <c r="AA511" s="16" t="n">
        <v>100</v>
      </c>
    </row>
    <row r="512">
      <c r="A512" s="3" t="inlineStr">
        <is>
          <t>СЦ. Услуги и материалы</t>
        </is>
      </c>
      <c r="B512" s="3" t="inlineStr">
        <is>
          <t>Прочие работы</t>
        </is>
      </c>
      <c r="C512" s="3" t="inlineStr">
        <is>
          <t>Демонтажные работы</t>
        </is>
      </c>
      <c r="D512" s="3" t="inlineStr">
        <is>
          <t>Демонтаж воздуховодов из стали и алюминия, в том числе с изоляцией</t>
        </is>
      </c>
      <c r="E512" s="4">
        <f>N512+O512</f>
        <v/>
      </c>
      <c r="F512" s="3" t="inlineStr">
        <is>
          <t>п.м</t>
        </is>
      </c>
      <c r="G512" s="4">
        <f>IFERROR('[1]Лист1'!G512,100)</f>
        <v/>
      </c>
      <c r="H512" s="16" t="n">
        <v>100</v>
      </c>
      <c r="I512" s="16" t="n">
        <v>100</v>
      </c>
      <c r="J512" s="16" t="n">
        <v>100</v>
      </c>
      <c r="K512" s="16" t="n">
        <v>100</v>
      </c>
      <c r="L512" s="16" t="n">
        <v>100</v>
      </c>
      <c r="M512" s="16" t="n">
        <v>100</v>
      </c>
      <c r="N512" s="4">
        <f>Работы!S514</f>
        <v/>
      </c>
      <c r="O512" s="4">
        <f>Работы!R514</f>
        <v/>
      </c>
      <c r="P512" s="16" t="n">
        <v>100</v>
      </c>
      <c r="Q512" s="16" t="n">
        <v>100</v>
      </c>
      <c r="R512" s="16" t="n">
        <v>100</v>
      </c>
      <c r="S512" s="16" t="n">
        <v>100</v>
      </c>
      <c r="T512" s="16" t="n">
        <v>100</v>
      </c>
      <c r="U512" s="16" t="n">
        <v>100</v>
      </c>
      <c r="V512" s="16" t="n">
        <v>100</v>
      </c>
      <c r="W512" s="16" t="n">
        <v>100</v>
      </c>
      <c r="X512" s="16" t="n">
        <v>100</v>
      </c>
      <c r="Y512" s="16" t="n">
        <v>100</v>
      </c>
      <c r="Z512" s="16" t="n">
        <v>100</v>
      </c>
      <c r="AA512" s="16" t="n">
        <v>100</v>
      </c>
    </row>
    <row r="513">
      <c r="A513" s="3" t="inlineStr">
        <is>
          <t>СЦ. Услуги и материалы</t>
        </is>
      </c>
      <c r="B513" s="3" t="inlineStr">
        <is>
          <t>Прочие работы</t>
        </is>
      </c>
      <c r="C513" s="3" t="inlineStr">
        <is>
          <t>Демонтажные работы</t>
        </is>
      </c>
      <c r="D513" s="3" t="inlineStr">
        <is>
          <t>Демонтаж гибких воздуховодов</t>
        </is>
      </c>
      <c r="E513" s="4">
        <f>N513+O513</f>
        <v/>
      </c>
      <c r="F513" s="3" t="inlineStr">
        <is>
          <t>п.м</t>
        </is>
      </c>
      <c r="G513" s="4">
        <f>IFERROR('[1]Лист1'!G513,100)</f>
        <v/>
      </c>
      <c r="H513" s="16" t="n">
        <v>100</v>
      </c>
      <c r="I513" s="16" t="n">
        <v>100</v>
      </c>
      <c r="J513" s="16" t="n">
        <v>100</v>
      </c>
      <c r="K513" s="16" t="n">
        <v>100</v>
      </c>
      <c r="L513" s="16" t="n">
        <v>100</v>
      </c>
      <c r="M513" s="16" t="n">
        <v>100</v>
      </c>
      <c r="N513" s="4">
        <f>Работы!S515</f>
        <v/>
      </c>
      <c r="O513" s="4">
        <f>Работы!R515</f>
        <v/>
      </c>
      <c r="P513" s="16" t="n">
        <v>100</v>
      </c>
      <c r="Q513" s="16" t="n">
        <v>100</v>
      </c>
      <c r="R513" s="16" t="n">
        <v>100</v>
      </c>
      <c r="S513" s="16" t="n">
        <v>100</v>
      </c>
      <c r="T513" s="16" t="n">
        <v>100</v>
      </c>
      <c r="U513" s="16" t="n">
        <v>100</v>
      </c>
      <c r="V513" s="16" t="n">
        <v>100</v>
      </c>
      <c r="W513" s="16" t="n">
        <v>100</v>
      </c>
      <c r="X513" s="16" t="n">
        <v>100</v>
      </c>
      <c r="Y513" s="16" t="n">
        <v>100</v>
      </c>
      <c r="Z513" s="16" t="n">
        <v>100</v>
      </c>
      <c r="AA513" s="16" t="n">
        <v>100</v>
      </c>
    </row>
    <row r="514">
      <c r="A514" s="3" t="inlineStr">
        <is>
          <t>СЦ. Услуги и материалы</t>
        </is>
      </c>
      <c r="B514" s="3" t="inlineStr">
        <is>
          <t>Прочие работы</t>
        </is>
      </c>
      <c r="C514" s="3" t="inlineStr">
        <is>
          <t>Демонтажные работы</t>
        </is>
      </c>
      <c r="D514" s="3" t="inlineStr">
        <is>
          <t>Демонтаж диффузоров, анемостатов, дроссель-клапанов</t>
        </is>
      </c>
      <c r="E514" s="4">
        <f>N514+O514</f>
        <v/>
      </c>
      <c r="F514" s="3" t="inlineStr">
        <is>
          <t>шт.</t>
        </is>
      </c>
      <c r="G514" s="4">
        <f>IFERROR('[1]Лист1'!G514,100)</f>
        <v/>
      </c>
      <c r="H514" s="16" t="n">
        <v>100</v>
      </c>
      <c r="I514" s="16" t="n">
        <v>100</v>
      </c>
      <c r="J514" s="16" t="n">
        <v>100</v>
      </c>
      <c r="K514" s="16" t="n">
        <v>100</v>
      </c>
      <c r="L514" s="16" t="n">
        <v>100</v>
      </c>
      <c r="M514" s="16" t="n">
        <v>100</v>
      </c>
      <c r="N514" s="4">
        <f>Работы!S516</f>
        <v/>
      </c>
      <c r="O514" s="4">
        <f>Работы!R516</f>
        <v/>
      </c>
      <c r="P514" s="16" t="n">
        <v>100</v>
      </c>
      <c r="Q514" s="16" t="n">
        <v>100</v>
      </c>
      <c r="R514" s="16" t="n">
        <v>100</v>
      </c>
      <c r="S514" s="16" t="n">
        <v>100</v>
      </c>
      <c r="T514" s="16" t="n">
        <v>100</v>
      </c>
      <c r="U514" s="16" t="n">
        <v>100</v>
      </c>
      <c r="V514" s="16" t="n">
        <v>100</v>
      </c>
      <c r="W514" s="16" t="n">
        <v>100</v>
      </c>
      <c r="X514" s="16" t="n">
        <v>100</v>
      </c>
      <c r="Y514" s="16" t="n">
        <v>100</v>
      </c>
      <c r="Z514" s="16" t="n">
        <v>100</v>
      </c>
      <c r="AA514" s="16" t="n">
        <v>100</v>
      </c>
    </row>
    <row r="515">
      <c r="A515" s="3" t="inlineStr">
        <is>
          <t>СЦ. Услуги и материалы</t>
        </is>
      </c>
      <c r="B515" s="3" t="inlineStr">
        <is>
          <t>Прочие работы</t>
        </is>
      </c>
      <c r="C515" s="3" t="inlineStr">
        <is>
          <t>Демонтажные работы</t>
        </is>
      </c>
      <c r="D515" s="3" t="inlineStr">
        <is>
          <t>Демонтаж клапана противопожарного</t>
        </is>
      </c>
      <c r="E515" s="4">
        <f>N515+O515</f>
        <v/>
      </c>
      <c r="F515" s="3" t="inlineStr">
        <is>
          <t>шт.</t>
        </is>
      </c>
      <c r="G515" s="4">
        <f>IFERROR('[1]Лист1'!G515,100)</f>
        <v/>
      </c>
      <c r="H515" s="16" t="n">
        <v>100</v>
      </c>
      <c r="I515" s="16" t="n">
        <v>100</v>
      </c>
      <c r="J515" s="16" t="n">
        <v>100</v>
      </c>
      <c r="K515" s="16" t="n">
        <v>100</v>
      </c>
      <c r="L515" s="16" t="n">
        <v>100</v>
      </c>
      <c r="M515" s="16" t="n">
        <v>100</v>
      </c>
      <c r="N515" s="4">
        <f>Работы!S517</f>
        <v/>
      </c>
      <c r="O515" s="4">
        <f>Работы!R517</f>
        <v/>
      </c>
      <c r="P515" s="16" t="n">
        <v>100</v>
      </c>
      <c r="Q515" s="16" t="n">
        <v>100</v>
      </c>
      <c r="R515" s="16" t="n">
        <v>100</v>
      </c>
      <c r="S515" s="16" t="n">
        <v>100</v>
      </c>
      <c r="T515" s="16" t="n">
        <v>100</v>
      </c>
      <c r="U515" s="16" t="n">
        <v>100</v>
      </c>
      <c r="V515" s="16" t="n">
        <v>100</v>
      </c>
      <c r="W515" s="16" t="n">
        <v>100</v>
      </c>
      <c r="X515" s="16" t="n">
        <v>100</v>
      </c>
      <c r="Y515" s="16" t="n">
        <v>100</v>
      </c>
      <c r="Z515" s="16" t="n">
        <v>100</v>
      </c>
      <c r="AA515" s="16" t="n">
        <v>100</v>
      </c>
    </row>
    <row r="516">
      <c r="A516" s="3" t="inlineStr">
        <is>
          <t>СЦ. Услуги и материалы</t>
        </is>
      </c>
      <c r="B516" s="3" t="inlineStr">
        <is>
          <t>Прочие работы</t>
        </is>
      </c>
      <c r="C516" s="3" t="inlineStr">
        <is>
          <t>Демонтажные работы</t>
        </is>
      </c>
      <c r="D516" s="3" t="inlineStr">
        <is>
          <t>Демонтаж трубопроводов с запорной арматурой</t>
        </is>
      </c>
      <c r="E516" s="4">
        <f>N516+O516</f>
        <v/>
      </c>
      <c r="F516" s="3" t="inlineStr">
        <is>
          <t>шт.</t>
        </is>
      </c>
      <c r="G516" s="4">
        <f>IFERROR('[1]Лист1'!G516,100)</f>
        <v/>
      </c>
      <c r="H516" s="16" t="n">
        <v>100</v>
      </c>
      <c r="I516" s="16" t="n">
        <v>100</v>
      </c>
      <c r="J516" s="16" t="n">
        <v>100</v>
      </c>
      <c r="K516" s="16" t="n">
        <v>100</v>
      </c>
      <c r="L516" s="16" t="n">
        <v>100</v>
      </c>
      <c r="M516" s="16" t="n">
        <v>100</v>
      </c>
      <c r="N516" s="4">
        <f>Работы!S518</f>
        <v/>
      </c>
      <c r="O516" s="4">
        <f>Работы!R518</f>
        <v/>
      </c>
      <c r="P516" s="16" t="n">
        <v>100</v>
      </c>
      <c r="Q516" s="16" t="n">
        <v>100</v>
      </c>
      <c r="R516" s="16" t="n">
        <v>100</v>
      </c>
      <c r="S516" s="16" t="n">
        <v>100</v>
      </c>
      <c r="T516" s="16" t="n">
        <v>100</v>
      </c>
      <c r="U516" s="16" t="n">
        <v>100</v>
      </c>
      <c r="V516" s="16" t="n">
        <v>100</v>
      </c>
      <c r="W516" s="16" t="n">
        <v>100</v>
      </c>
      <c r="X516" s="16" t="n">
        <v>100</v>
      </c>
      <c r="Y516" s="16" t="n">
        <v>100</v>
      </c>
      <c r="Z516" s="16" t="n">
        <v>100</v>
      </c>
      <c r="AA516" s="16" t="n">
        <v>100</v>
      </c>
    </row>
    <row r="517">
      <c r="A517" s="3" t="inlineStr">
        <is>
          <t>СЦ. Услуги и материалы</t>
        </is>
      </c>
      <c r="B517" s="3" t="inlineStr">
        <is>
          <t>Прочие работы</t>
        </is>
      </c>
      <c r="C517" s="3" t="inlineStr">
        <is>
          <t>Демонтажные работы</t>
        </is>
      </c>
      <c r="D517" s="3" t="inlineStr">
        <is>
          <t>Демонтаж фитингов трубопроводов</t>
        </is>
      </c>
      <c r="E517" s="4">
        <f>N517+O517</f>
        <v/>
      </c>
      <c r="F517" s="3" t="inlineStr">
        <is>
          <t>шт.</t>
        </is>
      </c>
      <c r="G517" s="4">
        <f>IFERROR('[1]Лист1'!G517,100)</f>
        <v/>
      </c>
      <c r="H517" s="16" t="n">
        <v>100</v>
      </c>
      <c r="I517" s="16" t="n">
        <v>100</v>
      </c>
      <c r="J517" s="16" t="n">
        <v>100</v>
      </c>
      <c r="K517" s="16" t="n">
        <v>100</v>
      </c>
      <c r="L517" s="16" t="n">
        <v>100</v>
      </c>
      <c r="M517" s="16" t="n">
        <v>100</v>
      </c>
      <c r="N517" s="4">
        <f>Работы!S519</f>
        <v/>
      </c>
      <c r="O517" s="4">
        <f>Работы!R519</f>
        <v/>
      </c>
      <c r="P517" s="16" t="n">
        <v>100</v>
      </c>
      <c r="Q517" s="16" t="n">
        <v>100</v>
      </c>
      <c r="R517" s="16" t="n">
        <v>100</v>
      </c>
      <c r="S517" s="16" t="n">
        <v>100</v>
      </c>
      <c r="T517" s="16" t="n">
        <v>100</v>
      </c>
      <c r="U517" s="16" t="n">
        <v>100</v>
      </c>
      <c r="V517" s="16" t="n">
        <v>100</v>
      </c>
      <c r="W517" s="16" t="n">
        <v>100</v>
      </c>
      <c r="X517" s="16" t="n">
        <v>100</v>
      </c>
      <c r="Y517" s="16" t="n">
        <v>100</v>
      </c>
      <c r="Z517" s="16" t="n">
        <v>100</v>
      </c>
      <c r="AA517" s="16" t="n">
        <v>100</v>
      </c>
    </row>
    <row r="518">
      <c r="A518" s="3" t="inlineStr">
        <is>
          <t>СЦ. Услуги и материалы</t>
        </is>
      </c>
      <c r="B518" s="3" t="inlineStr">
        <is>
          <t>Прочие работы</t>
        </is>
      </c>
      <c r="C518" s="3" t="inlineStr">
        <is>
          <t>Демонтажные работы</t>
        </is>
      </c>
      <c r="D518" s="3" t="inlineStr">
        <is>
          <t>Демонтаж труб канализационных с фасонными изделиями</t>
        </is>
      </c>
      <c r="E518" s="4">
        <f>N518+O518</f>
        <v/>
      </c>
      <c r="F518" s="3" t="inlineStr">
        <is>
          <t>п.м</t>
        </is>
      </c>
      <c r="G518" s="4">
        <f>IFERROR('[1]Лист1'!G518,100)</f>
        <v/>
      </c>
      <c r="H518" s="16" t="n">
        <v>100</v>
      </c>
      <c r="I518" s="16" t="n">
        <v>100</v>
      </c>
      <c r="J518" s="16" t="n">
        <v>100</v>
      </c>
      <c r="K518" s="16" t="n">
        <v>100</v>
      </c>
      <c r="L518" s="16" t="n">
        <v>100</v>
      </c>
      <c r="M518" s="16" t="n">
        <v>100</v>
      </c>
      <c r="N518" s="4">
        <f>Работы!S520</f>
        <v/>
      </c>
      <c r="O518" s="4">
        <f>Работы!R520</f>
        <v/>
      </c>
      <c r="P518" s="16" t="n">
        <v>100</v>
      </c>
      <c r="Q518" s="16" t="n">
        <v>100</v>
      </c>
      <c r="R518" s="16" t="n">
        <v>100</v>
      </c>
      <c r="S518" s="16" t="n">
        <v>100</v>
      </c>
      <c r="T518" s="16" t="n">
        <v>100</v>
      </c>
      <c r="U518" s="16" t="n">
        <v>100</v>
      </c>
      <c r="V518" s="16" t="n">
        <v>100</v>
      </c>
      <c r="W518" s="16" t="n">
        <v>100</v>
      </c>
      <c r="X518" s="16" t="n">
        <v>100</v>
      </c>
      <c r="Y518" s="16" t="n">
        <v>100</v>
      </c>
      <c r="Z518" s="16" t="n">
        <v>100</v>
      </c>
      <c r="AA518" s="16" t="n">
        <v>100</v>
      </c>
    </row>
    <row r="519">
      <c r="A519" s="3" t="inlineStr">
        <is>
          <t>СЦ. Услуги и материалы</t>
        </is>
      </c>
      <c r="B519" s="3" t="inlineStr">
        <is>
          <t>Прочие работы</t>
        </is>
      </c>
      <c r="C519" s="3" t="inlineStr">
        <is>
          <t>Демонтажные работы</t>
        </is>
      </c>
      <c r="D519" s="3" t="inlineStr">
        <is>
          <t>Демонтаж моек, поддонов</t>
        </is>
      </c>
      <c r="E519" s="4">
        <f>N519+O519</f>
        <v/>
      </c>
      <c r="F519" s="3" t="inlineStr">
        <is>
          <t>шт.</t>
        </is>
      </c>
      <c r="G519" s="4">
        <f>IFERROR('[1]Лист1'!G519,100)</f>
        <v/>
      </c>
      <c r="H519" s="16" t="n">
        <v>100</v>
      </c>
      <c r="I519" s="16" t="n">
        <v>100</v>
      </c>
      <c r="J519" s="16" t="n">
        <v>100</v>
      </c>
      <c r="K519" s="16" t="n">
        <v>100</v>
      </c>
      <c r="L519" s="16" t="n">
        <v>100</v>
      </c>
      <c r="M519" s="16" t="n">
        <v>100</v>
      </c>
      <c r="N519" s="4">
        <f>Работы!S521</f>
        <v/>
      </c>
      <c r="O519" s="4">
        <f>Работы!R521</f>
        <v/>
      </c>
      <c r="P519" s="16" t="n">
        <v>100</v>
      </c>
      <c r="Q519" s="16" t="n">
        <v>100</v>
      </c>
      <c r="R519" s="16" t="n">
        <v>100</v>
      </c>
      <c r="S519" s="16" t="n">
        <v>100</v>
      </c>
      <c r="T519" s="16" t="n">
        <v>100</v>
      </c>
      <c r="U519" s="16" t="n">
        <v>100</v>
      </c>
      <c r="V519" s="16" t="n">
        <v>100</v>
      </c>
      <c r="W519" s="16" t="n">
        <v>100</v>
      </c>
      <c r="X519" s="16" t="n">
        <v>100</v>
      </c>
      <c r="Y519" s="16" t="n">
        <v>100</v>
      </c>
      <c r="Z519" s="16" t="n">
        <v>100</v>
      </c>
      <c r="AA519" s="16" t="n">
        <v>100</v>
      </c>
    </row>
    <row r="520">
      <c r="A520" s="3" t="inlineStr">
        <is>
          <t>СЦ. Услуги и материалы</t>
        </is>
      </c>
      <c r="B520" s="3" t="inlineStr">
        <is>
          <t>Прочие работы</t>
        </is>
      </c>
      <c r="C520" s="3" t="inlineStr">
        <is>
          <t>Демонтажные работы</t>
        </is>
      </c>
      <c r="D520" s="3" t="inlineStr">
        <is>
          <t>Демонтаж умывальников, в том числе со смесителями, подводками и запорной арматурой</t>
        </is>
      </c>
      <c r="E520" s="4">
        <f>N520+O520</f>
        <v/>
      </c>
      <c r="F520" s="3" t="inlineStr">
        <is>
          <t>шт.</t>
        </is>
      </c>
      <c r="G520" s="4">
        <f>IFERROR('[1]Лист1'!G520,100)</f>
        <v/>
      </c>
      <c r="H520" s="16" t="n">
        <v>100</v>
      </c>
      <c r="I520" s="16" t="n">
        <v>100</v>
      </c>
      <c r="J520" s="16" t="n">
        <v>100</v>
      </c>
      <c r="K520" s="16" t="n">
        <v>100</v>
      </c>
      <c r="L520" s="16" t="n">
        <v>100</v>
      </c>
      <c r="M520" s="16" t="n">
        <v>100</v>
      </c>
      <c r="N520" s="4">
        <f>Работы!S522</f>
        <v/>
      </c>
      <c r="O520" s="4">
        <f>Работы!R522</f>
        <v/>
      </c>
      <c r="P520" s="16" t="n">
        <v>100</v>
      </c>
      <c r="Q520" s="16" t="n">
        <v>100</v>
      </c>
      <c r="R520" s="16" t="n">
        <v>100</v>
      </c>
      <c r="S520" s="16" t="n">
        <v>100</v>
      </c>
      <c r="T520" s="16" t="n">
        <v>100</v>
      </c>
      <c r="U520" s="16" t="n">
        <v>100</v>
      </c>
      <c r="V520" s="16" t="n">
        <v>100</v>
      </c>
      <c r="W520" s="16" t="n">
        <v>100</v>
      </c>
      <c r="X520" s="16" t="n">
        <v>100</v>
      </c>
      <c r="Y520" s="16" t="n">
        <v>100</v>
      </c>
      <c r="Z520" s="16" t="n">
        <v>100</v>
      </c>
      <c r="AA520" s="16" t="n">
        <v>100</v>
      </c>
    </row>
    <row r="521">
      <c r="A521" s="3" t="inlineStr">
        <is>
          <t>СЦ. Услуги и материалы</t>
        </is>
      </c>
      <c r="B521" s="3" t="inlineStr">
        <is>
          <t>Прочие работы</t>
        </is>
      </c>
      <c r="C521" s="3" t="inlineStr">
        <is>
          <t>Демонтажные работы</t>
        </is>
      </c>
      <c r="D521" s="3" t="inlineStr">
        <is>
          <t>Демонтаж унитазов и писсуаров, в том числе с запорной арматурой и подводками</t>
        </is>
      </c>
      <c r="E521" s="4">
        <f>N521+O521</f>
        <v/>
      </c>
      <c r="F521" s="3" t="inlineStr">
        <is>
          <t>шт.</t>
        </is>
      </c>
      <c r="G521" s="4">
        <f>IFERROR('[1]Лист1'!G521,100)</f>
        <v/>
      </c>
      <c r="H521" s="16" t="n">
        <v>100</v>
      </c>
      <c r="I521" s="16" t="n">
        <v>100</v>
      </c>
      <c r="J521" s="16" t="n">
        <v>100</v>
      </c>
      <c r="K521" s="16" t="n">
        <v>100</v>
      </c>
      <c r="L521" s="16" t="n">
        <v>100</v>
      </c>
      <c r="M521" s="16" t="n">
        <v>100</v>
      </c>
      <c r="N521" s="4">
        <f>Работы!S523</f>
        <v/>
      </c>
      <c r="O521" s="4">
        <f>Работы!R523</f>
        <v/>
      </c>
      <c r="P521" s="16" t="n">
        <v>100</v>
      </c>
      <c r="Q521" s="16" t="n">
        <v>100</v>
      </c>
      <c r="R521" s="16" t="n">
        <v>100</v>
      </c>
      <c r="S521" s="16" t="n">
        <v>100</v>
      </c>
      <c r="T521" s="16" t="n">
        <v>100</v>
      </c>
      <c r="U521" s="16" t="n">
        <v>100</v>
      </c>
      <c r="V521" s="16" t="n">
        <v>100</v>
      </c>
      <c r="W521" s="16" t="n">
        <v>100</v>
      </c>
      <c r="X521" s="16" t="n">
        <v>100</v>
      </c>
      <c r="Y521" s="16" t="n">
        <v>100</v>
      </c>
      <c r="Z521" s="16" t="n">
        <v>100</v>
      </c>
      <c r="AA521" s="16" t="n">
        <v>100</v>
      </c>
    </row>
    <row r="522">
      <c r="A522" s="3" t="inlineStr">
        <is>
          <t>СЦ. Услуги и материалы</t>
        </is>
      </c>
      <c r="B522" s="3" t="inlineStr">
        <is>
          <t>Прочие работы</t>
        </is>
      </c>
      <c r="C522" s="3" t="inlineStr">
        <is>
          <t>Демонтажные работы</t>
        </is>
      </c>
      <c r="D522" s="3" t="inlineStr">
        <is>
          <t>Демонтаж сушки для рук, диспенсеров, зеркал и пр.</t>
        </is>
      </c>
      <c r="E522" s="4">
        <f>N522+O522</f>
        <v/>
      </c>
      <c r="F522" s="3" t="inlineStr">
        <is>
          <t>шт.</t>
        </is>
      </c>
      <c r="G522" s="4">
        <f>IFERROR('[1]Лист1'!G522,100)</f>
        <v/>
      </c>
      <c r="H522" s="16" t="n">
        <v>100</v>
      </c>
      <c r="I522" s="16" t="n">
        <v>100</v>
      </c>
      <c r="J522" s="16" t="n">
        <v>100</v>
      </c>
      <c r="K522" s="16" t="n">
        <v>100</v>
      </c>
      <c r="L522" s="16" t="n">
        <v>100</v>
      </c>
      <c r="M522" s="16" t="n">
        <v>100</v>
      </c>
      <c r="N522" s="4">
        <f>Работы!S524</f>
        <v/>
      </c>
      <c r="O522" s="4">
        <f>Работы!R524</f>
        <v/>
      </c>
      <c r="P522" s="16" t="n">
        <v>100</v>
      </c>
      <c r="Q522" s="16" t="n">
        <v>100</v>
      </c>
      <c r="R522" s="16" t="n">
        <v>100</v>
      </c>
      <c r="S522" s="16" t="n">
        <v>100</v>
      </c>
      <c r="T522" s="16" t="n">
        <v>100</v>
      </c>
      <c r="U522" s="16" t="n">
        <v>100</v>
      </c>
      <c r="V522" s="16" t="n">
        <v>100</v>
      </c>
      <c r="W522" s="16" t="n">
        <v>100</v>
      </c>
      <c r="X522" s="16" t="n">
        <v>100</v>
      </c>
      <c r="Y522" s="16" t="n">
        <v>100</v>
      </c>
      <c r="Z522" s="16" t="n">
        <v>100</v>
      </c>
      <c r="AA522" s="16" t="n">
        <v>100</v>
      </c>
    </row>
    <row r="523">
      <c r="A523" s="3" t="inlineStr">
        <is>
          <t>СЦ. Услуги и материалы</t>
        </is>
      </c>
      <c r="B523" s="3" t="inlineStr">
        <is>
          <t>Прочие работы</t>
        </is>
      </c>
      <c r="C523" s="3" t="inlineStr">
        <is>
          <t>Демонтажные работы</t>
        </is>
      </c>
      <c r="D523" s="3" t="inlineStr">
        <is>
          <t>Демонтаж встроенных инсталяций унитазов и писсуаров</t>
        </is>
      </c>
      <c r="E523" s="4">
        <f>N523+O523</f>
        <v/>
      </c>
      <c r="F523" s="3" t="inlineStr">
        <is>
          <t>шт.</t>
        </is>
      </c>
      <c r="G523" s="4">
        <f>IFERROR('[1]Лист1'!G523,100)</f>
        <v/>
      </c>
      <c r="H523" s="16" t="n">
        <v>100</v>
      </c>
      <c r="I523" s="16" t="n">
        <v>100</v>
      </c>
      <c r="J523" s="16" t="n">
        <v>100</v>
      </c>
      <c r="K523" s="16" t="n">
        <v>100</v>
      </c>
      <c r="L523" s="16" t="n">
        <v>100</v>
      </c>
      <c r="M523" s="16" t="n">
        <v>100</v>
      </c>
      <c r="N523" s="4">
        <f>Работы!S525</f>
        <v/>
      </c>
      <c r="O523" s="4">
        <f>Работы!R525</f>
        <v/>
      </c>
      <c r="P523" s="16" t="n">
        <v>100</v>
      </c>
      <c r="Q523" s="16" t="n">
        <v>100</v>
      </c>
      <c r="R523" s="16" t="n">
        <v>100</v>
      </c>
      <c r="S523" s="16" t="n">
        <v>100</v>
      </c>
      <c r="T523" s="16" t="n">
        <v>100</v>
      </c>
      <c r="U523" s="16" t="n">
        <v>100</v>
      </c>
      <c r="V523" s="16" t="n">
        <v>100</v>
      </c>
      <c r="W523" s="16" t="n">
        <v>100</v>
      </c>
      <c r="X523" s="16" t="n">
        <v>100</v>
      </c>
      <c r="Y523" s="16" t="n">
        <v>100</v>
      </c>
      <c r="Z523" s="16" t="n">
        <v>100</v>
      </c>
      <c r="AA523" s="16" t="n">
        <v>100</v>
      </c>
    </row>
    <row r="524">
      <c r="A524" s="3" t="inlineStr">
        <is>
          <t>СЦ. Услуги и материалы</t>
        </is>
      </c>
      <c r="B524" s="3" t="inlineStr">
        <is>
          <t>Прочие работы</t>
        </is>
      </c>
      <c r="C524" s="3" t="inlineStr">
        <is>
          <t>Демонтажные работы</t>
        </is>
      </c>
      <c r="D524" s="3" t="inlineStr">
        <is>
          <t>Демонтаж гарнитуры (душ, лейка и т.п.)</t>
        </is>
      </c>
      <c r="E524" s="4">
        <f>N524+O524</f>
        <v/>
      </c>
      <c r="F524" s="3" t="inlineStr">
        <is>
          <t>шт.</t>
        </is>
      </c>
      <c r="G524" s="4">
        <f>IFERROR('[1]Лист1'!G524,100)</f>
        <v/>
      </c>
      <c r="H524" s="16" t="n">
        <v>100</v>
      </c>
      <c r="I524" s="16" t="n">
        <v>100</v>
      </c>
      <c r="J524" s="16" t="n">
        <v>100</v>
      </c>
      <c r="K524" s="16" t="n">
        <v>100</v>
      </c>
      <c r="L524" s="16" t="n">
        <v>100</v>
      </c>
      <c r="M524" s="16" t="n">
        <v>100</v>
      </c>
      <c r="N524" s="4">
        <f>Работы!S526</f>
        <v/>
      </c>
      <c r="O524" s="4">
        <f>Работы!R526</f>
        <v/>
      </c>
      <c r="P524" s="16" t="n">
        <v>100</v>
      </c>
      <c r="Q524" s="16" t="n">
        <v>100</v>
      </c>
      <c r="R524" s="16" t="n">
        <v>100</v>
      </c>
      <c r="S524" s="16" t="n">
        <v>100</v>
      </c>
      <c r="T524" s="16" t="n">
        <v>100</v>
      </c>
      <c r="U524" s="16" t="n">
        <v>100</v>
      </c>
      <c r="V524" s="16" t="n">
        <v>100</v>
      </c>
      <c r="W524" s="16" t="n">
        <v>100</v>
      </c>
      <c r="X524" s="16" t="n">
        <v>100</v>
      </c>
      <c r="Y524" s="16" t="n">
        <v>100</v>
      </c>
      <c r="Z524" s="16" t="n">
        <v>100</v>
      </c>
      <c r="AA524" s="16" t="n">
        <v>100</v>
      </c>
    </row>
    <row r="525">
      <c r="A525" s="3" t="inlineStr">
        <is>
          <t>СЦ. Услуги и материалы</t>
        </is>
      </c>
      <c r="B525" s="3" t="inlineStr">
        <is>
          <t>Прочие работы</t>
        </is>
      </c>
      <c r="C525" s="3" t="inlineStr">
        <is>
          <t>Демонтажные работы</t>
        </is>
      </c>
      <c r="D525" s="3" t="inlineStr">
        <is>
          <t>Демонтаж трапов</t>
        </is>
      </c>
      <c r="E525" s="4">
        <f>N525+O525</f>
        <v/>
      </c>
      <c r="F525" s="3" t="inlineStr">
        <is>
          <t>шт.</t>
        </is>
      </c>
      <c r="G525" s="4">
        <f>IFERROR('[1]Лист1'!G525,100)</f>
        <v/>
      </c>
      <c r="H525" s="16" t="n">
        <v>100</v>
      </c>
      <c r="I525" s="16" t="n">
        <v>100</v>
      </c>
      <c r="J525" s="16" t="n">
        <v>100</v>
      </c>
      <c r="K525" s="16" t="n">
        <v>100</v>
      </c>
      <c r="L525" s="16" t="n">
        <v>100</v>
      </c>
      <c r="M525" s="16" t="n">
        <v>100</v>
      </c>
      <c r="N525" s="4">
        <f>Работы!S527</f>
        <v/>
      </c>
      <c r="O525" s="4">
        <f>Работы!R527</f>
        <v/>
      </c>
      <c r="P525" s="16" t="n">
        <v>100</v>
      </c>
      <c r="Q525" s="16" t="n">
        <v>100</v>
      </c>
      <c r="R525" s="16" t="n">
        <v>100</v>
      </c>
      <c r="S525" s="16" t="n">
        <v>100</v>
      </c>
      <c r="T525" s="16" t="n">
        <v>100</v>
      </c>
      <c r="U525" s="16" t="n">
        <v>100</v>
      </c>
      <c r="V525" s="16" t="n">
        <v>100</v>
      </c>
      <c r="W525" s="16" t="n">
        <v>100</v>
      </c>
      <c r="X525" s="16" t="n">
        <v>100</v>
      </c>
      <c r="Y525" s="16" t="n">
        <v>100</v>
      </c>
      <c r="Z525" s="16" t="n">
        <v>100</v>
      </c>
      <c r="AA525" s="16" t="n">
        <v>100</v>
      </c>
    </row>
    <row r="526">
      <c r="A526" s="3" t="inlineStr">
        <is>
          <t>СЦ. Услуги и материалы</t>
        </is>
      </c>
      <c r="B526" s="3" t="inlineStr">
        <is>
          <t>Прочие работы</t>
        </is>
      </c>
      <c r="C526" s="3" t="inlineStr">
        <is>
          <t>Демонтажные работы</t>
        </is>
      </c>
      <c r="D526" s="3" t="inlineStr">
        <is>
          <t>Демонтаж радиаторов/конвекторов/тренчхиттеров, включая декоративные элементы/решетки</t>
        </is>
      </c>
      <c r="E526" s="4">
        <f>N526+O526</f>
        <v/>
      </c>
      <c r="F526" s="3" t="inlineStr">
        <is>
          <t>шт.</t>
        </is>
      </c>
      <c r="G526" s="4">
        <f>IFERROR('[1]Лист1'!G526,100)</f>
        <v/>
      </c>
      <c r="H526" s="16" t="n">
        <v>100</v>
      </c>
      <c r="I526" s="16" t="n">
        <v>100</v>
      </c>
      <c r="J526" s="16" t="n">
        <v>100</v>
      </c>
      <c r="K526" s="16" t="n">
        <v>100</v>
      </c>
      <c r="L526" s="16" t="n">
        <v>100</v>
      </c>
      <c r="M526" s="16" t="n">
        <v>100</v>
      </c>
      <c r="N526" s="4">
        <f>Работы!S528</f>
        <v/>
      </c>
      <c r="O526" s="4">
        <f>Работы!R528</f>
        <v/>
      </c>
      <c r="P526" s="16" t="n">
        <v>100</v>
      </c>
      <c r="Q526" s="16" t="n">
        <v>100</v>
      </c>
      <c r="R526" s="16" t="n">
        <v>100</v>
      </c>
      <c r="S526" s="16" t="n">
        <v>100</v>
      </c>
      <c r="T526" s="16" t="n">
        <v>100</v>
      </c>
      <c r="U526" s="16" t="n">
        <v>100</v>
      </c>
      <c r="V526" s="16" t="n">
        <v>100</v>
      </c>
      <c r="W526" s="16" t="n">
        <v>100</v>
      </c>
      <c r="X526" s="16" t="n">
        <v>100</v>
      </c>
      <c r="Y526" s="16" t="n">
        <v>100</v>
      </c>
      <c r="Z526" s="16" t="n">
        <v>100</v>
      </c>
      <c r="AA526" s="16" t="n">
        <v>100</v>
      </c>
    </row>
    <row r="527">
      <c r="A527" s="3" t="inlineStr">
        <is>
          <t>СЦ. Услуги и материалы</t>
        </is>
      </c>
      <c r="B527" s="3" t="inlineStr">
        <is>
          <t>Прочие работы</t>
        </is>
      </c>
      <c r="C527" s="3" t="inlineStr">
        <is>
          <t>Общестроительные работы</t>
        </is>
      </c>
      <c r="D527" s="3" t="inlineStr">
        <is>
          <t>Обеспыливание поверхности полов</t>
        </is>
      </c>
      <c r="E527" s="4">
        <f>N527+O527</f>
        <v/>
      </c>
      <c r="F527" s="3" t="inlineStr">
        <is>
          <t>м2</t>
        </is>
      </c>
      <c r="G527" s="4">
        <f>IFERROR('[1]Лист1'!G527,100)</f>
        <v/>
      </c>
      <c r="H527" s="16" t="n">
        <v>100</v>
      </c>
      <c r="I527" s="16" t="n">
        <v>100</v>
      </c>
      <c r="J527" s="16" t="n">
        <v>100</v>
      </c>
      <c r="K527" s="16" t="n">
        <v>100</v>
      </c>
      <c r="L527" s="16" t="n">
        <v>100</v>
      </c>
      <c r="M527" s="16" t="n">
        <v>100</v>
      </c>
      <c r="N527" s="4">
        <f>Работы!S529</f>
        <v/>
      </c>
      <c r="O527" s="4">
        <f>Работы!R529</f>
        <v/>
      </c>
      <c r="P527" s="16" t="n">
        <v>100</v>
      </c>
      <c r="Q527" s="16" t="n">
        <v>100</v>
      </c>
      <c r="R527" s="16" t="n">
        <v>100</v>
      </c>
      <c r="S527" s="16" t="n">
        <v>100</v>
      </c>
      <c r="T527" s="16" t="n">
        <v>100</v>
      </c>
      <c r="U527" s="16" t="n">
        <v>100</v>
      </c>
      <c r="V527" s="16" t="n">
        <v>100</v>
      </c>
      <c r="W527" s="16" t="n">
        <v>100</v>
      </c>
      <c r="X527" s="16" t="n">
        <v>100</v>
      </c>
      <c r="Y527" s="16" t="n">
        <v>100</v>
      </c>
      <c r="Z527" s="16" t="n">
        <v>100</v>
      </c>
      <c r="AA527" s="16" t="n">
        <v>100</v>
      </c>
    </row>
    <row r="528">
      <c r="A528" s="3" t="inlineStr">
        <is>
          <t>СЦ. Услуги и материалы</t>
        </is>
      </c>
      <c r="B528" s="3" t="inlineStr">
        <is>
          <t>Прочие работы</t>
        </is>
      </c>
      <c r="C528" s="3" t="inlineStr">
        <is>
          <t>Общестроительные работы</t>
        </is>
      </c>
      <c r="D528" s="3" t="inlineStr">
        <is>
          <t>Устройство выравнивающих слоев из фанеры, оргалита, ДСП, ГКЛ и т.п.</t>
        </is>
      </c>
      <c r="E528" s="4">
        <f>N528+O528</f>
        <v/>
      </c>
      <c r="F528" s="3" t="inlineStr">
        <is>
          <t>м2</t>
        </is>
      </c>
      <c r="G528" s="4">
        <f>IFERROR('[1]Лист1'!G528,100)</f>
        <v/>
      </c>
      <c r="H528" s="16" t="n">
        <v>100</v>
      </c>
      <c r="I528" s="16" t="n">
        <v>100</v>
      </c>
      <c r="J528" s="16" t="n">
        <v>100</v>
      </c>
      <c r="K528" s="16" t="n">
        <v>100</v>
      </c>
      <c r="L528" s="16" t="n">
        <v>100</v>
      </c>
      <c r="M528" s="16" t="n">
        <v>100</v>
      </c>
      <c r="N528" s="4">
        <f>Работы!S530</f>
        <v/>
      </c>
      <c r="O528" s="4">
        <f>Работы!R530</f>
        <v/>
      </c>
      <c r="P528" s="16" t="n">
        <v>100</v>
      </c>
      <c r="Q528" s="16" t="n">
        <v>100</v>
      </c>
      <c r="R528" s="16" t="n">
        <v>100</v>
      </c>
      <c r="S528" s="16" t="n">
        <v>100</v>
      </c>
      <c r="T528" s="16" t="n">
        <v>100</v>
      </c>
      <c r="U528" s="16" t="n">
        <v>100</v>
      </c>
      <c r="V528" s="16" t="n">
        <v>100</v>
      </c>
      <c r="W528" s="16" t="n">
        <v>100</v>
      </c>
      <c r="X528" s="16" t="n">
        <v>100</v>
      </c>
      <c r="Y528" s="16" t="n">
        <v>100</v>
      </c>
      <c r="Z528" s="16" t="n">
        <v>100</v>
      </c>
      <c r="AA528" s="16" t="n">
        <v>100</v>
      </c>
    </row>
    <row r="529">
      <c r="A529" s="3" t="inlineStr">
        <is>
          <t>СЦ. Услуги и материалы</t>
        </is>
      </c>
      <c r="B529" s="3" t="inlineStr">
        <is>
          <t>Прочие работы</t>
        </is>
      </c>
      <c r="C529" s="3" t="inlineStr">
        <is>
          <t>Общестроительные работы</t>
        </is>
      </c>
      <c r="D529" s="3" t="inlineStr">
        <is>
          <t xml:space="preserve">Устройство цементно-песчанной стяжки </t>
        </is>
      </c>
      <c r="E529" s="4">
        <f>N529+O529</f>
        <v/>
      </c>
      <c r="F529" s="3" t="inlineStr">
        <is>
          <t>м2</t>
        </is>
      </c>
      <c r="G529" s="4">
        <f>IFERROR('[1]Лист1'!G529,100)</f>
        <v/>
      </c>
      <c r="H529" s="16" t="n">
        <v>100</v>
      </c>
      <c r="I529" s="16" t="n">
        <v>100</v>
      </c>
      <c r="J529" s="16" t="n">
        <v>100</v>
      </c>
      <c r="K529" s="16" t="n">
        <v>100</v>
      </c>
      <c r="L529" s="16" t="n">
        <v>100</v>
      </c>
      <c r="M529" s="16" t="n">
        <v>100</v>
      </c>
      <c r="N529" s="4">
        <f>Работы!S531</f>
        <v/>
      </c>
      <c r="O529" s="4">
        <f>Работы!R531</f>
        <v/>
      </c>
      <c r="P529" s="16" t="n">
        <v>100</v>
      </c>
      <c r="Q529" s="16" t="n">
        <v>100</v>
      </c>
      <c r="R529" s="16" t="n">
        <v>100</v>
      </c>
      <c r="S529" s="16" t="n">
        <v>100</v>
      </c>
      <c r="T529" s="16" t="n">
        <v>100</v>
      </c>
      <c r="U529" s="16" t="n">
        <v>100</v>
      </c>
      <c r="V529" s="16" t="n">
        <v>100</v>
      </c>
      <c r="W529" s="16" t="n">
        <v>100</v>
      </c>
      <c r="X529" s="16" t="n">
        <v>100</v>
      </c>
      <c r="Y529" s="16" t="n">
        <v>100</v>
      </c>
      <c r="Z529" s="16" t="n">
        <v>100</v>
      </c>
      <c r="AA529" s="16" t="n">
        <v>100</v>
      </c>
    </row>
    <row r="530">
      <c r="A530" s="3" t="inlineStr">
        <is>
          <t>СЦ. Услуги и материалы</t>
        </is>
      </c>
      <c r="B530" s="3" t="inlineStr">
        <is>
          <t>Прочие работы</t>
        </is>
      </c>
      <c r="C530" s="3" t="inlineStr">
        <is>
          <t>Общестроительные работы</t>
        </is>
      </c>
      <c r="D530" s="3" t="inlineStr">
        <is>
          <t xml:space="preserve">Устройство наливного пола </t>
        </is>
      </c>
      <c r="E530" s="4">
        <f>N530+O530</f>
        <v/>
      </c>
      <c r="F530" s="3" t="inlineStr">
        <is>
          <t>м2</t>
        </is>
      </c>
      <c r="G530" s="4">
        <f>IFERROR('[1]Лист1'!G530,100)</f>
        <v/>
      </c>
      <c r="H530" s="16" t="n">
        <v>100</v>
      </c>
      <c r="I530" s="16" t="n">
        <v>100</v>
      </c>
      <c r="J530" s="16" t="n">
        <v>100</v>
      </c>
      <c r="K530" s="16" t="n">
        <v>100</v>
      </c>
      <c r="L530" s="16" t="n">
        <v>100</v>
      </c>
      <c r="M530" s="16" t="n">
        <v>100</v>
      </c>
      <c r="N530" s="4">
        <f>Работы!S532</f>
        <v/>
      </c>
      <c r="O530" s="4">
        <f>Работы!R532</f>
        <v/>
      </c>
      <c r="P530" s="16" t="n">
        <v>100</v>
      </c>
      <c r="Q530" s="16" t="n">
        <v>100</v>
      </c>
      <c r="R530" s="16" t="n">
        <v>100</v>
      </c>
      <c r="S530" s="16" t="n">
        <v>100</v>
      </c>
      <c r="T530" s="16" t="n">
        <v>100</v>
      </c>
      <c r="U530" s="16" t="n">
        <v>100</v>
      </c>
      <c r="V530" s="16" t="n">
        <v>100</v>
      </c>
      <c r="W530" s="16" t="n">
        <v>100</v>
      </c>
      <c r="X530" s="16" t="n">
        <v>100</v>
      </c>
      <c r="Y530" s="16" t="n">
        <v>100</v>
      </c>
      <c r="Z530" s="16" t="n">
        <v>100</v>
      </c>
      <c r="AA530" s="16" t="n">
        <v>100</v>
      </c>
    </row>
    <row r="531">
      <c r="A531" s="3" t="inlineStr">
        <is>
          <t>СЦ. Услуги и материалы</t>
        </is>
      </c>
      <c r="B531" s="3" t="inlineStr">
        <is>
          <t>Прочие работы</t>
        </is>
      </c>
      <c r="C531" s="3" t="inlineStr">
        <is>
          <t>Малярные работы</t>
        </is>
      </c>
      <c r="D531" s="3" t="inlineStr">
        <is>
          <t>Окраска полов  краской по бетону за 2 раза</t>
        </is>
      </c>
      <c r="E531" s="4">
        <f>N531+O531</f>
        <v/>
      </c>
      <c r="F531" s="3" t="inlineStr">
        <is>
          <t>м2</t>
        </is>
      </c>
      <c r="G531" s="4">
        <f>IFERROR('[1]Лист1'!G531,100)</f>
        <v/>
      </c>
      <c r="H531" s="16" t="n">
        <v>100</v>
      </c>
      <c r="I531" s="16" t="n">
        <v>100</v>
      </c>
      <c r="J531" s="16" t="n">
        <v>100</v>
      </c>
      <c r="K531" s="16" t="n">
        <v>100</v>
      </c>
      <c r="L531" s="16" t="n">
        <v>100</v>
      </c>
      <c r="M531" s="16" t="n">
        <v>100</v>
      </c>
      <c r="N531" s="4">
        <f>Работы!S533</f>
        <v/>
      </c>
      <c r="O531" s="4">
        <f>Работы!R533</f>
        <v/>
      </c>
      <c r="P531" s="16" t="n">
        <v>100</v>
      </c>
      <c r="Q531" s="16" t="n">
        <v>100</v>
      </c>
      <c r="R531" s="16" t="n">
        <v>100</v>
      </c>
      <c r="S531" s="16" t="n">
        <v>100</v>
      </c>
      <c r="T531" s="16" t="n">
        <v>100</v>
      </c>
      <c r="U531" s="16" t="n">
        <v>100</v>
      </c>
      <c r="V531" s="16" t="n">
        <v>100</v>
      </c>
      <c r="W531" s="16" t="n">
        <v>100</v>
      </c>
      <c r="X531" s="16" t="n">
        <v>100</v>
      </c>
      <c r="Y531" s="16" t="n">
        <v>100</v>
      </c>
      <c r="Z531" s="16" t="n">
        <v>100</v>
      </c>
      <c r="AA531" s="16" t="n">
        <v>100</v>
      </c>
    </row>
    <row r="532">
      <c r="A532" s="3" t="inlineStr">
        <is>
          <t>СЦ. Услуги и материалы</t>
        </is>
      </c>
      <c r="B532" s="3" t="inlineStr">
        <is>
          <t>Прочие работы</t>
        </is>
      </c>
      <c r="C532" s="3" t="inlineStr">
        <is>
          <t>Монтажные работы</t>
        </is>
      </c>
      <c r="D532" s="3" t="inlineStr">
        <is>
          <t>Устройство покрытия полов плиткой керамической/керамогранит и более плотных материалов</t>
        </is>
      </c>
      <c r="E532" s="4">
        <f>N532+O532</f>
        <v/>
      </c>
      <c r="F532" s="3" t="inlineStr">
        <is>
          <t>м2</t>
        </is>
      </c>
      <c r="G532" s="4">
        <f>IFERROR('[1]Лист1'!G532,100)</f>
        <v/>
      </c>
      <c r="H532" s="16" t="n">
        <v>100</v>
      </c>
      <c r="I532" s="16" t="n">
        <v>100</v>
      </c>
      <c r="J532" s="16" t="n">
        <v>100</v>
      </c>
      <c r="K532" s="16" t="n">
        <v>100</v>
      </c>
      <c r="L532" s="16" t="n">
        <v>100</v>
      </c>
      <c r="M532" s="16" t="n">
        <v>100</v>
      </c>
      <c r="N532" s="4">
        <f>Работы!S534</f>
        <v/>
      </c>
      <c r="O532" s="4">
        <f>Работы!R534</f>
        <v/>
      </c>
      <c r="P532" s="16" t="n">
        <v>100</v>
      </c>
      <c r="Q532" s="16" t="n">
        <v>100</v>
      </c>
      <c r="R532" s="16" t="n">
        <v>100</v>
      </c>
      <c r="S532" s="16" t="n">
        <v>100</v>
      </c>
      <c r="T532" s="16" t="n">
        <v>100</v>
      </c>
      <c r="U532" s="16" t="n">
        <v>100</v>
      </c>
      <c r="V532" s="16" t="n">
        <v>100</v>
      </c>
      <c r="W532" s="16" t="n">
        <v>100</v>
      </c>
      <c r="X532" s="16" t="n">
        <v>100</v>
      </c>
      <c r="Y532" s="16" t="n">
        <v>100</v>
      </c>
      <c r="Z532" s="16" t="n">
        <v>100</v>
      </c>
      <c r="AA532" s="16" t="n">
        <v>100</v>
      </c>
    </row>
    <row r="533">
      <c r="A533" s="3" t="inlineStr">
        <is>
          <t>СЦ. Услуги и материалы</t>
        </is>
      </c>
      <c r="B533" s="3" t="inlineStr">
        <is>
          <t>Прочие работы</t>
        </is>
      </c>
      <c r="C533" s="3" t="inlineStr">
        <is>
          <t>Монтажные работы</t>
        </is>
      </c>
      <c r="D533" s="3" t="inlineStr">
        <is>
          <t xml:space="preserve">Устройство покрытия из кварцвиниловой ПВХ плитки </t>
        </is>
      </c>
      <c r="E533" s="4">
        <f>N533+O533</f>
        <v/>
      </c>
      <c r="F533" s="3" t="inlineStr">
        <is>
          <t>м2</t>
        </is>
      </c>
      <c r="G533" s="4">
        <f>IFERROR('[1]Лист1'!G533,100)</f>
        <v/>
      </c>
      <c r="H533" s="16" t="n">
        <v>100</v>
      </c>
      <c r="I533" s="16" t="n">
        <v>100</v>
      </c>
      <c r="J533" s="16" t="n">
        <v>100</v>
      </c>
      <c r="K533" s="16" t="n">
        <v>100</v>
      </c>
      <c r="L533" s="16" t="n">
        <v>100</v>
      </c>
      <c r="M533" s="16" t="n">
        <v>100</v>
      </c>
      <c r="N533" s="4">
        <f>Работы!S535</f>
        <v/>
      </c>
      <c r="O533" s="4">
        <f>Работы!R535</f>
        <v/>
      </c>
      <c r="P533" s="16" t="n">
        <v>100</v>
      </c>
      <c r="Q533" s="16" t="n">
        <v>100</v>
      </c>
      <c r="R533" s="16" t="n">
        <v>100</v>
      </c>
      <c r="S533" s="16" t="n">
        <v>100</v>
      </c>
      <c r="T533" s="16" t="n">
        <v>100</v>
      </c>
      <c r="U533" s="16" t="n">
        <v>100</v>
      </c>
      <c r="V533" s="16" t="n">
        <v>100</v>
      </c>
      <c r="W533" s="16" t="n">
        <v>100</v>
      </c>
      <c r="X533" s="16" t="n">
        <v>100</v>
      </c>
      <c r="Y533" s="16" t="n">
        <v>100</v>
      </c>
      <c r="Z533" s="16" t="n">
        <v>100</v>
      </c>
      <c r="AA533" s="16" t="n">
        <v>100</v>
      </c>
    </row>
    <row r="534">
      <c r="A534" s="3" t="inlineStr">
        <is>
          <t>СЦ. Услуги и материалы</t>
        </is>
      </c>
      <c r="B534" s="3" t="inlineStr">
        <is>
          <t>Прочие работы</t>
        </is>
      </c>
      <c r="C534" s="3" t="inlineStr">
        <is>
          <t>Монтажные работы</t>
        </is>
      </c>
      <c r="D534" s="3" t="inlineStr">
        <is>
          <t xml:space="preserve">Устройство покрытий из линолеума/мормолиума, в том числе антистатического </t>
        </is>
      </c>
      <c r="E534" s="4">
        <f>N534+O534</f>
        <v/>
      </c>
      <c r="F534" s="3" t="inlineStr">
        <is>
          <t>м2</t>
        </is>
      </c>
      <c r="G534" s="4">
        <f>IFERROR('[1]Лист1'!G534,100)</f>
        <v/>
      </c>
      <c r="H534" s="16" t="n">
        <v>100</v>
      </c>
      <c r="I534" s="16" t="n">
        <v>100</v>
      </c>
      <c r="J534" s="16" t="n">
        <v>100</v>
      </c>
      <c r="K534" s="16" t="n">
        <v>100</v>
      </c>
      <c r="L534" s="16" t="n">
        <v>100</v>
      </c>
      <c r="M534" s="16" t="n">
        <v>100</v>
      </c>
      <c r="N534" s="4">
        <f>Работы!S536</f>
        <v/>
      </c>
      <c r="O534" s="4">
        <f>Работы!R536</f>
        <v/>
      </c>
      <c r="P534" s="16" t="n">
        <v>100</v>
      </c>
      <c r="Q534" s="16" t="n">
        <v>100</v>
      </c>
      <c r="R534" s="16" t="n">
        <v>100</v>
      </c>
      <c r="S534" s="16" t="n">
        <v>100</v>
      </c>
      <c r="T534" s="16" t="n">
        <v>100</v>
      </c>
      <c r="U534" s="16" t="n">
        <v>100</v>
      </c>
      <c r="V534" s="16" t="n">
        <v>100</v>
      </c>
      <c r="W534" s="16" t="n">
        <v>100</v>
      </c>
      <c r="X534" s="16" t="n">
        <v>100</v>
      </c>
      <c r="Y534" s="16" t="n">
        <v>100</v>
      </c>
      <c r="Z534" s="16" t="n">
        <v>100</v>
      </c>
      <c r="AA534" s="16" t="n">
        <v>100</v>
      </c>
    </row>
    <row r="535">
      <c r="A535" s="3" t="inlineStr">
        <is>
          <t>СЦ. Услуги и материалы</t>
        </is>
      </c>
      <c r="B535" s="3" t="inlineStr">
        <is>
          <t>Прочие работы</t>
        </is>
      </c>
      <c r="C535" s="3" t="inlineStr">
        <is>
          <t>Монтажные работы</t>
        </is>
      </c>
      <c r="D535" s="3" t="inlineStr">
        <is>
          <t xml:space="preserve">Устройство порогов </t>
        </is>
      </c>
      <c r="E535" s="4">
        <f>N535+O535</f>
        <v/>
      </c>
      <c r="F535" s="3" t="inlineStr">
        <is>
          <t>п.м</t>
        </is>
      </c>
      <c r="G535" s="4">
        <f>IFERROR('[1]Лист1'!G535,100)</f>
        <v/>
      </c>
      <c r="H535" s="16" t="n">
        <v>100</v>
      </c>
      <c r="I535" s="16" t="n">
        <v>100</v>
      </c>
      <c r="J535" s="16" t="n">
        <v>100</v>
      </c>
      <c r="K535" s="16" t="n">
        <v>100</v>
      </c>
      <c r="L535" s="16" t="n">
        <v>100</v>
      </c>
      <c r="M535" s="16" t="n">
        <v>100</v>
      </c>
      <c r="N535" s="4">
        <f>Работы!S537</f>
        <v/>
      </c>
      <c r="O535" s="4">
        <f>Работы!R537</f>
        <v/>
      </c>
      <c r="P535" s="16" t="n">
        <v>100</v>
      </c>
      <c r="Q535" s="16" t="n">
        <v>100</v>
      </c>
      <c r="R535" s="16" t="n">
        <v>100</v>
      </c>
      <c r="S535" s="16" t="n">
        <v>100</v>
      </c>
      <c r="T535" s="16" t="n">
        <v>100</v>
      </c>
      <c r="U535" s="16" t="n">
        <v>100</v>
      </c>
      <c r="V535" s="16" t="n">
        <v>100</v>
      </c>
      <c r="W535" s="16" t="n">
        <v>100</v>
      </c>
      <c r="X535" s="16" t="n">
        <v>100</v>
      </c>
      <c r="Y535" s="16" t="n">
        <v>100</v>
      </c>
      <c r="Z535" s="16" t="n">
        <v>100</v>
      </c>
      <c r="AA535" s="16" t="n">
        <v>100</v>
      </c>
    </row>
    <row r="536">
      <c r="A536" s="3" t="inlineStr">
        <is>
          <t>СЦ. Услуги и материалы</t>
        </is>
      </c>
      <c r="B536" s="3" t="inlineStr">
        <is>
          <t>Прочие работы</t>
        </is>
      </c>
      <c r="C536" s="3" t="inlineStr">
        <is>
          <t>Монтажные работы</t>
        </is>
      </c>
      <c r="D536" s="3" t="inlineStr">
        <is>
          <t>Устройство плинтусов</t>
        </is>
      </c>
      <c r="E536" s="4">
        <f>N536+O536</f>
        <v/>
      </c>
      <c r="F536" s="3" t="inlineStr">
        <is>
          <t>п.м</t>
        </is>
      </c>
      <c r="G536" s="4">
        <f>IFERROR('[1]Лист1'!G536,100)</f>
        <v/>
      </c>
      <c r="H536" s="16" t="n">
        <v>100</v>
      </c>
      <c r="I536" s="16" t="n">
        <v>100</v>
      </c>
      <c r="J536" s="16" t="n">
        <v>100</v>
      </c>
      <c r="K536" s="16" t="n">
        <v>100</v>
      </c>
      <c r="L536" s="16" t="n">
        <v>100</v>
      </c>
      <c r="M536" s="16" t="n">
        <v>100</v>
      </c>
      <c r="N536" s="4">
        <f>Работы!S538</f>
        <v/>
      </c>
      <c r="O536" s="4">
        <f>Работы!R538</f>
        <v/>
      </c>
      <c r="P536" s="16" t="n">
        <v>100</v>
      </c>
      <c r="Q536" s="16" t="n">
        <v>100</v>
      </c>
      <c r="R536" s="16" t="n">
        <v>100</v>
      </c>
      <c r="S536" s="16" t="n">
        <v>100</v>
      </c>
      <c r="T536" s="16" t="n">
        <v>100</v>
      </c>
      <c r="U536" s="16" t="n">
        <v>100</v>
      </c>
      <c r="V536" s="16" t="n">
        <v>100</v>
      </c>
      <c r="W536" s="16" t="n">
        <v>100</v>
      </c>
      <c r="X536" s="16" t="n">
        <v>100</v>
      </c>
      <c r="Y536" s="16" t="n">
        <v>100</v>
      </c>
      <c r="Z536" s="16" t="n">
        <v>100</v>
      </c>
      <c r="AA536" s="16" t="n">
        <v>100</v>
      </c>
    </row>
    <row r="537">
      <c r="A537" s="3" t="inlineStr">
        <is>
          <t>СЦ. Услуги и материалы</t>
        </is>
      </c>
      <c r="B537" s="3" t="inlineStr">
        <is>
          <t>Прочие работы</t>
        </is>
      </c>
      <c r="C537" s="3" t="inlineStr">
        <is>
          <t>Монтажные работы</t>
        </is>
      </c>
      <c r="D537" s="3" t="inlineStr">
        <is>
          <t>Устройство плинтусов деревянных/шпонированных/МДФ/ПВХ</t>
        </is>
      </c>
      <c r="E537" s="4">
        <f>N537+O537</f>
        <v/>
      </c>
      <c r="F537" s="3" t="inlineStr">
        <is>
          <t>п.м</t>
        </is>
      </c>
      <c r="G537" s="4">
        <f>IFERROR('[1]Лист1'!G537,100)</f>
        <v/>
      </c>
      <c r="H537" s="16" t="n">
        <v>100</v>
      </c>
      <c r="I537" s="16" t="n">
        <v>100</v>
      </c>
      <c r="J537" s="16" t="n">
        <v>100</v>
      </c>
      <c r="K537" s="16" t="n">
        <v>100</v>
      </c>
      <c r="L537" s="16" t="n">
        <v>100</v>
      </c>
      <c r="M537" s="16" t="n">
        <v>100</v>
      </c>
      <c r="N537" s="4">
        <f>Работы!S539</f>
        <v/>
      </c>
      <c r="O537" s="4">
        <f>Работы!R539</f>
        <v/>
      </c>
      <c r="P537" s="16" t="n">
        <v>100</v>
      </c>
      <c r="Q537" s="16" t="n">
        <v>100</v>
      </c>
      <c r="R537" s="16" t="n">
        <v>100</v>
      </c>
      <c r="S537" s="16" t="n">
        <v>100</v>
      </c>
      <c r="T537" s="16" t="n">
        <v>100</v>
      </c>
      <c r="U537" s="16" t="n">
        <v>100</v>
      </c>
      <c r="V537" s="16" t="n">
        <v>100</v>
      </c>
      <c r="W537" s="16" t="n">
        <v>100</v>
      </c>
      <c r="X537" s="16" t="n">
        <v>100</v>
      </c>
      <c r="Y537" s="16" t="n">
        <v>100</v>
      </c>
      <c r="Z537" s="16" t="n">
        <v>100</v>
      </c>
      <c r="AA537" s="16" t="n">
        <v>100</v>
      </c>
    </row>
    <row r="538">
      <c r="A538" s="3" t="inlineStr">
        <is>
          <t>СЦ. Услуги и материалы</t>
        </is>
      </c>
      <c r="B538" s="3" t="inlineStr">
        <is>
          <t>Прочие работы</t>
        </is>
      </c>
      <c r="C538" s="3" t="inlineStr">
        <is>
          <t>Монтажные работы</t>
        </is>
      </c>
      <c r="D538" s="3" t="inlineStr">
        <is>
          <t>Устройство плинтусов из плиток керамических</t>
        </is>
      </c>
      <c r="E538" s="4">
        <f>N538+O538</f>
        <v/>
      </c>
      <c r="F538" s="3" t="inlineStr">
        <is>
          <t>п.м</t>
        </is>
      </c>
      <c r="G538" s="4">
        <f>IFERROR('[1]Лист1'!G538,100)</f>
        <v/>
      </c>
      <c r="H538" s="16" t="n">
        <v>100</v>
      </c>
      <c r="I538" s="16" t="n">
        <v>100</v>
      </c>
      <c r="J538" s="16" t="n">
        <v>100</v>
      </c>
      <c r="K538" s="16" t="n">
        <v>100</v>
      </c>
      <c r="L538" s="16" t="n">
        <v>100</v>
      </c>
      <c r="M538" s="16" t="n">
        <v>100</v>
      </c>
      <c r="N538" s="4">
        <f>Работы!S540</f>
        <v/>
      </c>
      <c r="O538" s="4">
        <f>Работы!R540</f>
        <v/>
      </c>
      <c r="P538" s="16" t="n">
        <v>100</v>
      </c>
      <c r="Q538" s="16" t="n">
        <v>100</v>
      </c>
      <c r="R538" s="16" t="n">
        <v>100</v>
      </c>
      <c r="S538" s="16" t="n">
        <v>100</v>
      </c>
      <c r="T538" s="16" t="n">
        <v>100</v>
      </c>
      <c r="U538" s="16" t="n">
        <v>100</v>
      </c>
      <c r="V538" s="16" t="n">
        <v>100</v>
      </c>
      <c r="W538" s="16" t="n">
        <v>100</v>
      </c>
      <c r="X538" s="16" t="n">
        <v>100</v>
      </c>
      <c r="Y538" s="16" t="n">
        <v>100</v>
      </c>
      <c r="Z538" s="16" t="n">
        <v>100</v>
      </c>
      <c r="AA538" s="16" t="n">
        <v>100</v>
      </c>
    </row>
    <row r="539">
      <c r="A539" s="3" t="inlineStr">
        <is>
          <t>СЦ. Услуги и материалы</t>
        </is>
      </c>
      <c r="B539" s="3" t="inlineStr">
        <is>
          <t>Прочие работы</t>
        </is>
      </c>
      <c r="C539" s="3" t="inlineStr">
        <is>
          <t>Монтажные работы</t>
        </is>
      </c>
      <c r="D539" s="3" t="inlineStr">
        <is>
          <t>Монтаж плинтуса с вставкой из ковролина/ПВХ</t>
        </is>
      </c>
      <c r="E539" s="4">
        <f>N539+O539</f>
        <v/>
      </c>
      <c r="F539" s="3" t="inlineStr">
        <is>
          <t>п.м</t>
        </is>
      </c>
      <c r="G539" s="4">
        <f>IFERROR('[1]Лист1'!G539,100)</f>
        <v/>
      </c>
      <c r="H539" s="16" t="n">
        <v>100</v>
      </c>
      <c r="I539" s="16" t="n">
        <v>100</v>
      </c>
      <c r="J539" s="16" t="n">
        <v>100</v>
      </c>
      <c r="K539" s="16" t="n">
        <v>100</v>
      </c>
      <c r="L539" s="16" t="n">
        <v>100</v>
      </c>
      <c r="M539" s="16" t="n">
        <v>100</v>
      </c>
      <c r="N539" s="4">
        <f>Работы!S541</f>
        <v/>
      </c>
      <c r="O539" s="4">
        <f>Работы!R541</f>
        <v/>
      </c>
      <c r="P539" s="16" t="n">
        <v>100</v>
      </c>
      <c r="Q539" s="16" t="n">
        <v>100</v>
      </c>
      <c r="R539" s="16" t="n">
        <v>100</v>
      </c>
      <c r="S539" s="16" t="n">
        <v>100</v>
      </c>
      <c r="T539" s="16" t="n">
        <v>100</v>
      </c>
      <c r="U539" s="16" t="n">
        <v>100</v>
      </c>
      <c r="V539" s="16" t="n">
        <v>100</v>
      </c>
      <c r="W539" s="16" t="n">
        <v>100</v>
      </c>
      <c r="X539" s="16" t="n">
        <v>100</v>
      </c>
      <c r="Y539" s="16" t="n">
        <v>100</v>
      </c>
      <c r="Z539" s="16" t="n">
        <v>100</v>
      </c>
      <c r="AA539" s="16" t="n">
        <v>100</v>
      </c>
    </row>
    <row r="540">
      <c r="A540" s="3" t="inlineStr">
        <is>
          <t>СЦ. Услуги и материалы</t>
        </is>
      </c>
      <c r="B540" s="3" t="inlineStr">
        <is>
          <t>Прочие работы</t>
        </is>
      </c>
      <c r="C540" s="3" t="inlineStr">
        <is>
          <t>Монтажные работы</t>
        </is>
      </c>
      <c r="D540" s="3" t="inlineStr">
        <is>
          <t>Установка перемычек проемов</t>
        </is>
      </c>
      <c r="E540" s="4">
        <f>N540+O540</f>
        <v/>
      </c>
      <c r="F540" s="3" t="inlineStr">
        <is>
          <t>шт.</t>
        </is>
      </c>
      <c r="G540" s="4">
        <f>IFERROR('[1]Лист1'!G540,100)</f>
        <v/>
      </c>
      <c r="H540" s="16" t="n">
        <v>100</v>
      </c>
      <c r="I540" s="16" t="n">
        <v>100</v>
      </c>
      <c r="J540" s="16" t="n">
        <v>100</v>
      </c>
      <c r="K540" s="16" t="n">
        <v>100</v>
      </c>
      <c r="L540" s="16" t="n">
        <v>100</v>
      </c>
      <c r="M540" s="16" t="n">
        <v>100</v>
      </c>
      <c r="N540" s="4">
        <f>Работы!S542</f>
        <v/>
      </c>
      <c r="O540" s="4">
        <f>Работы!R542</f>
        <v/>
      </c>
      <c r="P540" s="16" t="n">
        <v>100</v>
      </c>
      <c r="Q540" s="16" t="n">
        <v>100</v>
      </c>
      <c r="R540" s="16" t="n">
        <v>100</v>
      </c>
      <c r="S540" s="16" t="n">
        <v>100</v>
      </c>
      <c r="T540" s="16" t="n">
        <v>100</v>
      </c>
      <c r="U540" s="16" t="n">
        <v>100</v>
      </c>
      <c r="V540" s="16" t="n">
        <v>100</v>
      </c>
      <c r="W540" s="16" t="n">
        <v>100</v>
      </c>
      <c r="X540" s="16" t="n">
        <v>100</v>
      </c>
      <c r="Y540" s="16" t="n">
        <v>100</v>
      </c>
      <c r="Z540" s="16" t="n">
        <v>100</v>
      </c>
      <c r="AA540" s="16" t="n">
        <v>100</v>
      </c>
    </row>
    <row r="541">
      <c r="A541" s="3" t="inlineStr">
        <is>
          <t>СЦ. Услуги и материалы</t>
        </is>
      </c>
      <c r="B541" s="3" t="inlineStr">
        <is>
          <t>Прочие работы</t>
        </is>
      </c>
      <c r="C541" s="3" t="inlineStr">
        <is>
          <t>Монтажные работы</t>
        </is>
      </c>
      <c r="D541" s="3" t="inlineStr">
        <is>
          <t>Устройство закладных для монтажа навесного оборудования/мебели</t>
        </is>
      </c>
      <c r="E541" s="4">
        <f>N541+O541</f>
        <v/>
      </c>
      <c r="F541" s="3" t="inlineStr">
        <is>
          <t>шт.</t>
        </is>
      </c>
      <c r="G541" s="4">
        <f>IFERROR('[1]Лист1'!G541,100)</f>
        <v/>
      </c>
      <c r="H541" s="16" t="n">
        <v>100</v>
      </c>
      <c r="I541" s="16" t="n">
        <v>100</v>
      </c>
      <c r="J541" s="16" t="n">
        <v>100</v>
      </c>
      <c r="K541" s="16" t="n">
        <v>100</v>
      </c>
      <c r="L541" s="16" t="n">
        <v>100</v>
      </c>
      <c r="M541" s="16" t="n">
        <v>100</v>
      </c>
      <c r="N541" s="4">
        <f>Работы!S543</f>
        <v/>
      </c>
      <c r="O541" s="4">
        <f>Работы!R543</f>
        <v/>
      </c>
      <c r="P541" s="16" t="n">
        <v>100</v>
      </c>
      <c r="Q541" s="16" t="n">
        <v>100</v>
      </c>
      <c r="R541" s="16" t="n">
        <v>100</v>
      </c>
      <c r="S541" s="16" t="n">
        <v>100</v>
      </c>
      <c r="T541" s="16" t="n">
        <v>100</v>
      </c>
      <c r="U541" s="16" t="n">
        <v>100</v>
      </c>
      <c r="V541" s="16" t="n">
        <v>100</v>
      </c>
      <c r="W541" s="16" t="n">
        <v>100</v>
      </c>
      <c r="X541" s="16" t="n">
        <v>100</v>
      </c>
      <c r="Y541" s="16" t="n">
        <v>100</v>
      </c>
      <c r="Z541" s="16" t="n">
        <v>100</v>
      </c>
      <c r="AA541" s="16" t="n">
        <v>100</v>
      </c>
    </row>
    <row r="542">
      <c r="A542" s="3" t="inlineStr">
        <is>
          <t>СЦ. Услуги и материалы</t>
        </is>
      </c>
      <c r="B542" s="3" t="inlineStr">
        <is>
          <t>Прочие работы</t>
        </is>
      </c>
      <c r="C542" s="3" t="inlineStr">
        <is>
          <t>Монтажные работы</t>
        </is>
      </c>
      <c r="D542" s="3" t="inlineStr">
        <is>
          <t>Обшивка существующих колонн, откосов и коробов ГКВЛ</t>
        </is>
      </c>
      <c r="E542" s="4">
        <f>N542+O542</f>
        <v/>
      </c>
      <c r="F542" s="3" t="inlineStr">
        <is>
          <t>м2</t>
        </is>
      </c>
      <c r="G542" s="4">
        <f>IFERROR('[1]Лист1'!G542,100)</f>
        <v/>
      </c>
      <c r="H542" s="16" t="n">
        <v>100</v>
      </c>
      <c r="I542" s="16" t="n">
        <v>100</v>
      </c>
      <c r="J542" s="16" t="n">
        <v>100</v>
      </c>
      <c r="K542" s="16" t="n">
        <v>100</v>
      </c>
      <c r="L542" s="16" t="n">
        <v>100</v>
      </c>
      <c r="M542" s="16" t="n">
        <v>100</v>
      </c>
      <c r="N542" s="4">
        <f>Работы!S544</f>
        <v/>
      </c>
      <c r="O542" s="4">
        <f>Работы!R544</f>
        <v/>
      </c>
      <c r="P542" s="16" t="n">
        <v>100</v>
      </c>
      <c r="Q542" s="16" t="n">
        <v>100</v>
      </c>
      <c r="R542" s="16" t="n">
        <v>100</v>
      </c>
      <c r="S542" s="16" t="n">
        <v>100</v>
      </c>
      <c r="T542" s="16" t="n">
        <v>100</v>
      </c>
      <c r="U542" s="16" t="n">
        <v>100</v>
      </c>
      <c r="V542" s="16" t="n">
        <v>100</v>
      </c>
      <c r="W542" s="16" t="n">
        <v>100</v>
      </c>
      <c r="X542" s="16" t="n">
        <v>100</v>
      </c>
      <c r="Y542" s="16" t="n">
        <v>100</v>
      </c>
      <c r="Z542" s="16" t="n">
        <v>100</v>
      </c>
      <c r="AA542" s="16" t="n">
        <v>100</v>
      </c>
    </row>
    <row r="543">
      <c r="A543" s="3" t="inlineStr">
        <is>
          <t>СЦ. Услуги и материалы</t>
        </is>
      </c>
      <c r="B543" s="3" t="inlineStr">
        <is>
          <t>Прочие работы</t>
        </is>
      </c>
      <c r="C543" s="3" t="inlineStr">
        <is>
          <t>Штукатурные работы</t>
        </is>
      </c>
      <c r="D543" s="3" t="inlineStr">
        <is>
          <t>Грунтовка стен/перегородок/откосов/колонн</t>
        </is>
      </c>
      <c r="E543" s="4">
        <f>N543+O543</f>
        <v/>
      </c>
      <c r="F543" s="3" t="inlineStr">
        <is>
          <t>м2</t>
        </is>
      </c>
      <c r="G543" s="4">
        <f>IFERROR('[1]Лист1'!G543,100)</f>
        <v/>
      </c>
      <c r="H543" s="16" t="n">
        <v>100</v>
      </c>
      <c r="I543" s="16" t="n">
        <v>100</v>
      </c>
      <c r="J543" s="16" t="n">
        <v>100</v>
      </c>
      <c r="K543" s="16" t="n">
        <v>100</v>
      </c>
      <c r="L543" s="16" t="n">
        <v>100</v>
      </c>
      <c r="M543" s="16" t="n">
        <v>100</v>
      </c>
      <c r="N543" s="4">
        <f>Работы!S545</f>
        <v/>
      </c>
      <c r="O543" s="4">
        <f>Работы!R545</f>
        <v/>
      </c>
      <c r="P543" s="16" t="n">
        <v>100</v>
      </c>
      <c r="Q543" s="16" t="n">
        <v>100</v>
      </c>
      <c r="R543" s="16" t="n">
        <v>100</v>
      </c>
      <c r="S543" s="16" t="n">
        <v>100</v>
      </c>
      <c r="T543" s="16" t="n">
        <v>100</v>
      </c>
      <c r="U543" s="16" t="n">
        <v>100</v>
      </c>
      <c r="V543" s="16" t="n">
        <v>100</v>
      </c>
      <c r="W543" s="16" t="n">
        <v>100</v>
      </c>
      <c r="X543" s="16" t="n">
        <v>100</v>
      </c>
      <c r="Y543" s="16" t="n">
        <v>100</v>
      </c>
      <c r="Z543" s="16" t="n">
        <v>100</v>
      </c>
      <c r="AA543" s="16" t="n">
        <v>100</v>
      </c>
    </row>
    <row r="544">
      <c r="A544" s="3" t="inlineStr">
        <is>
          <t>СЦ. Услуги и материалы</t>
        </is>
      </c>
      <c r="B544" s="3" t="inlineStr">
        <is>
          <t>Прочие работы</t>
        </is>
      </c>
      <c r="C544" s="3" t="inlineStr">
        <is>
          <t>Штукатурные работы</t>
        </is>
      </c>
      <c r="D544" s="3" t="inlineStr">
        <is>
          <t>Штукатурка стен/перегородок/откосов/колонн</t>
        </is>
      </c>
      <c r="E544" s="4">
        <f>N544+O544</f>
        <v/>
      </c>
      <c r="F544" s="3" t="inlineStr">
        <is>
          <t>м2</t>
        </is>
      </c>
      <c r="G544" s="4">
        <f>IFERROR('[1]Лист1'!G544,100)</f>
        <v/>
      </c>
      <c r="H544" s="16" t="n">
        <v>100</v>
      </c>
      <c r="I544" s="16" t="n">
        <v>100</v>
      </c>
      <c r="J544" s="16" t="n">
        <v>100</v>
      </c>
      <c r="K544" s="16" t="n">
        <v>100</v>
      </c>
      <c r="L544" s="16" t="n">
        <v>100</v>
      </c>
      <c r="M544" s="16" t="n">
        <v>100</v>
      </c>
      <c r="N544" s="4">
        <f>Работы!S546</f>
        <v/>
      </c>
      <c r="O544" s="4">
        <f>Работы!R546</f>
        <v/>
      </c>
      <c r="P544" s="16" t="n">
        <v>100</v>
      </c>
      <c r="Q544" s="16" t="n">
        <v>100</v>
      </c>
      <c r="R544" s="16" t="n">
        <v>100</v>
      </c>
      <c r="S544" s="16" t="n">
        <v>100</v>
      </c>
      <c r="T544" s="16" t="n">
        <v>100</v>
      </c>
      <c r="U544" s="16" t="n">
        <v>100</v>
      </c>
      <c r="V544" s="16" t="n">
        <v>100</v>
      </c>
      <c r="W544" s="16" t="n">
        <v>100</v>
      </c>
      <c r="X544" s="16" t="n">
        <v>100</v>
      </c>
      <c r="Y544" s="16" t="n">
        <v>100</v>
      </c>
      <c r="Z544" s="16" t="n">
        <v>100</v>
      </c>
      <c r="AA544" s="16" t="n">
        <v>100</v>
      </c>
    </row>
    <row r="545">
      <c r="A545" s="3" t="inlineStr">
        <is>
          <t>СЦ. Услуги и материалы</t>
        </is>
      </c>
      <c r="B545" s="3" t="inlineStr">
        <is>
          <t>Прочие работы</t>
        </is>
      </c>
      <c r="C545" s="3" t="inlineStr">
        <is>
          <t>Штукатурные работы</t>
        </is>
      </c>
      <c r="D545" s="3" t="inlineStr">
        <is>
          <t>Шпаклевка стен/перегородок/откосов/колонн с оклейкой поверхности  стеклохолстом</t>
        </is>
      </c>
      <c r="E545" s="4">
        <f>N545+O545</f>
        <v/>
      </c>
      <c r="F545" s="3" t="inlineStr">
        <is>
          <t>м2</t>
        </is>
      </c>
      <c r="G545" s="4">
        <f>IFERROR('[1]Лист1'!G545,100)</f>
        <v/>
      </c>
      <c r="H545" s="16" t="n">
        <v>100</v>
      </c>
      <c r="I545" s="16" t="n">
        <v>100</v>
      </c>
      <c r="J545" s="16" t="n">
        <v>100</v>
      </c>
      <c r="K545" s="16" t="n">
        <v>100</v>
      </c>
      <c r="L545" s="16" t="n">
        <v>100</v>
      </c>
      <c r="M545" s="16" t="n">
        <v>100</v>
      </c>
      <c r="N545" s="4">
        <f>Работы!S547</f>
        <v/>
      </c>
      <c r="O545" s="4">
        <f>Работы!R547</f>
        <v/>
      </c>
      <c r="P545" s="16" t="n">
        <v>100</v>
      </c>
      <c r="Q545" s="16" t="n">
        <v>100</v>
      </c>
      <c r="R545" s="16" t="n">
        <v>100</v>
      </c>
      <c r="S545" s="16" t="n">
        <v>100</v>
      </c>
      <c r="T545" s="16" t="n">
        <v>100</v>
      </c>
      <c r="U545" s="16" t="n">
        <v>100</v>
      </c>
      <c r="V545" s="16" t="n">
        <v>100</v>
      </c>
      <c r="W545" s="16" t="n">
        <v>100</v>
      </c>
      <c r="X545" s="16" t="n">
        <v>100</v>
      </c>
      <c r="Y545" s="16" t="n">
        <v>100</v>
      </c>
      <c r="Z545" s="16" t="n">
        <v>100</v>
      </c>
      <c r="AA545" s="16" t="n">
        <v>100</v>
      </c>
    </row>
    <row r="546">
      <c r="A546" s="3" t="inlineStr">
        <is>
          <t>СЦ. Услуги и материалы</t>
        </is>
      </c>
      <c r="B546" s="3" t="inlineStr">
        <is>
          <t>Прочие работы</t>
        </is>
      </c>
      <c r="C546" s="3" t="inlineStr">
        <is>
          <t>Малярные работы</t>
        </is>
      </c>
      <c r="D546" s="3" t="inlineStr">
        <is>
          <t>Окраска стен/перегородок/откосов/колонн краской (тип краски согласовывается Заказчиком)</t>
        </is>
      </c>
      <c r="E546" s="4">
        <f>N546+O546</f>
        <v/>
      </c>
      <c r="F546" s="3" t="inlineStr">
        <is>
          <t>м2</t>
        </is>
      </c>
      <c r="G546" s="4">
        <f>IFERROR('[1]Лист1'!G546,100)</f>
        <v/>
      </c>
      <c r="H546" s="16" t="n">
        <v>100</v>
      </c>
      <c r="I546" s="16" t="n">
        <v>100</v>
      </c>
      <c r="J546" s="16" t="n">
        <v>100</v>
      </c>
      <c r="K546" s="16" t="n">
        <v>100</v>
      </c>
      <c r="L546" s="16" t="n">
        <v>100</v>
      </c>
      <c r="M546" s="16" t="n">
        <v>100</v>
      </c>
      <c r="N546" s="4">
        <f>Работы!S548</f>
        <v/>
      </c>
      <c r="O546" s="4">
        <f>Работы!R548</f>
        <v/>
      </c>
      <c r="P546" s="16" t="n">
        <v>100</v>
      </c>
      <c r="Q546" s="16" t="n">
        <v>100</v>
      </c>
      <c r="R546" s="16" t="n">
        <v>100</v>
      </c>
      <c r="S546" s="16" t="n">
        <v>100</v>
      </c>
      <c r="T546" s="16" t="n">
        <v>100</v>
      </c>
      <c r="U546" s="16" t="n">
        <v>100</v>
      </c>
      <c r="V546" s="16" t="n">
        <v>100</v>
      </c>
      <c r="W546" s="16" t="n">
        <v>100</v>
      </c>
      <c r="X546" s="16" t="n">
        <v>100</v>
      </c>
      <c r="Y546" s="16" t="n">
        <v>100</v>
      </c>
      <c r="Z546" s="16" t="n">
        <v>100</v>
      </c>
      <c r="AA546" s="16" t="n">
        <v>100</v>
      </c>
    </row>
    <row r="547">
      <c r="A547" s="3" t="inlineStr">
        <is>
          <t>СЦ. Услуги и материалы</t>
        </is>
      </c>
      <c r="B547" s="3" t="inlineStr">
        <is>
          <t>Прочие работы</t>
        </is>
      </c>
      <c r="C547" s="3" t="inlineStr">
        <is>
          <t>Монтажные работы</t>
        </is>
      </c>
      <c r="D547" s="3" t="inlineStr">
        <is>
          <t>Монтаж декоративных панелей на основе гипса/МДФ/ПВХ и аналогов</t>
        </is>
      </c>
      <c r="E547" s="4">
        <f>N547+O547</f>
        <v/>
      </c>
      <c r="F547" s="3" t="inlineStr">
        <is>
          <t>шт.</t>
        </is>
      </c>
      <c r="G547" s="4">
        <f>IFERROR('[1]Лист1'!G547,100)</f>
        <v/>
      </c>
      <c r="H547" s="16" t="n">
        <v>100</v>
      </c>
      <c r="I547" s="16" t="n">
        <v>100</v>
      </c>
      <c r="J547" s="16" t="n">
        <v>100</v>
      </c>
      <c r="K547" s="16" t="n">
        <v>100</v>
      </c>
      <c r="L547" s="16" t="n">
        <v>100</v>
      </c>
      <c r="M547" s="16" t="n">
        <v>100</v>
      </c>
      <c r="N547" s="4">
        <f>Работы!S549</f>
        <v/>
      </c>
      <c r="O547" s="4">
        <f>Работы!R549</f>
        <v/>
      </c>
      <c r="P547" s="16" t="n">
        <v>100</v>
      </c>
      <c r="Q547" s="16" t="n">
        <v>100</v>
      </c>
      <c r="R547" s="16" t="n">
        <v>100</v>
      </c>
      <c r="S547" s="16" t="n">
        <v>100</v>
      </c>
      <c r="T547" s="16" t="n">
        <v>100</v>
      </c>
      <c r="U547" s="16" t="n">
        <v>100</v>
      </c>
      <c r="V547" s="16" t="n">
        <v>100</v>
      </c>
      <c r="W547" s="16" t="n">
        <v>100</v>
      </c>
      <c r="X547" s="16" t="n">
        <v>100</v>
      </c>
      <c r="Y547" s="16" t="n">
        <v>100</v>
      </c>
      <c r="Z547" s="16" t="n">
        <v>100</v>
      </c>
      <c r="AA547" s="16" t="n">
        <v>100</v>
      </c>
    </row>
    <row r="548">
      <c r="A548" s="3" t="inlineStr">
        <is>
          <t>СЦ. Услуги и материалы</t>
        </is>
      </c>
      <c r="B548" s="3" t="inlineStr">
        <is>
          <t>Прочие работы</t>
        </is>
      </c>
      <c r="C548" s="3" t="inlineStr">
        <is>
          <t>Демонтажные работы</t>
        </is>
      </c>
      <c r="D548" s="3" t="inlineStr">
        <is>
          <t>Демонтаж дверей (противопожарных)</t>
        </is>
      </c>
      <c r="E548" s="4">
        <f>N548+O548</f>
        <v/>
      </c>
      <c r="F548" s="3" t="inlineStr">
        <is>
          <t>шт.</t>
        </is>
      </c>
      <c r="G548" s="4">
        <f>IFERROR('[1]Лист1'!G548,100)</f>
        <v/>
      </c>
      <c r="H548" s="16" t="n">
        <v>100</v>
      </c>
      <c r="I548" s="16" t="n">
        <v>100</v>
      </c>
      <c r="J548" s="16" t="n">
        <v>100</v>
      </c>
      <c r="K548" s="16" t="n">
        <v>100</v>
      </c>
      <c r="L548" s="16" t="n">
        <v>100</v>
      </c>
      <c r="M548" s="16" t="n">
        <v>100</v>
      </c>
      <c r="N548" s="4">
        <f>Работы!S550</f>
        <v/>
      </c>
      <c r="O548" s="4">
        <f>Работы!R550</f>
        <v/>
      </c>
      <c r="P548" s="16" t="n">
        <v>100</v>
      </c>
      <c r="Q548" s="16" t="n">
        <v>100</v>
      </c>
      <c r="R548" s="16" t="n">
        <v>100</v>
      </c>
      <c r="S548" s="16" t="n">
        <v>100</v>
      </c>
      <c r="T548" s="16" t="n">
        <v>100</v>
      </c>
      <c r="U548" s="16" t="n">
        <v>100</v>
      </c>
      <c r="V548" s="16" t="n">
        <v>100</v>
      </c>
      <c r="W548" s="16" t="n">
        <v>100</v>
      </c>
      <c r="X548" s="16" t="n">
        <v>100</v>
      </c>
      <c r="Y548" s="16" t="n">
        <v>100</v>
      </c>
      <c r="Z548" s="16" t="n">
        <v>100</v>
      </c>
      <c r="AA548" s="16" t="n">
        <v>100</v>
      </c>
    </row>
    <row r="549">
      <c r="A549" s="3" t="inlineStr">
        <is>
          <t>СЦ. Услуги и материалы</t>
        </is>
      </c>
      <c r="B549" s="3" t="inlineStr">
        <is>
          <t>Прочие работы</t>
        </is>
      </c>
      <c r="C549" s="3" t="inlineStr">
        <is>
          <t>Демонтажные работы</t>
        </is>
      </c>
      <c r="D549" s="3" t="inlineStr">
        <is>
          <t>Демонтаж дверей (межкомнатных и тд)</t>
        </is>
      </c>
      <c r="E549" s="4">
        <f>N549+O549</f>
        <v/>
      </c>
      <c r="F549" s="3" t="inlineStr">
        <is>
          <t>шт.</t>
        </is>
      </c>
      <c r="G549" s="4">
        <f>IFERROR('[1]Лист1'!G549,100)</f>
        <v/>
      </c>
      <c r="H549" s="16" t="n">
        <v>100</v>
      </c>
      <c r="I549" s="16" t="n">
        <v>100</v>
      </c>
      <c r="J549" s="16" t="n">
        <v>100</v>
      </c>
      <c r="K549" s="16" t="n">
        <v>100</v>
      </c>
      <c r="L549" s="16" t="n">
        <v>100</v>
      </c>
      <c r="M549" s="16" t="n">
        <v>100</v>
      </c>
      <c r="N549" s="4">
        <f>Работы!S551</f>
        <v/>
      </c>
      <c r="O549" s="4">
        <f>Работы!R551</f>
        <v/>
      </c>
      <c r="P549" s="16" t="n">
        <v>100</v>
      </c>
      <c r="Q549" s="16" t="n">
        <v>100</v>
      </c>
      <c r="R549" s="16" t="n">
        <v>100</v>
      </c>
      <c r="S549" s="16" t="n">
        <v>100</v>
      </c>
      <c r="T549" s="16" t="n">
        <v>100</v>
      </c>
      <c r="U549" s="16" t="n">
        <v>100</v>
      </c>
      <c r="V549" s="16" t="n">
        <v>100</v>
      </c>
      <c r="W549" s="16" t="n">
        <v>100</v>
      </c>
      <c r="X549" s="16" t="n">
        <v>100</v>
      </c>
      <c r="Y549" s="16" t="n">
        <v>100</v>
      </c>
      <c r="Z549" s="16" t="n">
        <v>100</v>
      </c>
      <c r="AA549" s="16" t="n">
        <v>100</v>
      </c>
    </row>
    <row r="550">
      <c r="A550" s="3" t="inlineStr">
        <is>
          <t>СЦ. Услуги и материалы</t>
        </is>
      </c>
      <c r="B550" s="3" t="inlineStr">
        <is>
          <t>Прочие работы</t>
        </is>
      </c>
      <c r="C550" s="3" t="inlineStr">
        <is>
          <t>Монтажные работы</t>
        </is>
      </c>
      <c r="D550" s="3" t="inlineStr">
        <is>
          <t>Монтаж дверей (противопожарных)</t>
        </is>
      </c>
      <c r="E550" s="4">
        <f>N550+O550</f>
        <v/>
      </c>
      <c r="F550" s="3" t="inlineStr">
        <is>
          <t>шт.</t>
        </is>
      </c>
      <c r="G550" s="4">
        <f>IFERROR('[1]Лист1'!G550,100)</f>
        <v/>
      </c>
      <c r="H550" s="16" t="n">
        <v>100</v>
      </c>
      <c r="I550" s="16" t="n">
        <v>100</v>
      </c>
      <c r="J550" s="16" t="n">
        <v>100</v>
      </c>
      <c r="K550" s="16" t="n">
        <v>100</v>
      </c>
      <c r="L550" s="16" t="n">
        <v>100</v>
      </c>
      <c r="M550" s="16" t="n">
        <v>100</v>
      </c>
      <c r="N550" s="4">
        <f>Работы!S552</f>
        <v/>
      </c>
      <c r="O550" s="4">
        <f>Работы!R552</f>
        <v/>
      </c>
      <c r="P550" s="16" t="n">
        <v>100</v>
      </c>
      <c r="Q550" s="16" t="n">
        <v>100</v>
      </c>
      <c r="R550" s="16" t="n">
        <v>100</v>
      </c>
      <c r="S550" s="16" t="n">
        <v>100</v>
      </c>
      <c r="T550" s="16" t="n">
        <v>100</v>
      </c>
      <c r="U550" s="16" t="n">
        <v>100</v>
      </c>
      <c r="V550" s="16" t="n">
        <v>100</v>
      </c>
      <c r="W550" s="16" t="n">
        <v>100</v>
      </c>
      <c r="X550" s="16" t="n">
        <v>100</v>
      </c>
      <c r="Y550" s="16" t="n">
        <v>100</v>
      </c>
      <c r="Z550" s="16" t="n">
        <v>100</v>
      </c>
      <c r="AA550" s="16" t="n">
        <v>100</v>
      </c>
    </row>
    <row r="551">
      <c r="A551" s="3" t="inlineStr">
        <is>
          <t>СЦ. Услуги и материалы</t>
        </is>
      </c>
      <c r="B551" s="3" t="inlineStr">
        <is>
          <t>Прочие работы</t>
        </is>
      </c>
      <c r="C551" s="3" t="inlineStr">
        <is>
          <t>Монтажные работы</t>
        </is>
      </c>
      <c r="D551" s="3" t="inlineStr">
        <is>
          <t>Монтаж дверей (межкомнатных и тд)</t>
        </is>
      </c>
      <c r="E551" s="4">
        <f>N551+O551</f>
        <v/>
      </c>
      <c r="F551" s="3" t="inlineStr">
        <is>
          <t>шт.</t>
        </is>
      </c>
      <c r="G551" s="4">
        <f>IFERROR('[1]Лист1'!G551,100)</f>
        <v/>
      </c>
      <c r="H551" s="16" t="n">
        <v>100</v>
      </c>
      <c r="I551" s="16" t="n">
        <v>100</v>
      </c>
      <c r="J551" s="16" t="n">
        <v>100</v>
      </c>
      <c r="K551" s="16" t="n">
        <v>100</v>
      </c>
      <c r="L551" s="16" t="n">
        <v>100</v>
      </c>
      <c r="M551" s="16" t="n">
        <v>100</v>
      </c>
      <c r="N551" s="4">
        <f>Работы!S553</f>
        <v/>
      </c>
      <c r="O551" s="4">
        <f>Работы!R553</f>
        <v/>
      </c>
      <c r="P551" s="16" t="n">
        <v>100</v>
      </c>
      <c r="Q551" s="16" t="n">
        <v>100</v>
      </c>
      <c r="R551" s="16" t="n">
        <v>100</v>
      </c>
      <c r="S551" s="16" t="n">
        <v>100</v>
      </c>
      <c r="T551" s="16" t="n">
        <v>100</v>
      </c>
      <c r="U551" s="16" t="n">
        <v>100</v>
      </c>
      <c r="V551" s="16" t="n">
        <v>100</v>
      </c>
      <c r="W551" s="16" t="n">
        <v>100</v>
      </c>
      <c r="X551" s="16" t="n">
        <v>100</v>
      </c>
      <c r="Y551" s="16" t="n">
        <v>100</v>
      </c>
      <c r="Z551" s="16" t="n">
        <v>100</v>
      </c>
      <c r="AA551" s="16" t="n">
        <v>100</v>
      </c>
    </row>
    <row r="552">
      <c r="A552" s="3" t="inlineStr">
        <is>
          <t>СЦ. Услуги и материалы</t>
        </is>
      </c>
      <c r="B552" s="3" t="inlineStr">
        <is>
          <t>Прочие работы</t>
        </is>
      </c>
      <c r="C552" s="3" t="inlineStr">
        <is>
          <t>Монтажные работы</t>
        </is>
      </c>
      <c r="D552" s="3" t="inlineStr">
        <is>
          <t>Ремонт дверей (стеклянных, противопожарных, межкомнатных и тд) (замена фурнитуры, устранение провисов петель/полотен)</t>
        </is>
      </c>
      <c r="E552" s="4">
        <f>N552+O552</f>
        <v/>
      </c>
      <c r="F552" s="3" t="inlineStr">
        <is>
          <t>шт.</t>
        </is>
      </c>
      <c r="G552" s="4">
        <f>IFERROR('[1]Лист1'!G552,100)</f>
        <v/>
      </c>
      <c r="H552" s="16" t="n">
        <v>100</v>
      </c>
      <c r="I552" s="16" t="n">
        <v>100</v>
      </c>
      <c r="J552" s="16" t="n">
        <v>100</v>
      </c>
      <c r="K552" s="16" t="n">
        <v>100</v>
      </c>
      <c r="L552" s="16" t="n">
        <v>100</v>
      </c>
      <c r="M552" s="16" t="n">
        <v>100</v>
      </c>
      <c r="N552" s="4">
        <f>Работы!S554</f>
        <v/>
      </c>
      <c r="O552" s="4">
        <f>Работы!R554</f>
        <v/>
      </c>
      <c r="P552" s="16" t="n">
        <v>100</v>
      </c>
      <c r="Q552" s="16" t="n">
        <v>100</v>
      </c>
      <c r="R552" s="16" t="n">
        <v>100</v>
      </c>
      <c r="S552" s="16" t="n">
        <v>100</v>
      </c>
      <c r="T552" s="16" t="n">
        <v>100</v>
      </c>
      <c r="U552" s="16" t="n">
        <v>100</v>
      </c>
      <c r="V552" s="16" t="n">
        <v>100</v>
      </c>
      <c r="W552" s="16" t="n">
        <v>100</v>
      </c>
      <c r="X552" s="16" t="n">
        <v>100</v>
      </c>
      <c r="Y552" s="16" t="n">
        <v>100</v>
      </c>
      <c r="Z552" s="16" t="n">
        <v>100</v>
      </c>
      <c r="AA552" s="16" t="n">
        <v>100</v>
      </c>
    </row>
    <row r="553">
      <c r="A553" s="3" t="inlineStr">
        <is>
          <t>СЦ. Услуги и материалы</t>
        </is>
      </c>
      <c r="B553" s="3" t="inlineStr">
        <is>
          <t>Прочие работы</t>
        </is>
      </c>
      <c r="C553" s="3" t="inlineStr">
        <is>
          <t>Демонтажные работы</t>
        </is>
      </c>
      <c r="D553" s="3" t="inlineStr">
        <is>
          <t>Демонтаж дверных доводчиков</t>
        </is>
      </c>
      <c r="E553" s="4">
        <f>N553+O553</f>
        <v/>
      </c>
      <c r="F553" s="3" t="inlineStr">
        <is>
          <t>шт.</t>
        </is>
      </c>
      <c r="G553" s="4">
        <f>IFERROR('[1]Лист1'!G553,100)</f>
        <v/>
      </c>
      <c r="H553" s="16" t="n">
        <v>100</v>
      </c>
      <c r="I553" s="16" t="n">
        <v>100</v>
      </c>
      <c r="J553" s="16" t="n">
        <v>100</v>
      </c>
      <c r="K553" s="16" t="n">
        <v>100</v>
      </c>
      <c r="L553" s="16" t="n">
        <v>100</v>
      </c>
      <c r="M553" s="16" t="n">
        <v>100</v>
      </c>
      <c r="N553" s="4">
        <f>Работы!S555</f>
        <v/>
      </c>
      <c r="O553" s="4">
        <f>Работы!R555</f>
        <v/>
      </c>
      <c r="P553" s="16" t="n">
        <v>100</v>
      </c>
      <c r="Q553" s="16" t="n">
        <v>100</v>
      </c>
      <c r="R553" s="16" t="n">
        <v>100</v>
      </c>
      <c r="S553" s="16" t="n">
        <v>100</v>
      </c>
      <c r="T553" s="16" t="n">
        <v>100</v>
      </c>
      <c r="U553" s="16" t="n">
        <v>100</v>
      </c>
      <c r="V553" s="16" t="n">
        <v>100</v>
      </c>
      <c r="W553" s="16" t="n">
        <v>100</v>
      </c>
      <c r="X553" s="16" t="n">
        <v>100</v>
      </c>
      <c r="Y553" s="16" t="n">
        <v>100</v>
      </c>
      <c r="Z553" s="16" t="n">
        <v>100</v>
      </c>
      <c r="AA553" s="16" t="n">
        <v>100</v>
      </c>
    </row>
    <row r="554">
      <c r="A554" s="3" t="inlineStr">
        <is>
          <t>СЦ. Услуги и материалы</t>
        </is>
      </c>
      <c r="B554" s="3" t="inlineStr">
        <is>
          <t>Прочие работы</t>
        </is>
      </c>
      <c r="C554" s="3" t="inlineStr">
        <is>
          <t>Монтажные работы</t>
        </is>
      </c>
      <c r="D554" s="3" t="inlineStr">
        <is>
          <t>монтаж дверных доводчиков</t>
        </is>
      </c>
      <c r="E554" s="4">
        <f>N554+O554</f>
        <v/>
      </c>
      <c r="F554" s="3" t="inlineStr">
        <is>
          <t>шт.</t>
        </is>
      </c>
      <c r="G554" s="4">
        <f>IFERROR('[1]Лист1'!G554,100)</f>
        <v/>
      </c>
      <c r="H554" s="16" t="n">
        <v>100</v>
      </c>
      <c r="I554" s="16" t="n">
        <v>100</v>
      </c>
      <c r="J554" s="16" t="n">
        <v>100</v>
      </c>
      <c r="K554" s="16" t="n">
        <v>100</v>
      </c>
      <c r="L554" s="16" t="n">
        <v>100</v>
      </c>
      <c r="M554" s="16" t="n">
        <v>100</v>
      </c>
      <c r="N554" s="4">
        <f>Работы!S556</f>
        <v/>
      </c>
      <c r="O554" s="4">
        <f>Работы!R556</f>
        <v/>
      </c>
      <c r="P554" s="16" t="n">
        <v>100</v>
      </c>
      <c r="Q554" s="16" t="n">
        <v>100</v>
      </c>
      <c r="R554" s="16" t="n">
        <v>100</v>
      </c>
      <c r="S554" s="16" t="n">
        <v>100</v>
      </c>
      <c r="T554" s="16" t="n">
        <v>100</v>
      </c>
      <c r="U554" s="16" t="n">
        <v>100</v>
      </c>
      <c r="V554" s="16" t="n">
        <v>100</v>
      </c>
      <c r="W554" s="16" t="n">
        <v>100</v>
      </c>
      <c r="X554" s="16" t="n">
        <v>100</v>
      </c>
      <c r="Y554" s="16" t="n">
        <v>100</v>
      </c>
      <c r="Z554" s="16" t="n">
        <v>100</v>
      </c>
      <c r="AA554" s="16" t="n">
        <v>100</v>
      </c>
    </row>
    <row r="555">
      <c r="A555" s="3" t="inlineStr">
        <is>
          <t>СЦ. Услуги и материалы</t>
        </is>
      </c>
      <c r="B555" s="3" t="inlineStr">
        <is>
          <t>Прочие работы</t>
        </is>
      </c>
      <c r="C555" s="3" t="inlineStr">
        <is>
          <t>Монтажные работы</t>
        </is>
      </c>
      <c r="D555" s="3" t="inlineStr">
        <is>
          <t>Ремонт дверных доводчиков</t>
        </is>
      </c>
      <c r="E555" s="4">
        <f>N555+O555</f>
        <v/>
      </c>
      <c r="F555" s="3" t="inlineStr">
        <is>
          <t>шт.</t>
        </is>
      </c>
      <c r="G555" s="4">
        <f>IFERROR('[1]Лист1'!G555,100)</f>
        <v/>
      </c>
      <c r="H555" s="16" t="n">
        <v>100</v>
      </c>
      <c r="I555" s="16" t="n">
        <v>100</v>
      </c>
      <c r="J555" s="16" t="n">
        <v>100</v>
      </c>
      <c r="K555" s="16" t="n">
        <v>100</v>
      </c>
      <c r="L555" s="16" t="n">
        <v>100</v>
      </c>
      <c r="M555" s="16" t="n">
        <v>100</v>
      </c>
      <c r="N555" s="4">
        <f>Работы!S557</f>
        <v/>
      </c>
      <c r="O555" s="4">
        <f>Работы!R557</f>
        <v/>
      </c>
      <c r="P555" s="16" t="n">
        <v>100</v>
      </c>
      <c r="Q555" s="16" t="n">
        <v>100</v>
      </c>
      <c r="R555" s="16" t="n">
        <v>100</v>
      </c>
      <c r="S555" s="16" t="n">
        <v>100</v>
      </c>
      <c r="T555" s="16" t="n">
        <v>100</v>
      </c>
      <c r="U555" s="16" t="n">
        <v>100</v>
      </c>
      <c r="V555" s="16" t="n">
        <v>100</v>
      </c>
      <c r="W555" s="16" t="n">
        <v>100</v>
      </c>
      <c r="X555" s="16" t="n">
        <v>100</v>
      </c>
      <c r="Y555" s="16" t="n">
        <v>100</v>
      </c>
      <c r="Z555" s="16" t="n">
        <v>100</v>
      </c>
      <c r="AA555" s="16" t="n">
        <v>100</v>
      </c>
    </row>
    <row r="556">
      <c r="A556" s="3" t="inlineStr">
        <is>
          <t>СЦ. Услуги и материалы</t>
        </is>
      </c>
      <c r="B556" s="3" t="inlineStr">
        <is>
          <t>Прочие работы</t>
        </is>
      </c>
      <c r="C556" s="3" t="inlineStr">
        <is>
          <t>Монтажные работы</t>
        </is>
      </c>
      <c r="D556" s="3" t="inlineStr">
        <is>
          <t>Заделка проемов и отверстий в местах проходов через стены, перегородки и перекрытия противопожарной пеной</t>
        </is>
      </c>
      <c r="E556" s="4">
        <f>N556+O556</f>
        <v/>
      </c>
      <c r="F556" s="3" t="inlineStr">
        <is>
          <t>п.м</t>
        </is>
      </c>
      <c r="G556" s="4">
        <f>IFERROR('[1]Лист1'!G556,100)</f>
        <v/>
      </c>
      <c r="H556" s="16" t="n">
        <v>100</v>
      </c>
      <c r="I556" s="16" t="n">
        <v>100</v>
      </c>
      <c r="J556" s="16" t="n">
        <v>100</v>
      </c>
      <c r="K556" s="16" t="n">
        <v>100</v>
      </c>
      <c r="L556" s="16" t="n">
        <v>100</v>
      </c>
      <c r="M556" s="16" t="n">
        <v>100</v>
      </c>
      <c r="N556" s="4">
        <f>Работы!S558</f>
        <v/>
      </c>
      <c r="O556" s="4">
        <f>Работы!R558</f>
        <v/>
      </c>
      <c r="P556" s="16" t="n">
        <v>100</v>
      </c>
      <c r="Q556" s="16" t="n">
        <v>100</v>
      </c>
      <c r="R556" s="16" t="n">
        <v>100</v>
      </c>
      <c r="S556" s="16" t="n">
        <v>100</v>
      </c>
      <c r="T556" s="16" t="n">
        <v>100</v>
      </c>
      <c r="U556" s="16" t="n">
        <v>100</v>
      </c>
      <c r="V556" s="16" t="n">
        <v>100</v>
      </c>
      <c r="W556" s="16" t="n">
        <v>100</v>
      </c>
      <c r="X556" s="16" t="n">
        <v>100</v>
      </c>
      <c r="Y556" s="16" t="n">
        <v>100</v>
      </c>
      <c r="Z556" s="16" t="n">
        <v>100</v>
      </c>
      <c r="AA556" s="16" t="n">
        <v>100</v>
      </c>
    </row>
    <row r="557">
      <c r="A557" s="3" t="inlineStr">
        <is>
          <t>СЦ. Услуги и материалы</t>
        </is>
      </c>
      <c r="B557" s="3" t="inlineStr">
        <is>
          <t>Прочие работы</t>
        </is>
      </c>
      <c r="C557" s="3" t="inlineStr">
        <is>
          <t>Монтажные работы</t>
        </is>
      </c>
      <c r="D557" s="3" t="inlineStr">
        <is>
          <t>Монтаж зеркал, фурнитуры, диспенсеров и прочих аксессуаров.</t>
        </is>
      </c>
      <c r="E557" s="4">
        <f>N557+O557</f>
        <v/>
      </c>
      <c r="F557" s="3" t="inlineStr">
        <is>
          <t>шт.</t>
        </is>
      </c>
      <c r="G557" s="4">
        <f>IFERROR('[1]Лист1'!G557,100)</f>
        <v/>
      </c>
      <c r="H557" s="16" t="n">
        <v>100</v>
      </c>
      <c r="I557" s="16" t="n">
        <v>100</v>
      </c>
      <c r="J557" s="16" t="n">
        <v>100</v>
      </c>
      <c r="K557" s="16" t="n">
        <v>100</v>
      </c>
      <c r="L557" s="16" t="n">
        <v>100</v>
      </c>
      <c r="M557" s="16" t="n">
        <v>100</v>
      </c>
      <c r="N557" s="4">
        <f>Работы!S559</f>
        <v/>
      </c>
      <c r="O557" s="4">
        <f>Работы!R559</f>
        <v/>
      </c>
      <c r="P557" s="16" t="n">
        <v>100</v>
      </c>
      <c r="Q557" s="16" t="n">
        <v>100</v>
      </c>
      <c r="R557" s="16" t="n">
        <v>100</v>
      </c>
      <c r="S557" s="16" t="n">
        <v>100</v>
      </c>
      <c r="T557" s="16" t="n">
        <v>100</v>
      </c>
      <c r="U557" s="16" t="n">
        <v>100</v>
      </c>
      <c r="V557" s="16" t="n">
        <v>100</v>
      </c>
      <c r="W557" s="16" t="n">
        <v>100</v>
      </c>
      <c r="X557" s="16" t="n">
        <v>100</v>
      </c>
      <c r="Y557" s="16" t="n">
        <v>100</v>
      </c>
      <c r="Z557" s="16" t="n">
        <v>100</v>
      </c>
      <c r="AA557" s="16" t="n">
        <v>100</v>
      </c>
    </row>
    <row r="558">
      <c r="A558" s="3" t="inlineStr">
        <is>
          <t>СЦ. Услуги и материалы</t>
        </is>
      </c>
      <c r="B558" s="3" t="inlineStr">
        <is>
          <t>Прочие работы</t>
        </is>
      </c>
      <c r="C558" s="3" t="inlineStr">
        <is>
          <t>Монтажные работы</t>
        </is>
      </c>
      <c r="D558" s="3" t="inlineStr">
        <is>
          <t xml:space="preserve">Покраска открытого потолка и инженерных коммуникаций </t>
        </is>
      </c>
      <c r="E558" s="4">
        <f>N558+O558</f>
        <v/>
      </c>
      <c r="F558" s="3" t="inlineStr">
        <is>
          <t>м2</t>
        </is>
      </c>
      <c r="G558" s="4">
        <f>IFERROR('[1]Лист1'!G558,100)</f>
        <v/>
      </c>
      <c r="H558" s="16" t="n">
        <v>100</v>
      </c>
      <c r="I558" s="16" t="n">
        <v>100</v>
      </c>
      <c r="J558" s="16" t="n">
        <v>100</v>
      </c>
      <c r="K558" s="16" t="n">
        <v>100</v>
      </c>
      <c r="L558" s="16" t="n">
        <v>100</v>
      </c>
      <c r="M558" s="16" t="n">
        <v>100</v>
      </c>
      <c r="N558" s="4">
        <f>Работы!S560</f>
        <v/>
      </c>
      <c r="O558" s="4">
        <f>Работы!R560</f>
        <v/>
      </c>
      <c r="P558" s="16" t="n">
        <v>100</v>
      </c>
      <c r="Q558" s="16" t="n">
        <v>100</v>
      </c>
      <c r="R558" s="16" t="n">
        <v>100</v>
      </c>
      <c r="S558" s="16" t="n">
        <v>100</v>
      </c>
      <c r="T558" s="16" t="n">
        <v>100</v>
      </c>
      <c r="U558" s="16" t="n">
        <v>100</v>
      </c>
      <c r="V558" s="16" t="n">
        <v>100</v>
      </c>
      <c r="W558" s="16" t="n">
        <v>100</v>
      </c>
      <c r="X558" s="16" t="n">
        <v>100</v>
      </c>
      <c r="Y558" s="16" t="n">
        <v>100</v>
      </c>
      <c r="Z558" s="16" t="n">
        <v>100</v>
      </c>
      <c r="AA558" s="16" t="n">
        <v>100</v>
      </c>
    </row>
    <row r="559">
      <c r="A559" s="3" t="inlineStr">
        <is>
          <t>СЦ. Услуги и материалы</t>
        </is>
      </c>
      <c r="B559" s="3" t="inlineStr">
        <is>
          <t>Прочие работы</t>
        </is>
      </c>
      <c r="C559" s="3" t="inlineStr">
        <is>
          <t>Монтажные работы</t>
        </is>
      </c>
      <c r="D559" s="3" t="inlineStr">
        <is>
          <t xml:space="preserve">Монтаж/ремонт/адаптация подвесного модульного потолока типа </t>
        </is>
      </c>
      <c r="E559" s="4">
        <f>N559+O559</f>
        <v/>
      </c>
      <c r="F559" s="3" t="inlineStr">
        <is>
          <t>м2</t>
        </is>
      </c>
      <c r="G559" s="4">
        <f>IFERROR('[1]Лист1'!G559,100)</f>
        <v/>
      </c>
      <c r="H559" s="16" t="n">
        <v>100</v>
      </c>
      <c r="I559" s="16" t="n">
        <v>100</v>
      </c>
      <c r="J559" s="16" t="n">
        <v>100</v>
      </c>
      <c r="K559" s="16" t="n">
        <v>100</v>
      </c>
      <c r="L559" s="16" t="n">
        <v>100</v>
      </c>
      <c r="M559" s="16" t="n">
        <v>100</v>
      </c>
      <c r="N559" s="4">
        <f>Работы!S561</f>
        <v/>
      </c>
      <c r="O559" s="4">
        <f>Работы!R561</f>
        <v/>
      </c>
      <c r="P559" s="16" t="n">
        <v>100</v>
      </c>
      <c r="Q559" s="16" t="n">
        <v>100</v>
      </c>
      <c r="R559" s="16" t="n">
        <v>100</v>
      </c>
      <c r="S559" s="16" t="n">
        <v>100</v>
      </c>
      <c r="T559" s="16" t="n">
        <v>100</v>
      </c>
      <c r="U559" s="16" t="n">
        <v>100</v>
      </c>
      <c r="V559" s="16" t="n">
        <v>100</v>
      </c>
      <c r="W559" s="16" t="n">
        <v>100</v>
      </c>
      <c r="X559" s="16" t="n">
        <v>100</v>
      </c>
      <c r="Y559" s="16" t="n">
        <v>100</v>
      </c>
      <c r="Z559" s="16" t="n">
        <v>100</v>
      </c>
      <c r="AA559" s="16" t="n">
        <v>100</v>
      </c>
    </row>
    <row r="560">
      <c r="A560" s="3" t="inlineStr">
        <is>
          <t>СЦ. Услуги и материалы</t>
        </is>
      </c>
      <c r="B560" s="3" t="inlineStr">
        <is>
          <t>Прочие работы</t>
        </is>
      </c>
      <c r="C560" s="3" t="inlineStr">
        <is>
          <t>Малярные работы</t>
        </is>
      </c>
      <c r="D560" s="3" t="inlineStr">
        <is>
          <t xml:space="preserve">Грунтовка поверхностей потолка </t>
        </is>
      </c>
      <c r="E560" s="4">
        <f>N560+O560</f>
        <v/>
      </c>
      <c r="F560" s="3" t="inlineStr">
        <is>
          <t>м2</t>
        </is>
      </c>
      <c r="G560" s="4">
        <f>IFERROR('[1]Лист1'!G560,100)</f>
        <v/>
      </c>
      <c r="H560" s="16" t="n">
        <v>100</v>
      </c>
      <c r="I560" s="16" t="n">
        <v>100</v>
      </c>
      <c r="J560" s="16" t="n">
        <v>100</v>
      </c>
      <c r="K560" s="16" t="n">
        <v>100</v>
      </c>
      <c r="L560" s="16" t="n">
        <v>100</v>
      </c>
      <c r="M560" s="16" t="n">
        <v>100</v>
      </c>
      <c r="N560" s="4">
        <f>Работы!S562</f>
        <v/>
      </c>
      <c r="O560" s="4">
        <f>Работы!R562</f>
        <v/>
      </c>
      <c r="P560" s="16" t="n">
        <v>100</v>
      </c>
      <c r="Q560" s="16" t="n">
        <v>100</v>
      </c>
      <c r="R560" s="16" t="n">
        <v>100</v>
      </c>
      <c r="S560" s="16" t="n">
        <v>100</v>
      </c>
      <c r="T560" s="16" t="n">
        <v>100</v>
      </c>
      <c r="U560" s="16" t="n">
        <v>100</v>
      </c>
      <c r="V560" s="16" t="n">
        <v>100</v>
      </c>
      <c r="W560" s="16" t="n">
        <v>100</v>
      </c>
      <c r="X560" s="16" t="n">
        <v>100</v>
      </c>
      <c r="Y560" s="16" t="n">
        <v>100</v>
      </c>
      <c r="Z560" s="16" t="n">
        <v>100</v>
      </c>
      <c r="AA560" s="16" t="n">
        <v>100</v>
      </c>
    </row>
    <row r="561">
      <c r="A561" s="3" t="inlineStr">
        <is>
          <t>СЦ. Услуги и материалы</t>
        </is>
      </c>
      <c r="B561" s="3" t="inlineStr">
        <is>
          <t>Прочие работы</t>
        </is>
      </c>
      <c r="C561" s="3" t="inlineStr">
        <is>
          <t>Малярные работы</t>
        </is>
      </c>
      <c r="D561" s="3" t="inlineStr">
        <is>
          <t xml:space="preserve">Окраска подготовленных поверхностей потолка </t>
        </is>
      </c>
      <c r="E561" s="4">
        <f>N561+O561</f>
        <v/>
      </c>
      <c r="F561" s="3" t="inlineStr">
        <is>
          <t>м2</t>
        </is>
      </c>
      <c r="G561" s="4">
        <f>IFERROR('[1]Лист1'!G561,100)</f>
        <v/>
      </c>
      <c r="H561" s="16" t="n">
        <v>100</v>
      </c>
      <c r="I561" s="16" t="n">
        <v>100</v>
      </c>
      <c r="J561" s="16" t="n">
        <v>100</v>
      </c>
      <c r="K561" s="16" t="n">
        <v>100</v>
      </c>
      <c r="L561" s="16" t="n">
        <v>100</v>
      </c>
      <c r="M561" s="16" t="n">
        <v>100</v>
      </c>
      <c r="N561" s="4">
        <f>Работы!S563</f>
        <v/>
      </c>
      <c r="O561" s="4">
        <f>Работы!R563</f>
        <v/>
      </c>
      <c r="P561" s="16" t="n">
        <v>100</v>
      </c>
      <c r="Q561" s="16" t="n">
        <v>100</v>
      </c>
      <c r="R561" s="16" t="n">
        <v>100</v>
      </c>
      <c r="S561" s="16" t="n">
        <v>100</v>
      </c>
      <c r="T561" s="16" t="n">
        <v>100</v>
      </c>
      <c r="U561" s="16" t="n">
        <v>100</v>
      </c>
      <c r="V561" s="16" t="n">
        <v>100</v>
      </c>
      <c r="W561" s="16" t="n">
        <v>100</v>
      </c>
      <c r="X561" s="16" t="n">
        <v>100</v>
      </c>
      <c r="Y561" s="16" t="n">
        <v>100</v>
      </c>
      <c r="Z561" s="16" t="n">
        <v>100</v>
      </c>
      <c r="AA561" s="16" t="n">
        <v>100</v>
      </c>
    </row>
    <row r="562">
      <c r="A562" s="3" t="inlineStr">
        <is>
          <t>СЦ. Услуги и материалы</t>
        </is>
      </c>
      <c r="B562" s="3" t="inlineStr">
        <is>
          <t>Прочие работы</t>
        </is>
      </c>
      <c r="C562" s="3" t="inlineStr">
        <is>
          <t>Монтажные работы</t>
        </is>
      </c>
      <c r="D562" s="3" t="inlineStr">
        <is>
          <t>Монтаж комплектующих щитового оборудования с расключением автоматические выключатели (однополюсные устройства)</t>
        </is>
      </c>
      <c r="E562" s="4">
        <f>N562+O562</f>
        <v/>
      </c>
      <c r="F562" s="3" t="inlineStr">
        <is>
          <t>шт.</t>
        </is>
      </c>
      <c r="G562" s="4">
        <f>IFERROR('[1]Лист1'!G562,100)</f>
        <v/>
      </c>
      <c r="H562" s="16" t="n">
        <v>100</v>
      </c>
      <c r="I562" s="16" t="n">
        <v>100</v>
      </c>
      <c r="J562" s="16" t="n">
        <v>100</v>
      </c>
      <c r="K562" s="16" t="n">
        <v>100</v>
      </c>
      <c r="L562" s="16" t="n">
        <v>100</v>
      </c>
      <c r="M562" s="16" t="n">
        <v>100</v>
      </c>
      <c r="N562" s="4">
        <f>Работы!S564</f>
        <v/>
      </c>
      <c r="O562" s="4">
        <f>Работы!R564</f>
        <v/>
      </c>
      <c r="P562" s="16" t="n">
        <v>100</v>
      </c>
      <c r="Q562" s="16" t="n">
        <v>100</v>
      </c>
      <c r="R562" s="16" t="n">
        <v>100</v>
      </c>
      <c r="S562" s="16" t="n">
        <v>100</v>
      </c>
      <c r="T562" s="16" t="n">
        <v>100</v>
      </c>
      <c r="U562" s="16" t="n">
        <v>100</v>
      </c>
      <c r="V562" s="16" t="n">
        <v>100</v>
      </c>
      <c r="W562" s="16" t="n">
        <v>100</v>
      </c>
      <c r="X562" s="16" t="n">
        <v>100</v>
      </c>
      <c r="Y562" s="16" t="n">
        <v>100</v>
      </c>
      <c r="Z562" s="16" t="n">
        <v>100</v>
      </c>
      <c r="AA562" s="16" t="n">
        <v>100</v>
      </c>
    </row>
    <row r="563">
      <c r="A563" s="3" t="inlineStr">
        <is>
          <t>СЦ. Услуги и материалы</t>
        </is>
      </c>
      <c r="B563" s="3" t="inlineStr">
        <is>
          <t>Прочие работы</t>
        </is>
      </c>
      <c r="C563" s="3" t="inlineStr">
        <is>
          <t>Монтажные работы</t>
        </is>
      </c>
      <c r="D563" s="3" t="inlineStr">
        <is>
          <t>Монтаж комплектующих щитового оборудования с расключением дифференциальные автоматические выключатели, УЗО(двухполюсные устройства)</t>
        </is>
      </c>
      <c r="E563" s="4">
        <f>N563+O563</f>
        <v/>
      </c>
      <c r="F563" s="3" t="inlineStr">
        <is>
          <t>шт.</t>
        </is>
      </c>
      <c r="G563" s="4">
        <f>IFERROR('[1]Лист1'!G563,100)</f>
        <v/>
      </c>
      <c r="H563" s="16" t="n">
        <v>100</v>
      </c>
      <c r="I563" s="16" t="n">
        <v>100</v>
      </c>
      <c r="J563" s="16" t="n">
        <v>100</v>
      </c>
      <c r="K563" s="16" t="n">
        <v>100</v>
      </c>
      <c r="L563" s="16" t="n">
        <v>100</v>
      </c>
      <c r="M563" s="16" t="n">
        <v>100</v>
      </c>
      <c r="N563" s="4">
        <f>Работы!S565</f>
        <v/>
      </c>
      <c r="O563" s="4">
        <f>Работы!R565</f>
        <v/>
      </c>
      <c r="P563" s="16" t="n">
        <v>100</v>
      </c>
      <c r="Q563" s="16" t="n">
        <v>100</v>
      </c>
      <c r="R563" s="16" t="n">
        <v>100</v>
      </c>
      <c r="S563" s="16" t="n">
        <v>100</v>
      </c>
      <c r="T563" s="16" t="n">
        <v>100</v>
      </c>
      <c r="U563" s="16" t="n">
        <v>100</v>
      </c>
      <c r="V563" s="16" t="n">
        <v>100</v>
      </c>
      <c r="W563" s="16" t="n">
        <v>100</v>
      </c>
      <c r="X563" s="16" t="n">
        <v>100</v>
      </c>
      <c r="Y563" s="16" t="n">
        <v>100</v>
      </c>
      <c r="Z563" s="16" t="n">
        <v>100</v>
      </c>
      <c r="AA563" s="16" t="n">
        <v>100</v>
      </c>
    </row>
    <row r="564">
      <c r="A564" s="3" t="inlineStr">
        <is>
          <t>СЦ. Услуги и материалы</t>
        </is>
      </c>
      <c r="B564" s="3" t="inlineStr">
        <is>
          <t>Прочие работы</t>
        </is>
      </c>
      <c r="C564" s="3" t="inlineStr">
        <is>
          <t>Монтажные работы</t>
        </is>
      </c>
      <c r="D564" s="3" t="inlineStr">
        <is>
          <t>Монтаж комплектующих щитового оборудования с расключением (трехполюсные устройства)</t>
        </is>
      </c>
      <c r="E564" s="4">
        <f>N564+O564</f>
        <v/>
      </c>
      <c r="F564" s="3" t="inlineStr">
        <is>
          <t>шт.</t>
        </is>
      </c>
      <c r="G564" s="4">
        <f>IFERROR('[1]Лист1'!G564,100)</f>
        <v/>
      </c>
      <c r="H564" s="16" t="n">
        <v>100</v>
      </c>
      <c r="I564" s="16" t="n">
        <v>100</v>
      </c>
      <c r="J564" s="16" t="n">
        <v>100</v>
      </c>
      <c r="K564" s="16" t="n">
        <v>100</v>
      </c>
      <c r="L564" s="16" t="n">
        <v>100</v>
      </c>
      <c r="M564" s="16" t="n">
        <v>100</v>
      </c>
      <c r="N564" s="4">
        <f>Работы!S566</f>
        <v/>
      </c>
      <c r="O564" s="4">
        <f>Работы!R566</f>
        <v/>
      </c>
      <c r="P564" s="16" t="n">
        <v>100</v>
      </c>
      <c r="Q564" s="16" t="n">
        <v>100</v>
      </c>
      <c r="R564" s="16" t="n">
        <v>100</v>
      </c>
      <c r="S564" s="16" t="n">
        <v>100</v>
      </c>
      <c r="T564" s="16" t="n">
        <v>100</v>
      </c>
      <c r="U564" s="16" t="n">
        <v>100</v>
      </c>
      <c r="V564" s="16" t="n">
        <v>100</v>
      </c>
      <c r="W564" s="16" t="n">
        <v>100</v>
      </c>
      <c r="X564" s="16" t="n">
        <v>100</v>
      </c>
      <c r="Y564" s="16" t="n">
        <v>100</v>
      </c>
      <c r="Z564" s="16" t="n">
        <v>100</v>
      </c>
      <c r="AA564" s="16" t="n">
        <v>100</v>
      </c>
    </row>
    <row r="565">
      <c r="A565" s="3" t="inlineStr">
        <is>
          <t>СЦ. Услуги и материалы</t>
        </is>
      </c>
      <c r="B565" s="3" t="inlineStr">
        <is>
          <t>Прочие работы</t>
        </is>
      </c>
      <c r="C565" s="3" t="inlineStr">
        <is>
          <t>Демонтажные работы</t>
        </is>
      </c>
      <c r="D565" s="3" t="inlineStr">
        <is>
          <t>Демонтаж подвесных светильников</t>
        </is>
      </c>
      <c r="E565" s="4">
        <f>N565+O565</f>
        <v/>
      </c>
      <c r="F565" s="3" t="inlineStr">
        <is>
          <t>шт.</t>
        </is>
      </c>
      <c r="G565" s="4">
        <f>IFERROR('[1]Лист1'!G565,100)</f>
        <v/>
      </c>
      <c r="H565" s="16" t="n">
        <v>100</v>
      </c>
      <c r="I565" s="16" t="n">
        <v>100</v>
      </c>
      <c r="J565" s="16" t="n">
        <v>100</v>
      </c>
      <c r="K565" s="16" t="n">
        <v>100</v>
      </c>
      <c r="L565" s="16" t="n">
        <v>100</v>
      </c>
      <c r="M565" s="16" t="n">
        <v>100</v>
      </c>
      <c r="N565" s="4">
        <f>Работы!S567</f>
        <v/>
      </c>
      <c r="O565" s="4">
        <f>Работы!R567</f>
        <v/>
      </c>
      <c r="P565" s="16" t="n">
        <v>100</v>
      </c>
      <c r="Q565" s="16" t="n">
        <v>100</v>
      </c>
      <c r="R565" s="16" t="n">
        <v>100</v>
      </c>
      <c r="S565" s="16" t="n">
        <v>100</v>
      </c>
      <c r="T565" s="16" t="n">
        <v>100</v>
      </c>
      <c r="U565" s="16" t="n">
        <v>100</v>
      </c>
      <c r="V565" s="16" t="n">
        <v>100</v>
      </c>
      <c r="W565" s="16" t="n">
        <v>100</v>
      </c>
      <c r="X565" s="16" t="n">
        <v>100</v>
      </c>
      <c r="Y565" s="16" t="n">
        <v>100</v>
      </c>
      <c r="Z565" s="16" t="n">
        <v>100</v>
      </c>
      <c r="AA565" s="16" t="n">
        <v>100</v>
      </c>
    </row>
    <row r="566">
      <c r="A566" s="3" t="inlineStr">
        <is>
          <t>СЦ. Услуги и материалы</t>
        </is>
      </c>
      <c r="B566" s="3" t="inlineStr">
        <is>
          <t>Прочие работы</t>
        </is>
      </c>
      <c r="C566" s="3" t="inlineStr">
        <is>
          <t>Электромонтажные работы</t>
        </is>
      </c>
      <c r="D566" s="3" t="inlineStr">
        <is>
          <t>Монтаж подвесных светильников</t>
        </is>
      </c>
      <c r="E566" s="4">
        <f>N566+O566</f>
        <v/>
      </c>
      <c r="F566" s="3" t="inlineStr">
        <is>
          <t>шт.</t>
        </is>
      </c>
      <c r="G566" s="4">
        <f>IFERROR('[1]Лист1'!G566,100)</f>
        <v/>
      </c>
      <c r="H566" s="16" t="n">
        <v>100</v>
      </c>
      <c r="I566" s="16" t="n">
        <v>100</v>
      </c>
      <c r="J566" s="16" t="n">
        <v>100</v>
      </c>
      <c r="K566" s="16" t="n">
        <v>100</v>
      </c>
      <c r="L566" s="16" t="n">
        <v>100</v>
      </c>
      <c r="M566" s="16" t="n">
        <v>100</v>
      </c>
      <c r="N566" s="4">
        <f>Работы!S568</f>
        <v/>
      </c>
      <c r="O566" s="4">
        <f>Работы!R568</f>
        <v/>
      </c>
      <c r="P566" s="16" t="n">
        <v>100</v>
      </c>
      <c r="Q566" s="16" t="n">
        <v>100</v>
      </c>
      <c r="R566" s="16" t="n">
        <v>100</v>
      </c>
      <c r="S566" s="16" t="n">
        <v>100</v>
      </c>
      <c r="T566" s="16" t="n">
        <v>100</v>
      </c>
      <c r="U566" s="16" t="n">
        <v>100</v>
      </c>
      <c r="V566" s="16" t="n">
        <v>100</v>
      </c>
      <c r="W566" s="16" t="n">
        <v>100</v>
      </c>
      <c r="X566" s="16" t="n">
        <v>100</v>
      </c>
      <c r="Y566" s="16" t="n">
        <v>100</v>
      </c>
      <c r="Z566" s="16" t="n">
        <v>100</v>
      </c>
      <c r="AA566" s="16" t="n">
        <v>100</v>
      </c>
    </row>
    <row r="567">
      <c r="A567" s="3" t="inlineStr">
        <is>
          <t>СЦ. Услуги и материалы</t>
        </is>
      </c>
      <c r="B567" s="3" t="inlineStr">
        <is>
          <t>Прочие работы</t>
        </is>
      </c>
      <c r="C567" s="3" t="inlineStr">
        <is>
          <t>Электромонтажные работы</t>
        </is>
      </c>
      <c r="D567" s="3" t="inlineStr">
        <is>
          <t>Перенос подвесных светильников</t>
        </is>
      </c>
      <c r="E567" s="4">
        <f>N567+O567</f>
        <v/>
      </c>
      <c r="F567" s="3" t="inlineStr">
        <is>
          <t>шт.</t>
        </is>
      </c>
      <c r="G567" s="4">
        <f>IFERROR('[1]Лист1'!G567,100)</f>
        <v/>
      </c>
      <c r="H567" s="16" t="n">
        <v>100</v>
      </c>
      <c r="I567" s="16" t="n">
        <v>100</v>
      </c>
      <c r="J567" s="16" t="n">
        <v>100</v>
      </c>
      <c r="K567" s="16" t="n">
        <v>100</v>
      </c>
      <c r="L567" s="16" t="n">
        <v>100</v>
      </c>
      <c r="M567" s="16" t="n">
        <v>100</v>
      </c>
      <c r="N567" s="4">
        <f>Работы!S569</f>
        <v/>
      </c>
      <c r="O567" s="4">
        <f>Работы!R569</f>
        <v/>
      </c>
      <c r="P567" s="16" t="n">
        <v>100</v>
      </c>
      <c r="Q567" s="16" t="n">
        <v>100</v>
      </c>
      <c r="R567" s="16" t="n">
        <v>100</v>
      </c>
      <c r="S567" s="16" t="n">
        <v>100</v>
      </c>
      <c r="T567" s="16" t="n">
        <v>100</v>
      </c>
      <c r="U567" s="16" t="n">
        <v>100</v>
      </c>
      <c r="V567" s="16" t="n">
        <v>100</v>
      </c>
      <c r="W567" s="16" t="n">
        <v>100</v>
      </c>
      <c r="X567" s="16" t="n">
        <v>100</v>
      </c>
      <c r="Y567" s="16" t="n">
        <v>100</v>
      </c>
      <c r="Z567" s="16" t="n">
        <v>100</v>
      </c>
      <c r="AA567" s="16" t="n">
        <v>100</v>
      </c>
    </row>
    <row r="568">
      <c r="A568" s="3" t="inlineStr">
        <is>
          <t>СЦ. Услуги и материалы</t>
        </is>
      </c>
      <c r="B568" s="3" t="inlineStr">
        <is>
          <t>Прочие работы</t>
        </is>
      </c>
      <c r="C568" s="3" t="inlineStr">
        <is>
          <t>Демонтажные работы</t>
        </is>
      </c>
      <c r="D568" s="3" t="inlineStr">
        <is>
          <t>Демонтаж/монтаж/перенос встроенного светильника</t>
        </is>
      </c>
      <c r="E568" s="4">
        <f>N568+O568</f>
        <v/>
      </c>
      <c r="F568" s="3" t="inlineStr">
        <is>
          <t>шт.</t>
        </is>
      </c>
      <c r="G568" s="4">
        <f>IFERROR('[1]Лист1'!G568,100)</f>
        <v/>
      </c>
      <c r="H568" s="16" t="n">
        <v>100</v>
      </c>
      <c r="I568" s="16" t="n">
        <v>100</v>
      </c>
      <c r="J568" s="16" t="n">
        <v>100</v>
      </c>
      <c r="K568" s="16" t="n">
        <v>100</v>
      </c>
      <c r="L568" s="16" t="n">
        <v>100</v>
      </c>
      <c r="M568" s="16" t="n">
        <v>100</v>
      </c>
      <c r="N568" s="4">
        <f>Работы!S570</f>
        <v/>
      </c>
      <c r="O568" s="4">
        <f>Работы!R570</f>
        <v/>
      </c>
      <c r="P568" s="16" t="n">
        <v>100</v>
      </c>
      <c r="Q568" s="16" t="n">
        <v>100</v>
      </c>
      <c r="R568" s="16" t="n">
        <v>100</v>
      </c>
      <c r="S568" s="16" t="n">
        <v>100</v>
      </c>
      <c r="T568" s="16" t="n">
        <v>100</v>
      </c>
      <c r="U568" s="16" t="n">
        <v>100</v>
      </c>
      <c r="V568" s="16" t="n">
        <v>100</v>
      </c>
      <c r="W568" s="16" t="n">
        <v>100</v>
      </c>
      <c r="X568" s="16" t="n">
        <v>100</v>
      </c>
      <c r="Y568" s="16" t="n">
        <v>100</v>
      </c>
      <c r="Z568" s="16" t="n">
        <v>100</v>
      </c>
      <c r="AA568" s="16" t="n">
        <v>100</v>
      </c>
    </row>
    <row r="569">
      <c r="A569" s="3" t="inlineStr">
        <is>
          <t>СЦ. Услуги и материалы</t>
        </is>
      </c>
      <c r="B569" s="3" t="inlineStr">
        <is>
          <t>Прочие работы</t>
        </is>
      </c>
      <c r="C569" s="3" t="inlineStr">
        <is>
          <t>Электромонтажные работы</t>
        </is>
      </c>
      <c r="D569" s="3" t="inlineStr">
        <is>
          <t>Монтаж встроенного светильника</t>
        </is>
      </c>
      <c r="E569" s="4">
        <f>N569+O569</f>
        <v/>
      </c>
      <c r="F569" s="3" t="inlineStr">
        <is>
          <t>шт.</t>
        </is>
      </c>
      <c r="G569" s="4">
        <f>IFERROR('[1]Лист1'!G569,100)</f>
        <v/>
      </c>
      <c r="H569" s="16" t="n">
        <v>100</v>
      </c>
      <c r="I569" s="16" t="n">
        <v>100</v>
      </c>
      <c r="J569" s="16" t="n">
        <v>100</v>
      </c>
      <c r="K569" s="16" t="n">
        <v>100</v>
      </c>
      <c r="L569" s="16" t="n">
        <v>100</v>
      </c>
      <c r="M569" s="16" t="n">
        <v>100</v>
      </c>
      <c r="N569" s="4">
        <f>Работы!S571</f>
        <v/>
      </c>
      <c r="O569" s="4">
        <f>Работы!R571</f>
        <v/>
      </c>
      <c r="P569" s="16" t="n">
        <v>100</v>
      </c>
      <c r="Q569" s="16" t="n">
        <v>100</v>
      </c>
      <c r="R569" s="16" t="n">
        <v>100</v>
      </c>
      <c r="S569" s="16" t="n">
        <v>100</v>
      </c>
      <c r="T569" s="16" t="n">
        <v>100</v>
      </c>
      <c r="U569" s="16" t="n">
        <v>100</v>
      </c>
      <c r="V569" s="16" t="n">
        <v>100</v>
      </c>
      <c r="W569" s="16" t="n">
        <v>100</v>
      </c>
      <c r="X569" s="16" t="n">
        <v>100</v>
      </c>
      <c r="Y569" s="16" t="n">
        <v>100</v>
      </c>
      <c r="Z569" s="16" t="n">
        <v>100</v>
      </c>
      <c r="AA569" s="16" t="n">
        <v>100</v>
      </c>
    </row>
    <row r="570">
      <c r="A570" s="3" t="inlineStr">
        <is>
          <t>СЦ. Услуги и материалы</t>
        </is>
      </c>
      <c r="B570" s="3" t="inlineStr">
        <is>
          <t>Прочие работы</t>
        </is>
      </c>
      <c r="C570" s="3" t="inlineStr">
        <is>
          <t>Демонтажные работы</t>
        </is>
      </c>
      <c r="D570" s="3" t="inlineStr">
        <is>
          <t>Демонтаж/монтаж/перенос лючков</t>
        </is>
      </c>
      <c r="E570" s="4">
        <f>N570+O570</f>
        <v/>
      </c>
      <c r="F570" s="3" t="inlineStr">
        <is>
          <t>шт.</t>
        </is>
      </c>
      <c r="G570" s="4">
        <f>IFERROR('[1]Лист1'!G570,100)</f>
        <v/>
      </c>
      <c r="H570" s="16" t="n">
        <v>100</v>
      </c>
      <c r="I570" s="16" t="n">
        <v>100</v>
      </c>
      <c r="J570" s="16" t="n">
        <v>100</v>
      </c>
      <c r="K570" s="16" t="n">
        <v>100</v>
      </c>
      <c r="L570" s="16" t="n">
        <v>100</v>
      </c>
      <c r="M570" s="16" t="n">
        <v>100</v>
      </c>
      <c r="N570" s="4">
        <f>Работы!S572</f>
        <v/>
      </c>
      <c r="O570" s="4">
        <f>Работы!R572</f>
        <v/>
      </c>
      <c r="P570" s="16" t="n">
        <v>100</v>
      </c>
      <c r="Q570" s="16" t="n">
        <v>100</v>
      </c>
      <c r="R570" s="16" t="n">
        <v>100</v>
      </c>
      <c r="S570" s="16" t="n">
        <v>100</v>
      </c>
      <c r="T570" s="16" t="n">
        <v>100</v>
      </c>
      <c r="U570" s="16" t="n">
        <v>100</v>
      </c>
      <c r="V570" s="16" t="n">
        <v>100</v>
      </c>
      <c r="W570" s="16" t="n">
        <v>100</v>
      </c>
      <c r="X570" s="16" t="n">
        <v>100</v>
      </c>
      <c r="Y570" s="16" t="n">
        <v>100</v>
      </c>
      <c r="Z570" s="16" t="n">
        <v>100</v>
      </c>
      <c r="AA570" s="16" t="n">
        <v>100</v>
      </c>
    </row>
    <row r="571">
      <c r="A571" s="3" t="inlineStr">
        <is>
          <t>СЦ. Услуги и материалы</t>
        </is>
      </c>
      <c r="B571" s="3" t="inlineStr">
        <is>
          <t>Прочие работы</t>
        </is>
      </c>
      <c r="C571" s="3" t="inlineStr">
        <is>
          <t>Электромонтажные работы</t>
        </is>
      </c>
      <c r="D571" s="3" t="inlineStr">
        <is>
          <t>Организация контура заземления на электроустановочных изделиях</t>
        </is>
      </c>
      <c r="E571" s="4">
        <f>N571+O571</f>
        <v/>
      </c>
      <c r="F571" s="3" t="inlineStr">
        <is>
          <t>шт.</t>
        </is>
      </c>
      <c r="G571" s="4">
        <f>IFERROR('[1]Лист1'!G571,100)</f>
        <v/>
      </c>
      <c r="H571" s="16" t="n">
        <v>100</v>
      </c>
      <c r="I571" s="16" t="n">
        <v>100</v>
      </c>
      <c r="J571" s="16" t="n">
        <v>100</v>
      </c>
      <c r="K571" s="16" t="n">
        <v>100</v>
      </c>
      <c r="L571" s="16" t="n">
        <v>100</v>
      </c>
      <c r="M571" s="16" t="n">
        <v>100</v>
      </c>
      <c r="N571" s="4">
        <f>Работы!S573</f>
        <v/>
      </c>
      <c r="O571" s="4">
        <f>Работы!R573</f>
        <v/>
      </c>
      <c r="P571" s="16" t="n">
        <v>100</v>
      </c>
      <c r="Q571" s="16" t="n">
        <v>100</v>
      </c>
      <c r="R571" s="16" t="n">
        <v>100</v>
      </c>
      <c r="S571" s="16" t="n">
        <v>100</v>
      </c>
      <c r="T571" s="16" t="n">
        <v>100</v>
      </c>
      <c r="U571" s="16" t="n">
        <v>100</v>
      </c>
      <c r="V571" s="16" t="n">
        <v>100</v>
      </c>
      <c r="W571" s="16" t="n">
        <v>100</v>
      </c>
      <c r="X571" s="16" t="n">
        <v>100</v>
      </c>
      <c r="Y571" s="16" t="n">
        <v>100</v>
      </c>
      <c r="Z571" s="16" t="n">
        <v>100</v>
      </c>
      <c r="AA571" s="16" t="n">
        <v>100</v>
      </c>
    </row>
    <row r="572">
      <c r="A572" s="3" t="inlineStr">
        <is>
          <t>СЦ. Услуги и материалы</t>
        </is>
      </c>
      <c r="B572" s="3" t="inlineStr">
        <is>
          <t>Прочие работы</t>
        </is>
      </c>
      <c r="C572" s="3" t="inlineStr">
        <is>
          <t>Электромонтажные работы</t>
        </is>
      </c>
      <c r="D572" s="3" t="inlineStr">
        <is>
          <t>Прокладка/локальная замена многожильных/одножильных кабелей с затяжкой в гофру с сечением до 6,6 мм2</t>
        </is>
      </c>
      <c r="E572" s="4">
        <f>N572+O572</f>
        <v/>
      </c>
      <c r="F572" s="3" t="inlineStr">
        <is>
          <t>м.п.</t>
        </is>
      </c>
      <c r="G572" s="4">
        <f>IFERROR('[1]Лист1'!G572,100)</f>
        <v/>
      </c>
      <c r="H572" s="16" t="n">
        <v>100</v>
      </c>
      <c r="I572" s="16" t="n">
        <v>100</v>
      </c>
      <c r="J572" s="16" t="n">
        <v>100</v>
      </c>
      <c r="K572" s="16" t="n">
        <v>100</v>
      </c>
      <c r="L572" s="16" t="n">
        <v>100</v>
      </c>
      <c r="M572" s="16" t="n">
        <v>100</v>
      </c>
      <c r="N572" s="4">
        <f>Работы!S574</f>
        <v/>
      </c>
      <c r="O572" s="4">
        <f>Работы!R574</f>
        <v/>
      </c>
      <c r="P572" s="16" t="n">
        <v>100</v>
      </c>
      <c r="Q572" s="16" t="n">
        <v>100</v>
      </c>
      <c r="R572" s="16" t="n">
        <v>100</v>
      </c>
      <c r="S572" s="16" t="n">
        <v>100</v>
      </c>
      <c r="T572" s="16" t="n">
        <v>100</v>
      </c>
      <c r="U572" s="16" t="n">
        <v>100</v>
      </c>
      <c r="V572" s="16" t="n">
        <v>100</v>
      </c>
      <c r="W572" s="16" t="n">
        <v>100</v>
      </c>
      <c r="X572" s="16" t="n">
        <v>100</v>
      </c>
      <c r="Y572" s="16" t="n">
        <v>100</v>
      </c>
      <c r="Z572" s="16" t="n">
        <v>100</v>
      </c>
      <c r="AA572" s="16" t="n">
        <v>100</v>
      </c>
    </row>
    <row r="573">
      <c r="A573" s="3" t="inlineStr">
        <is>
          <t>СЦ. Услуги и материалы</t>
        </is>
      </c>
      <c r="B573" s="3" t="inlineStr">
        <is>
          <t>Прочие работы</t>
        </is>
      </c>
      <c r="C573" s="3" t="inlineStr">
        <is>
          <t>Электромонтажные работы</t>
        </is>
      </c>
      <c r="D573" s="3" t="inlineStr">
        <is>
          <t>Прокладка/локальная замена многожильных/одножильных кабелей с затяжкой в гофру с сечением до 35 мм2</t>
        </is>
      </c>
      <c r="E573" s="4">
        <f>N573+O573</f>
        <v/>
      </c>
      <c r="F573" s="3" t="inlineStr">
        <is>
          <t>м.п.</t>
        </is>
      </c>
      <c r="G573" s="4">
        <f>IFERROR('[1]Лист1'!G573,100)</f>
        <v/>
      </c>
      <c r="H573" s="16" t="n">
        <v>100</v>
      </c>
      <c r="I573" s="16" t="n">
        <v>100</v>
      </c>
      <c r="J573" s="16" t="n">
        <v>100</v>
      </c>
      <c r="K573" s="16" t="n">
        <v>100</v>
      </c>
      <c r="L573" s="16" t="n">
        <v>100</v>
      </c>
      <c r="M573" s="16" t="n">
        <v>100</v>
      </c>
      <c r="N573" s="4">
        <f>Работы!S575</f>
        <v/>
      </c>
      <c r="O573" s="4">
        <f>Работы!R575</f>
        <v/>
      </c>
      <c r="P573" s="16" t="n">
        <v>100</v>
      </c>
      <c r="Q573" s="16" t="n">
        <v>100</v>
      </c>
      <c r="R573" s="16" t="n">
        <v>100</v>
      </c>
      <c r="S573" s="16" t="n">
        <v>100</v>
      </c>
      <c r="T573" s="16" t="n">
        <v>100</v>
      </c>
      <c r="U573" s="16" t="n">
        <v>100</v>
      </c>
      <c r="V573" s="16" t="n">
        <v>100</v>
      </c>
      <c r="W573" s="16" t="n">
        <v>100</v>
      </c>
      <c r="X573" s="16" t="n">
        <v>100</v>
      </c>
      <c r="Y573" s="16" t="n">
        <v>100</v>
      </c>
      <c r="Z573" s="16" t="n">
        <v>100</v>
      </c>
      <c r="AA573" s="16" t="n">
        <v>100</v>
      </c>
    </row>
    <row r="574">
      <c r="A574" s="3" t="inlineStr">
        <is>
          <t>СЦ. Услуги и материалы</t>
        </is>
      </c>
      <c r="B574" s="3" t="inlineStr">
        <is>
          <t>Прочие работы</t>
        </is>
      </c>
      <c r="C574" s="3" t="inlineStr">
        <is>
          <t>Электромонтажные работы</t>
        </is>
      </c>
      <c r="D574" s="3" t="inlineStr">
        <is>
          <t xml:space="preserve">Заземление лотков/стоек фальш-пола/лючков/розеток медным кабелем ПВ3 1х4 мм </t>
        </is>
      </c>
      <c r="E574" s="4">
        <f>N574+O574</f>
        <v/>
      </c>
      <c r="F574" s="3" t="inlineStr">
        <is>
          <t>м.п.</t>
        </is>
      </c>
      <c r="G574" s="4">
        <f>IFERROR('[1]Лист1'!G574,100)</f>
        <v/>
      </c>
      <c r="H574" s="16" t="n">
        <v>100</v>
      </c>
      <c r="I574" s="16" t="n">
        <v>100</v>
      </c>
      <c r="J574" s="16" t="n">
        <v>100</v>
      </c>
      <c r="K574" s="16" t="n">
        <v>100</v>
      </c>
      <c r="L574" s="16" t="n">
        <v>100</v>
      </c>
      <c r="M574" s="16" t="n">
        <v>100</v>
      </c>
      <c r="N574" s="4">
        <f>Работы!S576</f>
        <v/>
      </c>
      <c r="O574" s="4">
        <f>Работы!R576</f>
        <v/>
      </c>
      <c r="P574" s="16" t="n">
        <v>100</v>
      </c>
      <c r="Q574" s="16" t="n">
        <v>100</v>
      </c>
      <c r="R574" s="16" t="n">
        <v>100</v>
      </c>
      <c r="S574" s="16" t="n">
        <v>100</v>
      </c>
      <c r="T574" s="16" t="n">
        <v>100</v>
      </c>
      <c r="U574" s="16" t="n">
        <v>100</v>
      </c>
      <c r="V574" s="16" t="n">
        <v>100</v>
      </c>
      <c r="W574" s="16" t="n">
        <v>100</v>
      </c>
      <c r="X574" s="16" t="n">
        <v>100</v>
      </c>
      <c r="Y574" s="16" t="n">
        <v>100</v>
      </c>
      <c r="Z574" s="16" t="n">
        <v>100</v>
      </c>
      <c r="AA574" s="16" t="n">
        <v>100</v>
      </c>
    </row>
    <row r="575">
      <c r="A575" s="3" t="inlineStr">
        <is>
          <t>СЦ. Услуги и материалы</t>
        </is>
      </c>
      <c r="B575" s="3" t="inlineStr">
        <is>
          <t>Прочие работы</t>
        </is>
      </c>
      <c r="C575" s="3" t="inlineStr">
        <is>
          <t>Электромонтажные работы</t>
        </is>
      </c>
      <c r="D575" s="3" t="inlineStr">
        <is>
          <t xml:space="preserve">Монтаж кабель-каналов с аксессуарами </t>
        </is>
      </c>
      <c r="E575" s="4">
        <f>N575+O575</f>
        <v/>
      </c>
      <c r="F575" s="3" t="inlineStr">
        <is>
          <t>п.м</t>
        </is>
      </c>
      <c r="G575" s="4">
        <f>IFERROR('[1]Лист1'!G575,100)</f>
        <v/>
      </c>
      <c r="H575" s="16" t="n">
        <v>100</v>
      </c>
      <c r="I575" s="16" t="n">
        <v>100</v>
      </c>
      <c r="J575" s="16" t="n">
        <v>100</v>
      </c>
      <c r="K575" s="16" t="n">
        <v>100</v>
      </c>
      <c r="L575" s="16" t="n">
        <v>100</v>
      </c>
      <c r="M575" s="16" t="n">
        <v>100</v>
      </c>
      <c r="N575" s="4">
        <f>Работы!S577</f>
        <v/>
      </c>
      <c r="O575" s="4">
        <f>Работы!R577</f>
        <v/>
      </c>
      <c r="P575" s="16" t="n">
        <v>100</v>
      </c>
      <c r="Q575" s="16" t="n">
        <v>100</v>
      </c>
      <c r="R575" s="16" t="n">
        <v>100</v>
      </c>
      <c r="S575" s="16" t="n">
        <v>100</v>
      </c>
      <c r="T575" s="16" t="n">
        <v>100</v>
      </c>
      <c r="U575" s="16" t="n">
        <v>100</v>
      </c>
      <c r="V575" s="16" t="n">
        <v>100</v>
      </c>
      <c r="W575" s="16" t="n">
        <v>100</v>
      </c>
      <c r="X575" s="16" t="n">
        <v>100</v>
      </c>
      <c r="Y575" s="16" t="n">
        <v>100</v>
      </c>
      <c r="Z575" s="16" t="n">
        <v>100</v>
      </c>
      <c r="AA575" s="16" t="n">
        <v>100</v>
      </c>
    </row>
    <row r="576">
      <c r="A576" s="3" t="inlineStr">
        <is>
          <t>СЦ. Услуги и материалы</t>
        </is>
      </c>
      <c r="B576" s="3" t="inlineStr">
        <is>
          <t>Прочие работы</t>
        </is>
      </c>
      <c r="C576" s="3" t="inlineStr">
        <is>
          <t>Электромонтажные работы</t>
        </is>
      </c>
      <c r="D576" s="3" t="inlineStr">
        <is>
          <t>Монтаж гофротрубы на клипсы/открытым способом/по лоткам</t>
        </is>
      </c>
      <c r="E576" s="4">
        <f>N576+O576</f>
        <v/>
      </c>
      <c r="F576" s="3" t="inlineStr">
        <is>
          <t>п.м</t>
        </is>
      </c>
      <c r="G576" s="4">
        <f>IFERROR('[1]Лист1'!G576,100)</f>
        <v/>
      </c>
      <c r="H576" s="16" t="n">
        <v>100</v>
      </c>
      <c r="I576" s="16" t="n">
        <v>100</v>
      </c>
      <c r="J576" s="16" t="n">
        <v>100</v>
      </c>
      <c r="K576" s="16" t="n">
        <v>100</v>
      </c>
      <c r="L576" s="16" t="n">
        <v>100</v>
      </c>
      <c r="M576" s="16" t="n">
        <v>100</v>
      </c>
      <c r="N576" s="4">
        <f>Работы!S578</f>
        <v/>
      </c>
      <c r="O576" s="4">
        <f>Работы!R578</f>
        <v/>
      </c>
      <c r="P576" s="16" t="n">
        <v>100</v>
      </c>
      <c r="Q576" s="16" t="n">
        <v>100</v>
      </c>
      <c r="R576" s="16" t="n">
        <v>100</v>
      </c>
      <c r="S576" s="16" t="n">
        <v>100</v>
      </c>
      <c r="T576" s="16" t="n">
        <v>100</v>
      </c>
      <c r="U576" s="16" t="n">
        <v>100</v>
      </c>
      <c r="V576" s="16" t="n">
        <v>100</v>
      </c>
      <c r="W576" s="16" t="n">
        <v>100</v>
      </c>
      <c r="X576" s="16" t="n">
        <v>100</v>
      </c>
      <c r="Y576" s="16" t="n">
        <v>100</v>
      </c>
      <c r="Z576" s="16" t="n">
        <v>100</v>
      </c>
      <c r="AA576" s="16" t="n">
        <v>100</v>
      </c>
    </row>
    <row r="577">
      <c r="A577" s="3" t="inlineStr">
        <is>
          <t>СЦ. Услуги и материалы</t>
        </is>
      </c>
      <c r="B577" s="3" t="inlineStr">
        <is>
          <t>Прочие работы</t>
        </is>
      </c>
      <c r="C577" s="3" t="inlineStr">
        <is>
          <t>Электромонтажные работы</t>
        </is>
      </c>
      <c r="D577" s="3" t="inlineStr">
        <is>
          <t>Монтаж подрозетников/колодок соединительных/клемм типа WAGA</t>
        </is>
      </c>
      <c r="E577" s="4">
        <f>N577+O577</f>
        <v/>
      </c>
      <c r="F577" s="3" t="inlineStr">
        <is>
          <t>шт.</t>
        </is>
      </c>
      <c r="G577" s="4">
        <f>IFERROR('[1]Лист1'!G577,100)</f>
        <v/>
      </c>
      <c r="H577" s="16" t="n">
        <v>100</v>
      </c>
      <c r="I577" s="16" t="n">
        <v>100</v>
      </c>
      <c r="J577" s="16" t="n">
        <v>100</v>
      </c>
      <c r="K577" s="16" t="n">
        <v>100</v>
      </c>
      <c r="L577" s="16" t="n">
        <v>100</v>
      </c>
      <c r="M577" s="16" t="n">
        <v>100</v>
      </c>
      <c r="N577" s="4">
        <f>Работы!S579</f>
        <v/>
      </c>
      <c r="O577" s="4">
        <f>Работы!R579</f>
        <v/>
      </c>
      <c r="P577" s="16" t="n">
        <v>100</v>
      </c>
      <c r="Q577" s="16" t="n">
        <v>100</v>
      </c>
      <c r="R577" s="16" t="n">
        <v>100</v>
      </c>
      <c r="S577" s="16" t="n">
        <v>100</v>
      </c>
      <c r="T577" s="16" t="n">
        <v>100</v>
      </c>
      <c r="U577" s="16" t="n">
        <v>100</v>
      </c>
      <c r="V577" s="16" t="n">
        <v>100</v>
      </c>
      <c r="W577" s="16" t="n">
        <v>100</v>
      </c>
      <c r="X577" s="16" t="n">
        <v>100</v>
      </c>
      <c r="Y577" s="16" t="n">
        <v>100</v>
      </c>
      <c r="Z577" s="16" t="n">
        <v>100</v>
      </c>
      <c r="AA577" s="16" t="n">
        <v>100</v>
      </c>
    </row>
    <row r="578">
      <c r="A578" s="3" t="inlineStr">
        <is>
          <t>СЦ. Услуги и материалы</t>
        </is>
      </c>
      <c r="B578" s="3" t="inlineStr">
        <is>
          <t>Прочие работы</t>
        </is>
      </c>
      <c r="C578" s="3" t="inlineStr">
        <is>
          <t>Восстановительные работы</t>
        </is>
      </c>
      <c r="D578" s="3" t="inlineStr">
        <is>
          <t>Ремонт трубопроводов с запорной арматурой, включая подводку гибкую</t>
        </is>
      </c>
      <c r="E578" s="4">
        <f>N578+O578</f>
        <v/>
      </c>
      <c r="F578" s="3" t="inlineStr">
        <is>
          <t>п.м</t>
        </is>
      </c>
      <c r="G578" s="4">
        <f>IFERROR('[1]Лист1'!G578,100)</f>
        <v/>
      </c>
      <c r="H578" s="16" t="n">
        <v>100</v>
      </c>
      <c r="I578" s="16" t="n">
        <v>100</v>
      </c>
      <c r="J578" s="16" t="n">
        <v>100</v>
      </c>
      <c r="K578" s="16" t="n">
        <v>100</v>
      </c>
      <c r="L578" s="16" t="n">
        <v>100</v>
      </c>
      <c r="M578" s="16" t="n">
        <v>100</v>
      </c>
      <c r="N578" s="4">
        <f>Работы!S580</f>
        <v/>
      </c>
      <c r="O578" s="4">
        <f>Работы!R580</f>
        <v/>
      </c>
      <c r="P578" s="16" t="n">
        <v>100</v>
      </c>
      <c r="Q578" s="16" t="n">
        <v>100</v>
      </c>
      <c r="R578" s="16" t="n">
        <v>100</v>
      </c>
      <c r="S578" s="16" t="n">
        <v>100</v>
      </c>
      <c r="T578" s="16" t="n">
        <v>100</v>
      </c>
      <c r="U578" s="16" t="n">
        <v>100</v>
      </c>
      <c r="V578" s="16" t="n">
        <v>100</v>
      </c>
      <c r="W578" s="16" t="n">
        <v>100</v>
      </c>
      <c r="X578" s="16" t="n">
        <v>100</v>
      </c>
      <c r="Y578" s="16" t="n">
        <v>100</v>
      </c>
      <c r="Z578" s="16" t="n">
        <v>100</v>
      </c>
      <c r="AA578" s="16" t="n">
        <v>100</v>
      </c>
    </row>
    <row r="579">
      <c r="A579" s="3" t="inlineStr">
        <is>
          <t>СЦ. Услуги и материалы</t>
        </is>
      </c>
      <c r="B579" s="3" t="inlineStr">
        <is>
          <t>Прочие работы</t>
        </is>
      </c>
      <c r="C579" s="3" t="inlineStr">
        <is>
          <t>Монтажные работы</t>
        </is>
      </c>
      <c r="D579" s="3" t="inlineStr">
        <is>
          <t>Монтаж трубопроводов с запорной арматурой, включая подводку гибкую</t>
        </is>
      </c>
      <c r="E579" s="4">
        <f>N579+O579</f>
        <v/>
      </c>
      <c r="F579" s="3" t="inlineStr">
        <is>
          <t>п.м</t>
        </is>
      </c>
      <c r="G579" s="4">
        <f>IFERROR('[1]Лист1'!G579,100)</f>
        <v/>
      </c>
      <c r="H579" s="16" t="n">
        <v>100</v>
      </c>
      <c r="I579" s="16" t="n">
        <v>100</v>
      </c>
      <c r="J579" s="16" t="n">
        <v>100</v>
      </c>
      <c r="K579" s="16" t="n">
        <v>100</v>
      </c>
      <c r="L579" s="16" t="n">
        <v>100</v>
      </c>
      <c r="M579" s="16" t="n">
        <v>100</v>
      </c>
      <c r="N579" s="4">
        <f>Работы!S581</f>
        <v/>
      </c>
      <c r="O579" s="4">
        <f>Работы!R581</f>
        <v/>
      </c>
      <c r="P579" s="16" t="n">
        <v>100</v>
      </c>
      <c r="Q579" s="16" t="n">
        <v>100</v>
      </c>
      <c r="R579" s="16" t="n">
        <v>100</v>
      </c>
      <c r="S579" s="16" t="n">
        <v>100</v>
      </c>
      <c r="T579" s="16" t="n">
        <v>100</v>
      </c>
      <c r="U579" s="16" t="n">
        <v>100</v>
      </c>
      <c r="V579" s="16" t="n">
        <v>100</v>
      </c>
      <c r="W579" s="16" t="n">
        <v>100</v>
      </c>
      <c r="X579" s="16" t="n">
        <v>100</v>
      </c>
      <c r="Y579" s="16" t="n">
        <v>100</v>
      </c>
      <c r="Z579" s="16" t="n">
        <v>100</v>
      </c>
      <c r="AA579" s="16" t="n">
        <v>100</v>
      </c>
    </row>
    <row r="580">
      <c r="A580" s="3" t="inlineStr">
        <is>
          <t>СЦ. Услуги и материалы</t>
        </is>
      </c>
      <c r="B580" s="3" t="inlineStr">
        <is>
          <t>Прочие работы</t>
        </is>
      </c>
      <c r="C580" s="3" t="inlineStr">
        <is>
          <t>Монтажные работы</t>
        </is>
      </c>
      <c r="D580" s="3" t="inlineStr">
        <is>
          <t>Монтаж/ремонт фитингов трубопроводов</t>
        </is>
      </c>
      <c r="E580" s="4">
        <f>N580+O580</f>
        <v/>
      </c>
      <c r="F580" s="3" t="inlineStr">
        <is>
          <t>шт.</t>
        </is>
      </c>
      <c r="G580" s="4">
        <f>IFERROR('[1]Лист1'!G580,100)</f>
        <v/>
      </c>
      <c r="H580" s="16" t="n">
        <v>100</v>
      </c>
      <c r="I580" s="16" t="n">
        <v>100</v>
      </c>
      <c r="J580" s="16" t="n">
        <v>100</v>
      </c>
      <c r="K580" s="16" t="n">
        <v>100</v>
      </c>
      <c r="L580" s="16" t="n">
        <v>100</v>
      </c>
      <c r="M580" s="16" t="n">
        <v>100</v>
      </c>
      <c r="N580" s="4">
        <f>Работы!S582</f>
        <v/>
      </c>
      <c r="O580" s="4">
        <f>Работы!R582</f>
        <v/>
      </c>
      <c r="P580" s="16" t="n">
        <v>100</v>
      </c>
      <c r="Q580" s="16" t="n">
        <v>100</v>
      </c>
      <c r="R580" s="16" t="n">
        <v>100</v>
      </c>
      <c r="S580" s="16" t="n">
        <v>100</v>
      </c>
      <c r="T580" s="16" t="n">
        <v>100</v>
      </c>
      <c r="U580" s="16" t="n">
        <v>100</v>
      </c>
      <c r="V580" s="16" t="n">
        <v>100</v>
      </c>
      <c r="W580" s="16" t="n">
        <v>100</v>
      </c>
      <c r="X580" s="16" t="n">
        <v>100</v>
      </c>
      <c r="Y580" s="16" t="n">
        <v>100</v>
      </c>
      <c r="Z580" s="16" t="n">
        <v>100</v>
      </c>
      <c r="AA580" s="16" t="n">
        <v>100</v>
      </c>
    </row>
    <row r="581">
      <c r="A581" s="3" t="inlineStr">
        <is>
          <t>СЦ. Услуги и материалы</t>
        </is>
      </c>
      <c r="B581" s="3" t="inlineStr">
        <is>
          <t>Прочие работы</t>
        </is>
      </c>
      <c r="C581" s="3" t="inlineStr">
        <is>
          <t>Восстановительные работы</t>
        </is>
      </c>
      <c r="D581" s="3" t="inlineStr">
        <is>
          <t>Ремонт фитингов трубопроводов</t>
        </is>
      </c>
      <c r="E581" s="4">
        <f>N581+O581</f>
        <v/>
      </c>
      <c r="F581" s="3" t="inlineStr">
        <is>
          <t>м.п.</t>
        </is>
      </c>
      <c r="G581" s="4">
        <f>IFERROR('[1]Лист1'!G581,100)</f>
        <v/>
      </c>
      <c r="H581" s="16" t="n">
        <v>100</v>
      </c>
      <c r="I581" s="16" t="n">
        <v>100</v>
      </c>
      <c r="J581" s="16" t="n">
        <v>100</v>
      </c>
      <c r="K581" s="16" t="n">
        <v>100</v>
      </c>
      <c r="L581" s="16" t="n">
        <v>100</v>
      </c>
      <c r="M581" s="16" t="n">
        <v>100</v>
      </c>
      <c r="N581" s="4">
        <f>Работы!S583</f>
        <v/>
      </c>
      <c r="O581" s="4">
        <f>Работы!R583</f>
        <v/>
      </c>
      <c r="P581" s="16" t="n">
        <v>100</v>
      </c>
      <c r="Q581" s="16" t="n">
        <v>100</v>
      </c>
      <c r="R581" s="16" t="n">
        <v>100</v>
      </c>
      <c r="S581" s="16" t="n">
        <v>100</v>
      </c>
      <c r="T581" s="16" t="n">
        <v>100</v>
      </c>
      <c r="U581" s="16" t="n">
        <v>100</v>
      </c>
      <c r="V581" s="16" t="n">
        <v>100</v>
      </c>
      <c r="W581" s="16" t="n">
        <v>100</v>
      </c>
      <c r="X581" s="16" t="n">
        <v>100</v>
      </c>
      <c r="Y581" s="16" t="n">
        <v>100</v>
      </c>
      <c r="Z581" s="16" t="n">
        <v>100</v>
      </c>
      <c r="AA581" s="16" t="n">
        <v>100</v>
      </c>
    </row>
    <row r="582">
      <c r="A582" s="3" t="inlineStr">
        <is>
          <t>СЦ. Услуги и материалы</t>
        </is>
      </c>
      <c r="B582" s="3" t="inlineStr">
        <is>
          <t>Прочие работы</t>
        </is>
      </c>
      <c r="C582" s="3" t="inlineStr">
        <is>
          <t>Монтажные работы</t>
        </is>
      </c>
      <c r="D582" s="3" t="inlineStr">
        <is>
          <t>Монтаж труб канализационных с фасонными изделиями</t>
        </is>
      </c>
      <c r="E582" s="4">
        <f>N582+O582</f>
        <v/>
      </c>
      <c r="F582" s="3" t="inlineStr">
        <is>
          <t>м.п.</t>
        </is>
      </c>
      <c r="G582" s="4">
        <f>IFERROR('[1]Лист1'!G582,100)</f>
        <v/>
      </c>
      <c r="H582" s="16" t="n">
        <v>100</v>
      </c>
      <c r="I582" s="16" t="n">
        <v>100</v>
      </c>
      <c r="J582" s="16" t="n">
        <v>100</v>
      </c>
      <c r="K582" s="16" t="n">
        <v>100</v>
      </c>
      <c r="L582" s="16" t="n">
        <v>100</v>
      </c>
      <c r="M582" s="16" t="n">
        <v>100</v>
      </c>
      <c r="N582" s="4">
        <f>Работы!S584</f>
        <v/>
      </c>
      <c r="O582" s="4">
        <f>Работы!R584</f>
        <v/>
      </c>
      <c r="P582" s="16" t="n">
        <v>100</v>
      </c>
      <c r="Q582" s="16" t="n">
        <v>100</v>
      </c>
      <c r="R582" s="16" t="n">
        <v>100</v>
      </c>
      <c r="S582" s="16" t="n">
        <v>100</v>
      </c>
      <c r="T582" s="16" t="n">
        <v>100</v>
      </c>
      <c r="U582" s="16" t="n">
        <v>100</v>
      </c>
      <c r="V582" s="16" t="n">
        <v>100</v>
      </c>
      <c r="W582" s="16" t="n">
        <v>100</v>
      </c>
      <c r="X582" s="16" t="n">
        <v>100</v>
      </c>
      <c r="Y582" s="16" t="n">
        <v>100</v>
      </c>
      <c r="Z582" s="16" t="n">
        <v>100</v>
      </c>
      <c r="AA582" s="16" t="n">
        <v>100</v>
      </c>
    </row>
    <row r="583">
      <c r="A583" s="3" t="inlineStr">
        <is>
          <t>СЦ. Услуги и материалы</t>
        </is>
      </c>
      <c r="B583" s="3" t="inlineStr">
        <is>
          <t>Прочие работы</t>
        </is>
      </c>
      <c r="C583" s="3" t="inlineStr">
        <is>
          <t>Восстановительные работы</t>
        </is>
      </c>
      <c r="D583" s="3" t="inlineStr">
        <is>
          <t>Ремонт труб канализационных с фасонными изделиями</t>
        </is>
      </c>
      <c r="E583" s="4">
        <f>N583+O583</f>
        <v/>
      </c>
      <c r="F583" s="3" t="inlineStr">
        <is>
          <t>м.п.</t>
        </is>
      </c>
      <c r="G583" s="4">
        <f>IFERROR('[1]Лист1'!G583,100)</f>
        <v/>
      </c>
      <c r="H583" s="16" t="n">
        <v>100</v>
      </c>
      <c r="I583" s="16" t="n">
        <v>100</v>
      </c>
      <c r="J583" s="16" t="n">
        <v>100</v>
      </c>
      <c r="K583" s="16" t="n">
        <v>100</v>
      </c>
      <c r="L583" s="16" t="n">
        <v>100</v>
      </c>
      <c r="M583" s="16" t="n">
        <v>100</v>
      </c>
      <c r="N583" s="4">
        <f>Работы!S585</f>
        <v/>
      </c>
      <c r="O583" s="4">
        <f>Работы!R585</f>
        <v/>
      </c>
      <c r="P583" s="16" t="n">
        <v>100</v>
      </c>
      <c r="Q583" s="16" t="n">
        <v>100</v>
      </c>
      <c r="R583" s="16" t="n">
        <v>100</v>
      </c>
      <c r="S583" s="16" t="n">
        <v>100</v>
      </c>
      <c r="T583" s="16" t="n">
        <v>100</v>
      </c>
      <c r="U583" s="16" t="n">
        <v>100</v>
      </c>
      <c r="V583" s="16" t="n">
        <v>100</v>
      </c>
      <c r="W583" s="16" t="n">
        <v>100</v>
      </c>
      <c r="X583" s="16" t="n">
        <v>100</v>
      </c>
      <c r="Y583" s="16" t="n">
        <v>100</v>
      </c>
      <c r="Z583" s="16" t="n">
        <v>100</v>
      </c>
      <c r="AA583" s="16" t="n">
        <v>100</v>
      </c>
    </row>
    <row r="584">
      <c r="A584" s="3" t="inlineStr">
        <is>
          <t>СЦ. Услуги и материалы</t>
        </is>
      </c>
      <c r="B584" s="3" t="inlineStr">
        <is>
          <t>Прочие работы</t>
        </is>
      </c>
      <c r="C584" s="3" t="inlineStr">
        <is>
          <t>Монтажные работы</t>
        </is>
      </c>
      <c r="D584" s="3" t="inlineStr">
        <is>
          <t>Монтаж моек, поддонов</t>
        </is>
      </c>
      <c r="E584" s="4">
        <f>N584+O584</f>
        <v/>
      </c>
      <c r="F584" s="3" t="inlineStr">
        <is>
          <t>шт.</t>
        </is>
      </c>
      <c r="G584" s="4">
        <f>IFERROR('[1]Лист1'!G584,100)</f>
        <v/>
      </c>
      <c r="H584" s="16" t="n">
        <v>100</v>
      </c>
      <c r="I584" s="16" t="n">
        <v>100</v>
      </c>
      <c r="J584" s="16" t="n">
        <v>100</v>
      </c>
      <c r="K584" s="16" t="n">
        <v>100</v>
      </c>
      <c r="L584" s="16" t="n">
        <v>100</v>
      </c>
      <c r="M584" s="16" t="n">
        <v>100</v>
      </c>
      <c r="N584" s="4">
        <f>Работы!S586</f>
        <v/>
      </c>
      <c r="O584" s="4">
        <f>Работы!R586</f>
        <v/>
      </c>
      <c r="P584" s="16" t="n">
        <v>100</v>
      </c>
      <c r="Q584" s="16" t="n">
        <v>100</v>
      </c>
      <c r="R584" s="16" t="n">
        <v>100</v>
      </c>
      <c r="S584" s="16" t="n">
        <v>100</v>
      </c>
      <c r="T584" s="16" t="n">
        <v>100</v>
      </c>
      <c r="U584" s="16" t="n">
        <v>100</v>
      </c>
      <c r="V584" s="16" t="n">
        <v>100</v>
      </c>
      <c r="W584" s="16" t="n">
        <v>100</v>
      </c>
      <c r="X584" s="16" t="n">
        <v>100</v>
      </c>
      <c r="Y584" s="16" t="n">
        <v>100</v>
      </c>
      <c r="Z584" s="16" t="n">
        <v>100</v>
      </c>
      <c r="AA584" s="16" t="n">
        <v>100</v>
      </c>
    </row>
    <row r="585">
      <c r="A585" s="3" t="inlineStr">
        <is>
          <t>СЦ. Услуги и материалы</t>
        </is>
      </c>
      <c r="B585" s="3" t="inlineStr">
        <is>
          <t>Прочие работы</t>
        </is>
      </c>
      <c r="C585" s="3" t="inlineStr">
        <is>
          <t>Монтажные работы</t>
        </is>
      </c>
      <c r="D585" s="3" t="inlineStr">
        <is>
          <t>Монтаж поддонов и душевых</t>
        </is>
      </c>
      <c r="E585" s="4">
        <f>N585+O585</f>
        <v/>
      </c>
      <c r="F585" s="3" t="inlineStr">
        <is>
          <t>шт.</t>
        </is>
      </c>
      <c r="G585" s="4">
        <f>IFERROR('[1]Лист1'!G585,100)</f>
        <v/>
      </c>
      <c r="H585" s="16" t="n">
        <v>100</v>
      </c>
      <c r="I585" s="16" t="n">
        <v>100</v>
      </c>
      <c r="J585" s="16" t="n">
        <v>100</v>
      </c>
      <c r="K585" s="16" t="n">
        <v>100</v>
      </c>
      <c r="L585" s="16" t="n">
        <v>100</v>
      </c>
      <c r="M585" s="16" t="n">
        <v>100</v>
      </c>
      <c r="N585" s="4">
        <f>Работы!S587</f>
        <v/>
      </c>
      <c r="O585" s="4">
        <f>Работы!R587</f>
        <v/>
      </c>
      <c r="P585" s="16" t="n">
        <v>100</v>
      </c>
      <c r="Q585" s="16" t="n">
        <v>100</v>
      </c>
      <c r="R585" s="16" t="n">
        <v>100</v>
      </c>
      <c r="S585" s="16" t="n">
        <v>100</v>
      </c>
      <c r="T585" s="16" t="n">
        <v>100</v>
      </c>
      <c r="U585" s="16" t="n">
        <v>100</v>
      </c>
      <c r="V585" s="16" t="n">
        <v>100</v>
      </c>
      <c r="W585" s="16" t="n">
        <v>100</v>
      </c>
      <c r="X585" s="16" t="n">
        <v>100</v>
      </c>
      <c r="Y585" s="16" t="n">
        <v>100</v>
      </c>
      <c r="Z585" s="16" t="n">
        <v>100</v>
      </c>
      <c r="AA585" s="16" t="n">
        <v>100</v>
      </c>
    </row>
    <row r="586">
      <c r="A586" s="3" t="inlineStr">
        <is>
          <t>СЦ. Услуги и материалы</t>
        </is>
      </c>
      <c r="B586" s="3" t="inlineStr">
        <is>
          <t>Прочие работы</t>
        </is>
      </c>
      <c r="C586" s="3" t="inlineStr">
        <is>
          <t>Монтажные работы</t>
        </is>
      </c>
      <c r="D586" s="3" t="inlineStr">
        <is>
          <t>Монтаж умывальников, в том числе со смесителями, подводками и запорной арматурой</t>
        </is>
      </c>
      <c r="E586" s="4">
        <f>N586+O586</f>
        <v/>
      </c>
      <c r="F586" s="3" t="inlineStr">
        <is>
          <t>шт.</t>
        </is>
      </c>
      <c r="G586" s="4">
        <f>IFERROR('[1]Лист1'!G586,100)</f>
        <v/>
      </c>
      <c r="H586" s="16" t="n">
        <v>100</v>
      </c>
      <c r="I586" s="16" t="n">
        <v>100</v>
      </c>
      <c r="J586" s="16" t="n">
        <v>100</v>
      </c>
      <c r="K586" s="16" t="n">
        <v>100</v>
      </c>
      <c r="L586" s="16" t="n">
        <v>100</v>
      </c>
      <c r="M586" s="16" t="n">
        <v>100</v>
      </c>
      <c r="N586" s="4">
        <f>Работы!S588</f>
        <v/>
      </c>
      <c r="O586" s="4">
        <f>Работы!R588</f>
        <v/>
      </c>
      <c r="P586" s="16" t="n">
        <v>100</v>
      </c>
      <c r="Q586" s="16" t="n">
        <v>100</v>
      </c>
      <c r="R586" s="16" t="n">
        <v>100</v>
      </c>
      <c r="S586" s="16" t="n">
        <v>100</v>
      </c>
      <c r="T586" s="16" t="n">
        <v>100</v>
      </c>
      <c r="U586" s="16" t="n">
        <v>100</v>
      </c>
      <c r="V586" s="16" t="n">
        <v>100</v>
      </c>
      <c r="W586" s="16" t="n">
        <v>100</v>
      </c>
      <c r="X586" s="16" t="n">
        <v>100</v>
      </c>
      <c r="Y586" s="16" t="n">
        <v>100</v>
      </c>
      <c r="Z586" s="16" t="n">
        <v>100</v>
      </c>
      <c r="AA586" s="16" t="n">
        <v>100</v>
      </c>
    </row>
    <row r="587">
      <c r="A587" s="3" t="inlineStr">
        <is>
          <t>СЦ. Услуги и материалы</t>
        </is>
      </c>
      <c r="B587" s="3" t="inlineStr">
        <is>
          <t>Прочие работы</t>
        </is>
      </c>
      <c r="C587" s="3" t="inlineStr">
        <is>
          <t>Восстановительные работы</t>
        </is>
      </c>
      <c r="D587" s="3" t="inlineStr">
        <is>
          <t>Ремонт умывальников, в том числе со смесителями, подводками и запорной арматурой</t>
        </is>
      </c>
      <c r="E587" s="4">
        <f>N587+O587</f>
        <v/>
      </c>
      <c r="F587" s="3" t="inlineStr">
        <is>
          <t>шт.</t>
        </is>
      </c>
      <c r="G587" s="4">
        <f>IFERROR('[1]Лист1'!G587,100)</f>
        <v/>
      </c>
      <c r="H587" s="16" t="n">
        <v>100</v>
      </c>
      <c r="I587" s="16" t="n">
        <v>100</v>
      </c>
      <c r="J587" s="16" t="n">
        <v>100</v>
      </c>
      <c r="K587" s="16" t="n">
        <v>100</v>
      </c>
      <c r="L587" s="16" t="n">
        <v>100</v>
      </c>
      <c r="M587" s="16" t="n">
        <v>100</v>
      </c>
      <c r="N587" s="4">
        <f>Работы!S589</f>
        <v/>
      </c>
      <c r="O587" s="4">
        <f>Работы!R589</f>
        <v/>
      </c>
      <c r="P587" s="16" t="n">
        <v>100</v>
      </c>
      <c r="Q587" s="16" t="n">
        <v>100</v>
      </c>
      <c r="R587" s="16" t="n">
        <v>100</v>
      </c>
      <c r="S587" s="16" t="n">
        <v>100</v>
      </c>
      <c r="T587" s="16" t="n">
        <v>100</v>
      </c>
      <c r="U587" s="16" t="n">
        <v>100</v>
      </c>
      <c r="V587" s="16" t="n">
        <v>100</v>
      </c>
      <c r="W587" s="16" t="n">
        <v>100</v>
      </c>
      <c r="X587" s="16" t="n">
        <v>100</v>
      </c>
      <c r="Y587" s="16" t="n">
        <v>100</v>
      </c>
      <c r="Z587" s="16" t="n">
        <v>100</v>
      </c>
      <c r="AA587" s="16" t="n">
        <v>100</v>
      </c>
    </row>
    <row r="588">
      <c r="A588" s="3" t="inlineStr">
        <is>
          <t>СЦ. Услуги и материалы</t>
        </is>
      </c>
      <c r="B588" s="3" t="inlineStr">
        <is>
          <t>Прочие работы</t>
        </is>
      </c>
      <c r="C588" s="3" t="inlineStr">
        <is>
          <t>Монтажные работы</t>
        </is>
      </c>
      <c r="D588" s="3" t="inlineStr">
        <is>
          <t>Монтаж унитазов/писсуаров напольных  и подвесных, в том числе с запорной арматурой и подводками</t>
        </is>
      </c>
      <c r="E588" s="4">
        <f>N588+O588</f>
        <v/>
      </c>
      <c r="F588" s="3" t="inlineStr">
        <is>
          <t>шт.</t>
        </is>
      </c>
      <c r="G588" s="4">
        <f>IFERROR('[1]Лист1'!G588,100)</f>
        <v/>
      </c>
      <c r="H588" s="16" t="n">
        <v>100</v>
      </c>
      <c r="I588" s="16" t="n">
        <v>100</v>
      </c>
      <c r="J588" s="16" t="n">
        <v>100</v>
      </c>
      <c r="K588" s="16" t="n">
        <v>100</v>
      </c>
      <c r="L588" s="16" t="n">
        <v>100</v>
      </c>
      <c r="M588" s="16" t="n">
        <v>100</v>
      </c>
      <c r="N588" s="4">
        <f>Работы!S590</f>
        <v/>
      </c>
      <c r="O588" s="4">
        <f>Работы!R590</f>
        <v/>
      </c>
      <c r="P588" s="16" t="n">
        <v>100</v>
      </c>
      <c r="Q588" s="16" t="n">
        <v>100</v>
      </c>
      <c r="R588" s="16" t="n">
        <v>100</v>
      </c>
      <c r="S588" s="16" t="n">
        <v>100</v>
      </c>
      <c r="T588" s="16" t="n">
        <v>100</v>
      </c>
      <c r="U588" s="16" t="n">
        <v>100</v>
      </c>
      <c r="V588" s="16" t="n">
        <v>100</v>
      </c>
      <c r="W588" s="16" t="n">
        <v>100</v>
      </c>
      <c r="X588" s="16" t="n">
        <v>100</v>
      </c>
      <c r="Y588" s="16" t="n">
        <v>100</v>
      </c>
      <c r="Z588" s="16" t="n">
        <v>100</v>
      </c>
      <c r="AA588" s="16" t="n">
        <v>100</v>
      </c>
    </row>
    <row r="589">
      <c r="A589" s="3" t="inlineStr">
        <is>
          <t>СЦ. Услуги и материалы</t>
        </is>
      </c>
      <c r="B589" s="3" t="inlineStr">
        <is>
          <t>Прочие работы</t>
        </is>
      </c>
      <c r="C589" s="3" t="inlineStr">
        <is>
          <t>Восстановительные работы</t>
        </is>
      </c>
      <c r="D589" s="3" t="inlineStr">
        <is>
          <t>Ремонт унитазов/писсуаров напольных  и подвесных, в том числе с запорной арматурой и подводками</t>
        </is>
      </c>
      <c r="E589" s="4">
        <f>N589+O589</f>
        <v/>
      </c>
      <c r="F589" s="3" t="inlineStr">
        <is>
          <t>шт.</t>
        </is>
      </c>
      <c r="G589" s="4">
        <f>IFERROR('[1]Лист1'!G589,100)</f>
        <v/>
      </c>
      <c r="H589" s="16" t="n">
        <v>100</v>
      </c>
      <c r="I589" s="16" t="n">
        <v>100</v>
      </c>
      <c r="J589" s="16" t="n">
        <v>100</v>
      </c>
      <c r="K589" s="16" t="n">
        <v>100</v>
      </c>
      <c r="L589" s="16" t="n">
        <v>100</v>
      </c>
      <c r="M589" s="16" t="n">
        <v>100</v>
      </c>
      <c r="N589" s="4">
        <f>Работы!S591</f>
        <v/>
      </c>
      <c r="O589" s="4">
        <f>Работы!R591</f>
        <v/>
      </c>
      <c r="P589" s="16" t="n">
        <v>100</v>
      </c>
      <c r="Q589" s="16" t="n">
        <v>100</v>
      </c>
      <c r="R589" s="16" t="n">
        <v>100</v>
      </c>
      <c r="S589" s="16" t="n">
        <v>100</v>
      </c>
      <c r="T589" s="16" t="n">
        <v>100</v>
      </c>
      <c r="U589" s="16" t="n">
        <v>100</v>
      </c>
      <c r="V589" s="16" t="n">
        <v>100</v>
      </c>
      <c r="W589" s="16" t="n">
        <v>100</v>
      </c>
      <c r="X589" s="16" t="n">
        <v>100</v>
      </c>
      <c r="Y589" s="16" t="n">
        <v>100</v>
      </c>
      <c r="Z589" s="16" t="n">
        <v>100</v>
      </c>
      <c r="AA589" s="16" t="n">
        <v>100</v>
      </c>
    </row>
    <row r="590">
      <c r="A590" s="3" t="inlineStr">
        <is>
          <t>СЦ. Услуги и материалы</t>
        </is>
      </c>
      <c r="B590" s="3" t="inlineStr">
        <is>
          <t>Прочие работы</t>
        </is>
      </c>
      <c r="C590" s="3" t="inlineStr">
        <is>
          <t>Монтажные работы</t>
        </is>
      </c>
      <c r="D590" s="3" t="inlineStr">
        <is>
          <t>Монтаж сушки для рук, диспенсеров, зеркал и пр.</t>
        </is>
      </c>
      <c r="E590" s="4">
        <f>N590+O590</f>
        <v/>
      </c>
      <c r="F590" s="3" t="inlineStr">
        <is>
          <t>шт.</t>
        </is>
      </c>
      <c r="G590" s="4">
        <f>IFERROR('[1]Лист1'!G590,100)</f>
        <v/>
      </c>
      <c r="H590" s="16" t="n">
        <v>100</v>
      </c>
      <c r="I590" s="16" t="n">
        <v>100</v>
      </c>
      <c r="J590" s="16" t="n">
        <v>100</v>
      </c>
      <c r="K590" s="16" t="n">
        <v>100</v>
      </c>
      <c r="L590" s="16" t="n">
        <v>100</v>
      </c>
      <c r="M590" s="16" t="n">
        <v>100</v>
      </c>
      <c r="N590" s="4">
        <f>Работы!S592</f>
        <v/>
      </c>
      <c r="O590" s="4">
        <f>Работы!R592</f>
        <v/>
      </c>
      <c r="P590" s="16" t="n">
        <v>100</v>
      </c>
      <c r="Q590" s="16" t="n">
        <v>100</v>
      </c>
      <c r="R590" s="16" t="n">
        <v>100</v>
      </c>
      <c r="S590" s="16" t="n">
        <v>100</v>
      </c>
      <c r="T590" s="16" t="n">
        <v>100</v>
      </c>
      <c r="U590" s="16" t="n">
        <v>100</v>
      </c>
      <c r="V590" s="16" t="n">
        <v>100</v>
      </c>
      <c r="W590" s="16" t="n">
        <v>100</v>
      </c>
      <c r="X590" s="16" t="n">
        <v>100</v>
      </c>
      <c r="Y590" s="16" t="n">
        <v>100</v>
      </c>
      <c r="Z590" s="16" t="n">
        <v>100</v>
      </c>
      <c r="AA590" s="16" t="n">
        <v>100</v>
      </c>
    </row>
    <row r="591">
      <c r="A591" s="3" t="inlineStr">
        <is>
          <t>СЦ. Услуги и материалы</t>
        </is>
      </c>
      <c r="B591" s="3" t="inlineStr">
        <is>
          <t>Прочие работы</t>
        </is>
      </c>
      <c r="C591" s="3" t="inlineStr">
        <is>
          <t>Восстановительные работы</t>
        </is>
      </c>
      <c r="D591" s="3" t="inlineStr">
        <is>
          <t>Ремонт сушки для рук, диспенсеров, зеркал и пр.</t>
        </is>
      </c>
      <c r="E591" s="4">
        <f>N591+O591</f>
        <v/>
      </c>
      <c r="F591" s="3" t="inlineStr">
        <is>
          <t>шт.</t>
        </is>
      </c>
      <c r="G591" s="4">
        <f>IFERROR('[1]Лист1'!G591,100)</f>
        <v/>
      </c>
      <c r="H591" s="16" t="n">
        <v>100</v>
      </c>
      <c r="I591" s="16" t="n">
        <v>100</v>
      </c>
      <c r="J591" s="16" t="n">
        <v>100</v>
      </c>
      <c r="K591" s="16" t="n">
        <v>100</v>
      </c>
      <c r="L591" s="16" t="n">
        <v>100</v>
      </c>
      <c r="M591" s="16" t="n">
        <v>100</v>
      </c>
      <c r="N591" s="4">
        <f>Работы!S593</f>
        <v/>
      </c>
      <c r="O591" s="4">
        <f>Работы!R593</f>
        <v/>
      </c>
      <c r="P591" s="16" t="n">
        <v>100</v>
      </c>
      <c r="Q591" s="16" t="n">
        <v>100</v>
      </c>
      <c r="R591" s="16" t="n">
        <v>100</v>
      </c>
      <c r="S591" s="16" t="n">
        <v>100</v>
      </c>
      <c r="T591" s="16" t="n">
        <v>100</v>
      </c>
      <c r="U591" s="16" t="n">
        <v>100</v>
      </c>
      <c r="V591" s="16" t="n">
        <v>100</v>
      </c>
      <c r="W591" s="16" t="n">
        <v>100</v>
      </c>
      <c r="X591" s="16" t="n">
        <v>100</v>
      </c>
      <c r="Y591" s="16" t="n">
        <v>100</v>
      </c>
      <c r="Z591" s="16" t="n">
        <v>100</v>
      </c>
      <c r="AA591" s="16" t="n">
        <v>100</v>
      </c>
    </row>
    <row r="592">
      <c r="A592" s="3" t="inlineStr">
        <is>
          <t>СЦ. Услуги и материалы</t>
        </is>
      </c>
      <c r="B592" s="3" t="inlineStr">
        <is>
          <t>Прочие работы</t>
        </is>
      </c>
      <c r="C592" s="3" t="inlineStr">
        <is>
          <t>Монтажные работы</t>
        </is>
      </c>
      <c r="D592" s="3" t="inlineStr">
        <is>
          <t>Монтаж встроенных инсталяций унитазов и писсуаров</t>
        </is>
      </c>
      <c r="E592" s="4">
        <f>N592+O592</f>
        <v/>
      </c>
      <c r="F592" s="3" t="inlineStr">
        <is>
          <t>шт.</t>
        </is>
      </c>
      <c r="G592" s="4">
        <f>IFERROR('[1]Лист1'!G592,100)</f>
        <v/>
      </c>
      <c r="H592" s="16" t="n">
        <v>100</v>
      </c>
      <c r="I592" s="16" t="n">
        <v>100</v>
      </c>
      <c r="J592" s="16" t="n">
        <v>100</v>
      </c>
      <c r="K592" s="16" t="n">
        <v>100</v>
      </c>
      <c r="L592" s="16" t="n">
        <v>100</v>
      </c>
      <c r="M592" s="16" t="n">
        <v>100</v>
      </c>
      <c r="N592" s="4">
        <f>Работы!S594</f>
        <v/>
      </c>
      <c r="O592" s="4">
        <f>Работы!R594</f>
        <v/>
      </c>
      <c r="P592" s="16" t="n">
        <v>100</v>
      </c>
      <c r="Q592" s="16" t="n">
        <v>100</v>
      </c>
      <c r="R592" s="16" t="n">
        <v>100</v>
      </c>
      <c r="S592" s="16" t="n">
        <v>100</v>
      </c>
      <c r="T592" s="16" t="n">
        <v>100</v>
      </c>
      <c r="U592" s="16" t="n">
        <v>100</v>
      </c>
      <c r="V592" s="16" t="n">
        <v>100</v>
      </c>
      <c r="W592" s="16" t="n">
        <v>100</v>
      </c>
      <c r="X592" s="16" t="n">
        <v>100</v>
      </c>
      <c r="Y592" s="16" t="n">
        <v>100</v>
      </c>
      <c r="Z592" s="16" t="n">
        <v>100</v>
      </c>
      <c r="AA592" s="16" t="n">
        <v>100</v>
      </c>
    </row>
    <row r="593">
      <c r="A593" s="3" t="inlineStr">
        <is>
          <t>СЦ. Услуги и материалы</t>
        </is>
      </c>
      <c r="B593" s="3" t="inlineStr">
        <is>
          <t>Прочие работы</t>
        </is>
      </c>
      <c r="C593" s="3" t="inlineStr">
        <is>
          <t>Восстановительные работы</t>
        </is>
      </c>
      <c r="D593" s="3" t="inlineStr">
        <is>
          <t>Ремонт встроенных инсталяций унитазов и писсуаров</t>
        </is>
      </c>
      <c r="E593" s="4">
        <f>N593+O593</f>
        <v/>
      </c>
      <c r="F593" s="3" t="inlineStr">
        <is>
          <t>шт.</t>
        </is>
      </c>
      <c r="G593" s="4">
        <f>IFERROR('[1]Лист1'!G593,100)</f>
        <v/>
      </c>
      <c r="H593" s="16" t="n">
        <v>100</v>
      </c>
      <c r="I593" s="16" t="n">
        <v>100</v>
      </c>
      <c r="J593" s="16" t="n">
        <v>100</v>
      </c>
      <c r="K593" s="16" t="n">
        <v>100</v>
      </c>
      <c r="L593" s="16" t="n">
        <v>100</v>
      </c>
      <c r="M593" s="16" t="n">
        <v>100</v>
      </c>
      <c r="N593" s="4">
        <f>Работы!S595</f>
        <v/>
      </c>
      <c r="O593" s="4">
        <f>Работы!R595</f>
        <v/>
      </c>
      <c r="P593" s="16" t="n">
        <v>100</v>
      </c>
      <c r="Q593" s="16" t="n">
        <v>100</v>
      </c>
      <c r="R593" s="16" t="n">
        <v>100</v>
      </c>
      <c r="S593" s="16" t="n">
        <v>100</v>
      </c>
      <c r="T593" s="16" t="n">
        <v>100</v>
      </c>
      <c r="U593" s="16" t="n">
        <v>100</v>
      </c>
      <c r="V593" s="16" t="n">
        <v>100</v>
      </c>
      <c r="W593" s="16" t="n">
        <v>100</v>
      </c>
      <c r="X593" s="16" t="n">
        <v>100</v>
      </c>
      <c r="Y593" s="16" t="n">
        <v>100</v>
      </c>
      <c r="Z593" s="16" t="n">
        <v>100</v>
      </c>
      <c r="AA593" s="16" t="n">
        <v>100</v>
      </c>
    </row>
    <row r="594">
      <c r="A594" s="3" t="inlineStr">
        <is>
          <t>СЦ. Услуги и материалы</t>
        </is>
      </c>
      <c r="B594" s="3" t="inlineStr">
        <is>
          <t>Прочие работы</t>
        </is>
      </c>
      <c r="C594" s="3" t="inlineStr">
        <is>
          <t>Монтажные работы</t>
        </is>
      </c>
      <c r="D594" s="3" t="inlineStr">
        <is>
          <t>Монтаж  гарнитуры (душ, лейка и т.п.)</t>
        </is>
      </c>
      <c r="E594" s="4">
        <f>N594+O594</f>
        <v/>
      </c>
      <c r="F594" s="3" t="inlineStr">
        <is>
          <t>шт.</t>
        </is>
      </c>
      <c r="G594" s="4">
        <f>IFERROR('[1]Лист1'!G594,100)</f>
        <v/>
      </c>
      <c r="H594" s="16" t="n">
        <v>100</v>
      </c>
      <c r="I594" s="16" t="n">
        <v>100</v>
      </c>
      <c r="J594" s="16" t="n">
        <v>100</v>
      </c>
      <c r="K594" s="16" t="n">
        <v>100</v>
      </c>
      <c r="L594" s="16" t="n">
        <v>100</v>
      </c>
      <c r="M594" s="16" t="n">
        <v>100</v>
      </c>
      <c r="N594" s="4">
        <f>Работы!S596</f>
        <v/>
      </c>
      <c r="O594" s="4">
        <f>Работы!R596</f>
        <v/>
      </c>
      <c r="P594" s="16" t="n">
        <v>100</v>
      </c>
      <c r="Q594" s="16" t="n">
        <v>100</v>
      </c>
      <c r="R594" s="16" t="n">
        <v>100</v>
      </c>
      <c r="S594" s="16" t="n">
        <v>100</v>
      </c>
      <c r="T594" s="16" t="n">
        <v>100</v>
      </c>
      <c r="U594" s="16" t="n">
        <v>100</v>
      </c>
      <c r="V594" s="16" t="n">
        <v>100</v>
      </c>
      <c r="W594" s="16" t="n">
        <v>100</v>
      </c>
      <c r="X594" s="16" t="n">
        <v>100</v>
      </c>
      <c r="Y594" s="16" t="n">
        <v>100</v>
      </c>
      <c r="Z594" s="16" t="n">
        <v>100</v>
      </c>
      <c r="AA594" s="16" t="n">
        <v>100</v>
      </c>
    </row>
    <row r="595">
      <c r="A595" s="3" t="inlineStr">
        <is>
          <t>СЦ. Услуги и материалы</t>
        </is>
      </c>
      <c r="B595" s="3" t="inlineStr">
        <is>
          <t>Прочие работы</t>
        </is>
      </c>
      <c r="C595" s="3" t="inlineStr">
        <is>
          <t>Восстановительные работы</t>
        </is>
      </c>
      <c r="D595" s="3" t="inlineStr">
        <is>
          <t>Ремонт гарнитуры (душ, лейка и т.п.)</t>
        </is>
      </c>
      <c r="E595" s="4">
        <f>N595+O595</f>
        <v/>
      </c>
      <c r="F595" s="3" t="inlineStr">
        <is>
          <t>шт.</t>
        </is>
      </c>
      <c r="G595" s="4">
        <f>IFERROR('[1]Лист1'!G595,100)</f>
        <v/>
      </c>
      <c r="H595" s="16" t="n">
        <v>100</v>
      </c>
      <c r="I595" s="16" t="n">
        <v>100</v>
      </c>
      <c r="J595" s="16" t="n">
        <v>100</v>
      </c>
      <c r="K595" s="16" t="n">
        <v>100</v>
      </c>
      <c r="L595" s="16" t="n">
        <v>100</v>
      </c>
      <c r="M595" s="16" t="n">
        <v>100</v>
      </c>
      <c r="N595" s="4">
        <f>Работы!S597</f>
        <v/>
      </c>
      <c r="O595" s="4">
        <f>Работы!R597</f>
        <v/>
      </c>
      <c r="P595" s="16" t="n">
        <v>100</v>
      </c>
      <c r="Q595" s="16" t="n">
        <v>100</v>
      </c>
      <c r="R595" s="16" t="n">
        <v>100</v>
      </c>
      <c r="S595" s="16" t="n">
        <v>100</v>
      </c>
      <c r="T595" s="16" t="n">
        <v>100</v>
      </c>
      <c r="U595" s="16" t="n">
        <v>100</v>
      </c>
      <c r="V595" s="16" t="n">
        <v>100</v>
      </c>
      <c r="W595" s="16" t="n">
        <v>100</v>
      </c>
      <c r="X595" s="16" t="n">
        <v>100</v>
      </c>
      <c r="Y595" s="16" t="n">
        <v>100</v>
      </c>
      <c r="Z595" s="16" t="n">
        <v>100</v>
      </c>
      <c r="AA595" s="16" t="n">
        <v>100</v>
      </c>
    </row>
    <row r="596">
      <c r="A596" s="3" t="inlineStr">
        <is>
          <t>СЦ. Услуги и материалы</t>
        </is>
      </c>
      <c r="B596" s="3" t="inlineStr">
        <is>
          <t>Прочие работы</t>
        </is>
      </c>
      <c r="C596" s="3" t="inlineStr">
        <is>
          <t>Восстановительные работы</t>
        </is>
      </c>
      <c r="D596" s="3" t="inlineStr">
        <is>
          <t>Ремонт сифонов, трапов</t>
        </is>
      </c>
      <c r="E596" s="4">
        <f>N596+O596</f>
        <v/>
      </c>
      <c r="F596" s="3" t="inlineStr">
        <is>
          <t>шт.</t>
        </is>
      </c>
      <c r="G596" s="4">
        <f>IFERROR('[1]Лист1'!G596,100)</f>
        <v/>
      </c>
      <c r="H596" s="16" t="n">
        <v>100</v>
      </c>
      <c r="I596" s="16" t="n">
        <v>100</v>
      </c>
      <c r="J596" s="16" t="n">
        <v>100</v>
      </c>
      <c r="K596" s="16" t="n">
        <v>100</v>
      </c>
      <c r="L596" s="16" t="n">
        <v>100</v>
      </c>
      <c r="M596" s="16" t="n">
        <v>100</v>
      </c>
      <c r="N596" s="4">
        <f>Работы!S598</f>
        <v/>
      </c>
      <c r="O596" s="4">
        <f>Работы!R598</f>
        <v/>
      </c>
      <c r="P596" s="16" t="n">
        <v>100</v>
      </c>
      <c r="Q596" s="16" t="n">
        <v>100</v>
      </c>
      <c r="R596" s="16" t="n">
        <v>100</v>
      </c>
      <c r="S596" s="16" t="n">
        <v>100</v>
      </c>
      <c r="T596" s="16" t="n">
        <v>100</v>
      </c>
      <c r="U596" s="16" t="n">
        <v>100</v>
      </c>
      <c r="V596" s="16" t="n">
        <v>100</v>
      </c>
      <c r="W596" s="16" t="n">
        <v>100</v>
      </c>
      <c r="X596" s="16" t="n">
        <v>100</v>
      </c>
      <c r="Y596" s="16" t="n">
        <v>100</v>
      </c>
      <c r="Z596" s="16" t="n">
        <v>100</v>
      </c>
      <c r="AA596" s="16" t="n">
        <v>100</v>
      </c>
    </row>
    <row r="597">
      <c r="A597" s="3" t="inlineStr">
        <is>
          <t>СЦ. Услуги и материалы</t>
        </is>
      </c>
      <c r="B597" s="3" t="inlineStr">
        <is>
          <t>Прочие работы</t>
        </is>
      </c>
      <c r="C597" s="3" t="inlineStr">
        <is>
          <t>Монтажные работы</t>
        </is>
      </c>
      <c r="D597" s="3" t="inlineStr">
        <is>
          <t>Монтаж сифонов, трапов</t>
        </is>
      </c>
      <c r="E597" s="4">
        <f>N597+O597</f>
        <v/>
      </c>
      <c r="F597" s="3" t="inlineStr">
        <is>
          <t>шт.</t>
        </is>
      </c>
      <c r="G597" s="4">
        <f>IFERROR('[1]Лист1'!G597,100)</f>
        <v/>
      </c>
      <c r="H597" s="16" t="n">
        <v>100</v>
      </c>
      <c r="I597" s="16" t="n">
        <v>100</v>
      </c>
      <c r="J597" s="16" t="n">
        <v>100</v>
      </c>
      <c r="K597" s="16" t="n">
        <v>100</v>
      </c>
      <c r="L597" s="16" t="n">
        <v>100</v>
      </c>
      <c r="M597" s="16" t="n">
        <v>100</v>
      </c>
      <c r="N597" s="4">
        <f>Работы!S599</f>
        <v/>
      </c>
      <c r="O597" s="4">
        <f>Работы!R599</f>
        <v/>
      </c>
      <c r="P597" s="16" t="n">
        <v>100</v>
      </c>
      <c r="Q597" s="16" t="n">
        <v>100</v>
      </c>
      <c r="R597" s="16" t="n">
        <v>100</v>
      </c>
      <c r="S597" s="16" t="n">
        <v>100</v>
      </c>
      <c r="T597" s="16" t="n">
        <v>100</v>
      </c>
      <c r="U597" s="16" t="n">
        <v>100</v>
      </c>
      <c r="V597" s="16" t="n">
        <v>100</v>
      </c>
      <c r="W597" s="16" t="n">
        <v>100</v>
      </c>
      <c r="X597" s="16" t="n">
        <v>100</v>
      </c>
      <c r="Y597" s="16" t="n">
        <v>100</v>
      </c>
      <c r="Z597" s="16" t="n">
        <v>100</v>
      </c>
      <c r="AA597" s="16" t="n">
        <v>100</v>
      </c>
    </row>
    <row r="598">
      <c r="A598" s="3" t="inlineStr">
        <is>
          <t>СЦ. Услуги и материалы</t>
        </is>
      </c>
      <c r="B598" s="3" t="inlineStr">
        <is>
          <t>Прочие работы</t>
        </is>
      </c>
      <c r="C598" s="3" t="inlineStr">
        <is>
          <t>Монтажные работы</t>
        </is>
      </c>
      <c r="D598" s="3" t="inlineStr">
        <is>
          <t>Монтаж дренажной помпы наливной</t>
        </is>
      </c>
      <c r="E598" s="4">
        <f>N598+O598</f>
        <v/>
      </c>
      <c r="F598" s="3" t="inlineStr">
        <is>
          <t>шт.</t>
        </is>
      </c>
      <c r="G598" s="4">
        <f>IFERROR('[1]Лист1'!G598,100)</f>
        <v/>
      </c>
      <c r="H598" s="16" t="n">
        <v>100</v>
      </c>
      <c r="I598" s="16" t="n">
        <v>100</v>
      </c>
      <c r="J598" s="16" t="n">
        <v>100</v>
      </c>
      <c r="K598" s="16" t="n">
        <v>100</v>
      </c>
      <c r="L598" s="16" t="n">
        <v>100</v>
      </c>
      <c r="M598" s="16" t="n">
        <v>100</v>
      </c>
      <c r="N598" s="4">
        <f>Работы!S600</f>
        <v/>
      </c>
      <c r="O598" s="4">
        <f>Работы!R600</f>
        <v/>
      </c>
      <c r="P598" s="16" t="n">
        <v>100</v>
      </c>
      <c r="Q598" s="16" t="n">
        <v>100</v>
      </c>
      <c r="R598" s="16" t="n">
        <v>100</v>
      </c>
      <c r="S598" s="16" t="n">
        <v>100</v>
      </c>
      <c r="T598" s="16" t="n">
        <v>100</v>
      </c>
      <c r="U598" s="16" t="n">
        <v>100</v>
      </c>
      <c r="V598" s="16" t="n">
        <v>100</v>
      </c>
      <c r="W598" s="16" t="n">
        <v>100</v>
      </c>
      <c r="X598" s="16" t="n">
        <v>100</v>
      </c>
      <c r="Y598" s="16" t="n">
        <v>100</v>
      </c>
      <c r="Z598" s="16" t="n">
        <v>100</v>
      </c>
      <c r="AA598" s="16" t="n">
        <v>100</v>
      </c>
    </row>
    <row r="599">
      <c r="A599" s="3" t="inlineStr">
        <is>
          <t>СЦ. Услуги и материалы</t>
        </is>
      </c>
      <c r="B599" s="3" t="inlineStr">
        <is>
          <t>Прочие работы</t>
        </is>
      </c>
      <c r="C599" s="3" t="inlineStr">
        <is>
          <t>Хоз. Работы</t>
        </is>
      </c>
      <c r="D599" s="3" t="inlineStr">
        <is>
          <t>Вывоз мусора контейнерами 8 м3</t>
        </is>
      </c>
      <c r="E599" s="4">
        <f>N599+O599</f>
        <v/>
      </c>
      <c r="F599" s="3" t="inlineStr">
        <is>
          <t>шт.</t>
        </is>
      </c>
      <c r="G599" s="4">
        <f>IFERROR('[1]Лист1'!G599,100)</f>
        <v/>
      </c>
      <c r="H599" s="16" t="n">
        <v>100</v>
      </c>
      <c r="I599" s="16" t="n">
        <v>100</v>
      </c>
      <c r="J599" s="16" t="n">
        <v>100</v>
      </c>
      <c r="K599" s="16" t="n">
        <v>100</v>
      </c>
      <c r="L599" s="16" t="n">
        <v>100</v>
      </c>
      <c r="M599" s="16" t="n">
        <v>100</v>
      </c>
      <c r="N599" s="4">
        <f>Работы!S601</f>
        <v/>
      </c>
      <c r="O599" s="4">
        <f>Работы!R601</f>
        <v/>
      </c>
      <c r="P599" s="16" t="n">
        <v>100</v>
      </c>
      <c r="Q599" s="16" t="n">
        <v>100</v>
      </c>
      <c r="R599" s="16" t="n">
        <v>100</v>
      </c>
      <c r="S599" s="16" t="n">
        <v>100</v>
      </c>
      <c r="T599" s="16" t="n">
        <v>100</v>
      </c>
      <c r="U599" s="16" t="n">
        <v>100</v>
      </c>
      <c r="V599" s="16" t="n">
        <v>100</v>
      </c>
      <c r="W599" s="16" t="n">
        <v>100</v>
      </c>
      <c r="X599" s="16" t="n">
        <v>100</v>
      </c>
      <c r="Y599" s="16" t="n">
        <v>100</v>
      </c>
      <c r="Z599" s="16" t="n">
        <v>100</v>
      </c>
      <c r="AA599" s="16" t="n">
        <v>100</v>
      </c>
    </row>
    <row r="600">
      <c r="A600" s="3" t="inlineStr">
        <is>
          <t>СЦ. Услуги и материалы</t>
        </is>
      </c>
      <c r="B600" s="3" t="inlineStr">
        <is>
          <t>Прочие работы</t>
        </is>
      </c>
      <c r="C600" s="3" t="inlineStr">
        <is>
          <t>Хоз. Работы</t>
        </is>
      </c>
      <c r="D600" s="3" t="inlineStr">
        <is>
          <t>Клининг (Финальная уборка объекта перед сдачей работ)</t>
        </is>
      </c>
      <c r="E600" s="4">
        <f>N600+O600</f>
        <v/>
      </c>
      <c r="F600" s="3" t="inlineStr">
        <is>
          <t>м2</t>
        </is>
      </c>
      <c r="G600" s="4">
        <f>IFERROR('[1]Лист1'!G600,100)</f>
        <v/>
      </c>
      <c r="H600" s="16" t="n">
        <v>100</v>
      </c>
      <c r="I600" s="16" t="n">
        <v>100</v>
      </c>
      <c r="J600" s="16" t="n">
        <v>100</v>
      </c>
      <c r="K600" s="16" t="n">
        <v>100</v>
      </c>
      <c r="L600" s="16" t="n">
        <v>100</v>
      </c>
      <c r="M600" s="16" t="n">
        <v>100</v>
      </c>
      <c r="N600" s="4">
        <f>Работы!S602</f>
        <v/>
      </c>
      <c r="O600" s="4">
        <f>Работы!R602</f>
        <v/>
      </c>
      <c r="P600" s="16" t="n">
        <v>100</v>
      </c>
      <c r="Q600" s="16" t="n">
        <v>100</v>
      </c>
      <c r="R600" s="16" t="n">
        <v>100</v>
      </c>
      <c r="S600" s="16" t="n">
        <v>100</v>
      </c>
      <c r="T600" s="16" t="n">
        <v>100</v>
      </c>
      <c r="U600" s="16" t="n">
        <v>100</v>
      </c>
      <c r="V600" s="16" t="n">
        <v>100</v>
      </c>
      <c r="W600" s="16" t="n">
        <v>100</v>
      </c>
      <c r="X600" s="16" t="n">
        <v>100</v>
      </c>
      <c r="Y600" s="16" t="n">
        <v>100</v>
      </c>
      <c r="Z600" s="16" t="n">
        <v>100</v>
      </c>
      <c r="AA600" s="16" t="n">
        <v>100</v>
      </c>
    </row>
    <row r="601">
      <c r="A601" s="3" t="inlineStr">
        <is>
          <t>СЦ. Услуги и материалы</t>
        </is>
      </c>
      <c r="B601" s="3" t="inlineStr">
        <is>
          <t>Прочие работы</t>
        </is>
      </c>
      <c r="C601" s="3" t="inlineStr">
        <is>
          <t>Демонтажные работы</t>
        </is>
      </c>
      <c r="D601" s="3" t="inlineStr">
        <is>
          <t>Демонтаж санузловых ПВХ/НPL/ЛДСП перегородок</t>
        </is>
      </c>
      <c r="E601" s="4">
        <f>N601+O601</f>
        <v/>
      </c>
      <c r="F601" s="3" t="inlineStr">
        <is>
          <t>м2</t>
        </is>
      </c>
      <c r="G601" s="4">
        <f>IFERROR('[1]Лист1'!G601,100)</f>
        <v/>
      </c>
      <c r="H601" s="16" t="n">
        <v>100</v>
      </c>
      <c r="I601" s="16" t="n">
        <v>100</v>
      </c>
      <c r="J601" s="16" t="n">
        <v>100</v>
      </c>
      <c r="K601" s="16" t="n">
        <v>100</v>
      </c>
      <c r="L601" s="16" t="n">
        <v>100</v>
      </c>
      <c r="M601" s="16" t="n">
        <v>100</v>
      </c>
      <c r="N601" s="4">
        <f>Работы!S603</f>
        <v/>
      </c>
      <c r="O601" s="4">
        <f>Работы!R603</f>
        <v/>
      </c>
      <c r="P601" s="16" t="n">
        <v>100</v>
      </c>
      <c r="Q601" s="16" t="n">
        <v>100</v>
      </c>
      <c r="R601" s="16" t="n">
        <v>100</v>
      </c>
      <c r="S601" s="16" t="n">
        <v>100</v>
      </c>
      <c r="T601" s="16" t="n">
        <v>100</v>
      </c>
      <c r="U601" s="16" t="n">
        <v>100</v>
      </c>
      <c r="V601" s="16" t="n">
        <v>100</v>
      </c>
      <c r="W601" s="16" t="n">
        <v>100</v>
      </c>
      <c r="X601" s="16" t="n">
        <v>100</v>
      </c>
      <c r="Y601" s="16" t="n">
        <v>100</v>
      </c>
      <c r="Z601" s="16" t="n">
        <v>100</v>
      </c>
      <c r="AA601" s="16" t="n">
        <v>100</v>
      </c>
    </row>
    <row r="602">
      <c r="A602" s="3" t="inlineStr">
        <is>
          <t>СЦ. Услуги и материалы</t>
        </is>
      </c>
      <c r="B602" s="3" t="inlineStr">
        <is>
          <t>Прочие работы</t>
        </is>
      </c>
      <c r="C602" s="3" t="inlineStr">
        <is>
          <t>Демонтажные работы</t>
        </is>
      </c>
      <c r="D602" s="3" t="inlineStr">
        <is>
          <t>Демонтаж ГКЛ перегородок типа С-112</t>
        </is>
      </c>
      <c r="E602" s="4">
        <f>N602+O602</f>
        <v/>
      </c>
      <c r="F602" s="3" t="inlineStr">
        <is>
          <t>м2</t>
        </is>
      </c>
      <c r="G602" s="4">
        <f>IFERROR('[1]Лист1'!G602,100)</f>
        <v/>
      </c>
      <c r="H602" s="16" t="n">
        <v>100</v>
      </c>
      <c r="I602" s="16" t="n">
        <v>100</v>
      </c>
      <c r="J602" s="16" t="n">
        <v>100</v>
      </c>
      <c r="K602" s="16" t="n">
        <v>100</v>
      </c>
      <c r="L602" s="16" t="n">
        <v>100</v>
      </c>
      <c r="M602" s="16" t="n">
        <v>100</v>
      </c>
      <c r="N602" s="4">
        <f>Работы!S604</f>
        <v/>
      </c>
      <c r="O602" s="4">
        <f>Работы!R604</f>
        <v/>
      </c>
      <c r="P602" s="16" t="n">
        <v>100</v>
      </c>
      <c r="Q602" s="16" t="n">
        <v>100</v>
      </c>
      <c r="R602" s="16" t="n">
        <v>100</v>
      </c>
      <c r="S602" s="16" t="n">
        <v>100</v>
      </c>
      <c r="T602" s="16" t="n">
        <v>100</v>
      </c>
      <c r="U602" s="16" t="n">
        <v>100</v>
      </c>
      <c r="V602" s="16" t="n">
        <v>100</v>
      </c>
      <c r="W602" s="16" t="n">
        <v>100</v>
      </c>
      <c r="X602" s="16" t="n">
        <v>100</v>
      </c>
      <c r="Y602" s="16" t="n">
        <v>100</v>
      </c>
      <c r="Z602" s="16" t="n">
        <v>100</v>
      </c>
      <c r="AA602" s="16" t="n">
        <v>100</v>
      </c>
    </row>
    <row r="603">
      <c r="A603" s="3" t="inlineStr">
        <is>
          <t>СЦ. Услуги и материалы</t>
        </is>
      </c>
      <c r="B603" s="3" t="inlineStr">
        <is>
          <t>Прочие работы</t>
        </is>
      </c>
      <c r="C603" s="3" t="inlineStr">
        <is>
          <t>Демонтажные работы</t>
        </is>
      </c>
      <c r="D603" s="3" t="inlineStr">
        <is>
          <t>Демонтаж обшивки ГКЛ стен, колонн, откосов, лобиков и пр.</t>
        </is>
      </c>
      <c r="E603" s="4">
        <f>N603+O603</f>
        <v/>
      </c>
      <c r="F603" s="3" t="inlineStr">
        <is>
          <t>м2</t>
        </is>
      </c>
      <c r="G603" s="4">
        <f>IFERROR('[1]Лист1'!G603,100)</f>
        <v/>
      </c>
      <c r="H603" s="16" t="n">
        <v>100</v>
      </c>
      <c r="I603" s="16" t="n">
        <v>100</v>
      </c>
      <c r="J603" s="16" t="n">
        <v>100</v>
      </c>
      <c r="K603" s="16" t="n">
        <v>100</v>
      </c>
      <c r="L603" s="16" t="n">
        <v>100</v>
      </c>
      <c r="M603" s="16" t="n">
        <v>100</v>
      </c>
      <c r="N603" s="4">
        <f>Работы!S605</f>
        <v/>
      </c>
      <c r="O603" s="4">
        <f>Работы!R605</f>
        <v/>
      </c>
      <c r="P603" s="16" t="n">
        <v>100</v>
      </c>
      <c r="Q603" s="16" t="n">
        <v>100</v>
      </c>
      <c r="R603" s="16" t="n">
        <v>100</v>
      </c>
      <c r="S603" s="16" t="n">
        <v>100</v>
      </c>
      <c r="T603" s="16" t="n">
        <v>100</v>
      </c>
      <c r="U603" s="16" t="n">
        <v>100</v>
      </c>
      <c r="V603" s="16" t="n">
        <v>100</v>
      </c>
      <c r="W603" s="16" t="n">
        <v>100</v>
      </c>
      <c r="X603" s="16" t="n">
        <v>100</v>
      </c>
      <c r="Y603" s="16" t="n">
        <v>100</v>
      </c>
      <c r="Z603" s="16" t="n">
        <v>100</v>
      </c>
      <c r="AA603" s="16" t="n">
        <v>100</v>
      </c>
    </row>
    <row r="604">
      <c r="A604" s="3" t="inlineStr">
        <is>
          <t>СЦ. Услуги и материалы</t>
        </is>
      </c>
      <c r="B604" s="3" t="inlineStr">
        <is>
          <t>Прочие работы</t>
        </is>
      </c>
      <c r="C604" s="3" t="inlineStr">
        <is>
          <t>Демонтажные работы</t>
        </is>
      </c>
      <c r="D604" s="3" t="inlineStr">
        <is>
          <t>Демонтаж дверных блоков деревянных/стеклянных</t>
        </is>
      </c>
      <c r="E604" s="4">
        <f>N604+O604</f>
        <v/>
      </c>
      <c r="F604" s="3" t="inlineStr">
        <is>
          <t>шт.</t>
        </is>
      </c>
      <c r="G604" s="4">
        <f>IFERROR('[1]Лист1'!G604,100)</f>
        <v/>
      </c>
      <c r="H604" s="16" t="n">
        <v>100</v>
      </c>
      <c r="I604" s="16" t="n">
        <v>100</v>
      </c>
      <c r="J604" s="16" t="n">
        <v>100</v>
      </c>
      <c r="K604" s="16" t="n">
        <v>100</v>
      </c>
      <c r="L604" s="16" t="n">
        <v>100</v>
      </c>
      <c r="M604" s="16" t="n">
        <v>100</v>
      </c>
      <c r="N604" s="4">
        <f>Работы!S606</f>
        <v/>
      </c>
      <c r="O604" s="4">
        <f>Работы!R606</f>
        <v/>
      </c>
      <c r="P604" s="16" t="n">
        <v>100</v>
      </c>
      <c r="Q604" s="16" t="n">
        <v>100</v>
      </c>
      <c r="R604" s="16" t="n">
        <v>100</v>
      </c>
      <c r="S604" s="16" t="n">
        <v>100</v>
      </c>
      <c r="T604" s="16" t="n">
        <v>100</v>
      </c>
      <c r="U604" s="16" t="n">
        <v>100</v>
      </c>
      <c r="V604" s="16" t="n">
        <v>100</v>
      </c>
      <c r="W604" s="16" t="n">
        <v>100</v>
      </c>
      <c r="X604" s="16" t="n">
        <v>100</v>
      </c>
      <c r="Y604" s="16" t="n">
        <v>100</v>
      </c>
      <c r="Z604" s="16" t="n">
        <v>100</v>
      </c>
      <c r="AA604" s="16" t="n">
        <v>100</v>
      </c>
    </row>
    <row r="605">
      <c r="A605" s="3" t="inlineStr">
        <is>
          <t>СЦ. Услуги и материалы</t>
        </is>
      </c>
      <c r="B605" s="3" t="inlineStr">
        <is>
          <t>Прочие работы</t>
        </is>
      </c>
      <c r="C605" s="3" t="inlineStr">
        <is>
          <t>Демонтажные работы</t>
        </is>
      </c>
      <c r="D605" s="3" t="inlineStr">
        <is>
          <t>Демонтаж металлических дверных блоков</t>
        </is>
      </c>
      <c r="E605" s="4">
        <f>N605+O605</f>
        <v/>
      </c>
      <c r="F605" s="3" t="inlineStr">
        <is>
          <t>шт.</t>
        </is>
      </c>
      <c r="G605" s="4">
        <f>IFERROR('[1]Лист1'!G605,100)</f>
        <v/>
      </c>
      <c r="H605" s="16" t="n">
        <v>100</v>
      </c>
      <c r="I605" s="16" t="n">
        <v>100</v>
      </c>
      <c r="J605" s="16" t="n">
        <v>100</v>
      </c>
      <c r="K605" s="16" t="n">
        <v>100</v>
      </c>
      <c r="L605" s="16" t="n">
        <v>100</v>
      </c>
      <c r="M605" s="16" t="n">
        <v>100</v>
      </c>
      <c r="N605" s="4">
        <f>Работы!S607</f>
        <v/>
      </c>
      <c r="O605" s="4">
        <f>Работы!R607</f>
        <v/>
      </c>
      <c r="P605" s="16" t="n">
        <v>100</v>
      </c>
      <c r="Q605" s="16" t="n">
        <v>100</v>
      </c>
      <c r="R605" s="16" t="n">
        <v>100</v>
      </c>
      <c r="S605" s="16" t="n">
        <v>100</v>
      </c>
      <c r="T605" s="16" t="n">
        <v>100</v>
      </c>
      <c r="U605" s="16" t="n">
        <v>100</v>
      </c>
      <c r="V605" s="16" t="n">
        <v>100</v>
      </c>
      <c r="W605" s="16" t="n">
        <v>100</v>
      </c>
      <c r="X605" s="16" t="n">
        <v>100</v>
      </c>
      <c r="Y605" s="16" t="n">
        <v>100</v>
      </c>
      <c r="Z605" s="16" t="n">
        <v>100</v>
      </c>
      <c r="AA605" s="16" t="n">
        <v>100</v>
      </c>
    </row>
    <row r="606">
      <c r="A606" s="3" t="inlineStr">
        <is>
          <t>СЦ. Услуги и материалы</t>
        </is>
      </c>
      <c r="B606" s="3" t="inlineStr">
        <is>
          <t>Прочие работы</t>
        </is>
      </c>
      <c r="C606" s="3" t="inlineStr">
        <is>
          <t>Демонтажные работы</t>
        </is>
      </c>
      <c r="D606" s="3" t="inlineStr">
        <is>
          <t>Демонтаж жалюзи/рулонных штор</t>
        </is>
      </c>
      <c r="E606" s="4">
        <f>N606+O606</f>
        <v/>
      </c>
      <c r="F606" s="3" t="inlineStr">
        <is>
          <t>шт.</t>
        </is>
      </c>
      <c r="G606" s="4">
        <f>IFERROR('[1]Лист1'!G606,100)</f>
        <v/>
      </c>
      <c r="H606" s="16" t="n">
        <v>100</v>
      </c>
      <c r="I606" s="16" t="n">
        <v>100</v>
      </c>
      <c r="J606" s="16" t="n">
        <v>100</v>
      </c>
      <c r="K606" s="16" t="n">
        <v>100</v>
      </c>
      <c r="L606" s="16" t="n">
        <v>100</v>
      </c>
      <c r="M606" s="16" t="n">
        <v>100</v>
      </c>
      <c r="N606" s="4">
        <f>Работы!S608</f>
        <v/>
      </c>
      <c r="O606" s="4">
        <f>Работы!R608</f>
        <v/>
      </c>
      <c r="P606" s="16" t="n">
        <v>100</v>
      </c>
      <c r="Q606" s="16" t="n">
        <v>100</v>
      </c>
      <c r="R606" s="16" t="n">
        <v>100</v>
      </c>
      <c r="S606" s="16" t="n">
        <v>100</v>
      </c>
      <c r="T606" s="16" t="n">
        <v>100</v>
      </c>
      <c r="U606" s="16" t="n">
        <v>100</v>
      </c>
      <c r="V606" s="16" t="n">
        <v>100</v>
      </c>
      <c r="W606" s="16" t="n">
        <v>100</v>
      </c>
      <c r="X606" s="16" t="n">
        <v>100</v>
      </c>
      <c r="Y606" s="16" t="n">
        <v>100</v>
      </c>
      <c r="Z606" s="16" t="n">
        <v>100</v>
      </c>
      <c r="AA606" s="16" t="n">
        <v>100</v>
      </c>
    </row>
    <row r="607">
      <c r="A607" s="3" t="inlineStr">
        <is>
          <t>СЦ. Услуги и материалы</t>
        </is>
      </c>
      <c r="B607" s="3" t="inlineStr">
        <is>
          <t>Прочие работы</t>
        </is>
      </c>
      <c r="C607" s="3" t="inlineStr">
        <is>
          <t>Демонтажные работы</t>
        </is>
      </c>
      <c r="D607" s="3" t="inlineStr">
        <is>
          <t>Демонтаж рольставен</t>
        </is>
      </c>
      <c r="E607" s="4">
        <f>N607+O607</f>
        <v/>
      </c>
      <c r="F607" s="3" t="inlineStr">
        <is>
          <t>шт</t>
        </is>
      </c>
      <c r="G607" s="4">
        <f>IFERROR('[1]Лист1'!G607,100)</f>
        <v/>
      </c>
      <c r="H607" s="16" t="n">
        <v>100</v>
      </c>
      <c r="I607" s="16" t="n">
        <v>100</v>
      </c>
      <c r="J607" s="16" t="n">
        <v>100</v>
      </c>
      <c r="K607" s="16" t="n">
        <v>100</v>
      </c>
      <c r="L607" s="16" t="n">
        <v>100</v>
      </c>
      <c r="M607" s="16" t="n">
        <v>100</v>
      </c>
      <c r="N607" s="4">
        <f>Работы!S609</f>
        <v/>
      </c>
      <c r="O607" s="4">
        <f>Работы!R609</f>
        <v/>
      </c>
      <c r="P607" s="16" t="n">
        <v>100</v>
      </c>
      <c r="Q607" s="16" t="n">
        <v>100</v>
      </c>
      <c r="R607" s="16" t="n">
        <v>100</v>
      </c>
      <c r="S607" s="16" t="n">
        <v>100</v>
      </c>
      <c r="T607" s="16" t="n">
        <v>100</v>
      </c>
      <c r="U607" s="16" t="n">
        <v>100</v>
      </c>
      <c r="V607" s="16" t="n">
        <v>100</v>
      </c>
      <c r="W607" s="16" t="n">
        <v>100</v>
      </c>
      <c r="X607" s="16" t="n">
        <v>100</v>
      </c>
      <c r="Y607" s="16" t="n">
        <v>100</v>
      </c>
      <c r="Z607" s="16" t="n">
        <v>100</v>
      </c>
      <c r="AA607" s="16" t="n">
        <v>100</v>
      </c>
    </row>
    <row r="608">
      <c r="A608" s="3" t="inlineStr">
        <is>
          <t>СЦ. Услуги и материалы</t>
        </is>
      </c>
      <c r="B608" s="3" t="inlineStr">
        <is>
          <t>Прочие работы</t>
        </is>
      </c>
      <c r="C608" s="3" t="inlineStr">
        <is>
          <t>Демонтажные работы</t>
        </is>
      </c>
      <c r="D608" s="3" t="inlineStr">
        <is>
          <t>Демонтаж настенной плитки керамической/керамогранита, в том числе кухонных фартуков</t>
        </is>
      </c>
      <c r="E608" s="4">
        <f>N608+O608</f>
        <v/>
      </c>
      <c r="F608" s="3" t="inlineStr">
        <is>
          <t>м2</t>
        </is>
      </c>
      <c r="G608" s="4">
        <f>IFERROR('[1]Лист1'!G608,100)</f>
        <v/>
      </c>
      <c r="H608" s="16" t="n">
        <v>100</v>
      </c>
      <c r="I608" s="16" t="n">
        <v>100</v>
      </c>
      <c r="J608" s="16" t="n">
        <v>100</v>
      </c>
      <c r="K608" s="16" t="n">
        <v>100</v>
      </c>
      <c r="L608" s="16" t="n">
        <v>100</v>
      </c>
      <c r="M608" s="16" t="n">
        <v>100</v>
      </c>
      <c r="N608" s="4">
        <f>Работы!S610</f>
        <v/>
      </c>
      <c r="O608" s="4">
        <f>Работы!R610</f>
        <v/>
      </c>
      <c r="P608" s="16" t="n">
        <v>100</v>
      </c>
      <c r="Q608" s="16" t="n">
        <v>100</v>
      </c>
      <c r="R608" s="16" t="n">
        <v>100</v>
      </c>
      <c r="S608" s="16" t="n">
        <v>100</v>
      </c>
      <c r="T608" s="16" t="n">
        <v>100</v>
      </c>
      <c r="U608" s="16" t="n">
        <v>100</v>
      </c>
      <c r="V608" s="16" t="n">
        <v>100</v>
      </c>
      <c r="W608" s="16" t="n">
        <v>100</v>
      </c>
      <c r="X608" s="16" t="n">
        <v>100</v>
      </c>
      <c r="Y608" s="16" t="n">
        <v>100</v>
      </c>
      <c r="Z608" s="16" t="n">
        <v>100</v>
      </c>
      <c r="AA608" s="16" t="n">
        <v>100</v>
      </c>
    </row>
    <row r="609">
      <c r="A609" s="3" t="inlineStr">
        <is>
          <t>СЦ. Услуги и материалы</t>
        </is>
      </c>
      <c r="B609" s="3" t="inlineStr">
        <is>
          <t>Прочие работы</t>
        </is>
      </c>
      <c r="C609" s="3" t="inlineStr">
        <is>
          <t>Демонтажные работы</t>
        </is>
      </c>
      <c r="D609" s="3" t="inlineStr">
        <is>
          <t>Очистка стен от краски</t>
        </is>
      </c>
      <c r="E609" s="4">
        <f>N609+O609</f>
        <v/>
      </c>
      <c r="F609" s="3" t="inlineStr">
        <is>
          <t>м2</t>
        </is>
      </c>
      <c r="G609" s="4">
        <f>IFERROR('[1]Лист1'!G609,100)</f>
        <v/>
      </c>
      <c r="H609" s="16" t="n">
        <v>100</v>
      </c>
      <c r="I609" s="16" t="n">
        <v>100</v>
      </c>
      <c r="J609" s="16" t="n">
        <v>100</v>
      </c>
      <c r="K609" s="16" t="n">
        <v>100</v>
      </c>
      <c r="L609" s="16" t="n">
        <v>100</v>
      </c>
      <c r="M609" s="16" t="n">
        <v>100</v>
      </c>
      <c r="N609" s="4">
        <f>Работы!S611</f>
        <v/>
      </c>
      <c r="O609" s="4">
        <f>Работы!R611</f>
        <v/>
      </c>
      <c r="P609" s="16" t="n">
        <v>100</v>
      </c>
      <c r="Q609" s="16" t="n">
        <v>100</v>
      </c>
      <c r="R609" s="16" t="n">
        <v>100</v>
      </c>
      <c r="S609" s="16" t="n">
        <v>100</v>
      </c>
      <c r="T609" s="16" t="n">
        <v>100</v>
      </c>
      <c r="U609" s="16" t="n">
        <v>100</v>
      </c>
      <c r="V609" s="16" t="n">
        <v>100</v>
      </c>
      <c r="W609" s="16" t="n">
        <v>100</v>
      </c>
      <c r="X609" s="16" t="n">
        <v>100</v>
      </c>
      <c r="Y609" s="16" t="n">
        <v>100</v>
      </c>
      <c r="Z609" s="16" t="n">
        <v>100</v>
      </c>
      <c r="AA609" s="16" t="n">
        <v>100</v>
      </c>
    </row>
    <row r="610">
      <c r="A610" s="3" t="inlineStr">
        <is>
          <t>СЦ. Услуги и материалы</t>
        </is>
      </c>
      <c r="B610" s="3" t="inlineStr">
        <is>
          <t>Прочие работы</t>
        </is>
      </c>
      <c r="C610" s="3" t="inlineStr">
        <is>
          <t>Демонтажные работы</t>
        </is>
      </c>
      <c r="D610" s="3" t="inlineStr">
        <is>
          <t>Демонтаж декоративного покрытия стен (ПВХ, ЛДСП, стекло, 3D панели, металл и пр.)</t>
        </is>
      </c>
      <c r="E610" s="4">
        <f>N610+O610</f>
        <v/>
      </c>
      <c r="F610" s="3" t="inlineStr">
        <is>
          <t>м2</t>
        </is>
      </c>
      <c r="G610" s="4">
        <f>IFERROR('[1]Лист1'!G610,100)</f>
        <v/>
      </c>
      <c r="H610" s="16" t="n">
        <v>100</v>
      </c>
      <c r="I610" s="16" t="n">
        <v>100</v>
      </c>
      <c r="J610" s="16" t="n">
        <v>100</v>
      </c>
      <c r="K610" s="16" t="n">
        <v>100</v>
      </c>
      <c r="L610" s="16" t="n">
        <v>100</v>
      </c>
      <c r="M610" s="16" t="n">
        <v>100</v>
      </c>
      <c r="N610" s="4">
        <f>Работы!S612</f>
        <v/>
      </c>
      <c r="O610" s="4">
        <f>Работы!R612</f>
        <v/>
      </c>
      <c r="P610" s="16" t="n">
        <v>100</v>
      </c>
      <c r="Q610" s="16" t="n">
        <v>100</v>
      </c>
      <c r="R610" s="16" t="n">
        <v>100</v>
      </c>
      <c r="S610" s="16" t="n">
        <v>100</v>
      </c>
      <c r="T610" s="16" t="n">
        <v>100</v>
      </c>
      <c r="U610" s="16" t="n">
        <v>100</v>
      </c>
      <c r="V610" s="16" t="n">
        <v>100</v>
      </c>
      <c r="W610" s="16" t="n">
        <v>100</v>
      </c>
      <c r="X610" s="16" t="n">
        <v>100</v>
      </c>
      <c r="Y610" s="16" t="n">
        <v>100</v>
      </c>
      <c r="Z610" s="16" t="n">
        <v>100</v>
      </c>
      <c r="AA610" s="16" t="n">
        <v>100</v>
      </c>
    </row>
    <row r="611">
      <c r="A611" s="3" t="inlineStr">
        <is>
          <t>СЦ. Услуги и материалы</t>
        </is>
      </c>
      <c r="B611" s="3" t="inlineStr">
        <is>
          <t>Прочие работы</t>
        </is>
      </c>
      <c r="C611" s="3" t="inlineStr">
        <is>
          <t>Демонтажные работы</t>
        </is>
      </c>
      <c r="D611" s="3" t="inlineStr">
        <is>
          <t>Демонтаж подвесных модульных потолков, в том числе Армстронг/Грильято/рейка</t>
        </is>
      </c>
      <c r="E611" s="4">
        <f>N611+O611</f>
        <v/>
      </c>
      <c r="F611" s="3" t="inlineStr">
        <is>
          <t>м2</t>
        </is>
      </c>
      <c r="G611" s="4">
        <f>IFERROR('[1]Лист1'!G611,100)</f>
        <v/>
      </c>
      <c r="H611" s="16" t="n">
        <v>100</v>
      </c>
      <c r="I611" s="16" t="n">
        <v>100</v>
      </c>
      <c r="J611" s="16" t="n">
        <v>100</v>
      </c>
      <c r="K611" s="16" t="n">
        <v>100</v>
      </c>
      <c r="L611" s="16" t="n">
        <v>100</v>
      </c>
      <c r="M611" s="16" t="n">
        <v>100</v>
      </c>
      <c r="N611" s="4">
        <f>Работы!S613</f>
        <v/>
      </c>
      <c r="O611" s="4">
        <f>Работы!R613</f>
        <v/>
      </c>
      <c r="P611" s="16" t="n">
        <v>100</v>
      </c>
      <c r="Q611" s="16" t="n">
        <v>100</v>
      </c>
      <c r="R611" s="16" t="n">
        <v>100</v>
      </c>
      <c r="S611" s="16" t="n">
        <v>100</v>
      </c>
      <c r="T611" s="16" t="n">
        <v>100</v>
      </c>
      <c r="U611" s="16" t="n">
        <v>100</v>
      </c>
      <c r="V611" s="16" t="n">
        <v>100</v>
      </c>
      <c r="W611" s="16" t="n">
        <v>100</v>
      </c>
      <c r="X611" s="16" t="n">
        <v>100</v>
      </c>
      <c r="Y611" s="16" t="n">
        <v>100</v>
      </c>
      <c r="Z611" s="16" t="n">
        <v>100</v>
      </c>
      <c r="AA611" s="16" t="n">
        <v>100</v>
      </c>
    </row>
    <row r="612">
      <c r="A612" s="3" t="inlineStr">
        <is>
          <t>СЦ. Услуги и материалы</t>
        </is>
      </c>
      <c r="B612" s="3" t="inlineStr">
        <is>
          <t>Прочие работы</t>
        </is>
      </c>
      <c r="C612" s="3" t="inlineStr">
        <is>
          <t>Демонтажные работы</t>
        </is>
      </c>
      <c r="D612" s="3" t="inlineStr">
        <is>
          <t>Демонтаж потолков ГКЛ</t>
        </is>
      </c>
      <c r="E612" s="4">
        <f>N612+O612</f>
        <v/>
      </c>
      <c r="F612" s="3" t="inlineStr">
        <is>
          <t>м2</t>
        </is>
      </c>
      <c r="G612" s="4">
        <f>IFERROR('[1]Лист1'!G612,100)</f>
        <v/>
      </c>
      <c r="H612" s="16" t="n">
        <v>100</v>
      </c>
      <c r="I612" s="16" t="n">
        <v>100</v>
      </c>
      <c r="J612" s="16" t="n">
        <v>100</v>
      </c>
      <c r="K612" s="16" t="n">
        <v>100</v>
      </c>
      <c r="L612" s="16" t="n">
        <v>100</v>
      </c>
      <c r="M612" s="16" t="n">
        <v>100</v>
      </c>
      <c r="N612" s="4">
        <f>Работы!S614</f>
        <v/>
      </c>
      <c r="O612" s="4">
        <f>Работы!R614</f>
        <v/>
      </c>
      <c r="P612" s="16" t="n">
        <v>100</v>
      </c>
      <c r="Q612" s="16" t="n">
        <v>100</v>
      </c>
      <c r="R612" s="16" t="n">
        <v>100</v>
      </c>
      <c r="S612" s="16" t="n">
        <v>100</v>
      </c>
      <c r="T612" s="16" t="n">
        <v>100</v>
      </c>
      <c r="U612" s="16" t="n">
        <v>100</v>
      </c>
      <c r="V612" s="16" t="n">
        <v>100</v>
      </c>
      <c r="W612" s="16" t="n">
        <v>100</v>
      </c>
      <c r="X612" s="16" t="n">
        <v>100</v>
      </c>
      <c r="Y612" s="16" t="n">
        <v>100</v>
      </c>
      <c r="Z612" s="16" t="n">
        <v>100</v>
      </c>
      <c r="AA612" s="16" t="n">
        <v>100</v>
      </c>
    </row>
    <row r="613">
      <c r="A613" s="3" t="inlineStr">
        <is>
          <t>СЦ. Услуги и материалы</t>
        </is>
      </c>
      <c r="B613" s="3" t="inlineStr">
        <is>
          <t>Прочие работы</t>
        </is>
      </c>
      <c r="C613" s="3" t="inlineStr">
        <is>
          <t>Демонтажные работы</t>
        </is>
      </c>
      <c r="D613" s="3" t="inlineStr">
        <is>
          <t>Разборка и сборка подвесных модульных потолков при обсдуживании ремонтных работ с запотолочными инженерными системами</t>
        </is>
      </c>
      <c r="E613" s="4">
        <f>N613+O613</f>
        <v/>
      </c>
      <c r="F613" s="3" t="inlineStr">
        <is>
          <t>м2</t>
        </is>
      </c>
      <c r="G613" s="4">
        <f>IFERROR('[1]Лист1'!G613,100)</f>
        <v/>
      </c>
      <c r="H613" s="16" t="n">
        <v>100</v>
      </c>
      <c r="I613" s="16" t="n">
        <v>100</v>
      </c>
      <c r="J613" s="16" t="n">
        <v>100</v>
      </c>
      <c r="K613" s="16" t="n">
        <v>100</v>
      </c>
      <c r="L613" s="16" t="n">
        <v>100</v>
      </c>
      <c r="M613" s="16" t="n">
        <v>100</v>
      </c>
      <c r="N613" s="4">
        <f>Работы!S615</f>
        <v/>
      </c>
      <c r="O613" s="4">
        <f>Работы!R615</f>
        <v/>
      </c>
      <c r="P613" s="16" t="n">
        <v>100</v>
      </c>
      <c r="Q613" s="16" t="n">
        <v>100</v>
      </c>
      <c r="R613" s="16" t="n">
        <v>100</v>
      </c>
      <c r="S613" s="16" t="n">
        <v>100</v>
      </c>
      <c r="T613" s="16" t="n">
        <v>100</v>
      </c>
      <c r="U613" s="16" t="n">
        <v>100</v>
      </c>
      <c r="V613" s="16" t="n">
        <v>100</v>
      </c>
      <c r="W613" s="16" t="n">
        <v>100</v>
      </c>
      <c r="X613" s="16" t="n">
        <v>100</v>
      </c>
      <c r="Y613" s="16" t="n">
        <v>100</v>
      </c>
      <c r="Z613" s="16" t="n">
        <v>100</v>
      </c>
      <c r="AA613" s="16" t="n">
        <v>100</v>
      </c>
    </row>
    <row r="614">
      <c r="A614" s="3" t="inlineStr">
        <is>
          <t>СЦ. Услуги и материалы</t>
        </is>
      </c>
      <c r="B614" s="3" t="inlineStr">
        <is>
          <t>Прочие работы</t>
        </is>
      </c>
      <c r="C614" s="3" t="inlineStr">
        <is>
          <t>Демонтажные работы</t>
        </is>
      </c>
      <c r="D614" s="3" t="inlineStr">
        <is>
          <t>Очистка перекрытий/потолков от набетонок, пятен, краски и пр.</t>
        </is>
      </c>
      <c r="E614" s="4">
        <f>N614+O614</f>
        <v/>
      </c>
      <c r="F614" s="3" t="inlineStr">
        <is>
          <t>м2</t>
        </is>
      </c>
      <c r="G614" s="4">
        <f>IFERROR('[1]Лист1'!G614,100)</f>
        <v/>
      </c>
      <c r="H614" s="16" t="n">
        <v>100</v>
      </c>
      <c r="I614" s="16" t="n">
        <v>100</v>
      </c>
      <c r="J614" s="16" t="n">
        <v>100</v>
      </c>
      <c r="K614" s="16" t="n">
        <v>100</v>
      </c>
      <c r="L614" s="16" t="n">
        <v>100</v>
      </c>
      <c r="M614" s="16" t="n">
        <v>100</v>
      </c>
      <c r="N614" s="4">
        <f>Работы!S616</f>
        <v/>
      </c>
      <c r="O614" s="4">
        <f>Работы!R616</f>
        <v/>
      </c>
      <c r="P614" s="16" t="n">
        <v>100</v>
      </c>
      <c r="Q614" s="16" t="n">
        <v>100</v>
      </c>
      <c r="R614" s="16" t="n">
        <v>100</v>
      </c>
      <c r="S614" s="16" t="n">
        <v>100</v>
      </c>
      <c r="T614" s="16" t="n">
        <v>100</v>
      </c>
      <c r="U614" s="16" t="n">
        <v>100</v>
      </c>
      <c r="V614" s="16" t="n">
        <v>100</v>
      </c>
      <c r="W614" s="16" t="n">
        <v>100</v>
      </c>
      <c r="X614" s="16" t="n">
        <v>100</v>
      </c>
      <c r="Y614" s="16" t="n">
        <v>100</v>
      </c>
      <c r="Z614" s="16" t="n">
        <v>100</v>
      </c>
      <c r="AA614" s="16" t="n">
        <v>100</v>
      </c>
    </row>
    <row r="615">
      <c r="A615" s="3" t="inlineStr">
        <is>
          <t>СЦ. Услуги и материалы</t>
        </is>
      </c>
      <c r="B615" s="3" t="inlineStr">
        <is>
          <t>Прочие работы</t>
        </is>
      </c>
      <c r="C615" s="3" t="inlineStr">
        <is>
          <t>Демонтажные работы</t>
        </is>
      </c>
      <c r="D615" s="3" t="inlineStr">
        <is>
          <t>Очистка металлоконструкций от ржавчины (очистка, обеспыливание, обезжиривание, огрунтовка)</t>
        </is>
      </c>
      <c r="E615" s="4">
        <f>N615+O615</f>
        <v/>
      </c>
      <c r="F615" s="3" t="inlineStr">
        <is>
          <t>м2</t>
        </is>
      </c>
      <c r="G615" s="4">
        <f>IFERROR('[1]Лист1'!G615,100)</f>
        <v/>
      </c>
      <c r="H615" s="16" t="n">
        <v>100</v>
      </c>
      <c r="I615" s="16" t="n">
        <v>100</v>
      </c>
      <c r="J615" s="16" t="n">
        <v>100</v>
      </c>
      <c r="K615" s="16" t="n">
        <v>100</v>
      </c>
      <c r="L615" s="16" t="n">
        <v>100</v>
      </c>
      <c r="M615" s="16" t="n">
        <v>100</v>
      </c>
      <c r="N615" s="4">
        <f>Работы!S617</f>
        <v/>
      </c>
      <c r="O615" s="4">
        <f>Работы!R617</f>
        <v/>
      </c>
      <c r="P615" s="16" t="n">
        <v>100</v>
      </c>
      <c r="Q615" s="16" t="n">
        <v>100</v>
      </c>
      <c r="R615" s="16" t="n">
        <v>100</v>
      </c>
      <c r="S615" s="16" t="n">
        <v>100</v>
      </c>
      <c r="T615" s="16" t="n">
        <v>100</v>
      </c>
      <c r="U615" s="16" t="n">
        <v>100</v>
      </c>
      <c r="V615" s="16" t="n">
        <v>100</v>
      </c>
      <c r="W615" s="16" t="n">
        <v>100</v>
      </c>
      <c r="X615" s="16" t="n">
        <v>100</v>
      </c>
      <c r="Y615" s="16" t="n">
        <v>100</v>
      </c>
      <c r="Z615" s="16" t="n">
        <v>100</v>
      </c>
      <c r="AA615" s="16" t="n">
        <v>100</v>
      </c>
    </row>
    <row r="616">
      <c r="A616" s="3" t="inlineStr">
        <is>
          <t>СЦ. Услуги и материалы</t>
        </is>
      </c>
      <c r="B616" s="3" t="inlineStr">
        <is>
          <t>Прочие работы</t>
        </is>
      </c>
      <c r="C616" s="3" t="inlineStr">
        <is>
          <t>Демонтажные работы</t>
        </is>
      </c>
      <c r="D616" s="3" t="inlineStr">
        <is>
          <t>Демонтаж плинтусов: дерево, МДФ, ПВХ, металл</t>
        </is>
      </c>
      <c r="E616" s="4">
        <f>N616+O616</f>
        <v/>
      </c>
      <c r="F616" s="3" t="inlineStr">
        <is>
          <t>шт.</t>
        </is>
      </c>
      <c r="G616" s="4">
        <f>IFERROR('[1]Лист1'!G616,100)</f>
        <v/>
      </c>
      <c r="H616" s="16" t="n">
        <v>100</v>
      </c>
      <c r="I616" s="16" t="n">
        <v>100</v>
      </c>
      <c r="J616" s="16" t="n">
        <v>100</v>
      </c>
      <c r="K616" s="16" t="n">
        <v>100</v>
      </c>
      <c r="L616" s="16" t="n">
        <v>100</v>
      </c>
      <c r="M616" s="16" t="n">
        <v>100</v>
      </c>
      <c r="N616" s="4">
        <f>Работы!S618</f>
        <v/>
      </c>
      <c r="O616" s="4">
        <f>Работы!R618</f>
        <v/>
      </c>
      <c r="P616" s="16" t="n">
        <v>100</v>
      </c>
      <c r="Q616" s="16" t="n">
        <v>100</v>
      </c>
      <c r="R616" s="16" t="n">
        <v>100</v>
      </c>
      <c r="S616" s="16" t="n">
        <v>100</v>
      </c>
      <c r="T616" s="16" t="n">
        <v>100</v>
      </c>
      <c r="U616" s="16" t="n">
        <v>100</v>
      </c>
      <c r="V616" s="16" t="n">
        <v>100</v>
      </c>
      <c r="W616" s="16" t="n">
        <v>100</v>
      </c>
      <c r="X616" s="16" t="n">
        <v>100</v>
      </c>
      <c r="Y616" s="16" t="n">
        <v>100</v>
      </c>
      <c r="Z616" s="16" t="n">
        <v>100</v>
      </c>
      <c r="AA616" s="16" t="n">
        <v>100</v>
      </c>
    </row>
    <row r="617">
      <c r="A617" s="3" t="inlineStr">
        <is>
          <t>СЦ. Услуги и материалы</t>
        </is>
      </c>
      <c r="B617" s="3" t="inlineStr">
        <is>
          <t>Прочие работы</t>
        </is>
      </c>
      <c r="C617" s="3" t="inlineStr">
        <is>
          <t>Демонтажные работы</t>
        </is>
      </c>
      <c r="D617" s="3" t="inlineStr">
        <is>
          <t>Демонтаж плинтусов: камень, керамогранит или керамическая плитка</t>
        </is>
      </c>
      <c r="E617" s="4">
        <f>N617+O617</f>
        <v/>
      </c>
      <c r="F617" s="3" t="inlineStr">
        <is>
          <t>п.м</t>
        </is>
      </c>
      <c r="G617" s="4">
        <f>IFERROR('[1]Лист1'!G617,100)</f>
        <v/>
      </c>
      <c r="H617" s="16" t="n">
        <v>100</v>
      </c>
      <c r="I617" s="16" t="n">
        <v>100</v>
      </c>
      <c r="J617" s="16" t="n">
        <v>100</v>
      </c>
      <c r="K617" s="16" t="n">
        <v>100</v>
      </c>
      <c r="L617" s="16" t="n">
        <v>100</v>
      </c>
      <c r="M617" s="16" t="n">
        <v>100</v>
      </c>
      <c r="N617" s="4">
        <f>Работы!S619</f>
        <v/>
      </c>
      <c r="O617" s="4">
        <f>Работы!R619</f>
        <v/>
      </c>
      <c r="P617" s="16" t="n">
        <v>100</v>
      </c>
      <c r="Q617" s="16" t="n">
        <v>100</v>
      </c>
      <c r="R617" s="16" t="n">
        <v>100</v>
      </c>
      <c r="S617" s="16" t="n">
        <v>100</v>
      </c>
      <c r="T617" s="16" t="n">
        <v>100</v>
      </c>
      <c r="U617" s="16" t="n">
        <v>100</v>
      </c>
      <c r="V617" s="16" t="n">
        <v>100</v>
      </c>
      <c r="W617" s="16" t="n">
        <v>100</v>
      </c>
      <c r="X617" s="16" t="n">
        <v>100</v>
      </c>
      <c r="Y617" s="16" t="n">
        <v>100</v>
      </c>
      <c r="Z617" s="16" t="n">
        <v>100</v>
      </c>
      <c r="AA617" s="16" t="n">
        <v>100</v>
      </c>
    </row>
    <row r="618">
      <c r="A618" s="3" t="inlineStr">
        <is>
          <t>СЦ. Услуги и материалы</t>
        </is>
      </c>
      <c r="B618" s="3" t="inlineStr">
        <is>
          <t>Прочие работы</t>
        </is>
      </c>
      <c r="C618" s="3" t="inlineStr">
        <is>
          <t>Демонтажные работы</t>
        </is>
      </c>
      <c r="D618" s="3" t="inlineStr">
        <is>
          <t>Демонтаж покрытия пола из паркетной доски со снятием подложки</t>
        </is>
      </c>
      <c r="E618" s="4">
        <f>N618+O618</f>
        <v/>
      </c>
      <c r="F618" s="3" t="inlineStr">
        <is>
          <t>м2</t>
        </is>
      </c>
      <c r="G618" s="4">
        <f>IFERROR('[1]Лист1'!G618,100)</f>
        <v/>
      </c>
      <c r="H618" s="16" t="n">
        <v>100</v>
      </c>
      <c r="I618" s="16" t="n">
        <v>100</v>
      </c>
      <c r="J618" s="16" t="n">
        <v>100</v>
      </c>
      <c r="K618" s="16" t="n">
        <v>100</v>
      </c>
      <c r="L618" s="16" t="n">
        <v>100</v>
      </c>
      <c r="M618" s="16" t="n">
        <v>100</v>
      </c>
      <c r="N618" s="4">
        <f>Работы!S620</f>
        <v/>
      </c>
      <c r="O618" s="4">
        <f>Работы!R620</f>
        <v/>
      </c>
      <c r="P618" s="16" t="n">
        <v>100</v>
      </c>
      <c r="Q618" s="16" t="n">
        <v>100</v>
      </c>
      <c r="R618" s="16" t="n">
        <v>100</v>
      </c>
      <c r="S618" s="16" t="n">
        <v>100</v>
      </c>
      <c r="T618" s="16" t="n">
        <v>100</v>
      </c>
      <c r="U618" s="16" t="n">
        <v>100</v>
      </c>
      <c r="V618" s="16" t="n">
        <v>100</v>
      </c>
      <c r="W618" s="16" t="n">
        <v>100</v>
      </c>
      <c r="X618" s="16" t="n">
        <v>100</v>
      </c>
      <c r="Y618" s="16" t="n">
        <v>100</v>
      </c>
      <c r="Z618" s="16" t="n">
        <v>100</v>
      </c>
      <c r="AA618" s="16" t="n">
        <v>100</v>
      </c>
    </row>
    <row r="619">
      <c r="A619" s="3" t="inlineStr">
        <is>
          <t>СЦ. Услуги и материалы</t>
        </is>
      </c>
      <c r="B619" s="3" t="inlineStr">
        <is>
          <t>Прочие работы</t>
        </is>
      </c>
      <c r="C619" s="3" t="inlineStr">
        <is>
          <t>Демонтажные работы</t>
        </is>
      </c>
      <c r="D619" s="3" t="inlineStr">
        <is>
          <t>Демонтаж плит фальшпола, в том числе для прокладки коммуникаций</t>
        </is>
      </c>
      <c r="E619" s="4">
        <f>N619+O619</f>
        <v/>
      </c>
      <c r="F619" s="3" t="inlineStr">
        <is>
          <t>м2</t>
        </is>
      </c>
      <c r="G619" s="4">
        <f>IFERROR('[1]Лист1'!G619,100)</f>
        <v/>
      </c>
      <c r="H619" s="16" t="n">
        <v>100</v>
      </c>
      <c r="I619" s="16" t="n">
        <v>100</v>
      </c>
      <c r="J619" s="16" t="n">
        <v>100</v>
      </c>
      <c r="K619" s="16" t="n">
        <v>100</v>
      </c>
      <c r="L619" s="16" t="n">
        <v>100</v>
      </c>
      <c r="M619" s="16" t="n">
        <v>100</v>
      </c>
      <c r="N619" s="4">
        <f>Работы!S621</f>
        <v/>
      </c>
      <c r="O619" s="4">
        <f>Работы!R621</f>
        <v/>
      </c>
      <c r="P619" s="16" t="n">
        <v>100</v>
      </c>
      <c r="Q619" s="16" t="n">
        <v>100</v>
      </c>
      <c r="R619" s="16" t="n">
        <v>100</v>
      </c>
      <c r="S619" s="16" t="n">
        <v>100</v>
      </c>
      <c r="T619" s="16" t="n">
        <v>100</v>
      </c>
      <c r="U619" s="16" t="n">
        <v>100</v>
      </c>
      <c r="V619" s="16" t="n">
        <v>100</v>
      </c>
      <c r="W619" s="16" t="n">
        <v>100</v>
      </c>
      <c r="X619" s="16" t="n">
        <v>100</v>
      </c>
      <c r="Y619" s="16" t="n">
        <v>100</v>
      </c>
      <c r="Z619" s="16" t="n">
        <v>100</v>
      </c>
      <c r="AA619" s="16" t="n">
        <v>100</v>
      </c>
    </row>
    <row r="620">
      <c r="A620" s="3" t="inlineStr">
        <is>
          <t>СЦ. Услуги и материалы</t>
        </is>
      </c>
      <c r="B620" s="3" t="inlineStr">
        <is>
          <t>Прочие работы</t>
        </is>
      </c>
      <c r="C620" s="3" t="inlineStr">
        <is>
          <t>Демонтажные работы</t>
        </is>
      </c>
      <c r="D620" s="3" t="inlineStr">
        <is>
          <t>Демонтаж стяжки до 50 мм</t>
        </is>
      </c>
      <c r="E620" s="4">
        <f>N620+O620</f>
        <v/>
      </c>
      <c r="F620" s="3" t="inlineStr">
        <is>
          <t>м2</t>
        </is>
      </c>
      <c r="G620" s="4">
        <f>IFERROR('[1]Лист1'!G620,100)</f>
        <v/>
      </c>
      <c r="H620" s="16" t="n">
        <v>100</v>
      </c>
      <c r="I620" s="16" t="n">
        <v>100</v>
      </c>
      <c r="J620" s="16" t="n">
        <v>100</v>
      </c>
      <c r="K620" s="16" t="n">
        <v>100</v>
      </c>
      <c r="L620" s="16" t="n">
        <v>100</v>
      </c>
      <c r="M620" s="16" t="n">
        <v>100</v>
      </c>
      <c r="N620" s="4">
        <f>Работы!S622</f>
        <v/>
      </c>
      <c r="O620" s="4">
        <f>Работы!R622</f>
        <v/>
      </c>
      <c r="P620" s="16" t="n">
        <v>100</v>
      </c>
      <c r="Q620" s="16" t="n">
        <v>100</v>
      </c>
      <c r="R620" s="16" t="n">
        <v>100</v>
      </c>
      <c r="S620" s="16" t="n">
        <v>100</v>
      </c>
      <c r="T620" s="16" t="n">
        <v>100</v>
      </c>
      <c r="U620" s="16" t="n">
        <v>100</v>
      </c>
      <c r="V620" s="16" t="n">
        <v>100</v>
      </c>
      <c r="W620" s="16" t="n">
        <v>100</v>
      </c>
      <c r="X620" s="16" t="n">
        <v>100</v>
      </c>
      <c r="Y620" s="16" t="n">
        <v>100</v>
      </c>
      <c r="Z620" s="16" t="n">
        <v>100</v>
      </c>
      <c r="AA620" s="16" t="n">
        <v>100</v>
      </c>
    </row>
    <row r="621">
      <c r="A621" s="3" t="inlineStr">
        <is>
          <t>СЦ. Услуги и материалы</t>
        </is>
      </c>
      <c r="B621" s="3" t="inlineStr">
        <is>
          <t>Прочие работы</t>
        </is>
      </c>
      <c r="C621" s="3" t="inlineStr">
        <is>
          <t>Демонтажные работы</t>
        </is>
      </c>
      <c r="D621" s="3" t="inlineStr">
        <is>
          <t xml:space="preserve">Демонтаж порогов </t>
        </is>
      </c>
      <c r="E621" s="4">
        <f>N621+O621</f>
        <v/>
      </c>
      <c r="F621" s="3" t="inlineStr">
        <is>
          <t>п.м</t>
        </is>
      </c>
      <c r="G621" s="4">
        <f>IFERROR('[1]Лист1'!G621,100)</f>
        <v/>
      </c>
      <c r="H621" s="16" t="n">
        <v>100</v>
      </c>
      <c r="I621" s="16" t="n">
        <v>100</v>
      </c>
      <c r="J621" s="16" t="n">
        <v>100</v>
      </c>
      <c r="K621" s="16" t="n">
        <v>100</v>
      </c>
      <c r="L621" s="16" t="n">
        <v>100</v>
      </c>
      <c r="M621" s="16" t="n">
        <v>100</v>
      </c>
      <c r="N621" s="4">
        <f>Работы!S623</f>
        <v/>
      </c>
      <c r="O621" s="4">
        <f>Работы!R623</f>
        <v/>
      </c>
      <c r="P621" s="16" t="n">
        <v>100</v>
      </c>
      <c r="Q621" s="16" t="n">
        <v>100</v>
      </c>
      <c r="R621" s="16" t="n">
        <v>100</v>
      </c>
      <c r="S621" s="16" t="n">
        <v>100</v>
      </c>
      <c r="T621" s="16" t="n">
        <v>100</v>
      </c>
      <c r="U621" s="16" t="n">
        <v>100</v>
      </c>
      <c r="V621" s="16" t="n">
        <v>100</v>
      </c>
      <c r="W621" s="16" t="n">
        <v>100</v>
      </c>
      <c r="X621" s="16" t="n">
        <v>100</v>
      </c>
      <c r="Y621" s="16" t="n">
        <v>100</v>
      </c>
      <c r="Z621" s="16" t="n">
        <v>100</v>
      </c>
      <c r="AA621" s="16" t="n">
        <v>100</v>
      </c>
    </row>
    <row r="622">
      <c r="A622" s="3" t="inlineStr">
        <is>
          <t>СЦ. Услуги и материалы</t>
        </is>
      </c>
      <c r="B622" s="3" t="inlineStr">
        <is>
          <t>Прочие работы</t>
        </is>
      </c>
      <c r="C622" s="3" t="inlineStr">
        <is>
          <t>Демонтажные работы</t>
        </is>
      </c>
      <c r="D622" s="3" t="inlineStr">
        <is>
          <t>Демонтаж силовых кабелей и проводов</t>
        </is>
      </c>
      <c r="E622" s="4">
        <f>N622+O622</f>
        <v/>
      </c>
      <c r="F622" s="3" t="inlineStr">
        <is>
          <t>п.м</t>
        </is>
      </c>
      <c r="G622" s="4">
        <f>IFERROR('[1]Лист1'!G622,100)</f>
        <v/>
      </c>
      <c r="H622" s="16" t="n">
        <v>100</v>
      </c>
      <c r="I622" s="16" t="n">
        <v>100</v>
      </c>
      <c r="J622" s="16" t="n">
        <v>100</v>
      </c>
      <c r="K622" s="16" t="n">
        <v>100</v>
      </c>
      <c r="L622" s="16" t="n">
        <v>100</v>
      </c>
      <c r="M622" s="16" t="n">
        <v>100</v>
      </c>
      <c r="N622" s="4">
        <f>Работы!S624</f>
        <v/>
      </c>
      <c r="O622" s="4">
        <f>Работы!R624</f>
        <v/>
      </c>
      <c r="P622" s="16" t="n">
        <v>100</v>
      </c>
      <c r="Q622" s="16" t="n">
        <v>100</v>
      </c>
      <c r="R622" s="16" t="n">
        <v>100</v>
      </c>
      <c r="S622" s="16" t="n">
        <v>100</v>
      </c>
      <c r="T622" s="16" t="n">
        <v>100</v>
      </c>
      <c r="U622" s="16" t="n">
        <v>100</v>
      </c>
      <c r="V622" s="16" t="n">
        <v>100</v>
      </c>
      <c r="W622" s="16" t="n">
        <v>100</v>
      </c>
      <c r="X622" s="16" t="n">
        <v>100</v>
      </c>
      <c r="Y622" s="16" t="n">
        <v>100</v>
      </c>
      <c r="Z622" s="16" t="n">
        <v>100</v>
      </c>
      <c r="AA622" s="16" t="n">
        <v>100</v>
      </c>
    </row>
    <row r="623">
      <c r="A623" s="3" t="inlineStr">
        <is>
          <t>СЦ. Услуги и материалы</t>
        </is>
      </c>
      <c r="B623" s="3" t="inlineStr">
        <is>
          <t>Прочие работы</t>
        </is>
      </c>
      <c r="C623" s="3" t="inlineStr">
        <is>
          <t>Демонтажные работы</t>
        </is>
      </c>
      <c r="D623" s="3" t="inlineStr">
        <is>
          <t xml:space="preserve">Демонтаж линий электроснабжения </t>
        </is>
      </c>
      <c r="E623" s="4">
        <f>N623+O623</f>
        <v/>
      </c>
      <c r="F623" s="3" t="inlineStr">
        <is>
          <t>п.м</t>
        </is>
      </c>
      <c r="G623" s="4">
        <f>IFERROR('[1]Лист1'!G623,100)</f>
        <v/>
      </c>
      <c r="H623" s="16" t="n">
        <v>100</v>
      </c>
      <c r="I623" s="16" t="n">
        <v>100</v>
      </c>
      <c r="J623" s="16" t="n">
        <v>100</v>
      </c>
      <c r="K623" s="16" t="n">
        <v>100</v>
      </c>
      <c r="L623" s="16" t="n">
        <v>100</v>
      </c>
      <c r="M623" s="16" t="n">
        <v>100</v>
      </c>
      <c r="N623" s="4">
        <f>Работы!S625</f>
        <v/>
      </c>
      <c r="O623" s="4">
        <f>Работы!R625</f>
        <v/>
      </c>
      <c r="P623" s="16" t="n">
        <v>100</v>
      </c>
      <c r="Q623" s="16" t="n">
        <v>100</v>
      </c>
      <c r="R623" s="16" t="n">
        <v>100</v>
      </c>
      <c r="S623" s="16" t="n">
        <v>100</v>
      </c>
      <c r="T623" s="16" t="n">
        <v>100</v>
      </c>
      <c r="U623" s="16" t="n">
        <v>100</v>
      </c>
      <c r="V623" s="16" t="n">
        <v>100</v>
      </c>
      <c r="W623" s="16" t="n">
        <v>100</v>
      </c>
      <c r="X623" s="16" t="n">
        <v>100</v>
      </c>
      <c r="Y623" s="16" t="n">
        <v>100</v>
      </c>
      <c r="Z623" s="16" t="n">
        <v>100</v>
      </c>
      <c r="AA623" s="16" t="n">
        <v>100</v>
      </c>
    </row>
    <row r="624">
      <c r="A624" s="3" t="inlineStr">
        <is>
          <t>СЦ. Услуги и материалы</t>
        </is>
      </c>
      <c r="B624" s="3" t="inlineStr">
        <is>
          <t>Прочие работы</t>
        </is>
      </c>
      <c r="C624" s="3" t="inlineStr">
        <is>
          <t>Демонтажные работы</t>
        </is>
      </c>
      <c r="D624" s="3" t="inlineStr">
        <is>
          <t>Демонтаж  электротехнических напольных лючков, колонн, боксов и т.п.</t>
        </is>
      </c>
      <c r="E624" s="4">
        <f>N624+O624</f>
        <v/>
      </c>
      <c r="F624" s="3" t="inlineStr">
        <is>
          <t>шт.</t>
        </is>
      </c>
      <c r="G624" s="4">
        <f>IFERROR('[1]Лист1'!G624,100)</f>
        <v/>
      </c>
      <c r="H624" s="16" t="n">
        <v>100</v>
      </c>
      <c r="I624" s="16" t="n">
        <v>100</v>
      </c>
      <c r="J624" s="16" t="n">
        <v>100</v>
      </c>
      <c r="K624" s="16" t="n">
        <v>100</v>
      </c>
      <c r="L624" s="16" t="n">
        <v>100</v>
      </c>
      <c r="M624" s="16" t="n">
        <v>100</v>
      </c>
      <c r="N624" s="4">
        <f>Работы!S626</f>
        <v/>
      </c>
      <c r="O624" s="4">
        <f>Работы!R626</f>
        <v/>
      </c>
      <c r="P624" s="16" t="n">
        <v>100</v>
      </c>
      <c r="Q624" s="16" t="n">
        <v>100</v>
      </c>
      <c r="R624" s="16" t="n">
        <v>100</v>
      </c>
      <c r="S624" s="16" t="n">
        <v>100</v>
      </c>
      <c r="T624" s="16" t="n">
        <v>100</v>
      </c>
      <c r="U624" s="16" t="n">
        <v>100</v>
      </c>
      <c r="V624" s="16" t="n">
        <v>100</v>
      </c>
      <c r="W624" s="16" t="n">
        <v>100</v>
      </c>
      <c r="X624" s="16" t="n">
        <v>100</v>
      </c>
      <c r="Y624" s="16" t="n">
        <v>100</v>
      </c>
      <c r="Z624" s="16" t="n">
        <v>100</v>
      </c>
      <c r="AA624" s="16" t="n">
        <v>100</v>
      </c>
    </row>
    <row r="625">
      <c r="A625" s="3" t="inlineStr">
        <is>
          <t>СЦ. Услуги и материалы</t>
        </is>
      </c>
      <c r="B625" s="3" t="inlineStr">
        <is>
          <t>Прочие работы</t>
        </is>
      </c>
      <c r="C625" s="3" t="inlineStr">
        <is>
          <t>Демонтажные работы</t>
        </is>
      </c>
      <c r="D625" s="3" t="inlineStr">
        <is>
          <t>Демонтаж выключателей, розеток, переключателей, распаячных коробок</t>
        </is>
      </c>
      <c r="E625" s="4">
        <f>N625+O625</f>
        <v/>
      </c>
      <c r="F625" s="3" t="inlineStr">
        <is>
          <t>шт.</t>
        </is>
      </c>
      <c r="G625" s="4">
        <f>IFERROR('[1]Лист1'!G625,100)</f>
        <v/>
      </c>
      <c r="H625" s="16" t="n">
        <v>100</v>
      </c>
      <c r="I625" s="16" t="n">
        <v>100</v>
      </c>
      <c r="J625" s="16" t="n">
        <v>100</v>
      </c>
      <c r="K625" s="16" t="n">
        <v>100</v>
      </c>
      <c r="L625" s="16" t="n">
        <v>100</v>
      </c>
      <c r="M625" s="16" t="n">
        <v>100</v>
      </c>
      <c r="N625" s="4">
        <f>Работы!S627</f>
        <v/>
      </c>
      <c r="O625" s="4">
        <f>Работы!R627</f>
        <v/>
      </c>
      <c r="P625" s="16" t="n">
        <v>100</v>
      </c>
      <c r="Q625" s="16" t="n">
        <v>100</v>
      </c>
      <c r="R625" s="16" t="n">
        <v>100</v>
      </c>
      <c r="S625" s="16" t="n">
        <v>100</v>
      </c>
      <c r="T625" s="16" t="n">
        <v>100</v>
      </c>
      <c r="U625" s="16" t="n">
        <v>100</v>
      </c>
      <c r="V625" s="16" t="n">
        <v>100</v>
      </c>
      <c r="W625" s="16" t="n">
        <v>100</v>
      </c>
      <c r="X625" s="16" t="n">
        <v>100</v>
      </c>
      <c r="Y625" s="16" t="n">
        <v>100</v>
      </c>
      <c r="Z625" s="16" t="n">
        <v>100</v>
      </c>
      <c r="AA625" s="16" t="n">
        <v>100</v>
      </c>
    </row>
    <row r="626">
      <c r="A626" s="3" t="inlineStr">
        <is>
          <t>СЦ. Услуги и материалы</t>
        </is>
      </c>
      <c r="B626" s="3" t="inlineStr">
        <is>
          <t>Прочие работы</t>
        </is>
      </c>
      <c r="C626" s="3" t="inlineStr">
        <is>
          <t>Демонтажные работы</t>
        </is>
      </c>
      <c r="D626" s="3" t="inlineStr">
        <is>
          <t>Демонтаж светильников (подвесных, встраиваемых, накладных, подсветки карниза, аварийного освещения и пр.)</t>
        </is>
      </c>
      <c r="E626" s="4">
        <f>N626+O626</f>
        <v/>
      </c>
      <c r="F626" s="3" t="inlineStr">
        <is>
          <t>шт.</t>
        </is>
      </c>
      <c r="G626" s="4">
        <f>IFERROR('[1]Лист1'!G626,100)</f>
        <v/>
      </c>
      <c r="H626" s="16" t="n">
        <v>100</v>
      </c>
      <c r="I626" s="16" t="n">
        <v>100</v>
      </c>
      <c r="J626" s="16" t="n">
        <v>100</v>
      </c>
      <c r="K626" s="16" t="n">
        <v>100</v>
      </c>
      <c r="L626" s="16" t="n">
        <v>100</v>
      </c>
      <c r="M626" s="16" t="n">
        <v>100</v>
      </c>
      <c r="N626" s="4">
        <f>Работы!S628</f>
        <v/>
      </c>
      <c r="O626" s="4">
        <f>Работы!R628</f>
        <v/>
      </c>
      <c r="P626" s="16" t="n">
        <v>100</v>
      </c>
      <c r="Q626" s="16" t="n">
        <v>100</v>
      </c>
      <c r="R626" s="16" t="n">
        <v>100</v>
      </c>
      <c r="S626" s="16" t="n">
        <v>100</v>
      </c>
      <c r="T626" s="16" t="n">
        <v>100</v>
      </c>
      <c r="U626" s="16" t="n">
        <v>100</v>
      </c>
      <c r="V626" s="16" t="n">
        <v>100</v>
      </c>
      <c r="W626" s="16" t="n">
        <v>100</v>
      </c>
      <c r="X626" s="16" t="n">
        <v>100</v>
      </c>
      <c r="Y626" s="16" t="n">
        <v>100</v>
      </c>
      <c r="Z626" s="16" t="n">
        <v>100</v>
      </c>
      <c r="AA626" s="16" t="n">
        <v>100</v>
      </c>
    </row>
    <row r="627">
      <c r="A627" s="3" t="inlineStr">
        <is>
          <t>СЦ. Услуги и материалы</t>
        </is>
      </c>
      <c r="B627" s="3" t="inlineStr">
        <is>
          <t>Прочие работы</t>
        </is>
      </c>
      <c r="C627" s="3" t="inlineStr">
        <is>
          <t>Демонтажные работы</t>
        </is>
      </c>
      <c r="D627" s="3" t="inlineStr">
        <is>
          <t>Демонтаж лотков металлических (проволочные, перфорированные, цельнометаллические с крышкой и без)</t>
        </is>
      </c>
      <c r="E627" s="4">
        <f>N627+O627</f>
        <v/>
      </c>
      <c r="F627" s="3" t="inlineStr">
        <is>
          <t>п.и</t>
        </is>
      </c>
      <c r="G627" s="4">
        <f>IFERROR('[1]Лист1'!G627,100)</f>
        <v/>
      </c>
      <c r="H627" s="16" t="n">
        <v>100</v>
      </c>
      <c r="I627" s="16" t="n">
        <v>100</v>
      </c>
      <c r="J627" s="16" t="n">
        <v>100</v>
      </c>
      <c r="K627" s="16" t="n">
        <v>100</v>
      </c>
      <c r="L627" s="16" t="n">
        <v>100</v>
      </c>
      <c r="M627" s="16" t="n">
        <v>100</v>
      </c>
      <c r="N627" s="4">
        <f>Работы!S629</f>
        <v/>
      </c>
      <c r="O627" s="4">
        <f>Работы!R629</f>
        <v/>
      </c>
      <c r="P627" s="16" t="n">
        <v>100</v>
      </c>
      <c r="Q627" s="16" t="n">
        <v>100</v>
      </c>
      <c r="R627" s="16" t="n">
        <v>100</v>
      </c>
      <c r="S627" s="16" t="n">
        <v>100</v>
      </c>
      <c r="T627" s="16" t="n">
        <v>100</v>
      </c>
      <c r="U627" s="16" t="n">
        <v>100</v>
      </c>
      <c r="V627" s="16" t="n">
        <v>100</v>
      </c>
      <c r="W627" s="16" t="n">
        <v>100</v>
      </c>
      <c r="X627" s="16" t="n">
        <v>100</v>
      </c>
      <c r="Y627" s="16" t="n">
        <v>100</v>
      </c>
      <c r="Z627" s="16" t="n">
        <v>100</v>
      </c>
      <c r="AA627" s="16" t="n">
        <v>100</v>
      </c>
    </row>
    <row r="628">
      <c r="A628" s="3" t="inlineStr">
        <is>
          <t>СЦ. Услуги и материалы</t>
        </is>
      </c>
      <c r="B628" s="3" t="inlineStr">
        <is>
          <t>Прочие работы</t>
        </is>
      </c>
      <c r="C628" s="3" t="inlineStr">
        <is>
          <t>Демонтажные работы</t>
        </is>
      </c>
      <c r="D628" s="3" t="inlineStr">
        <is>
          <t xml:space="preserve">Демонтаж 3D ограждения металлического сетчатого включая столбы </t>
        </is>
      </c>
      <c r="E628" s="4">
        <f>N628+O628</f>
        <v/>
      </c>
      <c r="F628" s="3" t="inlineStr">
        <is>
          <t>п.м</t>
        </is>
      </c>
      <c r="G628" s="4">
        <f>IFERROR('[1]Лист1'!G628,100)</f>
        <v/>
      </c>
      <c r="H628" s="16" t="n">
        <v>100</v>
      </c>
      <c r="I628" s="16" t="n">
        <v>100</v>
      </c>
      <c r="J628" s="16" t="n">
        <v>100</v>
      </c>
      <c r="K628" s="16" t="n">
        <v>100</v>
      </c>
      <c r="L628" s="16" t="n">
        <v>100</v>
      </c>
      <c r="M628" s="16" t="n">
        <v>100</v>
      </c>
      <c r="N628" s="4">
        <f>Работы!S630</f>
        <v/>
      </c>
      <c r="O628" s="4">
        <f>Работы!R630</f>
        <v/>
      </c>
      <c r="P628" s="16" t="n">
        <v>100</v>
      </c>
      <c r="Q628" s="16" t="n">
        <v>100</v>
      </c>
      <c r="R628" s="16" t="n">
        <v>100</v>
      </c>
      <c r="S628" s="16" t="n">
        <v>100</v>
      </c>
      <c r="T628" s="16" t="n">
        <v>100</v>
      </c>
      <c r="U628" s="16" t="n">
        <v>100</v>
      </c>
      <c r="V628" s="16" t="n">
        <v>100</v>
      </c>
      <c r="W628" s="16" t="n">
        <v>100</v>
      </c>
      <c r="X628" s="16" t="n">
        <v>100</v>
      </c>
      <c r="Y628" s="16" t="n">
        <v>100</v>
      </c>
      <c r="Z628" s="16" t="n">
        <v>100</v>
      </c>
      <c r="AA628" s="16" t="n">
        <v>100</v>
      </c>
    </row>
    <row r="629">
      <c r="A629" s="3" t="inlineStr">
        <is>
          <t>Восстановительные работы(улица)</t>
        </is>
      </c>
      <c r="B629" s="3" t="inlineStr">
        <is>
          <t>Прочие работы</t>
        </is>
      </c>
      <c r="C629" s="3" t="inlineStr">
        <is>
          <t>Восстановительные работы</t>
        </is>
      </c>
      <c r="D629" s="3" t="inlineStr">
        <is>
          <t>Опора АО "АМИРА" ОГК-7, закл.деталь ФМ 0,133-1,5;295х295, мц 200х20, отв.4 s14 s4; кронштейн К2-1,5-1,5-0-1-00 СТ3/СТ3 или аналог *см по месту.</t>
        </is>
      </c>
      <c r="E629" s="4">
        <f>N629+O629</f>
        <v/>
      </c>
      <c r="F629" s="3" t="inlineStr">
        <is>
          <t>компл</t>
        </is>
      </c>
      <c r="G629" s="4">
        <f>IFERROR('[1]Лист1'!G629,100)</f>
        <v/>
      </c>
      <c r="H629" s="16" t="n">
        <v>100</v>
      </c>
      <c r="I629" s="16" t="n">
        <v>100</v>
      </c>
      <c r="J629" s="16" t="n">
        <v>100</v>
      </c>
      <c r="K629" s="16" t="n">
        <v>100</v>
      </c>
      <c r="L629" s="16" t="n">
        <v>100</v>
      </c>
      <c r="M629" s="16" t="n">
        <v>100</v>
      </c>
      <c r="N629" s="4">
        <f>Работы!S631</f>
        <v/>
      </c>
      <c r="O629" s="4">
        <f>Работы!R631</f>
        <v/>
      </c>
      <c r="P629" s="16" t="n">
        <v>100</v>
      </c>
      <c r="Q629" s="16" t="n">
        <v>100</v>
      </c>
      <c r="R629" s="16" t="n">
        <v>100</v>
      </c>
      <c r="S629" s="16" t="n">
        <v>100</v>
      </c>
      <c r="T629" s="16" t="n">
        <v>100</v>
      </c>
      <c r="U629" s="16" t="n">
        <v>100</v>
      </c>
      <c r="V629" s="16" t="n">
        <v>100</v>
      </c>
      <c r="W629" s="16" t="n">
        <v>100</v>
      </c>
      <c r="X629" s="16" t="n">
        <v>100</v>
      </c>
      <c r="Y629" s="16" t="n">
        <v>100</v>
      </c>
      <c r="Z629" s="16" t="n">
        <v>100</v>
      </c>
      <c r="AA629" s="16" t="n">
        <v>100</v>
      </c>
    </row>
    <row r="630">
      <c r="A630" s="3" t="inlineStr">
        <is>
          <t>Восстановительные работы(улица)</t>
        </is>
      </c>
      <c r="B630" s="3" t="inlineStr">
        <is>
          <t>Прочие работы</t>
        </is>
      </c>
      <c r="C630" s="3" t="inlineStr">
        <is>
          <t>Демонтажные работы</t>
        </is>
      </c>
      <c r="D630" s="3" t="inlineStr">
        <is>
          <t>Демонтаж опоры с основанием, вкл работы по демонтажу бетонного основания</t>
        </is>
      </c>
      <c r="E630" s="4">
        <f>N630+O630</f>
        <v/>
      </c>
      <c r="F630" s="3" t="inlineStr">
        <is>
          <t>шт</t>
        </is>
      </c>
      <c r="G630" s="4">
        <f>IFERROR('[1]Лист1'!G630,100)</f>
        <v/>
      </c>
      <c r="H630" s="16" t="n">
        <v>100</v>
      </c>
      <c r="I630" s="16" t="n">
        <v>100</v>
      </c>
      <c r="J630" s="16" t="n">
        <v>100</v>
      </c>
      <c r="K630" s="16" t="n">
        <v>100</v>
      </c>
      <c r="L630" s="16" t="n">
        <v>100</v>
      </c>
      <c r="M630" s="16" t="n">
        <v>100</v>
      </c>
      <c r="N630" s="4">
        <f>Работы!S632</f>
        <v/>
      </c>
      <c r="O630" s="4">
        <f>Работы!R632</f>
        <v/>
      </c>
      <c r="P630" s="16" t="n">
        <v>100</v>
      </c>
      <c r="Q630" s="16" t="n">
        <v>100</v>
      </c>
      <c r="R630" s="16" t="n">
        <v>100</v>
      </c>
      <c r="S630" s="16" t="n">
        <v>100</v>
      </c>
      <c r="T630" s="16" t="n">
        <v>100</v>
      </c>
      <c r="U630" s="16" t="n">
        <v>100</v>
      </c>
      <c r="V630" s="16" t="n">
        <v>100</v>
      </c>
      <c r="W630" s="16" t="n">
        <v>100</v>
      </c>
      <c r="X630" s="16" t="n">
        <v>100</v>
      </c>
      <c r="Y630" s="16" t="n">
        <v>100</v>
      </c>
      <c r="Z630" s="16" t="n">
        <v>100</v>
      </c>
      <c r="AA630" s="16" t="n">
        <v>100</v>
      </c>
    </row>
    <row r="631">
      <c r="A631" s="3" t="inlineStr">
        <is>
          <t>Восстановительные работы(улица)</t>
        </is>
      </c>
      <c r="B631" s="3" t="inlineStr">
        <is>
          <t>Прочие работы</t>
        </is>
      </c>
      <c r="C631" s="3" t="inlineStr">
        <is>
          <t>Монтажные работы</t>
        </is>
      </c>
      <c r="D631" s="3" t="inlineStr">
        <is>
          <t>Монтаж опоры освещения (вкл. монтаж основания, бетонирование приямка и перемонтаж навесного оборудования)</t>
        </is>
      </c>
      <c r="E631" s="4">
        <f>N631+O631</f>
        <v/>
      </c>
      <c r="F631" s="3" t="inlineStr">
        <is>
          <t>шт</t>
        </is>
      </c>
      <c r="G631" s="4">
        <f>IFERROR('[1]Лист1'!G631,100)</f>
        <v/>
      </c>
      <c r="H631" s="16" t="n">
        <v>100</v>
      </c>
      <c r="I631" s="16" t="n">
        <v>100</v>
      </c>
      <c r="J631" s="16" t="n">
        <v>100</v>
      </c>
      <c r="K631" s="16" t="n">
        <v>100</v>
      </c>
      <c r="L631" s="16" t="n">
        <v>100</v>
      </c>
      <c r="M631" s="16" t="n">
        <v>100</v>
      </c>
      <c r="N631" s="4">
        <f>Работы!S633</f>
        <v/>
      </c>
      <c r="O631" s="4">
        <f>Работы!R633</f>
        <v/>
      </c>
      <c r="P631" s="16" t="n">
        <v>100</v>
      </c>
      <c r="Q631" s="16" t="n">
        <v>100</v>
      </c>
      <c r="R631" s="16" t="n">
        <v>100</v>
      </c>
      <c r="S631" s="16" t="n">
        <v>100</v>
      </c>
      <c r="T631" s="16" t="n">
        <v>100</v>
      </c>
      <c r="U631" s="16" t="n">
        <v>100</v>
      </c>
      <c r="V631" s="16" t="n">
        <v>100</v>
      </c>
      <c r="W631" s="16" t="n">
        <v>100</v>
      </c>
      <c r="X631" s="16" t="n">
        <v>100</v>
      </c>
      <c r="Y631" s="16" t="n">
        <v>100</v>
      </c>
      <c r="Z631" s="16" t="n">
        <v>100</v>
      </c>
      <c r="AA631" s="16" t="n">
        <v>100</v>
      </c>
    </row>
    <row r="632">
      <c r="A632" s="3" t="inlineStr">
        <is>
          <t>Восстановительные работы(улица)</t>
        </is>
      </c>
      <c r="B632" s="3" t="inlineStr">
        <is>
          <t>Прочие работы</t>
        </is>
      </c>
      <c r="C632" s="3" t="inlineStr">
        <is>
          <t>Аренда</t>
        </is>
      </c>
      <c r="D632" s="3" t="inlineStr">
        <is>
          <t>Работа трактора</t>
        </is>
      </c>
      <c r="E632" s="4">
        <f>N632+O632</f>
        <v/>
      </c>
      <c r="F632" s="3" t="inlineStr">
        <is>
          <t>маш.ч</t>
        </is>
      </c>
      <c r="G632" s="4">
        <f>IFERROR('[1]Лист1'!G632,100)</f>
        <v/>
      </c>
      <c r="H632" s="16" t="n">
        <v>100</v>
      </c>
      <c r="I632" s="16" t="n">
        <v>100</v>
      </c>
      <c r="J632" s="16" t="n">
        <v>100</v>
      </c>
      <c r="K632" s="16" t="n">
        <v>100</v>
      </c>
      <c r="L632" s="16" t="n">
        <v>100</v>
      </c>
      <c r="M632" s="16" t="n">
        <v>100</v>
      </c>
      <c r="N632" s="4">
        <f>Работы!S634</f>
        <v/>
      </c>
      <c r="O632" s="4">
        <f>Работы!R634</f>
        <v/>
      </c>
      <c r="P632" s="16" t="n">
        <v>100</v>
      </c>
      <c r="Q632" s="16" t="n">
        <v>100</v>
      </c>
      <c r="R632" s="16" t="n">
        <v>100</v>
      </c>
      <c r="S632" s="16" t="n">
        <v>100</v>
      </c>
      <c r="T632" s="16" t="n">
        <v>100</v>
      </c>
      <c r="U632" s="16" t="n">
        <v>100</v>
      </c>
      <c r="V632" s="16" t="n">
        <v>100</v>
      </c>
      <c r="W632" s="16" t="n">
        <v>100</v>
      </c>
      <c r="X632" s="16" t="n">
        <v>100</v>
      </c>
      <c r="Y632" s="16" t="n">
        <v>100</v>
      </c>
      <c r="Z632" s="16" t="n">
        <v>100</v>
      </c>
      <c r="AA632" s="16" t="n">
        <v>100</v>
      </c>
    </row>
    <row r="633">
      <c r="A633" s="3" t="inlineStr">
        <is>
          <t>Восстановительные работы(улица)</t>
        </is>
      </c>
      <c r="B633" s="3" t="inlineStr">
        <is>
          <t>Прочие работы</t>
        </is>
      </c>
      <c r="C633" s="3" t="inlineStr">
        <is>
          <t>Восстановительные работы</t>
        </is>
      </c>
      <c r="D633" s="3" t="inlineStr">
        <is>
          <t>Отлив угла состыковки уличных сэндвич панелей или аналог *см по месту.</t>
        </is>
      </c>
      <c r="E633" s="4">
        <f>N633+O633</f>
        <v/>
      </c>
      <c r="F633" s="3" t="inlineStr">
        <is>
          <t>м.п.</t>
        </is>
      </c>
      <c r="G633" s="4">
        <f>IFERROR('[1]Лист1'!G633,100)</f>
        <v/>
      </c>
      <c r="H633" s="16" t="n">
        <v>100</v>
      </c>
      <c r="I633" s="16" t="n">
        <v>100</v>
      </c>
      <c r="J633" s="16" t="n">
        <v>100</v>
      </c>
      <c r="K633" s="16" t="n">
        <v>100</v>
      </c>
      <c r="L633" s="16" t="n">
        <v>100</v>
      </c>
      <c r="M633" s="16" t="n">
        <v>100</v>
      </c>
      <c r="N633" s="4">
        <f>Работы!S635</f>
        <v/>
      </c>
      <c r="O633" s="4">
        <f>Работы!R635</f>
        <v/>
      </c>
      <c r="P633" s="16" t="n">
        <v>100</v>
      </c>
      <c r="Q633" s="16" t="n">
        <v>100</v>
      </c>
      <c r="R633" s="16" t="n">
        <v>100</v>
      </c>
      <c r="S633" s="16" t="n">
        <v>100</v>
      </c>
      <c r="T633" s="16" t="n">
        <v>100</v>
      </c>
      <c r="U633" s="16" t="n">
        <v>100</v>
      </c>
      <c r="V633" s="16" t="n">
        <v>100</v>
      </c>
      <c r="W633" s="16" t="n">
        <v>100</v>
      </c>
      <c r="X633" s="16" t="n">
        <v>100</v>
      </c>
      <c r="Y633" s="16" t="n">
        <v>100</v>
      </c>
      <c r="Z633" s="16" t="n">
        <v>100</v>
      </c>
      <c r="AA633" s="16" t="n">
        <v>100</v>
      </c>
    </row>
    <row r="634">
      <c r="A634" s="3" t="inlineStr">
        <is>
          <t>Восстановительные работы(улица)</t>
        </is>
      </c>
      <c r="B634" s="3" t="inlineStr">
        <is>
          <t>Прочие работы</t>
        </is>
      </c>
      <c r="C634" s="3" t="inlineStr">
        <is>
          <t>Восстановительные работы</t>
        </is>
      </c>
      <c r="D634" s="3" t="inlineStr">
        <is>
          <t>Восстановление газона</t>
        </is>
      </c>
      <c r="E634" s="4">
        <f>N634+O634</f>
        <v/>
      </c>
      <c r="F634" s="3" t="inlineStr">
        <is>
          <t>м2</t>
        </is>
      </c>
      <c r="G634" s="4">
        <f>IFERROR('[1]Лист1'!G634,100)</f>
        <v/>
      </c>
      <c r="H634" s="16" t="n">
        <v>100</v>
      </c>
      <c r="I634" s="16" t="n">
        <v>100</v>
      </c>
      <c r="J634" s="16" t="n">
        <v>100</v>
      </c>
      <c r="K634" s="16" t="n">
        <v>100</v>
      </c>
      <c r="L634" s="16" t="n">
        <v>100</v>
      </c>
      <c r="M634" s="16" t="n">
        <v>100</v>
      </c>
      <c r="N634" s="4">
        <f>Работы!S636</f>
        <v/>
      </c>
      <c r="O634" s="4">
        <f>Работы!R636</f>
        <v/>
      </c>
      <c r="P634" s="16" t="n">
        <v>100</v>
      </c>
      <c r="Q634" s="16" t="n">
        <v>100</v>
      </c>
      <c r="R634" s="16" t="n">
        <v>100</v>
      </c>
      <c r="S634" s="16" t="n">
        <v>100</v>
      </c>
      <c r="T634" s="16" t="n">
        <v>100</v>
      </c>
      <c r="U634" s="16" t="n">
        <v>100</v>
      </c>
      <c r="V634" s="16" t="n">
        <v>100</v>
      </c>
      <c r="W634" s="16" t="n">
        <v>100</v>
      </c>
      <c r="X634" s="16" t="n">
        <v>100</v>
      </c>
      <c r="Y634" s="16" t="n">
        <v>100</v>
      </c>
      <c r="Z634" s="16" t="n">
        <v>100</v>
      </c>
      <c r="AA634" s="16" t="n">
        <v>100</v>
      </c>
    </row>
    <row r="635">
      <c r="A635" s="3" t="inlineStr">
        <is>
          <t>Восстановительные работы(улица)</t>
        </is>
      </c>
      <c r="B635" s="3" t="inlineStr">
        <is>
          <t>Прочие работы</t>
        </is>
      </c>
      <c r="C635" s="3" t="inlineStr">
        <is>
          <t>Восстановительные работы</t>
        </is>
      </c>
      <c r="D635" s="3" t="inlineStr">
        <is>
          <t>Угловой элемент разгрузочных ворот (внутренний периметр докшелтера), толщ.0,45, цвет RAL, стороны 20-20-100/130-17/19 или аналог *см по месту.</t>
        </is>
      </c>
      <c r="E635" s="4">
        <f>N635+O635</f>
        <v/>
      </c>
      <c r="F635" s="3" t="inlineStr">
        <is>
          <t>м.п.</t>
        </is>
      </c>
      <c r="G635" s="4">
        <f>IFERROR('[1]Лист1'!G635,100)</f>
        <v/>
      </c>
      <c r="H635" s="16" t="n">
        <v>100</v>
      </c>
      <c r="I635" s="16" t="n">
        <v>100</v>
      </c>
      <c r="J635" s="16" t="n">
        <v>100</v>
      </c>
      <c r="K635" s="16" t="n">
        <v>100</v>
      </c>
      <c r="L635" s="16" t="n">
        <v>100</v>
      </c>
      <c r="M635" s="16" t="n">
        <v>100</v>
      </c>
      <c r="N635" s="4">
        <f>Работы!S637</f>
        <v/>
      </c>
      <c r="O635" s="4">
        <f>Работы!R637</f>
        <v/>
      </c>
      <c r="P635" s="16" t="n">
        <v>100</v>
      </c>
      <c r="Q635" s="16" t="n">
        <v>100</v>
      </c>
      <c r="R635" s="16" t="n">
        <v>100</v>
      </c>
      <c r="S635" s="16" t="n">
        <v>100</v>
      </c>
      <c r="T635" s="16" t="n">
        <v>100</v>
      </c>
      <c r="U635" s="16" t="n">
        <v>100</v>
      </c>
      <c r="V635" s="16" t="n">
        <v>100</v>
      </c>
      <c r="W635" s="16" t="n">
        <v>100</v>
      </c>
      <c r="X635" s="16" t="n">
        <v>100</v>
      </c>
      <c r="Y635" s="16" t="n">
        <v>100</v>
      </c>
      <c r="Z635" s="16" t="n">
        <v>100</v>
      </c>
      <c r="AA635" s="16" t="n">
        <v>100</v>
      </c>
    </row>
    <row r="636">
      <c r="A636" s="3" t="inlineStr">
        <is>
          <t>Восстановительные работы(улица)</t>
        </is>
      </c>
      <c r="B636" s="3" t="inlineStr">
        <is>
          <t>Прочие работы</t>
        </is>
      </c>
      <c r="C636" s="3" t="inlineStr">
        <is>
          <t>Восстановительные работы</t>
        </is>
      </c>
      <c r="D636" s="3" t="inlineStr">
        <is>
          <t>Щит закрытый металл (1250х700х300) или аналог *см по месту.</t>
        </is>
      </c>
      <c r="E636" s="4">
        <f>N636+O636</f>
        <v/>
      </c>
      <c r="F636" s="3" t="inlineStr">
        <is>
          <t>шт</t>
        </is>
      </c>
      <c r="G636" s="4">
        <f>IFERROR('[1]Лист1'!G636,100)</f>
        <v/>
      </c>
      <c r="H636" s="16" t="n">
        <v>100</v>
      </c>
      <c r="I636" s="16" t="n">
        <v>100</v>
      </c>
      <c r="J636" s="16" t="n">
        <v>100</v>
      </c>
      <c r="K636" s="16" t="n">
        <v>100</v>
      </c>
      <c r="L636" s="16" t="n">
        <v>100</v>
      </c>
      <c r="M636" s="16" t="n">
        <v>100</v>
      </c>
      <c r="N636" s="4">
        <f>Работы!S638</f>
        <v/>
      </c>
      <c r="O636" s="4">
        <f>Работы!R638</f>
        <v/>
      </c>
      <c r="P636" s="16" t="n">
        <v>100</v>
      </c>
      <c r="Q636" s="16" t="n">
        <v>100</v>
      </c>
      <c r="R636" s="16" t="n">
        <v>100</v>
      </c>
      <c r="S636" s="16" t="n">
        <v>100</v>
      </c>
      <c r="T636" s="16" t="n">
        <v>100</v>
      </c>
      <c r="U636" s="16" t="n">
        <v>100</v>
      </c>
      <c r="V636" s="16" t="n">
        <v>100</v>
      </c>
      <c r="W636" s="16" t="n">
        <v>100</v>
      </c>
      <c r="X636" s="16" t="n">
        <v>100</v>
      </c>
      <c r="Y636" s="16" t="n">
        <v>100</v>
      </c>
      <c r="Z636" s="16" t="n">
        <v>100</v>
      </c>
      <c r="AA636" s="16" t="n">
        <v>100</v>
      </c>
    </row>
    <row r="637">
      <c r="A637" s="3" t="inlineStr">
        <is>
          <t>Восстановительные работы(улица)</t>
        </is>
      </c>
      <c r="B637" s="3" t="inlineStr">
        <is>
          <t>Прочие работы</t>
        </is>
      </c>
      <c r="C637" s="3" t="inlineStr">
        <is>
          <t>Восстановительные работы</t>
        </is>
      </c>
      <c r="D637" s="3" t="inlineStr">
        <is>
          <t>Стенд пожарный с ЯП-03 или аналог *см по месту.</t>
        </is>
      </c>
      <c r="E637" s="4">
        <f>N637+O637</f>
        <v/>
      </c>
      <c r="F637" s="3" t="inlineStr">
        <is>
          <t>шт</t>
        </is>
      </c>
      <c r="G637" s="4">
        <f>IFERROR('[1]Лист1'!G637,100)</f>
        <v/>
      </c>
      <c r="H637" s="16" t="n">
        <v>100</v>
      </c>
      <c r="I637" s="16" t="n">
        <v>100</v>
      </c>
      <c r="J637" s="16" t="n">
        <v>100</v>
      </c>
      <c r="K637" s="16" t="n">
        <v>100</v>
      </c>
      <c r="L637" s="16" t="n">
        <v>100</v>
      </c>
      <c r="M637" s="16" t="n">
        <v>100</v>
      </c>
      <c r="N637" s="4">
        <f>Работы!S639</f>
        <v/>
      </c>
      <c r="O637" s="4">
        <f>Работы!R639</f>
        <v/>
      </c>
      <c r="P637" s="16" t="n">
        <v>100</v>
      </c>
      <c r="Q637" s="16" t="n">
        <v>100</v>
      </c>
      <c r="R637" s="16" t="n">
        <v>100</v>
      </c>
      <c r="S637" s="16" t="n">
        <v>100</v>
      </c>
      <c r="T637" s="16" t="n">
        <v>100</v>
      </c>
      <c r="U637" s="16" t="n">
        <v>100</v>
      </c>
      <c r="V637" s="16" t="n">
        <v>100</v>
      </c>
      <c r="W637" s="16" t="n">
        <v>100</v>
      </c>
      <c r="X637" s="16" t="n">
        <v>100</v>
      </c>
      <c r="Y637" s="16" t="n">
        <v>100</v>
      </c>
      <c r="Z637" s="16" t="n">
        <v>100</v>
      </c>
      <c r="AA637" s="16" t="n">
        <v>100</v>
      </c>
    </row>
    <row r="638">
      <c r="A638" s="3" t="inlineStr">
        <is>
          <t>Восстановительные работы(улица)</t>
        </is>
      </c>
      <c r="B638" s="3" t="inlineStr">
        <is>
          <t>Уличные фасонные элементы RAL см. по месту</t>
        </is>
      </c>
      <c r="C638" s="3" t="inlineStr">
        <is>
          <t>Восстановительные работы</t>
        </is>
      </c>
      <c r="D638" s="3" t="inlineStr">
        <is>
          <t>ФЭС-1 подставочный профиль толщина 1.5мм размеры по месту</t>
        </is>
      </c>
      <c r="E638" s="4">
        <f>N638+O638</f>
        <v/>
      </c>
      <c r="F638" s="3" t="inlineStr">
        <is>
          <t>м.п.</t>
        </is>
      </c>
      <c r="G638" s="4">
        <f>IFERROR('[1]Лист1'!G638,100)</f>
        <v/>
      </c>
      <c r="H638" s="16" t="n">
        <v>100</v>
      </c>
      <c r="I638" s="16" t="n">
        <v>100</v>
      </c>
      <c r="J638" s="16" t="n">
        <v>100</v>
      </c>
      <c r="K638" s="16" t="n">
        <v>100</v>
      </c>
      <c r="L638" s="16" t="n">
        <v>100</v>
      </c>
      <c r="M638" s="16" t="n">
        <v>100</v>
      </c>
      <c r="N638" s="4">
        <f>Работы!S640</f>
        <v/>
      </c>
      <c r="O638" s="4">
        <f>Работы!R640</f>
        <v/>
      </c>
      <c r="P638" s="16" t="n">
        <v>100</v>
      </c>
      <c r="Q638" s="16" t="n">
        <v>100</v>
      </c>
      <c r="R638" s="16" t="n">
        <v>100</v>
      </c>
      <c r="S638" s="16" t="n">
        <v>100</v>
      </c>
      <c r="T638" s="16" t="n">
        <v>100</v>
      </c>
      <c r="U638" s="16" t="n">
        <v>100</v>
      </c>
      <c r="V638" s="16" t="n">
        <v>100</v>
      </c>
      <c r="W638" s="16" t="n">
        <v>100</v>
      </c>
      <c r="X638" s="16" t="n">
        <v>100</v>
      </c>
      <c r="Y638" s="16" t="n">
        <v>100</v>
      </c>
      <c r="Z638" s="16" t="n">
        <v>100</v>
      </c>
      <c r="AA638" s="16" t="n">
        <v>100</v>
      </c>
    </row>
    <row r="639">
      <c r="A639" s="3" t="inlineStr">
        <is>
          <t>Восстановительные работы(улица)</t>
        </is>
      </c>
      <c r="B639" s="3" t="inlineStr">
        <is>
          <t>Уличные фасонные элементы RAL см. по месту</t>
        </is>
      </c>
      <c r="C639" s="3" t="inlineStr">
        <is>
          <t>Восстановительные работы</t>
        </is>
      </c>
      <c r="D639" s="3" t="inlineStr">
        <is>
          <t xml:space="preserve"> ФЭС-2 черновой отлив размеры по месту</t>
        </is>
      </c>
      <c r="E639" s="4">
        <f>N639+O639</f>
        <v/>
      </c>
      <c r="F639" s="3" t="inlineStr">
        <is>
          <t>м.п.</t>
        </is>
      </c>
      <c r="G639" s="4">
        <f>IFERROR('[1]Лист1'!G639,100)</f>
        <v/>
      </c>
      <c r="H639" s="16" t="n">
        <v>100</v>
      </c>
      <c r="I639" s="16" t="n">
        <v>100</v>
      </c>
      <c r="J639" s="16" t="n">
        <v>100</v>
      </c>
      <c r="K639" s="16" t="n">
        <v>100</v>
      </c>
      <c r="L639" s="16" t="n">
        <v>100</v>
      </c>
      <c r="M639" s="16" t="n">
        <v>100</v>
      </c>
      <c r="N639" s="4">
        <f>Работы!S641</f>
        <v/>
      </c>
      <c r="O639" s="4">
        <f>Работы!R641</f>
        <v/>
      </c>
      <c r="P639" s="16" t="n">
        <v>100</v>
      </c>
      <c r="Q639" s="16" t="n">
        <v>100</v>
      </c>
      <c r="R639" s="16" t="n">
        <v>100</v>
      </c>
      <c r="S639" s="16" t="n">
        <v>100</v>
      </c>
      <c r="T639" s="16" t="n">
        <v>100</v>
      </c>
      <c r="U639" s="16" t="n">
        <v>100</v>
      </c>
      <c r="V639" s="16" t="n">
        <v>100</v>
      </c>
      <c r="W639" s="16" t="n">
        <v>100</v>
      </c>
      <c r="X639" s="16" t="n">
        <v>100</v>
      </c>
      <c r="Y639" s="16" t="n">
        <v>100</v>
      </c>
      <c r="Z639" s="16" t="n">
        <v>100</v>
      </c>
      <c r="AA639" s="16" t="n">
        <v>100</v>
      </c>
    </row>
    <row r="640">
      <c r="A640" s="3" t="inlineStr">
        <is>
          <t>Восстановительные работы(улица)</t>
        </is>
      </c>
      <c r="B640" s="3" t="inlineStr">
        <is>
          <t>Уличные фасонные элементы RAL см. по месту</t>
        </is>
      </c>
      <c r="C640" s="3" t="inlineStr">
        <is>
          <t>Восстановительные работы</t>
        </is>
      </c>
      <c r="D640" s="3" t="inlineStr">
        <is>
          <t xml:space="preserve"> ФЭС-3 отлив узла цоколя размеры по месту</t>
        </is>
      </c>
      <c r="E640" s="4">
        <f>N640+O640</f>
        <v/>
      </c>
      <c r="F640" s="3" t="inlineStr">
        <is>
          <t>м.п.</t>
        </is>
      </c>
      <c r="G640" s="4">
        <f>IFERROR('[1]Лист1'!G640,100)</f>
        <v/>
      </c>
      <c r="H640" s="16" t="n">
        <v>100</v>
      </c>
      <c r="I640" s="16" t="n">
        <v>100</v>
      </c>
      <c r="J640" s="16" t="n">
        <v>100</v>
      </c>
      <c r="K640" s="16" t="n">
        <v>100</v>
      </c>
      <c r="L640" s="16" t="n">
        <v>100</v>
      </c>
      <c r="M640" s="16" t="n">
        <v>100</v>
      </c>
      <c r="N640" s="4">
        <f>Работы!S642</f>
        <v/>
      </c>
      <c r="O640" s="4">
        <f>Работы!R642</f>
        <v/>
      </c>
      <c r="P640" s="16" t="n">
        <v>100</v>
      </c>
      <c r="Q640" s="16" t="n">
        <v>100</v>
      </c>
      <c r="R640" s="16" t="n">
        <v>100</v>
      </c>
      <c r="S640" s="16" t="n">
        <v>100</v>
      </c>
      <c r="T640" s="16" t="n">
        <v>100</v>
      </c>
      <c r="U640" s="16" t="n">
        <v>100</v>
      </c>
      <c r="V640" s="16" t="n">
        <v>100</v>
      </c>
      <c r="W640" s="16" t="n">
        <v>100</v>
      </c>
      <c r="X640" s="16" t="n">
        <v>100</v>
      </c>
      <c r="Y640" s="16" t="n">
        <v>100</v>
      </c>
      <c r="Z640" s="16" t="n">
        <v>100</v>
      </c>
      <c r="AA640" s="16" t="n">
        <v>100</v>
      </c>
    </row>
    <row r="641">
      <c r="A641" s="3" t="inlineStr">
        <is>
          <t>Восстановительные работы(улица)</t>
        </is>
      </c>
      <c r="B641" s="3" t="inlineStr">
        <is>
          <t>Уличные фасонные элементы RAL см. по месту</t>
        </is>
      </c>
      <c r="C641" s="3" t="inlineStr">
        <is>
          <t>Восстановительные работы</t>
        </is>
      </c>
      <c r="D641" s="3" t="inlineStr">
        <is>
          <t xml:space="preserve"> ФЭС-4 отлив цоколя размеры по месту</t>
        </is>
      </c>
      <c r="E641" s="4">
        <f>N641+O641</f>
        <v/>
      </c>
      <c r="F641" s="3" t="inlineStr">
        <is>
          <t>м.п.</t>
        </is>
      </c>
      <c r="G641" s="4">
        <f>IFERROR('[1]Лист1'!G641,100)</f>
        <v/>
      </c>
      <c r="H641" s="16" t="n">
        <v>100</v>
      </c>
      <c r="I641" s="16" t="n">
        <v>100</v>
      </c>
      <c r="J641" s="16" t="n">
        <v>100</v>
      </c>
      <c r="K641" s="16" t="n">
        <v>100</v>
      </c>
      <c r="L641" s="16" t="n">
        <v>100</v>
      </c>
      <c r="M641" s="16" t="n">
        <v>100</v>
      </c>
      <c r="N641" s="4">
        <f>Работы!S643</f>
        <v/>
      </c>
      <c r="O641" s="4">
        <f>Работы!R643</f>
        <v/>
      </c>
      <c r="P641" s="16" t="n">
        <v>100</v>
      </c>
      <c r="Q641" s="16" t="n">
        <v>100</v>
      </c>
      <c r="R641" s="16" t="n">
        <v>100</v>
      </c>
      <c r="S641" s="16" t="n">
        <v>100</v>
      </c>
      <c r="T641" s="16" t="n">
        <v>100</v>
      </c>
      <c r="U641" s="16" t="n">
        <v>100</v>
      </c>
      <c r="V641" s="16" t="n">
        <v>100</v>
      </c>
      <c r="W641" s="16" t="n">
        <v>100</v>
      </c>
      <c r="X641" s="16" t="n">
        <v>100</v>
      </c>
      <c r="Y641" s="16" t="n">
        <v>100</v>
      </c>
      <c r="Z641" s="16" t="n">
        <v>100</v>
      </c>
      <c r="AA641" s="16" t="n">
        <v>100</v>
      </c>
    </row>
    <row r="642">
      <c r="A642" s="3" t="inlineStr">
        <is>
          <t>Восстановительные работы(улица)</t>
        </is>
      </c>
      <c r="B642" s="3" t="inlineStr">
        <is>
          <t>Уличные фасонные элементы RAL см. по месту</t>
        </is>
      </c>
      <c r="C642" s="3" t="inlineStr">
        <is>
          <t>Восстановительные работы</t>
        </is>
      </c>
      <c r="D642" s="3" t="inlineStr">
        <is>
          <t>ФЭС-5 отлив цоколя размеры по месту</t>
        </is>
      </c>
      <c r="E642" s="4">
        <f>N642+O642</f>
        <v/>
      </c>
      <c r="F642" s="3" t="inlineStr">
        <is>
          <t>м.п.</t>
        </is>
      </c>
      <c r="G642" s="4">
        <f>IFERROR('[1]Лист1'!G642,100)</f>
        <v/>
      </c>
      <c r="H642" s="16" t="n">
        <v>100</v>
      </c>
      <c r="I642" s="16" t="n">
        <v>100</v>
      </c>
      <c r="J642" s="16" t="n">
        <v>100</v>
      </c>
      <c r="K642" s="16" t="n">
        <v>100</v>
      </c>
      <c r="L642" s="16" t="n">
        <v>100</v>
      </c>
      <c r="M642" s="16" t="n">
        <v>100</v>
      </c>
      <c r="N642" s="4">
        <f>Работы!S644</f>
        <v/>
      </c>
      <c r="O642" s="4">
        <f>Работы!R644</f>
        <v/>
      </c>
      <c r="P642" s="16" t="n">
        <v>100</v>
      </c>
      <c r="Q642" s="16" t="n">
        <v>100</v>
      </c>
      <c r="R642" s="16" t="n">
        <v>100</v>
      </c>
      <c r="S642" s="16" t="n">
        <v>100</v>
      </c>
      <c r="T642" s="16" t="n">
        <v>100</v>
      </c>
      <c r="U642" s="16" t="n">
        <v>100</v>
      </c>
      <c r="V642" s="16" t="n">
        <v>100</v>
      </c>
      <c r="W642" s="16" t="n">
        <v>100</v>
      </c>
      <c r="X642" s="16" t="n">
        <v>100</v>
      </c>
      <c r="Y642" s="16" t="n">
        <v>100</v>
      </c>
      <c r="Z642" s="16" t="n">
        <v>100</v>
      </c>
      <c r="AA642" s="16" t="n">
        <v>100</v>
      </c>
    </row>
    <row r="643">
      <c r="A643" s="3" t="inlineStr">
        <is>
          <t>Восстановительные работы(улица)</t>
        </is>
      </c>
      <c r="B643" s="3" t="inlineStr">
        <is>
          <t>Уличные фасонные элементы RAL см. по месту</t>
        </is>
      </c>
      <c r="C643" s="3" t="inlineStr">
        <is>
          <t>Восстановительные работы</t>
        </is>
      </c>
      <c r="D643" s="3" t="inlineStr">
        <is>
          <t>ФЭС-6 наружный отлив цоколя размеры по месту</t>
        </is>
      </c>
      <c r="E643" s="4">
        <f>N643+O643</f>
        <v/>
      </c>
      <c r="F643" s="3" t="inlineStr">
        <is>
          <t>м.п.</t>
        </is>
      </c>
      <c r="G643" s="4">
        <f>IFERROR('[1]Лист1'!G643,100)</f>
        <v/>
      </c>
      <c r="H643" s="16" t="n">
        <v>100</v>
      </c>
      <c r="I643" s="16" t="n">
        <v>100</v>
      </c>
      <c r="J643" s="16" t="n">
        <v>100</v>
      </c>
      <c r="K643" s="16" t="n">
        <v>100</v>
      </c>
      <c r="L643" s="16" t="n">
        <v>100</v>
      </c>
      <c r="M643" s="16" t="n">
        <v>100</v>
      </c>
      <c r="N643" s="4">
        <f>Работы!S645</f>
        <v/>
      </c>
      <c r="O643" s="4">
        <f>Работы!R645</f>
        <v/>
      </c>
      <c r="P643" s="16" t="n">
        <v>100</v>
      </c>
      <c r="Q643" s="16" t="n">
        <v>100</v>
      </c>
      <c r="R643" s="16" t="n">
        <v>100</v>
      </c>
      <c r="S643" s="16" t="n">
        <v>100</v>
      </c>
      <c r="T643" s="16" t="n">
        <v>100</v>
      </c>
      <c r="U643" s="16" t="n">
        <v>100</v>
      </c>
      <c r="V643" s="16" t="n">
        <v>100</v>
      </c>
      <c r="W643" s="16" t="n">
        <v>100</v>
      </c>
      <c r="X643" s="16" t="n">
        <v>100</v>
      </c>
      <c r="Y643" s="16" t="n">
        <v>100</v>
      </c>
      <c r="Z643" s="16" t="n">
        <v>100</v>
      </c>
      <c r="AA643" s="16" t="n">
        <v>100</v>
      </c>
    </row>
    <row r="644">
      <c r="A644" s="3" t="inlineStr">
        <is>
          <t>Восстановительные работы(улица)</t>
        </is>
      </c>
      <c r="B644" s="3" t="inlineStr">
        <is>
          <t>Уличные фасонные элементы RAL см. по месту</t>
        </is>
      </c>
      <c r="C644" s="3" t="inlineStr">
        <is>
          <t>Восстановительные работы</t>
        </is>
      </c>
      <c r="D644" s="3" t="inlineStr">
        <is>
          <t xml:space="preserve"> ФЭС-7 отлив цоколя на брус размеры по месту</t>
        </is>
      </c>
      <c r="E644" s="4">
        <f>N644+O644</f>
        <v/>
      </c>
      <c r="F644" s="3" t="inlineStr">
        <is>
          <t>м.п.</t>
        </is>
      </c>
      <c r="G644" s="4">
        <f>IFERROR('[1]Лист1'!G644,100)</f>
        <v/>
      </c>
      <c r="H644" s="16" t="n">
        <v>100</v>
      </c>
      <c r="I644" s="16" t="n">
        <v>100</v>
      </c>
      <c r="J644" s="16" t="n">
        <v>100</v>
      </c>
      <c r="K644" s="16" t="n">
        <v>100</v>
      </c>
      <c r="L644" s="16" t="n">
        <v>100</v>
      </c>
      <c r="M644" s="16" t="n">
        <v>100</v>
      </c>
      <c r="N644" s="4">
        <f>Работы!S646</f>
        <v/>
      </c>
      <c r="O644" s="4">
        <f>Работы!R646</f>
        <v/>
      </c>
      <c r="P644" s="16" t="n">
        <v>100</v>
      </c>
      <c r="Q644" s="16" t="n">
        <v>100</v>
      </c>
      <c r="R644" s="16" t="n">
        <v>100</v>
      </c>
      <c r="S644" s="16" t="n">
        <v>100</v>
      </c>
      <c r="T644" s="16" t="n">
        <v>100</v>
      </c>
      <c r="U644" s="16" t="n">
        <v>100</v>
      </c>
      <c r="V644" s="16" t="n">
        <v>100</v>
      </c>
      <c r="W644" s="16" t="n">
        <v>100</v>
      </c>
      <c r="X644" s="16" t="n">
        <v>100</v>
      </c>
      <c r="Y644" s="16" t="n">
        <v>100</v>
      </c>
      <c r="Z644" s="16" t="n">
        <v>100</v>
      </c>
      <c r="AA644" s="16" t="n">
        <v>100</v>
      </c>
    </row>
    <row r="645">
      <c r="A645" s="3" t="inlineStr">
        <is>
          <t>Восстановительные работы(улица)</t>
        </is>
      </c>
      <c r="B645" s="3" t="inlineStr">
        <is>
          <t>Уличные фасонные элементы RAL см. по месту</t>
        </is>
      </c>
      <c r="C645" s="3" t="inlineStr">
        <is>
          <t>Восстановительные работы</t>
        </is>
      </c>
      <c r="D645" s="3" t="inlineStr">
        <is>
          <t xml:space="preserve"> ФЭС-8 отлив цоколя размеры по месту</t>
        </is>
      </c>
      <c r="E645" s="4">
        <f>N645+O645</f>
        <v/>
      </c>
      <c r="F645" s="3" t="inlineStr">
        <is>
          <t>м.п.</t>
        </is>
      </c>
      <c r="G645" s="4">
        <f>IFERROR('[1]Лист1'!G645,100)</f>
        <v/>
      </c>
      <c r="H645" s="16" t="n">
        <v>100</v>
      </c>
      <c r="I645" s="16" t="n">
        <v>100</v>
      </c>
      <c r="J645" s="16" t="n">
        <v>100</v>
      </c>
      <c r="K645" s="16" t="n">
        <v>100</v>
      </c>
      <c r="L645" s="16" t="n">
        <v>100</v>
      </c>
      <c r="M645" s="16" t="n">
        <v>100</v>
      </c>
      <c r="N645" s="4">
        <f>Работы!S647</f>
        <v/>
      </c>
      <c r="O645" s="4">
        <f>Работы!R647</f>
        <v/>
      </c>
      <c r="P645" s="16" t="n">
        <v>100</v>
      </c>
      <c r="Q645" s="16" t="n">
        <v>100</v>
      </c>
      <c r="R645" s="16" t="n">
        <v>100</v>
      </c>
      <c r="S645" s="16" t="n">
        <v>100</v>
      </c>
      <c r="T645" s="16" t="n">
        <v>100</v>
      </c>
      <c r="U645" s="16" t="n">
        <v>100</v>
      </c>
      <c r="V645" s="16" t="n">
        <v>100</v>
      </c>
      <c r="W645" s="16" t="n">
        <v>100</v>
      </c>
      <c r="X645" s="16" t="n">
        <v>100</v>
      </c>
      <c r="Y645" s="16" t="n">
        <v>100</v>
      </c>
      <c r="Z645" s="16" t="n">
        <v>100</v>
      </c>
      <c r="AA645" s="16" t="n">
        <v>100</v>
      </c>
    </row>
    <row r="646">
      <c r="A646" s="3" t="inlineStr">
        <is>
          <t>Восстановительные работы(улица)</t>
        </is>
      </c>
      <c r="B646" s="3" t="inlineStr">
        <is>
          <t>Уличные фасонные элементы RAL см. по месту</t>
        </is>
      </c>
      <c r="C646" s="3" t="inlineStr">
        <is>
          <t>Восстановительные работы</t>
        </is>
      </c>
      <c r="D646" s="3" t="inlineStr">
        <is>
          <t>ФЭС-9 отлив цоколя размеры по месту</t>
        </is>
      </c>
      <c r="E646" s="4">
        <f>N646+O646</f>
        <v/>
      </c>
      <c r="F646" s="3" t="inlineStr">
        <is>
          <t>м.п.</t>
        </is>
      </c>
      <c r="G646" s="4">
        <f>IFERROR('[1]Лист1'!G646,100)</f>
        <v/>
      </c>
      <c r="H646" s="16" t="n">
        <v>100</v>
      </c>
      <c r="I646" s="16" t="n">
        <v>100</v>
      </c>
      <c r="J646" s="16" t="n">
        <v>100</v>
      </c>
      <c r="K646" s="16" t="n">
        <v>100</v>
      </c>
      <c r="L646" s="16" t="n">
        <v>100</v>
      </c>
      <c r="M646" s="16" t="n">
        <v>100</v>
      </c>
      <c r="N646" s="4">
        <f>Работы!S648</f>
        <v/>
      </c>
      <c r="O646" s="4">
        <f>Работы!R648</f>
        <v/>
      </c>
      <c r="P646" s="16" t="n">
        <v>100</v>
      </c>
      <c r="Q646" s="16" t="n">
        <v>100</v>
      </c>
      <c r="R646" s="16" t="n">
        <v>100</v>
      </c>
      <c r="S646" s="16" t="n">
        <v>100</v>
      </c>
      <c r="T646" s="16" t="n">
        <v>100</v>
      </c>
      <c r="U646" s="16" t="n">
        <v>100</v>
      </c>
      <c r="V646" s="16" t="n">
        <v>100</v>
      </c>
      <c r="W646" s="16" t="n">
        <v>100</v>
      </c>
      <c r="X646" s="16" t="n">
        <v>100</v>
      </c>
      <c r="Y646" s="16" t="n">
        <v>100</v>
      </c>
      <c r="Z646" s="16" t="n">
        <v>100</v>
      </c>
      <c r="AA646" s="16" t="n">
        <v>100</v>
      </c>
    </row>
    <row r="647">
      <c r="A647" s="3" t="inlineStr">
        <is>
          <t>Восстановительные работы(улица)</t>
        </is>
      </c>
      <c r="B647" s="3" t="inlineStr">
        <is>
          <t>Уличные фасонные элементы RAL см. по месту</t>
        </is>
      </c>
      <c r="C647" s="3" t="inlineStr">
        <is>
          <t>Восстановительные работы</t>
        </is>
      </c>
      <c r="D647" s="3" t="inlineStr">
        <is>
          <t>ФЭС-10 нащельник узла стыка сэндвич-панелей размеры по месту</t>
        </is>
      </c>
      <c r="E647" s="4">
        <f>N647+O647</f>
        <v/>
      </c>
      <c r="F647" s="3" t="inlineStr">
        <is>
          <t>м.п.</t>
        </is>
      </c>
      <c r="G647" s="4">
        <f>IFERROR('[1]Лист1'!G647,100)</f>
        <v/>
      </c>
      <c r="H647" s="16" t="n">
        <v>100</v>
      </c>
      <c r="I647" s="16" t="n">
        <v>100</v>
      </c>
      <c r="J647" s="16" t="n">
        <v>100</v>
      </c>
      <c r="K647" s="16" t="n">
        <v>100</v>
      </c>
      <c r="L647" s="16" t="n">
        <v>100</v>
      </c>
      <c r="M647" s="16" t="n">
        <v>100</v>
      </c>
      <c r="N647" s="4">
        <f>Работы!S649</f>
        <v/>
      </c>
      <c r="O647" s="4">
        <f>Работы!R649</f>
        <v/>
      </c>
      <c r="P647" s="16" t="n">
        <v>100</v>
      </c>
      <c r="Q647" s="16" t="n">
        <v>100</v>
      </c>
      <c r="R647" s="16" t="n">
        <v>100</v>
      </c>
      <c r="S647" s="16" t="n">
        <v>100</v>
      </c>
      <c r="T647" s="16" t="n">
        <v>100</v>
      </c>
      <c r="U647" s="16" t="n">
        <v>100</v>
      </c>
      <c r="V647" s="16" t="n">
        <v>100</v>
      </c>
      <c r="W647" s="16" t="n">
        <v>100</v>
      </c>
      <c r="X647" s="16" t="n">
        <v>100</v>
      </c>
      <c r="Y647" s="16" t="n">
        <v>100</v>
      </c>
      <c r="Z647" s="16" t="n">
        <v>100</v>
      </c>
      <c r="AA647" s="16" t="n">
        <v>100</v>
      </c>
    </row>
    <row r="648">
      <c r="A648" s="3" t="inlineStr">
        <is>
          <t>Восстановительные работы(улица)</t>
        </is>
      </c>
      <c r="B648" s="3" t="inlineStr">
        <is>
          <t>Уличные фасонные элементы RAL см. по месту</t>
        </is>
      </c>
      <c r="C648" s="3" t="inlineStr">
        <is>
          <t>Восстановительные работы</t>
        </is>
      </c>
      <c r="D648" s="3" t="inlineStr">
        <is>
          <t xml:space="preserve"> ФЭС-11 стыковочная рейка на стык панелей размеры по месту</t>
        </is>
      </c>
      <c r="E648" s="4">
        <f>N648+O648</f>
        <v/>
      </c>
      <c r="F648" s="3" t="inlineStr">
        <is>
          <t>м.п.</t>
        </is>
      </c>
      <c r="G648" s="4">
        <f>IFERROR('[1]Лист1'!G648,100)</f>
        <v/>
      </c>
      <c r="H648" s="16" t="n">
        <v>100</v>
      </c>
      <c r="I648" s="16" t="n">
        <v>100</v>
      </c>
      <c r="J648" s="16" t="n">
        <v>100</v>
      </c>
      <c r="K648" s="16" t="n">
        <v>100</v>
      </c>
      <c r="L648" s="16" t="n">
        <v>100</v>
      </c>
      <c r="M648" s="16" t="n">
        <v>100</v>
      </c>
      <c r="N648" s="4">
        <f>Работы!S650</f>
        <v/>
      </c>
      <c r="O648" s="4">
        <f>Работы!R650</f>
        <v/>
      </c>
      <c r="P648" s="16" t="n">
        <v>100</v>
      </c>
      <c r="Q648" s="16" t="n">
        <v>100</v>
      </c>
      <c r="R648" s="16" t="n">
        <v>100</v>
      </c>
      <c r="S648" s="16" t="n">
        <v>100</v>
      </c>
      <c r="T648" s="16" t="n">
        <v>100</v>
      </c>
      <c r="U648" s="16" t="n">
        <v>100</v>
      </c>
      <c r="V648" s="16" t="n">
        <v>100</v>
      </c>
      <c r="W648" s="16" t="n">
        <v>100</v>
      </c>
      <c r="X648" s="16" t="n">
        <v>100</v>
      </c>
      <c r="Y648" s="16" t="n">
        <v>100</v>
      </c>
      <c r="Z648" s="16" t="n">
        <v>100</v>
      </c>
      <c r="AA648" s="16" t="n">
        <v>100</v>
      </c>
    </row>
    <row r="649">
      <c r="A649" s="3" t="inlineStr">
        <is>
          <t>Восстановительные работы(улица)</t>
        </is>
      </c>
      <c r="B649" s="3" t="inlineStr">
        <is>
          <t>Уличные фасонные элементы RAL см. по месту</t>
        </is>
      </c>
      <c r="C649" s="3" t="inlineStr">
        <is>
          <t>Восстановительные работы</t>
        </is>
      </c>
      <c r="D649" s="3" t="inlineStr">
        <is>
          <t>ФЭС-12 нащельник узла стыка сэндвич-панелей размеры по месту</t>
        </is>
      </c>
      <c r="E649" s="4">
        <f>N649+O649</f>
        <v/>
      </c>
      <c r="F649" s="3" t="inlineStr">
        <is>
          <t>м.п.</t>
        </is>
      </c>
      <c r="G649" s="4">
        <f>IFERROR('[1]Лист1'!G649,100)</f>
        <v/>
      </c>
      <c r="H649" s="16" t="n">
        <v>100</v>
      </c>
      <c r="I649" s="16" t="n">
        <v>100</v>
      </c>
      <c r="J649" s="16" t="n">
        <v>100</v>
      </c>
      <c r="K649" s="16" t="n">
        <v>100</v>
      </c>
      <c r="L649" s="16" t="n">
        <v>100</v>
      </c>
      <c r="M649" s="16" t="n">
        <v>100</v>
      </c>
      <c r="N649" s="4">
        <f>Работы!S651</f>
        <v/>
      </c>
      <c r="O649" s="4">
        <f>Работы!R651</f>
        <v/>
      </c>
      <c r="P649" s="16" t="n">
        <v>100</v>
      </c>
      <c r="Q649" s="16" t="n">
        <v>100</v>
      </c>
      <c r="R649" s="16" t="n">
        <v>100</v>
      </c>
      <c r="S649" s="16" t="n">
        <v>100</v>
      </c>
      <c r="T649" s="16" t="n">
        <v>100</v>
      </c>
      <c r="U649" s="16" t="n">
        <v>100</v>
      </c>
      <c r="V649" s="16" t="n">
        <v>100</v>
      </c>
      <c r="W649" s="16" t="n">
        <v>100</v>
      </c>
      <c r="X649" s="16" t="n">
        <v>100</v>
      </c>
      <c r="Y649" s="16" t="n">
        <v>100</v>
      </c>
      <c r="Z649" s="16" t="n">
        <v>100</v>
      </c>
      <c r="AA649" s="16" t="n">
        <v>100</v>
      </c>
    </row>
    <row r="650">
      <c r="A650" s="3" t="inlineStr">
        <is>
          <t>Восстановительные работы(улица)</t>
        </is>
      </c>
      <c r="B650" s="3" t="inlineStr">
        <is>
          <t>Уличные фасонные элементы RAL см. по месту</t>
        </is>
      </c>
      <c r="C650" s="3" t="inlineStr">
        <is>
          <t>Восстановительные работы</t>
        </is>
      </c>
      <c r="D650" s="3" t="inlineStr">
        <is>
          <t>ФЭС-13 нащельник узла стыка сэндвич-панелей размеры по месту</t>
        </is>
      </c>
      <c r="E650" s="4">
        <f>N650+O650</f>
        <v/>
      </c>
      <c r="F650" s="3" t="inlineStr">
        <is>
          <t>м.п.</t>
        </is>
      </c>
      <c r="G650" s="4">
        <f>IFERROR('[1]Лист1'!G650,100)</f>
        <v/>
      </c>
      <c r="H650" s="16" t="n">
        <v>100</v>
      </c>
      <c r="I650" s="16" t="n">
        <v>100</v>
      </c>
      <c r="J650" s="16" t="n">
        <v>100</v>
      </c>
      <c r="K650" s="16" t="n">
        <v>100</v>
      </c>
      <c r="L650" s="16" t="n">
        <v>100</v>
      </c>
      <c r="M650" s="16" t="n">
        <v>100</v>
      </c>
      <c r="N650" s="4">
        <f>Работы!S652</f>
        <v/>
      </c>
      <c r="O650" s="4">
        <f>Работы!R652</f>
        <v/>
      </c>
      <c r="P650" s="16" t="n">
        <v>100</v>
      </c>
      <c r="Q650" s="16" t="n">
        <v>100</v>
      </c>
      <c r="R650" s="16" t="n">
        <v>100</v>
      </c>
      <c r="S650" s="16" t="n">
        <v>100</v>
      </c>
      <c r="T650" s="16" t="n">
        <v>100</v>
      </c>
      <c r="U650" s="16" t="n">
        <v>100</v>
      </c>
      <c r="V650" s="16" t="n">
        <v>100</v>
      </c>
      <c r="W650" s="16" t="n">
        <v>100</v>
      </c>
      <c r="X650" s="16" t="n">
        <v>100</v>
      </c>
      <c r="Y650" s="16" t="n">
        <v>100</v>
      </c>
      <c r="Z650" s="16" t="n">
        <v>100</v>
      </c>
      <c r="AA650" s="16" t="n">
        <v>100</v>
      </c>
    </row>
    <row r="651">
      <c r="A651" s="3" t="inlineStr">
        <is>
          <t>Восстановительные работы(улица)</t>
        </is>
      </c>
      <c r="B651" s="3" t="inlineStr">
        <is>
          <t>Уличные фасонные элементы RAL см. по месту</t>
        </is>
      </c>
      <c r="C651" s="3" t="inlineStr">
        <is>
          <t>Восстановительные работы</t>
        </is>
      </c>
      <c r="D651" s="3" t="inlineStr">
        <is>
          <t>ФЭС-14 нащельник стыковой размеры по месту</t>
        </is>
      </c>
      <c r="E651" s="4">
        <f>N651+O651</f>
        <v/>
      </c>
      <c r="F651" s="3" t="inlineStr">
        <is>
          <t>м.п.</t>
        </is>
      </c>
      <c r="G651" s="4">
        <f>IFERROR('[1]Лист1'!G651,100)</f>
        <v/>
      </c>
      <c r="H651" s="16" t="n">
        <v>100</v>
      </c>
      <c r="I651" s="16" t="n">
        <v>100</v>
      </c>
      <c r="J651" s="16" t="n">
        <v>100</v>
      </c>
      <c r="K651" s="16" t="n">
        <v>100</v>
      </c>
      <c r="L651" s="16" t="n">
        <v>100</v>
      </c>
      <c r="M651" s="16" t="n">
        <v>100</v>
      </c>
      <c r="N651" s="4">
        <f>Работы!S653</f>
        <v/>
      </c>
      <c r="O651" s="4">
        <f>Работы!R653</f>
        <v/>
      </c>
      <c r="P651" s="16" t="n">
        <v>100</v>
      </c>
      <c r="Q651" s="16" t="n">
        <v>100</v>
      </c>
      <c r="R651" s="16" t="n">
        <v>100</v>
      </c>
      <c r="S651" s="16" t="n">
        <v>100</v>
      </c>
      <c r="T651" s="16" t="n">
        <v>100</v>
      </c>
      <c r="U651" s="16" t="n">
        <v>100</v>
      </c>
      <c r="V651" s="16" t="n">
        <v>100</v>
      </c>
      <c r="W651" s="16" t="n">
        <v>100</v>
      </c>
      <c r="X651" s="16" t="n">
        <v>100</v>
      </c>
      <c r="Y651" s="16" t="n">
        <v>100</v>
      </c>
      <c r="Z651" s="16" t="n">
        <v>100</v>
      </c>
      <c r="AA651" s="16" t="n">
        <v>100</v>
      </c>
    </row>
    <row r="652">
      <c r="A652" s="3" t="inlineStr">
        <is>
          <t>Восстановительные работы(улица)</t>
        </is>
      </c>
      <c r="B652" s="3" t="inlineStr">
        <is>
          <t>Уличные фасонные элементы RAL см. по месту</t>
        </is>
      </c>
      <c r="C652" s="3" t="inlineStr">
        <is>
          <t>Восстановительные работы</t>
        </is>
      </c>
      <c r="D652" s="3" t="inlineStr">
        <is>
          <t>ФЭС-16 наружный угол стыка сэндвич-панелей размеры по месту</t>
        </is>
      </c>
      <c r="E652" s="4">
        <f>N652+O652</f>
        <v/>
      </c>
      <c r="F652" s="3" t="inlineStr">
        <is>
          <t>м.п.</t>
        </is>
      </c>
      <c r="G652" s="4">
        <f>IFERROR('[1]Лист1'!G652,100)</f>
        <v/>
      </c>
      <c r="H652" s="16" t="n">
        <v>100</v>
      </c>
      <c r="I652" s="16" t="n">
        <v>100</v>
      </c>
      <c r="J652" s="16" t="n">
        <v>100</v>
      </c>
      <c r="K652" s="16" t="n">
        <v>100</v>
      </c>
      <c r="L652" s="16" t="n">
        <v>100</v>
      </c>
      <c r="M652" s="16" t="n">
        <v>100</v>
      </c>
      <c r="N652" s="4">
        <f>Работы!S654</f>
        <v/>
      </c>
      <c r="O652" s="4">
        <f>Работы!R654</f>
        <v/>
      </c>
      <c r="P652" s="16" t="n">
        <v>100</v>
      </c>
      <c r="Q652" s="16" t="n">
        <v>100</v>
      </c>
      <c r="R652" s="16" t="n">
        <v>100</v>
      </c>
      <c r="S652" s="16" t="n">
        <v>100</v>
      </c>
      <c r="T652" s="16" t="n">
        <v>100</v>
      </c>
      <c r="U652" s="16" t="n">
        <v>100</v>
      </c>
      <c r="V652" s="16" t="n">
        <v>100</v>
      </c>
      <c r="W652" s="16" t="n">
        <v>100</v>
      </c>
      <c r="X652" s="16" t="n">
        <v>100</v>
      </c>
      <c r="Y652" s="16" t="n">
        <v>100</v>
      </c>
      <c r="Z652" s="16" t="n">
        <v>100</v>
      </c>
      <c r="AA652" s="16" t="n">
        <v>100</v>
      </c>
    </row>
    <row r="653">
      <c r="A653" s="3" t="inlineStr">
        <is>
          <t>Восстановительные работы(улица)</t>
        </is>
      </c>
      <c r="B653" s="3" t="inlineStr">
        <is>
          <t>Уличные фасонные элементы RAL см. по месту</t>
        </is>
      </c>
      <c r="C653" s="3" t="inlineStr">
        <is>
          <t>Восстановительные работы</t>
        </is>
      </c>
      <c r="D653" s="3" t="inlineStr">
        <is>
          <t>ФЭС-18 внутренний угол стыка сэндвич-панелей размеры по месту</t>
        </is>
      </c>
      <c r="E653" s="4">
        <f>N653+O653</f>
        <v/>
      </c>
      <c r="F653" s="3" t="inlineStr">
        <is>
          <t>м.п.</t>
        </is>
      </c>
      <c r="G653" s="4">
        <f>IFERROR('[1]Лист1'!G653,100)</f>
        <v/>
      </c>
      <c r="H653" s="16" t="n">
        <v>100</v>
      </c>
      <c r="I653" s="16" t="n">
        <v>100</v>
      </c>
      <c r="J653" s="16" t="n">
        <v>100</v>
      </c>
      <c r="K653" s="16" t="n">
        <v>100</v>
      </c>
      <c r="L653" s="16" t="n">
        <v>100</v>
      </c>
      <c r="M653" s="16" t="n">
        <v>100</v>
      </c>
      <c r="N653" s="4">
        <f>Работы!S655</f>
        <v/>
      </c>
      <c r="O653" s="4">
        <f>Работы!R655</f>
        <v/>
      </c>
      <c r="P653" s="16" t="n">
        <v>100</v>
      </c>
      <c r="Q653" s="16" t="n">
        <v>100</v>
      </c>
      <c r="R653" s="16" t="n">
        <v>100</v>
      </c>
      <c r="S653" s="16" t="n">
        <v>100</v>
      </c>
      <c r="T653" s="16" t="n">
        <v>100</v>
      </c>
      <c r="U653" s="16" t="n">
        <v>100</v>
      </c>
      <c r="V653" s="16" t="n">
        <v>100</v>
      </c>
      <c r="W653" s="16" t="n">
        <v>100</v>
      </c>
      <c r="X653" s="16" t="n">
        <v>100</v>
      </c>
      <c r="Y653" s="16" t="n">
        <v>100</v>
      </c>
      <c r="Z653" s="16" t="n">
        <v>100</v>
      </c>
      <c r="AA653" s="16" t="n">
        <v>100</v>
      </c>
    </row>
    <row r="654">
      <c r="A654" s="3" t="inlineStr">
        <is>
          <t>Восстановительные работы(улица)</t>
        </is>
      </c>
      <c r="B654" s="3" t="inlineStr">
        <is>
          <t>Уличные фасонные элементы RAL см. по месту</t>
        </is>
      </c>
      <c r="C654" s="3" t="inlineStr">
        <is>
          <t>Восстановительные работы</t>
        </is>
      </c>
      <c r="D654" s="3" t="inlineStr">
        <is>
          <t>ФЭС-22 нащельник торцевого среза сэндвич-панели размеры по месту</t>
        </is>
      </c>
      <c r="E654" s="4">
        <f>N654+O654</f>
        <v/>
      </c>
      <c r="F654" s="3" t="inlineStr">
        <is>
          <t>м.п.</t>
        </is>
      </c>
      <c r="G654" s="4">
        <f>IFERROR('[1]Лист1'!G654,100)</f>
        <v/>
      </c>
      <c r="H654" s="16" t="n">
        <v>100</v>
      </c>
      <c r="I654" s="16" t="n">
        <v>100</v>
      </c>
      <c r="J654" s="16" t="n">
        <v>100</v>
      </c>
      <c r="K654" s="16" t="n">
        <v>100</v>
      </c>
      <c r="L654" s="16" t="n">
        <v>100</v>
      </c>
      <c r="M654" s="16" t="n">
        <v>100</v>
      </c>
      <c r="N654" s="4">
        <f>Работы!S656</f>
        <v/>
      </c>
      <c r="O654" s="4">
        <f>Работы!R656</f>
        <v/>
      </c>
      <c r="P654" s="16" t="n">
        <v>100</v>
      </c>
      <c r="Q654" s="16" t="n">
        <v>100</v>
      </c>
      <c r="R654" s="16" t="n">
        <v>100</v>
      </c>
      <c r="S654" s="16" t="n">
        <v>100</v>
      </c>
      <c r="T654" s="16" t="n">
        <v>100</v>
      </c>
      <c r="U654" s="16" t="n">
        <v>100</v>
      </c>
      <c r="V654" s="16" t="n">
        <v>100</v>
      </c>
      <c r="W654" s="16" t="n">
        <v>100</v>
      </c>
      <c r="X654" s="16" t="n">
        <v>100</v>
      </c>
      <c r="Y654" s="16" t="n">
        <v>100</v>
      </c>
      <c r="Z654" s="16" t="n">
        <v>100</v>
      </c>
      <c r="AA654" s="16" t="n">
        <v>100</v>
      </c>
    </row>
    <row r="655">
      <c r="A655" s="3" t="inlineStr">
        <is>
          <t>Восстановительные работы(улица)</t>
        </is>
      </c>
      <c r="B655" s="3" t="inlineStr">
        <is>
          <t>Уличные фасонные элементы RAL см. по месту</t>
        </is>
      </c>
      <c r="C655" s="3" t="inlineStr">
        <is>
          <t>Восстановительные работы</t>
        </is>
      </c>
      <c r="D655" s="3" t="inlineStr">
        <is>
          <t>ФЭС-29 профиль обрамления ворот размеры по месту</t>
        </is>
      </c>
      <c r="E655" s="4">
        <f>N655+O655</f>
        <v/>
      </c>
      <c r="F655" s="3" t="inlineStr">
        <is>
          <t>м.п.</t>
        </is>
      </c>
      <c r="G655" s="4">
        <f>IFERROR('[1]Лист1'!G655,100)</f>
        <v/>
      </c>
      <c r="H655" s="16" t="n">
        <v>100</v>
      </c>
      <c r="I655" s="16" t="n">
        <v>100</v>
      </c>
      <c r="J655" s="16" t="n">
        <v>100</v>
      </c>
      <c r="K655" s="16" t="n">
        <v>100</v>
      </c>
      <c r="L655" s="16" t="n">
        <v>100</v>
      </c>
      <c r="M655" s="16" t="n">
        <v>100</v>
      </c>
      <c r="N655" s="4">
        <f>Работы!S657</f>
        <v/>
      </c>
      <c r="O655" s="4">
        <f>Работы!R657</f>
        <v/>
      </c>
      <c r="P655" s="16" t="n">
        <v>100</v>
      </c>
      <c r="Q655" s="16" t="n">
        <v>100</v>
      </c>
      <c r="R655" s="16" t="n">
        <v>100</v>
      </c>
      <c r="S655" s="16" t="n">
        <v>100</v>
      </c>
      <c r="T655" s="16" t="n">
        <v>100</v>
      </c>
      <c r="U655" s="16" t="n">
        <v>100</v>
      </c>
      <c r="V655" s="16" t="n">
        <v>100</v>
      </c>
      <c r="W655" s="16" t="n">
        <v>100</v>
      </c>
      <c r="X655" s="16" t="n">
        <v>100</v>
      </c>
      <c r="Y655" s="16" t="n">
        <v>100</v>
      </c>
      <c r="Z655" s="16" t="n">
        <v>100</v>
      </c>
      <c r="AA655" s="16" t="n">
        <v>100</v>
      </c>
    </row>
    <row r="656">
      <c r="A656" s="3" t="inlineStr">
        <is>
          <t>Восстановительные работы(улица)</t>
        </is>
      </c>
      <c r="B656" s="3" t="inlineStr">
        <is>
          <t>Уличные фасонные элементы RAL см. по месту</t>
        </is>
      </c>
      <c r="C656" s="3" t="inlineStr">
        <is>
          <t>Восстановительные работы</t>
        </is>
      </c>
      <c r="D656" s="3" t="inlineStr">
        <is>
          <t>ФЭС-30 капельник над воротами размеры по месту</t>
        </is>
      </c>
      <c r="E656" s="4">
        <f>N656+O656</f>
        <v/>
      </c>
      <c r="F656" s="3" t="inlineStr">
        <is>
          <t>м.п.</t>
        </is>
      </c>
      <c r="G656" s="4">
        <f>IFERROR('[1]Лист1'!G656,100)</f>
        <v/>
      </c>
      <c r="H656" s="16" t="n">
        <v>100</v>
      </c>
      <c r="I656" s="16" t="n">
        <v>100</v>
      </c>
      <c r="J656" s="16" t="n">
        <v>100</v>
      </c>
      <c r="K656" s="16" t="n">
        <v>100</v>
      </c>
      <c r="L656" s="16" t="n">
        <v>100</v>
      </c>
      <c r="M656" s="16" t="n">
        <v>100</v>
      </c>
      <c r="N656" s="4">
        <f>Работы!S658</f>
        <v/>
      </c>
      <c r="O656" s="4">
        <f>Работы!R658</f>
        <v/>
      </c>
      <c r="P656" s="16" t="n">
        <v>100</v>
      </c>
      <c r="Q656" s="16" t="n">
        <v>100</v>
      </c>
      <c r="R656" s="16" t="n">
        <v>100</v>
      </c>
      <c r="S656" s="16" t="n">
        <v>100</v>
      </c>
      <c r="T656" s="16" t="n">
        <v>100</v>
      </c>
      <c r="U656" s="16" t="n">
        <v>100</v>
      </c>
      <c r="V656" s="16" t="n">
        <v>100</v>
      </c>
      <c r="W656" s="16" t="n">
        <v>100</v>
      </c>
      <c r="X656" s="16" t="n">
        <v>100</v>
      </c>
      <c r="Y656" s="16" t="n">
        <v>100</v>
      </c>
      <c r="Z656" s="16" t="n">
        <v>100</v>
      </c>
      <c r="AA656" s="16" t="n">
        <v>100</v>
      </c>
    </row>
    <row r="657">
      <c r="A657" s="3" t="inlineStr">
        <is>
          <t>Восстановительные работы(улица)</t>
        </is>
      </c>
      <c r="B657" s="3" t="inlineStr">
        <is>
          <t>Уличные фасонные элементы RAL см. по месту</t>
        </is>
      </c>
      <c r="C657" s="3" t="inlineStr">
        <is>
          <t>Восстановительные работы</t>
        </is>
      </c>
      <c r="D657" s="3" t="inlineStr">
        <is>
          <t>ФЭС-31 наличник обрамления ворот размеры по месту</t>
        </is>
      </c>
      <c r="E657" s="4">
        <f>N657+O657</f>
        <v/>
      </c>
      <c r="F657" s="3" t="inlineStr">
        <is>
          <t>м.п.</t>
        </is>
      </c>
      <c r="G657" s="4">
        <f>IFERROR('[1]Лист1'!G657,100)</f>
        <v/>
      </c>
      <c r="H657" s="16" t="n">
        <v>100</v>
      </c>
      <c r="I657" s="16" t="n">
        <v>100</v>
      </c>
      <c r="J657" s="16" t="n">
        <v>100</v>
      </c>
      <c r="K657" s="16" t="n">
        <v>100</v>
      </c>
      <c r="L657" s="16" t="n">
        <v>100</v>
      </c>
      <c r="M657" s="16" t="n">
        <v>100</v>
      </c>
      <c r="N657" s="4">
        <f>Работы!S659</f>
        <v/>
      </c>
      <c r="O657" s="4">
        <f>Работы!R659</f>
        <v/>
      </c>
      <c r="P657" s="16" t="n">
        <v>100</v>
      </c>
      <c r="Q657" s="16" t="n">
        <v>100</v>
      </c>
      <c r="R657" s="16" t="n">
        <v>100</v>
      </c>
      <c r="S657" s="16" t="n">
        <v>100</v>
      </c>
      <c r="T657" s="16" t="n">
        <v>100</v>
      </c>
      <c r="U657" s="16" t="n">
        <v>100</v>
      </c>
      <c r="V657" s="16" t="n">
        <v>100</v>
      </c>
      <c r="W657" s="16" t="n">
        <v>100</v>
      </c>
      <c r="X657" s="16" t="n">
        <v>100</v>
      </c>
      <c r="Y657" s="16" t="n">
        <v>100</v>
      </c>
      <c r="Z657" s="16" t="n">
        <v>100</v>
      </c>
      <c r="AA657" s="16" t="n">
        <v>100</v>
      </c>
    </row>
    <row r="658">
      <c r="A658" s="3" t="inlineStr">
        <is>
          <t>Восстановительные работы(улица)</t>
        </is>
      </c>
      <c r="B658" s="3" t="inlineStr">
        <is>
          <t>Уличные фасонные элементы RAL см. по месту</t>
        </is>
      </c>
      <c r="C658" s="3" t="inlineStr">
        <is>
          <t>Восстановительные работы</t>
        </is>
      </c>
      <c r="D658" s="3" t="inlineStr">
        <is>
          <t>ФЭС-32 маска проема ворот размеры по месту</t>
        </is>
      </c>
      <c r="E658" s="4">
        <f>N658+O658</f>
        <v/>
      </c>
      <c r="F658" s="3" t="inlineStr">
        <is>
          <t>м.п.</t>
        </is>
      </c>
      <c r="G658" s="4">
        <f>IFERROR('[1]Лист1'!G658,100)</f>
        <v/>
      </c>
      <c r="H658" s="16" t="n">
        <v>100</v>
      </c>
      <c r="I658" s="16" t="n">
        <v>100</v>
      </c>
      <c r="J658" s="16" t="n">
        <v>100</v>
      </c>
      <c r="K658" s="16" t="n">
        <v>100</v>
      </c>
      <c r="L658" s="16" t="n">
        <v>100</v>
      </c>
      <c r="M658" s="16" t="n">
        <v>100</v>
      </c>
      <c r="N658" s="4">
        <f>Работы!S660</f>
        <v/>
      </c>
      <c r="O658" s="4">
        <f>Работы!R660</f>
        <v/>
      </c>
      <c r="P658" s="16" t="n">
        <v>100</v>
      </c>
      <c r="Q658" s="16" t="n">
        <v>100</v>
      </c>
      <c r="R658" s="16" t="n">
        <v>100</v>
      </c>
      <c r="S658" s="16" t="n">
        <v>100</v>
      </c>
      <c r="T658" s="16" t="n">
        <v>100</v>
      </c>
      <c r="U658" s="16" t="n">
        <v>100</v>
      </c>
      <c r="V658" s="16" t="n">
        <v>100</v>
      </c>
      <c r="W658" s="16" t="n">
        <v>100</v>
      </c>
      <c r="X658" s="16" t="n">
        <v>100</v>
      </c>
      <c r="Y658" s="16" t="n">
        <v>100</v>
      </c>
      <c r="Z658" s="16" t="n">
        <v>100</v>
      </c>
      <c r="AA658" s="16" t="n">
        <v>100</v>
      </c>
    </row>
    <row r="659">
      <c r="A659" s="3" t="inlineStr">
        <is>
          <t>Восстановительные работы(улица)</t>
        </is>
      </c>
      <c r="B659" s="3" t="inlineStr">
        <is>
          <t>Уличные фасонные элементы RAL см. по месту</t>
        </is>
      </c>
      <c r="C659" s="3" t="inlineStr">
        <is>
          <t>Восстановительные работы</t>
        </is>
      </c>
      <c r="D659" s="3" t="inlineStr">
        <is>
          <t>ФЭС-33 нащельник обрамления ворот размеры по месту</t>
        </is>
      </c>
      <c r="E659" s="4">
        <f>N659+O659</f>
        <v/>
      </c>
      <c r="F659" s="3" t="inlineStr">
        <is>
          <t>м.п.</t>
        </is>
      </c>
      <c r="G659" s="4">
        <f>IFERROR('[1]Лист1'!G659,100)</f>
        <v/>
      </c>
      <c r="H659" s="16" t="n">
        <v>100</v>
      </c>
      <c r="I659" s="16" t="n">
        <v>100</v>
      </c>
      <c r="J659" s="16" t="n">
        <v>100</v>
      </c>
      <c r="K659" s="16" t="n">
        <v>100</v>
      </c>
      <c r="L659" s="16" t="n">
        <v>100</v>
      </c>
      <c r="M659" s="16" t="n">
        <v>100</v>
      </c>
      <c r="N659" s="4">
        <f>Работы!S661</f>
        <v/>
      </c>
      <c r="O659" s="4">
        <f>Работы!R661</f>
        <v/>
      </c>
      <c r="P659" s="16" t="n">
        <v>100</v>
      </c>
      <c r="Q659" s="16" t="n">
        <v>100</v>
      </c>
      <c r="R659" s="16" t="n">
        <v>100</v>
      </c>
      <c r="S659" s="16" t="n">
        <v>100</v>
      </c>
      <c r="T659" s="16" t="n">
        <v>100</v>
      </c>
      <c r="U659" s="16" t="n">
        <v>100</v>
      </c>
      <c r="V659" s="16" t="n">
        <v>100</v>
      </c>
      <c r="W659" s="16" t="n">
        <v>100</v>
      </c>
      <c r="X659" s="16" t="n">
        <v>100</v>
      </c>
      <c r="Y659" s="16" t="n">
        <v>100</v>
      </c>
      <c r="Z659" s="16" t="n">
        <v>100</v>
      </c>
      <c r="AA659" s="16" t="n">
        <v>100</v>
      </c>
    </row>
    <row r="660">
      <c r="A660" s="3" t="inlineStr">
        <is>
          <t>Восстановительные работы(улица)</t>
        </is>
      </c>
      <c r="B660" s="3" t="inlineStr">
        <is>
          <t>Уличные фасонные элементы RAL см. по месту</t>
        </is>
      </c>
      <c r="C660" s="3" t="inlineStr">
        <is>
          <t>Восстановительные работы</t>
        </is>
      </c>
      <c r="D660" s="3" t="inlineStr">
        <is>
          <t>ФЭС-34 верхний отлив для ворот размеры по месту</t>
        </is>
      </c>
      <c r="E660" s="4">
        <f>N660+O660</f>
        <v/>
      </c>
      <c r="F660" s="3" t="inlineStr">
        <is>
          <t>м.п.</t>
        </is>
      </c>
      <c r="G660" s="4">
        <f>IFERROR('[1]Лист1'!G660,100)</f>
        <v/>
      </c>
      <c r="H660" s="16" t="n">
        <v>100</v>
      </c>
      <c r="I660" s="16" t="n">
        <v>100</v>
      </c>
      <c r="J660" s="16" t="n">
        <v>100</v>
      </c>
      <c r="K660" s="16" t="n">
        <v>100</v>
      </c>
      <c r="L660" s="16" t="n">
        <v>100</v>
      </c>
      <c r="M660" s="16" t="n">
        <v>100</v>
      </c>
      <c r="N660" s="4">
        <f>Работы!S662</f>
        <v/>
      </c>
      <c r="O660" s="4">
        <f>Работы!R662</f>
        <v/>
      </c>
      <c r="P660" s="16" t="n">
        <v>100</v>
      </c>
      <c r="Q660" s="16" t="n">
        <v>100</v>
      </c>
      <c r="R660" s="16" t="n">
        <v>100</v>
      </c>
      <c r="S660" s="16" t="n">
        <v>100</v>
      </c>
      <c r="T660" s="16" t="n">
        <v>100</v>
      </c>
      <c r="U660" s="16" t="n">
        <v>100</v>
      </c>
      <c r="V660" s="16" t="n">
        <v>100</v>
      </c>
      <c r="W660" s="16" t="n">
        <v>100</v>
      </c>
      <c r="X660" s="16" t="n">
        <v>100</v>
      </c>
      <c r="Y660" s="16" t="n">
        <v>100</v>
      </c>
      <c r="Z660" s="16" t="n">
        <v>100</v>
      </c>
      <c r="AA660" s="16" t="n">
        <v>100</v>
      </c>
    </row>
    <row r="661">
      <c r="A661" s="3" t="inlineStr">
        <is>
          <t>Восстановительные работы(улица)</t>
        </is>
      </c>
      <c r="B661" s="3" t="inlineStr">
        <is>
          <t>Уличные фасонные элементы RAL см. по месту</t>
        </is>
      </c>
      <c r="C661" s="3" t="inlineStr">
        <is>
          <t>Восстановительные работы</t>
        </is>
      </c>
      <c r="D661" s="3" t="inlineStr">
        <is>
          <t>ФЭК-1 парапетная крышка размеры по месту</t>
        </is>
      </c>
      <c r="E661" s="4">
        <f>N661+O661</f>
        <v/>
      </c>
      <c r="F661" s="3" t="inlineStr">
        <is>
          <t>м.п.</t>
        </is>
      </c>
      <c r="G661" s="4">
        <f>IFERROR('[1]Лист1'!G661,100)</f>
        <v/>
      </c>
      <c r="H661" s="16" t="n">
        <v>100</v>
      </c>
      <c r="I661" s="16" t="n">
        <v>100</v>
      </c>
      <c r="J661" s="16" t="n">
        <v>100</v>
      </c>
      <c r="K661" s="16" t="n">
        <v>100</v>
      </c>
      <c r="L661" s="16" t="n">
        <v>100</v>
      </c>
      <c r="M661" s="16" t="n">
        <v>100</v>
      </c>
      <c r="N661" s="4">
        <f>Работы!S663</f>
        <v/>
      </c>
      <c r="O661" s="4">
        <f>Работы!R663</f>
        <v/>
      </c>
      <c r="P661" s="16" t="n">
        <v>100</v>
      </c>
      <c r="Q661" s="16" t="n">
        <v>100</v>
      </c>
      <c r="R661" s="16" t="n">
        <v>100</v>
      </c>
      <c r="S661" s="16" t="n">
        <v>100</v>
      </c>
      <c r="T661" s="16" t="n">
        <v>100</v>
      </c>
      <c r="U661" s="16" t="n">
        <v>100</v>
      </c>
      <c r="V661" s="16" t="n">
        <v>100</v>
      </c>
      <c r="W661" s="16" t="n">
        <v>100</v>
      </c>
      <c r="X661" s="16" t="n">
        <v>100</v>
      </c>
      <c r="Y661" s="16" t="n">
        <v>100</v>
      </c>
      <c r="Z661" s="16" t="n">
        <v>100</v>
      </c>
      <c r="AA661" s="16" t="n">
        <v>100</v>
      </c>
    </row>
    <row r="662">
      <c r="A662" s="3" t="inlineStr">
        <is>
          <t>Восстановительные работы(улица)</t>
        </is>
      </c>
      <c r="B662" s="3" t="inlineStr">
        <is>
          <t>Уличные фасонные элементы RAL см. по месту</t>
        </is>
      </c>
      <c r="C662" s="3" t="inlineStr">
        <is>
          <t>Восстановительные работы</t>
        </is>
      </c>
      <c r="D662" s="3" t="inlineStr">
        <is>
          <t>ФЭК-2 парапетная крышка размеры по месту</t>
        </is>
      </c>
      <c r="E662" s="4">
        <f>N662+O662</f>
        <v/>
      </c>
      <c r="F662" s="3" t="inlineStr">
        <is>
          <t>м.п.</t>
        </is>
      </c>
      <c r="G662" s="4">
        <f>IFERROR('[1]Лист1'!G662,100)</f>
        <v/>
      </c>
      <c r="H662" s="16" t="n">
        <v>100</v>
      </c>
      <c r="I662" s="16" t="n">
        <v>100</v>
      </c>
      <c r="J662" s="16" t="n">
        <v>100</v>
      </c>
      <c r="K662" s="16" t="n">
        <v>100</v>
      </c>
      <c r="L662" s="16" t="n">
        <v>100</v>
      </c>
      <c r="M662" s="16" t="n">
        <v>100</v>
      </c>
      <c r="N662" s="4">
        <f>Работы!S664</f>
        <v/>
      </c>
      <c r="O662" s="4">
        <f>Работы!R664</f>
        <v/>
      </c>
      <c r="P662" s="16" t="n">
        <v>100</v>
      </c>
      <c r="Q662" s="16" t="n">
        <v>100</v>
      </c>
      <c r="R662" s="16" t="n">
        <v>100</v>
      </c>
      <c r="S662" s="16" t="n">
        <v>100</v>
      </c>
      <c r="T662" s="16" t="n">
        <v>100</v>
      </c>
      <c r="U662" s="16" t="n">
        <v>100</v>
      </c>
      <c r="V662" s="16" t="n">
        <v>100</v>
      </c>
      <c r="W662" s="16" t="n">
        <v>100</v>
      </c>
      <c r="X662" s="16" t="n">
        <v>100</v>
      </c>
      <c r="Y662" s="16" t="n">
        <v>100</v>
      </c>
      <c r="Z662" s="16" t="n">
        <v>100</v>
      </c>
      <c r="AA662" s="16" t="n">
        <v>100</v>
      </c>
    </row>
    <row r="663">
      <c r="A663" s="3" t="inlineStr">
        <is>
          <t>Восстановительные работы(улица)</t>
        </is>
      </c>
      <c r="B663" s="3" t="inlineStr">
        <is>
          <t>Уличные фасонные элементы RAL см. по месту</t>
        </is>
      </c>
      <c r="C663" s="3" t="inlineStr">
        <is>
          <t>Восстановительные работы</t>
        </is>
      </c>
      <c r="D663" s="3" t="inlineStr">
        <is>
          <t>ФЭК-3 планка примыкания парапета размеры по месту</t>
        </is>
      </c>
      <c r="E663" s="4">
        <f>N663+O663</f>
        <v/>
      </c>
      <c r="F663" s="3" t="inlineStr">
        <is>
          <t>м.п.</t>
        </is>
      </c>
      <c r="G663" s="4">
        <f>IFERROR('[1]Лист1'!G663,100)</f>
        <v/>
      </c>
      <c r="H663" s="16" t="n">
        <v>100</v>
      </c>
      <c r="I663" s="16" t="n">
        <v>100</v>
      </c>
      <c r="J663" s="16" t="n">
        <v>100</v>
      </c>
      <c r="K663" s="16" t="n">
        <v>100</v>
      </c>
      <c r="L663" s="16" t="n">
        <v>100</v>
      </c>
      <c r="M663" s="16" t="n">
        <v>100</v>
      </c>
      <c r="N663" s="4">
        <f>Работы!S665</f>
        <v/>
      </c>
      <c r="O663" s="4">
        <f>Работы!R665</f>
        <v/>
      </c>
      <c r="P663" s="16" t="n">
        <v>100</v>
      </c>
      <c r="Q663" s="16" t="n">
        <v>100</v>
      </c>
      <c r="R663" s="16" t="n">
        <v>100</v>
      </c>
      <c r="S663" s="16" t="n">
        <v>100</v>
      </c>
      <c r="T663" s="16" t="n">
        <v>100</v>
      </c>
      <c r="U663" s="16" t="n">
        <v>100</v>
      </c>
      <c r="V663" s="16" t="n">
        <v>100</v>
      </c>
      <c r="W663" s="16" t="n">
        <v>100</v>
      </c>
      <c r="X663" s="16" t="n">
        <v>100</v>
      </c>
      <c r="Y663" s="16" t="n">
        <v>100</v>
      </c>
      <c r="Z663" s="16" t="n">
        <v>100</v>
      </c>
      <c r="AA663" s="16" t="n">
        <v>100</v>
      </c>
    </row>
    <row r="664">
      <c r="A664" s="3" t="inlineStr">
        <is>
          <t>Восстановительные работы(улица)</t>
        </is>
      </c>
      <c r="B664" s="3" t="inlineStr">
        <is>
          <t>Уличные фасонные элементы RAL см. по месту</t>
        </is>
      </c>
      <c r="C664" s="3" t="inlineStr">
        <is>
          <t>Восстановительные работы</t>
        </is>
      </c>
      <c r="D664" s="3" t="inlineStr">
        <is>
          <t>ФЭК-4 планка примыкания парапета размеры по месту</t>
        </is>
      </c>
      <c r="E664" s="4">
        <f>N664+O664</f>
        <v/>
      </c>
      <c r="F664" s="3" t="inlineStr">
        <is>
          <t>м.п.</t>
        </is>
      </c>
      <c r="G664" s="4">
        <f>IFERROR('[1]Лист1'!G664,100)</f>
        <v/>
      </c>
      <c r="H664" s="16" t="n">
        <v>100</v>
      </c>
      <c r="I664" s="16" t="n">
        <v>100</v>
      </c>
      <c r="J664" s="16" t="n">
        <v>100</v>
      </c>
      <c r="K664" s="16" t="n">
        <v>100</v>
      </c>
      <c r="L664" s="16" t="n">
        <v>100</v>
      </c>
      <c r="M664" s="16" t="n">
        <v>100</v>
      </c>
      <c r="N664" s="4">
        <f>Работы!S666</f>
        <v/>
      </c>
      <c r="O664" s="4">
        <f>Работы!R666</f>
        <v/>
      </c>
      <c r="P664" s="16" t="n">
        <v>100</v>
      </c>
      <c r="Q664" s="16" t="n">
        <v>100</v>
      </c>
      <c r="R664" s="16" t="n">
        <v>100</v>
      </c>
      <c r="S664" s="16" t="n">
        <v>100</v>
      </c>
      <c r="T664" s="16" t="n">
        <v>100</v>
      </c>
      <c r="U664" s="16" t="n">
        <v>100</v>
      </c>
      <c r="V664" s="16" t="n">
        <v>100</v>
      </c>
      <c r="W664" s="16" t="n">
        <v>100</v>
      </c>
      <c r="X664" s="16" t="n">
        <v>100</v>
      </c>
      <c r="Y664" s="16" t="n">
        <v>100</v>
      </c>
      <c r="Z664" s="16" t="n">
        <v>100</v>
      </c>
      <c r="AA664" s="16" t="n">
        <v>100</v>
      </c>
    </row>
    <row r="665">
      <c r="A665" s="3" t="inlineStr">
        <is>
          <t>Восстановительные работы(улица)</t>
        </is>
      </c>
      <c r="B665" s="3" t="inlineStr">
        <is>
          <t>Уличные фасонные элементы RAL см. по месту</t>
        </is>
      </c>
      <c r="C665" s="3" t="inlineStr">
        <is>
          <t>Восстановительные работы</t>
        </is>
      </c>
      <c r="D665" s="3" t="inlineStr">
        <is>
          <t>ФЭК-6 примыкание к парапету поперечное размеры по месту</t>
        </is>
      </c>
      <c r="E665" s="4">
        <f>N665+O665</f>
        <v/>
      </c>
      <c r="F665" s="3" t="inlineStr">
        <is>
          <t>м.п.</t>
        </is>
      </c>
      <c r="G665" s="4">
        <f>IFERROR('[1]Лист1'!G665,100)</f>
        <v/>
      </c>
      <c r="H665" s="16" t="n">
        <v>100</v>
      </c>
      <c r="I665" s="16" t="n">
        <v>100</v>
      </c>
      <c r="J665" s="16" t="n">
        <v>100</v>
      </c>
      <c r="K665" s="16" t="n">
        <v>100</v>
      </c>
      <c r="L665" s="16" t="n">
        <v>100</v>
      </c>
      <c r="M665" s="16" t="n">
        <v>100</v>
      </c>
      <c r="N665" s="4">
        <f>Работы!S667</f>
        <v/>
      </c>
      <c r="O665" s="4">
        <f>Работы!R667</f>
        <v/>
      </c>
      <c r="P665" s="16" t="n">
        <v>100</v>
      </c>
      <c r="Q665" s="16" t="n">
        <v>100</v>
      </c>
      <c r="R665" s="16" t="n">
        <v>100</v>
      </c>
      <c r="S665" s="16" t="n">
        <v>100</v>
      </c>
      <c r="T665" s="16" t="n">
        <v>100</v>
      </c>
      <c r="U665" s="16" t="n">
        <v>100</v>
      </c>
      <c r="V665" s="16" t="n">
        <v>100</v>
      </c>
      <c r="W665" s="16" t="n">
        <v>100</v>
      </c>
      <c r="X665" s="16" t="n">
        <v>100</v>
      </c>
      <c r="Y665" s="16" t="n">
        <v>100</v>
      </c>
      <c r="Z665" s="16" t="n">
        <v>100</v>
      </c>
      <c r="AA665" s="16" t="n">
        <v>100</v>
      </c>
    </row>
    <row r="666">
      <c r="A666" s="3" t="inlineStr">
        <is>
          <t>Восстановительные работы(улица)</t>
        </is>
      </c>
      <c r="B666" s="3" t="inlineStr">
        <is>
          <t>Уличные фасонные элементы RAL см. по месту</t>
        </is>
      </c>
      <c r="C666" s="3" t="inlineStr">
        <is>
          <t>Восстановительные работы</t>
        </is>
      </c>
      <c r="D666" s="3" t="inlineStr">
        <is>
          <t>ФЭК-20 ветровая планка размеры по месту</t>
        </is>
      </c>
      <c r="E666" s="4">
        <f>N666+O666</f>
        <v/>
      </c>
      <c r="F666" s="3" t="inlineStr">
        <is>
          <t>м.п.</t>
        </is>
      </c>
      <c r="G666" s="4">
        <f>IFERROR('[1]Лист1'!G666,100)</f>
        <v/>
      </c>
      <c r="H666" s="16" t="n">
        <v>100</v>
      </c>
      <c r="I666" s="16" t="n">
        <v>100</v>
      </c>
      <c r="J666" s="16" t="n">
        <v>100</v>
      </c>
      <c r="K666" s="16" t="n">
        <v>100</v>
      </c>
      <c r="L666" s="16" t="n">
        <v>100</v>
      </c>
      <c r="M666" s="16" t="n">
        <v>100</v>
      </c>
      <c r="N666" s="4">
        <f>Работы!S668</f>
        <v/>
      </c>
      <c r="O666" s="4">
        <f>Работы!R668</f>
        <v/>
      </c>
      <c r="P666" s="16" t="n">
        <v>100</v>
      </c>
      <c r="Q666" s="16" t="n">
        <v>100</v>
      </c>
      <c r="R666" s="16" t="n">
        <v>100</v>
      </c>
      <c r="S666" s="16" t="n">
        <v>100</v>
      </c>
      <c r="T666" s="16" t="n">
        <v>100</v>
      </c>
      <c r="U666" s="16" t="n">
        <v>100</v>
      </c>
      <c r="V666" s="16" t="n">
        <v>100</v>
      </c>
      <c r="W666" s="16" t="n">
        <v>100</v>
      </c>
      <c r="X666" s="16" t="n">
        <v>100</v>
      </c>
      <c r="Y666" s="16" t="n">
        <v>100</v>
      </c>
      <c r="Z666" s="16" t="n">
        <v>100</v>
      </c>
      <c r="AA666" s="16" t="n">
        <v>100</v>
      </c>
    </row>
    <row r="667">
      <c r="A667" s="3" t="inlineStr">
        <is>
          <t>Восстановительные работы(улица)</t>
        </is>
      </c>
      <c r="B667" s="3" t="inlineStr">
        <is>
          <t>Уличные фасонные элементы RAL см. по месту</t>
        </is>
      </c>
      <c r="C667" s="3" t="inlineStr">
        <is>
          <t>Восстановительные работы</t>
        </is>
      </c>
      <c r="D667" s="3" t="inlineStr">
        <is>
          <t>Уплотнительная лента ППЭ 3/30 20м.п</t>
        </is>
      </c>
      <c r="E667" s="4">
        <f>N667+O667</f>
        <v/>
      </c>
      <c r="F667" s="3" t="inlineStr">
        <is>
          <t>комплект</t>
        </is>
      </c>
      <c r="G667" s="4">
        <f>IFERROR('[1]Лист1'!G667,100)</f>
        <v/>
      </c>
      <c r="H667" s="16" t="n">
        <v>100</v>
      </c>
      <c r="I667" s="16" t="n">
        <v>100</v>
      </c>
      <c r="J667" s="16" t="n">
        <v>100</v>
      </c>
      <c r="K667" s="16" t="n">
        <v>100</v>
      </c>
      <c r="L667" s="16" t="n">
        <v>100</v>
      </c>
      <c r="M667" s="16" t="n">
        <v>100</v>
      </c>
      <c r="N667" s="4">
        <f>Работы!S669</f>
        <v/>
      </c>
      <c r="O667" s="4">
        <f>Работы!R669</f>
        <v/>
      </c>
      <c r="P667" s="16" t="n">
        <v>100</v>
      </c>
      <c r="Q667" s="16" t="n">
        <v>100</v>
      </c>
      <c r="R667" s="16" t="n">
        <v>100</v>
      </c>
      <c r="S667" s="16" t="n">
        <v>100</v>
      </c>
      <c r="T667" s="16" t="n">
        <v>100</v>
      </c>
      <c r="U667" s="16" t="n">
        <v>100</v>
      </c>
      <c r="V667" s="16" t="n">
        <v>100</v>
      </c>
      <c r="W667" s="16" t="n">
        <v>100</v>
      </c>
      <c r="X667" s="16" t="n">
        <v>100</v>
      </c>
      <c r="Y667" s="16" t="n">
        <v>100</v>
      </c>
      <c r="Z667" s="16" t="n">
        <v>100</v>
      </c>
      <c r="AA667" s="16" t="n">
        <v>100</v>
      </c>
    </row>
    <row r="668">
      <c r="A668" s="3" t="inlineStr">
        <is>
          <t>Восстановительные работы(улица)</t>
        </is>
      </c>
      <c r="B668" s="3" t="inlineStr">
        <is>
          <t>Шлагбаумы</t>
        </is>
      </c>
      <c r="C668" s="3" t="inlineStr">
        <is>
          <t>Восстановительные работы</t>
        </is>
      </c>
      <c r="D668" s="3" t="inlineStr">
        <is>
          <t>Шлагбаум  Came  GARD  6500 или аналог включая монтажно-демонтажные работы и ПНР</t>
        </is>
      </c>
      <c r="E668" s="4">
        <f>N668+O668</f>
        <v/>
      </c>
      <c r="F668" s="3" t="inlineStr">
        <is>
          <t>шт</t>
        </is>
      </c>
      <c r="G668" s="4">
        <f>IFERROR('[1]Лист1'!G668,100)</f>
        <v/>
      </c>
      <c r="H668" s="16" t="n">
        <v>100</v>
      </c>
      <c r="I668" s="16" t="n">
        <v>100</v>
      </c>
      <c r="J668" s="16" t="n">
        <v>100</v>
      </c>
      <c r="K668" s="16" t="n">
        <v>100</v>
      </c>
      <c r="L668" s="16" t="n">
        <v>100</v>
      </c>
      <c r="M668" s="16" t="n">
        <v>100</v>
      </c>
      <c r="N668" s="4">
        <f>Работы!S670</f>
        <v/>
      </c>
      <c r="O668" s="4">
        <f>Работы!R670</f>
        <v/>
      </c>
      <c r="P668" s="16" t="n">
        <v>100</v>
      </c>
      <c r="Q668" s="16" t="n">
        <v>100</v>
      </c>
      <c r="R668" s="16" t="n">
        <v>100</v>
      </c>
      <c r="S668" s="16" t="n">
        <v>100</v>
      </c>
      <c r="T668" s="16" t="n">
        <v>100</v>
      </c>
      <c r="U668" s="16" t="n">
        <v>100</v>
      </c>
      <c r="V668" s="16" t="n">
        <v>100</v>
      </c>
      <c r="W668" s="16" t="n">
        <v>100</v>
      </c>
      <c r="X668" s="16" t="n">
        <v>100</v>
      </c>
      <c r="Y668" s="16" t="n">
        <v>100</v>
      </c>
      <c r="Z668" s="16" t="n">
        <v>100</v>
      </c>
      <c r="AA668" s="16" t="n">
        <v>100</v>
      </c>
    </row>
    <row r="669">
      <c r="A669" s="3" t="inlineStr">
        <is>
          <t>Восстановительные работы(улица)</t>
        </is>
      </c>
      <c r="B669" s="3" t="inlineStr">
        <is>
          <t>перила</t>
        </is>
      </c>
      <c r="C669" s="3" t="inlineStr">
        <is>
          <t>Восстановительные работы</t>
        </is>
      </c>
      <c r="D669" s="3" t="inlineStr">
        <is>
          <t>Перила для лестницы нержавейка комплект АЛЮТРЕЙД или аналог  включая монтаж и анкерное крепление</t>
        </is>
      </c>
      <c r="E669" s="4">
        <f>N669+O669</f>
        <v/>
      </c>
      <c r="F669" s="3" t="inlineStr">
        <is>
          <t>м.п.</t>
        </is>
      </c>
      <c r="G669" s="4">
        <f>IFERROR('[1]Лист1'!G669,100)</f>
        <v/>
      </c>
      <c r="H669" s="16" t="n">
        <v>100</v>
      </c>
      <c r="I669" s="16" t="n">
        <v>100</v>
      </c>
      <c r="J669" s="16" t="n">
        <v>100</v>
      </c>
      <c r="K669" s="16" t="n">
        <v>100</v>
      </c>
      <c r="L669" s="16" t="n">
        <v>100</v>
      </c>
      <c r="M669" s="16" t="n">
        <v>100</v>
      </c>
      <c r="N669" s="4">
        <f>Работы!S671</f>
        <v/>
      </c>
      <c r="O669" s="4">
        <f>Работы!R671</f>
        <v/>
      </c>
      <c r="P669" s="16" t="n">
        <v>100</v>
      </c>
      <c r="Q669" s="16" t="n">
        <v>100</v>
      </c>
      <c r="R669" s="16" t="n">
        <v>100</v>
      </c>
      <c r="S669" s="16" t="n">
        <v>100</v>
      </c>
      <c r="T669" s="16" t="n">
        <v>100</v>
      </c>
      <c r="U669" s="16" t="n">
        <v>100</v>
      </c>
      <c r="V669" s="16" t="n">
        <v>100</v>
      </c>
      <c r="W669" s="16" t="n">
        <v>100</v>
      </c>
      <c r="X669" s="16" t="n">
        <v>100</v>
      </c>
      <c r="Y669" s="16" t="n">
        <v>100</v>
      </c>
      <c r="Z669" s="16" t="n">
        <v>100</v>
      </c>
      <c r="AA669" s="16" t="n">
        <v>100</v>
      </c>
    </row>
    <row r="670">
      <c r="A670" s="3" t="inlineStr">
        <is>
          <t>Восстановительные работы(улица)</t>
        </is>
      </c>
      <c r="B670" s="3" t="n"/>
      <c r="C670" s="3" t="inlineStr">
        <is>
          <t>Восстановительные работы</t>
        </is>
      </c>
      <c r="D670" s="3" t="inlineStr">
        <is>
          <t>Профнастил С-10 дляфасада RAL по месту</t>
        </is>
      </c>
      <c r="E670" s="4">
        <f>N670+O670</f>
        <v/>
      </c>
      <c r="F670" s="3" t="inlineStr">
        <is>
          <t>м2</t>
        </is>
      </c>
      <c r="G670" s="4">
        <f>IFERROR('[1]Лист1'!G670,100)</f>
        <v/>
      </c>
      <c r="H670" s="16" t="n">
        <v>100</v>
      </c>
      <c r="I670" s="16" t="n">
        <v>100</v>
      </c>
      <c r="J670" s="16" t="n">
        <v>100</v>
      </c>
      <c r="K670" s="16" t="n">
        <v>100</v>
      </c>
      <c r="L670" s="16" t="n">
        <v>100</v>
      </c>
      <c r="M670" s="16" t="n">
        <v>100</v>
      </c>
      <c r="N670" s="4">
        <f>Работы!S672</f>
        <v/>
      </c>
      <c r="O670" s="4">
        <f>Работы!R672</f>
        <v/>
      </c>
      <c r="P670" s="16" t="n">
        <v>100</v>
      </c>
      <c r="Q670" s="16" t="n">
        <v>100</v>
      </c>
      <c r="R670" s="16" t="n">
        <v>100</v>
      </c>
      <c r="S670" s="16" t="n">
        <v>100</v>
      </c>
      <c r="T670" s="16" t="n">
        <v>100</v>
      </c>
      <c r="U670" s="16" t="n">
        <v>100</v>
      </c>
      <c r="V670" s="16" t="n">
        <v>100</v>
      </c>
      <c r="W670" s="16" t="n">
        <v>100</v>
      </c>
      <c r="X670" s="16" t="n">
        <v>100</v>
      </c>
      <c r="Y670" s="16" t="n">
        <v>100</v>
      </c>
      <c r="Z670" s="16" t="n">
        <v>100</v>
      </c>
      <c r="AA670" s="16" t="n">
        <v>100</v>
      </c>
    </row>
  </sheetData>
  <autoFilter ref="A1:AA670"/>
  <pageMargins left="0.75" right="0.75" top="1" bottom="1" header="0.5" footer="0.5"/>
  <pageSetup orientation="landscape" paperSize="9" fitToHeight="0" fitToWidth="1"/>
  <headerFooter>
    <oddHeader/>
    <oddFooter>&amp;RНЕОСТРОЙ  |  стр. &amp;P из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676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Коммерческое предложение — OZON склады МСК-2</t>
        </is>
      </c>
    </row>
    <row r="2">
      <c r="A2" t="inlineStr">
        <is>
          <t>ООО «НЕОСТРОЙ». Цены без НДС. Суммы — формулы с листа «Работы».</t>
        </is>
      </c>
    </row>
    <row r="3"/>
    <row r="4" ht="32" customHeight="1">
      <c r="A4" s="2" t="inlineStr">
        <is>
          <t>№</t>
        </is>
      </c>
      <c r="B4" s="2" t="inlineStr">
        <is>
          <t>Позиция</t>
        </is>
      </c>
      <c r="C4" s="2" t="inlineStr">
        <is>
          <t>Ед.</t>
        </is>
      </c>
      <c r="D4" s="2" t="inlineStr">
        <is>
          <t>Кол-во</t>
        </is>
      </c>
      <c r="E4" s="2" t="inlineStr">
        <is>
          <t>Материалы за ед.</t>
        </is>
      </c>
      <c r="F4" s="2" t="inlineStr">
        <is>
          <t>Работа за ед.</t>
        </is>
      </c>
      <c r="G4" s="2" t="inlineStr">
        <is>
          <t>Сумма</t>
        </is>
      </c>
    </row>
    <row r="5">
      <c r="A5" s="9" t="n">
        <v>1</v>
      </c>
      <c r="B5" s="3">
        <f>Работы!B4</f>
        <v/>
      </c>
      <c r="C5" s="3">
        <f>Работы!C4</f>
        <v/>
      </c>
      <c r="D5" s="4">
        <f>Работы!D4</f>
        <v/>
      </c>
      <c r="E5" s="4">
        <f>Работы!S4</f>
        <v/>
      </c>
      <c r="F5" s="4">
        <f>Работы!R4</f>
        <v/>
      </c>
      <c r="G5" s="4">
        <f>(E5+F5)*D5</f>
        <v/>
      </c>
    </row>
    <row r="6">
      <c r="A6" s="9" t="n">
        <v>2</v>
      </c>
      <c r="B6" s="3">
        <f>Работы!B5</f>
        <v/>
      </c>
      <c r="C6" s="3">
        <f>Работы!C5</f>
        <v/>
      </c>
      <c r="D6" s="4">
        <f>Работы!D5</f>
        <v/>
      </c>
      <c r="E6" s="4">
        <f>Работы!S5</f>
        <v/>
      </c>
      <c r="F6" s="4">
        <f>Работы!R5</f>
        <v/>
      </c>
      <c r="G6" s="4">
        <f>(E6+F6)*D6</f>
        <v/>
      </c>
    </row>
    <row r="7">
      <c r="A7" s="9" t="n">
        <v>3</v>
      </c>
      <c r="B7" s="3">
        <f>Работы!B6</f>
        <v/>
      </c>
      <c r="C7" s="3">
        <f>Работы!C6</f>
        <v/>
      </c>
      <c r="D7" s="4">
        <f>Работы!D6</f>
        <v/>
      </c>
      <c r="E7" s="4">
        <f>Работы!S6</f>
        <v/>
      </c>
      <c r="F7" s="4">
        <f>Работы!R6</f>
        <v/>
      </c>
      <c r="G7" s="4">
        <f>(E7+F7)*D7</f>
        <v/>
      </c>
    </row>
    <row r="8">
      <c r="A8" s="9" t="n">
        <v>4</v>
      </c>
      <c r="B8" s="3">
        <f>Работы!B7</f>
        <v/>
      </c>
      <c r="C8" s="3">
        <f>Работы!C7</f>
        <v/>
      </c>
      <c r="D8" s="4">
        <f>Работы!D7</f>
        <v/>
      </c>
      <c r="E8" s="4">
        <f>Работы!S7</f>
        <v/>
      </c>
      <c r="F8" s="4">
        <f>Работы!R7</f>
        <v/>
      </c>
      <c r="G8" s="4">
        <f>(E8+F8)*D8</f>
        <v/>
      </c>
    </row>
    <row r="9">
      <c r="A9" s="9" t="n">
        <v>5</v>
      </c>
      <c r="B9" s="3">
        <f>Работы!B8</f>
        <v/>
      </c>
      <c r="C9" s="3">
        <f>Работы!C8</f>
        <v/>
      </c>
      <c r="D9" s="4">
        <f>Работы!D8</f>
        <v/>
      </c>
      <c r="E9" s="4">
        <f>Работы!S8</f>
        <v/>
      </c>
      <c r="F9" s="4">
        <f>Работы!R8</f>
        <v/>
      </c>
      <c r="G9" s="4">
        <f>(E9+F9)*D9</f>
        <v/>
      </c>
    </row>
    <row r="10">
      <c r="A10" s="9" t="n">
        <v>6</v>
      </c>
      <c r="B10" s="3">
        <f>Работы!B9</f>
        <v/>
      </c>
      <c r="C10" s="3">
        <f>Работы!C9</f>
        <v/>
      </c>
      <c r="D10" s="4">
        <f>Работы!D9</f>
        <v/>
      </c>
      <c r="E10" s="4">
        <f>Работы!S9</f>
        <v/>
      </c>
      <c r="F10" s="4">
        <f>Работы!R9</f>
        <v/>
      </c>
      <c r="G10" s="4">
        <f>(E10+F10)*D10</f>
        <v/>
      </c>
    </row>
    <row r="11">
      <c r="A11" s="9" t="n">
        <v>7</v>
      </c>
      <c r="B11" s="3">
        <f>Работы!B10</f>
        <v/>
      </c>
      <c r="C11" s="3">
        <f>Работы!C10</f>
        <v/>
      </c>
      <c r="D11" s="4">
        <f>Работы!D10</f>
        <v/>
      </c>
      <c r="E11" s="4">
        <f>Работы!S10</f>
        <v/>
      </c>
      <c r="F11" s="4">
        <f>Работы!R10</f>
        <v/>
      </c>
      <c r="G11" s="4">
        <f>(E11+F11)*D11</f>
        <v/>
      </c>
    </row>
    <row r="12">
      <c r="A12" s="9" t="n">
        <v>8</v>
      </c>
      <c r="B12" s="3">
        <f>Работы!B11</f>
        <v/>
      </c>
      <c r="C12" s="3">
        <f>Работы!C11</f>
        <v/>
      </c>
      <c r="D12" s="4">
        <f>Работы!D11</f>
        <v/>
      </c>
      <c r="E12" s="4">
        <f>Работы!S11</f>
        <v/>
      </c>
      <c r="F12" s="4">
        <f>Работы!R11</f>
        <v/>
      </c>
      <c r="G12" s="4">
        <f>(E12+F12)*D12</f>
        <v/>
      </c>
    </row>
    <row r="13">
      <c r="A13" s="9" t="n">
        <v>9</v>
      </c>
      <c r="B13" s="3">
        <f>Работы!B12</f>
        <v/>
      </c>
      <c r="C13" s="3">
        <f>Работы!C12</f>
        <v/>
      </c>
      <c r="D13" s="4">
        <f>Работы!D12</f>
        <v/>
      </c>
      <c r="E13" s="4">
        <f>Работы!S12</f>
        <v/>
      </c>
      <c r="F13" s="4">
        <f>Работы!R12</f>
        <v/>
      </c>
      <c r="G13" s="4">
        <f>(E13+F13)*D13</f>
        <v/>
      </c>
    </row>
    <row r="14">
      <c r="A14" s="9" t="n">
        <v>10</v>
      </c>
      <c r="B14" s="3">
        <f>Работы!B13</f>
        <v/>
      </c>
      <c r="C14" s="3">
        <f>Работы!C13</f>
        <v/>
      </c>
      <c r="D14" s="4">
        <f>Работы!D13</f>
        <v/>
      </c>
      <c r="E14" s="4">
        <f>Работы!S13</f>
        <v/>
      </c>
      <c r="F14" s="4">
        <f>Работы!R13</f>
        <v/>
      </c>
      <c r="G14" s="4">
        <f>(E14+F14)*D14</f>
        <v/>
      </c>
    </row>
    <row r="15">
      <c r="A15" s="9" t="n">
        <v>11</v>
      </c>
      <c r="B15" s="3">
        <f>Работы!B14</f>
        <v/>
      </c>
      <c r="C15" s="3">
        <f>Работы!C14</f>
        <v/>
      </c>
      <c r="D15" s="4">
        <f>Работы!D14</f>
        <v/>
      </c>
      <c r="E15" s="4">
        <f>Работы!S14</f>
        <v/>
      </c>
      <c r="F15" s="4">
        <f>Работы!R14</f>
        <v/>
      </c>
      <c r="G15" s="4">
        <f>(E15+F15)*D15</f>
        <v/>
      </c>
    </row>
    <row r="16">
      <c r="A16" s="9" t="n">
        <v>12</v>
      </c>
      <c r="B16" s="3">
        <f>Работы!B15</f>
        <v/>
      </c>
      <c r="C16" s="3">
        <f>Работы!C15</f>
        <v/>
      </c>
      <c r="D16" s="4">
        <f>Работы!D15</f>
        <v/>
      </c>
      <c r="E16" s="4">
        <f>Работы!S15</f>
        <v/>
      </c>
      <c r="F16" s="4">
        <f>Работы!R15</f>
        <v/>
      </c>
      <c r="G16" s="4">
        <f>(E16+F16)*D16</f>
        <v/>
      </c>
    </row>
    <row r="17">
      <c r="A17" s="9" t="n">
        <v>13</v>
      </c>
      <c r="B17" s="3">
        <f>Работы!B16</f>
        <v/>
      </c>
      <c r="C17" s="3">
        <f>Работы!C16</f>
        <v/>
      </c>
      <c r="D17" s="4">
        <f>Работы!D16</f>
        <v/>
      </c>
      <c r="E17" s="4">
        <f>Работы!S16</f>
        <v/>
      </c>
      <c r="F17" s="4">
        <f>Работы!R16</f>
        <v/>
      </c>
      <c r="G17" s="4">
        <f>(E17+F17)*D17</f>
        <v/>
      </c>
    </row>
    <row r="18">
      <c r="A18" s="9" t="n">
        <v>14</v>
      </c>
      <c r="B18" s="3">
        <f>Работы!B17</f>
        <v/>
      </c>
      <c r="C18" s="3">
        <f>Работы!C17</f>
        <v/>
      </c>
      <c r="D18" s="4">
        <f>Работы!D17</f>
        <v/>
      </c>
      <c r="E18" s="4">
        <f>Работы!S17</f>
        <v/>
      </c>
      <c r="F18" s="4">
        <f>Работы!R17</f>
        <v/>
      </c>
      <c r="G18" s="4">
        <f>(E18+F18)*D18</f>
        <v/>
      </c>
    </row>
    <row r="19">
      <c r="A19" s="9" t="n">
        <v>15</v>
      </c>
      <c r="B19" s="3">
        <f>Работы!B18</f>
        <v/>
      </c>
      <c r="C19" s="3">
        <f>Работы!C18</f>
        <v/>
      </c>
      <c r="D19" s="4">
        <f>Работы!D18</f>
        <v/>
      </c>
      <c r="E19" s="4">
        <f>Работы!S18</f>
        <v/>
      </c>
      <c r="F19" s="4">
        <f>Работы!R18</f>
        <v/>
      </c>
      <c r="G19" s="4">
        <f>(E19+F19)*D19</f>
        <v/>
      </c>
    </row>
    <row r="20">
      <c r="A20" s="9" t="n">
        <v>16</v>
      </c>
      <c r="B20" s="3">
        <f>Работы!B19</f>
        <v/>
      </c>
      <c r="C20" s="3">
        <f>Работы!C19</f>
        <v/>
      </c>
      <c r="D20" s="4">
        <f>Работы!D19</f>
        <v/>
      </c>
      <c r="E20" s="4">
        <f>Работы!S19</f>
        <v/>
      </c>
      <c r="F20" s="4">
        <f>Работы!R19</f>
        <v/>
      </c>
      <c r="G20" s="4">
        <f>(E20+F20)*D20</f>
        <v/>
      </c>
    </row>
    <row r="21">
      <c r="A21" s="9" t="n">
        <v>17</v>
      </c>
      <c r="B21" s="3">
        <f>Работы!B20</f>
        <v/>
      </c>
      <c r="C21" s="3">
        <f>Работы!C20</f>
        <v/>
      </c>
      <c r="D21" s="4">
        <f>Работы!D20</f>
        <v/>
      </c>
      <c r="E21" s="4">
        <f>Работы!S20</f>
        <v/>
      </c>
      <c r="F21" s="4">
        <f>Работы!R20</f>
        <v/>
      </c>
      <c r="G21" s="4">
        <f>(E21+F21)*D21</f>
        <v/>
      </c>
    </row>
    <row r="22">
      <c r="A22" s="9" t="n">
        <v>18</v>
      </c>
      <c r="B22" s="3">
        <f>Работы!B21</f>
        <v/>
      </c>
      <c r="C22" s="3">
        <f>Работы!C21</f>
        <v/>
      </c>
      <c r="D22" s="4">
        <f>Работы!D21</f>
        <v/>
      </c>
      <c r="E22" s="4">
        <f>Работы!S21</f>
        <v/>
      </c>
      <c r="F22" s="4">
        <f>Работы!R21</f>
        <v/>
      </c>
      <c r="G22" s="4">
        <f>(E22+F22)*D22</f>
        <v/>
      </c>
    </row>
    <row r="23">
      <c r="A23" s="9" t="n">
        <v>19</v>
      </c>
      <c r="B23" s="3">
        <f>Работы!B22</f>
        <v/>
      </c>
      <c r="C23" s="3">
        <f>Работы!C22</f>
        <v/>
      </c>
      <c r="D23" s="4">
        <f>Работы!D22</f>
        <v/>
      </c>
      <c r="E23" s="4">
        <f>Работы!S22</f>
        <v/>
      </c>
      <c r="F23" s="4">
        <f>Работы!R22</f>
        <v/>
      </c>
      <c r="G23" s="4">
        <f>(E23+F23)*D23</f>
        <v/>
      </c>
    </row>
    <row r="24">
      <c r="A24" s="9" t="n">
        <v>20</v>
      </c>
      <c r="B24" s="3">
        <f>Работы!B23</f>
        <v/>
      </c>
      <c r="C24" s="3">
        <f>Работы!C23</f>
        <v/>
      </c>
      <c r="D24" s="4">
        <f>Работы!D23</f>
        <v/>
      </c>
      <c r="E24" s="4">
        <f>Работы!S23</f>
        <v/>
      </c>
      <c r="F24" s="4">
        <f>Работы!R23</f>
        <v/>
      </c>
      <c r="G24" s="4">
        <f>(E24+F24)*D24</f>
        <v/>
      </c>
    </row>
    <row r="25">
      <c r="A25" s="9" t="n">
        <v>21</v>
      </c>
      <c r="B25" s="3">
        <f>Работы!B24</f>
        <v/>
      </c>
      <c r="C25" s="3">
        <f>Работы!C24</f>
        <v/>
      </c>
      <c r="D25" s="4">
        <f>Работы!D24</f>
        <v/>
      </c>
      <c r="E25" s="4">
        <f>Работы!S24</f>
        <v/>
      </c>
      <c r="F25" s="4">
        <f>Работы!R24</f>
        <v/>
      </c>
      <c r="G25" s="4">
        <f>(E25+F25)*D25</f>
        <v/>
      </c>
    </row>
    <row r="26">
      <c r="A26" s="9" t="n">
        <v>22</v>
      </c>
      <c r="B26" s="3">
        <f>Работы!B25</f>
        <v/>
      </c>
      <c r="C26" s="3">
        <f>Работы!C25</f>
        <v/>
      </c>
      <c r="D26" s="4">
        <f>Работы!D25</f>
        <v/>
      </c>
      <c r="E26" s="4">
        <f>Работы!S25</f>
        <v/>
      </c>
      <c r="F26" s="4">
        <f>Работы!R25</f>
        <v/>
      </c>
      <c r="G26" s="4">
        <f>(E26+F26)*D26</f>
        <v/>
      </c>
    </row>
    <row r="27">
      <c r="A27" s="9" t="n">
        <v>23</v>
      </c>
      <c r="B27" s="3">
        <f>Работы!B26</f>
        <v/>
      </c>
      <c r="C27" s="3">
        <f>Работы!C26</f>
        <v/>
      </c>
      <c r="D27" s="4">
        <f>Работы!D26</f>
        <v/>
      </c>
      <c r="E27" s="4">
        <f>Работы!S26</f>
        <v/>
      </c>
      <c r="F27" s="4">
        <f>Работы!R26</f>
        <v/>
      </c>
      <c r="G27" s="4">
        <f>(E27+F27)*D27</f>
        <v/>
      </c>
    </row>
    <row r="28">
      <c r="A28" s="9" t="n">
        <v>24</v>
      </c>
      <c r="B28" s="3">
        <f>Работы!B27</f>
        <v/>
      </c>
      <c r="C28" s="3">
        <f>Работы!C27</f>
        <v/>
      </c>
      <c r="D28" s="4">
        <f>Работы!D27</f>
        <v/>
      </c>
      <c r="E28" s="4">
        <f>Работы!S27</f>
        <v/>
      </c>
      <c r="F28" s="4">
        <f>Работы!R27</f>
        <v/>
      </c>
      <c r="G28" s="4">
        <f>(E28+F28)*D28</f>
        <v/>
      </c>
    </row>
    <row r="29">
      <c r="A29" s="9" t="n">
        <v>25</v>
      </c>
      <c r="B29" s="3">
        <f>Работы!B28</f>
        <v/>
      </c>
      <c r="C29" s="3">
        <f>Работы!C28</f>
        <v/>
      </c>
      <c r="D29" s="4">
        <f>Работы!D28</f>
        <v/>
      </c>
      <c r="E29" s="4">
        <f>Работы!S28</f>
        <v/>
      </c>
      <c r="F29" s="4">
        <f>Работы!R28</f>
        <v/>
      </c>
      <c r="G29" s="4">
        <f>(E29+F29)*D29</f>
        <v/>
      </c>
    </row>
    <row r="30">
      <c r="A30" s="9" t="n">
        <v>26</v>
      </c>
      <c r="B30" s="3">
        <f>Работы!B29</f>
        <v/>
      </c>
      <c r="C30" s="3">
        <f>Работы!C29</f>
        <v/>
      </c>
      <c r="D30" s="4">
        <f>Работы!D29</f>
        <v/>
      </c>
      <c r="E30" s="4">
        <f>Работы!S29</f>
        <v/>
      </c>
      <c r="F30" s="4">
        <f>Работы!R29</f>
        <v/>
      </c>
      <c r="G30" s="4">
        <f>(E30+F30)*D30</f>
        <v/>
      </c>
    </row>
    <row r="31">
      <c r="A31" s="9" t="n">
        <v>27</v>
      </c>
      <c r="B31" s="3">
        <f>Работы!B30</f>
        <v/>
      </c>
      <c r="C31" s="3">
        <f>Работы!C30</f>
        <v/>
      </c>
      <c r="D31" s="4">
        <f>Работы!D30</f>
        <v/>
      </c>
      <c r="E31" s="4">
        <f>Работы!S30</f>
        <v/>
      </c>
      <c r="F31" s="4">
        <f>Работы!R30</f>
        <v/>
      </c>
      <c r="G31" s="4">
        <f>(E31+F31)*D31</f>
        <v/>
      </c>
    </row>
    <row r="32">
      <c r="A32" s="9" t="n">
        <v>28</v>
      </c>
      <c r="B32" s="3">
        <f>Работы!B31</f>
        <v/>
      </c>
      <c r="C32" s="3">
        <f>Работы!C31</f>
        <v/>
      </c>
      <c r="D32" s="4">
        <f>Работы!D31</f>
        <v/>
      </c>
      <c r="E32" s="4">
        <f>Работы!S31</f>
        <v/>
      </c>
      <c r="F32" s="4">
        <f>Работы!R31</f>
        <v/>
      </c>
      <c r="G32" s="4">
        <f>(E32+F32)*D32</f>
        <v/>
      </c>
    </row>
    <row r="33">
      <c r="A33" s="9" t="n">
        <v>29</v>
      </c>
      <c r="B33" s="3">
        <f>Работы!B32</f>
        <v/>
      </c>
      <c r="C33" s="3">
        <f>Работы!C32</f>
        <v/>
      </c>
      <c r="D33" s="4">
        <f>Работы!D32</f>
        <v/>
      </c>
      <c r="E33" s="4">
        <f>Работы!S32</f>
        <v/>
      </c>
      <c r="F33" s="4">
        <f>Работы!R32</f>
        <v/>
      </c>
      <c r="G33" s="4">
        <f>(E33+F33)*D33</f>
        <v/>
      </c>
    </row>
    <row r="34">
      <c r="A34" s="9" t="n">
        <v>30</v>
      </c>
      <c r="B34" s="3">
        <f>Работы!B33</f>
        <v/>
      </c>
      <c r="C34" s="3">
        <f>Работы!C33</f>
        <v/>
      </c>
      <c r="D34" s="4">
        <f>Работы!D33</f>
        <v/>
      </c>
      <c r="E34" s="4">
        <f>Работы!S33</f>
        <v/>
      </c>
      <c r="F34" s="4">
        <f>Работы!R33</f>
        <v/>
      </c>
      <c r="G34" s="4">
        <f>(E34+F34)*D34</f>
        <v/>
      </c>
    </row>
    <row r="35">
      <c r="A35" s="9" t="n">
        <v>31</v>
      </c>
      <c r="B35" s="3">
        <f>Работы!B34</f>
        <v/>
      </c>
      <c r="C35" s="3">
        <f>Работы!C34</f>
        <v/>
      </c>
      <c r="D35" s="4">
        <f>Работы!D34</f>
        <v/>
      </c>
      <c r="E35" s="4">
        <f>Работы!S34</f>
        <v/>
      </c>
      <c r="F35" s="4">
        <f>Работы!R34</f>
        <v/>
      </c>
      <c r="G35" s="4">
        <f>(E35+F35)*D35</f>
        <v/>
      </c>
    </row>
    <row r="36">
      <c r="A36" s="9" t="n">
        <v>32</v>
      </c>
      <c r="B36" s="3">
        <f>Работы!B35</f>
        <v/>
      </c>
      <c r="C36" s="3">
        <f>Работы!C35</f>
        <v/>
      </c>
      <c r="D36" s="4">
        <f>Работы!D35</f>
        <v/>
      </c>
      <c r="E36" s="4">
        <f>Работы!S35</f>
        <v/>
      </c>
      <c r="F36" s="4">
        <f>Работы!R35</f>
        <v/>
      </c>
      <c r="G36" s="4">
        <f>(E36+F36)*D36</f>
        <v/>
      </c>
    </row>
    <row r="37">
      <c r="A37" s="9" t="n">
        <v>33</v>
      </c>
      <c r="B37" s="3">
        <f>Работы!B36</f>
        <v/>
      </c>
      <c r="C37" s="3">
        <f>Работы!C36</f>
        <v/>
      </c>
      <c r="D37" s="4">
        <f>Работы!D36</f>
        <v/>
      </c>
      <c r="E37" s="4">
        <f>Работы!S36</f>
        <v/>
      </c>
      <c r="F37" s="4">
        <f>Работы!R36</f>
        <v/>
      </c>
      <c r="G37" s="4">
        <f>(E37+F37)*D37</f>
        <v/>
      </c>
    </row>
    <row r="38">
      <c r="A38" s="9" t="n">
        <v>34</v>
      </c>
      <c r="B38" s="3">
        <f>Работы!B37</f>
        <v/>
      </c>
      <c r="C38" s="3">
        <f>Работы!C37</f>
        <v/>
      </c>
      <c r="D38" s="4">
        <f>Работы!D37</f>
        <v/>
      </c>
      <c r="E38" s="4">
        <f>Работы!S37</f>
        <v/>
      </c>
      <c r="F38" s="4">
        <f>Работы!R37</f>
        <v/>
      </c>
      <c r="G38" s="4">
        <f>(E38+F38)*D38</f>
        <v/>
      </c>
    </row>
    <row r="39">
      <c r="A39" s="9" t="n">
        <v>35</v>
      </c>
      <c r="B39" s="3">
        <f>Работы!B38</f>
        <v/>
      </c>
      <c r="C39" s="3">
        <f>Работы!C38</f>
        <v/>
      </c>
      <c r="D39" s="4">
        <f>Работы!D38</f>
        <v/>
      </c>
      <c r="E39" s="4">
        <f>Работы!S38</f>
        <v/>
      </c>
      <c r="F39" s="4">
        <f>Работы!R38</f>
        <v/>
      </c>
      <c r="G39" s="4">
        <f>(E39+F39)*D39</f>
        <v/>
      </c>
    </row>
    <row r="40">
      <c r="A40" s="9" t="n">
        <v>36</v>
      </c>
      <c r="B40" s="3">
        <f>Работы!B39</f>
        <v/>
      </c>
      <c r="C40" s="3">
        <f>Работы!C39</f>
        <v/>
      </c>
      <c r="D40" s="4">
        <f>Работы!D39</f>
        <v/>
      </c>
      <c r="E40" s="4">
        <f>Работы!S39</f>
        <v/>
      </c>
      <c r="F40" s="4">
        <f>Работы!R39</f>
        <v/>
      </c>
      <c r="G40" s="4">
        <f>(E40+F40)*D40</f>
        <v/>
      </c>
    </row>
    <row r="41">
      <c r="A41" s="9" t="n">
        <v>37</v>
      </c>
      <c r="B41" s="3">
        <f>Работы!B40</f>
        <v/>
      </c>
      <c r="C41" s="3">
        <f>Работы!C40</f>
        <v/>
      </c>
      <c r="D41" s="4">
        <f>Работы!D40</f>
        <v/>
      </c>
      <c r="E41" s="4">
        <f>Работы!S40</f>
        <v/>
      </c>
      <c r="F41" s="4">
        <f>Работы!R40</f>
        <v/>
      </c>
      <c r="G41" s="4">
        <f>(E41+F41)*D41</f>
        <v/>
      </c>
    </row>
    <row r="42">
      <c r="A42" s="9" t="n">
        <v>38</v>
      </c>
      <c r="B42" s="3">
        <f>Работы!B41</f>
        <v/>
      </c>
      <c r="C42" s="3">
        <f>Работы!C41</f>
        <v/>
      </c>
      <c r="D42" s="4">
        <f>Работы!D41</f>
        <v/>
      </c>
      <c r="E42" s="4">
        <f>Работы!S41</f>
        <v/>
      </c>
      <c r="F42" s="4">
        <f>Работы!R41</f>
        <v/>
      </c>
      <c r="G42" s="4">
        <f>(E42+F42)*D42</f>
        <v/>
      </c>
    </row>
    <row r="43">
      <c r="A43" s="9" t="n">
        <v>39</v>
      </c>
      <c r="B43" s="3">
        <f>Работы!B42</f>
        <v/>
      </c>
      <c r="C43" s="3">
        <f>Работы!C42</f>
        <v/>
      </c>
      <c r="D43" s="4">
        <f>Работы!D42</f>
        <v/>
      </c>
      <c r="E43" s="4">
        <f>Работы!S42</f>
        <v/>
      </c>
      <c r="F43" s="4">
        <f>Работы!R42</f>
        <v/>
      </c>
      <c r="G43" s="4">
        <f>(E43+F43)*D43</f>
        <v/>
      </c>
    </row>
    <row r="44">
      <c r="A44" s="9" t="n">
        <v>40</v>
      </c>
      <c r="B44" s="3">
        <f>Работы!B43</f>
        <v/>
      </c>
      <c r="C44" s="3">
        <f>Работы!C43</f>
        <v/>
      </c>
      <c r="D44" s="4">
        <f>Работы!D43</f>
        <v/>
      </c>
      <c r="E44" s="4">
        <f>Работы!S43</f>
        <v/>
      </c>
      <c r="F44" s="4">
        <f>Работы!R43</f>
        <v/>
      </c>
      <c r="G44" s="4">
        <f>(E44+F44)*D44</f>
        <v/>
      </c>
    </row>
    <row r="45">
      <c r="A45" s="9" t="n">
        <v>41</v>
      </c>
      <c r="B45" s="3">
        <f>Работы!B44</f>
        <v/>
      </c>
      <c r="C45" s="3">
        <f>Работы!C44</f>
        <v/>
      </c>
      <c r="D45" s="4">
        <f>Работы!D44</f>
        <v/>
      </c>
      <c r="E45" s="4">
        <f>Работы!S44</f>
        <v/>
      </c>
      <c r="F45" s="4">
        <f>Работы!R44</f>
        <v/>
      </c>
      <c r="G45" s="4">
        <f>(E45+F45)*D45</f>
        <v/>
      </c>
    </row>
    <row r="46">
      <c r="A46" s="9" t="n">
        <v>42</v>
      </c>
      <c r="B46" s="3">
        <f>Работы!B45</f>
        <v/>
      </c>
      <c r="C46" s="3">
        <f>Работы!C45</f>
        <v/>
      </c>
      <c r="D46" s="4">
        <f>Работы!D45</f>
        <v/>
      </c>
      <c r="E46" s="4">
        <f>Работы!S45</f>
        <v/>
      </c>
      <c r="F46" s="4">
        <f>Работы!R45</f>
        <v/>
      </c>
      <c r="G46" s="4">
        <f>(E46+F46)*D46</f>
        <v/>
      </c>
    </row>
    <row r="47">
      <c r="A47" s="9" t="n">
        <v>43</v>
      </c>
      <c r="B47" s="3">
        <f>Работы!B46</f>
        <v/>
      </c>
      <c r="C47" s="3">
        <f>Работы!C46</f>
        <v/>
      </c>
      <c r="D47" s="4">
        <f>Работы!D46</f>
        <v/>
      </c>
      <c r="E47" s="4">
        <f>Работы!S46</f>
        <v/>
      </c>
      <c r="F47" s="4">
        <f>Работы!R46</f>
        <v/>
      </c>
      <c r="G47" s="4">
        <f>(E47+F47)*D47</f>
        <v/>
      </c>
    </row>
    <row r="48">
      <c r="A48" s="9" t="n">
        <v>44</v>
      </c>
      <c r="B48" s="3">
        <f>Работы!B47</f>
        <v/>
      </c>
      <c r="C48" s="3">
        <f>Работы!C47</f>
        <v/>
      </c>
      <c r="D48" s="4">
        <f>Работы!D47</f>
        <v/>
      </c>
      <c r="E48" s="4">
        <f>Работы!S47</f>
        <v/>
      </c>
      <c r="F48" s="4">
        <f>Работы!R47</f>
        <v/>
      </c>
      <c r="G48" s="4">
        <f>(E48+F48)*D48</f>
        <v/>
      </c>
    </row>
    <row r="49">
      <c r="A49" s="9" t="n">
        <v>45</v>
      </c>
      <c r="B49" s="3">
        <f>Работы!B48</f>
        <v/>
      </c>
      <c r="C49" s="3">
        <f>Работы!C48</f>
        <v/>
      </c>
      <c r="D49" s="4">
        <f>Работы!D48</f>
        <v/>
      </c>
      <c r="E49" s="4">
        <f>Работы!S48</f>
        <v/>
      </c>
      <c r="F49" s="4">
        <f>Работы!R48</f>
        <v/>
      </c>
      <c r="G49" s="4">
        <f>(E49+F49)*D49</f>
        <v/>
      </c>
    </row>
    <row r="50">
      <c r="A50" s="9" t="n">
        <v>46</v>
      </c>
      <c r="B50" s="3">
        <f>Работы!B49</f>
        <v/>
      </c>
      <c r="C50" s="3">
        <f>Работы!C49</f>
        <v/>
      </c>
      <c r="D50" s="4">
        <f>Работы!D49</f>
        <v/>
      </c>
      <c r="E50" s="4">
        <f>Работы!S49</f>
        <v/>
      </c>
      <c r="F50" s="4">
        <f>Работы!R49</f>
        <v/>
      </c>
      <c r="G50" s="4">
        <f>(E50+F50)*D50</f>
        <v/>
      </c>
    </row>
    <row r="51">
      <c r="A51" s="9" t="n">
        <v>47</v>
      </c>
      <c r="B51" s="3">
        <f>Работы!B50</f>
        <v/>
      </c>
      <c r="C51" s="3">
        <f>Работы!C50</f>
        <v/>
      </c>
      <c r="D51" s="4">
        <f>Работы!D50</f>
        <v/>
      </c>
      <c r="E51" s="4">
        <f>Работы!S50</f>
        <v/>
      </c>
      <c r="F51" s="4">
        <f>Работы!R50</f>
        <v/>
      </c>
      <c r="G51" s="4">
        <f>(E51+F51)*D51</f>
        <v/>
      </c>
    </row>
    <row r="52">
      <c r="A52" s="9" t="n">
        <v>48</v>
      </c>
      <c r="B52" s="3">
        <f>Работы!B51</f>
        <v/>
      </c>
      <c r="C52" s="3">
        <f>Работы!C51</f>
        <v/>
      </c>
      <c r="D52" s="4">
        <f>Работы!D51</f>
        <v/>
      </c>
      <c r="E52" s="4">
        <f>Работы!S51</f>
        <v/>
      </c>
      <c r="F52" s="4">
        <f>Работы!R51</f>
        <v/>
      </c>
      <c r="G52" s="4">
        <f>(E52+F52)*D52</f>
        <v/>
      </c>
    </row>
    <row r="53">
      <c r="A53" s="9" t="n">
        <v>49</v>
      </c>
      <c r="B53" s="3">
        <f>Работы!B52</f>
        <v/>
      </c>
      <c r="C53" s="3">
        <f>Работы!C52</f>
        <v/>
      </c>
      <c r="D53" s="4">
        <f>Работы!D52</f>
        <v/>
      </c>
      <c r="E53" s="4">
        <f>Работы!S52</f>
        <v/>
      </c>
      <c r="F53" s="4">
        <f>Работы!R52</f>
        <v/>
      </c>
      <c r="G53" s="4">
        <f>(E53+F53)*D53</f>
        <v/>
      </c>
    </row>
    <row r="54">
      <c r="A54" s="9" t="n">
        <v>50</v>
      </c>
      <c r="B54" s="3">
        <f>Работы!B53</f>
        <v/>
      </c>
      <c r="C54" s="3">
        <f>Работы!C53</f>
        <v/>
      </c>
      <c r="D54" s="4">
        <f>Работы!D53</f>
        <v/>
      </c>
      <c r="E54" s="4">
        <f>Работы!S53</f>
        <v/>
      </c>
      <c r="F54" s="4">
        <f>Работы!R53</f>
        <v/>
      </c>
      <c r="G54" s="4">
        <f>(E54+F54)*D54</f>
        <v/>
      </c>
    </row>
    <row r="55">
      <c r="A55" s="9" t="n">
        <v>51</v>
      </c>
      <c r="B55" s="3">
        <f>Работы!B54</f>
        <v/>
      </c>
      <c r="C55" s="3">
        <f>Работы!C54</f>
        <v/>
      </c>
      <c r="D55" s="4">
        <f>Работы!D54</f>
        <v/>
      </c>
      <c r="E55" s="4">
        <f>Работы!S54</f>
        <v/>
      </c>
      <c r="F55" s="4">
        <f>Работы!R54</f>
        <v/>
      </c>
      <c r="G55" s="4">
        <f>(E55+F55)*D55</f>
        <v/>
      </c>
    </row>
    <row r="56">
      <c r="A56" s="9" t="n">
        <v>52</v>
      </c>
      <c r="B56" s="3">
        <f>Работы!B55</f>
        <v/>
      </c>
      <c r="C56" s="3">
        <f>Работы!C55</f>
        <v/>
      </c>
      <c r="D56" s="4">
        <f>Работы!D55</f>
        <v/>
      </c>
      <c r="E56" s="4">
        <f>Работы!S55</f>
        <v/>
      </c>
      <c r="F56" s="4">
        <f>Работы!R55</f>
        <v/>
      </c>
      <c r="G56" s="4">
        <f>(E56+F56)*D56</f>
        <v/>
      </c>
    </row>
    <row r="57">
      <c r="A57" s="9" t="n">
        <v>53</v>
      </c>
      <c r="B57" s="3">
        <f>Работы!B56</f>
        <v/>
      </c>
      <c r="C57" s="3">
        <f>Работы!C56</f>
        <v/>
      </c>
      <c r="D57" s="4">
        <f>Работы!D56</f>
        <v/>
      </c>
      <c r="E57" s="4">
        <f>Работы!S56</f>
        <v/>
      </c>
      <c r="F57" s="4">
        <f>Работы!R56</f>
        <v/>
      </c>
      <c r="G57" s="4">
        <f>(E57+F57)*D57</f>
        <v/>
      </c>
    </row>
    <row r="58">
      <c r="A58" s="9" t="n">
        <v>54</v>
      </c>
      <c r="B58" s="3">
        <f>Работы!B57</f>
        <v/>
      </c>
      <c r="C58" s="3">
        <f>Работы!C57</f>
        <v/>
      </c>
      <c r="D58" s="4">
        <f>Работы!D57</f>
        <v/>
      </c>
      <c r="E58" s="4">
        <f>Работы!S57</f>
        <v/>
      </c>
      <c r="F58" s="4">
        <f>Работы!R57</f>
        <v/>
      </c>
      <c r="G58" s="4">
        <f>(E58+F58)*D58</f>
        <v/>
      </c>
    </row>
    <row r="59">
      <c r="A59" s="9" t="n">
        <v>55</v>
      </c>
      <c r="B59" s="3">
        <f>Работы!B58</f>
        <v/>
      </c>
      <c r="C59" s="3">
        <f>Работы!C58</f>
        <v/>
      </c>
      <c r="D59" s="4">
        <f>Работы!D58</f>
        <v/>
      </c>
      <c r="E59" s="4">
        <f>Работы!S58</f>
        <v/>
      </c>
      <c r="F59" s="4">
        <f>Работы!R58</f>
        <v/>
      </c>
      <c r="G59" s="4">
        <f>(E59+F59)*D59</f>
        <v/>
      </c>
    </row>
    <row r="60">
      <c r="A60" s="9" t="n">
        <v>56</v>
      </c>
      <c r="B60" s="3">
        <f>Работы!B59</f>
        <v/>
      </c>
      <c r="C60" s="3">
        <f>Работы!C59</f>
        <v/>
      </c>
      <c r="D60" s="4">
        <f>Работы!D59</f>
        <v/>
      </c>
      <c r="E60" s="4">
        <f>Работы!S59</f>
        <v/>
      </c>
      <c r="F60" s="4">
        <f>Работы!R59</f>
        <v/>
      </c>
      <c r="G60" s="4">
        <f>(E60+F60)*D60</f>
        <v/>
      </c>
    </row>
    <row r="61">
      <c r="A61" s="9" t="n">
        <v>57</v>
      </c>
      <c r="B61" s="3">
        <f>Работы!B60</f>
        <v/>
      </c>
      <c r="C61" s="3">
        <f>Работы!C60</f>
        <v/>
      </c>
      <c r="D61" s="4">
        <f>Работы!D60</f>
        <v/>
      </c>
      <c r="E61" s="4">
        <f>Работы!S60</f>
        <v/>
      </c>
      <c r="F61" s="4">
        <f>Работы!R60</f>
        <v/>
      </c>
      <c r="G61" s="4">
        <f>(E61+F61)*D61</f>
        <v/>
      </c>
    </row>
    <row r="62">
      <c r="A62" s="9" t="n">
        <v>58</v>
      </c>
      <c r="B62" s="3">
        <f>Работы!B61</f>
        <v/>
      </c>
      <c r="C62" s="3">
        <f>Работы!C61</f>
        <v/>
      </c>
      <c r="D62" s="4">
        <f>Работы!D61</f>
        <v/>
      </c>
      <c r="E62" s="4">
        <f>Работы!S61</f>
        <v/>
      </c>
      <c r="F62" s="4">
        <f>Работы!R61</f>
        <v/>
      </c>
      <c r="G62" s="4">
        <f>(E62+F62)*D62</f>
        <v/>
      </c>
    </row>
    <row r="63">
      <c r="A63" s="9" t="n">
        <v>59</v>
      </c>
      <c r="B63" s="3">
        <f>Работы!B62</f>
        <v/>
      </c>
      <c r="C63" s="3">
        <f>Работы!C62</f>
        <v/>
      </c>
      <c r="D63" s="4">
        <f>Работы!D62</f>
        <v/>
      </c>
      <c r="E63" s="4">
        <f>Работы!S62</f>
        <v/>
      </c>
      <c r="F63" s="4">
        <f>Работы!R62</f>
        <v/>
      </c>
      <c r="G63" s="4">
        <f>(E63+F63)*D63</f>
        <v/>
      </c>
    </row>
    <row r="64">
      <c r="A64" s="9" t="n">
        <v>60</v>
      </c>
      <c r="B64" s="3">
        <f>Работы!B63</f>
        <v/>
      </c>
      <c r="C64" s="3">
        <f>Работы!C63</f>
        <v/>
      </c>
      <c r="D64" s="4">
        <f>Работы!D63</f>
        <v/>
      </c>
      <c r="E64" s="4">
        <f>Работы!S63</f>
        <v/>
      </c>
      <c r="F64" s="4">
        <f>Работы!R63</f>
        <v/>
      </c>
      <c r="G64" s="4">
        <f>(E64+F64)*D64</f>
        <v/>
      </c>
    </row>
    <row r="65">
      <c r="A65" s="9" t="n">
        <v>61</v>
      </c>
      <c r="B65" s="3">
        <f>Работы!B64</f>
        <v/>
      </c>
      <c r="C65" s="3">
        <f>Работы!C64</f>
        <v/>
      </c>
      <c r="D65" s="4">
        <f>Работы!D64</f>
        <v/>
      </c>
      <c r="E65" s="4">
        <f>Работы!S64</f>
        <v/>
      </c>
      <c r="F65" s="4">
        <f>Работы!R64</f>
        <v/>
      </c>
      <c r="G65" s="4">
        <f>(E65+F65)*D65</f>
        <v/>
      </c>
    </row>
    <row r="66">
      <c r="A66" s="9" t="n">
        <v>62</v>
      </c>
      <c r="B66" s="3">
        <f>Работы!B65</f>
        <v/>
      </c>
      <c r="C66" s="3">
        <f>Работы!C65</f>
        <v/>
      </c>
      <c r="D66" s="4">
        <f>Работы!D65</f>
        <v/>
      </c>
      <c r="E66" s="4">
        <f>Работы!S65</f>
        <v/>
      </c>
      <c r="F66" s="4">
        <f>Работы!R65</f>
        <v/>
      </c>
      <c r="G66" s="4">
        <f>(E66+F66)*D66</f>
        <v/>
      </c>
    </row>
    <row r="67">
      <c r="A67" s="9" t="n">
        <v>63</v>
      </c>
      <c r="B67" s="3">
        <f>Работы!B66</f>
        <v/>
      </c>
      <c r="C67" s="3">
        <f>Работы!C66</f>
        <v/>
      </c>
      <c r="D67" s="4">
        <f>Работы!D66</f>
        <v/>
      </c>
      <c r="E67" s="4">
        <f>Работы!S66</f>
        <v/>
      </c>
      <c r="F67" s="4">
        <f>Работы!R66</f>
        <v/>
      </c>
      <c r="G67" s="4">
        <f>(E67+F67)*D67</f>
        <v/>
      </c>
    </row>
    <row r="68">
      <c r="A68" s="9" t="n">
        <v>64</v>
      </c>
      <c r="B68" s="3">
        <f>Работы!B67</f>
        <v/>
      </c>
      <c r="C68" s="3">
        <f>Работы!C67</f>
        <v/>
      </c>
      <c r="D68" s="4">
        <f>Работы!D67</f>
        <v/>
      </c>
      <c r="E68" s="4">
        <f>Работы!S67</f>
        <v/>
      </c>
      <c r="F68" s="4">
        <f>Работы!R67</f>
        <v/>
      </c>
      <c r="G68" s="4">
        <f>(E68+F68)*D68</f>
        <v/>
      </c>
    </row>
    <row r="69">
      <c r="A69" s="9" t="n">
        <v>65</v>
      </c>
      <c r="B69" s="3">
        <f>Работы!B68</f>
        <v/>
      </c>
      <c r="C69" s="3">
        <f>Работы!C68</f>
        <v/>
      </c>
      <c r="D69" s="4">
        <f>Работы!D68</f>
        <v/>
      </c>
      <c r="E69" s="4">
        <f>Работы!S68</f>
        <v/>
      </c>
      <c r="F69" s="4">
        <f>Работы!R68</f>
        <v/>
      </c>
      <c r="G69" s="4">
        <f>(E69+F69)*D69</f>
        <v/>
      </c>
    </row>
    <row r="70">
      <c r="A70" s="9" t="n">
        <v>66</v>
      </c>
      <c r="B70" s="3">
        <f>Работы!B69</f>
        <v/>
      </c>
      <c r="C70" s="3">
        <f>Работы!C69</f>
        <v/>
      </c>
      <c r="D70" s="4">
        <f>Работы!D69</f>
        <v/>
      </c>
      <c r="E70" s="4">
        <f>Работы!S69</f>
        <v/>
      </c>
      <c r="F70" s="4">
        <f>Работы!R69</f>
        <v/>
      </c>
      <c r="G70" s="4">
        <f>(E70+F70)*D70</f>
        <v/>
      </c>
    </row>
    <row r="71">
      <c r="A71" s="9" t="n">
        <v>67</v>
      </c>
      <c r="B71" s="3">
        <f>Работы!B70</f>
        <v/>
      </c>
      <c r="C71" s="3">
        <f>Работы!C70</f>
        <v/>
      </c>
      <c r="D71" s="4">
        <f>Работы!D70</f>
        <v/>
      </c>
      <c r="E71" s="4">
        <f>Работы!S70</f>
        <v/>
      </c>
      <c r="F71" s="4">
        <f>Работы!R70</f>
        <v/>
      </c>
      <c r="G71" s="4">
        <f>(E71+F71)*D71</f>
        <v/>
      </c>
    </row>
    <row r="72">
      <c r="A72" s="9" t="n">
        <v>68</v>
      </c>
      <c r="B72" s="3">
        <f>Работы!B71</f>
        <v/>
      </c>
      <c r="C72" s="3">
        <f>Работы!C71</f>
        <v/>
      </c>
      <c r="D72" s="4">
        <f>Работы!D71</f>
        <v/>
      </c>
      <c r="E72" s="4">
        <f>Работы!S71</f>
        <v/>
      </c>
      <c r="F72" s="4">
        <f>Работы!R71</f>
        <v/>
      </c>
      <c r="G72" s="4">
        <f>(E72+F72)*D72</f>
        <v/>
      </c>
    </row>
    <row r="73">
      <c r="A73" s="9" t="n">
        <v>69</v>
      </c>
      <c r="B73" s="3">
        <f>Работы!B72</f>
        <v/>
      </c>
      <c r="C73" s="3">
        <f>Работы!C72</f>
        <v/>
      </c>
      <c r="D73" s="4">
        <f>Работы!D72</f>
        <v/>
      </c>
      <c r="E73" s="4">
        <f>Работы!S72</f>
        <v/>
      </c>
      <c r="F73" s="4">
        <f>Работы!R72</f>
        <v/>
      </c>
      <c r="G73" s="4">
        <f>(E73+F73)*D73</f>
        <v/>
      </c>
    </row>
    <row r="74">
      <c r="A74" s="9" t="n">
        <v>70</v>
      </c>
      <c r="B74" s="3">
        <f>Работы!B73</f>
        <v/>
      </c>
      <c r="C74" s="3">
        <f>Работы!C73</f>
        <v/>
      </c>
      <c r="D74" s="4">
        <f>Работы!D73</f>
        <v/>
      </c>
      <c r="E74" s="4">
        <f>Работы!S73</f>
        <v/>
      </c>
      <c r="F74" s="4">
        <f>Работы!R73</f>
        <v/>
      </c>
      <c r="G74" s="4">
        <f>(E74+F74)*D74</f>
        <v/>
      </c>
    </row>
    <row r="75">
      <c r="A75" s="9" t="n">
        <v>71</v>
      </c>
      <c r="B75" s="3">
        <f>Работы!B74</f>
        <v/>
      </c>
      <c r="C75" s="3">
        <f>Работы!C74</f>
        <v/>
      </c>
      <c r="D75" s="4">
        <f>Работы!D74</f>
        <v/>
      </c>
      <c r="E75" s="4">
        <f>Работы!S74</f>
        <v/>
      </c>
      <c r="F75" s="4">
        <f>Работы!R74</f>
        <v/>
      </c>
      <c r="G75" s="4">
        <f>(E75+F75)*D75</f>
        <v/>
      </c>
    </row>
    <row r="76">
      <c r="A76" s="9" t="n">
        <v>72</v>
      </c>
      <c r="B76" s="3">
        <f>Работы!B75</f>
        <v/>
      </c>
      <c r="C76" s="3">
        <f>Работы!C75</f>
        <v/>
      </c>
      <c r="D76" s="4">
        <f>Работы!D75</f>
        <v/>
      </c>
      <c r="E76" s="4">
        <f>Работы!S75</f>
        <v/>
      </c>
      <c r="F76" s="4">
        <f>Работы!R75</f>
        <v/>
      </c>
      <c r="G76" s="4">
        <f>(E76+F76)*D76</f>
        <v/>
      </c>
    </row>
    <row r="77">
      <c r="A77" s="9" t="n">
        <v>73</v>
      </c>
      <c r="B77" s="3">
        <f>Работы!B76</f>
        <v/>
      </c>
      <c r="C77" s="3">
        <f>Работы!C76</f>
        <v/>
      </c>
      <c r="D77" s="4">
        <f>Работы!D76</f>
        <v/>
      </c>
      <c r="E77" s="4">
        <f>Работы!S76</f>
        <v/>
      </c>
      <c r="F77" s="4">
        <f>Работы!R76</f>
        <v/>
      </c>
      <c r="G77" s="4">
        <f>(E77+F77)*D77</f>
        <v/>
      </c>
    </row>
    <row r="78">
      <c r="A78" s="9" t="n">
        <v>74</v>
      </c>
      <c r="B78" s="3">
        <f>Работы!B77</f>
        <v/>
      </c>
      <c r="C78" s="3">
        <f>Работы!C77</f>
        <v/>
      </c>
      <c r="D78" s="4">
        <f>Работы!D77</f>
        <v/>
      </c>
      <c r="E78" s="4">
        <f>Работы!S77</f>
        <v/>
      </c>
      <c r="F78" s="4">
        <f>Работы!R77</f>
        <v/>
      </c>
      <c r="G78" s="4">
        <f>(E78+F78)*D78</f>
        <v/>
      </c>
    </row>
    <row r="79">
      <c r="A79" s="9" t="n">
        <v>75</v>
      </c>
      <c r="B79" s="3">
        <f>Работы!B78</f>
        <v/>
      </c>
      <c r="C79" s="3">
        <f>Работы!C78</f>
        <v/>
      </c>
      <c r="D79" s="4">
        <f>Работы!D78</f>
        <v/>
      </c>
      <c r="E79" s="4">
        <f>Работы!S78</f>
        <v/>
      </c>
      <c r="F79" s="4">
        <f>Работы!R78</f>
        <v/>
      </c>
      <c r="G79" s="4">
        <f>(E79+F79)*D79</f>
        <v/>
      </c>
    </row>
    <row r="80">
      <c r="A80" s="9" t="n">
        <v>76</v>
      </c>
      <c r="B80" s="3">
        <f>Работы!B79</f>
        <v/>
      </c>
      <c r="C80" s="3">
        <f>Работы!C79</f>
        <v/>
      </c>
      <c r="D80" s="4">
        <f>Работы!D79</f>
        <v/>
      </c>
      <c r="E80" s="4">
        <f>Работы!S79</f>
        <v/>
      </c>
      <c r="F80" s="4">
        <f>Работы!R79</f>
        <v/>
      </c>
      <c r="G80" s="4">
        <f>(E80+F80)*D80</f>
        <v/>
      </c>
    </row>
    <row r="81">
      <c r="A81" s="9" t="n">
        <v>77</v>
      </c>
      <c r="B81" s="3">
        <f>Работы!B80</f>
        <v/>
      </c>
      <c r="C81" s="3">
        <f>Работы!C80</f>
        <v/>
      </c>
      <c r="D81" s="4">
        <f>Работы!D80</f>
        <v/>
      </c>
      <c r="E81" s="4">
        <f>Работы!S80</f>
        <v/>
      </c>
      <c r="F81" s="4">
        <f>Работы!R80</f>
        <v/>
      </c>
      <c r="G81" s="4">
        <f>(E81+F81)*D81</f>
        <v/>
      </c>
    </row>
    <row r="82">
      <c r="A82" s="9" t="n">
        <v>78</v>
      </c>
      <c r="B82" s="3">
        <f>Работы!B81</f>
        <v/>
      </c>
      <c r="C82" s="3">
        <f>Работы!C81</f>
        <v/>
      </c>
      <c r="D82" s="4">
        <f>Работы!D81</f>
        <v/>
      </c>
      <c r="E82" s="4">
        <f>Работы!S81</f>
        <v/>
      </c>
      <c r="F82" s="4">
        <f>Работы!R81</f>
        <v/>
      </c>
      <c r="G82" s="4">
        <f>(E82+F82)*D82</f>
        <v/>
      </c>
    </row>
    <row r="83">
      <c r="A83" s="9" t="n">
        <v>79</v>
      </c>
      <c r="B83" s="3">
        <f>Работы!B82</f>
        <v/>
      </c>
      <c r="C83" s="3">
        <f>Работы!C82</f>
        <v/>
      </c>
      <c r="D83" s="4">
        <f>Работы!D82</f>
        <v/>
      </c>
      <c r="E83" s="4">
        <f>Работы!S82</f>
        <v/>
      </c>
      <c r="F83" s="4">
        <f>Работы!R82</f>
        <v/>
      </c>
      <c r="G83" s="4">
        <f>(E83+F83)*D83</f>
        <v/>
      </c>
    </row>
    <row r="84">
      <c r="A84" s="9" t="n">
        <v>80</v>
      </c>
      <c r="B84" s="3">
        <f>Работы!B83</f>
        <v/>
      </c>
      <c r="C84" s="3">
        <f>Работы!C83</f>
        <v/>
      </c>
      <c r="D84" s="4">
        <f>Работы!D83</f>
        <v/>
      </c>
      <c r="E84" s="4">
        <f>Работы!S83</f>
        <v/>
      </c>
      <c r="F84" s="4">
        <f>Работы!R83</f>
        <v/>
      </c>
      <c r="G84" s="4">
        <f>(E84+F84)*D84</f>
        <v/>
      </c>
    </row>
    <row r="85">
      <c r="A85" s="9" t="n">
        <v>81</v>
      </c>
      <c r="B85" s="3">
        <f>Работы!B84</f>
        <v/>
      </c>
      <c r="C85" s="3">
        <f>Работы!C84</f>
        <v/>
      </c>
      <c r="D85" s="4">
        <f>Работы!D84</f>
        <v/>
      </c>
      <c r="E85" s="4">
        <f>Работы!S84</f>
        <v/>
      </c>
      <c r="F85" s="4">
        <f>Работы!R84</f>
        <v/>
      </c>
      <c r="G85" s="4">
        <f>(E85+F85)*D85</f>
        <v/>
      </c>
    </row>
    <row r="86">
      <c r="A86" s="9" t="n">
        <v>82</v>
      </c>
      <c r="B86" s="3">
        <f>Работы!B85</f>
        <v/>
      </c>
      <c r="C86" s="3">
        <f>Работы!C85</f>
        <v/>
      </c>
      <c r="D86" s="4">
        <f>Работы!D85</f>
        <v/>
      </c>
      <c r="E86" s="4">
        <f>Работы!S85</f>
        <v/>
      </c>
      <c r="F86" s="4">
        <f>Работы!R85</f>
        <v/>
      </c>
      <c r="G86" s="4">
        <f>(E86+F86)*D86</f>
        <v/>
      </c>
    </row>
    <row r="87">
      <c r="A87" s="9" t="n">
        <v>83</v>
      </c>
      <c r="B87" s="3">
        <f>Работы!B86</f>
        <v/>
      </c>
      <c r="C87" s="3">
        <f>Работы!C86</f>
        <v/>
      </c>
      <c r="D87" s="4">
        <f>Работы!D86</f>
        <v/>
      </c>
      <c r="E87" s="4">
        <f>Работы!S86</f>
        <v/>
      </c>
      <c r="F87" s="4">
        <f>Работы!R86</f>
        <v/>
      </c>
      <c r="G87" s="4">
        <f>(E87+F87)*D87</f>
        <v/>
      </c>
    </row>
    <row r="88">
      <c r="A88" s="9" t="n">
        <v>84</v>
      </c>
      <c r="B88" s="3">
        <f>Работы!B87</f>
        <v/>
      </c>
      <c r="C88" s="3">
        <f>Работы!C87</f>
        <v/>
      </c>
      <c r="D88" s="4">
        <f>Работы!D87</f>
        <v/>
      </c>
      <c r="E88" s="4">
        <f>Работы!S87</f>
        <v/>
      </c>
      <c r="F88" s="4">
        <f>Работы!R87</f>
        <v/>
      </c>
      <c r="G88" s="4">
        <f>(E88+F88)*D88</f>
        <v/>
      </c>
    </row>
    <row r="89">
      <c r="A89" s="9" t="n">
        <v>85</v>
      </c>
      <c r="B89" s="3">
        <f>Работы!B88</f>
        <v/>
      </c>
      <c r="C89" s="3">
        <f>Работы!C88</f>
        <v/>
      </c>
      <c r="D89" s="4">
        <f>Работы!D88</f>
        <v/>
      </c>
      <c r="E89" s="4">
        <f>Работы!S88</f>
        <v/>
      </c>
      <c r="F89" s="4">
        <f>Работы!R88</f>
        <v/>
      </c>
      <c r="G89" s="4">
        <f>(E89+F89)*D89</f>
        <v/>
      </c>
    </row>
    <row r="90">
      <c r="A90" s="9" t="n">
        <v>86</v>
      </c>
      <c r="B90" s="3">
        <f>Работы!B89</f>
        <v/>
      </c>
      <c r="C90" s="3">
        <f>Работы!C89</f>
        <v/>
      </c>
      <c r="D90" s="4">
        <f>Работы!D89</f>
        <v/>
      </c>
      <c r="E90" s="4">
        <f>Работы!S89</f>
        <v/>
      </c>
      <c r="F90" s="4">
        <f>Работы!R89</f>
        <v/>
      </c>
      <c r="G90" s="4">
        <f>(E90+F90)*D90</f>
        <v/>
      </c>
    </row>
    <row r="91">
      <c r="A91" s="9" t="n">
        <v>87</v>
      </c>
      <c r="B91" s="3">
        <f>Работы!B90</f>
        <v/>
      </c>
      <c r="C91" s="3">
        <f>Работы!C90</f>
        <v/>
      </c>
      <c r="D91" s="4">
        <f>Работы!D90</f>
        <v/>
      </c>
      <c r="E91" s="4">
        <f>Работы!S90</f>
        <v/>
      </c>
      <c r="F91" s="4">
        <f>Работы!R90</f>
        <v/>
      </c>
      <c r="G91" s="4">
        <f>(E91+F91)*D91</f>
        <v/>
      </c>
    </row>
    <row r="92">
      <c r="A92" s="9" t="n">
        <v>88</v>
      </c>
      <c r="B92" s="3">
        <f>Работы!B91</f>
        <v/>
      </c>
      <c r="C92" s="3">
        <f>Работы!C91</f>
        <v/>
      </c>
      <c r="D92" s="4">
        <f>Работы!D91</f>
        <v/>
      </c>
      <c r="E92" s="4">
        <f>Работы!S91</f>
        <v/>
      </c>
      <c r="F92" s="4">
        <f>Работы!R91</f>
        <v/>
      </c>
      <c r="G92" s="4">
        <f>(E92+F92)*D92</f>
        <v/>
      </c>
    </row>
    <row r="93">
      <c r="A93" s="9" t="n">
        <v>89</v>
      </c>
      <c r="B93" s="3">
        <f>Работы!B92</f>
        <v/>
      </c>
      <c r="C93" s="3">
        <f>Работы!C92</f>
        <v/>
      </c>
      <c r="D93" s="4">
        <f>Работы!D92</f>
        <v/>
      </c>
      <c r="E93" s="4">
        <f>Работы!S92</f>
        <v/>
      </c>
      <c r="F93" s="4">
        <f>Работы!R92</f>
        <v/>
      </c>
      <c r="G93" s="4">
        <f>(E93+F93)*D93</f>
        <v/>
      </c>
    </row>
    <row r="94">
      <c r="A94" s="9" t="n">
        <v>90</v>
      </c>
      <c r="B94" s="3">
        <f>Работы!B93</f>
        <v/>
      </c>
      <c r="C94" s="3">
        <f>Работы!C93</f>
        <v/>
      </c>
      <c r="D94" s="4">
        <f>Работы!D93</f>
        <v/>
      </c>
      <c r="E94" s="4">
        <f>Работы!S93</f>
        <v/>
      </c>
      <c r="F94" s="4">
        <f>Работы!R93</f>
        <v/>
      </c>
      <c r="G94" s="4">
        <f>(E94+F94)*D94</f>
        <v/>
      </c>
    </row>
    <row r="95">
      <c r="A95" s="9" t="n">
        <v>91</v>
      </c>
      <c r="B95" s="3">
        <f>Работы!B94</f>
        <v/>
      </c>
      <c r="C95" s="3">
        <f>Работы!C94</f>
        <v/>
      </c>
      <c r="D95" s="4">
        <f>Работы!D94</f>
        <v/>
      </c>
      <c r="E95" s="4">
        <f>Работы!S94</f>
        <v/>
      </c>
      <c r="F95" s="4">
        <f>Работы!R94</f>
        <v/>
      </c>
      <c r="G95" s="4">
        <f>(E95+F95)*D95</f>
        <v/>
      </c>
    </row>
    <row r="96">
      <c r="A96" s="9" t="n">
        <v>92</v>
      </c>
      <c r="B96" s="3">
        <f>Работы!B95</f>
        <v/>
      </c>
      <c r="C96" s="3">
        <f>Работы!C95</f>
        <v/>
      </c>
      <c r="D96" s="4">
        <f>Работы!D95</f>
        <v/>
      </c>
      <c r="E96" s="4">
        <f>Работы!S95</f>
        <v/>
      </c>
      <c r="F96" s="4">
        <f>Работы!R95</f>
        <v/>
      </c>
      <c r="G96" s="4">
        <f>(E96+F96)*D96</f>
        <v/>
      </c>
    </row>
    <row r="97">
      <c r="A97" s="9" t="n">
        <v>93</v>
      </c>
      <c r="B97" s="3">
        <f>Работы!B96</f>
        <v/>
      </c>
      <c r="C97" s="3">
        <f>Работы!C96</f>
        <v/>
      </c>
      <c r="D97" s="4">
        <f>Работы!D96</f>
        <v/>
      </c>
      <c r="E97" s="4">
        <f>Работы!S96</f>
        <v/>
      </c>
      <c r="F97" s="4">
        <f>Работы!R96</f>
        <v/>
      </c>
      <c r="G97" s="4">
        <f>(E97+F97)*D97</f>
        <v/>
      </c>
    </row>
    <row r="98">
      <c r="A98" s="9" t="n">
        <v>94</v>
      </c>
      <c r="B98" s="3">
        <f>Работы!B97</f>
        <v/>
      </c>
      <c r="C98" s="3">
        <f>Работы!C97</f>
        <v/>
      </c>
      <c r="D98" s="4">
        <f>Работы!D97</f>
        <v/>
      </c>
      <c r="E98" s="4">
        <f>Работы!S97</f>
        <v/>
      </c>
      <c r="F98" s="4">
        <f>Работы!R97</f>
        <v/>
      </c>
      <c r="G98" s="4">
        <f>(E98+F98)*D98</f>
        <v/>
      </c>
    </row>
    <row r="99">
      <c r="A99" s="9" t="n">
        <v>95</v>
      </c>
      <c r="B99" s="3">
        <f>Работы!B98</f>
        <v/>
      </c>
      <c r="C99" s="3">
        <f>Работы!C98</f>
        <v/>
      </c>
      <c r="D99" s="4">
        <f>Работы!D98</f>
        <v/>
      </c>
      <c r="E99" s="4">
        <f>Работы!S98</f>
        <v/>
      </c>
      <c r="F99" s="4">
        <f>Работы!R98</f>
        <v/>
      </c>
      <c r="G99" s="4">
        <f>(E99+F99)*D99</f>
        <v/>
      </c>
    </row>
    <row r="100">
      <c r="A100" s="9" t="n">
        <v>96</v>
      </c>
      <c r="B100" s="3">
        <f>Работы!B99</f>
        <v/>
      </c>
      <c r="C100" s="3">
        <f>Работы!C99</f>
        <v/>
      </c>
      <c r="D100" s="4">
        <f>Работы!D99</f>
        <v/>
      </c>
      <c r="E100" s="4">
        <f>Работы!S99</f>
        <v/>
      </c>
      <c r="F100" s="4">
        <f>Работы!R99</f>
        <v/>
      </c>
      <c r="G100" s="4">
        <f>(E100+F100)*D100</f>
        <v/>
      </c>
    </row>
    <row r="101">
      <c r="A101" s="9" t="n">
        <v>97</v>
      </c>
      <c r="B101" s="3">
        <f>Работы!B100</f>
        <v/>
      </c>
      <c r="C101" s="3">
        <f>Работы!C100</f>
        <v/>
      </c>
      <c r="D101" s="4">
        <f>Работы!D100</f>
        <v/>
      </c>
      <c r="E101" s="4">
        <f>Работы!S100</f>
        <v/>
      </c>
      <c r="F101" s="4">
        <f>Работы!R100</f>
        <v/>
      </c>
      <c r="G101" s="4">
        <f>(E101+F101)*D101</f>
        <v/>
      </c>
    </row>
    <row r="102">
      <c r="A102" s="9" t="n">
        <v>98</v>
      </c>
      <c r="B102" s="3">
        <f>Работы!B101</f>
        <v/>
      </c>
      <c r="C102" s="3">
        <f>Работы!C101</f>
        <v/>
      </c>
      <c r="D102" s="4">
        <f>Работы!D101</f>
        <v/>
      </c>
      <c r="E102" s="4">
        <f>Работы!S101</f>
        <v/>
      </c>
      <c r="F102" s="4">
        <f>Работы!R101</f>
        <v/>
      </c>
      <c r="G102" s="4">
        <f>(E102+F102)*D102</f>
        <v/>
      </c>
    </row>
    <row r="103">
      <c r="A103" s="9" t="n">
        <v>99</v>
      </c>
      <c r="B103" s="3">
        <f>Работы!B102</f>
        <v/>
      </c>
      <c r="C103" s="3">
        <f>Работы!C102</f>
        <v/>
      </c>
      <c r="D103" s="4">
        <f>Работы!D102</f>
        <v/>
      </c>
      <c r="E103" s="4">
        <f>Работы!S102</f>
        <v/>
      </c>
      <c r="F103" s="4">
        <f>Работы!R102</f>
        <v/>
      </c>
      <c r="G103" s="4">
        <f>(E103+F103)*D103</f>
        <v/>
      </c>
    </row>
    <row r="104">
      <c r="A104" s="9" t="n">
        <v>100</v>
      </c>
      <c r="B104" s="3">
        <f>Работы!B103</f>
        <v/>
      </c>
      <c r="C104" s="3">
        <f>Работы!C103</f>
        <v/>
      </c>
      <c r="D104" s="4">
        <f>Работы!D103</f>
        <v/>
      </c>
      <c r="E104" s="4">
        <f>Работы!S103</f>
        <v/>
      </c>
      <c r="F104" s="4">
        <f>Работы!R103</f>
        <v/>
      </c>
      <c r="G104" s="4">
        <f>(E104+F104)*D104</f>
        <v/>
      </c>
    </row>
    <row r="105">
      <c r="A105" s="9" t="n">
        <v>101</v>
      </c>
      <c r="B105" s="3">
        <f>Работы!B104</f>
        <v/>
      </c>
      <c r="C105" s="3">
        <f>Работы!C104</f>
        <v/>
      </c>
      <c r="D105" s="4">
        <f>Работы!D104</f>
        <v/>
      </c>
      <c r="E105" s="4">
        <f>Работы!S104</f>
        <v/>
      </c>
      <c r="F105" s="4">
        <f>Работы!R104</f>
        <v/>
      </c>
      <c r="G105" s="4">
        <f>(E105+F105)*D105</f>
        <v/>
      </c>
    </row>
    <row r="106">
      <c r="A106" s="9" t="n">
        <v>102</v>
      </c>
      <c r="B106" s="3">
        <f>Работы!B105</f>
        <v/>
      </c>
      <c r="C106" s="3">
        <f>Работы!C105</f>
        <v/>
      </c>
      <c r="D106" s="4">
        <f>Работы!D105</f>
        <v/>
      </c>
      <c r="E106" s="4">
        <f>Работы!S105</f>
        <v/>
      </c>
      <c r="F106" s="4">
        <f>Работы!R105</f>
        <v/>
      </c>
      <c r="G106" s="4">
        <f>(E106+F106)*D106</f>
        <v/>
      </c>
    </row>
    <row r="107">
      <c r="A107" s="9" t="n">
        <v>103</v>
      </c>
      <c r="B107" s="3">
        <f>Работы!B106</f>
        <v/>
      </c>
      <c r="C107" s="3">
        <f>Работы!C106</f>
        <v/>
      </c>
      <c r="D107" s="4">
        <f>Работы!D106</f>
        <v/>
      </c>
      <c r="E107" s="4">
        <f>Работы!S106</f>
        <v/>
      </c>
      <c r="F107" s="4">
        <f>Работы!R106</f>
        <v/>
      </c>
      <c r="G107" s="4">
        <f>(E107+F107)*D107</f>
        <v/>
      </c>
    </row>
    <row r="108">
      <c r="A108" s="9" t="n">
        <v>104</v>
      </c>
      <c r="B108" s="3">
        <f>Работы!B107</f>
        <v/>
      </c>
      <c r="C108" s="3">
        <f>Работы!C107</f>
        <v/>
      </c>
      <c r="D108" s="4">
        <f>Работы!D107</f>
        <v/>
      </c>
      <c r="E108" s="4">
        <f>Работы!S107</f>
        <v/>
      </c>
      <c r="F108" s="4">
        <f>Работы!R107</f>
        <v/>
      </c>
      <c r="G108" s="4">
        <f>(E108+F108)*D108</f>
        <v/>
      </c>
    </row>
    <row r="109">
      <c r="A109" s="9" t="n">
        <v>105</v>
      </c>
      <c r="B109" s="3">
        <f>Работы!B108</f>
        <v/>
      </c>
      <c r="C109" s="3">
        <f>Работы!C108</f>
        <v/>
      </c>
      <c r="D109" s="4">
        <f>Работы!D108</f>
        <v/>
      </c>
      <c r="E109" s="4">
        <f>Работы!S108</f>
        <v/>
      </c>
      <c r="F109" s="4">
        <f>Работы!R108</f>
        <v/>
      </c>
      <c r="G109" s="4">
        <f>(E109+F109)*D109</f>
        <v/>
      </c>
    </row>
    <row r="110">
      <c r="A110" s="9" t="n">
        <v>106</v>
      </c>
      <c r="B110" s="3">
        <f>Работы!B109</f>
        <v/>
      </c>
      <c r="C110" s="3">
        <f>Работы!C109</f>
        <v/>
      </c>
      <c r="D110" s="4">
        <f>Работы!D109</f>
        <v/>
      </c>
      <c r="E110" s="4">
        <f>Работы!S109</f>
        <v/>
      </c>
      <c r="F110" s="4">
        <f>Работы!R109</f>
        <v/>
      </c>
      <c r="G110" s="4">
        <f>(E110+F110)*D110</f>
        <v/>
      </c>
    </row>
    <row r="111">
      <c r="A111" s="9" t="n">
        <v>107</v>
      </c>
      <c r="B111" s="3">
        <f>Работы!B110</f>
        <v/>
      </c>
      <c r="C111" s="3">
        <f>Работы!C110</f>
        <v/>
      </c>
      <c r="D111" s="4">
        <f>Работы!D110</f>
        <v/>
      </c>
      <c r="E111" s="4">
        <f>Работы!S110</f>
        <v/>
      </c>
      <c r="F111" s="4">
        <f>Работы!R110</f>
        <v/>
      </c>
      <c r="G111" s="4">
        <f>(E111+F111)*D111</f>
        <v/>
      </c>
    </row>
    <row r="112">
      <c r="A112" s="9" t="n">
        <v>108</v>
      </c>
      <c r="B112" s="3">
        <f>Работы!B111</f>
        <v/>
      </c>
      <c r="C112" s="3">
        <f>Работы!C111</f>
        <v/>
      </c>
      <c r="D112" s="4">
        <f>Работы!D111</f>
        <v/>
      </c>
      <c r="E112" s="4">
        <f>Работы!S111</f>
        <v/>
      </c>
      <c r="F112" s="4">
        <f>Работы!R111</f>
        <v/>
      </c>
      <c r="G112" s="4">
        <f>(E112+F112)*D112</f>
        <v/>
      </c>
    </row>
    <row r="113">
      <c r="A113" s="9" t="n">
        <v>109</v>
      </c>
      <c r="B113" s="3">
        <f>Работы!B112</f>
        <v/>
      </c>
      <c r="C113" s="3">
        <f>Работы!C112</f>
        <v/>
      </c>
      <c r="D113" s="4">
        <f>Работы!D112</f>
        <v/>
      </c>
      <c r="E113" s="4">
        <f>Работы!S112</f>
        <v/>
      </c>
      <c r="F113" s="4">
        <f>Работы!R112</f>
        <v/>
      </c>
      <c r="G113" s="4">
        <f>(E113+F113)*D113</f>
        <v/>
      </c>
    </row>
    <row r="114">
      <c r="A114" s="9" t="n">
        <v>110</v>
      </c>
      <c r="B114" s="3">
        <f>Работы!B113</f>
        <v/>
      </c>
      <c r="C114" s="3">
        <f>Работы!C113</f>
        <v/>
      </c>
      <c r="D114" s="4">
        <f>Работы!D113</f>
        <v/>
      </c>
      <c r="E114" s="4">
        <f>Работы!S113</f>
        <v/>
      </c>
      <c r="F114" s="4">
        <f>Работы!R113</f>
        <v/>
      </c>
      <c r="G114" s="4">
        <f>(E114+F114)*D114</f>
        <v/>
      </c>
    </row>
    <row r="115">
      <c r="A115" s="9" t="n">
        <v>111</v>
      </c>
      <c r="B115" s="3">
        <f>Работы!B114</f>
        <v/>
      </c>
      <c r="C115" s="3">
        <f>Работы!C114</f>
        <v/>
      </c>
      <c r="D115" s="4">
        <f>Работы!D114</f>
        <v/>
      </c>
      <c r="E115" s="4">
        <f>Работы!S114</f>
        <v/>
      </c>
      <c r="F115" s="4">
        <f>Работы!R114</f>
        <v/>
      </c>
      <c r="G115" s="4">
        <f>(E115+F115)*D115</f>
        <v/>
      </c>
    </row>
    <row r="116">
      <c r="A116" s="9" t="n">
        <v>112</v>
      </c>
      <c r="B116" s="3">
        <f>Работы!B115</f>
        <v/>
      </c>
      <c r="C116" s="3">
        <f>Работы!C115</f>
        <v/>
      </c>
      <c r="D116" s="4">
        <f>Работы!D115</f>
        <v/>
      </c>
      <c r="E116" s="4">
        <f>Работы!S115</f>
        <v/>
      </c>
      <c r="F116" s="4">
        <f>Работы!R115</f>
        <v/>
      </c>
      <c r="G116" s="4">
        <f>(E116+F116)*D116</f>
        <v/>
      </c>
    </row>
    <row r="117">
      <c r="A117" s="9" t="n">
        <v>113</v>
      </c>
      <c r="B117" s="3">
        <f>Работы!B116</f>
        <v/>
      </c>
      <c r="C117" s="3">
        <f>Работы!C116</f>
        <v/>
      </c>
      <c r="D117" s="4">
        <f>Работы!D116</f>
        <v/>
      </c>
      <c r="E117" s="4">
        <f>Работы!S116</f>
        <v/>
      </c>
      <c r="F117" s="4">
        <f>Работы!R116</f>
        <v/>
      </c>
      <c r="G117" s="4">
        <f>(E117+F117)*D117</f>
        <v/>
      </c>
    </row>
    <row r="118">
      <c r="A118" s="9" t="n">
        <v>114</v>
      </c>
      <c r="B118" s="3">
        <f>Работы!B117</f>
        <v/>
      </c>
      <c r="C118" s="3">
        <f>Работы!C117</f>
        <v/>
      </c>
      <c r="D118" s="4">
        <f>Работы!D117</f>
        <v/>
      </c>
      <c r="E118" s="4">
        <f>Работы!S117</f>
        <v/>
      </c>
      <c r="F118" s="4">
        <f>Работы!R117</f>
        <v/>
      </c>
      <c r="G118" s="4">
        <f>(E118+F118)*D118</f>
        <v/>
      </c>
    </row>
    <row r="119">
      <c r="A119" s="9" t="n">
        <v>115</v>
      </c>
      <c r="B119" s="3">
        <f>Работы!B118</f>
        <v/>
      </c>
      <c r="C119" s="3">
        <f>Работы!C118</f>
        <v/>
      </c>
      <c r="D119" s="4">
        <f>Работы!D118</f>
        <v/>
      </c>
      <c r="E119" s="4">
        <f>Работы!S118</f>
        <v/>
      </c>
      <c r="F119" s="4">
        <f>Работы!R118</f>
        <v/>
      </c>
      <c r="G119" s="4">
        <f>(E119+F119)*D119</f>
        <v/>
      </c>
    </row>
    <row r="120">
      <c r="A120" s="9" t="n">
        <v>116</v>
      </c>
      <c r="B120" s="3">
        <f>Работы!B119</f>
        <v/>
      </c>
      <c r="C120" s="3">
        <f>Работы!C119</f>
        <v/>
      </c>
      <c r="D120" s="4">
        <f>Работы!D119</f>
        <v/>
      </c>
      <c r="E120" s="4">
        <f>Работы!S119</f>
        <v/>
      </c>
      <c r="F120" s="4">
        <f>Работы!R119</f>
        <v/>
      </c>
      <c r="G120" s="4">
        <f>(E120+F120)*D120</f>
        <v/>
      </c>
    </row>
    <row r="121">
      <c r="A121" s="9" t="n">
        <v>117</v>
      </c>
      <c r="B121" s="3">
        <f>Работы!B120</f>
        <v/>
      </c>
      <c r="C121" s="3">
        <f>Работы!C120</f>
        <v/>
      </c>
      <c r="D121" s="4">
        <f>Работы!D120</f>
        <v/>
      </c>
      <c r="E121" s="4">
        <f>Работы!S120</f>
        <v/>
      </c>
      <c r="F121" s="4">
        <f>Работы!R120</f>
        <v/>
      </c>
      <c r="G121" s="4">
        <f>(E121+F121)*D121</f>
        <v/>
      </c>
    </row>
    <row r="122">
      <c r="A122" s="9" t="n">
        <v>118</v>
      </c>
      <c r="B122" s="3">
        <f>Работы!B121</f>
        <v/>
      </c>
      <c r="C122" s="3">
        <f>Работы!C121</f>
        <v/>
      </c>
      <c r="D122" s="4">
        <f>Работы!D121</f>
        <v/>
      </c>
      <c r="E122" s="4">
        <f>Работы!S121</f>
        <v/>
      </c>
      <c r="F122" s="4">
        <f>Работы!R121</f>
        <v/>
      </c>
      <c r="G122" s="4">
        <f>(E122+F122)*D122</f>
        <v/>
      </c>
    </row>
    <row r="123">
      <c r="A123" s="9" t="n">
        <v>119</v>
      </c>
      <c r="B123" s="3">
        <f>Работы!B122</f>
        <v/>
      </c>
      <c r="C123" s="3">
        <f>Работы!C122</f>
        <v/>
      </c>
      <c r="D123" s="4">
        <f>Работы!D122</f>
        <v/>
      </c>
      <c r="E123" s="4">
        <f>Работы!S122</f>
        <v/>
      </c>
      <c r="F123" s="4">
        <f>Работы!R122</f>
        <v/>
      </c>
      <c r="G123" s="4">
        <f>(E123+F123)*D123</f>
        <v/>
      </c>
    </row>
    <row r="124">
      <c r="A124" s="9" t="n">
        <v>120</v>
      </c>
      <c r="B124" s="3">
        <f>Работы!B123</f>
        <v/>
      </c>
      <c r="C124" s="3">
        <f>Работы!C123</f>
        <v/>
      </c>
      <c r="D124" s="4">
        <f>Работы!D123</f>
        <v/>
      </c>
      <c r="E124" s="4">
        <f>Работы!S123</f>
        <v/>
      </c>
      <c r="F124" s="4">
        <f>Работы!R123</f>
        <v/>
      </c>
      <c r="G124" s="4">
        <f>(E124+F124)*D124</f>
        <v/>
      </c>
    </row>
    <row r="125">
      <c r="A125" s="9" t="n">
        <v>121</v>
      </c>
      <c r="B125" s="3">
        <f>Работы!B124</f>
        <v/>
      </c>
      <c r="C125" s="3">
        <f>Работы!C124</f>
        <v/>
      </c>
      <c r="D125" s="4">
        <f>Работы!D124</f>
        <v/>
      </c>
      <c r="E125" s="4">
        <f>Работы!S124</f>
        <v/>
      </c>
      <c r="F125" s="4">
        <f>Работы!R124</f>
        <v/>
      </c>
      <c r="G125" s="4">
        <f>(E125+F125)*D125</f>
        <v/>
      </c>
    </row>
    <row r="126">
      <c r="A126" s="9" t="n">
        <v>122</v>
      </c>
      <c r="B126" s="3">
        <f>Работы!B125</f>
        <v/>
      </c>
      <c r="C126" s="3">
        <f>Работы!C125</f>
        <v/>
      </c>
      <c r="D126" s="4">
        <f>Работы!D125</f>
        <v/>
      </c>
      <c r="E126" s="4">
        <f>Работы!S125</f>
        <v/>
      </c>
      <c r="F126" s="4">
        <f>Работы!R125</f>
        <v/>
      </c>
      <c r="G126" s="4">
        <f>(E126+F126)*D126</f>
        <v/>
      </c>
    </row>
    <row r="127">
      <c r="A127" s="9" t="n">
        <v>123</v>
      </c>
      <c r="B127" s="3">
        <f>Работы!B126</f>
        <v/>
      </c>
      <c r="C127" s="3">
        <f>Работы!C126</f>
        <v/>
      </c>
      <c r="D127" s="4">
        <f>Работы!D126</f>
        <v/>
      </c>
      <c r="E127" s="4">
        <f>Работы!S126</f>
        <v/>
      </c>
      <c r="F127" s="4">
        <f>Работы!R126</f>
        <v/>
      </c>
      <c r="G127" s="4">
        <f>(E127+F127)*D127</f>
        <v/>
      </c>
    </row>
    <row r="128">
      <c r="A128" s="9" t="n">
        <v>124</v>
      </c>
      <c r="B128" s="3">
        <f>Работы!B127</f>
        <v/>
      </c>
      <c r="C128" s="3">
        <f>Работы!C127</f>
        <v/>
      </c>
      <c r="D128" s="4">
        <f>Работы!D127</f>
        <v/>
      </c>
      <c r="E128" s="4">
        <f>Работы!S127</f>
        <v/>
      </c>
      <c r="F128" s="4">
        <f>Работы!R127</f>
        <v/>
      </c>
      <c r="G128" s="4">
        <f>(E128+F128)*D128</f>
        <v/>
      </c>
    </row>
    <row r="129">
      <c r="A129" s="9" t="n">
        <v>125</v>
      </c>
      <c r="B129" s="3">
        <f>Работы!B128</f>
        <v/>
      </c>
      <c r="C129" s="3">
        <f>Работы!C128</f>
        <v/>
      </c>
      <c r="D129" s="4">
        <f>Работы!D128</f>
        <v/>
      </c>
      <c r="E129" s="4">
        <f>Работы!S128</f>
        <v/>
      </c>
      <c r="F129" s="4">
        <f>Работы!R128</f>
        <v/>
      </c>
      <c r="G129" s="4">
        <f>(E129+F129)*D129</f>
        <v/>
      </c>
    </row>
    <row r="130">
      <c r="A130" s="9" t="n">
        <v>126</v>
      </c>
      <c r="B130" s="3">
        <f>Работы!B129</f>
        <v/>
      </c>
      <c r="C130" s="3">
        <f>Работы!C129</f>
        <v/>
      </c>
      <c r="D130" s="4">
        <f>Работы!D129</f>
        <v/>
      </c>
      <c r="E130" s="4">
        <f>Работы!S129</f>
        <v/>
      </c>
      <c r="F130" s="4">
        <f>Работы!R129</f>
        <v/>
      </c>
      <c r="G130" s="4">
        <f>(E130+F130)*D130</f>
        <v/>
      </c>
    </row>
    <row r="131">
      <c r="A131" s="9" t="n">
        <v>127</v>
      </c>
      <c r="B131" s="3">
        <f>Работы!B130</f>
        <v/>
      </c>
      <c r="C131" s="3">
        <f>Работы!C130</f>
        <v/>
      </c>
      <c r="D131" s="4">
        <f>Работы!D130</f>
        <v/>
      </c>
      <c r="E131" s="4">
        <f>Работы!S130</f>
        <v/>
      </c>
      <c r="F131" s="4">
        <f>Работы!R130</f>
        <v/>
      </c>
      <c r="G131" s="4">
        <f>(E131+F131)*D131</f>
        <v/>
      </c>
    </row>
    <row r="132">
      <c r="A132" s="9" t="n">
        <v>128</v>
      </c>
      <c r="B132" s="3">
        <f>Работы!B131</f>
        <v/>
      </c>
      <c r="C132" s="3">
        <f>Работы!C131</f>
        <v/>
      </c>
      <c r="D132" s="4">
        <f>Работы!D131</f>
        <v/>
      </c>
      <c r="E132" s="4">
        <f>Работы!S131</f>
        <v/>
      </c>
      <c r="F132" s="4">
        <f>Работы!R131</f>
        <v/>
      </c>
      <c r="G132" s="4">
        <f>(E132+F132)*D132</f>
        <v/>
      </c>
    </row>
    <row r="133">
      <c r="A133" s="9" t="n">
        <v>129</v>
      </c>
      <c r="B133" s="3">
        <f>Работы!B132</f>
        <v/>
      </c>
      <c r="C133" s="3">
        <f>Работы!C132</f>
        <v/>
      </c>
      <c r="D133" s="4">
        <f>Работы!D132</f>
        <v/>
      </c>
      <c r="E133" s="4">
        <f>Работы!S132</f>
        <v/>
      </c>
      <c r="F133" s="4">
        <f>Работы!R132</f>
        <v/>
      </c>
      <c r="G133" s="4">
        <f>(E133+F133)*D133</f>
        <v/>
      </c>
    </row>
    <row r="134">
      <c r="A134" s="9" t="n">
        <v>130</v>
      </c>
      <c r="B134" s="3">
        <f>Работы!B133</f>
        <v/>
      </c>
      <c r="C134" s="3">
        <f>Работы!C133</f>
        <v/>
      </c>
      <c r="D134" s="4">
        <f>Работы!D133</f>
        <v/>
      </c>
      <c r="E134" s="4">
        <f>Работы!S133</f>
        <v/>
      </c>
      <c r="F134" s="4">
        <f>Работы!R133</f>
        <v/>
      </c>
      <c r="G134" s="4">
        <f>(E134+F134)*D134</f>
        <v/>
      </c>
    </row>
    <row r="135">
      <c r="A135" s="9" t="n">
        <v>131</v>
      </c>
      <c r="B135" s="3">
        <f>Работы!B134</f>
        <v/>
      </c>
      <c r="C135" s="3">
        <f>Работы!C134</f>
        <v/>
      </c>
      <c r="D135" s="4">
        <f>Работы!D134</f>
        <v/>
      </c>
      <c r="E135" s="4">
        <f>Работы!S134</f>
        <v/>
      </c>
      <c r="F135" s="4">
        <f>Работы!R134</f>
        <v/>
      </c>
      <c r="G135" s="4">
        <f>(E135+F135)*D135</f>
        <v/>
      </c>
    </row>
    <row r="136">
      <c r="A136" s="9" t="n">
        <v>132</v>
      </c>
      <c r="B136" s="3">
        <f>Работы!B135</f>
        <v/>
      </c>
      <c r="C136" s="3">
        <f>Работы!C135</f>
        <v/>
      </c>
      <c r="D136" s="4">
        <f>Работы!D135</f>
        <v/>
      </c>
      <c r="E136" s="4">
        <f>Работы!S135</f>
        <v/>
      </c>
      <c r="F136" s="4">
        <f>Работы!R135</f>
        <v/>
      </c>
      <c r="G136" s="4">
        <f>(E136+F136)*D136</f>
        <v/>
      </c>
    </row>
    <row r="137">
      <c r="A137" s="9" t="n">
        <v>133</v>
      </c>
      <c r="B137" s="3">
        <f>Работы!B136</f>
        <v/>
      </c>
      <c r="C137" s="3">
        <f>Работы!C136</f>
        <v/>
      </c>
      <c r="D137" s="4">
        <f>Работы!D136</f>
        <v/>
      </c>
      <c r="E137" s="4">
        <f>Работы!S136</f>
        <v/>
      </c>
      <c r="F137" s="4">
        <f>Работы!R136</f>
        <v/>
      </c>
      <c r="G137" s="4">
        <f>(E137+F137)*D137</f>
        <v/>
      </c>
    </row>
    <row r="138">
      <c r="A138" s="9" t="n">
        <v>134</v>
      </c>
      <c r="B138" s="3">
        <f>Работы!B137</f>
        <v/>
      </c>
      <c r="C138" s="3">
        <f>Работы!C137</f>
        <v/>
      </c>
      <c r="D138" s="4">
        <f>Работы!D137</f>
        <v/>
      </c>
      <c r="E138" s="4">
        <f>Работы!S137</f>
        <v/>
      </c>
      <c r="F138" s="4">
        <f>Работы!R137</f>
        <v/>
      </c>
      <c r="G138" s="4">
        <f>(E138+F138)*D138</f>
        <v/>
      </c>
    </row>
    <row r="139">
      <c r="A139" s="9" t="n">
        <v>135</v>
      </c>
      <c r="B139" s="3">
        <f>Работы!B138</f>
        <v/>
      </c>
      <c r="C139" s="3">
        <f>Работы!C138</f>
        <v/>
      </c>
      <c r="D139" s="4">
        <f>Работы!D138</f>
        <v/>
      </c>
      <c r="E139" s="4">
        <f>Работы!S138</f>
        <v/>
      </c>
      <c r="F139" s="4">
        <f>Работы!R138</f>
        <v/>
      </c>
      <c r="G139" s="4">
        <f>(E139+F139)*D139</f>
        <v/>
      </c>
    </row>
    <row r="140">
      <c r="A140" s="9" t="n">
        <v>136</v>
      </c>
      <c r="B140" s="3">
        <f>Работы!B139</f>
        <v/>
      </c>
      <c r="C140" s="3">
        <f>Работы!C139</f>
        <v/>
      </c>
      <c r="D140" s="4">
        <f>Работы!D139</f>
        <v/>
      </c>
      <c r="E140" s="4">
        <f>Работы!S139</f>
        <v/>
      </c>
      <c r="F140" s="4">
        <f>Работы!R139</f>
        <v/>
      </c>
      <c r="G140" s="4">
        <f>(E140+F140)*D140</f>
        <v/>
      </c>
    </row>
    <row r="141">
      <c r="A141" s="9" t="n">
        <v>137</v>
      </c>
      <c r="B141" s="3">
        <f>Работы!B140</f>
        <v/>
      </c>
      <c r="C141" s="3">
        <f>Работы!C140</f>
        <v/>
      </c>
      <c r="D141" s="4">
        <f>Работы!D140</f>
        <v/>
      </c>
      <c r="E141" s="4">
        <f>Работы!S140</f>
        <v/>
      </c>
      <c r="F141" s="4">
        <f>Работы!R140</f>
        <v/>
      </c>
      <c r="G141" s="4">
        <f>(E141+F141)*D141</f>
        <v/>
      </c>
    </row>
    <row r="142">
      <c r="A142" s="9" t="n">
        <v>138</v>
      </c>
      <c r="B142" s="3">
        <f>Работы!B141</f>
        <v/>
      </c>
      <c r="C142" s="3">
        <f>Работы!C141</f>
        <v/>
      </c>
      <c r="D142" s="4">
        <f>Работы!D141</f>
        <v/>
      </c>
      <c r="E142" s="4">
        <f>Работы!S141</f>
        <v/>
      </c>
      <c r="F142" s="4">
        <f>Работы!R141</f>
        <v/>
      </c>
      <c r="G142" s="4">
        <f>(E142+F142)*D142</f>
        <v/>
      </c>
    </row>
    <row r="143">
      <c r="A143" s="9" t="n">
        <v>139</v>
      </c>
      <c r="B143" s="3">
        <f>Работы!B142</f>
        <v/>
      </c>
      <c r="C143" s="3">
        <f>Работы!C142</f>
        <v/>
      </c>
      <c r="D143" s="4">
        <f>Работы!D142</f>
        <v/>
      </c>
      <c r="E143" s="4">
        <f>Работы!S142</f>
        <v/>
      </c>
      <c r="F143" s="4">
        <f>Работы!R142</f>
        <v/>
      </c>
      <c r="G143" s="4">
        <f>(E143+F143)*D143</f>
        <v/>
      </c>
    </row>
    <row r="144">
      <c r="A144" s="9" t="n">
        <v>140</v>
      </c>
      <c r="B144" s="3">
        <f>Работы!B143</f>
        <v/>
      </c>
      <c r="C144" s="3">
        <f>Работы!C143</f>
        <v/>
      </c>
      <c r="D144" s="4">
        <f>Работы!D143</f>
        <v/>
      </c>
      <c r="E144" s="4">
        <f>Работы!S143</f>
        <v/>
      </c>
      <c r="F144" s="4">
        <f>Работы!R143</f>
        <v/>
      </c>
      <c r="G144" s="4">
        <f>(E144+F144)*D144</f>
        <v/>
      </c>
    </row>
    <row r="145">
      <c r="A145" s="9" t="n">
        <v>141</v>
      </c>
      <c r="B145" s="3">
        <f>Работы!B144</f>
        <v/>
      </c>
      <c r="C145" s="3">
        <f>Работы!C144</f>
        <v/>
      </c>
      <c r="D145" s="4">
        <f>Работы!D144</f>
        <v/>
      </c>
      <c r="E145" s="4">
        <f>Работы!S144</f>
        <v/>
      </c>
      <c r="F145" s="4">
        <f>Работы!R144</f>
        <v/>
      </c>
      <c r="G145" s="4">
        <f>(E145+F145)*D145</f>
        <v/>
      </c>
    </row>
    <row r="146">
      <c r="A146" s="9" t="n">
        <v>142</v>
      </c>
      <c r="B146" s="3">
        <f>Работы!B145</f>
        <v/>
      </c>
      <c r="C146" s="3">
        <f>Работы!C145</f>
        <v/>
      </c>
      <c r="D146" s="4">
        <f>Работы!D145</f>
        <v/>
      </c>
      <c r="E146" s="4">
        <f>Работы!S145</f>
        <v/>
      </c>
      <c r="F146" s="4">
        <f>Работы!R145</f>
        <v/>
      </c>
      <c r="G146" s="4">
        <f>(E146+F146)*D146</f>
        <v/>
      </c>
    </row>
    <row r="147">
      <c r="A147" s="9" t="n">
        <v>143</v>
      </c>
      <c r="B147" s="3">
        <f>Работы!B146</f>
        <v/>
      </c>
      <c r="C147" s="3">
        <f>Работы!C146</f>
        <v/>
      </c>
      <c r="D147" s="4">
        <f>Работы!D146</f>
        <v/>
      </c>
      <c r="E147" s="4">
        <f>Работы!S146</f>
        <v/>
      </c>
      <c r="F147" s="4">
        <f>Работы!R146</f>
        <v/>
      </c>
      <c r="G147" s="4">
        <f>(E147+F147)*D147</f>
        <v/>
      </c>
    </row>
    <row r="148">
      <c r="A148" s="9" t="n">
        <v>144</v>
      </c>
      <c r="B148" s="3">
        <f>Работы!B147</f>
        <v/>
      </c>
      <c r="C148" s="3">
        <f>Работы!C147</f>
        <v/>
      </c>
      <c r="D148" s="4">
        <f>Работы!D147</f>
        <v/>
      </c>
      <c r="E148" s="4">
        <f>Работы!S147</f>
        <v/>
      </c>
      <c r="F148" s="4">
        <f>Работы!R147</f>
        <v/>
      </c>
      <c r="G148" s="4">
        <f>(E148+F148)*D148</f>
        <v/>
      </c>
    </row>
    <row r="149">
      <c r="A149" s="9" t="n">
        <v>145</v>
      </c>
      <c r="B149" s="3">
        <f>Работы!B148</f>
        <v/>
      </c>
      <c r="C149" s="3">
        <f>Работы!C148</f>
        <v/>
      </c>
      <c r="D149" s="4">
        <f>Работы!D148</f>
        <v/>
      </c>
      <c r="E149" s="4">
        <f>Работы!S148</f>
        <v/>
      </c>
      <c r="F149" s="4">
        <f>Работы!R148</f>
        <v/>
      </c>
      <c r="G149" s="4">
        <f>(E149+F149)*D149</f>
        <v/>
      </c>
    </row>
    <row r="150">
      <c r="A150" s="9" t="n">
        <v>146</v>
      </c>
      <c r="B150" s="3">
        <f>Работы!B149</f>
        <v/>
      </c>
      <c r="C150" s="3">
        <f>Работы!C149</f>
        <v/>
      </c>
      <c r="D150" s="4">
        <f>Работы!D149</f>
        <v/>
      </c>
      <c r="E150" s="4">
        <f>Работы!S149</f>
        <v/>
      </c>
      <c r="F150" s="4">
        <f>Работы!R149</f>
        <v/>
      </c>
      <c r="G150" s="4">
        <f>(E150+F150)*D150</f>
        <v/>
      </c>
    </row>
    <row r="151">
      <c r="A151" s="9" t="n">
        <v>147</v>
      </c>
      <c r="B151" s="3">
        <f>Работы!B150</f>
        <v/>
      </c>
      <c r="C151" s="3">
        <f>Работы!C150</f>
        <v/>
      </c>
      <c r="D151" s="4">
        <f>Работы!D150</f>
        <v/>
      </c>
      <c r="E151" s="4">
        <f>Работы!S150</f>
        <v/>
      </c>
      <c r="F151" s="4">
        <f>Работы!R150</f>
        <v/>
      </c>
      <c r="G151" s="4">
        <f>(E151+F151)*D151</f>
        <v/>
      </c>
    </row>
    <row r="152">
      <c r="A152" s="9" t="n">
        <v>148</v>
      </c>
      <c r="B152" s="3">
        <f>Работы!B151</f>
        <v/>
      </c>
      <c r="C152" s="3">
        <f>Работы!C151</f>
        <v/>
      </c>
      <c r="D152" s="4">
        <f>Работы!D151</f>
        <v/>
      </c>
      <c r="E152" s="4">
        <f>Работы!S151</f>
        <v/>
      </c>
      <c r="F152" s="4">
        <f>Работы!R151</f>
        <v/>
      </c>
      <c r="G152" s="4">
        <f>(E152+F152)*D152</f>
        <v/>
      </c>
    </row>
    <row r="153">
      <c r="A153" s="9" t="n">
        <v>149</v>
      </c>
      <c r="B153" s="3">
        <f>Работы!B152</f>
        <v/>
      </c>
      <c r="C153" s="3">
        <f>Работы!C152</f>
        <v/>
      </c>
      <c r="D153" s="4">
        <f>Работы!D152</f>
        <v/>
      </c>
      <c r="E153" s="4">
        <f>Работы!S152</f>
        <v/>
      </c>
      <c r="F153" s="4">
        <f>Работы!R152</f>
        <v/>
      </c>
      <c r="G153" s="4">
        <f>(E153+F153)*D153</f>
        <v/>
      </c>
    </row>
    <row r="154">
      <c r="A154" s="9" t="n">
        <v>150</v>
      </c>
      <c r="B154" s="3">
        <f>Работы!B153</f>
        <v/>
      </c>
      <c r="C154" s="3">
        <f>Работы!C153</f>
        <v/>
      </c>
      <c r="D154" s="4">
        <f>Работы!D153</f>
        <v/>
      </c>
      <c r="E154" s="4">
        <f>Работы!S153</f>
        <v/>
      </c>
      <c r="F154" s="4">
        <f>Работы!R153</f>
        <v/>
      </c>
      <c r="G154" s="4">
        <f>(E154+F154)*D154</f>
        <v/>
      </c>
    </row>
    <row r="155">
      <c r="A155" s="9" t="n">
        <v>151</v>
      </c>
      <c r="B155" s="3">
        <f>Работы!B154</f>
        <v/>
      </c>
      <c r="C155" s="3">
        <f>Работы!C154</f>
        <v/>
      </c>
      <c r="D155" s="4">
        <f>Работы!D154</f>
        <v/>
      </c>
      <c r="E155" s="4">
        <f>Работы!S154</f>
        <v/>
      </c>
      <c r="F155" s="4">
        <f>Работы!R154</f>
        <v/>
      </c>
      <c r="G155" s="4">
        <f>(E155+F155)*D155</f>
        <v/>
      </c>
    </row>
    <row r="156">
      <c r="A156" s="9" t="n">
        <v>152</v>
      </c>
      <c r="B156" s="3">
        <f>Работы!B155</f>
        <v/>
      </c>
      <c r="C156" s="3">
        <f>Работы!C155</f>
        <v/>
      </c>
      <c r="D156" s="4">
        <f>Работы!D155</f>
        <v/>
      </c>
      <c r="E156" s="4">
        <f>Работы!S155</f>
        <v/>
      </c>
      <c r="F156" s="4">
        <f>Работы!R155</f>
        <v/>
      </c>
      <c r="G156" s="4">
        <f>(E156+F156)*D156</f>
        <v/>
      </c>
    </row>
    <row r="157">
      <c r="A157" s="9" t="n">
        <v>153</v>
      </c>
      <c r="B157" s="3">
        <f>Работы!B156</f>
        <v/>
      </c>
      <c r="C157" s="3">
        <f>Работы!C156</f>
        <v/>
      </c>
      <c r="D157" s="4">
        <f>Работы!D156</f>
        <v/>
      </c>
      <c r="E157" s="4">
        <f>Работы!S156</f>
        <v/>
      </c>
      <c r="F157" s="4">
        <f>Работы!R156</f>
        <v/>
      </c>
      <c r="G157" s="4">
        <f>(E157+F157)*D157</f>
        <v/>
      </c>
    </row>
    <row r="158">
      <c r="A158" s="9" t="n">
        <v>154</v>
      </c>
      <c r="B158" s="3">
        <f>Работы!B157</f>
        <v/>
      </c>
      <c r="C158" s="3">
        <f>Работы!C157</f>
        <v/>
      </c>
      <c r="D158" s="4">
        <f>Работы!D157</f>
        <v/>
      </c>
      <c r="E158" s="4">
        <f>Работы!S157</f>
        <v/>
      </c>
      <c r="F158" s="4">
        <f>Работы!R157</f>
        <v/>
      </c>
      <c r="G158" s="4">
        <f>(E158+F158)*D158</f>
        <v/>
      </c>
    </row>
    <row r="159">
      <c r="A159" s="9" t="n">
        <v>155</v>
      </c>
      <c r="B159" s="3">
        <f>Работы!B158</f>
        <v/>
      </c>
      <c r="C159" s="3">
        <f>Работы!C158</f>
        <v/>
      </c>
      <c r="D159" s="4">
        <f>Работы!D158</f>
        <v/>
      </c>
      <c r="E159" s="4">
        <f>Работы!S158</f>
        <v/>
      </c>
      <c r="F159" s="4">
        <f>Работы!R158</f>
        <v/>
      </c>
      <c r="G159" s="4">
        <f>(E159+F159)*D159</f>
        <v/>
      </c>
    </row>
    <row r="160">
      <c r="A160" s="9" t="n">
        <v>156</v>
      </c>
      <c r="B160" s="3">
        <f>Работы!B159</f>
        <v/>
      </c>
      <c r="C160" s="3">
        <f>Работы!C159</f>
        <v/>
      </c>
      <c r="D160" s="4">
        <f>Работы!D159</f>
        <v/>
      </c>
      <c r="E160" s="4">
        <f>Работы!S159</f>
        <v/>
      </c>
      <c r="F160" s="4">
        <f>Работы!R159</f>
        <v/>
      </c>
      <c r="G160" s="4">
        <f>(E160+F160)*D160</f>
        <v/>
      </c>
    </row>
    <row r="161">
      <c r="A161" s="9" t="n">
        <v>157</v>
      </c>
      <c r="B161" s="3">
        <f>Работы!B160</f>
        <v/>
      </c>
      <c r="C161" s="3">
        <f>Работы!C160</f>
        <v/>
      </c>
      <c r="D161" s="4">
        <f>Работы!D160</f>
        <v/>
      </c>
      <c r="E161" s="4">
        <f>Работы!S160</f>
        <v/>
      </c>
      <c r="F161" s="4">
        <f>Работы!R160</f>
        <v/>
      </c>
      <c r="G161" s="4">
        <f>(E161+F161)*D161</f>
        <v/>
      </c>
    </row>
    <row r="162">
      <c r="A162" s="9" t="n">
        <v>158</v>
      </c>
      <c r="B162" s="3">
        <f>Работы!B161</f>
        <v/>
      </c>
      <c r="C162" s="3">
        <f>Работы!C161</f>
        <v/>
      </c>
      <c r="D162" s="4">
        <f>Работы!D161</f>
        <v/>
      </c>
      <c r="E162" s="4">
        <f>Работы!S161</f>
        <v/>
      </c>
      <c r="F162" s="4">
        <f>Работы!R161</f>
        <v/>
      </c>
      <c r="G162" s="4">
        <f>(E162+F162)*D162</f>
        <v/>
      </c>
    </row>
    <row r="163">
      <c r="A163" s="9" t="n">
        <v>159</v>
      </c>
      <c r="B163" s="3">
        <f>Работы!B162</f>
        <v/>
      </c>
      <c r="C163" s="3">
        <f>Работы!C162</f>
        <v/>
      </c>
      <c r="D163" s="4">
        <f>Работы!D162</f>
        <v/>
      </c>
      <c r="E163" s="4">
        <f>Работы!S162</f>
        <v/>
      </c>
      <c r="F163" s="4">
        <f>Работы!R162</f>
        <v/>
      </c>
      <c r="G163" s="4">
        <f>(E163+F163)*D163</f>
        <v/>
      </c>
    </row>
    <row r="164">
      <c r="A164" s="9" t="n">
        <v>160</v>
      </c>
      <c r="B164" s="3">
        <f>Работы!B163</f>
        <v/>
      </c>
      <c r="C164" s="3">
        <f>Работы!C163</f>
        <v/>
      </c>
      <c r="D164" s="4">
        <f>Работы!D163</f>
        <v/>
      </c>
      <c r="E164" s="4">
        <f>Работы!S163</f>
        <v/>
      </c>
      <c r="F164" s="4">
        <f>Работы!R163</f>
        <v/>
      </c>
      <c r="G164" s="4">
        <f>(E164+F164)*D164</f>
        <v/>
      </c>
    </row>
    <row r="165">
      <c r="A165" s="9" t="n">
        <v>161</v>
      </c>
      <c r="B165" s="3">
        <f>Работы!B164</f>
        <v/>
      </c>
      <c r="C165" s="3">
        <f>Работы!C164</f>
        <v/>
      </c>
      <c r="D165" s="4">
        <f>Работы!D164</f>
        <v/>
      </c>
      <c r="E165" s="4">
        <f>Работы!S164</f>
        <v/>
      </c>
      <c r="F165" s="4">
        <f>Работы!R164</f>
        <v/>
      </c>
      <c r="G165" s="4">
        <f>(E165+F165)*D165</f>
        <v/>
      </c>
    </row>
    <row r="166">
      <c r="A166" s="9" t="n">
        <v>162</v>
      </c>
      <c r="B166" s="3">
        <f>Работы!B165</f>
        <v/>
      </c>
      <c r="C166" s="3">
        <f>Работы!C165</f>
        <v/>
      </c>
      <c r="D166" s="4">
        <f>Работы!D165</f>
        <v/>
      </c>
      <c r="E166" s="4">
        <f>Работы!S165</f>
        <v/>
      </c>
      <c r="F166" s="4">
        <f>Работы!R165</f>
        <v/>
      </c>
      <c r="G166" s="4">
        <f>(E166+F166)*D166</f>
        <v/>
      </c>
    </row>
    <row r="167">
      <c r="A167" s="9" t="n">
        <v>163</v>
      </c>
      <c r="B167" s="3">
        <f>Работы!B166</f>
        <v/>
      </c>
      <c r="C167" s="3">
        <f>Работы!C166</f>
        <v/>
      </c>
      <c r="D167" s="4">
        <f>Работы!D166</f>
        <v/>
      </c>
      <c r="E167" s="4">
        <f>Работы!S166</f>
        <v/>
      </c>
      <c r="F167" s="4">
        <f>Работы!R166</f>
        <v/>
      </c>
      <c r="G167" s="4">
        <f>(E167+F167)*D167</f>
        <v/>
      </c>
    </row>
    <row r="168">
      <c r="A168" s="9" t="n">
        <v>164</v>
      </c>
      <c r="B168" s="3">
        <f>Работы!B167</f>
        <v/>
      </c>
      <c r="C168" s="3">
        <f>Работы!C167</f>
        <v/>
      </c>
      <c r="D168" s="4">
        <f>Работы!D167</f>
        <v/>
      </c>
      <c r="E168" s="4">
        <f>Работы!S167</f>
        <v/>
      </c>
      <c r="F168" s="4">
        <f>Работы!R167</f>
        <v/>
      </c>
      <c r="G168" s="4">
        <f>(E168+F168)*D168</f>
        <v/>
      </c>
    </row>
    <row r="169">
      <c r="A169" s="9" t="n">
        <v>165</v>
      </c>
      <c r="B169" s="3">
        <f>Работы!B168</f>
        <v/>
      </c>
      <c r="C169" s="3">
        <f>Работы!C168</f>
        <v/>
      </c>
      <c r="D169" s="4">
        <f>Работы!D168</f>
        <v/>
      </c>
      <c r="E169" s="4">
        <f>Работы!S168</f>
        <v/>
      </c>
      <c r="F169" s="4">
        <f>Работы!R168</f>
        <v/>
      </c>
      <c r="G169" s="4">
        <f>(E169+F169)*D169</f>
        <v/>
      </c>
    </row>
    <row r="170">
      <c r="A170" s="9" t="n">
        <v>166</v>
      </c>
      <c r="B170" s="3">
        <f>Работы!B169</f>
        <v/>
      </c>
      <c r="C170" s="3">
        <f>Работы!C169</f>
        <v/>
      </c>
      <c r="D170" s="4">
        <f>Работы!D169</f>
        <v/>
      </c>
      <c r="E170" s="4">
        <f>Работы!S169</f>
        <v/>
      </c>
      <c r="F170" s="4">
        <f>Работы!R169</f>
        <v/>
      </c>
      <c r="G170" s="4">
        <f>(E170+F170)*D170</f>
        <v/>
      </c>
    </row>
    <row r="171">
      <c r="A171" s="9" t="n">
        <v>167</v>
      </c>
      <c r="B171" s="3">
        <f>Работы!B170</f>
        <v/>
      </c>
      <c r="C171" s="3">
        <f>Работы!C170</f>
        <v/>
      </c>
      <c r="D171" s="4">
        <f>Работы!D170</f>
        <v/>
      </c>
      <c r="E171" s="4">
        <f>Работы!S170</f>
        <v/>
      </c>
      <c r="F171" s="4">
        <f>Работы!R170</f>
        <v/>
      </c>
      <c r="G171" s="4">
        <f>(E171+F171)*D171</f>
        <v/>
      </c>
    </row>
    <row r="172">
      <c r="A172" s="9" t="n">
        <v>168</v>
      </c>
      <c r="B172" s="3">
        <f>Работы!B171</f>
        <v/>
      </c>
      <c r="C172" s="3">
        <f>Работы!C171</f>
        <v/>
      </c>
      <c r="D172" s="4">
        <f>Работы!D171</f>
        <v/>
      </c>
      <c r="E172" s="4">
        <f>Работы!S171</f>
        <v/>
      </c>
      <c r="F172" s="4">
        <f>Работы!R171</f>
        <v/>
      </c>
      <c r="G172" s="4">
        <f>(E172+F172)*D172</f>
        <v/>
      </c>
    </row>
    <row r="173">
      <c r="A173" s="9" t="n">
        <v>169</v>
      </c>
      <c r="B173" s="3">
        <f>Работы!B172</f>
        <v/>
      </c>
      <c r="C173" s="3">
        <f>Работы!C172</f>
        <v/>
      </c>
      <c r="D173" s="4">
        <f>Работы!D172</f>
        <v/>
      </c>
      <c r="E173" s="4">
        <f>Работы!S172</f>
        <v/>
      </c>
      <c r="F173" s="4">
        <f>Работы!R172</f>
        <v/>
      </c>
      <c r="G173" s="4">
        <f>(E173+F173)*D173</f>
        <v/>
      </c>
    </row>
    <row r="174">
      <c r="A174" s="9" t="n">
        <v>170</v>
      </c>
      <c r="B174" s="3">
        <f>Работы!B173</f>
        <v/>
      </c>
      <c r="C174" s="3">
        <f>Работы!C173</f>
        <v/>
      </c>
      <c r="D174" s="4">
        <f>Работы!D173</f>
        <v/>
      </c>
      <c r="E174" s="4">
        <f>Работы!S173</f>
        <v/>
      </c>
      <c r="F174" s="4">
        <f>Работы!R173</f>
        <v/>
      </c>
      <c r="G174" s="4">
        <f>(E174+F174)*D174</f>
        <v/>
      </c>
    </row>
    <row r="175">
      <c r="A175" s="9" t="n">
        <v>171</v>
      </c>
      <c r="B175" s="3">
        <f>Работы!B174</f>
        <v/>
      </c>
      <c r="C175" s="3">
        <f>Работы!C174</f>
        <v/>
      </c>
      <c r="D175" s="4">
        <f>Работы!D174</f>
        <v/>
      </c>
      <c r="E175" s="4">
        <f>Работы!S174</f>
        <v/>
      </c>
      <c r="F175" s="4">
        <f>Работы!R174</f>
        <v/>
      </c>
      <c r="G175" s="4">
        <f>(E175+F175)*D175</f>
        <v/>
      </c>
    </row>
    <row r="176">
      <c r="A176" s="9" t="n">
        <v>172</v>
      </c>
      <c r="B176" s="3">
        <f>Работы!B175</f>
        <v/>
      </c>
      <c r="C176" s="3">
        <f>Работы!C175</f>
        <v/>
      </c>
      <c r="D176" s="4">
        <f>Работы!D175</f>
        <v/>
      </c>
      <c r="E176" s="4">
        <f>Работы!S175</f>
        <v/>
      </c>
      <c r="F176" s="4">
        <f>Работы!R175</f>
        <v/>
      </c>
      <c r="G176" s="4">
        <f>(E176+F176)*D176</f>
        <v/>
      </c>
    </row>
    <row r="177">
      <c r="A177" s="9" t="n">
        <v>173</v>
      </c>
      <c r="B177" s="3">
        <f>Работы!B176</f>
        <v/>
      </c>
      <c r="C177" s="3">
        <f>Работы!C176</f>
        <v/>
      </c>
      <c r="D177" s="4">
        <f>Работы!D176</f>
        <v/>
      </c>
      <c r="E177" s="4">
        <f>Работы!S176</f>
        <v/>
      </c>
      <c r="F177" s="4">
        <f>Работы!R176</f>
        <v/>
      </c>
      <c r="G177" s="4">
        <f>(E177+F177)*D177</f>
        <v/>
      </c>
    </row>
    <row r="178">
      <c r="A178" s="9" t="n">
        <v>174</v>
      </c>
      <c r="B178" s="3">
        <f>Работы!B177</f>
        <v/>
      </c>
      <c r="C178" s="3">
        <f>Работы!C177</f>
        <v/>
      </c>
      <c r="D178" s="4">
        <f>Работы!D177</f>
        <v/>
      </c>
      <c r="E178" s="4">
        <f>Работы!S177</f>
        <v/>
      </c>
      <c r="F178" s="4">
        <f>Работы!R177</f>
        <v/>
      </c>
      <c r="G178" s="4">
        <f>(E178+F178)*D178</f>
        <v/>
      </c>
    </row>
    <row r="179">
      <c r="A179" s="9" t="n">
        <v>175</v>
      </c>
      <c r="B179" s="3">
        <f>Работы!B178</f>
        <v/>
      </c>
      <c r="C179" s="3">
        <f>Работы!C178</f>
        <v/>
      </c>
      <c r="D179" s="4">
        <f>Работы!D178</f>
        <v/>
      </c>
      <c r="E179" s="4">
        <f>Работы!S178</f>
        <v/>
      </c>
      <c r="F179" s="4">
        <f>Работы!R178</f>
        <v/>
      </c>
      <c r="G179" s="4">
        <f>(E179+F179)*D179</f>
        <v/>
      </c>
    </row>
    <row r="180">
      <c r="A180" s="9" t="n">
        <v>176</v>
      </c>
      <c r="B180" s="3">
        <f>Работы!B179</f>
        <v/>
      </c>
      <c r="C180" s="3">
        <f>Работы!C179</f>
        <v/>
      </c>
      <c r="D180" s="4">
        <f>Работы!D179</f>
        <v/>
      </c>
      <c r="E180" s="4">
        <f>Работы!S179</f>
        <v/>
      </c>
      <c r="F180" s="4">
        <f>Работы!R179</f>
        <v/>
      </c>
      <c r="G180" s="4">
        <f>(E180+F180)*D180</f>
        <v/>
      </c>
    </row>
    <row r="181">
      <c r="A181" s="9" t="n">
        <v>177</v>
      </c>
      <c r="B181" s="3">
        <f>Работы!B180</f>
        <v/>
      </c>
      <c r="C181" s="3">
        <f>Работы!C180</f>
        <v/>
      </c>
      <c r="D181" s="4">
        <f>Работы!D180</f>
        <v/>
      </c>
      <c r="E181" s="4">
        <f>Работы!S180</f>
        <v/>
      </c>
      <c r="F181" s="4">
        <f>Работы!R180</f>
        <v/>
      </c>
      <c r="G181" s="4">
        <f>(E181+F181)*D181</f>
        <v/>
      </c>
    </row>
    <row r="182">
      <c r="A182" s="9" t="n">
        <v>178</v>
      </c>
      <c r="B182" s="3">
        <f>Работы!B181</f>
        <v/>
      </c>
      <c r="C182" s="3">
        <f>Работы!C181</f>
        <v/>
      </c>
      <c r="D182" s="4">
        <f>Работы!D181</f>
        <v/>
      </c>
      <c r="E182" s="4">
        <f>Работы!S181</f>
        <v/>
      </c>
      <c r="F182" s="4">
        <f>Работы!R181</f>
        <v/>
      </c>
      <c r="G182" s="4">
        <f>(E182+F182)*D182</f>
        <v/>
      </c>
    </row>
    <row r="183">
      <c r="A183" s="9" t="n">
        <v>179</v>
      </c>
      <c r="B183" s="3">
        <f>Работы!B182</f>
        <v/>
      </c>
      <c r="C183" s="3">
        <f>Работы!C182</f>
        <v/>
      </c>
      <c r="D183" s="4">
        <f>Работы!D182</f>
        <v/>
      </c>
      <c r="E183" s="4">
        <f>Работы!S182</f>
        <v/>
      </c>
      <c r="F183" s="4">
        <f>Работы!R182</f>
        <v/>
      </c>
      <c r="G183" s="4">
        <f>(E183+F183)*D183</f>
        <v/>
      </c>
    </row>
    <row r="184">
      <c r="A184" s="9" t="n">
        <v>180</v>
      </c>
      <c r="B184" s="3">
        <f>Работы!B183</f>
        <v/>
      </c>
      <c r="C184" s="3">
        <f>Работы!C183</f>
        <v/>
      </c>
      <c r="D184" s="4">
        <f>Работы!D183</f>
        <v/>
      </c>
      <c r="E184" s="4">
        <f>Работы!S183</f>
        <v/>
      </c>
      <c r="F184" s="4">
        <f>Работы!R183</f>
        <v/>
      </c>
      <c r="G184" s="4">
        <f>(E184+F184)*D184</f>
        <v/>
      </c>
    </row>
    <row r="185">
      <c r="A185" s="9" t="n">
        <v>181</v>
      </c>
      <c r="B185" s="3">
        <f>Работы!B184</f>
        <v/>
      </c>
      <c r="C185" s="3">
        <f>Работы!C184</f>
        <v/>
      </c>
      <c r="D185" s="4">
        <f>Работы!D184</f>
        <v/>
      </c>
      <c r="E185" s="4">
        <f>Работы!S184</f>
        <v/>
      </c>
      <c r="F185" s="4">
        <f>Работы!R184</f>
        <v/>
      </c>
      <c r="G185" s="4">
        <f>(E185+F185)*D185</f>
        <v/>
      </c>
    </row>
    <row r="186">
      <c r="A186" s="9" t="n">
        <v>182</v>
      </c>
      <c r="B186" s="3">
        <f>Работы!B185</f>
        <v/>
      </c>
      <c r="C186" s="3">
        <f>Работы!C185</f>
        <v/>
      </c>
      <c r="D186" s="4">
        <f>Работы!D185</f>
        <v/>
      </c>
      <c r="E186" s="4">
        <f>Работы!S185</f>
        <v/>
      </c>
      <c r="F186" s="4">
        <f>Работы!R185</f>
        <v/>
      </c>
      <c r="G186" s="4">
        <f>(E186+F186)*D186</f>
        <v/>
      </c>
    </row>
    <row r="187">
      <c r="A187" s="9" t="n">
        <v>183</v>
      </c>
      <c r="B187" s="3">
        <f>Работы!B186</f>
        <v/>
      </c>
      <c r="C187" s="3">
        <f>Работы!C186</f>
        <v/>
      </c>
      <c r="D187" s="4">
        <f>Работы!D186</f>
        <v/>
      </c>
      <c r="E187" s="4">
        <f>Работы!S186</f>
        <v/>
      </c>
      <c r="F187" s="4">
        <f>Работы!R186</f>
        <v/>
      </c>
      <c r="G187" s="4">
        <f>(E187+F187)*D187</f>
        <v/>
      </c>
    </row>
    <row r="188">
      <c r="A188" s="9" t="n">
        <v>184</v>
      </c>
      <c r="B188" s="3">
        <f>Работы!B187</f>
        <v/>
      </c>
      <c r="C188" s="3">
        <f>Работы!C187</f>
        <v/>
      </c>
      <c r="D188" s="4">
        <f>Работы!D187</f>
        <v/>
      </c>
      <c r="E188" s="4">
        <f>Работы!S187</f>
        <v/>
      </c>
      <c r="F188" s="4">
        <f>Работы!R187</f>
        <v/>
      </c>
      <c r="G188" s="4">
        <f>(E188+F188)*D188</f>
        <v/>
      </c>
    </row>
    <row r="189">
      <c r="A189" s="9" t="n">
        <v>185</v>
      </c>
      <c r="B189" s="3">
        <f>Работы!B188</f>
        <v/>
      </c>
      <c r="C189" s="3">
        <f>Работы!C188</f>
        <v/>
      </c>
      <c r="D189" s="4">
        <f>Работы!D188</f>
        <v/>
      </c>
      <c r="E189" s="4">
        <f>Работы!S188</f>
        <v/>
      </c>
      <c r="F189" s="4">
        <f>Работы!R188</f>
        <v/>
      </c>
      <c r="G189" s="4">
        <f>(E189+F189)*D189</f>
        <v/>
      </c>
    </row>
    <row r="190">
      <c r="A190" s="9" t="n">
        <v>186</v>
      </c>
      <c r="B190" s="3">
        <f>Работы!B189</f>
        <v/>
      </c>
      <c r="C190" s="3">
        <f>Работы!C189</f>
        <v/>
      </c>
      <c r="D190" s="4">
        <f>Работы!D189</f>
        <v/>
      </c>
      <c r="E190" s="4">
        <f>Работы!S189</f>
        <v/>
      </c>
      <c r="F190" s="4">
        <f>Работы!R189</f>
        <v/>
      </c>
      <c r="G190" s="4">
        <f>(E190+F190)*D190</f>
        <v/>
      </c>
    </row>
    <row r="191">
      <c r="A191" s="9" t="n">
        <v>187</v>
      </c>
      <c r="B191" s="3">
        <f>Работы!B190</f>
        <v/>
      </c>
      <c r="C191" s="3">
        <f>Работы!C190</f>
        <v/>
      </c>
      <c r="D191" s="4">
        <f>Работы!D190</f>
        <v/>
      </c>
      <c r="E191" s="4">
        <f>Работы!S190</f>
        <v/>
      </c>
      <c r="F191" s="4">
        <f>Работы!R190</f>
        <v/>
      </c>
      <c r="G191" s="4">
        <f>(E191+F191)*D191</f>
        <v/>
      </c>
    </row>
    <row r="192">
      <c r="A192" s="9" t="n">
        <v>188</v>
      </c>
      <c r="B192" s="3">
        <f>Работы!B191</f>
        <v/>
      </c>
      <c r="C192" s="3">
        <f>Работы!C191</f>
        <v/>
      </c>
      <c r="D192" s="4">
        <f>Работы!D191</f>
        <v/>
      </c>
      <c r="E192" s="4">
        <f>Работы!S191</f>
        <v/>
      </c>
      <c r="F192" s="4">
        <f>Работы!R191</f>
        <v/>
      </c>
      <c r="G192" s="4">
        <f>(E192+F192)*D192</f>
        <v/>
      </c>
    </row>
    <row r="193">
      <c r="A193" s="9" t="n">
        <v>189</v>
      </c>
      <c r="B193" s="3">
        <f>Работы!B192</f>
        <v/>
      </c>
      <c r="C193" s="3">
        <f>Работы!C192</f>
        <v/>
      </c>
      <c r="D193" s="4">
        <f>Работы!D192</f>
        <v/>
      </c>
      <c r="E193" s="4">
        <f>Работы!S192</f>
        <v/>
      </c>
      <c r="F193" s="4">
        <f>Работы!R192</f>
        <v/>
      </c>
      <c r="G193" s="4">
        <f>(E193+F193)*D193</f>
        <v/>
      </c>
    </row>
    <row r="194">
      <c r="A194" s="9" t="n">
        <v>190</v>
      </c>
      <c r="B194" s="3">
        <f>Работы!B193</f>
        <v/>
      </c>
      <c r="C194" s="3">
        <f>Работы!C193</f>
        <v/>
      </c>
      <c r="D194" s="4">
        <f>Работы!D193</f>
        <v/>
      </c>
      <c r="E194" s="4">
        <f>Работы!S193</f>
        <v/>
      </c>
      <c r="F194" s="4">
        <f>Работы!R193</f>
        <v/>
      </c>
      <c r="G194" s="4">
        <f>(E194+F194)*D194</f>
        <v/>
      </c>
    </row>
    <row r="195">
      <c r="A195" s="9" t="n">
        <v>191</v>
      </c>
      <c r="B195" s="3">
        <f>Работы!B194</f>
        <v/>
      </c>
      <c r="C195" s="3">
        <f>Работы!C194</f>
        <v/>
      </c>
      <c r="D195" s="4">
        <f>Работы!D194</f>
        <v/>
      </c>
      <c r="E195" s="4">
        <f>Работы!S194</f>
        <v/>
      </c>
      <c r="F195" s="4">
        <f>Работы!R194</f>
        <v/>
      </c>
      <c r="G195" s="4">
        <f>(E195+F195)*D195</f>
        <v/>
      </c>
    </row>
    <row r="196">
      <c r="A196" s="9" t="n">
        <v>192</v>
      </c>
      <c r="B196" s="3">
        <f>Работы!B195</f>
        <v/>
      </c>
      <c r="C196" s="3">
        <f>Работы!C195</f>
        <v/>
      </c>
      <c r="D196" s="4">
        <f>Работы!D195</f>
        <v/>
      </c>
      <c r="E196" s="4">
        <f>Работы!S195</f>
        <v/>
      </c>
      <c r="F196" s="4">
        <f>Работы!R195</f>
        <v/>
      </c>
      <c r="G196" s="4">
        <f>(E196+F196)*D196</f>
        <v/>
      </c>
    </row>
    <row r="197">
      <c r="A197" s="9" t="n">
        <v>193</v>
      </c>
      <c r="B197" s="3">
        <f>Работы!B196</f>
        <v/>
      </c>
      <c r="C197" s="3">
        <f>Работы!C196</f>
        <v/>
      </c>
      <c r="D197" s="4">
        <f>Работы!D196</f>
        <v/>
      </c>
      <c r="E197" s="4">
        <f>Работы!S196</f>
        <v/>
      </c>
      <c r="F197" s="4">
        <f>Работы!R196</f>
        <v/>
      </c>
      <c r="G197" s="4">
        <f>(E197+F197)*D197</f>
        <v/>
      </c>
    </row>
    <row r="198">
      <c r="A198" s="9" t="n">
        <v>194</v>
      </c>
      <c r="B198" s="3">
        <f>Работы!B197</f>
        <v/>
      </c>
      <c r="C198" s="3">
        <f>Работы!C197</f>
        <v/>
      </c>
      <c r="D198" s="4">
        <f>Работы!D197</f>
        <v/>
      </c>
      <c r="E198" s="4">
        <f>Работы!S197</f>
        <v/>
      </c>
      <c r="F198" s="4">
        <f>Работы!R197</f>
        <v/>
      </c>
      <c r="G198" s="4">
        <f>(E198+F198)*D198</f>
        <v/>
      </c>
    </row>
    <row r="199">
      <c r="A199" s="9" t="n">
        <v>195</v>
      </c>
      <c r="B199" s="3">
        <f>Работы!B198</f>
        <v/>
      </c>
      <c r="C199" s="3">
        <f>Работы!C198</f>
        <v/>
      </c>
      <c r="D199" s="4">
        <f>Работы!D198</f>
        <v/>
      </c>
      <c r="E199" s="4">
        <f>Работы!S198</f>
        <v/>
      </c>
      <c r="F199" s="4">
        <f>Работы!R198</f>
        <v/>
      </c>
      <c r="G199" s="4">
        <f>(E199+F199)*D199</f>
        <v/>
      </c>
    </row>
    <row r="200">
      <c r="A200" s="9" t="n">
        <v>196</v>
      </c>
      <c r="B200" s="3">
        <f>Работы!B199</f>
        <v/>
      </c>
      <c r="C200" s="3">
        <f>Работы!C199</f>
        <v/>
      </c>
      <c r="D200" s="4">
        <f>Работы!D199</f>
        <v/>
      </c>
      <c r="E200" s="4">
        <f>Работы!S199</f>
        <v/>
      </c>
      <c r="F200" s="4">
        <f>Работы!R199</f>
        <v/>
      </c>
      <c r="G200" s="4">
        <f>(E200+F200)*D200</f>
        <v/>
      </c>
    </row>
    <row r="201">
      <c r="A201" s="9" t="n">
        <v>197</v>
      </c>
      <c r="B201" s="3">
        <f>Работы!B200</f>
        <v/>
      </c>
      <c r="C201" s="3">
        <f>Работы!C200</f>
        <v/>
      </c>
      <c r="D201" s="4">
        <f>Работы!D200</f>
        <v/>
      </c>
      <c r="E201" s="4">
        <f>Работы!S200</f>
        <v/>
      </c>
      <c r="F201" s="4">
        <f>Работы!R200</f>
        <v/>
      </c>
      <c r="G201" s="4">
        <f>(E201+F201)*D201</f>
        <v/>
      </c>
    </row>
    <row r="202">
      <c r="A202" s="9" t="n">
        <v>198</v>
      </c>
      <c r="B202" s="3">
        <f>Работы!B201</f>
        <v/>
      </c>
      <c r="C202" s="3">
        <f>Работы!C201</f>
        <v/>
      </c>
      <c r="D202" s="4">
        <f>Работы!D201</f>
        <v/>
      </c>
      <c r="E202" s="4">
        <f>Работы!S201</f>
        <v/>
      </c>
      <c r="F202" s="4">
        <f>Работы!R201</f>
        <v/>
      </c>
      <c r="G202" s="4">
        <f>(E202+F202)*D202</f>
        <v/>
      </c>
    </row>
    <row r="203">
      <c r="A203" s="9" t="n">
        <v>199</v>
      </c>
      <c r="B203" s="3">
        <f>Работы!B202</f>
        <v/>
      </c>
      <c r="C203" s="3">
        <f>Работы!C202</f>
        <v/>
      </c>
      <c r="D203" s="4">
        <f>Работы!D202</f>
        <v/>
      </c>
      <c r="E203" s="4">
        <f>Работы!S202</f>
        <v/>
      </c>
      <c r="F203" s="4">
        <f>Работы!R202</f>
        <v/>
      </c>
      <c r="G203" s="4">
        <f>(E203+F203)*D203</f>
        <v/>
      </c>
    </row>
    <row r="204">
      <c r="A204" s="9" t="n">
        <v>200</v>
      </c>
      <c r="B204" s="3">
        <f>Работы!B203</f>
        <v/>
      </c>
      <c r="C204" s="3">
        <f>Работы!C203</f>
        <v/>
      </c>
      <c r="D204" s="4">
        <f>Работы!D203</f>
        <v/>
      </c>
      <c r="E204" s="4">
        <f>Работы!S203</f>
        <v/>
      </c>
      <c r="F204" s="4">
        <f>Работы!R203</f>
        <v/>
      </c>
      <c r="G204" s="4">
        <f>(E204+F204)*D204</f>
        <v/>
      </c>
    </row>
    <row r="205">
      <c r="A205" s="9" t="n">
        <v>201</v>
      </c>
      <c r="B205" s="3">
        <f>Работы!B204</f>
        <v/>
      </c>
      <c r="C205" s="3">
        <f>Работы!C204</f>
        <v/>
      </c>
      <c r="D205" s="4">
        <f>Работы!D204</f>
        <v/>
      </c>
      <c r="E205" s="4">
        <f>Работы!S204</f>
        <v/>
      </c>
      <c r="F205" s="4">
        <f>Работы!R204</f>
        <v/>
      </c>
      <c r="G205" s="4">
        <f>(E205+F205)*D205</f>
        <v/>
      </c>
    </row>
    <row r="206">
      <c r="A206" s="9" t="n">
        <v>202</v>
      </c>
      <c r="B206" s="3">
        <f>Работы!B205</f>
        <v/>
      </c>
      <c r="C206" s="3">
        <f>Работы!C205</f>
        <v/>
      </c>
      <c r="D206" s="4">
        <f>Работы!D205</f>
        <v/>
      </c>
      <c r="E206" s="4">
        <f>Работы!S205</f>
        <v/>
      </c>
      <c r="F206" s="4">
        <f>Работы!R205</f>
        <v/>
      </c>
      <c r="G206" s="4">
        <f>(E206+F206)*D206</f>
        <v/>
      </c>
    </row>
    <row r="207">
      <c r="A207" s="9" t="n">
        <v>203</v>
      </c>
      <c r="B207" s="3">
        <f>Работы!B206</f>
        <v/>
      </c>
      <c r="C207" s="3">
        <f>Работы!C206</f>
        <v/>
      </c>
      <c r="D207" s="4">
        <f>Работы!D206</f>
        <v/>
      </c>
      <c r="E207" s="4">
        <f>Работы!S206</f>
        <v/>
      </c>
      <c r="F207" s="4">
        <f>Работы!R206</f>
        <v/>
      </c>
      <c r="G207" s="4">
        <f>(E207+F207)*D207</f>
        <v/>
      </c>
    </row>
    <row r="208">
      <c r="A208" s="9" t="n">
        <v>204</v>
      </c>
      <c r="B208" s="3">
        <f>Работы!B207</f>
        <v/>
      </c>
      <c r="C208" s="3">
        <f>Работы!C207</f>
        <v/>
      </c>
      <c r="D208" s="4">
        <f>Работы!D207</f>
        <v/>
      </c>
      <c r="E208" s="4">
        <f>Работы!S207</f>
        <v/>
      </c>
      <c r="F208" s="4">
        <f>Работы!R207</f>
        <v/>
      </c>
      <c r="G208" s="4">
        <f>(E208+F208)*D208</f>
        <v/>
      </c>
    </row>
    <row r="209">
      <c r="A209" s="9" t="n">
        <v>205</v>
      </c>
      <c r="B209" s="3">
        <f>Работы!B208</f>
        <v/>
      </c>
      <c r="C209" s="3">
        <f>Работы!C208</f>
        <v/>
      </c>
      <c r="D209" s="4">
        <f>Работы!D208</f>
        <v/>
      </c>
      <c r="E209" s="4">
        <f>Работы!S208</f>
        <v/>
      </c>
      <c r="F209" s="4">
        <f>Работы!R208</f>
        <v/>
      </c>
      <c r="G209" s="4">
        <f>(E209+F209)*D209</f>
        <v/>
      </c>
    </row>
    <row r="210">
      <c r="A210" s="9" t="n">
        <v>206</v>
      </c>
      <c r="B210" s="3">
        <f>Работы!B209</f>
        <v/>
      </c>
      <c r="C210" s="3">
        <f>Работы!C209</f>
        <v/>
      </c>
      <c r="D210" s="4">
        <f>Работы!D209</f>
        <v/>
      </c>
      <c r="E210" s="4">
        <f>Работы!S209</f>
        <v/>
      </c>
      <c r="F210" s="4">
        <f>Работы!R209</f>
        <v/>
      </c>
      <c r="G210" s="4">
        <f>(E210+F210)*D210</f>
        <v/>
      </c>
    </row>
    <row r="211">
      <c r="A211" s="9" t="n">
        <v>207</v>
      </c>
      <c r="B211" s="3">
        <f>Работы!B210</f>
        <v/>
      </c>
      <c r="C211" s="3">
        <f>Работы!C210</f>
        <v/>
      </c>
      <c r="D211" s="4">
        <f>Работы!D210</f>
        <v/>
      </c>
      <c r="E211" s="4">
        <f>Работы!S210</f>
        <v/>
      </c>
      <c r="F211" s="4">
        <f>Работы!R210</f>
        <v/>
      </c>
      <c r="G211" s="4">
        <f>(E211+F211)*D211</f>
        <v/>
      </c>
    </row>
    <row r="212">
      <c r="A212" s="9" t="n">
        <v>208</v>
      </c>
      <c r="B212" s="3">
        <f>Работы!B211</f>
        <v/>
      </c>
      <c r="C212" s="3">
        <f>Работы!C211</f>
        <v/>
      </c>
      <c r="D212" s="4">
        <f>Работы!D211</f>
        <v/>
      </c>
      <c r="E212" s="4">
        <f>Работы!S211</f>
        <v/>
      </c>
      <c r="F212" s="4">
        <f>Работы!R211</f>
        <v/>
      </c>
      <c r="G212" s="4">
        <f>(E212+F212)*D212</f>
        <v/>
      </c>
    </row>
    <row r="213">
      <c r="A213" s="9" t="n">
        <v>209</v>
      </c>
      <c r="B213" s="3">
        <f>Работы!B212</f>
        <v/>
      </c>
      <c r="C213" s="3">
        <f>Работы!C212</f>
        <v/>
      </c>
      <c r="D213" s="4">
        <f>Работы!D212</f>
        <v/>
      </c>
      <c r="E213" s="4">
        <f>Работы!S212</f>
        <v/>
      </c>
      <c r="F213" s="4">
        <f>Работы!R212</f>
        <v/>
      </c>
      <c r="G213" s="4">
        <f>(E213+F213)*D213</f>
        <v/>
      </c>
    </row>
    <row r="214">
      <c r="A214" s="9" t="n">
        <v>210</v>
      </c>
      <c r="B214" s="3">
        <f>Работы!B213</f>
        <v/>
      </c>
      <c r="C214" s="3">
        <f>Работы!C213</f>
        <v/>
      </c>
      <c r="D214" s="4">
        <f>Работы!D213</f>
        <v/>
      </c>
      <c r="E214" s="4">
        <f>Работы!S213</f>
        <v/>
      </c>
      <c r="F214" s="4">
        <f>Работы!R213</f>
        <v/>
      </c>
      <c r="G214" s="4">
        <f>(E214+F214)*D214</f>
        <v/>
      </c>
    </row>
    <row r="215">
      <c r="A215" s="9" t="n">
        <v>211</v>
      </c>
      <c r="B215" s="3">
        <f>Работы!B214</f>
        <v/>
      </c>
      <c r="C215" s="3">
        <f>Работы!C214</f>
        <v/>
      </c>
      <c r="D215" s="4">
        <f>Работы!D214</f>
        <v/>
      </c>
      <c r="E215" s="4">
        <f>Работы!S214</f>
        <v/>
      </c>
      <c r="F215" s="4">
        <f>Работы!R214</f>
        <v/>
      </c>
      <c r="G215" s="4">
        <f>(E215+F215)*D215</f>
        <v/>
      </c>
    </row>
    <row r="216">
      <c r="A216" s="9" t="n">
        <v>212</v>
      </c>
      <c r="B216" s="3">
        <f>Работы!B215</f>
        <v/>
      </c>
      <c r="C216" s="3">
        <f>Работы!C215</f>
        <v/>
      </c>
      <c r="D216" s="4">
        <f>Работы!D215</f>
        <v/>
      </c>
      <c r="E216" s="4">
        <f>Работы!S215</f>
        <v/>
      </c>
      <c r="F216" s="4">
        <f>Работы!R215</f>
        <v/>
      </c>
      <c r="G216" s="4">
        <f>(E216+F216)*D216</f>
        <v/>
      </c>
    </row>
    <row r="217">
      <c r="A217" s="9" t="n">
        <v>213</v>
      </c>
      <c r="B217" s="3">
        <f>Работы!B216</f>
        <v/>
      </c>
      <c r="C217" s="3">
        <f>Работы!C216</f>
        <v/>
      </c>
      <c r="D217" s="4">
        <f>Работы!D216</f>
        <v/>
      </c>
      <c r="E217" s="4">
        <f>Работы!S216</f>
        <v/>
      </c>
      <c r="F217" s="4">
        <f>Работы!R216</f>
        <v/>
      </c>
      <c r="G217" s="4">
        <f>(E217+F217)*D217</f>
        <v/>
      </c>
    </row>
    <row r="218">
      <c r="A218" s="9" t="n">
        <v>214</v>
      </c>
      <c r="B218" s="3">
        <f>Работы!B217</f>
        <v/>
      </c>
      <c r="C218" s="3">
        <f>Работы!C217</f>
        <v/>
      </c>
      <c r="D218" s="4">
        <f>Работы!D217</f>
        <v/>
      </c>
      <c r="E218" s="4">
        <f>Работы!S217</f>
        <v/>
      </c>
      <c r="F218" s="4">
        <f>Работы!R217</f>
        <v/>
      </c>
      <c r="G218" s="4">
        <f>(E218+F218)*D218</f>
        <v/>
      </c>
    </row>
    <row r="219">
      <c r="A219" s="9" t="n">
        <v>215</v>
      </c>
      <c r="B219" s="3">
        <f>Работы!B218</f>
        <v/>
      </c>
      <c r="C219" s="3">
        <f>Работы!C218</f>
        <v/>
      </c>
      <c r="D219" s="4">
        <f>Работы!D218</f>
        <v/>
      </c>
      <c r="E219" s="4">
        <f>Работы!S218</f>
        <v/>
      </c>
      <c r="F219" s="4">
        <f>Работы!R218</f>
        <v/>
      </c>
      <c r="G219" s="4">
        <f>(E219+F219)*D219</f>
        <v/>
      </c>
    </row>
    <row r="220">
      <c r="A220" s="9" t="n">
        <v>216</v>
      </c>
      <c r="B220" s="3">
        <f>Работы!B219</f>
        <v/>
      </c>
      <c r="C220" s="3">
        <f>Работы!C219</f>
        <v/>
      </c>
      <c r="D220" s="4">
        <f>Работы!D219</f>
        <v/>
      </c>
      <c r="E220" s="4">
        <f>Работы!S219</f>
        <v/>
      </c>
      <c r="F220" s="4">
        <f>Работы!R219</f>
        <v/>
      </c>
      <c r="G220" s="4">
        <f>(E220+F220)*D220</f>
        <v/>
      </c>
    </row>
    <row r="221">
      <c r="A221" s="9" t="n">
        <v>217</v>
      </c>
      <c r="B221" s="3">
        <f>Работы!B220</f>
        <v/>
      </c>
      <c r="C221" s="3">
        <f>Работы!C220</f>
        <v/>
      </c>
      <c r="D221" s="4">
        <f>Работы!D220</f>
        <v/>
      </c>
      <c r="E221" s="4">
        <f>Работы!S220</f>
        <v/>
      </c>
      <c r="F221" s="4">
        <f>Работы!R220</f>
        <v/>
      </c>
      <c r="G221" s="4">
        <f>(E221+F221)*D221</f>
        <v/>
      </c>
    </row>
    <row r="222">
      <c r="A222" s="9" t="n">
        <v>218</v>
      </c>
      <c r="B222" s="3">
        <f>Работы!B221</f>
        <v/>
      </c>
      <c r="C222" s="3">
        <f>Работы!C221</f>
        <v/>
      </c>
      <c r="D222" s="4">
        <f>Работы!D221</f>
        <v/>
      </c>
      <c r="E222" s="4">
        <f>Работы!S221</f>
        <v/>
      </c>
      <c r="F222" s="4">
        <f>Работы!R221</f>
        <v/>
      </c>
      <c r="G222" s="4">
        <f>(E222+F222)*D222</f>
        <v/>
      </c>
    </row>
    <row r="223">
      <c r="A223" s="9" t="n">
        <v>219</v>
      </c>
      <c r="B223" s="3">
        <f>Работы!B222</f>
        <v/>
      </c>
      <c r="C223" s="3">
        <f>Работы!C222</f>
        <v/>
      </c>
      <c r="D223" s="4">
        <f>Работы!D222</f>
        <v/>
      </c>
      <c r="E223" s="4">
        <f>Работы!S222</f>
        <v/>
      </c>
      <c r="F223" s="4">
        <f>Работы!R222</f>
        <v/>
      </c>
      <c r="G223" s="4">
        <f>(E223+F223)*D223</f>
        <v/>
      </c>
    </row>
    <row r="224">
      <c r="A224" s="9" t="n">
        <v>220</v>
      </c>
      <c r="B224" s="3">
        <f>Работы!B223</f>
        <v/>
      </c>
      <c r="C224" s="3">
        <f>Работы!C223</f>
        <v/>
      </c>
      <c r="D224" s="4">
        <f>Работы!D223</f>
        <v/>
      </c>
      <c r="E224" s="4">
        <f>Работы!S223</f>
        <v/>
      </c>
      <c r="F224" s="4">
        <f>Работы!R223</f>
        <v/>
      </c>
      <c r="G224" s="4">
        <f>(E224+F224)*D224</f>
        <v/>
      </c>
    </row>
    <row r="225">
      <c r="A225" s="9" t="n">
        <v>221</v>
      </c>
      <c r="B225" s="3">
        <f>Работы!B224</f>
        <v/>
      </c>
      <c r="C225" s="3">
        <f>Работы!C224</f>
        <v/>
      </c>
      <c r="D225" s="4">
        <f>Работы!D224</f>
        <v/>
      </c>
      <c r="E225" s="4">
        <f>Работы!S224</f>
        <v/>
      </c>
      <c r="F225" s="4">
        <f>Работы!R224</f>
        <v/>
      </c>
      <c r="G225" s="4">
        <f>(E225+F225)*D225</f>
        <v/>
      </c>
    </row>
    <row r="226">
      <c r="A226" s="9" t="n">
        <v>222</v>
      </c>
      <c r="B226" s="3">
        <f>Работы!B225</f>
        <v/>
      </c>
      <c r="C226" s="3">
        <f>Работы!C225</f>
        <v/>
      </c>
      <c r="D226" s="4">
        <f>Работы!D225</f>
        <v/>
      </c>
      <c r="E226" s="4">
        <f>Работы!S225</f>
        <v/>
      </c>
      <c r="F226" s="4">
        <f>Работы!R225</f>
        <v/>
      </c>
      <c r="G226" s="4">
        <f>(E226+F226)*D226</f>
        <v/>
      </c>
    </row>
    <row r="227">
      <c r="A227" s="9" t="n">
        <v>223</v>
      </c>
      <c r="B227" s="3">
        <f>Работы!B226</f>
        <v/>
      </c>
      <c r="C227" s="3">
        <f>Работы!C226</f>
        <v/>
      </c>
      <c r="D227" s="4">
        <f>Работы!D226</f>
        <v/>
      </c>
      <c r="E227" s="4">
        <f>Работы!S226</f>
        <v/>
      </c>
      <c r="F227" s="4">
        <f>Работы!R226</f>
        <v/>
      </c>
      <c r="G227" s="4">
        <f>(E227+F227)*D227</f>
        <v/>
      </c>
    </row>
    <row r="228">
      <c r="A228" s="9" t="n">
        <v>224</v>
      </c>
      <c r="B228" s="3">
        <f>Работы!B227</f>
        <v/>
      </c>
      <c r="C228" s="3">
        <f>Работы!C227</f>
        <v/>
      </c>
      <c r="D228" s="4">
        <f>Работы!D227</f>
        <v/>
      </c>
      <c r="E228" s="4">
        <f>Работы!S227</f>
        <v/>
      </c>
      <c r="F228" s="4">
        <f>Работы!R227</f>
        <v/>
      </c>
      <c r="G228" s="4">
        <f>(E228+F228)*D228</f>
        <v/>
      </c>
    </row>
    <row r="229">
      <c r="A229" s="9" t="n">
        <v>225</v>
      </c>
      <c r="B229" s="3">
        <f>Работы!B228</f>
        <v/>
      </c>
      <c r="C229" s="3">
        <f>Работы!C228</f>
        <v/>
      </c>
      <c r="D229" s="4">
        <f>Работы!D228</f>
        <v/>
      </c>
      <c r="E229" s="4">
        <f>Работы!S228</f>
        <v/>
      </c>
      <c r="F229" s="4">
        <f>Работы!R228</f>
        <v/>
      </c>
      <c r="G229" s="4">
        <f>(E229+F229)*D229</f>
        <v/>
      </c>
    </row>
    <row r="230">
      <c r="A230" s="9" t="n">
        <v>226</v>
      </c>
      <c r="B230" s="3">
        <f>Работы!B229</f>
        <v/>
      </c>
      <c r="C230" s="3">
        <f>Работы!C229</f>
        <v/>
      </c>
      <c r="D230" s="4">
        <f>Работы!D229</f>
        <v/>
      </c>
      <c r="E230" s="4">
        <f>Работы!S229</f>
        <v/>
      </c>
      <c r="F230" s="4">
        <f>Работы!R229</f>
        <v/>
      </c>
      <c r="G230" s="4">
        <f>(E230+F230)*D230</f>
        <v/>
      </c>
    </row>
    <row r="231">
      <c r="A231" s="9" t="n">
        <v>227</v>
      </c>
      <c r="B231" s="3">
        <f>Работы!B230</f>
        <v/>
      </c>
      <c r="C231" s="3">
        <f>Работы!C230</f>
        <v/>
      </c>
      <c r="D231" s="4">
        <f>Работы!D230</f>
        <v/>
      </c>
      <c r="E231" s="4">
        <f>Работы!S230</f>
        <v/>
      </c>
      <c r="F231" s="4">
        <f>Работы!R230</f>
        <v/>
      </c>
      <c r="G231" s="4">
        <f>(E231+F231)*D231</f>
        <v/>
      </c>
    </row>
    <row r="232">
      <c r="A232" s="9" t="n">
        <v>228</v>
      </c>
      <c r="B232" s="3">
        <f>Работы!B231</f>
        <v/>
      </c>
      <c r="C232" s="3">
        <f>Работы!C231</f>
        <v/>
      </c>
      <c r="D232" s="4">
        <f>Работы!D231</f>
        <v/>
      </c>
      <c r="E232" s="4">
        <f>Работы!S231</f>
        <v/>
      </c>
      <c r="F232" s="4">
        <f>Работы!R231</f>
        <v/>
      </c>
      <c r="G232" s="4">
        <f>(E232+F232)*D232</f>
        <v/>
      </c>
    </row>
    <row r="233">
      <c r="A233" s="9" t="n">
        <v>229</v>
      </c>
      <c r="B233" s="3">
        <f>Работы!B232</f>
        <v/>
      </c>
      <c r="C233" s="3">
        <f>Работы!C232</f>
        <v/>
      </c>
      <c r="D233" s="4">
        <f>Работы!D232</f>
        <v/>
      </c>
      <c r="E233" s="4">
        <f>Работы!S232</f>
        <v/>
      </c>
      <c r="F233" s="4">
        <f>Работы!R232</f>
        <v/>
      </c>
      <c r="G233" s="4">
        <f>(E233+F233)*D233</f>
        <v/>
      </c>
    </row>
    <row r="234">
      <c r="A234" s="9" t="n">
        <v>230</v>
      </c>
      <c r="B234" s="3">
        <f>Работы!B233</f>
        <v/>
      </c>
      <c r="C234" s="3">
        <f>Работы!C233</f>
        <v/>
      </c>
      <c r="D234" s="4">
        <f>Работы!D233</f>
        <v/>
      </c>
      <c r="E234" s="4">
        <f>Работы!S233</f>
        <v/>
      </c>
      <c r="F234" s="4">
        <f>Работы!R233</f>
        <v/>
      </c>
      <c r="G234" s="4">
        <f>(E234+F234)*D234</f>
        <v/>
      </c>
    </row>
    <row r="235">
      <c r="A235" s="9" t="n">
        <v>231</v>
      </c>
      <c r="B235" s="3">
        <f>Работы!B234</f>
        <v/>
      </c>
      <c r="C235" s="3">
        <f>Работы!C234</f>
        <v/>
      </c>
      <c r="D235" s="4">
        <f>Работы!D234</f>
        <v/>
      </c>
      <c r="E235" s="4">
        <f>Работы!S234</f>
        <v/>
      </c>
      <c r="F235" s="4">
        <f>Работы!R234</f>
        <v/>
      </c>
      <c r="G235" s="4">
        <f>(E235+F235)*D235</f>
        <v/>
      </c>
    </row>
    <row r="236">
      <c r="A236" s="9" t="n">
        <v>232</v>
      </c>
      <c r="B236" s="3">
        <f>Работы!B235</f>
        <v/>
      </c>
      <c r="C236" s="3">
        <f>Работы!C235</f>
        <v/>
      </c>
      <c r="D236" s="4">
        <f>Работы!D235</f>
        <v/>
      </c>
      <c r="E236" s="4">
        <f>Работы!S235</f>
        <v/>
      </c>
      <c r="F236" s="4">
        <f>Работы!R235</f>
        <v/>
      </c>
      <c r="G236" s="4">
        <f>(E236+F236)*D236</f>
        <v/>
      </c>
    </row>
    <row r="237">
      <c r="A237" s="9" t="n">
        <v>233</v>
      </c>
      <c r="B237" s="3">
        <f>Работы!B236</f>
        <v/>
      </c>
      <c r="C237" s="3">
        <f>Работы!C236</f>
        <v/>
      </c>
      <c r="D237" s="4">
        <f>Работы!D236</f>
        <v/>
      </c>
      <c r="E237" s="4">
        <f>Работы!S236</f>
        <v/>
      </c>
      <c r="F237" s="4">
        <f>Работы!R236</f>
        <v/>
      </c>
      <c r="G237" s="4">
        <f>(E237+F237)*D237</f>
        <v/>
      </c>
    </row>
    <row r="238">
      <c r="A238" s="9" t="n">
        <v>234</v>
      </c>
      <c r="B238" s="3">
        <f>Работы!B237</f>
        <v/>
      </c>
      <c r="C238" s="3">
        <f>Работы!C237</f>
        <v/>
      </c>
      <c r="D238" s="4">
        <f>Работы!D237</f>
        <v/>
      </c>
      <c r="E238" s="4">
        <f>Работы!S237</f>
        <v/>
      </c>
      <c r="F238" s="4">
        <f>Работы!R237</f>
        <v/>
      </c>
      <c r="G238" s="4">
        <f>(E238+F238)*D238</f>
        <v/>
      </c>
    </row>
    <row r="239">
      <c r="A239" s="9" t="n">
        <v>235</v>
      </c>
      <c r="B239" s="3">
        <f>Работы!B238</f>
        <v/>
      </c>
      <c r="C239" s="3">
        <f>Работы!C238</f>
        <v/>
      </c>
      <c r="D239" s="4">
        <f>Работы!D238</f>
        <v/>
      </c>
      <c r="E239" s="4">
        <f>Работы!S238</f>
        <v/>
      </c>
      <c r="F239" s="4">
        <f>Работы!R238</f>
        <v/>
      </c>
      <c r="G239" s="4">
        <f>(E239+F239)*D239</f>
        <v/>
      </c>
    </row>
    <row r="240">
      <c r="A240" s="9" t="n">
        <v>236</v>
      </c>
      <c r="B240" s="3">
        <f>Работы!B239</f>
        <v/>
      </c>
      <c r="C240" s="3">
        <f>Работы!C239</f>
        <v/>
      </c>
      <c r="D240" s="4">
        <f>Работы!D239</f>
        <v/>
      </c>
      <c r="E240" s="4">
        <f>Работы!S239</f>
        <v/>
      </c>
      <c r="F240" s="4">
        <f>Работы!R239</f>
        <v/>
      </c>
      <c r="G240" s="4">
        <f>(E240+F240)*D240</f>
        <v/>
      </c>
    </row>
    <row r="241">
      <c r="A241" s="9" t="n">
        <v>237</v>
      </c>
      <c r="B241" s="3">
        <f>Работы!B240</f>
        <v/>
      </c>
      <c r="C241" s="3">
        <f>Работы!C240</f>
        <v/>
      </c>
      <c r="D241" s="4">
        <f>Работы!D240</f>
        <v/>
      </c>
      <c r="E241" s="4">
        <f>Работы!S240</f>
        <v/>
      </c>
      <c r="F241" s="4">
        <f>Работы!R240</f>
        <v/>
      </c>
      <c r="G241" s="4">
        <f>(E241+F241)*D241</f>
        <v/>
      </c>
    </row>
    <row r="242">
      <c r="A242" s="9" t="n">
        <v>238</v>
      </c>
      <c r="B242" s="3">
        <f>Работы!B241</f>
        <v/>
      </c>
      <c r="C242" s="3">
        <f>Работы!C241</f>
        <v/>
      </c>
      <c r="D242" s="4">
        <f>Работы!D241</f>
        <v/>
      </c>
      <c r="E242" s="4">
        <f>Работы!S241</f>
        <v/>
      </c>
      <c r="F242" s="4">
        <f>Работы!R241</f>
        <v/>
      </c>
      <c r="G242" s="4">
        <f>(E242+F242)*D242</f>
        <v/>
      </c>
    </row>
    <row r="243">
      <c r="A243" s="9" t="n">
        <v>239</v>
      </c>
      <c r="B243" s="3">
        <f>Работы!B242</f>
        <v/>
      </c>
      <c r="C243" s="3">
        <f>Работы!C242</f>
        <v/>
      </c>
      <c r="D243" s="4">
        <f>Работы!D242</f>
        <v/>
      </c>
      <c r="E243" s="4">
        <f>Работы!S242</f>
        <v/>
      </c>
      <c r="F243" s="4">
        <f>Работы!R242</f>
        <v/>
      </c>
      <c r="G243" s="4">
        <f>(E243+F243)*D243</f>
        <v/>
      </c>
    </row>
    <row r="244">
      <c r="A244" s="9" t="n">
        <v>240</v>
      </c>
      <c r="B244" s="3">
        <f>Работы!B243</f>
        <v/>
      </c>
      <c r="C244" s="3">
        <f>Работы!C243</f>
        <v/>
      </c>
      <c r="D244" s="4">
        <f>Работы!D243</f>
        <v/>
      </c>
      <c r="E244" s="4">
        <f>Работы!S243</f>
        <v/>
      </c>
      <c r="F244" s="4">
        <f>Работы!R243</f>
        <v/>
      </c>
      <c r="G244" s="4">
        <f>(E244+F244)*D244</f>
        <v/>
      </c>
    </row>
    <row r="245">
      <c r="A245" s="9" t="n">
        <v>241</v>
      </c>
      <c r="B245" s="3">
        <f>Работы!B244</f>
        <v/>
      </c>
      <c r="C245" s="3">
        <f>Работы!C244</f>
        <v/>
      </c>
      <c r="D245" s="4">
        <f>Работы!D244</f>
        <v/>
      </c>
      <c r="E245" s="4">
        <f>Работы!S244</f>
        <v/>
      </c>
      <c r="F245" s="4">
        <f>Работы!R244</f>
        <v/>
      </c>
      <c r="G245" s="4">
        <f>(E245+F245)*D245</f>
        <v/>
      </c>
    </row>
    <row r="246">
      <c r="A246" s="9" t="n">
        <v>242</v>
      </c>
      <c r="B246" s="3">
        <f>Работы!B245</f>
        <v/>
      </c>
      <c r="C246" s="3">
        <f>Работы!C245</f>
        <v/>
      </c>
      <c r="D246" s="4">
        <f>Работы!D245</f>
        <v/>
      </c>
      <c r="E246" s="4">
        <f>Работы!S245</f>
        <v/>
      </c>
      <c r="F246" s="4">
        <f>Работы!R245</f>
        <v/>
      </c>
      <c r="G246" s="4">
        <f>(E246+F246)*D246</f>
        <v/>
      </c>
    </row>
    <row r="247">
      <c r="A247" s="9" t="n">
        <v>243</v>
      </c>
      <c r="B247" s="3">
        <f>Работы!B246</f>
        <v/>
      </c>
      <c r="C247" s="3">
        <f>Работы!C246</f>
        <v/>
      </c>
      <c r="D247" s="4">
        <f>Работы!D246</f>
        <v/>
      </c>
      <c r="E247" s="4">
        <f>Работы!S246</f>
        <v/>
      </c>
      <c r="F247" s="4">
        <f>Работы!R246</f>
        <v/>
      </c>
      <c r="G247" s="4">
        <f>(E247+F247)*D247</f>
        <v/>
      </c>
    </row>
    <row r="248">
      <c r="A248" s="9" t="n">
        <v>244</v>
      </c>
      <c r="B248" s="3">
        <f>Работы!B247</f>
        <v/>
      </c>
      <c r="C248" s="3">
        <f>Работы!C247</f>
        <v/>
      </c>
      <c r="D248" s="4">
        <f>Работы!D247</f>
        <v/>
      </c>
      <c r="E248" s="4">
        <f>Работы!S247</f>
        <v/>
      </c>
      <c r="F248" s="4">
        <f>Работы!R247</f>
        <v/>
      </c>
      <c r="G248" s="4">
        <f>(E248+F248)*D248</f>
        <v/>
      </c>
    </row>
    <row r="249">
      <c r="A249" s="9" t="n">
        <v>245</v>
      </c>
      <c r="B249" s="3">
        <f>Работы!B248</f>
        <v/>
      </c>
      <c r="C249" s="3">
        <f>Работы!C248</f>
        <v/>
      </c>
      <c r="D249" s="4">
        <f>Работы!D248</f>
        <v/>
      </c>
      <c r="E249" s="4">
        <f>Работы!S248</f>
        <v/>
      </c>
      <c r="F249" s="4">
        <f>Работы!R248</f>
        <v/>
      </c>
      <c r="G249" s="4">
        <f>(E249+F249)*D249</f>
        <v/>
      </c>
    </row>
    <row r="250">
      <c r="A250" s="9" t="n">
        <v>246</v>
      </c>
      <c r="B250" s="3">
        <f>Работы!B249</f>
        <v/>
      </c>
      <c r="C250" s="3">
        <f>Работы!C249</f>
        <v/>
      </c>
      <c r="D250" s="4">
        <f>Работы!D249</f>
        <v/>
      </c>
      <c r="E250" s="4">
        <f>Работы!S249</f>
        <v/>
      </c>
      <c r="F250" s="4">
        <f>Работы!R249</f>
        <v/>
      </c>
      <c r="G250" s="4">
        <f>(E250+F250)*D250</f>
        <v/>
      </c>
    </row>
    <row r="251">
      <c r="A251" s="9" t="n">
        <v>247</v>
      </c>
      <c r="B251" s="3">
        <f>Работы!B250</f>
        <v/>
      </c>
      <c r="C251" s="3">
        <f>Работы!C250</f>
        <v/>
      </c>
      <c r="D251" s="4">
        <f>Работы!D250</f>
        <v/>
      </c>
      <c r="E251" s="4">
        <f>Работы!S250</f>
        <v/>
      </c>
      <c r="F251" s="4">
        <f>Работы!R250</f>
        <v/>
      </c>
      <c r="G251" s="4">
        <f>(E251+F251)*D251</f>
        <v/>
      </c>
    </row>
    <row r="252">
      <c r="A252" s="9" t="n">
        <v>248</v>
      </c>
      <c r="B252" s="3">
        <f>Работы!B251</f>
        <v/>
      </c>
      <c r="C252" s="3">
        <f>Работы!C251</f>
        <v/>
      </c>
      <c r="D252" s="4">
        <f>Работы!D251</f>
        <v/>
      </c>
      <c r="E252" s="4">
        <f>Работы!S251</f>
        <v/>
      </c>
      <c r="F252" s="4">
        <f>Работы!R251</f>
        <v/>
      </c>
      <c r="G252" s="4">
        <f>(E252+F252)*D252</f>
        <v/>
      </c>
    </row>
    <row r="253">
      <c r="A253" s="9" t="n">
        <v>249</v>
      </c>
      <c r="B253" s="3">
        <f>Работы!B252</f>
        <v/>
      </c>
      <c r="C253" s="3">
        <f>Работы!C252</f>
        <v/>
      </c>
      <c r="D253" s="4">
        <f>Работы!D252</f>
        <v/>
      </c>
      <c r="E253" s="4">
        <f>Работы!S252</f>
        <v/>
      </c>
      <c r="F253" s="4">
        <f>Работы!R252</f>
        <v/>
      </c>
      <c r="G253" s="4">
        <f>(E253+F253)*D253</f>
        <v/>
      </c>
    </row>
    <row r="254">
      <c r="A254" s="9" t="n">
        <v>250</v>
      </c>
      <c r="B254" s="3">
        <f>Работы!B253</f>
        <v/>
      </c>
      <c r="C254" s="3">
        <f>Работы!C253</f>
        <v/>
      </c>
      <c r="D254" s="4">
        <f>Работы!D253</f>
        <v/>
      </c>
      <c r="E254" s="4">
        <f>Работы!S253</f>
        <v/>
      </c>
      <c r="F254" s="4">
        <f>Работы!R253</f>
        <v/>
      </c>
      <c r="G254" s="4">
        <f>(E254+F254)*D254</f>
        <v/>
      </c>
    </row>
    <row r="255">
      <c r="A255" s="9" t="n">
        <v>251</v>
      </c>
      <c r="B255" s="3">
        <f>Работы!B254</f>
        <v/>
      </c>
      <c r="C255" s="3">
        <f>Работы!C254</f>
        <v/>
      </c>
      <c r="D255" s="4">
        <f>Работы!D254</f>
        <v/>
      </c>
      <c r="E255" s="4">
        <f>Работы!S254</f>
        <v/>
      </c>
      <c r="F255" s="4">
        <f>Работы!R254</f>
        <v/>
      </c>
      <c r="G255" s="4">
        <f>(E255+F255)*D255</f>
        <v/>
      </c>
    </row>
    <row r="256">
      <c r="A256" s="9" t="n">
        <v>252</v>
      </c>
      <c r="B256" s="3">
        <f>Работы!B255</f>
        <v/>
      </c>
      <c r="C256" s="3">
        <f>Работы!C255</f>
        <v/>
      </c>
      <c r="D256" s="4">
        <f>Работы!D255</f>
        <v/>
      </c>
      <c r="E256" s="4">
        <f>Работы!S255</f>
        <v/>
      </c>
      <c r="F256" s="4">
        <f>Работы!R255</f>
        <v/>
      </c>
      <c r="G256" s="4">
        <f>(E256+F256)*D256</f>
        <v/>
      </c>
    </row>
    <row r="257">
      <c r="A257" s="9" t="n">
        <v>253</v>
      </c>
      <c r="B257" s="3">
        <f>Работы!B256</f>
        <v/>
      </c>
      <c r="C257" s="3">
        <f>Работы!C256</f>
        <v/>
      </c>
      <c r="D257" s="4">
        <f>Работы!D256</f>
        <v/>
      </c>
      <c r="E257" s="4">
        <f>Работы!S256</f>
        <v/>
      </c>
      <c r="F257" s="4">
        <f>Работы!R256</f>
        <v/>
      </c>
      <c r="G257" s="4">
        <f>(E257+F257)*D257</f>
        <v/>
      </c>
    </row>
    <row r="258">
      <c r="A258" s="9" t="n">
        <v>254</v>
      </c>
      <c r="B258" s="3">
        <f>Работы!B257</f>
        <v/>
      </c>
      <c r="C258" s="3">
        <f>Работы!C257</f>
        <v/>
      </c>
      <c r="D258" s="4">
        <f>Работы!D257</f>
        <v/>
      </c>
      <c r="E258" s="4">
        <f>Работы!S257</f>
        <v/>
      </c>
      <c r="F258" s="4">
        <f>Работы!R257</f>
        <v/>
      </c>
      <c r="G258" s="4">
        <f>(E258+F258)*D258</f>
        <v/>
      </c>
    </row>
    <row r="259">
      <c r="A259" s="9" t="n">
        <v>255</v>
      </c>
      <c r="B259" s="3">
        <f>Работы!B258</f>
        <v/>
      </c>
      <c r="C259" s="3">
        <f>Работы!C258</f>
        <v/>
      </c>
      <c r="D259" s="4">
        <f>Работы!D258</f>
        <v/>
      </c>
      <c r="E259" s="4">
        <f>Работы!S258</f>
        <v/>
      </c>
      <c r="F259" s="4">
        <f>Работы!R258</f>
        <v/>
      </c>
      <c r="G259" s="4">
        <f>(E259+F259)*D259</f>
        <v/>
      </c>
    </row>
    <row r="260">
      <c r="A260" s="9" t="n">
        <v>256</v>
      </c>
      <c r="B260" s="3">
        <f>Работы!B259</f>
        <v/>
      </c>
      <c r="C260" s="3">
        <f>Работы!C259</f>
        <v/>
      </c>
      <c r="D260" s="4">
        <f>Работы!D259</f>
        <v/>
      </c>
      <c r="E260" s="4">
        <f>Работы!S259</f>
        <v/>
      </c>
      <c r="F260" s="4">
        <f>Работы!R259</f>
        <v/>
      </c>
      <c r="G260" s="4">
        <f>(E260+F260)*D260</f>
        <v/>
      </c>
    </row>
    <row r="261">
      <c r="A261" s="9" t="n">
        <v>257</v>
      </c>
      <c r="B261" s="3">
        <f>Работы!B260</f>
        <v/>
      </c>
      <c r="C261" s="3">
        <f>Работы!C260</f>
        <v/>
      </c>
      <c r="D261" s="4">
        <f>Работы!D260</f>
        <v/>
      </c>
      <c r="E261" s="4">
        <f>Работы!S260</f>
        <v/>
      </c>
      <c r="F261" s="4">
        <f>Работы!R260</f>
        <v/>
      </c>
      <c r="G261" s="4">
        <f>(E261+F261)*D261</f>
        <v/>
      </c>
    </row>
    <row r="262">
      <c r="A262" s="9" t="n">
        <v>258</v>
      </c>
      <c r="B262" s="3">
        <f>Работы!B261</f>
        <v/>
      </c>
      <c r="C262" s="3">
        <f>Работы!C261</f>
        <v/>
      </c>
      <c r="D262" s="4">
        <f>Работы!D261</f>
        <v/>
      </c>
      <c r="E262" s="4">
        <f>Работы!S261</f>
        <v/>
      </c>
      <c r="F262" s="4">
        <f>Работы!R261</f>
        <v/>
      </c>
      <c r="G262" s="4">
        <f>(E262+F262)*D262</f>
        <v/>
      </c>
    </row>
    <row r="263">
      <c r="A263" s="9" t="n">
        <v>259</v>
      </c>
      <c r="B263" s="3">
        <f>Работы!B262</f>
        <v/>
      </c>
      <c r="C263" s="3">
        <f>Работы!C262</f>
        <v/>
      </c>
      <c r="D263" s="4">
        <f>Работы!D262</f>
        <v/>
      </c>
      <c r="E263" s="4">
        <f>Работы!S262</f>
        <v/>
      </c>
      <c r="F263" s="4">
        <f>Работы!R262</f>
        <v/>
      </c>
      <c r="G263" s="4">
        <f>(E263+F263)*D263</f>
        <v/>
      </c>
    </row>
    <row r="264">
      <c r="A264" s="9" t="n">
        <v>260</v>
      </c>
      <c r="B264" s="3">
        <f>Работы!B263</f>
        <v/>
      </c>
      <c r="C264" s="3">
        <f>Работы!C263</f>
        <v/>
      </c>
      <c r="D264" s="4">
        <f>Работы!D263</f>
        <v/>
      </c>
      <c r="E264" s="4">
        <f>Работы!S263</f>
        <v/>
      </c>
      <c r="F264" s="4">
        <f>Работы!R263</f>
        <v/>
      </c>
      <c r="G264" s="4">
        <f>(E264+F264)*D264</f>
        <v/>
      </c>
    </row>
    <row r="265">
      <c r="A265" s="9" t="n">
        <v>261</v>
      </c>
      <c r="B265" s="3">
        <f>Работы!B264</f>
        <v/>
      </c>
      <c r="C265" s="3">
        <f>Работы!C264</f>
        <v/>
      </c>
      <c r="D265" s="4">
        <f>Работы!D264</f>
        <v/>
      </c>
      <c r="E265" s="4">
        <f>Работы!S264</f>
        <v/>
      </c>
      <c r="F265" s="4">
        <f>Работы!R264</f>
        <v/>
      </c>
      <c r="G265" s="4">
        <f>(E265+F265)*D265</f>
        <v/>
      </c>
    </row>
    <row r="266">
      <c r="A266" s="9" t="n">
        <v>262</v>
      </c>
      <c r="B266" s="3">
        <f>Работы!B265</f>
        <v/>
      </c>
      <c r="C266" s="3">
        <f>Работы!C265</f>
        <v/>
      </c>
      <c r="D266" s="4">
        <f>Работы!D265</f>
        <v/>
      </c>
      <c r="E266" s="4">
        <f>Работы!S265</f>
        <v/>
      </c>
      <c r="F266" s="4">
        <f>Работы!R265</f>
        <v/>
      </c>
      <c r="G266" s="4">
        <f>(E266+F266)*D266</f>
        <v/>
      </c>
    </row>
    <row r="267">
      <c r="A267" s="9" t="n">
        <v>263</v>
      </c>
      <c r="B267" s="3">
        <f>Работы!B266</f>
        <v/>
      </c>
      <c r="C267" s="3">
        <f>Работы!C266</f>
        <v/>
      </c>
      <c r="D267" s="4">
        <f>Работы!D266</f>
        <v/>
      </c>
      <c r="E267" s="4">
        <f>Работы!S266</f>
        <v/>
      </c>
      <c r="F267" s="4">
        <f>Работы!R266</f>
        <v/>
      </c>
      <c r="G267" s="4">
        <f>(E267+F267)*D267</f>
        <v/>
      </c>
    </row>
    <row r="268">
      <c r="A268" s="9" t="n">
        <v>264</v>
      </c>
      <c r="B268" s="3">
        <f>Работы!B267</f>
        <v/>
      </c>
      <c r="C268" s="3">
        <f>Работы!C267</f>
        <v/>
      </c>
      <c r="D268" s="4">
        <f>Работы!D267</f>
        <v/>
      </c>
      <c r="E268" s="4">
        <f>Работы!S267</f>
        <v/>
      </c>
      <c r="F268" s="4">
        <f>Работы!R267</f>
        <v/>
      </c>
      <c r="G268" s="4">
        <f>(E268+F268)*D268</f>
        <v/>
      </c>
    </row>
    <row r="269">
      <c r="A269" s="9" t="n">
        <v>265</v>
      </c>
      <c r="B269" s="3">
        <f>Работы!B268</f>
        <v/>
      </c>
      <c r="C269" s="3">
        <f>Работы!C268</f>
        <v/>
      </c>
      <c r="D269" s="4">
        <f>Работы!D268</f>
        <v/>
      </c>
      <c r="E269" s="4">
        <f>Работы!S268</f>
        <v/>
      </c>
      <c r="F269" s="4">
        <f>Работы!R268</f>
        <v/>
      </c>
      <c r="G269" s="4">
        <f>(E269+F269)*D269</f>
        <v/>
      </c>
    </row>
    <row r="270">
      <c r="A270" s="9" t="n">
        <v>266</v>
      </c>
      <c r="B270" s="3">
        <f>Работы!B269</f>
        <v/>
      </c>
      <c r="C270" s="3">
        <f>Работы!C269</f>
        <v/>
      </c>
      <c r="D270" s="4">
        <f>Работы!D269</f>
        <v/>
      </c>
      <c r="E270" s="4">
        <f>Работы!S269</f>
        <v/>
      </c>
      <c r="F270" s="4">
        <f>Работы!R269</f>
        <v/>
      </c>
      <c r="G270" s="4">
        <f>(E270+F270)*D270</f>
        <v/>
      </c>
    </row>
    <row r="271">
      <c r="A271" s="9" t="n">
        <v>267</v>
      </c>
      <c r="B271" s="3">
        <f>Работы!B270</f>
        <v/>
      </c>
      <c r="C271" s="3">
        <f>Работы!C270</f>
        <v/>
      </c>
      <c r="D271" s="4">
        <f>Работы!D270</f>
        <v/>
      </c>
      <c r="E271" s="4">
        <f>Работы!S270</f>
        <v/>
      </c>
      <c r="F271" s="4">
        <f>Работы!R270</f>
        <v/>
      </c>
      <c r="G271" s="4">
        <f>(E271+F271)*D271</f>
        <v/>
      </c>
    </row>
    <row r="272">
      <c r="A272" s="9" t="n">
        <v>268</v>
      </c>
      <c r="B272" s="3">
        <f>Работы!B271</f>
        <v/>
      </c>
      <c r="C272" s="3">
        <f>Работы!C271</f>
        <v/>
      </c>
      <c r="D272" s="4">
        <f>Работы!D271</f>
        <v/>
      </c>
      <c r="E272" s="4">
        <f>Работы!S271</f>
        <v/>
      </c>
      <c r="F272" s="4">
        <f>Работы!R271</f>
        <v/>
      </c>
      <c r="G272" s="4">
        <f>(E272+F272)*D272</f>
        <v/>
      </c>
    </row>
    <row r="273">
      <c r="A273" s="9" t="n">
        <v>269</v>
      </c>
      <c r="B273" s="3">
        <f>Работы!B272</f>
        <v/>
      </c>
      <c r="C273" s="3">
        <f>Работы!C272</f>
        <v/>
      </c>
      <c r="D273" s="4">
        <f>Работы!D272</f>
        <v/>
      </c>
      <c r="E273" s="4">
        <f>Работы!S272</f>
        <v/>
      </c>
      <c r="F273" s="4">
        <f>Работы!R272</f>
        <v/>
      </c>
      <c r="G273" s="4">
        <f>(E273+F273)*D273</f>
        <v/>
      </c>
    </row>
    <row r="274">
      <c r="A274" s="9" t="n">
        <v>270</v>
      </c>
      <c r="B274" s="3">
        <f>Работы!B273</f>
        <v/>
      </c>
      <c r="C274" s="3">
        <f>Работы!C273</f>
        <v/>
      </c>
      <c r="D274" s="4">
        <f>Работы!D273</f>
        <v/>
      </c>
      <c r="E274" s="4">
        <f>Работы!S273</f>
        <v/>
      </c>
      <c r="F274" s="4">
        <f>Работы!R273</f>
        <v/>
      </c>
      <c r="G274" s="4">
        <f>(E274+F274)*D274</f>
        <v/>
      </c>
    </row>
    <row r="275">
      <c r="A275" s="9" t="n">
        <v>271</v>
      </c>
      <c r="B275" s="3">
        <f>Работы!B274</f>
        <v/>
      </c>
      <c r="C275" s="3">
        <f>Работы!C274</f>
        <v/>
      </c>
      <c r="D275" s="4">
        <f>Работы!D274</f>
        <v/>
      </c>
      <c r="E275" s="4">
        <f>Работы!S274</f>
        <v/>
      </c>
      <c r="F275" s="4">
        <f>Работы!R274</f>
        <v/>
      </c>
      <c r="G275" s="4">
        <f>(E275+F275)*D275</f>
        <v/>
      </c>
    </row>
    <row r="276">
      <c r="A276" s="9" t="n">
        <v>272</v>
      </c>
      <c r="B276" s="3">
        <f>Работы!B275</f>
        <v/>
      </c>
      <c r="C276" s="3">
        <f>Работы!C275</f>
        <v/>
      </c>
      <c r="D276" s="4">
        <f>Работы!D275</f>
        <v/>
      </c>
      <c r="E276" s="4">
        <f>Работы!S275</f>
        <v/>
      </c>
      <c r="F276" s="4">
        <f>Работы!R275</f>
        <v/>
      </c>
      <c r="G276" s="4">
        <f>(E276+F276)*D276</f>
        <v/>
      </c>
    </row>
    <row r="277">
      <c r="A277" s="9" t="n">
        <v>273</v>
      </c>
      <c r="B277" s="3">
        <f>Работы!B276</f>
        <v/>
      </c>
      <c r="C277" s="3">
        <f>Работы!C276</f>
        <v/>
      </c>
      <c r="D277" s="4">
        <f>Работы!D276</f>
        <v/>
      </c>
      <c r="E277" s="4">
        <f>Работы!S276</f>
        <v/>
      </c>
      <c r="F277" s="4">
        <f>Работы!R276</f>
        <v/>
      </c>
      <c r="G277" s="4">
        <f>(E277+F277)*D277</f>
        <v/>
      </c>
    </row>
    <row r="278">
      <c r="A278" s="9" t="n">
        <v>274</v>
      </c>
      <c r="B278" s="3">
        <f>Работы!B277</f>
        <v/>
      </c>
      <c r="C278" s="3">
        <f>Работы!C277</f>
        <v/>
      </c>
      <c r="D278" s="4">
        <f>Работы!D277</f>
        <v/>
      </c>
      <c r="E278" s="4">
        <f>Работы!S277</f>
        <v/>
      </c>
      <c r="F278" s="4">
        <f>Работы!R277</f>
        <v/>
      </c>
      <c r="G278" s="4">
        <f>(E278+F278)*D278</f>
        <v/>
      </c>
    </row>
    <row r="279">
      <c r="A279" s="9" t="n">
        <v>275</v>
      </c>
      <c r="B279" s="3">
        <f>Работы!B278</f>
        <v/>
      </c>
      <c r="C279" s="3">
        <f>Работы!C278</f>
        <v/>
      </c>
      <c r="D279" s="4">
        <f>Работы!D278</f>
        <v/>
      </c>
      <c r="E279" s="4">
        <f>Работы!S278</f>
        <v/>
      </c>
      <c r="F279" s="4">
        <f>Работы!R278</f>
        <v/>
      </c>
      <c r="G279" s="4">
        <f>(E279+F279)*D279</f>
        <v/>
      </c>
    </row>
    <row r="280">
      <c r="A280" s="9" t="n">
        <v>276</v>
      </c>
      <c r="B280" s="3">
        <f>Работы!B279</f>
        <v/>
      </c>
      <c r="C280" s="3">
        <f>Работы!C279</f>
        <v/>
      </c>
      <c r="D280" s="4">
        <f>Работы!D279</f>
        <v/>
      </c>
      <c r="E280" s="4">
        <f>Работы!S279</f>
        <v/>
      </c>
      <c r="F280" s="4">
        <f>Работы!R279</f>
        <v/>
      </c>
      <c r="G280" s="4">
        <f>(E280+F280)*D280</f>
        <v/>
      </c>
    </row>
    <row r="281">
      <c r="A281" s="9" t="n">
        <v>277</v>
      </c>
      <c r="B281" s="3">
        <f>Работы!B280</f>
        <v/>
      </c>
      <c r="C281" s="3">
        <f>Работы!C280</f>
        <v/>
      </c>
      <c r="D281" s="4">
        <f>Работы!D280</f>
        <v/>
      </c>
      <c r="E281" s="4">
        <f>Работы!S280</f>
        <v/>
      </c>
      <c r="F281" s="4">
        <f>Работы!R280</f>
        <v/>
      </c>
      <c r="G281" s="4">
        <f>(E281+F281)*D281</f>
        <v/>
      </c>
    </row>
    <row r="282">
      <c r="A282" s="9" t="n">
        <v>278</v>
      </c>
      <c r="B282" s="3">
        <f>Работы!B281</f>
        <v/>
      </c>
      <c r="C282" s="3">
        <f>Работы!C281</f>
        <v/>
      </c>
      <c r="D282" s="4">
        <f>Работы!D281</f>
        <v/>
      </c>
      <c r="E282" s="4">
        <f>Работы!S281</f>
        <v/>
      </c>
      <c r="F282" s="4">
        <f>Работы!R281</f>
        <v/>
      </c>
      <c r="G282" s="4">
        <f>(E282+F282)*D282</f>
        <v/>
      </c>
    </row>
    <row r="283">
      <c r="A283" s="9" t="n">
        <v>279</v>
      </c>
      <c r="B283" s="3">
        <f>Работы!B282</f>
        <v/>
      </c>
      <c r="C283" s="3">
        <f>Работы!C282</f>
        <v/>
      </c>
      <c r="D283" s="4">
        <f>Работы!D282</f>
        <v/>
      </c>
      <c r="E283" s="4">
        <f>Работы!S282</f>
        <v/>
      </c>
      <c r="F283" s="4">
        <f>Работы!R282</f>
        <v/>
      </c>
      <c r="G283" s="4">
        <f>(E283+F283)*D283</f>
        <v/>
      </c>
    </row>
    <row r="284">
      <c r="A284" s="9" t="n">
        <v>280</v>
      </c>
      <c r="B284" s="3">
        <f>Работы!B283</f>
        <v/>
      </c>
      <c r="C284" s="3">
        <f>Работы!C283</f>
        <v/>
      </c>
      <c r="D284" s="4">
        <f>Работы!D283</f>
        <v/>
      </c>
      <c r="E284" s="4">
        <f>Работы!S283</f>
        <v/>
      </c>
      <c r="F284" s="4">
        <f>Работы!R283</f>
        <v/>
      </c>
      <c r="G284" s="4">
        <f>(E284+F284)*D284</f>
        <v/>
      </c>
    </row>
    <row r="285">
      <c r="A285" s="9" t="n">
        <v>281</v>
      </c>
      <c r="B285" s="3">
        <f>Работы!B284</f>
        <v/>
      </c>
      <c r="C285" s="3">
        <f>Работы!C284</f>
        <v/>
      </c>
      <c r="D285" s="4">
        <f>Работы!D284</f>
        <v/>
      </c>
      <c r="E285" s="4">
        <f>Работы!S284</f>
        <v/>
      </c>
      <c r="F285" s="4">
        <f>Работы!R284</f>
        <v/>
      </c>
      <c r="G285" s="4">
        <f>(E285+F285)*D285</f>
        <v/>
      </c>
    </row>
    <row r="286">
      <c r="A286" s="9" t="n">
        <v>282</v>
      </c>
      <c r="B286" s="3">
        <f>Работы!B285</f>
        <v/>
      </c>
      <c r="C286" s="3">
        <f>Работы!C285</f>
        <v/>
      </c>
      <c r="D286" s="4">
        <f>Работы!D285</f>
        <v/>
      </c>
      <c r="E286" s="4">
        <f>Работы!S285</f>
        <v/>
      </c>
      <c r="F286" s="4">
        <f>Работы!R285</f>
        <v/>
      </c>
      <c r="G286" s="4">
        <f>(E286+F286)*D286</f>
        <v/>
      </c>
    </row>
    <row r="287">
      <c r="A287" s="9" t="n">
        <v>283</v>
      </c>
      <c r="B287" s="3">
        <f>Работы!B286</f>
        <v/>
      </c>
      <c r="C287" s="3">
        <f>Работы!C286</f>
        <v/>
      </c>
      <c r="D287" s="4">
        <f>Работы!D286</f>
        <v/>
      </c>
      <c r="E287" s="4">
        <f>Работы!S286</f>
        <v/>
      </c>
      <c r="F287" s="4">
        <f>Работы!R286</f>
        <v/>
      </c>
      <c r="G287" s="4">
        <f>(E287+F287)*D287</f>
        <v/>
      </c>
    </row>
    <row r="288">
      <c r="A288" s="9" t="n">
        <v>284</v>
      </c>
      <c r="B288" s="3">
        <f>Работы!B287</f>
        <v/>
      </c>
      <c r="C288" s="3">
        <f>Работы!C287</f>
        <v/>
      </c>
      <c r="D288" s="4">
        <f>Работы!D287</f>
        <v/>
      </c>
      <c r="E288" s="4">
        <f>Работы!S287</f>
        <v/>
      </c>
      <c r="F288" s="4">
        <f>Работы!R287</f>
        <v/>
      </c>
      <c r="G288" s="4">
        <f>(E288+F288)*D288</f>
        <v/>
      </c>
    </row>
    <row r="289">
      <c r="A289" s="9" t="n">
        <v>285</v>
      </c>
      <c r="B289" s="3">
        <f>Работы!B288</f>
        <v/>
      </c>
      <c r="C289" s="3">
        <f>Работы!C288</f>
        <v/>
      </c>
      <c r="D289" s="4">
        <f>Работы!D288</f>
        <v/>
      </c>
      <c r="E289" s="4">
        <f>Работы!S288</f>
        <v/>
      </c>
      <c r="F289" s="4">
        <f>Работы!R288</f>
        <v/>
      </c>
      <c r="G289" s="4">
        <f>(E289+F289)*D289</f>
        <v/>
      </c>
    </row>
    <row r="290">
      <c r="A290" s="9" t="n">
        <v>286</v>
      </c>
      <c r="B290" s="3">
        <f>Работы!B289</f>
        <v/>
      </c>
      <c r="C290" s="3">
        <f>Работы!C289</f>
        <v/>
      </c>
      <c r="D290" s="4">
        <f>Работы!D289</f>
        <v/>
      </c>
      <c r="E290" s="4">
        <f>Работы!S289</f>
        <v/>
      </c>
      <c r="F290" s="4">
        <f>Работы!R289</f>
        <v/>
      </c>
      <c r="G290" s="4">
        <f>(E290+F290)*D290</f>
        <v/>
      </c>
    </row>
    <row r="291">
      <c r="A291" s="9" t="n">
        <v>287</v>
      </c>
      <c r="B291" s="3">
        <f>Работы!B290</f>
        <v/>
      </c>
      <c r="C291" s="3">
        <f>Работы!C290</f>
        <v/>
      </c>
      <c r="D291" s="4">
        <f>Работы!D290</f>
        <v/>
      </c>
      <c r="E291" s="4">
        <f>Работы!S290</f>
        <v/>
      </c>
      <c r="F291" s="4">
        <f>Работы!R290</f>
        <v/>
      </c>
      <c r="G291" s="4">
        <f>(E291+F291)*D291</f>
        <v/>
      </c>
    </row>
    <row r="292">
      <c r="A292" s="9" t="n">
        <v>288</v>
      </c>
      <c r="B292" s="3">
        <f>Работы!B291</f>
        <v/>
      </c>
      <c r="C292" s="3">
        <f>Работы!C291</f>
        <v/>
      </c>
      <c r="D292" s="4">
        <f>Работы!D291</f>
        <v/>
      </c>
      <c r="E292" s="4">
        <f>Работы!S291</f>
        <v/>
      </c>
      <c r="F292" s="4">
        <f>Работы!R291</f>
        <v/>
      </c>
      <c r="G292" s="4">
        <f>(E292+F292)*D292</f>
        <v/>
      </c>
    </row>
    <row r="293">
      <c r="A293" s="9" t="n">
        <v>289</v>
      </c>
      <c r="B293" s="3">
        <f>Работы!B292</f>
        <v/>
      </c>
      <c r="C293" s="3">
        <f>Работы!C292</f>
        <v/>
      </c>
      <c r="D293" s="4">
        <f>Работы!D292</f>
        <v/>
      </c>
      <c r="E293" s="4">
        <f>Работы!S292</f>
        <v/>
      </c>
      <c r="F293" s="4">
        <f>Работы!R292</f>
        <v/>
      </c>
      <c r="G293" s="4">
        <f>(E293+F293)*D293</f>
        <v/>
      </c>
    </row>
    <row r="294">
      <c r="A294" s="9" t="n">
        <v>290</v>
      </c>
      <c r="B294" s="3">
        <f>Работы!B293</f>
        <v/>
      </c>
      <c r="C294" s="3">
        <f>Работы!C293</f>
        <v/>
      </c>
      <c r="D294" s="4">
        <f>Работы!D293</f>
        <v/>
      </c>
      <c r="E294" s="4">
        <f>Работы!S293</f>
        <v/>
      </c>
      <c r="F294" s="4">
        <f>Работы!R293</f>
        <v/>
      </c>
      <c r="G294" s="4">
        <f>(E294+F294)*D294</f>
        <v/>
      </c>
    </row>
    <row r="295">
      <c r="A295" s="9" t="n">
        <v>291</v>
      </c>
      <c r="B295" s="3">
        <f>Работы!B294</f>
        <v/>
      </c>
      <c r="C295" s="3">
        <f>Работы!C294</f>
        <v/>
      </c>
      <c r="D295" s="4">
        <f>Работы!D294</f>
        <v/>
      </c>
      <c r="E295" s="4">
        <f>Работы!S294</f>
        <v/>
      </c>
      <c r="F295" s="4">
        <f>Работы!R294</f>
        <v/>
      </c>
      <c r="G295" s="4">
        <f>(E295+F295)*D295</f>
        <v/>
      </c>
    </row>
    <row r="296">
      <c r="A296" s="9" t="n">
        <v>292</v>
      </c>
      <c r="B296" s="3">
        <f>Работы!B295</f>
        <v/>
      </c>
      <c r="C296" s="3">
        <f>Работы!C295</f>
        <v/>
      </c>
      <c r="D296" s="4">
        <f>Работы!D295</f>
        <v/>
      </c>
      <c r="E296" s="4">
        <f>Работы!S295</f>
        <v/>
      </c>
      <c r="F296" s="4">
        <f>Работы!R295</f>
        <v/>
      </c>
      <c r="G296" s="4">
        <f>(E296+F296)*D296</f>
        <v/>
      </c>
    </row>
    <row r="297">
      <c r="A297" s="9" t="n">
        <v>293</v>
      </c>
      <c r="B297" s="3">
        <f>Работы!B296</f>
        <v/>
      </c>
      <c r="C297" s="3">
        <f>Работы!C296</f>
        <v/>
      </c>
      <c r="D297" s="4">
        <f>Работы!D296</f>
        <v/>
      </c>
      <c r="E297" s="4">
        <f>Работы!S296</f>
        <v/>
      </c>
      <c r="F297" s="4">
        <f>Работы!R296</f>
        <v/>
      </c>
      <c r="G297" s="4">
        <f>(E297+F297)*D297</f>
        <v/>
      </c>
    </row>
    <row r="298">
      <c r="A298" s="9" t="n">
        <v>294</v>
      </c>
      <c r="B298" s="3">
        <f>Работы!B297</f>
        <v/>
      </c>
      <c r="C298" s="3">
        <f>Работы!C297</f>
        <v/>
      </c>
      <c r="D298" s="4">
        <f>Работы!D297</f>
        <v/>
      </c>
      <c r="E298" s="4">
        <f>Работы!S297</f>
        <v/>
      </c>
      <c r="F298" s="4">
        <f>Работы!R297</f>
        <v/>
      </c>
      <c r="G298" s="4">
        <f>(E298+F298)*D298</f>
        <v/>
      </c>
    </row>
    <row r="299">
      <c r="A299" s="9" t="n">
        <v>295</v>
      </c>
      <c r="B299" s="3">
        <f>Работы!B298</f>
        <v/>
      </c>
      <c r="C299" s="3">
        <f>Работы!C298</f>
        <v/>
      </c>
      <c r="D299" s="4">
        <f>Работы!D298</f>
        <v/>
      </c>
      <c r="E299" s="4">
        <f>Работы!S298</f>
        <v/>
      </c>
      <c r="F299" s="4">
        <f>Работы!R298</f>
        <v/>
      </c>
      <c r="G299" s="4">
        <f>(E299+F299)*D299</f>
        <v/>
      </c>
    </row>
    <row r="300">
      <c r="A300" s="9" t="n">
        <v>296</v>
      </c>
      <c r="B300" s="3">
        <f>Работы!B299</f>
        <v/>
      </c>
      <c r="C300" s="3">
        <f>Работы!C299</f>
        <v/>
      </c>
      <c r="D300" s="4">
        <f>Работы!D299</f>
        <v/>
      </c>
      <c r="E300" s="4">
        <f>Работы!S299</f>
        <v/>
      </c>
      <c r="F300" s="4">
        <f>Работы!R299</f>
        <v/>
      </c>
      <c r="G300" s="4">
        <f>(E300+F300)*D300</f>
        <v/>
      </c>
    </row>
    <row r="301">
      <c r="A301" s="9" t="n">
        <v>297</v>
      </c>
      <c r="B301" s="3">
        <f>Работы!B300</f>
        <v/>
      </c>
      <c r="C301" s="3">
        <f>Работы!C300</f>
        <v/>
      </c>
      <c r="D301" s="4">
        <f>Работы!D300</f>
        <v/>
      </c>
      <c r="E301" s="4">
        <f>Работы!S300</f>
        <v/>
      </c>
      <c r="F301" s="4">
        <f>Работы!R300</f>
        <v/>
      </c>
      <c r="G301" s="4">
        <f>(E301+F301)*D301</f>
        <v/>
      </c>
    </row>
    <row r="302">
      <c r="A302" s="9" t="n">
        <v>298</v>
      </c>
      <c r="B302" s="3">
        <f>Работы!B301</f>
        <v/>
      </c>
      <c r="C302" s="3">
        <f>Работы!C301</f>
        <v/>
      </c>
      <c r="D302" s="4">
        <f>Работы!D301</f>
        <v/>
      </c>
      <c r="E302" s="4">
        <f>Работы!S301</f>
        <v/>
      </c>
      <c r="F302" s="4">
        <f>Работы!R301</f>
        <v/>
      </c>
      <c r="G302" s="4">
        <f>(E302+F302)*D302</f>
        <v/>
      </c>
    </row>
    <row r="303">
      <c r="A303" s="9" t="n">
        <v>299</v>
      </c>
      <c r="B303" s="3">
        <f>Работы!B302</f>
        <v/>
      </c>
      <c r="C303" s="3">
        <f>Работы!C302</f>
        <v/>
      </c>
      <c r="D303" s="4">
        <f>Работы!D302</f>
        <v/>
      </c>
      <c r="E303" s="4">
        <f>Работы!S302</f>
        <v/>
      </c>
      <c r="F303" s="4">
        <f>Работы!R302</f>
        <v/>
      </c>
      <c r="G303" s="4">
        <f>(E303+F303)*D303</f>
        <v/>
      </c>
    </row>
    <row r="304">
      <c r="A304" s="9" t="n">
        <v>300</v>
      </c>
      <c r="B304" s="3">
        <f>Работы!B303</f>
        <v/>
      </c>
      <c r="C304" s="3">
        <f>Работы!C303</f>
        <v/>
      </c>
      <c r="D304" s="4">
        <f>Работы!D303</f>
        <v/>
      </c>
      <c r="E304" s="4">
        <f>Работы!S303</f>
        <v/>
      </c>
      <c r="F304" s="4">
        <f>Работы!R303</f>
        <v/>
      </c>
      <c r="G304" s="4">
        <f>(E304+F304)*D304</f>
        <v/>
      </c>
    </row>
    <row r="305">
      <c r="A305" s="9" t="n">
        <v>301</v>
      </c>
      <c r="B305" s="3">
        <f>Работы!B304</f>
        <v/>
      </c>
      <c r="C305" s="3">
        <f>Работы!C304</f>
        <v/>
      </c>
      <c r="D305" s="4">
        <f>Работы!D304</f>
        <v/>
      </c>
      <c r="E305" s="4">
        <f>Работы!S304</f>
        <v/>
      </c>
      <c r="F305" s="4">
        <f>Работы!R304</f>
        <v/>
      </c>
      <c r="G305" s="4">
        <f>(E305+F305)*D305</f>
        <v/>
      </c>
    </row>
    <row r="306">
      <c r="A306" s="9" t="n">
        <v>302</v>
      </c>
      <c r="B306" s="3">
        <f>Работы!B305</f>
        <v/>
      </c>
      <c r="C306" s="3">
        <f>Работы!C305</f>
        <v/>
      </c>
      <c r="D306" s="4">
        <f>Работы!D305</f>
        <v/>
      </c>
      <c r="E306" s="4">
        <f>Работы!S305</f>
        <v/>
      </c>
      <c r="F306" s="4">
        <f>Работы!R305</f>
        <v/>
      </c>
      <c r="G306" s="4">
        <f>(E306+F306)*D306</f>
        <v/>
      </c>
    </row>
    <row r="307">
      <c r="A307" s="9" t="n">
        <v>303</v>
      </c>
      <c r="B307" s="3">
        <f>Работы!B306</f>
        <v/>
      </c>
      <c r="C307" s="3">
        <f>Работы!C306</f>
        <v/>
      </c>
      <c r="D307" s="4">
        <f>Работы!D306</f>
        <v/>
      </c>
      <c r="E307" s="4">
        <f>Работы!S306</f>
        <v/>
      </c>
      <c r="F307" s="4">
        <f>Работы!R306</f>
        <v/>
      </c>
      <c r="G307" s="4">
        <f>(E307+F307)*D307</f>
        <v/>
      </c>
    </row>
    <row r="308">
      <c r="A308" s="9" t="n">
        <v>304</v>
      </c>
      <c r="B308" s="3">
        <f>Работы!B307</f>
        <v/>
      </c>
      <c r="C308" s="3">
        <f>Работы!C307</f>
        <v/>
      </c>
      <c r="D308" s="4">
        <f>Работы!D307</f>
        <v/>
      </c>
      <c r="E308" s="4">
        <f>Работы!S307</f>
        <v/>
      </c>
      <c r="F308" s="4">
        <f>Работы!R307</f>
        <v/>
      </c>
      <c r="G308" s="4">
        <f>(E308+F308)*D308</f>
        <v/>
      </c>
    </row>
    <row r="309">
      <c r="A309" s="9" t="n">
        <v>305</v>
      </c>
      <c r="B309" s="3">
        <f>Работы!B308</f>
        <v/>
      </c>
      <c r="C309" s="3">
        <f>Работы!C308</f>
        <v/>
      </c>
      <c r="D309" s="4">
        <f>Работы!D308</f>
        <v/>
      </c>
      <c r="E309" s="4">
        <f>Работы!S308</f>
        <v/>
      </c>
      <c r="F309" s="4">
        <f>Работы!R308</f>
        <v/>
      </c>
      <c r="G309" s="4">
        <f>(E309+F309)*D309</f>
        <v/>
      </c>
    </row>
    <row r="310">
      <c r="A310" s="9" t="n">
        <v>306</v>
      </c>
      <c r="B310" s="3">
        <f>Работы!B309</f>
        <v/>
      </c>
      <c r="C310" s="3">
        <f>Работы!C309</f>
        <v/>
      </c>
      <c r="D310" s="4">
        <f>Работы!D309</f>
        <v/>
      </c>
      <c r="E310" s="4">
        <f>Работы!S309</f>
        <v/>
      </c>
      <c r="F310" s="4">
        <f>Работы!R309</f>
        <v/>
      </c>
      <c r="G310" s="4">
        <f>(E310+F310)*D310</f>
        <v/>
      </c>
    </row>
    <row r="311">
      <c r="A311" s="9" t="n">
        <v>307</v>
      </c>
      <c r="B311" s="3">
        <f>Работы!B310</f>
        <v/>
      </c>
      <c r="C311" s="3">
        <f>Работы!C310</f>
        <v/>
      </c>
      <c r="D311" s="4">
        <f>Работы!D310</f>
        <v/>
      </c>
      <c r="E311" s="4">
        <f>Работы!S310</f>
        <v/>
      </c>
      <c r="F311" s="4">
        <f>Работы!R310</f>
        <v/>
      </c>
      <c r="G311" s="4">
        <f>(E311+F311)*D311</f>
        <v/>
      </c>
    </row>
    <row r="312">
      <c r="A312" s="9" t="n">
        <v>308</v>
      </c>
      <c r="B312" s="3">
        <f>Работы!B311</f>
        <v/>
      </c>
      <c r="C312" s="3">
        <f>Работы!C311</f>
        <v/>
      </c>
      <c r="D312" s="4">
        <f>Работы!D311</f>
        <v/>
      </c>
      <c r="E312" s="4">
        <f>Работы!S311</f>
        <v/>
      </c>
      <c r="F312" s="4">
        <f>Работы!R311</f>
        <v/>
      </c>
      <c r="G312" s="4">
        <f>(E312+F312)*D312</f>
        <v/>
      </c>
    </row>
    <row r="313">
      <c r="A313" s="9" t="n">
        <v>309</v>
      </c>
      <c r="B313" s="3">
        <f>Работы!B312</f>
        <v/>
      </c>
      <c r="C313" s="3">
        <f>Работы!C312</f>
        <v/>
      </c>
      <c r="D313" s="4">
        <f>Работы!D312</f>
        <v/>
      </c>
      <c r="E313" s="4">
        <f>Работы!S312</f>
        <v/>
      </c>
      <c r="F313" s="4">
        <f>Работы!R312</f>
        <v/>
      </c>
      <c r="G313" s="4">
        <f>(E313+F313)*D313</f>
        <v/>
      </c>
    </row>
    <row r="314">
      <c r="A314" s="9" t="n">
        <v>310</v>
      </c>
      <c r="B314" s="3">
        <f>Работы!B313</f>
        <v/>
      </c>
      <c r="C314" s="3">
        <f>Работы!C313</f>
        <v/>
      </c>
      <c r="D314" s="4">
        <f>Работы!D313</f>
        <v/>
      </c>
      <c r="E314" s="4">
        <f>Работы!S313</f>
        <v/>
      </c>
      <c r="F314" s="4">
        <f>Работы!R313</f>
        <v/>
      </c>
      <c r="G314" s="4">
        <f>(E314+F314)*D314</f>
        <v/>
      </c>
    </row>
    <row r="315">
      <c r="A315" s="9" t="n">
        <v>311</v>
      </c>
      <c r="B315" s="3">
        <f>Работы!B314</f>
        <v/>
      </c>
      <c r="C315" s="3">
        <f>Работы!C314</f>
        <v/>
      </c>
      <c r="D315" s="4">
        <f>Работы!D314</f>
        <v/>
      </c>
      <c r="E315" s="4">
        <f>Работы!S314</f>
        <v/>
      </c>
      <c r="F315" s="4">
        <f>Работы!R314</f>
        <v/>
      </c>
      <c r="G315" s="4">
        <f>(E315+F315)*D315</f>
        <v/>
      </c>
    </row>
    <row r="316">
      <c r="A316" s="9" t="n">
        <v>312</v>
      </c>
      <c r="B316" s="3">
        <f>Работы!B315</f>
        <v/>
      </c>
      <c r="C316" s="3">
        <f>Работы!C315</f>
        <v/>
      </c>
      <c r="D316" s="4">
        <f>Работы!D315</f>
        <v/>
      </c>
      <c r="E316" s="4">
        <f>Работы!S315</f>
        <v/>
      </c>
      <c r="F316" s="4">
        <f>Работы!R315</f>
        <v/>
      </c>
      <c r="G316" s="4">
        <f>(E316+F316)*D316</f>
        <v/>
      </c>
    </row>
    <row r="317">
      <c r="A317" s="9" t="n">
        <v>313</v>
      </c>
      <c r="B317" s="3">
        <f>Работы!B316</f>
        <v/>
      </c>
      <c r="C317" s="3">
        <f>Работы!C316</f>
        <v/>
      </c>
      <c r="D317" s="4">
        <f>Работы!D316</f>
        <v/>
      </c>
      <c r="E317" s="4">
        <f>Работы!S316</f>
        <v/>
      </c>
      <c r="F317" s="4">
        <f>Работы!R316</f>
        <v/>
      </c>
      <c r="G317" s="4">
        <f>(E317+F317)*D317</f>
        <v/>
      </c>
    </row>
    <row r="318">
      <c r="A318" s="9" t="n">
        <v>314</v>
      </c>
      <c r="B318" s="3">
        <f>Работы!B317</f>
        <v/>
      </c>
      <c r="C318" s="3">
        <f>Работы!C317</f>
        <v/>
      </c>
      <c r="D318" s="4">
        <f>Работы!D317</f>
        <v/>
      </c>
      <c r="E318" s="4">
        <f>Работы!S317</f>
        <v/>
      </c>
      <c r="F318" s="4">
        <f>Работы!R317</f>
        <v/>
      </c>
      <c r="G318" s="4">
        <f>(E318+F318)*D318</f>
        <v/>
      </c>
    </row>
    <row r="319">
      <c r="A319" s="9" t="n">
        <v>315</v>
      </c>
      <c r="B319" s="3">
        <f>Работы!B318</f>
        <v/>
      </c>
      <c r="C319" s="3">
        <f>Работы!C318</f>
        <v/>
      </c>
      <c r="D319" s="4">
        <f>Работы!D318</f>
        <v/>
      </c>
      <c r="E319" s="4">
        <f>Работы!S318</f>
        <v/>
      </c>
      <c r="F319" s="4">
        <f>Работы!R318</f>
        <v/>
      </c>
      <c r="G319" s="4">
        <f>(E319+F319)*D319</f>
        <v/>
      </c>
    </row>
    <row r="320">
      <c r="A320" s="9" t="n">
        <v>316</v>
      </c>
      <c r="B320" s="3">
        <f>Работы!B319</f>
        <v/>
      </c>
      <c r="C320" s="3">
        <f>Работы!C319</f>
        <v/>
      </c>
      <c r="D320" s="4">
        <f>Работы!D319</f>
        <v/>
      </c>
      <c r="E320" s="4">
        <f>Работы!S319</f>
        <v/>
      </c>
      <c r="F320" s="4">
        <f>Работы!R319</f>
        <v/>
      </c>
      <c r="G320" s="4">
        <f>(E320+F320)*D320</f>
        <v/>
      </c>
    </row>
    <row r="321">
      <c r="A321" s="9" t="n">
        <v>317</v>
      </c>
      <c r="B321" s="3">
        <f>Работы!B320</f>
        <v/>
      </c>
      <c r="C321" s="3">
        <f>Работы!C320</f>
        <v/>
      </c>
      <c r="D321" s="4">
        <f>Работы!D320</f>
        <v/>
      </c>
      <c r="E321" s="4">
        <f>Работы!S320</f>
        <v/>
      </c>
      <c r="F321" s="4">
        <f>Работы!R320</f>
        <v/>
      </c>
      <c r="G321" s="4">
        <f>(E321+F321)*D321</f>
        <v/>
      </c>
    </row>
    <row r="322">
      <c r="A322" s="9" t="n">
        <v>318</v>
      </c>
      <c r="B322" s="3">
        <f>Работы!B321</f>
        <v/>
      </c>
      <c r="C322" s="3">
        <f>Работы!C321</f>
        <v/>
      </c>
      <c r="D322" s="4">
        <f>Работы!D321</f>
        <v/>
      </c>
      <c r="E322" s="4">
        <f>Работы!S321</f>
        <v/>
      </c>
      <c r="F322" s="4">
        <f>Работы!R321</f>
        <v/>
      </c>
      <c r="G322" s="4">
        <f>(E322+F322)*D322</f>
        <v/>
      </c>
    </row>
    <row r="323">
      <c r="A323" s="9" t="n">
        <v>319</v>
      </c>
      <c r="B323" s="3">
        <f>Работы!B322</f>
        <v/>
      </c>
      <c r="C323" s="3">
        <f>Работы!C322</f>
        <v/>
      </c>
      <c r="D323" s="4">
        <f>Работы!D322</f>
        <v/>
      </c>
      <c r="E323" s="4">
        <f>Работы!S322</f>
        <v/>
      </c>
      <c r="F323" s="4">
        <f>Работы!R322</f>
        <v/>
      </c>
      <c r="G323" s="4">
        <f>(E323+F323)*D323</f>
        <v/>
      </c>
    </row>
    <row r="324">
      <c r="A324" s="9" t="n">
        <v>320</v>
      </c>
      <c r="B324" s="3">
        <f>Работы!B323</f>
        <v/>
      </c>
      <c r="C324" s="3">
        <f>Работы!C323</f>
        <v/>
      </c>
      <c r="D324" s="4">
        <f>Работы!D323</f>
        <v/>
      </c>
      <c r="E324" s="4">
        <f>Работы!S323</f>
        <v/>
      </c>
      <c r="F324" s="4">
        <f>Работы!R323</f>
        <v/>
      </c>
      <c r="G324" s="4">
        <f>(E324+F324)*D324</f>
        <v/>
      </c>
    </row>
    <row r="325">
      <c r="A325" s="9" t="n">
        <v>321</v>
      </c>
      <c r="B325" s="3">
        <f>Работы!B324</f>
        <v/>
      </c>
      <c r="C325" s="3">
        <f>Работы!C324</f>
        <v/>
      </c>
      <c r="D325" s="4">
        <f>Работы!D324</f>
        <v/>
      </c>
      <c r="E325" s="4">
        <f>Работы!S324</f>
        <v/>
      </c>
      <c r="F325" s="4">
        <f>Работы!R324</f>
        <v/>
      </c>
      <c r="G325" s="4">
        <f>(E325+F325)*D325</f>
        <v/>
      </c>
    </row>
    <row r="326">
      <c r="A326" s="9" t="n">
        <v>322</v>
      </c>
      <c r="B326" s="3">
        <f>Работы!B325</f>
        <v/>
      </c>
      <c r="C326" s="3">
        <f>Работы!C325</f>
        <v/>
      </c>
      <c r="D326" s="4">
        <f>Работы!D325</f>
        <v/>
      </c>
      <c r="E326" s="4">
        <f>Работы!S325</f>
        <v/>
      </c>
      <c r="F326" s="4">
        <f>Работы!R325</f>
        <v/>
      </c>
      <c r="G326" s="4">
        <f>(E326+F326)*D326</f>
        <v/>
      </c>
    </row>
    <row r="327">
      <c r="A327" s="9" t="n">
        <v>323</v>
      </c>
      <c r="B327" s="3">
        <f>Работы!B326</f>
        <v/>
      </c>
      <c r="C327" s="3">
        <f>Работы!C326</f>
        <v/>
      </c>
      <c r="D327" s="4">
        <f>Работы!D326</f>
        <v/>
      </c>
      <c r="E327" s="4">
        <f>Работы!S326</f>
        <v/>
      </c>
      <c r="F327" s="4">
        <f>Работы!R326</f>
        <v/>
      </c>
      <c r="G327" s="4">
        <f>(E327+F327)*D327</f>
        <v/>
      </c>
    </row>
    <row r="328">
      <c r="A328" s="9" t="n">
        <v>324</v>
      </c>
      <c r="B328" s="3">
        <f>Работы!B327</f>
        <v/>
      </c>
      <c r="C328" s="3">
        <f>Работы!C327</f>
        <v/>
      </c>
      <c r="D328" s="4">
        <f>Работы!D327</f>
        <v/>
      </c>
      <c r="E328" s="4">
        <f>Работы!S327</f>
        <v/>
      </c>
      <c r="F328" s="4">
        <f>Работы!R327</f>
        <v/>
      </c>
      <c r="G328" s="4">
        <f>(E328+F328)*D328</f>
        <v/>
      </c>
    </row>
    <row r="329">
      <c r="A329" s="9" t="n">
        <v>325</v>
      </c>
      <c r="B329" s="3">
        <f>Работы!B328</f>
        <v/>
      </c>
      <c r="C329" s="3">
        <f>Работы!C328</f>
        <v/>
      </c>
      <c r="D329" s="4">
        <f>Работы!D328</f>
        <v/>
      </c>
      <c r="E329" s="4">
        <f>Работы!S328</f>
        <v/>
      </c>
      <c r="F329" s="4">
        <f>Работы!R328</f>
        <v/>
      </c>
      <c r="G329" s="4">
        <f>(E329+F329)*D329</f>
        <v/>
      </c>
    </row>
    <row r="330">
      <c r="A330" s="9" t="n">
        <v>326</v>
      </c>
      <c r="B330" s="3">
        <f>Работы!B329</f>
        <v/>
      </c>
      <c r="C330" s="3">
        <f>Работы!C329</f>
        <v/>
      </c>
      <c r="D330" s="4">
        <f>Работы!D329</f>
        <v/>
      </c>
      <c r="E330" s="4">
        <f>Работы!S329</f>
        <v/>
      </c>
      <c r="F330" s="4">
        <f>Работы!R329</f>
        <v/>
      </c>
      <c r="G330" s="4">
        <f>(E330+F330)*D330</f>
        <v/>
      </c>
    </row>
    <row r="331">
      <c r="A331" s="9" t="n">
        <v>327</v>
      </c>
      <c r="B331" s="3">
        <f>Работы!B330</f>
        <v/>
      </c>
      <c r="C331" s="3">
        <f>Работы!C330</f>
        <v/>
      </c>
      <c r="D331" s="4">
        <f>Работы!D330</f>
        <v/>
      </c>
      <c r="E331" s="4">
        <f>Работы!S330</f>
        <v/>
      </c>
      <c r="F331" s="4">
        <f>Работы!R330</f>
        <v/>
      </c>
      <c r="G331" s="4">
        <f>(E331+F331)*D331</f>
        <v/>
      </c>
    </row>
    <row r="332">
      <c r="A332" s="9" t="n">
        <v>328</v>
      </c>
      <c r="B332" s="3">
        <f>Работы!B331</f>
        <v/>
      </c>
      <c r="C332" s="3">
        <f>Работы!C331</f>
        <v/>
      </c>
      <c r="D332" s="4">
        <f>Работы!D331</f>
        <v/>
      </c>
      <c r="E332" s="4">
        <f>Работы!S331</f>
        <v/>
      </c>
      <c r="F332" s="4">
        <f>Работы!R331</f>
        <v/>
      </c>
      <c r="G332" s="4">
        <f>(E332+F332)*D332</f>
        <v/>
      </c>
    </row>
    <row r="333">
      <c r="A333" s="9" t="n">
        <v>329</v>
      </c>
      <c r="B333" s="3">
        <f>Работы!B332</f>
        <v/>
      </c>
      <c r="C333" s="3">
        <f>Работы!C332</f>
        <v/>
      </c>
      <c r="D333" s="4">
        <f>Работы!D332</f>
        <v/>
      </c>
      <c r="E333" s="4">
        <f>Работы!S332</f>
        <v/>
      </c>
      <c r="F333" s="4">
        <f>Работы!R332</f>
        <v/>
      </c>
      <c r="G333" s="4">
        <f>(E333+F333)*D333</f>
        <v/>
      </c>
    </row>
    <row r="334">
      <c r="A334" s="9" t="n">
        <v>330</v>
      </c>
      <c r="B334" s="3">
        <f>Работы!B333</f>
        <v/>
      </c>
      <c r="C334" s="3">
        <f>Работы!C333</f>
        <v/>
      </c>
      <c r="D334" s="4">
        <f>Работы!D333</f>
        <v/>
      </c>
      <c r="E334" s="4">
        <f>Работы!S333</f>
        <v/>
      </c>
      <c r="F334" s="4">
        <f>Работы!R333</f>
        <v/>
      </c>
      <c r="G334" s="4">
        <f>(E334+F334)*D334</f>
        <v/>
      </c>
    </row>
    <row r="335">
      <c r="A335" s="9" t="n">
        <v>331</v>
      </c>
      <c r="B335" s="3">
        <f>Работы!B334</f>
        <v/>
      </c>
      <c r="C335" s="3">
        <f>Работы!C334</f>
        <v/>
      </c>
      <c r="D335" s="4">
        <f>Работы!D334</f>
        <v/>
      </c>
      <c r="E335" s="4">
        <f>Работы!S334</f>
        <v/>
      </c>
      <c r="F335" s="4">
        <f>Работы!R334</f>
        <v/>
      </c>
      <c r="G335" s="4">
        <f>(E335+F335)*D335</f>
        <v/>
      </c>
    </row>
    <row r="336">
      <c r="A336" s="9" t="n">
        <v>332</v>
      </c>
      <c r="B336" s="3">
        <f>Работы!B335</f>
        <v/>
      </c>
      <c r="C336" s="3">
        <f>Работы!C335</f>
        <v/>
      </c>
      <c r="D336" s="4">
        <f>Работы!D335</f>
        <v/>
      </c>
      <c r="E336" s="4">
        <f>Работы!S335</f>
        <v/>
      </c>
      <c r="F336" s="4">
        <f>Работы!R335</f>
        <v/>
      </c>
      <c r="G336" s="4">
        <f>(E336+F336)*D336</f>
        <v/>
      </c>
    </row>
    <row r="337">
      <c r="A337" s="9" t="n">
        <v>333</v>
      </c>
      <c r="B337" s="3">
        <f>Работы!B336</f>
        <v/>
      </c>
      <c r="C337" s="3">
        <f>Работы!C336</f>
        <v/>
      </c>
      <c r="D337" s="4">
        <f>Работы!D336</f>
        <v/>
      </c>
      <c r="E337" s="4">
        <f>Работы!S336</f>
        <v/>
      </c>
      <c r="F337" s="4">
        <f>Работы!R336</f>
        <v/>
      </c>
      <c r="G337" s="4">
        <f>(E337+F337)*D337</f>
        <v/>
      </c>
    </row>
    <row r="338">
      <c r="A338" s="9" t="n">
        <v>334</v>
      </c>
      <c r="B338" s="3">
        <f>Работы!B337</f>
        <v/>
      </c>
      <c r="C338" s="3">
        <f>Работы!C337</f>
        <v/>
      </c>
      <c r="D338" s="4">
        <f>Работы!D337</f>
        <v/>
      </c>
      <c r="E338" s="4">
        <f>Работы!S337</f>
        <v/>
      </c>
      <c r="F338" s="4">
        <f>Работы!R337</f>
        <v/>
      </c>
      <c r="G338" s="4">
        <f>(E338+F338)*D338</f>
        <v/>
      </c>
    </row>
    <row r="339">
      <c r="A339" s="9" t="n">
        <v>335</v>
      </c>
      <c r="B339" s="3">
        <f>Работы!B338</f>
        <v/>
      </c>
      <c r="C339" s="3">
        <f>Работы!C338</f>
        <v/>
      </c>
      <c r="D339" s="4">
        <f>Работы!D338</f>
        <v/>
      </c>
      <c r="E339" s="4">
        <f>Работы!S338</f>
        <v/>
      </c>
      <c r="F339" s="4">
        <f>Работы!R338</f>
        <v/>
      </c>
      <c r="G339" s="4">
        <f>(E339+F339)*D339</f>
        <v/>
      </c>
    </row>
    <row r="340">
      <c r="A340" s="9" t="n">
        <v>336</v>
      </c>
      <c r="B340" s="3">
        <f>Работы!B339</f>
        <v/>
      </c>
      <c r="C340" s="3">
        <f>Работы!C339</f>
        <v/>
      </c>
      <c r="D340" s="4">
        <f>Работы!D339</f>
        <v/>
      </c>
      <c r="E340" s="4">
        <f>Работы!S339</f>
        <v/>
      </c>
      <c r="F340" s="4">
        <f>Работы!R339</f>
        <v/>
      </c>
      <c r="G340" s="4">
        <f>(E340+F340)*D340</f>
        <v/>
      </c>
    </row>
    <row r="341">
      <c r="A341" s="9" t="n">
        <v>337</v>
      </c>
      <c r="B341" s="3">
        <f>Работы!B340</f>
        <v/>
      </c>
      <c r="C341" s="3">
        <f>Работы!C340</f>
        <v/>
      </c>
      <c r="D341" s="4">
        <f>Работы!D340</f>
        <v/>
      </c>
      <c r="E341" s="4">
        <f>Работы!S340</f>
        <v/>
      </c>
      <c r="F341" s="4">
        <f>Работы!R340</f>
        <v/>
      </c>
      <c r="G341" s="4">
        <f>(E341+F341)*D341</f>
        <v/>
      </c>
    </row>
    <row r="342">
      <c r="A342" s="9" t="n">
        <v>338</v>
      </c>
      <c r="B342" s="3">
        <f>Работы!B341</f>
        <v/>
      </c>
      <c r="C342" s="3">
        <f>Работы!C341</f>
        <v/>
      </c>
      <c r="D342" s="4">
        <f>Работы!D341</f>
        <v/>
      </c>
      <c r="E342" s="4">
        <f>Работы!S341</f>
        <v/>
      </c>
      <c r="F342" s="4">
        <f>Работы!R341</f>
        <v/>
      </c>
      <c r="G342" s="4">
        <f>(E342+F342)*D342</f>
        <v/>
      </c>
    </row>
    <row r="343">
      <c r="A343" s="9" t="n">
        <v>339</v>
      </c>
      <c r="B343" s="3">
        <f>Работы!B342</f>
        <v/>
      </c>
      <c r="C343" s="3">
        <f>Работы!C342</f>
        <v/>
      </c>
      <c r="D343" s="4">
        <f>Работы!D342</f>
        <v/>
      </c>
      <c r="E343" s="4">
        <f>Работы!S342</f>
        <v/>
      </c>
      <c r="F343" s="4">
        <f>Работы!R342</f>
        <v/>
      </c>
      <c r="G343" s="4">
        <f>(E343+F343)*D343</f>
        <v/>
      </c>
    </row>
    <row r="344">
      <c r="A344" s="9" t="n">
        <v>340</v>
      </c>
      <c r="B344" s="3">
        <f>Работы!B343</f>
        <v/>
      </c>
      <c r="C344" s="3">
        <f>Работы!C343</f>
        <v/>
      </c>
      <c r="D344" s="4">
        <f>Работы!D343</f>
        <v/>
      </c>
      <c r="E344" s="4">
        <f>Работы!S343</f>
        <v/>
      </c>
      <c r="F344" s="4">
        <f>Работы!R343</f>
        <v/>
      </c>
      <c r="G344" s="4">
        <f>(E344+F344)*D344</f>
        <v/>
      </c>
    </row>
    <row r="345">
      <c r="A345" s="9" t="n">
        <v>341</v>
      </c>
      <c r="B345" s="3">
        <f>Работы!B344</f>
        <v/>
      </c>
      <c r="C345" s="3">
        <f>Работы!C344</f>
        <v/>
      </c>
      <c r="D345" s="4">
        <f>Работы!D344</f>
        <v/>
      </c>
      <c r="E345" s="4">
        <f>Работы!S344</f>
        <v/>
      </c>
      <c r="F345" s="4">
        <f>Работы!R344</f>
        <v/>
      </c>
      <c r="G345" s="4">
        <f>(E345+F345)*D345</f>
        <v/>
      </c>
    </row>
    <row r="346">
      <c r="A346" s="9" t="n">
        <v>342</v>
      </c>
      <c r="B346" s="3">
        <f>Работы!B345</f>
        <v/>
      </c>
      <c r="C346" s="3">
        <f>Работы!C345</f>
        <v/>
      </c>
      <c r="D346" s="4">
        <f>Работы!D345</f>
        <v/>
      </c>
      <c r="E346" s="4">
        <f>Работы!S345</f>
        <v/>
      </c>
      <c r="F346" s="4">
        <f>Работы!R345</f>
        <v/>
      </c>
      <c r="G346" s="4">
        <f>(E346+F346)*D346</f>
        <v/>
      </c>
    </row>
    <row r="347">
      <c r="A347" s="9" t="n">
        <v>343</v>
      </c>
      <c r="B347" s="3">
        <f>Работы!B346</f>
        <v/>
      </c>
      <c r="C347" s="3">
        <f>Работы!C346</f>
        <v/>
      </c>
      <c r="D347" s="4">
        <f>Работы!D346</f>
        <v/>
      </c>
      <c r="E347" s="4">
        <f>Работы!S346</f>
        <v/>
      </c>
      <c r="F347" s="4">
        <f>Работы!R346</f>
        <v/>
      </c>
      <c r="G347" s="4">
        <f>(E347+F347)*D347</f>
        <v/>
      </c>
    </row>
    <row r="348">
      <c r="A348" s="9" t="n">
        <v>344</v>
      </c>
      <c r="B348" s="3">
        <f>Работы!B347</f>
        <v/>
      </c>
      <c r="C348" s="3">
        <f>Работы!C347</f>
        <v/>
      </c>
      <c r="D348" s="4">
        <f>Работы!D347</f>
        <v/>
      </c>
      <c r="E348" s="4">
        <f>Работы!S347</f>
        <v/>
      </c>
      <c r="F348" s="4">
        <f>Работы!R347</f>
        <v/>
      </c>
      <c r="G348" s="4">
        <f>(E348+F348)*D348</f>
        <v/>
      </c>
    </row>
    <row r="349">
      <c r="A349" s="9" t="n">
        <v>345</v>
      </c>
      <c r="B349" s="3">
        <f>Работы!B348</f>
        <v/>
      </c>
      <c r="C349" s="3">
        <f>Работы!C348</f>
        <v/>
      </c>
      <c r="D349" s="4">
        <f>Работы!D348</f>
        <v/>
      </c>
      <c r="E349" s="4">
        <f>Работы!S348</f>
        <v/>
      </c>
      <c r="F349" s="4">
        <f>Работы!R348</f>
        <v/>
      </c>
      <c r="G349" s="4">
        <f>(E349+F349)*D349</f>
        <v/>
      </c>
    </row>
    <row r="350">
      <c r="A350" s="9" t="n">
        <v>346</v>
      </c>
      <c r="B350" s="3">
        <f>Работы!B349</f>
        <v/>
      </c>
      <c r="C350" s="3">
        <f>Работы!C349</f>
        <v/>
      </c>
      <c r="D350" s="4">
        <f>Работы!D349</f>
        <v/>
      </c>
      <c r="E350" s="4">
        <f>Работы!S349</f>
        <v/>
      </c>
      <c r="F350" s="4">
        <f>Работы!R349</f>
        <v/>
      </c>
      <c r="G350" s="4">
        <f>(E350+F350)*D350</f>
        <v/>
      </c>
    </row>
    <row r="351">
      <c r="A351" s="9" t="n">
        <v>347</v>
      </c>
      <c r="B351" s="3">
        <f>Работы!B350</f>
        <v/>
      </c>
      <c r="C351" s="3">
        <f>Работы!C350</f>
        <v/>
      </c>
      <c r="D351" s="4">
        <f>Работы!D350</f>
        <v/>
      </c>
      <c r="E351" s="4">
        <f>Работы!S350</f>
        <v/>
      </c>
      <c r="F351" s="4">
        <f>Работы!R350</f>
        <v/>
      </c>
      <c r="G351" s="4">
        <f>(E351+F351)*D351</f>
        <v/>
      </c>
    </row>
    <row r="352">
      <c r="A352" s="9" t="n">
        <v>348</v>
      </c>
      <c r="B352" s="3">
        <f>Работы!B351</f>
        <v/>
      </c>
      <c r="C352" s="3">
        <f>Работы!C351</f>
        <v/>
      </c>
      <c r="D352" s="4">
        <f>Работы!D351</f>
        <v/>
      </c>
      <c r="E352" s="4">
        <f>Работы!S351</f>
        <v/>
      </c>
      <c r="F352" s="4">
        <f>Работы!R351</f>
        <v/>
      </c>
      <c r="G352" s="4">
        <f>(E352+F352)*D352</f>
        <v/>
      </c>
    </row>
    <row r="353">
      <c r="A353" s="9" t="n">
        <v>349</v>
      </c>
      <c r="B353" s="3">
        <f>Работы!B352</f>
        <v/>
      </c>
      <c r="C353" s="3">
        <f>Работы!C352</f>
        <v/>
      </c>
      <c r="D353" s="4">
        <f>Работы!D352</f>
        <v/>
      </c>
      <c r="E353" s="4">
        <f>Работы!S352</f>
        <v/>
      </c>
      <c r="F353" s="4">
        <f>Работы!R352</f>
        <v/>
      </c>
      <c r="G353" s="4">
        <f>(E353+F353)*D353</f>
        <v/>
      </c>
    </row>
    <row r="354">
      <c r="A354" s="9" t="n">
        <v>350</v>
      </c>
      <c r="B354" s="3">
        <f>Работы!B353</f>
        <v/>
      </c>
      <c r="C354" s="3">
        <f>Работы!C353</f>
        <v/>
      </c>
      <c r="D354" s="4">
        <f>Работы!D353</f>
        <v/>
      </c>
      <c r="E354" s="4">
        <f>Работы!S353</f>
        <v/>
      </c>
      <c r="F354" s="4">
        <f>Работы!R353</f>
        <v/>
      </c>
      <c r="G354" s="4">
        <f>(E354+F354)*D354</f>
        <v/>
      </c>
    </row>
    <row r="355">
      <c r="A355" s="9" t="n">
        <v>351</v>
      </c>
      <c r="B355" s="3">
        <f>Работы!B354</f>
        <v/>
      </c>
      <c r="C355" s="3">
        <f>Работы!C354</f>
        <v/>
      </c>
      <c r="D355" s="4">
        <f>Работы!D354</f>
        <v/>
      </c>
      <c r="E355" s="4">
        <f>Работы!S354</f>
        <v/>
      </c>
      <c r="F355" s="4">
        <f>Работы!R354</f>
        <v/>
      </c>
      <c r="G355" s="4">
        <f>(E355+F355)*D355</f>
        <v/>
      </c>
    </row>
    <row r="356">
      <c r="A356" s="9" t="n">
        <v>352</v>
      </c>
      <c r="B356" s="3">
        <f>Работы!B355</f>
        <v/>
      </c>
      <c r="C356" s="3">
        <f>Работы!C355</f>
        <v/>
      </c>
      <c r="D356" s="4">
        <f>Работы!D355</f>
        <v/>
      </c>
      <c r="E356" s="4">
        <f>Работы!S355</f>
        <v/>
      </c>
      <c r="F356" s="4">
        <f>Работы!R355</f>
        <v/>
      </c>
      <c r="G356" s="4">
        <f>(E356+F356)*D356</f>
        <v/>
      </c>
    </row>
    <row r="357">
      <c r="A357" s="9" t="n">
        <v>353</v>
      </c>
      <c r="B357" s="3">
        <f>Работы!B356</f>
        <v/>
      </c>
      <c r="C357" s="3">
        <f>Работы!C356</f>
        <v/>
      </c>
      <c r="D357" s="4">
        <f>Работы!D356</f>
        <v/>
      </c>
      <c r="E357" s="4">
        <f>Работы!S356</f>
        <v/>
      </c>
      <c r="F357" s="4">
        <f>Работы!R356</f>
        <v/>
      </c>
      <c r="G357" s="4">
        <f>(E357+F357)*D357</f>
        <v/>
      </c>
    </row>
    <row r="358">
      <c r="A358" s="9" t="n">
        <v>354</v>
      </c>
      <c r="B358" s="3">
        <f>Работы!B357</f>
        <v/>
      </c>
      <c r="C358" s="3">
        <f>Работы!C357</f>
        <v/>
      </c>
      <c r="D358" s="4">
        <f>Работы!D357</f>
        <v/>
      </c>
      <c r="E358" s="4">
        <f>Работы!S357</f>
        <v/>
      </c>
      <c r="F358" s="4">
        <f>Работы!R357</f>
        <v/>
      </c>
      <c r="G358" s="4">
        <f>(E358+F358)*D358</f>
        <v/>
      </c>
    </row>
    <row r="359">
      <c r="A359" s="9" t="n">
        <v>355</v>
      </c>
      <c r="B359" s="3">
        <f>Работы!B358</f>
        <v/>
      </c>
      <c r="C359" s="3">
        <f>Работы!C358</f>
        <v/>
      </c>
      <c r="D359" s="4">
        <f>Работы!D358</f>
        <v/>
      </c>
      <c r="E359" s="4">
        <f>Работы!S358</f>
        <v/>
      </c>
      <c r="F359" s="4">
        <f>Работы!R358</f>
        <v/>
      </c>
      <c r="G359" s="4">
        <f>(E359+F359)*D359</f>
        <v/>
      </c>
    </row>
    <row r="360">
      <c r="A360" s="9" t="n">
        <v>356</v>
      </c>
      <c r="B360" s="3">
        <f>Работы!B359</f>
        <v/>
      </c>
      <c r="C360" s="3">
        <f>Работы!C359</f>
        <v/>
      </c>
      <c r="D360" s="4">
        <f>Работы!D359</f>
        <v/>
      </c>
      <c r="E360" s="4">
        <f>Работы!S359</f>
        <v/>
      </c>
      <c r="F360" s="4">
        <f>Работы!R359</f>
        <v/>
      </c>
      <c r="G360" s="4">
        <f>(E360+F360)*D360</f>
        <v/>
      </c>
    </row>
    <row r="361">
      <c r="A361" s="9" t="n">
        <v>357</v>
      </c>
      <c r="B361" s="3">
        <f>Работы!B360</f>
        <v/>
      </c>
      <c r="C361" s="3">
        <f>Работы!C360</f>
        <v/>
      </c>
      <c r="D361" s="4">
        <f>Работы!D360</f>
        <v/>
      </c>
      <c r="E361" s="4">
        <f>Работы!S360</f>
        <v/>
      </c>
      <c r="F361" s="4">
        <f>Работы!R360</f>
        <v/>
      </c>
      <c r="G361" s="4">
        <f>(E361+F361)*D361</f>
        <v/>
      </c>
    </row>
    <row r="362">
      <c r="A362" s="9" t="n">
        <v>358</v>
      </c>
      <c r="B362" s="3">
        <f>Работы!B361</f>
        <v/>
      </c>
      <c r="C362" s="3">
        <f>Работы!C361</f>
        <v/>
      </c>
      <c r="D362" s="4">
        <f>Работы!D361</f>
        <v/>
      </c>
      <c r="E362" s="4">
        <f>Работы!S361</f>
        <v/>
      </c>
      <c r="F362" s="4">
        <f>Работы!R361</f>
        <v/>
      </c>
      <c r="G362" s="4">
        <f>(E362+F362)*D362</f>
        <v/>
      </c>
    </row>
    <row r="363">
      <c r="A363" s="9" t="n">
        <v>359</v>
      </c>
      <c r="B363" s="3">
        <f>Работы!B362</f>
        <v/>
      </c>
      <c r="C363" s="3">
        <f>Работы!C362</f>
        <v/>
      </c>
      <c r="D363" s="4">
        <f>Работы!D362</f>
        <v/>
      </c>
      <c r="E363" s="4">
        <f>Работы!S362</f>
        <v/>
      </c>
      <c r="F363" s="4">
        <f>Работы!R362</f>
        <v/>
      </c>
      <c r="G363" s="4">
        <f>(E363+F363)*D363</f>
        <v/>
      </c>
    </row>
    <row r="364">
      <c r="A364" s="9" t="n">
        <v>360</v>
      </c>
      <c r="B364" s="3">
        <f>Работы!B363</f>
        <v/>
      </c>
      <c r="C364" s="3">
        <f>Работы!C363</f>
        <v/>
      </c>
      <c r="D364" s="4">
        <f>Работы!D363</f>
        <v/>
      </c>
      <c r="E364" s="4">
        <f>Работы!S363</f>
        <v/>
      </c>
      <c r="F364" s="4">
        <f>Работы!R363</f>
        <v/>
      </c>
      <c r="G364" s="4">
        <f>(E364+F364)*D364</f>
        <v/>
      </c>
    </row>
    <row r="365">
      <c r="A365" s="9" t="n">
        <v>361</v>
      </c>
      <c r="B365" s="3">
        <f>Работы!B364</f>
        <v/>
      </c>
      <c r="C365" s="3">
        <f>Работы!C364</f>
        <v/>
      </c>
      <c r="D365" s="4">
        <f>Работы!D364</f>
        <v/>
      </c>
      <c r="E365" s="4">
        <f>Работы!S364</f>
        <v/>
      </c>
      <c r="F365" s="4">
        <f>Работы!R364</f>
        <v/>
      </c>
      <c r="G365" s="4">
        <f>(E365+F365)*D365</f>
        <v/>
      </c>
    </row>
    <row r="366">
      <c r="A366" s="9" t="n">
        <v>362</v>
      </c>
      <c r="B366" s="3">
        <f>Работы!B365</f>
        <v/>
      </c>
      <c r="C366" s="3">
        <f>Работы!C365</f>
        <v/>
      </c>
      <c r="D366" s="4">
        <f>Работы!D365</f>
        <v/>
      </c>
      <c r="E366" s="4">
        <f>Работы!S365</f>
        <v/>
      </c>
      <c r="F366" s="4">
        <f>Работы!R365</f>
        <v/>
      </c>
      <c r="G366" s="4">
        <f>(E366+F366)*D366</f>
        <v/>
      </c>
    </row>
    <row r="367">
      <c r="A367" s="9" t="n">
        <v>363</v>
      </c>
      <c r="B367" s="3">
        <f>Работы!B366</f>
        <v/>
      </c>
      <c r="C367" s="3">
        <f>Работы!C366</f>
        <v/>
      </c>
      <c r="D367" s="4">
        <f>Работы!D366</f>
        <v/>
      </c>
      <c r="E367" s="4">
        <f>Работы!S366</f>
        <v/>
      </c>
      <c r="F367" s="4">
        <f>Работы!R366</f>
        <v/>
      </c>
      <c r="G367" s="4">
        <f>(E367+F367)*D367</f>
        <v/>
      </c>
    </row>
    <row r="368">
      <c r="A368" s="9" t="n">
        <v>364</v>
      </c>
      <c r="B368" s="3">
        <f>Работы!B367</f>
        <v/>
      </c>
      <c r="C368" s="3">
        <f>Работы!C367</f>
        <v/>
      </c>
      <c r="D368" s="4">
        <f>Работы!D367</f>
        <v/>
      </c>
      <c r="E368" s="4">
        <f>Работы!S367</f>
        <v/>
      </c>
      <c r="F368" s="4">
        <f>Работы!R367</f>
        <v/>
      </c>
      <c r="G368" s="4">
        <f>(E368+F368)*D368</f>
        <v/>
      </c>
    </row>
    <row r="369">
      <c r="A369" s="9" t="n">
        <v>365</v>
      </c>
      <c r="B369" s="3">
        <f>Работы!B368</f>
        <v/>
      </c>
      <c r="C369" s="3">
        <f>Работы!C368</f>
        <v/>
      </c>
      <c r="D369" s="4">
        <f>Работы!D368</f>
        <v/>
      </c>
      <c r="E369" s="4">
        <f>Работы!S368</f>
        <v/>
      </c>
      <c r="F369" s="4">
        <f>Работы!R368</f>
        <v/>
      </c>
      <c r="G369" s="4">
        <f>(E369+F369)*D369</f>
        <v/>
      </c>
    </row>
    <row r="370">
      <c r="A370" s="9" t="n">
        <v>366</v>
      </c>
      <c r="B370" s="3">
        <f>Работы!B369</f>
        <v/>
      </c>
      <c r="C370" s="3">
        <f>Работы!C369</f>
        <v/>
      </c>
      <c r="D370" s="4">
        <f>Работы!D369</f>
        <v/>
      </c>
      <c r="E370" s="4">
        <f>Работы!S369</f>
        <v/>
      </c>
      <c r="F370" s="4">
        <f>Работы!R369</f>
        <v/>
      </c>
      <c r="G370" s="4">
        <f>(E370+F370)*D370</f>
        <v/>
      </c>
    </row>
    <row r="371">
      <c r="A371" s="9" t="n">
        <v>367</v>
      </c>
      <c r="B371" s="3">
        <f>Работы!B370</f>
        <v/>
      </c>
      <c r="C371" s="3">
        <f>Работы!C370</f>
        <v/>
      </c>
      <c r="D371" s="4">
        <f>Работы!D370</f>
        <v/>
      </c>
      <c r="E371" s="4">
        <f>Работы!S370</f>
        <v/>
      </c>
      <c r="F371" s="4">
        <f>Работы!R370</f>
        <v/>
      </c>
      <c r="G371" s="4">
        <f>(E371+F371)*D371</f>
        <v/>
      </c>
    </row>
    <row r="372">
      <c r="A372" s="9" t="n">
        <v>368</v>
      </c>
      <c r="B372" s="3">
        <f>Работы!B371</f>
        <v/>
      </c>
      <c r="C372" s="3">
        <f>Работы!C371</f>
        <v/>
      </c>
      <c r="D372" s="4">
        <f>Работы!D371</f>
        <v/>
      </c>
      <c r="E372" s="4">
        <f>Работы!S371</f>
        <v/>
      </c>
      <c r="F372" s="4">
        <f>Работы!R371</f>
        <v/>
      </c>
      <c r="G372" s="4">
        <f>(E372+F372)*D372</f>
        <v/>
      </c>
    </row>
    <row r="373">
      <c r="A373" s="9" t="n">
        <v>369</v>
      </c>
      <c r="B373" s="3">
        <f>Работы!B372</f>
        <v/>
      </c>
      <c r="C373" s="3">
        <f>Работы!C372</f>
        <v/>
      </c>
      <c r="D373" s="4">
        <f>Работы!D372</f>
        <v/>
      </c>
      <c r="E373" s="4">
        <f>Работы!S372</f>
        <v/>
      </c>
      <c r="F373" s="4">
        <f>Работы!R372</f>
        <v/>
      </c>
      <c r="G373" s="4">
        <f>(E373+F373)*D373</f>
        <v/>
      </c>
    </row>
    <row r="374">
      <c r="A374" s="9" t="n">
        <v>370</v>
      </c>
      <c r="B374" s="3">
        <f>Работы!B373</f>
        <v/>
      </c>
      <c r="C374" s="3">
        <f>Работы!C373</f>
        <v/>
      </c>
      <c r="D374" s="4">
        <f>Работы!D373</f>
        <v/>
      </c>
      <c r="E374" s="4">
        <f>Работы!S373</f>
        <v/>
      </c>
      <c r="F374" s="4">
        <f>Работы!R373</f>
        <v/>
      </c>
      <c r="G374" s="4">
        <f>(E374+F374)*D374</f>
        <v/>
      </c>
    </row>
    <row r="375">
      <c r="A375" s="9" t="n">
        <v>371</v>
      </c>
      <c r="B375" s="3">
        <f>Работы!B374</f>
        <v/>
      </c>
      <c r="C375" s="3">
        <f>Работы!C374</f>
        <v/>
      </c>
      <c r="D375" s="4">
        <f>Работы!D374</f>
        <v/>
      </c>
      <c r="E375" s="4">
        <f>Работы!S374</f>
        <v/>
      </c>
      <c r="F375" s="4">
        <f>Работы!R374</f>
        <v/>
      </c>
      <c r="G375" s="4">
        <f>(E375+F375)*D375</f>
        <v/>
      </c>
    </row>
    <row r="376">
      <c r="A376" s="9" t="n">
        <v>372</v>
      </c>
      <c r="B376" s="3">
        <f>Работы!B375</f>
        <v/>
      </c>
      <c r="C376" s="3">
        <f>Работы!C375</f>
        <v/>
      </c>
      <c r="D376" s="4">
        <f>Работы!D375</f>
        <v/>
      </c>
      <c r="E376" s="4">
        <f>Работы!S375</f>
        <v/>
      </c>
      <c r="F376" s="4">
        <f>Работы!R375</f>
        <v/>
      </c>
      <c r="G376" s="4">
        <f>(E376+F376)*D376</f>
        <v/>
      </c>
    </row>
    <row r="377">
      <c r="A377" s="9" t="n">
        <v>373</v>
      </c>
      <c r="B377" s="3">
        <f>Работы!B376</f>
        <v/>
      </c>
      <c r="C377" s="3">
        <f>Работы!C376</f>
        <v/>
      </c>
      <c r="D377" s="4">
        <f>Работы!D376</f>
        <v/>
      </c>
      <c r="E377" s="4">
        <f>Работы!S376</f>
        <v/>
      </c>
      <c r="F377" s="4">
        <f>Работы!R376</f>
        <v/>
      </c>
      <c r="G377" s="4">
        <f>(E377+F377)*D377</f>
        <v/>
      </c>
    </row>
    <row r="378">
      <c r="A378" s="9" t="n">
        <v>374</v>
      </c>
      <c r="B378" s="3">
        <f>Работы!B377</f>
        <v/>
      </c>
      <c r="C378" s="3">
        <f>Работы!C377</f>
        <v/>
      </c>
      <c r="D378" s="4">
        <f>Работы!D377</f>
        <v/>
      </c>
      <c r="E378" s="4">
        <f>Работы!S377</f>
        <v/>
      </c>
      <c r="F378" s="4">
        <f>Работы!R377</f>
        <v/>
      </c>
      <c r="G378" s="4">
        <f>(E378+F378)*D378</f>
        <v/>
      </c>
    </row>
    <row r="379">
      <c r="A379" s="9" t="n">
        <v>375</v>
      </c>
      <c r="B379" s="3">
        <f>Работы!B378</f>
        <v/>
      </c>
      <c r="C379" s="3">
        <f>Работы!C378</f>
        <v/>
      </c>
      <c r="D379" s="4">
        <f>Работы!D378</f>
        <v/>
      </c>
      <c r="E379" s="4">
        <f>Работы!S378</f>
        <v/>
      </c>
      <c r="F379" s="4">
        <f>Работы!R378</f>
        <v/>
      </c>
      <c r="G379" s="4">
        <f>(E379+F379)*D379</f>
        <v/>
      </c>
    </row>
    <row r="380">
      <c r="A380" s="9" t="n">
        <v>376</v>
      </c>
      <c r="B380" s="3">
        <f>Работы!B379</f>
        <v/>
      </c>
      <c r="C380" s="3">
        <f>Работы!C379</f>
        <v/>
      </c>
      <c r="D380" s="4">
        <f>Работы!D379</f>
        <v/>
      </c>
      <c r="E380" s="4">
        <f>Работы!S379</f>
        <v/>
      </c>
      <c r="F380" s="4">
        <f>Работы!R379</f>
        <v/>
      </c>
      <c r="G380" s="4">
        <f>(E380+F380)*D380</f>
        <v/>
      </c>
    </row>
    <row r="381">
      <c r="A381" s="9" t="n">
        <v>377</v>
      </c>
      <c r="B381" s="3">
        <f>Работы!B380</f>
        <v/>
      </c>
      <c r="C381" s="3">
        <f>Работы!C380</f>
        <v/>
      </c>
      <c r="D381" s="4">
        <f>Работы!D380</f>
        <v/>
      </c>
      <c r="E381" s="4">
        <f>Работы!S380</f>
        <v/>
      </c>
      <c r="F381" s="4">
        <f>Работы!R380</f>
        <v/>
      </c>
      <c r="G381" s="4">
        <f>(E381+F381)*D381</f>
        <v/>
      </c>
    </row>
    <row r="382">
      <c r="A382" s="9" t="n">
        <v>378</v>
      </c>
      <c r="B382" s="3">
        <f>Работы!B381</f>
        <v/>
      </c>
      <c r="C382" s="3">
        <f>Работы!C381</f>
        <v/>
      </c>
      <c r="D382" s="4">
        <f>Работы!D381</f>
        <v/>
      </c>
      <c r="E382" s="4">
        <f>Работы!S381</f>
        <v/>
      </c>
      <c r="F382" s="4">
        <f>Работы!R381</f>
        <v/>
      </c>
      <c r="G382" s="4">
        <f>(E382+F382)*D382</f>
        <v/>
      </c>
    </row>
    <row r="383">
      <c r="A383" s="9" t="n">
        <v>379</v>
      </c>
      <c r="B383" s="3">
        <f>Работы!B382</f>
        <v/>
      </c>
      <c r="C383" s="3">
        <f>Работы!C382</f>
        <v/>
      </c>
      <c r="D383" s="4">
        <f>Работы!D382</f>
        <v/>
      </c>
      <c r="E383" s="4">
        <f>Работы!S382</f>
        <v/>
      </c>
      <c r="F383" s="4">
        <f>Работы!R382</f>
        <v/>
      </c>
      <c r="G383" s="4">
        <f>(E383+F383)*D383</f>
        <v/>
      </c>
    </row>
    <row r="384">
      <c r="A384" s="9" t="n">
        <v>380</v>
      </c>
      <c r="B384" s="3">
        <f>Работы!B383</f>
        <v/>
      </c>
      <c r="C384" s="3">
        <f>Работы!C383</f>
        <v/>
      </c>
      <c r="D384" s="4">
        <f>Работы!D383</f>
        <v/>
      </c>
      <c r="E384" s="4">
        <f>Работы!S383</f>
        <v/>
      </c>
      <c r="F384" s="4">
        <f>Работы!R383</f>
        <v/>
      </c>
      <c r="G384" s="4">
        <f>(E384+F384)*D384</f>
        <v/>
      </c>
    </row>
    <row r="385">
      <c r="A385" s="9" t="n">
        <v>381</v>
      </c>
      <c r="B385" s="3">
        <f>Работы!B384</f>
        <v/>
      </c>
      <c r="C385" s="3">
        <f>Работы!C384</f>
        <v/>
      </c>
      <c r="D385" s="4">
        <f>Работы!D384</f>
        <v/>
      </c>
      <c r="E385" s="4">
        <f>Работы!S384</f>
        <v/>
      </c>
      <c r="F385" s="4">
        <f>Работы!R384</f>
        <v/>
      </c>
      <c r="G385" s="4">
        <f>(E385+F385)*D385</f>
        <v/>
      </c>
    </row>
    <row r="386">
      <c r="A386" s="9" t="n">
        <v>382</v>
      </c>
      <c r="B386" s="3">
        <f>Работы!B385</f>
        <v/>
      </c>
      <c r="C386" s="3">
        <f>Работы!C385</f>
        <v/>
      </c>
      <c r="D386" s="4">
        <f>Работы!D385</f>
        <v/>
      </c>
      <c r="E386" s="4">
        <f>Работы!S385</f>
        <v/>
      </c>
      <c r="F386" s="4">
        <f>Работы!R385</f>
        <v/>
      </c>
      <c r="G386" s="4">
        <f>(E386+F386)*D386</f>
        <v/>
      </c>
    </row>
    <row r="387">
      <c r="A387" s="9" t="n">
        <v>383</v>
      </c>
      <c r="B387" s="3">
        <f>Работы!B386</f>
        <v/>
      </c>
      <c r="C387" s="3">
        <f>Работы!C386</f>
        <v/>
      </c>
      <c r="D387" s="4">
        <f>Работы!D386</f>
        <v/>
      </c>
      <c r="E387" s="4">
        <f>Работы!S386</f>
        <v/>
      </c>
      <c r="F387" s="4">
        <f>Работы!R386</f>
        <v/>
      </c>
      <c r="G387" s="4">
        <f>(E387+F387)*D387</f>
        <v/>
      </c>
    </row>
    <row r="388">
      <c r="A388" s="9" t="n">
        <v>384</v>
      </c>
      <c r="B388" s="3">
        <f>Работы!B387</f>
        <v/>
      </c>
      <c r="C388" s="3">
        <f>Работы!C387</f>
        <v/>
      </c>
      <c r="D388" s="4">
        <f>Работы!D387</f>
        <v/>
      </c>
      <c r="E388" s="4">
        <f>Работы!S387</f>
        <v/>
      </c>
      <c r="F388" s="4">
        <f>Работы!R387</f>
        <v/>
      </c>
      <c r="G388" s="4">
        <f>(E388+F388)*D388</f>
        <v/>
      </c>
    </row>
    <row r="389">
      <c r="A389" s="9" t="n">
        <v>385</v>
      </c>
      <c r="B389" s="3">
        <f>Работы!B388</f>
        <v/>
      </c>
      <c r="C389" s="3">
        <f>Работы!C388</f>
        <v/>
      </c>
      <c r="D389" s="4">
        <f>Работы!D388</f>
        <v/>
      </c>
      <c r="E389" s="4">
        <f>Работы!S388</f>
        <v/>
      </c>
      <c r="F389" s="4">
        <f>Работы!R388</f>
        <v/>
      </c>
      <c r="G389" s="4">
        <f>(E389+F389)*D389</f>
        <v/>
      </c>
    </row>
    <row r="390">
      <c r="A390" s="9" t="n">
        <v>386</v>
      </c>
      <c r="B390" s="3">
        <f>Работы!B389</f>
        <v/>
      </c>
      <c r="C390" s="3">
        <f>Работы!C389</f>
        <v/>
      </c>
      <c r="D390" s="4">
        <f>Работы!D389</f>
        <v/>
      </c>
      <c r="E390" s="4">
        <f>Работы!S389</f>
        <v/>
      </c>
      <c r="F390" s="4">
        <f>Работы!R389</f>
        <v/>
      </c>
      <c r="G390" s="4">
        <f>(E390+F390)*D390</f>
        <v/>
      </c>
    </row>
    <row r="391">
      <c r="A391" s="9" t="n">
        <v>387</v>
      </c>
      <c r="B391" s="3">
        <f>Работы!B390</f>
        <v/>
      </c>
      <c r="C391" s="3">
        <f>Работы!C390</f>
        <v/>
      </c>
      <c r="D391" s="4">
        <f>Работы!D390</f>
        <v/>
      </c>
      <c r="E391" s="4">
        <f>Работы!S390</f>
        <v/>
      </c>
      <c r="F391" s="4">
        <f>Работы!R390</f>
        <v/>
      </c>
      <c r="G391" s="4">
        <f>(E391+F391)*D391</f>
        <v/>
      </c>
    </row>
    <row r="392">
      <c r="A392" s="9" t="n">
        <v>388</v>
      </c>
      <c r="B392" s="3">
        <f>Работы!B391</f>
        <v/>
      </c>
      <c r="C392" s="3">
        <f>Работы!C391</f>
        <v/>
      </c>
      <c r="D392" s="4">
        <f>Работы!D391</f>
        <v/>
      </c>
      <c r="E392" s="4">
        <f>Работы!S391</f>
        <v/>
      </c>
      <c r="F392" s="4">
        <f>Работы!R391</f>
        <v/>
      </c>
      <c r="G392" s="4">
        <f>(E392+F392)*D392</f>
        <v/>
      </c>
    </row>
    <row r="393">
      <c r="A393" s="9" t="n">
        <v>389</v>
      </c>
      <c r="B393" s="3">
        <f>Работы!B392</f>
        <v/>
      </c>
      <c r="C393" s="3">
        <f>Работы!C392</f>
        <v/>
      </c>
      <c r="D393" s="4">
        <f>Работы!D392</f>
        <v/>
      </c>
      <c r="E393" s="4">
        <f>Работы!S392</f>
        <v/>
      </c>
      <c r="F393" s="4">
        <f>Работы!R392</f>
        <v/>
      </c>
      <c r="G393" s="4">
        <f>(E393+F393)*D393</f>
        <v/>
      </c>
    </row>
    <row r="394">
      <c r="A394" s="9" t="n">
        <v>390</v>
      </c>
      <c r="B394" s="3">
        <f>Работы!B393</f>
        <v/>
      </c>
      <c r="C394" s="3">
        <f>Работы!C393</f>
        <v/>
      </c>
      <c r="D394" s="4">
        <f>Работы!D393</f>
        <v/>
      </c>
      <c r="E394" s="4">
        <f>Работы!S393</f>
        <v/>
      </c>
      <c r="F394" s="4">
        <f>Работы!R393</f>
        <v/>
      </c>
      <c r="G394" s="4">
        <f>(E394+F394)*D394</f>
        <v/>
      </c>
    </row>
    <row r="395">
      <c r="A395" s="9" t="n">
        <v>391</v>
      </c>
      <c r="B395" s="3">
        <f>Работы!B394</f>
        <v/>
      </c>
      <c r="C395" s="3">
        <f>Работы!C394</f>
        <v/>
      </c>
      <c r="D395" s="4">
        <f>Работы!D394</f>
        <v/>
      </c>
      <c r="E395" s="4">
        <f>Работы!S394</f>
        <v/>
      </c>
      <c r="F395" s="4">
        <f>Работы!R394</f>
        <v/>
      </c>
      <c r="G395" s="4">
        <f>(E395+F395)*D395</f>
        <v/>
      </c>
    </row>
    <row r="396">
      <c r="A396" s="9" t="n">
        <v>392</v>
      </c>
      <c r="B396" s="3">
        <f>Работы!B395</f>
        <v/>
      </c>
      <c r="C396" s="3">
        <f>Работы!C395</f>
        <v/>
      </c>
      <c r="D396" s="4">
        <f>Работы!D395</f>
        <v/>
      </c>
      <c r="E396" s="4">
        <f>Работы!S395</f>
        <v/>
      </c>
      <c r="F396" s="4">
        <f>Работы!R395</f>
        <v/>
      </c>
      <c r="G396" s="4">
        <f>(E396+F396)*D396</f>
        <v/>
      </c>
    </row>
    <row r="397">
      <c r="A397" s="9" t="n">
        <v>393</v>
      </c>
      <c r="B397" s="3">
        <f>Работы!B396</f>
        <v/>
      </c>
      <c r="C397" s="3">
        <f>Работы!C396</f>
        <v/>
      </c>
      <c r="D397" s="4">
        <f>Работы!D396</f>
        <v/>
      </c>
      <c r="E397" s="4">
        <f>Работы!S396</f>
        <v/>
      </c>
      <c r="F397" s="4">
        <f>Работы!R396</f>
        <v/>
      </c>
      <c r="G397" s="4">
        <f>(E397+F397)*D397</f>
        <v/>
      </c>
    </row>
    <row r="398">
      <c r="A398" s="9" t="n">
        <v>394</v>
      </c>
      <c r="B398" s="3">
        <f>Работы!B397</f>
        <v/>
      </c>
      <c r="C398" s="3">
        <f>Работы!C397</f>
        <v/>
      </c>
      <c r="D398" s="4">
        <f>Работы!D397</f>
        <v/>
      </c>
      <c r="E398" s="4">
        <f>Работы!S397</f>
        <v/>
      </c>
      <c r="F398" s="4">
        <f>Работы!R397</f>
        <v/>
      </c>
      <c r="G398" s="4">
        <f>(E398+F398)*D398</f>
        <v/>
      </c>
    </row>
    <row r="399">
      <c r="A399" s="9" t="n">
        <v>395</v>
      </c>
      <c r="B399" s="3">
        <f>Работы!B398</f>
        <v/>
      </c>
      <c r="C399" s="3">
        <f>Работы!C398</f>
        <v/>
      </c>
      <c r="D399" s="4">
        <f>Работы!D398</f>
        <v/>
      </c>
      <c r="E399" s="4">
        <f>Работы!S398</f>
        <v/>
      </c>
      <c r="F399" s="4">
        <f>Работы!R398</f>
        <v/>
      </c>
      <c r="G399" s="4">
        <f>(E399+F399)*D399</f>
        <v/>
      </c>
    </row>
    <row r="400">
      <c r="A400" s="9" t="n">
        <v>396</v>
      </c>
      <c r="B400" s="3">
        <f>Работы!B399</f>
        <v/>
      </c>
      <c r="C400" s="3">
        <f>Работы!C399</f>
        <v/>
      </c>
      <c r="D400" s="4">
        <f>Работы!D399</f>
        <v/>
      </c>
      <c r="E400" s="4">
        <f>Работы!S399</f>
        <v/>
      </c>
      <c r="F400" s="4">
        <f>Работы!R399</f>
        <v/>
      </c>
      <c r="G400" s="4">
        <f>(E400+F400)*D400</f>
        <v/>
      </c>
    </row>
    <row r="401">
      <c r="A401" s="9" t="n">
        <v>397</v>
      </c>
      <c r="B401" s="3">
        <f>Работы!B400</f>
        <v/>
      </c>
      <c r="C401" s="3">
        <f>Работы!C400</f>
        <v/>
      </c>
      <c r="D401" s="4">
        <f>Работы!D400</f>
        <v/>
      </c>
      <c r="E401" s="4">
        <f>Работы!S400</f>
        <v/>
      </c>
      <c r="F401" s="4">
        <f>Работы!R400</f>
        <v/>
      </c>
      <c r="G401" s="4">
        <f>(E401+F401)*D401</f>
        <v/>
      </c>
    </row>
    <row r="402">
      <c r="A402" s="9" t="n">
        <v>398</v>
      </c>
      <c r="B402" s="3">
        <f>Работы!B401</f>
        <v/>
      </c>
      <c r="C402" s="3">
        <f>Работы!C401</f>
        <v/>
      </c>
      <c r="D402" s="4">
        <f>Работы!D401</f>
        <v/>
      </c>
      <c r="E402" s="4">
        <f>Работы!S401</f>
        <v/>
      </c>
      <c r="F402" s="4">
        <f>Работы!R401</f>
        <v/>
      </c>
      <c r="G402" s="4">
        <f>(E402+F402)*D402</f>
        <v/>
      </c>
    </row>
    <row r="403">
      <c r="A403" s="9" t="n">
        <v>399</v>
      </c>
      <c r="B403" s="3">
        <f>Работы!B402</f>
        <v/>
      </c>
      <c r="C403" s="3">
        <f>Работы!C402</f>
        <v/>
      </c>
      <c r="D403" s="4">
        <f>Работы!D402</f>
        <v/>
      </c>
      <c r="E403" s="4">
        <f>Работы!S402</f>
        <v/>
      </c>
      <c r="F403" s="4">
        <f>Работы!R402</f>
        <v/>
      </c>
      <c r="G403" s="4">
        <f>(E403+F403)*D403</f>
        <v/>
      </c>
    </row>
    <row r="404">
      <c r="A404" s="9" t="n">
        <v>400</v>
      </c>
      <c r="B404" s="3">
        <f>Работы!B403</f>
        <v/>
      </c>
      <c r="C404" s="3">
        <f>Работы!C403</f>
        <v/>
      </c>
      <c r="D404" s="4">
        <f>Работы!D403</f>
        <v/>
      </c>
      <c r="E404" s="4">
        <f>Работы!S403</f>
        <v/>
      </c>
      <c r="F404" s="4">
        <f>Работы!R403</f>
        <v/>
      </c>
      <c r="G404" s="4">
        <f>(E404+F404)*D404</f>
        <v/>
      </c>
    </row>
    <row r="405">
      <c r="A405" s="9" t="n">
        <v>401</v>
      </c>
      <c r="B405" s="3">
        <f>Работы!B404</f>
        <v/>
      </c>
      <c r="C405" s="3">
        <f>Работы!C404</f>
        <v/>
      </c>
      <c r="D405" s="4">
        <f>Работы!D404</f>
        <v/>
      </c>
      <c r="E405" s="4">
        <f>Работы!S404</f>
        <v/>
      </c>
      <c r="F405" s="4">
        <f>Работы!R404</f>
        <v/>
      </c>
      <c r="G405" s="4">
        <f>(E405+F405)*D405</f>
        <v/>
      </c>
    </row>
    <row r="406">
      <c r="A406" s="9" t="n">
        <v>402</v>
      </c>
      <c r="B406" s="3">
        <f>Работы!B405</f>
        <v/>
      </c>
      <c r="C406" s="3">
        <f>Работы!C405</f>
        <v/>
      </c>
      <c r="D406" s="4">
        <f>Работы!D405</f>
        <v/>
      </c>
      <c r="E406" s="4">
        <f>Работы!S405</f>
        <v/>
      </c>
      <c r="F406" s="4">
        <f>Работы!R405</f>
        <v/>
      </c>
      <c r="G406" s="4">
        <f>(E406+F406)*D406</f>
        <v/>
      </c>
    </row>
    <row r="407">
      <c r="A407" s="9" t="n">
        <v>403</v>
      </c>
      <c r="B407" s="3">
        <f>Работы!B406</f>
        <v/>
      </c>
      <c r="C407" s="3">
        <f>Работы!C406</f>
        <v/>
      </c>
      <c r="D407" s="4">
        <f>Работы!D406</f>
        <v/>
      </c>
      <c r="E407" s="4">
        <f>Работы!S406</f>
        <v/>
      </c>
      <c r="F407" s="4">
        <f>Работы!R406</f>
        <v/>
      </c>
      <c r="G407" s="4">
        <f>(E407+F407)*D407</f>
        <v/>
      </c>
    </row>
    <row r="408">
      <c r="A408" s="9" t="n">
        <v>404</v>
      </c>
      <c r="B408" s="3">
        <f>Работы!B407</f>
        <v/>
      </c>
      <c r="C408" s="3">
        <f>Работы!C407</f>
        <v/>
      </c>
      <c r="D408" s="4">
        <f>Работы!D407</f>
        <v/>
      </c>
      <c r="E408" s="4">
        <f>Работы!S407</f>
        <v/>
      </c>
      <c r="F408" s="4">
        <f>Работы!R407</f>
        <v/>
      </c>
      <c r="G408" s="4">
        <f>(E408+F408)*D408</f>
        <v/>
      </c>
    </row>
    <row r="409">
      <c r="A409" s="9" t="n">
        <v>405</v>
      </c>
      <c r="B409" s="3">
        <f>Работы!B408</f>
        <v/>
      </c>
      <c r="C409" s="3">
        <f>Работы!C408</f>
        <v/>
      </c>
      <c r="D409" s="4">
        <f>Работы!D408</f>
        <v/>
      </c>
      <c r="E409" s="4">
        <f>Работы!S408</f>
        <v/>
      </c>
      <c r="F409" s="4">
        <f>Работы!R408</f>
        <v/>
      </c>
      <c r="G409" s="4">
        <f>(E409+F409)*D409</f>
        <v/>
      </c>
    </row>
    <row r="410">
      <c r="A410" s="9" t="n">
        <v>406</v>
      </c>
      <c r="B410" s="3">
        <f>Работы!B409</f>
        <v/>
      </c>
      <c r="C410" s="3">
        <f>Работы!C409</f>
        <v/>
      </c>
      <c r="D410" s="4">
        <f>Работы!D409</f>
        <v/>
      </c>
      <c r="E410" s="4">
        <f>Работы!S409</f>
        <v/>
      </c>
      <c r="F410" s="4">
        <f>Работы!R409</f>
        <v/>
      </c>
      <c r="G410" s="4">
        <f>(E410+F410)*D410</f>
        <v/>
      </c>
    </row>
    <row r="411">
      <c r="A411" s="9" t="n">
        <v>407</v>
      </c>
      <c r="B411" s="3">
        <f>Работы!B410</f>
        <v/>
      </c>
      <c r="C411" s="3">
        <f>Работы!C410</f>
        <v/>
      </c>
      <c r="D411" s="4">
        <f>Работы!D410</f>
        <v/>
      </c>
      <c r="E411" s="4">
        <f>Работы!S410</f>
        <v/>
      </c>
      <c r="F411" s="4">
        <f>Работы!R410</f>
        <v/>
      </c>
      <c r="G411" s="4">
        <f>(E411+F411)*D411</f>
        <v/>
      </c>
    </row>
    <row r="412">
      <c r="A412" s="9" t="n">
        <v>408</v>
      </c>
      <c r="B412" s="3">
        <f>Работы!B411</f>
        <v/>
      </c>
      <c r="C412" s="3">
        <f>Работы!C411</f>
        <v/>
      </c>
      <c r="D412" s="4">
        <f>Работы!D411</f>
        <v/>
      </c>
      <c r="E412" s="4">
        <f>Работы!S411</f>
        <v/>
      </c>
      <c r="F412" s="4">
        <f>Работы!R411</f>
        <v/>
      </c>
      <c r="G412" s="4">
        <f>(E412+F412)*D412</f>
        <v/>
      </c>
    </row>
    <row r="413">
      <c r="A413" s="9" t="n">
        <v>409</v>
      </c>
      <c r="B413" s="3">
        <f>Работы!B412</f>
        <v/>
      </c>
      <c r="C413" s="3">
        <f>Работы!C412</f>
        <v/>
      </c>
      <c r="D413" s="4">
        <f>Работы!D412</f>
        <v/>
      </c>
      <c r="E413" s="4">
        <f>Работы!S412</f>
        <v/>
      </c>
      <c r="F413" s="4">
        <f>Работы!R412</f>
        <v/>
      </c>
      <c r="G413" s="4">
        <f>(E413+F413)*D413</f>
        <v/>
      </c>
    </row>
    <row r="414">
      <c r="A414" s="9" t="n">
        <v>410</v>
      </c>
      <c r="B414" s="3">
        <f>Работы!B413</f>
        <v/>
      </c>
      <c r="C414" s="3">
        <f>Работы!C413</f>
        <v/>
      </c>
      <c r="D414" s="4">
        <f>Работы!D413</f>
        <v/>
      </c>
      <c r="E414" s="4">
        <f>Работы!S413</f>
        <v/>
      </c>
      <c r="F414" s="4">
        <f>Работы!R413</f>
        <v/>
      </c>
      <c r="G414" s="4">
        <f>(E414+F414)*D414</f>
        <v/>
      </c>
    </row>
    <row r="415">
      <c r="A415" s="9" t="n">
        <v>411</v>
      </c>
      <c r="B415" s="3">
        <f>Работы!B414</f>
        <v/>
      </c>
      <c r="C415" s="3">
        <f>Работы!C414</f>
        <v/>
      </c>
      <c r="D415" s="4">
        <f>Работы!D414</f>
        <v/>
      </c>
      <c r="E415" s="4">
        <f>Работы!S414</f>
        <v/>
      </c>
      <c r="F415" s="4">
        <f>Работы!R414</f>
        <v/>
      </c>
      <c r="G415" s="4">
        <f>(E415+F415)*D415</f>
        <v/>
      </c>
    </row>
    <row r="416">
      <c r="A416" s="9" t="n">
        <v>412</v>
      </c>
      <c r="B416" s="3">
        <f>Работы!B415</f>
        <v/>
      </c>
      <c r="C416" s="3">
        <f>Работы!C415</f>
        <v/>
      </c>
      <c r="D416" s="4">
        <f>Работы!D415</f>
        <v/>
      </c>
      <c r="E416" s="4">
        <f>Работы!S415</f>
        <v/>
      </c>
      <c r="F416" s="4">
        <f>Работы!R415</f>
        <v/>
      </c>
      <c r="G416" s="4">
        <f>(E416+F416)*D416</f>
        <v/>
      </c>
    </row>
    <row r="417">
      <c r="A417" s="9" t="n">
        <v>413</v>
      </c>
      <c r="B417" s="3">
        <f>Работы!B416</f>
        <v/>
      </c>
      <c r="C417" s="3">
        <f>Работы!C416</f>
        <v/>
      </c>
      <c r="D417" s="4">
        <f>Работы!D416</f>
        <v/>
      </c>
      <c r="E417" s="4">
        <f>Работы!S416</f>
        <v/>
      </c>
      <c r="F417" s="4">
        <f>Работы!R416</f>
        <v/>
      </c>
      <c r="G417" s="4">
        <f>(E417+F417)*D417</f>
        <v/>
      </c>
    </row>
    <row r="418">
      <c r="A418" s="9" t="n">
        <v>414</v>
      </c>
      <c r="B418" s="3">
        <f>Работы!B417</f>
        <v/>
      </c>
      <c r="C418" s="3">
        <f>Работы!C417</f>
        <v/>
      </c>
      <c r="D418" s="4">
        <f>Работы!D417</f>
        <v/>
      </c>
      <c r="E418" s="4">
        <f>Работы!S417</f>
        <v/>
      </c>
      <c r="F418" s="4">
        <f>Работы!R417</f>
        <v/>
      </c>
      <c r="G418" s="4">
        <f>(E418+F418)*D418</f>
        <v/>
      </c>
    </row>
    <row r="419">
      <c r="A419" s="9" t="n">
        <v>415</v>
      </c>
      <c r="B419" s="3">
        <f>Работы!B418</f>
        <v/>
      </c>
      <c r="C419" s="3">
        <f>Работы!C418</f>
        <v/>
      </c>
      <c r="D419" s="4">
        <f>Работы!D418</f>
        <v/>
      </c>
      <c r="E419" s="4">
        <f>Работы!S418</f>
        <v/>
      </c>
      <c r="F419" s="4">
        <f>Работы!R418</f>
        <v/>
      </c>
      <c r="G419" s="4">
        <f>(E419+F419)*D419</f>
        <v/>
      </c>
    </row>
    <row r="420">
      <c r="A420" s="9" t="n">
        <v>416</v>
      </c>
      <c r="B420" s="3">
        <f>Работы!B419</f>
        <v/>
      </c>
      <c r="C420" s="3">
        <f>Работы!C419</f>
        <v/>
      </c>
      <c r="D420" s="4">
        <f>Работы!D419</f>
        <v/>
      </c>
      <c r="E420" s="4">
        <f>Работы!S419</f>
        <v/>
      </c>
      <c r="F420" s="4">
        <f>Работы!R419</f>
        <v/>
      </c>
      <c r="G420" s="4">
        <f>(E420+F420)*D420</f>
        <v/>
      </c>
    </row>
    <row r="421">
      <c r="A421" s="9" t="n">
        <v>417</v>
      </c>
      <c r="B421" s="3">
        <f>Работы!B420</f>
        <v/>
      </c>
      <c r="C421" s="3">
        <f>Работы!C420</f>
        <v/>
      </c>
      <c r="D421" s="4">
        <f>Работы!D420</f>
        <v/>
      </c>
      <c r="E421" s="4">
        <f>Работы!S420</f>
        <v/>
      </c>
      <c r="F421" s="4">
        <f>Работы!R420</f>
        <v/>
      </c>
      <c r="G421" s="4">
        <f>(E421+F421)*D421</f>
        <v/>
      </c>
    </row>
    <row r="422">
      <c r="A422" s="9" t="n">
        <v>418</v>
      </c>
      <c r="B422" s="3">
        <f>Работы!B421</f>
        <v/>
      </c>
      <c r="C422" s="3">
        <f>Работы!C421</f>
        <v/>
      </c>
      <c r="D422" s="4">
        <f>Работы!D421</f>
        <v/>
      </c>
      <c r="E422" s="4">
        <f>Работы!S421</f>
        <v/>
      </c>
      <c r="F422" s="4">
        <f>Работы!R421</f>
        <v/>
      </c>
      <c r="G422" s="4">
        <f>(E422+F422)*D422</f>
        <v/>
      </c>
    </row>
    <row r="423">
      <c r="A423" s="9" t="n">
        <v>419</v>
      </c>
      <c r="B423" s="3">
        <f>Работы!B422</f>
        <v/>
      </c>
      <c r="C423" s="3">
        <f>Работы!C422</f>
        <v/>
      </c>
      <c r="D423" s="4">
        <f>Работы!D422</f>
        <v/>
      </c>
      <c r="E423" s="4">
        <f>Работы!S422</f>
        <v/>
      </c>
      <c r="F423" s="4">
        <f>Работы!R422</f>
        <v/>
      </c>
      <c r="G423" s="4">
        <f>(E423+F423)*D423</f>
        <v/>
      </c>
    </row>
    <row r="424">
      <c r="A424" s="9" t="n">
        <v>420</v>
      </c>
      <c r="B424" s="3">
        <f>Работы!B423</f>
        <v/>
      </c>
      <c r="C424" s="3">
        <f>Работы!C423</f>
        <v/>
      </c>
      <c r="D424" s="4">
        <f>Работы!D423</f>
        <v/>
      </c>
      <c r="E424" s="4">
        <f>Работы!S423</f>
        <v/>
      </c>
      <c r="F424" s="4">
        <f>Работы!R423</f>
        <v/>
      </c>
      <c r="G424" s="4">
        <f>(E424+F424)*D424</f>
        <v/>
      </c>
    </row>
    <row r="425">
      <c r="A425" s="9" t="n">
        <v>421</v>
      </c>
      <c r="B425" s="3">
        <f>Работы!B424</f>
        <v/>
      </c>
      <c r="C425" s="3">
        <f>Работы!C424</f>
        <v/>
      </c>
      <c r="D425" s="4">
        <f>Работы!D424</f>
        <v/>
      </c>
      <c r="E425" s="4">
        <f>Работы!S424</f>
        <v/>
      </c>
      <c r="F425" s="4">
        <f>Работы!R424</f>
        <v/>
      </c>
      <c r="G425" s="4">
        <f>(E425+F425)*D425</f>
        <v/>
      </c>
    </row>
    <row r="426">
      <c r="A426" s="9" t="n">
        <v>422</v>
      </c>
      <c r="B426" s="3">
        <f>Работы!B425</f>
        <v/>
      </c>
      <c r="C426" s="3">
        <f>Работы!C425</f>
        <v/>
      </c>
      <c r="D426" s="4">
        <f>Работы!D425</f>
        <v/>
      </c>
      <c r="E426" s="4">
        <f>Работы!S425</f>
        <v/>
      </c>
      <c r="F426" s="4">
        <f>Работы!R425</f>
        <v/>
      </c>
      <c r="G426" s="4">
        <f>(E426+F426)*D426</f>
        <v/>
      </c>
    </row>
    <row r="427">
      <c r="A427" s="9" t="n">
        <v>423</v>
      </c>
      <c r="B427" s="3">
        <f>Работы!B426</f>
        <v/>
      </c>
      <c r="C427" s="3">
        <f>Работы!C426</f>
        <v/>
      </c>
      <c r="D427" s="4">
        <f>Работы!D426</f>
        <v/>
      </c>
      <c r="E427" s="4">
        <f>Работы!S426</f>
        <v/>
      </c>
      <c r="F427" s="4">
        <f>Работы!R426</f>
        <v/>
      </c>
      <c r="G427" s="4">
        <f>(E427+F427)*D427</f>
        <v/>
      </c>
    </row>
    <row r="428">
      <c r="A428" s="9" t="n">
        <v>424</v>
      </c>
      <c r="B428" s="3">
        <f>Работы!B427</f>
        <v/>
      </c>
      <c r="C428" s="3">
        <f>Работы!C427</f>
        <v/>
      </c>
      <c r="D428" s="4">
        <f>Работы!D427</f>
        <v/>
      </c>
      <c r="E428" s="4">
        <f>Работы!S427</f>
        <v/>
      </c>
      <c r="F428" s="4">
        <f>Работы!R427</f>
        <v/>
      </c>
      <c r="G428" s="4">
        <f>(E428+F428)*D428</f>
        <v/>
      </c>
    </row>
    <row r="429">
      <c r="A429" s="9" t="n">
        <v>425</v>
      </c>
      <c r="B429" s="3">
        <f>Работы!B428</f>
        <v/>
      </c>
      <c r="C429" s="3">
        <f>Работы!C428</f>
        <v/>
      </c>
      <c r="D429" s="4">
        <f>Работы!D428</f>
        <v/>
      </c>
      <c r="E429" s="4">
        <f>Работы!S428</f>
        <v/>
      </c>
      <c r="F429" s="4">
        <f>Работы!R428</f>
        <v/>
      </c>
      <c r="G429" s="4">
        <f>(E429+F429)*D429</f>
        <v/>
      </c>
    </row>
    <row r="430">
      <c r="A430" s="9" t="n">
        <v>426</v>
      </c>
      <c r="B430" s="3">
        <f>Работы!B429</f>
        <v/>
      </c>
      <c r="C430" s="3">
        <f>Работы!C429</f>
        <v/>
      </c>
      <c r="D430" s="4">
        <f>Работы!D429</f>
        <v/>
      </c>
      <c r="E430" s="4">
        <f>Работы!S429</f>
        <v/>
      </c>
      <c r="F430" s="4">
        <f>Работы!R429</f>
        <v/>
      </c>
      <c r="G430" s="4">
        <f>(E430+F430)*D430</f>
        <v/>
      </c>
    </row>
    <row r="431">
      <c r="A431" s="9" t="n">
        <v>427</v>
      </c>
      <c r="B431" s="3">
        <f>Работы!B430</f>
        <v/>
      </c>
      <c r="C431" s="3">
        <f>Работы!C430</f>
        <v/>
      </c>
      <c r="D431" s="4">
        <f>Работы!D430</f>
        <v/>
      </c>
      <c r="E431" s="4">
        <f>Работы!S430</f>
        <v/>
      </c>
      <c r="F431" s="4">
        <f>Работы!R430</f>
        <v/>
      </c>
      <c r="G431" s="4">
        <f>(E431+F431)*D431</f>
        <v/>
      </c>
    </row>
    <row r="432">
      <c r="A432" s="9" t="n">
        <v>428</v>
      </c>
      <c r="B432" s="3">
        <f>Работы!B431</f>
        <v/>
      </c>
      <c r="C432" s="3">
        <f>Работы!C431</f>
        <v/>
      </c>
      <c r="D432" s="4">
        <f>Работы!D431</f>
        <v/>
      </c>
      <c r="E432" s="4">
        <f>Работы!S431</f>
        <v/>
      </c>
      <c r="F432" s="4">
        <f>Работы!R431</f>
        <v/>
      </c>
      <c r="G432" s="4">
        <f>(E432+F432)*D432</f>
        <v/>
      </c>
    </row>
    <row r="433">
      <c r="A433" s="9" t="n">
        <v>429</v>
      </c>
      <c r="B433" s="3">
        <f>Работы!B432</f>
        <v/>
      </c>
      <c r="C433" s="3">
        <f>Работы!C432</f>
        <v/>
      </c>
      <c r="D433" s="4">
        <f>Работы!D432</f>
        <v/>
      </c>
      <c r="E433" s="4">
        <f>Работы!S432</f>
        <v/>
      </c>
      <c r="F433" s="4">
        <f>Работы!R432</f>
        <v/>
      </c>
      <c r="G433" s="4">
        <f>(E433+F433)*D433</f>
        <v/>
      </c>
    </row>
    <row r="434">
      <c r="A434" s="9" t="n">
        <v>430</v>
      </c>
      <c r="B434" s="3">
        <f>Работы!B433</f>
        <v/>
      </c>
      <c r="C434" s="3">
        <f>Работы!C433</f>
        <v/>
      </c>
      <c r="D434" s="4">
        <f>Работы!D433</f>
        <v/>
      </c>
      <c r="E434" s="4">
        <f>Работы!S433</f>
        <v/>
      </c>
      <c r="F434" s="4">
        <f>Работы!R433</f>
        <v/>
      </c>
      <c r="G434" s="4">
        <f>(E434+F434)*D434</f>
        <v/>
      </c>
    </row>
    <row r="435">
      <c r="A435" s="9" t="n">
        <v>431</v>
      </c>
      <c r="B435" s="3">
        <f>Работы!B434</f>
        <v/>
      </c>
      <c r="C435" s="3">
        <f>Работы!C434</f>
        <v/>
      </c>
      <c r="D435" s="4">
        <f>Работы!D434</f>
        <v/>
      </c>
      <c r="E435" s="4">
        <f>Работы!S434</f>
        <v/>
      </c>
      <c r="F435" s="4">
        <f>Работы!R434</f>
        <v/>
      </c>
      <c r="G435" s="4">
        <f>(E435+F435)*D435</f>
        <v/>
      </c>
    </row>
    <row r="436">
      <c r="A436" s="9" t="n">
        <v>432</v>
      </c>
      <c r="B436" s="3">
        <f>Работы!B435</f>
        <v/>
      </c>
      <c r="C436" s="3">
        <f>Работы!C435</f>
        <v/>
      </c>
      <c r="D436" s="4">
        <f>Работы!D435</f>
        <v/>
      </c>
      <c r="E436" s="4">
        <f>Работы!S435</f>
        <v/>
      </c>
      <c r="F436" s="4">
        <f>Работы!R435</f>
        <v/>
      </c>
      <c r="G436" s="4">
        <f>(E436+F436)*D436</f>
        <v/>
      </c>
    </row>
    <row r="437">
      <c r="A437" s="9" t="n">
        <v>433</v>
      </c>
      <c r="B437" s="3">
        <f>Работы!B436</f>
        <v/>
      </c>
      <c r="C437" s="3">
        <f>Работы!C436</f>
        <v/>
      </c>
      <c r="D437" s="4">
        <f>Работы!D436</f>
        <v/>
      </c>
      <c r="E437" s="4">
        <f>Работы!S436</f>
        <v/>
      </c>
      <c r="F437" s="4">
        <f>Работы!R436</f>
        <v/>
      </c>
      <c r="G437" s="4">
        <f>(E437+F437)*D437</f>
        <v/>
      </c>
    </row>
    <row r="438">
      <c r="A438" s="9" t="n">
        <v>434</v>
      </c>
      <c r="B438" s="3">
        <f>Работы!B437</f>
        <v/>
      </c>
      <c r="C438" s="3">
        <f>Работы!C437</f>
        <v/>
      </c>
      <c r="D438" s="4">
        <f>Работы!D437</f>
        <v/>
      </c>
      <c r="E438" s="4">
        <f>Работы!S437</f>
        <v/>
      </c>
      <c r="F438" s="4">
        <f>Работы!R437</f>
        <v/>
      </c>
      <c r="G438" s="4">
        <f>(E438+F438)*D438</f>
        <v/>
      </c>
    </row>
    <row r="439">
      <c r="A439" s="9" t="n">
        <v>435</v>
      </c>
      <c r="B439" s="3">
        <f>Работы!B438</f>
        <v/>
      </c>
      <c r="C439" s="3">
        <f>Работы!C438</f>
        <v/>
      </c>
      <c r="D439" s="4">
        <f>Работы!D438</f>
        <v/>
      </c>
      <c r="E439" s="4">
        <f>Работы!S438</f>
        <v/>
      </c>
      <c r="F439" s="4">
        <f>Работы!R438</f>
        <v/>
      </c>
      <c r="G439" s="4">
        <f>(E439+F439)*D439</f>
        <v/>
      </c>
    </row>
    <row r="440">
      <c r="A440" s="9" t="n">
        <v>436</v>
      </c>
      <c r="B440" s="3">
        <f>Работы!B439</f>
        <v/>
      </c>
      <c r="C440" s="3">
        <f>Работы!C439</f>
        <v/>
      </c>
      <c r="D440" s="4">
        <f>Работы!D439</f>
        <v/>
      </c>
      <c r="E440" s="4">
        <f>Работы!S439</f>
        <v/>
      </c>
      <c r="F440" s="4">
        <f>Работы!R439</f>
        <v/>
      </c>
      <c r="G440" s="4">
        <f>(E440+F440)*D440</f>
        <v/>
      </c>
    </row>
    <row r="441">
      <c r="A441" s="9" t="n">
        <v>437</v>
      </c>
      <c r="B441" s="3">
        <f>Работы!B440</f>
        <v/>
      </c>
      <c r="C441" s="3">
        <f>Работы!C440</f>
        <v/>
      </c>
      <c r="D441" s="4">
        <f>Работы!D440</f>
        <v/>
      </c>
      <c r="E441" s="4">
        <f>Работы!S440</f>
        <v/>
      </c>
      <c r="F441" s="4">
        <f>Работы!R440</f>
        <v/>
      </c>
      <c r="G441" s="4">
        <f>(E441+F441)*D441</f>
        <v/>
      </c>
    </row>
    <row r="442">
      <c r="A442" s="9" t="n">
        <v>438</v>
      </c>
      <c r="B442" s="3">
        <f>Работы!B441</f>
        <v/>
      </c>
      <c r="C442" s="3">
        <f>Работы!C441</f>
        <v/>
      </c>
      <c r="D442" s="4">
        <f>Работы!D441</f>
        <v/>
      </c>
      <c r="E442" s="4">
        <f>Работы!S441</f>
        <v/>
      </c>
      <c r="F442" s="4">
        <f>Работы!R441</f>
        <v/>
      </c>
      <c r="G442" s="4">
        <f>(E442+F442)*D442</f>
        <v/>
      </c>
    </row>
    <row r="443">
      <c r="A443" s="9" t="n">
        <v>439</v>
      </c>
      <c r="B443" s="3">
        <f>Работы!B442</f>
        <v/>
      </c>
      <c r="C443" s="3">
        <f>Работы!C442</f>
        <v/>
      </c>
      <c r="D443" s="4">
        <f>Работы!D442</f>
        <v/>
      </c>
      <c r="E443" s="4">
        <f>Работы!S442</f>
        <v/>
      </c>
      <c r="F443" s="4">
        <f>Работы!R442</f>
        <v/>
      </c>
      <c r="G443" s="4">
        <f>(E443+F443)*D443</f>
        <v/>
      </c>
    </row>
    <row r="444">
      <c r="A444" s="9" t="n">
        <v>440</v>
      </c>
      <c r="B444" s="3">
        <f>Работы!B443</f>
        <v/>
      </c>
      <c r="C444" s="3">
        <f>Работы!C443</f>
        <v/>
      </c>
      <c r="D444" s="4">
        <f>Работы!D443</f>
        <v/>
      </c>
      <c r="E444" s="4">
        <f>Работы!S443</f>
        <v/>
      </c>
      <c r="F444" s="4">
        <f>Работы!R443</f>
        <v/>
      </c>
      <c r="G444" s="4">
        <f>(E444+F444)*D444</f>
        <v/>
      </c>
    </row>
    <row r="445">
      <c r="A445" s="9" t="n">
        <v>441</v>
      </c>
      <c r="B445" s="3">
        <f>Работы!B444</f>
        <v/>
      </c>
      <c r="C445" s="3">
        <f>Работы!C444</f>
        <v/>
      </c>
      <c r="D445" s="4">
        <f>Работы!D444</f>
        <v/>
      </c>
      <c r="E445" s="4">
        <f>Работы!S444</f>
        <v/>
      </c>
      <c r="F445" s="4">
        <f>Работы!R444</f>
        <v/>
      </c>
      <c r="G445" s="4">
        <f>(E445+F445)*D445</f>
        <v/>
      </c>
    </row>
    <row r="446">
      <c r="A446" s="9" t="n">
        <v>442</v>
      </c>
      <c r="B446" s="3">
        <f>Работы!B445</f>
        <v/>
      </c>
      <c r="C446" s="3">
        <f>Работы!C445</f>
        <v/>
      </c>
      <c r="D446" s="4">
        <f>Работы!D445</f>
        <v/>
      </c>
      <c r="E446" s="4">
        <f>Работы!S445</f>
        <v/>
      </c>
      <c r="F446" s="4">
        <f>Работы!R445</f>
        <v/>
      </c>
      <c r="G446" s="4">
        <f>(E446+F446)*D446</f>
        <v/>
      </c>
    </row>
    <row r="447">
      <c r="A447" s="9" t="n">
        <v>443</v>
      </c>
      <c r="B447" s="3">
        <f>Работы!B446</f>
        <v/>
      </c>
      <c r="C447" s="3">
        <f>Работы!C446</f>
        <v/>
      </c>
      <c r="D447" s="4">
        <f>Работы!D446</f>
        <v/>
      </c>
      <c r="E447" s="4">
        <f>Работы!S446</f>
        <v/>
      </c>
      <c r="F447" s="4">
        <f>Работы!R446</f>
        <v/>
      </c>
      <c r="G447" s="4">
        <f>(E447+F447)*D447</f>
        <v/>
      </c>
    </row>
    <row r="448">
      <c r="A448" s="9" t="n">
        <v>444</v>
      </c>
      <c r="B448" s="3">
        <f>Работы!B447</f>
        <v/>
      </c>
      <c r="C448" s="3">
        <f>Работы!C447</f>
        <v/>
      </c>
      <c r="D448" s="4">
        <f>Работы!D447</f>
        <v/>
      </c>
      <c r="E448" s="4">
        <f>Работы!S447</f>
        <v/>
      </c>
      <c r="F448" s="4">
        <f>Работы!R447</f>
        <v/>
      </c>
      <c r="G448" s="4">
        <f>(E448+F448)*D448</f>
        <v/>
      </c>
    </row>
    <row r="449">
      <c r="A449" s="9" t="n">
        <v>445</v>
      </c>
      <c r="B449" s="3">
        <f>Работы!B448</f>
        <v/>
      </c>
      <c r="C449" s="3">
        <f>Работы!C448</f>
        <v/>
      </c>
      <c r="D449" s="4">
        <f>Работы!D448</f>
        <v/>
      </c>
      <c r="E449" s="4">
        <f>Работы!S448</f>
        <v/>
      </c>
      <c r="F449" s="4">
        <f>Работы!R448</f>
        <v/>
      </c>
      <c r="G449" s="4">
        <f>(E449+F449)*D449</f>
        <v/>
      </c>
    </row>
    <row r="450">
      <c r="A450" s="9" t="n">
        <v>446</v>
      </c>
      <c r="B450" s="3">
        <f>Работы!B449</f>
        <v/>
      </c>
      <c r="C450" s="3">
        <f>Работы!C449</f>
        <v/>
      </c>
      <c r="D450" s="4">
        <f>Работы!D449</f>
        <v/>
      </c>
      <c r="E450" s="4">
        <f>Работы!S449</f>
        <v/>
      </c>
      <c r="F450" s="4">
        <f>Работы!R449</f>
        <v/>
      </c>
      <c r="G450" s="4">
        <f>(E450+F450)*D450</f>
        <v/>
      </c>
    </row>
    <row r="451">
      <c r="A451" s="9" t="n">
        <v>447</v>
      </c>
      <c r="B451" s="3">
        <f>Работы!B450</f>
        <v/>
      </c>
      <c r="C451" s="3">
        <f>Работы!C450</f>
        <v/>
      </c>
      <c r="D451" s="4">
        <f>Работы!D450</f>
        <v/>
      </c>
      <c r="E451" s="4">
        <f>Работы!S450</f>
        <v/>
      </c>
      <c r="F451" s="4">
        <f>Работы!R450</f>
        <v/>
      </c>
      <c r="G451" s="4">
        <f>(E451+F451)*D451</f>
        <v/>
      </c>
    </row>
    <row r="452">
      <c r="A452" s="9" t="n">
        <v>448</v>
      </c>
      <c r="B452" s="3">
        <f>Работы!B451</f>
        <v/>
      </c>
      <c r="C452" s="3">
        <f>Работы!C451</f>
        <v/>
      </c>
      <c r="D452" s="4">
        <f>Работы!D451</f>
        <v/>
      </c>
      <c r="E452" s="4">
        <f>Работы!S451</f>
        <v/>
      </c>
      <c r="F452" s="4">
        <f>Работы!R451</f>
        <v/>
      </c>
      <c r="G452" s="4">
        <f>(E452+F452)*D452</f>
        <v/>
      </c>
    </row>
    <row r="453">
      <c r="A453" s="9" t="n">
        <v>449</v>
      </c>
      <c r="B453" s="3">
        <f>Работы!B452</f>
        <v/>
      </c>
      <c r="C453" s="3">
        <f>Работы!C452</f>
        <v/>
      </c>
      <c r="D453" s="4">
        <f>Работы!D452</f>
        <v/>
      </c>
      <c r="E453" s="4">
        <f>Работы!S452</f>
        <v/>
      </c>
      <c r="F453" s="4">
        <f>Работы!R452</f>
        <v/>
      </c>
      <c r="G453" s="4">
        <f>(E453+F453)*D453</f>
        <v/>
      </c>
    </row>
    <row r="454">
      <c r="A454" s="9" t="n">
        <v>450</v>
      </c>
      <c r="B454" s="3">
        <f>Работы!B453</f>
        <v/>
      </c>
      <c r="C454" s="3">
        <f>Работы!C453</f>
        <v/>
      </c>
      <c r="D454" s="4">
        <f>Работы!D453</f>
        <v/>
      </c>
      <c r="E454" s="4">
        <f>Работы!S453</f>
        <v/>
      </c>
      <c r="F454" s="4">
        <f>Работы!R453</f>
        <v/>
      </c>
      <c r="G454" s="4">
        <f>(E454+F454)*D454</f>
        <v/>
      </c>
    </row>
    <row r="455">
      <c r="A455" s="9" t="n">
        <v>451</v>
      </c>
      <c r="B455" s="3">
        <f>Работы!B454</f>
        <v/>
      </c>
      <c r="C455" s="3">
        <f>Работы!C454</f>
        <v/>
      </c>
      <c r="D455" s="4">
        <f>Работы!D454</f>
        <v/>
      </c>
      <c r="E455" s="4">
        <f>Работы!S454</f>
        <v/>
      </c>
      <c r="F455" s="4">
        <f>Работы!R454</f>
        <v/>
      </c>
      <c r="G455" s="4">
        <f>(E455+F455)*D455</f>
        <v/>
      </c>
    </row>
    <row r="456">
      <c r="A456" s="9" t="n">
        <v>452</v>
      </c>
      <c r="B456" s="3">
        <f>Работы!B455</f>
        <v/>
      </c>
      <c r="C456" s="3">
        <f>Работы!C455</f>
        <v/>
      </c>
      <c r="D456" s="4">
        <f>Работы!D455</f>
        <v/>
      </c>
      <c r="E456" s="4">
        <f>Работы!S455</f>
        <v/>
      </c>
      <c r="F456" s="4">
        <f>Работы!R455</f>
        <v/>
      </c>
      <c r="G456" s="4">
        <f>(E456+F456)*D456</f>
        <v/>
      </c>
    </row>
    <row r="457">
      <c r="A457" s="9" t="n">
        <v>453</v>
      </c>
      <c r="B457" s="3">
        <f>Работы!B456</f>
        <v/>
      </c>
      <c r="C457" s="3">
        <f>Работы!C456</f>
        <v/>
      </c>
      <c r="D457" s="4">
        <f>Работы!D456</f>
        <v/>
      </c>
      <c r="E457" s="4">
        <f>Работы!S456</f>
        <v/>
      </c>
      <c r="F457" s="4">
        <f>Работы!R456</f>
        <v/>
      </c>
      <c r="G457" s="4">
        <f>(E457+F457)*D457</f>
        <v/>
      </c>
    </row>
    <row r="458">
      <c r="A458" s="9" t="n">
        <v>454</v>
      </c>
      <c r="B458" s="3">
        <f>Работы!B457</f>
        <v/>
      </c>
      <c r="C458" s="3">
        <f>Работы!C457</f>
        <v/>
      </c>
      <c r="D458" s="4">
        <f>Работы!D457</f>
        <v/>
      </c>
      <c r="E458" s="4">
        <f>Работы!S457</f>
        <v/>
      </c>
      <c r="F458" s="4">
        <f>Работы!R457</f>
        <v/>
      </c>
      <c r="G458" s="4">
        <f>(E458+F458)*D458</f>
        <v/>
      </c>
    </row>
    <row r="459">
      <c r="A459" s="9" t="n">
        <v>455</v>
      </c>
      <c r="B459" s="3">
        <f>Работы!B458</f>
        <v/>
      </c>
      <c r="C459" s="3">
        <f>Работы!C458</f>
        <v/>
      </c>
      <c r="D459" s="4">
        <f>Работы!D458</f>
        <v/>
      </c>
      <c r="E459" s="4">
        <f>Работы!S458</f>
        <v/>
      </c>
      <c r="F459" s="4">
        <f>Работы!R458</f>
        <v/>
      </c>
      <c r="G459" s="4">
        <f>(E459+F459)*D459</f>
        <v/>
      </c>
    </row>
    <row r="460">
      <c r="A460" s="9" t="n">
        <v>456</v>
      </c>
      <c r="B460" s="3">
        <f>Работы!B459</f>
        <v/>
      </c>
      <c r="C460" s="3">
        <f>Работы!C459</f>
        <v/>
      </c>
      <c r="D460" s="4">
        <f>Работы!D459</f>
        <v/>
      </c>
      <c r="E460" s="4">
        <f>Работы!S459</f>
        <v/>
      </c>
      <c r="F460" s="4">
        <f>Работы!R459</f>
        <v/>
      </c>
      <c r="G460" s="4">
        <f>(E460+F460)*D460</f>
        <v/>
      </c>
    </row>
    <row r="461">
      <c r="A461" s="9" t="n">
        <v>457</v>
      </c>
      <c r="B461" s="3">
        <f>Работы!B460</f>
        <v/>
      </c>
      <c r="C461" s="3">
        <f>Работы!C460</f>
        <v/>
      </c>
      <c r="D461" s="4">
        <f>Работы!D460</f>
        <v/>
      </c>
      <c r="E461" s="4">
        <f>Работы!S460</f>
        <v/>
      </c>
      <c r="F461" s="4">
        <f>Работы!R460</f>
        <v/>
      </c>
      <c r="G461" s="4">
        <f>(E461+F461)*D461</f>
        <v/>
      </c>
    </row>
    <row r="462">
      <c r="A462" s="9" t="n">
        <v>458</v>
      </c>
      <c r="B462" s="3">
        <f>Работы!B461</f>
        <v/>
      </c>
      <c r="C462" s="3">
        <f>Работы!C461</f>
        <v/>
      </c>
      <c r="D462" s="4">
        <f>Работы!D461</f>
        <v/>
      </c>
      <c r="E462" s="4">
        <f>Работы!S461</f>
        <v/>
      </c>
      <c r="F462" s="4">
        <f>Работы!R461</f>
        <v/>
      </c>
      <c r="G462" s="4">
        <f>(E462+F462)*D462</f>
        <v/>
      </c>
    </row>
    <row r="463">
      <c r="A463" s="9" t="n">
        <v>459</v>
      </c>
      <c r="B463" s="3">
        <f>Работы!B462</f>
        <v/>
      </c>
      <c r="C463" s="3">
        <f>Работы!C462</f>
        <v/>
      </c>
      <c r="D463" s="4">
        <f>Работы!D462</f>
        <v/>
      </c>
      <c r="E463" s="4">
        <f>Работы!S462</f>
        <v/>
      </c>
      <c r="F463" s="4">
        <f>Работы!R462</f>
        <v/>
      </c>
      <c r="G463" s="4">
        <f>(E463+F463)*D463</f>
        <v/>
      </c>
    </row>
    <row r="464">
      <c r="A464" s="9" t="n">
        <v>460</v>
      </c>
      <c r="B464" s="3">
        <f>Работы!B463</f>
        <v/>
      </c>
      <c r="C464" s="3">
        <f>Работы!C463</f>
        <v/>
      </c>
      <c r="D464" s="4">
        <f>Работы!D463</f>
        <v/>
      </c>
      <c r="E464" s="4">
        <f>Работы!S463</f>
        <v/>
      </c>
      <c r="F464" s="4">
        <f>Работы!R463</f>
        <v/>
      </c>
      <c r="G464" s="4">
        <f>(E464+F464)*D464</f>
        <v/>
      </c>
    </row>
    <row r="465">
      <c r="A465" s="9" t="n">
        <v>461</v>
      </c>
      <c r="B465" s="3">
        <f>Работы!B464</f>
        <v/>
      </c>
      <c r="C465" s="3">
        <f>Работы!C464</f>
        <v/>
      </c>
      <c r="D465" s="4">
        <f>Работы!D464</f>
        <v/>
      </c>
      <c r="E465" s="4">
        <f>Работы!S464</f>
        <v/>
      </c>
      <c r="F465" s="4">
        <f>Работы!R464</f>
        <v/>
      </c>
      <c r="G465" s="4">
        <f>(E465+F465)*D465</f>
        <v/>
      </c>
    </row>
    <row r="466">
      <c r="A466" s="9" t="n">
        <v>462</v>
      </c>
      <c r="B466" s="3">
        <f>Работы!B465</f>
        <v/>
      </c>
      <c r="C466" s="3">
        <f>Работы!C465</f>
        <v/>
      </c>
      <c r="D466" s="4">
        <f>Работы!D465</f>
        <v/>
      </c>
      <c r="E466" s="4">
        <f>Работы!S465</f>
        <v/>
      </c>
      <c r="F466" s="4">
        <f>Работы!R465</f>
        <v/>
      </c>
      <c r="G466" s="4">
        <f>(E466+F466)*D466</f>
        <v/>
      </c>
    </row>
    <row r="467">
      <c r="A467" s="9" t="n">
        <v>463</v>
      </c>
      <c r="B467" s="3">
        <f>Работы!B466</f>
        <v/>
      </c>
      <c r="C467" s="3">
        <f>Работы!C466</f>
        <v/>
      </c>
      <c r="D467" s="4">
        <f>Работы!D466</f>
        <v/>
      </c>
      <c r="E467" s="4">
        <f>Работы!S466</f>
        <v/>
      </c>
      <c r="F467" s="4">
        <f>Работы!R466</f>
        <v/>
      </c>
      <c r="G467" s="4">
        <f>(E467+F467)*D467</f>
        <v/>
      </c>
    </row>
    <row r="468">
      <c r="A468" s="9" t="n">
        <v>464</v>
      </c>
      <c r="B468" s="3">
        <f>Работы!B467</f>
        <v/>
      </c>
      <c r="C468" s="3">
        <f>Работы!C467</f>
        <v/>
      </c>
      <c r="D468" s="4">
        <f>Работы!D467</f>
        <v/>
      </c>
      <c r="E468" s="4">
        <f>Работы!S467</f>
        <v/>
      </c>
      <c r="F468" s="4">
        <f>Работы!R467</f>
        <v/>
      </c>
      <c r="G468" s="4">
        <f>(E468+F468)*D468</f>
        <v/>
      </c>
    </row>
    <row r="469">
      <c r="A469" s="9" t="n">
        <v>465</v>
      </c>
      <c r="B469" s="3">
        <f>Работы!B468</f>
        <v/>
      </c>
      <c r="C469" s="3">
        <f>Работы!C468</f>
        <v/>
      </c>
      <c r="D469" s="4">
        <f>Работы!D468</f>
        <v/>
      </c>
      <c r="E469" s="4">
        <f>Работы!S468</f>
        <v/>
      </c>
      <c r="F469" s="4">
        <f>Работы!R468</f>
        <v/>
      </c>
      <c r="G469" s="4">
        <f>(E469+F469)*D469</f>
        <v/>
      </c>
    </row>
    <row r="470">
      <c r="A470" s="9" t="n">
        <v>466</v>
      </c>
      <c r="B470" s="3">
        <f>Работы!B469</f>
        <v/>
      </c>
      <c r="C470" s="3">
        <f>Работы!C469</f>
        <v/>
      </c>
      <c r="D470" s="4">
        <f>Работы!D469</f>
        <v/>
      </c>
      <c r="E470" s="4">
        <f>Работы!S469</f>
        <v/>
      </c>
      <c r="F470" s="4">
        <f>Работы!R469</f>
        <v/>
      </c>
      <c r="G470" s="4">
        <f>(E470+F470)*D470</f>
        <v/>
      </c>
    </row>
    <row r="471">
      <c r="A471" s="9" t="n">
        <v>467</v>
      </c>
      <c r="B471" s="3">
        <f>Работы!B470</f>
        <v/>
      </c>
      <c r="C471" s="3">
        <f>Работы!C470</f>
        <v/>
      </c>
      <c r="D471" s="4">
        <f>Работы!D470</f>
        <v/>
      </c>
      <c r="E471" s="4">
        <f>Работы!S470</f>
        <v/>
      </c>
      <c r="F471" s="4">
        <f>Работы!R470</f>
        <v/>
      </c>
      <c r="G471" s="4">
        <f>(E471+F471)*D471</f>
        <v/>
      </c>
    </row>
    <row r="472">
      <c r="A472" s="9" t="n">
        <v>468</v>
      </c>
      <c r="B472" s="3">
        <f>Работы!B471</f>
        <v/>
      </c>
      <c r="C472" s="3">
        <f>Работы!C471</f>
        <v/>
      </c>
      <c r="D472" s="4">
        <f>Работы!D471</f>
        <v/>
      </c>
      <c r="E472" s="4">
        <f>Работы!S471</f>
        <v/>
      </c>
      <c r="F472" s="4">
        <f>Работы!R471</f>
        <v/>
      </c>
      <c r="G472" s="4">
        <f>(E472+F472)*D472</f>
        <v/>
      </c>
    </row>
    <row r="473">
      <c r="A473" s="9" t="n">
        <v>469</v>
      </c>
      <c r="B473" s="3">
        <f>Работы!B472</f>
        <v/>
      </c>
      <c r="C473" s="3">
        <f>Работы!C472</f>
        <v/>
      </c>
      <c r="D473" s="4">
        <f>Работы!D472</f>
        <v/>
      </c>
      <c r="E473" s="4">
        <f>Работы!S472</f>
        <v/>
      </c>
      <c r="F473" s="4">
        <f>Работы!R472</f>
        <v/>
      </c>
      <c r="G473" s="4">
        <f>(E473+F473)*D473</f>
        <v/>
      </c>
    </row>
    <row r="474">
      <c r="A474" s="9" t="n">
        <v>470</v>
      </c>
      <c r="B474" s="3">
        <f>Работы!B473</f>
        <v/>
      </c>
      <c r="C474" s="3">
        <f>Работы!C473</f>
        <v/>
      </c>
      <c r="D474" s="4">
        <f>Работы!D473</f>
        <v/>
      </c>
      <c r="E474" s="4">
        <f>Работы!S473</f>
        <v/>
      </c>
      <c r="F474" s="4">
        <f>Работы!R473</f>
        <v/>
      </c>
      <c r="G474" s="4">
        <f>(E474+F474)*D474</f>
        <v/>
      </c>
    </row>
    <row r="475">
      <c r="A475" s="9" t="n">
        <v>471</v>
      </c>
      <c r="B475" s="3">
        <f>Работы!B474</f>
        <v/>
      </c>
      <c r="C475" s="3">
        <f>Работы!C474</f>
        <v/>
      </c>
      <c r="D475" s="4">
        <f>Работы!D474</f>
        <v/>
      </c>
      <c r="E475" s="4">
        <f>Работы!S474</f>
        <v/>
      </c>
      <c r="F475" s="4">
        <f>Работы!R474</f>
        <v/>
      </c>
      <c r="G475" s="4">
        <f>(E475+F475)*D475</f>
        <v/>
      </c>
    </row>
    <row r="476">
      <c r="A476" s="9" t="n">
        <v>472</v>
      </c>
      <c r="B476" s="3">
        <f>Работы!B475</f>
        <v/>
      </c>
      <c r="C476" s="3">
        <f>Работы!C475</f>
        <v/>
      </c>
      <c r="D476" s="4">
        <f>Работы!D475</f>
        <v/>
      </c>
      <c r="E476" s="4">
        <f>Работы!S475</f>
        <v/>
      </c>
      <c r="F476" s="4">
        <f>Работы!R475</f>
        <v/>
      </c>
      <c r="G476" s="4">
        <f>(E476+F476)*D476</f>
        <v/>
      </c>
    </row>
    <row r="477">
      <c r="A477" s="9" t="n">
        <v>473</v>
      </c>
      <c r="B477" s="3">
        <f>Работы!B476</f>
        <v/>
      </c>
      <c r="C477" s="3">
        <f>Работы!C476</f>
        <v/>
      </c>
      <c r="D477" s="4">
        <f>Работы!D476</f>
        <v/>
      </c>
      <c r="E477" s="4">
        <f>Работы!S476</f>
        <v/>
      </c>
      <c r="F477" s="4">
        <f>Работы!R476</f>
        <v/>
      </c>
      <c r="G477" s="4">
        <f>(E477+F477)*D477</f>
        <v/>
      </c>
    </row>
    <row r="478">
      <c r="A478" s="9" t="n">
        <v>474</v>
      </c>
      <c r="B478" s="3">
        <f>Работы!B477</f>
        <v/>
      </c>
      <c r="C478" s="3">
        <f>Работы!C477</f>
        <v/>
      </c>
      <c r="D478" s="4">
        <f>Работы!D477</f>
        <v/>
      </c>
      <c r="E478" s="4">
        <f>Работы!S477</f>
        <v/>
      </c>
      <c r="F478" s="4">
        <f>Работы!R477</f>
        <v/>
      </c>
      <c r="G478" s="4">
        <f>(E478+F478)*D478</f>
        <v/>
      </c>
    </row>
    <row r="479">
      <c r="A479" s="9" t="n">
        <v>475</v>
      </c>
      <c r="B479" s="3">
        <f>Работы!B478</f>
        <v/>
      </c>
      <c r="C479" s="3">
        <f>Работы!C478</f>
        <v/>
      </c>
      <c r="D479" s="4">
        <f>Работы!D478</f>
        <v/>
      </c>
      <c r="E479" s="4">
        <f>Работы!S478</f>
        <v/>
      </c>
      <c r="F479" s="4">
        <f>Работы!R478</f>
        <v/>
      </c>
      <c r="G479" s="4">
        <f>(E479+F479)*D479</f>
        <v/>
      </c>
    </row>
    <row r="480">
      <c r="A480" s="9" t="n">
        <v>476</v>
      </c>
      <c r="B480" s="3">
        <f>Работы!B479</f>
        <v/>
      </c>
      <c r="C480" s="3">
        <f>Работы!C479</f>
        <v/>
      </c>
      <c r="D480" s="4">
        <f>Работы!D479</f>
        <v/>
      </c>
      <c r="E480" s="4">
        <f>Работы!S479</f>
        <v/>
      </c>
      <c r="F480" s="4">
        <f>Работы!R479</f>
        <v/>
      </c>
      <c r="G480" s="4">
        <f>(E480+F480)*D480</f>
        <v/>
      </c>
    </row>
    <row r="481">
      <c r="A481" s="9" t="n">
        <v>477</v>
      </c>
      <c r="B481" s="3">
        <f>Работы!B480</f>
        <v/>
      </c>
      <c r="C481" s="3">
        <f>Работы!C480</f>
        <v/>
      </c>
      <c r="D481" s="4">
        <f>Работы!D480</f>
        <v/>
      </c>
      <c r="E481" s="4">
        <f>Работы!S480</f>
        <v/>
      </c>
      <c r="F481" s="4">
        <f>Работы!R480</f>
        <v/>
      </c>
      <c r="G481" s="4">
        <f>(E481+F481)*D481</f>
        <v/>
      </c>
    </row>
    <row r="482">
      <c r="A482" s="9" t="n">
        <v>478</v>
      </c>
      <c r="B482" s="3">
        <f>Работы!B481</f>
        <v/>
      </c>
      <c r="C482" s="3">
        <f>Работы!C481</f>
        <v/>
      </c>
      <c r="D482" s="4">
        <f>Работы!D481</f>
        <v/>
      </c>
      <c r="E482" s="4">
        <f>Работы!S481</f>
        <v/>
      </c>
      <c r="F482" s="4">
        <f>Работы!R481</f>
        <v/>
      </c>
      <c r="G482" s="4">
        <f>(E482+F482)*D482</f>
        <v/>
      </c>
    </row>
    <row r="483">
      <c r="A483" s="9" t="n">
        <v>479</v>
      </c>
      <c r="B483" s="3">
        <f>Работы!B482</f>
        <v/>
      </c>
      <c r="C483" s="3">
        <f>Работы!C482</f>
        <v/>
      </c>
      <c r="D483" s="4">
        <f>Работы!D482</f>
        <v/>
      </c>
      <c r="E483" s="4">
        <f>Работы!S482</f>
        <v/>
      </c>
      <c r="F483" s="4">
        <f>Работы!R482</f>
        <v/>
      </c>
      <c r="G483" s="4">
        <f>(E483+F483)*D483</f>
        <v/>
      </c>
    </row>
    <row r="484">
      <c r="A484" s="9" t="n">
        <v>480</v>
      </c>
      <c r="B484" s="3">
        <f>Работы!B483</f>
        <v/>
      </c>
      <c r="C484" s="3">
        <f>Работы!C483</f>
        <v/>
      </c>
      <c r="D484" s="4">
        <f>Работы!D483</f>
        <v/>
      </c>
      <c r="E484" s="4">
        <f>Работы!S483</f>
        <v/>
      </c>
      <c r="F484" s="4">
        <f>Работы!R483</f>
        <v/>
      </c>
      <c r="G484" s="4">
        <f>(E484+F484)*D484</f>
        <v/>
      </c>
    </row>
    <row r="485">
      <c r="A485" s="9" t="n">
        <v>481</v>
      </c>
      <c r="B485" s="3">
        <f>Работы!B484</f>
        <v/>
      </c>
      <c r="C485" s="3">
        <f>Работы!C484</f>
        <v/>
      </c>
      <c r="D485" s="4">
        <f>Работы!D484</f>
        <v/>
      </c>
      <c r="E485" s="4">
        <f>Работы!S484</f>
        <v/>
      </c>
      <c r="F485" s="4">
        <f>Работы!R484</f>
        <v/>
      </c>
      <c r="G485" s="4">
        <f>(E485+F485)*D485</f>
        <v/>
      </c>
    </row>
    <row r="486">
      <c r="A486" s="9" t="n">
        <v>482</v>
      </c>
      <c r="B486" s="3">
        <f>Работы!B485</f>
        <v/>
      </c>
      <c r="C486" s="3">
        <f>Работы!C485</f>
        <v/>
      </c>
      <c r="D486" s="4">
        <f>Работы!D485</f>
        <v/>
      </c>
      <c r="E486" s="4">
        <f>Работы!S485</f>
        <v/>
      </c>
      <c r="F486" s="4">
        <f>Работы!R485</f>
        <v/>
      </c>
      <c r="G486" s="4">
        <f>(E486+F486)*D486</f>
        <v/>
      </c>
    </row>
    <row r="487">
      <c r="A487" s="9" t="n">
        <v>483</v>
      </c>
      <c r="B487" s="3">
        <f>Работы!B486</f>
        <v/>
      </c>
      <c r="C487" s="3">
        <f>Работы!C486</f>
        <v/>
      </c>
      <c r="D487" s="4">
        <f>Работы!D486</f>
        <v/>
      </c>
      <c r="E487" s="4">
        <f>Работы!S486</f>
        <v/>
      </c>
      <c r="F487" s="4">
        <f>Работы!R486</f>
        <v/>
      </c>
      <c r="G487" s="4">
        <f>(E487+F487)*D487</f>
        <v/>
      </c>
    </row>
    <row r="488">
      <c r="A488" s="9" t="n">
        <v>484</v>
      </c>
      <c r="B488" s="3">
        <f>Работы!B487</f>
        <v/>
      </c>
      <c r="C488" s="3">
        <f>Работы!C487</f>
        <v/>
      </c>
      <c r="D488" s="4">
        <f>Работы!D487</f>
        <v/>
      </c>
      <c r="E488" s="4">
        <f>Работы!S487</f>
        <v/>
      </c>
      <c r="F488" s="4">
        <f>Работы!R487</f>
        <v/>
      </c>
      <c r="G488" s="4">
        <f>(E488+F488)*D488</f>
        <v/>
      </c>
    </row>
    <row r="489">
      <c r="A489" s="9" t="n">
        <v>485</v>
      </c>
      <c r="B489" s="3">
        <f>Работы!B488</f>
        <v/>
      </c>
      <c r="C489" s="3">
        <f>Работы!C488</f>
        <v/>
      </c>
      <c r="D489" s="4">
        <f>Работы!D488</f>
        <v/>
      </c>
      <c r="E489" s="4">
        <f>Работы!S488</f>
        <v/>
      </c>
      <c r="F489" s="4">
        <f>Работы!R488</f>
        <v/>
      </c>
      <c r="G489" s="4">
        <f>(E489+F489)*D489</f>
        <v/>
      </c>
    </row>
    <row r="490">
      <c r="A490" s="9" t="n">
        <v>486</v>
      </c>
      <c r="B490" s="3">
        <f>Работы!B489</f>
        <v/>
      </c>
      <c r="C490" s="3">
        <f>Работы!C489</f>
        <v/>
      </c>
      <c r="D490" s="4">
        <f>Работы!D489</f>
        <v/>
      </c>
      <c r="E490" s="4">
        <f>Работы!S489</f>
        <v/>
      </c>
      <c r="F490" s="4">
        <f>Работы!R489</f>
        <v/>
      </c>
      <c r="G490" s="4">
        <f>(E490+F490)*D490</f>
        <v/>
      </c>
    </row>
    <row r="491">
      <c r="A491" s="9" t="n">
        <v>487</v>
      </c>
      <c r="B491" s="3">
        <f>Работы!B490</f>
        <v/>
      </c>
      <c r="C491" s="3">
        <f>Работы!C490</f>
        <v/>
      </c>
      <c r="D491" s="4">
        <f>Работы!D490</f>
        <v/>
      </c>
      <c r="E491" s="4">
        <f>Работы!S490</f>
        <v/>
      </c>
      <c r="F491" s="4">
        <f>Работы!R490</f>
        <v/>
      </c>
      <c r="G491" s="4">
        <f>(E491+F491)*D491</f>
        <v/>
      </c>
    </row>
    <row r="492">
      <c r="A492" s="9" t="n">
        <v>488</v>
      </c>
      <c r="B492" s="3">
        <f>Работы!B491</f>
        <v/>
      </c>
      <c r="C492" s="3">
        <f>Работы!C491</f>
        <v/>
      </c>
      <c r="D492" s="4">
        <f>Работы!D491</f>
        <v/>
      </c>
      <c r="E492" s="4">
        <f>Работы!S491</f>
        <v/>
      </c>
      <c r="F492" s="4">
        <f>Работы!R491</f>
        <v/>
      </c>
      <c r="G492" s="4">
        <f>(E492+F492)*D492</f>
        <v/>
      </c>
    </row>
    <row r="493">
      <c r="A493" s="9" t="n">
        <v>489</v>
      </c>
      <c r="B493" s="3">
        <f>Работы!B492</f>
        <v/>
      </c>
      <c r="C493" s="3">
        <f>Работы!C492</f>
        <v/>
      </c>
      <c r="D493" s="4">
        <f>Работы!D492</f>
        <v/>
      </c>
      <c r="E493" s="4">
        <f>Работы!S492</f>
        <v/>
      </c>
      <c r="F493" s="4">
        <f>Работы!R492</f>
        <v/>
      </c>
      <c r="G493" s="4">
        <f>(E493+F493)*D493</f>
        <v/>
      </c>
    </row>
    <row r="494">
      <c r="A494" s="9" t="n">
        <v>490</v>
      </c>
      <c r="B494" s="3">
        <f>Работы!B493</f>
        <v/>
      </c>
      <c r="C494" s="3">
        <f>Работы!C493</f>
        <v/>
      </c>
      <c r="D494" s="4">
        <f>Работы!D493</f>
        <v/>
      </c>
      <c r="E494" s="4">
        <f>Работы!S493</f>
        <v/>
      </c>
      <c r="F494" s="4">
        <f>Работы!R493</f>
        <v/>
      </c>
      <c r="G494" s="4">
        <f>(E494+F494)*D494</f>
        <v/>
      </c>
    </row>
    <row r="495">
      <c r="A495" s="9" t="n">
        <v>491</v>
      </c>
      <c r="B495" s="3">
        <f>Работы!B494</f>
        <v/>
      </c>
      <c r="C495" s="3">
        <f>Работы!C494</f>
        <v/>
      </c>
      <c r="D495" s="4">
        <f>Работы!D494</f>
        <v/>
      </c>
      <c r="E495" s="4">
        <f>Работы!S494</f>
        <v/>
      </c>
      <c r="F495" s="4">
        <f>Работы!R494</f>
        <v/>
      </c>
      <c r="G495" s="4">
        <f>(E495+F495)*D495</f>
        <v/>
      </c>
    </row>
    <row r="496">
      <c r="A496" s="9" t="n">
        <v>492</v>
      </c>
      <c r="B496" s="3">
        <f>Работы!B495</f>
        <v/>
      </c>
      <c r="C496" s="3">
        <f>Работы!C495</f>
        <v/>
      </c>
      <c r="D496" s="4">
        <f>Работы!D495</f>
        <v/>
      </c>
      <c r="E496" s="4">
        <f>Работы!S495</f>
        <v/>
      </c>
      <c r="F496" s="4">
        <f>Работы!R495</f>
        <v/>
      </c>
      <c r="G496" s="4">
        <f>(E496+F496)*D496</f>
        <v/>
      </c>
    </row>
    <row r="497">
      <c r="A497" s="9" t="n">
        <v>493</v>
      </c>
      <c r="B497" s="3">
        <f>Работы!B496</f>
        <v/>
      </c>
      <c r="C497" s="3">
        <f>Работы!C496</f>
        <v/>
      </c>
      <c r="D497" s="4">
        <f>Работы!D496</f>
        <v/>
      </c>
      <c r="E497" s="4">
        <f>Работы!S496</f>
        <v/>
      </c>
      <c r="F497" s="4">
        <f>Работы!R496</f>
        <v/>
      </c>
      <c r="G497" s="4">
        <f>(E497+F497)*D497</f>
        <v/>
      </c>
    </row>
    <row r="498">
      <c r="A498" s="9" t="n">
        <v>494</v>
      </c>
      <c r="B498" s="3">
        <f>Работы!B497</f>
        <v/>
      </c>
      <c r="C498" s="3">
        <f>Работы!C497</f>
        <v/>
      </c>
      <c r="D498" s="4">
        <f>Работы!D497</f>
        <v/>
      </c>
      <c r="E498" s="4">
        <f>Работы!S497</f>
        <v/>
      </c>
      <c r="F498" s="4">
        <f>Работы!R497</f>
        <v/>
      </c>
      <c r="G498" s="4">
        <f>(E498+F498)*D498</f>
        <v/>
      </c>
    </row>
    <row r="499">
      <c r="A499" s="9" t="n">
        <v>495</v>
      </c>
      <c r="B499" s="3">
        <f>Работы!B498</f>
        <v/>
      </c>
      <c r="C499" s="3">
        <f>Работы!C498</f>
        <v/>
      </c>
      <c r="D499" s="4">
        <f>Работы!D498</f>
        <v/>
      </c>
      <c r="E499" s="4">
        <f>Работы!S498</f>
        <v/>
      </c>
      <c r="F499" s="4">
        <f>Работы!R498</f>
        <v/>
      </c>
      <c r="G499" s="4">
        <f>(E499+F499)*D499</f>
        <v/>
      </c>
    </row>
    <row r="500">
      <c r="A500" s="9" t="n">
        <v>496</v>
      </c>
      <c r="B500" s="3">
        <f>Работы!B499</f>
        <v/>
      </c>
      <c r="C500" s="3">
        <f>Работы!C499</f>
        <v/>
      </c>
      <c r="D500" s="4">
        <f>Работы!D499</f>
        <v/>
      </c>
      <c r="E500" s="4">
        <f>Работы!S499</f>
        <v/>
      </c>
      <c r="F500" s="4">
        <f>Работы!R499</f>
        <v/>
      </c>
      <c r="G500" s="4">
        <f>(E500+F500)*D500</f>
        <v/>
      </c>
    </row>
    <row r="501">
      <c r="A501" s="9" t="n">
        <v>497</v>
      </c>
      <c r="B501" s="3">
        <f>Работы!B500</f>
        <v/>
      </c>
      <c r="C501" s="3">
        <f>Работы!C500</f>
        <v/>
      </c>
      <c r="D501" s="4">
        <f>Работы!D500</f>
        <v/>
      </c>
      <c r="E501" s="4">
        <f>Работы!S500</f>
        <v/>
      </c>
      <c r="F501" s="4">
        <f>Работы!R500</f>
        <v/>
      </c>
      <c r="G501" s="4">
        <f>(E501+F501)*D501</f>
        <v/>
      </c>
    </row>
    <row r="502">
      <c r="A502" s="9" t="n">
        <v>498</v>
      </c>
      <c r="B502" s="3">
        <f>Работы!B501</f>
        <v/>
      </c>
      <c r="C502" s="3">
        <f>Работы!C501</f>
        <v/>
      </c>
      <c r="D502" s="4">
        <f>Работы!D501</f>
        <v/>
      </c>
      <c r="E502" s="4">
        <f>Работы!S501</f>
        <v/>
      </c>
      <c r="F502" s="4">
        <f>Работы!R501</f>
        <v/>
      </c>
      <c r="G502" s="4">
        <f>(E502+F502)*D502</f>
        <v/>
      </c>
    </row>
    <row r="503">
      <c r="A503" s="9" t="n">
        <v>499</v>
      </c>
      <c r="B503" s="3">
        <f>Работы!B502</f>
        <v/>
      </c>
      <c r="C503" s="3">
        <f>Работы!C502</f>
        <v/>
      </c>
      <c r="D503" s="4">
        <f>Работы!D502</f>
        <v/>
      </c>
      <c r="E503" s="4">
        <f>Работы!S502</f>
        <v/>
      </c>
      <c r="F503" s="4">
        <f>Работы!R502</f>
        <v/>
      </c>
      <c r="G503" s="4">
        <f>(E503+F503)*D503</f>
        <v/>
      </c>
    </row>
    <row r="504">
      <c r="A504" s="9" t="n">
        <v>500</v>
      </c>
      <c r="B504" s="3">
        <f>Работы!B503</f>
        <v/>
      </c>
      <c r="C504" s="3">
        <f>Работы!C503</f>
        <v/>
      </c>
      <c r="D504" s="4">
        <f>Работы!D503</f>
        <v/>
      </c>
      <c r="E504" s="4">
        <f>Работы!S503</f>
        <v/>
      </c>
      <c r="F504" s="4">
        <f>Работы!R503</f>
        <v/>
      </c>
      <c r="G504" s="4">
        <f>(E504+F504)*D504</f>
        <v/>
      </c>
    </row>
    <row r="505">
      <c r="A505" s="9" t="n">
        <v>501</v>
      </c>
      <c r="B505" s="3">
        <f>Работы!B504</f>
        <v/>
      </c>
      <c r="C505" s="3">
        <f>Работы!C504</f>
        <v/>
      </c>
      <c r="D505" s="4">
        <f>Работы!D504</f>
        <v/>
      </c>
      <c r="E505" s="4">
        <f>Работы!S504</f>
        <v/>
      </c>
      <c r="F505" s="4">
        <f>Работы!R504</f>
        <v/>
      </c>
      <c r="G505" s="4">
        <f>(E505+F505)*D505</f>
        <v/>
      </c>
    </row>
    <row r="506">
      <c r="A506" s="9" t="n">
        <v>502</v>
      </c>
      <c r="B506" s="3">
        <f>Работы!B505</f>
        <v/>
      </c>
      <c r="C506" s="3">
        <f>Работы!C505</f>
        <v/>
      </c>
      <c r="D506" s="4">
        <f>Работы!D505</f>
        <v/>
      </c>
      <c r="E506" s="4">
        <f>Работы!S505</f>
        <v/>
      </c>
      <c r="F506" s="4">
        <f>Работы!R505</f>
        <v/>
      </c>
      <c r="G506" s="4">
        <f>(E506+F506)*D506</f>
        <v/>
      </c>
    </row>
    <row r="507">
      <c r="A507" s="9" t="n">
        <v>503</v>
      </c>
      <c r="B507" s="3">
        <f>Работы!B506</f>
        <v/>
      </c>
      <c r="C507" s="3">
        <f>Работы!C506</f>
        <v/>
      </c>
      <c r="D507" s="4">
        <f>Работы!D506</f>
        <v/>
      </c>
      <c r="E507" s="4">
        <f>Работы!S506</f>
        <v/>
      </c>
      <c r="F507" s="4">
        <f>Работы!R506</f>
        <v/>
      </c>
      <c r="G507" s="4">
        <f>(E507+F507)*D507</f>
        <v/>
      </c>
    </row>
    <row r="508">
      <c r="A508" s="9" t="n">
        <v>504</v>
      </c>
      <c r="B508" s="3">
        <f>Работы!B507</f>
        <v/>
      </c>
      <c r="C508" s="3">
        <f>Работы!C507</f>
        <v/>
      </c>
      <c r="D508" s="4">
        <f>Работы!D507</f>
        <v/>
      </c>
      <c r="E508" s="4">
        <f>Работы!S507</f>
        <v/>
      </c>
      <c r="F508" s="4">
        <f>Работы!R507</f>
        <v/>
      </c>
      <c r="G508" s="4">
        <f>(E508+F508)*D508</f>
        <v/>
      </c>
    </row>
    <row r="509">
      <c r="A509" s="9" t="n">
        <v>505</v>
      </c>
      <c r="B509" s="3">
        <f>Работы!B508</f>
        <v/>
      </c>
      <c r="C509" s="3">
        <f>Работы!C508</f>
        <v/>
      </c>
      <c r="D509" s="4">
        <f>Работы!D508</f>
        <v/>
      </c>
      <c r="E509" s="4">
        <f>Работы!S508</f>
        <v/>
      </c>
      <c r="F509" s="4">
        <f>Работы!R508</f>
        <v/>
      </c>
      <c r="G509" s="4">
        <f>(E509+F509)*D509</f>
        <v/>
      </c>
    </row>
    <row r="510">
      <c r="A510" s="9" t="n">
        <v>506</v>
      </c>
      <c r="B510" s="3">
        <f>Работы!B509</f>
        <v/>
      </c>
      <c r="C510" s="3">
        <f>Работы!C509</f>
        <v/>
      </c>
      <c r="D510" s="4">
        <f>Работы!D509</f>
        <v/>
      </c>
      <c r="E510" s="4">
        <f>Работы!S509</f>
        <v/>
      </c>
      <c r="F510" s="4">
        <f>Работы!R509</f>
        <v/>
      </c>
      <c r="G510" s="4">
        <f>(E510+F510)*D510</f>
        <v/>
      </c>
    </row>
    <row r="511">
      <c r="A511" s="9" t="n">
        <v>507</v>
      </c>
      <c r="B511" s="3">
        <f>Работы!B510</f>
        <v/>
      </c>
      <c r="C511" s="3">
        <f>Работы!C510</f>
        <v/>
      </c>
      <c r="D511" s="4">
        <f>Работы!D510</f>
        <v/>
      </c>
      <c r="E511" s="4">
        <f>Работы!S510</f>
        <v/>
      </c>
      <c r="F511" s="4">
        <f>Работы!R510</f>
        <v/>
      </c>
      <c r="G511" s="4">
        <f>(E511+F511)*D511</f>
        <v/>
      </c>
    </row>
    <row r="512">
      <c r="A512" s="9" t="n">
        <v>508</v>
      </c>
      <c r="B512" s="3">
        <f>Работы!B511</f>
        <v/>
      </c>
      <c r="C512" s="3">
        <f>Работы!C511</f>
        <v/>
      </c>
      <c r="D512" s="4">
        <f>Работы!D511</f>
        <v/>
      </c>
      <c r="E512" s="4">
        <f>Работы!S511</f>
        <v/>
      </c>
      <c r="F512" s="4">
        <f>Работы!R511</f>
        <v/>
      </c>
      <c r="G512" s="4">
        <f>(E512+F512)*D512</f>
        <v/>
      </c>
    </row>
    <row r="513">
      <c r="A513" s="9" t="n">
        <v>509</v>
      </c>
      <c r="B513" s="3">
        <f>Работы!B512</f>
        <v/>
      </c>
      <c r="C513" s="3">
        <f>Работы!C512</f>
        <v/>
      </c>
      <c r="D513" s="4">
        <f>Работы!D512</f>
        <v/>
      </c>
      <c r="E513" s="4">
        <f>Работы!S512</f>
        <v/>
      </c>
      <c r="F513" s="4">
        <f>Работы!R512</f>
        <v/>
      </c>
      <c r="G513" s="4">
        <f>(E513+F513)*D513</f>
        <v/>
      </c>
    </row>
    <row r="514">
      <c r="A514" s="9" t="n">
        <v>510</v>
      </c>
      <c r="B514" s="3">
        <f>Работы!B513</f>
        <v/>
      </c>
      <c r="C514" s="3">
        <f>Работы!C513</f>
        <v/>
      </c>
      <c r="D514" s="4">
        <f>Работы!D513</f>
        <v/>
      </c>
      <c r="E514" s="4">
        <f>Работы!S513</f>
        <v/>
      </c>
      <c r="F514" s="4">
        <f>Работы!R513</f>
        <v/>
      </c>
      <c r="G514" s="4">
        <f>(E514+F514)*D514</f>
        <v/>
      </c>
    </row>
    <row r="515">
      <c r="A515" s="9" t="n">
        <v>511</v>
      </c>
      <c r="B515" s="3">
        <f>Работы!B514</f>
        <v/>
      </c>
      <c r="C515" s="3">
        <f>Работы!C514</f>
        <v/>
      </c>
      <c r="D515" s="4">
        <f>Работы!D514</f>
        <v/>
      </c>
      <c r="E515" s="4">
        <f>Работы!S514</f>
        <v/>
      </c>
      <c r="F515" s="4">
        <f>Работы!R514</f>
        <v/>
      </c>
      <c r="G515" s="4">
        <f>(E515+F515)*D515</f>
        <v/>
      </c>
    </row>
    <row r="516">
      <c r="A516" s="9" t="n">
        <v>512</v>
      </c>
      <c r="B516" s="3">
        <f>Работы!B515</f>
        <v/>
      </c>
      <c r="C516" s="3">
        <f>Работы!C515</f>
        <v/>
      </c>
      <c r="D516" s="4">
        <f>Работы!D515</f>
        <v/>
      </c>
      <c r="E516" s="4">
        <f>Работы!S515</f>
        <v/>
      </c>
      <c r="F516" s="4">
        <f>Работы!R515</f>
        <v/>
      </c>
      <c r="G516" s="4">
        <f>(E516+F516)*D516</f>
        <v/>
      </c>
    </row>
    <row r="517">
      <c r="A517" s="9" t="n">
        <v>513</v>
      </c>
      <c r="B517" s="3">
        <f>Работы!B516</f>
        <v/>
      </c>
      <c r="C517" s="3">
        <f>Работы!C516</f>
        <v/>
      </c>
      <c r="D517" s="4">
        <f>Работы!D516</f>
        <v/>
      </c>
      <c r="E517" s="4">
        <f>Работы!S516</f>
        <v/>
      </c>
      <c r="F517" s="4">
        <f>Работы!R516</f>
        <v/>
      </c>
      <c r="G517" s="4">
        <f>(E517+F517)*D517</f>
        <v/>
      </c>
    </row>
    <row r="518">
      <c r="A518" s="9" t="n">
        <v>514</v>
      </c>
      <c r="B518" s="3">
        <f>Работы!B517</f>
        <v/>
      </c>
      <c r="C518" s="3">
        <f>Работы!C517</f>
        <v/>
      </c>
      <c r="D518" s="4">
        <f>Работы!D517</f>
        <v/>
      </c>
      <c r="E518" s="4">
        <f>Работы!S517</f>
        <v/>
      </c>
      <c r="F518" s="4">
        <f>Работы!R517</f>
        <v/>
      </c>
      <c r="G518" s="4">
        <f>(E518+F518)*D518</f>
        <v/>
      </c>
    </row>
    <row r="519">
      <c r="A519" s="9" t="n">
        <v>515</v>
      </c>
      <c r="B519" s="3">
        <f>Работы!B518</f>
        <v/>
      </c>
      <c r="C519" s="3">
        <f>Работы!C518</f>
        <v/>
      </c>
      <c r="D519" s="4">
        <f>Работы!D518</f>
        <v/>
      </c>
      <c r="E519" s="4">
        <f>Работы!S518</f>
        <v/>
      </c>
      <c r="F519" s="4">
        <f>Работы!R518</f>
        <v/>
      </c>
      <c r="G519" s="4">
        <f>(E519+F519)*D519</f>
        <v/>
      </c>
    </row>
    <row r="520">
      <c r="A520" s="9" t="n">
        <v>516</v>
      </c>
      <c r="B520" s="3">
        <f>Работы!B519</f>
        <v/>
      </c>
      <c r="C520" s="3">
        <f>Работы!C519</f>
        <v/>
      </c>
      <c r="D520" s="4">
        <f>Работы!D519</f>
        <v/>
      </c>
      <c r="E520" s="4">
        <f>Работы!S519</f>
        <v/>
      </c>
      <c r="F520" s="4">
        <f>Работы!R519</f>
        <v/>
      </c>
      <c r="G520" s="4">
        <f>(E520+F520)*D520</f>
        <v/>
      </c>
    </row>
    <row r="521">
      <c r="A521" s="9" t="n">
        <v>517</v>
      </c>
      <c r="B521" s="3">
        <f>Работы!B520</f>
        <v/>
      </c>
      <c r="C521" s="3">
        <f>Работы!C520</f>
        <v/>
      </c>
      <c r="D521" s="4">
        <f>Работы!D520</f>
        <v/>
      </c>
      <c r="E521" s="4">
        <f>Работы!S520</f>
        <v/>
      </c>
      <c r="F521" s="4">
        <f>Работы!R520</f>
        <v/>
      </c>
      <c r="G521" s="4">
        <f>(E521+F521)*D521</f>
        <v/>
      </c>
    </row>
    <row r="522">
      <c r="A522" s="9" t="n">
        <v>518</v>
      </c>
      <c r="B522" s="3">
        <f>Работы!B521</f>
        <v/>
      </c>
      <c r="C522" s="3">
        <f>Работы!C521</f>
        <v/>
      </c>
      <c r="D522" s="4">
        <f>Работы!D521</f>
        <v/>
      </c>
      <c r="E522" s="4">
        <f>Работы!S521</f>
        <v/>
      </c>
      <c r="F522" s="4">
        <f>Работы!R521</f>
        <v/>
      </c>
      <c r="G522" s="4">
        <f>(E522+F522)*D522</f>
        <v/>
      </c>
    </row>
    <row r="523">
      <c r="A523" s="9" t="n">
        <v>519</v>
      </c>
      <c r="B523" s="3">
        <f>Работы!B522</f>
        <v/>
      </c>
      <c r="C523" s="3">
        <f>Работы!C522</f>
        <v/>
      </c>
      <c r="D523" s="4">
        <f>Работы!D522</f>
        <v/>
      </c>
      <c r="E523" s="4">
        <f>Работы!S522</f>
        <v/>
      </c>
      <c r="F523" s="4">
        <f>Работы!R522</f>
        <v/>
      </c>
      <c r="G523" s="4">
        <f>(E523+F523)*D523</f>
        <v/>
      </c>
    </row>
    <row r="524">
      <c r="A524" s="9" t="n">
        <v>520</v>
      </c>
      <c r="B524" s="3">
        <f>Работы!B523</f>
        <v/>
      </c>
      <c r="C524" s="3">
        <f>Работы!C523</f>
        <v/>
      </c>
      <c r="D524" s="4">
        <f>Работы!D523</f>
        <v/>
      </c>
      <c r="E524" s="4">
        <f>Работы!S523</f>
        <v/>
      </c>
      <c r="F524" s="4">
        <f>Работы!R523</f>
        <v/>
      </c>
      <c r="G524" s="4">
        <f>(E524+F524)*D524</f>
        <v/>
      </c>
    </row>
    <row r="525">
      <c r="A525" s="9" t="n">
        <v>521</v>
      </c>
      <c r="B525" s="3">
        <f>Работы!B524</f>
        <v/>
      </c>
      <c r="C525" s="3">
        <f>Работы!C524</f>
        <v/>
      </c>
      <c r="D525" s="4">
        <f>Работы!D524</f>
        <v/>
      </c>
      <c r="E525" s="4">
        <f>Работы!S524</f>
        <v/>
      </c>
      <c r="F525" s="4">
        <f>Работы!R524</f>
        <v/>
      </c>
      <c r="G525" s="4">
        <f>(E525+F525)*D525</f>
        <v/>
      </c>
    </row>
    <row r="526">
      <c r="A526" s="9" t="n">
        <v>522</v>
      </c>
      <c r="B526" s="3">
        <f>Работы!B525</f>
        <v/>
      </c>
      <c r="C526" s="3">
        <f>Работы!C525</f>
        <v/>
      </c>
      <c r="D526" s="4">
        <f>Работы!D525</f>
        <v/>
      </c>
      <c r="E526" s="4">
        <f>Работы!S525</f>
        <v/>
      </c>
      <c r="F526" s="4">
        <f>Работы!R525</f>
        <v/>
      </c>
      <c r="G526" s="4">
        <f>(E526+F526)*D526</f>
        <v/>
      </c>
    </row>
    <row r="527">
      <c r="A527" s="9" t="n">
        <v>523</v>
      </c>
      <c r="B527" s="3">
        <f>Работы!B526</f>
        <v/>
      </c>
      <c r="C527" s="3">
        <f>Работы!C526</f>
        <v/>
      </c>
      <c r="D527" s="4">
        <f>Работы!D526</f>
        <v/>
      </c>
      <c r="E527" s="4">
        <f>Работы!S526</f>
        <v/>
      </c>
      <c r="F527" s="4">
        <f>Работы!R526</f>
        <v/>
      </c>
      <c r="G527" s="4">
        <f>(E527+F527)*D527</f>
        <v/>
      </c>
    </row>
    <row r="528">
      <c r="A528" s="9" t="n">
        <v>524</v>
      </c>
      <c r="B528" s="3">
        <f>Работы!B527</f>
        <v/>
      </c>
      <c r="C528" s="3">
        <f>Работы!C527</f>
        <v/>
      </c>
      <c r="D528" s="4">
        <f>Работы!D527</f>
        <v/>
      </c>
      <c r="E528" s="4">
        <f>Работы!S527</f>
        <v/>
      </c>
      <c r="F528" s="4">
        <f>Работы!R527</f>
        <v/>
      </c>
      <c r="G528" s="4">
        <f>(E528+F528)*D528</f>
        <v/>
      </c>
    </row>
    <row r="529">
      <c r="A529" s="9" t="n">
        <v>525</v>
      </c>
      <c r="B529" s="3">
        <f>Работы!B528</f>
        <v/>
      </c>
      <c r="C529" s="3">
        <f>Работы!C528</f>
        <v/>
      </c>
      <c r="D529" s="4">
        <f>Работы!D528</f>
        <v/>
      </c>
      <c r="E529" s="4">
        <f>Работы!S528</f>
        <v/>
      </c>
      <c r="F529" s="4">
        <f>Работы!R528</f>
        <v/>
      </c>
      <c r="G529" s="4">
        <f>(E529+F529)*D529</f>
        <v/>
      </c>
    </row>
    <row r="530">
      <c r="A530" s="9" t="n">
        <v>526</v>
      </c>
      <c r="B530" s="3">
        <f>Работы!B529</f>
        <v/>
      </c>
      <c r="C530" s="3">
        <f>Работы!C529</f>
        <v/>
      </c>
      <c r="D530" s="4">
        <f>Работы!D529</f>
        <v/>
      </c>
      <c r="E530" s="4">
        <f>Работы!S529</f>
        <v/>
      </c>
      <c r="F530" s="4">
        <f>Работы!R529</f>
        <v/>
      </c>
      <c r="G530" s="4">
        <f>(E530+F530)*D530</f>
        <v/>
      </c>
    </row>
    <row r="531">
      <c r="A531" s="9" t="n">
        <v>527</v>
      </c>
      <c r="B531" s="3">
        <f>Работы!B530</f>
        <v/>
      </c>
      <c r="C531" s="3">
        <f>Работы!C530</f>
        <v/>
      </c>
      <c r="D531" s="4">
        <f>Работы!D530</f>
        <v/>
      </c>
      <c r="E531" s="4">
        <f>Работы!S530</f>
        <v/>
      </c>
      <c r="F531" s="4">
        <f>Работы!R530</f>
        <v/>
      </c>
      <c r="G531" s="4">
        <f>(E531+F531)*D531</f>
        <v/>
      </c>
    </row>
    <row r="532">
      <c r="A532" s="9" t="n">
        <v>528</v>
      </c>
      <c r="B532" s="3">
        <f>Работы!B531</f>
        <v/>
      </c>
      <c r="C532" s="3">
        <f>Работы!C531</f>
        <v/>
      </c>
      <c r="D532" s="4">
        <f>Работы!D531</f>
        <v/>
      </c>
      <c r="E532" s="4">
        <f>Работы!S531</f>
        <v/>
      </c>
      <c r="F532" s="4">
        <f>Работы!R531</f>
        <v/>
      </c>
      <c r="G532" s="4">
        <f>(E532+F532)*D532</f>
        <v/>
      </c>
    </row>
    <row r="533">
      <c r="A533" s="9" t="n">
        <v>529</v>
      </c>
      <c r="B533" s="3">
        <f>Работы!B532</f>
        <v/>
      </c>
      <c r="C533" s="3">
        <f>Работы!C532</f>
        <v/>
      </c>
      <c r="D533" s="4">
        <f>Работы!D532</f>
        <v/>
      </c>
      <c r="E533" s="4">
        <f>Работы!S532</f>
        <v/>
      </c>
      <c r="F533" s="4">
        <f>Работы!R532</f>
        <v/>
      </c>
      <c r="G533" s="4">
        <f>(E533+F533)*D533</f>
        <v/>
      </c>
    </row>
    <row r="534">
      <c r="A534" s="9" t="n">
        <v>530</v>
      </c>
      <c r="B534" s="3">
        <f>Работы!B533</f>
        <v/>
      </c>
      <c r="C534" s="3">
        <f>Работы!C533</f>
        <v/>
      </c>
      <c r="D534" s="4">
        <f>Работы!D533</f>
        <v/>
      </c>
      <c r="E534" s="4">
        <f>Работы!S533</f>
        <v/>
      </c>
      <c r="F534" s="4">
        <f>Работы!R533</f>
        <v/>
      </c>
      <c r="G534" s="4">
        <f>(E534+F534)*D534</f>
        <v/>
      </c>
    </row>
    <row r="535">
      <c r="A535" s="9" t="n">
        <v>531</v>
      </c>
      <c r="B535" s="3">
        <f>Работы!B534</f>
        <v/>
      </c>
      <c r="C535" s="3">
        <f>Работы!C534</f>
        <v/>
      </c>
      <c r="D535" s="4">
        <f>Работы!D534</f>
        <v/>
      </c>
      <c r="E535" s="4">
        <f>Работы!S534</f>
        <v/>
      </c>
      <c r="F535" s="4">
        <f>Работы!R534</f>
        <v/>
      </c>
      <c r="G535" s="4">
        <f>(E535+F535)*D535</f>
        <v/>
      </c>
    </row>
    <row r="536">
      <c r="A536" s="9" t="n">
        <v>532</v>
      </c>
      <c r="B536" s="3">
        <f>Работы!B535</f>
        <v/>
      </c>
      <c r="C536" s="3">
        <f>Работы!C535</f>
        <v/>
      </c>
      <c r="D536" s="4">
        <f>Работы!D535</f>
        <v/>
      </c>
      <c r="E536" s="4">
        <f>Работы!S535</f>
        <v/>
      </c>
      <c r="F536" s="4">
        <f>Работы!R535</f>
        <v/>
      </c>
      <c r="G536" s="4">
        <f>(E536+F536)*D536</f>
        <v/>
      </c>
    </row>
    <row r="537">
      <c r="A537" s="9" t="n">
        <v>533</v>
      </c>
      <c r="B537" s="3">
        <f>Работы!B536</f>
        <v/>
      </c>
      <c r="C537" s="3">
        <f>Работы!C536</f>
        <v/>
      </c>
      <c r="D537" s="4">
        <f>Работы!D536</f>
        <v/>
      </c>
      <c r="E537" s="4">
        <f>Работы!S536</f>
        <v/>
      </c>
      <c r="F537" s="4">
        <f>Работы!R536</f>
        <v/>
      </c>
      <c r="G537" s="4">
        <f>(E537+F537)*D537</f>
        <v/>
      </c>
    </row>
    <row r="538">
      <c r="A538" s="9" t="n">
        <v>534</v>
      </c>
      <c r="B538" s="3">
        <f>Работы!B537</f>
        <v/>
      </c>
      <c r="C538" s="3">
        <f>Работы!C537</f>
        <v/>
      </c>
      <c r="D538" s="4">
        <f>Работы!D537</f>
        <v/>
      </c>
      <c r="E538" s="4">
        <f>Работы!S537</f>
        <v/>
      </c>
      <c r="F538" s="4">
        <f>Работы!R537</f>
        <v/>
      </c>
      <c r="G538" s="4">
        <f>(E538+F538)*D538</f>
        <v/>
      </c>
    </row>
    <row r="539">
      <c r="A539" s="9" t="n">
        <v>535</v>
      </c>
      <c r="B539" s="3">
        <f>Работы!B538</f>
        <v/>
      </c>
      <c r="C539" s="3">
        <f>Работы!C538</f>
        <v/>
      </c>
      <c r="D539" s="4">
        <f>Работы!D538</f>
        <v/>
      </c>
      <c r="E539" s="4">
        <f>Работы!S538</f>
        <v/>
      </c>
      <c r="F539" s="4">
        <f>Работы!R538</f>
        <v/>
      </c>
      <c r="G539" s="4">
        <f>(E539+F539)*D539</f>
        <v/>
      </c>
    </row>
    <row r="540">
      <c r="A540" s="9" t="n">
        <v>536</v>
      </c>
      <c r="B540" s="3">
        <f>Работы!B539</f>
        <v/>
      </c>
      <c r="C540" s="3">
        <f>Работы!C539</f>
        <v/>
      </c>
      <c r="D540" s="4">
        <f>Работы!D539</f>
        <v/>
      </c>
      <c r="E540" s="4">
        <f>Работы!S539</f>
        <v/>
      </c>
      <c r="F540" s="4">
        <f>Работы!R539</f>
        <v/>
      </c>
      <c r="G540" s="4">
        <f>(E540+F540)*D540</f>
        <v/>
      </c>
    </row>
    <row r="541">
      <c r="A541" s="9" t="n">
        <v>537</v>
      </c>
      <c r="B541" s="3">
        <f>Работы!B540</f>
        <v/>
      </c>
      <c r="C541" s="3">
        <f>Работы!C540</f>
        <v/>
      </c>
      <c r="D541" s="4">
        <f>Работы!D540</f>
        <v/>
      </c>
      <c r="E541" s="4">
        <f>Работы!S540</f>
        <v/>
      </c>
      <c r="F541" s="4">
        <f>Работы!R540</f>
        <v/>
      </c>
      <c r="G541" s="4">
        <f>(E541+F541)*D541</f>
        <v/>
      </c>
    </row>
    <row r="542">
      <c r="A542" s="9" t="n">
        <v>538</v>
      </c>
      <c r="B542" s="3">
        <f>Работы!B541</f>
        <v/>
      </c>
      <c r="C542" s="3">
        <f>Работы!C541</f>
        <v/>
      </c>
      <c r="D542" s="4">
        <f>Работы!D541</f>
        <v/>
      </c>
      <c r="E542" s="4">
        <f>Работы!S541</f>
        <v/>
      </c>
      <c r="F542" s="4">
        <f>Работы!R541</f>
        <v/>
      </c>
      <c r="G542" s="4">
        <f>(E542+F542)*D542</f>
        <v/>
      </c>
    </row>
    <row r="543">
      <c r="A543" s="9" t="n">
        <v>539</v>
      </c>
      <c r="B543" s="3">
        <f>Работы!B542</f>
        <v/>
      </c>
      <c r="C543" s="3">
        <f>Работы!C542</f>
        <v/>
      </c>
      <c r="D543" s="4">
        <f>Работы!D542</f>
        <v/>
      </c>
      <c r="E543" s="4">
        <f>Работы!S542</f>
        <v/>
      </c>
      <c r="F543" s="4">
        <f>Работы!R542</f>
        <v/>
      </c>
      <c r="G543" s="4">
        <f>(E543+F543)*D543</f>
        <v/>
      </c>
    </row>
    <row r="544">
      <c r="A544" s="9" t="n">
        <v>540</v>
      </c>
      <c r="B544" s="3">
        <f>Работы!B543</f>
        <v/>
      </c>
      <c r="C544" s="3">
        <f>Работы!C543</f>
        <v/>
      </c>
      <c r="D544" s="4">
        <f>Работы!D543</f>
        <v/>
      </c>
      <c r="E544" s="4">
        <f>Работы!S543</f>
        <v/>
      </c>
      <c r="F544" s="4">
        <f>Работы!R543</f>
        <v/>
      </c>
      <c r="G544" s="4">
        <f>(E544+F544)*D544</f>
        <v/>
      </c>
    </row>
    <row r="545">
      <c r="A545" s="9" t="n">
        <v>541</v>
      </c>
      <c r="B545" s="3">
        <f>Работы!B544</f>
        <v/>
      </c>
      <c r="C545" s="3">
        <f>Работы!C544</f>
        <v/>
      </c>
      <c r="D545" s="4">
        <f>Работы!D544</f>
        <v/>
      </c>
      <c r="E545" s="4">
        <f>Работы!S544</f>
        <v/>
      </c>
      <c r="F545" s="4">
        <f>Работы!R544</f>
        <v/>
      </c>
      <c r="G545" s="4">
        <f>(E545+F545)*D545</f>
        <v/>
      </c>
    </row>
    <row r="546">
      <c r="A546" s="9" t="n">
        <v>542</v>
      </c>
      <c r="B546" s="3">
        <f>Работы!B545</f>
        <v/>
      </c>
      <c r="C546" s="3">
        <f>Работы!C545</f>
        <v/>
      </c>
      <c r="D546" s="4">
        <f>Работы!D545</f>
        <v/>
      </c>
      <c r="E546" s="4">
        <f>Работы!S545</f>
        <v/>
      </c>
      <c r="F546" s="4">
        <f>Работы!R545</f>
        <v/>
      </c>
      <c r="G546" s="4">
        <f>(E546+F546)*D546</f>
        <v/>
      </c>
    </row>
    <row r="547">
      <c r="A547" s="9" t="n">
        <v>543</v>
      </c>
      <c r="B547" s="3">
        <f>Работы!B546</f>
        <v/>
      </c>
      <c r="C547" s="3">
        <f>Работы!C546</f>
        <v/>
      </c>
      <c r="D547" s="4">
        <f>Работы!D546</f>
        <v/>
      </c>
      <c r="E547" s="4">
        <f>Работы!S546</f>
        <v/>
      </c>
      <c r="F547" s="4">
        <f>Работы!R546</f>
        <v/>
      </c>
      <c r="G547" s="4">
        <f>(E547+F547)*D547</f>
        <v/>
      </c>
    </row>
    <row r="548">
      <c r="A548" s="9" t="n">
        <v>544</v>
      </c>
      <c r="B548" s="3">
        <f>Работы!B547</f>
        <v/>
      </c>
      <c r="C548" s="3">
        <f>Работы!C547</f>
        <v/>
      </c>
      <c r="D548" s="4">
        <f>Работы!D547</f>
        <v/>
      </c>
      <c r="E548" s="4">
        <f>Работы!S547</f>
        <v/>
      </c>
      <c r="F548" s="4">
        <f>Работы!R547</f>
        <v/>
      </c>
      <c r="G548" s="4">
        <f>(E548+F548)*D548</f>
        <v/>
      </c>
    </row>
    <row r="549">
      <c r="A549" s="9" t="n">
        <v>545</v>
      </c>
      <c r="B549" s="3">
        <f>Работы!B548</f>
        <v/>
      </c>
      <c r="C549" s="3">
        <f>Работы!C548</f>
        <v/>
      </c>
      <c r="D549" s="4">
        <f>Работы!D548</f>
        <v/>
      </c>
      <c r="E549" s="4">
        <f>Работы!S548</f>
        <v/>
      </c>
      <c r="F549" s="4">
        <f>Работы!R548</f>
        <v/>
      </c>
      <c r="G549" s="4">
        <f>(E549+F549)*D549</f>
        <v/>
      </c>
    </row>
    <row r="550">
      <c r="A550" s="9" t="n">
        <v>546</v>
      </c>
      <c r="B550" s="3">
        <f>Работы!B549</f>
        <v/>
      </c>
      <c r="C550" s="3">
        <f>Работы!C549</f>
        <v/>
      </c>
      <c r="D550" s="4">
        <f>Работы!D549</f>
        <v/>
      </c>
      <c r="E550" s="4">
        <f>Работы!S549</f>
        <v/>
      </c>
      <c r="F550" s="4">
        <f>Работы!R549</f>
        <v/>
      </c>
      <c r="G550" s="4">
        <f>(E550+F550)*D550</f>
        <v/>
      </c>
    </row>
    <row r="551">
      <c r="A551" s="9" t="n">
        <v>547</v>
      </c>
      <c r="B551" s="3">
        <f>Работы!B550</f>
        <v/>
      </c>
      <c r="C551" s="3">
        <f>Работы!C550</f>
        <v/>
      </c>
      <c r="D551" s="4">
        <f>Работы!D550</f>
        <v/>
      </c>
      <c r="E551" s="4">
        <f>Работы!S550</f>
        <v/>
      </c>
      <c r="F551" s="4">
        <f>Работы!R550</f>
        <v/>
      </c>
      <c r="G551" s="4">
        <f>(E551+F551)*D551</f>
        <v/>
      </c>
    </row>
    <row r="552">
      <c r="A552" s="9" t="n">
        <v>548</v>
      </c>
      <c r="B552" s="3">
        <f>Работы!B551</f>
        <v/>
      </c>
      <c r="C552" s="3">
        <f>Работы!C551</f>
        <v/>
      </c>
      <c r="D552" s="4">
        <f>Работы!D551</f>
        <v/>
      </c>
      <c r="E552" s="4">
        <f>Работы!S551</f>
        <v/>
      </c>
      <c r="F552" s="4">
        <f>Работы!R551</f>
        <v/>
      </c>
      <c r="G552" s="4">
        <f>(E552+F552)*D552</f>
        <v/>
      </c>
    </row>
    <row r="553">
      <c r="A553" s="9" t="n">
        <v>549</v>
      </c>
      <c r="B553" s="3">
        <f>Работы!B552</f>
        <v/>
      </c>
      <c r="C553" s="3">
        <f>Работы!C552</f>
        <v/>
      </c>
      <c r="D553" s="4">
        <f>Работы!D552</f>
        <v/>
      </c>
      <c r="E553" s="4">
        <f>Работы!S552</f>
        <v/>
      </c>
      <c r="F553" s="4">
        <f>Работы!R552</f>
        <v/>
      </c>
      <c r="G553" s="4">
        <f>(E553+F553)*D553</f>
        <v/>
      </c>
    </row>
    <row r="554">
      <c r="A554" s="9" t="n">
        <v>550</v>
      </c>
      <c r="B554" s="3">
        <f>Работы!B553</f>
        <v/>
      </c>
      <c r="C554" s="3">
        <f>Работы!C553</f>
        <v/>
      </c>
      <c r="D554" s="4">
        <f>Работы!D553</f>
        <v/>
      </c>
      <c r="E554" s="4">
        <f>Работы!S553</f>
        <v/>
      </c>
      <c r="F554" s="4">
        <f>Работы!R553</f>
        <v/>
      </c>
      <c r="G554" s="4">
        <f>(E554+F554)*D554</f>
        <v/>
      </c>
    </row>
    <row r="555">
      <c r="A555" s="9" t="n">
        <v>551</v>
      </c>
      <c r="B555" s="3">
        <f>Работы!B554</f>
        <v/>
      </c>
      <c r="C555" s="3">
        <f>Работы!C554</f>
        <v/>
      </c>
      <c r="D555" s="4">
        <f>Работы!D554</f>
        <v/>
      </c>
      <c r="E555" s="4">
        <f>Работы!S554</f>
        <v/>
      </c>
      <c r="F555" s="4">
        <f>Работы!R554</f>
        <v/>
      </c>
      <c r="G555" s="4">
        <f>(E555+F555)*D555</f>
        <v/>
      </c>
    </row>
    <row r="556">
      <c r="A556" s="9" t="n">
        <v>552</v>
      </c>
      <c r="B556" s="3">
        <f>Работы!B555</f>
        <v/>
      </c>
      <c r="C556" s="3">
        <f>Работы!C555</f>
        <v/>
      </c>
      <c r="D556" s="4">
        <f>Работы!D555</f>
        <v/>
      </c>
      <c r="E556" s="4">
        <f>Работы!S555</f>
        <v/>
      </c>
      <c r="F556" s="4">
        <f>Работы!R555</f>
        <v/>
      </c>
      <c r="G556" s="4">
        <f>(E556+F556)*D556</f>
        <v/>
      </c>
    </row>
    <row r="557">
      <c r="A557" s="9" t="n">
        <v>553</v>
      </c>
      <c r="B557" s="3">
        <f>Работы!B556</f>
        <v/>
      </c>
      <c r="C557" s="3">
        <f>Работы!C556</f>
        <v/>
      </c>
      <c r="D557" s="4">
        <f>Работы!D556</f>
        <v/>
      </c>
      <c r="E557" s="4">
        <f>Работы!S556</f>
        <v/>
      </c>
      <c r="F557" s="4">
        <f>Работы!R556</f>
        <v/>
      </c>
      <c r="G557" s="4">
        <f>(E557+F557)*D557</f>
        <v/>
      </c>
    </row>
    <row r="558">
      <c r="A558" s="9" t="n">
        <v>554</v>
      </c>
      <c r="B558" s="3">
        <f>Работы!B557</f>
        <v/>
      </c>
      <c r="C558" s="3">
        <f>Работы!C557</f>
        <v/>
      </c>
      <c r="D558" s="4">
        <f>Работы!D557</f>
        <v/>
      </c>
      <c r="E558" s="4">
        <f>Работы!S557</f>
        <v/>
      </c>
      <c r="F558" s="4">
        <f>Работы!R557</f>
        <v/>
      </c>
      <c r="G558" s="4">
        <f>(E558+F558)*D558</f>
        <v/>
      </c>
    </row>
    <row r="559">
      <c r="A559" s="9" t="n">
        <v>555</v>
      </c>
      <c r="B559" s="3">
        <f>Работы!B558</f>
        <v/>
      </c>
      <c r="C559" s="3">
        <f>Работы!C558</f>
        <v/>
      </c>
      <c r="D559" s="4">
        <f>Работы!D558</f>
        <v/>
      </c>
      <c r="E559" s="4">
        <f>Работы!S558</f>
        <v/>
      </c>
      <c r="F559" s="4">
        <f>Работы!R558</f>
        <v/>
      </c>
      <c r="G559" s="4">
        <f>(E559+F559)*D559</f>
        <v/>
      </c>
    </row>
    <row r="560">
      <c r="A560" s="9" t="n">
        <v>556</v>
      </c>
      <c r="B560" s="3">
        <f>Работы!B559</f>
        <v/>
      </c>
      <c r="C560" s="3">
        <f>Работы!C559</f>
        <v/>
      </c>
      <c r="D560" s="4">
        <f>Работы!D559</f>
        <v/>
      </c>
      <c r="E560" s="4">
        <f>Работы!S559</f>
        <v/>
      </c>
      <c r="F560" s="4">
        <f>Работы!R559</f>
        <v/>
      </c>
      <c r="G560" s="4">
        <f>(E560+F560)*D560</f>
        <v/>
      </c>
    </row>
    <row r="561">
      <c r="A561" s="9" t="n">
        <v>557</v>
      </c>
      <c r="B561" s="3">
        <f>Работы!B560</f>
        <v/>
      </c>
      <c r="C561" s="3">
        <f>Работы!C560</f>
        <v/>
      </c>
      <c r="D561" s="4">
        <f>Работы!D560</f>
        <v/>
      </c>
      <c r="E561" s="4">
        <f>Работы!S560</f>
        <v/>
      </c>
      <c r="F561" s="4">
        <f>Работы!R560</f>
        <v/>
      </c>
      <c r="G561" s="4">
        <f>(E561+F561)*D561</f>
        <v/>
      </c>
    </row>
    <row r="562">
      <c r="A562" s="9" t="n">
        <v>558</v>
      </c>
      <c r="B562" s="3">
        <f>Работы!B561</f>
        <v/>
      </c>
      <c r="C562" s="3">
        <f>Работы!C561</f>
        <v/>
      </c>
      <c r="D562" s="4">
        <f>Работы!D561</f>
        <v/>
      </c>
      <c r="E562" s="4">
        <f>Работы!S561</f>
        <v/>
      </c>
      <c r="F562" s="4">
        <f>Работы!R561</f>
        <v/>
      </c>
      <c r="G562" s="4">
        <f>(E562+F562)*D562</f>
        <v/>
      </c>
    </row>
    <row r="563">
      <c r="A563" s="9" t="n">
        <v>559</v>
      </c>
      <c r="B563" s="3">
        <f>Работы!B562</f>
        <v/>
      </c>
      <c r="C563" s="3">
        <f>Работы!C562</f>
        <v/>
      </c>
      <c r="D563" s="4">
        <f>Работы!D562</f>
        <v/>
      </c>
      <c r="E563" s="4">
        <f>Работы!S562</f>
        <v/>
      </c>
      <c r="F563" s="4">
        <f>Работы!R562</f>
        <v/>
      </c>
      <c r="G563" s="4">
        <f>(E563+F563)*D563</f>
        <v/>
      </c>
    </row>
    <row r="564">
      <c r="A564" s="9" t="n">
        <v>560</v>
      </c>
      <c r="B564" s="3">
        <f>Работы!B563</f>
        <v/>
      </c>
      <c r="C564" s="3">
        <f>Работы!C563</f>
        <v/>
      </c>
      <c r="D564" s="4">
        <f>Работы!D563</f>
        <v/>
      </c>
      <c r="E564" s="4">
        <f>Работы!S563</f>
        <v/>
      </c>
      <c r="F564" s="4">
        <f>Работы!R563</f>
        <v/>
      </c>
      <c r="G564" s="4">
        <f>(E564+F564)*D564</f>
        <v/>
      </c>
    </row>
    <row r="565">
      <c r="A565" s="9" t="n">
        <v>561</v>
      </c>
      <c r="B565" s="3">
        <f>Работы!B564</f>
        <v/>
      </c>
      <c r="C565" s="3">
        <f>Работы!C564</f>
        <v/>
      </c>
      <c r="D565" s="4">
        <f>Работы!D564</f>
        <v/>
      </c>
      <c r="E565" s="4">
        <f>Работы!S564</f>
        <v/>
      </c>
      <c r="F565" s="4">
        <f>Работы!R564</f>
        <v/>
      </c>
      <c r="G565" s="4">
        <f>(E565+F565)*D565</f>
        <v/>
      </c>
    </row>
    <row r="566">
      <c r="A566" s="9" t="n">
        <v>562</v>
      </c>
      <c r="B566" s="3">
        <f>Работы!B565</f>
        <v/>
      </c>
      <c r="C566" s="3">
        <f>Работы!C565</f>
        <v/>
      </c>
      <c r="D566" s="4">
        <f>Работы!D565</f>
        <v/>
      </c>
      <c r="E566" s="4">
        <f>Работы!S565</f>
        <v/>
      </c>
      <c r="F566" s="4">
        <f>Работы!R565</f>
        <v/>
      </c>
      <c r="G566" s="4">
        <f>(E566+F566)*D566</f>
        <v/>
      </c>
    </row>
    <row r="567">
      <c r="A567" s="9" t="n">
        <v>563</v>
      </c>
      <c r="B567" s="3">
        <f>Работы!B566</f>
        <v/>
      </c>
      <c r="C567" s="3">
        <f>Работы!C566</f>
        <v/>
      </c>
      <c r="D567" s="4">
        <f>Работы!D566</f>
        <v/>
      </c>
      <c r="E567" s="4">
        <f>Работы!S566</f>
        <v/>
      </c>
      <c r="F567" s="4">
        <f>Работы!R566</f>
        <v/>
      </c>
      <c r="G567" s="4">
        <f>(E567+F567)*D567</f>
        <v/>
      </c>
    </row>
    <row r="568">
      <c r="A568" s="9" t="n">
        <v>564</v>
      </c>
      <c r="B568" s="3">
        <f>Работы!B567</f>
        <v/>
      </c>
      <c r="C568" s="3">
        <f>Работы!C567</f>
        <v/>
      </c>
      <c r="D568" s="4">
        <f>Работы!D567</f>
        <v/>
      </c>
      <c r="E568" s="4">
        <f>Работы!S567</f>
        <v/>
      </c>
      <c r="F568" s="4">
        <f>Работы!R567</f>
        <v/>
      </c>
      <c r="G568" s="4">
        <f>(E568+F568)*D568</f>
        <v/>
      </c>
    </row>
    <row r="569">
      <c r="A569" s="9" t="n">
        <v>565</v>
      </c>
      <c r="B569" s="3">
        <f>Работы!B568</f>
        <v/>
      </c>
      <c r="C569" s="3">
        <f>Работы!C568</f>
        <v/>
      </c>
      <c r="D569" s="4">
        <f>Работы!D568</f>
        <v/>
      </c>
      <c r="E569" s="4">
        <f>Работы!S568</f>
        <v/>
      </c>
      <c r="F569" s="4">
        <f>Работы!R568</f>
        <v/>
      </c>
      <c r="G569" s="4">
        <f>(E569+F569)*D569</f>
        <v/>
      </c>
    </row>
    <row r="570">
      <c r="A570" s="9" t="n">
        <v>566</v>
      </c>
      <c r="B570" s="3">
        <f>Работы!B569</f>
        <v/>
      </c>
      <c r="C570" s="3">
        <f>Работы!C569</f>
        <v/>
      </c>
      <c r="D570" s="4">
        <f>Работы!D569</f>
        <v/>
      </c>
      <c r="E570" s="4">
        <f>Работы!S569</f>
        <v/>
      </c>
      <c r="F570" s="4">
        <f>Работы!R569</f>
        <v/>
      </c>
      <c r="G570" s="4">
        <f>(E570+F570)*D570</f>
        <v/>
      </c>
    </row>
    <row r="571">
      <c r="A571" s="9" t="n">
        <v>567</v>
      </c>
      <c r="B571" s="3">
        <f>Работы!B570</f>
        <v/>
      </c>
      <c r="C571" s="3">
        <f>Работы!C570</f>
        <v/>
      </c>
      <c r="D571" s="4">
        <f>Работы!D570</f>
        <v/>
      </c>
      <c r="E571" s="4">
        <f>Работы!S570</f>
        <v/>
      </c>
      <c r="F571" s="4">
        <f>Работы!R570</f>
        <v/>
      </c>
      <c r="G571" s="4">
        <f>(E571+F571)*D571</f>
        <v/>
      </c>
    </row>
    <row r="572">
      <c r="A572" s="9" t="n">
        <v>568</v>
      </c>
      <c r="B572" s="3">
        <f>Работы!B571</f>
        <v/>
      </c>
      <c r="C572" s="3">
        <f>Работы!C571</f>
        <v/>
      </c>
      <c r="D572" s="4">
        <f>Работы!D571</f>
        <v/>
      </c>
      <c r="E572" s="4">
        <f>Работы!S571</f>
        <v/>
      </c>
      <c r="F572" s="4">
        <f>Работы!R571</f>
        <v/>
      </c>
      <c r="G572" s="4">
        <f>(E572+F572)*D572</f>
        <v/>
      </c>
    </row>
    <row r="573">
      <c r="A573" s="9" t="n">
        <v>569</v>
      </c>
      <c r="B573" s="3">
        <f>Работы!B572</f>
        <v/>
      </c>
      <c r="C573" s="3">
        <f>Работы!C572</f>
        <v/>
      </c>
      <c r="D573" s="4">
        <f>Работы!D572</f>
        <v/>
      </c>
      <c r="E573" s="4">
        <f>Работы!S572</f>
        <v/>
      </c>
      <c r="F573" s="4">
        <f>Работы!R572</f>
        <v/>
      </c>
      <c r="G573" s="4">
        <f>(E573+F573)*D573</f>
        <v/>
      </c>
    </row>
    <row r="574">
      <c r="A574" s="9" t="n">
        <v>570</v>
      </c>
      <c r="B574" s="3">
        <f>Работы!B573</f>
        <v/>
      </c>
      <c r="C574" s="3">
        <f>Работы!C573</f>
        <v/>
      </c>
      <c r="D574" s="4">
        <f>Работы!D573</f>
        <v/>
      </c>
      <c r="E574" s="4">
        <f>Работы!S573</f>
        <v/>
      </c>
      <c r="F574" s="4">
        <f>Работы!R573</f>
        <v/>
      </c>
      <c r="G574" s="4">
        <f>(E574+F574)*D574</f>
        <v/>
      </c>
    </row>
    <row r="575">
      <c r="A575" s="9" t="n">
        <v>571</v>
      </c>
      <c r="B575" s="3">
        <f>Работы!B574</f>
        <v/>
      </c>
      <c r="C575" s="3">
        <f>Работы!C574</f>
        <v/>
      </c>
      <c r="D575" s="4">
        <f>Работы!D574</f>
        <v/>
      </c>
      <c r="E575" s="4">
        <f>Работы!S574</f>
        <v/>
      </c>
      <c r="F575" s="4">
        <f>Работы!R574</f>
        <v/>
      </c>
      <c r="G575" s="4">
        <f>(E575+F575)*D575</f>
        <v/>
      </c>
    </row>
    <row r="576">
      <c r="A576" s="9" t="n">
        <v>572</v>
      </c>
      <c r="B576" s="3">
        <f>Работы!B575</f>
        <v/>
      </c>
      <c r="C576" s="3">
        <f>Работы!C575</f>
        <v/>
      </c>
      <c r="D576" s="4">
        <f>Работы!D575</f>
        <v/>
      </c>
      <c r="E576" s="4">
        <f>Работы!S575</f>
        <v/>
      </c>
      <c r="F576" s="4">
        <f>Работы!R575</f>
        <v/>
      </c>
      <c r="G576" s="4">
        <f>(E576+F576)*D576</f>
        <v/>
      </c>
    </row>
    <row r="577">
      <c r="A577" s="9" t="n">
        <v>573</v>
      </c>
      <c r="B577" s="3">
        <f>Работы!B576</f>
        <v/>
      </c>
      <c r="C577" s="3">
        <f>Работы!C576</f>
        <v/>
      </c>
      <c r="D577" s="4">
        <f>Работы!D576</f>
        <v/>
      </c>
      <c r="E577" s="4">
        <f>Работы!S576</f>
        <v/>
      </c>
      <c r="F577" s="4">
        <f>Работы!R576</f>
        <v/>
      </c>
      <c r="G577" s="4">
        <f>(E577+F577)*D577</f>
        <v/>
      </c>
    </row>
    <row r="578">
      <c r="A578" s="9" t="n">
        <v>574</v>
      </c>
      <c r="B578" s="3">
        <f>Работы!B577</f>
        <v/>
      </c>
      <c r="C578" s="3">
        <f>Работы!C577</f>
        <v/>
      </c>
      <c r="D578" s="4">
        <f>Работы!D577</f>
        <v/>
      </c>
      <c r="E578" s="4">
        <f>Работы!S577</f>
        <v/>
      </c>
      <c r="F578" s="4">
        <f>Работы!R577</f>
        <v/>
      </c>
      <c r="G578" s="4">
        <f>(E578+F578)*D578</f>
        <v/>
      </c>
    </row>
    <row r="579">
      <c r="A579" s="9" t="n">
        <v>575</v>
      </c>
      <c r="B579" s="3">
        <f>Работы!B578</f>
        <v/>
      </c>
      <c r="C579" s="3">
        <f>Работы!C578</f>
        <v/>
      </c>
      <c r="D579" s="4">
        <f>Работы!D578</f>
        <v/>
      </c>
      <c r="E579" s="4">
        <f>Работы!S578</f>
        <v/>
      </c>
      <c r="F579" s="4">
        <f>Работы!R578</f>
        <v/>
      </c>
      <c r="G579" s="4">
        <f>(E579+F579)*D579</f>
        <v/>
      </c>
    </row>
    <row r="580">
      <c r="A580" s="9" t="n">
        <v>576</v>
      </c>
      <c r="B580" s="3">
        <f>Работы!B579</f>
        <v/>
      </c>
      <c r="C580" s="3">
        <f>Работы!C579</f>
        <v/>
      </c>
      <c r="D580" s="4">
        <f>Работы!D579</f>
        <v/>
      </c>
      <c r="E580" s="4">
        <f>Работы!S579</f>
        <v/>
      </c>
      <c r="F580" s="4">
        <f>Работы!R579</f>
        <v/>
      </c>
      <c r="G580" s="4">
        <f>(E580+F580)*D580</f>
        <v/>
      </c>
    </row>
    <row r="581">
      <c r="A581" s="9" t="n">
        <v>577</v>
      </c>
      <c r="B581" s="3">
        <f>Работы!B580</f>
        <v/>
      </c>
      <c r="C581" s="3">
        <f>Работы!C580</f>
        <v/>
      </c>
      <c r="D581" s="4">
        <f>Работы!D580</f>
        <v/>
      </c>
      <c r="E581" s="4">
        <f>Работы!S580</f>
        <v/>
      </c>
      <c r="F581" s="4">
        <f>Работы!R580</f>
        <v/>
      </c>
      <c r="G581" s="4">
        <f>(E581+F581)*D581</f>
        <v/>
      </c>
    </row>
    <row r="582">
      <c r="A582" s="9" t="n">
        <v>578</v>
      </c>
      <c r="B582" s="3">
        <f>Работы!B581</f>
        <v/>
      </c>
      <c r="C582" s="3">
        <f>Работы!C581</f>
        <v/>
      </c>
      <c r="D582" s="4">
        <f>Работы!D581</f>
        <v/>
      </c>
      <c r="E582" s="4">
        <f>Работы!S581</f>
        <v/>
      </c>
      <c r="F582" s="4">
        <f>Работы!R581</f>
        <v/>
      </c>
      <c r="G582" s="4">
        <f>(E582+F582)*D582</f>
        <v/>
      </c>
    </row>
    <row r="583">
      <c r="A583" s="9" t="n">
        <v>579</v>
      </c>
      <c r="B583" s="3">
        <f>Работы!B582</f>
        <v/>
      </c>
      <c r="C583" s="3">
        <f>Работы!C582</f>
        <v/>
      </c>
      <c r="D583" s="4">
        <f>Работы!D582</f>
        <v/>
      </c>
      <c r="E583" s="4">
        <f>Работы!S582</f>
        <v/>
      </c>
      <c r="F583" s="4">
        <f>Работы!R582</f>
        <v/>
      </c>
      <c r="G583" s="4">
        <f>(E583+F583)*D583</f>
        <v/>
      </c>
    </row>
    <row r="584">
      <c r="A584" s="9" t="n">
        <v>580</v>
      </c>
      <c r="B584" s="3">
        <f>Работы!B583</f>
        <v/>
      </c>
      <c r="C584" s="3">
        <f>Работы!C583</f>
        <v/>
      </c>
      <c r="D584" s="4">
        <f>Работы!D583</f>
        <v/>
      </c>
      <c r="E584" s="4">
        <f>Работы!S583</f>
        <v/>
      </c>
      <c r="F584" s="4">
        <f>Работы!R583</f>
        <v/>
      </c>
      <c r="G584" s="4">
        <f>(E584+F584)*D584</f>
        <v/>
      </c>
    </row>
    <row r="585">
      <c r="A585" s="9" t="n">
        <v>581</v>
      </c>
      <c r="B585" s="3">
        <f>Работы!B584</f>
        <v/>
      </c>
      <c r="C585" s="3">
        <f>Работы!C584</f>
        <v/>
      </c>
      <c r="D585" s="4">
        <f>Работы!D584</f>
        <v/>
      </c>
      <c r="E585" s="4">
        <f>Работы!S584</f>
        <v/>
      </c>
      <c r="F585" s="4">
        <f>Работы!R584</f>
        <v/>
      </c>
      <c r="G585" s="4">
        <f>(E585+F585)*D585</f>
        <v/>
      </c>
    </row>
    <row r="586">
      <c r="A586" s="9" t="n">
        <v>582</v>
      </c>
      <c r="B586" s="3">
        <f>Работы!B585</f>
        <v/>
      </c>
      <c r="C586" s="3">
        <f>Работы!C585</f>
        <v/>
      </c>
      <c r="D586" s="4">
        <f>Работы!D585</f>
        <v/>
      </c>
      <c r="E586" s="4">
        <f>Работы!S585</f>
        <v/>
      </c>
      <c r="F586" s="4">
        <f>Работы!R585</f>
        <v/>
      </c>
      <c r="G586" s="4">
        <f>(E586+F586)*D586</f>
        <v/>
      </c>
    </row>
    <row r="587">
      <c r="A587" s="9" t="n">
        <v>583</v>
      </c>
      <c r="B587" s="3">
        <f>Работы!B586</f>
        <v/>
      </c>
      <c r="C587" s="3">
        <f>Работы!C586</f>
        <v/>
      </c>
      <c r="D587" s="4">
        <f>Работы!D586</f>
        <v/>
      </c>
      <c r="E587" s="4">
        <f>Работы!S586</f>
        <v/>
      </c>
      <c r="F587" s="4">
        <f>Работы!R586</f>
        <v/>
      </c>
      <c r="G587" s="4">
        <f>(E587+F587)*D587</f>
        <v/>
      </c>
    </row>
    <row r="588">
      <c r="A588" s="9" t="n">
        <v>584</v>
      </c>
      <c r="B588" s="3">
        <f>Работы!B587</f>
        <v/>
      </c>
      <c r="C588" s="3">
        <f>Работы!C587</f>
        <v/>
      </c>
      <c r="D588" s="4">
        <f>Работы!D587</f>
        <v/>
      </c>
      <c r="E588" s="4">
        <f>Работы!S587</f>
        <v/>
      </c>
      <c r="F588" s="4">
        <f>Работы!R587</f>
        <v/>
      </c>
      <c r="G588" s="4">
        <f>(E588+F588)*D588</f>
        <v/>
      </c>
    </row>
    <row r="589">
      <c r="A589" s="9" t="n">
        <v>585</v>
      </c>
      <c r="B589" s="3">
        <f>Работы!B588</f>
        <v/>
      </c>
      <c r="C589" s="3">
        <f>Работы!C588</f>
        <v/>
      </c>
      <c r="D589" s="4">
        <f>Работы!D588</f>
        <v/>
      </c>
      <c r="E589" s="4">
        <f>Работы!S588</f>
        <v/>
      </c>
      <c r="F589" s="4">
        <f>Работы!R588</f>
        <v/>
      </c>
      <c r="G589" s="4">
        <f>(E589+F589)*D589</f>
        <v/>
      </c>
    </row>
    <row r="590">
      <c r="A590" s="9" t="n">
        <v>586</v>
      </c>
      <c r="B590" s="3">
        <f>Работы!B589</f>
        <v/>
      </c>
      <c r="C590" s="3">
        <f>Работы!C589</f>
        <v/>
      </c>
      <c r="D590" s="4">
        <f>Работы!D589</f>
        <v/>
      </c>
      <c r="E590" s="4">
        <f>Работы!S589</f>
        <v/>
      </c>
      <c r="F590" s="4">
        <f>Работы!R589</f>
        <v/>
      </c>
      <c r="G590" s="4">
        <f>(E590+F590)*D590</f>
        <v/>
      </c>
    </row>
    <row r="591">
      <c r="A591" s="9" t="n">
        <v>587</v>
      </c>
      <c r="B591" s="3">
        <f>Работы!B590</f>
        <v/>
      </c>
      <c r="C591" s="3">
        <f>Работы!C590</f>
        <v/>
      </c>
      <c r="D591" s="4">
        <f>Работы!D590</f>
        <v/>
      </c>
      <c r="E591" s="4">
        <f>Работы!S590</f>
        <v/>
      </c>
      <c r="F591" s="4">
        <f>Работы!R590</f>
        <v/>
      </c>
      <c r="G591" s="4">
        <f>(E591+F591)*D591</f>
        <v/>
      </c>
    </row>
    <row r="592">
      <c r="A592" s="9" t="n">
        <v>588</v>
      </c>
      <c r="B592" s="3">
        <f>Работы!B591</f>
        <v/>
      </c>
      <c r="C592" s="3">
        <f>Работы!C591</f>
        <v/>
      </c>
      <c r="D592" s="4">
        <f>Работы!D591</f>
        <v/>
      </c>
      <c r="E592" s="4">
        <f>Работы!S591</f>
        <v/>
      </c>
      <c r="F592" s="4">
        <f>Работы!R591</f>
        <v/>
      </c>
      <c r="G592" s="4">
        <f>(E592+F592)*D592</f>
        <v/>
      </c>
    </row>
    <row r="593">
      <c r="A593" s="9" t="n">
        <v>589</v>
      </c>
      <c r="B593" s="3">
        <f>Работы!B592</f>
        <v/>
      </c>
      <c r="C593" s="3">
        <f>Работы!C592</f>
        <v/>
      </c>
      <c r="D593" s="4">
        <f>Работы!D592</f>
        <v/>
      </c>
      <c r="E593" s="4">
        <f>Работы!S592</f>
        <v/>
      </c>
      <c r="F593" s="4">
        <f>Работы!R592</f>
        <v/>
      </c>
      <c r="G593" s="4">
        <f>(E593+F593)*D593</f>
        <v/>
      </c>
    </row>
    <row r="594">
      <c r="A594" s="9" t="n">
        <v>590</v>
      </c>
      <c r="B594" s="3">
        <f>Работы!B593</f>
        <v/>
      </c>
      <c r="C594" s="3">
        <f>Работы!C593</f>
        <v/>
      </c>
      <c r="D594" s="4">
        <f>Работы!D593</f>
        <v/>
      </c>
      <c r="E594" s="4">
        <f>Работы!S593</f>
        <v/>
      </c>
      <c r="F594" s="4">
        <f>Работы!R593</f>
        <v/>
      </c>
      <c r="G594" s="4">
        <f>(E594+F594)*D594</f>
        <v/>
      </c>
    </row>
    <row r="595">
      <c r="A595" s="9" t="n">
        <v>591</v>
      </c>
      <c r="B595" s="3">
        <f>Работы!B594</f>
        <v/>
      </c>
      <c r="C595" s="3">
        <f>Работы!C594</f>
        <v/>
      </c>
      <c r="D595" s="4">
        <f>Работы!D594</f>
        <v/>
      </c>
      <c r="E595" s="4">
        <f>Работы!S594</f>
        <v/>
      </c>
      <c r="F595" s="4">
        <f>Работы!R594</f>
        <v/>
      </c>
      <c r="G595" s="4">
        <f>(E595+F595)*D595</f>
        <v/>
      </c>
    </row>
    <row r="596">
      <c r="A596" s="9" t="n">
        <v>592</v>
      </c>
      <c r="B596" s="3">
        <f>Работы!B595</f>
        <v/>
      </c>
      <c r="C596" s="3">
        <f>Работы!C595</f>
        <v/>
      </c>
      <c r="D596" s="4">
        <f>Работы!D595</f>
        <v/>
      </c>
      <c r="E596" s="4">
        <f>Работы!S595</f>
        <v/>
      </c>
      <c r="F596" s="4">
        <f>Работы!R595</f>
        <v/>
      </c>
      <c r="G596" s="4">
        <f>(E596+F596)*D596</f>
        <v/>
      </c>
    </row>
    <row r="597">
      <c r="A597" s="9" t="n">
        <v>593</v>
      </c>
      <c r="B597" s="3">
        <f>Работы!B596</f>
        <v/>
      </c>
      <c r="C597" s="3">
        <f>Работы!C596</f>
        <v/>
      </c>
      <c r="D597" s="4">
        <f>Работы!D596</f>
        <v/>
      </c>
      <c r="E597" s="4">
        <f>Работы!S596</f>
        <v/>
      </c>
      <c r="F597" s="4">
        <f>Работы!R596</f>
        <v/>
      </c>
      <c r="G597" s="4">
        <f>(E597+F597)*D597</f>
        <v/>
      </c>
    </row>
    <row r="598">
      <c r="A598" s="9" t="n">
        <v>594</v>
      </c>
      <c r="B598" s="3">
        <f>Работы!B597</f>
        <v/>
      </c>
      <c r="C598" s="3">
        <f>Работы!C597</f>
        <v/>
      </c>
      <c r="D598" s="4">
        <f>Работы!D597</f>
        <v/>
      </c>
      <c r="E598" s="4">
        <f>Работы!S597</f>
        <v/>
      </c>
      <c r="F598" s="4">
        <f>Работы!R597</f>
        <v/>
      </c>
      <c r="G598" s="4">
        <f>(E598+F598)*D598</f>
        <v/>
      </c>
    </row>
    <row r="599">
      <c r="A599" s="9" t="n">
        <v>595</v>
      </c>
      <c r="B599" s="3">
        <f>Работы!B598</f>
        <v/>
      </c>
      <c r="C599" s="3">
        <f>Работы!C598</f>
        <v/>
      </c>
      <c r="D599" s="4">
        <f>Работы!D598</f>
        <v/>
      </c>
      <c r="E599" s="4">
        <f>Работы!S598</f>
        <v/>
      </c>
      <c r="F599" s="4">
        <f>Работы!R598</f>
        <v/>
      </c>
      <c r="G599" s="4">
        <f>(E599+F599)*D599</f>
        <v/>
      </c>
    </row>
    <row r="600">
      <c r="A600" s="9" t="n">
        <v>596</v>
      </c>
      <c r="B600" s="3">
        <f>Работы!B599</f>
        <v/>
      </c>
      <c r="C600" s="3">
        <f>Работы!C599</f>
        <v/>
      </c>
      <c r="D600" s="4">
        <f>Работы!D599</f>
        <v/>
      </c>
      <c r="E600" s="4">
        <f>Работы!S599</f>
        <v/>
      </c>
      <c r="F600" s="4">
        <f>Работы!R599</f>
        <v/>
      </c>
      <c r="G600" s="4">
        <f>(E600+F600)*D600</f>
        <v/>
      </c>
    </row>
    <row r="601">
      <c r="A601" s="9" t="n">
        <v>597</v>
      </c>
      <c r="B601" s="3">
        <f>Работы!B600</f>
        <v/>
      </c>
      <c r="C601" s="3">
        <f>Работы!C600</f>
        <v/>
      </c>
      <c r="D601" s="4">
        <f>Работы!D600</f>
        <v/>
      </c>
      <c r="E601" s="4">
        <f>Работы!S600</f>
        <v/>
      </c>
      <c r="F601" s="4">
        <f>Работы!R600</f>
        <v/>
      </c>
      <c r="G601" s="4">
        <f>(E601+F601)*D601</f>
        <v/>
      </c>
    </row>
    <row r="602">
      <c r="A602" s="9" t="n">
        <v>598</v>
      </c>
      <c r="B602" s="3">
        <f>Работы!B601</f>
        <v/>
      </c>
      <c r="C602" s="3">
        <f>Работы!C601</f>
        <v/>
      </c>
      <c r="D602" s="4">
        <f>Работы!D601</f>
        <v/>
      </c>
      <c r="E602" s="4">
        <f>Работы!S601</f>
        <v/>
      </c>
      <c r="F602" s="4">
        <f>Работы!R601</f>
        <v/>
      </c>
      <c r="G602" s="4">
        <f>(E602+F602)*D602</f>
        <v/>
      </c>
    </row>
    <row r="603">
      <c r="A603" s="9" t="n">
        <v>599</v>
      </c>
      <c r="B603" s="3">
        <f>Работы!B602</f>
        <v/>
      </c>
      <c r="C603" s="3">
        <f>Работы!C602</f>
        <v/>
      </c>
      <c r="D603" s="4">
        <f>Работы!D602</f>
        <v/>
      </c>
      <c r="E603" s="4">
        <f>Работы!S602</f>
        <v/>
      </c>
      <c r="F603" s="4">
        <f>Работы!R602</f>
        <v/>
      </c>
      <c r="G603" s="4">
        <f>(E603+F603)*D603</f>
        <v/>
      </c>
    </row>
    <row r="604">
      <c r="A604" s="9" t="n">
        <v>600</v>
      </c>
      <c r="B604" s="3">
        <f>Работы!B603</f>
        <v/>
      </c>
      <c r="C604" s="3">
        <f>Работы!C603</f>
        <v/>
      </c>
      <c r="D604" s="4">
        <f>Работы!D603</f>
        <v/>
      </c>
      <c r="E604" s="4">
        <f>Работы!S603</f>
        <v/>
      </c>
      <c r="F604" s="4">
        <f>Работы!R603</f>
        <v/>
      </c>
      <c r="G604" s="4">
        <f>(E604+F604)*D604</f>
        <v/>
      </c>
    </row>
    <row r="605">
      <c r="A605" s="9" t="n">
        <v>601</v>
      </c>
      <c r="B605" s="3">
        <f>Работы!B604</f>
        <v/>
      </c>
      <c r="C605" s="3">
        <f>Работы!C604</f>
        <v/>
      </c>
      <c r="D605" s="4">
        <f>Работы!D604</f>
        <v/>
      </c>
      <c r="E605" s="4">
        <f>Работы!S604</f>
        <v/>
      </c>
      <c r="F605" s="4">
        <f>Работы!R604</f>
        <v/>
      </c>
      <c r="G605" s="4">
        <f>(E605+F605)*D605</f>
        <v/>
      </c>
    </row>
    <row r="606">
      <c r="A606" s="9" t="n">
        <v>602</v>
      </c>
      <c r="B606" s="3">
        <f>Работы!B605</f>
        <v/>
      </c>
      <c r="C606" s="3">
        <f>Работы!C605</f>
        <v/>
      </c>
      <c r="D606" s="4">
        <f>Работы!D605</f>
        <v/>
      </c>
      <c r="E606" s="4">
        <f>Работы!S605</f>
        <v/>
      </c>
      <c r="F606" s="4">
        <f>Работы!R605</f>
        <v/>
      </c>
      <c r="G606" s="4">
        <f>(E606+F606)*D606</f>
        <v/>
      </c>
    </row>
    <row r="607">
      <c r="A607" s="9" t="n">
        <v>603</v>
      </c>
      <c r="B607" s="3">
        <f>Работы!B606</f>
        <v/>
      </c>
      <c r="C607" s="3">
        <f>Работы!C606</f>
        <v/>
      </c>
      <c r="D607" s="4">
        <f>Работы!D606</f>
        <v/>
      </c>
      <c r="E607" s="4">
        <f>Работы!S606</f>
        <v/>
      </c>
      <c r="F607" s="4">
        <f>Работы!R606</f>
        <v/>
      </c>
      <c r="G607" s="4">
        <f>(E607+F607)*D607</f>
        <v/>
      </c>
    </row>
    <row r="608">
      <c r="A608" s="9" t="n">
        <v>604</v>
      </c>
      <c r="B608" s="3">
        <f>Работы!B607</f>
        <v/>
      </c>
      <c r="C608" s="3">
        <f>Работы!C607</f>
        <v/>
      </c>
      <c r="D608" s="4">
        <f>Работы!D607</f>
        <v/>
      </c>
      <c r="E608" s="4">
        <f>Работы!S607</f>
        <v/>
      </c>
      <c r="F608" s="4">
        <f>Работы!R607</f>
        <v/>
      </c>
      <c r="G608" s="4">
        <f>(E608+F608)*D608</f>
        <v/>
      </c>
    </row>
    <row r="609">
      <c r="A609" s="9" t="n">
        <v>605</v>
      </c>
      <c r="B609" s="3">
        <f>Работы!B608</f>
        <v/>
      </c>
      <c r="C609" s="3">
        <f>Работы!C608</f>
        <v/>
      </c>
      <c r="D609" s="4">
        <f>Работы!D608</f>
        <v/>
      </c>
      <c r="E609" s="4">
        <f>Работы!S608</f>
        <v/>
      </c>
      <c r="F609" s="4">
        <f>Работы!R608</f>
        <v/>
      </c>
      <c r="G609" s="4">
        <f>(E609+F609)*D609</f>
        <v/>
      </c>
    </row>
    <row r="610">
      <c r="A610" s="9" t="n">
        <v>606</v>
      </c>
      <c r="B610" s="3">
        <f>Работы!B609</f>
        <v/>
      </c>
      <c r="C610" s="3">
        <f>Работы!C609</f>
        <v/>
      </c>
      <c r="D610" s="4">
        <f>Работы!D609</f>
        <v/>
      </c>
      <c r="E610" s="4">
        <f>Работы!S609</f>
        <v/>
      </c>
      <c r="F610" s="4">
        <f>Работы!R609</f>
        <v/>
      </c>
      <c r="G610" s="4">
        <f>(E610+F610)*D610</f>
        <v/>
      </c>
    </row>
    <row r="611">
      <c r="A611" s="9" t="n">
        <v>607</v>
      </c>
      <c r="B611" s="3">
        <f>Работы!B610</f>
        <v/>
      </c>
      <c r="C611" s="3">
        <f>Работы!C610</f>
        <v/>
      </c>
      <c r="D611" s="4">
        <f>Работы!D610</f>
        <v/>
      </c>
      <c r="E611" s="4">
        <f>Работы!S610</f>
        <v/>
      </c>
      <c r="F611" s="4">
        <f>Работы!R610</f>
        <v/>
      </c>
      <c r="G611" s="4">
        <f>(E611+F611)*D611</f>
        <v/>
      </c>
    </row>
    <row r="612">
      <c r="A612" s="9" t="n">
        <v>608</v>
      </c>
      <c r="B612" s="3">
        <f>Работы!B611</f>
        <v/>
      </c>
      <c r="C612" s="3">
        <f>Работы!C611</f>
        <v/>
      </c>
      <c r="D612" s="4">
        <f>Работы!D611</f>
        <v/>
      </c>
      <c r="E612" s="4">
        <f>Работы!S611</f>
        <v/>
      </c>
      <c r="F612" s="4">
        <f>Работы!R611</f>
        <v/>
      </c>
      <c r="G612" s="4">
        <f>(E612+F612)*D612</f>
        <v/>
      </c>
    </row>
    <row r="613">
      <c r="A613" s="9" t="n">
        <v>609</v>
      </c>
      <c r="B613" s="3">
        <f>Работы!B612</f>
        <v/>
      </c>
      <c r="C613" s="3">
        <f>Работы!C612</f>
        <v/>
      </c>
      <c r="D613" s="4">
        <f>Работы!D612</f>
        <v/>
      </c>
      <c r="E613" s="4">
        <f>Работы!S612</f>
        <v/>
      </c>
      <c r="F613" s="4">
        <f>Работы!R612</f>
        <v/>
      </c>
      <c r="G613" s="4">
        <f>(E613+F613)*D613</f>
        <v/>
      </c>
    </row>
    <row r="614">
      <c r="A614" s="9" t="n">
        <v>610</v>
      </c>
      <c r="B614" s="3">
        <f>Работы!B613</f>
        <v/>
      </c>
      <c r="C614" s="3">
        <f>Работы!C613</f>
        <v/>
      </c>
      <c r="D614" s="4">
        <f>Работы!D613</f>
        <v/>
      </c>
      <c r="E614" s="4">
        <f>Работы!S613</f>
        <v/>
      </c>
      <c r="F614" s="4">
        <f>Работы!R613</f>
        <v/>
      </c>
      <c r="G614" s="4">
        <f>(E614+F614)*D614</f>
        <v/>
      </c>
    </row>
    <row r="615">
      <c r="A615" s="9" t="n">
        <v>611</v>
      </c>
      <c r="B615" s="3">
        <f>Работы!B614</f>
        <v/>
      </c>
      <c r="C615" s="3">
        <f>Работы!C614</f>
        <v/>
      </c>
      <c r="D615" s="4">
        <f>Работы!D614</f>
        <v/>
      </c>
      <c r="E615" s="4">
        <f>Работы!S614</f>
        <v/>
      </c>
      <c r="F615" s="4">
        <f>Работы!R614</f>
        <v/>
      </c>
      <c r="G615" s="4">
        <f>(E615+F615)*D615</f>
        <v/>
      </c>
    </row>
    <row r="616">
      <c r="A616" s="9" t="n">
        <v>612</v>
      </c>
      <c r="B616" s="3">
        <f>Работы!B615</f>
        <v/>
      </c>
      <c r="C616" s="3">
        <f>Работы!C615</f>
        <v/>
      </c>
      <c r="D616" s="4">
        <f>Работы!D615</f>
        <v/>
      </c>
      <c r="E616" s="4">
        <f>Работы!S615</f>
        <v/>
      </c>
      <c r="F616" s="4">
        <f>Работы!R615</f>
        <v/>
      </c>
      <c r="G616" s="4">
        <f>(E616+F616)*D616</f>
        <v/>
      </c>
    </row>
    <row r="617">
      <c r="A617" s="9" t="n">
        <v>613</v>
      </c>
      <c r="B617" s="3">
        <f>Работы!B616</f>
        <v/>
      </c>
      <c r="C617" s="3">
        <f>Работы!C616</f>
        <v/>
      </c>
      <c r="D617" s="4">
        <f>Работы!D616</f>
        <v/>
      </c>
      <c r="E617" s="4">
        <f>Работы!S616</f>
        <v/>
      </c>
      <c r="F617" s="4">
        <f>Работы!R616</f>
        <v/>
      </c>
      <c r="G617" s="4">
        <f>(E617+F617)*D617</f>
        <v/>
      </c>
    </row>
    <row r="618">
      <c r="A618" s="9" t="n">
        <v>614</v>
      </c>
      <c r="B618" s="3">
        <f>Работы!B617</f>
        <v/>
      </c>
      <c r="C618" s="3">
        <f>Работы!C617</f>
        <v/>
      </c>
      <c r="D618" s="4">
        <f>Работы!D617</f>
        <v/>
      </c>
      <c r="E618" s="4">
        <f>Работы!S617</f>
        <v/>
      </c>
      <c r="F618" s="4">
        <f>Работы!R617</f>
        <v/>
      </c>
      <c r="G618" s="4">
        <f>(E618+F618)*D618</f>
        <v/>
      </c>
    </row>
    <row r="619">
      <c r="A619" s="9" t="n">
        <v>615</v>
      </c>
      <c r="B619" s="3">
        <f>Работы!B618</f>
        <v/>
      </c>
      <c r="C619" s="3">
        <f>Работы!C618</f>
        <v/>
      </c>
      <c r="D619" s="4">
        <f>Работы!D618</f>
        <v/>
      </c>
      <c r="E619" s="4">
        <f>Работы!S618</f>
        <v/>
      </c>
      <c r="F619" s="4">
        <f>Работы!R618</f>
        <v/>
      </c>
      <c r="G619" s="4">
        <f>(E619+F619)*D619</f>
        <v/>
      </c>
    </row>
    <row r="620">
      <c r="A620" s="9" t="n">
        <v>616</v>
      </c>
      <c r="B620" s="3">
        <f>Работы!B619</f>
        <v/>
      </c>
      <c r="C620" s="3">
        <f>Работы!C619</f>
        <v/>
      </c>
      <c r="D620" s="4">
        <f>Работы!D619</f>
        <v/>
      </c>
      <c r="E620" s="4">
        <f>Работы!S619</f>
        <v/>
      </c>
      <c r="F620" s="4">
        <f>Работы!R619</f>
        <v/>
      </c>
      <c r="G620" s="4">
        <f>(E620+F620)*D620</f>
        <v/>
      </c>
    </row>
    <row r="621">
      <c r="A621" s="9" t="n">
        <v>617</v>
      </c>
      <c r="B621" s="3">
        <f>Работы!B620</f>
        <v/>
      </c>
      <c r="C621" s="3">
        <f>Работы!C620</f>
        <v/>
      </c>
      <c r="D621" s="4">
        <f>Работы!D620</f>
        <v/>
      </c>
      <c r="E621" s="4">
        <f>Работы!S620</f>
        <v/>
      </c>
      <c r="F621" s="4">
        <f>Работы!R620</f>
        <v/>
      </c>
      <c r="G621" s="4">
        <f>(E621+F621)*D621</f>
        <v/>
      </c>
    </row>
    <row r="622">
      <c r="A622" s="9" t="n">
        <v>618</v>
      </c>
      <c r="B622" s="3">
        <f>Работы!B621</f>
        <v/>
      </c>
      <c r="C622" s="3">
        <f>Работы!C621</f>
        <v/>
      </c>
      <c r="D622" s="4">
        <f>Работы!D621</f>
        <v/>
      </c>
      <c r="E622" s="4">
        <f>Работы!S621</f>
        <v/>
      </c>
      <c r="F622" s="4">
        <f>Работы!R621</f>
        <v/>
      </c>
      <c r="G622" s="4">
        <f>(E622+F622)*D622</f>
        <v/>
      </c>
    </row>
    <row r="623">
      <c r="A623" s="9" t="n">
        <v>619</v>
      </c>
      <c r="B623" s="3">
        <f>Работы!B622</f>
        <v/>
      </c>
      <c r="C623" s="3">
        <f>Работы!C622</f>
        <v/>
      </c>
      <c r="D623" s="4">
        <f>Работы!D622</f>
        <v/>
      </c>
      <c r="E623" s="4">
        <f>Работы!S622</f>
        <v/>
      </c>
      <c r="F623" s="4">
        <f>Работы!R622</f>
        <v/>
      </c>
      <c r="G623" s="4">
        <f>(E623+F623)*D623</f>
        <v/>
      </c>
    </row>
    <row r="624">
      <c r="A624" s="9" t="n">
        <v>620</v>
      </c>
      <c r="B624" s="3">
        <f>Работы!B623</f>
        <v/>
      </c>
      <c r="C624" s="3">
        <f>Работы!C623</f>
        <v/>
      </c>
      <c r="D624" s="4">
        <f>Работы!D623</f>
        <v/>
      </c>
      <c r="E624" s="4">
        <f>Работы!S623</f>
        <v/>
      </c>
      <c r="F624" s="4">
        <f>Работы!R623</f>
        <v/>
      </c>
      <c r="G624" s="4">
        <f>(E624+F624)*D624</f>
        <v/>
      </c>
    </row>
    <row r="625">
      <c r="A625" s="9" t="n">
        <v>621</v>
      </c>
      <c r="B625" s="3">
        <f>Работы!B624</f>
        <v/>
      </c>
      <c r="C625" s="3">
        <f>Работы!C624</f>
        <v/>
      </c>
      <c r="D625" s="4">
        <f>Работы!D624</f>
        <v/>
      </c>
      <c r="E625" s="4">
        <f>Работы!S624</f>
        <v/>
      </c>
      <c r="F625" s="4">
        <f>Работы!R624</f>
        <v/>
      </c>
      <c r="G625" s="4">
        <f>(E625+F625)*D625</f>
        <v/>
      </c>
    </row>
    <row r="626">
      <c r="A626" s="9" t="n">
        <v>622</v>
      </c>
      <c r="B626" s="3">
        <f>Работы!B625</f>
        <v/>
      </c>
      <c r="C626" s="3">
        <f>Работы!C625</f>
        <v/>
      </c>
      <c r="D626" s="4">
        <f>Работы!D625</f>
        <v/>
      </c>
      <c r="E626" s="4">
        <f>Работы!S625</f>
        <v/>
      </c>
      <c r="F626" s="4">
        <f>Работы!R625</f>
        <v/>
      </c>
      <c r="G626" s="4">
        <f>(E626+F626)*D626</f>
        <v/>
      </c>
    </row>
    <row r="627">
      <c r="A627" s="9" t="n">
        <v>623</v>
      </c>
      <c r="B627" s="3">
        <f>Работы!B626</f>
        <v/>
      </c>
      <c r="C627" s="3">
        <f>Работы!C626</f>
        <v/>
      </c>
      <c r="D627" s="4">
        <f>Работы!D626</f>
        <v/>
      </c>
      <c r="E627" s="4">
        <f>Работы!S626</f>
        <v/>
      </c>
      <c r="F627" s="4">
        <f>Работы!R626</f>
        <v/>
      </c>
      <c r="G627" s="4">
        <f>(E627+F627)*D627</f>
        <v/>
      </c>
    </row>
    <row r="628">
      <c r="A628" s="9" t="n">
        <v>624</v>
      </c>
      <c r="B628" s="3">
        <f>Работы!B627</f>
        <v/>
      </c>
      <c r="C628" s="3">
        <f>Работы!C627</f>
        <v/>
      </c>
      <c r="D628" s="4">
        <f>Работы!D627</f>
        <v/>
      </c>
      <c r="E628" s="4">
        <f>Работы!S627</f>
        <v/>
      </c>
      <c r="F628" s="4">
        <f>Работы!R627</f>
        <v/>
      </c>
      <c r="G628" s="4">
        <f>(E628+F628)*D628</f>
        <v/>
      </c>
    </row>
    <row r="629">
      <c r="A629" s="9" t="n">
        <v>625</v>
      </c>
      <c r="B629" s="3">
        <f>Работы!B628</f>
        <v/>
      </c>
      <c r="C629" s="3">
        <f>Работы!C628</f>
        <v/>
      </c>
      <c r="D629" s="4">
        <f>Работы!D628</f>
        <v/>
      </c>
      <c r="E629" s="4">
        <f>Работы!S628</f>
        <v/>
      </c>
      <c r="F629" s="4">
        <f>Работы!R628</f>
        <v/>
      </c>
      <c r="G629" s="4">
        <f>(E629+F629)*D629</f>
        <v/>
      </c>
    </row>
    <row r="630">
      <c r="A630" s="9" t="n">
        <v>626</v>
      </c>
      <c r="B630" s="3">
        <f>Работы!B629</f>
        <v/>
      </c>
      <c r="C630" s="3">
        <f>Работы!C629</f>
        <v/>
      </c>
      <c r="D630" s="4">
        <f>Работы!D629</f>
        <v/>
      </c>
      <c r="E630" s="4">
        <f>Работы!S629</f>
        <v/>
      </c>
      <c r="F630" s="4">
        <f>Работы!R629</f>
        <v/>
      </c>
      <c r="G630" s="4">
        <f>(E630+F630)*D630</f>
        <v/>
      </c>
    </row>
    <row r="631">
      <c r="A631" s="9" t="n">
        <v>627</v>
      </c>
      <c r="B631" s="3">
        <f>Работы!B630</f>
        <v/>
      </c>
      <c r="C631" s="3">
        <f>Работы!C630</f>
        <v/>
      </c>
      <c r="D631" s="4">
        <f>Работы!D630</f>
        <v/>
      </c>
      <c r="E631" s="4">
        <f>Работы!S630</f>
        <v/>
      </c>
      <c r="F631" s="4">
        <f>Работы!R630</f>
        <v/>
      </c>
      <c r="G631" s="4">
        <f>(E631+F631)*D631</f>
        <v/>
      </c>
    </row>
    <row r="632">
      <c r="A632" s="9" t="n">
        <v>628</v>
      </c>
      <c r="B632" s="3">
        <f>Работы!B631</f>
        <v/>
      </c>
      <c r="C632" s="3">
        <f>Работы!C631</f>
        <v/>
      </c>
      <c r="D632" s="4">
        <f>Работы!D631</f>
        <v/>
      </c>
      <c r="E632" s="4">
        <f>Работы!S631</f>
        <v/>
      </c>
      <c r="F632" s="4">
        <f>Работы!R631</f>
        <v/>
      </c>
      <c r="G632" s="4">
        <f>(E632+F632)*D632</f>
        <v/>
      </c>
    </row>
    <row r="633">
      <c r="A633" s="9" t="n">
        <v>629</v>
      </c>
      <c r="B633" s="3">
        <f>Работы!B632</f>
        <v/>
      </c>
      <c r="C633" s="3">
        <f>Работы!C632</f>
        <v/>
      </c>
      <c r="D633" s="4">
        <f>Работы!D632</f>
        <v/>
      </c>
      <c r="E633" s="4">
        <f>Работы!S632</f>
        <v/>
      </c>
      <c r="F633" s="4">
        <f>Работы!R632</f>
        <v/>
      </c>
      <c r="G633" s="4">
        <f>(E633+F633)*D633</f>
        <v/>
      </c>
    </row>
    <row r="634">
      <c r="A634" s="9" t="n">
        <v>630</v>
      </c>
      <c r="B634" s="3">
        <f>Работы!B633</f>
        <v/>
      </c>
      <c r="C634" s="3">
        <f>Работы!C633</f>
        <v/>
      </c>
      <c r="D634" s="4">
        <f>Работы!D633</f>
        <v/>
      </c>
      <c r="E634" s="4">
        <f>Работы!S633</f>
        <v/>
      </c>
      <c r="F634" s="4">
        <f>Работы!R633</f>
        <v/>
      </c>
      <c r="G634" s="4">
        <f>(E634+F634)*D634</f>
        <v/>
      </c>
    </row>
    <row r="635">
      <c r="A635" s="9" t="n">
        <v>631</v>
      </c>
      <c r="B635" s="3">
        <f>Работы!B634</f>
        <v/>
      </c>
      <c r="C635" s="3">
        <f>Работы!C634</f>
        <v/>
      </c>
      <c r="D635" s="4">
        <f>Работы!D634</f>
        <v/>
      </c>
      <c r="E635" s="4">
        <f>Работы!S634</f>
        <v/>
      </c>
      <c r="F635" s="4">
        <f>Работы!R634</f>
        <v/>
      </c>
      <c r="G635" s="4">
        <f>(E635+F635)*D635</f>
        <v/>
      </c>
    </row>
    <row r="636">
      <c r="A636" s="9" t="n">
        <v>632</v>
      </c>
      <c r="B636" s="3">
        <f>Работы!B635</f>
        <v/>
      </c>
      <c r="C636" s="3">
        <f>Работы!C635</f>
        <v/>
      </c>
      <c r="D636" s="4">
        <f>Работы!D635</f>
        <v/>
      </c>
      <c r="E636" s="4">
        <f>Работы!S635</f>
        <v/>
      </c>
      <c r="F636" s="4">
        <f>Работы!R635</f>
        <v/>
      </c>
      <c r="G636" s="4">
        <f>(E636+F636)*D636</f>
        <v/>
      </c>
    </row>
    <row r="637">
      <c r="A637" s="9" t="n">
        <v>633</v>
      </c>
      <c r="B637" s="3">
        <f>Работы!B636</f>
        <v/>
      </c>
      <c r="C637" s="3">
        <f>Работы!C636</f>
        <v/>
      </c>
      <c r="D637" s="4">
        <f>Работы!D636</f>
        <v/>
      </c>
      <c r="E637" s="4">
        <f>Работы!S636</f>
        <v/>
      </c>
      <c r="F637" s="4">
        <f>Работы!R636</f>
        <v/>
      </c>
      <c r="G637" s="4">
        <f>(E637+F637)*D637</f>
        <v/>
      </c>
    </row>
    <row r="638">
      <c r="A638" s="9" t="n">
        <v>634</v>
      </c>
      <c r="B638" s="3">
        <f>Работы!B637</f>
        <v/>
      </c>
      <c r="C638" s="3">
        <f>Работы!C637</f>
        <v/>
      </c>
      <c r="D638" s="4">
        <f>Работы!D637</f>
        <v/>
      </c>
      <c r="E638" s="4">
        <f>Работы!S637</f>
        <v/>
      </c>
      <c r="F638" s="4">
        <f>Работы!R637</f>
        <v/>
      </c>
      <c r="G638" s="4">
        <f>(E638+F638)*D638</f>
        <v/>
      </c>
    </row>
    <row r="639">
      <c r="A639" s="9" t="n">
        <v>635</v>
      </c>
      <c r="B639" s="3">
        <f>Работы!B638</f>
        <v/>
      </c>
      <c r="C639" s="3">
        <f>Работы!C638</f>
        <v/>
      </c>
      <c r="D639" s="4">
        <f>Работы!D638</f>
        <v/>
      </c>
      <c r="E639" s="4">
        <f>Работы!S638</f>
        <v/>
      </c>
      <c r="F639" s="4">
        <f>Работы!R638</f>
        <v/>
      </c>
      <c r="G639" s="4">
        <f>(E639+F639)*D639</f>
        <v/>
      </c>
    </row>
    <row r="640">
      <c r="A640" s="9" t="n">
        <v>636</v>
      </c>
      <c r="B640" s="3">
        <f>Работы!B639</f>
        <v/>
      </c>
      <c r="C640" s="3">
        <f>Работы!C639</f>
        <v/>
      </c>
      <c r="D640" s="4">
        <f>Работы!D639</f>
        <v/>
      </c>
      <c r="E640" s="4">
        <f>Работы!S639</f>
        <v/>
      </c>
      <c r="F640" s="4">
        <f>Работы!R639</f>
        <v/>
      </c>
      <c r="G640" s="4">
        <f>(E640+F640)*D640</f>
        <v/>
      </c>
    </row>
    <row r="641">
      <c r="A641" s="9" t="n">
        <v>637</v>
      </c>
      <c r="B641" s="3">
        <f>Работы!B640</f>
        <v/>
      </c>
      <c r="C641" s="3">
        <f>Работы!C640</f>
        <v/>
      </c>
      <c r="D641" s="4">
        <f>Работы!D640</f>
        <v/>
      </c>
      <c r="E641" s="4">
        <f>Работы!S640</f>
        <v/>
      </c>
      <c r="F641" s="4">
        <f>Работы!R640</f>
        <v/>
      </c>
      <c r="G641" s="4">
        <f>(E641+F641)*D641</f>
        <v/>
      </c>
    </row>
    <row r="642">
      <c r="A642" s="9" t="n">
        <v>638</v>
      </c>
      <c r="B642" s="3">
        <f>Работы!B641</f>
        <v/>
      </c>
      <c r="C642" s="3">
        <f>Работы!C641</f>
        <v/>
      </c>
      <c r="D642" s="4">
        <f>Работы!D641</f>
        <v/>
      </c>
      <c r="E642" s="4">
        <f>Работы!S641</f>
        <v/>
      </c>
      <c r="F642" s="4">
        <f>Работы!R641</f>
        <v/>
      </c>
      <c r="G642" s="4">
        <f>(E642+F642)*D642</f>
        <v/>
      </c>
    </row>
    <row r="643">
      <c r="A643" s="9" t="n">
        <v>639</v>
      </c>
      <c r="B643" s="3">
        <f>Работы!B642</f>
        <v/>
      </c>
      <c r="C643" s="3">
        <f>Работы!C642</f>
        <v/>
      </c>
      <c r="D643" s="4">
        <f>Работы!D642</f>
        <v/>
      </c>
      <c r="E643" s="4">
        <f>Работы!S642</f>
        <v/>
      </c>
      <c r="F643" s="4">
        <f>Работы!R642</f>
        <v/>
      </c>
      <c r="G643" s="4">
        <f>(E643+F643)*D643</f>
        <v/>
      </c>
    </row>
    <row r="644">
      <c r="A644" s="9" t="n">
        <v>640</v>
      </c>
      <c r="B644" s="3">
        <f>Работы!B643</f>
        <v/>
      </c>
      <c r="C644" s="3">
        <f>Работы!C643</f>
        <v/>
      </c>
      <c r="D644" s="4">
        <f>Работы!D643</f>
        <v/>
      </c>
      <c r="E644" s="4">
        <f>Работы!S643</f>
        <v/>
      </c>
      <c r="F644" s="4">
        <f>Работы!R643</f>
        <v/>
      </c>
      <c r="G644" s="4">
        <f>(E644+F644)*D644</f>
        <v/>
      </c>
    </row>
    <row r="645">
      <c r="A645" s="9" t="n">
        <v>641</v>
      </c>
      <c r="B645" s="3">
        <f>Работы!B644</f>
        <v/>
      </c>
      <c r="C645" s="3">
        <f>Работы!C644</f>
        <v/>
      </c>
      <c r="D645" s="4">
        <f>Работы!D644</f>
        <v/>
      </c>
      <c r="E645" s="4">
        <f>Работы!S644</f>
        <v/>
      </c>
      <c r="F645" s="4">
        <f>Работы!R644</f>
        <v/>
      </c>
      <c r="G645" s="4">
        <f>(E645+F645)*D645</f>
        <v/>
      </c>
    </row>
    <row r="646">
      <c r="A646" s="9" t="n">
        <v>642</v>
      </c>
      <c r="B646" s="3">
        <f>Работы!B645</f>
        <v/>
      </c>
      <c r="C646" s="3">
        <f>Работы!C645</f>
        <v/>
      </c>
      <c r="D646" s="4">
        <f>Работы!D645</f>
        <v/>
      </c>
      <c r="E646" s="4">
        <f>Работы!S645</f>
        <v/>
      </c>
      <c r="F646" s="4">
        <f>Работы!R645</f>
        <v/>
      </c>
      <c r="G646" s="4">
        <f>(E646+F646)*D646</f>
        <v/>
      </c>
    </row>
    <row r="647">
      <c r="A647" s="9" t="n">
        <v>643</v>
      </c>
      <c r="B647" s="3">
        <f>Работы!B646</f>
        <v/>
      </c>
      <c r="C647" s="3">
        <f>Работы!C646</f>
        <v/>
      </c>
      <c r="D647" s="4">
        <f>Работы!D646</f>
        <v/>
      </c>
      <c r="E647" s="4">
        <f>Работы!S646</f>
        <v/>
      </c>
      <c r="F647" s="4">
        <f>Работы!R646</f>
        <v/>
      </c>
      <c r="G647" s="4">
        <f>(E647+F647)*D647</f>
        <v/>
      </c>
    </row>
    <row r="648">
      <c r="A648" s="9" t="n">
        <v>644</v>
      </c>
      <c r="B648" s="3">
        <f>Работы!B647</f>
        <v/>
      </c>
      <c r="C648" s="3">
        <f>Работы!C647</f>
        <v/>
      </c>
      <c r="D648" s="4">
        <f>Работы!D647</f>
        <v/>
      </c>
      <c r="E648" s="4">
        <f>Работы!S647</f>
        <v/>
      </c>
      <c r="F648" s="4">
        <f>Работы!R647</f>
        <v/>
      </c>
      <c r="G648" s="4">
        <f>(E648+F648)*D648</f>
        <v/>
      </c>
    </row>
    <row r="649">
      <c r="A649" s="9" t="n">
        <v>645</v>
      </c>
      <c r="B649" s="3">
        <f>Работы!B648</f>
        <v/>
      </c>
      <c r="C649" s="3">
        <f>Работы!C648</f>
        <v/>
      </c>
      <c r="D649" s="4">
        <f>Работы!D648</f>
        <v/>
      </c>
      <c r="E649" s="4">
        <f>Работы!S648</f>
        <v/>
      </c>
      <c r="F649" s="4">
        <f>Работы!R648</f>
        <v/>
      </c>
      <c r="G649" s="4">
        <f>(E649+F649)*D649</f>
        <v/>
      </c>
    </row>
    <row r="650">
      <c r="A650" s="9" t="n">
        <v>646</v>
      </c>
      <c r="B650" s="3">
        <f>Работы!B649</f>
        <v/>
      </c>
      <c r="C650" s="3">
        <f>Работы!C649</f>
        <v/>
      </c>
      <c r="D650" s="4">
        <f>Работы!D649</f>
        <v/>
      </c>
      <c r="E650" s="4">
        <f>Работы!S649</f>
        <v/>
      </c>
      <c r="F650" s="4">
        <f>Работы!R649</f>
        <v/>
      </c>
      <c r="G650" s="4">
        <f>(E650+F650)*D650</f>
        <v/>
      </c>
    </row>
    <row r="651">
      <c r="A651" s="9" t="n">
        <v>647</v>
      </c>
      <c r="B651" s="3">
        <f>Работы!B650</f>
        <v/>
      </c>
      <c r="C651" s="3">
        <f>Работы!C650</f>
        <v/>
      </c>
      <c r="D651" s="4">
        <f>Работы!D650</f>
        <v/>
      </c>
      <c r="E651" s="4">
        <f>Работы!S650</f>
        <v/>
      </c>
      <c r="F651" s="4">
        <f>Работы!R650</f>
        <v/>
      </c>
      <c r="G651" s="4">
        <f>(E651+F651)*D651</f>
        <v/>
      </c>
    </row>
    <row r="652">
      <c r="A652" s="9" t="n">
        <v>648</v>
      </c>
      <c r="B652" s="3">
        <f>Работы!B651</f>
        <v/>
      </c>
      <c r="C652" s="3">
        <f>Работы!C651</f>
        <v/>
      </c>
      <c r="D652" s="4">
        <f>Работы!D651</f>
        <v/>
      </c>
      <c r="E652" s="4">
        <f>Работы!S651</f>
        <v/>
      </c>
      <c r="F652" s="4">
        <f>Работы!R651</f>
        <v/>
      </c>
      <c r="G652" s="4">
        <f>(E652+F652)*D652</f>
        <v/>
      </c>
    </row>
    <row r="653">
      <c r="A653" s="9" t="n">
        <v>649</v>
      </c>
      <c r="B653" s="3">
        <f>Работы!B652</f>
        <v/>
      </c>
      <c r="C653" s="3">
        <f>Работы!C652</f>
        <v/>
      </c>
      <c r="D653" s="4">
        <f>Работы!D652</f>
        <v/>
      </c>
      <c r="E653" s="4">
        <f>Работы!S652</f>
        <v/>
      </c>
      <c r="F653" s="4">
        <f>Работы!R652</f>
        <v/>
      </c>
      <c r="G653" s="4">
        <f>(E653+F653)*D653</f>
        <v/>
      </c>
    </row>
    <row r="654">
      <c r="A654" s="9" t="n">
        <v>650</v>
      </c>
      <c r="B654" s="3">
        <f>Работы!B653</f>
        <v/>
      </c>
      <c r="C654" s="3">
        <f>Работы!C653</f>
        <v/>
      </c>
      <c r="D654" s="4">
        <f>Работы!D653</f>
        <v/>
      </c>
      <c r="E654" s="4">
        <f>Работы!S653</f>
        <v/>
      </c>
      <c r="F654" s="4">
        <f>Работы!R653</f>
        <v/>
      </c>
      <c r="G654" s="4">
        <f>(E654+F654)*D654</f>
        <v/>
      </c>
    </row>
    <row r="655">
      <c r="A655" s="9" t="n">
        <v>651</v>
      </c>
      <c r="B655" s="3">
        <f>Работы!B654</f>
        <v/>
      </c>
      <c r="C655" s="3">
        <f>Работы!C654</f>
        <v/>
      </c>
      <c r="D655" s="4">
        <f>Работы!D654</f>
        <v/>
      </c>
      <c r="E655" s="4">
        <f>Работы!S654</f>
        <v/>
      </c>
      <c r="F655" s="4">
        <f>Работы!R654</f>
        <v/>
      </c>
      <c r="G655" s="4">
        <f>(E655+F655)*D655</f>
        <v/>
      </c>
    </row>
    <row r="656">
      <c r="A656" s="9" t="n">
        <v>652</v>
      </c>
      <c r="B656" s="3">
        <f>Работы!B655</f>
        <v/>
      </c>
      <c r="C656" s="3">
        <f>Работы!C655</f>
        <v/>
      </c>
      <c r="D656" s="4">
        <f>Работы!D655</f>
        <v/>
      </c>
      <c r="E656" s="4">
        <f>Работы!S655</f>
        <v/>
      </c>
      <c r="F656" s="4">
        <f>Работы!R655</f>
        <v/>
      </c>
      <c r="G656" s="4">
        <f>(E656+F656)*D656</f>
        <v/>
      </c>
    </row>
    <row r="657">
      <c r="A657" s="9" t="n">
        <v>653</v>
      </c>
      <c r="B657" s="3">
        <f>Работы!B656</f>
        <v/>
      </c>
      <c r="C657" s="3">
        <f>Работы!C656</f>
        <v/>
      </c>
      <c r="D657" s="4">
        <f>Работы!D656</f>
        <v/>
      </c>
      <c r="E657" s="4">
        <f>Работы!S656</f>
        <v/>
      </c>
      <c r="F657" s="4">
        <f>Работы!R656</f>
        <v/>
      </c>
      <c r="G657" s="4">
        <f>(E657+F657)*D657</f>
        <v/>
      </c>
    </row>
    <row r="658">
      <c r="A658" s="9" t="n">
        <v>654</v>
      </c>
      <c r="B658" s="3">
        <f>Работы!B657</f>
        <v/>
      </c>
      <c r="C658" s="3">
        <f>Работы!C657</f>
        <v/>
      </c>
      <c r="D658" s="4">
        <f>Работы!D657</f>
        <v/>
      </c>
      <c r="E658" s="4">
        <f>Работы!S657</f>
        <v/>
      </c>
      <c r="F658" s="4">
        <f>Работы!R657</f>
        <v/>
      </c>
      <c r="G658" s="4">
        <f>(E658+F658)*D658</f>
        <v/>
      </c>
    </row>
    <row r="659">
      <c r="A659" s="9" t="n">
        <v>655</v>
      </c>
      <c r="B659" s="3">
        <f>Работы!B658</f>
        <v/>
      </c>
      <c r="C659" s="3">
        <f>Работы!C658</f>
        <v/>
      </c>
      <c r="D659" s="4">
        <f>Работы!D658</f>
        <v/>
      </c>
      <c r="E659" s="4">
        <f>Работы!S658</f>
        <v/>
      </c>
      <c r="F659" s="4">
        <f>Работы!R658</f>
        <v/>
      </c>
      <c r="G659" s="4">
        <f>(E659+F659)*D659</f>
        <v/>
      </c>
    </row>
    <row r="660">
      <c r="A660" s="9" t="n">
        <v>656</v>
      </c>
      <c r="B660" s="3">
        <f>Работы!B659</f>
        <v/>
      </c>
      <c r="C660" s="3">
        <f>Работы!C659</f>
        <v/>
      </c>
      <c r="D660" s="4">
        <f>Работы!D659</f>
        <v/>
      </c>
      <c r="E660" s="4">
        <f>Работы!S659</f>
        <v/>
      </c>
      <c r="F660" s="4">
        <f>Работы!R659</f>
        <v/>
      </c>
      <c r="G660" s="4">
        <f>(E660+F660)*D660</f>
        <v/>
      </c>
    </row>
    <row r="661">
      <c r="A661" s="9" t="n">
        <v>657</v>
      </c>
      <c r="B661" s="3">
        <f>Работы!B660</f>
        <v/>
      </c>
      <c r="C661" s="3">
        <f>Работы!C660</f>
        <v/>
      </c>
      <c r="D661" s="4">
        <f>Работы!D660</f>
        <v/>
      </c>
      <c r="E661" s="4">
        <f>Работы!S660</f>
        <v/>
      </c>
      <c r="F661" s="4">
        <f>Работы!R660</f>
        <v/>
      </c>
      <c r="G661" s="4">
        <f>(E661+F661)*D661</f>
        <v/>
      </c>
    </row>
    <row r="662">
      <c r="A662" s="9" t="n">
        <v>658</v>
      </c>
      <c r="B662" s="3">
        <f>Работы!B661</f>
        <v/>
      </c>
      <c r="C662" s="3">
        <f>Работы!C661</f>
        <v/>
      </c>
      <c r="D662" s="4">
        <f>Работы!D661</f>
        <v/>
      </c>
      <c r="E662" s="4">
        <f>Работы!S661</f>
        <v/>
      </c>
      <c r="F662" s="4">
        <f>Работы!R661</f>
        <v/>
      </c>
      <c r="G662" s="4">
        <f>(E662+F662)*D662</f>
        <v/>
      </c>
    </row>
    <row r="663">
      <c r="A663" s="9" t="n">
        <v>659</v>
      </c>
      <c r="B663" s="3">
        <f>Работы!B662</f>
        <v/>
      </c>
      <c r="C663" s="3">
        <f>Работы!C662</f>
        <v/>
      </c>
      <c r="D663" s="4">
        <f>Работы!D662</f>
        <v/>
      </c>
      <c r="E663" s="4">
        <f>Работы!S662</f>
        <v/>
      </c>
      <c r="F663" s="4">
        <f>Работы!R662</f>
        <v/>
      </c>
      <c r="G663" s="4">
        <f>(E663+F663)*D663</f>
        <v/>
      </c>
    </row>
    <row r="664">
      <c r="A664" s="9" t="n">
        <v>660</v>
      </c>
      <c r="B664" s="3">
        <f>Работы!B663</f>
        <v/>
      </c>
      <c r="C664" s="3">
        <f>Работы!C663</f>
        <v/>
      </c>
      <c r="D664" s="4">
        <f>Работы!D663</f>
        <v/>
      </c>
      <c r="E664" s="4">
        <f>Работы!S663</f>
        <v/>
      </c>
      <c r="F664" s="4">
        <f>Работы!R663</f>
        <v/>
      </c>
      <c r="G664" s="4">
        <f>(E664+F664)*D664</f>
        <v/>
      </c>
    </row>
    <row r="665">
      <c r="A665" s="9" t="n">
        <v>661</v>
      </c>
      <c r="B665" s="3">
        <f>Работы!B664</f>
        <v/>
      </c>
      <c r="C665" s="3">
        <f>Работы!C664</f>
        <v/>
      </c>
      <c r="D665" s="4">
        <f>Работы!D664</f>
        <v/>
      </c>
      <c r="E665" s="4">
        <f>Работы!S664</f>
        <v/>
      </c>
      <c r="F665" s="4">
        <f>Работы!R664</f>
        <v/>
      </c>
      <c r="G665" s="4">
        <f>(E665+F665)*D665</f>
        <v/>
      </c>
    </row>
    <row r="666">
      <c r="A666" s="9" t="n">
        <v>662</v>
      </c>
      <c r="B666" s="3">
        <f>Работы!B665</f>
        <v/>
      </c>
      <c r="C666" s="3">
        <f>Работы!C665</f>
        <v/>
      </c>
      <c r="D666" s="4">
        <f>Работы!D665</f>
        <v/>
      </c>
      <c r="E666" s="4">
        <f>Работы!S665</f>
        <v/>
      </c>
      <c r="F666" s="4">
        <f>Работы!R665</f>
        <v/>
      </c>
      <c r="G666" s="4">
        <f>(E666+F666)*D666</f>
        <v/>
      </c>
    </row>
    <row r="667">
      <c r="A667" s="9" t="n">
        <v>663</v>
      </c>
      <c r="B667" s="3">
        <f>Работы!B666</f>
        <v/>
      </c>
      <c r="C667" s="3">
        <f>Работы!C666</f>
        <v/>
      </c>
      <c r="D667" s="4">
        <f>Работы!D666</f>
        <v/>
      </c>
      <c r="E667" s="4">
        <f>Работы!S666</f>
        <v/>
      </c>
      <c r="F667" s="4">
        <f>Работы!R666</f>
        <v/>
      </c>
      <c r="G667" s="4">
        <f>(E667+F667)*D667</f>
        <v/>
      </c>
    </row>
    <row r="668">
      <c r="A668" s="9" t="n">
        <v>664</v>
      </c>
      <c r="B668" s="3">
        <f>Работы!B667</f>
        <v/>
      </c>
      <c r="C668" s="3">
        <f>Работы!C667</f>
        <v/>
      </c>
      <c r="D668" s="4">
        <f>Работы!D667</f>
        <v/>
      </c>
      <c r="E668" s="4">
        <f>Работы!S667</f>
        <v/>
      </c>
      <c r="F668" s="4">
        <f>Работы!R667</f>
        <v/>
      </c>
      <c r="G668" s="4">
        <f>(E668+F668)*D668</f>
        <v/>
      </c>
    </row>
    <row r="669">
      <c r="A669" s="9" t="n">
        <v>665</v>
      </c>
      <c r="B669" s="3">
        <f>Работы!B668</f>
        <v/>
      </c>
      <c r="C669" s="3">
        <f>Работы!C668</f>
        <v/>
      </c>
      <c r="D669" s="4">
        <f>Работы!D668</f>
        <v/>
      </c>
      <c r="E669" s="4">
        <f>Работы!S668</f>
        <v/>
      </c>
      <c r="F669" s="4">
        <f>Работы!R668</f>
        <v/>
      </c>
      <c r="G669" s="4">
        <f>(E669+F669)*D669</f>
        <v/>
      </c>
    </row>
    <row r="670">
      <c r="A670" s="9" t="n">
        <v>666</v>
      </c>
      <c r="B670" s="3">
        <f>Работы!B669</f>
        <v/>
      </c>
      <c r="C670" s="3">
        <f>Работы!C669</f>
        <v/>
      </c>
      <c r="D670" s="4">
        <f>Работы!D669</f>
        <v/>
      </c>
      <c r="E670" s="4">
        <f>Работы!S669</f>
        <v/>
      </c>
      <c r="F670" s="4">
        <f>Работы!R669</f>
        <v/>
      </c>
      <c r="G670" s="4">
        <f>(E670+F670)*D670</f>
        <v/>
      </c>
    </row>
    <row r="671">
      <c r="A671" s="9" t="n">
        <v>667</v>
      </c>
      <c r="B671" s="3">
        <f>Работы!B670</f>
        <v/>
      </c>
      <c r="C671" s="3">
        <f>Работы!C670</f>
        <v/>
      </c>
      <c r="D671" s="4">
        <f>Работы!D670</f>
        <v/>
      </c>
      <c r="E671" s="4">
        <f>Работы!S670</f>
        <v/>
      </c>
      <c r="F671" s="4">
        <f>Работы!R670</f>
        <v/>
      </c>
      <c r="G671" s="4">
        <f>(E671+F671)*D671</f>
        <v/>
      </c>
    </row>
    <row r="672">
      <c r="A672" s="9" t="n">
        <v>668</v>
      </c>
      <c r="B672" s="3">
        <f>Работы!B671</f>
        <v/>
      </c>
      <c r="C672" s="3">
        <f>Работы!C671</f>
        <v/>
      </c>
      <c r="D672" s="4">
        <f>Работы!D671</f>
        <v/>
      </c>
      <c r="E672" s="4">
        <f>Работы!S671</f>
        <v/>
      </c>
      <c r="F672" s="4">
        <f>Работы!R671</f>
        <v/>
      </c>
      <c r="G672" s="4">
        <f>(E672+F672)*D672</f>
        <v/>
      </c>
    </row>
    <row r="673">
      <c r="A673" s="9" t="n">
        <v>669</v>
      </c>
      <c r="B673" s="3">
        <f>Работы!B672</f>
        <v/>
      </c>
      <c r="C673" s="3">
        <f>Работы!C672</f>
        <v/>
      </c>
      <c r="D673" s="4">
        <f>Работы!D672</f>
        <v/>
      </c>
      <c r="E673" s="4">
        <f>Работы!S672</f>
        <v/>
      </c>
      <c r="F673" s="4">
        <f>Работы!R672</f>
        <v/>
      </c>
      <c r="G673" s="4">
        <f>(E673+F673)*D673</f>
        <v/>
      </c>
    </row>
    <row r="674">
      <c r="B674" s="15" t="inlineStr">
        <is>
          <t>Итого без НДС</t>
        </is>
      </c>
      <c r="G674" s="17">
        <f>SUM(G5:G673)</f>
        <v/>
      </c>
    </row>
    <row r="675">
      <c r="B675" s="15" t="inlineStr">
        <is>
          <t>НДС 22 %</t>
        </is>
      </c>
      <c r="G675" s="16">
        <f>G674*(VAT_DIV-1)</f>
        <v/>
      </c>
    </row>
    <row r="676">
      <c r="B676" s="15" t="inlineStr">
        <is>
          <t>Итого с НДС</t>
        </is>
      </c>
      <c r="G676" s="17">
        <f>G674*VAT_DIV</f>
        <v/>
      </c>
    </row>
  </sheetData>
  <autoFilter ref="A4:G4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передавать&amp;RООО «НЕОСТРОЙ»  |  стр. &amp;P из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Паспорт тендера</t>
        </is>
      </c>
    </row>
    <row r="2"/>
    <row r="3" ht="32" customHeight="1">
      <c r="A3" s="2" t="inlineStr">
        <is>
          <t>Поле</t>
        </is>
      </c>
      <c r="B3" s="2" t="inlineStr">
        <is>
          <t>Значение</t>
        </is>
      </c>
    </row>
    <row r="4">
      <c r="A4" s="9" t="inlineStr">
        <is>
          <t>Заказчик</t>
        </is>
      </c>
      <c r="B4" s="13" t="inlineStr">
        <is>
          <t>ООО «Интернет Решения»</t>
        </is>
      </c>
    </row>
    <row r="5">
      <c r="A5" s="9" t="inlineStr">
        <is>
          <t>Объект</t>
        </is>
      </c>
      <c r="B5" s="13" t="inlineStr">
        <is>
          <t>OZON склады МСК-2</t>
        </is>
      </c>
    </row>
    <row r="6">
      <c r="A6" s="9" t="inlineStr">
        <is>
          <t>Регион</t>
        </is>
      </c>
      <c r="B6" s="13" t="inlineStr">
        <is>
          <t>Москва и Подмосковье</t>
        </is>
      </c>
    </row>
    <row r="7">
      <c r="A7" s="9" t="inlineStr">
        <is>
          <t>Тип тендера</t>
        </is>
      </c>
      <c r="B7" s="13" t="inlineStr">
        <is>
          <t>Переторжка / 2 тур / вход к новому заказчику</t>
        </is>
      </c>
    </row>
    <row r="8">
      <c r="A8" s="9" t="inlineStr">
        <is>
          <t>Номер</t>
        </is>
      </c>
      <c r="B8" s="13" t="inlineStr">
        <is>
          <t>382-433, сделка Битрикс 1512</t>
        </is>
      </c>
    </row>
    <row r="9">
      <c r="A9" s="9" t="inlineStr">
        <is>
          <t>Заказчик</t>
        </is>
      </c>
      <c r="B9" s="13" t="inlineStr">
        <is>
          <t>ООО «Интернет Решения» (OZON)</t>
        </is>
      </c>
    </row>
    <row r="10">
      <c r="A10" s="9" t="inlineStr">
        <is>
          <t>Объект</t>
        </is>
      </c>
      <c r="B10" s="13" t="inlineStr">
        <is>
          <t>19 складов, Москва и Московская область, регион Москва-2</t>
        </is>
      </c>
    </row>
    <row r="11">
      <c r="A11" s="9" t="inlineStr">
        <is>
          <t>Срок</t>
        </is>
      </c>
      <c r="B11" s="13" t="inlineStr">
        <is>
          <t>2 года, круглосуточно, праздники по той же ставке</t>
        </is>
      </c>
    </row>
    <row r="12">
      <c r="A12" s="9" t="inlineStr">
        <is>
          <t>Мобилизация</t>
        </is>
      </c>
      <c r="B12" s="13" t="inlineStr">
        <is>
          <t>3 календарных дня с письменной заявки</t>
        </is>
      </c>
    </row>
    <row r="13">
      <c r="A13" s="9" t="inlineStr">
        <is>
          <t>Оплата</t>
        </is>
      </c>
      <c r="B13" s="13" t="inlineStr">
        <is>
          <t>постоплата 45 дней, акты 2 раза в месяц, аванса нет</t>
        </is>
      </c>
    </row>
    <row r="14">
      <c r="A14" s="9" t="inlineStr">
        <is>
          <t>Штраф</t>
        </is>
      </c>
      <c r="B14" s="13" t="inlineStr">
        <is>
          <t>20 000 руб/день просрочки или 10 % суммы месяца</t>
        </is>
      </c>
    </row>
    <row r="15">
      <c r="A15" s="9" t="inlineStr">
        <is>
          <t>Цены формы</t>
        </is>
      </c>
      <c r="B15" s="13" t="inlineStr">
        <is>
          <t>без НДС. Колонка E — цена услуги за единицу. N — материалы, O — работы</t>
        </is>
      </c>
    </row>
    <row r="16">
      <c r="A16" s="9" t="inlineStr">
        <is>
          <t>Объёмы</t>
        </is>
      </c>
      <c r="B16" s="13" t="inlineStr">
        <is>
          <t>одно число скопировано во все 19 колонок площадок и в N/O. В расчёте взято один раз как вес позиции</t>
        </is>
      </c>
    </row>
    <row r="17">
      <c r="A17" s="9" t="inlineStr">
        <is>
          <t>Тип тендера</t>
        </is>
      </c>
      <c r="B17" s="13" t="inlineStr">
        <is>
          <t>Вход к новому заказчику: первый прейскурант для OZON, торг ожидается. По содержанию это ТО по заявкам, целевая наценка входа 15–25 %</t>
        </is>
      </c>
    </row>
  </sheetData>
  <autoFilter ref="A3:B3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60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8" customWidth="1" min="3" max="3"/>
    <col width="36" customWidth="1" min="4" max="4"/>
    <col width="16" customWidth="1" min="5" max="5"/>
    <col width="14" customWidth="1" min="6" max="6"/>
    <col width="12" customWidth="1" min="7" max="7"/>
    <col width="40" customWidth="1" min="8" max="8"/>
  </cols>
  <sheetData>
    <row r="1">
      <c r="A1" t="inlineStr">
        <is>
          <t>Источник подтягивается с листа «Материалы».</t>
        </is>
      </c>
    </row>
    <row r="2"/>
    <row r="3" ht="32" customHeight="1">
      <c r="A3" s="2" t="inlineStr">
        <is>
          <t>Материал</t>
        </is>
      </c>
      <c r="B3" s="2" t="inlineStr">
        <is>
          <t>Ед.</t>
        </is>
      </c>
      <c r="C3" s="2" t="inlineStr">
        <is>
          <t>Магазин</t>
        </is>
      </c>
      <c r="D3" s="2" t="inlineStr">
        <is>
          <t>Ссылка</t>
        </is>
      </c>
      <c r="E3" s="2" t="inlineStr">
        <is>
          <t>Цена источника</t>
        </is>
      </c>
      <c r="F3" s="2" t="inlineStr">
        <is>
          <t>Цена б/НДС</t>
        </is>
      </c>
      <c r="G3" s="2" t="inlineStr">
        <is>
          <t>Дата</t>
        </is>
      </c>
      <c r="H3" s="2" t="inlineStr">
        <is>
          <t>Примечание</t>
        </is>
      </c>
    </row>
    <row r="4">
      <c r="A4" s="3">
        <f>Материалы!B4</f>
        <v/>
      </c>
      <c r="B4" s="3">
        <f>Материалы!D4</f>
        <v/>
      </c>
      <c r="C4" s="3">
        <f>Материалы!L4</f>
        <v/>
      </c>
      <c r="D4" s="3">
        <f>Материалы!M4</f>
        <v/>
      </c>
      <c r="E4" s="4">
        <f>Материалы!G4</f>
        <v/>
      </c>
      <c r="F4" s="4">
        <f>Материалы!P4</f>
        <v/>
      </c>
      <c r="G4" s="3">
        <f>Материалы!N4</f>
        <v/>
      </c>
      <c r="H4" s="3">
        <f>Материалы!O4</f>
        <v/>
      </c>
    </row>
    <row r="5">
      <c r="A5" s="3">
        <f>Материалы!B5</f>
        <v/>
      </c>
      <c r="B5" s="3">
        <f>Материалы!D5</f>
        <v/>
      </c>
      <c r="C5" s="3">
        <f>Материалы!L5</f>
        <v/>
      </c>
      <c r="D5" s="3">
        <f>Материалы!M5</f>
        <v/>
      </c>
      <c r="E5" s="4">
        <f>Материалы!G5</f>
        <v/>
      </c>
      <c r="F5" s="4">
        <f>Материалы!P5</f>
        <v/>
      </c>
      <c r="G5" s="3">
        <f>Материалы!N5</f>
        <v/>
      </c>
      <c r="H5" s="3">
        <f>Материалы!O5</f>
        <v/>
      </c>
    </row>
    <row r="6">
      <c r="A6" s="3">
        <f>Материалы!B6</f>
        <v/>
      </c>
      <c r="B6" s="3">
        <f>Материалы!D6</f>
        <v/>
      </c>
      <c r="C6" s="3">
        <f>Материалы!L6</f>
        <v/>
      </c>
      <c r="D6" s="3">
        <f>Материалы!M6</f>
        <v/>
      </c>
      <c r="E6" s="4">
        <f>Материалы!G6</f>
        <v/>
      </c>
      <c r="F6" s="4">
        <f>Материалы!P6</f>
        <v/>
      </c>
      <c r="G6" s="3">
        <f>Материалы!N6</f>
        <v/>
      </c>
      <c r="H6" s="3">
        <f>Материалы!O6</f>
        <v/>
      </c>
    </row>
    <row r="7">
      <c r="A7" s="3">
        <f>Материалы!B7</f>
        <v/>
      </c>
      <c r="B7" s="3">
        <f>Материалы!D7</f>
        <v/>
      </c>
      <c r="C7" s="3">
        <f>Материалы!L7</f>
        <v/>
      </c>
      <c r="D7" s="3">
        <f>Материалы!M7</f>
        <v/>
      </c>
      <c r="E7" s="4">
        <f>Материалы!G7</f>
        <v/>
      </c>
      <c r="F7" s="4">
        <f>Материалы!P7</f>
        <v/>
      </c>
      <c r="G7" s="3">
        <f>Материалы!N7</f>
        <v/>
      </c>
      <c r="H7" s="3">
        <f>Материалы!O7</f>
        <v/>
      </c>
    </row>
    <row r="8">
      <c r="A8" s="3">
        <f>Материалы!B8</f>
        <v/>
      </c>
      <c r="B8" s="3">
        <f>Материалы!D8</f>
        <v/>
      </c>
      <c r="C8" s="3">
        <f>Материалы!L8</f>
        <v/>
      </c>
      <c r="D8" s="3">
        <f>Материалы!M8</f>
        <v/>
      </c>
      <c r="E8" s="4">
        <f>Материалы!G8</f>
        <v/>
      </c>
      <c r="F8" s="4">
        <f>Материалы!P8</f>
        <v/>
      </c>
      <c r="G8" s="3">
        <f>Материалы!N8</f>
        <v/>
      </c>
      <c r="H8" s="3">
        <f>Материалы!O8</f>
        <v/>
      </c>
    </row>
    <row r="9">
      <c r="A9" s="3">
        <f>Материалы!B9</f>
        <v/>
      </c>
      <c r="B9" s="3">
        <f>Материалы!D9</f>
        <v/>
      </c>
      <c r="C9" s="3">
        <f>Материалы!L9</f>
        <v/>
      </c>
      <c r="D9" s="3">
        <f>Материалы!M9</f>
        <v/>
      </c>
      <c r="E9" s="4">
        <f>Материалы!G9</f>
        <v/>
      </c>
      <c r="F9" s="4">
        <f>Материалы!P9</f>
        <v/>
      </c>
      <c r="G9" s="3">
        <f>Материалы!N9</f>
        <v/>
      </c>
      <c r="H9" s="3">
        <f>Материалы!O9</f>
        <v/>
      </c>
    </row>
    <row r="10">
      <c r="A10" s="3">
        <f>Материалы!B10</f>
        <v/>
      </c>
      <c r="B10" s="3">
        <f>Материалы!D10</f>
        <v/>
      </c>
      <c r="C10" s="3">
        <f>Материалы!L10</f>
        <v/>
      </c>
      <c r="D10" s="3">
        <f>Материалы!M10</f>
        <v/>
      </c>
      <c r="E10" s="4">
        <f>Материалы!G10</f>
        <v/>
      </c>
      <c r="F10" s="4">
        <f>Материалы!P10</f>
        <v/>
      </c>
      <c r="G10" s="3">
        <f>Материалы!N10</f>
        <v/>
      </c>
      <c r="H10" s="3">
        <f>Материалы!O10</f>
        <v/>
      </c>
    </row>
    <row r="11">
      <c r="A11" s="3">
        <f>Материалы!B11</f>
        <v/>
      </c>
      <c r="B11" s="3">
        <f>Материалы!D11</f>
        <v/>
      </c>
      <c r="C11" s="3">
        <f>Материалы!L11</f>
        <v/>
      </c>
      <c r="D11" s="3">
        <f>Материалы!M11</f>
        <v/>
      </c>
      <c r="E11" s="4">
        <f>Материалы!G11</f>
        <v/>
      </c>
      <c r="F11" s="4">
        <f>Материалы!P11</f>
        <v/>
      </c>
      <c r="G11" s="3">
        <f>Материалы!N11</f>
        <v/>
      </c>
      <c r="H11" s="3">
        <f>Материалы!O11</f>
        <v/>
      </c>
    </row>
    <row r="12">
      <c r="A12" s="3">
        <f>Материалы!B12</f>
        <v/>
      </c>
      <c r="B12" s="3">
        <f>Материалы!D12</f>
        <v/>
      </c>
      <c r="C12" s="3">
        <f>Материалы!L12</f>
        <v/>
      </c>
      <c r="D12" s="3">
        <f>Материалы!M12</f>
        <v/>
      </c>
      <c r="E12" s="4">
        <f>Материалы!G12</f>
        <v/>
      </c>
      <c r="F12" s="4">
        <f>Материалы!P12</f>
        <v/>
      </c>
      <c r="G12" s="3">
        <f>Материалы!N12</f>
        <v/>
      </c>
      <c r="H12" s="3">
        <f>Материалы!O12</f>
        <v/>
      </c>
    </row>
    <row r="13">
      <c r="A13" s="3">
        <f>Материалы!B13</f>
        <v/>
      </c>
      <c r="B13" s="3">
        <f>Материалы!D13</f>
        <v/>
      </c>
      <c r="C13" s="3">
        <f>Материалы!L13</f>
        <v/>
      </c>
      <c r="D13" s="3">
        <f>Материалы!M13</f>
        <v/>
      </c>
      <c r="E13" s="4">
        <f>Материалы!G13</f>
        <v/>
      </c>
      <c r="F13" s="4">
        <f>Материалы!P13</f>
        <v/>
      </c>
      <c r="G13" s="3">
        <f>Материалы!N13</f>
        <v/>
      </c>
      <c r="H13" s="3">
        <f>Материалы!O13</f>
        <v/>
      </c>
    </row>
    <row r="14">
      <c r="A14" s="3">
        <f>Материалы!B14</f>
        <v/>
      </c>
      <c r="B14" s="3">
        <f>Материалы!D14</f>
        <v/>
      </c>
      <c r="C14" s="3">
        <f>Материалы!L14</f>
        <v/>
      </c>
      <c r="D14" s="3">
        <f>Материалы!M14</f>
        <v/>
      </c>
      <c r="E14" s="4">
        <f>Материалы!G14</f>
        <v/>
      </c>
      <c r="F14" s="4">
        <f>Материалы!P14</f>
        <v/>
      </c>
      <c r="G14" s="3">
        <f>Материалы!N14</f>
        <v/>
      </c>
      <c r="H14" s="3">
        <f>Материалы!O14</f>
        <v/>
      </c>
    </row>
    <row r="15">
      <c r="A15" s="3">
        <f>Материалы!B15</f>
        <v/>
      </c>
      <c r="B15" s="3">
        <f>Материалы!D15</f>
        <v/>
      </c>
      <c r="C15" s="3">
        <f>Материалы!L15</f>
        <v/>
      </c>
      <c r="D15" s="3">
        <f>Материалы!M15</f>
        <v/>
      </c>
      <c r="E15" s="4">
        <f>Материалы!G15</f>
        <v/>
      </c>
      <c r="F15" s="4">
        <f>Материалы!P15</f>
        <v/>
      </c>
      <c r="G15" s="3">
        <f>Материалы!N15</f>
        <v/>
      </c>
      <c r="H15" s="3">
        <f>Материалы!O15</f>
        <v/>
      </c>
    </row>
    <row r="16">
      <c r="A16" s="3">
        <f>Материалы!B16</f>
        <v/>
      </c>
      <c r="B16" s="3">
        <f>Материалы!D16</f>
        <v/>
      </c>
      <c r="C16" s="3">
        <f>Материалы!L16</f>
        <v/>
      </c>
      <c r="D16" s="3">
        <f>Материалы!M16</f>
        <v/>
      </c>
      <c r="E16" s="4">
        <f>Материалы!G16</f>
        <v/>
      </c>
      <c r="F16" s="4">
        <f>Материалы!P16</f>
        <v/>
      </c>
      <c r="G16" s="3">
        <f>Материалы!N16</f>
        <v/>
      </c>
      <c r="H16" s="3">
        <f>Материалы!O16</f>
        <v/>
      </c>
    </row>
    <row r="17">
      <c r="A17" s="3">
        <f>Материалы!B17</f>
        <v/>
      </c>
      <c r="B17" s="3">
        <f>Материалы!D17</f>
        <v/>
      </c>
      <c r="C17" s="3">
        <f>Материалы!L17</f>
        <v/>
      </c>
      <c r="D17" s="3">
        <f>Материалы!M17</f>
        <v/>
      </c>
      <c r="E17" s="4">
        <f>Материалы!G17</f>
        <v/>
      </c>
      <c r="F17" s="4">
        <f>Материалы!P17</f>
        <v/>
      </c>
      <c r="G17" s="3">
        <f>Материалы!N17</f>
        <v/>
      </c>
      <c r="H17" s="3">
        <f>Материалы!O17</f>
        <v/>
      </c>
    </row>
    <row r="18">
      <c r="A18" s="3">
        <f>Материалы!B18</f>
        <v/>
      </c>
      <c r="B18" s="3">
        <f>Материалы!D18</f>
        <v/>
      </c>
      <c r="C18" s="3">
        <f>Материалы!L18</f>
        <v/>
      </c>
      <c r="D18" s="3">
        <f>Материалы!M18</f>
        <v/>
      </c>
      <c r="E18" s="4">
        <f>Материалы!G18</f>
        <v/>
      </c>
      <c r="F18" s="4">
        <f>Материалы!P18</f>
        <v/>
      </c>
      <c r="G18" s="3">
        <f>Материалы!N18</f>
        <v/>
      </c>
      <c r="H18" s="3">
        <f>Материалы!O18</f>
        <v/>
      </c>
    </row>
    <row r="19">
      <c r="A19" s="3">
        <f>Материалы!B19</f>
        <v/>
      </c>
      <c r="B19" s="3">
        <f>Материалы!D19</f>
        <v/>
      </c>
      <c r="C19" s="3">
        <f>Материалы!L19</f>
        <v/>
      </c>
      <c r="D19" s="3">
        <f>Материалы!M19</f>
        <v/>
      </c>
      <c r="E19" s="4">
        <f>Материалы!G19</f>
        <v/>
      </c>
      <c r="F19" s="4">
        <f>Материалы!P19</f>
        <v/>
      </c>
      <c r="G19" s="3">
        <f>Материалы!N19</f>
        <v/>
      </c>
      <c r="H19" s="3">
        <f>Материалы!O19</f>
        <v/>
      </c>
    </row>
    <row r="20">
      <c r="A20" s="3">
        <f>Материалы!B20</f>
        <v/>
      </c>
      <c r="B20" s="3">
        <f>Материалы!D20</f>
        <v/>
      </c>
      <c r="C20" s="3">
        <f>Материалы!L20</f>
        <v/>
      </c>
      <c r="D20" s="3">
        <f>Материалы!M20</f>
        <v/>
      </c>
      <c r="E20" s="4">
        <f>Материалы!G20</f>
        <v/>
      </c>
      <c r="F20" s="4">
        <f>Материалы!P20</f>
        <v/>
      </c>
      <c r="G20" s="3">
        <f>Материалы!N20</f>
        <v/>
      </c>
      <c r="H20" s="3">
        <f>Материалы!O20</f>
        <v/>
      </c>
    </row>
    <row r="21">
      <c r="A21" s="3">
        <f>Материалы!B21</f>
        <v/>
      </c>
      <c r="B21" s="3">
        <f>Материалы!D21</f>
        <v/>
      </c>
      <c r="C21" s="3">
        <f>Материалы!L21</f>
        <v/>
      </c>
      <c r="D21" s="3">
        <f>Материалы!M21</f>
        <v/>
      </c>
      <c r="E21" s="4">
        <f>Материалы!G21</f>
        <v/>
      </c>
      <c r="F21" s="4">
        <f>Материалы!P21</f>
        <v/>
      </c>
      <c r="G21" s="3">
        <f>Материалы!N21</f>
        <v/>
      </c>
      <c r="H21" s="3">
        <f>Материалы!O21</f>
        <v/>
      </c>
    </row>
    <row r="22">
      <c r="A22" s="3">
        <f>Материалы!B22</f>
        <v/>
      </c>
      <c r="B22" s="3">
        <f>Материалы!D22</f>
        <v/>
      </c>
      <c r="C22" s="3">
        <f>Материалы!L22</f>
        <v/>
      </c>
      <c r="D22" s="3">
        <f>Материалы!M22</f>
        <v/>
      </c>
      <c r="E22" s="4">
        <f>Материалы!G22</f>
        <v/>
      </c>
      <c r="F22" s="4">
        <f>Материалы!P22</f>
        <v/>
      </c>
      <c r="G22" s="3">
        <f>Материалы!N22</f>
        <v/>
      </c>
      <c r="H22" s="3">
        <f>Материалы!O22</f>
        <v/>
      </c>
    </row>
    <row r="23">
      <c r="A23" s="3">
        <f>Материалы!B23</f>
        <v/>
      </c>
      <c r="B23" s="3">
        <f>Материалы!D23</f>
        <v/>
      </c>
      <c r="C23" s="3">
        <f>Материалы!L23</f>
        <v/>
      </c>
      <c r="D23" s="3">
        <f>Материалы!M23</f>
        <v/>
      </c>
      <c r="E23" s="4">
        <f>Материалы!G23</f>
        <v/>
      </c>
      <c r="F23" s="4">
        <f>Материалы!P23</f>
        <v/>
      </c>
      <c r="G23" s="3">
        <f>Материалы!N23</f>
        <v/>
      </c>
      <c r="H23" s="3">
        <f>Материалы!O23</f>
        <v/>
      </c>
    </row>
    <row r="24">
      <c r="A24" s="3">
        <f>Материалы!B24</f>
        <v/>
      </c>
      <c r="B24" s="3">
        <f>Материалы!D24</f>
        <v/>
      </c>
      <c r="C24" s="3">
        <f>Материалы!L24</f>
        <v/>
      </c>
      <c r="D24" s="3">
        <f>Материалы!M24</f>
        <v/>
      </c>
      <c r="E24" s="4">
        <f>Материалы!G24</f>
        <v/>
      </c>
      <c r="F24" s="4">
        <f>Материалы!P24</f>
        <v/>
      </c>
      <c r="G24" s="3">
        <f>Материалы!N24</f>
        <v/>
      </c>
      <c r="H24" s="3">
        <f>Материалы!O24</f>
        <v/>
      </c>
    </row>
    <row r="25">
      <c r="A25" s="3">
        <f>Материалы!B25</f>
        <v/>
      </c>
      <c r="B25" s="3">
        <f>Материалы!D25</f>
        <v/>
      </c>
      <c r="C25" s="3">
        <f>Материалы!L25</f>
        <v/>
      </c>
      <c r="D25" s="3">
        <f>Материалы!M25</f>
        <v/>
      </c>
      <c r="E25" s="4">
        <f>Материалы!G25</f>
        <v/>
      </c>
      <c r="F25" s="4">
        <f>Материалы!P25</f>
        <v/>
      </c>
      <c r="G25" s="3">
        <f>Материалы!N25</f>
        <v/>
      </c>
      <c r="H25" s="3">
        <f>Материалы!O25</f>
        <v/>
      </c>
    </row>
    <row r="26">
      <c r="A26" s="3">
        <f>Материалы!B26</f>
        <v/>
      </c>
      <c r="B26" s="3">
        <f>Материалы!D26</f>
        <v/>
      </c>
      <c r="C26" s="3">
        <f>Материалы!L26</f>
        <v/>
      </c>
      <c r="D26" s="3">
        <f>Материалы!M26</f>
        <v/>
      </c>
      <c r="E26" s="4">
        <f>Материалы!G26</f>
        <v/>
      </c>
      <c r="F26" s="4">
        <f>Материалы!P26</f>
        <v/>
      </c>
      <c r="G26" s="3">
        <f>Материалы!N26</f>
        <v/>
      </c>
      <c r="H26" s="3">
        <f>Материалы!O26</f>
        <v/>
      </c>
    </row>
    <row r="27">
      <c r="A27" s="3">
        <f>Материалы!B27</f>
        <v/>
      </c>
      <c r="B27" s="3">
        <f>Материалы!D27</f>
        <v/>
      </c>
      <c r="C27" s="3">
        <f>Материалы!L27</f>
        <v/>
      </c>
      <c r="D27" s="3">
        <f>Материалы!M27</f>
        <v/>
      </c>
      <c r="E27" s="4">
        <f>Материалы!G27</f>
        <v/>
      </c>
      <c r="F27" s="4">
        <f>Материалы!P27</f>
        <v/>
      </c>
      <c r="G27" s="3">
        <f>Материалы!N27</f>
        <v/>
      </c>
      <c r="H27" s="3">
        <f>Материалы!O27</f>
        <v/>
      </c>
    </row>
    <row r="28">
      <c r="A28" s="3">
        <f>Материалы!B28</f>
        <v/>
      </c>
      <c r="B28" s="3">
        <f>Материалы!D28</f>
        <v/>
      </c>
      <c r="C28" s="3">
        <f>Материалы!L28</f>
        <v/>
      </c>
      <c r="D28" s="3">
        <f>Материалы!M28</f>
        <v/>
      </c>
      <c r="E28" s="4">
        <f>Материалы!G28</f>
        <v/>
      </c>
      <c r="F28" s="4">
        <f>Материалы!P28</f>
        <v/>
      </c>
      <c r="G28" s="3">
        <f>Материалы!N28</f>
        <v/>
      </c>
      <c r="H28" s="3">
        <f>Материалы!O28</f>
        <v/>
      </c>
    </row>
    <row r="29">
      <c r="A29" s="3">
        <f>Материалы!B29</f>
        <v/>
      </c>
      <c r="B29" s="3">
        <f>Материалы!D29</f>
        <v/>
      </c>
      <c r="C29" s="3">
        <f>Материалы!L29</f>
        <v/>
      </c>
      <c r="D29" s="3">
        <f>Материалы!M29</f>
        <v/>
      </c>
      <c r="E29" s="4">
        <f>Материалы!G29</f>
        <v/>
      </c>
      <c r="F29" s="4">
        <f>Материалы!P29</f>
        <v/>
      </c>
      <c r="G29" s="3">
        <f>Материалы!N29</f>
        <v/>
      </c>
      <c r="H29" s="3">
        <f>Материалы!O29</f>
        <v/>
      </c>
    </row>
    <row r="30">
      <c r="A30" s="3">
        <f>Материалы!B30</f>
        <v/>
      </c>
      <c r="B30" s="3">
        <f>Материалы!D30</f>
        <v/>
      </c>
      <c r="C30" s="3">
        <f>Материалы!L30</f>
        <v/>
      </c>
      <c r="D30" s="3">
        <f>Материалы!M30</f>
        <v/>
      </c>
      <c r="E30" s="4">
        <f>Материалы!G30</f>
        <v/>
      </c>
      <c r="F30" s="4">
        <f>Материалы!P30</f>
        <v/>
      </c>
      <c r="G30" s="3">
        <f>Материалы!N30</f>
        <v/>
      </c>
      <c r="H30" s="3">
        <f>Материалы!O30</f>
        <v/>
      </c>
    </row>
    <row r="31">
      <c r="A31" s="3">
        <f>Материалы!B31</f>
        <v/>
      </c>
      <c r="B31" s="3">
        <f>Материалы!D31</f>
        <v/>
      </c>
      <c r="C31" s="3">
        <f>Материалы!L31</f>
        <v/>
      </c>
      <c r="D31" s="3">
        <f>Материалы!M31</f>
        <v/>
      </c>
      <c r="E31" s="4">
        <f>Материалы!G31</f>
        <v/>
      </c>
      <c r="F31" s="4">
        <f>Материалы!P31</f>
        <v/>
      </c>
      <c r="G31" s="3">
        <f>Материалы!N31</f>
        <v/>
      </c>
      <c r="H31" s="3">
        <f>Материалы!O31</f>
        <v/>
      </c>
    </row>
    <row r="32">
      <c r="A32" s="3">
        <f>Материалы!B32</f>
        <v/>
      </c>
      <c r="B32" s="3">
        <f>Материалы!D32</f>
        <v/>
      </c>
      <c r="C32" s="3">
        <f>Материалы!L32</f>
        <v/>
      </c>
      <c r="D32" s="3">
        <f>Материалы!M32</f>
        <v/>
      </c>
      <c r="E32" s="4">
        <f>Материалы!G32</f>
        <v/>
      </c>
      <c r="F32" s="4">
        <f>Материалы!P32</f>
        <v/>
      </c>
      <c r="G32" s="3">
        <f>Материалы!N32</f>
        <v/>
      </c>
      <c r="H32" s="3">
        <f>Материалы!O32</f>
        <v/>
      </c>
    </row>
    <row r="33">
      <c r="A33" s="3">
        <f>Материалы!B33</f>
        <v/>
      </c>
      <c r="B33" s="3">
        <f>Материалы!D33</f>
        <v/>
      </c>
      <c r="C33" s="3">
        <f>Материалы!L33</f>
        <v/>
      </c>
      <c r="D33" s="3">
        <f>Материалы!M33</f>
        <v/>
      </c>
      <c r="E33" s="4">
        <f>Материалы!G33</f>
        <v/>
      </c>
      <c r="F33" s="4">
        <f>Материалы!P33</f>
        <v/>
      </c>
      <c r="G33" s="3">
        <f>Материалы!N33</f>
        <v/>
      </c>
      <c r="H33" s="3">
        <f>Материалы!O33</f>
        <v/>
      </c>
    </row>
    <row r="34">
      <c r="A34" s="3">
        <f>Материалы!B34</f>
        <v/>
      </c>
      <c r="B34" s="3">
        <f>Материалы!D34</f>
        <v/>
      </c>
      <c r="C34" s="3">
        <f>Материалы!L34</f>
        <v/>
      </c>
      <c r="D34" s="3">
        <f>Материалы!M34</f>
        <v/>
      </c>
      <c r="E34" s="4">
        <f>Материалы!G34</f>
        <v/>
      </c>
      <c r="F34" s="4">
        <f>Материалы!P34</f>
        <v/>
      </c>
      <c r="G34" s="3">
        <f>Материалы!N34</f>
        <v/>
      </c>
      <c r="H34" s="3">
        <f>Материалы!O34</f>
        <v/>
      </c>
    </row>
    <row r="35">
      <c r="A35" s="3">
        <f>Материалы!B35</f>
        <v/>
      </c>
      <c r="B35" s="3">
        <f>Материалы!D35</f>
        <v/>
      </c>
      <c r="C35" s="3">
        <f>Материалы!L35</f>
        <v/>
      </c>
      <c r="D35" s="3">
        <f>Материалы!M35</f>
        <v/>
      </c>
      <c r="E35" s="4">
        <f>Материалы!G35</f>
        <v/>
      </c>
      <c r="F35" s="4">
        <f>Материалы!P35</f>
        <v/>
      </c>
      <c r="G35" s="3">
        <f>Материалы!N35</f>
        <v/>
      </c>
      <c r="H35" s="3">
        <f>Материалы!O35</f>
        <v/>
      </c>
    </row>
    <row r="36">
      <c r="A36" s="3">
        <f>Материалы!B36</f>
        <v/>
      </c>
      <c r="B36" s="3">
        <f>Материалы!D36</f>
        <v/>
      </c>
      <c r="C36" s="3">
        <f>Материалы!L36</f>
        <v/>
      </c>
      <c r="D36" s="3">
        <f>Материалы!M36</f>
        <v/>
      </c>
      <c r="E36" s="4">
        <f>Материалы!G36</f>
        <v/>
      </c>
      <c r="F36" s="4">
        <f>Материалы!P36</f>
        <v/>
      </c>
      <c r="G36" s="3">
        <f>Материалы!N36</f>
        <v/>
      </c>
      <c r="H36" s="3">
        <f>Материалы!O36</f>
        <v/>
      </c>
    </row>
    <row r="37">
      <c r="A37" s="3">
        <f>Материалы!B37</f>
        <v/>
      </c>
      <c r="B37" s="3">
        <f>Материалы!D37</f>
        <v/>
      </c>
      <c r="C37" s="3">
        <f>Материалы!L37</f>
        <v/>
      </c>
      <c r="D37" s="3">
        <f>Материалы!M37</f>
        <v/>
      </c>
      <c r="E37" s="4">
        <f>Материалы!G37</f>
        <v/>
      </c>
      <c r="F37" s="4">
        <f>Материалы!P37</f>
        <v/>
      </c>
      <c r="G37" s="3">
        <f>Материалы!N37</f>
        <v/>
      </c>
      <c r="H37" s="3">
        <f>Материалы!O37</f>
        <v/>
      </c>
    </row>
    <row r="38">
      <c r="A38" s="3">
        <f>Материалы!B38</f>
        <v/>
      </c>
      <c r="B38" s="3">
        <f>Материалы!D38</f>
        <v/>
      </c>
      <c r="C38" s="3">
        <f>Материалы!L38</f>
        <v/>
      </c>
      <c r="D38" s="3">
        <f>Материалы!M38</f>
        <v/>
      </c>
      <c r="E38" s="4">
        <f>Материалы!G38</f>
        <v/>
      </c>
      <c r="F38" s="4">
        <f>Материалы!P38</f>
        <v/>
      </c>
      <c r="G38" s="3">
        <f>Материалы!N38</f>
        <v/>
      </c>
      <c r="H38" s="3">
        <f>Материалы!O38</f>
        <v/>
      </c>
    </row>
    <row r="39">
      <c r="A39" s="3">
        <f>Материалы!B39</f>
        <v/>
      </c>
      <c r="B39" s="3">
        <f>Материалы!D39</f>
        <v/>
      </c>
      <c r="C39" s="3">
        <f>Материалы!L39</f>
        <v/>
      </c>
      <c r="D39" s="3">
        <f>Материалы!M39</f>
        <v/>
      </c>
      <c r="E39" s="4">
        <f>Материалы!G39</f>
        <v/>
      </c>
      <c r="F39" s="4">
        <f>Материалы!P39</f>
        <v/>
      </c>
      <c r="G39" s="3">
        <f>Материалы!N39</f>
        <v/>
      </c>
      <c r="H39" s="3">
        <f>Материалы!O39</f>
        <v/>
      </c>
    </row>
    <row r="40">
      <c r="A40" s="3">
        <f>Материалы!B40</f>
        <v/>
      </c>
      <c r="B40" s="3">
        <f>Материалы!D40</f>
        <v/>
      </c>
      <c r="C40" s="3">
        <f>Материалы!L40</f>
        <v/>
      </c>
      <c r="D40" s="3">
        <f>Материалы!M40</f>
        <v/>
      </c>
      <c r="E40" s="4">
        <f>Материалы!G40</f>
        <v/>
      </c>
      <c r="F40" s="4">
        <f>Материалы!P40</f>
        <v/>
      </c>
      <c r="G40" s="3">
        <f>Материалы!N40</f>
        <v/>
      </c>
      <c r="H40" s="3">
        <f>Материалы!O40</f>
        <v/>
      </c>
    </row>
    <row r="41">
      <c r="A41" s="3">
        <f>Материалы!B41</f>
        <v/>
      </c>
      <c r="B41" s="3">
        <f>Материалы!D41</f>
        <v/>
      </c>
      <c r="C41" s="3">
        <f>Материалы!L41</f>
        <v/>
      </c>
      <c r="D41" s="3">
        <f>Материалы!M41</f>
        <v/>
      </c>
      <c r="E41" s="4">
        <f>Материалы!G41</f>
        <v/>
      </c>
      <c r="F41" s="4">
        <f>Материалы!P41</f>
        <v/>
      </c>
      <c r="G41" s="3">
        <f>Материалы!N41</f>
        <v/>
      </c>
      <c r="H41" s="3">
        <f>Материалы!O41</f>
        <v/>
      </c>
    </row>
    <row r="42">
      <c r="A42" s="3">
        <f>Материалы!B42</f>
        <v/>
      </c>
      <c r="B42" s="3">
        <f>Материалы!D42</f>
        <v/>
      </c>
      <c r="C42" s="3">
        <f>Материалы!L42</f>
        <v/>
      </c>
      <c r="D42" s="3">
        <f>Материалы!M42</f>
        <v/>
      </c>
      <c r="E42" s="4">
        <f>Материалы!G42</f>
        <v/>
      </c>
      <c r="F42" s="4">
        <f>Материалы!P42</f>
        <v/>
      </c>
      <c r="G42" s="3">
        <f>Материалы!N42</f>
        <v/>
      </c>
      <c r="H42" s="3">
        <f>Материалы!O42</f>
        <v/>
      </c>
    </row>
    <row r="43">
      <c r="A43" s="3">
        <f>Материалы!B43</f>
        <v/>
      </c>
      <c r="B43" s="3">
        <f>Материалы!D43</f>
        <v/>
      </c>
      <c r="C43" s="3">
        <f>Материалы!L43</f>
        <v/>
      </c>
      <c r="D43" s="3">
        <f>Материалы!M43</f>
        <v/>
      </c>
      <c r="E43" s="4">
        <f>Материалы!G43</f>
        <v/>
      </c>
      <c r="F43" s="4">
        <f>Материалы!P43</f>
        <v/>
      </c>
      <c r="G43" s="3">
        <f>Материалы!N43</f>
        <v/>
      </c>
      <c r="H43" s="3">
        <f>Материалы!O43</f>
        <v/>
      </c>
    </row>
    <row r="44">
      <c r="A44" s="3">
        <f>Материалы!B44</f>
        <v/>
      </c>
      <c r="B44" s="3">
        <f>Материалы!D44</f>
        <v/>
      </c>
      <c r="C44" s="3">
        <f>Материалы!L44</f>
        <v/>
      </c>
      <c r="D44" s="3">
        <f>Материалы!M44</f>
        <v/>
      </c>
      <c r="E44" s="4">
        <f>Материалы!G44</f>
        <v/>
      </c>
      <c r="F44" s="4">
        <f>Материалы!P44</f>
        <v/>
      </c>
      <c r="G44" s="3">
        <f>Материалы!N44</f>
        <v/>
      </c>
      <c r="H44" s="3">
        <f>Материалы!O44</f>
        <v/>
      </c>
    </row>
    <row r="45">
      <c r="A45" s="3">
        <f>Материалы!B45</f>
        <v/>
      </c>
      <c r="B45" s="3">
        <f>Материалы!D45</f>
        <v/>
      </c>
      <c r="C45" s="3">
        <f>Материалы!L45</f>
        <v/>
      </c>
      <c r="D45" s="3">
        <f>Материалы!M45</f>
        <v/>
      </c>
      <c r="E45" s="4">
        <f>Материалы!G45</f>
        <v/>
      </c>
      <c r="F45" s="4">
        <f>Материалы!P45</f>
        <v/>
      </c>
      <c r="G45" s="3">
        <f>Материалы!N45</f>
        <v/>
      </c>
      <c r="H45" s="3">
        <f>Материалы!O45</f>
        <v/>
      </c>
    </row>
    <row r="46">
      <c r="A46" s="3">
        <f>Материалы!B46</f>
        <v/>
      </c>
      <c r="B46" s="3">
        <f>Материалы!D46</f>
        <v/>
      </c>
      <c r="C46" s="3">
        <f>Материалы!L46</f>
        <v/>
      </c>
      <c r="D46" s="3">
        <f>Материалы!M46</f>
        <v/>
      </c>
      <c r="E46" s="4">
        <f>Материалы!G46</f>
        <v/>
      </c>
      <c r="F46" s="4">
        <f>Материалы!P46</f>
        <v/>
      </c>
      <c r="G46" s="3">
        <f>Материалы!N46</f>
        <v/>
      </c>
      <c r="H46" s="3">
        <f>Материалы!O46</f>
        <v/>
      </c>
    </row>
    <row r="47">
      <c r="A47" s="3">
        <f>Материалы!B47</f>
        <v/>
      </c>
      <c r="B47" s="3">
        <f>Материалы!D47</f>
        <v/>
      </c>
      <c r="C47" s="3">
        <f>Материалы!L47</f>
        <v/>
      </c>
      <c r="D47" s="3">
        <f>Материалы!M47</f>
        <v/>
      </c>
      <c r="E47" s="4">
        <f>Материалы!G47</f>
        <v/>
      </c>
      <c r="F47" s="4">
        <f>Материалы!P47</f>
        <v/>
      </c>
      <c r="G47" s="3">
        <f>Материалы!N47</f>
        <v/>
      </c>
      <c r="H47" s="3">
        <f>Материалы!O47</f>
        <v/>
      </c>
    </row>
    <row r="48">
      <c r="A48" s="3">
        <f>Материалы!B48</f>
        <v/>
      </c>
      <c r="B48" s="3">
        <f>Материалы!D48</f>
        <v/>
      </c>
      <c r="C48" s="3">
        <f>Материалы!L48</f>
        <v/>
      </c>
      <c r="D48" s="3">
        <f>Материалы!M48</f>
        <v/>
      </c>
      <c r="E48" s="4">
        <f>Материалы!G48</f>
        <v/>
      </c>
      <c r="F48" s="4">
        <f>Материалы!P48</f>
        <v/>
      </c>
      <c r="G48" s="3">
        <f>Материалы!N48</f>
        <v/>
      </c>
      <c r="H48" s="3">
        <f>Материалы!O48</f>
        <v/>
      </c>
    </row>
    <row r="49">
      <c r="A49" s="3">
        <f>Материалы!B49</f>
        <v/>
      </c>
      <c r="B49" s="3">
        <f>Материалы!D49</f>
        <v/>
      </c>
      <c r="C49" s="3">
        <f>Материалы!L49</f>
        <v/>
      </c>
      <c r="D49" s="3">
        <f>Материалы!M49</f>
        <v/>
      </c>
      <c r="E49" s="4">
        <f>Материалы!G49</f>
        <v/>
      </c>
      <c r="F49" s="4">
        <f>Материалы!P49</f>
        <v/>
      </c>
      <c r="G49" s="3">
        <f>Материалы!N49</f>
        <v/>
      </c>
      <c r="H49" s="3">
        <f>Материалы!O49</f>
        <v/>
      </c>
    </row>
    <row r="50">
      <c r="A50" s="3">
        <f>Материалы!B50</f>
        <v/>
      </c>
      <c r="B50" s="3">
        <f>Материалы!D50</f>
        <v/>
      </c>
      <c r="C50" s="3">
        <f>Материалы!L50</f>
        <v/>
      </c>
      <c r="D50" s="3">
        <f>Материалы!M50</f>
        <v/>
      </c>
      <c r="E50" s="4">
        <f>Материалы!G50</f>
        <v/>
      </c>
      <c r="F50" s="4">
        <f>Материалы!P50</f>
        <v/>
      </c>
      <c r="G50" s="3">
        <f>Материалы!N50</f>
        <v/>
      </c>
      <c r="H50" s="3">
        <f>Материалы!O50</f>
        <v/>
      </c>
    </row>
    <row r="51">
      <c r="A51" s="3">
        <f>Материалы!B51</f>
        <v/>
      </c>
      <c r="B51" s="3">
        <f>Материалы!D51</f>
        <v/>
      </c>
      <c r="C51" s="3">
        <f>Материалы!L51</f>
        <v/>
      </c>
      <c r="D51" s="3">
        <f>Материалы!M51</f>
        <v/>
      </c>
      <c r="E51" s="4">
        <f>Материалы!G51</f>
        <v/>
      </c>
      <c r="F51" s="4">
        <f>Материалы!P51</f>
        <v/>
      </c>
      <c r="G51" s="3">
        <f>Материалы!N51</f>
        <v/>
      </c>
      <c r="H51" s="3">
        <f>Материалы!O51</f>
        <v/>
      </c>
    </row>
    <row r="52">
      <c r="A52" s="3">
        <f>Материалы!B52</f>
        <v/>
      </c>
      <c r="B52" s="3">
        <f>Материалы!D52</f>
        <v/>
      </c>
      <c r="C52" s="3">
        <f>Материалы!L52</f>
        <v/>
      </c>
      <c r="D52" s="3">
        <f>Материалы!M52</f>
        <v/>
      </c>
      <c r="E52" s="4">
        <f>Материалы!G52</f>
        <v/>
      </c>
      <c r="F52" s="4">
        <f>Материалы!P52</f>
        <v/>
      </c>
      <c r="G52" s="3">
        <f>Материалы!N52</f>
        <v/>
      </c>
      <c r="H52" s="3">
        <f>Материалы!O52</f>
        <v/>
      </c>
    </row>
    <row r="53">
      <c r="A53" s="3">
        <f>Материалы!B53</f>
        <v/>
      </c>
      <c r="B53" s="3">
        <f>Материалы!D53</f>
        <v/>
      </c>
      <c r="C53" s="3">
        <f>Материалы!L53</f>
        <v/>
      </c>
      <c r="D53" s="3">
        <f>Материалы!M53</f>
        <v/>
      </c>
      <c r="E53" s="4">
        <f>Материалы!G53</f>
        <v/>
      </c>
      <c r="F53" s="4">
        <f>Материалы!P53</f>
        <v/>
      </c>
      <c r="G53" s="3">
        <f>Материалы!N53</f>
        <v/>
      </c>
      <c r="H53" s="3">
        <f>Материалы!O53</f>
        <v/>
      </c>
    </row>
    <row r="54">
      <c r="A54" s="3">
        <f>Материалы!B54</f>
        <v/>
      </c>
      <c r="B54" s="3">
        <f>Материалы!D54</f>
        <v/>
      </c>
      <c r="C54" s="3">
        <f>Материалы!L54</f>
        <v/>
      </c>
      <c r="D54" s="3">
        <f>Материалы!M54</f>
        <v/>
      </c>
      <c r="E54" s="4">
        <f>Материалы!G54</f>
        <v/>
      </c>
      <c r="F54" s="4">
        <f>Материалы!P54</f>
        <v/>
      </c>
      <c r="G54" s="3">
        <f>Материалы!N54</f>
        <v/>
      </c>
      <c r="H54" s="3">
        <f>Материалы!O54</f>
        <v/>
      </c>
    </row>
    <row r="55">
      <c r="A55" s="3">
        <f>Материалы!B55</f>
        <v/>
      </c>
      <c r="B55" s="3">
        <f>Материалы!D55</f>
        <v/>
      </c>
      <c r="C55" s="3">
        <f>Материалы!L55</f>
        <v/>
      </c>
      <c r="D55" s="3">
        <f>Материалы!M55</f>
        <v/>
      </c>
      <c r="E55" s="4">
        <f>Материалы!G55</f>
        <v/>
      </c>
      <c r="F55" s="4">
        <f>Материалы!P55</f>
        <v/>
      </c>
      <c r="G55" s="3">
        <f>Материалы!N55</f>
        <v/>
      </c>
      <c r="H55" s="3">
        <f>Материалы!O55</f>
        <v/>
      </c>
    </row>
    <row r="56">
      <c r="A56" s="3">
        <f>Материалы!B56</f>
        <v/>
      </c>
      <c r="B56" s="3">
        <f>Материалы!D56</f>
        <v/>
      </c>
      <c r="C56" s="3">
        <f>Материалы!L56</f>
        <v/>
      </c>
      <c r="D56" s="3">
        <f>Материалы!M56</f>
        <v/>
      </c>
      <c r="E56" s="4">
        <f>Материалы!G56</f>
        <v/>
      </c>
      <c r="F56" s="4">
        <f>Материалы!P56</f>
        <v/>
      </c>
      <c r="G56" s="3">
        <f>Материалы!N56</f>
        <v/>
      </c>
      <c r="H56" s="3">
        <f>Материалы!O56</f>
        <v/>
      </c>
    </row>
    <row r="57">
      <c r="A57" s="3">
        <f>Материалы!B57</f>
        <v/>
      </c>
      <c r="B57" s="3">
        <f>Материалы!D57</f>
        <v/>
      </c>
      <c r="C57" s="3">
        <f>Материалы!L57</f>
        <v/>
      </c>
      <c r="D57" s="3">
        <f>Материалы!M57</f>
        <v/>
      </c>
      <c r="E57" s="4">
        <f>Материалы!G57</f>
        <v/>
      </c>
      <c r="F57" s="4">
        <f>Материалы!P57</f>
        <v/>
      </c>
      <c r="G57" s="3">
        <f>Материалы!N57</f>
        <v/>
      </c>
      <c r="H57" s="3">
        <f>Материалы!O57</f>
        <v/>
      </c>
    </row>
    <row r="58">
      <c r="A58" s="3">
        <f>Материалы!B58</f>
        <v/>
      </c>
      <c r="B58" s="3">
        <f>Материалы!D58</f>
        <v/>
      </c>
      <c r="C58" s="3">
        <f>Материалы!L58</f>
        <v/>
      </c>
      <c r="D58" s="3">
        <f>Материалы!M58</f>
        <v/>
      </c>
      <c r="E58" s="4">
        <f>Материалы!G58</f>
        <v/>
      </c>
      <c r="F58" s="4">
        <f>Материалы!P58</f>
        <v/>
      </c>
      <c r="G58" s="3">
        <f>Материалы!N58</f>
        <v/>
      </c>
      <c r="H58" s="3">
        <f>Материалы!O58</f>
        <v/>
      </c>
    </row>
    <row r="59">
      <c r="A59" s="3">
        <f>Материалы!B59</f>
        <v/>
      </c>
      <c r="B59" s="3">
        <f>Материалы!D59</f>
        <v/>
      </c>
      <c r="C59" s="3">
        <f>Материалы!L59</f>
        <v/>
      </c>
      <c r="D59" s="3">
        <f>Материалы!M59</f>
        <v/>
      </c>
      <c r="E59" s="4">
        <f>Материалы!G59</f>
        <v/>
      </c>
      <c r="F59" s="4">
        <f>Материалы!P59</f>
        <v/>
      </c>
      <c r="G59" s="3">
        <f>Материалы!N59</f>
        <v/>
      </c>
      <c r="H59" s="3">
        <f>Материалы!O59</f>
        <v/>
      </c>
    </row>
    <row r="60">
      <c r="A60" s="3">
        <f>Материалы!B60</f>
        <v/>
      </c>
      <c r="B60" s="3">
        <f>Материалы!D60</f>
        <v/>
      </c>
      <c r="C60" s="3">
        <f>Материалы!L60</f>
        <v/>
      </c>
      <c r="D60" s="3">
        <f>Материалы!M60</f>
        <v/>
      </c>
      <c r="E60" s="4">
        <f>Материалы!G60</f>
        <v/>
      </c>
      <c r="F60" s="4">
        <f>Материалы!P60</f>
        <v/>
      </c>
      <c r="G60" s="3">
        <f>Материалы!N60</f>
        <v/>
      </c>
      <c r="H60" s="3">
        <f>Материалы!O60</f>
        <v/>
      </c>
    </row>
    <row r="61">
      <c r="A61" s="3">
        <f>Материалы!B61</f>
        <v/>
      </c>
      <c r="B61" s="3">
        <f>Материалы!D61</f>
        <v/>
      </c>
      <c r="C61" s="3">
        <f>Материалы!L61</f>
        <v/>
      </c>
      <c r="D61" s="3">
        <f>Материалы!M61</f>
        <v/>
      </c>
      <c r="E61" s="4">
        <f>Материалы!G61</f>
        <v/>
      </c>
      <c r="F61" s="4">
        <f>Материалы!P61</f>
        <v/>
      </c>
      <c r="G61" s="3">
        <f>Материалы!N61</f>
        <v/>
      </c>
      <c r="H61" s="3">
        <f>Материалы!O61</f>
        <v/>
      </c>
    </row>
    <row r="62">
      <c r="A62" s="3">
        <f>Материалы!B62</f>
        <v/>
      </c>
      <c r="B62" s="3">
        <f>Материалы!D62</f>
        <v/>
      </c>
      <c r="C62" s="3">
        <f>Материалы!L62</f>
        <v/>
      </c>
      <c r="D62" s="3">
        <f>Материалы!M62</f>
        <v/>
      </c>
      <c r="E62" s="4">
        <f>Материалы!G62</f>
        <v/>
      </c>
      <c r="F62" s="4">
        <f>Материалы!P62</f>
        <v/>
      </c>
      <c r="G62" s="3">
        <f>Материалы!N62</f>
        <v/>
      </c>
      <c r="H62" s="3">
        <f>Материалы!O62</f>
        <v/>
      </c>
    </row>
    <row r="63">
      <c r="A63" s="3">
        <f>Материалы!B63</f>
        <v/>
      </c>
      <c r="B63" s="3">
        <f>Материалы!D63</f>
        <v/>
      </c>
      <c r="C63" s="3">
        <f>Материалы!L63</f>
        <v/>
      </c>
      <c r="D63" s="3">
        <f>Материалы!M63</f>
        <v/>
      </c>
      <c r="E63" s="4">
        <f>Материалы!G63</f>
        <v/>
      </c>
      <c r="F63" s="4">
        <f>Материалы!P63</f>
        <v/>
      </c>
      <c r="G63" s="3">
        <f>Материалы!N63</f>
        <v/>
      </c>
      <c r="H63" s="3">
        <f>Материалы!O63</f>
        <v/>
      </c>
    </row>
    <row r="64">
      <c r="A64" s="3">
        <f>Материалы!B64</f>
        <v/>
      </c>
      <c r="B64" s="3">
        <f>Материалы!D64</f>
        <v/>
      </c>
      <c r="C64" s="3">
        <f>Материалы!L64</f>
        <v/>
      </c>
      <c r="D64" s="3">
        <f>Материалы!M64</f>
        <v/>
      </c>
      <c r="E64" s="4">
        <f>Материалы!G64</f>
        <v/>
      </c>
      <c r="F64" s="4">
        <f>Материалы!P64</f>
        <v/>
      </c>
      <c r="G64" s="3">
        <f>Материалы!N64</f>
        <v/>
      </c>
      <c r="H64" s="3">
        <f>Материалы!O64</f>
        <v/>
      </c>
    </row>
    <row r="65">
      <c r="A65" s="3">
        <f>Материалы!B65</f>
        <v/>
      </c>
      <c r="B65" s="3">
        <f>Материалы!D65</f>
        <v/>
      </c>
      <c r="C65" s="3">
        <f>Материалы!L65</f>
        <v/>
      </c>
      <c r="D65" s="3">
        <f>Материалы!M65</f>
        <v/>
      </c>
      <c r="E65" s="4">
        <f>Материалы!G65</f>
        <v/>
      </c>
      <c r="F65" s="4">
        <f>Материалы!P65</f>
        <v/>
      </c>
      <c r="G65" s="3">
        <f>Материалы!N65</f>
        <v/>
      </c>
      <c r="H65" s="3">
        <f>Материалы!O65</f>
        <v/>
      </c>
    </row>
    <row r="66">
      <c r="A66" s="3">
        <f>Материалы!B66</f>
        <v/>
      </c>
      <c r="B66" s="3">
        <f>Материалы!D66</f>
        <v/>
      </c>
      <c r="C66" s="3">
        <f>Материалы!L66</f>
        <v/>
      </c>
      <c r="D66" s="3">
        <f>Материалы!M66</f>
        <v/>
      </c>
      <c r="E66" s="4">
        <f>Материалы!G66</f>
        <v/>
      </c>
      <c r="F66" s="4">
        <f>Материалы!P66</f>
        <v/>
      </c>
      <c r="G66" s="3">
        <f>Материалы!N66</f>
        <v/>
      </c>
      <c r="H66" s="3">
        <f>Материалы!O66</f>
        <v/>
      </c>
    </row>
    <row r="67">
      <c r="A67" s="3">
        <f>Материалы!B67</f>
        <v/>
      </c>
      <c r="B67" s="3">
        <f>Материалы!D67</f>
        <v/>
      </c>
      <c r="C67" s="3">
        <f>Материалы!L67</f>
        <v/>
      </c>
      <c r="D67" s="3">
        <f>Материалы!M67</f>
        <v/>
      </c>
      <c r="E67" s="4">
        <f>Материалы!G67</f>
        <v/>
      </c>
      <c r="F67" s="4">
        <f>Материалы!P67</f>
        <v/>
      </c>
      <c r="G67" s="3">
        <f>Материалы!N67</f>
        <v/>
      </c>
      <c r="H67" s="3">
        <f>Материалы!O67</f>
        <v/>
      </c>
    </row>
    <row r="68">
      <c r="A68" s="3">
        <f>Материалы!B68</f>
        <v/>
      </c>
      <c r="B68" s="3">
        <f>Материалы!D68</f>
        <v/>
      </c>
      <c r="C68" s="3">
        <f>Материалы!L68</f>
        <v/>
      </c>
      <c r="D68" s="3">
        <f>Материалы!M68</f>
        <v/>
      </c>
      <c r="E68" s="4">
        <f>Материалы!G68</f>
        <v/>
      </c>
      <c r="F68" s="4">
        <f>Материалы!P68</f>
        <v/>
      </c>
      <c r="G68" s="3">
        <f>Материалы!N68</f>
        <v/>
      </c>
      <c r="H68" s="3">
        <f>Материалы!O68</f>
        <v/>
      </c>
    </row>
    <row r="69">
      <c r="A69" s="3">
        <f>Материалы!B69</f>
        <v/>
      </c>
      <c r="B69" s="3">
        <f>Материалы!D69</f>
        <v/>
      </c>
      <c r="C69" s="3">
        <f>Материалы!L69</f>
        <v/>
      </c>
      <c r="D69" s="3">
        <f>Материалы!M69</f>
        <v/>
      </c>
      <c r="E69" s="4">
        <f>Материалы!G69</f>
        <v/>
      </c>
      <c r="F69" s="4">
        <f>Материалы!P69</f>
        <v/>
      </c>
      <c r="G69" s="3">
        <f>Материалы!N69</f>
        <v/>
      </c>
      <c r="H69" s="3">
        <f>Материалы!O69</f>
        <v/>
      </c>
    </row>
    <row r="70">
      <c r="A70" s="3">
        <f>Материалы!B70</f>
        <v/>
      </c>
      <c r="B70" s="3">
        <f>Материалы!D70</f>
        <v/>
      </c>
      <c r="C70" s="3">
        <f>Материалы!L70</f>
        <v/>
      </c>
      <c r="D70" s="3">
        <f>Материалы!M70</f>
        <v/>
      </c>
      <c r="E70" s="4">
        <f>Материалы!G70</f>
        <v/>
      </c>
      <c r="F70" s="4">
        <f>Материалы!P70</f>
        <v/>
      </c>
      <c r="G70" s="3">
        <f>Материалы!N70</f>
        <v/>
      </c>
      <c r="H70" s="3">
        <f>Материалы!O70</f>
        <v/>
      </c>
    </row>
    <row r="71">
      <c r="A71" s="3">
        <f>Материалы!B71</f>
        <v/>
      </c>
      <c r="B71" s="3">
        <f>Материалы!D71</f>
        <v/>
      </c>
      <c r="C71" s="3">
        <f>Материалы!L71</f>
        <v/>
      </c>
      <c r="D71" s="3">
        <f>Материалы!M71</f>
        <v/>
      </c>
      <c r="E71" s="4">
        <f>Материалы!G71</f>
        <v/>
      </c>
      <c r="F71" s="4">
        <f>Материалы!P71</f>
        <v/>
      </c>
      <c r="G71" s="3">
        <f>Материалы!N71</f>
        <v/>
      </c>
      <c r="H71" s="3">
        <f>Материалы!O71</f>
        <v/>
      </c>
    </row>
    <row r="72">
      <c r="A72" s="3">
        <f>Материалы!B72</f>
        <v/>
      </c>
      <c r="B72" s="3">
        <f>Материалы!D72</f>
        <v/>
      </c>
      <c r="C72" s="3">
        <f>Материалы!L72</f>
        <v/>
      </c>
      <c r="D72" s="3">
        <f>Материалы!M72</f>
        <v/>
      </c>
      <c r="E72" s="4">
        <f>Материалы!G72</f>
        <v/>
      </c>
      <c r="F72" s="4">
        <f>Материалы!P72</f>
        <v/>
      </c>
      <c r="G72" s="3">
        <f>Материалы!N72</f>
        <v/>
      </c>
      <c r="H72" s="3">
        <f>Материалы!O72</f>
        <v/>
      </c>
    </row>
    <row r="73">
      <c r="A73" s="3">
        <f>Материалы!B73</f>
        <v/>
      </c>
      <c r="B73" s="3">
        <f>Материалы!D73</f>
        <v/>
      </c>
      <c r="C73" s="3">
        <f>Материалы!L73</f>
        <v/>
      </c>
      <c r="D73" s="3">
        <f>Материалы!M73</f>
        <v/>
      </c>
      <c r="E73" s="4">
        <f>Материалы!G73</f>
        <v/>
      </c>
      <c r="F73" s="4">
        <f>Материалы!P73</f>
        <v/>
      </c>
      <c r="G73" s="3">
        <f>Материалы!N73</f>
        <v/>
      </c>
      <c r="H73" s="3">
        <f>Материалы!O73</f>
        <v/>
      </c>
    </row>
    <row r="74">
      <c r="A74" s="3">
        <f>Материалы!B74</f>
        <v/>
      </c>
      <c r="B74" s="3">
        <f>Материалы!D74</f>
        <v/>
      </c>
      <c r="C74" s="3">
        <f>Материалы!L74</f>
        <v/>
      </c>
      <c r="D74" s="3">
        <f>Материалы!M74</f>
        <v/>
      </c>
      <c r="E74" s="4">
        <f>Материалы!G74</f>
        <v/>
      </c>
      <c r="F74" s="4">
        <f>Материалы!P74</f>
        <v/>
      </c>
      <c r="G74" s="3">
        <f>Материалы!N74</f>
        <v/>
      </c>
      <c r="H74" s="3">
        <f>Материалы!O74</f>
        <v/>
      </c>
    </row>
    <row r="75">
      <c r="A75" s="3">
        <f>Материалы!B75</f>
        <v/>
      </c>
      <c r="B75" s="3">
        <f>Материалы!D75</f>
        <v/>
      </c>
      <c r="C75" s="3">
        <f>Материалы!L75</f>
        <v/>
      </c>
      <c r="D75" s="3">
        <f>Материалы!M75</f>
        <v/>
      </c>
      <c r="E75" s="4">
        <f>Материалы!G75</f>
        <v/>
      </c>
      <c r="F75" s="4">
        <f>Материалы!P75</f>
        <v/>
      </c>
      <c r="G75" s="3">
        <f>Материалы!N75</f>
        <v/>
      </c>
      <c r="H75" s="3">
        <f>Материалы!O75</f>
        <v/>
      </c>
    </row>
    <row r="76">
      <c r="A76" s="3">
        <f>Материалы!B76</f>
        <v/>
      </c>
      <c r="B76" s="3">
        <f>Материалы!D76</f>
        <v/>
      </c>
      <c r="C76" s="3">
        <f>Материалы!L76</f>
        <v/>
      </c>
      <c r="D76" s="3">
        <f>Материалы!M76</f>
        <v/>
      </c>
      <c r="E76" s="4">
        <f>Материалы!G76</f>
        <v/>
      </c>
      <c r="F76" s="4">
        <f>Материалы!P76</f>
        <v/>
      </c>
      <c r="G76" s="3">
        <f>Материалы!N76</f>
        <v/>
      </c>
      <c r="H76" s="3">
        <f>Материалы!O76</f>
        <v/>
      </c>
    </row>
    <row r="77">
      <c r="A77" s="3">
        <f>Материалы!B77</f>
        <v/>
      </c>
      <c r="B77" s="3">
        <f>Материалы!D77</f>
        <v/>
      </c>
      <c r="C77" s="3">
        <f>Материалы!L77</f>
        <v/>
      </c>
      <c r="D77" s="3">
        <f>Материалы!M77</f>
        <v/>
      </c>
      <c r="E77" s="4">
        <f>Материалы!G77</f>
        <v/>
      </c>
      <c r="F77" s="4">
        <f>Материалы!P77</f>
        <v/>
      </c>
      <c r="G77" s="3">
        <f>Материалы!N77</f>
        <v/>
      </c>
      <c r="H77" s="3">
        <f>Материалы!O77</f>
        <v/>
      </c>
    </row>
    <row r="78">
      <c r="A78" s="3">
        <f>Материалы!B78</f>
        <v/>
      </c>
      <c r="B78" s="3">
        <f>Материалы!D78</f>
        <v/>
      </c>
      <c r="C78" s="3">
        <f>Материалы!L78</f>
        <v/>
      </c>
      <c r="D78" s="3">
        <f>Материалы!M78</f>
        <v/>
      </c>
      <c r="E78" s="4">
        <f>Материалы!G78</f>
        <v/>
      </c>
      <c r="F78" s="4">
        <f>Материалы!P78</f>
        <v/>
      </c>
      <c r="G78" s="3">
        <f>Материалы!N78</f>
        <v/>
      </c>
      <c r="H78" s="3">
        <f>Материалы!O78</f>
        <v/>
      </c>
    </row>
    <row r="79">
      <c r="A79" s="3">
        <f>Материалы!B79</f>
        <v/>
      </c>
      <c r="B79" s="3">
        <f>Материалы!D79</f>
        <v/>
      </c>
      <c r="C79" s="3">
        <f>Материалы!L79</f>
        <v/>
      </c>
      <c r="D79" s="3">
        <f>Материалы!M79</f>
        <v/>
      </c>
      <c r="E79" s="4">
        <f>Материалы!G79</f>
        <v/>
      </c>
      <c r="F79" s="4">
        <f>Материалы!P79</f>
        <v/>
      </c>
      <c r="G79" s="3">
        <f>Материалы!N79</f>
        <v/>
      </c>
      <c r="H79" s="3">
        <f>Материалы!O79</f>
        <v/>
      </c>
    </row>
    <row r="80">
      <c r="A80" s="3">
        <f>Материалы!B80</f>
        <v/>
      </c>
      <c r="B80" s="3">
        <f>Материалы!D80</f>
        <v/>
      </c>
      <c r="C80" s="3">
        <f>Материалы!L80</f>
        <v/>
      </c>
      <c r="D80" s="3">
        <f>Материалы!M80</f>
        <v/>
      </c>
      <c r="E80" s="4">
        <f>Материалы!G80</f>
        <v/>
      </c>
      <c r="F80" s="4">
        <f>Материалы!P80</f>
        <v/>
      </c>
      <c r="G80" s="3">
        <f>Материалы!N80</f>
        <v/>
      </c>
      <c r="H80" s="3">
        <f>Материалы!O80</f>
        <v/>
      </c>
    </row>
    <row r="81">
      <c r="A81" s="3">
        <f>Материалы!B81</f>
        <v/>
      </c>
      <c r="B81" s="3">
        <f>Материалы!D81</f>
        <v/>
      </c>
      <c r="C81" s="3">
        <f>Материалы!L81</f>
        <v/>
      </c>
      <c r="D81" s="3">
        <f>Материалы!M81</f>
        <v/>
      </c>
      <c r="E81" s="4">
        <f>Материалы!G81</f>
        <v/>
      </c>
      <c r="F81" s="4">
        <f>Материалы!P81</f>
        <v/>
      </c>
      <c r="G81" s="3">
        <f>Материалы!N81</f>
        <v/>
      </c>
      <c r="H81" s="3">
        <f>Материалы!O81</f>
        <v/>
      </c>
    </row>
    <row r="82">
      <c r="A82" s="3">
        <f>Материалы!B82</f>
        <v/>
      </c>
      <c r="B82" s="3">
        <f>Материалы!D82</f>
        <v/>
      </c>
      <c r="C82" s="3">
        <f>Материалы!L82</f>
        <v/>
      </c>
      <c r="D82" s="3">
        <f>Материалы!M82</f>
        <v/>
      </c>
      <c r="E82" s="4">
        <f>Материалы!G82</f>
        <v/>
      </c>
      <c r="F82" s="4">
        <f>Материалы!P82</f>
        <v/>
      </c>
      <c r="G82" s="3">
        <f>Материалы!N82</f>
        <v/>
      </c>
      <c r="H82" s="3">
        <f>Материалы!O82</f>
        <v/>
      </c>
    </row>
    <row r="83">
      <c r="A83" s="3">
        <f>Материалы!B83</f>
        <v/>
      </c>
      <c r="B83" s="3">
        <f>Материалы!D83</f>
        <v/>
      </c>
      <c r="C83" s="3">
        <f>Материалы!L83</f>
        <v/>
      </c>
      <c r="D83" s="3">
        <f>Материалы!M83</f>
        <v/>
      </c>
      <c r="E83" s="4">
        <f>Материалы!G83</f>
        <v/>
      </c>
      <c r="F83" s="4">
        <f>Материалы!P83</f>
        <v/>
      </c>
      <c r="G83" s="3">
        <f>Материалы!N83</f>
        <v/>
      </c>
      <c r="H83" s="3">
        <f>Материалы!O83</f>
        <v/>
      </c>
    </row>
    <row r="84">
      <c r="A84" s="3">
        <f>Материалы!B84</f>
        <v/>
      </c>
      <c r="B84" s="3">
        <f>Материалы!D84</f>
        <v/>
      </c>
      <c r="C84" s="3">
        <f>Материалы!L84</f>
        <v/>
      </c>
      <c r="D84" s="3">
        <f>Материалы!M84</f>
        <v/>
      </c>
      <c r="E84" s="4">
        <f>Материалы!G84</f>
        <v/>
      </c>
      <c r="F84" s="4">
        <f>Материалы!P84</f>
        <v/>
      </c>
      <c r="G84" s="3">
        <f>Материалы!N84</f>
        <v/>
      </c>
      <c r="H84" s="3">
        <f>Материалы!O84</f>
        <v/>
      </c>
    </row>
    <row r="85">
      <c r="A85" s="3">
        <f>Материалы!B85</f>
        <v/>
      </c>
      <c r="B85" s="3">
        <f>Материалы!D85</f>
        <v/>
      </c>
      <c r="C85" s="3">
        <f>Материалы!L85</f>
        <v/>
      </c>
      <c r="D85" s="3">
        <f>Материалы!M85</f>
        <v/>
      </c>
      <c r="E85" s="4">
        <f>Материалы!G85</f>
        <v/>
      </c>
      <c r="F85" s="4">
        <f>Материалы!P85</f>
        <v/>
      </c>
      <c r="G85" s="3">
        <f>Материалы!N85</f>
        <v/>
      </c>
      <c r="H85" s="3">
        <f>Материалы!O85</f>
        <v/>
      </c>
    </row>
    <row r="86">
      <c r="A86" s="3">
        <f>Материалы!B86</f>
        <v/>
      </c>
      <c r="B86" s="3">
        <f>Материалы!D86</f>
        <v/>
      </c>
      <c r="C86" s="3">
        <f>Материалы!L86</f>
        <v/>
      </c>
      <c r="D86" s="3">
        <f>Материалы!M86</f>
        <v/>
      </c>
      <c r="E86" s="4">
        <f>Материалы!G86</f>
        <v/>
      </c>
      <c r="F86" s="4">
        <f>Материалы!P86</f>
        <v/>
      </c>
      <c r="G86" s="3">
        <f>Материалы!N86</f>
        <v/>
      </c>
      <c r="H86" s="3">
        <f>Материалы!O86</f>
        <v/>
      </c>
    </row>
    <row r="87">
      <c r="A87" s="3">
        <f>Материалы!B87</f>
        <v/>
      </c>
      <c r="B87" s="3">
        <f>Материалы!D87</f>
        <v/>
      </c>
      <c r="C87" s="3">
        <f>Материалы!L87</f>
        <v/>
      </c>
      <c r="D87" s="3">
        <f>Материалы!M87</f>
        <v/>
      </c>
      <c r="E87" s="4">
        <f>Материалы!G87</f>
        <v/>
      </c>
      <c r="F87" s="4">
        <f>Материалы!P87</f>
        <v/>
      </c>
      <c r="G87" s="3">
        <f>Материалы!N87</f>
        <v/>
      </c>
      <c r="H87" s="3">
        <f>Материалы!O87</f>
        <v/>
      </c>
    </row>
    <row r="88">
      <c r="A88" s="3">
        <f>Материалы!B88</f>
        <v/>
      </c>
      <c r="B88" s="3">
        <f>Материалы!D88</f>
        <v/>
      </c>
      <c r="C88" s="3">
        <f>Материалы!L88</f>
        <v/>
      </c>
      <c r="D88" s="3">
        <f>Материалы!M88</f>
        <v/>
      </c>
      <c r="E88" s="4">
        <f>Материалы!G88</f>
        <v/>
      </c>
      <c r="F88" s="4">
        <f>Материалы!P88</f>
        <v/>
      </c>
      <c r="G88" s="3">
        <f>Материалы!N88</f>
        <v/>
      </c>
      <c r="H88" s="3">
        <f>Материалы!O88</f>
        <v/>
      </c>
    </row>
    <row r="89">
      <c r="A89" s="3">
        <f>Материалы!B89</f>
        <v/>
      </c>
      <c r="B89" s="3">
        <f>Материалы!D89</f>
        <v/>
      </c>
      <c r="C89" s="3">
        <f>Материалы!L89</f>
        <v/>
      </c>
      <c r="D89" s="3">
        <f>Материалы!M89</f>
        <v/>
      </c>
      <c r="E89" s="4">
        <f>Материалы!G89</f>
        <v/>
      </c>
      <c r="F89" s="4">
        <f>Материалы!P89</f>
        <v/>
      </c>
      <c r="G89" s="3">
        <f>Материалы!N89</f>
        <v/>
      </c>
      <c r="H89" s="3">
        <f>Материалы!O89</f>
        <v/>
      </c>
    </row>
    <row r="90">
      <c r="A90" s="3">
        <f>Материалы!B90</f>
        <v/>
      </c>
      <c r="B90" s="3">
        <f>Материалы!D90</f>
        <v/>
      </c>
      <c r="C90" s="3">
        <f>Материалы!L90</f>
        <v/>
      </c>
      <c r="D90" s="3">
        <f>Материалы!M90</f>
        <v/>
      </c>
      <c r="E90" s="4">
        <f>Материалы!G90</f>
        <v/>
      </c>
      <c r="F90" s="4">
        <f>Материалы!P90</f>
        <v/>
      </c>
      <c r="G90" s="3">
        <f>Материалы!N90</f>
        <v/>
      </c>
      <c r="H90" s="3">
        <f>Материалы!O90</f>
        <v/>
      </c>
    </row>
    <row r="91">
      <c r="A91" s="3">
        <f>Материалы!B91</f>
        <v/>
      </c>
      <c r="B91" s="3">
        <f>Материалы!D91</f>
        <v/>
      </c>
      <c r="C91" s="3">
        <f>Материалы!L91</f>
        <v/>
      </c>
      <c r="D91" s="3">
        <f>Материалы!M91</f>
        <v/>
      </c>
      <c r="E91" s="4">
        <f>Материалы!G91</f>
        <v/>
      </c>
      <c r="F91" s="4">
        <f>Материалы!P91</f>
        <v/>
      </c>
      <c r="G91" s="3">
        <f>Материалы!N91</f>
        <v/>
      </c>
      <c r="H91" s="3">
        <f>Материалы!O91</f>
        <v/>
      </c>
    </row>
    <row r="92">
      <c r="A92" s="3">
        <f>Материалы!B92</f>
        <v/>
      </c>
      <c r="B92" s="3">
        <f>Материалы!D92</f>
        <v/>
      </c>
      <c r="C92" s="3">
        <f>Материалы!L92</f>
        <v/>
      </c>
      <c r="D92" s="3">
        <f>Материалы!M92</f>
        <v/>
      </c>
      <c r="E92" s="4">
        <f>Материалы!G92</f>
        <v/>
      </c>
      <c r="F92" s="4">
        <f>Материалы!P92</f>
        <v/>
      </c>
      <c r="G92" s="3">
        <f>Материалы!N92</f>
        <v/>
      </c>
      <c r="H92" s="3">
        <f>Материалы!O92</f>
        <v/>
      </c>
    </row>
    <row r="93">
      <c r="A93" s="3">
        <f>Материалы!B93</f>
        <v/>
      </c>
      <c r="B93" s="3">
        <f>Материалы!D93</f>
        <v/>
      </c>
      <c r="C93" s="3">
        <f>Материалы!L93</f>
        <v/>
      </c>
      <c r="D93" s="3">
        <f>Материалы!M93</f>
        <v/>
      </c>
      <c r="E93" s="4">
        <f>Материалы!G93</f>
        <v/>
      </c>
      <c r="F93" s="4">
        <f>Материалы!P93</f>
        <v/>
      </c>
      <c r="G93" s="3">
        <f>Материалы!N93</f>
        <v/>
      </c>
      <c r="H93" s="3">
        <f>Материалы!O93</f>
        <v/>
      </c>
    </row>
    <row r="94">
      <c r="A94" s="3">
        <f>Материалы!B94</f>
        <v/>
      </c>
      <c r="B94" s="3">
        <f>Материалы!D94</f>
        <v/>
      </c>
      <c r="C94" s="3">
        <f>Материалы!L94</f>
        <v/>
      </c>
      <c r="D94" s="3">
        <f>Материалы!M94</f>
        <v/>
      </c>
      <c r="E94" s="4">
        <f>Материалы!G94</f>
        <v/>
      </c>
      <c r="F94" s="4">
        <f>Материалы!P94</f>
        <v/>
      </c>
      <c r="G94" s="3">
        <f>Материалы!N94</f>
        <v/>
      </c>
      <c r="H94" s="3">
        <f>Материалы!O94</f>
        <v/>
      </c>
    </row>
    <row r="95">
      <c r="A95" s="3">
        <f>Материалы!B95</f>
        <v/>
      </c>
      <c r="B95" s="3">
        <f>Материалы!D95</f>
        <v/>
      </c>
      <c r="C95" s="3">
        <f>Материалы!L95</f>
        <v/>
      </c>
      <c r="D95" s="3">
        <f>Материалы!M95</f>
        <v/>
      </c>
      <c r="E95" s="4">
        <f>Материалы!G95</f>
        <v/>
      </c>
      <c r="F95" s="4">
        <f>Материалы!P95</f>
        <v/>
      </c>
      <c r="G95" s="3">
        <f>Материалы!N95</f>
        <v/>
      </c>
      <c r="H95" s="3">
        <f>Материалы!O95</f>
        <v/>
      </c>
    </row>
    <row r="96">
      <c r="A96" s="3">
        <f>Материалы!B96</f>
        <v/>
      </c>
      <c r="B96" s="3">
        <f>Материалы!D96</f>
        <v/>
      </c>
      <c r="C96" s="3">
        <f>Материалы!L96</f>
        <v/>
      </c>
      <c r="D96" s="3">
        <f>Материалы!M96</f>
        <v/>
      </c>
      <c r="E96" s="4">
        <f>Материалы!G96</f>
        <v/>
      </c>
      <c r="F96" s="4">
        <f>Материалы!P96</f>
        <v/>
      </c>
      <c r="G96" s="3">
        <f>Материалы!N96</f>
        <v/>
      </c>
      <c r="H96" s="3">
        <f>Материалы!O96</f>
        <v/>
      </c>
    </row>
    <row r="97">
      <c r="A97" s="3">
        <f>Материалы!B97</f>
        <v/>
      </c>
      <c r="B97" s="3">
        <f>Материалы!D97</f>
        <v/>
      </c>
      <c r="C97" s="3">
        <f>Материалы!L97</f>
        <v/>
      </c>
      <c r="D97" s="3">
        <f>Материалы!M97</f>
        <v/>
      </c>
      <c r="E97" s="4">
        <f>Материалы!G97</f>
        <v/>
      </c>
      <c r="F97" s="4">
        <f>Материалы!P97</f>
        <v/>
      </c>
      <c r="G97" s="3">
        <f>Материалы!N97</f>
        <v/>
      </c>
      <c r="H97" s="3">
        <f>Материалы!O97</f>
        <v/>
      </c>
    </row>
    <row r="98">
      <c r="A98" s="3">
        <f>Материалы!B98</f>
        <v/>
      </c>
      <c r="B98" s="3">
        <f>Материалы!D98</f>
        <v/>
      </c>
      <c r="C98" s="3">
        <f>Материалы!L98</f>
        <v/>
      </c>
      <c r="D98" s="3">
        <f>Материалы!M98</f>
        <v/>
      </c>
      <c r="E98" s="4">
        <f>Материалы!G98</f>
        <v/>
      </c>
      <c r="F98" s="4">
        <f>Материалы!P98</f>
        <v/>
      </c>
      <c r="G98" s="3">
        <f>Материалы!N98</f>
        <v/>
      </c>
      <c r="H98" s="3">
        <f>Материалы!O98</f>
        <v/>
      </c>
    </row>
    <row r="99">
      <c r="A99" s="3">
        <f>Материалы!B99</f>
        <v/>
      </c>
      <c r="B99" s="3">
        <f>Материалы!D99</f>
        <v/>
      </c>
      <c r="C99" s="3">
        <f>Материалы!L99</f>
        <v/>
      </c>
      <c r="D99" s="3">
        <f>Материалы!M99</f>
        <v/>
      </c>
      <c r="E99" s="4">
        <f>Материалы!G99</f>
        <v/>
      </c>
      <c r="F99" s="4">
        <f>Материалы!P99</f>
        <v/>
      </c>
      <c r="G99" s="3">
        <f>Материалы!N99</f>
        <v/>
      </c>
      <c r="H99" s="3">
        <f>Материалы!O99</f>
        <v/>
      </c>
    </row>
    <row r="100">
      <c r="A100" s="3">
        <f>Материалы!B100</f>
        <v/>
      </c>
      <c r="B100" s="3">
        <f>Материалы!D100</f>
        <v/>
      </c>
      <c r="C100" s="3">
        <f>Материалы!L100</f>
        <v/>
      </c>
      <c r="D100" s="3">
        <f>Материалы!M100</f>
        <v/>
      </c>
      <c r="E100" s="4">
        <f>Материалы!G100</f>
        <v/>
      </c>
      <c r="F100" s="4">
        <f>Материалы!P100</f>
        <v/>
      </c>
      <c r="G100" s="3">
        <f>Материалы!N100</f>
        <v/>
      </c>
      <c r="H100" s="3">
        <f>Материалы!O100</f>
        <v/>
      </c>
    </row>
    <row r="101">
      <c r="A101" s="3">
        <f>Материалы!B101</f>
        <v/>
      </c>
      <c r="B101" s="3">
        <f>Материалы!D101</f>
        <v/>
      </c>
      <c r="C101" s="3">
        <f>Материалы!L101</f>
        <v/>
      </c>
      <c r="D101" s="3">
        <f>Материалы!M101</f>
        <v/>
      </c>
      <c r="E101" s="4">
        <f>Материалы!G101</f>
        <v/>
      </c>
      <c r="F101" s="4">
        <f>Материалы!P101</f>
        <v/>
      </c>
      <c r="G101" s="3">
        <f>Материалы!N101</f>
        <v/>
      </c>
      <c r="H101" s="3">
        <f>Материалы!O101</f>
        <v/>
      </c>
    </row>
    <row r="102">
      <c r="A102" s="3">
        <f>Материалы!B102</f>
        <v/>
      </c>
      <c r="B102" s="3">
        <f>Материалы!D102</f>
        <v/>
      </c>
      <c r="C102" s="3">
        <f>Материалы!L102</f>
        <v/>
      </c>
      <c r="D102" s="3">
        <f>Материалы!M102</f>
        <v/>
      </c>
      <c r="E102" s="4">
        <f>Материалы!G102</f>
        <v/>
      </c>
      <c r="F102" s="4">
        <f>Материалы!P102</f>
        <v/>
      </c>
      <c r="G102" s="3">
        <f>Материалы!N102</f>
        <v/>
      </c>
      <c r="H102" s="3">
        <f>Материалы!O102</f>
        <v/>
      </c>
    </row>
    <row r="103">
      <c r="A103" s="3">
        <f>Материалы!B103</f>
        <v/>
      </c>
      <c r="B103" s="3">
        <f>Материалы!D103</f>
        <v/>
      </c>
      <c r="C103" s="3">
        <f>Материалы!L103</f>
        <v/>
      </c>
      <c r="D103" s="3">
        <f>Материалы!M103</f>
        <v/>
      </c>
      <c r="E103" s="4">
        <f>Материалы!G103</f>
        <v/>
      </c>
      <c r="F103" s="4">
        <f>Материалы!P103</f>
        <v/>
      </c>
      <c r="G103" s="3">
        <f>Материалы!N103</f>
        <v/>
      </c>
      <c r="H103" s="3">
        <f>Материалы!O103</f>
        <v/>
      </c>
    </row>
    <row r="104">
      <c r="A104" s="3">
        <f>Материалы!B104</f>
        <v/>
      </c>
      <c r="B104" s="3">
        <f>Материалы!D104</f>
        <v/>
      </c>
      <c r="C104" s="3">
        <f>Материалы!L104</f>
        <v/>
      </c>
      <c r="D104" s="3">
        <f>Материалы!M104</f>
        <v/>
      </c>
      <c r="E104" s="4">
        <f>Материалы!G104</f>
        <v/>
      </c>
      <c r="F104" s="4">
        <f>Материалы!P104</f>
        <v/>
      </c>
      <c r="G104" s="3">
        <f>Материалы!N104</f>
        <v/>
      </c>
      <c r="H104" s="3">
        <f>Материалы!O104</f>
        <v/>
      </c>
    </row>
    <row r="105">
      <c r="A105" s="3">
        <f>Материалы!B105</f>
        <v/>
      </c>
      <c r="B105" s="3">
        <f>Материалы!D105</f>
        <v/>
      </c>
      <c r="C105" s="3">
        <f>Материалы!L105</f>
        <v/>
      </c>
      <c r="D105" s="3">
        <f>Материалы!M105</f>
        <v/>
      </c>
      <c r="E105" s="4">
        <f>Материалы!G105</f>
        <v/>
      </c>
      <c r="F105" s="4">
        <f>Материалы!P105</f>
        <v/>
      </c>
      <c r="G105" s="3">
        <f>Материалы!N105</f>
        <v/>
      </c>
      <c r="H105" s="3">
        <f>Материалы!O105</f>
        <v/>
      </c>
    </row>
    <row r="106">
      <c r="A106" s="3">
        <f>Материалы!B106</f>
        <v/>
      </c>
      <c r="B106" s="3">
        <f>Материалы!D106</f>
        <v/>
      </c>
      <c r="C106" s="3">
        <f>Материалы!L106</f>
        <v/>
      </c>
      <c r="D106" s="3">
        <f>Материалы!M106</f>
        <v/>
      </c>
      <c r="E106" s="4">
        <f>Материалы!G106</f>
        <v/>
      </c>
      <c r="F106" s="4">
        <f>Материалы!P106</f>
        <v/>
      </c>
      <c r="G106" s="3">
        <f>Материалы!N106</f>
        <v/>
      </c>
      <c r="H106" s="3">
        <f>Материалы!O106</f>
        <v/>
      </c>
    </row>
    <row r="107">
      <c r="A107" s="3">
        <f>Материалы!B107</f>
        <v/>
      </c>
      <c r="B107" s="3">
        <f>Материалы!D107</f>
        <v/>
      </c>
      <c r="C107" s="3">
        <f>Материалы!L107</f>
        <v/>
      </c>
      <c r="D107" s="3">
        <f>Материалы!M107</f>
        <v/>
      </c>
      <c r="E107" s="4">
        <f>Материалы!G107</f>
        <v/>
      </c>
      <c r="F107" s="4">
        <f>Материалы!P107</f>
        <v/>
      </c>
      <c r="G107" s="3">
        <f>Материалы!N107</f>
        <v/>
      </c>
      <c r="H107" s="3">
        <f>Материалы!O107</f>
        <v/>
      </c>
    </row>
    <row r="108">
      <c r="A108" s="3">
        <f>Материалы!B108</f>
        <v/>
      </c>
      <c r="B108" s="3">
        <f>Материалы!D108</f>
        <v/>
      </c>
      <c r="C108" s="3">
        <f>Материалы!L108</f>
        <v/>
      </c>
      <c r="D108" s="3">
        <f>Материалы!M108</f>
        <v/>
      </c>
      <c r="E108" s="4">
        <f>Материалы!G108</f>
        <v/>
      </c>
      <c r="F108" s="4">
        <f>Материалы!P108</f>
        <v/>
      </c>
      <c r="G108" s="3">
        <f>Материалы!N108</f>
        <v/>
      </c>
      <c r="H108" s="3">
        <f>Материалы!O108</f>
        <v/>
      </c>
    </row>
    <row r="109">
      <c r="A109" s="3">
        <f>Материалы!B109</f>
        <v/>
      </c>
      <c r="B109" s="3">
        <f>Материалы!D109</f>
        <v/>
      </c>
      <c r="C109" s="3">
        <f>Материалы!L109</f>
        <v/>
      </c>
      <c r="D109" s="3">
        <f>Материалы!M109</f>
        <v/>
      </c>
      <c r="E109" s="4">
        <f>Материалы!G109</f>
        <v/>
      </c>
      <c r="F109" s="4">
        <f>Материалы!P109</f>
        <v/>
      </c>
      <c r="G109" s="3">
        <f>Материалы!N109</f>
        <v/>
      </c>
      <c r="H109" s="3">
        <f>Материалы!O109</f>
        <v/>
      </c>
    </row>
    <row r="110">
      <c r="A110" s="3">
        <f>Материалы!B110</f>
        <v/>
      </c>
      <c r="B110" s="3">
        <f>Материалы!D110</f>
        <v/>
      </c>
      <c r="C110" s="3">
        <f>Материалы!L110</f>
        <v/>
      </c>
      <c r="D110" s="3">
        <f>Материалы!M110</f>
        <v/>
      </c>
      <c r="E110" s="4">
        <f>Материалы!G110</f>
        <v/>
      </c>
      <c r="F110" s="4">
        <f>Материалы!P110</f>
        <v/>
      </c>
      <c r="G110" s="3">
        <f>Материалы!N110</f>
        <v/>
      </c>
      <c r="H110" s="3">
        <f>Материалы!O110</f>
        <v/>
      </c>
    </row>
    <row r="111">
      <c r="A111" s="3">
        <f>Материалы!B111</f>
        <v/>
      </c>
      <c r="B111" s="3">
        <f>Материалы!D111</f>
        <v/>
      </c>
      <c r="C111" s="3">
        <f>Материалы!L111</f>
        <v/>
      </c>
      <c r="D111" s="3">
        <f>Материалы!M111</f>
        <v/>
      </c>
      <c r="E111" s="4">
        <f>Материалы!G111</f>
        <v/>
      </c>
      <c r="F111" s="4">
        <f>Материалы!P111</f>
        <v/>
      </c>
      <c r="G111" s="3">
        <f>Материалы!N111</f>
        <v/>
      </c>
      <c r="H111" s="3">
        <f>Материалы!O111</f>
        <v/>
      </c>
    </row>
    <row r="112">
      <c r="A112" s="3">
        <f>Материалы!B112</f>
        <v/>
      </c>
      <c r="B112" s="3">
        <f>Материалы!D112</f>
        <v/>
      </c>
      <c r="C112" s="3">
        <f>Материалы!L112</f>
        <v/>
      </c>
      <c r="D112" s="3">
        <f>Материалы!M112</f>
        <v/>
      </c>
      <c r="E112" s="4">
        <f>Материалы!G112</f>
        <v/>
      </c>
      <c r="F112" s="4">
        <f>Материалы!P112</f>
        <v/>
      </c>
      <c r="G112" s="3">
        <f>Материалы!N112</f>
        <v/>
      </c>
      <c r="H112" s="3">
        <f>Материалы!O112</f>
        <v/>
      </c>
    </row>
    <row r="113">
      <c r="A113" s="3">
        <f>Материалы!B113</f>
        <v/>
      </c>
      <c r="B113" s="3">
        <f>Материалы!D113</f>
        <v/>
      </c>
      <c r="C113" s="3">
        <f>Материалы!L113</f>
        <v/>
      </c>
      <c r="D113" s="3">
        <f>Материалы!M113</f>
        <v/>
      </c>
      <c r="E113" s="4">
        <f>Материалы!G113</f>
        <v/>
      </c>
      <c r="F113" s="4">
        <f>Материалы!P113</f>
        <v/>
      </c>
      <c r="G113" s="3">
        <f>Материалы!N113</f>
        <v/>
      </c>
      <c r="H113" s="3">
        <f>Материалы!O113</f>
        <v/>
      </c>
    </row>
    <row r="114">
      <c r="A114" s="3">
        <f>Материалы!B114</f>
        <v/>
      </c>
      <c r="B114" s="3">
        <f>Материалы!D114</f>
        <v/>
      </c>
      <c r="C114" s="3">
        <f>Материалы!L114</f>
        <v/>
      </c>
      <c r="D114" s="3">
        <f>Материалы!M114</f>
        <v/>
      </c>
      <c r="E114" s="4">
        <f>Материалы!G114</f>
        <v/>
      </c>
      <c r="F114" s="4">
        <f>Материалы!P114</f>
        <v/>
      </c>
      <c r="G114" s="3">
        <f>Материалы!N114</f>
        <v/>
      </c>
      <c r="H114" s="3">
        <f>Материалы!O114</f>
        <v/>
      </c>
    </row>
    <row r="115">
      <c r="A115" s="3">
        <f>Материалы!B115</f>
        <v/>
      </c>
      <c r="B115" s="3">
        <f>Материалы!D115</f>
        <v/>
      </c>
      <c r="C115" s="3">
        <f>Материалы!L115</f>
        <v/>
      </c>
      <c r="D115" s="3">
        <f>Материалы!M115</f>
        <v/>
      </c>
      <c r="E115" s="4">
        <f>Материалы!G115</f>
        <v/>
      </c>
      <c r="F115" s="4">
        <f>Материалы!P115</f>
        <v/>
      </c>
      <c r="G115" s="3">
        <f>Материалы!N115</f>
        <v/>
      </c>
      <c r="H115" s="3">
        <f>Материалы!O115</f>
        <v/>
      </c>
    </row>
    <row r="116">
      <c r="A116" s="3">
        <f>Материалы!B116</f>
        <v/>
      </c>
      <c r="B116" s="3">
        <f>Материалы!D116</f>
        <v/>
      </c>
      <c r="C116" s="3">
        <f>Материалы!L116</f>
        <v/>
      </c>
      <c r="D116" s="3">
        <f>Материалы!M116</f>
        <v/>
      </c>
      <c r="E116" s="4">
        <f>Материалы!G116</f>
        <v/>
      </c>
      <c r="F116" s="4">
        <f>Материалы!P116</f>
        <v/>
      </c>
      <c r="G116" s="3">
        <f>Материалы!N116</f>
        <v/>
      </c>
      <c r="H116" s="3">
        <f>Материалы!O116</f>
        <v/>
      </c>
    </row>
    <row r="117">
      <c r="A117" s="3">
        <f>Материалы!B117</f>
        <v/>
      </c>
      <c r="B117" s="3">
        <f>Материалы!D117</f>
        <v/>
      </c>
      <c r="C117" s="3">
        <f>Материалы!L117</f>
        <v/>
      </c>
      <c r="D117" s="3">
        <f>Материалы!M117</f>
        <v/>
      </c>
      <c r="E117" s="4">
        <f>Материалы!G117</f>
        <v/>
      </c>
      <c r="F117" s="4">
        <f>Материалы!P117</f>
        <v/>
      </c>
      <c r="G117" s="3">
        <f>Материалы!N117</f>
        <v/>
      </c>
      <c r="H117" s="3">
        <f>Материалы!O117</f>
        <v/>
      </c>
    </row>
    <row r="118">
      <c r="A118" s="3">
        <f>Материалы!B118</f>
        <v/>
      </c>
      <c r="B118" s="3">
        <f>Материалы!D118</f>
        <v/>
      </c>
      <c r="C118" s="3">
        <f>Материалы!L118</f>
        <v/>
      </c>
      <c r="D118" s="3">
        <f>Материалы!M118</f>
        <v/>
      </c>
      <c r="E118" s="4">
        <f>Материалы!G118</f>
        <v/>
      </c>
      <c r="F118" s="4">
        <f>Материалы!P118</f>
        <v/>
      </c>
      <c r="G118" s="3">
        <f>Материалы!N118</f>
        <v/>
      </c>
      <c r="H118" s="3">
        <f>Материалы!O118</f>
        <v/>
      </c>
    </row>
    <row r="119">
      <c r="A119" s="3">
        <f>Материалы!B119</f>
        <v/>
      </c>
      <c r="B119" s="3">
        <f>Материалы!D119</f>
        <v/>
      </c>
      <c r="C119" s="3">
        <f>Материалы!L119</f>
        <v/>
      </c>
      <c r="D119" s="3">
        <f>Материалы!M119</f>
        <v/>
      </c>
      <c r="E119" s="4">
        <f>Материалы!G119</f>
        <v/>
      </c>
      <c r="F119" s="4">
        <f>Материалы!P119</f>
        <v/>
      </c>
      <c r="G119" s="3">
        <f>Материалы!N119</f>
        <v/>
      </c>
      <c r="H119" s="3">
        <f>Материалы!O119</f>
        <v/>
      </c>
    </row>
    <row r="120">
      <c r="A120" s="3">
        <f>Материалы!B120</f>
        <v/>
      </c>
      <c r="B120" s="3">
        <f>Материалы!D120</f>
        <v/>
      </c>
      <c r="C120" s="3">
        <f>Материалы!L120</f>
        <v/>
      </c>
      <c r="D120" s="3">
        <f>Материалы!M120</f>
        <v/>
      </c>
      <c r="E120" s="4">
        <f>Материалы!G120</f>
        <v/>
      </c>
      <c r="F120" s="4">
        <f>Материалы!P120</f>
        <v/>
      </c>
      <c r="G120" s="3">
        <f>Материалы!N120</f>
        <v/>
      </c>
      <c r="H120" s="3">
        <f>Материалы!O120</f>
        <v/>
      </c>
    </row>
    <row r="121">
      <c r="A121" s="3">
        <f>Материалы!B121</f>
        <v/>
      </c>
      <c r="B121" s="3">
        <f>Материалы!D121</f>
        <v/>
      </c>
      <c r="C121" s="3">
        <f>Материалы!L121</f>
        <v/>
      </c>
      <c r="D121" s="3">
        <f>Материалы!M121</f>
        <v/>
      </c>
      <c r="E121" s="4">
        <f>Материалы!G121</f>
        <v/>
      </c>
      <c r="F121" s="4">
        <f>Материалы!P121</f>
        <v/>
      </c>
      <c r="G121" s="3">
        <f>Материалы!N121</f>
        <v/>
      </c>
      <c r="H121" s="3">
        <f>Материалы!O121</f>
        <v/>
      </c>
    </row>
    <row r="122">
      <c r="A122" s="3">
        <f>Материалы!B122</f>
        <v/>
      </c>
      <c r="B122" s="3">
        <f>Материалы!D122</f>
        <v/>
      </c>
      <c r="C122" s="3">
        <f>Материалы!L122</f>
        <v/>
      </c>
      <c r="D122" s="3">
        <f>Материалы!M122</f>
        <v/>
      </c>
      <c r="E122" s="4">
        <f>Материалы!G122</f>
        <v/>
      </c>
      <c r="F122" s="4">
        <f>Материалы!P122</f>
        <v/>
      </c>
      <c r="G122" s="3">
        <f>Материалы!N122</f>
        <v/>
      </c>
      <c r="H122" s="3">
        <f>Материалы!O122</f>
        <v/>
      </c>
    </row>
    <row r="123">
      <c r="A123" s="3">
        <f>Материалы!B123</f>
        <v/>
      </c>
      <c r="B123" s="3">
        <f>Материалы!D123</f>
        <v/>
      </c>
      <c r="C123" s="3">
        <f>Материалы!L123</f>
        <v/>
      </c>
      <c r="D123" s="3">
        <f>Материалы!M123</f>
        <v/>
      </c>
      <c r="E123" s="4">
        <f>Материалы!G123</f>
        <v/>
      </c>
      <c r="F123" s="4">
        <f>Материалы!P123</f>
        <v/>
      </c>
      <c r="G123" s="3">
        <f>Материалы!N123</f>
        <v/>
      </c>
      <c r="H123" s="3">
        <f>Материалы!O123</f>
        <v/>
      </c>
    </row>
    <row r="124">
      <c r="A124" s="3">
        <f>Материалы!B124</f>
        <v/>
      </c>
      <c r="B124" s="3">
        <f>Материалы!D124</f>
        <v/>
      </c>
      <c r="C124" s="3">
        <f>Материалы!L124</f>
        <v/>
      </c>
      <c r="D124" s="3">
        <f>Материалы!M124</f>
        <v/>
      </c>
      <c r="E124" s="4">
        <f>Материалы!G124</f>
        <v/>
      </c>
      <c r="F124" s="4">
        <f>Материалы!P124</f>
        <v/>
      </c>
      <c r="G124" s="3">
        <f>Материалы!N124</f>
        <v/>
      </c>
      <c r="H124" s="3">
        <f>Материалы!O124</f>
        <v/>
      </c>
    </row>
    <row r="125">
      <c r="A125" s="3">
        <f>Материалы!B125</f>
        <v/>
      </c>
      <c r="B125" s="3">
        <f>Материалы!D125</f>
        <v/>
      </c>
      <c r="C125" s="3">
        <f>Материалы!L125</f>
        <v/>
      </c>
      <c r="D125" s="3">
        <f>Материалы!M125</f>
        <v/>
      </c>
      <c r="E125" s="4">
        <f>Материалы!G125</f>
        <v/>
      </c>
      <c r="F125" s="4">
        <f>Материалы!P125</f>
        <v/>
      </c>
      <c r="G125" s="3">
        <f>Материалы!N125</f>
        <v/>
      </c>
      <c r="H125" s="3">
        <f>Материалы!O125</f>
        <v/>
      </c>
    </row>
    <row r="126">
      <c r="A126" s="3">
        <f>Материалы!B126</f>
        <v/>
      </c>
      <c r="B126" s="3">
        <f>Материалы!D126</f>
        <v/>
      </c>
      <c r="C126" s="3">
        <f>Материалы!L126</f>
        <v/>
      </c>
      <c r="D126" s="3">
        <f>Материалы!M126</f>
        <v/>
      </c>
      <c r="E126" s="4">
        <f>Материалы!G126</f>
        <v/>
      </c>
      <c r="F126" s="4">
        <f>Материалы!P126</f>
        <v/>
      </c>
      <c r="G126" s="3">
        <f>Материалы!N126</f>
        <v/>
      </c>
      <c r="H126" s="3">
        <f>Материалы!O126</f>
        <v/>
      </c>
    </row>
    <row r="127">
      <c r="A127" s="3">
        <f>Материалы!B127</f>
        <v/>
      </c>
      <c r="B127" s="3">
        <f>Материалы!D127</f>
        <v/>
      </c>
      <c r="C127" s="3">
        <f>Материалы!L127</f>
        <v/>
      </c>
      <c r="D127" s="3">
        <f>Материалы!M127</f>
        <v/>
      </c>
      <c r="E127" s="4">
        <f>Материалы!G127</f>
        <v/>
      </c>
      <c r="F127" s="4">
        <f>Материалы!P127</f>
        <v/>
      </c>
      <c r="G127" s="3">
        <f>Материалы!N127</f>
        <v/>
      </c>
      <c r="H127" s="3">
        <f>Материалы!O127</f>
        <v/>
      </c>
    </row>
    <row r="128">
      <c r="A128" s="3">
        <f>Материалы!B128</f>
        <v/>
      </c>
      <c r="B128" s="3">
        <f>Материалы!D128</f>
        <v/>
      </c>
      <c r="C128" s="3">
        <f>Материалы!L128</f>
        <v/>
      </c>
      <c r="D128" s="3">
        <f>Материалы!M128</f>
        <v/>
      </c>
      <c r="E128" s="4">
        <f>Материалы!G128</f>
        <v/>
      </c>
      <c r="F128" s="4">
        <f>Материалы!P128</f>
        <v/>
      </c>
      <c r="G128" s="3">
        <f>Материалы!N128</f>
        <v/>
      </c>
      <c r="H128" s="3">
        <f>Материалы!O128</f>
        <v/>
      </c>
    </row>
    <row r="129">
      <c r="A129" s="3">
        <f>Материалы!B129</f>
        <v/>
      </c>
      <c r="B129" s="3">
        <f>Материалы!D129</f>
        <v/>
      </c>
      <c r="C129" s="3">
        <f>Материалы!L129</f>
        <v/>
      </c>
      <c r="D129" s="3">
        <f>Материалы!M129</f>
        <v/>
      </c>
      <c r="E129" s="4">
        <f>Материалы!G129</f>
        <v/>
      </c>
      <c r="F129" s="4">
        <f>Материалы!P129</f>
        <v/>
      </c>
      <c r="G129" s="3">
        <f>Материалы!N129</f>
        <v/>
      </c>
      <c r="H129" s="3">
        <f>Материалы!O129</f>
        <v/>
      </c>
    </row>
    <row r="130">
      <c r="A130" s="3">
        <f>Материалы!B130</f>
        <v/>
      </c>
      <c r="B130" s="3">
        <f>Материалы!D130</f>
        <v/>
      </c>
      <c r="C130" s="3">
        <f>Материалы!L130</f>
        <v/>
      </c>
      <c r="D130" s="3">
        <f>Материалы!M130</f>
        <v/>
      </c>
      <c r="E130" s="4">
        <f>Материалы!G130</f>
        <v/>
      </c>
      <c r="F130" s="4">
        <f>Материалы!P130</f>
        <v/>
      </c>
      <c r="G130" s="3">
        <f>Материалы!N130</f>
        <v/>
      </c>
      <c r="H130" s="3">
        <f>Материалы!O130</f>
        <v/>
      </c>
    </row>
    <row r="131">
      <c r="A131" s="3">
        <f>Материалы!B131</f>
        <v/>
      </c>
      <c r="B131" s="3">
        <f>Материалы!D131</f>
        <v/>
      </c>
      <c r="C131" s="3">
        <f>Материалы!L131</f>
        <v/>
      </c>
      <c r="D131" s="3">
        <f>Материалы!M131</f>
        <v/>
      </c>
      <c r="E131" s="4">
        <f>Материалы!G131</f>
        <v/>
      </c>
      <c r="F131" s="4">
        <f>Материалы!P131</f>
        <v/>
      </c>
      <c r="G131" s="3">
        <f>Материалы!N131</f>
        <v/>
      </c>
      <c r="H131" s="3">
        <f>Материалы!O131</f>
        <v/>
      </c>
    </row>
    <row r="132">
      <c r="A132" s="3">
        <f>Материалы!B132</f>
        <v/>
      </c>
      <c r="B132" s="3">
        <f>Материалы!D132</f>
        <v/>
      </c>
      <c r="C132" s="3">
        <f>Материалы!L132</f>
        <v/>
      </c>
      <c r="D132" s="3">
        <f>Материалы!M132</f>
        <v/>
      </c>
      <c r="E132" s="4">
        <f>Материалы!G132</f>
        <v/>
      </c>
      <c r="F132" s="4">
        <f>Материалы!P132</f>
        <v/>
      </c>
      <c r="G132" s="3">
        <f>Материалы!N132</f>
        <v/>
      </c>
      <c r="H132" s="3">
        <f>Материалы!O132</f>
        <v/>
      </c>
    </row>
    <row r="133">
      <c r="A133" s="3">
        <f>Материалы!B133</f>
        <v/>
      </c>
      <c r="B133" s="3">
        <f>Материалы!D133</f>
        <v/>
      </c>
      <c r="C133" s="3">
        <f>Материалы!L133</f>
        <v/>
      </c>
      <c r="D133" s="3">
        <f>Материалы!M133</f>
        <v/>
      </c>
      <c r="E133" s="4">
        <f>Материалы!G133</f>
        <v/>
      </c>
      <c r="F133" s="4">
        <f>Материалы!P133</f>
        <v/>
      </c>
      <c r="G133" s="3">
        <f>Материалы!N133</f>
        <v/>
      </c>
      <c r="H133" s="3">
        <f>Материалы!O133</f>
        <v/>
      </c>
    </row>
    <row r="134">
      <c r="A134" s="3">
        <f>Материалы!B134</f>
        <v/>
      </c>
      <c r="B134" s="3">
        <f>Материалы!D134</f>
        <v/>
      </c>
      <c r="C134" s="3">
        <f>Материалы!L134</f>
        <v/>
      </c>
      <c r="D134" s="3">
        <f>Материалы!M134</f>
        <v/>
      </c>
      <c r="E134" s="4">
        <f>Материалы!G134</f>
        <v/>
      </c>
      <c r="F134" s="4">
        <f>Материалы!P134</f>
        <v/>
      </c>
      <c r="G134" s="3">
        <f>Материалы!N134</f>
        <v/>
      </c>
      <c r="H134" s="3">
        <f>Материалы!O134</f>
        <v/>
      </c>
    </row>
    <row r="135">
      <c r="A135" s="3">
        <f>Материалы!B135</f>
        <v/>
      </c>
      <c r="B135" s="3">
        <f>Материалы!D135</f>
        <v/>
      </c>
      <c r="C135" s="3">
        <f>Материалы!L135</f>
        <v/>
      </c>
      <c r="D135" s="3">
        <f>Материалы!M135</f>
        <v/>
      </c>
      <c r="E135" s="4">
        <f>Материалы!G135</f>
        <v/>
      </c>
      <c r="F135" s="4">
        <f>Материалы!P135</f>
        <v/>
      </c>
      <c r="G135" s="3">
        <f>Материалы!N135</f>
        <v/>
      </c>
      <c r="H135" s="3">
        <f>Материалы!O135</f>
        <v/>
      </c>
    </row>
    <row r="136">
      <c r="A136" s="3">
        <f>Материалы!B136</f>
        <v/>
      </c>
      <c r="B136" s="3">
        <f>Материалы!D136</f>
        <v/>
      </c>
      <c r="C136" s="3">
        <f>Материалы!L136</f>
        <v/>
      </c>
      <c r="D136" s="3">
        <f>Материалы!M136</f>
        <v/>
      </c>
      <c r="E136" s="4">
        <f>Материалы!G136</f>
        <v/>
      </c>
      <c r="F136" s="4">
        <f>Материалы!P136</f>
        <v/>
      </c>
      <c r="G136" s="3">
        <f>Материалы!N136</f>
        <v/>
      </c>
      <c r="H136" s="3">
        <f>Материалы!O136</f>
        <v/>
      </c>
    </row>
    <row r="137">
      <c r="A137" s="3">
        <f>Материалы!B137</f>
        <v/>
      </c>
      <c r="B137" s="3">
        <f>Материалы!D137</f>
        <v/>
      </c>
      <c r="C137" s="3">
        <f>Материалы!L137</f>
        <v/>
      </c>
      <c r="D137" s="3">
        <f>Материалы!M137</f>
        <v/>
      </c>
      <c r="E137" s="4">
        <f>Материалы!G137</f>
        <v/>
      </c>
      <c r="F137" s="4">
        <f>Материалы!P137</f>
        <v/>
      </c>
      <c r="G137" s="3">
        <f>Материалы!N137</f>
        <v/>
      </c>
      <c r="H137" s="3">
        <f>Материалы!O137</f>
        <v/>
      </c>
    </row>
    <row r="138">
      <c r="A138" s="3">
        <f>Материалы!B138</f>
        <v/>
      </c>
      <c r="B138" s="3">
        <f>Материалы!D138</f>
        <v/>
      </c>
      <c r="C138" s="3">
        <f>Материалы!L138</f>
        <v/>
      </c>
      <c r="D138" s="3">
        <f>Материалы!M138</f>
        <v/>
      </c>
      <c r="E138" s="4">
        <f>Материалы!G138</f>
        <v/>
      </c>
      <c r="F138" s="4">
        <f>Материалы!P138</f>
        <v/>
      </c>
      <c r="G138" s="3">
        <f>Материалы!N138</f>
        <v/>
      </c>
      <c r="H138" s="3">
        <f>Материалы!O138</f>
        <v/>
      </c>
    </row>
    <row r="139">
      <c r="A139" s="3">
        <f>Материалы!B139</f>
        <v/>
      </c>
      <c r="B139" s="3">
        <f>Материалы!D139</f>
        <v/>
      </c>
      <c r="C139" s="3">
        <f>Материалы!L139</f>
        <v/>
      </c>
      <c r="D139" s="3">
        <f>Материалы!M139</f>
        <v/>
      </c>
      <c r="E139" s="4">
        <f>Материалы!G139</f>
        <v/>
      </c>
      <c r="F139" s="4">
        <f>Материалы!P139</f>
        <v/>
      </c>
      <c r="G139" s="3">
        <f>Материалы!N139</f>
        <v/>
      </c>
      <c r="H139" s="3">
        <f>Материалы!O139</f>
        <v/>
      </c>
    </row>
    <row r="140">
      <c r="A140" s="3">
        <f>Материалы!B140</f>
        <v/>
      </c>
      <c r="B140" s="3">
        <f>Материалы!D140</f>
        <v/>
      </c>
      <c r="C140" s="3">
        <f>Материалы!L140</f>
        <v/>
      </c>
      <c r="D140" s="3">
        <f>Материалы!M140</f>
        <v/>
      </c>
      <c r="E140" s="4">
        <f>Материалы!G140</f>
        <v/>
      </c>
      <c r="F140" s="4">
        <f>Материалы!P140</f>
        <v/>
      </c>
      <c r="G140" s="3">
        <f>Материалы!N140</f>
        <v/>
      </c>
      <c r="H140" s="3">
        <f>Материалы!O140</f>
        <v/>
      </c>
    </row>
    <row r="141">
      <c r="A141" s="3">
        <f>Материалы!B141</f>
        <v/>
      </c>
      <c r="B141" s="3">
        <f>Материалы!D141</f>
        <v/>
      </c>
      <c r="C141" s="3">
        <f>Материалы!L141</f>
        <v/>
      </c>
      <c r="D141" s="3">
        <f>Материалы!M141</f>
        <v/>
      </c>
      <c r="E141" s="4">
        <f>Материалы!G141</f>
        <v/>
      </c>
      <c r="F141" s="4">
        <f>Материалы!P141</f>
        <v/>
      </c>
      <c r="G141" s="3">
        <f>Материалы!N141</f>
        <v/>
      </c>
      <c r="H141" s="3">
        <f>Материалы!O141</f>
        <v/>
      </c>
    </row>
    <row r="142">
      <c r="A142" s="3">
        <f>Материалы!B142</f>
        <v/>
      </c>
      <c r="B142" s="3">
        <f>Материалы!D142</f>
        <v/>
      </c>
      <c r="C142" s="3">
        <f>Материалы!L142</f>
        <v/>
      </c>
      <c r="D142" s="3">
        <f>Материалы!M142</f>
        <v/>
      </c>
      <c r="E142" s="4">
        <f>Материалы!G142</f>
        <v/>
      </c>
      <c r="F142" s="4">
        <f>Материалы!P142</f>
        <v/>
      </c>
      <c r="G142" s="3">
        <f>Материалы!N142</f>
        <v/>
      </c>
      <c r="H142" s="3">
        <f>Материалы!O142</f>
        <v/>
      </c>
    </row>
    <row r="143">
      <c r="A143" s="3">
        <f>Материалы!B143</f>
        <v/>
      </c>
      <c r="B143" s="3">
        <f>Материалы!D143</f>
        <v/>
      </c>
      <c r="C143" s="3">
        <f>Материалы!L143</f>
        <v/>
      </c>
      <c r="D143" s="3">
        <f>Материалы!M143</f>
        <v/>
      </c>
      <c r="E143" s="4">
        <f>Материалы!G143</f>
        <v/>
      </c>
      <c r="F143" s="4">
        <f>Материалы!P143</f>
        <v/>
      </c>
      <c r="G143" s="3">
        <f>Материалы!N143</f>
        <v/>
      </c>
      <c r="H143" s="3">
        <f>Материалы!O143</f>
        <v/>
      </c>
    </row>
    <row r="144">
      <c r="A144" s="3">
        <f>Материалы!B144</f>
        <v/>
      </c>
      <c r="B144" s="3">
        <f>Материалы!D144</f>
        <v/>
      </c>
      <c r="C144" s="3">
        <f>Материалы!L144</f>
        <v/>
      </c>
      <c r="D144" s="3">
        <f>Материалы!M144</f>
        <v/>
      </c>
      <c r="E144" s="4">
        <f>Материалы!G144</f>
        <v/>
      </c>
      <c r="F144" s="4">
        <f>Материалы!P144</f>
        <v/>
      </c>
      <c r="G144" s="3">
        <f>Материалы!N144</f>
        <v/>
      </c>
      <c r="H144" s="3">
        <f>Материалы!O144</f>
        <v/>
      </c>
    </row>
    <row r="145">
      <c r="A145" s="3">
        <f>Материалы!B145</f>
        <v/>
      </c>
      <c r="B145" s="3">
        <f>Материалы!D145</f>
        <v/>
      </c>
      <c r="C145" s="3">
        <f>Материалы!L145</f>
        <v/>
      </c>
      <c r="D145" s="3">
        <f>Материалы!M145</f>
        <v/>
      </c>
      <c r="E145" s="4">
        <f>Материалы!G145</f>
        <v/>
      </c>
      <c r="F145" s="4">
        <f>Материалы!P145</f>
        <v/>
      </c>
      <c r="G145" s="3">
        <f>Материалы!N145</f>
        <v/>
      </c>
      <c r="H145" s="3">
        <f>Материалы!O145</f>
        <v/>
      </c>
    </row>
    <row r="146">
      <c r="A146" s="3">
        <f>Материалы!B146</f>
        <v/>
      </c>
      <c r="B146" s="3">
        <f>Материалы!D146</f>
        <v/>
      </c>
      <c r="C146" s="3">
        <f>Материалы!L146</f>
        <v/>
      </c>
      <c r="D146" s="3">
        <f>Материалы!M146</f>
        <v/>
      </c>
      <c r="E146" s="4">
        <f>Материалы!G146</f>
        <v/>
      </c>
      <c r="F146" s="4">
        <f>Материалы!P146</f>
        <v/>
      </c>
      <c r="G146" s="3">
        <f>Материалы!N146</f>
        <v/>
      </c>
      <c r="H146" s="3">
        <f>Материалы!O146</f>
        <v/>
      </c>
    </row>
    <row r="147">
      <c r="A147" s="3">
        <f>Материалы!B147</f>
        <v/>
      </c>
      <c r="B147" s="3">
        <f>Материалы!D147</f>
        <v/>
      </c>
      <c r="C147" s="3">
        <f>Материалы!L147</f>
        <v/>
      </c>
      <c r="D147" s="3">
        <f>Материалы!M147</f>
        <v/>
      </c>
      <c r="E147" s="4">
        <f>Материалы!G147</f>
        <v/>
      </c>
      <c r="F147" s="4">
        <f>Материалы!P147</f>
        <v/>
      </c>
      <c r="G147" s="3">
        <f>Материалы!N147</f>
        <v/>
      </c>
      <c r="H147" s="3">
        <f>Материалы!O147</f>
        <v/>
      </c>
    </row>
    <row r="148">
      <c r="A148" s="3">
        <f>Материалы!B148</f>
        <v/>
      </c>
      <c r="B148" s="3">
        <f>Материалы!D148</f>
        <v/>
      </c>
      <c r="C148" s="3">
        <f>Материалы!L148</f>
        <v/>
      </c>
      <c r="D148" s="3">
        <f>Материалы!M148</f>
        <v/>
      </c>
      <c r="E148" s="4">
        <f>Материалы!G148</f>
        <v/>
      </c>
      <c r="F148" s="4">
        <f>Материалы!P148</f>
        <v/>
      </c>
      <c r="G148" s="3">
        <f>Материалы!N148</f>
        <v/>
      </c>
      <c r="H148" s="3">
        <f>Материалы!O148</f>
        <v/>
      </c>
    </row>
    <row r="149">
      <c r="A149" s="3">
        <f>Материалы!B149</f>
        <v/>
      </c>
      <c r="B149" s="3">
        <f>Материалы!D149</f>
        <v/>
      </c>
      <c r="C149" s="3">
        <f>Материалы!L149</f>
        <v/>
      </c>
      <c r="D149" s="3">
        <f>Материалы!M149</f>
        <v/>
      </c>
      <c r="E149" s="4">
        <f>Материалы!G149</f>
        <v/>
      </c>
      <c r="F149" s="4">
        <f>Материалы!P149</f>
        <v/>
      </c>
      <c r="G149" s="3">
        <f>Материалы!N149</f>
        <v/>
      </c>
      <c r="H149" s="3">
        <f>Материалы!O149</f>
        <v/>
      </c>
    </row>
    <row r="150">
      <c r="A150" s="3">
        <f>Материалы!B150</f>
        <v/>
      </c>
      <c r="B150" s="3">
        <f>Материалы!D150</f>
        <v/>
      </c>
      <c r="C150" s="3">
        <f>Материалы!L150</f>
        <v/>
      </c>
      <c r="D150" s="3">
        <f>Материалы!M150</f>
        <v/>
      </c>
      <c r="E150" s="4">
        <f>Материалы!G150</f>
        <v/>
      </c>
      <c r="F150" s="4">
        <f>Материалы!P150</f>
        <v/>
      </c>
      <c r="G150" s="3">
        <f>Материалы!N150</f>
        <v/>
      </c>
      <c r="H150" s="3">
        <f>Материалы!O150</f>
        <v/>
      </c>
    </row>
    <row r="151">
      <c r="A151" s="3">
        <f>Материалы!B151</f>
        <v/>
      </c>
      <c r="B151" s="3">
        <f>Материалы!D151</f>
        <v/>
      </c>
      <c r="C151" s="3">
        <f>Материалы!L151</f>
        <v/>
      </c>
      <c r="D151" s="3">
        <f>Материалы!M151</f>
        <v/>
      </c>
      <c r="E151" s="4">
        <f>Материалы!G151</f>
        <v/>
      </c>
      <c r="F151" s="4">
        <f>Материалы!P151</f>
        <v/>
      </c>
      <c r="G151" s="3">
        <f>Материалы!N151</f>
        <v/>
      </c>
      <c r="H151" s="3">
        <f>Материалы!O151</f>
        <v/>
      </c>
    </row>
    <row r="152">
      <c r="A152" s="3">
        <f>Материалы!B152</f>
        <v/>
      </c>
      <c r="B152" s="3">
        <f>Материалы!D152</f>
        <v/>
      </c>
      <c r="C152" s="3">
        <f>Материалы!L152</f>
        <v/>
      </c>
      <c r="D152" s="3">
        <f>Материалы!M152</f>
        <v/>
      </c>
      <c r="E152" s="4">
        <f>Материалы!G152</f>
        <v/>
      </c>
      <c r="F152" s="4">
        <f>Материалы!P152</f>
        <v/>
      </c>
      <c r="G152" s="3">
        <f>Материалы!N152</f>
        <v/>
      </c>
      <c r="H152" s="3">
        <f>Материалы!O152</f>
        <v/>
      </c>
    </row>
    <row r="153">
      <c r="A153" s="3">
        <f>Материалы!B153</f>
        <v/>
      </c>
      <c r="B153" s="3">
        <f>Материалы!D153</f>
        <v/>
      </c>
      <c r="C153" s="3">
        <f>Материалы!L153</f>
        <v/>
      </c>
      <c r="D153" s="3">
        <f>Материалы!M153</f>
        <v/>
      </c>
      <c r="E153" s="4">
        <f>Материалы!G153</f>
        <v/>
      </c>
      <c r="F153" s="4">
        <f>Материалы!P153</f>
        <v/>
      </c>
      <c r="G153" s="3">
        <f>Материалы!N153</f>
        <v/>
      </c>
      <c r="H153" s="3">
        <f>Материалы!O153</f>
        <v/>
      </c>
    </row>
    <row r="154">
      <c r="A154" s="3">
        <f>Материалы!B154</f>
        <v/>
      </c>
      <c r="B154" s="3">
        <f>Материалы!D154</f>
        <v/>
      </c>
      <c r="C154" s="3">
        <f>Материалы!L154</f>
        <v/>
      </c>
      <c r="D154" s="3">
        <f>Материалы!M154</f>
        <v/>
      </c>
      <c r="E154" s="4">
        <f>Материалы!G154</f>
        <v/>
      </c>
      <c r="F154" s="4">
        <f>Материалы!P154</f>
        <v/>
      </c>
      <c r="G154" s="3">
        <f>Материалы!N154</f>
        <v/>
      </c>
      <c r="H154" s="3">
        <f>Материалы!O154</f>
        <v/>
      </c>
    </row>
    <row r="155">
      <c r="A155" s="3">
        <f>Материалы!B155</f>
        <v/>
      </c>
      <c r="B155" s="3">
        <f>Материалы!D155</f>
        <v/>
      </c>
      <c r="C155" s="3">
        <f>Материалы!L155</f>
        <v/>
      </c>
      <c r="D155" s="3">
        <f>Материалы!M155</f>
        <v/>
      </c>
      <c r="E155" s="4">
        <f>Материалы!G155</f>
        <v/>
      </c>
      <c r="F155" s="4">
        <f>Материалы!P155</f>
        <v/>
      </c>
      <c r="G155" s="3">
        <f>Материалы!N155</f>
        <v/>
      </c>
      <c r="H155" s="3">
        <f>Материалы!O155</f>
        <v/>
      </c>
    </row>
    <row r="156">
      <c r="A156" s="3">
        <f>Материалы!B156</f>
        <v/>
      </c>
      <c r="B156" s="3">
        <f>Материалы!D156</f>
        <v/>
      </c>
      <c r="C156" s="3">
        <f>Материалы!L156</f>
        <v/>
      </c>
      <c r="D156" s="3">
        <f>Материалы!M156</f>
        <v/>
      </c>
      <c r="E156" s="4">
        <f>Материалы!G156</f>
        <v/>
      </c>
      <c r="F156" s="4">
        <f>Материалы!P156</f>
        <v/>
      </c>
      <c r="G156" s="3">
        <f>Материалы!N156</f>
        <v/>
      </c>
      <c r="H156" s="3">
        <f>Материалы!O156</f>
        <v/>
      </c>
    </row>
    <row r="157">
      <c r="A157" s="3">
        <f>Материалы!B157</f>
        <v/>
      </c>
      <c r="B157" s="3">
        <f>Материалы!D157</f>
        <v/>
      </c>
      <c r="C157" s="3">
        <f>Материалы!L157</f>
        <v/>
      </c>
      <c r="D157" s="3">
        <f>Материалы!M157</f>
        <v/>
      </c>
      <c r="E157" s="4">
        <f>Материалы!G157</f>
        <v/>
      </c>
      <c r="F157" s="4">
        <f>Материалы!P157</f>
        <v/>
      </c>
      <c r="G157" s="3">
        <f>Материалы!N157</f>
        <v/>
      </c>
      <c r="H157" s="3">
        <f>Материалы!O157</f>
        <v/>
      </c>
    </row>
    <row r="158">
      <c r="A158" s="3">
        <f>Материалы!B158</f>
        <v/>
      </c>
      <c r="B158" s="3">
        <f>Материалы!D158</f>
        <v/>
      </c>
      <c r="C158" s="3">
        <f>Материалы!L158</f>
        <v/>
      </c>
      <c r="D158" s="3">
        <f>Материалы!M158</f>
        <v/>
      </c>
      <c r="E158" s="4">
        <f>Материалы!G158</f>
        <v/>
      </c>
      <c r="F158" s="4">
        <f>Материалы!P158</f>
        <v/>
      </c>
      <c r="G158" s="3">
        <f>Материалы!N158</f>
        <v/>
      </c>
      <c r="H158" s="3">
        <f>Материалы!O158</f>
        <v/>
      </c>
    </row>
    <row r="159">
      <c r="A159" s="3">
        <f>Материалы!B159</f>
        <v/>
      </c>
      <c r="B159" s="3">
        <f>Материалы!D159</f>
        <v/>
      </c>
      <c r="C159" s="3">
        <f>Материалы!L159</f>
        <v/>
      </c>
      <c r="D159" s="3">
        <f>Материалы!M159</f>
        <v/>
      </c>
      <c r="E159" s="4">
        <f>Материалы!G159</f>
        <v/>
      </c>
      <c r="F159" s="4">
        <f>Материалы!P159</f>
        <v/>
      </c>
      <c r="G159" s="3">
        <f>Материалы!N159</f>
        <v/>
      </c>
      <c r="H159" s="3">
        <f>Материалы!O159</f>
        <v/>
      </c>
    </row>
    <row r="160">
      <c r="A160" s="3">
        <f>Материалы!B160</f>
        <v/>
      </c>
      <c r="B160" s="3">
        <f>Материалы!D160</f>
        <v/>
      </c>
      <c r="C160" s="3">
        <f>Материалы!L160</f>
        <v/>
      </c>
      <c r="D160" s="3">
        <f>Материалы!M160</f>
        <v/>
      </c>
      <c r="E160" s="4">
        <f>Материалы!G160</f>
        <v/>
      </c>
      <c r="F160" s="4">
        <f>Материалы!P160</f>
        <v/>
      </c>
      <c r="G160" s="3">
        <f>Материалы!N160</f>
        <v/>
      </c>
      <c r="H160" s="3">
        <f>Материалы!O160</f>
        <v/>
      </c>
    </row>
    <row r="161">
      <c r="A161" s="3">
        <f>Материалы!B161</f>
        <v/>
      </c>
      <c r="B161" s="3">
        <f>Материалы!D161</f>
        <v/>
      </c>
      <c r="C161" s="3">
        <f>Материалы!L161</f>
        <v/>
      </c>
      <c r="D161" s="3">
        <f>Материалы!M161</f>
        <v/>
      </c>
      <c r="E161" s="4">
        <f>Материалы!G161</f>
        <v/>
      </c>
      <c r="F161" s="4">
        <f>Материалы!P161</f>
        <v/>
      </c>
      <c r="G161" s="3">
        <f>Материалы!N161</f>
        <v/>
      </c>
      <c r="H161" s="3">
        <f>Материалы!O161</f>
        <v/>
      </c>
    </row>
    <row r="162">
      <c r="A162" s="3">
        <f>Материалы!B162</f>
        <v/>
      </c>
      <c r="B162" s="3">
        <f>Материалы!D162</f>
        <v/>
      </c>
      <c r="C162" s="3">
        <f>Материалы!L162</f>
        <v/>
      </c>
      <c r="D162" s="3">
        <f>Материалы!M162</f>
        <v/>
      </c>
      <c r="E162" s="4">
        <f>Материалы!G162</f>
        <v/>
      </c>
      <c r="F162" s="4">
        <f>Материалы!P162</f>
        <v/>
      </c>
      <c r="G162" s="3">
        <f>Материалы!N162</f>
        <v/>
      </c>
      <c r="H162" s="3">
        <f>Материалы!O162</f>
        <v/>
      </c>
    </row>
    <row r="163">
      <c r="A163" s="3">
        <f>Материалы!B163</f>
        <v/>
      </c>
      <c r="B163" s="3">
        <f>Материалы!D163</f>
        <v/>
      </c>
      <c r="C163" s="3">
        <f>Материалы!L163</f>
        <v/>
      </c>
      <c r="D163" s="3">
        <f>Материалы!M163</f>
        <v/>
      </c>
      <c r="E163" s="4">
        <f>Материалы!G163</f>
        <v/>
      </c>
      <c r="F163" s="4">
        <f>Материалы!P163</f>
        <v/>
      </c>
      <c r="G163" s="3">
        <f>Материалы!N163</f>
        <v/>
      </c>
      <c r="H163" s="3">
        <f>Материалы!O163</f>
        <v/>
      </c>
    </row>
    <row r="164">
      <c r="A164" s="3">
        <f>Материалы!B164</f>
        <v/>
      </c>
      <c r="B164" s="3">
        <f>Материалы!D164</f>
        <v/>
      </c>
      <c r="C164" s="3">
        <f>Материалы!L164</f>
        <v/>
      </c>
      <c r="D164" s="3">
        <f>Материалы!M164</f>
        <v/>
      </c>
      <c r="E164" s="4">
        <f>Материалы!G164</f>
        <v/>
      </c>
      <c r="F164" s="4">
        <f>Материалы!P164</f>
        <v/>
      </c>
      <c r="G164" s="3">
        <f>Материалы!N164</f>
        <v/>
      </c>
      <c r="H164" s="3">
        <f>Материалы!O164</f>
        <v/>
      </c>
    </row>
    <row r="165">
      <c r="A165" s="3">
        <f>Материалы!B165</f>
        <v/>
      </c>
      <c r="B165" s="3">
        <f>Материалы!D165</f>
        <v/>
      </c>
      <c r="C165" s="3">
        <f>Материалы!L165</f>
        <v/>
      </c>
      <c r="D165" s="3">
        <f>Материалы!M165</f>
        <v/>
      </c>
      <c r="E165" s="4">
        <f>Материалы!G165</f>
        <v/>
      </c>
      <c r="F165" s="4">
        <f>Материалы!P165</f>
        <v/>
      </c>
      <c r="G165" s="3">
        <f>Материалы!N165</f>
        <v/>
      </c>
      <c r="H165" s="3">
        <f>Материалы!O165</f>
        <v/>
      </c>
    </row>
    <row r="166">
      <c r="A166" s="3">
        <f>Материалы!B166</f>
        <v/>
      </c>
      <c r="B166" s="3">
        <f>Материалы!D166</f>
        <v/>
      </c>
      <c r="C166" s="3">
        <f>Материалы!L166</f>
        <v/>
      </c>
      <c r="D166" s="3">
        <f>Материалы!M166</f>
        <v/>
      </c>
      <c r="E166" s="4">
        <f>Материалы!G166</f>
        <v/>
      </c>
      <c r="F166" s="4">
        <f>Материалы!P166</f>
        <v/>
      </c>
      <c r="G166" s="3">
        <f>Материалы!N166</f>
        <v/>
      </c>
      <c r="H166" s="3">
        <f>Материалы!O166</f>
        <v/>
      </c>
    </row>
    <row r="167">
      <c r="A167" s="3">
        <f>Материалы!B167</f>
        <v/>
      </c>
      <c r="B167" s="3">
        <f>Материалы!D167</f>
        <v/>
      </c>
      <c r="C167" s="3">
        <f>Материалы!L167</f>
        <v/>
      </c>
      <c r="D167" s="3">
        <f>Материалы!M167</f>
        <v/>
      </c>
      <c r="E167" s="4">
        <f>Материалы!G167</f>
        <v/>
      </c>
      <c r="F167" s="4">
        <f>Материалы!P167</f>
        <v/>
      </c>
      <c r="G167" s="3">
        <f>Материалы!N167</f>
        <v/>
      </c>
      <c r="H167" s="3">
        <f>Материалы!O167</f>
        <v/>
      </c>
    </row>
    <row r="168">
      <c r="A168" s="3">
        <f>Материалы!B168</f>
        <v/>
      </c>
      <c r="B168" s="3">
        <f>Материалы!D168</f>
        <v/>
      </c>
      <c r="C168" s="3">
        <f>Материалы!L168</f>
        <v/>
      </c>
      <c r="D168" s="3">
        <f>Материалы!M168</f>
        <v/>
      </c>
      <c r="E168" s="4">
        <f>Материалы!G168</f>
        <v/>
      </c>
      <c r="F168" s="4">
        <f>Материалы!P168</f>
        <v/>
      </c>
      <c r="G168" s="3">
        <f>Материалы!N168</f>
        <v/>
      </c>
      <c r="H168" s="3">
        <f>Материалы!O168</f>
        <v/>
      </c>
    </row>
    <row r="169">
      <c r="A169" s="3">
        <f>Материалы!B169</f>
        <v/>
      </c>
      <c r="B169" s="3">
        <f>Материалы!D169</f>
        <v/>
      </c>
      <c r="C169" s="3">
        <f>Материалы!L169</f>
        <v/>
      </c>
      <c r="D169" s="3">
        <f>Материалы!M169</f>
        <v/>
      </c>
      <c r="E169" s="4">
        <f>Материалы!G169</f>
        <v/>
      </c>
      <c r="F169" s="4">
        <f>Материалы!P169</f>
        <v/>
      </c>
      <c r="G169" s="3">
        <f>Материалы!N169</f>
        <v/>
      </c>
      <c r="H169" s="3">
        <f>Материалы!O169</f>
        <v/>
      </c>
    </row>
    <row r="170">
      <c r="A170" s="3">
        <f>Материалы!B170</f>
        <v/>
      </c>
      <c r="B170" s="3">
        <f>Материалы!D170</f>
        <v/>
      </c>
      <c r="C170" s="3">
        <f>Материалы!L170</f>
        <v/>
      </c>
      <c r="D170" s="3">
        <f>Материалы!M170</f>
        <v/>
      </c>
      <c r="E170" s="4">
        <f>Материалы!G170</f>
        <v/>
      </c>
      <c r="F170" s="4">
        <f>Материалы!P170</f>
        <v/>
      </c>
      <c r="G170" s="3">
        <f>Материалы!N170</f>
        <v/>
      </c>
      <c r="H170" s="3">
        <f>Материалы!O170</f>
        <v/>
      </c>
    </row>
    <row r="171">
      <c r="A171" s="3">
        <f>Материалы!B171</f>
        <v/>
      </c>
      <c r="B171" s="3">
        <f>Материалы!D171</f>
        <v/>
      </c>
      <c r="C171" s="3">
        <f>Материалы!L171</f>
        <v/>
      </c>
      <c r="D171" s="3">
        <f>Материалы!M171</f>
        <v/>
      </c>
      <c r="E171" s="4">
        <f>Материалы!G171</f>
        <v/>
      </c>
      <c r="F171" s="4">
        <f>Материалы!P171</f>
        <v/>
      </c>
      <c r="G171" s="3">
        <f>Материалы!N171</f>
        <v/>
      </c>
      <c r="H171" s="3">
        <f>Материалы!O171</f>
        <v/>
      </c>
    </row>
    <row r="172">
      <c r="A172" s="3">
        <f>Материалы!B172</f>
        <v/>
      </c>
      <c r="B172" s="3">
        <f>Материалы!D172</f>
        <v/>
      </c>
      <c r="C172" s="3">
        <f>Материалы!L172</f>
        <v/>
      </c>
      <c r="D172" s="3">
        <f>Материалы!M172</f>
        <v/>
      </c>
      <c r="E172" s="4">
        <f>Материалы!G172</f>
        <v/>
      </c>
      <c r="F172" s="4">
        <f>Материалы!P172</f>
        <v/>
      </c>
      <c r="G172" s="3">
        <f>Материалы!N172</f>
        <v/>
      </c>
      <c r="H172" s="3">
        <f>Материалы!O172</f>
        <v/>
      </c>
    </row>
    <row r="173">
      <c r="A173" s="3">
        <f>Материалы!B173</f>
        <v/>
      </c>
      <c r="B173" s="3">
        <f>Материалы!D173</f>
        <v/>
      </c>
      <c r="C173" s="3">
        <f>Материалы!L173</f>
        <v/>
      </c>
      <c r="D173" s="3">
        <f>Материалы!M173</f>
        <v/>
      </c>
      <c r="E173" s="4">
        <f>Материалы!G173</f>
        <v/>
      </c>
      <c r="F173" s="4">
        <f>Материалы!P173</f>
        <v/>
      </c>
      <c r="G173" s="3">
        <f>Материалы!N173</f>
        <v/>
      </c>
      <c r="H173" s="3">
        <f>Материалы!O173</f>
        <v/>
      </c>
    </row>
    <row r="174">
      <c r="A174" s="3">
        <f>Материалы!B174</f>
        <v/>
      </c>
      <c r="B174" s="3">
        <f>Материалы!D174</f>
        <v/>
      </c>
      <c r="C174" s="3">
        <f>Материалы!L174</f>
        <v/>
      </c>
      <c r="D174" s="3">
        <f>Материалы!M174</f>
        <v/>
      </c>
      <c r="E174" s="4">
        <f>Материалы!G174</f>
        <v/>
      </c>
      <c r="F174" s="4">
        <f>Материалы!P174</f>
        <v/>
      </c>
      <c r="G174" s="3">
        <f>Материалы!N174</f>
        <v/>
      </c>
      <c r="H174" s="3">
        <f>Материалы!O174</f>
        <v/>
      </c>
    </row>
    <row r="175">
      <c r="A175" s="3">
        <f>Материалы!B175</f>
        <v/>
      </c>
      <c r="B175" s="3">
        <f>Материалы!D175</f>
        <v/>
      </c>
      <c r="C175" s="3">
        <f>Материалы!L175</f>
        <v/>
      </c>
      <c r="D175" s="3">
        <f>Материалы!M175</f>
        <v/>
      </c>
      <c r="E175" s="4">
        <f>Материалы!G175</f>
        <v/>
      </c>
      <c r="F175" s="4">
        <f>Материалы!P175</f>
        <v/>
      </c>
      <c r="G175" s="3">
        <f>Материалы!N175</f>
        <v/>
      </c>
      <c r="H175" s="3">
        <f>Материалы!O175</f>
        <v/>
      </c>
    </row>
    <row r="176">
      <c r="A176" s="3">
        <f>Материалы!B176</f>
        <v/>
      </c>
      <c r="B176" s="3">
        <f>Материалы!D176</f>
        <v/>
      </c>
      <c r="C176" s="3">
        <f>Материалы!L176</f>
        <v/>
      </c>
      <c r="D176" s="3">
        <f>Материалы!M176</f>
        <v/>
      </c>
      <c r="E176" s="4">
        <f>Материалы!G176</f>
        <v/>
      </c>
      <c r="F176" s="4">
        <f>Материалы!P176</f>
        <v/>
      </c>
      <c r="G176" s="3">
        <f>Материалы!N176</f>
        <v/>
      </c>
      <c r="H176" s="3">
        <f>Материалы!O176</f>
        <v/>
      </c>
    </row>
    <row r="177">
      <c r="A177" s="3">
        <f>Материалы!B177</f>
        <v/>
      </c>
      <c r="B177" s="3">
        <f>Материалы!D177</f>
        <v/>
      </c>
      <c r="C177" s="3">
        <f>Материалы!L177</f>
        <v/>
      </c>
      <c r="D177" s="3">
        <f>Материалы!M177</f>
        <v/>
      </c>
      <c r="E177" s="4">
        <f>Материалы!G177</f>
        <v/>
      </c>
      <c r="F177" s="4">
        <f>Материалы!P177</f>
        <v/>
      </c>
      <c r="G177" s="3">
        <f>Материалы!N177</f>
        <v/>
      </c>
      <c r="H177" s="3">
        <f>Материалы!O177</f>
        <v/>
      </c>
    </row>
    <row r="178">
      <c r="A178" s="3">
        <f>Материалы!B178</f>
        <v/>
      </c>
      <c r="B178" s="3">
        <f>Материалы!D178</f>
        <v/>
      </c>
      <c r="C178" s="3">
        <f>Материалы!L178</f>
        <v/>
      </c>
      <c r="D178" s="3">
        <f>Материалы!M178</f>
        <v/>
      </c>
      <c r="E178" s="4">
        <f>Материалы!G178</f>
        <v/>
      </c>
      <c r="F178" s="4">
        <f>Материалы!P178</f>
        <v/>
      </c>
      <c r="G178" s="3">
        <f>Материалы!N178</f>
        <v/>
      </c>
      <c r="H178" s="3">
        <f>Материалы!O178</f>
        <v/>
      </c>
    </row>
    <row r="179">
      <c r="A179" s="3">
        <f>Материалы!B179</f>
        <v/>
      </c>
      <c r="B179" s="3">
        <f>Материалы!D179</f>
        <v/>
      </c>
      <c r="C179" s="3">
        <f>Материалы!L179</f>
        <v/>
      </c>
      <c r="D179" s="3">
        <f>Материалы!M179</f>
        <v/>
      </c>
      <c r="E179" s="4">
        <f>Материалы!G179</f>
        <v/>
      </c>
      <c r="F179" s="4">
        <f>Материалы!P179</f>
        <v/>
      </c>
      <c r="G179" s="3">
        <f>Материалы!N179</f>
        <v/>
      </c>
      <c r="H179" s="3">
        <f>Материалы!O179</f>
        <v/>
      </c>
    </row>
    <row r="180">
      <c r="A180" s="3">
        <f>Материалы!B180</f>
        <v/>
      </c>
      <c r="B180" s="3">
        <f>Материалы!D180</f>
        <v/>
      </c>
      <c r="C180" s="3">
        <f>Материалы!L180</f>
        <v/>
      </c>
      <c r="D180" s="3">
        <f>Материалы!M180</f>
        <v/>
      </c>
      <c r="E180" s="4">
        <f>Материалы!G180</f>
        <v/>
      </c>
      <c r="F180" s="4">
        <f>Материалы!P180</f>
        <v/>
      </c>
      <c r="G180" s="3">
        <f>Материалы!N180</f>
        <v/>
      </c>
      <c r="H180" s="3">
        <f>Материалы!O180</f>
        <v/>
      </c>
    </row>
    <row r="181">
      <c r="A181" s="3">
        <f>Материалы!B181</f>
        <v/>
      </c>
      <c r="B181" s="3">
        <f>Материалы!D181</f>
        <v/>
      </c>
      <c r="C181" s="3">
        <f>Материалы!L181</f>
        <v/>
      </c>
      <c r="D181" s="3">
        <f>Материалы!M181</f>
        <v/>
      </c>
      <c r="E181" s="4">
        <f>Материалы!G181</f>
        <v/>
      </c>
      <c r="F181" s="4">
        <f>Материалы!P181</f>
        <v/>
      </c>
      <c r="G181" s="3">
        <f>Материалы!N181</f>
        <v/>
      </c>
      <c r="H181" s="3">
        <f>Материалы!O181</f>
        <v/>
      </c>
    </row>
    <row r="182">
      <c r="A182" s="3">
        <f>Материалы!B182</f>
        <v/>
      </c>
      <c r="B182" s="3">
        <f>Материалы!D182</f>
        <v/>
      </c>
      <c r="C182" s="3">
        <f>Материалы!L182</f>
        <v/>
      </c>
      <c r="D182" s="3">
        <f>Материалы!M182</f>
        <v/>
      </c>
      <c r="E182" s="4">
        <f>Материалы!G182</f>
        <v/>
      </c>
      <c r="F182" s="4">
        <f>Материалы!P182</f>
        <v/>
      </c>
      <c r="G182" s="3">
        <f>Материалы!N182</f>
        <v/>
      </c>
      <c r="H182" s="3">
        <f>Материалы!O182</f>
        <v/>
      </c>
    </row>
    <row r="183">
      <c r="A183" s="3">
        <f>Материалы!B183</f>
        <v/>
      </c>
      <c r="B183" s="3">
        <f>Материалы!D183</f>
        <v/>
      </c>
      <c r="C183" s="3">
        <f>Материалы!L183</f>
        <v/>
      </c>
      <c r="D183" s="3">
        <f>Материалы!M183</f>
        <v/>
      </c>
      <c r="E183" s="4">
        <f>Материалы!G183</f>
        <v/>
      </c>
      <c r="F183" s="4">
        <f>Материалы!P183</f>
        <v/>
      </c>
      <c r="G183" s="3">
        <f>Материалы!N183</f>
        <v/>
      </c>
      <c r="H183" s="3">
        <f>Материалы!O183</f>
        <v/>
      </c>
    </row>
    <row r="184">
      <c r="A184" s="3">
        <f>Материалы!B184</f>
        <v/>
      </c>
      <c r="B184" s="3">
        <f>Материалы!D184</f>
        <v/>
      </c>
      <c r="C184" s="3">
        <f>Материалы!L184</f>
        <v/>
      </c>
      <c r="D184" s="3">
        <f>Материалы!M184</f>
        <v/>
      </c>
      <c r="E184" s="4">
        <f>Материалы!G184</f>
        <v/>
      </c>
      <c r="F184" s="4">
        <f>Материалы!P184</f>
        <v/>
      </c>
      <c r="G184" s="3">
        <f>Материалы!N184</f>
        <v/>
      </c>
      <c r="H184" s="3">
        <f>Материалы!O184</f>
        <v/>
      </c>
    </row>
    <row r="185">
      <c r="A185" s="3">
        <f>Материалы!B185</f>
        <v/>
      </c>
      <c r="B185" s="3">
        <f>Материалы!D185</f>
        <v/>
      </c>
      <c r="C185" s="3">
        <f>Материалы!L185</f>
        <v/>
      </c>
      <c r="D185" s="3">
        <f>Материалы!M185</f>
        <v/>
      </c>
      <c r="E185" s="4">
        <f>Материалы!G185</f>
        <v/>
      </c>
      <c r="F185" s="4">
        <f>Материалы!P185</f>
        <v/>
      </c>
      <c r="G185" s="3">
        <f>Материалы!N185</f>
        <v/>
      </c>
      <c r="H185" s="3">
        <f>Материалы!O185</f>
        <v/>
      </c>
    </row>
    <row r="186">
      <c r="A186" s="3">
        <f>Материалы!B186</f>
        <v/>
      </c>
      <c r="B186" s="3">
        <f>Материалы!D186</f>
        <v/>
      </c>
      <c r="C186" s="3">
        <f>Материалы!L186</f>
        <v/>
      </c>
      <c r="D186" s="3">
        <f>Материалы!M186</f>
        <v/>
      </c>
      <c r="E186" s="4">
        <f>Материалы!G186</f>
        <v/>
      </c>
      <c r="F186" s="4">
        <f>Материалы!P186</f>
        <v/>
      </c>
      <c r="G186" s="3">
        <f>Материалы!N186</f>
        <v/>
      </c>
      <c r="H186" s="3">
        <f>Материалы!O186</f>
        <v/>
      </c>
    </row>
    <row r="187">
      <c r="A187" s="3">
        <f>Материалы!B187</f>
        <v/>
      </c>
      <c r="B187" s="3">
        <f>Материалы!D187</f>
        <v/>
      </c>
      <c r="C187" s="3">
        <f>Материалы!L187</f>
        <v/>
      </c>
      <c r="D187" s="3">
        <f>Материалы!M187</f>
        <v/>
      </c>
      <c r="E187" s="4">
        <f>Материалы!G187</f>
        <v/>
      </c>
      <c r="F187" s="4">
        <f>Материалы!P187</f>
        <v/>
      </c>
      <c r="G187" s="3">
        <f>Материалы!N187</f>
        <v/>
      </c>
      <c r="H187" s="3">
        <f>Материалы!O187</f>
        <v/>
      </c>
    </row>
    <row r="188">
      <c r="A188" s="3">
        <f>Материалы!B188</f>
        <v/>
      </c>
      <c r="B188" s="3">
        <f>Материалы!D188</f>
        <v/>
      </c>
      <c r="C188" s="3">
        <f>Материалы!L188</f>
        <v/>
      </c>
      <c r="D188" s="3">
        <f>Материалы!M188</f>
        <v/>
      </c>
      <c r="E188" s="4">
        <f>Материалы!G188</f>
        <v/>
      </c>
      <c r="F188" s="4">
        <f>Материалы!P188</f>
        <v/>
      </c>
      <c r="G188" s="3">
        <f>Материалы!N188</f>
        <v/>
      </c>
      <c r="H188" s="3">
        <f>Материалы!O188</f>
        <v/>
      </c>
    </row>
    <row r="189">
      <c r="A189" s="3">
        <f>Материалы!B189</f>
        <v/>
      </c>
      <c r="B189" s="3">
        <f>Материалы!D189</f>
        <v/>
      </c>
      <c r="C189" s="3">
        <f>Материалы!L189</f>
        <v/>
      </c>
      <c r="D189" s="3">
        <f>Материалы!M189</f>
        <v/>
      </c>
      <c r="E189" s="4">
        <f>Материалы!G189</f>
        <v/>
      </c>
      <c r="F189" s="4">
        <f>Материалы!P189</f>
        <v/>
      </c>
      <c r="G189" s="3">
        <f>Материалы!N189</f>
        <v/>
      </c>
      <c r="H189" s="3">
        <f>Материалы!O189</f>
        <v/>
      </c>
    </row>
    <row r="190">
      <c r="A190" s="3">
        <f>Материалы!B190</f>
        <v/>
      </c>
      <c r="B190" s="3">
        <f>Материалы!D190</f>
        <v/>
      </c>
      <c r="C190" s="3">
        <f>Материалы!L190</f>
        <v/>
      </c>
      <c r="D190" s="3">
        <f>Материалы!M190</f>
        <v/>
      </c>
      <c r="E190" s="4">
        <f>Материалы!G190</f>
        <v/>
      </c>
      <c r="F190" s="4">
        <f>Материалы!P190</f>
        <v/>
      </c>
      <c r="G190" s="3">
        <f>Материалы!N190</f>
        <v/>
      </c>
      <c r="H190" s="3">
        <f>Материалы!O190</f>
        <v/>
      </c>
    </row>
    <row r="191">
      <c r="A191" s="3">
        <f>Материалы!B191</f>
        <v/>
      </c>
      <c r="B191" s="3">
        <f>Материалы!D191</f>
        <v/>
      </c>
      <c r="C191" s="3">
        <f>Материалы!L191</f>
        <v/>
      </c>
      <c r="D191" s="3">
        <f>Материалы!M191</f>
        <v/>
      </c>
      <c r="E191" s="4">
        <f>Материалы!G191</f>
        <v/>
      </c>
      <c r="F191" s="4">
        <f>Материалы!P191</f>
        <v/>
      </c>
      <c r="G191" s="3">
        <f>Материалы!N191</f>
        <v/>
      </c>
      <c r="H191" s="3">
        <f>Материалы!O191</f>
        <v/>
      </c>
    </row>
    <row r="192">
      <c r="A192" s="3">
        <f>Материалы!B192</f>
        <v/>
      </c>
      <c r="B192" s="3">
        <f>Материалы!D192</f>
        <v/>
      </c>
      <c r="C192" s="3">
        <f>Материалы!L192</f>
        <v/>
      </c>
      <c r="D192" s="3">
        <f>Материалы!M192</f>
        <v/>
      </c>
      <c r="E192" s="4">
        <f>Материалы!G192</f>
        <v/>
      </c>
      <c r="F192" s="4">
        <f>Материалы!P192</f>
        <v/>
      </c>
      <c r="G192" s="3">
        <f>Материалы!N192</f>
        <v/>
      </c>
      <c r="H192" s="3">
        <f>Материалы!O192</f>
        <v/>
      </c>
    </row>
    <row r="193">
      <c r="A193" s="3">
        <f>Материалы!B193</f>
        <v/>
      </c>
      <c r="B193" s="3">
        <f>Материалы!D193</f>
        <v/>
      </c>
      <c r="C193" s="3">
        <f>Материалы!L193</f>
        <v/>
      </c>
      <c r="D193" s="3">
        <f>Материалы!M193</f>
        <v/>
      </c>
      <c r="E193" s="4">
        <f>Материалы!G193</f>
        <v/>
      </c>
      <c r="F193" s="4">
        <f>Материалы!P193</f>
        <v/>
      </c>
      <c r="G193" s="3">
        <f>Материалы!N193</f>
        <v/>
      </c>
      <c r="H193" s="3">
        <f>Материалы!O193</f>
        <v/>
      </c>
    </row>
    <row r="194">
      <c r="A194" s="3">
        <f>Материалы!B194</f>
        <v/>
      </c>
      <c r="B194" s="3">
        <f>Материалы!D194</f>
        <v/>
      </c>
      <c r="C194" s="3">
        <f>Материалы!L194</f>
        <v/>
      </c>
      <c r="D194" s="3">
        <f>Материалы!M194</f>
        <v/>
      </c>
      <c r="E194" s="4">
        <f>Материалы!G194</f>
        <v/>
      </c>
      <c r="F194" s="4">
        <f>Материалы!P194</f>
        <v/>
      </c>
      <c r="G194" s="3">
        <f>Материалы!N194</f>
        <v/>
      </c>
      <c r="H194" s="3">
        <f>Материалы!O194</f>
        <v/>
      </c>
    </row>
    <row r="195">
      <c r="A195" s="3">
        <f>Материалы!B195</f>
        <v/>
      </c>
      <c r="B195" s="3">
        <f>Материалы!D195</f>
        <v/>
      </c>
      <c r="C195" s="3">
        <f>Материалы!L195</f>
        <v/>
      </c>
      <c r="D195" s="3">
        <f>Материалы!M195</f>
        <v/>
      </c>
      <c r="E195" s="4">
        <f>Материалы!G195</f>
        <v/>
      </c>
      <c r="F195" s="4">
        <f>Материалы!P195</f>
        <v/>
      </c>
      <c r="G195" s="3">
        <f>Материалы!N195</f>
        <v/>
      </c>
      <c r="H195" s="3">
        <f>Материалы!O195</f>
        <v/>
      </c>
    </row>
    <row r="196">
      <c r="A196" s="3">
        <f>Материалы!B196</f>
        <v/>
      </c>
      <c r="B196" s="3">
        <f>Материалы!D196</f>
        <v/>
      </c>
      <c r="C196" s="3">
        <f>Материалы!L196</f>
        <v/>
      </c>
      <c r="D196" s="3">
        <f>Материалы!M196</f>
        <v/>
      </c>
      <c r="E196" s="4">
        <f>Материалы!G196</f>
        <v/>
      </c>
      <c r="F196" s="4">
        <f>Материалы!P196</f>
        <v/>
      </c>
      <c r="G196" s="3">
        <f>Материалы!N196</f>
        <v/>
      </c>
      <c r="H196" s="3">
        <f>Материалы!O196</f>
        <v/>
      </c>
    </row>
    <row r="197">
      <c r="A197" s="3">
        <f>Материалы!B197</f>
        <v/>
      </c>
      <c r="B197" s="3">
        <f>Материалы!D197</f>
        <v/>
      </c>
      <c r="C197" s="3">
        <f>Материалы!L197</f>
        <v/>
      </c>
      <c r="D197" s="3">
        <f>Материалы!M197</f>
        <v/>
      </c>
      <c r="E197" s="4">
        <f>Материалы!G197</f>
        <v/>
      </c>
      <c r="F197" s="4">
        <f>Материалы!P197</f>
        <v/>
      </c>
      <c r="G197" s="3">
        <f>Материалы!N197</f>
        <v/>
      </c>
      <c r="H197" s="3">
        <f>Материалы!O197</f>
        <v/>
      </c>
    </row>
    <row r="198">
      <c r="A198" s="3">
        <f>Материалы!B198</f>
        <v/>
      </c>
      <c r="B198" s="3">
        <f>Материалы!D198</f>
        <v/>
      </c>
      <c r="C198" s="3">
        <f>Материалы!L198</f>
        <v/>
      </c>
      <c r="D198" s="3">
        <f>Материалы!M198</f>
        <v/>
      </c>
      <c r="E198" s="4">
        <f>Материалы!G198</f>
        <v/>
      </c>
      <c r="F198" s="4">
        <f>Материалы!P198</f>
        <v/>
      </c>
      <c r="G198" s="3">
        <f>Материалы!N198</f>
        <v/>
      </c>
      <c r="H198" s="3">
        <f>Материалы!O198</f>
        <v/>
      </c>
    </row>
    <row r="199">
      <c r="A199" s="3">
        <f>Материалы!B199</f>
        <v/>
      </c>
      <c r="B199" s="3">
        <f>Материалы!D199</f>
        <v/>
      </c>
      <c r="C199" s="3">
        <f>Материалы!L199</f>
        <v/>
      </c>
      <c r="D199" s="3">
        <f>Материалы!M199</f>
        <v/>
      </c>
      <c r="E199" s="4">
        <f>Материалы!G199</f>
        <v/>
      </c>
      <c r="F199" s="4">
        <f>Материалы!P199</f>
        <v/>
      </c>
      <c r="G199" s="3">
        <f>Материалы!N199</f>
        <v/>
      </c>
      <c r="H199" s="3">
        <f>Материалы!O199</f>
        <v/>
      </c>
    </row>
    <row r="200">
      <c r="A200" s="3">
        <f>Материалы!B200</f>
        <v/>
      </c>
      <c r="B200" s="3">
        <f>Материалы!D200</f>
        <v/>
      </c>
      <c r="C200" s="3">
        <f>Материалы!L200</f>
        <v/>
      </c>
      <c r="D200" s="3">
        <f>Материалы!M200</f>
        <v/>
      </c>
      <c r="E200" s="4">
        <f>Материалы!G200</f>
        <v/>
      </c>
      <c r="F200" s="4">
        <f>Материалы!P200</f>
        <v/>
      </c>
      <c r="G200" s="3">
        <f>Материалы!N200</f>
        <v/>
      </c>
      <c r="H200" s="3">
        <f>Материалы!O200</f>
        <v/>
      </c>
    </row>
    <row r="201">
      <c r="A201" s="3">
        <f>Материалы!B201</f>
        <v/>
      </c>
      <c r="B201" s="3">
        <f>Материалы!D201</f>
        <v/>
      </c>
      <c r="C201" s="3">
        <f>Материалы!L201</f>
        <v/>
      </c>
      <c r="D201" s="3">
        <f>Материалы!M201</f>
        <v/>
      </c>
      <c r="E201" s="4">
        <f>Материалы!G201</f>
        <v/>
      </c>
      <c r="F201" s="4">
        <f>Материалы!P201</f>
        <v/>
      </c>
      <c r="G201" s="3">
        <f>Материалы!N201</f>
        <v/>
      </c>
      <c r="H201" s="3">
        <f>Материалы!O201</f>
        <v/>
      </c>
    </row>
    <row r="202">
      <c r="A202" s="3">
        <f>Материалы!B202</f>
        <v/>
      </c>
      <c r="B202" s="3">
        <f>Материалы!D202</f>
        <v/>
      </c>
      <c r="C202" s="3">
        <f>Материалы!L202</f>
        <v/>
      </c>
      <c r="D202" s="3">
        <f>Материалы!M202</f>
        <v/>
      </c>
      <c r="E202" s="4">
        <f>Материалы!G202</f>
        <v/>
      </c>
      <c r="F202" s="4">
        <f>Материалы!P202</f>
        <v/>
      </c>
      <c r="G202" s="3">
        <f>Материалы!N202</f>
        <v/>
      </c>
      <c r="H202" s="3">
        <f>Материалы!O202</f>
        <v/>
      </c>
    </row>
    <row r="203">
      <c r="A203" s="3">
        <f>Материалы!B203</f>
        <v/>
      </c>
      <c r="B203" s="3">
        <f>Материалы!D203</f>
        <v/>
      </c>
      <c r="C203" s="3">
        <f>Материалы!L203</f>
        <v/>
      </c>
      <c r="D203" s="3">
        <f>Материалы!M203</f>
        <v/>
      </c>
      <c r="E203" s="4">
        <f>Материалы!G203</f>
        <v/>
      </c>
      <c r="F203" s="4">
        <f>Материалы!P203</f>
        <v/>
      </c>
      <c r="G203" s="3">
        <f>Материалы!N203</f>
        <v/>
      </c>
      <c r="H203" s="3">
        <f>Материалы!O203</f>
        <v/>
      </c>
    </row>
    <row r="204">
      <c r="A204" s="3">
        <f>Материалы!B204</f>
        <v/>
      </c>
      <c r="B204" s="3">
        <f>Материалы!D204</f>
        <v/>
      </c>
      <c r="C204" s="3">
        <f>Материалы!L204</f>
        <v/>
      </c>
      <c r="D204" s="3">
        <f>Материалы!M204</f>
        <v/>
      </c>
      <c r="E204" s="4">
        <f>Материалы!G204</f>
        <v/>
      </c>
      <c r="F204" s="4">
        <f>Материалы!P204</f>
        <v/>
      </c>
      <c r="G204" s="3">
        <f>Материалы!N204</f>
        <v/>
      </c>
      <c r="H204" s="3">
        <f>Материалы!O204</f>
        <v/>
      </c>
    </row>
    <row r="205">
      <c r="A205" s="3">
        <f>Материалы!B205</f>
        <v/>
      </c>
      <c r="B205" s="3">
        <f>Материалы!D205</f>
        <v/>
      </c>
      <c r="C205" s="3">
        <f>Материалы!L205</f>
        <v/>
      </c>
      <c r="D205" s="3">
        <f>Материалы!M205</f>
        <v/>
      </c>
      <c r="E205" s="4">
        <f>Материалы!G205</f>
        <v/>
      </c>
      <c r="F205" s="4">
        <f>Материалы!P205</f>
        <v/>
      </c>
      <c r="G205" s="3">
        <f>Материалы!N205</f>
        <v/>
      </c>
      <c r="H205" s="3">
        <f>Материалы!O205</f>
        <v/>
      </c>
    </row>
    <row r="206">
      <c r="A206" s="3">
        <f>Материалы!B206</f>
        <v/>
      </c>
      <c r="B206" s="3">
        <f>Материалы!D206</f>
        <v/>
      </c>
      <c r="C206" s="3">
        <f>Материалы!L206</f>
        <v/>
      </c>
      <c r="D206" s="3">
        <f>Материалы!M206</f>
        <v/>
      </c>
      <c r="E206" s="4">
        <f>Материалы!G206</f>
        <v/>
      </c>
      <c r="F206" s="4">
        <f>Материалы!P206</f>
        <v/>
      </c>
      <c r="G206" s="3">
        <f>Материалы!N206</f>
        <v/>
      </c>
      <c r="H206" s="3">
        <f>Материалы!O206</f>
        <v/>
      </c>
    </row>
    <row r="207">
      <c r="A207" s="3">
        <f>Материалы!B207</f>
        <v/>
      </c>
      <c r="B207" s="3">
        <f>Материалы!D207</f>
        <v/>
      </c>
      <c r="C207" s="3">
        <f>Материалы!L207</f>
        <v/>
      </c>
      <c r="D207" s="3">
        <f>Материалы!M207</f>
        <v/>
      </c>
      <c r="E207" s="4">
        <f>Материалы!G207</f>
        <v/>
      </c>
      <c r="F207" s="4">
        <f>Материалы!P207</f>
        <v/>
      </c>
      <c r="G207" s="3">
        <f>Материалы!N207</f>
        <v/>
      </c>
      <c r="H207" s="3">
        <f>Материалы!O207</f>
        <v/>
      </c>
    </row>
    <row r="208">
      <c r="A208" s="3">
        <f>Материалы!B208</f>
        <v/>
      </c>
      <c r="B208" s="3">
        <f>Материалы!D208</f>
        <v/>
      </c>
      <c r="C208" s="3">
        <f>Материалы!L208</f>
        <v/>
      </c>
      <c r="D208" s="3">
        <f>Материалы!M208</f>
        <v/>
      </c>
      <c r="E208" s="4">
        <f>Материалы!G208</f>
        <v/>
      </c>
      <c r="F208" s="4">
        <f>Материалы!P208</f>
        <v/>
      </c>
      <c r="G208" s="3">
        <f>Материалы!N208</f>
        <v/>
      </c>
      <c r="H208" s="3">
        <f>Материалы!O208</f>
        <v/>
      </c>
    </row>
    <row r="209">
      <c r="A209" s="3">
        <f>Материалы!B209</f>
        <v/>
      </c>
      <c r="B209" s="3">
        <f>Материалы!D209</f>
        <v/>
      </c>
      <c r="C209" s="3">
        <f>Материалы!L209</f>
        <v/>
      </c>
      <c r="D209" s="3">
        <f>Материалы!M209</f>
        <v/>
      </c>
      <c r="E209" s="4">
        <f>Материалы!G209</f>
        <v/>
      </c>
      <c r="F209" s="4">
        <f>Материалы!P209</f>
        <v/>
      </c>
      <c r="G209" s="3">
        <f>Материалы!N209</f>
        <v/>
      </c>
      <c r="H209" s="3">
        <f>Материалы!O209</f>
        <v/>
      </c>
    </row>
    <row r="210">
      <c r="A210" s="3">
        <f>Материалы!B210</f>
        <v/>
      </c>
      <c r="B210" s="3">
        <f>Материалы!D210</f>
        <v/>
      </c>
      <c r="C210" s="3">
        <f>Материалы!L210</f>
        <v/>
      </c>
      <c r="D210" s="3">
        <f>Материалы!M210</f>
        <v/>
      </c>
      <c r="E210" s="4">
        <f>Материалы!G210</f>
        <v/>
      </c>
      <c r="F210" s="4">
        <f>Материалы!P210</f>
        <v/>
      </c>
      <c r="G210" s="3">
        <f>Материалы!N210</f>
        <v/>
      </c>
      <c r="H210" s="3">
        <f>Материалы!O210</f>
        <v/>
      </c>
    </row>
    <row r="211">
      <c r="A211" s="3">
        <f>Материалы!B211</f>
        <v/>
      </c>
      <c r="B211" s="3">
        <f>Материалы!D211</f>
        <v/>
      </c>
      <c r="C211" s="3">
        <f>Материалы!L211</f>
        <v/>
      </c>
      <c r="D211" s="3">
        <f>Материалы!M211</f>
        <v/>
      </c>
      <c r="E211" s="4">
        <f>Материалы!G211</f>
        <v/>
      </c>
      <c r="F211" s="4">
        <f>Материалы!P211</f>
        <v/>
      </c>
      <c r="G211" s="3">
        <f>Материалы!N211</f>
        <v/>
      </c>
      <c r="H211" s="3">
        <f>Материалы!O211</f>
        <v/>
      </c>
    </row>
    <row r="212">
      <c r="A212" s="3">
        <f>Материалы!B212</f>
        <v/>
      </c>
      <c r="B212" s="3">
        <f>Материалы!D212</f>
        <v/>
      </c>
      <c r="C212" s="3">
        <f>Материалы!L212</f>
        <v/>
      </c>
      <c r="D212" s="3">
        <f>Материалы!M212</f>
        <v/>
      </c>
      <c r="E212" s="4">
        <f>Материалы!G212</f>
        <v/>
      </c>
      <c r="F212" s="4">
        <f>Материалы!P212</f>
        <v/>
      </c>
      <c r="G212" s="3">
        <f>Материалы!N212</f>
        <v/>
      </c>
      <c r="H212" s="3">
        <f>Материалы!O212</f>
        <v/>
      </c>
    </row>
    <row r="213">
      <c r="A213" s="3">
        <f>Материалы!B213</f>
        <v/>
      </c>
      <c r="B213" s="3">
        <f>Материалы!D213</f>
        <v/>
      </c>
      <c r="C213" s="3">
        <f>Материалы!L213</f>
        <v/>
      </c>
      <c r="D213" s="3">
        <f>Материалы!M213</f>
        <v/>
      </c>
      <c r="E213" s="4">
        <f>Материалы!G213</f>
        <v/>
      </c>
      <c r="F213" s="4">
        <f>Материалы!P213</f>
        <v/>
      </c>
      <c r="G213" s="3">
        <f>Материалы!N213</f>
        <v/>
      </c>
      <c r="H213" s="3">
        <f>Материалы!O213</f>
        <v/>
      </c>
    </row>
    <row r="214">
      <c r="A214" s="3">
        <f>Материалы!B214</f>
        <v/>
      </c>
      <c r="B214" s="3">
        <f>Материалы!D214</f>
        <v/>
      </c>
      <c r="C214" s="3">
        <f>Материалы!L214</f>
        <v/>
      </c>
      <c r="D214" s="3">
        <f>Материалы!M214</f>
        <v/>
      </c>
      <c r="E214" s="4">
        <f>Материалы!G214</f>
        <v/>
      </c>
      <c r="F214" s="4">
        <f>Материалы!P214</f>
        <v/>
      </c>
      <c r="G214" s="3">
        <f>Материалы!N214</f>
        <v/>
      </c>
      <c r="H214" s="3">
        <f>Материалы!O214</f>
        <v/>
      </c>
    </row>
    <row r="215">
      <c r="A215" s="3">
        <f>Материалы!B215</f>
        <v/>
      </c>
      <c r="B215" s="3">
        <f>Материалы!D215</f>
        <v/>
      </c>
      <c r="C215" s="3">
        <f>Материалы!L215</f>
        <v/>
      </c>
      <c r="D215" s="3">
        <f>Материалы!M215</f>
        <v/>
      </c>
      <c r="E215" s="4">
        <f>Материалы!G215</f>
        <v/>
      </c>
      <c r="F215" s="4">
        <f>Материалы!P215</f>
        <v/>
      </c>
      <c r="G215" s="3">
        <f>Материалы!N215</f>
        <v/>
      </c>
      <c r="H215" s="3">
        <f>Материалы!O215</f>
        <v/>
      </c>
    </row>
    <row r="216">
      <c r="A216" s="3">
        <f>Материалы!B216</f>
        <v/>
      </c>
      <c r="B216" s="3">
        <f>Материалы!D216</f>
        <v/>
      </c>
      <c r="C216" s="3">
        <f>Материалы!L216</f>
        <v/>
      </c>
      <c r="D216" s="3">
        <f>Материалы!M216</f>
        <v/>
      </c>
      <c r="E216" s="4">
        <f>Материалы!G216</f>
        <v/>
      </c>
      <c r="F216" s="4">
        <f>Материалы!P216</f>
        <v/>
      </c>
      <c r="G216" s="3">
        <f>Материалы!N216</f>
        <v/>
      </c>
      <c r="H216" s="3">
        <f>Материалы!O216</f>
        <v/>
      </c>
    </row>
    <row r="217">
      <c r="A217" s="3">
        <f>Материалы!B217</f>
        <v/>
      </c>
      <c r="B217" s="3">
        <f>Материалы!D217</f>
        <v/>
      </c>
      <c r="C217" s="3">
        <f>Материалы!L217</f>
        <v/>
      </c>
      <c r="D217" s="3">
        <f>Материалы!M217</f>
        <v/>
      </c>
      <c r="E217" s="4">
        <f>Материалы!G217</f>
        <v/>
      </c>
      <c r="F217" s="4">
        <f>Материалы!P217</f>
        <v/>
      </c>
      <c r="G217" s="3">
        <f>Материалы!N217</f>
        <v/>
      </c>
      <c r="H217" s="3">
        <f>Материалы!O217</f>
        <v/>
      </c>
    </row>
    <row r="218">
      <c r="A218" s="3">
        <f>Материалы!B218</f>
        <v/>
      </c>
      <c r="B218" s="3">
        <f>Материалы!D218</f>
        <v/>
      </c>
      <c r="C218" s="3">
        <f>Материалы!L218</f>
        <v/>
      </c>
      <c r="D218" s="3">
        <f>Материалы!M218</f>
        <v/>
      </c>
      <c r="E218" s="4">
        <f>Материалы!G218</f>
        <v/>
      </c>
      <c r="F218" s="4">
        <f>Материалы!P218</f>
        <v/>
      </c>
      <c r="G218" s="3">
        <f>Материалы!N218</f>
        <v/>
      </c>
      <c r="H218" s="3">
        <f>Материалы!O218</f>
        <v/>
      </c>
    </row>
    <row r="219">
      <c r="A219" s="3">
        <f>Материалы!B219</f>
        <v/>
      </c>
      <c r="B219" s="3">
        <f>Материалы!D219</f>
        <v/>
      </c>
      <c r="C219" s="3">
        <f>Материалы!L219</f>
        <v/>
      </c>
      <c r="D219" s="3">
        <f>Материалы!M219</f>
        <v/>
      </c>
      <c r="E219" s="4">
        <f>Материалы!G219</f>
        <v/>
      </c>
      <c r="F219" s="4">
        <f>Материалы!P219</f>
        <v/>
      </c>
      <c r="G219" s="3">
        <f>Материалы!N219</f>
        <v/>
      </c>
      <c r="H219" s="3">
        <f>Материалы!O219</f>
        <v/>
      </c>
    </row>
    <row r="220">
      <c r="A220" s="3">
        <f>Материалы!B220</f>
        <v/>
      </c>
      <c r="B220" s="3">
        <f>Материалы!D220</f>
        <v/>
      </c>
      <c r="C220" s="3">
        <f>Материалы!L220</f>
        <v/>
      </c>
      <c r="D220" s="3">
        <f>Материалы!M220</f>
        <v/>
      </c>
      <c r="E220" s="4">
        <f>Материалы!G220</f>
        <v/>
      </c>
      <c r="F220" s="4">
        <f>Материалы!P220</f>
        <v/>
      </c>
      <c r="G220" s="3">
        <f>Материалы!N220</f>
        <v/>
      </c>
      <c r="H220" s="3">
        <f>Материалы!O220</f>
        <v/>
      </c>
    </row>
    <row r="221">
      <c r="A221" s="3">
        <f>Материалы!B221</f>
        <v/>
      </c>
      <c r="B221" s="3">
        <f>Материалы!D221</f>
        <v/>
      </c>
      <c r="C221" s="3">
        <f>Материалы!L221</f>
        <v/>
      </c>
      <c r="D221" s="3">
        <f>Материалы!M221</f>
        <v/>
      </c>
      <c r="E221" s="4">
        <f>Материалы!G221</f>
        <v/>
      </c>
      <c r="F221" s="4">
        <f>Материалы!P221</f>
        <v/>
      </c>
      <c r="G221" s="3">
        <f>Материалы!N221</f>
        <v/>
      </c>
      <c r="H221" s="3">
        <f>Материалы!O221</f>
        <v/>
      </c>
    </row>
    <row r="222">
      <c r="A222" s="3">
        <f>Материалы!B222</f>
        <v/>
      </c>
      <c r="B222" s="3">
        <f>Материалы!D222</f>
        <v/>
      </c>
      <c r="C222" s="3">
        <f>Материалы!L222</f>
        <v/>
      </c>
      <c r="D222" s="3">
        <f>Материалы!M222</f>
        <v/>
      </c>
      <c r="E222" s="4">
        <f>Материалы!G222</f>
        <v/>
      </c>
      <c r="F222" s="4">
        <f>Материалы!P222</f>
        <v/>
      </c>
      <c r="G222" s="3">
        <f>Материалы!N222</f>
        <v/>
      </c>
      <c r="H222" s="3">
        <f>Материалы!O222</f>
        <v/>
      </c>
    </row>
    <row r="223">
      <c r="A223" s="3">
        <f>Материалы!B223</f>
        <v/>
      </c>
      <c r="B223" s="3">
        <f>Материалы!D223</f>
        <v/>
      </c>
      <c r="C223" s="3">
        <f>Материалы!L223</f>
        <v/>
      </c>
      <c r="D223" s="3">
        <f>Материалы!M223</f>
        <v/>
      </c>
      <c r="E223" s="4">
        <f>Материалы!G223</f>
        <v/>
      </c>
      <c r="F223" s="4">
        <f>Материалы!P223</f>
        <v/>
      </c>
      <c r="G223" s="3">
        <f>Материалы!N223</f>
        <v/>
      </c>
      <c r="H223" s="3">
        <f>Материалы!O223</f>
        <v/>
      </c>
    </row>
    <row r="224">
      <c r="A224" s="3">
        <f>Материалы!B224</f>
        <v/>
      </c>
      <c r="B224" s="3">
        <f>Материалы!D224</f>
        <v/>
      </c>
      <c r="C224" s="3">
        <f>Материалы!L224</f>
        <v/>
      </c>
      <c r="D224" s="3">
        <f>Материалы!M224</f>
        <v/>
      </c>
      <c r="E224" s="4">
        <f>Материалы!G224</f>
        <v/>
      </c>
      <c r="F224" s="4">
        <f>Материалы!P224</f>
        <v/>
      </c>
      <c r="G224" s="3">
        <f>Материалы!N224</f>
        <v/>
      </c>
      <c r="H224" s="3">
        <f>Материалы!O224</f>
        <v/>
      </c>
    </row>
    <row r="225">
      <c r="A225" s="3">
        <f>Материалы!B225</f>
        <v/>
      </c>
      <c r="B225" s="3">
        <f>Материалы!D225</f>
        <v/>
      </c>
      <c r="C225" s="3">
        <f>Материалы!L225</f>
        <v/>
      </c>
      <c r="D225" s="3">
        <f>Материалы!M225</f>
        <v/>
      </c>
      <c r="E225" s="4">
        <f>Материалы!G225</f>
        <v/>
      </c>
      <c r="F225" s="4">
        <f>Материалы!P225</f>
        <v/>
      </c>
      <c r="G225" s="3">
        <f>Материалы!N225</f>
        <v/>
      </c>
      <c r="H225" s="3">
        <f>Материалы!O225</f>
        <v/>
      </c>
    </row>
    <row r="226">
      <c r="A226" s="3">
        <f>Материалы!B226</f>
        <v/>
      </c>
      <c r="B226" s="3">
        <f>Материалы!D226</f>
        <v/>
      </c>
      <c r="C226" s="3">
        <f>Материалы!L226</f>
        <v/>
      </c>
      <c r="D226" s="3">
        <f>Материалы!M226</f>
        <v/>
      </c>
      <c r="E226" s="4">
        <f>Материалы!G226</f>
        <v/>
      </c>
      <c r="F226" s="4">
        <f>Материалы!P226</f>
        <v/>
      </c>
      <c r="G226" s="3">
        <f>Материалы!N226</f>
        <v/>
      </c>
      <c r="H226" s="3">
        <f>Материалы!O226</f>
        <v/>
      </c>
    </row>
    <row r="227">
      <c r="A227" s="3">
        <f>Материалы!B227</f>
        <v/>
      </c>
      <c r="B227" s="3">
        <f>Материалы!D227</f>
        <v/>
      </c>
      <c r="C227" s="3">
        <f>Материалы!L227</f>
        <v/>
      </c>
      <c r="D227" s="3">
        <f>Материалы!M227</f>
        <v/>
      </c>
      <c r="E227" s="4">
        <f>Материалы!G227</f>
        <v/>
      </c>
      <c r="F227" s="4">
        <f>Материалы!P227</f>
        <v/>
      </c>
      <c r="G227" s="3">
        <f>Материалы!N227</f>
        <v/>
      </c>
      <c r="H227" s="3">
        <f>Материалы!O227</f>
        <v/>
      </c>
    </row>
    <row r="228">
      <c r="A228" s="3">
        <f>Материалы!B228</f>
        <v/>
      </c>
      <c r="B228" s="3">
        <f>Материалы!D228</f>
        <v/>
      </c>
      <c r="C228" s="3">
        <f>Материалы!L228</f>
        <v/>
      </c>
      <c r="D228" s="3">
        <f>Материалы!M228</f>
        <v/>
      </c>
      <c r="E228" s="4">
        <f>Материалы!G228</f>
        <v/>
      </c>
      <c r="F228" s="4">
        <f>Материалы!P228</f>
        <v/>
      </c>
      <c r="G228" s="3">
        <f>Материалы!N228</f>
        <v/>
      </c>
      <c r="H228" s="3">
        <f>Материалы!O228</f>
        <v/>
      </c>
    </row>
    <row r="229">
      <c r="A229" s="3">
        <f>Материалы!B229</f>
        <v/>
      </c>
      <c r="B229" s="3">
        <f>Материалы!D229</f>
        <v/>
      </c>
      <c r="C229" s="3">
        <f>Материалы!L229</f>
        <v/>
      </c>
      <c r="D229" s="3">
        <f>Материалы!M229</f>
        <v/>
      </c>
      <c r="E229" s="4">
        <f>Материалы!G229</f>
        <v/>
      </c>
      <c r="F229" s="4">
        <f>Материалы!P229</f>
        <v/>
      </c>
      <c r="G229" s="3">
        <f>Материалы!N229</f>
        <v/>
      </c>
      <c r="H229" s="3">
        <f>Материалы!O229</f>
        <v/>
      </c>
    </row>
    <row r="230">
      <c r="A230" s="3">
        <f>Материалы!B230</f>
        <v/>
      </c>
      <c r="B230" s="3">
        <f>Материалы!D230</f>
        <v/>
      </c>
      <c r="C230" s="3">
        <f>Материалы!L230</f>
        <v/>
      </c>
      <c r="D230" s="3">
        <f>Материалы!M230</f>
        <v/>
      </c>
      <c r="E230" s="4">
        <f>Материалы!G230</f>
        <v/>
      </c>
      <c r="F230" s="4">
        <f>Материалы!P230</f>
        <v/>
      </c>
      <c r="G230" s="3">
        <f>Материалы!N230</f>
        <v/>
      </c>
      <c r="H230" s="3">
        <f>Материалы!O230</f>
        <v/>
      </c>
    </row>
    <row r="231">
      <c r="A231" s="3">
        <f>Материалы!B231</f>
        <v/>
      </c>
      <c r="B231" s="3">
        <f>Материалы!D231</f>
        <v/>
      </c>
      <c r="C231" s="3">
        <f>Материалы!L231</f>
        <v/>
      </c>
      <c r="D231" s="3">
        <f>Материалы!M231</f>
        <v/>
      </c>
      <c r="E231" s="4">
        <f>Материалы!G231</f>
        <v/>
      </c>
      <c r="F231" s="4">
        <f>Материалы!P231</f>
        <v/>
      </c>
      <c r="G231" s="3">
        <f>Материалы!N231</f>
        <v/>
      </c>
      <c r="H231" s="3">
        <f>Материалы!O231</f>
        <v/>
      </c>
    </row>
    <row r="232">
      <c r="A232" s="3">
        <f>Материалы!B232</f>
        <v/>
      </c>
      <c r="B232" s="3">
        <f>Материалы!D232</f>
        <v/>
      </c>
      <c r="C232" s="3">
        <f>Материалы!L232</f>
        <v/>
      </c>
      <c r="D232" s="3">
        <f>Материалы!M232</f>
        <v/>
      </c>
      <c r="E232" s="4">
        <f>Материалы!G232</f>
        <v/>
      </c>
      <c r="F232" s="4">
        <f>Материалы!P232</f>
        <v/>
      </c>
      <c r="G232" s="3">
        <f>Материалы!N232</f>
        <v/>
      </c>
      <c r="H232" s="3">
        <f>Материалы!O232</f>
        <v/>
      </c>
    </row>
    <row r="233">
      <c r="A233" s="3">
        <f>Материалы!B233</f>
        <v/>
      </c>
      <c r="B233" s="3">
        <f>Материалы!D233</f>
        <v/>
      </c>
      <c r="C233" s="3">
        <f>Материалы!L233</f>
        <v/>
      </c>
      <c r="D233" s="3">
        <f>Материалы!M233</f>
        <v/>
      </c>
      <c r="E233" s="4">
        <f>Материалы!G233</f>
        <v/>
      </c>
      <c r="F233" s="4">
        <f>Материалы!P233</f>
        <v/>
      </c>
      <c r="G233" s="3">
        <f>Материалы!N233</f>
        <v/>
      </c>
      <c r="H233" s="3">
        <f>Материалы!O233</f>
        <v/>
      </c>
    </row>
    <row r="234">
      <c r="A234" s="3">
        <f>Материалы!B234</f>
        <v/>
      </c>
      <c r="B234" s="3">
        <f>Материалы!D234</f>
        <v/>
      </c>
      <c r="C234" s="3">
        <f>Материалы!L234</f>
        <v/>
      </c>
      <c r="D234" s="3">
        <f>Материалы!M234</f>
        <v/>
      </c>
      <c r="E234" s="4">
        <f>Материалы!G234</f>
        <v/>
      </c>
      <c r="F234" s="4">
        <f>Материалы!P234</f>
        <v/>
      </c>
      <c r="G234" s="3">
        <f>Материалы!N234</f>
        <v/>
      </c>
      <c r="H234" s="3">
        <f>Материалы!O234</f>
        <v/>
      </c>
    </row>
    <row r="235">
      <c r="A235" s="3">
        <f>Материалы!B235</f>
        <v/>
      </c>
      <c r="B235" s="3">
        <f>Материалы!D235</f>
        <v/>
      </c>
      <c r="C235" s="3">
        <f>Материалы!L235</f>
        <v/>
      </c>
      <c r="D235" s="3">
        <f>Материалы!M235</f>
        <v/>
      </c>
      <c r="E235" s="4">
        <f>Материалы!G235</f>
        <v/>
      </c>
      <c r="F235" s="4">
        <f>Материалы!P235</f>
        <v/>
      </c>
      <c r="G235" s="3">
        <f>Материалы!N235</f>
        <v/>
      </c>
      <c r="H235" s="3">
        <f>Материалы!O235</f>
        <v/>
      </c>
    </row>
    <row r="236">
      <c r="A236" s="3">
        <f>Материалы!B236</f>
        <v/>
      </c>
      <c r="B236" s="3">
        <f>Материалы!D236</f>
        <v/>
      </c>
      <c r="C236" s="3">
        <f>Материалы!L236</f>
        <v/>
      </c>
      <c r="D236" s="3">
        <f>Материалы!M236</f>
        <v/>
      </c>
      <c r="E236" s="4">
        <f>Материалы!G236</f>
        <v/>
      </c>
      <c r="F236" s="4">
        <f>Материалы!P236</f>
        <v/>
      </c>
      <c r="G236" s="3">
        <f>Материалы!N236</f>
        <v/>
      </c>
      <c r="H236" s="3">
        <f>Материалы!O236</f>
        <v/>
      </c>
    </row>
    <row r="237">
      <c r="A237" s="3">
        <f>Материалы!B237</f>
        <v/>
      </c>
      <c r="B237" s="3">
        <f>Материалы!D237</f>
        <v/>
      </c>
      <c r="C237" s="3">
        <f>Материалы!L237</f>
        <v/>
      </c>
      <c r="D237" s="3">
        <f>Материалы!M237</f>
        <v/>
      </c>
      <c r="E237" s="4">
        <f>Материалы!G237</f>
        <v/>
      </c>
      <c r="F237" s="4">
        <f>Материалы!P237</f>
        <v/>
      </c>
      <c r="G237" s="3">
        <f>Материалы!N237</f>
        <v/>
      </c>
      <c r="H237" s="3">
        <f>Материалы!O237</f>
        <v/>
      </c>
    </row>
    <row r="238">
      <c r="A238" s="3">
        <f>Материалы!B238</f>
        <v/>
      </c>
      <c r="B238" s="3">
        <f>Материалы!D238</f>
        <v/>
      </c>
      <c r="C238" s="3">
        <f>Материалы!L238</f>
        <v/>
      </c>
      <c r="D238" s="3">
        <f>Материалы!M238</f>
        <v/>
      </c>
      <c r="E238" s="4">
        <f>Материалы!G238</f>
        <v/>
      </c>
      <c r="F238" s="4">
        <f>Материалы!P238</f>
        <v/>
      </c>
      <c r="G238" s="3">
        <f>Материалы!N238</f>
        <v/>
      </c>
      <c r="H238" s="3">
        <f>Материалы!O238</f>
        <v/>
      </c>
    </row>
    <row r="239">
      <c r="A239" s="3">
        <f>Материалы!B239</f>
        <v/>
      </c>
      <c r="B239" s="3">
        <f>Материалы!D239</f>
        <v/>
      </c>
      <c r="C239" s="3">
        <f>Материалы!L239</f>
        <v/>
      </c>
      <c r="D239" s="3">
        <f>Материалы!M239</f>
        <v/>
      </c>
      <c r="E239" s="4">
        <f>Материалы!G239</f>
        <v/>
      </c>
      <c r="F239" s="4">
        <f>Материалы!P239</f>
        <v/>
      </c>
      <c r="G239" s="3">
        <f>Материалы!N239</f>
        <v/>
      </c>
      <c r="H239" s="3">
        <f>Материалы!O239</f>
        <v/>
      </c>
    </row>
    <row r="240">
      <c r="A240" s="3">
        <f>Материалы!B240</f>
        <v/>
      </c>
      <c r="B240" s="3">
        <f>Материалы!D240</f>
        <v/>
      </c>
      <c r="C240" s="3">
        <f>Материалы!L240</f>
        <v/>
      </c>
      <c r="D240" s="3">
        <f>Материалы!M240</f>
        <v/>
      </c>
      <c r="E240" s="4">
        <f>Материалы!G240</f>
        <v/>
      </c>
      <c r="F240" s="4">
        <f>Материалы!P240</f>
        <v/>
      </c>
      <c r="G240" s="3">
        <f>Материалы!N240</f>
        <v/>
      </c>
      <c r="H240" s="3">
        <f>Материалы!O240</f>
        <v/>
      </c>
    </row>
    <row r="241">
      <c r="A241" s="3">
        <f>Материалы!B241</f>
        <v/>
      </c>
      <c r="B241" s="3">
        <f>Материалы!D241</f>
        <v/>
      </c>
      <c r="C241" s="3">
        <f>Материалы!L241</f>
        <v/>
      </c>
      <c r="D241" s="3">
        <f>Материалы!M241</f>
        <v/>
      </c>
      <c r="E241" s="4">
        <f>Материалы!G241</f>
        <v/>
      </c>
      <c r="F241" s="4">
        <f>Материалы!P241</f>
        <v/>
      </c>
      <c r="G241" s="3">
        <f>Материалы!N241</f>
        <v/>
      </c>
      <c r="H241" s="3">
        <f>Материалы!O241</f>
        <v/>
      </c>
    </row>
    <row r="242">
      <c r="A242" s="3">
        <f>Материалы!B242</f>
        <v/>
      </c>
      <c r="B242" s="3">
        <f>Материалы!D242</f>
        <v/>
      </c>
      <c r="C242" s="3">
        <f>Материалы!L242</f>
        <v/>
      </c>
      <c r="D242" s="3">
        <f>Материалы!M242</f>
        <v/>
      </c>
      <c r="E242" s="4">
        <f>Материалы!G242</f>
        <v/>
      </c>
      <c r="F242" s="4">
        <f>Материалы!P242</f>
        <v/>
      </c>
      <c r="G242" s="3">
        <f>Материалы!N242</f>
        <v/>
      </c>
      <c r="H242" s="3">
        <f>Материалы!O242</f>
        <v/>
      </c>
    </row>
    <row r="243">
      <c r="A243" s="3">
        <f>Материалы!B243</f>
        <v/>
      </c>
      <c r="B243" s="3">
        <f>Материалы!D243</f>
        <v/>
      </c>
      <c r="C243" s="3">
        <f>Материалы!L243</f>
        <v/>
      </c>
      <c r="D243" s="3">
        <f>Материалы!M243</f>
        <v/>
      </c>
      <c r="E243" s="4">
        <f>Материалы!G243</f>
        <v/>
      </c>
      <c r="F243" s="4">
        <f>Материалы!P243</f>
        <v/>
      </c>
      <c r="G243" s="3">
        <f>Материалы!N243</f>
        <v/>
      </c>
      <c r="H243" s="3">
        <f>Материалы!O243</f>
        <v/>
      </c>
    </row>
    <row r="244">
      <c r="A244" s="3">
        <f>Материалы!B244</f>
        <v/>
      </c>
      <c r="B244" s="3">
        <f>Материалы!D244</f>
        <v/>
      </c>
      <c r="C244" s="3">
        <f>Материалы!L244</f>
        <v/>
      </c>
      <c r="D244" s="3">
        <f>Материалы!M244</f>
        <v/>
      </c>
      <c r="E244" s="4">
        <f>Материалы!G244</f>
        <v/>
      </c>
      <c r="F244" s="4">
        <f>Материалы!P244</f>
        <v/>
      </c>
      <c r="G244" s="3">
        <f>Материалы!N244</f>
        <v/>
      </c>
      <c r="H244" s="3">
        <f>Материалы!O244</f>
        <v/>
      </c>
    </row>
    <row r="245">
      <c r="A245" s="3">
        <f>Материалы!B245</f>
        <v/>
      </c>
      <c r="B245" s="3">
        <f>Материалы!D245</f>
        <v/>
      </c>
      <c r="C245" s="3">
        <f>Материалы!L245</f>
        <v/>
      </c>
      <c r="D245" s="3">
        <f>Материалы!M245</f>
        <v/>
      </c>
      <c r="E245" s="4">
        <f>Материалы!G245</f>
        <v/>
      </c>
      <c r="F245" s="4">
        <f>Материалы!P245</f>
        <v/>
      </c>
      <c r="G245" s="3">
        <f>Материалы!N245</f>
        <v/>
      </c>
      <c r="H245" s="3">
        <f>Материалы!O245</f>
        <v/>
      </c>
    </row>
    <row r="246">
      <c r="A246" s="3">
        <f>Материалы!B246</f>
        <v/>
      </c>
      <c r="B246" s="3">
        <f>Материалы!D246</f>
        <v/>
      </c>
      <c r="C246" s="3">
        <f>Материалы!L246</f>
        <v/>
      </c>
      <c r="D246" s="3">
        <f>Материалы!M246</f>
        <v/>
      </c>
      <c r="E246" s="4">
        <f>Материалы!G246</f>
        <v/>
      </c>
      <c r="F246" s="4">
        <f>Материалы!P246</f>
        <v/>
      </c>
      <c r="G246" s="3">
        <f>Материалы!N246</f>
        <v/>
      </c>
      <c r="H246" s="3">
        <f>Материалы!O246</f>
        <v/>
      </c>
    </row>
    <row r="247">
      <c r="A247" s="3">
        <f>Материалы!B247</f>
        <v/>
      </c>
      <c r="B247" s="3">
        <f>Материалы!D247</f>
        <v/>
      </c>
      <c r="C247" s="3">
        <f>Материалы!L247</f>
        <v/>
      </c>
      <c r="D247" s="3">
        <f>Материалы!M247</f>
        <v/>
      </c>
      <c r="E247" s="4">
        <f>Материалы!G247</f>
        <v/>
      </c>
      <c r="F247" s="4">
        <f>Материалы!P247</f>
        <v/>
      </c>
      <c r="G247" s="3">
        <f>Материалы!N247</f>
        <v/>
      </c>
      <c r="H247" s="3">
        <f>Материалы!O247</f>
        <v/>
      </c>
    </row>
    <row r="248">
      <c r="A248" s="3">
        <f>Материалы!B248</f>
        <v/>
      </c>
      <c r="B248" s="3">
        <f>Материалы!D248</f>
        <v/>
      </c>
      <c r="C248" s="3">
        <f>Материалы!L248</f>
        <v/>
      </c>
      <c r="D248" s="3">
        <f>Материалы!M248</f>
        <v/>
      </c>
      <c r="E248" s="4">
        <f>Материалы!G248</f>
        <v/>
      </c>
      <c r="F248" s="4">
        <f>Материалы!P248</f>
        <v/>
      </c>
      <c r="G248" s="3">
        <f>Материалы!N248</f>
        <v/>
      </c>
      <c r="H248" s="3">
        <f>Материалы!O248</f>
        <v/>
      </c>
    </row>
    <row r="249">
      <c r="A249" s="3">
        <f>Материалы!B249</f>
        <v/>
      </c>
      <c r="B249" s="3">
        <f>Материалы!D249</f>
        <v/>
      </c>
      <c r="C249" s="3">
        <f>Материалы!L249</f>
        <v/>
      </c>
      <c r="D249" s="3">
        <f>Материалы!M249</f>
        <v/>
      </c>
      <c r="E249" s="4">
        <f>Материалы!G249</f>
        <v/>
      </c>
      <c r="F249" s="4">
        <f>Материалы!P249</f>
        <v/>
      </c>
      <c r="G249" s="3">
        <f>Материалы!N249</f>
        <v/>
      </c>
      <c r="H249" s="3">
        <f>Материалы!O249</f>
        <v/>
      </c>
    </row>
    <row r="250">
      <c r="A250" s="3">
        <f>Материалы!B250</f>
        <v/>
      </c>
      <c r="B250" s="3">
        <f>Материалы!D250</f>
        <v/>
      </c>
      <c r="C250" s="3">
        <f>Материалы!L250</f>
        <v/>
      </c>
      <c r="D250" s="3">
        <f>Материалы!M250</f>
        <v/>
      </c>
      <c r="E250" s="4">
        <f>Материалы!G250</f>
        <v/>
      </c>
      <c r="F250" s="4">
        <f>Материалы!P250</f>
        <v/>
      </c>
      <c r="G250" s="3">
        <f>Материалы!N250</f>
        <v/>
      </c>
      <c r="H250" s="3">
        <f>Материалы!O250</f>
        <v/>
      </c>
    </row>
    <row r="251">
      <c r="A251" s="3">
        <f>Материалы!B251</f>
        <v/>
      </c>
      <c r="B251" s="3">
        <f>Материалы!D251</f>
        <v/>
      </c>
      <c r="C251" s="3">
        <f>Материалы!L251</f>
        <v/>
      </c>
      <c r="D251" s="3">
        <f>Материалы!M251</f>
        <v/>
      </c>
      <c r="E251" s="4">
        <f>Материалы!G251</f>
        <v/>
      </c>
      <c r="F251" s="4">
        <f>Материалы!P251</f>
        <v/>
      </c>
      <c r="G251" s="3">
        <f>Материалы!N251</f>
        <v/>
      </c>
      <c r="H251" s="3">
        <f>Материалы!O251</f>
        <v/>
      </c>
    </row>
    <row r="252">
      <c r="A252" s="3">
        <f>Материалы!B252</f>
        <v/>
      </c>
      <c r="B252" s="3">
        <f>Материалы!D252</f>
        <v/>
      </c>
      <c r="C252" s="3">
        <f>Материалы!L252</f>
        <v/>
      </c>
      <c r="D252" s="3">
        <f>Материалы!M252</f>
        <v/>
      </c>
      <c r="E252" s="4">
        <f>Материалы!G252</f>
        <v/>
      </c>
      <c r="F252" s="4">
        <f>Материалы!P252</f>
        <v/>
      </c>
      <c r="G252" s="3">
        <f>Материалы!N252</f>
        <v/>
      </c>
      <c r="H252" s="3">
        <f>Материалы!O252</f>
        <v/>
      </c>
    </row>
    <row r="253">
      <c r="A253" s="3">
        <f>Материалы!B253</f>
        <v/>
      </c>
      <c r="B253" s="3">
        <f>Материалы!D253</f>
        <v/>
      </c>
      <c r="C253" s="3">
        <f>Материалы!L253</f>
        <v/>
      </c>
      <c r="D253" s="3">
        <f>Материалы!M253</f>
        <v/>
      </c>
      <c r="E253" s="4">
        <f>Материалы!G253</f>
        <v/>
      </c>
      <c r="F253" s="4">
        <f>Материалы!P253</f>
        <v/>
      </c>
      <c r="G253" s="3">
        <f>Материалы!N253</f>
        <v/>
      </c>
      <c r="H253" s="3">
        <f>Материалы!O253</f>
        <v/>
      </c>
    </row>
    <row r="254">
      <c r="A254" s="3">
        <f>Материалы!B254</f>
        <v/>
      </c>
      <c r="B254" s="3">
        <f>Материалы!D254</f>
        <v/>
      </c>
      <c r="C254" s="3">
        <f>Материалы!L254</f>
        <v/>
      </c>
      <c r="D254" s="3">
        <f>Материалы!M254</f>
        <v/>
      </c>
      <c r="E254" s="4">
        <f>Материалы!G254</f>
        <v/>
      </c>
      <c r="F254" s="4">
        <f>Материалы!P254</f>
        <v/>
      </c>
      <c r="G254" s="3">
        <f>Материалы!N254</f>
        <v/>
      </c>
      <c r="H254" s="3">
        <f>Материалы!O254</f>
        <v/>
      </c>
    </row>
    <row r="255">
      <c r="A255" s="3">
        <f>Материалы!B255</f>
        <v/>
      </c>
      <c r="B255" s="3">
        <f>Материалы!D255</f>
        <v/>
      </c>
      <c r="C255" s="3">
        <f>Материалы!L255</f>
        <v/>
      </c>
      <c r="D255" s="3">
        <f>Материалы!M255</f>
        <v/>
      </c>
      <c r="E255" s="4">
        <f>Материалы!G255</f>
        <v/>
      </c>
      <c r="F255" s="4">
        <f>Материалы!P255</f>
        <v/>
      </c>
      <c r="G255" s="3">
        <f>Материалы!N255</f>
        <v/>
      </c>
      <c r="H255" s="3">
        <f>Материалы!O255</f>
        <v/>
      </c>
    </row>
    <row r="256">
      <c r="A256" s="3">
        <f>Материалы!B256</f>
        <v/>
      </c>
      <c r="B256" s="3">
        <f>Материалы!D256</f>
        <v/>
      </c>
      <c r="C256" s="3">
        <f>Материалы!L256</f>
        <v/>
      </c>
      <c r="D256" s="3">
        <f>Материалы!M256</f>
        <v/>
      </c>
      <c r="E256" s="4">
        <f>Материалы!G256</f>
        <v/>
      </c>
      <c r="F256" s="4">
        <f>Материалы!P256</f>
        <v/>
      </c>
      <c r="G256" s="3">
        <f>Материалы!N256</f>
        <v/>
      </c>
      <c r="H256" s="3">
        <f>Материалы!O256</f>
        <v/>
      </c>
    </row>
    <row r="257">
      <c r="A257" s="3">
        <f>Материалы!B257</f>
        <v/>
      </c>
      <c r="B257" s="3">
        <f>Материалы!D257</f>
        <v/>
      </c>
      <c r="C257" s="3">
        <f>Материалы!L257</f>
        <v/>
      </c>
      <c r="D257" s="3">
        <f>Материалы!M257</f>
        <v/>
      </c>
      <c r="E257" s="4">
        <f>Материалы!G257</f>
        <v/>
      </c>
      <c r="F257" s="4">
        <f>Материалы!P257</f>
        <v/>
      </c>
      <c r="G257" s="3">
        <f>Материалы!N257</f>
        <v/>
      </c>
      <c r="H257" s="3">
        <f>Материалы!O257</f>
        <v/>
      </c>
    </row>
    <row r="258">
      <c r="A258" s="3">
        <f>Материалы!B258</f>
        <v/>
      </c>
      <c r="B258" s="3">
        <f>Материалы!D258</f>
        <v/>
      </c>
      <c r="C258" s="3">
        <f>Материалы!L258</f>
        <v/>
      </c>
      <c r="D258" s="3">
        <f>Материалы!M258</f>
        <v/>
      </c>
      <c r="E258" s="4">
        <f>Материалы!G258</f>
        <v/>
      </c>
      <c r="F258" s="4">
        <f>Материалы!P258</f>
        <v/>
      </c>
      <c r="G258" s="3">
        <f>Материалы!N258</f>
        <v/>
      </c>
      <c r="H258" s="3">
        <f>Материалы!O258</f>
        <v/>
      </c>
    </row>
    <row r="259">
      <c r="A259" s="3">
        <f>Материалы!B259</f>
        <v/>
      </c>
      <c r="B259" s="3">
        <f>Материалы!D259</f>
        <v/>
      </c>
      <c r="C259" s="3">
        <f>Материалы!L259</f>
        <v/>
      </c>
      <c r="D259" s="3">
        <f>Материалы!M259</f>
        <v/>
      </c>
      <c r="E259" s="4">
        <f>Материалы!G259</f>
        <v/>
      </c>
      <c r="F259" s="4">
        <f>Материалы!P259</f>
        <v/>
      </c>
      <c r="G259" s="3">
        <f>Материалы!N259</f>
        <v/>
      </c>
      <c r="H259" s="3">
        <f>Материалы!O259</f>
        <v/>
      </c>
    </row>
    <row r="260">
      <c r="A260" s="3">
        <f>Материалы!B260</f>
        <v/>
      </c>
      <c r="B260" s="3">
        <f>Материалы!D260</f>
        <v/>
      </c>
      <c r="C260" s="3">
        <f>Материалы!L260</f>
        <v/>
      </c>
      <c r="D260" s="3">
        <f>Материалы!M260</f>
        <v/>
      </c>
      <c r="E260" s="4">
        <f>Материалы!G260</f>
        <v/>
      </c>
      <c r="F260" s="4">
        <f>Материалы!P260</f>
        <v/>
      </c>
      <c r="G260" s="3">
        <f>Материалы!N260</f>
        <v/>
      </c>
      <c r="H260" s="3">
        <f>Материалы!O260</f>
        <v/>
      </c>
    </row>
    <row r="261">
      <c r="A261" s="3">
        <f>Материалы!B261</f>
        <v/>
      </c>
      <c r="B261" s="3">
        <f>Материалы!D261</f>
        <v/>
      </c>
      <c r="C261" s="3">
        <f>Материалы!L261</f>
        <v/>
      </c>
      <c r="D261" s="3">
        <f>Материалы!M261</f>
        <v/>
      </c>
      <c r="E261" s="4">
        <f>Материалы!G261</f>
        <v/>
      </c>
      <c r="F261" s="4">
        <f>Материалы!P261</f>
        <v/>
      </c>
      <c r="G261" s="3">
        <f>Материалы!N261</f>
        <v/>
      </c>
      <c r="H261" s="3">
        <f>Материалы!O261</f>
        <v/>
      </c>
    </row>
    <row r="262">
      <c r="A262" s="3">
        <f>Материалы!B262</f>
        <v/>
      </c>
      <c r="B262" s="3">
        <f>Материалы!D262</f>
        <v/>
      </c>
      <c r="C262" s="3">
        <f>Материалы!L262</f>
        <v/>
      </c>
      <c r="D262" s="3">
        <f>Материалы!M262</f>
        <v/>
      </c>
      <c r="E262" s="4">
        <f>Материалы!G262</f>
        <v/>
      </c>
      <c r="F262" s="4">
        <f>Материалы!P262</f>
        <v/>
      </c>
      <c r="G262" s="3">
        <f>Материалы!N262</f>
        <v/>
      </c>
      <c r="H262" s="3">
        <f>Материалы!O262</f>
        <v/>
      </c>
    </row>
    <row r="263">
      <c r="A263" s="3">
        <f>Материалы!B263</f>
        <v/>
      </c>
      <c r="B263" s="3">
        <f>Материалы!D263</f>
        <v/>
      </c>
      <c r="C263" s="3">
        <f>Материалы!L263</f>
        <v/>
      </c>
      <c r="D263" s="3">
        <f>Материалы!M263</f>
        <v/>
      </c>
      <c r="E263" s="4">
        <f>Материалы!G263</f>
        <v/>
      </c>
      <c r="F263" s="4">
        <f>Материалы!P263</f>
        <v/>
      </c>
      <c r="G263" s="3">
        <f>Материалы!N263</f>
        <v/>
      </c>
      <c r="H263" s="3">
        <f>Материалы!O263</f>
        <v/>
      </c>
    </row>
    <row r="264">
      <c r="A264" s="3">
        <f>Материалы!B264</f>
        <v/>
      </c>
      <c r="B264" s="3">
        <f>Материалы!D264</f>
        <v/>
      </c>
      <c r="C264" s="3">
        <f>Материалы!L264</f>
        <v/>
      </c>
      <c r="D264" s="3">
        <f>Материалы!M264</f>
        <v/>
      </c>
      <c r="E264" s="4">
        <f>Материалы!G264</f>
        <v/>
      </c>
      <c r="F264" s="4">
        <f>Материалы!P264</f>
        <v/>
      </c>
      <c r="G264" s="3">
        <f>Материалы!N264</f>
        <v/>
      </c>
      <c r="H264" s="3">
        <f>Материалы!O264</f>
        <v/>
      </c>
    </row>
    <row r="265">
      <c r="A265" s="3">
        <f>Материалы!B265</f>
        <v/>
      </c>
      <c r="B265" s="3">
        <f>Материалы!D265</f>
        <v/>
      </c>
      <c r="C265" s="3">
        <f>Материалы!L265</f>
        <v/>
      </c>
      <c r="D265" s="3">
        <f>Материалы!M265</f>
        <v/>
      </c>
      <c r="E265" s="4">
        <f>Материалы!G265</f>
        <v/>
      </c>
      <c r="F265" s="4">
        <f>Материалы!P265</f>
        <v/>
      </c>
      <c r="G265" s="3">
        <f>Материалы!N265</f>
        <v/>
      </c>
      <c r="H265" s="3">
        <f>Материалы!O265</f>
        <v/>
      </c>
    </row>
    <row r="266">
      <c r="A266" s="3">
        <f>Материалы!B266</f>
        <v/>
      </c>
      <c r="B266" s="3">
        <f>Материалы!D266</f>
        <v/>
      </c>
      <c r="C266" s="3">
        <f>Материалы!L266</f>
        <v/>
      </c>
      <c r="D266" s="3">
        <f>Материалы!M266</f>
        <v/>
      </c>
      <c r="E266" s="4">
        <f>Материалы!G266</f>
        <v/>
      </c>
      <c r="F266" s="4">
        <f>Материалы!P266</f>
        <v/>
      </c>
      <c r="G266" s="3">
        <f>Материалы!N266</f>
        <v/>
      </c>
      <c r="H266" s="3">
        <f>Материалы!O266</f>
        <v/>
      </c>
    </row>
    <row r="267">
      <c r="A267" s="3">
        <f>Материалы!B267</f>
        <v/>
      </c>
      <c r="B267" s="3">
        <f>Материалы!D267</f>
        <v/>
      </c>
      <c r="C267" s="3">
        <f>Материалы!L267</f>
        <v/>
      </c>
      <c r="D267" s="3">
        <f>Материалы!M267</f>
        <v/>
      </c>
      <c r="E267" s="4">
        <f>Материалы!G267</f>
        <v/>
      </c>
      <c r="F267" s="4">
        <f>Материалы!P267</f>
        <v/>
      </c>
      <c r="G267" s="3">
        <f>Материалы!N267</f>
        <v/>
      </c>
      <c r="H267" s="3">
        <f>Материалы!O267</f>
        <v/>
      </c>
    </row>
    <row r="268">
      <c r="A268" s="3">
        <f>Материалы!B268</f>
        <v/>
      </c>
      <c r="B268" s="3">
        <f>Материалы!D268</f>
        <v/>
      </c>
      <c r="C268" s="3">
        <f>Материалы!L268</f>
        <v/>
      </c>
      <c r="D268" s="3">
        <f>Материалы!M268</f>
        <v/>
      </c>
      <c r="E268" s="4">
        <f>Материалы!G268</f>
        <v/>
      </c>
      <c r="F268" s="4">
        <f>Материалы!P268</f>
        <v/>
      </c>
      <c r="G268" s="3">
        <f>Материалы!N268</f>
        <v/>
      </c>
      <c r="H268" s="3">
        <f>Материалы!O268</f>
        <v/>
      </c>
    </row>
    <row r="269">
      <c r="A269" s="3">
        <f>Материалы!B269</f>
        <v/>
      </c>
      <c r="B269" s="3">
        <f>Материалы!D269</f>
        <v/>
      </c>
      <c r="C269" s="3">
        <f>Материалы!L269</f>
        <v/>
      </c>
      <c r="D269" s="3">
        <f>Материалы!M269</f>
        <v/>
      </c>
      <c r="E269" s="4">
        <f>Материалы!G269</f>
        <v/>
      </c>
      <c r="F269" s="4">
        <f>Материалы!P269</f>
        <v/>
      </c>
      <c r="G269" s="3">
        <f>Материалы!N269</f>
        <v/>
      </c>
      <c r="H269" s="3">
        <f>Материалы!O269</f>
        <v/>
      </c>
    </row>
    <row r="270">
      <c r="A270" s="3">
        <f>Материалы!B270</f>
        <v/>
      </c>
      <c r="B270" s="3">
        <f>Материалы!D270</f>
        <v/>
      </c>
      <c r="C270" s="3">
        <f>Материалы!L270</f>
        <v/>
      </c>
      <c r="D270" s="3">
        <f>Материалы!M270</f>
        <v/>
      </c>
      <c r="E270" s="4">
        <f>Материалы!G270</f>
        <v/>
      </c>
      <c r="F270" s="4">
        <f>Материалы!P270</f>
        <v/>
      </c>
      <c r="G270" s="3">
        <f>Материалы!N270</f>
        <v/>
      </c>
      <c r="H270" s="3">
        <f>Материалы!O270</f>
        <v/>
      </c>
    </row>
    <row r="271">
      <c r="A271" s="3">
        <f>Материалы!B271</f>
        <v/>
      </c>
      <c r="B271" s="3">
        <f>Материалы!D271</f>
        <v/>
      </c>
      <c r="C271" s="3">
        <f>Материалы!L271</f>
        <v/>
      </c>
      <c r="D271" s="3">
        <f>Материалы!M271</f>
        <v/>
      </c>
      <c r="E271" s="4">
        <f>Материалы!G271</f>
        <v/>
      </c>
      <c r="F271" s="4">
        <f>Материалы!P271</f>
        <v/>
      </c>
      <c r="G271" s="3">
        <f>Материалы!N271</f>
        <v/>
      </c>
      <c r="H271" s="3">
        <f>Материалы!O271</f>
        <v/>
      </c>
    </row>
    <row r="272">
      <c r="A272" s="3">
        <f>Материалы!B272</f>
        <v/>
      </c>
      <c r="B272" s="3">
        <f>Материалы!D272</f>
        <v/>
      </c>
      <c r="C272" s="3">
        <f>Материалы!L272</f>
        <v/>
      </c>
      <c r="D272" s="3">
        <f>Материалы!M272</f>
        <v/>
      </c>
      <c r="E272" s="4">
        <f>Материалы!G272</f>
        <v/>
      </c>
      <c r="F272" s="4">
        <f>Материалы!P272</f>
        <v/>
      </c>
      <c r="G272" s="3">
        <f>Материалы!N272</f>
        <v/>
      </c>
      <c r="H272" s="3">
        <f>Материалы!O272</f>
        <v/>
      </c>
    </row>
    <row r="273">
      <c r="A273" s="3">
        <f>Материалы!B273</f>
        <v/>
      </c>
      <c r="B273" s="3">
        <f>Материалы!D273</f>
        <v/>
      </c>
      <c r="C273" s="3">
        <f>Материалы!L273</f>
        <v/>
      </c>
      <c r="D273" s="3">
        <f>Материалы!M273</f>
        <v/>
      </c>
      <c r="E273" s="4">
        <f>Материалы!G273</f>
        <v/>
      </c>
      <c r="F273" s="4">
        <f>Материалы!P273</f>
        <v/>
      </c>
      <c r="G273" s="3">
        <f>Материалы!N273</f>
        <v/>
      </c>
      <c r="H273" s="3">
        <f>Материалы!O273</f>
        <v/>
      </c>
    </row>
    <row r="274">
      <c r="A274" s="3">
        <f>Материалы!B274</f>
        <v/>
      </c>
      <c r="B274" s="3">
        <f>Материалы!D274</f>
        <v/>
      </c>
      <c r="C274" s="3">
        <f>Материалы!L274</f>
        <v/>
      </c>
      <c r="D274" s="3">
        <f>Материалы!M274</f>
        <v/>
      </c>
      <c r="E274" s="4">
        <f>Материалы!G274</f>
        <v/>
      </c>
      <c r="F274" s="4">
        <f>Материалы!P274</f>
        <v/>
      </c>
      <c r="G274" s="3">
        <f>Материалы!N274</f>
        <v/>
      </c>
      <c r="H274" s="3">
        <f>Материалы!O274</f>
        <v/>
      </c>
    </row>
    <row r="275">
      <c r="A275" s="3">
        <f>Материалы!B275</f>
        <v/>
      </c>
      <c r="B275" s="3">
        <f>Материалы!D275</f>
        <v/>
      </c>
      <c r="C275" s="3">
        <f>Материалы!L275</f>
        <v/>
      </c>
      <c r="D275" s="3">
        <f>Материалы!M275</f>
        <v/>
      </c>
      <c r="E275" s="4">
        <f>Материалы!G275</f>
        <v/>
      </c>
      <c r="F275" s="4">
        <f>Материалы!P275</f>
        <v/>
      </c>
      <c r="G275" s="3">
        <f>Материалы!N275</f>
        <v/>
      </c>
      <c r="H275" s="3">
        <f>Материалы!O275</f>
        <v/>
      </c>
    </row>
    <row r="276">
      <c r="A276" s="3">
        <f>Материалы!B276</f>
        <v/>
      </c>
      <c r="B276" s="3">
        <f>Материалы!D276</f>
        <v/>
      </c>
      <c r="C276" s="3">
        <f>Материалы!L276</f>
        <v/>
      </c>
      <c r="D276" s="3">
        <f>Материалы!M276</f>
        <v/>
      </c>
      <c r="E276" s="4">
        <f>Материалы!G276</f>
        <v/>
      </c>
      <c r="F276" s="4">
        <f>Материалы!P276</f>
        <v/>
      </c>
      <c r="G276" s="3">
        <f>Материалы!N276</f>
        <v/>
      </c>
      <c r="H276" s="3">
        <f>Материалы!O276</f>
        <v/>
      </c>
    </row>
    <row r="277">
      <c r="A277" s="3">
        <f>Материалы!B277</f>
        <v/>
      </c>
      <c r="B277" s="3">
        <f>Материалы!D277</f>
        <v/>
      </c>
      <c r="C277" s="3">
        <f>Материалы!L277</f>
        <v/>
      </c>
      <c r="D277" s="3">
        <f>Материалы!M277</f>
        <v/>
      </c>
      <c r="E277" s="4">
        <f>Материалы!G277</f>
        <v/>
      </c>
      <c r="F277" s="4">
        <f>Материалы!P277</f>
        <v/>
      </c>
      <c r="G277" s="3">
        <f>Материалы!N277</f>
        <v/>
      </c>
      <c r="H277" s="3">
        <f>Материалы!O277</f>
        <v/>
      </c>
    </row>
    <row r="278">
      <c r="A278" s="3">
        <f>Материалы!B278</f>
        <v/>
      </c>
      <c r="B278" s="3">
        <f>Материалы!D278</f>
        <v/>
      </c>
      <c r="C278" s="3">
        <f>Материалы!L278</f>
        <v/>
      </c>
      <c r="D278" s="3">
        <f>Материалы!M278</f>
        <v/>
      </c>
      <c r="E278" s="4">
        <f>Материалы!G278</f>
        <v/>
      </c>
      <c r="F278" s="4">
        <f>Материалы!P278</f>
        <v/>
      </c>
      <c r="G278" s="3">
        <f>Материалы!N278</f>
        <v/>
      </c>
      <c r="H278" s="3">
        <f>Материалы!O278</f>
        <v/>
      </c>
    </row>
    <row r="279">
      <c r="A279" s="3">
        <f>Материалы!B279</f>
        <v/>
      </c>
      <c r="B279" s="3">
        <f>Материалы!D279</f>
        <v/>
      </c>
      <c r="C279" s="3">
        <f>Материалы!L279</f>
        <v/>
      </c>
      <c r="D279" s="3">
        <f>Материалы!M279</f>
        <v/>
      </c>
      <c r="E279" s="4">
        <f>Материалы!G279</f>
        <v/>
      </c>
      <c r="F279" s="4">
        <f>Материалы!P279</f>
        <v/>
      </c>
      <c r="G279" s="3">
        <f>Материалы!N279</f>
        <v/>
      </c>
      <c r="H279" s="3">
        <f>Материалы!O279</f>
        <v/>
      </c>
    </row>
    <row r="280">
      <c r="A280" s="3">
        <f>Материалы!B280</f>
        <v/>
      </c>
      <c r="B280" s="3">
        <f>Материалы!D280</f>
        <v/>
      </c>
      <c r="C280" s="3">
        <f>Материалы!L280</f>
        <v/>
      </c>
      <c r="D280" s="3">
        <f>Материалы!M280</f>
        <v/>
      </c>
      <c r="E280" s="4">
        <f>Материалы!G280</f>
        <v/>
      </c>
      <c r="F280" s="4">
        <f>Материалы!P280</f>
        <v/>
      </c>
      <c r="G280" s="3">
        <f>Материалы!N280</f>
        <v/>
      </c>
      <c r="H280" s="3">
        <f>Материалы!O280</f>
        <v/>
      </c>
    </row>
    <row r="281">
      <c r="A281" s="3">
        <f>Материалы!B281</f>
        <v/>
      </c>
      <c r="B281" s="3">
        <f>Материалы!D281</f>
        <v/>
      </c>
      <c r="C281" s="3">
        <f>Материалы!L281</f>
        <v/>
      </c>
      <c r="D281" s="3">
        <f>Материалы!M281</f>
        <v/>
      </c>
      <c r="E281" s="4">
        <f>Материалы!G281</f>
        <v/>
      </c>
      <c r="F281" s="4">
        <f>Материалы!P281</f>
        <v/>
      </c>
      <c r="G281" s="3">
        <f>Материалы!N281</f>
        <v/>
      </c>
      <c r="H281" s="3">
        <f>Материалы!O281</f>
        <v/>
      </c>
    </row>
    <row r="282">
      <c r="A282" s="3">
        <f>Материалы!B282</f>
        <v/>
      </c>
      <c r="B282" s="3">
        <f>Материалы!D282</f>
        <v/>
      </c>
      <c r="C282" s="3">
        <f>Материалы!L282</f>
        <v/>
      </c>
      <c r="D282" s="3">
        <f>Материалы!M282</f>
        <v/>
      </c>
      <c r="E282" s="4">
        <f>Материалы!G282</f>
        <v/>
      </c>
      <c r="F282" s="4">
        <f>Материалы!P282</f>
        <v/>
      </c>
      <c r="G282" s="3">
        <f>Материалы!N282</f>
        <v/>
      </c>
      <c r="H282" s="3">
        <f>Материалы!O282</f>
        <v/>
      </c>
    </row>
    <row r="283">
      <c r="A283" s="3">
        <f>Материалы!B283</f>
        <v/>
      </c>
      <c r="B283" s="3">
        <f>Материалы!D283</f>
        <v/>
      </c>
      <c r="C283" s="3">
        <f>Материалы!L283</f>
        <v/>
      </c>
      <c r="D283" s="3">
        <f>Материалы!M283</f>
        <v/>
      </c>
      <c r="E283" s="4">
        <f>Материалы!G283</f>
        <v/>
      </c>
      <c r="F283" s="4">
        <f>Материалы!P283</f>
        <v/>
      </c>
      <c r="G283" s="3">
        <f>Материалы!N283</f>
        <v/>
      </c>
      <c r="H283" s="3">
        <f>Материалы!O283</f>
        <v/>
      </c>
    </row>
    <row r="284">
      <c r="A284" s="3">
        <f>Материалы!B284</f>
        <v/>
      </c>
      <c r="B284" s="3">
        <f>Материалы!D284</f>
        <v/>
      </c>
      <c r="C284" s="3">
        <f>Материалы!L284</f>
        <v/>
      </c>
      <c r="D284" s="3">
        <f>Материалы!M284</f>
        <v/>
      </c>
      <c r="E284" s="4">
        <f>Материалы!G284</f>
        <v/>
      </c>
      <c r="F284" s="4">
        <f>Материалы!P284</f>
        <v/>
      </c>
      <c r="G284" s="3">
        <f>Материалы!N284</f>
        <v/>
      </c>
      <c r="H284" s="3">
        <f>Материалы!O284</f>
        <v/>
      </c>
    </row>
    <row r="285">
      <c r="A285" s="3">
        <f>Материалы!B285</f>
        <v/>
      </c>
      <c r="B285" s="3">
        <f>Материалы!D285</f>
        <v/>
      </c>
      <c r="C285" s="3">
        <f>Материалы!L285</f>
        <v/>
      </c>
      <c r="D285" s="3">
        <f>Материалы!M285</f>
        <v/>
      </c>
      <c r="E285" s="4">
        <f>Материалы!G285</f>
        <v/>
      </c>
      <c r="F285" s="4">
        <f>Материалы!P285</f>
        <v/>
      </c>
      <c r="G285" s="3">
        <f>Материалы!N285</f>
        <v/>
      </c>
      <c r="H285" s="3">
        <f>Материалы!O285</f>
        <v/>
      </c>
    </row>
    <row r="286">
      <c r="A286" s="3">
        <f>Материалы!B286</f>
        <v/>
      </c>
      <c r="B286" s="3">
        <f>Материалы!D286</f>
        <v/>
      </c>
      <c r="C286" s="3">
        <f>Материалы!L286</f>
        <v/>
      </c>
      <c r="D286" s="3">
        <f>Материалы!M286</f>
        <v/>
      </c>
      <c r="E286" s="4">
        <f>Материалы!G286</f>
        <v/>
      </c>
      <c r="F286" s="4">
        <f>Материалы!P286</f>
        <v/>
      </c>
      <c r="G286" s="3">
        <f>Материалы!N286</f>
        <v/>
      </c>
      <c r="H286" s="3">
        <f>Материалы!O286</f>
        <v/>
      </c>
    </row>
    <row r="287">
      <c r="A287" s="3">
        <f>Материалы!B287</f>
        <v/>
      </c>
      <c r="B287" s="3">
        <f>Материалы!D287</f>
        <v/>
      </c>
      <c r="C287" s="3">
        <f>Материалы!L287</f>
        <v/>
      </c>
      <c r="D287" s="3">
        <f>Материалы!M287</f>
        <v/>
      </c>
      <c r="E287" s="4">
        <f>Материалы!G287</f>
        <v/>
      </c>
      <c r="F287" s="4">
        <f>Материалы!P287</f>
        <v/>
      </c>
      <c r="G287" s="3">
        <f>Материалы!N287</f>
        <v/>
      </c>
      <c r="H287" s="3">
        <f>Материалы!O287</f>
        <v/>
      </c>
    </row>
    <row r="288">
      <c r="A288" s="3">
        <f>Материалы!B288</f>
        <v/>
      </c>
      <c r="B288" s="3">
        <f>Материалы!D288</f>
        <v/>
      </c>
      <c r="C288" s="3">
        <f>Материалы!L288</f>
        <v/>
      </c>
      <c r="D288" s="3">
        <f>Материалы!M288</f>
        <v/>
      </c>
      <c r="E288" s="4">
        <f>Материалы!G288</f>
        <v/>
      </c>
      <c r="F288" s="4">
        <f>Материалы!P288</f>
        <v/>
      </c>
      <c r="G288" s="3">
        <f>Материалы!N288</f>
        <v/>
      </c>
      <c r="H288" s="3">
        <f>Материалы!O288</f>
        <v/>
      </c>
    </row>
    <row r="289">
      <c r="A289" s="3">
        <f>Материалы!B289</f>
        <v/>
      </c>
      <c r="B289" s="3">
        <f>Материалы!D289</f>
        <v/>
      </c>
      <c r="C289" s="3">
        <f>Материалы!L289</f>
        <v/>
      </c>
      <c r="D289" s="3">
        <f>Материалы!M289</f>
        <v/>
      </c>
      <c r="E289" s="4">
        <f>Материалы!G289</f>
        <v/>
      </c>
      <c r="F289" s="4">
        <f>Материалы!P289</f>
        <v/>
      </c>
      <c r="G289" s="3">
        <f>Материалы!N289</f>
        <v/>
      </c>
      <c r="H289" s="3">
        <f>Материалы!O289</f>
        <v/>
      </c>
    </row>
    <row r="290">
      <c r="A290" s="3">
        <f>Материалы!B290</f>
        <v/>
      </c>
      <c r="B290" s="3">
        <f>Материалы!D290</f>
        <v/>
      </c>
      <c r="C290" s="3">
        <f>Материалы!L290</f>
        <v/>
      </c>
      <c r="D290" s="3">
        <f>Материалы!M290</f>
        <v/>
      </c>
      <c r="E290" s="4">
        <f>Материалы!G290</f>
        <v/>
      </c>
      <c r="F290" s="4">
        <f>Материалы!P290</f>
        <v/>
      </c>
      <c r="G290" s="3">
        <f>Материалы!N290</f>
        <v/>
      </c>
      <c r="H290" s="3">
        <f>Материалы!O290</f>
        <v/>
      </c>
    </row>
    <row r="291">
      <c r="A291" s="3">
        <f>Материалы!B291</f>
        <v/>
      </c>
      <c r="B291" s="3">
        <f>Материалы!D291</f>
        <v/>
      </c>
      <c r="C291" s="3">
        <f>Материалы!L291</f>
        <v/>
      </c>
      <c r="D291" s="3">
        <f>Материалы!M291</f>
        <v/>
      </c>
      <c r="E291" s="4">
        <f>Материалы!G291</f>
        <v/>
      </c>
      <c r="F291" s="4">
        <f>Материалы!P291</f>
        <v/>
      </c>
      <c r="G291" s="3">
        <f>Материалы!N291</f>
        <v/>
      </c>
      <c r="H291" s="3">
        <f>Материалы!O291</f>
        <v/>
      </c>
    </row>
    <row r="292">
      <c r="A292" s="3">
        <f>Материалы!B292</f>
        <v/>
      </c>
      <c r="B292" s="3">
        <f>Материалы!D292</f>
        <v/>
      </c>
      <c r="C292" s="3">
        <f>Материалы!L292</f>
        <v/>
      </c>
      <c r="D292" s="3">
        <f>Материалы!M292</f>
        <v/>
      </c>
      <c r="E292" s="4">
        <f>Материалы!G292</f>
        <v/>
      </c>
      <c r="F292" s="4">
        <f>Материалы!P292</f>
        <v/>
      </c>
      <c r="G292" s="3">
        <f>Материалы!N292</f>
        <v/>
      </c>
      <c r="H292" s="3">
        <f>Материалы!O292</f>
        <v/>
      </c>
    </row>
    <row r="293">
      <c r="A293" s="3">
        <f>Материалы!B293</f>
        <v/>
      </c>
      <c r="B293" s="3">
        <f>Материалы!D293</f>
        <v/>
      </c>
      <c r="C293" s="3">
        <f>Материалы!L293</f>
        <v/>
      </c>
      <c r="D293" s="3">
        <f>Материалы!M293</f>
        <v/>
      </c>
      <c r="E293" s="4">
        <f>Материалы!G293</f>
        <v/>
      </c>
      <c r="F293" s="4">
        <f>Материалы!P293</f>
        <v/>
      </c>
      <c r="G293" s="3">
        <f>Материалы!N293</f>
        <v/>
      </c>
      <c r="H293" s="3">
        <f>Материалы!O293</f>
        <v/>
      </c>
    </row>
    <row r="294">
      <c r="A294" s="3">
        <f>Материалы!B294</f>
        <v/>
      </c>
      <c r="B294" s="3">
        <f>Материалы!D294</f>
        <v/>
      </c>
      <c r="C294" s="3">
        <f>Материалы!L294</f>
        <v/>
      </c>
      <c r="D294" s="3">
        <f>Материалы!M294</f>
        <v/>
      </c>
      <c r="E294" s="4">
        <f>Материалы!G294</f>
        <v/>
      </c>
      <c r="F294" s="4">
        <f>Материалы!P294</f>
        <v/>
      </c>
      <c r="G294" s="3">
        <f>Материалы!N294</f>
        <v/>
      </c>
      <c r="H294" s="3">
        <f>Материалы!O294</f>
        <v/>
      </c>
    </row>
    <row r="295">
      <c r="A295" s="3">
        <f>Материалы!B295</f>
        <v/>
      </c>
      <c r="B295" s="3">
        <f>Материалы!D295</f>
        <v/>
      </c>
      <c r="C295" s="3">
        <f>Материалы!L295</f>
        <v/>
      </c>
      <c r="D295" s="3">
        <f>Материалы!M295</f>
        <v/>
      </c>
      <c r="E295" s="4">
        <f>Материалы!G295</f>
        <v/>
      </c>
      <c r="F295" s="4">
        <f>Материалы!P295</f>
        <v/>
      </c>
      <c r="G295" s="3">
        <f>Материалы!N295</f>
        <v/>
      </c>
      <c r="H295" s="3">
        <f>Материалы!O295</f>
        <v/>
      </c>
    </row>
    <row r="296">
      <c r="A296" s="3">
        <f>Материалы!B296</f>
        <v/>
      </c>
      <c r="B296" s="3">
        <f>Материалы!D296</f>
        <v/>
      </c>
      <c r="C296" s="3">
        <f>Материалы!L296</f>
        <v/>
      </c>
      <c r="D296" s="3">
        <f>Материалы!M296</f>
        <v/>
      </c>
      <c r="E296" s="4">
        <f>Материалы!G296</f>
        <v/>
      </c>
      <c r="F296" s="4">
        <f>Материалы!P296</f>
        <v/>
      </c>
      <c r="G296" s="3">
        <f>Материалы!N296</f>
        <v/>
      </c>
      <c r="H296" s="3">
        <f>Материалы!O296</f>
        <v/>
      </c>
    </row>
    <row r="297">
      <c r="A297" s="3">
        <f>Материалы!B297</f>
        <v/>
      </c>
      <c r="B297" s="3">
        <f>Материалы!D297</f>
        <v/>
      </c>
      <c r="C297" s="3">
        <f>Материалы!L297</f>
        <v/>
      </c>
      <c r="D297" s="3">
        <f>Материалы!M297</f>
        <v/>
      </c>
      <c r="E297" s="4">
        <f>Материалы!G297</f>
        <v/>
      </c>
      <c r="F297" s="4">
        <f>Материалы!P297</f>
        <v/>
      </c>
      <c r="G297" s="3">
        <f>Материалы!N297</f>
        <v/>
      </c>
      <c r="H297" s="3">
        <f>Материалы!O297</f>
        <v/>
      </c>
    </row>
    <row r="298">
      <c r="A298" s="3">
        <f>Материалы!B298</f>
        <v/>
      </c>
      <c r="B298" s="3">
        <f>Материалы!D298</f>
        <v/>
      </c>
      <c r="C298" s="3">
        <f>Материалы!L298</f>
        <v/>
      </c>
      <c r="D298" s="3">
        <f>Материалы!M298</f>
        <v/>
      </c>
      <c r="E298" s="4">
        <f>Материалы!G298</f>
        <v/>
      </c>
      <c r="F298" s="4">
        <f>Материалы!P298</f>
        <v/>
      </c>
      <c r="G298" s="3">
        <f>Материалы!N298</f>
        <v/>
      </c>
      <c r="H298" s="3">
        <f>Материалы!O298</f>
        <v/>
      </c>
    </row>
    <row r="299">
      <c r="A299" s="3">
        <f>Материалы!B299</f>
        <v/>
      </c>
      <c r="B299" s="3">
        <f>Материалы!D299</f>
        <v/>
      </c>
      <c r="C299" s="3">
        <f>Материалы!L299</f>
        <v/>
      </c>
      <c r="D299" s="3">
        <f>Материалы!M299</f>
        <v/>
      </c>
      <c r="E299" s="4">
        <f>Материалы!G299</f>
        <v/>
      </c>
      <c r="F299" s="4">
        <f>Материалы!P299</f>
        <v/>
      </c>
      <c r="G299" s="3">
        <f>Материалы!N299</f>
        <v/>
      </c>
      <c r="H299" s="3">
        <f>Материалы!O299</f>
        <v/>
      </c>
    </row>
    <row r="300">
      <c r="A300" s="3">
        <f>Материалы!B300</f>
        <v/>
      </c>
      <c r="B300" s="3">
        <f>Материалы!D300</f>
        <v/>
      </c>
      <c r="C300" s="3">
        <f>Материалы!L300</f>
        <v/>
      </c>
      <c r="D300" s="3">
        <f>Материалы!M300</f>
        <v/>
      </c>
      <c r="E300" s="4">
        <f>Материалы!G300</f>
        <v/>
      </c>
      <c r="F300" s="4">
        <f>Материалы!P300</f>
        <v/>
      </c>
      <c r="G300" s="3">
        <f>Материалы!N300</f>
        <v/>
      </c>
      <c r="H300" s="3">
        <f>Материалы!O300</f>
        <v/>
      </c>
    </row>
    <row r="301">
      <c r="A301" s="3">
        <f>Материалы!B301</f>
        <v/>
      </c>
      <c r="B301" s="3">
        <f>Материалы!D301</f>
        <v/>
      </c>
      <c r="C301" s="3">
        <f>Материалы!L301</f>
        <v/>
      </c>
      <c r="D301" s="3">
        <f>Материалы!M301</f>
        <v/>
      </c>
      <c r="E301" s="4">
        <f>Материалы!G301</f>
        <v/>
      </c>
      <c r="F301" s="4">
        <f>Материалы!P301</f>
        <v/>
      </c>
      <c r="G301" s="3">
        <f>Материалы!N301</f>
        <v/>
      </c>
      <c r="H301" s="3">
        <f>Материалы!O301</f>
        <v/>
      </c>
    </row>
    <row r="302">
      <c r="A302" s="3">
        <f>Материалы!B302</f>
        <v/>
      </c>
      <c r="B302" s="3">
        <f>Материалы!D302</f>
        <v/>
      </c>
      <c r="C302" s="3">
        <f>Материалы!L302</f>
        <v/>
      </c>
      <c r="D302" s="3">
        <f>Материалы!M302</f>
        <v/>
      </c>
      <c r="E302" s="4">
        <f>Материалы!G302</f>
        <v/>
      </c>
      <c r="F302" s="4">
        <f>Материалы!P302</f>
        <v/>
      </c>
      <c r="G302" s="3">
        <f>Материалы!N302</f>
        <v/>
      </c>
      <c r="H302" s="3">
        <f>Материалы!O302</f>
        <v/>
      </c>
    </row>
    <row r="303">
      <c r="A303" s="3">
        <f>Материалы!B303</f>
        <v/>
      </c>
      <c r="B303" s="3">
        <f>Материалы!D303</f>
        <v/>
      </c>
      <c r="C303" s="3">
        <f>Материалы!L303</f>
        <v/>
      </c>
      <c r="D303" s="3">
        <f>Материалы!M303</f>
        <v/>
      </c>
      <c r="E303" s="4">
        <f>Материалы!G303</f>
        <v/>
      </c>
      <c r="F303" s="4">
        <f>Материалы!P303</f>
        <v/>
      </c>
      <c r="G303" s="3">
        <f>Материалы!N303</f>
        <v/>
      </c>
      <c r="H303" s="3">
        <f>Материалы!O303</f>
        <v/>
      </c>
    </row>
    <row r="304">
      <c r="A304" s="3">
        <f>Материалы!B304</f>
        <v/>
      </c>
      <c r="B304" s="3">
        <f>Материалы!D304</f>
        <v/>
      </c>
      <c r="C304" s="3">
        <f>Материалы!L304</f>
        <v/>
      </c>
      <c r="D304" s="3">
        <f>Материалы!M304</f>
        <v/>
      </c>
      <c r="E304" s="4">
        <f>Материалы!G304</f>
        <v/>
      </c>
      <c r="F304" s="4">
        <f>Материалы!P304</f>
        <v/>
      </c>
      <c r="G304" s="3">
        <f>Материалы!N304</f>
        <v/>
      </c>
      <c r="H304" s="3">
        <f>Материалы!O304</f>
        <v/>
      </c>
    </row>
    <row r="305">
      <c r="A305" s="3">
        <f>Материалы!B305</f>
        <v/>
      </c>
      <c r="B305" s="3">
        <f>Материалы!D305</f>
        <v/>
      </c>
      <c r="C305" s="3">
        <f>Материалы!L305</f>
        <v/>
      </c>
      <c r="D305" s="3">
        <f>Материалы!M305</f>
        <v/>
      </c>
      <c r="E305" s="4">
        <f>Материалы!G305</f>
        <v/>
      </c>
      <c r="F305" s="4">
        <f>Материалы!P305</f>
        <v/>
      </c>
      <c r="G305" s="3">
        <f>Материалы!N305</f>
        <v/>
      </c>
      <c r="H305" s="3">
        <f>Материалы!O305</f>
        <v/>
      </c>
    </row>
    <row r="306">
      <c r="A306" s="3">
        <f>Материалы!B306</f>
        <v/>
      </c>
      <c r="B306" s="3">
        <f>Материалы!D306</f>
        <v/>
      </c>
      <c r="C306" s="3">
        <f>Материалы!L306</f>
        <v/>
      </c>
      <c r="D306" s="3">
        <f>Материалы!M306</f>
        <v/>
      </c>
      <c r="E306" s="4">
        <f>Материалы!G306</f>
        <v/>
      </c>
      <c r="F306" s="4">
        <f>Материалы!P306</f>
        <v/>
      </c>
      <c r="G306" s="3">
        <f>Материалы!N306</f>
        <v/>
      </c>
      <c r="H306" s="3">
        <f>Материалы!O306</f>
        <v/>
      </c>
    </row>
    <row r="307">
      <c r="A307" s="3">
        <f>Материалы!B307</f>
        <v/>
      </c>
      <c r="B307" s="3">
        <f>Материалы!D307</f>
        <v/>
      </c>
      <c r="C307" s="3">
        <f>Материалы!L307</f>
        <v/>
      </c>
      <c r="D307" s="3">
        <f>Материалы!M307</f>
        <v/>
      </c>
      <c r="E307" s="4">
        <f>Материалы!G307</f>
        <v/>
      </c>
      <c r="F307" s="4">
        <f>Материалы!P307</f>
        <v/>
      </c>
      <c r="G307" s="3">
        <f>Материалы!N307</f>
        <v/>
      </c>
      <c r="H307" s="3">
        <f>Материалы!O307</f>
        <v/>
      </c>
    </row>
    <row r="308">
      <c r="A308" s="3">
        <f>Материалы!B308</f>
        <v/>
      </c>
      <c r="B308" s="3">
        <f>Материалы!D308</f>
        <v/>
      </c>
      <c r="C308" s="3">
        <f>Материалы!L308</f>
        <v/>
      </c>
      <c r="D308" s="3">
        <f>Материалы!M308</f>
        <v/>
      </c>
      <c r="E308" s="4">
        <f>Материалы!G308</f>
        <v/>
      </c>
      <c r="F308" s="4">
        <f>Материалы!P308</f>
        <v/>
      </c>
      <c r="G308" s="3">
        <f>Материалы!N308</f>
        <v/>
      </c>
      <c r="H308" s="3">
        <f>Материалы!O308</f>
        <v/>
      </c>
    </row>
    <row r="309">
      <c r="A309" s="3">
        <f>Материалы!B309</f>
        <v/>
      </c>
      <c r="B309" s="3">
        <f>Материалы!D309</f>
        <v/>
      </c>
      <c r="C309" s="3">
        <f>Материалы!L309</f>
        <v/>
      </c>
      <c r="D309" s="3">
        <f>Материалы!M309</f>
        <v/>
      </c>
      <c r="E309" s="4">
        <f>Материалы!G309</f>
        <v/>
      </c>
      <c r="F309" s="4">
        <f>Материалы!P309</f>
        <v/>
      </c>
      <c r="G309" s="3">
        <f>Материалы!N309</f>
        <v/>
      </c>
      <c r="H309" s="3">
        <f>Материалы!O309</f>
        <v/>
      </c>
    </row>
    <row r="310">
      <c r="A310" s="3">
        <f>Материалы!B310</f>
        <v/>
      </c>
      <c r="B310" s="3">
        <f>Материалы!D310</f>
        <v/>
      </c>
      <c r="C310" s="3">
        <f>Материалы!L310</f>
        <v/>
      </c>
      <c r="D310" s="3">
        <f>Материалы!M310</f>
        <v/>
      </c>
      <c r="E310" s="4">
        <f>Материалы!G310</f>
        <v/>
      </c>
      <c r="F310" s="4">
        <f>Материалы!P310</f>
        <v/>
      </c>
      <c r="G310" s="3">
        <f>Материалы!N310</f>
        <v/>
      </c>
      <c r="H310" s="3">
        <f>Материалы!O310</f>
        <v/>
      </c>
    </row>
    <row r="311">
      <c r="A311" s="3">
        <f>Материалы!B311</f>
        <v/>
      </c>
      <c r="B311" s="3">
        <f>Материалы!D311</f>
        <v/>
      </c>
      <c r="C311" s="3">
        <f>Материалы!L311</f>
        <v/>
      </c>
      <c r="D311" s="3">
        <f>Материалы!M311</f>
        <v/>
      </c>
      <c r="E311" s="4">
        <f>Материалы!G311</f>
        <v/>
      </c>
      <c r="F311" s="4">
        <f>Материалы!P311</f>
        <v/>
      </c>
      <c r="G311" s="3">
        <f>Материалы!N311</f>
        <v/>
      </c>
      <c r="H311" s="3">
        <f>Материалы!O311</f>
        <v/>
      </c>
    </row>
    <row r="312">
      <c r="A312" s="3">
        <f>Материалы!B312</f>
        <v/>
      </c>
      <c r="B312" s="3">
        <f>Материалы!D312</f>
        <v/>
      </c>
      <c r="C312" s="3">
        <f>Материалы!L312</f>
        <v/>
      </c>
      <c r="D312" s="3">
        <f>Материалы!M312</f>
        <v/>
      </c>
      <c r="E312" s="4">
        <f>Материалы!G312</f>
        <v/>
      </c>
      <c r="F312" s="4">
        <f>Материалы!P312</f>
        <v/>
      </c>
      <c r="G312" s="3">
        <f>Материалы!N312</f>
        <v/>
      </c>
      <c r="H312" s="3">
        <f>Материалы!O312</f>
        <v/>
      </c>
    </row>
    <row r="313">
      <c r="A313" s="3">
        <f>Материалы!B313</f>
        <v/>
      </c>
      <c r="B313" s="3">
        <f>Материалы!D313</f>
        <v/>
      </c>
      <c r="C313" s="3">
        <f>Материалы!L313</f>
        <v/>
      </c>
      <c r="D313" s="3">
        <f>Материалы!M313</f>
        <v/>
      </c>
      <c r="E313" s="4">
        <f>Материалы!G313</f>
        <v/>
      </c>
      <c r="F313" s="4">
        <f>Материалы!P313</f>
        <v/>
      </c>
      <c r="G313" s="3">
        <f>Материалы!N313</f>
        <v/>
      </c>
      <c r="H313" s="3">
        <f>Материалы!O313</f>
        <v/>
      </c>
    </row>
    <row r="314">
      <c r="A314" s="3">
        <f>Материалы!B314</f>
        <v/>
      </c>
      <c r="B314" s="3">
        <f>Материалы!D314</f>
        <v/>
      </c>
      <c r="C314" s="3">
        <f>Материалы!L314</f>
        <v/>
      </c>
      <c r="D314" s="3">
        <f>Материалы!M314</f>
        <v/>
      </c>
      <c r="E314" s="4">
        <f>Материалы!G314</f>
        <v/>
      </c>
      <c r="F314" s="4">
        <f>Материалы!P314</f>
        <v/>
      </c>
      <c r="G314" s="3">
        <f>Материалы!N314</f>
        <v/>
      </c>
      <c r="H314" s="3">
        <f>Материалы!O314</f>
        <v/>
      </c>
    </row>
    <row r="315">
      <c r="A315" s="3">
        <f>Материалы!B315</f>
        <v/>
      </c>
      <c r="B315" s="3">
        <f>Материалы!D315</f>
        <v/>
      </c>
      <c r="C315" s="3">
        <f>Материалы!L315</f>
        <v/>
      </c>
      <c r="D315" s="3">
        <f>Материалы!M315</f>
        <v/>
      </c>
      <c r="E315" s="4">
        <f>Материалы!G315</f>
        <v/>
      </c>
      <c r="F315" s="4">
        <f>Материалы!P315</f>
        <v/>
      </c>
      <c r="G315" s="3">
        <f>Материалы!N315</f>
        <v/>
      </c>
      <c r="H315" s="3">
        <f>Материалы!O315</f>
        <v/>
      </c>
    </row>
    <row r="316">
      <c r="A316" s="3">
        <f>Материалы!B316</f>
        <v/>
      </c>
      <c r="B316" s="3">
        <f>Материалы!D316</f>
        <v/>
      </c>
      <c r="C316" s="3">
        <f>Материалы!L316</f>
        <v/>
      </c>
      <c r="D316" s="3">
        <f>Материалы!M316</f>
        <v/>
      </c>
      <c r="E316" s="4">
        <f>Материалы!G316</f>
        <v/>
      </c>
      <c r="F316" s="4">
        <f>Материалы!P316</f>
        <v/>
      </c>
      <c r="G316" s="3">
        <f>Материалы!N316</f>
        <v/>
      </c>
      <c r="H316" s="3">
        <f>Материалы!O316</f>
        <v/>
      </c>
    </row>
    <row r="317">
      <c r="A317" s="3">
        <f>Материалы!B317</f>
        <v/>
      </c>
      <c r="B317" s="3">
        <f>Материалы!D317</f>
        <v/>
      </c>
      <c r="C317" s="3">
        <f>Материалы!L317</f>
        <v/>
      </c>
      <c r="D317" s="3">
        <f>Материалы!M317</f>
        <v/>
      </c>
      <c r="E317" s="4">
        <f>Материалы!G317</f>
        <v/>
      </c>
      <c r="F317" s="4">
        <f>Материалы!P317</f>
        <v/>
      </c>
      <c r="G317" s="3">
        <f>Материалы!N317</f>
        <v/>
      </c>
      <c r="H317" s="3">
        <f>Материалы!O317</f>
        <v/>
      </c>
    </row>
    <row r="318">
      <c r="A318" s="3">
        <f>Материалы!B318</f>
        <v/>
      </c>
      <c r="B318" s="3">
        <f>Материалы!D318</f>
        <v/>
      </c>
      <c r="C318" s="3">
        <f>Материалы!L318</f>
        <v/>
      </c>
      <c r="D318" s="3">
        <f>Материалы!M318</f>
        <v/>
      </c>
      <c r="E318" s="4">
        <f>Материалы!G318</f>
        <v/>
      </c>
      <c r="F318" s="4">
        <f>Материалы!P318</f>
        <v/>
      </c>
      <c r="G318" s="3">
        <f>Материалы!N318</f>
        <v/>
      </c>
      <c r="H318" s="3">
        <f>Материалы!O318</f>
        <v/>
      </c>
    </row>
    <row r="319">
      <c r="A319" s="3">
        <f>Материалы!B319</f>
        <v/>
      </c>
      <c r="B319" s="3">
        <f>Материалы!D319</f>
        <v/>
      </c>
      <c r="C319" s="3">
        <f>Материалы!L319</f>
        <v/>
      </c>
      <c r="D319" s="3">
        <f>Материалы!M319</f>
        <v/>
      </c>
      <c r="E319" s="4">
        <f>Материалы!G319</f>
        <v/>
      </c>
      <c r="F319" s="4">
        <f>Материалы!P319</f>
        <v/>
      </c>
      <c r="G319" s="3">
        <f>Материалы!N319</f>
        <v/>
      </c>
      <c r="H319" s="3">
        <f>Материалы!O319</f>
        <v/>
      </c>
    </row>
    <row r="320">
      <c r="A320" s="3">
        <f>Материалы!B320</f>
        <v/>
      </c>
      <c r="B320" s="3">
        <f>Материалы!D320</f>
        <v/>
      </c>
      <c r="C320" s="3">
        <f>Материалы!L320</f>
        <v/>
      </c>
      <c r="D320" s="3">
        <f>Материалы!M320</f>
        <v/>
      </c>
      <c r="E320" s="4">
        <f>Материалы!G320</f>
        <v/>
      </c>
      <c r="F320" s="4">
        <f>Материалы!P320</f>
        <v/>
      </c>
      <c r="G320" s="3">
        <f>Материалы!N320</f>
        <v/>
      </c>
      <c r="H320" s="3">
        <f>Материалы!O320</f>
        <v/>
      </c>
    </row>
    <row r="321">
      <c r="A321" s="3">
        <f>Материалы!B321</f>
        <v/>
      </c>
      <c r="B321" s="3">
        <f>Материалы!D321</f>
        <v/>
      </c>
      <c r="C321" s="3">
        <f>Материалы!L321</f>
        <v/>
      </c>
      <c r="D321" s="3">
        <f>Материалы!M321</f>
        <v/>
      </c>
      <c r="E321" s="4">
        <f>Материалы!G321</f>
        <v/>
      </c>
      <c r="F321" s="4">
        <f>Материалы!P321</f>
        <v/>
      </c>
      <c r="G321" s="3">
        <f>Материалы!N321</f>
        <v/>
      </c>
      <c r="H321" s="3">
        <f>Материалы!O321</f>
        <v/>
      </c>
    </row>
    <row r="322">
      <c r="A322" s="3">
        <f>Материалы!B322</f>
        <v/>
      </c>
      <c r="B322" s="3">
        <f>Материалы!D322</f>
        <v/>
      </c>
      <c r="C322" s="3">
        <f>Материалы!L322</f>
        <v/>
      </c>
      <c r="D322" s="3">
        <f>Материалы!M322</f>
        <v/>
      </c>
      <c r="E322" s="4">
        <f>Материалы!G322</f>
        <v/>
      </c>
      <c r="F322" s="4">
        <f>Материалы!P322</f>
        <v/>
      </c>
      <c r="G322" s="3">
        <f>Материалы!N322</f>
        <v/>
      </c>
      <c r="H322" s="3">
        <f>Материалы!O322</f>
        <v/>
      </c>
    </row>
    <row r="323">
      <c r="A323" s="3">
        <f>Материалы!B323</f>
        <v/>
      </c>
      <c r="B323" s="3">
        <f>Материалы!D323</f>
        <v/>
      </c>
      <c r="C323" s="3">
        <f>Материалы!L323</f>
        <v/>
      </c>
      <c r="D323" s="3">
        <f>Материалы!M323</f>
        <v/>
      </c>
      <c r="E323" s="4">
        <f>Материалы!G323</f>
        <v/>
      </c>
      <c r="F323" s="4">
        <f>Материалы!P323</f>
        <v/>
      </c>
      <c r="G323" s="3">
        <f>Материалы!N323</f>
        <v/>
      </c>
      <c r="H323" s="3">
        <f>Материалы!O323</f>
        <v/>
      </c>
    </row>
    <row r="324">
      <c r="A324" s="3">
        <f>Материалы!B324</f>
        <v/>
      </c>
      <c r="B324" s="3">
        <f>Материалы!D324</f>
        <v/>
      </c>
      <c r="C324" s="3">
        <f>Материалы!L324</f>
        <v/>
      </c>
      <c r="D324" s="3">
        <f>Материалы!M324</f>
        <v/>
      </c>
      <c r="E324" s="4">
        <f>Материалы!G324</f>
        <v/>
      </c>
      <c r="F324" s="4">
        <f>Материалы!P324</f>
        <v/>
      </c>
      <c r="G324" s="3">
        <f>Материалы!N324</f>
        <v/>
      </c>
      <c r="H324" s="3">
        <f>Материалы!O324</f>
        <v/>
      </c>
    </row>
    <row r="325">
      <c r="A325" s="3">
        <f>Материалы!B325</f>
        <v/>
      </c>
      <c r="B325" s="3">
        <f>Материалы!D325</f>
        <v/>
      </c>
      <c r="C325" s="3">
        <f>Материалы!L325</f>
        <v/>
      </c>
      <c r="D325" s="3">
        <f>Материалы!M325</f>
        <v/>
      </c>
      <c r="E325" s="4">
        <f>Материалы!G325</f>
        <v/>
      </c>
      <c r="F325" s="4">
        <f>Материалы!P325</f>
        <v/>
      </c>
      <c r="G325" s="3">
        <f>Материалы!N325</f>
        <v/>
      </c>
      <c r="H325" s="3">
        <f>Материалы!O325</f>
        <v/>
      </c>
    </row>
    <row r="326">
      <c r="A326" s="3">
        <f>Материалы!B326</f>
        <v/>
      </c>
      <c r="B326" s="3">
        <f>Материалы!D326</f>
        <v/>
      </c>
      <c r="C326" s="3">
        <f>Материалы!L326</f>
        <v/>
      </c>
      <c r="D326" s="3">
        <f>Материалы!M326</f>
        <v/>
      </c>
      <c r="E326" s="4">
        <f>Материалы!G326</f>
        <v/>
      </c>
      <c r="F326" s="4">
        <f>Материалы!P326</f>
        <v/>
      </c>
      <c r="G326" s="3">
        <f>Материалы!N326</f>
        <v/>
      </c>
      <c r="H326" s="3">
        <f>Материалы!O326</f>
        <v/>
      </c>
    </row>
    <row r="327">
      <c r="A327" s="3">
        <f>Материалы!B327</f>
        <v/>
      </c>
      <c r="B327" s="3">
        <f>Материалы!D327</f>
        <v/>
      </c>
      <c r="C327" s="3">
        <f>Материалы!L327</f>
        <v/>
      </c>
      <c r="D327" s="3">
        <f>Материалы!M327</f>
        <v/>
      </c>
      <c r="E327" s="4">
        <f>Материалы!G327</f>
        <v/>
      </c>
      <c r="F327" s="4">
        <f>Материалы!P327</f>
        <v/>
      </c>
      <c r="G327" s="3">
        <f>Материалы!N327</f>
        <v/>
      </c>
      <c r="H327" s="3">
        <f>Материалы!O327</f>
        <v/>
      </c>
    </row>
    <row r="328">
      <c r="A328" s="3">
        <f>Материалы!B328</f>
        <v/>
      </c>
      <c r="B328" s="3">
        <f>Материалы!D328</f>
        <v/>
      </c>
      <c r="C328" s="3">
        <f>Материалы!L328</f>
        <v/>
      </c>
      <c r="D328" s="3">
        <f>Материалы!M328</f>
        <v/>
      </c>
      <c r="E328" s="4">
        <f>Материалы!G328</f>
        <v/>
      </c>
      <c r="F328" s="4">
        <f>Материалы!P328</f>
        <v/>
      </c>
      <c r="G328" s="3">
        <f>Материалы!N328</f>
        <v/>
      </c>
      <c r="H328" s="3">
        <f>Материалы!O328</f>
        <v/>
      </c>
    </row>
    <row r="329">
      <c r="A329" s="3">
        <f>Материалы!B329</f>
        <v/>
      </c>
      <c r="B329" s="3">
        <f>Материалы!D329</f>
        <v/>
      </c>
      <c r="C329" s="3">
        <f>Материалы!L329</f>
        <v/>
      </c>
      <c r="D329" s="3">
        <f>Материалы!M329</f>
        <v/>
      </c>
      <c r="E329" s="4">
        <f>Материалы!G329</f>
        <v/>
      </c>
      <c r="F329" s="4">
        <f>Материалы!P329</f>
        <v/>
      </c>
      <c r="G329" s="3">
        <f>Материалы!N329</f>
        <v/>
      </c>
      <c r="H329" s="3">
        <f>Материалы!O329</f>
        <v/>
      </c>
    </row>
    <row r="330">
      <c r="A330" s="3">
        <f>Материалы!B330</f>
        <v/>
      </c>
      <c r="B330" s="3">
        <f>Материалы!D330</f>
        <v/>
      </c>
      <c r="C330" s="3">
        <f>Материалы!L330</f>
        <v/>
      </c>
      <c r="D330" s="3">
        <f>Материалы!M330</f>
        <v/>
      </c>
      <c r="E330" s="4">
        <f>Материалы!G330</f>
        <v/>
      </c>
      <c r="F330" s="4">
        <f>Материалы!P330</f>
        <v/>
      </c>
      <c r="G330" s="3">
        <f>Материалы!N330</f>
        <v/>
      </c>
      <c r="H330" s="3">
        <f>Материалы!O330</f>
        <v/>
      </c>
    </row>
    <row r="331">
      <c r="A331" s="3">
        <f>Материалы!B331</f>
        <v/>
      </c>
      <c r="B331" s="3">
        <f>Материалы!D331</f>
        <v/>
      </c>
      <c r="C331" s="3">
        <f>Материалы!L331</f>
        <v/>
      </c>
      <c r="D331" s="3">
        <f>Материалы!M331</f>
        <v/>
      </c>
      <c r="E331" s="4">
        <f>Материалы!G331</f>
        <v/>
      </c>
      <c r="F331" s="4">
        <f>Материалы!P331</f>
        <v/>
      </c>
      <c r="G331" s="3">
        <f>Материалы!N331</f>
        <v/>
      </c>
      <c r="H331" s="3">
        <f>Материалы!O331</f>
        <v/>
      </c>
    </row>
    <row r="332">
      <c r="A332" s="3">
        <f>Материалы!B332</f>
        <v/>
      </c>
      <c r="B332" s="3">
        <f>Материалы!D332</f>
        <v/>
      </c>
      <c r="C332" s="3">
        <f>Материалы!L332</f>
        <v/>
      </c>
      <c r="D332" s="3">
        <f>Материалы!M332</f>
        <v/>
      </c>
      <c r="E332" s="4">
        <f>Материалы!G332</f>
        <v/>
      </c>
      <c r="F332" s="4">
        <f>Материалы!P332</f>
        <v/>
      </c>
      <c r="G332" s="3">
        <f>Материалы!N332</f>
        <v/>
      </c>
      <c r="H332" s="3">
        <f>Материалы!O332</f>
        <v/>
      </c>
    </row>
    <row r="333">
      <c r="A333" s="3">
        <f>Материалы!B333</f>
        <v/>
      </c>
      <c r="B333" s="3">
        <f>Материалы!D333</f>
        <v/>
      </c>
      <c r="C333" s="3">
        <f>Материалы!L333</f>
        <v/>
      </c>
      <c r="D333" s="3">
        <f>Материалы!M333</f>
        <v/>
      </c>
      <c r="E333" s="4">
        <f>Материалы!G333</f>
        <v/>
      </c>
      <c r="F333" s="4">
        <f>Материалы!P333</f>
        <v/>
      </c>
      <c r="G333" s="3">
        <f>Материалы!N333</f>
        <v/>
      </c>
      <c r="H333" s="3">
        <f>Материалы!O333</f>
        <v/>
      </c>
    </row>
    <row r="334">
      <c r="A334" s="3">
        <f>Материалы!B334</f>
        <v/>
      </c>
      <c r="B334" s="3">
        <f>Материалы!D334</f>
        <v/>
      </c>
      <c r="C334" s="3">
        <f>Материалы!L334</f>
        <v/>
      </c>
      <c r="D334" s="3">
        <f>Материалы!M334</f>
        <v/>
      </c>
      <c r="E334" s="4">
        <f>Материалы!G334</f>
        <v/>
      </c>
      <c r="F334" s="4">
        <f>Материалы!P334</f>
        <v/>
      </c>
      <c r="G334" s="3">
        <f>Материалы!N334</f>
        <v/>
      </c>
      <c r="H334" s="3">
        <f>Материалы!O334</f>
        <v/>
      </c>
    </row>
    <row r="335">
      <c r="A335" s="3">
        <f>Материалы!B335</f>
        <v/>
      </c>
      <c r="B335" s="3">
        <f>Материалы!D335</f>
        <v/>
      </c>
      <c r="C335" s="3">
        <f>Материалы!L335</f>
        <v/>
      </c>
      <c r="D335" s="3">
        <f>Материалы!M335</f>
        <v/>
      </c>
      <c r="E335" s="4">
        <f>Материалы!G335</f>
        <v/>
      </c>
      <c r="F335" s="4">
        <f>Материалы!P335</f>
        <v/>
      </c>
      <c r="G335" s="3">
        <f>Материалы!N335</f>
        <v/>
      </c>
      <c r="H335" s="3">
        <f>Материалы!O335</f>
        <v/>
      </c>
    </row>
    <row r="336">
      <c r="A336" s="3">
        <f>Материалы!B336</f>
        <v/>
      </c>
      <c r="B336" s="3">
        <f>Материалы!D336</f>
        <v/>
      </c>
      <c r="C336" s="3">
        <f>Материалы!L336</f>
        <v/>
      </c>
      <c r="D336" s="3">
        <f>Материалы!M336</f>
        <v/>
      </c>
      <c r="E336" s="4">
        <f>Материалы!G336</f>
        <v/>
      </c>
      <c r="F336" s="4">
        <f>Материалы!P336</f>
        <v/>
      </c>
      <c r="G336" s="3">
        <f>Материалы!N336</f>
        <v/>
      </c>
      <c r="H336" s="3">
        <f>Материалы!O336</f>
        <v/>
      </c>
    </row>
    <row r="337">
      <c r="A337" s="3">
        <f>Материалы!B337</f>
        <v/>
      </c>
      <c r="B337" s="3">
        <f>Материалы!D337</f>
        <v/>
      </c>
      <c r="C337" s="3">
        <f>Материалы!L337</f>
        <v/>
      </c>
      <c r="D337" s="3">
        <f>Материалы!M337</f>
        <v/>
      </c>
      <c r="E337" s="4">
        <f>Материалы!G337</f>
        <v/>
      </c>
      <c r="F337" s="4">
        <f>Материалы!P337</f>
        <v/>
      </c>
      <c r="G337" s="3">
        <f>Материалы!N337</f>
        <v/>
      </c>
      <c r="H337" s="3">
        <f>Материалы!O337</f>
        <v/>
      </c>
    </row>
    <row r="338">
      <c r="A338" s="3">
        <f>Материалы!B338</f>
        <v/>
      </c>
      <c r="B338" s="3">
        <f>Материалы!D338</f>
        <v/>
      </c>
      <c r="C338" s="3">
        <f>Материалы!L338</f>
        <v/>
      </c>
      <c r="D338" s="3">
        <f>Материалы!M338</f>
        <v/>
      </c>
      <c r="E338" s="4">
        <f>Материалы!G338</f>
        <v/>
      </c>
      <c r="F338" s="4">
        <f>Материалы!P338</f>
        <v/>
      </c>
      <c r="G338" s="3">
        <f>Материалы!N338</f>
        <v/>
      </c>
      <c r="H338" s="3">
        <f>Материалы!O338</f>
        <v/>
      </c>
    </row>
    <row r="339">
      <c r="A339" s="3">
        <f>Материалы!B339</f>
        <v/>
      </c>
      <c r="B339" s="3">
        <f>Материалы!D339</f>
        <v/>
      </c>
      <c r="C339" s="3">
        <f>Материалы!L339</f>
        <v/>
      </c>
      <c r="D339" s="3">
        <f>Материалы!M339</f>
        <v/>
      </c>
      <c r="E339" s="4">
        <f>Материалы!G339</f>
        <v/>
      </c>
      <c r="F339" s="4">
        <f>Материалы!P339</f>
        <v/>
      </c>
      <c r="G339" s="3">
        <f>Материалы!N339</f>
        <v/>
      </c>
      <c r="H339" s="3">
        <f>Материалы!O339</f>
        <v/>
      </c>
    </row>
    <row r="340">
      <c r="A340" s="3">
        <f>Материалы!B340</f>
        <v/>
      </c>
      <c r="B340" s="3">
        <f>Материалы!D340</f>
        <v/>
      </c>
      <c r="C340" s="3">
        <f>Материалы!L340</f>
        <v/>
      </c>
      <c r="D340" s="3">
        <f>Материалы!M340</f>
        <v/>
      </c>
      <c r="E340" s="4">
        <f>Материалы!G340</f>
        <v/>
      </c>
      <c r="F340" s="4">
        <f>Материалы!P340</f>
        <v/>
      </c>
      <c r="G340" s="3">
        <f>Материалы!N340</f>
        <v/>
      </c>
      <c r="H340" s="3">
        <f>Материалы!O340</f>
        <v/>
      </c>
    </row>
    <row r="341">
      <c r="A341" s="3">
        <f>Материалы!B341</f>
        <v/>
      </c>
      <c r="B341" s="3">
        <f>Материалы!D341</f>
        <v/>
      </c>
      <c r="C341" s="3">
        <f>Материалы!L341</f>
        <v/>
      </c>
      <c r="D341" s="3">
        <f>Материалы!M341</f>
        <v/>
      </c>
      <c r="E341" s="4">
        <f>Материалы!G341</f>
        <v/>
      </c>
      <c r="F341" s="4">
        <f>Материалы!P341</f>
        <v/>
      </c>
      <c r="G341" s="3">
        <f>Материалы!N341</f>
        <v/>
      </c>
      <c r="H341" s="3">
        <f>Материалы!O341</f>
        <v/>
      </c>
    </row>
    <row r="342">
      <c r="A342" s="3">
        <f>Материалы!B342</f>
        <v/>
      </c>
      <c r="B342" s="3">
        <f>Материалы!D342</f>
        <v/>
      </c>
      <c r="C342" s="3">
        <f>Материалы!L342</f>
        <v/>
      </c>
      <c r="D342" s="3">
        <f>Материалы!M342</f>
        <v/>
      </c>
      <c r="E342" s="4">
        <f>Материалы!G342</f>
        <v/>
      </c>
      <c r="F342" s="4">
        <f>Материалы!P342</f>
        <v/>
      </c>
      <c r="G342" s="3">
        <f>Материалы!N342</f>
        <v/>
      </c>
      <c r="H342" s="3">
        <f>Материалы!O342</f>
        <v/>
      </c>
    </row>
    <row r="343">
      <c r="A343" s="3">
        <f>Материалы!B343</f>
        <v/>
      </c>
      <c r="B343" s="3">
        <f>Материалы!D343</f>
        <v/>
      </c>
      <c r="C343" s="3">
        <f>Материалы!L343</f>
        <v/>
      </c>
      <c r="D343" s="3">
        <f>Материалы!M343</f>
        <v/>
      </c>
      <c r="E343" s="4">
        <f>Материалы!G343</f>
        <v/>
      </c>
      <c r="F343" s="4">
        <f>Материалы!P343</f>
        <v/>
      </c>
      <c r="G343" s="3">
        <f>Материалы!N343</f>
        <v/>
      </c>
      <c r="H343" s="3">
        <f>Материалы!O343</f>
        <v/>
      </c>
    </row>
    <row r="344">
      <c r="A344" s="3">
        <f>Материалы!B344</f>
        <v/>
      </c>
      <c r="B344" s="3">
        <f>Материалы!D344</f>
        <v/>
      </c>
      <c r="C344" s="3">
        <f>Материалы!L344</f>
        <v/>
      </c>
      <c r="D344" s="3">
        <f>Материалы!M344</f>
        <v/>
      </c>
      <c r="E344" s="4">
        <f>Материалы!G344</f>
        <v/>
      </c>
      <c r="F344" s="4">
        <f>Материалы!P344</f>
        <v/>
      </c>
      <c r="G344" s="3">
        <f>Материалы!N344</f>
        <v/>
      </c>
      <c r="H344" s="3">
        <f>Материалы!O344</f>
        <v/>
      </c>
    </row>
    <row r="345">
      <c r="A345" s="3">
        <f>Материалы!B345</f>
        <v/>
      </c>
      <c r="B345" s="3">
        <f>Материалы!D345</f>
        <v/>
      </c>
      <c r="C345" s="3">
        <f>Материалы!L345</f>
        <v/>
      </c>
      <c r="D345" s="3">
        <f>Материалы!M345</f>
        <v/>
      </c>
      <c r="E345" s="4">
        <f>Материалы!G345</f>
        <v/>
      </c>
      <c r="F345" s="4">
        <f>Материалы!P345</f>
        <v/>
      </c>
      <c r="G345" s="3">
        <f>Материалы!N345</f>
        <v/>
      </c>
      <c r="H345" s="3">
        <f>Материалы!O345</f>
        <v/>
      </c>
    </row>
    <row r="346">
      <c r="A346" s="3">
        <f>Материалы!B346</f>
        <v/>
      </c>
      <c r="B346" s="3">
        <f>Материалы!D346</f>
        <v/>
      </c>
      <c r="C346" s="3">
        <f>Материалы!L346</f>
        <v/>
      </c>
      <c r="D346" s="3">
        <f>Материалы!M346</f>
        <v/>
      </c>
      <c r="E346" s="4">
        <f>Материалы!G346</f>
        <v/>
      </c>
      <c r="F346" s="4">
        <f>Материалы!P346</f>
        <v/>
      </c>
      <c r="G346" s="3">
        <f>Материалы!N346</f>
        <v/>
      </c>
      <c r="H346" s="3">
        <f>Материалы!O346</f>
        <v/>
      </c>
    </row>
    <row r="347">
      <c r="A347" s="3">
        <f>Материалы!B347</f>
        <v/>
      </c>
      <c r="B347" s="3">
        <f>Материалы!D347</f>
        <v/>
      </c>
      <c r="C347" s="3">
        <f>Материалы!L347</f>
        <v/>
      </c>
      <c r="D347" s="3">
        <f>Материалы!M347</f>
        <v/>
      </c>
      <c r="E347" s="4">
        <f>Материалы!G347</f>
        <v/>
      </c>
      <c r="F347" s="4">
        <f>Материалы!P347</f>
        <v/>
      </c>
      <c r="G347" s="3">
        <f>Материалы!N347</f>
        <v/>
      </c>
      <c r="H347" s="3">
        <f>Материалы!O347</f>
        <v/>
      </c>
    </row>
    <row r="348">
      <c r="A348" s="3">
        <f>Материалы!B348</f>
        <v/>
      </c>
      <c r="B348" s="3">
        <f>Материалы!D348</f>
        <v/>
      </c>
      <c r="C348" s="3">
        <f>Материалы!L348</f>
        <v/>
      </c>
      <c r="D348" s="3">
        <f>Материалы!M348</f>
        <v/>
      </c>
      <c r="E348" s="4">
        <f>Материалы!G348</f>
        <v/>
      </c>
      <c r="F348" s="4">
        <f>Материалы!P348</f>
        <v/>
      </c>
      <c r="G348" s="3">
        <f>Материалы!N348</f>
        <v/>
      </c>
      <c r="H348" s="3">
        <f>Материалы!O348</f>
        <v/>
      </c>
    </row>
    <row r="349">
      <c r="A349" s="3">
        <f>Материалы!B349</f>
        <v/>
      </c>
      <c r="B349" s="3">
        <f>Материалы!D349</f>
        <v/>
      </c>
      <c r="C349" s="3">
        <f>Материалы!L349</f>
        <v/>
      </c>
      <c r="D349" s="3">
        <f>Материалы!M349</f>
        <v/>
      </c>
      <c r="E349" s="4">
        <f>Материалы!G349</f>
        <v/>
      </c>
      <c r="F349" s="4">
        <f>Материалы!P349</f>
        <v/>
      </c>
      <c r="G349" s="3">
        <f>Материалы!N349</f>
        <v/>
      </c>
      <c r="H349" s="3">
        <f>Материалы!O349</f>
        <v/>
      </c>
    </row>
    <row r="350">
      <c r="A350" s="3">
        <f>Материалы!B350</f>
        <v/>
      </c>
      <c r="B350" s="3">
        <f>Материалы!D350</f>
        <v/>
      </c>
      <c r="C350" s="3">
        <f>Материалы!L350</f>
        <v/>
      </c>
      <c r="D350" s="3">
        <f>Материалы!M350</f>
        <v/>
      </c>
      <c r="E350" s="4">
        <f>Материалы!G350</f>
        <v/>
      </c>
      <c r="F350" s="4">
        <f>Материалы!P350</f>
        <v/>
      </c>
      <c r="G350" s="3">
        <f>Материалы!N350</f>
        <v/>
      </c>
      <c r="H350" s="3">
        <f>Материалы!O350</f>
        <v/>
      </c>
    </row>
    <row r="351">
      <c r="A351" s="3">
        <f>Материалы!B351</f>
        <v/>
      </c>
      <c r="B351" s="3">
        <f>Материалы!D351</f>
        <v/>
      </c>
      <c r="C351" s="3">
        <f>Материалы!L351</f>
        <v/>
      </c>
      <c r="D351" s="3">
        <f>Материалы!M351</f>
        <v/>
      </c>
      <c r="E351" s="4">
        <f>Материалы!G351</f>
        <v/>
      </c>
      <c r="F351" s="4">
        <f>Материалы!P351</f>
        <v/>
      </c>
      <c r="G351" s="3">
        <f>Материалы!N351</f>
        <v/>
      </c>
      <c r="H351" s="3">
        <f>Материалы!O351</f>
        <v/>
      </c>
    </row>
    <row r="352">
      <c r="A352" s="3">
        <f>Материалы!B352</f>
        <v/>
      </c>
      <c r="B352" s="3">
        <f>Материалы!D352</f>
        <v/>
      </c>
      <c r="C352" s="3">
        <f>Материалы!L352</f>
        <v/>
      </c>
      <c r="D352" s="3">
        <f>Материалы!M352</f>
        <v/>
      </c>
      <c r="E352" s="4">
        <f>Материалы!G352</f>
        <v/>
      </c>
      <c r="F352" s="4">
        <f>Материалы!P352</f>
        <v/>
      </c>
      <c r="G352" s="3">
        <f>Материалы!N352</f>
        <v/>
      </c>
      <c r="H352" s="3">
        <f>Материалы!O352</f>
        <v/>
      </c>
    </row>
    <row r="353">
      <c r="A353" s="3">
        <f>Материалы!B353</f>
        <v/>
      </c>
      <c r="B353" s="3">
        <f>Материалы!D353</f>
        <v/>
      </c>
      <c r="C353" s="3">
        <f>Материалы!L353</f>
        <v/>
      </c>
      <c r="D353" s="3">
        <f>Материалы!M353</f>
        <v/>
      </c>
      <c r="E353" s="4">
        <f>Материалы!G353</f>
        <v/>
      </c>
      <c r="F353" s="4">
        <f>Материалы!P353</f>
        <v/>
      </c>
      <c r="G353" s="3">
        <f>Материалы!N353</f>
        <v/>
      </c>
      <c r="H353" s="3">
        <f>Материалы!O353</f>
        <v/>
      </c>
    </row>
    <row r="354">
      <c r="A354" s="3">
        <f>Материалы!B354</f>
        <v/>
      </c>
      <c r="B354" s="3">
        <f>Материалы!D354</f>
        <v/>
      </c>
      <c r="C354" s="3">
        <f>Материалы!L354</f>
        <v/>
      </c>
      <c r="D354" s="3">
        <f>Материалы!M354</f>
        <v/>
      </c>
      <c r="E354" s="4">
        <f>Материалы!G354</f>
        <v/>
      </c>
      <c r="F354" s="4">
        <f>Материалы!P354</f>
        <v/>
      </c>
      <c r="G354" s="3">
        <f>Материалы!N354</f>
        <v/>
      </c>
      <c r="H354" s="3">
        <f>Материалы!O354</f>
        <v/>
      </c>
    </row>
    <row r="355">
      <c r="A355" s="3">
        <f>Материалы!B355</f>
        <v/>
      </c>
      <c r="B355" s="3">
        <f>Материалы!D355</f>
        <v/>
      </c>
      <c r="C355" s="3">
        <f>Материалы!L355</f>
        <v/>
      </c>
      <c r="D355" s="3">
        <f>Материалы!M355</f>
        <v/>
      </c>
      <c r="E355" s="4">
        <f>Материалы!G355</f>
        <v/>
      </c>
      <c r="F355" s="4">
        <f>Материалы!P355</f>
        <v/>
      </c>
      <c r="G355" s="3">
        <f>Материалы!N355</f>
        <v/>
      </c>
      <c r="H355" s="3">
        <f>Материалы!O355</f>
        <v/>
      </c>
    </row>
    <row r="356">
      <c r="A356" s="3">
        <f>Материалы!B356</f>
        <v/>
      </c>
      <c r="B356" s="3">
        <f>Материалы!D356</f>
        <v/>
      </c>
      <c r="C356" s="3">
        <f>Материалы!L356</f>
        <v/>
      </c>
      <c r="D356" s="3">
        <f>Материалы!M356</f>
        <v/>
      </c>
      <c r="E356" s="4">
        <f>Материалы!G356</f>
        <v/>
      </c>
      <c r="F356" s="4">
        <f>Материалы!P356</f>
        <v/>
      </c>
      <c r="G356" s="3">
        <f>Материалы!N356</f>
        <v/>
      </c>
      <c r="H356" s="3">
        <f>Материалы!O356</f>
        <v/>
      </c>
    </row>
    <row r="357">
      <c r="A357" s="3">
        <f>Материалы!B357</f>
        <v/>
      </c>
      <c r="B357" s="3">
        <f>Материалы!D357</f>
        <v/>
      </c>
      <c r="C357" s="3">
        <f>Материалы!L357</f>
        <v/>
      </c>
      <c r="D357" s="3">
        <f>Материалы!M357</f>
        <v/>
      </c>
      <c r="E357" s="4">
        <f>Материалы!G357</f>
        <v/>
      </c>
      <c r="F357" s="4">
        <f>Материалы!P357</f>
        <v/>
      </c>
      <c r="G357" s="3">
        <f>Материалы!N357</f>
        <v/>
      </c>
      <c r="H357" s="3">
        <f>Материалы!O357</f>
        <v/>
      </c>
    </row>
    <row r="358">
      <c r="A358" s="3">
        <f>Материалы!B358</f>
        <v/>
      </c>
      <c r="B358" s="3">
        <f>Материалы!D358</f>
        <v/>
      </c>
      <c r="C358" s="3">
        <f>Материалы!L358</f>
        <v/>
      </c>
      <c r="D358" s="3">
        <f>Материалы!M358</f>
        <v/>
      </c>
      <c r="E358" s="4">
        <f>Материалы!G358</f>
        <v/>
      </c>
      <c r="F358" s="4">
        <f>Материалы!P358</f>
        <v/>
      </c>
      <c r="G358" s="3">
        <f>Материалы!N358</f>
        <v/>
      </c>
      <c r="H358" s="3">
        <f>Материалы!O358</f>
        <v/>
      </c>
    </row>
    <row r="359">
      <c r="A359" s="3">
        <f>Материалы!B359</f>
        <v/>
      </c>
      <c r="B359" s="3">
        <f>Материалы!D359</f>
        <v/>
      </c>
      <c r="C359" s="3">
        <f>Материалы!L359</f>
        <v/>
      </c>
      <c r="D359" s="3">
        <f>Материалы!M359</f>
        <v/>
      </c>
      <c r="E359" s="4">
        <f>Материалы!G359</f>
        <v/>
      </c>
      <c r="F359" s="4">
        <f>Материалы!P359</f>
        <v/>
      </c>
      <c r="G359" s="3">
        <f>Материалы!N359</f>
        <v/>
      </c>
      <c r="H359" s="3">
        <f>Материалы!O359</f>
        <v/>
      </c>
    </row>
    <row r="360">
      <c r="A360" s="3">
        <f>Материалы!B360</f>
        <v/>
      </c>
      <c r="B360" s="3">
        <f>Материалы!D360</f>
        <v/>
      </c>
      <c r="C360" s="3">
        <f>Материалы!L360</f>
        <v/>
      </c>
      <c r="D360" s="3">
        <f>Материалы!M360</f>
        <v/>
      </c>
      <c r="E360" s="4">
        <f>Материалы!G360</f>
        <v/>
      </c>
      <c r="F360" s="4">
        <f>Материалы!P360</f>
        <v/>
      </c>
      <c r="G360" s="3">
        <f>Материалы!N360</f>
        <v/>
      </c>
      <c r="H360" s="3">
        <f>Материалы!O360</f>
        <v/>
      </c>
    </row>
    <row r="361">
      <c r="A361" s="3">
        <f>Материалы!B361</f>
        <v/>
      </c>
      <c r="B361" s="3">
        <f>Материалы!D361</f>
        <v/>
      </c>
      <c r="C361" s="3">
        <f>Материалы!L361</f>
        <v/>
      </c>
      <c r="D361" s="3">
        <f>Материалы!M361</f>
        <v/>
      </c>
      <c r="E361" s="4">
        <f>Материалы!G361</f>
        <v/>
      </c>
      <c r="F361" s="4">
        <f>Материалы!P361</f>
        <v/>
      </c>
      <c r="G361" s="3">
        <f>Материалы!N361</f>
        <v/>
      </c>
      <c r="H361" s="3">
        <f>Материалы!O361</f>
        <v/>
      </c>
    </row>
    <row r="362">
      <c r="A362" s="3">
        <f>Материалы!B362</f>
        <v/>
      </c>
      <c r="B362" s="3">
        <f>Материалы!D362</f>
        <v/>
      </c>
      <c r="C362" s="3">
        <f>Материалы!L362</f>
        <v/>
      </c>
      <c r="D362" s="3">
        <f>Материалы!M362</f>
        <v/>
      </c>
      <c r="E362" s="4">
        <f>Материалы!G362</f>
        <v/>
      </c>
      <c r="F362" s="4">
        <f>Материалы!P362</f>
        <v/>
      </c>
      <c r="G362" s="3">
        <f>Материалы!N362</f>
        <v/>
      </c>
      <c r="H362" s="3">
        <f>Материалы!O362</f>
        <v/>
      </c>
    </row>
    <row r="363">
      <c r="A363" s="3">
        <f>Материалы!B363</f>
        <v/>
      </c>
      <c r="B363" s="3">
        <f>Материалы!D363</f>
        <v/>
      </c>
      <c r="C363" s="3">
        <f>Материалы!L363</f>
        <v/>
      </c>
      <c r="D363" s="3">
        <f>Материалы!M363</f>
        <v/>
      </c>
      <c r="E363" s="4">
        <f>Материалы!G363</f>
        <v/>
      </c>
      <c r="F363" s="4">
        <f>Материалы!P363</f>
        <v/>
      </c>
      <c r="G363" s="3">
        <f>Материалы!N363</f>
        <v/>
      </c>
      <c r="H363" s="3">
        <f>Материалы!O363</f>
        <v/>
      </c>
    </row>
    <row r="364">
      <c r="A364" s="3">
        <f>Материалы!B364</f>
        <v/>
      </c>
      <c r="B364" s="3">
        <f>Материалы!D364</f>
        <v/>
      </c>
      <c r="C364" s="3">
        <f>Материалы!L364</f>
        <v/>
      </c>
      <c r="D364" s="3">
        <f>Материалы!M364</f>
        <v/>
      </c>
      <c r="E364" s="4">
        <f>Материалы!G364</f>
        <v/>
      </c>
      <c r="F364" s="4">
        <f>Материалы!P364</f>
        <v/>
      </c>
      <c r="G364" s="3">
        <f>Материалы!N364</f>
        <v/>
      </c>
      <c r="H364" s="3">
        <f>Материалы!O364</f>
        <v/>
      </c>
    </row>
    <row r="365">
      <c r="A365" s="3">
        <f>Материалы!B365</f>
        <v/>
      </c>
      <c r="B365" s="3">
        <f>Материалы!D365</f>
        <v/>
      </c>
      <c r="C365" s="3">
        <f>Материалы!L365</f>
        <v/>
      </c>
      <c r="D365" s="3">
        <f>Материалы!M365</f>
        <v/>
      </c>
      <c r="E365" s="4">
        <f>Материалы!G365</f>
        <v/>
      </c>
      <c r="F365" s="4">
        <f>Материалы!P365</f>
        <v/>
      </c>
      <c r="G365" s="3">
        <f>Материалы!N365</f>
        <v/>
      </c>
      <c r="H365" s="3">
        <f>Материалы!O365</f>
        <v/>
      </c>
    </row>
    <row r="366">
      <c r="A366" s="3">
        <f>Материалы!B366</f>
        <v/>
      </c>
      <c r="B366" s="3">
        <f>Материалы!D366</f>
        <v/>
      </c>
      <c r="C366" s="3">
        <f>Материалы!L366</f>
        <v/>
      </c>
      <c r="D366" s="3">
        <f>Материалы!M366</f>
        <v/>
      </c>
      <c r="E366" s="4">
        <f>Материалы!G366</f>
        <v/>
      </c>
      <c r="F366" s="4">
        <f>Материалы!P366</f>
        <v/>
      </c>
      <c r="G366" s="3">
        <f>Материалы!N366</f>
        <v/>
      </c>
      <c r="H366" s="3">
        <f>Материалы!O366</f>
        <v/>
      </c>
    </row>
    <row r="367">
      <c r="A367" s="3">
        <f>Материалы!B367</f>
        <v/>
      </c>
      <c r="B367" s="3">
        <f>Материалы!D367</f>
        <v/>
      </c>
      <c r="C367" s="3">
        <f>Материалы!L367</f>
        <v/>
      </c>
      <c r="D367" s="3">
        <f>Материалы!M367</f>
        <v/>
      </c>
      <c r="E367" s="4">
        <f>Материалы!G367</f>
        <v/>
      </c>
      <c r="F367" s="4">
        <f>Материалы!P367</f>
        <v/>
      </c>
      <c r="G367" s="3">
        <f>Материалы!N367</f>
        <v/>
      </c>
      <c r="H367" s="3">
        <f>Материалы!O367</f>
        <v/>
      </c>
    </row>
    <row r="368">
      <c r="A368" s="3">
        <f>Материалы!B368</f>
        <v/>
      </c>
      <c r="B368" s="3">
        <f>Материалы!D368</f>
        <v/>
      </c>
      <c r="C368" s="3">
        <f>Материалы!L368</f>
        <v/>
      </c>
      <c r="D368" s="3">
        <f>Материалы!M368</f>
        <v/>
      </c>
      <c r="E368" s="4">
        <f>Материалы!G368</f>
        <v/>
      </c>
      <c r="F368" s="4">
        <f>Материалы!P368</f>
        <v/>
      </c>
      <c r="G368" s="3">
        <f>Материалы!N368</f>
        <v/>
      </c>
      <c r="H368" s="3">
        <f>Материалы!O368</f>
        <v/>
      </c>
    </row>
    <row r="369">
      <c r="A369" s="3">
        <f>Материалы!B369</f>
        <v/>
      </c>
      <c r="B369" s="3">
        <f>Материалы!D369</f>
        <v/>
      </c>
      <c r="C369" s="3">
        <f>Материалы!L369</f>
        <v/>
      </c>
      <c r="D369" s="3">
        <f>Материалы!M369</f>
        <v/>
      </c>
      <c r="E369" s="4">
        <f>Материалы!G369</f>
        <v/>
      </c>
      <c r="F369" s="4">
        <f>Материалы!P369</f>
        <v/>
      </c>
      <c r="G369" s="3">
        <f>Материалы!N369</f>
        <v/>
      </c>
      <c r="H369" s="3">
        <f>Материалы!O369</f>
        <v/>
      </c>
    </row>
    <row r="370">
      <c r="A370" s="3">
        <f>Материалы!B370</f>
        <v/>
      </c>
      <c r="B370" s="3">
        <f>Материалы!D370</f>
        <v/>
      </c>
      <c r="C370" s="3">
        <f>Материалы!L370</f>
        <v/>
      </c>
      <c r="D370" s="3">
        <f>Материалы!M370</f>
        <v/>
      </c>
      <c r="E370" s="4">
        <f>Материалы!G370</f>
        <v/>
      </c>
      <c r="F370" s="4">
        <f>Материалы!P370</f>
        <v/>
      </c>
      <c r="G370" s="3">
        <f>Материалы!N370</f>
        <v/>
      </c>
      <c r="H370" s="3">
        <f>Материалы!O370</f>
        <v/>
      </c>
    </row>
    <row r="371">
      <c r="A371" s="3">
        <f>Материалы!B371</f>
        <v/>
      </c>
      <c r="B371" s="3">
        <f>Материалы!D371</f>
        <v/>
      </c>
      <c r="C371" s="3">
        <f>Материалы!L371</f>
        <v/>
      </c>
      <c r="D371" s="3">
        <f>Материалы!M371</f>
        <v/>
      </c>
      <c r="E371" s="4">
        <f>Материалы!G371</f>
        <v/>
      </c>
      <c r="F371" s="4">
        <f>Материалы!P371</f>
        <v/>
      </c>
      <c r="G371" s="3">
        <f>Материалы!N371</f>
        <v/>
      </c>
      <c r="H371" s="3">
        <f>Материалы!O371</f>
        <v/>
      </c>
    </row>
    <row r="372">
      <c r="A372" s="3">
        <f>Материалы!B372</f>
        <v/>
      </c>
      <c r="B372" s="3">
        <f>Материалы!D372</f>
        <v/>
      </c>
      <c r="C372" s="3">
        <f>Материалы!L372</f>
        <v/>
      </c>
      <c r="D372" s="3">
        <f>Материалы!M372</f>
        <v/>
      </c>
      <c r="E372" s="4">
        <f>Материалы!G372</f>
        <v/>
      </c>
      <c r="F372" s="4">
        <f>Материалы!P372</f>
        <v/>
      </c>
      <c r="G372" s="3">
        <f>Материалы!N372</f>
        <v/>
      </c>
      <c r="H372" s="3">
        <f>Материалы!O372</f>
        <v/>
      </c>
    </row>
    <row r="373">
      <c r="A373" s="3">
        <f>Материалы!B373</f>
        <v/>
      </c>
      <c r="B373" s="3">
        <f>Материалы!D373</f>
        <v/>
      </c>
      <c r="C373" s="3">
        <f>Материалы!L373</f>
        <v/>
      </c>
      <c r="D373" s="3">
        <f>Материалы!M373</f>
        <v/>
      </c>
      <c r="E373" s="4">
        <f>Материалы!G373</f>
        <v/>
      </c>
      <c r="F373" s="4">
        <f>Материалы!P373</f>
        <v/>
      </c>
      <c r="G373" s="3">
        <f>Материалы!N373</f>
        <v/>
      </c>
      <c r="H373" s="3">
        <f>Материалы!O373</f>
        <v/>
      </c>
    </row>
    <row r="374">
      <c r="A374" s="3">
        <f>Материалы!B374</f>
        <v/>
      </c>
      <c r="B374" s="3">
        <f>Материалы!D374</f>
        <v/>
      </c>
      <c r="C374" s="3">
        <f>Материалы!L374</f>
        <v/>
      </c>
      <c r="D374" s="3">
        <f>Материалы!M374</f>
        <v/>
      </c>
      <c r="E374" s="4">
        <f>Материалы!G374</f>
        <v/>
      </c>
      <c r="F374" s="4">
        <f>Материалы!P374</f>
        <v/>
      </c>
      <c r="G374" s="3">
        <f>Материалы!N374</f>
        <v/>
      </c>
      <c r="H374" s="3">
        <f>Материалы!O374</f>
        <v/>
      </c>
    </row>
    <row r="375">
      <c r="A375" s="3">
        <f>Материалы!B375</f>
        <v/>
      </c>
      <c r="B375" s="3">
        <f>Материалы!D375</f>
        <v/>
      </c>
      <c r="C375" s="3">
        <f>Материалы!L375</f>
        <v/>
      </c>
      <c r="D375" s="3">
        <f>Материалы!M375</f>
        <v/>
      </c>
      <c r="E375" s="4">
        <f>Материалы!G375</f>
        <v/>
      </c>
      <c r="F375" s="4">
        <f>Материалы!P375</f>
        <v/>
      </c>
      <c r="G375" s="3">
        <f>Материалы!N375</f>
        <v/>
      </c>
      <c r="H375" s="3">
        <f>Материалы!O375</f>
        <v/>
      </c>
    </row>
    <row r="376">
      <c r="A376" s="3">
        <f>Материалы!B376</f>
        <v/>
      </c>
      <c r="B376" s="3">
        <f>Материалы!D376</f>
        <v/>
      </c>
      <c r="C376" s="3">
        <f>Материалы!L376</f>
        <v/>
      </c>
      <c r="D376" s="3">
        <f>Материалы!M376</f>
        <v/>
      </c>
      <c r="E376" s="4">
        <f>Материалы!G376</f>
        <v/>
      </c>
      <c r="F376" s="4">
        <f>Материалы!P376</f>
        <v/>
      </c>
      <c r="G376" s="3">
        <f>Материалы!N376</f>
        <v/>
      </c>
      <c r="H376" s="3">
        <f>Материалы!O376</f>
        <v/>
      </c>
    </row>
    <row r="377">
      <c r="A377" s="3">
        <f>Материалы!B377</f>
        <v/>
      </c>
      <c r="B377" s="3">
        <f>Материалы!D377</f>
        <v/>
      </c>
      <c r="C377" s="3">
        <f>Материалы!L377</f>
        <v/>
      </c>
      <c r="D377" s="3">
        <f>Материалы!M377</f>
        <v/>
      </c>
      <c r="E377" s="4">
        <f>Материалы!G377</f>
        <v/>
      </c>
      <c r="F377" s="4">
        <f>Материалы!P377</f>
        <v/>
      </c>
      <c r="G377" s="3">
        <f>Материалы!N377</f>
        <v/>
      </c>
      <c r="H377" s="3">
        <f>Материалы!O377</f>
        <v/>
      </c>
    </row>
    <row r="378">
      <c r="A378" s="3">
        <f>Материалы!B378</f>
        <v/>
      </c>
      <c r="B378" s="3">
        <f>Материалы!D378</f>
        <v/>
      </c>
      <c r="C378" s="3">
        <f>Материалы!L378</f>
        <v/>
      </c>
      <c r="D378" s="3">
        <f>Материалы!M378</f>
        <v/>
      </c>
      <c r="E378" s="4">
        <f>Материалы!G378</f>
        <v/>
      </c>
      <c r="F378" s="4">
        <f>Материалы!P378</f>
        <v/>
      </c>
      <c r="G378" s="3">
        <f>Материалы!N378</f>
        <v/>
      </c>
      <c r="H378" s="3">
        <f>Материалы!O378</f>
        <v/>
      </c>
    </row>
    <row r="379">
      <c r="A379" s="3">
        <f>Материалы!B379</f>
        <v/>
      </c>
      <c r="B379" s="3">
        <f>Материалы!D379</f>
        <v/>
      </c>
      <c r="C379" s="3">
        <f>Материалы!L379</f>
        <v/>
      </c>
      <c r="D379" s="3">
        <f>Материалы!M379</f>
        <v/>
      </c>
      <c r="E379" s="4">
        <f>Материалы!G379</f>
        <v/>
      </c>
      <c r="F379" s="4">
        <f>Материалы!P379</f>
        <v/>
      </c>
      <c r="G379" s="3">
        <f>Материалы!N379</f>
        <v/>
      </c>
      <c r="H379" s="3">
        <f>Материалы!O379</f>
        <v/>
      </c>
    </row>
    <row r="380">
      <c r="A380" s="3">
        <f>Материалы!B380</f>
        <v/>
      </c>
      <c r="B380" s="3">
        <f>Материалы!D380</f>
        <v/>
      </c>
      <c r="C380" s="3">
        <f>Материалы!L380</f>
        <v/>
      </c>
      <c r="D380" s="3">
        <f>Материалы!M380</f>
        <v/>
      </c>
      <c r="E380" s="4">
        <f>Материалы!G380</f>
        <v/>
      </c>
      <c r="F380" s="4">
        <f>Материалы!P380</f>
        <v/>
      </c>
      <c r="G380" s="3">
        <f>Материалы!N380</f>
        <v/>
      </c>
      <c r="H380" s="3">
        <f>Материалы!O380</f>
        <v/>
      </c>
    </row>
    <row r="381">
      <c r="A381" s="3">
        <f>Материалы!B381</f>
        <v/>
      </c>
      <c r="B381" s="3">
        <f>Материалы!D381</f>
        <v/>
      </c>
      <c r="C381" s="3">
        <f>Материалы!L381</f>
        <v/>
      </c>
      <c r="D381" s="3">
        <f>Материалы!M381</f>
        <v/>
      </c>
      <c r="E381" s="4">
        <f>Материалы!G381</f>
        <v/>
      </c>
      <c r="F381" s="4">
        <f>Материалы!P381</f>
        <v/>
      </c>
      <c r="G381" s="3">
        <f>Материалы!N381</f>
        <v/>
      </c>
      <c r="H381" s="3">
        <f>Материалы!O381</f>
        <v/>
      </c>
    </row>
    <row r="382">
      <c r="A382" s="3">
        <f>Материалы!B382</f>
        <v/>
      </c>
      <c r="B382" s="3">
        <f>Материалы!D382</f>
        <v/>
      </c>
      <c r="C382" s="3">
        <f>Материалы!L382</f>
        <v/>
      </c>
      <c r="D382" s="3">
        <f>Материалы!M382</f>
        <v/>
      </c>
      <c r="E382" s="4">
        <f>Материалы!G382</f>
        <v/>
      </c>
      <c r="F382" s="4">
        <f>Материалы!P382</f>
        <v/>
      </c>
      <c r="G382" s="3">
        <f>Материалы!N382</f>
        <v/>
      </c>
      <c r="H382" s="3">
        <f>Материалы!O382</f>
        <v/>
      </c>
    </row>
    <row r="383">
      <c r="A383" s="3">
        <f>Материалы!B383</f>
        <v/>
      </c>
      <c r="B383" s="3">
        <f>Материалы!D383</f>
        <v/>
      </c>
      <c r="C383" s="3">
        <f>Материалы!L383</f>
        <v/>
      </c>
      <c r="D383" s="3">
        <f>Материалы!M383</f>
        <v/>
      </c>
      <c r="E383" s="4">
        <f>Материалы!G383</f>
        <v/>
      </c>
      <c r="F383" s="4">
        <f>Материалы!P383</f>
        <v/>
      </c>
      <c r="G383" s="3">
        <f>Материалы!N383</f>
        <v/>
      </c>
      <c r="H383" s="3">
        <f>Материалы!O383</f>
        <v/>
      </c>
    </row>
    <row r="384">
      <c r="A384" s="3">
        <f>Материалы!B384</f>
        <v/>
      </c>
      <c r="B384" s="3">
        <f>Материалы!D384</f>
        <v/>
      </c>
      <c r="C384" s="3">
        <f>Материалы!L384</f>
        <v/>
      </c>
      <c r="D384" s="3">
        <f>Материалы!M384</f>
        <v/>
      </c>
      <c r="E384" s="4">
        <f>Материалы!G384</f>
        <v/>
      </c>
      <c r="F384" s="4">
        <f>Материалы!P384</f>
        <v/>
      </c>
      <c r="G384" s="3">
        <f>Материалы!N384</f>
        <v/>
      </c>
      <c r="H384" s="3">
        <f>Материалы!O384</f>
        <v/>
      </c>
    </row>
    <row r="385">
      <c r="A385" s="3">
        <f>Материалы!B385</f>
        <v/>
      </c>
      <c r="B385" s="3">
        <f>Материалы!D385</f>
        <v/>
      </c>
      <c r="C385" s="3">
        <f>Материалы!L385</f>
        <v/>
      </c>
      <c r="D385" s="3">
        <f>Материалы!M385</f>
        <v/>
      </c>
      <c r="E385" s="4">
        <f>Материалы!G385</f>
        <v/>
      </c>
      <c r="F385" s="4">
        <f>Материалы!P385</f>
        <v/>
      </c>
      <c r="G385" s="3">
        <f>Материалы!N385</f>
        <v/>
      </c>
      <c r="H385" s="3">
        <f>Материалы!O385</f>
        <v/>
      </c>
    </row>
    <row r="386">
      <c r="A386" s="3">
        <f>Материалы!B386</f>
        <v/>
      </c>
      <c r="B386" s="3">
        <f>Материалы!D386</f>
        <v/>
      </c>
      <c r="C386" s="3">
        <f>Материалы!L386</f>
        <v/>
      </c>
      <c r="D386" s="3">
        <f>Материалы!M386</f>
        <v/>
      </c>
      <c r="E386" s="4">
        <f>Материалы!G386</f>
        <v/>
      </c>
      <c r="F386" s="4">
        <f>Материалы!P386</f>
        <v/>
      </c>
      <c r="G386" s="3">
        <f>Материалы!N386</f>
        <v/>
      </c>
      <c r="H386" s="3">
        <f>Материалы!O386</f>
        <v/>
      </c>
    </row>
    <row r="387">
      <c r="A387" s="3">
        <f>Материалы!B387</f>
        <v/>
      </c>
      <c r="B387" s="3">
        <f>Материалы!D387</f>
        <v/>
      </c>
      <c r="C387" s="3">
        <f>Материалы!L387</f>
        <v/>
      </c>
      <c r="D387" s="3">
        <f>Материалы!M387</f>
        <v/>
      </c>
      <c r="E387" s="4">
        <f>Материалы!G387</f>
        <v/>
      </c>
      <c r="F387" s="4">
        <f>Материалы!P387</f>
        <v/>
      </c>
      <c r="G387" s="3">
        <f>Материалы!N387</f>
        <v/>
      </c>
      <c r="H387" s="3">
        <f>Материалы!O387</f>
        <v/>
      </c>
    </row>
    <row r="388">
      <c r="A388" s="3">
        <f>Материалы!B388</f>
        <v/>
      </c>
      <c r="B388" s="3">
        <f>Материалы!D388</f>
        <v/>
      </c>
      <c r="C388" s="3">
        <f>Материалы!L388</f>
        <v/>
      </c>
      <c r="D388" s="3">
        <f>Материалы!M388</f>
        <v/>
      </c>
      <c r="E388" s="4">
        <f>Материалы!G388</f>
        <v/>
      </c>
      <c r="F388" s="4">
        <f>Материалы!P388</f>
        <v/>
      </c>
      <c r="G388" s="3">
        <f>Материалы!N388</f>
        <v/>
      </c>
      <c r="H388" s="3">
        <f>Материалы!O388</f>
        <v/>
      </c>
    </row>
    <row r="389">
      <c r="A389" s="3">
        <f>Материалы!B389</f>
        <v/>
      </c>
      <c r="B389" s="3">
        <f>Материалы!D389</f>
        <v/>
      </c>
      <c r="C389" s="3">
        <f>Материалы!L389</f>
        <v/>
      </c>
      <c r="D389" s="3">
        <f>Материалы!M389</f>
        <v/>
      </c>
      <c r="E389" s="4">
        <f>Материалы!G389</f>
        <v/>
      </c>
      <c r="F389" s="4">
        <f>Материалы!P389</f>
        <v/>
      </c>
      <c r="G389" s="3">
        <f>Материалы!N389</f>
        <v/>
      </c>
      <c r="H389" s="3">
        <f>Материалы!O389</f>
        <v/>
      </c>
    </row>
    <row r="390">
      <c r="A390" s="3">
        <f>Материалы!B390</f>
        <v/>
      </c>
      <c r="B390" s="3">
        <f>Материалы!D390</f>
        <v/>
      </c>
      <c r="C390" s="3">
        <f>Материалы!L390</f>
        <v/>
      </c>
      <c r="D390" s="3">
        <f>Материалы!M390</f>
        <v/>
      </c>
      <c r="E390" s="4">
        <f>Материалы!G390</f>
        <v/>
      </c>
      <c r="F390" s="4">
        <f>Материалы!P390</f>
        <v/>
      </c>
      <c r="G390" s="3">
        <f>Материалы!N390</f>
        <v/>
      </c>
      <c r="H390" s="3">
        <f>Материалы!O390</f>
        <v/>
      </c>
    </row>
    <row r="391">
      <c r="A391" s="3">
        <f>Материалы!B391</f>
        <v/>
      </c>
      <c r="B391" s="3">
        <f>Материалы!D391</f>
        <v/>
      </c>
      <c r="C391" s="3">
        <f>Материалы!L391</f>
        <v/>
      </c>
      <c r="D391" s="3">
        <f>Материалы!M391</f>
        <v/>
      </c>
      <c r="E391" s="4">
        <f>Материалы!G391</f>
        <v/>
      </c>
      <c r="F391" s="4">
        <f>Материалы!P391</f>
        <v/>
      </c>
      <c r="G391" s="3">
        <f>Материалы!N391</f>
        <v/>
      </c>
      <c r="H391" s="3">
        <f>Материалы!O391</f>
        <v/>
      </c>
    </row>
    <row r="392">
      <c r="A392" s="3">
        <f>Материалы!B392</f>
        <v/>
      </c>
      <c r="B392" s="3">
        <f>Материалы!D392</f>
        <v/>
      </c>
      <c r="C392" s="3">
        <f>Материалы!L392</f>
        <v/>
      </c>
      <c r="D392" s="3">
        <f>Материалы!M392</f>
        <v/>
      </c>
      <c r="E392" s="4">
        <f>Материалы!G392</f>
        <v/>
      </c>
      <c r="F392" s="4">
        <f>Материалы!P392</f>
        <v/>
      </c>
      <c r="G392" s="3">
        <f>Материалы!N392</f>
        <v/>
      </c>
      <c r="H392" s="3">
        <f>Материалы!O392</f>
        <v/>
      </c>
    </row>
    <row r="393">
      <c r="A393" s="3">
        <f>Материалы!B393</f>
        <v/>
      </c>
      <c r="B393" s="3">
        <f>Материалы!D393</f>
        <v/>
      </c>
      <c r="C393" s="3">
        <f>Материалы!L393</f>
        <v/>
      </c>
      <c r="D393" s="3">
        <f>Материалы!M393</f>
        <v/>
      </c>
      <c r="E393" s="4">
        <f>Материалы!G393</f>
        <v/>
      </c>
      <c r="F393" s="4">
        <f>Материалы!P393</f>
        <v/>
      </c>
      <c r="G393" s="3">
        <f>Материалы!N393</f>
        <v/>
      </c>
      <c r="H393" s="3">
        <f>Материалы!O393</f>
        <v/>
      </c>
    </row>
    <row r="394">
      <c r="A394" s="3">
        <f>Материалы!B394</f>
        <v/>
      </c>
      <c r="B394" s="3">
        <f>Материалы!D394</f>
        <v/>
      </c>
      <c r="C394" s="3">
        <f>Материалы!L394</f>
        <v/>
      </c>
      <c r="D394" s="3">
        <f>Материалы!M394</f>
        <v/>
      </c>
      <c r="E394" s="4">
        <f>Материалы!G394</f>
        <v/>
      </c>
      <c r="F394" s="4">
        <f>Материалы!P394</f>
        <v/>
      </c>
      <c r="G394" s="3">
        <f>Материалы!N394</f>
        <v/>
      </c>
      <c r="H394" s="3">
        <f>Материалы!O394</f>
        <v/>
      </c>
    </row>
    <row r="395">
      <c r="A395" s="3">
        <f>Материалы!B395</f>
        <v/>
      </c>
      <c r="B395" s="3">
        <f>Материалы!D395</f>
        <v/>
      </c>
      <c r="C395" s="3">
        <f>Материалы!L395</f>
        <v/>
      </c>
      <c r="D395" s="3">
        <f>Материалы!M395</f>
        <v/>
      </c>
      <c r="E395" s="4">
        <f>Материалы!G395</f>
        <v/>
      </c>
      <c r="F395" s="4">
        <f>Материалы!P395</f>
        <v/>
      </c>
      <c r="G395" s="3">
        <f>Материалы!N395</f>
        <v/>
      </c>
      <c r="H395" s="3">
        <f>Материалы!O395</f>
        <v/>
      </c>
    </row>
    <row r="396">
      <c r="A396" s="3">
        <f>Материалы!B396</f>
        <v/>
      </c>
      <c r="B396" s="3">
        <f>Материалы!D396</f>
        <v/>
      </c>
      <c r="C396" s="3">
        <f>Материалы!L396</f>
        <v/>
      </c>
      <c r="D396" s="3">
        <f>Материалы!M396</f>
        <v/>
      </c>
      <c r="E396" s="4">
        <f>Материалы!G396</f>
        <v/>
      </c>
      <c r="F396" s="4">
        <f>Материалы!P396</f>
        <v/>
      </c>
      <c r="G396" s="3">
        <f>Материалы!N396</f>
        <v/>
      </c>
      <c r="H396" s="3">
        <f>Материалы!O396</f>
        <v/>
      </c>
    </row>
    <row r="397">
      <c r="A397" s="3">
        <f>Материалы!B397</f>
        <v/>
      </c>
      <c r="B397" s="3">
        <f>Материалы!D397</f>
        <v/>
      </c>
      <c r="C397" s="3">
        <f>Материалы!L397</f>
        <v/>
      </c>
      <c r="D397" s="3">
        <f>Материалы!M397</f>
        <v/>
      </c>
      <c r="E397" s="4">
        <f>Материалы!G397</f>
        <v/>
      </c>
      <c r="F397" s="4">
        <f>Материалы!P397</f>
        <v/>
      </c>
      <c r="G397" s="3">
        <f>Материалы!N397</f>
        <v/>
      </c>
      <c r="H397" s="3">
        <f>Материалы!O397</f>
        <v/>
      </c>
    </row>
    <row r="398">
      <c r="A398" s="3">
        <f>Материалы!B398</f>
        <v/>
      </c>
      <c r="B398" s="3">
        <f>Материалы!D398</f>
        <v/>
      </c>
      <c r="C398" s="3">
        <f>Материалы!L398</f>
        <v/>
      </c>
      <c r="D398" s="3">
        <f>Материалы!M398</f>
        <v/>
      </c>
      <c r="E398" s="4">
        <f>Материалы!G398</f>
        <v/>
      </c>
      <c r="F398" s="4">
        <f>Материалы!P398</f>
        <v/>
      </c>
      <c r="G398" s="3">
        <f>Материалы!N398</f>
        <v/>
      </c>
      <c r="H398" s="3">
        <f>Материалы!O398</f>
        <v/>
      </c>
    </row>
    <row r="399">
      <c r="A399" s="3">
        <f>Материалы!B399</f>
        <v/>
      </c>
      <c r="B399" s="3">
        <f>Материалы!D399</f>
        <v/>
      </c>
      <c r="C399" s="3">
        <f>Материалы!L399</f>
        <v/>
      </c>
      <c r="D399" s="3">
        <f>Материалы!M399</f>
        <v/>
      </c>
      <c r="E399" s="4">
        <f>Материалы!G399</f>
        <v/>
      </c>
      <c r="F399" s="4">
        <f>Материалы!P399</f>
        <v/>
      </c>
      <c r="G399" s="3">
        <f>Материалы!N399</f>
        <v/>
      </c>
      <c r="H399" s="3">
        <f>Материалы!O399</f>
        <v/>
      </c>
    </row>
    <row r="400">
      <c r="A400" s="3">
        <f>Материалы!B400</f>
        <v/>
      </c>
      <c r="B400" s="3">
        <f>Материалы!D400</f>
        <v/>
      </c>
      <c r="C400" s="3">
        <f>Материалы!L400</f>
        <v/>
      </c>
      <c r="D400" s="3">
        <f>Материалы!M400</f>
        <v/>
      </c>
      <c r="E400" s="4">
        <f>Материалы!G400</f>
        <v/>
      </c>
      <c r="F400" s="4">
        <f>Материалы!P400</f>
        <v/>
      </c>
      <c r="G400" s="3">
        <f>Материалы!N400</f>
        <v/>
      </c>
      <c r="H400" s="3">
        <f>Материалы!O400</f>
        <v/>
      </c>
    </row>
    <row r="401">
      <c r="A401" s="3">
        <f>Материалы!B401</f>
        <v/>
      </c>
      <c r="B401" s="3">
        <f>Материалы!D401</f>
        <v/>
      </c>
      <c r="C401" s="3">
        <f>Материалы!L401</f>
        <v/>
      </c>
      <c r="D401" s="3">
        <f>Материалы!M401</f>
        <v/>
      </c>
      <c r="E401" s="4">
        <f>Материалы!G401</f>
        <v/>
      </c>
      <c r="F401" s="4">
        <f>Материалы!P401</f>
        <v/>
      </c>
      <c r="G401" s="3">
        <f>Материалы!N401</f>
        <v/>
      </c>
      <c r="H401" s="3">
        <f>Материалы!O401</f>
        <v/>
      </c>
    </row>
    <row r="402">
      <c r="A402" s="3">
        <f>Материалы!B402</f>
        <v/>
      </c>
      <c r="B402" s="3">
        <f>Материалы!D402</f>
        <v/>
      </c>
      <c r="C402" s="3">
        <f>Материалы!L402</f>
        <v/>
      </c>
      <c r="D402" s="3">
        <f>Материалы!M402</f>
        <v/>
      </c>
      <c r="E402" s="4">
        <f>Материалы!G402</f>
        <v/>
      </c>
      <c r="F402" s="4">
        <f>Материалы!P402</f>
        <v/>
      </c>
      <c r="G402" s="3">
        <f>Материалы!N402</f>
        <v/>
      </c>
      <c r="H402" s="3">
        <f>Материалы!O402</f>
        <v/>
      </c>
    </row>
    <row r="403">
      <c r="A403" s="3">
        <f>Материалы!B403</f>
        <v/>
      </c>
      <c r="B403" s="3">
        <f>Материалы!D403</f>
        <v/>
      </c>
      <c r="C403" s="3">
        <f>Материалы!L403</f>
        <v/>
      </c>
      <c r="D403" s="3">
        <f>Материалы!M403</f>
        <v/>
      </c>
      <c r="E403" s="4">
        <f>Материалы!G403</f>
        <v/>
      </c>
      <c r="F403" s="4">
        <f>Материалы!P403</f>
        <v/>
      </c>
      <c r="G403" s="3">
        <f>Материалы!N403</f>
        <v/>
      </c>
      <c r="H403" s="3">
        <f>Материалы!O403</f>
        <v/>
      </c>
    </row>
    <row r="404">
      <c r="A404" s="3">
        <f>Материалы!B404</f>
        <v/>
      </c>
      <c r="B404" s="3">
        <f>Материалы!D404</f>
        <v/>
      </c>
      <c r="C404" s="3">
        <f>Материалы!L404</f>
        <v/>
      </c>
      <c r="D404" s="3">
        <f>Материалы!M404</f>
        <v/>
      </c>
      <c r="E404" s="4">
        <f>Материалы!G404</f>
        <v/>
      </c>
      <c r="F404" s="4">
        <f>Материалы!P404</f>
        <v/>
      </c>
      <c r="G404" s="3">
        <f>Материалы!N404</f>
        <v/>
      </c>
      <c r="H404" s="3">
        <f>Материалы!O404</f>
        <v/>
      </c>
    </row>
    <row r="405">
      <c r="A405" s="3">
        <f>Материалы!B405</f>
        <v/>
      </c>
      <c r="B405" s="3">
        <f>Материалы!D405</f>
        <v/>
      </c>
      <c r="C405" s="3">
        <f>Материалы!L405</f>
        <v/>
      </c>
      <c r="D405" s="3">
        <f>Материалы!M405</f>
        <v/>
      </c>
      <c r="E405" s="4">
        <f>Материалы!G405</f>
        <v/>
      </c>
      <c r="F405" s="4">
        <f>Материалы!P405</f>
        <v/>
      </c>
      <c r="G405" s="3">
        <f>Материалы!N405</f>
        <v/>
      </c>
      <c r="H405" s="3">
        <f>Материалы!O405</f>
        <v/>
      </c>
    </row>
    <row r="406">
      <c r="A406" s="3">
        <f>Материалы!B406</f>
        <v/>
      </c>
      <c r="B406" s="3">
        <f>Материалы!D406</f>
        <v/>
      </c>
      <c r="C406" s="3">
        <f>Материалы!L406</f>
        <v/>
      </c>
      <c r="D406" s="3">
        <f>Материалы!M406</f>
        <v/>
      </c>
      <c r="E406" s="4">
        <f>Материалы!G406</f>
        <v/>
      </c>
      <c r="F406" s="4">
        <f>Материалы!P406</f>
        <v/>
      </c>
      <c r="G406" s="3">
        <f>Материалы!N406</f>
        <v/>
      </c>
      <c r="H406" s="3">
        <f>Материалы!O406</f>
        <v/>
      </c>
    </row>
    <row r="407">
      <c r="A407" s="3">
        <f>Материалы!B407</f>
        <v/>
      </c>
      <c r="B407" s="3">
        <f>Материалы!D407</f>
        <v/>
      </c>
      <c r="C407" s="3">
        <f>Материалы!L407</f>
        <v/>
      </c>
      <c r="D407" s="3">
        <f>Материалы!M407</f>
        <v/>
      </c>
      <c r="E407" s="4">
        <f>Материалы!G407</f>
        <v/>
      </c>
      <c r="F407" s="4">
        <f>Материалы!P407</f>
        <v/>
      </c>
      <c r="G407" s="3">
        <f>Материалы!N407</f>
        <v/>
      </c>
      <c r="H407" s="3">
        <f>Материалы!O407</f>
        <v/>
      </c>
    </row>
    <row r="408">
      <c r="A408" s="3">
        <f>Материалы!B408</f>
        <v/>
      </c>
      <c r="B408" s="3">
        <f>Материалы!D408</f>
        <v/>
      </c>
      <c r="C408" s="3">
        <f>Материалы!L408</f>
        <v/>
      </c>
      <c r="D408" s="3">
        <f>Материалы!M408</f>
        <v/>
      </c>
      <c r="E408" s="4">
        <f>Материалы!G408</f>
        <v/>
      </c>
      <c r="F408" s="4">
        <f>Материалы!P408</f>
        <v/>
      </c>
      <c r="G408" s="3">
        <f>Материалы!N408</f>
        <v/>
      </c>
      <c r="H408" s="3">
        <f>Материалы!O408</f>
        <v/>
      </c>
    </row>
    <row r="409">
      <c r="A409" s="3">
        <f>Материалы!B409</f>
        <v/>
      </c>
      <c r="B409" s="3">
        <f>Материалы!D409</f>
        <v/>
      </c>
      <c r="C409" s="3">
        <f>Материалы!L409</f>
        <v/>
      </c>
      <c r="D409" s="3">
        <f>Материалы!M409</f>
        <v/>
      </c>
      <c r="E409" s="4">
        <f>Материалы!G409</f>
        <v/>
      </c>
      <c r="F409" s="4">
        <f>Материалы!P409</f>
        <v/>
      </c>
      <c r="G409" s="3">
        <f>Материалы!N409</f>
        <v/>
      </c>
      <c r="H409" s="3">
        <f>Материалы!O409</f>
        <v/>
      </c>
    </row>
    <row r="410">
      <c r="A410" s="3">
        <f>Материалы!B410</f>
        <v/>
      </c>
      <c r="B410" s="3">
        <f>Материалы!D410</f>
        <v/>
      </c>
      <c r="C410" s="3">
        <f>Материалы!L410</f>
        <v/>
      </c>
      <c r="D410" s="3">
        <f>Материалы!M410</f>
        <v/>
      </c>
      <c r="E410" s="4">
        <f>Материалы!G410</f>
        <v/>
      </c>
      <c r="F410" s="4">
        <f>Материалы!P410</f>
        <v/>
      </c>
      <c r="G410" s="3">
        <f>Материалы!N410</f>
        <v/>
      </c>
      <c r="H410" s="3">
        <f>Материалы!O410</f>
        <v/>
      </c>
    </row>
    <row r="411">
      <c r="A411" s="3">
        <f>Материалы!B411</f>
        <v/>
      </c>
      <c r="B411" s="3">
        <f>Материалы!D411</f>
        <v/>
      </c>
      <c r="C411" s="3">
        <f>Материалы!L411</f>
        <v/>
      </c>
      <c r="D411" s="3">
        <f>Материалы!M411</f>
        <v/>
      </c>
      <c r="E411" s="4">
        <f>Материалы!G411</f>
        <v/>
      </c>
      <c r="F411" s="4">
        <f>Материалы!P411</f>
        <v/>
      </c>
      <c r="G411" s="3">
        <f>Материалы!N411</f>
        <v/>
      </c>
      <c r="H411" s="3">
        <f>Материалы!O411</f>
        <v/>
      </c>
    </row>
    <row r="412">
      <c r="A412" s="3">
        <f>Материалы!B412</f>
        <v/>
      </c>
      <c r="B412" s="3">
        <f>Материалы!D412</f>
        <v/>
      </c>
      <c r="C412" s="3">
        <f>Материалы!L412</f>
        <v/>
      </c>
      <c r="D412" s="3">
        <f>Материалы!M412</f>
        <v/>
      </c>
      <c r="E412" s="4">
        <f>Материалы!G412</f>
        <v/>
      </c>
      <c r="F412" s="4">
        <f>Материалы!P412</f>
        <v/>
      </c>
      <c r="G412" s="3">
        <f>Материалы!N412</f>
        <v/>
      </c>
      <c r="H412" s="3">
        <f>Материалы!O412</f>
        <v/>
      </c>
    </row>
    <row r="413">
      <c r="A413" s="3">
        <f>Материалы!B413</f>
        <v/>
      </c>
      <c r="B413" s="3">
        <f>Материалы!D413</f>
        <v/>
      </c>
      <c r="C413" s="3">
        <f>Материалы!L413</f>
        <v/>
      </c>
      <c r="D413" s="3">
        <f>Материалы!M413</f>
        <v/>
      </c>
      <c r="E413" s="4">
        <f>Материалы!G413</f>
        <v/>
      </c>
      <c r="F413" s="4">
        <f>Материалы!P413</f>
        <v/>
      </c>
      <c r="G413" s="3">
        <f>Материалы!N413</f>
        <v/>
      </c>
      <c r="H413" s="3">
        <f>Материалы!O413</f>
        <v/>
      </c>
    </row>
    <row r="414">
      <c r="A414" s="3">
        <f>Материалы!B414</f>
        <v/>
      </c>
      <c r="B414" s="3">
        <f>Материалы!D414</f>
        <v/>
      </c>
      <c r="C414" s="3">
        <f>Материалы!L414</f>
        <v/>
      </c>
      <c r="D414" s="3">
        <f>Материалы!M414</f>
        <v/>
      </c>
      <c r="E414" s="4">
        <f>Материалы!G414</f>
        <v/>
      </c>
      <c r="F414" s="4">
        <f>Материалы!P414</f>
        <v/>
      </c>
      <c r="G414" s="3">
        <f>Материалы!N414</f>
        <v/>
      </c>
      <c r="H414" s="3">
        <f>Материалы!O414</f>
        <v/>
      </c>
    </row>
    <row r="415">
      <c r="A415" s="3">
        <f>Материалы!B415</f>
        <v/>
      </c>
      <c r="B415" s="3">
        <f>Материалы!D415</f>
        <v/>
      </c>
      <c r="C415" s="3">
        <f>Материалы!L415</f>
        <v/>
      </c>
      <c r="D415" s="3">
        <f>Материалы!M415</f>
        <v/>
      </c>
      <c r="E415" s="4">
        <f>Материалы!G415</f>
        <v/>
      </c>
      <c r="F415" s="4">
        <f>Материалы!P415</f>
        <v/>
      </c>
      <c r="G415" s="3">
        <f>Материалы!N415</f>
        <v/>
      </c>
      <c r="H415" s="3">
        <f>Материалы!O415</f>
        <v/>
      </c>
    </row>
    <row r="416">
      <c r="A416" s="3">
        <f>Материалы!B416</f>
        <v/>
      </c>
      <c r="B416" s="3">
        <f>Материалы!D416</f>
        <v/>
      </c>
      <c r="C416" s="3">
        <f>Материалы!L416</f>
        <v/>
      </c>
      <c r="D416" s="3">
        <f>Материалы!M416</f>
        <v/>
      </c>
      <c r="E416" s="4">
        <f>Материалы!G416</f>
        <v/>
      </c>
      <c r="F416" s="4">
        <f>Материалы!P416</f>
        <v/>
      </c>
      <c r="G416" s="3">
        <f>Материалы!N416</f>
        <v/>
      </c>
      <c r="H416" s="3">
        <f>Материалы!O416</f>
        <v/>
      </c>
    </row>
    <row r="417">
      <c r="A417" s="3">
        <f>Материалы!B417</f>
        <v/>
      </c>
      <c r="B417" s="3">
        <f>Материалы!D417</f>
        <v/>
      </c>
      <c r="C417" s="3">
        <f>Материалы!L417</f>
        <v/>
      </c>
      <c r="D417" s="3">
        <f>Материалы!M417</f>
        <v/>
      </c>
      <c r="E417" s="4">
        <f>Материалы!G417</f>
        <v/>
      </c>
      <c r="F417" s="4">
        <f>Материалы!P417</f>
        <v/>
      </c>
      <c r="G417" s="3">
        <f>Материалы!N417</f>
        <v/>
      </c>
      <c r="H417" s="3">
        <f>Материалы!O417</f>
        <v/>
      </c>
    </row>
    <row r="418">
      <c r="A418" s="3">
        <f>Материалы!B418</f>
        <v/>
      </c>
      <c r="B418" s="3">
        <f>Материалы!D418</f>
        <v/>
      </c>
      <c r="C418" s="3">
        <f>Материалы!L418</f>
        <v/>
      </c>
      <c r="D418" s="3">
        <f>Материалы!M418</f>
        <v/>
      </c>
      <c r="E418" s="4">
        <f>Материалы!G418</f>
        <v/>
      </c>
      <c r="F418" s="4">
        <f>Материалы!P418</f>
        <v/>
      </c>
      <c r="G418" s="3">
        <f>Материалы!N418</f>
        <v/>
      </c>
      <c r="H418" s="3">
        <f>Материалы!O418</f>
        <v/>
      </c>
    </row>
    <row r="419">
      <c r="A419" s="3">
        <f>Материалы!B419</f>
        <v/>
      </c>
      <c r="B419" s="3">
        <f>Материалы!D419</f>
        <v/>
      </c>
      <c r="C419" s="3">
        <f>Материалы!L419</f>
        <v/>
      </c>
      <c r="D419" s="3">
        <f>Материалы!M419</f>
        <v/>
      </c>
      <c r="E419" s="4">
        <f>Материалы!G419</f>
        <v/>
      </c>
      <c r="F419" s="4">
        <f>Материалы!P419</f>
        <v/>
      </c>
      <c r="G419" s="3">
        <f>Материалы!N419</f>
        <v/>
      </c>
      <c r="H419" s="3">
        <f>Материалы!O419</f>
        <v/>
      </c>
    </row>
    <row r="420">
      <c r="A420" s="3">
        <f>Материалы!B420</f>
        <v/>
      </c>
      <c r="B420" s="3">
        <f>Материалы!D420</f>
        <v/>
      </c>
      <c r="C420" s="3">
        <f>Материалы!L420</f>
        <v/>
      </c>
      <c r="D420" s="3">
        <f>Материалы!M420</f>
        <v/>
      </c>
      <c r="E420" s="4">
        <f>Материалы!G420</f>
        <v/>
      </c>
      <c r="F420" s="4">
        <f>Материалы!P420</f>
        <v/>
      </c>
      <c r="G420" s="3">
        <f>Материалы!N420</f>
        <v/>
      </c>
      <c r="H420" s="3">
        <f>Материалы!O420</f>
        <v/>
      </c>
    </row>
    <row r="421">
      <c r="A421" s="3">
        <f>Материалы!B421</f>
        <v/>
      </c>
      <c r="B421" s="3">
        <f>Материалы!D421</f>
        <v/>
      </c>
      <c r="C421" s="3">
        <f>Материалы!L421</f>
        <v/>
      </c>
      <c r="D421" s="3">
        <f>Материалы!M421</f>
        <v/>
      </c>
      <c r="E421" s="4">
        <f>Материалы!G421</f>
        <v/>
      </c>
      <c r="F421" s="4">
        <f>Материалы!P421</f>
        <v/>
      </c>
      <c r="G421" s="3">
        <f>Материалы!N421</f>
        <v/>
      </c>
      <c r="H421" s="3">
        <f>Материалы!O421</f>
        <v/>
      </c>
    </row>
    <row r="422">
      <c r="A422" s="3">
        <f>Материалы!B422</f>
        <v/>
      </c>
      <c r="B422" s="3">
        <f>Материалы!D422</f>
        <v/>
      </c>
      <c r="C422" s="3">
        <f>Материалы!L422</f>
        <v/>
      </c>
      <c r="D422" s="3">
        <f>Материалы!M422</f>
        <v/>
      </c>
      <c r="E422" s="4">
        <f>Материалы!G422</f>
        <v/>
      </c>
      <c r="F422" s="4">
        <f>Материалы!P422</f>
        <v/>
      </c>
      <c r="G422" s="3">
        <f>Материалы!N422</f>
        <v/>
      </c>
      <c r="H422" s="3">
        <f>Материалы!O422</f>
        <v/>
      </c>
    </row>
    <row r="423">
      <c r="A423" s="3">
        <f>Материалы!B423</f>
        <v/>
      </c>
      <c r="B423" s="3">
        <f>Материалы!D423</f>
        <v/>
      </c>
      <c r="C423" s="3">
        <f>Материалы!L423</f>
        <v/>
      </c>
      <c r="D423" s="3">
        <f>Материалы!M423</f>
        <v/>
      </c>
      <c r="E423" s="4">
        <f>Материалы!G423</f>
        <v/>
      </c>
      <c r="F423" s="4">
        <f>Материалы!P423</f>
        <v/>
      </c>
      <c r="G423" s="3">
        <f>Материалы!N423</f>
        <v/>
      </c>
      <c r="H423" s="3">
        <f>Материалы!O423</f>
        <v/>
      </c>
    </row>
    <row r="424">
      <c r="A424" s="3">
        <f>Материалы!B424</f>
        <v/>
      </c>
      <c r="B424" s="3">
        <f>Материалы!D424</f>
        <v/>
      </c>
      <c r="C424" s="3">
        <f>Материалы!L424</f>
        <v/>
      </c>
      <c r="D424" s="3">
        <f>Материалы!M424</f>
        <v/>
      </c>
      <c r="E424" s="4">
        <f>Материалы!G424</f>
        <v/>
      </c>
      <c r="F424" s="4">
        <f>Материалы!P424</f>
        <v/>
      </c>
      <c r="G424" s="3">
        <f>Материалы!N424</f>
        <v/>
      </c>
      <c r="H424" s="3">
        <f>Материалы!O424</f>
        <v/>
      </c>
    </row>
    <row r="425">
      <c r="A425" s="3">
        <f>Материалы!B425</f>
        <v/>
      </c>
      <c r="B425" s="3">
        <f>Материалы!D425</f>
        <v/>
      </c>
      <c r="C425" s="3">
        <f>Материалы!L425</f>
        <v/>
      </c>
      <c r="D425" s="3">
        <f>Материалы!M425</f>
        <v/>
      </c>
      <c r="E425" s="4">
        <f>Материалы!G425</f>
        <v/>
      </c>
      <c r="F425" s="4">
        <f>Материалы!P425</f>
        <v/>
      </c>
      <c r="G425" s="3">
        <f>Материалы!N425</f>
        <v/>
      </c>
      <c r="H425" s="3">
        <f>Материалы!O425</f>
        <v/>
      </c>
    </row>
    <row r="426">
      <c r="A426" s="3">
        <f>Материалы!B426</f>
        <v/>
      </c>
      <c r="B426" s="3">
        <f>Материалы!D426</f>
        <v/>
      </c>
      <c r="C426" s="3">
        <f>Материалы!L426</f>
        <v/>
      </c>
      <c r="D426" s="3">
        <f>Материалы!M426</f>
        <v/>
      </c>
      <c r="E426" s="4">
        <f>Материалы!G426</f>
        <v/>
      </c>
      <c r="F426" s="4">
        <f>Материалы!P426</f>
        <v/>
      </c>
      <c r="G426" s="3">
        <f>Материалы!N426</f>
        <v/>
      </c>
      <c r="H426" s="3">
        <f>Материалы!O426</f>
        <v/>
      </c>
    </row>
    <row r="427">
      <c r="A427" s="3">
        <f>Материалы!B427</f>
        <v/>
      </c>
      <c r="B427" s="3">
        <f>Материалы!D427</f>
        <v/>
      </c>
      <c r="C427" s="3">
        <f>Материалы!L427</f>
        <v/>
      </c>
      <c r="D427" s="3">
        <f>Материалы!M427</f>
        <v/>
      </c>
      <c r="E427" s="4">
        <f>Материалы!G427</f>
        <v/>
      </c>
      <c r="F427" s="4">
        <f>Материалы!P427</f>
        <v/>
      </c>
      <c r="G427" s="3">
        <f>Материалы!N427</f>
        <v/>
      </c>
      <c r="H427" s="3">
        <f>Материалы!O427</f>
        <v/>
      </c>
    </row>
    <row r="428">
      <c r="A428" s="3">
        <f>Материалы!B428</f>
        <v/>
      </c>
      <c r="B428" s="3">
        <f>Материалы!D428</f>
        <v/>
      </c>
      <c r="C428" s="3">
        <f>Материалы!L428</f>
        <v/>
      </c>
      <c r="D428" s="3">
        <f>Материалы!M428</f>
        <v/>
      </c>
      <c r="E428" s="4">
        <f>Материалы!G428</f>
        <v/>
      </c>
      <c r="F428" s="4">
        <f>Материалы!P428</f>
        <v/>
      </c>
      <c r="G428" s="3">
        <f>Материалы!N428</f>
        <v/>
      </c>
      <c r="H428" s="3">
        <f>Материалы!O428</f>
        <v/>
      </c>
    </row>
    <row r="429">
      <c r="A429" s="3">
        <f>Материалы!B429</f>
        <v/>
      </c>
      <c r="B429" s="3">
        <f>Материалы!D429</f>
        <v/>
      </c>
      <c r="C429" s="3">
        <f>Материалы!L429</f>
        <v/>
      </c>
      <c r="D429" s="3">
        <f>Материалы!M429</f>
        <v/>
      </c>
      <c r="E429" s="4">
        <f>Материалы!G429</f>
        <v/>
      </c>
      <c r="F429" s="4">
        <f>Материалы!P429</f>
        <v/>
      </c>
      <c r="G429" s="3">
        <f>Материалы!N429</f>
        <v/>
      </c>
      <c r="H429" s="3">
        <f>Материалы!O429</f>
        <v/>
      </c>
    </row>
    <row r="430">
      <c r="A430" s="3">
        <f>Материалы!B430</f>
        <v/>
      </c>
      <c r="B430" s="3">
        <f>Материалы!D430</f>
        <v/>
      </c>
      <c r="C430" s="3">
        <f>Материалы!L430</f>
        <v/>
      </c>
      <c r="D430" s="3">
        <f>Материалы!M430</f>
        <v/>
      </c>
      <c r="E430" s="4">
        <f>Материалы!G430</f>
        <v/>
      </c>
      <c r="F430" s="4">
        <f>Материалы!P430</f>
        <v/>
      </c>
      <c r="G430" s="3">
        <f>Материалы!N430</f>
        <v/>
      </c>
      <c r="H430" s="3">
        <f>Материалы!O430</f>
        <v/>
      </c>
    </row>
    <row r="431">
      <c r="A431" s="3">
        <f>Материалы!B431</f>
        <v/>
      </c>
      <c r="B431" s="3">
        <f>Материалы!D431</f>
        <v/>
      </c>
      <c r="C431" s="3">
        <f>Материалы!L431</f>
        <v/>
      </c>
      <c r="D431" s="3">
        <f>Материалы!M431</f>
        <v/>
      </c>
      <c r="E431" s="4">
        <f>Материалы!G431</f>
        <v/>
      </c>
      <c r="F431" s="4">
        <f>Материалы!P431</f>
        <v/>
      </c>
      <c r="G431" s="3">
        <f>Материалы!N431</f>
        <v/>
      </c>
      <c r="H431" s="3">
        <f>Материалы!O431</f>
        <v/>
      </c>
    </row>
    <row r="432">
      <c r="A432" s="3">
        <f>Материалы!B432</f>
        <v/>
      </c>
      <c r="B432" s="3">
        <f>Материалы!D432</f>
        <v/>
      </c>
      <c r="C432" s="3">
        <f>Материалы!L432</f>
        <v/>
      </c>
      <c r="D432" s="3">
        <f>Материалы!M432</f>
        <v/>
      </c>
      <c r="E432" s="4">
        <f>Материалы!G432</f>
        <v/>
      </c>
      <c r="F432" s="4">
        <f>Материалы!P432</f>
        <v/>
      </c>
      <c r="G432" s="3">
        <f>Материалы!N432</f>
        <v/>
      </c>
      <c r="H432" s="3">
        <f>Материалы!O432</f>
        <v/>
      </c>
    </row>
    <row r="433">
      <c r="A433" s="3">
        <f>Материалы!B433</f>
        <v/>
      </c>
      <c r="B433" s="3">
        <f>Материалы!D433</f>
        <v/>
      </c>
      <c r="C433" s="3">
        <f>Материалы!L433</f>
        <v/>
      </c>
      <c r="D433" s="3">
        <f>Материалы!M433</f>
        <v/>
      </c>
      <c r="E433" s="4">
        <f>Материалы!G433</f>
        <v/>
      </c>
      <c r="F433" s="4">
        <f>Материалы!P433</f>
        <v/>
      </c>
      <c r="G433" s="3">
        <f>Материалы!N433</f>
        <v/>
      </c>
      <c r="H433" s="3">
        <f>Материалы!O433</f>
        <v/>
      </c>
    </row>
    <row r="434">
      <c r="A434" s="3">
        <f>Материалы!B434</f>
        <v/>
      </c>
      <c r="B434" s="3">
        <f>Материалы!D434</f>
        <v/>
      </c>
      <c r="C434" s="3">
        <f>Материалы!L434</f>
        <v/>
      </c>
      <c r="D434" s="3">
        <f>Материалы!M434</f>
        <v/>
      </c>
      <c r="E434" s="4">
        <f>Материалы!G434</f>
        <v/>
      </c>
      <c r="F434" s="4">
        <f>Материалы!P434</f>
        <v/>
      </c>
      <c r="G434" s="3">
        <f>Материалы!N434</f>
        <v/>
      </c>
      <c r="H434" s="3">
        <f>Материалы!O434</f>
        <v/>
      </c>
    </row>
    <row r="435">
      <c r="A435" s="3">
        <f>Материалы!B435</f>
        <v/>
      </c>
      <c r="B435" s="3">
        <f>Материалы!D435</f>
        <v/>
      </c>
      <c r="C435" s="3">
        <f>Материалы!L435</f>
        <v/>
      </c>
      <c r="D435" s="3">
        <f>Материалы!M435</f>
        <v/>
      </c>
      <c r="E435" s="4">
        <f>Материалы!G435</f>
        <v/>
      </c>
      <c r="F435" s="4">
        <f>Материалы!P435</f>
        <v/>
      </c>
      <c r="G435" s="3">
        <f>Материалы!N435</f>
        <v/>
      </c>
      <c r="H435" s="3">
        <f>Материалы!O435</f>
        <v/>
      </c>
    </row>
    <row r="436">
      <c r="A436" s="3">
        <f>Материалы!B436</f>
        <v/>
      </c>
      <c r="B436" s="3">
        <f>Материалы!D436</f>
        <v/>
      </c>
      <c r="C436" s="3">
        <f>Материалы!L436</f>
        <v/>
      </c>
      <c r="D436" s="3">
        <f>Материалы!M436</f>
        <v/>
      </c>
      <c r="E436" s="4">
        <f>Материалы!G436</f>
        <v/>
      </c>
      <c r="F436" s="4">
        <f>Материалы!P436</f>
        <v/>
      </c>
      <c r="G436" s="3">
        <f>Материалы!N436</f>
        <v/>
      </c>
      <c r="H436" s="3">
        <f>Материалы!O436</f>
        <v/>
      </c>
    </row>
    <row r="437">
      <c r="A437" s="3">
        <f>Материалы!B437</f>
        <v/>
      </c>
      <c r="B437" s="3">
        <f>Материалы!D437</f>
        <v/>
      </c>
      <c r="C437" s="3">
        <f>Материалы!L437</f>
        <v/>
      </c>
      <c r="D437" s="3">
        <f>Материалы!M437</f>
        <v/>
      </c>
      <c r="E437" s="4">
        <f>Материалы!G437</f>
        <v/>
      </c>
      <c r="F437" s="4">
        <f>Материалы!P437</f>
        <v/>
      </c>
      <c r="G437" s="3">
        <f>Материалы!N437</f>
        <v/>
      </c>
      <c r="H437" s="3">
        <f>Материалы!O437</f>
        <v/>
      </c>
    </row>
    <row r="438">
      <c r="A438" s="3">
        <f>Материалы!B438</f>
        <v/>
      </c>
      <c r="B438" s="3">
        <f>Материалы!D438</f>
        <v/>
      </c>
      <c r="C438" s="3">
        <f>Материалы!L438</f>
        <v/>
      </c>
      <c r="D438" s="3">
        <f>Материалы!M438</f>
        <v/>
      </c>
      <c r="E438" s="4">
        <f>Материалы!G438</f>
        <v/>
      </c>
      <c r="F438" s="4">
        <f>Материалы!P438</f>
        <v/>
      </c>
      <c r="G438" s="3">
        <f>Материалы!N438</f>
        <v/>
      </c>
      <c r="H438" s="3">
        <f>Материалы!O438</f>
        <v/>
      </c>
    </row>
    <row r="439">
      <c r="A439" s="3">
        <f>Материалы!B439</f>
        <v/>
      </c>
      <c r="B439" s="3">
        <f>Материалы!D439</f>
        <v/>
      </c>
      <c r="C439" s="3">
        <f>Материалы!L439</f>
        <v/>
      </c>
      <c r="D439" s="3">
        <f>Материалы!M439</f>
        <v/>
      </c>
      <c r="E439" s="4">
        <f>Материалы!G439</f>
        <v/>
      </c>
      <c r="F439" s="4">
        <f>Материалы!P439</f>
        <v/>
      </c>
      <c r="G439" s="3">
        <f>Материалы!N439</f>
        <v/>
      </c>
      <c r="H439" s="3">
        <f>Материалы!O439</f>
        <v/>
      </c>
    </row>
    <row r="440">
      <c r="A440" s="3">
        <f>Материалы!B440</f>
        <v/>
      </c>
      <c r="B440" s="3">
        <f>Материалы!D440</f>
        <v/>
      </c>
      <c r="C440" s="3">
        <f>Материалы!L440</f>
        <v/>
      </c>
      <c r="D440" s="3">
        <f>Материалы!M440</f>
        <v/>
      </c>
      <c r="E440" s="4">
        <f>Материалы!G440</f>
        <v/>
      </c>
      <c r="F440" s="4">
        <f>Материалы!P440</f>
        <v/>
      </c>
      <c r="G440" s="3">
        <f>Материалы!N440</f>
        <v/>
      </c>
      <c r="H440" s="3">
        <f>Материалы!O440</f>
        <v/>
      </c>
    </row>
    <row r="441">
      <c r="A441" s="3">
        <f>Материалы!B441</f>
        <v/>
      </c>
      <c r="B441" s="3">
        <f>Материалы!D441</f>
        <v/>
      </c>
      <c r="C441" s="3">
        <f>Материалы!L441</f>
        <v/>
      </c>
      <c r="D441" s="3">
        <f>Материалы!M441</f>
        <v/>
      </c>
      <c r="E441" s="4">
        <f>Материалы!G441</f>
        <v/>
      </c>
      <c r="F441" s="4">
        <f>Материалы!P441</f>
        <v/>
      </c>
      <c r="G441" s="3">
        <f>Материалы!N441</f>
        <v/>
      </c>
      <c r="H441" s="3">
        <f>Материалы!O441</f>
        <v/>
      </c>
    </row>
    <row r="442">
      <c r="A442" s="3">
        <f>Материалы!B442</f>
        <v/>
      </c>
      <c r="B442" s="3">
        <f>Материалы!D442</f>
        <v/>
      </c>
      <c r="C442" s="3">
        <f>Материалы!L442</f>
        <v/>
      </c>
      <c r="D442" s="3">
        <f>Материалы!M442</f>
        <v/>
      </c>
      <c r="E442" s="4">
        <f>Материалы!G442</f>
        <v/>
      </c>
      <c r="F442" s="4">
        <f>Материалы!P442</f>
        <v/>
      </c>
      <c r="G442" s="3">
        <f>Материалы!N442</f>
        <v/>
      </c>
      <c r="H442" s="3">
        <f>Материалы!O442</f>
        <v/>
      </c>
    </row>
    <row r="443">
      <c r="A443" s="3">
        <f>Материалы!B443</f>
        <v/>
      </c>
      <c r="B443" s="3">
        <f>Материалы!D443</f>
        <v/>
      </c>
      <c r="C443" s="3">
        <f>Материалы!L443</f>
        <v/>
      </c>
      <c r="D443" s="3">
        <f>Материалы!M443</f>
        <v/>
      </c>
      <c r="E443" s="4">
        <f>Материалы!G443</f>
        <v/>
      </c>
      <c r="F443" s="4">
        <f>Материалы!P443</f>
        <v/>
      </c>
      <c r="G443" s="3">
        <f>Материалы!N443</f>
        <v/>
      </c>
      <c r="H443" s="3">
        <f>Материалы!O443</f>
        <v/>
      </c>
    </row>
    <row r="444">
      <c r="A444" s="3">
        <f>Материалы!B444</f>
        <v/>
      </c>
      <c r="B444" s="3">
        <f>Материалы!D444</f>
        <v/>
      </c>
      <c r="C444" s="3">
        <f>Материалы!L444</f>
        <v/>
      </c>
      <c r="D444" s="3">
        <f>Материалы!M444</f>
        <v/>
      </c>
      <c r="E444" s="4">
        <f>Материалы!G444</f>
        <v/>
      </c>
      <c r="F444" s="4">
        <f>Материалы!P444</f>
        <v/>
      </c>
      <c r="G444" s="3">
        <f>Материалы!N444</f>
        <v/>
      </c>
      <c r="H444" s="3">
        <f>Материалы!O444</f>
        <v/>
      </c>
    </row>
    <row r="445">
      <c r="A445" s="3">
        <f>Материалы!B445</f>
        <v/>
      </c>
      <c r="B445" s="3">
        <f>Материалы!D445</f>
        <v/>
      </c>
      <c r="C445" s="3">
        <f>Материалы!L445</f>
        <v/>
      </c>
      <c r="D445" s="3">
        <f>Материалы!M445</f>
        <v/>
      </c>
      <c r="E445" s="4">
        <f>Материалы!G445</f>
        <v/>
      </c>
      <c r="F445" s="4">
        <f>Материалы!P445</f>
        <v/>
      </c>
      <c r="G445" s="3">
        <f>Материалы!N445</f>
        <v/>
      </c>
      <c r="H445" s="3">
        <f>Материалы!O445</f>
        <v/>
      </c>
    </row>
    <row r="446">
      <c r="A446" s="3">
        <f>Материалы!B446</f>
        <v/>
      </c>
      <c r="B446" s="3">
        <f>Материалы!D446</f>
        <v/>
      </c>
      <c r="C446" s="3">
        <f>Материалы!L446</f>
        <v/>
      </c>
      <c r="D446" s="3">
        <f>Материалы!M446</f>
        <v/>
      </c>
      <c r="E446" s="4">
        <f>Материалы!G446</f>
        <v/>
      </c>
      <c r="F446" s="4">
        <f>Материалы!P446</f>
        <v/>
      </c>
      <c r="G446" s="3">
        <f>Материалы!N446</f>
        <v/>
      </c>
      <c r="H446" s="3">
        <f>Материалы!O446</f>
        <v/>
      </c>
    </row>
    <row r="447">
      <c r="A447" s="3">
        <f>Материалы!B447</f>
        <v/>
      </c>
      <c r="B447" s="3">
        <f>Материалы!D447</f>
        <v/>
      </c>
      <c r="C447" s="3">
        <f>Материалы!L447</f>
        <v/>
      </c>
      <c r="D447" s="3">
        <f>Материалы!M447</f>
        <v/>
      </c>
      <c r="E447" s="4">
        <f>Материалы!G447</f>
        <v/>
      </c>
      <c r="F447" s="4">
        <f>Материалы!P447</f>
        <v/>
      </c>
      <c r="G447" s="3">
        <f>Материалы!N447</f>
        <v/>
      </c>
      <c r="H447" s="3">
        <f>Материалы!O447</f>
        <v/>
      </c>
    </row>
    <row r="448">
      <c r="A448" s="3">
        <f>Материалы!B448</f>
        <v/>
      </c>
      <c r="B448" s="3">
        <f>Материалы!D448</f>
        <v/>
      </c>
      <c r="C448" s="3">
        <f>Материалы!L448</f>
        <v/>
      </c>
      <c r="D448" s="3">
        <f>Материалы!M448</f>
        <v/>
      </c>
      <c r="E448" s="4">
        <f>Материалы!G448</f>
        <v/>
      </c>
      <c r="F448" s="4">
        <f>Материалы!P448</f>
        <v/>
      </c>
      <c r="G448" s="3">
        <f>Материалы!N448</f>
        <v/>
      </c>
      <c r="H448" s="3">
        <f>Материалы!O448</f>
        <v/>
      </c>
    </row>
    <row r="449">
      <c r="A449" s="3">
        <f>Материалы!B449</f>
        <v/>
      </c>
      <c r="B449" s="3">
        <f>Материалы!D449</f>
        <v/>
      </c>
      <c r="C449" s="3">
        <f>Материалы!L449</f>
        <v/>
      </c>
      <c r="D449" s="3">
        <f>Материалы!M449</f>
        <v/>
      </c>
      <c r="E449" s="4">
        <f>Материалы!G449</f>
        <v/>
      </c>
      <c r="F449" s="4">
        <f>Материалы!P449</f>
        <v/>
      </c>
      <c r="G449" s="3">
        <f>Материалы!N449</f>
        <v/>
      </c>
      <c r="H449" s="3">
        <f>Материалы!O449</f>
        <v/>
      </c>
    </row>
    <row r="450">
      <c r="A450" s="3">
        <f>Материалы!B450</f>
        <v/>
      </c>
      <c r="B450" s="3">
        <f>Материалы!D450</f>
        <v/>
      </c>
      <c r="C450" s="3">
        <f>Материалы!L450</f>
        <v/>
      </c>
      <c r="D450" s="3">
        <f>Материалы!M450</f>
        <v/>
      </c>
      <c r="E450" s="4">
        <f>Материалы!G450</f>
        <v/>
      </c>
      <c r="F450" s="4">
        <f>Материалы!P450</f>
        <v/>
      </c>
      <c r="G450" s="3">
        <f>Материалы!N450</f>
        <v/>
      </c>
      <c r="H450" s="3">
        <f>Материалы!O450</f>
        <v/>
      </c>
    </row>
    <row r="451">
      <c r="A451" s="3">
        <f>Материалы!B451</f>
        <v/>
      </c>
      <c r="B451" s="3">
        <f>Материалы!D451</f>
        <v/>
      </c>
      <c r="C451" s="3">
        <f>Материалы!L451</f>
        <v/>
      </c>
      <c r="D451" s="3">
        <f>Материалы!M451</f>
        <v/>
      </c>
      <c r="E451" s="4">
        <f>Материалы!G451</f>
        <v/>
      </c>
      <c r="F451" s="4">
        <f>Материалы!P451</f>
        <v/>
      </c>
      <c r="G451" s="3">
        <f>Материалы!N451</f>
        <v/>
      </c>
      <c r="H451" s="3">
        <f>Материалы!O451</f>
        <v/>
      </c>
    </row>
    <row r="452">
      <c r="A452" s="3">
        <f>Материалы!B452</f>
        <v/>
      </c>
      <c r="B452" s="3">
        <f>Материалы!D452</f>
        <v/>
      </c>
      <c r="C452" s="3">
        <f>Материалы!L452</f>
        <v/>
      </c>
      <c r="D452" s="3">
        <f>Материалы!M452</f>
        <v/>
      </c>
      <c r="E452" s="4">
        <f>Материалы!G452</f>
        <v/>
      </c>
      <c r="F452" s="4">
        <f>Материалы!P452</f>
        <v/>
      </c>
      <c r="G452" s="3">
        <f>Материалы!N452</f>
        <v/>
      </c>
      <c r="H452" s="3">
        <f>Материалы!O452</f>
        <v/>
      </c>
    </row>
    <row r="453">
      <c r="A453" s="3">
        <f>Материалы!B453</f>
        <v/>
      </c>
      <c r="B453" s="3">
        <f>Материалы!D453</f>
        <v/>
      </c>
      <c r="C453" s="3">
        <f>Материалы!L453</f>
        <v/>
      </c>
      <c r="D453" s="3">
        <f>Материалы!M453</f>
        <v/>
      </c>
      <c r="E453" s="4">
        <f>Материалы!G453</f>
        <v/>
      </c>
      <c r="F453" s="4">
        <f>Материалы!P453</f>
        <v/>
      </c>
      <c r="G453" s="3">
        <f>Материалы!N453</f>
        <v/>
      </c>
      <c r="H453" s="3">
        <f>Материалы!O453</f>
        <v/>
      </c>
    </row>
    <row r="454">
      <c r="A454" s="3">
        <f>Материалы!B454</f>
        <v/>
      </c>
      <c r="B454" s="3">
        <f>Материалы!D454</f>
        <v/>
      </c>
      <c r="C454" s="3">
        <f>Материалы!L454</f>
        <v/>
      </c>
      <c r="D454" s="3">
        <f>Материалы!M454</f>
        <v/>
      </c>
      <c r="E454" s="4">
        <f>Материалы!G454</f>
        <v/>
      </c>
      <c r="F454" s="4">
        <f>Материалы!P454</f>
        <v/>
      </c>
      <c r="G454" s="3">
        <f>Материалы!N454</f>
        <v/>
      </c>
      <c r="H454" s="3">
        <f>Материалы!O454</f>
        <v/>
      </c>
    </row>
    <row r="455">
      <c r="A455" s="3">
        <f>Материалы!B455</f>
        <v/>
      </c>
      <c r="B455" s="3">
        <f>Материалы!D455</f>
        <v/>
      </c>
      <c r="C455" s="3">
        <f>Материалы!L455</f>
        <v/>
      </c>
      <c r="D455" s="3">
        <f>Материалы!M455</f>
        <v/>
      </c>
      <c r="E455" s="4">
        <f>Материалы!G455</f>
        <v/>
      </c>
      <c r="F455" s="4">
        <f>Материалы!P455</f>
        <v/>
      </c>
      <c r="G455" s="3">
        <f>Материалы!N455</f>
        <v/>
      </c>
      <c r="H455" s="3">
        <f>Материалы!O455</f>
        <v/>
      </c>
    </row>
    <row r="456">
      <c r="A456" s="3">
        <f>Материалы!B456</f>
        <v/>
      </c>
      <c r="B456" s="3">
        <f>Материалы!D456</f>
        <v/>
      </c>
      <c r="C456" s="3">
        <f>Материалы!L456</f>
        <v/>
      </c>
      <c r="D456" s="3">
        <f>Материалы!M456</f>
        <v/>
      </c>
      <c r="E456" s="4">
        <f>Материалы!G456</f>
        <v/>
      </c>
      <c r="F456" s="4">
        <f>Материалы!P456</f>
        <v/>
      </c>
      <c r="G456" s="3">
        <f>Материалы!N456</f>
        <v/>
      </c>
      <c r="H456" s="3">
        <f>Материалы!O456</f>
        <v/>
      </c>
    </row>
    <row r="457">
      <c r="A457" s="3">
        <f>Материалы!B457</f>
        <v/>
      </c>
      <c r="B457" s="3">
        <f>Материалы!D457</f>
        <v/>
      </c>
      <c r="C457" s="3">
        <f>Материалы!L457</f>
        <v/>
      </c>
      <c r="D457" s="3">
        <f>Материалы!M457</f>
        <v/>
      </c>
      <c r="E457" s="4">
        <f>Материалы!G457</f>
        <v/>
      </c>
      <c r="F457" s="4">
        <f>Материалы!P457</f>
        <v/>
      </c>
      <c r="G457" s="3">
        <f>Материалы!N457</f>
        <v/>
      </c>
      <c r="H457" s="3">
        <f>Материалы!O457</f>
        <v/>
      </c>
    </row>
    <row r="458">
      <c r="A458" s="3">
        <f>Материалы!B458</f>
        <v/>
      </c>
      <c r="B458" s="3">
        <f>Материалы!D458</f>
        <v/>
      </c>
      <c r="C458" s="3">
        <f>Материалы!L458</f>
        <v/>
      </c>
      <c r="D458" s="3">
        <f>Материалы!M458</f>
        <v/>
      </c>
      <c r="E458" s="4">
        <f>Материалы!G458</f>
        <v/>
      </c>
      <c r="F458" s="4">
        <f>Материалы!P458</f>
        <v/>
      </c>
      <c r="G458" s="3">
        <f>Материалы!N458</f>
        <v/>
      </c>
      <c r="H458" s="3">
        <f>Материалы!O458</f>
        <v/>
      </c>
    </row>
    <row r="459">
      <c r="A459" s="3">
        <f>Материалы!B459</f>
        <v/>
      </c>
      <c r="B459" s="3">
        <f>Материалы!D459</f>
        <v/>
      </c>
      <c r="C459" s="3">
        <f>Материалы!L459</f>
        <v/>
      </c>
      <c r="D459" s="3">
        <f>Материалы!M459</f>
        <v/>
      </c>
      <c r="E459" s="4">
        <f>Материалы!G459</f>
        <v/>
      </c>
      <c r="F459" s="4">
        <f>Материалы!P459</f>
        <v/>
      </c>
      <c r="G459" s="3">
        <f>Материалы!N459</f>
        <v/>
      </c>
      <c r="H459" s="3">
        <f>Материалы!O459</f>
        <v/>
      </c>
    </row>
    <row r="460">
      <c r="A460" s="3">
        <f>Материалы!B460</f>
        <v/>
      </c>
      <c r="B460" s="3">
        <f>Материалы!D460</f>
        <v/>
      </c>
      <c r="C460" s="3">
        <f>Материалы!L460</f>
        <v/>
      </c>
      <c r="D460" s="3">
        <f>Материалы!M460</f>
        <v/>
      </c>
      <c r="E460" s="4">
        <f>Материалы!G460</f>
        <v/>
      </c>
      <c r="F460" s="4">
        <f>Материалы!P460</f>
        <v/>
      </c>
      <c r="G460" s="3">
        <f>Материалы!N460</f>
        <v/>
      </c>
      <c r="H460" s="3">
        <f>Материалы!O460</f>
        <v/>
      </c>
    </row>
    <row r="461">
      <c r="A461" s="3">
        <f>Материалы!B461</f>
        <v/>
      </c>
      <c r="B461" s="3">
        <f>Материалы!D461</f>
        <v/>
      </c>
      <c r="C461" s="3">
        <f>Материалы!L461</f>
        <v/>
      </c>
      <c r="D461" s="3">
        <f>Материалы!M461</f>
        <v/>
      </c>
      <c r="E461" s="4">
        <f>Материалы!G461</f>
        <v/>
      </c>
      <c r="F461" s="4">
        <f>Материалы!P461</f>
        <v/>
      </c>
      <c r="G461" s="3">
        <f>Материалы!N461</f>
        <v/>
      </c>
      <c r="H461" s="3">
        <f>Материалы!O461</f>
        <v/>
      </c>
    </row>
    <row r="462">
      <c r="A462" s="3">
        <f>Материалы!B462</f>
        <v/>
      </c>
      <c r="B462" s="3">
        <f>Материалы!D462</f>
        <v/>
      </c>
      <c r="C462" s="3">
        <f>Материалы!L462</f>
        <v/>
      </c>
      <c r="D462" s="3">
        <f>Материалы!M462</f>
        <v/>
      </c>
      <c r="E462" s="4">
        <f>Материалы!G462</f>
        <v/>
      </c>
      <c r="F462" s="4">
        <f>Материалы!P462</f>
        <v/>
      </c>
      <c r="G462" s="3">
        <f>Материалы!N462</f>
        <v/>
      </c>
      <c r="H462" s="3">
        <f>Материалы!O462</f>
        <v/>
      </c>
    </row>
    <row r="463">
      <c r="A463" s="3">
        <f>Материалы!B463</f>
        <v/>
      </c>
      <c r="B463" s="3">
        <f>Материалы!D463</f>
        <v/>
      </c>
      <c r="C463" s="3">
        <f>Материалы!L463</f>
        <v/>
      </c>
      <c r="D463" s="3">
        <f>Материалы!M463</f>
        <v/>
      </c>
      <c r="E463" s="4">
        <f>Материалы!G463</f>
        <v/>
      </c>
      <c r="F463" s="4">
        <f>Материалы!P463</f>
        <v/>
      </c>
      <c r="G463" s="3">
        <f>Материалы!N463</f>
        <v/>
      </c>
      <c r="H463" s="3">
        <f>Материалы!O463</f>
        <v/>
      </c>
    </row>
    <row r="464">
      <c r="A464" s="3">
        <f>Материалы!B464</f>
        <v/>
      </c>
      <c r="B464" s="3">
        <f>Материалы!D464</f>
        <v/>
      </c>
      <c r="C464" s="3">
        <f>Материалы!L464</f>
        <v/>
      </c>
      <c r="D464" s="3">
        <f>Материалы!M464</f>
        <v/>
      </c>
      <c r="E464" s="4">
        <f>Материалы!G464</f>
        <v/>
      </c>
      <c r="F464" s="4">
        <f>Материалы!P464</f>
        <v/>
      </c>
      <c r="G464" s="3">
        <f>Материалы!N464</f>
        <v/>
      </c>
      <c r="H464" s="3">
        <f>Материалы!O464</f>
        <v/>
      </c>
    </row>
    <row r="465">
      <c r="A465" s="3">
        <f>Материалы!B465</f>
        <v/>
      </c>
      <c r="B465" s="3">
        <f>Материалы!D465</f>
        <v/>
      </c>
      <c r="C465" s="3">
        <f>Материалы!L465</f>
        <v/>
      </c>
      <c r="D465" s="3">
        <f>Материалы!M465</f>
        <v/>
      </c>
      <c r="E465" s="4">
        <f>Материалы!G465</f>
        <v/>
      </c>
      <c r="F465" s="4">
        <f>Материалы!P465</f>
        <v/>
      </c>
      <c r="G465" s="3">
        <f>Материалы!N465</f>
        <v/>
      </c>
      <c r="H465" s="3">
        <f>Материалы!O465</f>
        <v/>
      </c>
    </row>
    <row r="466">
      <c r="A466" s="3">
        <f>Материалы!B466</f>
        <v/>
      </c>
      <c r="B466" s="3">
        <f>Материалы!D466</f>
        <v/>
      </c>
      <c r="C466" s="3">
        <f>Материалы!L466</f>
        <v/>
      </c>
      <c r="D466" s="3">
        <f>Материалы!M466</f>
        <v/>
      </c>
      <c r="E466" s="4">
        <f>Материалы!G466</f>
        <v/>
      </c>
      <c r="F466" s="4">
        <f>Материалы!P466</f>
        <v/>
      </c>
      <c r="G466" s="3">
        <f>Материалы!N466</f>
        <v/>
      </c>
      <c r="H466" s="3">
        <f>Материалы!O466</f>
        <v/>
      </c>
    </row>
    <row r="467">
      <c r="A467" s="3">
        <f>Материалы!B467</f>
        <v/>
      </c>
      <c r="B467" s="3">
        <f>Материалы!D467</f>
        <v/>
      </c>
      <c r="C467" s="3">
        <f>Материалы!L467</f>
        <v/>
      </c>
      <c r="D467" s="3">
        <f>Материалы!M467</f>
        <v/>
      </c>
      <c r="E467" s="4">
        <f>Материалы!G467</f>
        <v/>
      </c>
      <c r="F467" s="4">
        <f>Материалы!P467</f>
        <v/>
      </c>
      <c r="G467" s="3">
        <f>Материалы!N467</f>
        <v/>
      </c>
      <c r="H467" s="3">
        <f>Материалы!O467</f>
        <v/>
      </c>
    </row>
    <row r="468">
      <c r="A468" s="3">
        <f>Материалы!B468</f>
        <v/>
      </c>
      <c r="B468" s="3">
        <f>Материалы!D468</f>
        <v/>
      </c>
      <c r="C468" s="3">
        <f>Материалы!L468</f>
        <v/>
      </c>
      <c r="D468" s="3">
        <f>Материалы!M468</f>
        <v/>
      </c>
      <c r="E468" s="4">
        <f>Материалы!G468</f>
        <v/>
      </c>
      <c r="F468" s="4">
        <f>Материалы!P468</f>
        <v/>
      </c>
      <c r="G468" s="3">
        <f>Материалы!N468</f>
        <v/>
      </c>
      <c r="H468" s="3">
        <f>Материалы!O468</f>
        <v/>
      </c>
    </row>
    <row r="469">
      <c r="A469" s="3">
        <f>Материалы!B469</f>
        <v/>
      </c>
      <c r="B469" s="3">
        <f>Материалы!D469</f>
        <v/>
      </c>
      <c r="C469" s="3">
        <f>Материалы!L469</f>
        <v/>
      </c>
      <c r="D469" s="3">
        <f>Материалы!M469</f>
        <v/>
      </c>
      <c r="E469" s="4">
        <f>Материалы!G469</f>
        <v/>
      </c>
      <c r="F469" s="4">
        <f>Материалы!P469</f>
        <v/>
      </c>
      <c r="G469" s="3">
        <f>Материалы!N469</f>
        <v/>
      </c>
      <c r="H469" s="3">
        <f>Материалы!O469</f>
        <v/>
      </c>
    </row>
    <row r="470">
      <c r="A470" s="3">
        <f>Материалы!B470</f>
        <v/>
      </c>
      <c r="B470" s="3">
        <f>Материалы!D470</f>
        <v/>
      </c>
      <c r="C470" s="3">
        <f>Материалы!L470</f>
        <v/>
      </c>
      <c r="D470" s="3">
        <f>Материалы!M470</f>
        <v/>
      </c>
      <c r="E470" s="4">
        <f>Материалы!G470</f>
        <v/>
      </c>
      <c r="F470" s="4">
        <f>Материалы!P470</f>
        <v/>
      </c>
      <c r="G470" s="3">
        <f>Материалы!N470</f>
        <v/>
      </c>
      <c r="H470" s="3">
        <f>Материалы!O470</f>
        <v/>
      </c>
    </row>
    <row r="471">
      <c r="A471" s="3">
        <f>Материалы!B471</f>
        <v/>
      </c>
      <c r="B471" s="3">
        <f>Материалы!D471</f>
        <v/>
      </c>
      <c r="C471" s="3">
        <f>Материалы!L471</f>
        <v/>
      </c>
      <c r="D471" s="3">
        <f>Материалы!M471</f>
        <v/>
      </c>
      <c r="E471" s="4">
        <f>Материалы!G471</f>
        <v/>
      </c>
      <c r="F471" s="4">
        <f>Материалы!P471</f>
        <v/>
      </c>
      <c r="G471" s="3">
        <f>Материалы!N471</f>
        <v/>
      </c>
      <c r="H471" s="3">
        <f>Материалы!O471</f>
        <v/>
      </c>
    </row>
    <row r="472">
      <c r="A472" s="3">
        <f>Материалы!B472</f>
        <v/>
      </c>
      <c r="B472" s="3">
        <f>Материалы!D472</f>
        <v/>
      </c>
      <c r="C472" s="3">
        <f>Материалы!L472</f>
        <v/>
      </c>
      <c r="D472" s="3">
        <f>Материалы!M472</f>
        <v/>
      </c>
      <c r="E472" s="4">
        <f>Материалы!G472</f>
        <v/>
      </c>
      <c r="F472" s="4">
        <f>Материалы!P472</f>
        <v/>
      </c>
      <c r="G472" s="3">
        <f>Материалы!N472</f>
        <v/>
      </c>
      <c r="H472" s="3">
        <f>Материалы!O472</f>
        <v/>
      </c>
    </row>
    <row r="473">
      <c r="A473" s="3">
        <f>Материалы!B473</f>
        <v/>
      </c>
      <c r="B473" s="3">
        <f>Материалы!D473</f>
        <v/>
      </c>
      <c r="C473" s="3">
        <f>Материалы!L473</f>
        <v/>
      </c>
      <c r="D473" s="3">
        <f>Материалы!M473</f>
        <v/>
      </c>
      <c r="E473" s="4">
        <f>Материалы!G473</f>
        <v/>
      </c>
      <c r="F473" s="4">
        <f>Материалы!P473</f>
        <v/>
      </c>
      <c r="G473" s="3">
        <f>Материалы!N473</f>
        <v/>
      </c>
      <c r="H473" s="3">
        <f>Материалы!O473</f>
        <v/>
      </c>
    </row>
    <row r="474">
      <c r="A474" s="3">
        <f>Материалы!B474</f>
        <v/>
      </c>
      <c r="B474" s="3">
        <f>Материалы!D474</f>
        <v/>
      </c>
      <c r="C474" s="3">
        <f>Материалы!L474</f>
        <v/>
      </c>
      <c r="D474" s="3">
        <f>Материалы!M474</f>
        <v/>
      </c>
      <c r="E474" s="4">
        <f>Материалы!G474</f>
        <v/>
      </c>
      <c r="F474" s="4">
        <f>Материалы!P474</f>
        <v/>
      </c>
      <c r="G474" s="3">
        <f>Материалы!N474</f>
        <v/>
      </c>
      <c r="H474" s="3">
        <f>Материалы!O474</f>
        <v/>
      </c>
    </row>
    <row r="475">
      <c r="A475" s="3">
        <f>Материалы!B475</f>
        <v/>
      </c>
      <c r="B475" s="3">
        <f>Материалы!D475</f>
        <v/>
      </c>
      <c r="C475" s="3">
        <f>Материалы!L475</f>
        <v/>
      </c>
      <c r="D475" s="3">
        <f>Материалы!M475</f>
        <v/>
      </c>
      <c r="E475" s="4">
        <f>Материалы!G475</f>
        <v/>
      </c>
      <c r="F475" s="4">
        <f>Материалы!P475</f>
        <v/>
      </c>
      <c r="G475" s="3">
        <f>Материалы!N475</f>
        <v/>
      </c>
      <c r="H475" s="3">
        <f>Материалы!O475</f>
        <v/>
      </c>
    </row>
    <row r="476">
      <c r="A476" s="3">
        <f>Материалы!B476</f>
        <v/>
      </c>
      <c r="B476" s="3">
        <f>Материалы!D476</f>
        <v/>
      </c>
      <c r="C476" s="3">
        <f>Материалы!L476</f>
        <v/>
      </c>
      <c r="D476" s="3">
        <f>Материалы!M476</f>
        <v/>
      </c>
      <c r="E476" s="4">
        <f>Материалы!G476</f>
        <v/>
      </c>
      <c r="F476" s="4">
        <f>Материалы!P476</f>
        <v/>
      </c>
      <c r="G476" s="3">
        <f>Материалы!N476</f>
        <v/>
      </c>
      <c r="H476" s="3">
        <f>Материалы!O476</f>
        <v/>
      </c>
    </row>
    <row r="477">
      <c r="A477" s="3">
        <f>Материалы!B477</f>
        <v/>
      </c>
      <c r="B477" s="3">
        <f>Материалы!D477</f>
        <v/>
      </c>
      <c r="C477" s="3">
        <f>Материалы!L477</f>
        <v/>
      </c>
      <c r="D477" s="3">
        <f>Материалы!M477</f>
        <v/>
      </c>
      <c r="E477" s="4">
        <f>Материалы!G477</f>
        <v/>
      </c>
      <c r="F477" s="4">
        <f>Материалы!P477</f>
        <v/>
      </c>
      <c r="G477" s="3">
        <f>Материалы!N477</f>
        <v/>
      </c>
      <c r="H477" s="3">
        <f>Материалы!O477</f>
        <v/>
      </c>
    </row>
    <row r="478">
      <c r="A478" s="3">
        <f>Материалы!B478</f>
        <v/>
      </c>
      <c r="B478" s="3">
        <f>Материалы!D478</f>
        <v/>
      </c>
      <c r="C478" s="3">
        <f>Материалы!L478</f>
        <v/>
      </c>
      <c r="D478" s="3">
        <f>Материалы!M478</f>
        <v/>
      </c>
      <c r="E478" s="4">
        <f>Материалы!G478</f>
        <v/>
      </c>
      <c r="F478" s="4">
        <f>Материалы!P478</f>
        <v/>
      </c>
      <c r="G478" s="3">
        <f>Материалы!N478</f>
        <v/>
      </c>
      <c r="H478" s="3">
        <f>Материалы!O478</f>
        <v/>
      </c>
    </row>
    <row r="479">
      <c r="A479" s="3">
        <f>Материалы!B479</f>
        <v/>
      </c>
      <c r="B479" s="3">
        <f>Материалы!D479</f>
        <v/>
      </c>
      <c r="C479" s="3">
        <f>Материалы!L479</f>
        <v/>
      </c>
      <c r="D479" s="3">
        <f>Материалы!M479</f>
        <v/>
      </c>
      <c r="E479" s="4">
        <f>Материалы!G479</f>
        <v/>
      </c>
      <c r="F479" s="4">
        <f>Материалы!P479</f>
        <v/>
      </c>
      <c r="G479" s="3">
        <f>Материалы!N479</f>
        <v/>
      </c>
      <c r="H479" s="3">
        <f>Материалы!O479</f>
        <v/>
      </c>
    </row>
    <row r="480">
      <c r="A480" s="3">
        <f>Материалы!B480</f>
        <v/>
      </c>
      <c r="B480" s="3">
        <f>Материалы!D480</f>
        <v/>
      </c>
      <c r="C480" s="3">
        <f>Материалы!L480</f>
        <v/>
      </c>
      <c r="D480" s="3">
        <f>Материалы!M480</f>
        <v/>
      </c>
      <c r="E480" s="4">
        <f>Материалы!G480</f>
        <v/>
      </c>
      <c r="F480" s="4">
        <f>Материалы!P480</f>
        <v/>
      </c>
      <c r="G480" s="3">
        <f>Материалы!N480</f>
        <v/>
      </c>
      <c r="H480" s="3">
        <f>Материалы!O480</f>
        <v/>
      </c>
    </row>
    <row r="481">
      <c r="A481" s="3">
        <f>Материалы!B481</f>
        <v/>
      </c>
      <c r="B481" s="3">
        <f>Материалы!D481</f>
        <v/>
      </c>
      <c r="C481" s="3">
        <f>Материалы!L481</f>
        <v/>
      </c>
      <c r="D481" s="3">
        <f>Материалы!M481</f>
        <v/>
      </c>
      <c r="E481" s="4">
        <f>Материалы!G481</f>
        <v/>
      </c>
      <c r="F481" s="4">
        <f>Материалы!P481</f>
        <v/>
      </c>
      <c r="G481" s="3">
        <f>Материалы!N481</f>
        <v/>
      </c>
      <c r="H481" s="3">
        <f>Материалы!O481</f>
        <v/>
      </c>
    </row>
    <row r="482">
      <c r="A482" s="3">
        <f>Материалы!B482</f>
        <v/>
      </c>
      <c r="B482" s="3">
        <f>Материалы!D482</f>
        <v/>
      </c>
      <c r="C482" s="3">
        <f>Материалы!L482</f>
        <v/>
      </c>
      <c r="D482" s="3">
        <f>Материалы!M482</f>
        <v/>
      </c>
      <c r="E482" s="4">
        <f>Материалы!G482</f>
        <v/>
      </c>
      <c r="F482" s="4">
        <f>Материалы!P482</f>
        <v/>
      </c>
      <c r="G482" s="3">
        <f>Материалы!N482</f>
        <v/>
      </c>
      <c r="H482" s="3">
        <f>Материалы!O482</f>
        <v/>
      </c>
    </row>
    <row r="483">
      <c r="A483" s="3">
        <f>Материалы!B483</f>
        <v/>
      </c>
      <c r="B483" s="3">
        <f>Материалы!D483</f>
        <v/>
      </c>
      <c r="C483" s="3">
        <f>Материалы!L483</f>
        <v/>
      </c>
      <c r="D483" s="3">
        <f>Материалы!M483</f>
        <v/>
      </c>
      <c r="E483" s="4">
        <f>Материалы!G483</f>
        <v/>
      </c>
      <c r="F483" s="4">
        <f>Материалы!P483</f>
        <v/>
      </c>
      <c r="G483" s="3">
        <f>Материалы!N483</f>
        <v/>
      </c>
      <c r="H483" s="3">
        <f>Материалы!O483</f>
        <v/>
      </c>
    </row>
    <row r="484">
      <c r="A484" s="3">
        <f>Материалы!B484</f>
        <v/>
      </c>
      <c r="B484" s="3">
        <f>Материалы!D484</f>
        <v/>
      </c>
      <c r="C484" s="3">
        <f>Материалы!L484</f>
        <v/>
      </c>
      <c r="D484" s="3">
        <f>Материалы!M484</f>
        <v/>
      </c>
      <c r="E484" s="4">
        <f>Материалы!G484</f>
        <v/>
      </c>
      <c r="F484" s="4">
        <f>Материалы!P484</f>
        <v/>
      </c>
      <c r="G484" s="3">
        <f>Материалы!N484</f>
        <v/>
      </c>
      <c r="H484" s="3">
        <f>Материалы!O484</f>
        <v/>
      </c>
    </row>
    <row r="485">
      <c r="A485" s="3">
        <f>Материалы!B485</f>
        <v/>
      </c>
      <c r="B485" s="3">
        <f>Материалы!D485</f>
        <v/>
      </c>
      <c r="C485" s="3">
        <f>Материалы!L485</f>
        <v/>
      </c>
      <c r="D485" s="3">
        <f>Материалы!M485</f>
        <v/>
      </c>
      <c r="E485" s="4">
        <f>Материалы!G485</f>
        <v/>
      </c>
      <c r="F485" s="4">
        <f>Материалы!P485</f>
        <v/>
      </c>
      <c r="G485" s="3">
        <f>Материалы!N485</f>
        <v/>
      </c>
      <c r="H485" s="3">
        <f>Материалы!O485</f>
        <v/>
      </c>
    </row>
    <row r="486">
      <c r="A486" s="3">
        <f>Материалы!B486</f>
        <v/>
      </c>
      <c r="B486" s="3">
        <f>Материалы!D486</f>
        <v/>
      </c>
      <c r="C486" s="3">
        <f>Материалы!L486</f>
        <v/>
      </c>
      <c r="D486" s="3">
        <f>Материалы!M486</f>
        <v/>
      </c>
      <c r="E486" s="4">
        <f>Материалы!G486</f>
        <v/>
      </c>
      <c r="F486" s="4">
        <f>Материалы!P486</f>
        <v/>
      </c>
      <c r="G486" s="3">
        <f>Материалы!N486</f>
        <v/>
      </c>
      <c r="H486" s="3">
        <f>Материалы!O486</f>
        <v/>
      </c>
    </row>
    <row r="487">
      <c r="A487" s="3">
        <f>Материалы!B487</f>
        <v/>
      </c>
      <c r="B487" s="3">
        <f>Материалы!D487</f>
        <v/>
      </c>
      <c r="C487" s="3">
        <f>Материалы!L487</f>
        <v/>
      </c>
      <c r="D487" s="3">
        <f>Материалы!M487</f>
        <v/>
      </c>
      <c r="E487" s="4">
        <f>Материалы!G487</f>
        <v/>
      </c>
      <c r="F487" s="4">
        <f>Материалы!P487</f>
        <v/>
      </c>
      <c r="G487" s="3">
        <f>Материалы!N487</f>
        <v/>
      </c>
      <c r="H487" s="3">
        <f>Материалы!O487</f>
        <v/>
      </c>
    </row>
    <row r="488">
      <c r="A488" s="3">
        <f>Материалы!B488</f>
        <v/>
      </c>
      <c r="B488" s="3">
        <f>Материалы!D488</f>
        <v/>
      </c>
      <c r="C488" s="3">
        <f>Материалы!L488</f>
        <v/>
      </c>
      <c r="D488" s="3">
        <f>Материалы!M488</f>
        <v/>
      </c>
      <c r="E488" s="4">
        <f>Материалы!G488</f>
        <v/>
      </c>
      <c r="F488" s="4">
        <f>Материалы!P488</f>
        <v/>
      </c>
      <c r="G488" s="3">
        <f>Материалы!N488</f>
        <v/>
      </c>
      <c r="H488" s="3">
        <f>Материалы!O488</f>
        <v/>
      </c>
    </row>
    <row r="489">
      <c r="A489" s="3">
        <f>Материалы!B489</f>
        <v/>
      </c>
      <c r="B489" s="3">
        <f>Материалы!D489</f>
        <v/>
      </c>
      <c r="C489" s="3">
        <f>Материалы!L489</f>
        <v/>
      </c>
      <c r="D489" s="3">
        <f>Материалы!M489</f>
        <v/>
      </c>
      <c r="E489" s="4">
        <f>Материалы!G489</f>
        <v/>
      </c>
      <c r="F489" s="4">
        <f>Материалы!P489</f>
        <v/>
      </c>
      <c r="G489" s="3">
        <f>Материалы!N489</f>
        <v/>
      </c>
      <c r="H489" s="3">
        <f>Материалы!O489</f>
        <v/>
      </c>
    </row>
    <row r="490">
      <c r="A490" s="3">
        <f>Материалы!B490</f>
        <v/>
      </c>
      <c r="B490" s="3">
        <f>Материалы!D490</f>
        <v/>
      </c>
      <c r="C490" s="3">
        <f>Материалы!L490</f>
        <v/>
      </c>
      <c r="D490" s="3">
        <f>Материалы!M490</f>
        <v/>
      </c>
      <c r="E490" s="4">
        <f>Материалы!G490</f>
        <v/>
      </c>
      <c r="F490" s="4">
        <f>Материалы!P490</f>
        <v/>
      </c>
      <c r="G490" s="3">
        <f>Материалы!N490</f>
        <v/>
      </c>
      <c r="H490" s="3">
        <f>Материалы!O490</f>
        <v/>
      </c>
    </row>
    <row r="491">
      <c r="A491" s="3">
        <f>Материалы!B491</f>
        <v/>
      </c>
      <c r="B491" s="3">
        <f>Материалы!D491</f>
        <v/>
      </c>
      <c r="C491" s="3">
        <f>Материалы!L491</f>
        <v/>
      </c>
      <c r="D491" s="3">
        <f>Материалы!M491</f>
        <v/>
      </c>
      <c r="E491" s="4">
        <f>Материалы!G491</f>
        <v/>
      </c>
      <c r="F491" s="4">
        <f>Материалы!P491</f>
        <v/>
      </c>
      <c r="G491" s="3">
        <f>Материалы!N491</f>
        <v/>
      </c>
      <c r="H491" s="3">
        <f>Материалы!O491</f>
        <v/>
      </c>
    </row>
    <row r="492">
      <c r="A492" s="3">
        <f>Материалы!B492</f>
        <v/>
      </c>
      <c r="B492" s="3">
        <f>Материалы!D492</f>
        <v/>
      </c>
      <c r="C492" s="3">
        <f>Материалы!L492</f>
        <v/>
      </c>
      <c r="D492" s="3">
        <f>Материалы!M492</f>
        <v/>
      </c>
      <c r="E492" s="4">
        <f>Материалы!G492</f>
        <v/>
      </c>
      <c r="F492" s="4">
        <f>Материалы!P492</f>
        <v/>
      </c>
      <c r="G492" s="3">
        <f>Материалы!N492</f>
        <v/>
      </c>
      <c r="H492" s="3">
        <f>Материалы!O492</f>
        <v/>
      </c>
    </row>
    <row r="493">
      <c r="A493" s="3">
        <f>Материалы!B493</f>
        <v/>
      </c>
      <c r="B493" s="3">
        <f>Материалы!D493</f>
        <v/>
      </c>
      <c r="C493" s="3">
        <f>Материалы!L493</f>
        <v/>
      </c>
      <c r="D493" s="3">
        <f>Материалы!M493</f>
        <v/>
      </c>
      <c r="E493" s="4">
        <f>Материалы!G493</f>
        <v/>
      </c>
      <c r="F493" s="4">
        <f>Материалы!P493</f>
        <v/>
      </c>
      <c r="G493" s="3">
        <f>Материалы!N493</f>
        <v/>
      </c>
      <c r="H493" s="3">
        <f>Материалы!O493</f>
        <v/>
      </c>
    </row>
    <row r="494">
      <c r="A494" s="3">
        <f>Материалы!B494</f>
        <v/>
      </c>
      <c r="B494" s="3">
        <f>Материалы!D494</f>
        <v/>
      </c>
      <c r="C494" s="3">
        <f>Материалы!L494</f>
        <v/>
      </c>
      <c r="D494" s="3">
        <f>Материалы!M494</f>
        <v/>
      </c>
      <c r="E494" s="4">
        <f>Материалы!G494</f>
        <v/>
      </c>
      <c r="F494" s="4">
        <f>Материалы!P494</f>
        <v/>
      </c>
      <c r="G494" s="3">
        <f>Материалы!N494</f>
        <v/>
      </c>
      <c r="H494" s="3">
        <f>Материалы!O494</f>
        <v/>
      </c>
    </row>
    <row r="495">
      <c r="A495" s="3">
        <f>Материалы!B495</f>
        <v/>
      </c>
      <c r="B495" s="3">
        <f>Материалы!D495</f>
        <v/>
      </c>
      <c r="C495" s="3">
        <f>Материалы!L495</f>
        <v/>
      </c>
      <c r="D495" s="3">
        <f>Материалы!M495</f>
        <v/>
      </c>
      <c r="E495" s="4">
        <f>Материалы!G495</f>
        <v/>
      </c>
      <c r="F495" s="4">
        <f>Материалы!P495</f>
        <v/>
      </c>
      <c r="G495" s="3">
        <f>Материалы!N495</f>
        <v/>
      </c>
      <c r="H495" s="3">
        <f>Материалы!O495</f>
        <v/>
      </c>
    </row>
    <row r="496">
      <c r="A496" s="3">
        <f>Материалы!B496</f>
        <v/>
      </c>
      <c r="B496" s="3">
        <f>Материалы!D496</f>
        <v/>
      </c>
      <c r="C496" s="3">
        <f>Материалы!L496</f>
        <v/>
      </c>
      <c r="D496" s="3">
        <f>Материалы!M496</f>
        <v/>
      </c>
      <c r="E496" s="4">
        <f>Материалы!G496</f>
        <v/>
      </c>
      <c r="F496" s="4">
        <f>Материалы!P496</f>
        <v/>
      </c>
      <c r="G496" s="3">
        <f>Материалы!N496</f>
        <v/>
      </c>
      <c r="H496" s="3">
        <f>Материалы!O496</f>
        <v/>
      </c>
    </row>
    <row r="497">
      <c r="A497" s="3">
        <f>Материалы!B497</f>
        <v/>
      </c>
      <c r="B497" s="3">
        <f>Материалы!D497</f>
        <v/>
      </c>
      <c r="C497" s="3">
        <f>Материалы!L497</f>
        <v/>
      </c>
      <c r="D497" s="3">
        <f>Материалы!M497</f>
        <v/>
      </c>
      <c r="E497" s="4">
        <f>Материалы!G497</f>
        <v/>
      </c>
      <c r="F497" s="4">
        <f>Материалы!P497</f>
        <v/>
      </c>
      <c r="G497" s="3">
        <f>Материалы!N497</f>
        <v/>
      </c>
      <c r="H497" s="3">
        <f>Материалы!O497</f>
        <v/>
      </c>
    </row>
    <row r="498">
      <c r="A498" s="3">
        <f>Материалы!B498</f>
        <v/>
      </c>
      <c r="B498" s="3">
        <f>Материалы!D498</f>
        <v/>
      </c>
      <c r="C498" s="3">
        <f>Материалы!L498</f>
        <v/>
      </c>
      <c r="D498" s="3">
        <f>Материалы!M498</f>
        <v/>
      </c>
      <c r="E498" s="4">
        <f>Материалы!G498</f>
        <v/>
      </c>
      <c r="F498" s="4">
        <f>Материалы!P498</f>
        <v/>
      </c>
      <c r="G498" s="3">
        <f>Материалы!N498</f>
        <v/>
      </c>
      <c r="H498" s="3">
        <f>Материалы!O498</f>
        <v/>
      </c>
    </row>
    <row r="499">
      <c r="A499" s="3">
        <f>Материалы!B499</f>
        <v/>
      </c>
      <c r="B499" s="3">
        <f>Материалы!D499</f>
        <v/>
      </c>
      <c r="C499" s="3">
        <f>Материалы!L499</f>
        <v/>
      </c>
      <c r="D499" s="3">
        <f>Материалы!M499</f>
        <v/>
      </c>
      <c r="E499" s="4">
        <f>Материалы!G499</f>
        <v/>
      </c>
      <c r="F499" s="4">
        <f>Материалы!P499</f>
        <v/>
      </c>
      <c r="G499" s="3">
        <f>Материалы!N499</f>
        <v/>
      </c>
      <c r="H499" s="3">
        <f>Материалы!O499</f>
        <v/>
      </c>
    </row>
    <row r="500">
      <c r="A500" s="3">
        <f>Материалы!B500</f>
        <v/>
      </c>
      <c r="B500" s="3">
        <f>Материалы!D500</f>
        <v/>
      </c>
      <c r="C500" s="3">
        <f>Материалы!L500</f>
        <v/>
      </c>
      <c r="D500" s="3">
        <f>Материалы!M500</f>
        <v/>
      </c>
      <c r="E500" s="4">
        <f>Материалы!G500</f>
        <v/>
      </c>
      <c r="F500" s="4">
        <f>Материалы!P500</f>
        <v/>
      </c>
      <c r="G500" s="3">
        <f>Материалы!N500</f>
        <v/>
      </c>
      <c r="H500" s="3">
        <f>Материалы!O500</f>
        <v/>
      </c>
    </row>
    <row r="501">
      <c r="A501" s="3">
        <f>Материалы!B501</f>
        <v/>
      </c>
      <c r="B501" s="3">
        <f>Материалы!D501</f>
        <v/>
      </c>
      <c r="C501" s="3">
        <f>Материалы!L501</f>
        <v/>
      </c>
      <c r="D501" s="3">
        <f>Материалы!M501</f>
        <v/>
      </c>
      <c r="E501" s="4">
        <f>Материалы!G501</f>
        <v/>
      </c>
      <c r="F501" s="4">
        <f>Материалы!P501</f>
        <v/>
      </c>
      <c r="G501" s="3">
        <f>Материалы!N501</f>
        <v/>
      </c>
      <c r="H501" s="3">
        <f>Материалы!O501</f>
        <v/>
      </c>
    </row>
    <row r="502">
      <c r="A502" s="3">
        <f>Материалы!B502</f>
        <v/>
      </c>
      <c r="B502" s="3">
        <f>Материалы!D502</f>
        <v/>
      </c>
      <c r="C502" s="3">
        <f>Материалы!L502</f>
        <v/>
      </c>
      <c r="D502" s="3">
        <f>Материалы!M502</f>
        <v/>
      </c>
      <c r="E502" s="4">
        <f>Материалы!G502</f>
        <v/>
      </c>
      <c r="F502" s="4">
        <f>Материалы!P502</f>
        <v/>
      </c>
      <c r="G502" s="3">
        <f>Материалы!N502</f>
        <v/>
      </c>
      <c r="H502" s="3">
        <f>Материалы!O502</f>
        <v/>
      </c>
    </row>
    <row r="503">
      <c r="A503" s="3">
        <f>Материалы!B503</f>
        <v/>
      </c>
      <c r="B503" s="3">
        <f>Материалы!D503</f>
        <v/>
      </c>
      <c r="C503" s="3">
        <f>Материалы!L503</f>
        <v/>
      </c>
      <c r="D503" s="3">
        <f>Материалы!M503</f>
        <v/>
      </c>
      <c r="E503" s="4">
        <f>Материалы!G503</f>
        <v/>
      </c>
      <c r="F503" s="4">
        <f>Материалы!P503</f>
        <v/>
      </c>
      <c r="G503" s="3">
        <f>Материалы!N503</f>
        <v/>
      </c>
      <c r="H503" s="3">
        <f>Материалы!O503</f>
        <v/>
      </c>
    </row>
    <row r="504">
      <c r="A504" s="3">
        <f>Материалы!B504</f>
        <v/>
      </c>
      <c r="B504" s="3">
        <f>Материалы!D504</f>
        <v/>
      </c>
      <c r="C504" s="3">
        <f>Материалы!L504</f>
        <v/>
      </c>
      <c r="D504" s="3">
        <f>Материалы!M504</f>
        <v/>
      </c>
      <c r="E504" s="4">
        <f>Материалы!G504</f>
        <v/>
      </c>
      <c r="F504" s="4">
        <f>Материалы!P504</f>
        <v/>
      </c>
      <c r="G504" s="3">
        <f>Материалы!N504</f>
        <v/>
      </c>
      <c r="H504" s="3">
        <f>Материалы!O504</f>
        <v/>
      </c>
    </row>
    <row r="505">
      <c r="A505" s="3">
        <f>Материалы!B505</f>
        <v/>
      </c>
      <c r="B505" s="3">
        <f>Материалы!D505</f>
        <v/>
      </c>
      <c r="C505" s="3">
        <f>Материалы!L505</f>
        <v/>
      </c>
      <c r="D505" s="3">
        <f>Материалы!M505</f>
        <v/>
      </c>
      <c r="E505" s="4">
        <f>Материалы!G505</f>
        <v/>
      </c>
      <c r="F505" s="4">
        <f>Материалы!P505</f>
        <v/>
      </c>
      <c r="G505" s="3">
        <f>Материалы!N505</f>
        <v/>
      </c>
      <c r="H505" s="3">
        <f>Материалы!O505</f>
        <v/>
      </c>
    </row>
    <row r="506">
      <c r="A506" s="3">
        <f>Материалы!B506</f>
        <v/>
      </c>
      <c r="B506" s="3">
        <f>Материалы!D506</f>
        <v/>
      </c>
      <c r="C506" s="3">
        <f>Материалы!L506</f>
        <v/>
      </c>
      <c r="D506" s="3">
        <f>Материалы!M506</f>
        <v/>
      </c>
      <c r="E506" s="4">
        <f>Материалы!G506</f>
        <v/>
      </c>
      <c r="F506" s="4">
        <f>Материалы!P506</f>
        <v/>
      </c>
      <c r="G506" s="3">
        <f>Материалы!N506</f>
        <v/>
      </c>
      <c r="H506" s="3">
        <f>Материалы!O506</f>
        <v/>
      </c>
    </row>
    <row r="507">
      <c r="A507" s="3">
        <f>Материалы!B507</f>
        <v/>
      </c>
      <c r="B507" s="3">
        <f>Материалы!D507</f>
        <v/>
      </c>
      <c r="C507" s="3">
        <f>Материалы!L507</f>
        <v/>
      </c>
      <c r="D507" s="3">
        <f>Материалы!M507</f>
        <v/>
      </c>
      <c r="E507" s="4">
        <f>Материалы!G507</f>
        <v/>
      </c>
      <c r="F507" s="4">
        <f>Материалы!P507</f>
        <v/>
      </c>
      <c r="G507" s="3">
        <f>Материалы!N507</f>
        <v/>
      </c>
      <c r="H507" s="3">
        <f>Материалы!O507</f>
        <v/>
      </c>
    </row>
    <row r="508">
      <c r="A508" s="3">
        <f>Материалы!B508</f>
        <v/>
      </c>
      <c r="B508" s="3">
        <f>Материалы!D508</f>
        <v/>
      </c>
      <c r="C508" s="3">
        <f>Материалы!L508</f>
        <v/>
      </c>
      <c r="D508" s="3">
        <f>Материалы!M508</f>
        <v/>
      </c>
      <c r="E508" s="4">
        <f>Материалы!G508</f>
        <v/>
      </c>
      <c r="F508" s="4">
        <f>Материалы!P508</f>
        <v/>
      </c>
      <c r="G508" s="3">
        <f>Материалы!N508</f>
        <v/>
      </c>
      <c r="H508" s="3">
        <f>Материалы!O508</f>
        <v/>
      </c>
    </row>
    <row r="509">
      <c r="A509" s="3">
        <f>Материалы!B509</f>
        <v/>
      </c>
      <c r="B509" s="3">
        <f>Материалы!D509</f>
        <v/>
      </c>
      <c r="C509" s="3">
        <f>Материалы!L509</f>
        <v/>
      </c>
      <c r="D509" s="3">
        <f>Материалы!M509</f>
        <v/>
      </c>
      <c r="E509" s="4">
        <f>Материалы!G509</f>
        <v/>
      </c>
      <c r="F509" s="4">
        <f>Материалы!P509</f>
        <v/>
      </c>
      <c r="G509" s="3">
        <f>Материалы!N509</f>
        <v/>
      </c>
      <c r="H509" s="3">
        <f>Материалы!O509</f>
        <v/>
      </c>
    </row>
    <row r="510">
      <c r="A510" s="3">
        <f>Материалы!B510</f>
        <v/>
      </c>
      <c r="B510" s="3">
        <f>Материалы!D510</f>
        <v/>
      </c>
      <c r="C510" s="3">
        <f>Материалы!L510</f>
        <v/>
      </c>
      <c r="D510" s="3">
        <f>Материалы!M510</f>
        <v/>
      </c>
      <c r="E510" s="4">
        <f>Материалы!G510</f>
        <v/>
      </c>
      <c r="F510" s="4">
        <f>Материалы!P510</f>
        <v/>
      </c>
      <c r="G510" s="3">
        <f>Материалы!N510</f>
        <v/>
      </c>
      <c r="H510" s="3">
        <f>Материалы!O510</f>
        <v/>
      </c>
    </row>
    <row r="511">
      <c r="A511" s="3">
        <f>Материалы!B511</f>
        <v/>
      </c>
      <c r="B511" s="3">
        <f>Материалы!D511</f>
        <v/>
      </c>
      <c r="C511" s="3">
        <f>Материалы!L511</f>
        <v/>
      </c>
      <c r="D511" s="3">
        <f>Материалы!M511</f>
        <v/>
      </c>
      <c r="E511" s="4">
        <f>Материалы!G511</f>
        <v/>
      </c>
      <c r="F511" s="4">
        <f>Материалы!P511</f>
        <v/>
      </c>
      <c r="G511" s="3">
        <f>Материалы!N511</f>
        <v/>
      </c>
      <c r="H511" s="3">
        <f>Материалы!O511</f>
        <v/>
      </c>
    </row>
    <row r="512">
      <c r="A512" s="3">
        <f>Материалы!B512</f>
        <v/>
      </c>
      <c r="B512" s="3">
        <f>Материалы!D512</f>
        <v/>
      </c>
      <c r="C512" s="3">
        <f>Материалы!L512</f>
        <v/>
      </c>
      <c r="D512" s="3">
        <f>Материалы!M512</f>
        <v/>
      </c>
      <c r="E512" s="4">
        <f>Материалы!G512</f>
        <v/>
      </c>
      <c r="F512" s="4">
        <f>Материалы!P512</f>
        <v/>
      </c>
      <c r="G512" s="3">
        <f>Материалы!N512</f>
        <v/>
      </c>
      <c r="H512" s="3">
        <f>Материалы!O512</f>
        <v/>
      </c>
    </row>
    <row r="513">
      <c r="A513" s="3">
        <f>Материалы!B513</f>
        <v/>
      </c>
      <c r="B513" s="3">
        <f>Материалы!D513</f>
        <v/>
      </c>
      <c r="C513" s="3">
        <f>Материалы!L513</f>
        <v/>
      </c>
      <c r="D513" s="3">
        <f>Материалы!M513</f>
        <v/>
      </c>
      <c r="E513" s="4">
        <f>Материалы!G513</f>
        <v/>
      </c>
      <c r="F513" s="4">
        <f>Материалы!P513</f>
        <v/>
      </c>
      <c r="G513" s="3">
        <f>Материалы!N513</f>
        <v/>
      </c>
      <c r="H513" s="3">
        <f>Материалы!O513</f>
        <v/>
      </c>
    </row>
    <row r="514">
      <c r="A514" s="3">
        <f>Материалы!B514</f>
        <v/>
      </c>
      <c r="B514" s="3">
        <f>Материалы!D514</f>
        <v/>
      </c>
      <c r="C514" s="3">
        <f>Материалы!L514</f>
        <v/>
      </c>
      <c r="D514" s="3">
        <f>Материалы!M514</f>
        <v/>
      </c>
      <c r="E514" s="4">
        <f>Материалы!G514</f>
        <v/>
      </c>
      <c r="F514" s="4">
        <f>Материалы!P514</f>
        <v/>
      </c>
      <c r="G514" s="3">
        <f>Материалы!N514</f>
        <v/>
      </c>
      <c r="H514" s="3">
        <f>Материалы!O514</f>
        <v/>
      </c>
    </row>
    <row r="515">
      <c r="A515" s="3">
        <f>Материалы!B515</f>
        <v/>
      </c>
      <c r="B515" s="3">
        <f>Материалы!D515</f>
        <v/>
      </c>
      <c r="C515" s="3">
        <f>Материалы!L515</f>
        <v/>
      </c>
      <c r="D515" s="3">
        <f>Материалы!M515</f>
        <v/>
      </c>
      <c r="E515" s="4">
        <f>Материалы!G515</f>
        <v/>
      </c>
      <c r="F515" s="4">
        <f>Материалы!P515</f>
        <v/>
      </c>
      <c r="G515" s="3">
        <f>Материалы!N515</f>
        <v/>
      </c>
      <c r="H515" s="3">
        <f>Материалы!O515</f>
        <v/>
      </c>
    </row>
    <row r="516">
      <c r="A516" s="3">
        <f>Материалы!B516</f>
        <v/>
      </c>
      <c r="B516" s="3">
        <f>Материалы!D516</f>
        <v/>
      </c>
      <c r="C516" s="3">
        <f>Материалы!L516</f>
        <v/>
      </c>
      <c r="D516" s="3">
        <f>Материалы!M516</f>
        <v/>
      </c>
      <c r="E516" s="4">
        <f>Материалы!G516</f>
        <v/>
      </c>
      <c r="F516" s="4">
        <f>Материалы!P516</f>
        <v/>
      </c>
      <c r="G516" s="3">
        <f>Материалы!N516</f>
        <v/>
      </c>
      <c r="H516" s="3">
        <f>Материалы!O516</f>
        <v/>
      </c>
    </row>
    <row r="517">
      <c r="A517" s="3">
        <f>Материалы!B517</f>
        <v/>
      </c>
      <c r="B517" s="3">
        <f>Материалы!D517</f>
        <v/>
      </c>
      <c r="C517" s="3">
        <f>Материалы!L517</f>
        <v/>
      </c>
      <c r="D517" s="3">
        <f>Материалы!M517</f>
        <v/>
      </c>
      <c r="E517" s="4">
        <f>Материалы!G517</f>
        <v/>
      </c>
      <c r="F517" s="4">
        <f>Материалы!P517</f>
        <v/>
      </c>
      <c r="G517" s="3">
        <f>Материалы!N517</f>
        <v/>
      </c>
      <c r="H517" s="3">
        <f>Материалы!O517</f>
        <v/>
      </c>
    </row>
    <row r="518">
      <c r="A518" s="3">
        <f>Материалы!B518</f>
        <v/>
      </c>
      <c r="B518" s="3">
        <f>Материалы!D518</f>
        <v/>
      </c>
      <c r="C518" s="3">
        <f>Материалы!L518</f>
        <v/>
      </c>
      <c r="D518" s="3">
        <f>Материалы!M518</f>
        <v/>
      </c>
      <c r="E518" s="4">
        <f>Материалы!G518</f>
        <v/>
      </c>
      <c r="F518" s="4">
        <f>Материалы!P518</f>
        <v/>
      </c>
      <c r="G518" s="3">
        <f>Материалы!N518</f>
        <v/>
      </c>
      <c r="H518" s="3">
        <f>Материалы!O518</f>
        <v/>
      </c>
    </row>
    <row r="519">
      <c r="A519" s="3">
        <f>Материалы!B519</f>
        <v/>
      </c>
      <c r="B519" s="3">
        <f>Материалы!D519</f>
        <v/>
      </c>
      <c r="C519" s="3">
        <f>Материалы!L519</f>
        <v/>
      </c>
      <c r="D519" s="3">
        <f>Материалы!M519</f>
        <v/>
      </c>
      <c r="E519" s="4">
        <f>Материалы!G519</f>
        <v/>
      </c>
      <c r="F519" s="4">
        <f>Материалы!P519</f>
        <v/>
      </c>
      <c r="G519" s="3">
        <f>Материалы!N519</f>
        <v/>
      </c>
      <c r="H519" s="3">
        <f>Материалы!O519</f>
        <v/>
      </c>
    </row>
    <row r="520">
      <c r="A520" s="3">
        <f>Материалы!B520</f>
        <v/>
      </c>
      <c r="B520" s="3">
        <f>Материалы!D520</f>
        <v/>
      </c>
      <c r="C520" s="3">
        <f>Материалы!L520</f>
        <v/>
      </c>
      <c r="D520" s="3">
        <f>Материалы!M520</f>
        <v/>
      </c>
      <c r="E520" s="4">
        <f>Материалы!G520</f>
        <v/>
      </c>
      <c r="F520" s="4">
        <f>Материалы!P520</f>
        <v/>
      </c>
      <c r="G520" s="3">
        <f>Материалы!N520</f>
        <v/>
      </c>
      <c r="H520" s="3">
        <f>Материалы!O520</f>
        <v/>
      </c>
    </row>
    <row r="521">
      <c r="A521" s="3">
        <f>Материалы!B521</f>
        <v/>
      </c>
      <c r="B521" s="3">
        <f>Материалы!D521</f>
        <v/>
      </c>
      <c r="C521" s="3">
        <f>Материалы!L521</f>
        <v/>
      </c>
      <c r="D521" s="3">
        <f>Материалы!M521</f>
        <v/>
      </c>
      <c r="E521" s="4">
        <f>Материалы!G521</f>
        <v/>
      </c>
      <c r="F521" s="4">
        <f>Материалы!P521</f>
        <v/>
      </c>
      <c r="G521" s="3">
        <f>Материалы!N521</f>
        <v/>
      </c>
      <c r="H521" s="3">
        <f>Материалы!O521</f>
        <v/>
      </c>
    </row>
    <row r="522">
      <c r="A522" s="3">
        <f>Материалы!B522</f>
        <v/>
      </c>
      <c r="B522" s="3">
        <f>Материалы!D522</f>
        <v/>
      </c>
      <c r="C522" s="3">
        <f>Материалы!L522</f>
        <v/>
      </c>
      <c r="D522" s="3">
        <f>Материалы!M522</f>
        <v/>
      </c>
      <c r="E522" s="4">
        <f>Материалы!G522</f>
        <v/>
      </c>
      <c r="F522" s="4">
        <f>Материалы!P522</f>
        <v/>
      </c>
      <c r="G522" s="3">
        <f>Материалы!N522</f>
        <v/>
      </c>
      <c r="H522" s="3">
        <f>Материалы!O522</f>
        <v/>
      </c>
    </row>
    <row r="523">
      <c r="A523" s="3">
        <f>Материалы!B523</f>
        <v/>
      </c>
      <c r="B523" s="3">
        <f>Материалы!D523</f>
        <v/>
      </c>
      <c r="C523" s="3">
        <f>Материалы!L523</f>
        <v/>
      </c>
      <c r="D523" s="3">
        <f>Материалы!M523</f>
        <v/>
      </c>
      <c r="E523" s="4">
        <f>Материалы!G523</f>
        <v/>
      </c>
      <c r="F523" s="4">
        <f>Материалы!P523</f>
        <v/>
      </c>
      <c r="G523" s="3">
        <f>Материалы!N523</f>
        <v/>
      </c>
      <c r="H523" s="3">
        <f>Материалы!O523</f>
        <v/>
      </c>
    </row>
    <row r="524">
      <c r="A524" s="3">
        <f>Материалы!B524</f>
        <v/>
      </c>
      <c r="B524" s="3">
        <f>Материалы!D524</f>
        <v/>
      </c>
      <c r="C524" s="3">
        <f>Материалы!L524</f>
        <v/>
      </c>
      <c r="D524" s="3">
        <f>Материалы!M524</f>
        <v/>
      </c>
      <c r="E524" s="4">
        <f>Материалы!G524</f>
        <v/>
      </c>
      <c r="F524" s="4">
        <f>Материалы!P524</f>
        <v/>
      </c>
      <c r="G524" s="3">
        <f>Материалы!N524</f>
        <v/>
      </c>
      <c r="H524" s="3">
        <f>Материалы!O524</f>
        <v/>
      </c>
    </row>
    <row r="525">
      <c r="A525" s="3">
        <f>Материалы!B525</f>
        <v/>
      </c>
      <c r="B525" s="3">
        <f>Материалы!D525</f>
        <v/>
      </c>
      <c r="C525" s="3">
        <f>Материалы!L525</f>
        <v/>
      </c>
      <c r="D525" s="3">
        <f>Материалы!M525</f>
        <v/>
      </c>
      <c r="E525" s="4">
        <f>Материалы!G525</f>
        <v/>
      </c>
      <c r="F525" s="4">
        <f>Материалы!P525</f>
        <v/>
      </c>
      <c r="G525" s="3">
        <f>Материалы!N525</f>
        <v/>
      </c>
      <c r="H525" s="3">
        <f>Материалы!O525</f>
        <v/>
      </c>
    </row>
    <row r="526">
      <c r="A526" s="3">
        <f>Материалы!B526</f>
        <v/>
      </c>
      <c r="B526" s="3">
        <f>Материалы!D526</f>
        <v/>
      </c>
      <c r="C526" s="3">
        <f>Материалы!L526</f>
        <v/>
      </c>
      <c r="D526" s="3">
        <f>Материалы!M526</f>
        <v/>
      </c>
      <c r="E526" s="4">
        <f>Материалы!G526</f>
        <v/>
      </c>
      <c r="F526" s="4">
        <f>Материалы!P526</f>
        <v/>
      </c>
      <c r="G526" s="3">
        <f>Материалы!N526</f>
        <v/>
      </c>
      <c r="H526" s="3">
        <f>Материалы!O526</f>
        <v/>
      </c>
    </row>
    <row r="527">
      <c r="A527" s="3">
        <f>Материалы!B527</f>
        <v/>
      </c>
      <c r="B527" s="3">
        <f>Материалы!D527</f>
        <v/>
      </c>
      <c r="C527" s="3">
        <f>Материалы!L527</f>
        <v/>
      </c>
      <c r="D527" s="3">
        <f>Материалы!M527</f>
        <v/>
      </c>
      <c r="E527" s="4">
        <f>Материалы!G527</f>
        <v/>
      </c>
      <c r="F527" s="4">
        <f>Материалы!P527</f>
        <v/>
      </c>
      <c r="G527" s="3">
        <f>Материалы!N527</f>
        <v/>
      </c>
      <c r="H527" s="3">
        <f>Материалы!O527</f>
        <v/>
      </c>
    </row>
    <row r="528">
      <c r="A528" s="3">
        <f>Материалы!B528</f>
        <v/>
      </c>
      <c r="B528" s="3">
        <f>Материалы!D528</f>
        <v/>
      </c>
      <c r="C528" s="3">
        <f>Материалы!L528</f>
        <v/>
      </c>
      <c r="D528" s="3">
        <f>Материалы!M528</f>
        <v/>
      </c>
      <c r="E528" s="4">
        <f>Материалы!G528</f>
        <v/>
      </c>
      <c r="F528" s="4">
        <f>Материалы!P528</f>
        <v/>
      </c>
      <c r="G528" s="3">
        <f>Материалы!N528</f>
        <v/>
      </c>
      <c r="H528" s="3">
        <f>Материалы!O528</f>
        <v/>
      </c>
    </row>
    <row r="529">
      <c r="A529" s="3">
        <f>Материалы!B529</f>
        <v/>
      </c>
      <c r="B529" s="3">
        <f>Материалы!D529</f>
        <v/>
      </c>
      <c r="C529" s="3">
        <f>Материалы!L529</f>
        <v/>
      </c>
      <c r="D529" s="3">
        <f>Материалы!M529</f>
        <v/>
      </c>
      <c r="E529" s="4">
        <f>Материалы!G529</f>
        <v/>
      </c>
      <c r="F529" s="4">
        <f>Материалы!P529</f>
        <v/>
      </c>
      <c r="G529" s="3">
        <f>Материалы!N529</f>
        <v/>
      </c>
      <c r="H529" s="3">
        <f>Материалы!O529</f>
        <v/>
      </c>
    </row>
    <row r="530">
      <c r="A530" s="3">
        <f>Материалы!B530</f>
        <v/>
      </c>
      <c r="B530" s="3">
        <f>Материалы!D530</f>
        <v/>
      </c>
      <c r="C530" s="3">
        <f>Материалы!L530</f>
        <v/>
      </c>
      <c r="D530" s="3">
        <f>Материалы!M530</f>
        <v/>
      </c>
      <c r="E530" s="4">
        <f>Материалы!G530</f>
        <v/>
      </c>
      <c r="F530" s="4">
        <f>Материалы!P530</f>
        <v/>
      </c>
      <c r="G530" s="3">
        <f>Материалы!N530</f>
        <v/>
      </c>
      <c r="H530" s="3">
        <f>Материалы!O530</f>
        <v/>
      </c>
    </row>
    <row r="531">
      <c r="A531" s="3">
        <f>Материалы!B531</f>
        <v/>
      </c>
      <c r="B531" s="3">
        <f>Материалы!D531</f>
        <v/>
      </c>
      <c r="C531" s="3">
        <f>Материалы!L531</f>
        <v/>
      </c>
      <c r="D531" s="3">
        <f>Материалы!M531</f>
        <v/>
      </c>
      <c r="E531" s="4">
        <f>Материалы!G531</f>
        <v/>
      </c>
      <c r="F531" s="4">
        <f>Материалы!P531</f>
        <v/>
      </c>
      <c r="G531" s="3">
        <f>Материалы!N531</f>
        <v/>
      </c>
      <c r="H531" s="3">
        <f>Материалы!O531</f>
        <v/>
      </c>
    </row>
    <row r="532">
      <c r="A532" s="3">
        <f>Материалы!B532</f>
        <v/>
      </c>
      <c r="B532" s="3">
        <f>Материалы!D532</f>
        <v/>
      </c>
      <c r="C532" s="3">
        <f>Материалы!L532</f>
        <v/>
      </c>
      <c r="D532" s="3">
        <f>Материалы!M532</f>
        <v/>
      </c>
      <c r="E532" s="4">
        <f>Материалы!G532</f>
        <v/>
      </c>
      <c r="F532" s="4">
        <f>Материалы!P532</f>
        <v/>
      </c>
      <c r="G532" s="3">
        <f>Материалы!N532</f>
        <v/>
      </c>
      <c r="H532" s="3">
        <f>Материалы!O532</f>
        <v/>
      </c>
    </row>
    <row r="533">
      <c r="A533" s="3">
        <f>Материалы!B533</f>
        <v/>
      </c>
      <c r="B533" s="3">
        <f>Материалы!D533</f>
        <v/>
      </c>
      <c r="C533" s="3">
        <f>Материалы!L533</f>
        <v/>
      </c>
      <c r="D533" s="3">
        <f>Материалы!M533</f>
        <v/>
      </c>
      <c r="E533" s="4">
        <f>Материалы!G533</f>
        <v/>
      </c>
      <c r="F533" s="4">
        <f>Материалы!P533</f>
        <v/>
      </c>
      <c r="G533" s="3">
        <f>Материалы!N533</f>
        <v/>
      </c>
      <c r="H533" s="3">
        <f>Материалы!O533</f>
        <v/>
      </c>
    </row>
    <row r="534">
      <c r="A534" s="3">
        <f>Материалы!B534</f>
        <v/>
      </c>
      <c r="B534" s="3">
        <f>Материалы!D534</f>
        <v/>
      </c>
      <c r="C534" s="3">
        <f>Материалы!L534</f>
        <v/>
      </c>
      <c r="D534" s="3">
        <f>Материалы!M534</f>
        <v/>
      </c>
      <c r="E534" s="4">
        <f>Материалы!G534</f>
        <v/>
      </c>
      <c r="F534" s="4">
        <f>Материалы!P534</f>
        <v/>
      </c>
      <c r="G534" s="3">
        <f>Материалы!N534</f>
        <v/>
      </c>
      <c r="H534" s="3">
        <f>Материалы!O534</f>
        <v/>
      </c>
    </row>
    <row r="535">
      <c r="A535" s="3">
        <f>Материалы!B535</f>
        <v/>
      </c>
      <c r="B535" s="3">
        <f>Материалы!D535</f>
        <v/>
      </c>
      <c r="C535" s="3">
        <f>Материалы!L535</f>
        <v/>
      </c>
      <c r="D535" s="3">
        <f>Материалы!M535</f>
        <v/>
      </c>
      <c r="E535" s="4">
        <f>Материалы!G535</f>
        <v/>
      </c>
      <c r="F535" s="4">
        <f>Материалы!P535</f>
        <v/>
      </c>
      <c r="G535" s="3">
        <f>Материалы!N535</f>
        <v/>
      </c>
      <c r="H535" s="3">
        <f>Материалы!O535</f>
        <v/>
      </c>
    </row>
    <row r="536">
      <c r="A536" s="3">
        <f>Материалы!B536</f>
        <v/>
      </c>
      <c r="B536" s="3">
        <f>Материалы!D536</f>
        <v/>
      </c>
      <c r="C536" s="3">
        <f>Материалы!L536</f>
        <v/>
      </c>
      <c r="D536" s="3">
        <f>Материалы!M536</f>
        <v/>
      </c>
      <c r="E536" s="4">
        <f>Материалы!G536</f>
        <v/>
      </c>
      <c r="F536" s="4">
        <f>Материалы!P536</f>
        <v/>
      </c>
      <c r="G536" s="3">
        <f>Материалы!N536</f>
        <v/>
      </c>
      <c r="H536" s="3">
        <f>Материалы!O536</f>
        <v/>
      </c>
    </row>
    <row r="537">
      <c r="A537" s="3">
        <f>Материалы!B537</f>
        <v/>
      </c>
      <c r="B537" s="3">
        <f>Материалы!D537</f>
        <v/>
      </c>
      <c r="C537" s="3">
        <f>Материалы!L537</f>
        <v/>
      </c>
      <c r="D537" s="3">
        <f>Материалы!M537</f>
        <v/>
      </c>
      <c r="E537" s="4">
        <f>Материалы!G537</f>
        <v/>
      </c>
      <c r="F537" s="4">
        <f>Материалы!P537</f>
        <v/>
      </c>
      <c r="G537" s="3">
        <f>Материалы!N537</f>
        <v/>
      </c>
      <c r="H537" s="3">
        <f>Материалы!O537</f>
        <v/>
      </c>
    </row>
    <row r="538">
      <c r="A538" s="3">
        <f>Материалы!B538</f>
        <v/>
      </c>
      <c r="B538" s="3">
        <f>Материалы!D538</f>
        <v/>
      </c>
      <c r="C538" s="3">
        <f>Материалы!L538</f>
        <v/>
      </c>
      <c r="D538" s="3">
        <f>Материалы!M538</f>
        <v/>
      </c>
      <c r="E538" s="4">
        <f>Материалы!G538</f>
        <v/>
      </c>
      <c r="F538" s="4">
        <f>Материалы!P538</f>
        <v/>
      </c>
      <c r="G538" s="3">
        <f>Материалы!N538</f>
        <v/>
      </c>
      <c r="H538" s="3">
        <f>Материалы!O538</f>
        <v/>
      </c>
    </row>
    <row r="539">
      <c r="A539" s="3">
        <f>Материалы!B539</f>
        <v/>
      </c>
      <c r="B539" s="3">
        <f>Материалы!D539</f>
        <v/>
      </c>
      <c r="C539" s="3">
        <f>Материалы!L539</f>
        <v/>
      </c>
      <c r="D539" s="3">
        <f>Материалы!M539</f>
        <v/>
      </c>
      <c r="E539" s="4">
        <f>Материалы!G539</f>
        <v/>
      </c>
      <c r="F539" s="4">
        <f>Материалы!P539</f>
        <v/>
      </c>
      <c r="G539" s="3">
        <f>Материалы!N539</f>
        <v/>
      </c>
      <c r="H539" s="3">
        <f>Материалы!O539</f>
        <v/>
      </c>
    </row>
    <row r="540">
      <c r="A540" s="3">
        <f>Материалы!B540</f>
        <v/>
      </c>
      <c r="B540" s="3">
        <f>Материалы!D540</f>
        <v/>
      </c>
      <c r="C540" s="3">
        <f>Материалы!L540</f>
        <v/>
      </c>
      <c r="D540" s="3">
        <f>Материалы!M540</f>
        <v/>
      </c>
      <c r="E540" s="4">
        <f>Материалы!G540</f>
        <v/>
      </c>
      <c r="F540" s="4">
        <f>Материалы!P540</f>
        <v/>
      </c>
      <c r="G540" s="3">
        <f>Материалы!N540</f>
        <v/>
      </c>
      <c r="H540" s="3">
        <f>Материалы!O540</f>
        <v/>
      </c>
    </row>
    <row r="541">
      <c r="A541" s="3">
        <f>Материалы!B541</f>
        <v/>
      </c>
      <c r="B541" s="3">
        <f>Материалы!D541</f>
        <v/>
      </c>
      <c r="C541" s="3">
        <f>Материалы!L541</f>
        <v/>
      </c>
      <c r="D541" s="3">
        <f>Материалы!M541</f>
        <v/>
      </c>
      <c r="E541" s="4">
        <f>Материалы!G541</f>
        <v/>
      </c>
      <c r="F541" s="4">
        <f>Материалы!P541</f>
        <v/>
      </c>
      <c r="G541" s="3">
        <f>Материалы!N541</f>
        <v/>
      </c>
      <c r="H541" s="3">
        <f>Материалы!O541</f>
        <v/>
      </c>
    </row>
    <row r="542">
      <c r="A542" s="3">
        <f>Материалы!B542</f>
        <v/>
      </c>
      <c r="B542" s="3">
        <f>Материалы!D542</f>
        <v/>
      </c>
      <c r="C542" s="3">
        <f>Материалы!L542</f>
        <v/>
      </c>
      <c r="D542" s="3">
        <f>Материалы!M542</f>
        <v/>
      </c>
      <c r="E542" s="4">
        <f>Материалы!G542</f>
        <v/>
      </c>
      <c r="F542" s="4">
        <f>Материалы!P542</f>
        <v/>
      </c>
      <c r="G542" s="3">
        <f>Материалы!N542</f>
        <v/>
      </c>
      <c r="H542" s="3">
        <f>Материалы!O542</f>
        <v/>
      </c>
    </row>
    <row r="543">
      <c r="A543" s="3">
        <f>Материалы!B543</f>
        <v/>
      </c>
      <c r="B543" s="3">
        <f>Материалы!D543</f>
        <v/>
      </c>
      <c r="C543" s="3">
        <f>Материалы!L543</f>
        <v/>
      </c>
      <c r="D543" s="3">
        <f>Материалы!M543</f>
        <v/>
      </c>
      <c r="E543" s="4">
        <f>Материалы!G543</f>
        <v/>
      </c>
      <c r="F543" s="4">
        <f>Материалы!P543</f>
        <v/>
      </c>
      <c r="G543" s="3">
        <f>Материалы!N543</f>
        <v/>
      </c>
      <c r="H543" s="3">
        <f>Материалы!O543</f>
        <v/>
      </c>
    </row>
    <row r="544">
      <c r="A544" s="3">
        <f>Материалы!B544</f>
        <v/>
      </c>
      <c r="B544" s="3">
        <f>Материалы!D544</f>
        <v/>
      </c>
      <c r="C544" s="3">
        <f>Материалы!L544</f>
        <v/>
      </c>
      <c r="D544" s="3">
        <f>Материалы!M544</f>
        <v/>
      </c>
      <c r="E544" s="4">
        <f>Материалы!G544</f>
        <v/>
      </c>
      <c r="F544" s="4">
        <f>Материалы!P544</f>
        <v/>
      </c>
      <c r="G544" s="3">
        <f>Материалы!N544</f>
        <v/>
      </c>
      <c r="H544" s="3">
        <f>Материалы!O544</f>
        <v/>
      </c>
    </row>
    <row r="545">
      <c r="A545" s="3">
        <f>Материалы!B545</f>
        <v/>
      </c>
      <c r="B545" s="3">
        <f>Материалы!D545</f>
        <v/>
      </c>
      <c r="C545" s="3">
        <f>Материалы!L545</f>
        <v/>
      </c>
      <c r="D545" s="3">
        <f>Материалы!M545</f>
        <v/>
      </c>
      <c r="E545" s="4">
        <f>Материалы!G545</f>
        <v/>
      </c>
      <c r="F545" s="4">
        <f>Материалы!P545</f>
        <v/>
      </c>
      <c r="G545" s="3">
        <f>Материалы!N545</f>
        <v/>
      </c>
      <c r="H545" s="3">
        <f>Материалы!O545</f>
        <v/>
      </c>
    </row>
    <row r="546">
      <c r="A546" s="3">
        <f>Материалы!B546</f>
        <v/>
      </c>
      <c r="B546" s="3">
        <f>Материалы!D546</f>
        <v/>
      </c>
      <c r="C546" s="3">
        <f>Материалы!L546</f>
        <v/>
      </c>
      <c r="D546" s="3">
        <f>Материалы!M546</f>
        <v/>
      </c>
      <c r="E546" s="4">
        <f>Материалы!G546</f>
        <v/>
      </c>
      <c r="F546" s="4">
        <f>Материалы!P546</f>
        <v/>
      </c>
      <c r="G546" s="3">
        <f>Материалы!N546</f>
        <v/>
      </c>
      <c r="H546" s="3">
        <f>Материалы!O546</f>
        <v/>
      </c>
    </row>
    <row r="547">
      <c r="A547" s="3">
        <f>Материалы!B547</f>
        <v/>
      </c>
      <c r="B547" s="3">
        <f>Материалы!D547</f>
        <v/>
      </c>
      <c r="C547" s="3">
        <f>Материалы!L547</f>
        <v/>
      </c>
      <c r="D547" s="3">
        <f>Материалы!M547</f>
        <v/>
      </c>
      <c r="E547" s="4">
        <f>Материалы!G547</f>
        <v/>
      </c>
      <c r="F547" s="4">
        <f>Материалы!P547</f>
        <v/>
      </c>
      <c r="G547" s="3">
        <f>Материалы!N547</f>
        <v/>
      </c>
      <c r="H547" s="3">
        <f>Материалы!O547</f>
        <v/>
      </c>
    </row>
    <row r="548">
      <c r="A548" s="3">
        <f>Материалы!B548</f>
        <v/>
      </c>
      <c r="B548" s="3">
        <f>Материалы!D548</f>
        <v/>
      </c>
      <c r="C548" s="3">
        <f>Материалы!L548</f>
        <v/>
      </c>
      <c r="D548" s="3">
        <f>Материалы!M548</f>
        <v/>
      </c>
      <c r="E548" s="4">
        <f>Материалы!G548</f>
        <v/>
      </c>
      <c r="F548" s="4">
        <f>Материалы!P548</f>
        <v/>
      </c>
      <c r="G548" s="3">
        <f>Материалы!N548</f>
        <v/>
      </c>
      <c r="H548" s="3">
        <f>Материалы!O548</f>
        <v/>
      </c>
    </row>
    <row r="549">
      <c r="A549" s="3">
        <f>Материалы!B549</f>
        <v/>
      </c>
      <c r="B549" s="3">
        <f>Материалы!D549</f>
        <v/>
      </c>
      <c r="C549" s="3">
        <f>Материалы!L549</f>
        <v/>
      </c>
      <c r="D549" s="3">
        <f>Материалы!M549</f>
        <v/>
      </c>
      <c r="E549" s="4">
        <f>Материалы!G549</f>
        <v/>
      </c>
      <c r="F549" s="4">
        <f>Материалы!P549</f>
        <v/>
      </c>
      <c r="G549" s="3">
        <f>Материалы!N549</f>
        <v/>
      </c>
      <c r="H549" s="3">
        <f>Материалы!O549</f>
        <v/>
      </c>
    </row>
    <row r="550">
      <c r="A550" s="3">
        <f>Материалы!B550</f>
        <v/>
      </c>
      <c r="B550" s="3">
        <f>Материалы!D550</f>
        <v/>
      </c>
      <c r="C550" s="3">
        <f>Материалы!L550</f>
        <v/>
      </c>
      <c r="D550" s="3">
        <f>Материалы!M550</f>
        <v/>
      </c>
      <c r="E550" s="4">
        <f>Материалы!G550</f>
        <v/>
      </c>
      <c r="F550" s="4">
        <f>Материалы!P550</f>
        <v/>
      </c>
      <c r="G550" s="3">
        <f>Материалы!N550</f>
        <v/>
      </c>
      <c r="H550" s="3">
        <f>Материалы!O550</f>
        <v/>
      </c>
    </row>
    <row r="551">
      <c r="A551" s="3">
        <f>Материалы!B551</f>
        <v/>
      </c>
      <c r="B551" s="3">
        <f>Материалы!D551</f>
        <v/>
      </c>
      <c r="C551" s="3">
        <f>Материалы!L551</f>
        <v/>
      </c>
      <c r="D551" s="3">
        <f>Материалы!M551</f>
        <v/>
      </c>
      <c r="E551" s="4">
        <f>Материалы!G551</f>
        <v/>
      </c>
      <c r="F551" s="4">
        <f>Материалы!P551</f>
        <v/>
      </c>
      <c r="G551" s="3">
        <f>Материалы!N551</f>
        <v/>
      </c>
      <c r="H551" s="3">
        <f>Материалы!O551</f>
        <v/>
      </c>
    </row>
    <row r="552">
      <c r="A552" s="3">
        <f>Материалы!B552</f>
        <v/>
      </c>
      <c r="B552" s="3">
        <f>Материалы!D552</f>
        <v/>
      </c>
      <c r="C552" s="3">
        <f>Материалы!L552</f>
        <v/>
      </c>
      <c r="D552" s="3">
        <f>Материалы!M552</f>
        <v/>
      </c>
      <c r="E552" s="4">
        <f>Материалы!G552</f>
        <v/>
      </c>
      <c r="F552" s="4">
        <f>Материалы!P552</f>
        <v/>
      </c>
      <c r="G552" s="3">
        <f>Материалы!N552</f>
        <v/>
      </c>
      <c r="H552" s="3">
        <f>Материалы!O552</f>
        <v/>
      </c>
    </row>
    <row r="553">
      <c r="A553" s="3">
        <f>Материалы!B553</f>
        <v/>
      </c>
      <c r="B553" s="3">
        <f>Материалы!D553</f>
        <v/>
      </c>
      <c r="C553" s="3">
        <f>Материалы!L553</f>
        <v/>
      </c>
      <c r="D553" s="3">
        <f>Материалы!M553</f>
        <v/>
      </c>
      <c r="E553" s="4">
        <f>Материалы!G553</f>
        <v/>
      </c>
      <c r="F553" s="4">
        <f>Материалы!P553</f>
        <v/>
      </c>
      <c r="G553" s="3">
        <f>Материалы!N553</f>
        <v/>
      </c>
      <c r="H553" s="3">
        <f>Материалы!O553</f>
        <v/>
      </c>
    </row>
    <row r="554">
      <c r="A554" s="3">
        <f>Материалы!B554</f>
        <v/>
      </c>
      <c r="B554" s="3">
        <f>Материалы!D554</f>
        <v/>
      </c>
      <c r="C554" s="3">
        <f>Материалы!L554</f>
        <v/>
      </c>
      <c r="D554" s="3">
        <f>Материалы!M554</f>
        <v/>
      </c>
      <c r="E554" s="4">
        <f>Материалы!G554</f>
        <v/>
      </c>
      <c r="F554" s="4">
        <f>Материалы!P554</f>
        <v/>
      </c>
      <c r="G554" s="3">
        <f>Материалы!N554</f>
        <v/>
      </c>
      <c r="H554" s="3">
        <f>Материалы!O554</f>
        <v/>
      </c>
    </row>
    <row r="555">
      <c r="A555" s="3">
        <f>Материалы!B555</f>
        <v/>
      </c>
      <c r="B555" s="3">
        <f>Материалы!D555</f>
        <v/>
      </c>
      <c r="C555" s="3">
        <f>Материалы!L555</f>
        <v/>
      </c>
      <c r="D555" s="3">
        <f>Материалы!M555</f>
        <v/>
      </c>
      <c r="E555" s="4">
        <f>Материалы!G555</f>
        <v/>
      </c>
      <c r="F555" s="4">
        <f>Материалы!P555</f>
        <v/>
      </c>
      <c r="G555" s="3">
        <f>Материалы!N555</f>
        <v/>
      </c>
      <c r="H555" s="3">
        <f>Материалы!O555</f>
        <v/>
      </c>
    </row>
    <row r="556">
      <c r="A556" s="3">
        <f>Материалы!B556</f>
        <v/>
      </c>
      <c r="B556" s="3">
        <f>Материалы!D556</f>
        <v/>
      </c>
      <c r="C556" s="3">
        <f>Материалы!L556</f>
        <v/>
      </c>
      <c r="D556" s="3">
        <f>Материалы!M556</f>
        <v/>
      </c>
      <c r="E556" s="4">
        <f>Материалы!G556</f>
        <v/>
      </c>
      <c r="F556" s="4">
        <f>Материалы!P556</f>
        <v/>
      </c>
      <c r="G556" s="3">
        <f>Материалы!N556</f>
        <v/>
      </c>
      <c r="H556" s="3">
        <f>Материалы!O556</f>
        <v/>
      </c>
    </row>
    <row r="557">
      <c r="A557" s="3">
        <f>Материалы!B557</f>
        <v/>
      </c>
      <c r="B557" s="3">
        <f>Материалы!D557</f>
        <v/>
      </c>
      <c r="C557" s="3">
        <f>Материалы!L557</f>
        <v/>
      </c>
      <c r="D557" s="3">
        <f>Материалы!M557</f>
        <v/>
      </c>
      <c r="E557" s="4">
        <f>Материалы!G557</f>
        <v/>
      </c>
      <c r="F557" s="4">
        <f>Материалы!P557</f>
        <v/>
      </c>
      <c r="G557" s="3">
        <f>Материалы!N557</f>
        <v/>
      </c>
      <c r="H557" s="3">
        <f>Материалы!O557</f>
        <v/>
      </c>
    </row>
    <row r="558">
      <c r="A558" s="3">
        <f>Материалы!B558</f>
        <v/>
      </c>
      <c r="B558" s="3">
        <f>Материалы!D558</f>
        <v/>
      </c>
      <c r="C558" s="3">
        <f>Материалы!L558</f>
        <v/>
      </c>
      <c r="D558" s="3">
        <f>Материалы!M558</f>
        <v/>
      </c>
      <c r="E558" s="4">
        <f>Материалы!G558</f>
        <v/>
      </c>
      <c r="F558" s="4">
        <f>Материалы!P558</f>
        <v/>
      </c>
      <c r="G558" s="3">
        <f>Материалы!N558</f>
        <v/>
      </c>
      <c r="H558" s="3">
        <f>Материалы!O558</f>
        <v/>
      </c>
    </row>
    <row r="559">
      <c r="A559" s="3">
        <f>Материалы!B559</f>
        <v/>
      </c>
      <c r="B559" s="3">
        <f>Материалы!D559</f>
        <v/>
      </c>
      <c r="C559" s="3">
        <f>Материалы!L559</f>
        <v/>
      </c>
      <c r="D559" s="3">
        <f>Материалы!M559</f>
        <v/>
      </c>
      <c r="E559" s="4">
        <f>Материалы!G559</f>
        <v/>
      </c>
      <c r="F559" s="4">
        <f>Материалы!P559</f>
        <v/>
      </c>
      <c r="G559" s="3">
        <f>Материалы!N559</f>
        <v/>
      </c>
      <c r="H559" s="3">
        <f>Материалы!O559</f>
        <v/>
      </c>
    </row>
    <row r="560">
      <c r="A560" s="3">
        <f>Материалы!B560</f>
        <v/>
      </c>
      <c r="B560" s="3">
        <f>Материалы!D560</f>
        <v/>
      </c>
      <c r="C560" s="3">
        <f>Материалы!L560</f>
        <v/>
      </c>
      <c r="D560" s="3">
        <f>Материалы!M560</f>
        <v/>
      </c>
      <c r="E560" s="4">
        <f>Материалы!G560</f>
        <v/>
      </c>
      <c r="F560" s="4">
        <f>Материалы!P560</f>
        <v/>
      </c>
      <c r="G560" s="3">
        <f>Материалы!N560</f>
        <v/>
      </c>
      <c r="H560" s="3">
        <f>Материалы!O560</f>
        <v/>
      </c>
    </row>
    <row r="561">
      <c r="A561" s="3">
        <f>Материалы!B561</f>
        <v/>
      </c>
      <c r="B561" s="3">
        <f>Материалы!D561</f>
        <v/>
      </c>
      <c r="C561" s="3">
        <f>Материалы!L561</f>
        <v/>
      </c>
      <c r="D561" s="3">
        <f>Материалы!M561</f>
        <v/>
      </c>
      <c r="E561" s="4">
        <f>Материалы!G561</f>
        <v/>
      </c>
      <c r="F561" s="4">
        <f>Материалы!P561</f>
        <v/>
      </c>
      <c r="G561" s="3">
        <f>Материалы!N561</f>
        <v/>
      </c>
      <c r="H561" s="3">
        <f>Материалы!O561</f>
        <v/>
      </c>
    </row>
    <row r="562">
      <c r="A562" s="3">
        <f>Материалы!B562</f>
        <v/>
      </c>
      <c r="B562" s="3">
        <f>Материалы!D562</f>
        <v/>
      </c>
      <c r="C562" s="3">
        <f>Материалы!L562</f>
        <v/>
      </c>
      <c r="D562" s="3">
        <f>Материалы!M562</f>
        <v/>
      </c>
      <c r="E562" s="4">
        <f>Материалы!G562</f>
        <v/>
      </c>
      <c r="F562" s="4">
        <f>Материалы!P562</f>
        <v/>
      </c>
      <c r="G562" s="3">
        <f>Материалы!N562</f>
        <v/>
      </c>
      <c r="H562" s="3">
        <f>Материалы!O562</f>
        <v/>
      </c>
    </row>
    <row r="563">
      <c r="A563" s="3">
        <f>Материалы!B563</f>
        <v/>
      </c>
      <c r="B563" s="3">
        <f>Материалы!D563</f>
        <v/>
      </c>
      <c r="C563" s="3">
        <f>Материалы!L563</f>
        <v/>
      </c>
      <c r="D563" s="3">
        <f>Материалы!M563</f>
        <v/>
      </c>
      <c r="E563" s="4">
        <f>Материалы!G563</f>
        <v/>
      </c>
      <c r="F563" s="4">
        <f>Материалы!P563</f>
        <v/>
      </c>
      <c r="G563" s="3">
        <f>Материалы!N563</f>
        <v/>
      </c>
      <c r="H563" s="3">
        <f>Материалы!O563</f>
        <v/>
      </c>
    </row>
    <row r="564">
      <c r="A564" s="3">
        <f>Материалы!B564</f>
        <v/>
      </c>
      <c r="B564" s="3">
        <f>Материалы!D564</f>
        <v/>
      </c>
      <c r="C564" s="3">
        <f>Материалы!L564</f>
        <v/>
      </c>
      <c r="D564" s="3">
        <f>Материалы!M564</f>
        <v/>
      </c>
      <c r="E564" s="4">
        <f>Материалы!G564</f>
        <v/>
      </c>
      <c r="F564" s="4">
        <f>Материалы!P564</f>
        <v/>
      </c>
      <c r="G564" s="3">
        <f>Материалы!N564</f>
        <v/>
      </c>
      <c r="H564" s="3">
        <f>Материалы!O564</f>
        <v/>
      </c>
    </row>
    <row r="565">
      <c r="A565" s="3">
        <f>Материалы!B565</f>
        <v/>
      </c>
      <c r="B565" s="3">
        <f>Материалы!D565</f>
        <v/>
      </c>
      <c r="C565" s="3">
        <f>Материалы!L565</f>
        <v/>
      </c>
      <c r="D565" s="3">
        <f>Материалы!M565</f>
        <v/>
      </c>
      <c r="E565" s="4">
        <f>Материалы!G565</f>
        <v/>
      </c>
      <c r="F565" s="4">
        <f>Материалы!P565</f>
        <v/>
      </c>
      <c r="G565" s="3">
        <f>Материалы!N565</f>
        <v/>
      </c>
      <c r="H565" s="3">
        <f>Материалы!O565</f>
        <v/>
      </c>
    </row>
    <row r="566">
      <c r="A566" s="3">
        <f>Материалы!B566</f>
        <v/>
      </c>
      <c r="B566" s="3">
        <f>Материалы!D566</f>
        <v/>
      </c>
      <c r="C566" s="3">
        <f>Материалы!L566</f>
        <v/>
      </c>
      <c r="D566" s="3">
        <f>Материалы!M566</f>
        <v/>
      </c>
      <c r="E566" s="4">
        <f>Материалы!G566</f>
        <v/>
      </c>
      <c r="F566" s="4">
        <f>Материалы!P566</f>
        <v/>
      </c>
      <c r="G566" s="3">
        <f>Материалы!N566</f>
        <v/>
      </c>
      <c r="H566" s="3">
        <f>Материалы!O566</f>
        <v/>
      </c>
    </row>
    <row r="567">
      <c r="A567" s="3">
        <f>Материалы!B567</f>
        <v/>
      </c>
      <c r="B567" s="3">
        <f>Материалы!D567</f>
        <v/>
      </c>
      <c r="C567" s="3">
        <f>Материалы!L567</f>
        <v/>
      </c>
      <c r="D567" s="3">
        <f>Материалы!M567</f>
        <v/>
      </c>
      <c r="E567" s="4">
        <f>Материалы!G567</f>
        <v/>
      </c>
      <c r="F567" s="4">
        <f>Материалы!P567</f>
        <v/>
      </c>
      <c r="G567" s="3">
        <f>Материалы!N567</f>
        <v/>
      </c>
      <c r="H567" s="3">
        <f>Материалы!O567</f>
        <v/>
      </c>
    </row>
    <row r="568">
      <c r="A568" s="3">
        <f>Материалы!B568</f>
        <v/>
      </c>
      <c r="B568" s="3">
        <f>Материалы!D568</f>
        <v/>
      </c>
      <c r="C568" s="3">
        <f>Материалы!L568</f>
        <v/>
      </c>
      <c r="D568" s="3">
        <f>Материалы!M568</f>
        <v/>
      </c>
      <c r="E568" s="4">
        <f>Материалы!G568</f>
        <v/>
      </c>
      <c r="F568" s="4">
        <f>Материалы!P568</f>
        <v/>
      </c>
      <c r="G568" s="3">
        <f>Материалы!N568</f>
        <v/>
      </c>
      <c r="H568" s="3">
        <f>Материалы!O568</f>
        <v/>
      </c>
    </row>
    <row r="569">
      <c r="A569" s="3">
        <f>Материалы!B569</f>
        <v/>
      </c>
      <c r="B569" s="3">
        <f>Материалы!D569</f>
        <v/>
      </c>
      <c r="C569" s="3">
        <f>Материалы!L569</f>
        <v/>
      </c>
      <c r="D569" s="3">
        <f>Материалы!M569</f>
        <v/>
      </c>
      <c r="E569" s="4">
        <f>Материалы!G569</f>
        <v/>
      </c>
      <c r="F569" s="4">
        <f>Материалы!P569</f>
        <v/>
      </c>
      <c r="G569" s="3">
        <f>Материалы!N569</f>
        <v/>
      </c>
      <c r="H569" s="3">
        <f>Материалы!O569</f>
        <v/>
      </c>
    </row>
    <row r="570">
      <c r="A570" s="3">
        <f>Материалы!B570</f>
        <v/>
      </c>
      <c r="B570" s="3">
        <f>Материалы!D570</f>
        <v/>
      </c>
      <c r="C570" s="3">
        <f>Материалы!L570</f>
        <v/>
      </c>
      <c r="D570" s="3">
        <f>Материалы!M570</f>
        <v/>
      </c>
      <c r="E570" s="4">
        <f>Материалы!G570</f>
        <v/>
      </c>
      <c r="F570" s="4">
        <f>Материалы!P570</f>
        <v/>
      </c>
      <c r="G570" s="3">
        <f>Материалы!N570</f>
        <v/>
      </c>
      <c r="H570" s="3">
        <f>Материалы!O570</f>
        <v/>
      </c>
    </row>
    <row r="571">
      <c r="A571" s="3">
        <f>Материалы!B571</f>
        <v/>
      </c>
      <c r="B571" s="3">
        <f>Материалы!D571</f>
        <v/>
      </c>
      <c r="C571" s="3">
        <f>Материалы!L571</f>
        <v/>
      </c>
      <c r="D571" s="3">
        <f>Материалы!M571</f>
        <v/>
      </c>
      <c r="E571" s="4">
        <f>Материалы!G571</f>
        <v/>
      </c>
      <c r="F571" s="4">
        <f>Материалы!P571</f>
        <v/>
      </c>
      <c r="G571" s="3">
        <f>Материалы!N571</f>
        <v/>
      </c>
      <c r="H571" s="3">
        <f>Материалы!O571</f>
        <v/>
      </c>
    </row>
    <row r="572">
      <c r="A572" s="3">
        <f>Материалы!B572</f>
        <v/>
      </c>
      <c r="B572" s="3">
        <f>Материалы!D572</f>
        <v/>
      </c>
      <c r="C572" s="3">
        <f>Материалы!L572</f>
        <v/>
      </c>
      <c r="D572" s="3">
        <f>Материалы!M572</f>
        <v/>
      </c>
      <c r="E572" s="4">
        <f>Материалы!G572</f>
        <v/>
      </c>
      <c r="F572" s="4">
        <f>Материалы!P572</f>
        <v/>
      </c>
      <c r="G572" s="3">
        <f>Материалы!N572</f>
        <v/>
      </c>
      <c r="H572" s="3">
        <f>Материалы!O572</f>
        <v/>
      </c>
    </row>
    <row r="573">
      <c r="A573" s="3">
        <f>Материалы!B573</f>
        <v/>
      </c>
      <c r="B573" s="3">
        <f>Материалы!D573</f>
        <v/>
      </c>
      <c r="C573" s="3">
        <f>Материалы!L573</f>
        <v/>
      </c>
      <c r="D573" s="3">
        <f>Материалы!M573</f>
        <v/>
      </c>
      <c r="E573" s="4">
        <f>Материалы!G573</f>
        <v/>
      </c>
      <c r="F573" s="4">
        <f>Материалы!P573</f>
        <v/>
      </c>
      <c r="G573" s="3">
        <f>Материалы!N573</f>
        <v/>
      </c>
      <c r="H573" s="3">
        <f>Материалы!O573</f>
        <v/>
      </c>
    </row>
    <row r="574">
      <c r="A574" s="3">
        <f>Материалы!B574</f>
        <v/>
      </c>
      <c r="B574" s="3">
        <f>Материалы!D574</f>
        <v/>
      </c>
      <c r="C574" s="3">
        <f>Материалы!L574</f>
        <v/>
      </c>
      <c r="D574" s="3">
        <f>Материалы!M574</f>
        <v/>
      </c>
      <c r="E574" s="4">
        <f>Материалы!G574</f>
        <v/>
      </c>
      <c r="F574" s="4">
        <f>Материалы!P574</f>
        <v/>
      </c>
      <c r="G574" s="3">
        <f>Материалы!N574</f>
        <v/>
      </c>
      <c r="H574" s="3">
        <f>Материалы!O574</f>
        <v/>
      </c>
    </row>
    <row r="575">
      <c r="A575" s="3">
        <f>Материалы!B575</f>
        <v/>
      </c>
      <c r="B575" s="3">
        <f>Материалы!D575</f>
        <v/>
      </c>
      <c r="C575" s="3">
        <f>Материалы!L575</f>
        <v/>
      </c>
      <c r="D575" s="3">
        <f>Материалы!M575</f>
        <v/>
      </c>
      <c r="E575" s="4">
        <f>Материалы!G575</f>
        <v/>
      </c>
      <c r="F575" s="4">
        <f>Материалы!P575</f>
        <v/>
      </c>
      <c r="G575" s="3">
        <f>Материалы!N575</f>
        <v/>
      </c>
      <c r="H575" s="3">
        <f>Материалы!O575</f>
        <v/>
      </c>
    </row>
    <row r="576">
      <c r="A576" s="3">
        <f>Материалы!B576</f>
        <v/>
      </c>
      <c r="B576" s="3">
        <f>Материалы!D576</f>
        <v/>
      </c>
      <c r="C576" s="3">
        <f>Материалы!L576</f>
        <v/>
      </c>
      <c r="D576" s="3">
        <f>Материалы!M576</f>
        <v/>
      </c>
      <c r="E576" s="4">
        <f>Материалы!G576</f>
        <v/>
      </c>
      <c r="F576" s="4">
        <f>Материалы!P576</f>
        <v/>
      </c>
      <c r="G576" s="3">
        <f>Материалы!N576</f>
        <v/>
      </c>
      <c r="H576" s="3">
        <f>Материалы!O576</f>
        <v/>
      </c>
    </row>
    <row r="577">
      <c r="A577" s="3">
        <f>Материалы!B577</f>
        <v/>
      </c>
      <c r="B577" s="3">
        <f>Материалы!D577</f>
        <v/>
      </c>
      <c r="C577" s="3">
        <f>Материалы!L577</f>
        <v/>
      </c>
      <c r="D577" s="3">
        <f>Материалы!M577</f>
        <v/>
      </c>
      <c r="E577" s="4">
        <f>Материалы!G577</f>
        <v/>
      </c>
      <c r="F577" s="4">
        <f>Материалы!P577</f>
        <v/>
      </c>
      <c r="G577" s="3">
        <f>Материалы!N577</f>
        <v/>
      </c>
      <c r="H577" s="3">
        <f>Материалы!O577</f>
        <v/>
      </c>
    </row>
    <row r="578">
      <c r="A578" s="3">
        <f>Материалы!B578</f>
        <v/>
      </c>
      <c r="B578" s="3">
        <f>Материалы!D578</f>
        <v/>
      </c>
      <c r="C578" s="3">
        <f>Материалы!L578</f>
        <v/>
      </c>
      <c r="D578" s="3">
        <f>Материалы!M578</f>
        <v/>
      </c>
      <c r="E578" s="4">
        <f>Материалы!G578</f>
        <v/>
      </c>
      <c r="F578" s="4">
        <f>Материалы!P578</f>
        <v/>
      </c>
      <c r="G578" s="3">
        <f>Материалы!N578</f>
        <v/>
      </c>
      <c r="H578" s="3">
        <f>Материалы!O578</f>
        <v/>
      </c>
    </row>
    <row r="579">
      <c r="A579" s="3">
        <f>Материалы!B579</f>
        <v/>
      </c>
      <c r="B579" s="3">
        <f>Материалы!D579</f>
        <v/>
      </c>
      <c r="C579" s="3">
        <f>Материалы!L579</f>
        <v/>
      </c>
      <c r="D579" s="3">
        <f>Материалы!M579</f>
        <v/>
      </c>
      <c r="E579" s="4">
        <f>Материалы!G579</f>
        <v/>
      </c>
      <c r="F579" s="4">
        <f>Материалы!P579</f>
        <v/>
      </c>
      <c r="G579" s="3">
        <f>Материалы!N579</f>
        <v/>
      </c>
      <c r="H579" s="3">
        <f>Материалы!O579</f>
        <v/>
      </c>
    </row>
    <row r="580">
      <c r="A580" s="3">
        <f>Материалы!B580</f>
        <v/>
      </c>
      <c r="B580" s="3">
        <f>Материалы!D580</f>
        <v/>
      </c>
      <c r="C580" s="3">
        <f>Материалы!L580</f>
        <v/>
      </c>
      <c r="D580" s="3">
        <f>Материалы!M580</f>
        <v/>
      </c>
      <c r="E580" s="4">
        <f>Материалы!G580</f>
        <v/>
      </c>
      <c r="F580" s="4">
        <f>Материалы!P580</f>
        <v/>
      </c>
      <c r="G580" s="3">
        <f>Материалы!N580</f>
        <v/>
      </c>
      <c r="H580" s="3">
        <f>Материалы!O580</f>
        <v/>
      </c>
    </row>
    <row r="581">
      <c r="A581" s="3">
        <f>Материалы!B581</f>
        <v/>
      </c>
      <c r="B581" s="3">
        <f>Материалы!D581</f>
        <v/>
      </c>
      <c r="C581" s="3">
        <f>Материалы!L581</f>
        <v/>
      </c>
      <c r="D581" s="3">
        <f>Материалы!M581</f>
        <v/>
      </c>
      <c r="E581" s="4">
        <f>Материалы!G581</f>
        <v/>
      </c>
      <c r="F581" s="4">
        <f>Материалы!P581</f>
        <v/>
      </c>
      <c r="G581" s="3">
        <f>Материалы!N581</f>
        <v/>
      </c>
      <c r="H581" s="3">
        <f>Материалы!O581</f>
        <v/>
      </c>
    </row>
    <row r="582">
      <c r="A582" s="3">
        <f>Материалы!B582</f>
        <v/>
      </c>
      <c r="B582" s="3">
        <f>Материалы!D582</f>
        <v/>
      </c>
      <c r="C582" s="3">
        <f>Материалы!L582</f>
        <v/>
      </c>
      <c r="D582" s="3">
        <f>Материалы!M582</f>
        <v/>
      </c>
      <c r="E582" s="4">
        <f>Материалы!G582</f>
        <v/>
      </c>
      <c r="F582" s="4">
        <f>Материалы!P582</f>
        <v/>
      </c>
      <c r="G582" s="3">
        <f>Материалы!N582</f>
        <v/>
      </c>
      <c r="H582" s="3">
        <f>Материалы!O582</f>
        <v/>
      </c>
    </row>
    <row r="583">
      <c r="A583" s="3">
        <f>Материалы!B583</f>
        <v/>
      </c>
      <c r="B583" s="3">
        <f>Материалы!D583</f>
        <v/>
      </c>
      <c r="C583" s="3">
        <f>Материалы!L583</f>
        <v/>
      </c>
      <c r="D583" s="3">
        <f>Материалы!M583</f>
        <v/>
      </c>
      <c r="E583" s="4">
        <f>Материалы!G583</f>
        <v/>
      </c>
      <c r="F583" s="4">
        <f>Материалы!P583</f>
        <v/>
      </c>
      <c r="G583" s="3">
        <f>Материалы!N583</f>
        <v/>
      </c>
      <c r="H583" s="3">
        <f>Материалы!O583</f>
        <v/>
      </c>
    </row>
    <row r="584">
      <c r="A584" s="3">
        <f>Материалы!B584</f>
        <v/>
      </c>
      <c r="B584" s="3">
        <f>Материалы!D584</f>
        <v/>
      </c>
      <c r="C584" s="3">
        <f>Материалы!L584</f>
        <v/>
      </c>
      <c r="D584" s="3">
        <f>Материалы!M584</f>
        <v/>
      </c>
      <c r="E584" s="4">
        <f>Материалы!G584</f>
        <v/>
      </c>
      <c r="F584" s="4">
        <f>Материалы!P584</f>
        <v/>
      </c>
      <c r="G584" s="3">
        <f>Материалы!N584</f>
        <v/>
      </c>
      <c r="H584" s="3">
        <f>Материалы!O584</f>
        <v/>
      </c>
    </row>
    <row r="585">
      <c r="A585" s="3">
        <f>Материалы!B585</f>
        <v/>
      </c>
      <c r="B585" s="3">
        <f>Материалы!D585</f>
        <v/>
      </c>
      <c r="C585" s="3">
        <f>Материалы!L585</f>
        <v/>
      </c>
      <c r="D585" s="3">
        <f>Материалы!M585</f>
        <v/>
      </c>
      <c r="E585" s="4">
        <f>Материалы!G585</f>
        <v/>
      </c>
      <c r="F585" s="4">
        <f>Материалы!P585</f>
        <v/>
      </c>
      <c r="G585" s="3">
        <f>Материалы!N585</f>
        <v/>
      </c>
      <c r="H585" s="3">
        <f>Материалы!O585</f>
        <v/>
      </c>
    </row>
    <row r="586">
      <c r="A586" s="3">
        <f>Материалы!B586</f>
        <v/>
      </c>
      <c r="B586" s="3">
        <f>Материалы!D586</f>
        <v/>
      </c>
      <c r="C586" s="3">
        <f>Материалы!L586</f>
        <v/>
      </c>
      <c r="D586" s="3">
        <f>Материалы!M586</f>
        <v/>
      </c>
      <c r="E586" s="4">
        <f>Материалы!G586</f>
        <v/>
      </c>
      <c r="F586" s="4">
        <f>Материалы!P586</f>
        <v/>
      </c>
      <c r="G586" s="3">
        <f>Материалы!N586</f>
        <v/>
      </c>
      <c r="H586" s="3">
        <f>Материалы!O586</f>
        <v/>
      </c>
    </row>
    <row r="587">
      <c r="A587" s="3">
        <f>Материалы!B587</f>
        <v/>
      </c>
      <c r="B587" s="3">
        <f>Материалы!D587</f>
        <v/>
      </c>
      <c r="C587" s="3">
        <f>Материалы!L587</f>
        <v/>
      </c>
      <c r="D587" s="3">
        <f>Материалы!M587</f>
        <v/>
      </c>
      <c r="E587" s="4">
        <f>Материалы!G587</f>
        <v/>
      </c>
      <c r="F587" s="4">
        <f>Материалы!P587</f>
        <v/>
      </c>
      <c r="G587" s="3">
        <f>Материалы!N587</f>
        <v/>
      </c>
      <c r="H587" s="3">
        <f>Материалы!O587</f>
        <v/>
      </c>
    </row>
    <row r="588">
      <c r="A588" s="3">
        <f>Материалы!B588</f>
        <v/>
      </c>
      <c r="B588" s="3">
        <f>Материалы!D588</f>
        <v/>
      </c>
      <c r="C588" s="3">
        <f>Материалы!L588</f>
        <v/>
      </c>
      <c r="D588" s="3">
        <f>Материалы!M588</f>
        <v/>
      </c>
      <c r="E588" s="4">
        <f>Материалы!G588</f>
        <v/>
      </c>
      <c r="F588" s="4">
        <f>Материалы!P588</f>
        <v/>
      </c>
      <c r="G588" s="3">
        <f>Материалы!N588</f>
        <v/>
      </c>
      <c r="H588" s="3">
        <f>Материалы!O588</f>
        <v/>
      </c>
    </row>
    <row r="589">
      <c r="A589" s="3">
        <f>Материалы!B589</f>
        <v/>
      </c>
      <c r="B589" s="3">
        <f>Материалы!D589</f>
        <v/>
      </c>
      <c r="C589" s="3">
        <f>Материалы!L589</f>
        <v/>
      </c>
      <c r="D589" s="3">
        <f>Материалы!M589</f>
        <v/>
      </c>
      <c r="E589" s="4">
        <f>Материалы!G589</f>
        <v/>
      </c>
      <c r="F589" s="4">
        <f>Материалы!P589</f>
        <v/>
      </c>
      <c r="G589" s="3">
        <f>Материалы!N589</f>
        <v/>
      </c>
      <c r="H589" s="3">
        <f>Материалы!O589</f>
        <v/>
      </c>
    </row>
    <row r="590">
      <c r="A590" s="3">
        <f>Материалы!B590</f>
        <v/>
      </c>
      <c r="B590" s="3">
        <f>Материалы!D590</f>
        <v/>
      </c>
      <c r="C590" s="3">
        <f>Материалы!L590</f>
        <v/>
      </c>
      <c r="D590" s="3">
        <f>Материалы!M590</f>
        <v/>
      </c>
      <c r="E590" s="4">
        <f>Материалы!G590</f>
        <v/>
      </c>
      <c r="F590" s="4">
        <f>Материалы!P590</f>
        <v/>
      </c>
      <c r="G590" s="3">
        <f>Материалы!N590</f>
        <v/>
      </c>
      <c r="H590" s="3">
        <f>Материалы!O590</f>
        <v/>
      </c>
    </row>
    <row r="591">
      <c r="A591" s="3">
        <f>Материалы!B591</f>
        <v/>
      </c>
      <c r="B591" s="3">
        <f>Материалы!D591</f>
        <v/>
      </c>
      <c r="C591" s="3">
        <f>Материалы!L591</f>
        <v/>
      </c>
      <c r="D591" s="3">
        <f>Материалы!M591</f>
        <v/>
      </c>
      <c r="E591" s="4">
        <f>Материалы!G591</f>
        <v/>
      </c>
      <c r="F591" s="4">
        <f>Материалы!P591</f>
        <v/>
      </c>
      <c r="G591" s="3">
        <f>Материалы!N591</f>
        <v/>
      </c>
      <c r="H591" s="3">
        <f>Материалы!O591</f>
        <v/>
      </c>
    </row>
    <row r="592">
      <c r="A592" s="3">
        <f>Материалы!B592</f>
        <v/>
      </c>
      <c r="B592" s="3">
        <f>Материалы!D592</f>
        <v/>
      </c>
      <c r="C592" s="3">
        <f>Материалы!L592</f>
        <v/>
      </c>
      <c r="D592" s="3">
        <f>Материалы!M592</f>
        <v/>
      </c>
      <c r="E592" s="4">
        <f>Материалы!G592</f>
        <v/>
      </c>
      <c r="F592" s="4">
        <f>Материалы!P592</f>
        <v/>
      </c>
      <c r="G592" s="3">
        <f>Материалы!N592</f>
        <v/>
      </c>
      <c r="H592" s="3">
        <f>Материалы!O592</f>
        <v/>
      </c>
    </row>
    <row r="593">
      <c r="A593" s="3">
        <f>Материалы!B593</f>
        <v/>
      </c>
      <c r="B593" s="3">
        <f>Материалы!D593</f>
        <v/>
      </c>
      <c r="C593" s="3">
        <f>Материалы!L593</f>
        <v/>
      </c>
      <c r="D593" s="3">
        <f>Материалы!M593</f>
        <v/>
      </c>
      <c r="E593" s="4">
        <f>Материалы!G593</f>
        <v/>
      </c>
      <c r="F593" s="4">
        <f>Материалы!P593</f>
        <v/>
      </c>
      <c r="G593" s="3">
        <f>Материалы!N593</f>
        <v/>
      </c>
      <c r="H593" s="3">
        <f>Материалы!O593</f>
        <v/>
      </c>
    </row>
    <row r="594">
      <c r="A594" s="3">
        <f>Материалы!B594</f>
        <v/>
      </c>
      <c r="B594" s="3">
        <f>Материалы!D594</f>
        <v/>
      </c>
      <c r="C594" s="3">
        <f>Материалы!L594</f>
        <v/>
      </c>
      <c r="D594" s="3">
        <f>Материалы!M594</f>
        <v/>
      </c>
      <c r="E594" s="4">
        <f>Материалы!G594</f>
        <v/>
      </c>
      <c r="F594" s="4">
        <f>Материалы!P594</f>
        <v/>
      </c>
      <c r="G594" s="3">
        <f>Материалы!N594</f>
        <v/>
      </c>
      <c r="H594" s="3">
        <f>Материалы!O594</f>
        <v/>
      </c>
    </row>
    <row r="595">
      <c r="A595" s="3">
        <f>Материалы!B595</f>
        <v/>
      </c>
      <c r="B595" s="3">
        <f>Материалы!D595</f>
        <v/>
      </c>
      <c r="C595" s="3">
        <f>Материалы!L595</f>
        <v/>
      </c>
      <c r="D595" s="3">
        <f>Материалы!M595</f>
        <v/>
      </c>
      <c r="E595" s="4">
        <f>Материалы!G595</f>
        <v/>
      </c>
      <c r="F595" s="4">
        <f>Материалы!P595</f>
        <v/>
      </c>
      <c r="G595" s="3">
        <f>Материалы!N595</f>
        <v/>
      </c>
      <c r="H595" s="3">
        <f>Материалы!O595</f>
        <v/>
      </c>
    </row>
    <row r="596">
      <c r="A596" s="3">
        <f>Материалы!B596</f>
        <v/>
      </c>
      <c r="B596" s="3">
        <f>Материалы!D596</f>
        <v/>
      </c>
      <c r="C596" s="3">
        <f>Материалы!L596</f>
        <v/>
      </c>
      <c r="D596" s="3">
        <f>Материалы!M596</f>
        <v/>
      </c>
      <c r="E596" s="4">
        <f>Материалы!G596</f>
        <v/>
      </c>
      <c r="F596" s="4">
        <f>Материалы!P596</f>
        <v/>
      </c>
      <c r="G596" s="3">
        <f>Материалы!N596</f>
        <v/>
      </c>
      <c r="H596" s="3">
        <f>Материалы!O596</f>
        <v/>
      </c>
    </row>
    <row r="597">
      <c r="A597" s="3">
        <f>Материалы!B597</f>
        <v/>
      </c>
      <c r="B597" s="3">
        <f>Материалы!D597</f>
        <v/>
      </c>
      <c r="C597" s="3">
        <f>Материалы!L597</f>
        <v/>
      </c>
      <c r="D597" s="3">
        <f>Материалы!M597</f>
        <v/>
      </c>
      <c r="E597" s="4">
        <f>Материалы!G597</f>
        <v/>
      </c>
      <c r="F597" s="4">
        <f>Материалы!P597</f>
        <v/>
      </c>
      <c r="G597" s="3">
        <f>Материалы!N597</f>
        <v/>
      </c>
      <c r="H597" s="3">
        <f>Материалы!O597</f>
        <v/>
      </c>
    </row>
    <row r="598">
      <c r="A598" s="3">
        <f>Материалы!B598</f>
        <v/>
      </c>
      <c r="B598" s="3">
        <f>Материалы!D598</f>
        <v/>
      </c>
      <c r="C598" s="3">
        <f>Материалы!L598</f>
        <v/>
      </c>
      <c r="D598" s="3">
        <f>Материалы!M598</f>
        <v/>
      </c>
      <c r="E598" s="4">
        <f>Материалы!G598</f>
        <v/>
      </c>
      <c r="F598" s="4">
        <f>Материалы!P598</f>
        <v/>
      </c>
      <c r="G598" s="3">
        <f>Материалы!N598</f>
        <v/>
      </c>
      <c r="H598" s="3">
        <f>Материалы!O598</f>
        <v/>
      </c>
    </row>
    <row r="599">
      <c r="A599" s="3">
        <f>Материалы!B599</f>
        <v/>
      </c>
      <c r="B599" s="3">
        <f>Материалы!D599</f>
        <v/>
      </c>
      <c r="C599" s="3">
        <f>Материалы!L599</f>
        <v/>
      </c>
      <c r="D599" s="3">
        <f>Материалы!M599</f>
        <v/>
      </c>
      <c r="E599" s="4">
        <f>Материалы!G599</f>
        <v/>
      </c>
      <c r="F599" s="4">
        <f>Материалы!P599</f>
        <v/>
      </c>
      <c r="G599" s="3">
        <f>Материалы!N599</f>
        <v/>
      </c>
      <c r="H599" s="3">
        <f>Материалы!O599</f>
        <v/>
      </c>
    </row>
    <row r="600">
      <c r="A600" s="3">
        <f>Материалы!B600</f>
        <v/>
      </c>
      <c r="B600" s="3">
        <f>Материалы!D600</f>
        <v/>
      </c>
      <c r="C600" s="3">
        <f>Материалы!L600</f>
        <v/>
      </c>
      <c r="D600" s="3">
        <f>Материалы!M600</f>
        <v/>
      </c>
      <c r="E600" s="4">
        <f>Материалы!G600</f>
        <v/>
      </c>
      <c r="F600" s="4">
        <f>Материалы!P600</f>
        <v/>
      </c>
      <c r="G600" s="3">
        <f>Материалы!N600</f>
        <v/>
      </c>
      <c r="H600" s="3">
        <f>Материалы!O600</f>
        <v/>
      </c>
    </row>
    <row r="601">
      <c r="A601" s="3">
        <f>Материалы!B601</f>
        <v/>
      </c>
      <c r="B601" s="3">
        <f>Материалы!D601</f>
        <v/>
      </c>
      <c r="C601" s="3">
        <f>Материалы!L601</f>
        <v/>
      </c>
      <c r="D601" s="3">
        <f>Материалы!M601</f>
        <v/>
      </c>
      <c r="E601" s="4">
        <f>Материалы!G601</f>
        <v/>
      </c>
      <c r="F601" s="4">
        <f>Материалы!P601</f>
        <v/>
      </c>
      <c r="G601" s="3">
        <f>Материалы!N601</f>
        <v/>
      </c>
      <c r="H601" s="3">
        <f>Материалы!O601</f>
        <v/>
      </c>
    </row>
    <row r="602">
      <c r="A602" s="3">
        <f>Материалы!B602</f>
        <v/>
      </c>
      <c r="B602" s="3">
        <f>Материалы!D602</f>
        <v/>
      </c>
      <c r="C602" s="3">
        <f>Материалы!L602</f>
        <v/>
      </c>
      <c r="D602" s="3">
        <f>Материалы!M602</f>
        <v/>
      </c>
      <c r="E602" s="4">
        <f>Материалы!G602</f>
        <v/>
      </c>
      <c r="F602" s="4">
        <f>Материалы!P602</f>
        <v/>
      </c>
      <c r="G602" s="3">
        <f>Материалы!N602</f>
        <v/>
      </c>
      <c r="H602" s="3">
        <f>Материалы!O602</f>
        <v/>
      </c>
    </row>
    <row r="603">
      <c r="A603" s="3">
        <f>Материалы!B603</f>
        <v/>
      </c>
      <c r="B603" s="3">
        <f>Материалы!D603</f>
        <v/>
      </c>
      <c r="C603" s="3">
        <f>Материалы!L603</f>
        <v/>
      </c>
      <c r="D603" s="3">
        <f>Материалы!M603</f>
        <v/>
      </c>
      <c r="E603" s="4">
        <f>Материалы!G603</f>
        <v/>
      </c>
      <c r="F603" s="4">
        <f>Материалы!P603</f>
        <v/>
      </c>
      <c r="G603" s="3">
        <f>Материалы!N603</f>
        <v/>
      </c>
      <c r="H603" s="3">
        <f>Материалы!O603</f>
        <v/>
      </c>
    </row>
    <row r="604">
      <c r="A604" s="3">
        <f>Материалы!B604</f>
        <v/>
      </c>
      <c r="B604" s="3">
        <f>Материалы!D604</f>
        <v/>
      </c>
      <c r="C604" s="3">
        <f>Материалы!L604</f>
        <v/>
      </c>
      <c r="D604" s="3">
        <f>Материалы!M604</f>
        <v/>
      </c>
      <c r="E604" s="4">
        <f>Материалы!G604</f>
        <v/>
      </c>
      <c r="F604" s="4">
        <f>Материалы!P604</f>
        <v/>
      </c>
      <c r="G604" s="3">
        <f>Материалы!N604</f>
        <v/>
      </c>
      <c r="H604" s="3">
        <f>Материалы!O604</f>
        <v/>
      </c>
    </row>
    <row r="605">
      <c r="A605" s="3">
        <f>Материалы!B605</f>
        <v/>
      </c>
      <c r="B605" s="3">
        <f>Материалы!D605</f>
        <v/>
      </c>
      <c r="C605" s="3">
        <f>Материалы!L605</f>
        <v/>
      </c>
      <c r="D605" s="3">
        <f>Материалы!M605</f>
        <v/>
      </c>
      <c r="E605" s="4">
        <f>Материалы!G605</f>
        <v/>
      </c>
      <c r="F605" s="4">
        <f>Материалы!P605</f>
        <v/>
      </c>
      <c r="G605" s="3">
        <f>Материалы!N605</f>
        <v/>
      </c>
      <c r="H605" s="3">
        <f>Материалы!O605</f>
        <v/>
      </c>
    </row>
    <row r="606">
      <c r="A606" s="3">
        <f>Материалы!B606</f>
        <v/>
      </c>
      <c r="B606" s="3">
        <f>Материалы!D606</f>
        <v/>
      </c>
      <c r="C606" s="3">
        <f>Материалы!L606</f>
        <v/>
      </c>
      <c r="D606" s="3">
        <f>Материалы!M606</f>
        <v/>
      </c>
      <c r="E606" s="4">
        <f>Материалы!G606</f>
        <v/>
      </c>
      <c r="F606" s="4">
        <f>Материалы!P606</f>
        <v/>
      </c>
      <c r="G606" s="3">
        <f>Материалы!N606</f>
        <v/>
      </c>
      <c r="H606" s="3">
        <f>Материалы!O606</f>
        <v/>
      </c>
    </row>
  </sheetData>
  <autoFilter ref="A3:H3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36" customWidth="1" min="4" max="4"/>
    <col width="42" customWidth="1" min="5" max="5"/>
  </cols>
  <sheetData>
    <row r="1">
      <c r="A1" t="inlineStr">
        <is>
          <t>Риски и вопросы</t>
        </is>
      </c>
    </row>
    <row r="2"/>
    <row r="3" ht="32" customHeight="1">
      <c r="A3" s="2" t="inlineStr">
        <is>
          <t>№</t>
        </is>
      </c>
      <c r="B3" s="2" t="inlineStr">
        <is>
          <t>Описание</t>
        </is>
      </c>
      <c r="C3" s="2" t="inlineStr">
        <is>
          <t>Влияние, руб.</t>
        </is>
      </c>
      <c r="D3" s="2" t="inlineStr">
        <is>
          <t>Что спросить</t>
        </is>
      </c>
      <c r="E3" s="2" t="inlineStr">
        <is>
          <t>Допущение</t>
        </is>
      </c>
    </row>
    <row r="4" ht="32" customHeight="1">
      <c r="A4" s="13" t="n">
        <v>1</v>
      </c>
      <c r="B4" s="13" t="inlineStr">
        <is>
          <t>Объёмы формы продублированы на 19 площадок и в колонки цен. Если заказчик ждёт сумму ×19, оценка занижена в 19 раз.</t>
        </is>
      </c>
      <c r="C4" s="13" t="n">
        <v>0</v>
      </c>
      <c r="D4" s="13" t="inlineStr">
        <is>
          <t>Число в колонках площадок — вес сравнения или объём каждой площадки?</t>
        </is>
      </c>
      <c r="E4" s="13" t="inlineStr">
        <is>
          <t>Взято один раз как вес позиции</t>
        </is>
      </c>
    </row>
    <row r="5" ht="32" customHeight="1">
      <c r="A5" s="13" t="n">
        <v>2</v>
      </c>
      <c r="B5" s="13" t="inlineStr">
        <is>
          <t>Цены зафиксированы на 2 года, индексации в ТЗ нет. Постоплата 45 дней.</t>
        </is>
      </c>
      <c r="C5" s="18">
        <f>Косвенные!C6</f>
        <v/>
      </c>
      <c r="D5" s="13" t="inlineStr">
        <is>
          <t>Есть ли ежегодная индексация расценок?</t>
        </is>
      </c>
      <c r="E5" s="13" t="inlineStr">
        <is>
          <t>Резерв 4 % от закупки материалов (лист «Косвенные») и стоимость денег 2 месяца на «Параметрах»</t>
        </is>
      </c>
    </row>
    <row r="6" ht="32" customHeight="1">
      <c r="A6" s="13" t="n">
        <v>3</v>
      </c>
      <c r="B6" s="13" t="inlineStr">
        <is>
          <t>Штраф 20 000 руб за каждый день опоздания с мобилизацией или с графика.</t>
        </is>
      </c>
      <c r="C6" s="13" t="n">
        <v>20000</v>
      </c>
      <c r="D6" s="13" t="inlineStr">
        <is>
          <t>Штраф считается от заявки или от согласованной даты выхода?</t>
        </is>
      </c>
      <c r="E6" s="13" t="inlineStr">
        <is>
          <t>В резерв рисков 3 %, отдельной суммой в расценку не размазан</t>
        </is>
      </c>
    </row>
    <row r="7" ht="32" customHeight="1">
      <c r="A7" s="13" t="n">
        <v>4</v>
      </c>
      <c r="B7" s="13" t="inlineStr">
        <is>
          <t>ТЗ требует менеджера 24/7. В расценках заложен только мастер на заявках (8 % к бригаде).</t>
        </is>
      </c>
      <c r="C7" s="13" t="n">
        <v>6480000</v>
      </c>
      <c r="D7" s="13" t="inlineStr">
        <is>
          <t>Нужен ли выделенный диспетчер, и оплачивается ли он отдельно?</t>
        </is>
      </c>
      <c r="E7" s="13" t="inlineStr">
        <is>
          <t>Диспетчер 180 тыс. на руки × 1,5 × 24 мес = 6,48 млн не включён</t>
        </is>
      </c>
    </row>
    <row r="8" ht="32" customHeight="1">
      <c r="A8" s="13" t="n">
        <v>5</v>
      </c>
      <c r="B8" s="13" t="inlineStr">
        <is>
          <t>Много позиций без открытого прайса: двери, сэндвич, светильники, лотки, водосток, шлагбаум, ДГУ.</t>
        </is>
      </c>
      <c r="C8" s="13" t="n">
        <v>0</v>
      </c>
      <c r="D8" s="13" t="inlineStr">
        <is>
          <t>Можно ли заменить марки аналогами?</t>
        </is>
      </c>
      <c r="E8" s="13" t="inlineStr">
        <is>
          <t>Помечено «оценка» и «запросить КП»</t>
        </is>
      </c>
    </row>
    <row r="9" ht="32" customHeight="1">
      <c r="A9" s="13" t="n">
        <v>6</v>
      </c>
      <c r="B9" s="13" t="inlineStr">
        <is>
          <t>Колонки N и O в исходнике заполнены тем же числом, что и объёмы. В копию НЕОСТРОЙ туда записаны цены.</t>
        </is>
      </c>
      <c r="C9" s="13" t="n">
        <v>0</v>
      </c>
      <c r="D9" s="13" t="inlineStr">
        <is>
          <t>Подтвердить, что N и O — это цена материалов и работ за единицу, а не объём.</t>
        </is>
      </c>
      <c r="E9" s="13" t="inlineStr">
        <is>
          <t>Заголовки колонок читаются как цены</t>
        </is>
      </c>
    </row>
  </sheetData>
  <autoFilter ref="A3:E3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49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6" customWidth="1" min="4" max="4"/>
    <col width="16" customWidth="1" min="5" max="5"/>
    <col width="28" customWidth="1" min="6" max="6"/>
  </cols>
  <sheetData>
    <row r="1">
      <c r="A1" t="inlineStr">
        <is>
          <t>Работы без артикула. Цены — формулы с листа «Работы».</t>
        </is>
      </c>
    </row>
    <row r="2"/>
    <row r="3" ht="32" customHeight="1">
      <c r="A3" s="2" t="inlineStr">
        <is>
          <t>Работа</t>
        </is>
      </c>
      <c r="B3" s="2" t="inlineStr">
        <is>
          <t>Ед.</t>
        </is>
      </c>
      <c r="C3" s="2" t="inlineStr">
        <is>
          <t>Цена КП</t>
        </is>
      </c>
      <c r="D3" s="2" t="inlineStr">
        <is>
          <t>Оплата бригаде</t>
        </is>
      </c>
      <c r="E3" s="2" t="inlineStr">
        <is>
          <t>Норма, чел.-ч</t>
        </is>
      </c>
      <c r="F3" s="2" t="inlineStr">
        <is>
          <t>Метка</t>
        </is>
      </c>
    </row>
    <row r="4">
      <c r="A4" s="3">
        <f>Работы!B6</f>
        <v/>
      </c>
      <c r="B4" s="3">
        <f>Работы!C6</f>
        <v/>
      </c>
      <c r="C4" s="3">
        <f>Работы!G6</f>
        <v/>
      </c>
      <c r="D4" s="3">
        <f>Работы!H6</f>
        <v/>
      </c>
      <c r="E4" s="3">
        <f>Работы!I6</f>
        <v/>
      </c>
      <c r="F4" s="3">
        <f>Работы!E6</f>
        <v/>
      </c>
    </row>
    <row r="5">
      <c r="A5" s="3">
        <f>Работы!B7</f>
        <v/>
      </c>
      <c r="B5" s="3">
        <f>Работы!C7</f>
        <v/>
      </c>
      <c r="C5" s="3">
        <f>Работы!G7</f>
        <v/>
      </c>
      <c r="D5" s="3">
        <f>Работы!H7</f>
        <v/>
      </c>
      <c r="E5" s="3">
        <f>Работы!I7</f>
        <v/>
      </c>
      <c r="F5" s="3">
        <f>Работы!E7</f>
        <v/>
      </c>
    </row>
    <row r="6">
      <c r="A6" s="3">
        <f>Работы!B8</f>
        <v/>
      </c>
      <c r="B6" s="3">
        <f>Работы!C8</f>
        <v/>
      </c>
      <c r="C6" s="3">
        <f>Работы!G8</f>
        <v/>
      </c>
      <c r="D6" s="3">
        <f>Работы!H8</f>
        <v/>
      </c>
      <c r="E6" s="3">
        <f>Работы!I8</f>
        <v/>
      </c>
      <c r="F6" s="3">
        <f>Работы!E8</f>
        <v/>
      </c>
    </row>
    <row r="7">
      <c r="A7" s="3">
        <f>Работы!B9</f>
        <v/>
      </c>
      <c r="B7" s="3">
        <f>Работы!C9</f>
        <v/>
      </c>
      <c r="C7" s="3">
        <f>Работы!G9</f>
        <v/>
      </c>
      <c r="D7" s="3">
        <f>Работы!H9</f>
        <v/>
      </c>
      <c r="E7" s="3">
        <f>Работы!I9</f>
        <v/>
      </c>
      <c r="F7" s="3">
        <f>Работы!E9</f>
        <v/>
      </c>
    </row>
    <row r="8">
      <c r="A8" s="3">
        <f>Работы!B10</f>
        <v/>
      </c>
      <c r="B8" s="3">
        <f>Работы!C10</f>
        <v/>
      </c>
      <c r="C8" s="3">
        <f>Работы!G10</f>
        <v/>
      </c>
      <c r="D8" s="3">
        <f>Работы!H10</f>
        <v/>
      </c>
      <c r="E8" s="3">
        <f>Работы!I10</f>
        <v/>
      </c>
      <c r="F8" s="3">
        <f>Работы!E10</f>
        <v/>
      </c>
    </row>
    <row r="9">
      <c r="A9" s="3">
        <f>Работы!B11</f>
        <v/>
      </c>
      <c r="B9" s="3">
        <f>Работы!C11</f>
        <v/>
      </c>
      <c r="C9" s="3">
        <f>Работы!G11</f>
        <v/>
      </c>
      <c r="D9" s="3">
        <f>Работы!H11</f>
        <v/>
      </c>
      <c r="E9" s="3">
        <f>Работы!I11</f>
        <v/>
      </c>
      <c r="F9" s="3">
        <f>Работы!E11</f>
        <v/>
      </c>
    </row>
    <row r="10">
      <c r="A10" s="3">
        <f>Работы!B13</f>
        <v/>
      </c>
      <c r="B10" s="3">
        <f>Работы!C13</f>
        <v/>
      </c>
      <c r="C10" s="3">
        <f>Работы!G13</f>
        <v/>
      </c>
      <c r="D10" s="3">
        <f>Работы!H13</f>
        <v/>
      </c>
      <c r="E10" s="3">
        <f>Работы!I13</f>
        <v/>
      </c>
      <c r="F10" s="3">
        <f>Работы!E13</f>
        <v/>
      </c>
    </row>
    <row r="11">
      <c r="A11" s="3">
        <f>Работы!B15</f>
        <v/>
      </c>
      <c r="B11" s="3">
        <f>Работы!C15</f>
        <v/>
      </c>
      <c r="C11" s="3">
        <f>Работы!G15</f>
        <v/>
      </c>
      <c r="D11" s="3">
        <f>Работы!H15</f>
        <v/>
      </c>
      <c r="E11" s="3">
        <f>Работы!I15</f>
        <v/>
      </c>
      <c r="F11" s="3">
        <f>Работы!E15</f>
        <v/>
      </c>
    </row>
    <row r="12">
      <c r="A12" s="3">
        <f>Работы!B16</f>
        <v/>
      </c>
      <c r="B12" s="3">
        <f>Работы!C16</f>
        <v/>
      </c>
      <c r="C12" s="3">
        <f>Работы!G16</f>
        <v/>
      </c>
      <c r="D12" s="3">
        <f>Работы!H16</f>
        <v/>
      </c>
      <c r="E12" s="3">
        <f>Работы!I16</f>
        <v/>
      </c>
      <c r="F12" s="3">
        <f>Работы!E16</f>
        <v/>
      </c>
    </row>
    <row r="13">
      <c r="A13" s="3">
        <f>Работы!B19</f>
        <v/>
      </c>
      <c r="B13" s="3">
        <f>Работы!C19</f>
        <v/>
      </c>
      <c r="C13" s="3">
        <f>Работы!G19</f>
        <v/>
      </c>
      <c r="D13" s="3">
        <f>Работы!H19</f>
        <v/>
      </c>
      <c r="E13" s="3">
        <f>Работы!I19</f>
        <v/>
      </c>
      <c r="F13" s="3">
        <f>Работы!E19</f>
        <v/>
      </c>
    </row>
    <row r="14">
      <c r="A14" s="3">
        <f>Работы!B20</f>
        <v/>
      </c>
      <c r="B14" s="3">
        <f>Работы!C20</f>
        <v/>
      </c>
      <c r="C14" s="3">
        <f>Работы!G20</f>
        <v/>
      </c>
      <c r="D14" s="3">
        <f>Работы!H20</f>
        <v/>
      </c>
      <c r="E14" s="3">
        <f>Работы!I20</f>
        <v/>
      </c>
      <c r="F14" s="3">
        <f>Работы!E20</f>
        <v/>
      </c>
    </row>
    <row r="15">
      <c r="A15" s="3">
        <f>Работы!B22</f>
        <v/>
      </c>
      <c r="B15" s="3">
        <f>Работы!C22</f>
        <v/>
      </c>
      <c r="C15" s="3">
        <f>Работы!G22</f>
        <v/>
      </c>
      <c r="D15" s="3">
        <f>Работы!H22</f>
        <v/>
      </c>
      <c r="E15" s="3">
        <f>Работы!I22</f>
        <v/>
      </c>
      <c r="F15" s="3">
        <f>Работы!E22</f>
        <v/>
      </c>
    </row>
    <row r="16">
      <c r="A16" s="3">
        <f>Работы!B24</f>
        <v/>
      </c>
      <c r="B16" s="3">
        <f>Работы!C24</f>
        <v/>
      </c>
      <c r="C16" s="3">
        <f>Работы!G24</f>
        <v/>
      </c>
      <c r="D16" s="3">
        <f>Работы!H24</f>
        <v/>
      </c>
      <c r="E16" s="3">
        <f>Работы!I24</f>
        <v/>
      </c>
      <c r="F16" s="3">
        <f>Работы!E24</f>
        <v/>
      </c>
    </row>
    <row r="17">
      <c r="A17" s="3">
        <f>Работы!B25</f>
        <v/>
      </c>
      <c r="B17" s="3">
        <f>Работы!C25</f>
        <v/>
      </c>
      <c r="C17" s="3">
        <f>Работы!G25</f>
        <v/>
      </c>
      <c r="D17" s="3">
        <f>Работы!H25</f>
        <v/>
      </c>
      <c r="E17" s="3">
        <f>Работы!I25</f>
        <v/>
      </c>
      <c r="F17" s="3">
        <f>Работы!E25</f>
        <v/>
      </c>
    </row>
    <row r="18">
      <c r="A18" s="3">
        <f>Работы!B26</f>
        <v/>
      </c>
      <c r="B18" s="3">
        <f>Работы!C26</f>
        <v/>
      </c>
      <c r="C18" s="3">
        <f>Работы!G26</f>
        <v/>
      </c>
      <c r="D18" s="3">
        <f>Работы!H26</f>
        <v/>
      </c>
      <c r="E18" s="3">
        <f>Работы!I26</f>
        <v/>
      </c>
      <c r="F18" s="3">
        <f>Работы!E26</f>
        <v/>
      </c>
    </row>
    <row r="19">
      <c r="A19" s="3">
        <f>Работы!B27</f>
        <v/>
      </c>
      <c r="B19" s="3">
        <f>Работы!C27</f>
        <v/>
      </c>
      <c r="C19" s="3">
        <f>Работы!G27</f>
        <v/>
      </c>
      <c r="D19" s="3">
        <f>Работы!H27</f>
        <v/>
      </c>
      <c r="E19" s="3">
        <f>Работы!I27</f>
        <v/>
      </c>
      <c r="F19" s="3">
        <f>Работы!E27</f>
        <v/>
      </c>
    </row>
    <row r="20">
      <c r="A20" s="3">
        <f>Работы!B29</f>
        <v/>
      </c>
      <c r="B20" s="3">
        <f>Работы!C29</f>
        <v/>
      </c>
      <c r="C20" s="3">
        <f>Работы!G29</f>
        <v/>
      </c>
      <c r="D20" s="3">
        <f>Работы!H29</f>
        <v/>
      </c>
      <c r="E20" s="3">
        <f>Работы!I29</f>
        <v/>
      </c>
      <c r="F20" s="3">
        <f>Работы!E29</f>
        <v/>
      </c>
    </row>
    <row r="21">
      <c r="A21" s="3">
        <f>Работы!B30</f>
        <v/>
      </c>
      <c r="B21" s="3">
        <f>Работы!C30</f>
        <v/>
      </c>
      <c r="C21" s="3">
        <f>Работы!G30</f>
        <v/>
      </c>
      <c r="D21" s="3">
        <f>Работы!H30</f>
        <v/>
      </c>
      <c r="E21" s="3">
        <f>Работы!I30</f>
        <v/>
      </c>
      <c r="F21" s="3">
        <f>Работы!E30</f>
        <v/>
      </c>
    </row>
    <row r="22">
      <c r="A22" s="3">
        <f>Работы!B31</f>
        <v/>
      </c>
      <c r="B22" s="3">
        <f>Работы!C31</f>
        <v/>
      </c>
      <c r="C22" s="3">
        <f>Работы!G31</f>
        <v/>
      </c>
      <c r="D22" s="3">
        <f>Работы!H31</f>
        <v/>
      </c>
      <c r="E22" s="3">
        <f>Работы!I31</f>
        <v/>
      </c>
      <c r="F22" s="3">
        <f>Работы!E31</f>
        <v/>
      </c>
    </row>
    <row r="23">
      <c r="A23" s="3">
        <f>Работы!B35</f>
        <v/>
      </c>
      <c r="B23" s="3">
        <f>Работы!C35</f>
        <v/>
      </c>
      <c r="C23" s="3">
        <f>Работы!G35</f>
        <v/>
      </c>
      <c r="D23" s="3">
        <f>Работы!H35</f>
        <v/>
      </c>
      <c r="E23" s="3">
        <f>Работы!I35</f>
        <v/>
      </c>
      <c r="F23" s="3">
        <f>Работы!E35</f>
        <v/>
      </c>
    </row>
    <row r="24">
      <c r="A24" s="3">
        <f>Работы!B36</f>
        <v/>
      </c>
      <c r="B24" s="3">
        <f>Работы!C36</f>
        <v/>
      </c>
      <c r="C24" s="3">
        <f>Работы!G36</f>
        <v/>
      </c>
      <c r="D24" s="3">
        <f>Работы!H36</f>
        <v/>
      </c>
      <c r="E24" s="3">
        <f>Работы!I36</f>
        <v/>
      </c>
      <c r="F24" s="3">
        <f>Работы!E36</f>
        <v/>
      </c>
    </row>
    <row r="25">
      <c r="A25" s="3">
        <f>Работы!B50</f>
        <v/>
      </c>
      <c r="B25" s="3">
        <f>Работы!C50</f>
        <v/>
      </c>
      <c r="C25" s="3">
        <f>Работы!G50</f>
        <v/>
      </c>
      <c r="D25" s="3">
        <f>Работы!H50</f>
        <v/>
      </c>
      <c r="E25" s="3">
        <f>Работы!I50</f>
        <v/>
      </c>
      <c r="F25" s="3">
        <f>Работы!E50</f>
        <v/>
      </c>
    </row>
    <row r="26">
      <c r="A26" s="3">
        <f>Работы!B51</f>
        <v/>
      </c>
      <c r="B26" s="3">
        <f>Работы!C51</f>
        <v/>
      </c>
      <c r="C26" s="3">
        <f>Работы!G51</f>
        <v/>
      </c>
      <c r="D26" s="3">
        <f>Работы!H51</f>
        <v/>
      </c>
      <c r="E26" s="3">
        <f>Работы!I51</f>
        <v/>
      </c>
      <c r="F26" s="3">
        <f>Работы!E51</f>
        <v/>
      </c>
    </row>
    <row r="27">
      <c r="A27" s="3">
        <f>Работы!B52</f>
        <v/>
      </c>
      <c r="B27" s="3">
        <f>Работы!C52</f>
        <v/>
      </c>
      <c r="C27" s="3">
        <f>Работы!G52</f>
        <v/>
      </c>
      <c r="D27" s="3">
        <f>Работы!H52</f>
        <v/>
      </c>
      <c r="E27" s="3">
        <f>Работы!I52</f>
        <v/>
      </c>
      <c r="F27" s="3">
        <f>Работы!E52</f>
        <v/>
      </c>
    </row>
    <row r="28">
      <c r="A28" s="3">
        <f>Работы!B53</f>
        <v/>
      </c>
      <c r="B28" s="3">
        <f>Работы!C53</f>
        <v/>
      </c>
      <c r="C28" s="3">
        <f>Работы!G53</f>
        <v/>
      </c>
      <c r="D28" s="3">
        <f>Работы!H53</f>
        <v/>
      </c>
      <c r="E28" s="3">
        <f>Работы!I53</f>
        <v/>
      </c>
      <c r="F28" s="3">
        <f>Работы!E53</f>
        <v/>
      </c>
    </row>
    <row r="29">
      <c r="A29" s="3">
        <f>Работы!B61</f>
        <v/>
      </c>
      <c r="B29" s="3">
        <f>Работы!C61</f>
        <v/>
      </c>
      <c r="C29" s="3">
        <f>Работы!G61</f>
        <v/>
      </c>
      <c r="D29" s="3">
        <f>Работы!H61</f>
        <v/>
      </c>
      <c r="E29" s="3">
        <f>Работы!I61</f>
        <v/>
      </c>
      <c r="F29" s="3">
        <f>Работы!E61</f>
        <v/>
      </c>
    </row>
    <row r="30">
      <c r="A30" s="3">
        <f>Работы!B62</f>
        <v/>
      </c>
      <c r="B30" s="3">
        <f>Работы!C62</f>
        <v/>
      </c>
      <c r="C30" s="3">
        <f>Работы!G62</f>
        <v/>
      </c>
      <c r="D30" s="3">
        <f>Работы!H62</f>
        <v/>
      </c>
      <c r="E30" s="3">
        <f>Работы!I62</f>
        <v/>
      </c>
      <c r="F30" s="3">
        <f>Работы!E62</f>
        <v/>
      </c>
    </row>
    <row r="31">
      <c r="A31" s="3">
        <f>Работы!B63</f>
        <v/>
      </c>
      <c r="B31" s="3">
        <f>Работы!C63</f>
        <v/>
      </c>
      <c r="C31" s="3">
        <f>Работы!G63</f>
        <v/>
      </c>
      <c r="D31" s="3">
        <f>Работы!H63</f>
        <v/>
      </c>
      <c r="E31" s="3">
        <f>Работы!I63</f>
        <v/>
      </c>
      <c r="F31" s="3">
        <f>Работы!E63</f>
        <v/>
      </c>
    </row>
    <row r="32">
      <c r="A32" s="3">
        <f>Работы!B64</f>
        <v/>
      </c>
      <c r="B32" s="3">
        <f>Работы!C64</f>
        <v/>
      </c>
      <c r="C32" s="3">
        <f>Работы!G64</f>
        <v/>
      </c>
      <c r="D32" s="3">
        <f>Работы!H64</f>
        <v/>
      </c>
      <c r="E32" s="3">
        <f>Работы!I64</f>
        <v/>
      </c>
      <c r="F32" s="3">
        <f>Работы!E64</f>
        <v/>
      </c>
    </row>
    <row r="33">
      <c r="A33" s="3">
        <f>Работы!B65</f>
        <v/>
      </c>
      <c r="B33" s="3">
        <f>Работы!C65</f>
        <v/>
      </c>
      <c r="C33" s="3">
        <f>Работы!G65</f>
        <v/>
      </c>
      <c r="D33" s="3">
        <f>Работы!H65</f>
        <v/>
      </c>
      <c r="E33" s="3">
        <f>Работы!I65</f>
        <v/>
      </c>
      <c r="F33" s="3">
        <f>Работы!E65</f>
        <v/>
      </c>
    </row>
    <row r="34">
      <c r="A34" s="3">
        <f>Работы!B69</f>
        <v/>
      </c>
      <c r="B34" s="3">
        <f>Работы!C69</f>
        <v/>
      </c>
      <c r="C34" s="3">
        <f>Работы!G69</f>
        <v/>
      </c>
      <c r="D34" s="3">
        <f>Работы!H69</f>
        <v/>
      </c>
      <c r="E34" s="3">
        <f>Работы!I69</f>
        <v/>
      </c>
      <c r="F34" s="3">
        <f>Работы!E69</f>
        <v/>
      </c>
    </row>
    <row r="35">
      <c r="A35" s="3">
        <f>Работы!B72</f>
        <v/>
      </c>
      <c r="B35" s="3">
        <f>Работы!C72</f>
        <v/>
      </c>
      <c r="C35" s="3">
        <f>Работы!G72</f>
        <v/>
      </c>
      <c r="D35" s="3">
        <f>Работы!H72</f>
        <v/>
      </c>
      <c r="E35" s="3">
        <f>Работы!I72</f>
        <v/>
      </c>
      <c r="F35" s="3">
        <f>Работы!E72</f>
        <v/>
      </c>
    </row>
    <row r="36">
      <c r="A36" s="3">
        <f>Работы!B74</f>
        <v/>
      </c>
      <c r="B36" s="3">
        <f>Работы!C74</f>
        <v/>
      </c>
      <c r="C36" s="3">
        <f>Работы!G74</f>
        <v/>
      </c>
      <c r="D36" s="3">
        <f>Работы!H74</f>
        <v/>
      </c>
      <c r="E36" s="3">
        <f>Работы!I74</f>
        <v/>
      </c>
      <c r="F36" s="3">
        <f>Работы!E74</f>
        <v/>
      </c>
    </row>
    <row r="37">
      <c r="A37" s="3">
        <f>Работы!B75</f>
        <v/>
      </c>
      <c r="B37" s="3">
        <f>Работы!C75</f>
        <v/>
      </c>
      <c r="C37" s="3">
        <f>Работы!G75</f>
        <v/>
      </c>
      <c r="D37" s="3">
        <f>Работы!H75</f>
        <v/>
      </c>
      <c r="E37" s="3">
        <f>Работы!I75</f>
        <v/>
      </c>
      <c r="F37" s="3">
        <f>Работы!E75</f>
        <v/>
      </c>
    </row>
    <row r="38">
      <c r="A38" s="3">
        <f>Работы!B76</f>
        <v/>
      </c>
      <c r="B38" s="3">
        <f>Работы!C76</f>
        <v/>
      </c>
      <c r="C38" s="3">
        <f>Работы!G76</f>
        <v/>
      </c>
      <c r="D38" s="3">
        <f>Работы!H76</f>
        <v/>
      </c>
      <c r="E38" s="3">
        <f>Работы!I76</f>
        <v/>
      </c>
      <c r="F38" s="3">
        <f>Работы!E76</f>
        <v/>
      </c>
    </row>
    <row r="39">
      <c r="A39" s="3">
        <f>Работы!B77</f>
        <v/>
      </c>
      <c r="B39" s="3">
        <f>Работы!C77</f>
        <v/>
      </c>
      <c r="C39" s="3">
        <f>Работы!G77</f>
        <v/>
      </c>
      <c r="D39" s="3">
        <f>Работы!H77</f>
        <v/>
      </c>
      <c r="E39" s="3">
        <f>Работы!I77</f>
        <v/>
      </c>
      <c r="F39" s="3">
        <f>Работы!E77</f>
        <v/>
      </c>
    </row>
    <row r="40">
      <c r="A40" s="3">
        <f>Работы!B78</f>
        <v/>
      </c>
      <c r="B40" s="3">
        <f>Работы!C78</f>
        <v/>
      </c>
      <c r="C40" s="3">
        <f>Работы!G78</f>
        <v/>
      </c>
      <c r="D40" s="3">
        <f>Работы!H78</f>
        <v/>
      </c>
      <c r="E40" s="3">
        <f>Работы!I78</f>
        <v/>
      </c>
      <c r="F40" s="3">
        <f>Работы!E78</f>
        <v/>
      </c>
    </row>
    <row r="41">
      <c r="A41" s="3">
        <f>Работы!B81</f>
        <v/>
      </c>
      <c r="B41" s="3">
        <f>Работы!C81</f>
        <v/>
      </c>
      <c r="C41" s="3">
        <f>Работы!G81</f>
        <v/>
      </c>
      <c r="D41" s="3">
        <f>Работы!H81</f>
        <v/>
      </c>
      <c r="E41" s="3">
        <f>Работы!I81</f>
        <v/>
      </c>
      <c r="F41" s="3">
        <f>Работы!E81</f>
        <v/>
      </c>
    </row>
    <row r="42">
      <c r="A42" s="3">
        <f>Работы!B84</f>
        <v/>
      </c>
      <c r="B42" s="3">
        <f>Работы!C84</f>
        <v/>
      </c>
      <c r="C42" s="3">
        <f>Работы!G84</f>
        <v/>
      </c>
      <c r="D42" s="3">
        <f>Работы!H84</f>
        <v/>
      </c>
      <c r="E42" s="3">
        <f>Работы!I84</f>
        <v/>
      </c>
      <c r="F42" s="3">
        <f>Работы!E84</f>
        <v/>
      </c>
    </row>
    <row r="43">
      <c r="A43" s="3">
        <f>Работы!B85</f>
        <v/>
      </c>
      <c r="B43" s="3">
        <f>Работы!C85</f>
        <v/>
      </c>
      <c r="C43" s="3">
        <f>Работы!G85</f>
        <v/>
      </c>
      <c r="D43" s="3">
        <f>Работы!H85</f>
        <v/>
      </c>
      <c r="E43" s="3">
        <f>Работы!I85</f>
        <v/>
      </c>
      <c r="F43" s="3">
        <f>Работы!E85</f>
        <v/>
      </c>
    </row>
    <row r="44">
      <c r="A44" s="3">
        <f>Работы!B86</f>
        <v/>
      </c>
      <c r="B44" s="3">
        <f>Работы!C86</f>
        <v/>
      </c>
      <c r="C44" s="3">
        <f>Работы!G86</f>
        <v/>
      </c>
      <c r="D44" s="3">
        <f>Работы!H86</f>
        <v/>
      </c>
      <c r="E44" s="3">
        <f>Работы!I86</f>
        <v/>
      </c>
      <c r="F44" s="3">
        <f>Работы!E86</f>
        <v/>
      </c>
    </row>
    <row r="45">
      <c r="A45" s="3">
        <f>Работы!B87</f>
        <v/>
      </c>
      <c r="B45" s="3">
        <f>Работы!C87</f>
        <v/>
      </c>
      <c r="C45" s="3">
        <f>Работы!G87</f>
        <v/>
      </c>
      <c r="D45" s="3">
        <f>Работы!H87</f>
        <v/>
      </c>
      <c r="E45" s="3">
        <f>Работы!I87</f>
        <v/>
      </c>
      <c r="F45" s="3">
        <f>Работы!E87</f>
        <v/>
      </c>
    </row>
    <row r="46">
      <c r="A46" s="3">
        <f>Работы!B88</f>
        <v/>
      </c>
      <c r="B46" s="3">
        <f>Работы!C88</f>
        <v/>
      </c>
      <c r="C46" s="3">
        <f>Работы!G88</f>
        <v/>
      </c>
      <c r="D46" s="3">
        <f>Работы!H88</f>
        <v/>
      </c>
      <c r="E46" s="3">
        <f>Работы!I88</f>
        <v/>
      </c>
      <c r="F46" s="3">
        <f>Работы!E88</f>
        <v/>
      </c>
    </row>
    <row r="47">
      <c r="A47" s="3">
        <f>Работы!B89</f>
        <v/>
      </c>
      <c r="B47" s="3">
        <f>Работы!C89</f>
        <v/>
      </c>
      <c r="C47" s="3">
        <f>Работы!G89</f>
        <v/>
      </c>
      <c r="D47" s="3">
        <f>Работы!H89</f>
        <v/>
      </c>
      <c r="E47" s="3">
        <f>Работы!I89</f>
        <v/>
      </c>
      <c r="F47" s="3">
        <f>Работы!E89</f>
        <v/>
      </c>
    </row>
    <row r="48">
      <c r="A48" s="3">
        <f>Работы!B90</f>
        <v/>
      </c>
      <c r="B48" s="3">
        <f>Работы!C90</f>
        <v/>
      </c>
      <c r="C48" s="3">
        <f>Работы!G90</f>
        <v/>
      </c>
      <c r="D48" s="3">
        <f>Работы!H90</f>
        <v/>
      </c>
      <c r="E48" s="3">
        <f>Работы!I90</f>
        <v/>
      </c>
      <c r="F48" s="3">
        <f>Работы!E90</f>
        <v/>
      </c>
    </row>
    <row r="49">
      <c r="A49" s="3">
        <f>Работы!B91</f>
        <v/>
      </c>
      <c r="B49" s="3">
        <f>Работы!C91</f>
        <v/>
      </c>
      <c r="C49" s="3">
        <f>Работы!G91</f>
        <v/>
      </c>
      <c r="D49" s="3">
        <f>Работы!H91</f>
        <v/>
      </c>
      <c r="E49" s="3">
        <f>Работы!I91</f>
        <v/>
      </c>
      <c r="F49" s="3">
        <f>Работы!E91</f>
        <v/>
      </c>
    </row>
    <row r="50">
      <c r="A50" s="3">
        <f>Работы!B92</f>
        <v/>
      </c>
      <c r="B50" s="3">
        <f>Работы!C92</f>
        <v/>
      </c>
      <c r="C50" s="3">
        <f>Работы!G92</f>
        <v/>
      </c>
      <c r="D50" s="3">
        <f>Работы!H92</f>
        <v/>
      </c>
      <c r="E50" s="3">
        <f>Работы!I92</f>
        <v/>
      </c>
      <c r="F50" s="3">
        <f>Работы!E92</f>
        <v/>
      </c>
    </row>
    <row r="51">
      <c r="A51" s="3">
        <f>Работы!B93</f>
        <v/>
      </c>
      <c r="B51" s="3">
        <f>Работы!C93</f>
        <v/>
      </c>
      <c r="C51" s="3">
        <f>Работы!G93</f>
        <v/>
      </c>
      <c r="D51" s="3">
        <f>Работы!H93</f>
        <v/>
      </c>
      <c r="E51" s="3">
        <f>Работы!I93</f>
        <v/>
      </c>
      <c r="F51" s="3">
        <f>Работы!E93</f>
        <v/>
      </c>
    </row>
    <row r="52">
      <c r="A52" s="3">
        <f>Работы!B94</f>
        <v/>
      </c>
      <c r="B52" s="3">
        <f>Работы!C94</f>
        <v/>
      </c>
      <c r="C52" s="3">
        <f>Работы!G94</f>
        <v/>
      </c>
      <c r="D52" s="3">
        <f>Работы!H94</f>
        <v/>
      </c>
      <c r="E52" s="3">
        <f>Работы!I94</f>
        <v/>
      </c>
      <c r="F52" s="3">
        <f>Работы!E94</f>
        <v/>
      </c>
    </row>
    <row r="53">
      <c r="A53" s="3">
        <f>Работы!B103</f>
        <v/>
      </c>
      <c r="B53" s="3">
        <f>Работы!C103</f>
        <v/>
      </c>
      <c r="C53" s="3">
        <f>Работы!G103</f>
        <v/>
      </c>
      <c r="D53" s="3">
        <f>Работы!H103</f>
        <v/>
      </c>
      <c r="E53" s="3">
        <f>Работы!I103</f>
        <v/>
      </c>
      <c r="F53" s="3">
        <f>Работы!E103</f>
        <v/>
      </c>
    </row>
    <row r="54">
      <c r="A54" s="3">
        <f>Работы!B104</f>
        <v/>
      </c>
      <c r="B54" s="3">
        <f>Работы!C104</f>
        <v/>
      </c>
      <c r="C54" s="3">
        <f>Работы!G104</f>
        <v/>
      </c>
      <c r="D54" s="3">
        <f>Работы!H104</f>
        <v/>
      </c>
      <c r="E54" s="3">
        <f>Работы!I104</f>
        <v/>
      </c>
      <c r="F54" s="3">
        <f>Работы!E104</f>
        <v/>
      </c>
    </row>
    <row r="55">
      <c r="A55" s="3">
        <f>Работы!B105</f>
        <v/>
      </c>
      <c r="B55" s="3">
        <f>Работы!C105</f>
        <v/>
      </c>
      <c r="C55" s="3">
        <f>Работы!G105</f>
        <v/>
      </c>
      <c r="D55" s="3">
        <f>Работы!H105</f>
        <v/>
      </c>
      <c r="E55" s="3">
        <f>Работы!I105</f>
        <v/>
      </c>
      <c r="F55" s="3">
        <f>Работы!E105</f>
        <v/>
      </c>
    </row>
    <row r="56">
      <c r="A56" s="3">
        <f>Работы!B106</f>
        <v/>
      </c>
      <c r="B56" s="3">
        <f>Работы!C106</f>
        <v/>
      </c>
      <c r="C56" s="3">
        <f>Работы!G106</f>
        <v/>
      </c>
      <c r="D56" s="3">
        <f>Работы!H106</f>
        <v/>
      </c>
      <c r="E56" s="3">
        <f>Работы!I106</f>
        <v/>
      </c>
      <c r="F56" s="3">
        <f>Работы!E106</f>
        <v/>
      </c>
    </row>
    <row r="57">
      <c r="A57" s="3">
        <f>Работы!B107</f>
        <v/>
      </c>
      <c r="B57" s="3">
        <f>Работы!C107</f>
        <v/>
      </c>
      <c r="C57" s="3">
        <f>Работы!G107</f>
        <v/>
      </c>
      <c r="D57" s="3">
        <f>Работы!H107</f>
        <v/>
      </c>
      <c r="E57" s="3">
        <f>Работы!I107</f>
        <v/>
      </c>
      <c r="F57" s="3">
        <f>Работы!E107</f>
        <v/>
      </c>
    </row>
    <row r="58">
      <c r="A58" s="3">
        <f>Работы!B108</f>
        <v/>
      </c>
      <c r="B58" s="3">
        <f>Работы!C108</f>
        <v/>
      </c>
      <c r="C58" s="3">
        <f>Работы!G108</f>
        <v/>
      </c>
      <c r="D58" s="3">
        <f>Работы!H108</f>
        <v/>
      </c>
      <c r="E58" s="3">
        <f>Работы!I108</f>
        <v/>
      </c>
      <c r="F58" s="3">
        <f>Работы!E108</f>
        <v/>
      </c>
    </row>
    <row r="59">
      <c r="A59" s="3">
        <f>Работы!B123</f>
        <v/>
      </c>
      <c r="B59" s="3">
        <f>Работы!C123</f>
        <v/>
      </c>
      <c r="C59" s="3">
        <f>Работы!G123</f>
        <v/>
      </c>
      <c r="D59" s="3">
        <f>Работы!H123</f>
        <v/>
      </c>
      <c r="E59" s="3">
        <f>Работы!I123</f>
        <v/>
      </c>
      <c r="F59" s="3">
        <f>Работы!E123</f>
        <v/>
      </c>
    </row>
    <row r="60">
      <c r="A60" s="3">
        <f>Работы!B124</f>
        <v/>
      </c>
      <c r="B60" s="3">
        <f>Работы!C124</f>
        <v/>
      </c>
      <c r="C60" s="3">
        <f>Работы!G124</f>
        <v/>
      </c>
      <c r="D60" s="3">
        <f>Работы!H124</f>
        <v/>
      </c>
      <c r="E60" s="3">
        <f>Работы!I124</f>
        <v/>
      </c>
      <c r="F60" s="3">
        <f>Работы!E124</f>
        <v/>
      </c>
    </row>
    <row r="61">
      <c r="A61" s="3">
        <f>Работы!B125</f>
        <v/>
      </c>
      <c r="B61" s="3">
        <f>Работы!C125</f>
        <v/>
      </c>
      <c r="C61" s="3">
        <f>Работы!G125</f>
        <v/>
      </c>
      <c r="D61" s="3">
        <f>Работы!H125</f>
        <v/>
      </c>
      <c r="E61" s="3">
        <f>Работы!I125</f>
        <v/>
      </c>
      <c r="F61" s="3">
        <f>Работы!E125</f>
        <v/>
      </c>
    </row>
    <row r="62">
      <c r="A62" s="3">
        <f>Работы!B126</f>
        <v/>
      </c>
      <c r="B62" s="3">
        <f>Работы!C126</f>
        <v/>
      </c>
      <c r="C62" s="3">
        <f>Работы!G126</f>
        <v/>
      </c>
      <c r="D62" s="3">
        <f>Работы!H126</f>
        <v/>
      </c>
      <c r="E62" s="3">
        <f>Работы!I126</f>
        <v/>
      </c>
      <c r="F62" s="3">
        <f>Работы!E126</f>
        <v/>
      </c>
    </row>
    <row r="63">
      <c r="A63" s="3">
        <f>Работы!B127</f>
        <v/>
      </c>
      <c r="B63" s="3">
        <f>Работы!C127</f>
        <v/>
      </c>
      <c r="C63" s="3">
        <f>Работы!G127</f>
        <v/>
      </c>
      <c r="D63" s="3">
        <f>Работы!H127</f>
        <v/>
      </c>
      <c r="E63" s="3">
        <f>Работы!I127</f>
        <v/>
      </c>
      <c r="F63" s="3">
        <f>Работы!E127</f>
        <v/>
      </c>
    </row>
    <row r="64">
      <c r="A64" s="3">
        <f>Работы!B128</f>
        <v/>
      </c>
      <c r="B64" s="3">
        <f>Работы!C128</f>
        <v/>
      </c>
      <c r="C64" s="3">
        <f>Работы!G128</f>
        <v/>
      </c>
      <c r="D64" s="3">
        <f>Работы!H128</f>
        <v/>
      </c>
      <c r="E64" s="3">
        <f>Работы!I128</f>
        <v/>
      </c>
      <c r="F64" s="3">
        <f>Работы!E128</f>
        <v/>
      </c>
    </row>
    <row r="65">
      <c r="A65" s="3">
        <f>Работы!B129</f>
        <v/>
      </c>
      <c r="B65" s="3">
        <f>Работы!C129</f>
        <v/>
      </c>
      <c r="C65" s="3">
        <f>Работы!G129</f>
        <v/>
      </c>
      <c r="D65" s="3">
        <f>Работы!H129</f>
        <v/>
      </c>
      <c r="E65" s="3">
        <f>Работы!I129</f>
        <v/>
      </c>
      <c r="F65" s="3">
        <f>Работы!E129</f>
        <v/>
      </c>
    </row>
    <row r="66">
      <c r="A66" s="3">
        <f>Работы!B130</f>
        <v/>
      </c>
      <c r="B66" s="3">
        <f>Работы!C130</f>
        <v/>
      </c>
      <c r="C66" s="3">
        <f>Работы!G130</f>
        <v/>
      </c>
      <c r="D66" s="3">
        <f>Работы!H130</f>
        <v/>
      </c>
      <c r="E66" s="3">
        <f>Работы!I130</f>
        <v/>
      </c>
      <c r="F66" s="3">
        <f>Работы!E130</f>
        <v/>
      </c>
    </row>
    <row r="67">
      <c r="A67" s="3">
        <f>Работы!B131</f>
        <v/>
      </c>
      <c r="B67" s="3">
        <f>Работы!C131</f>
        <v/>
      </c>
      <c r="C67" s="3">
        <f>Работы!G131</f>
        <v/>
      </c>
      <c r="D67" s="3">
        <f>Работы!H131</f>
        <v/>
      </c>
      <c r="E67" s="3">
        <f>Работы!I131</f>
        <v/>
      </c>
      <c r="F67" s="3">
        <f>Работы!E131</f>
        <v/>
      </c>
    </row>
    <row r="68">
      <c r="A68" s="3">
        <f>Работы!B132</f>
        <v/>
      </c>
      <c r="B68" s="3">
        <f>Работы!C132</f>
        <v/>
      </c>
      <c r="C68" s="3">
        <f>Работы!G132</f>
        <v/>
      </c>
      <c r="D68" s="3">
        <f>Работы!H132</f>
        <v/>
      </c>
      <c r="E68" s="3">
        <f>Работы!I132</f>
        <v/>
      </c>
      <c r="F68" s="3">
        <f>Работы!E132</f>
        <v/>
      </c>
    </row>
    <row r="69">
      <c r="A69" s="3">
        <f>Работы!B133</f>
        <v/>
      </c>
      <c r="B69" s="3">
        <f>Работы!C133</f>
        <v/>
      </c>
      <c r="C69" s="3">
        <f>Работы!G133</f>
        <v/>
      </c>
      <c r="D69" s="3">
        <f>Работы!H133</f>
        <v/>
      </c>
      <c r="E69" s="3">
        <f>Работы!I133</f>
        <v/>
      </c>
      <c r="F69" s="3">
        <f>Работы!E133</f>
        <v/>
      </c>
    </row>
    <row r="70">
      <c r="A70" s="3">
        <f>Работы!B134</f>
        <v/>
      </c>
      <c r="B70" s="3">
        <f>Работы!C134</f>
        <v/>
      </c>
      <c r="C70" s="3">
        <f>Работы!G134</f>
        <v/>
      </c>
      <c r="D70" s="3">
        <f>Работы!H134</f>
        <v/>
      </c>
      <c r="E70" s="3">
        <f>Работы!I134</f>
        <v/>
      </c>
      <c r="F70" s="3">
        <f>Работы!E134</f>
        <v/>
      </c>
    </row>
    <row r="71">
      <c r="A71" s="3">
        <f>Работы!B135</f>
        <v/>
      </c>
      <c r="B71" s="3">
        <f>Работы!C135</f>
        <v/>
      </c>
      <c r="C71" s="3">
        <f>Работы!G135</f>
        <v/>
      </c>
      <c r="D71" s="3">
        <f>Работы!H135</f>
        <v/>
      </c>
      <c r="E71" s="3">
        <f>Работы!I135</f>
        <v/>
      </c>
      <c r="F71" s="3">
        <f>Работы!E135</f>
        <v/>
      </c>
    </row>
    <row r="72">
      <c r="A72" s="3">
        <f>Работы!B136</f>
        <v/>
      </c>
      <c r="B72" s="3">
        <f>Работы!C136</f>
        <v/>
      </c>
      <c r="C72" s="3">
        <f>Работы!G136</f>
        <v/>
      </c>
      <c r="D72" s="3">
        <f>Работы!H136</f>
        <v/>
      </c>
      <c r="E72" s="3">
        <f>Работы!I136</f>
        <v/>
      </c>
      <c r="F72" s="3">
        <f>Работы!E136</f>
        <v/>
      </c>
    </row>
    <row r="73">
      <c r="A73" s="3">
        <f>Работы!B137</f>
        <v/>
      </c>
      <c r="B73" s="3">
        <f>Работы!C137</f>
        <v/>
      </c>
      <c r="C73" s="3">
        <f>Работы!G137</f>
        <v/>
      </c>
      <c r="D73" s="3">
        <f>Работы!H137</f>
        <v/>
      </c>
      <c r="E73" s="3">
        <f>Работы!I137</f>
        <v/>
      </c>
      <c r="F73" s="3">
        <f>Работы!E137</f>
        <v/>
      </c>
    </row>
    <row r="74">
      <c r="A74" s="3">
        <f>Работы!B138</f>
        <v/>
      </c>
      <c r="B74" s="3">
        <f>Работы!C138</f>
        <v/>
      </c>
      <c r="C74" s="3">
        <f>Работы!G138</f>
        <v/>
      </c>
      <c r="D74" s="3">
        <f>Работы!H138</f>
        <v/>
      </c>
      <c r="E74" s="3">
        <f>Работы!I138</f>
        <v/>
      </c>
      <c r="F74" s="3">
        <f>Работы!E138</f>
        <v/>
      </c>
    </row>
    <row r="75">
      <c r="A75" s="3">
        <f>Работы!B139</f>
        <v/>
      </c>
      <c r="B75" s="3">
        <f>Работы!C139</f>
        <v/>
      </c>
      <c r="C75" s="3">
        <f>Работы!G139</f>
        <v/>
      </c>
      <c r="D75" s="3">
        <f>Работы!H139</f>
        <v/>
      </c>
      <c r="E75" s="3">
        <f>Работы!I139</f>
        <v/>
      </c>
      <c r="F75" s="3">
        <f>Работы!E139</f>
        <v/>
      </c>
    </row>
    <row r="76">
      <c r="A76" s="3">
        <f>Работы!B140</f>
        <v/>
      </c>
      <c r="B76" s="3">
        <f>Работы!C140</f>
        <v/>
      </c>
      <c r="C76" s="3">
        <f>Работы!G140</f>
        <v/>
      </c>
      <c r="D76" s="3">
        <f>Работы!H140</f>
        <v/>
      </c>
      <c r="E76" s="3">
        <f>Работы!I140</f>
        <v/>
      </c>
      <c r="F76" s="3">
        <f>Работы!E140</f>
        <v/>
      </c>
    </row>
    <row r="77">
      <c r="A77" s="3">
        <f>Работы!B141</f>
        <v/>
      </c>
      <c r="B77" s="3">
        <f>Работы!C141</f>
        <v/>
      </c>
      <c r="C77" s="3">
        <f>Работы!G141</f>
        <v/>
      </c>
      <c r="D77" s="3">
        <f>Работы!H141</f>
        <v/>
      </c>
      <c r="E77" s="3">
        <f>Работы!I141</f>
        <v/>
      </c>
      <c r="F77" s="3">
        <f>Работы!E141</f>
        <v/>
      </c>
    </row>
    <row r="78">
      <c r="A78" s="3">
        <f>Работы!B142</f>
        <v/>
      </c>
      <c r="B78" s="3">
        <f>Работы!C142</f>
        <v/>
      </c>
      <c r="C78" s="3">
        <f>Работы!G142</f>
        <v/>
      </c>
      <c r="D78" s="3">
        <f>Работы!H142</f>
        <v/>
      </c>
      <c r="E78" s="3">
        <f>Работы!I142</f>
        <v/>
      </c>
      <c r="F78" s="3">
        <f>Работы!E142</f>
        <v/>
      </c>
    </row>
    <row r="79">
      <c r="A79" s="3">
        <f>Работы!B143</f>
        <v/>
      </c>
      <c r="B79" s="3">
        <f>Работы!C143</f>
        <v/>
      </c>
      <c r="C79" s="3">
        <f>Работы!G143</f>
        <v/>
      </c>
      <c r="D79" s="3">
        <f>Работы!H143</f>
        <v/>
      </c>
      <c r="E79" s="3">
        <f>Работы!I143</f>
        <v/>
      </c>
      <c r="F79" s="3">
        <f>Работы!E143</f>
        <v/>
      </c>
    </row>
    <row r="80">
      <c r="A80" s="3">
        <f>Работы!B144</f>
        <v/>
      </c>
      <c r="B80" s="3">
        <f>Работы!C144</f>
        <v/>
      </c>
      <c r="C80" s="3">
        <f>Работы!G144</f>
        <v/>
      </c>
      <c r="D80" s="3">
        <f>Работы!H144</f>
        <v/>
      </c>
      <c r="E80" s="3">
        <f>Работы!I144</f>
        <v/>
      </c>
      <c r="F80" s="3">
        <f>Работы!E144</f>
        <v/>
      </c>
    </row>
    <row r="81">
      <c r="A81" s="3">
        <f>Работы!B145</f>
        <v/>
      </c>
      <c r="B81" s="3">
        <f>Работы!C145</f>
        <v/>
      </c>
      <c r="C81" s="3">
        <f>Работы!G145</f>
        <v/>
      </c>
      <c r="D81" s="3">
        <f>Работы!H145</f>
        <v/>
      </c>
      <c r="E81" s="3">
        <f>Работы!I145</f>
        <v/>
      </c>
      <c r="F81" s="3">
        <f>Работы!E145</f>
        <v/>
      </c>
    </row>
    <row r="82">
      <c r="A82" s="3">
        <f>Работы!B146</f>
        <v/>
      </c>
      <c r="B82" s="3">
        <f>Работы!C146</f>
        <v/>
      </c>
      <c r="C82" s="3">
        <f>Работы!G146</f>
        <v/>
      </c>
      <c r="D82" s="3">
        <f>Работы!H146</f>
        <v/>
      </c>
      <c r="E82" s="3">
        <f>Работы!I146</f>
        <v/>
      </c>
      <c r="F82" s="3">
        <f>Работы!E146</f>
        <v/>
      </c>
    </row>
    <row r="83">
      <c r="A83" s="3">
        <f>Работы!B147</f>
        <v/>
      </c>
      <c r="B83" s="3">
        <f>Работы!C147</f>
        <v/>
      </c>
      <c r="C83" s="3">
        <f>Работы!G147</f>
        <v/>
      </c>
      <c r="D83" s="3">
        <f>Работы!H147</f>
        <v/>
      </c>
      <c r="E83" s="3">
        <f>Работы!I147</f>
        <v/>
      </c>
      <c r="F83" s="3">
        <f>Работы!E147</f>
        <v/>
      </c>
    </row>
    <row r="84">
      <c r="A84" s="3">
        <f>Работы!B148</f>
        <v/>
      </c>
      <c r="B84" s="3">
        <f>Работы!C148</f>
        <v/>
      </c>
      <c r="C84" s="3">
        <f>Работы!G148</f>
        <v/>
      </c>
      <c r="D84" s="3">
        <f>Работы!H148</f>
        <v/>
      </c>
      <c r="E84" s="3">
        <f>Работы!I148</f>
        <v/>
      </c>
      <c r="F84" s="3">
        <f>Работы!E148</f>
        <v/>
      </c>
    </row>
    <row r="85">
      <c r="A85" s="3">
        <f>Работы!B149</f>
        <v/>
      </c>
      <c r="B85" s="3">
        <f>Работы!C149</f>
        <v/>
      </c>
      <c r="C85" s="3">
        <f>Работы!G149</f>
        <v/>
      </c>
      <c r="D85" s="3">
        <f>Работы!H149</f>
        <v/>
      </c>
      <c r="E85" s="3">
        <f>Работы!I149</f>
        <v/>
      </c>
      <c r="F85" s="3">
        <f>Работы!E149</f>
        <v/>
      </c>
    </row>
    <row r="86">
      <c r="A86" s="3">
        <f>Работы!B150</f>
        <v/>
      </c>
      <c r="B86" s="3">
        <f>Работы!C150</f>
        <v/>
      </c>
      <c r="C86" s="3">
        <f>Работы!G150</f>
        <v/>
      </c>
      <c r="D86" s="3">
        <f>Работы!H150</f>
        <v/>
      </c>
      <c r="E86" s="3">
        <f>Работы!I150</f>
        <v/>
      </c>
      <c r="F86" s="3">
        <f>Работы!E150</f>
        <v/>
      </c>
    </row>
    <row r="87">
      <c r="A87" s="3">
        <f>Работы!B151</f>
        <v/>
      </c>
      <c r="B87" s="3">
        <f>Работы!C151</f>
        <v/>
      </c>
      <c r="C87" s="3">
        <f>Работы!G151</f>
        <v/>
      </c>
      <c r="D87" s="3">
        <f>Работы!H151</f>
        <v/>
      </c>
      <c r="E87" s="3">
        <f>Работы!I151</f>
        <v/>
      </c>
      <c r="F87" s="3">
        <f>Работы!E151</f>
        <v/>
      </c>
    </row>
    <row r="88">
      <c r="A88" s="3">
        <f>Работы!B152</f>
        <v/>
      </c>
      <c r="B88" s="3">
        <f>Работы!C152</f>
        <v/>
      </c>
      <c r="C88" s="3">
        <f>Работы!G152</f>
        <v/>
      </c>
      <c r="D88" s="3">
        <f>Работы!H152</f>
        <v/>
      </c>
      <c r="E88" s="3">
        <f>Работы!I152</f>
        <v/>
      </c>
      <c r="F88" s="3">
        <f>Работы!E152</f>
        <v/>
      </c>
    </row>
    <row r="89">
      <c r="A89" s="3">
        <f>Работы!B153</f>
        <v/>
      </c>
      <c r="B89" s="3">
        <f>Работы!C153</f>
        <v/>
      </c>
      <c r="C89" s="3">
        <f>Работы!G153</f>
        <v/>
      </c>
      <c r="D89" s="3">
        <f>Работы!H153</f>
        <v/>
      </c>
      <c r="E89" s="3">
        <f>Работы!I153</f>
        <v/>
      </c>
      <c r="F89" s="3">
        <f>Работы!E153</f>
        <v/>
      </c>
    </row>
    <row r="90">
      <c r="A90" s="3">
        <f>Работы!B154</f>
        <v/>
      </c>
      <c r="B90" s="3">
        <f>Работы!C154</f>
        <v/>
      </c>
      <c r="C90" s="3">
        <f>Работы!G154</f>
        <v/>
      </c>
      <c r="D90" s="3">
        <f>Работы!H154</f>
        <v/>
      </c>
      <c r="E90" s="3">
        <f>Работы!I154</f>
        <v/>
      </c>
      <c r="F90" s="3">
        <f>Работы!E154</f>
        <v/>
      </c>
    </row>
    <row r="91">
      <c r="A91" s="3">
        <f>Работы!B155</f>
        <v/>
      </c>
      <c r="B91" s="3">
        <f>Работы!C155</f>
        <v/>
      </c>
      <c r="C91" s="3">
        <f>Работы!G155</f>
        <v/>
      </c>
      <c r="D91" s="3">
        <f>Работы!H155</f>
        <v/>
      </c>
      <c r="E91" s="3">
        <f>Работы!I155</f>
        <v/>
      </c>
      <c r="F91" s="3">
        <f>Работы!E155</f>
        <v/>
      </c>
    </row>
    <row r="92">
      <c r="A92" s="3">
        <f>Работы!B156</f>
        <v/>
      </c>
      <c r="B92" s="3">
        <f>Работы!C156</f>
        <v/>
      </c>
      <c r="C92" s="3">
        <f>Работы!G156</f>
        <v/>
      </c>
      <c r="D92" s="3">
        <f>Работы!H156</f>
        <v/>
      </c>
      <c r="E92" s="3">
        <f>Работы!I156</f>
        <v/>
      </c>
      <c r="F92" s="3">
        <f>Работы!E156</f>
        <v/>
      </c>
    </row>
    <row r="93">
      <c r="A93" s="3">
        <f>Работы!B157</f>
        <v/>
      </c>
      <c r="B93" s="3">
        <f>Работы!C157</f>
        <v/>
      </c>
      <c r="C93" s="3">
        <f>Работы!G157</f>
        <v/>
      </c>
      <c r="D93" s="3">
        <f>Работы!H157</f>
        <v/>
      </c>
      <c r="E93" s="3">
        <f>Работы!I157</f>
        <v/>
      </c>
      <c r="F93" s="3">
        <f>Работы!E157</f>
        <v/>
      </c>
    </row>
    <row r="94">
      <c r="A94" s="3">
        <f>Работы!B158</f>
        <v/>
      </c>
      <c r="B94" s="3">
        <f>Работы!C158</f>
        <v/>
      </c>
      <c r="C94" s="3">
        <f>Работы!G158</f>
        <v/>
      </c>
      <c r="D94" s="3">
        <f>Работы!H158</f>
        <v/>
      </c>
      <c r="E94" s="3">
        <f>Работы!I158</f>
        <v/>
      </c>
      <c r="F94" s="3">
        <f>Работы!E158</f>
        <v/>
      </c>
    </row>
    <row r="95">
      <c r="A95" s="3">
        <f>Работы!B159</f>
        <v/>
      </c>
      <c r="B95" s="3">
        <f>Работы!C159</f>
        <v/>
      </c>
      <c r="C95" s="3">
        <f>Работы!G159</f>
        <v/>
      </c>
      <c r="D95" s="3">
        <f>Работы!H159</f>
        <v/>
      </c>
      <c r="E95" s="3">
        <f>Работы!I159</f>
        <v/>
      </c>
      <c r="F95" s="3">
        <f>Работы!E159</f>
        <v/>
      </c>
    </row>
    <row r="96">
      <c r="A96" s="3">
        <f>Работы!B160</f>
        <v/>
      </c>
      <c r="B96" s="3">
        <f>Работы!C160</f>
        <v/>
      </c>
      <c r="C96" s="3">
        <f>Работы!G160</f>
        <v/>
      </c>
      <c r="D96" s="3">
        <f>Работы!H160</f>
        <v/>
      </c>
      <c r="E96" s="3">
        <f>Работы!I160</f>
        <v/>
      </c>
      <c r="F96" s="3">
        <f>Работы!E160</f>
        <v/>
      </c>
    </row>
    <row r="97">
      <c r="A97" s="3">
        <f>Работы!B161</f>
        <v/>
      </c>
      <c r="B97" s="3">
        <f>Работы!C161</f>
        <v/>
      </c>
      <c r="C97" s="3">
        <f>Работы!G161</f>
        <v/>
      </c>
      <c r="D97" s="3">
        <f>Работы!H161</f>
        <v/>
      </c>
      <c r="E97" s="3">
        <f>Работы!I161</f>
        <v/>
      </c>
      <c r="F97" s="3">
        <f>Работы!E161</f>
        <v/>
      </c>
    </row>
    <row r="98">
      <c r="A98" s="3">
        <f>Работы!B162</f>
        <v/>
      </c>
      <c r="B98" s="3">
        <f>Работы!C162</f>
        <v/>
      </c>
      <c r="C98" s="3">
        <f>Работы!G162</f>
        <v/>
      </c>
      <c r="D98" s="3">
        <f>Работы!H162</f>
        <v/>
      </c>
      <c r="E98" s="3">
        <f>Работы!I162</f>
        <v/>
      </c>
      <c r="F98" s="3">
        <f>Работы!E162</f>
        <v/>
      </c>
    </row>
    <row r="99">
      <c r="A99" s="3">
        <f>Работы!B163</f>
        <v/>
      </c>
      <c r="B99" s="3">
        <f>Работы!C163</f>
        <v/>
      </c>
      <c r="C99" s="3">
        <f>Работы!G163</f>
        <v/>
      </c>
      <c r="D99" s="3">
        <f>Работы!H163</f>
        <v/>
      </c>
      <c r="E99" s="3">
        <f>Работы!I163</f>
        <v/>
      </c>
      <c r="F99" s="3">
        <f>Работы!E163</f>
        <v/>
      </c>
    </row>
    <row r="100">
      <c r="A100" s="3">
        <f>Работы!B164</f>
        <v/>
      </c>
      <c r="B100" s="3">
        <f>Работы!C164</f>
        <v/>
      </c>
      <c r="C100" s="3">
        <f>Работы!G164</f>
        <v/>
      </c>
      <c r="D100" s="3">
        <f>Работы!H164</f>
        <v/>
      </c>
      <c r="E100" s="3">
        <f>Работы!I164</f>
        <v/>
      </c>
      <c r="F100" s="3">
        <f>Работы!E164</f>
        <v/>
      </c>
    </row>
    <row r="101">
      <c r="A101" s="3">
        <f>Работы!B165</f>
        <v/>
      </c>
      <c r="B101" s="3">
        <f>Работы!C165</f>
        <v/>
      </c>
      <c r="C101" s="3">
        <f>Работы!G165</f>
        <v/>
      </c>
      <c r="D101" s="3">
        <f>Работы!H165</f>
        <v/>
      </c>
      <c r="E101" s="3">
        <f>Работы!I165</f>
        <v/>
      </c>
      <c r="F101" s="3">
        <f>Работы!E165</f>
        <v/>
      </c>
    </row>
    <row r="102">
      <c r="A102" s="3">
        <f>Работы!B166</f>
        <v/>
      </c>
      <c r="B102" s="3">
        <f>Работы!C166</f>
        <v/>
      </c>
      <c r="C102" s="3">
        <f>Работы!G166</f>
        <v/>
      </c>
      <c r="D102" s="3">
        <f>Работы!H166</f>
        <v/>
      </c>
      <c r="E102" s="3">
        <f>Работы!I166</f>
        <v/>
      </c>
      <c r="F102" s="3">
        <f>Работы!E166</f>
        <v/>
      </c>
    </row>
    <row r="103">
      <c r="A103" s="3">
        <f>Работы!B167</f>
        <v/>
      </c>
      <c r="B103" s="3">
        <f>Работы!C167</f>
        <v/>
      </c>
      <c r="C103" s="3">
        <f>Работы!G167</f>
        <v/>
      </c>
      <c r="D103" s="3">
        <f>Работы!H167</f>
        <v/>
      </c>
      <c r="E103" s="3">
        <f>Работы!I167</f>
        <v/>
      </c>
      <c r="F103" s="3">
        <f>Работы!E167</f>
        <v/>
      </c>
    </row>
    <row r="104">
      <c r="A104" s="3">
        <f>Работы!B168</f>
        <v/>
      </c>
      <c r="B104" s="3">
        <f>Работы!C168</f>
        <v/>
      </c>
      <c r="C104" s="3">
        <f>Работы!G168</f>
        <v/>
      </c>
      <c r="D104" s="3">
        <f>Работы!H168</f>
        <v/>
      </c>
      <c r="E104" s="3">
        <f>Работы!I168</f>
        <v/>
      </c>
      <c r="F104" s="3">
        <f>Работы!E168</f>
        <v/>
      </c>
    </row>
    <row r="105">
      <c r="A105" s="3">
        <f>Работы!B169</f>
        <v/>
      </c>
      <c r="B105" s="3">
        <f>Работы!C169</f>
        <v/>
      </c>
      <c r="C105" s="3">
        <f>Работы!G169</f>
        <v/>
      </c>
      <c r="D105" s="3">
        <f>Работы!H169</f>
        <v/>
      </c>
      <c r="E105" s="3">
        <f>Работы!I169</f>
        <v/>
      </c>
      <c r="F105" s="3">
        <f>Работы!E169</f>
        <v/>
      </c>
    </row>
    <row r="106">
      <c r="A106" s="3">
        <f>Работы!B170</f>
        <v/>
      </c>
      <c r="B106" s="3">
        <f>Работы!C170</f>
        <v/>
      </c>
      <c r="C106" s="3">
        <f>Работы!G170</f>
        <v/>
      </c>
      <c r="D106" s="3">
        <f>Работы!H170</f>
        <v/>
      </c>
      <c r="E106" s="3">
        <f>Работы!I170</f>
        <v/>
      </c>
      <c r="F106" s="3">
        <f>Работы!E170</f>
        <v/>
      </c>
    </row>
    <row r="107">
      <c r="A107" s="3">
        <f>Работы!B171</f>
        <v/>
      </c>
      <c r="B107" s="3">
        <f>Работы!C171</f>
        <v/>
      </c>
      <c r="C107" s="3">
        <f>Работы!G171</f>
        <v/>
      </c>
      <c r="D107" s="3">
        <f>Работы!H171</f>
        <v/>
      </c>
      <c r="E107" s="3">
        <f>Работы!I171</f>
        <v/>
      </c>
      <c r="F107" s="3">
        <f>Работы!E171</f>
        <v/>
      </c>
    </row>
    <row r="108">
      <c r="A108" s="3">
        <f>Работы!B172</f>
        <v/>
      </c>
      <c r="B108" s="3">
        <f>Работы!C172</f>
        <v/>
      </c>
      <c r="C108" s="3">
        <f>Работы!G172</f>
        <v/>
      </c>
      <c r="D108" s="3">
        <f>Работы!H172</f>
        <v/>
      </c>
      <c r="E108" s="3">
        <f>Работы!I172</f>
        <v/>
      </c>
      <c r="F108" s="3">
        <f>Работы!E172</f>
        <v/>
      </c>
    </row>
    <row r="109">
      <c r="A109" s="3">
        <f>Работы!B173</f>
        <v/>
      </c>
      <c r="B109" s="3">
        <f>Работы!C173</f>
        <v/>
      </c>
      <c r="C109" s="3">
        <f>Работы!G173</f>
        <v/>
      </c>
      <c r="D109" s="3">
        <f>Работы!H173</f>
        <v/>
      </c>
      <c r="E109" s="3">
        <f>Работы!I173</f>
        <v/>
      </c>
      <c r="F109" s="3">
        <f>Работы!E173</f>
        <v/>
      </c>
    </row>
    <row r="110">
      <c r="A110" s="3">
        <f>Работы!B174</f>
        <v/>
      </c>
      <c r="B110" s="3">
        <f>Работы!C174</f>
        <v/>
      </c>
      <c r="C110" s="3">
        <f>Работы!G174</f>
        <v/>
      </c>
      <c r="D110" s="3">
        <f>Работы!H174</f>
        <v/>
      </c>
      <c r="E110" s="3">
        <f>Работы!I174</f>
        <v/>
      </c>
      <c r="F110" s="3">
        <f>Работы!E174</f>
        <v/>
      </c>
    </row>
    <row r="111">
      <c r="A111" s="3">
        <f>Работы!B175</f>
        <v/>
      </c>
      <c r="B111" s="3">
        <f>Работы!C175</f>
        <v/>
      </c>
      <c r="C111" s="3">
        <f>Работы!G175</f>
        <v/>
      </c>
      <c r="D111" s="3">
        <f>Работы!H175</f>
        <v/>
      </c>
      <c r="E111" s="3">
        <f>Работы!I175</f>
        <v/>
      </c>
      <c r="F111" s="3">
        <f>Работы!E175</f>
        <v/>
      </c>
    </row>
    <row r="112">
      <c r="A112" s="3">
        <f>Работы!B176</f>
        <v/>
      </c>
      <c r="B112" s="3">
        <f>Работы!C176</f>
        <v/>
      </c>
      <c r="C112" s="3">
        <f>Работы!G176</f>
        <v/>
      </c>
      <c r="D112" s="3">
        <f>Работы!H176</f>
        <v/>
      </c>
      <c r="E112" s="3">
        <f>Работы!I176</f>
        <v/>
      </c>
      <c r="F112" s="3">
        <f>Работы!E176</f>
        <v/>
      </c>
    </row>
    <row r="113">
      <c r="A113" s="3">
        <f>Работы!B177</f>
        <v/>
      </c>
      <c r="B113" s="3">
        <f>Работы!C177</f>
        <v/>
      </c>
      <c r="C113" s="3">
        <f>Работы!G177</f>
        <v/>
      </c>
      <c r="D113" s="3">
        <f>Работы!H177</f>
        <v/>
      </c>
      <c r="E113" s="3">
        <f>Работы!I177</f>
        <v/>
      </c>
      <c r="F113" s="3">
        <f>Работы!E177</f>
        <v/>
      </c>
    </row>
    <row r="114">
      <c r="A114" s="3">
        <f>Работы!B178</f>
        <v/>
      </c>
      <c r="B114" s="3">
        <f>Работы!C178</f>
        <v/>
      </c>
      <c r="C114" s="3">
        <f>Работы!G178</f>
        <v/>
      </c>
      <c r="D114" s="3">
        <f>Работы!H178</f>
        <v/>
      </c>
      <c r="E114" s="3">
        <f>Работы!I178</f>
        <v/>
      </c>
      <c r="F114" s="3">
        <f>Работы!E178</f>
        <v/>
      </c>
    </row>
    <row r="115">
      <c r="A115" s="3">
        <f>Работы!B179</f>
        <v/>
      </c>
      <c r="B115" s="3">
        <f>Работы!C179</f>
        <v/>
      </c>
      <c r="C115" s="3">
        <f>Работы!G179</f>
        <v/>
      </c>
      <c r="D115" s="3">
        <f>Работы!H179</f>
        <v/>
      </c>
      <c r="E115" s="3">
        <f>Работы!I179</f>
        <v/>
      </c>
      <c r="F115" s="3">
        <f>Работы!E179</f>
        <v/>
      </c>
    </row>
    <row r="116">
      <c r="A116" s="3">
        <f>Работы!B180</f>
        <v/>
      </c>
      <c r="B116" s="3">
        <f>Работы!C180</f>
        <v/>
      </c>
      <c r="C116" s="3">
        <f>Работы!G180</f>
        <v/>
      </c>
      <c r="D116" s="3">
        <f>Работы!H180</f>
        <v/>
      </c>
      <c r="E116" s="3">
        <f>Работы!I180</f>
        <v/>
      </c>
      <c r="F116" s="3">
        <f>Работы!E180</f>
        <v/>
      </c>
    </row>
    <row r="117">
      <c r="A117" s="3">
        <f>Работы!B181</f>
        <v/>
      </c>
      <c r="B117" s="3">
        <f>Работы!C181</f>
        <v/>
      </c>
      <c r="C117" s="3">
        <f>Работы!G181</f>
        <v/>
      </c>
      <c r="D117" s="3">
        <f>Работы!H181</f>
        <v/>
      </c>
      <c r="E117" s="3">
        <f>Работы!I181</f>
        <v/>
      </c>
      <c r="F117" s="3">
        <f>Работы!E181</f>
        <v/>
      </c>
    </row>
    <row r="118">
      <c r="A118" s="3">
        <f>Работы!B182</f>
        <v/>
      </c>
      <c r="B118" s="3">
        <f>Работы!C182</f>
        <v/>
      </c>
      <c r="C118" s="3">
        <f>Работы!G182</f>
        <v/>
      </c>
      <c r="D118" s="3">
        <f>Работы!H182</f>
        <v/>
      </c>
      <c r="E118" s="3">
        <f>Работы!I182</f>
        <v/>
      </c>
      <c r="F118" s="3">
        <f>Работы!E182</f>
        <v/>
      </c>
    </row>
    <row r="119">
      <c r="A119" s="3">
        <f>Работы!B183</f>
        <v/>
      </c>
      <c r="B119" s="3">
        <f>Работы!C183</f>
        <v/>
      </c>
      <c r="C119" s="3">
        <f>Работы!G183</f>
        <v/>
      </c>
      <c r="D119" s="3">
        <f>Работы!H183</f>
        <v/>
      </c>
      <c r="E119" s="3">
        <f>Работы!I183</f>
        <v/>
      </c>
      <c r="F119" s="3">
        <f>Работы!E183</f>
        <v/>
      </c>
    </row>
    <row r="120">
      <c r="A120" s="3">
        <f>Работы!B184</f>
        <v/>
      </c>
      <c r="B120" s="3">
        <f>Работы!C184</f>
        <v/>
      </c>
      <c r="C120" s="3">
        <f>Работы!G184</f>
        <v/>
      </c>
      <c r="D120" s="3">
        <f>Работы!H184</f>
        <v/>
      </c>
      <c r="E120" s="3">
        <f>Работы!I184</f>
        <v/>
      </c>
      <c r="F120" s="3">
        <f>Работы!E184</f>
        <v/>
      </c>
    </row>
    <row r="121">
      <c r="A121" s="3">
        <f>Работы!B185</f>
        <v/>
      </c>
      <c r="B121" s="3">
        <f>Работы!C185</f>
        <v/>
      </c>
      <c r="C121" s="3">
        <f>Работы!G185</f>
        <v/>
      </c>
      <c r="D121" s="3">
        <f>Работы!H185</f>
        <v/>
      </c>
      <c r="E121" s="3">
        <f>Работы!I185</f>
        <v/>
      </c>
      <c r="F121" s="3">
        <f>Работы!E185</f>
        <v/>
      </c>
    </row>
    <row r="122">
      <c r="A122" s="3">
        <f>Работы!B186</f>
        <v/>
      </c>
      <c r="B122" s="3">
        <f>Работы!C186</f>
        <v/>
      </c>
      <c r="C122" s="3">
        <f>Работы!G186</f>
        <v/>
      </c>
      <c r="D122" s="3">
        <f>Работы!H186</f>
        <v/>
      </c>
      <c r="E122" s="3">
        <f>Работы!I186</f>
        <v/>
      </c>
      <c r="F122" s="3">
        <f>Работы!E186</f>
        <v/>
      </c>
    </row>
    <row r="123">
      <c r="A123" s="3">
        <f>Работы!B187</f>
        <v/>
      </c>
      <c r="B123" s="3">
        <f>Работы!C187</f>
        <v/>
      </c>
      <c r="C123" s="3">
        <f>Работы!G187</f>
        <v/>
      </c>
      <c r="D123" s="3">
        <f>Работы!H187</f>
        <v/>
      </c>
      <c r="E123" s="3">
        <f>Работы!I187</f>
        <v/>
      </c>
      <c r="F123" s="3">
        <f>Работы!E187</f>
        <v/>
      </c>
    </row>
    <row r="124">
      <c r="A124" s="3">
        <f>Работы!B191</f>
        <v/>
      </c>
      <c r="B124" s="3">
        <f>Работы!C191</f>
        <v/>
      </c>
      <c r="C124" s="3">
        <f>Работы!G191</f>
        <v/>
      </c>
      <c r="D124" s="3">
        <f>Работы!H191</f>
        <v/>
      </c>
      <c r="E124" s="3">
        <f>Работы!I191</f>
        <v/>
      </c>
      <c r="F124" s="3">
        <f>Работы!E191</f>
        <v/>
      </c>
    </row>
    <row r="125">
      <c r="A125" s="3">
        <f>Работы!B192</f>
        <v/>
      </c>
      <c r="B125" s="3">
        <f>Работы!C192</f>
        <v/>
      </c>
      <c r="C125" s="3">
        <f>Работы!G192</f>
        <v/>
      </c>
      <c r="D125" s="3">
        <f>Работы!H192</f>
        <v/>
      </c>
      <c r="E125" s="3">
        <f>Работы!I192</f>
        <v/>
      </c>
      <c r="F125" s="3">
        <f>Работы!E192</f>
        <v/>
      </c>
    </row>
    <row r="126">
      <c r="A126" s="3">
        <f>Работы!B193</f>
        <v/>
      </c>
      <c r="B126" s="3">
        <f>Работы!C193</f>
        <v/>
      </c>
      <c r="C126" s="3">
        <f>Работы!G193</f>
        <v/>
      </c>
      <c r="D126" s="3">
        <f>Работы!H193</f>
        <v/>
      </c>
      <c r="E126" s="3">
        <f>Работы!I193</f>
        <v/>
      </c>
      <c r="F126" s="3">
        <f>Работы!E193</f>
        <v/>
      </c>
    </row>
    <row r="127">
      <c r="A127" s="3">
        <f>Работы!B194</f>
        <v/>
      </c>
      <c r="B127" s="3">
        <f>Работы!C194</f>
        <v/>
      </c>
      <c r="C127" s="3">
        <f>Работы!G194</f>
        <v/>
      </c>
      <c r="D127" s="3">
        <f>Работы!H194</f>
        <v/>
      </c>
      <c r="E127" s="3">
        <f>Работы!I194</f>
        <v/>
      </c>
      <c r="F127" s="3">
        <f>Работы!E194</f>
        <v/>
      </c>
    </row>
    <row r="128">
      <c r="A128" s="3">
        <f>Работы!B195</f>
        <v/>
      </c>
      <c r="B128" s="3">
        <f>Работы!C195</f>
        <v/>
      </c>
      <c r="C128" s="3">
        <f>Работы!G195</f>
        <v/>
      </c>
      <c r="D128" s="3">
        <f>Работы!H195</f>
        <v/>
      </c>
      <c r="E128" s="3">
        <f>Работы!I195</f>
        <v/>
      </c>
      <c r="F128" s="3">
        <f>Работы!E195</f>
        <v/>
      </c>
    </row>
    <row r="129">
      <c r="A129" s="3">
        <f>Работы!B208</f>
        <v/>
      </c>
      <c r="B129" s="3">
        <f>Работы!C208</f>
        <v/>
      </c>
      <c r="C129" s="3">
        <f>Работы!G208</f>
        <v/>
      </c>
      <c r="D129" s="3">
        <f>Работы!H208</f>
        <v/>
      </c>
      <c r="E129" s="3">
        <f>Работы!I208</f>
        <v/>
      </c>
      <c r="F129" s="3">
        <f>Работы!E208</f>
        <v/>
      </c>
    </row>
    <row r="130">
      <c r="A130" s="3">
        <f>Работы!B215</f>
        <v/>
      </c>
      <c r="B130" s="3">
        <f>Работы!C215</f>
        <v/>
      </c>
      <c r="C130" s="3">
        <f>Работы!G215</f>
        <v/>
      </c>
      <c r="D130" s="3">
        <f>Работы!H215</f>
        <v/>
      </c>
      <c r="E130" s="3">
        <f>Работы!I215</f>
        <v/>
      </c>
      <c r="F130" s="3">
        <f>Работы!E215</f>
        <v/>
      </c>
    </row>
    <row r="131">
      <c r="A131" s="3">
        <f>Работы!B223</f>
        <v/>
      </c>
      <c r="B131" s="3">
        <f>Работы!C223</f>
        <v/>
      </c>
      <c r="C131" s="3">
        <f>Работы!G223</f>
        <v/>
      </c>
      <c r="D131" s="3">
        <f>Работы!H223</f>
        <v/>
      </c>
      <c r="E131" s="3">
        <f>Работы!I223</f>
        <v/>
      </c>
      <c r="F131" s="3">
        <f>Работы!E223</f>
        <v/>
      </c>
    </row>
    <row r="132">
      <c r="A132" s="3">
        <f>Работы!B224</f>
        <v/>
      </c>
      <c r="B132" s="3">
        <f>Работы!C224</f>
        <v/>
      </c>
      <c r="C132" s="3">
        <f>Работы!G224</f>
        <v/>
      </c>
      <c r="D132" s="3">
        <f>Работы!H224</f>
        <v/>
      </c>
      <c r="E132" s="3">
        <f>Работы!I224</f>
        <v/>
      </c>
      <c r="F132" s="3">
        <f>Работы!E224</f>
        <v/>
      </c>
    </row>
    <row r="133">
      <c r="A133" s="3">
        <f>Работы!B225</f>
        <v/>
      </c>
      <c r="B133" s="3">
        <f>Работы!C225</f>
        <v/>
      </c>
      <c r="C133" s="3">
        <f>Работы!G225</f>
        <v/>
      </c>
      <c r="D133" s="3">
        <f>Работы!H225</f>
        <v/>
      </c>
      <c r="E133" s="3">
        <f>Работы!I225</f>
        <v/>
      </c>
      <c r="F133" s="3">
        <f>Работы!E225</f>
        <v/>
      </c>
    </row>
    <row r="134">
      <c r="A134" s="3">
        <f>Работы!B226</f>
        <v/>
      </c>
      <c r="B134" s="3">
        <f>Работы!C226</f>
        <v/>
      </c>
      <c r="C134" s="3">
        <f>Работы!G226</f>
        <v/>
      </c>
      <c r="D134" s="3">
        <f>Работы!H226</f>
        <v/>
      </c>
      <c r="E134" s="3">
        <f>Работы!I226</f>
        <v/>
      </c>
      <c r="F134" s="3">
        <f>Работы!E226</f>
        <v/>
      </c>
    </row>
    <row r="135">
      <c r="A135" s="3">
        <f>Работы!B227</f>
        <v/>
      </c>
      <c r="B135" s="3">
        <f>Работы!C227</f>
        <v/>
      </c>
      <c r="C135" s="3">
        <f>Работы!G227</f>
        <v/>
      </c>
      <c r="D135" s="3">
        <f>Работы!H227</f>
        <v/>
      </c>
      <c r="E135" s="3">
        <f>Работы!I227</f>
        <v/>
      </c>
      <c r="F135" s="3">
        <f>Работы!E227</f>
        <v/>
      </c>
    </row>
    <row r="136">
      <c r="A136" s="3">
        <f>Работы!B228</f>
        <v/>
      </c>
      <c r="B136" s="3">
        <f>Работы!C228</f>
        <v/>
      </c>
      <c r="C136" s="3">
        <f>Работы!G228</f>
        <v/>
      </c>
      <c r="D136" s="3">
        <f>Работы!H228</f>
        <v/>
      </c>
      <c r="E136" s="3">
        <f>Работы!I228</f>
        <v/>
      </c>
      <c r="F136" s="3">
        <f>Работы!E228</f>
        <v/>
      </c>
    </row>
    <row r="137">
      <c r="A137" s="3">
        <f>Работы!B229</f>
        <v/>
      </c>
      <c r="B137" s="3">
        <f>Работы!C229</f>
        <v/>
      </c>
      <c r="C137" s="3">
        <f>Работы!G229</f>
        <v/>
      </c>
      <c r="D137" s="3">
        <f>Работы!H229</f>
        <v/>
      </c>
      <c r="E137" s="3">
        <f>Работы!I229</f>
        <v/>
      </c>
      <c r="F137" s="3">
        <f>Работы!E229</f>
        <v/>
      </c>
    </row>
    <row r="138">
      <c r="A138" s="3">
        <f>Работы!B230</f>
        <v/>
      </c>
      <c r="B138" s="3">
        <f>Работы!C230</f>
        <v/>
      </c>
      <c r="C138" s="3">
        <f>Работы!G230</f>
        <v/>
      </c>
      <c r="D138" s="3">
        <f>Работы!H230</f>
        <v/>
      </c>
      <c r="E138" s="3">
        <f>Работы!I230</f>
        <v/>
      </c>
      <c r="F138" s="3">
        <f>Работы!E230</f>
        <v/>
      </c>
    </row>
    <row r="139">
      <c r="A139" s="3">
        <f>Работы!B231</f>
        <v/>
      </c>
      <c r="B139" s="3">
        <f>Работы!C231</f>
        <v/>
      </c>
      <c r="C139" s="3">
        <f>Работы!G231</f>
        <v/>
      </c>
      <c r="D139" s="3">
        <f>Работы!H231</f>
        <v/>
      </c>
      <c r="E139" s="3">
        <f>Работы!I231</f>
        <v/>
      </c>
      <c r="F139" s="3">
        <f>Работы!E231</f>
        <v/>
      </c>
    </row>
    <row r="140">
      <c r="A140" s="3">
        <f>Работы!B232</f>
        <v/>
      </c>
      <c r="B140" s="3">
        <f>Работы!C232</f>
        <v/>
      </c>
      <c r="C140" s="3">
        <f>Работы!G232</f>
        <v/>
      </c>
      <c r="D140" s="3">
        <f>Работы!H232</f>
        <v/>
      </c>
      <c r="E140" s="3">
        <f>Работы!I232</f>
        <v/>
      </c>
      <c r="F140" s="3">
        <f>Работы!E232</f>
        <v/>
      </c>
    </row>
    <row r="141">
      <c r="A141" s="3">
        <f>Работы!B233</f>
        <v/>
      </c>
      <c r="B141" s="3">
        <f>Работы!C233</f>
        <v/>
      </c>
      <c r="C141" s="3">
        <f>Работы!G233</f>
        <v/>
      </c>
      <c r="D141" s="3">
        <f>Работы!H233</f>
        <v/>
      </c>
      <c r="E141" s="3">
        <f>Работы!I233</f>
        <v/>
      </c>
      <c r="F141" s="3">
        <f>Работы!E233</f>
        <v/>
      </c>
    </row>
    <row r="142">
      <c r="A142" s="3">
        <f>Работы!B234</f>
        <v/>
      </c>
      <c r="B142" s="3">
        <f>Работы!C234</f>
        <v/>
      </c>
      <c r="C142" s="3">
        <f>Работы!G234</f>
        <v/>
      </c>
      <c r="D142" s="3">
        <f>Работы!H234</f>
        <v/>
      </c>
      <c r="E142" s="3">
        <f>Работы!I234</f>
        <v/>
      </c>
      <c r="F142" s="3">
        <f>Работы!E234</f>
        <v/>
      </c>
    </row>
    <row r="143">
      <c r="A143" s="3">
        <f>Работы!B237</f>
        <v/>
      </c>
      <c r="B143" s="3">
        <f>Работы!C237</f>
        <v/>
      </c>
      <c r="C143" s="3">
        <f>Работы!G237</f>
        <v/>
      </c>
      <c r="D143" s="3">
        <f>Работы!H237</f>
        <v/>
      </c>
      <c r="E143" s="3">
        <f>Работы!I237</f>
        <v/>
      </c>
      <c r="F143" s="3">
        <f>Работы!E237</f>
        <v/>
      </c>
    </row>
    <row r="144">
      <c r="A144" s="3">
        <f>Работы!B238</f>
        <v/>
      </c>
      <c r="B144" s="3">
        <f>Работы!C238</f>
        <v/>
      </c>
      <c r="C144" s="3">
        <f>Работы!G238</f>
        <v/>
      </c>
      <c r="D144" s="3">
        <f>Работы!H238</f>
        <v/>
      </c>
      <c r="E144" s="3">
        <f>Работы!I238</f>
        <v/>
      </c>
      <c r="F144" s="3">
        <f>Работы!E238</f>
        <v/>
      </c>
    </row>
    <row r="145">
      <c r="A145" s="3">
        <f>Работы!B239</f>
        <v/>
      </c>
      <c r="B145" s="3">
        <f>Работы!C239</f>
        <v/>
      </c>
      <c r="C145" s="3">
        <f>Работы!G239</f>
        <v/>
      </c>
      <c r="D145" s="3">
        <f>Работы!H239</f>
        <v/>
      </c>
      <c r="E145" s="3">
        <f>Работы!I239</f>
        <v/>
      </c>
      <c r="F145" s="3">
        <f>Работы!E239</f>
        <v/>
      </c>
    </row>
    <row r="146">
      <c r="A146" s="3">
        <f>Работы!B240</f>
        <v/>
      </c>
      <c r="B146" s="3">
        <f>Работы!C240</f>
        <v/>
      </c>
      <c r="C146" s="3">
        <f>Работы!G240</f>
        <v/>
      </c>
      <c r="D146" s="3">
        <f>Работы!H240</f>
        <v/>
      </c>
      <c r="E146" s="3">
        <f>Работы!I240</f>
        <v/>
      </c>
      <c r="F146" s="3">
        <f>Работы!E240</f>
        <v/>
      </c>
    </row>
    <row r="147">
      <c r="A147" s="3">
        <f>Работы!B241</f>
        <v/>
      </c>
      <c r="B147" s="3">
        <f>Работы!C241</f>
        <v/>
      </c>
      <c r="C147" s="3">
        <f>Работы!G241</f>
        <v/>
      </c>
      <c r="D147" s="3">
        <f>Работы!H241</f>
        <v/>
      </c>
      <c r="E147" s="3">
        <f>Работы!I241</f>
        <v/>
      </c>
      <c r="F147" s="3">
        <f>Работы!E241</f>
        <v/>
      </c>
    </row>
    <row r="148">
      <c r="A148" s="3">
        <f>Работы!B243</f>
        <v/>
      </c>
      <c r="B148" s="3">
        <f>Работы!C243</f>
        <v/>
      </c>
      <c r="C148" s="3">
        <f>Работы!G243</f>
        <v/>
      </c>
      <c r="D148" s="3">
        <f>Работы!H243</f>
        <v/>
      </c>
      <c r="E148" s="3">
        <f>Работы!I243</f>
        <v/>
      </c>
      <c r="F148" s="3">
        <f>Работы!E243</f>
        <v/>
      </c>
    </row>
    <row r="149">
      <c r="A149" s="3">
        <f>Работы!B244</f>
        <v/>
      </c>
      <c r="B149" s="3">
        <f>Работы!C244</f>
        <v/>
      </c>
      <c r="C149" s="3">
        <f>Работы!G244</f>
        <v/>
      </c>
      <c r="D149" s="3">
        <f>Работы!H244</f>
        <v/>
      </c>
      <c r="E149" s="3">
        <f>Работы!I244</f>
        <v/>
      </c>
      <c r="F149" s="3">
        <f>Работы!E244</f>
        <v/>
      </c>
    </row>
    <row r="150">
      <c r="A150" s="3">
        <f>Работы!B245</f>
        <v/>
      </c>
      <c r="B150" s="3">
        <f>Работы!C245</f>
        <v/>
      </c>
      <c r="C150" s="3">
        <f>Работы!G245</f>
        <v/>
      </c>
      <c r="D150" s="3">
        <f>Работы!H245</f>
        <v/>
      </c>
      <c r="E150" s="3">
        <f>Работы!I245</f>
        <v/>
      </c>
      <c r="F150" s="3">
        <f>Работы!E245</f>
        <v/>
      </c>
    </row>
    <row r="151">
      <c r="A151" s="3">
        <f>Работы!B246</f>
        <v/>
      </c>
      <c r="B151" s="3">
        <f>Работы!C246</f>
        <v/>
      </c>
      <c r="C151" s="3">
        <f>Работы!G246</f>
        <v/>
      </c>
      <c r="D151" s="3">
        <f>Работы!H246</f>
        <v/>
      </c>
      <c r="E151" s="3">
        <f>Работы!I246</f>
        <v/>
      </c>
      <c r="F151" s="3">
        <f>Работы!E246</f>
        <v/>
      </c>
    </row>
    <row r="152">
      <c r="A152" s="3">
        <f>Работы!B247</f>
        <v/>
      </c>
      <c r="B152" s="3">
        <f>Работы!C247</f>
        <v/>
      </c>
      <c r="C152" s="3">
        <f>Работы!G247</f>
        <v/>
      </c>
      <c r="D152" s="3">
        <f>Работы!H247</f>
        <v/>
      </c>
      <c r="E152" s="3">
        <f>Работы!I247</f>
        <v/>
      </c>
      <c r="F152" s="3">
        <f>Работы!E247</f>
        <v/>
      </c>
    </row>
    <row r="153">
      <c r="A153" s="3">
        <f>Работы!B248</f>
        <v/>
      </c>
      <c r="B153" s="3">
        <f>Работы!C248</f>
        <v/>
      </c>
      <c r="C153" s="3">
        <f>Работы!G248</f>
        <v/>
      </c>
      <c r="D153" s="3">
        <f>Работы!H248</f>
        <v/>
      </c>
      <c r="E153" s="3">
        <f>Работы!I248</f>
        <v/>
      </c>
      <c r="F153" s="3">
        <f>Работы!E248</f>
        <v/>
      </c>
    </row>
    <row r="154">
      <c r="A154" s="3">
        <f>Работы!B249</f>
        <v/>
      </c>
      <c r="B154" s="3">
        <f>Работы!C249</f>
        <v/>
      </c>
      <c r="C154" s="3">
        <f>Работы!G249</f>
        <v/>
      </c>
      <c r="D154" s="3">
        <f>Работы!H249</f>
        <v/>
      </c>
      <c r="E154" s="3">
        <f>Работы!I249</f>
        <v/>
      </c>
      <c r="F154" s="3">
        <f>Работы!E249</f>
        <v/>
      </c>
    </row>
    <row r="155">
      <c r="A155" s="3">
        <f>Работы!B252</f>
        <v/>
      </c>
      <c r="B155" s="3">
        <f>Работы!C252</f>
        <v/>
      </c>
      <c r="C155" s="3">
        <f>Работы!G252</f>
        <v/>
      </c>
      <c r="D155" s="3">
        <f>Работы!H252</f>
        <v/>
      </c>
      <c r="E155" s="3">
        <f>Работы!I252</f>
        <v/>
      </c>
      <c r="F155" s="3">
        <f>Работы!E252</f>
        <v/>
      </c>
    </row>
    <row r="156">
      <c r="A156" s="3">
        <f>Работы!B253</f>
        <v/>
      </c>
      <c r="B156" s="3">
        <f>Работы!C253</f>
        <v/>
      </c>
      <c r="C156" s="3">
        <f>Работы!G253</f>
        <v/>
      </c>
      <c r="D156" s="3">
        <f>Работы!H253</f>
        <v/>
      </c>
      <c r="E156" s="3">
        <f>Работы!I253</f>
        <v/>
      </c>
      <c r="F156" s="3">
        <f>Работы!E253</f>
        <v/>
      </c>
    </row>
    <row r="157">
      <c r="A157" s="3">
        <f>Работы!B254</f>
        <v/>
      </c>
      <c r="B157" s="3">
        <f>Работы!C254</f>
        <v/>
      </c>
      <c r="C157" s="3">
        <f>Работы!G254</f>
        <v/>
      </c>
      <c r="D157" s="3">
        <f>Работы!H254</f>
        <v/>
      </c>
      <c r="E157" s="3">
        <f>Работы!I254</f>
        <v/>
      </c>
      <c r="F157" s="3">
        <f>Работы!E254</f>
        <v/>
      </c>
    </row>
    <row r="158">
      <c r="A158" s="3">
        <f>Работы!B255</f>
        <v/>
      </c>
      <c r="B158" s="3">
        <f>Работы!C255</f>
        <v/>
      </c>
      <c r="C158" s="3">
        <f>Работы!G255</f>
        <v/>
      </c>
      <c r="D158" s="3">
        <f>Работы!H255</f>
        <v/>
      </c>
      <c r="E158" s="3">
        <f>Работы!I255</f>
        <v/>
      </c>
      <c r="F158" s="3">
        <f>Работы!E255</f>
        <v/>
      </c>
    </row>
    <row r="159">
      <c r="A159" s="3">
        <f>Работы!B256</f>
        <v/>
      </c>
      <c r="B159" s="3">
        <f>Работы!C256</f>
        <v/>
      </c>
      <c r="C159" s="3">
        <f>Работы!G256</f>
        <v/>
      </c>
      <c r="D159" s="3">
        <f>Работы!H256</f>
        <v/>
      </c>
      <c r="E159" s="3">
        <f>Работы!I256</f>
        <v/>
      </c>
      <c r="F159" s="3">
        <f>Работы!E256</f>
        <v/>
      </c>
    </row>
    <row r="160">
      <c r="A160" s="3">
        <f>Работы!B257</f>
        <v/>
      </c>
      <c r="B160" s="3">
        <f>Работы!C257</f>
        <v/>
      </c>
      <c r="C160" s="3">
        <f>Работы!G257</f>
        <v/>
      </c>
      <c r="D160" s="3">
        <f>Работы!H257</f>
        <v/>
      </c>
      <c r="E160" s="3">
        <f>Работы!I257</f>
        <v/>
      </c>
      <c r="F160" s="3">
        <f>Работы!E257</f>
        <v/>
      </c>
    </row>
    <row r="161">
      <c r="A161" s="3">
        <f>Работы!B258</f>
        <v/>
      </c>
      <c r="B161" s="3">
        <f>Работы!C258</f>
        <v/>
      </c>
      <c r="C161" s="3">
        <f>Работы!G258</f>
        <v/>
      </c>
      <c r="D161" s="3">
        <f>Работы!H258</f>
        <v/>
      </c>
      <c r="E161" s="3">
        <f>Работы!I258</f>
        <v/>
      </c>
      <c r="F161" s="3">
        <f>Работы!E258</f>
        <v/>
      </c>
    </row>
    <row r="162">
      <c r="A162" s="3">
        <f>Работы!B259</f>
        <v/>
      </c>
      <c r="B162" s="3">
        <f>Работы!C259</f>
        <v/>
      </c>
      <c r="C162" s="3">
        <f>Работы!G259</f>
        <v/>
      </c>
      <c r="D162" s="3">
        <f>Работы!H259</f>
        <v/>
      </c>
      <c r="E162" s="3">
        <f>Работы!I259</f>
        <v/>
      </c>
      <c r="F162" s="3">
        <f>Работы!E259</f>
        <v/>
      </c>
    </row>
    <row r="163">
      <c r="A163" s="3">
        <f>Работы!B260</f>
        <v/>
      </c>
      <c r="B163" s="3">
        <f>Работы!C260</f>
        <v/>
      </c>
      <c r="C163" s="3">
        <f>Работы!G260</f>
        <v/>
      </c>
      <c r="D163" s="3">
        <f>Работы!H260</f>
        <v/>
      </c>
      <c r="E163" s="3">
        <f>Работы!I260</f>
        <v/>
      </c>
      <c r="F163" s="3">
        <f>Работы!E260</f>
        <v/>
      </c>
    </row>
    <row r="164">
      <c r="A164" s="3">
        <f>Работы!B261</f>
        <v/>
      </c>
      <c r="B164" s="3">
        <f>Работы!C261</f>
        <v/>
      </c>
      <c r="C164" s="3">
        <f>Работы!G261</f>
        <v/>
      </c>
      <c r="D164" s="3">
        <f>Работы!H261</f>
        <v/>
      </c>
      <c r="E164" s="3">
        <f>Работы!I261</f>
        <v/>
      </c>
      <c r="F164" s="3">
        <f>Работы!E261</f>
        <v/>
      </c>
    </row>
    <row r="165">
      <c r="A165" s="3">
        <f>Работы!B262</f>
        <v/>
      </c>
      <c r="B165" s="3">
        <f>Работы!C262</f>
        <v/>
      </c>
      <c r="C165" s="3">
        <f>Работы!G262</f>
        <v/>
      </c>
      <c r="D165" s="3">
        <f>Работы!H262</f>
        <v/>
      </c>
      <c r="E165" s="3">
        <f>Работы!I262</f>
        <v/>
      </c>
      <c r="F165" s="3">
        <f>Работы!E262</f>
        <v/>
      </c>
    </row>
    <row r="166">
      <c r="A166" s="3">
        <f>Работы!B263</f>
        <v/>
      </c>
      <c r="B166" s="3">
        <f>Работы!C263</f>
        <v/>
      </c>
      <c r="C166" s="3">
        <f>Работы!G263</f>
        <v/>
      </c>
      <c r="D166" s="3">
        <f>Работы!H263</f>
        <v/>
      </c>
      <c r="E166" s="3">
        <f>Работы!I263</f>
        <v/>
      </c>
      <c r="F166" s="3">
        <f>Работы!E263</f>
        <v/>
      </c>
    </row>
    <row r="167">
      <c r="A167" s="3">
        <f>Работы!B264</f>
        <v/>
      </c>
      <c r="B167" s="3">
        <f>Работы!C264</f>
        <v/>
      </c>
      <c r="C167" s="3">
        <f>Работы!G264</f>
        <v/>
      </c>
      <c r="D167" s="3">
        <f>Работы!H264</f>
        <v/>
      </c>
      <c r="E167" s="3">
        <f>Работы!I264</f>
        <v/>
      </c>
      <c r="F167" s="3">
        <f>Работы!E264</f>
        <v/>
      </c>
    </row>
    <row r="168">
      <c r="A168" s="3">
        <f>Работы!B265</f>
        <v/>
      </c>
      <c r="B168" s="3">
        <f>Работы!C265</f>
        <v/>
      </c>
      <c r="C168" s="3">
        <f>Работы!G265</f>
        <v/>
      </c>
      <c r="D168" s="3">
        <f>Работы!H265</f>
        <v/>
      </c>
      <c r="E168" s="3">
        <f>Работы!I265</f>
        <v/>
      </c>
      <c r="F168" s="3">
        <f>Работы!E265</f>
        <v/>
      </c>
    </row>
    <row r="169">
      <c r="A169" s="3">
        <f>Работы!B266</f>
        <v/>
      </c>
      <c r="B169" s="3">
        <f>Работы!C266</f>
        <v/>
      </c>
      <c r="C169" s="3">
        <f>Работы!G266</f>
        <v/>
      </c>
      <c r="D169" s="3">
        <f>Работы!H266</f>
        <v/>
      </c>
      <c r="E169" s="3">
        <f>Работы!I266</f>
        <v/>
      </c>
      <c r="F169" s="3">
        <f>Работы!E266</f>
        <v/>
      </c>
    </row>
    <row r="170">
      <c r="A170" s="3">
        <f>Работы!B267</f>
        <v/>
      </c>
      <c r="B170" s="3">
        <f>Работы!C267</f>
        <v/>
      </c>
      <c r="C170" s="3">
        <f>Работы!G267</f>
        <v/>
      </c>
      <c r="D170" s="3">
        <f>Работы!H267</f>
        <v/>
      </c>
      <c r="E170" s="3">
        <f>Работы!I267</f>
        <v/>
      </c>
      <c r="F170" s="3">
        <f>Работы!E267</f>
        <v/>
      </c>
    </row>
    <row r="171">
      <c r="A171" s="3">
        <f>Работы!B268</f>
        <v/>
      </c>
      <c r="B171" s="3">
        <f>Работы!C268</f>
        <v/>
      </c>
      <c r="C171" s="3">
        <f>Работы!G268</f>
        <v/>
      </c>
      <c r="D171" s="3">
        <f>Работы!H268</f>
        <v/>
      </c>
      <c r="E171" s="3">
        <f>Работы!I268</f>
        <v/>
      </c>
      <c r="F171" s="3">
        <f>Работы!E268</f>
        <v/>
      </c>
    </row>
    <row r="172">
      <c r="A172" s="3">
        <f>Работы!B269</f>
        <v/>
      </c>
      <c r="B172" s="3">
        <f>Работы!C269</f>
        <v/>
      </c>
      <c r="C172" s="3">
        <f>Работы!G269</f>
        <v/>
      </c>
      <c r="D172" s="3">
        <f>Работы!H269</f>
        <v/>
      </c>
      <c r="E172" s="3">
        <f>Работы!I269</f>
        <v/>
      </c>
      <c r="F172" s="3">
        <f>Работы!E269</f>
        <v/>
      </c>
    </row>
    <row r="173">
      <c r="A173" s="3">
        <f>Работы!B270</f>
        <v/>
      </c>
      <c r="B173" s="3">
        <f>Работы!C270</f>
        <v/>
      </c>
      <c r="C173" s="3">
        <f>Работы!G270</f>
        <v/>
      </c>
      <c r="D173" s="3">
        <f>Работы!H270</f>
        <v/>
      </c>
      <c r="E173" s="3">
        <f>Работы!I270</f>
        <v/>
      </c>
      <c r="F173" s="3">
        <f>Работы!E270</f>
        <v/>
      </c>
    </row>
    <row r="174">
      <c r="A174" s="3">
        <f>Работы!B271</f>
        <v/>
      </c>
      <c r="B174" s="3">
        <f>Работы!C271</f>
        <v/>
      </c>
      <c r="C174" s="3">
        <f>Работы!G271</f>
        <v/>
      </c>
      <c r="D174" s="3">
        <f>Работы!H271</f>
        <v/>
      </c>
      <c r="E174" s="3">
        <f>Работы!I271</f>
        <v/>
      </c>
      <c r="F174" s="3">
        <f>Работы!E271</f>
        <v/>
      </c>
    </row>
    <row r="175">
      <c r="A175" s="3">
        <f>Работы!B272</f>
        <v/>
      </c>
      <c r="B175" s="3">
        <f>Работы!C272</f>
        <v/>
      </c>
      <c r="C175" s="3">
        <f>Работы!G272</f>
        <v/>
      </c>
      <c r="D175" s="3">
        <f>Работы!H272</f>
        <v/>
      </c>
      <c r="E175" s="3">
        <f>Работы!I272</f>
        <v/>
      </c>
      <c r="F175" s="3">
        <f>Работы!E272</f>
        <v/>
      </c>
    </row>
    <row r="176">
      <c r="A176" s="3">
        <f>Работы!B273</f>
        <v/>
      </c>
      <c r="B176" s="3">
        <f>Работы!C273</f>
        <v/>
      </c>
      <c r="C176" s="3">
        <f>Работы!G273</f>
        <v/>
      </c>
      <c r="D176" s="3">
        <f>Работы!H273</f>
        <v/>
      </c>
      <c r="E176" s="3">
        <f>Работы!I273</f>
        <v/>
      </c>
      <c r="F176" s="3">
        <f>Работы!E273</f>
        <v/>
      </c>
    </row>
    <row r="177">
      <c r="A177" s="3">
        <f>Работы!B274</f>
        <v/>
      </c>
      <c r="B177" s="3">
        <f>Работы!C274</f>
        <v/>
      </c>
      <c r="C177" s="3">
        <f>Работы!G274</f>
        <v/>
      </c>
      <c r="D177" s="3">
        <f>Работы!H274</f>
        <v/>
      </c>
      <c r="E177" s="3">
        <f>Работы!I274</f>
        <v/>
      </c>
      <c r="F177" s="3">
        <f>Работы!E274</f>
        <v/>
      </c>
    </row>
    <row r="178">
      <c r="A178" s="3">
        <f>Работы!B275</f>
        <v/>
      </c>
      <c r="B178" s="3">
        <f>Работы!C275</f>
        <v/>
      </c>
      <c r="C178" s="3">
        <f>Работы!G275</f>
        <v/>
      </c>
      <c r="D178" s="3">
        <f>Работы!H275</f>
        <v/>
      </c>
      <c r="E178" s="3">
        <f>Работы!I275</f>
        <v/>
      </c>
      <c r="F178" s="3">
        <f>Работы!E275</f>
        <v/>
      </c>
    </row>
    <row r="179">
      <c r="A179" s="3">
        <f>Работы!B276</f>
        <v/>
      </c>
      <c r="B179" s="3">
        <f>Работы!C276</f>
        <v/>
      </c>
      <c r="C179" s="3">
        <f>Работы!G276</f>
        <v/>
      </c>
      <c r="D179" s="3">
        <f>Работы!H276</f>
        <v/>
      </c>
      <c r="E179" s="3">
        <f>Работы!I276</f>
        <v/>
      </c>
      <c r="F179" s="3">
        <f>Работы!E276</f>
        <v/>
      </c>
    </row>
    <row r="180">
      <c r="A180" s="3">
        <f>Работы!B277</f>
        <v/>
      </c>
      <c r="B180" s="3">
        <f>Работы!C277</f>
        <v/>
      </c>
      <c r="C180" s="3">
        <f>Работы!G277</f>
        <v/>
      </c>
      <c r="D180" s="3">
        <f>Работы!H277</f>
        <v/>
      </c>
      <c r="E180" s="3">
        <f>Работы!I277</f>
        <v/>
      </c>
      <c r="F180" s="3">
        <f>Работы!E277</f>
        <v/>
      </c>
    </row>
    <row r="181">
      <c r="A181" s="3">
        <f>Работы!B278</f>
        <v/>
      </c>
      <c r="B181" s="3">
        <f>Работы!C278</f>
        <v/>
      </c>
      <c r="C181" s="3">
        <f>Работы!G278</f>
        <v/>
      </c>
      <c r="D181" s="3">
        <f>Работы!H278</f>
        <v/>
      </c>
      <c r="E181" s="3">
        <f>Работы!I278</f>
        <v/>
      </c>
      <c r="F181" s="3">
        <f>Работы!E278</f>
        <v/>
      </c>
    </row>
    <row r="182">
      <c r="A182" s="3">
        <f>Работы!B279</f>
        <v/>
      </c>
      <c r="B182" s="3">
        <f>Работы!C279</f>
        <v/>
      </c>
      <c r="C182" s="3">
        <f>Работы!G279</f>
        <v/>
      </c>
      <c r="D182" s="3">
        <f>Работы!H279</f>
        <v/>
      </c>
      <c r="E182" s="3">
        <f>Работы!I279</f>
        <v/>
      </c>
      <c r="F182" s="3">
        <f>Работы!E279</f>
        <v/>
      </c>
    </row>
    <row r="183">
      <c r="A183" s="3">
        <f>Работы!B280</f>
        <v/>
      </c>
      <c r="B183" s="3">
        <f>Работы!C280</f>
        <v/>
      </c>
      <c r="C183" s="3">
        <f>Работы!G280</f>
        <v/>
      </c>
      <c r="D183" s="3">
        <f>Работы!H280</f>
        <v/>
      </c>
      <c r="E183" s="3">
        <f>Работы!I280</f>
        <v/>
      </c>
      <c r="F183" s="3">
        <f>Работы!E280</f>
        <v/>
      </c>
    </row>
    <row r="184">
      <c r="A184" s="3">
        <f>Работы!B281</f>
        <v/>
      </c>
      <c r="B184" s="3">
        <f>Работы!C281</f>
        <v/>
      </c>
      <c r="C184" s="3">
        <f>Работы!G281</f>
        <v/>
      </c>
      <c r="D184" s="3">
        <f>Работы!H281</f>
        <v/>
      </c>
      <c r="E184" s="3">
        <f>Работы!I281</f>
        <v/>
      </c>
      <c r="F184" s="3">
        <f>Работы!E281</f>
        <v/>
      </c>
    </row>
    <row r="185">
      <c r="A185" s="3">
        <f>Работы!B282</f>
        <v/>
      </c>
      <c r="B185" s="3">
        <f>Работы!C282</f>
        <v/>
      </c>
      <c r="C185" s="3">
        <f>Работы!G282</f>
        <v/>
      </c>
      <c r="D185" s="3">
        <f>Работы!H282</f>
        <v/>
      </c>
      <c r="E185" s="3">
        <f>Работы!I282</f>
        <v/>
      </c>
      <c r="F185" s="3">
        <f>Работы!E282</f>
        <v/>
      </c>
    </row>
    <row r="186">
      <c r="A186" s="3">
        <f>Работы!B283</f>
        <v/>
      </c>
      <c r="B186" s="3">
        <f>Работы!C283</f>
        <v/>
      </c>
      <c r="C186" s="3">
        <f>Работы!G283</f>
        <v/>
      </c>
      <c r="D186" s="3">
        <f>Работы!H283</f>
        <v/>
      </c>
      <c r="E186" s="3">
        <f>Работы!I283</f>
        <v/>
      </c>
      <c r="F186" s="3">
        <f>Работы!E283</f>
        <v/>
      </c>
    </row>
    <row r="187">
      <c r="A187" s="3">
        <f>Работы!B284</f>
        <v/>
      </c>
      <c r="B187" s="3">
        <f>Работы!C284</f>
        <v/>
      </c>
      <c r="C187" s="3">
        <f>Работы!G284</f>
        <v/>
      </c>
      <c r="D187" s="3">
        <f>Работы!H284</f>
        <v/>
      </c>
      <c r="E187" s="3">
        <f>Работы!I284</f>
        <v/>
      </c>
      <c r="F187" s="3">
        <f>Работы!E284</f>
        <v/>
      </c>
    </row>
    <row r="188">
      <c r="A188" s="3">
        <f>Работы!B285</f>
        <v/>
      </c>
      <c r="B188" s="3">
        <f>Работы!C285</f>
        <v/>
      </c>
      <c r="C188" s="3">
        <f>Работы!G285</f>
        <v/>
      </c>
      <c r="D188" s="3">
        <f>Работы!H285</f>
        <v/>
      </c>
      <c r="E188" s="3">
        <f>Работы!I285</f>
        <v/>
      </c>
      <c r="F188" s="3">
        <f>Работы!E285</f>
        <v/>
      </c>
    </row>
    <row r="189">
      <c r="A189" s="3">
        <f>Работы!B286</f>
        <v/>
      </c>
      <c r="B189" s="3">
        <f>Работы!C286</f>
        <v/>
      </c>
      <c r="C189" s="3">
        <f>Работы!G286</f>
        <v/>
      </c>
      <c r="D189" s="3">
        <f>Работы!H286</f>
        <v/>
      </c>
      <c r="E189" s="3">
        <f>Работы!I286</f>
        <v/>
      </c>
      <c r="F189" s="3">
        <f>Работы!E286</f>
        <v/>
      </c>
    </row>
    <row r="190">
      <c r="A190" s="3">
        <f>Работы!B287</f>
        <v/>
      </c>
      <c r="B190" s="3">
        <f>Работы!C287</f>
        <v/>
      </c>
      <c r="C190" s="3">
        <f>Работы!G287</f>
        <v/>
      </c>
      <c r="D190" s="3">
        <f>Работы!H287</f>
        <v/>
      </c>
      <c r="E190" s="3">
        <f>Работы!I287</f>
        <v/>
      </c>
      <c r="F190" s="3">
        <f>Работы!E287</f>
        <v/>
      </c>
    </row>
    <row r="191">
      <c r="A191" s="3">
        <f>Работы!B288</f>
        <v/>
      </c>
      <c r="B191" s="3">
        <f>Работы!C288</f>
        <v/>
      </c>
      <c r="C191" s="3">
        <f>Работы!G288</f>
        <v/>
      </c>
      <c r="D191" s="3">
        <f>Работы!H288</f>
        <v/>
      </c>
      <c r="E191" s="3">
        <f>Работы!I288</f>
        <v/>
      </c>
      <c r="F191" s="3">
        <f>Работы!E288</f>
        <v/>
      </c>
    </row>
    <row r="192">
      <c r="A192" s="3">
        <f>Работы!B289</f>
        <v/>
      </c>
      <c r="B192" s="3">
        <f>Работы!C289</f>
        <v/>
      </c>
      <c r="C192" s="3">
        <f>Работы!G289</f>
        <v/>
      </c>
      <c r="D192" s="3">
        <f>Работы!H289</f>
        <v/>
      </c>
      <c r="E192" s="3">
        <f>Работы!I289</f>
        <v/>
      </c>
      <c r="F192" s="3">
        <f>Работы!E289</f>
        <v/>
      </c>
    </row>
    <row r="193">
      <c r="A193" s="3">
        <f>Работы!B290</f>
        <v/>
      </c>
      <c r="B193" s="3">
        <f>Работы!C290</f>
        <v/>
      </c>
      <c r="C193" s="3">
        <f>Работы!G290</f>
        <v/>
      </c>
      <c r="D193" s="3">
        <f>Работы!H290</f>
        <v/>
      </c>
      <c r="E193" s="3">
        <f>Работы!I290</f>
        <v/>
      </c>
      <c r="F193" s="3">
        <f>Работы!E290</f>
        <v/>
      </c>
    </row>
    <row r="194">
      <c r="A194" s="3">
        <f>Работы!B291</f>
        <v/>
      </c>
      <c r="B194" s="3">
        <f>Работы!C291</f>
        <v/>
      </c>
      <c r="C194" s="3">
        <f>Работы!G291</f>
        <v/>
      </c>
      <c r="D194" s="3">
        <f>Работы!H291</f>
        <v/>
      </c>
      <c r="E194" s="3">
        <f>Работы!I291</f>
        <v/>
      </c>
      <c r="F194" s="3">
        <f>Работы!E291</f>
        <v/>
      </c>
    </row>
    <row r="195">
      <c r="A195" s="3">
        <f>Работы!B292</f>
        <v/>
      </c>
      <c r="B195" s="3">
        <f>Работы!C292</f>
        <v/>
      </c>
      <c r="C195" s="3">
        <f>Работы!G292</f>
        <v/>
      </c>
      <c r="D195" s="3">
        <f>Работы!H292</f>
        <v/>
      </c>
      <c r="E195" s="3">
        <f>Работы!I292</f>
        <v/>
      </c>
      <c r="F195" s="3">
        <f>Работы!E292</f>
        <v/>
      </c>
    </row>
    <row r="196">
      <c r="A196" s="3">
        <f>Работы!B293</f>
        <v/>
      </c>
      <c r="B196" s="3">
        <f>Работы!C293</f>
        <v/>
      </c>
      <c r="C196" s="3">
        <f>Работы!G293</f>
        <v/>
      </c>
      <c r="D196" s="3">
        <f>Работы!H293</f>
        <v/>
      </c>
      <c r="E196" s="3">
        <f>Работы!I293</f>
        <v/>
      </c>
      <c r="F196" s="3">
        <f>Работы!E293</f>
        <v/>
      </c>
    </row>
    <row r="197">
      <c r="A197" s="3">
        <f>Работы!B294</f>
        <v/>
      </c>
      <c r="B197" s="3">
        <f>Работы!C294</f>
        <v/>
      </c>
      <c r="C197" s="3">
        <f>Работы!G294</f>
        <v/>
      </c>
      <c r="D197" s="3">
        <f>Работы!H294</f>
        <v/>
      </c>
      <c r="E197" s="3">
        <f>Работы!I294</f>
        <v/>
      </c>
      <c r="F197" s="3">
        <f>Работы!E294</f>
        <v/>
      </c>
    </row>
    <row r="198">
      <c r="A198" s="3">
        <f>Работы!B295</f>
        <v/>
      </c>
      <c r="B198" s="3">
        <f>Работы!C295</f>
        <v/>
      </c>
      <c r="C198" s="3">
        <f>Работы!G295</f>
        <v/>
      </c>
      <c r="D198" s="3">
        <f>Работы!H295</f>
        <v/>
      </c>
      <c r="E198" s="3">
        <f>Работы!I295</f>
        <v/>
      </c>
      <c r="F198" s="3">
        <f>Работы!E295</f>
        <v/>
      </c>
    </row>
    <row r="199">
      <c r="A199" s="3">
        <f>Работы!B296</f>
        <v/>
      </c>
      <c r="B199" s="3">
        <f>Работы!C296</f>
        <v/>
      </c>
      <c r="C199" s="3">
        <f>Работы!G296</f>
        <v/>
      </c>
      <c r="D199" s="3">
        <f>Работы!H296</f>
        <v/>
      </c>
      <c r="E199" s="3">
        <f>Работы!I296</f>
        <v/>
      </c>
      <c r="F199" s="3">
        <f>Работы!E296</f>
        <v/>
      </c>
    </row>
    <row r="200">
      <c r="A200" s="3">
        <f>Работы!B297</f>
        <v/>
      </c>
      <c r="B200" s="3">
        <f>Работы!C297</f>
        <v/>
      </c>
      <c r="C200" s="3">
        <f>Работы!G297</f>
        <v/>
      </c>
      <c r="D200" s="3">
        <f>Работы!H297</f>
        <v/>
      </c>
      <c r="E200" s="3">
        <f>Работы!I297</f>
        <v/>
      </c>
      <c r="F200" s="3">
        <f>Работы!E297</f>
        <v/>
      </c>
    </row>
    <row r="201">
      <c r="A201" s="3">
        <f>Работы!B298</f>
        <v/>
      </c>
      <c r="B201" s="3">
        <f>Работы!C298</f>
        <v/>
      </c>
      <c r="C201" s="3">
        <f>Работы!G298</f>
        <v/>
      </c>
      <c r="D201" s="3">
        <f>Работы!H298</f>
        <v/>
      </c>
      <c r="E201" s="3">
        <f>Работы!I298</f>
        <v/>
      </c>
      <c r="F201" s="3">
        <f>Работы!E298</f>
        <v/>
      </c>
    </row>
    <row r="202">
      <c r="A202" s="3">
        <f>Работы!B299</f>
        <v/>
      </c>
      <c r="B202" s="3">
        <f>Работы!C299</f>
        <v/>
      </c>
      <c r="C202" s="3">
        <f>Работы!G299</f>
        <v/>
      </c>
      <c r="D202" s="3">
        <f>Работы!H299</f>
        <v/>
      </c>
      <c r="E202" s="3">
        <f>Работы!I299</f>
        <v/>
      </c>
      <c r="F202" s="3">
        <f>Работы!E299</f>
        <v/>
      </c>
    </row>
    <row r="203">
      <c r="A203" s="3">
        <f>Работы!B300</f>
        <v/>
      </c>
      <c r="B203" s="3">
        <f>Работы!C300</f>
        <v/>
      </c>
      <c r="C203" s="3">
        <f>Работы!G300</f>
        <v/>
      </c>
      <c r="D203" s="3">
        <f>Работы!H300</f>
        <v/>
      </c>
      <c r="E203" s="3">
        <f>Работы!I300</f>
        <v/>
      </c>
      <c r="F203" s="3">
        <f>Работы!E300</f>
        <v/>
      </c>
    </row>
    <row r="204">
      <c r="A204" s="3">
        <f>Работы!B301</f>
        <v/>
      </c>
      <c r="B204" s="3">
        <f>Работы!C301</f>
        <v/>
      </c>
      <c r="C204" s="3">
        <f>Работы!G301</f>
        <v/>
      </c>
      <c r="D204" s="3">
        <f>Работы!H301</f>
        <v/>
      </c>
      <c r="E204" s="3">
        <f>Работы!I301</f>
        <v/>
      </c>
      <c r="F204" s="3">
        <f>Работы!E301</f>
        <v/>
      </c>
    </row>
    <row r="205">
      <c r="A205" s="3">
        <f>Работы!B302</f>
        <v/>
      </c>
      <c r="B205" s="3">
        <f>Работы!C302</f>
        <v/>
      </c>
      <c r="C205" s="3">
        <f>Работы!G302</f>
        <v/>
      </c>
      <c r="D205" s="3">
        <f>Работы!H302</f>
        <v/>
      </c>
      <c r="E205" s="3">
        <f>Работы!I302</f>
        <v/>
      </c>
      <c r="F205" s="3">
        <f>Работы!E302</f>
        <v/>
      </c>
    </row>
    <row r="206">
      <c r="A206" s="3">
        <f>Работы!B303</f>
        <v/>
      </c>
      <c r="B206" s="3">
        <f>Работы!C303</f>
        <v/>
      </c>
      <c r="C206" s="3">
        <f>Работы!G303</f>
        <v/>
      </c>
      <c r="D206" s="3">
        <f>Работы!H303</f>
        <v/>
      </c>
      <c r="E206" s="3">
        <f>Работы!I303</f>
        <v/>
      </c>
      <c r="F206" s="3">
        <f>Работы!E303</f>
        <v/>
      </c>
    </row>
    <row r="207">
      <c r="A207" s="3">
        <f>Работы!B304</f>
        <v/>
      </c>
      <c r="B207" s="3">
        <f>Работы!C304</f>
        <v/>
      </c>
      <c r="C207" s="3">
        <f>Работы!G304</f>
        <v/>
      </c>
      <c r="D207" s="3">
        <f>Работы!H304</f>
        <v/>
      </c>
      <c r="E207" s="3">
        <f>Работы!I304</f>
        <v/>
      </c>
      <c r="F207" s="3">
        <f>Работы!E304</f>
        <v/>
      </c>
    </row>
    <row r="208">
      <c r="A208" s="3">
        <f>Работы!B305</f>
        <v/>
      </c>
      <c r="B208" s="3">
        <f>Работы!C305</f>
        <v/>
      </c>
      <c r="C208" s="3">
        <f>Работы!G305</f>
        <v/>
      </c>
      <c r="D208" s="3">
        <f>Работы!H305</f>
        <v/>
      </c>
      <c r="E208" s="3">
        <f>Работы!I305</f>
        <v/>
      </c>
      <c r="F208" s="3">
        <f>Работы!E305</f>
        <v/>
      </c>
    </row>
    <row r="209">
      <c r="A209" s="3">
        <f>Работы!B306</f>
        <v/>
      </c>
      <c r="B209" s="3">
        <f>Работы!C306</f>
        <v/>
      </c>
      <c r="C209" s="3">
        <f>Работы!G306</f>
        <v/>
      </c>
      <c r="D209" s="3">
        <f>Работы!H306</f>
        <v/>
      </c>
      <c r="E209" s="3">
        <f>Работы!I306</f>
        <v/>
      </c>
      <c r="F209" s="3">
        <f>Работы!E306</f>
        <v/>
      </c>
    </row>
    <row r="210">
      <c r="A210" s="3">
        <f>Работы!B307</f>
        <v/>
      </c>
      <c r="B210" s="3">
        <f>Работы!C307</f>
        <v/>
      </c>
      <c r="C210" s="3">
        <f>Работы!G307</f>
        <v/>
      </c>
      <c r="D210" s="3">
        <f>Работы!H307</f>
        <v/>
      </c>
      <c r="E210" s="3">
        <f>Работы!I307</f>
        <v/>
      </c>
      <c r="F210" s="3">
        <f>Работы!E307</f>
        <v/>
      </c>
    </row>
    <row r="211">
      <c r="A211" s="3">
        <f>Работы!B308</f>
        <v/>
      </c>
      <c r="B211" s="3">
        <f>Работы!C308</f>
        <v/>
      </c>
      <c r="C211" s="3">
        <f>Работы!G308</f>
        <v/>
      </c>
      <c r="D211" s="3">
        <f>Работы!H308</f>
        <v/>
      </c>
      <c r="E211" s="3">
        <f>Работы!I308</f>
        <v/>
      </c>
      <c r="F211" s="3">
        <f>Работы!E308</f>
        <v/>
      </c>
    </row>
    <row r="212">
      <c r="A212" s="3">
        <f>Работы!B309</f>
        <v/>
      </c>
      <c r="B212" s="3">
        <f>Работы!C309</f>
        <v/>
      </c>
      <c r="C212" s="3">
        <f>Работы!G309</f>
        <v/>
      </c>
      <c r="D212" s="3">
        <f>Работы!H309</f>
        <v/>
      </c>
      <c r="E212" s="3">
        <f>Работы!I309</f>
        <v/>
      </c>
      <c r="F212" s="3">
        <f>Работы!E309</f>
        <v/>
      </c>
    </row>
    <row r="213">
      <c r="A213" s="3">
        <f>Работы!B310</f>
        <v/>
      </c>
      <c r="B213" s="3">
        <f>Работы!C310</f>
        <v/>
      </c>
      <c r="C213" s="3">
        <f>Работы!G310</f>
        <v/>
      </c>
      <c r="D213" s="3">
        <f>Работы!H310</f>
        <v/>
      </c>
      <c r="E213" s="3">
        <f>Работы!I310</f>
        <v/>
      </c>
      <c r="F213" s="3">
        <f>Работы!E310</f>
        <v/>
      </c>
    </row>
    <row r="214">
      <c r="A214" s="3">
        <f>Работы!B311</f>
        <v/>
      </c>
      <c r="B214" s="3">
        <f>Работы!C311</f>
        <v/>
      </c>
      <c r="C214" s="3">
        <f>Работы!G311</f>
        <v/>
      </c>
      <c r="D214" s="3">
        <f>Работы!H311</f>
        <v/>
      </c>
      <c r="E214" s="3">
        <f>Работы!I311</f>
        <v/>
      </c>
      <c r="F214" s="3">
        <f>Работы!E311</f>
        <v/>
      </c>
    </row>
    <row r="215">
      <c r="A215" s="3">
        <f>Работы!B319</f>
        <v/>
      </c>
      <c r="B215" s="3">
        <f>Работы!C319</f>
        <v/>
      </c>
      <c r="C215" s="3">
        <f>Работы!G319</f>
        <v/>
      </c>
      <c r="D215" s="3">
        <f>Работы!H319</f>
        <v/>
      </c>
      <c r="E215" s="3">
        <f>Работы!I319</f>
        <v/>
      </c>
      <c r="F215" s="3">
        <f>Работы!E319</f>
        <v/>
      </c>
    </row>
    <row r="216">
      <c r="A216" s="3">
        <f>Работы!B320</f>
        <v/>
      </c>
      <c r="B216" s="3">
        <f>Работы!C320</f>
        <v/>
      </c>
      <c r="C216" s="3">
        <f>Работы!G320</f>
        <v/>
      </c>
      <c r="D216" s="3">
        <f>Работы!H320</f>
        <v/>
      </c>
      <c r="E216" s="3">
        <f>Работы!I320</f>
        <v/>
      </c>
      <c r="F216" s="3">
        <f>Работы!E320</f>
        <v/>
      </c>
    </row>
    <row r="217">
      <c r="A217" s="3">
        <f>Работы!B321</f>
        <v/>
      </c>
      <c r="B217" s="3">
        <f>Работы!C321</f>
        <v/>
      </c>
      <c r="C217" s="3">
        <f>Работы!G321</f>
        <v/>
      </c>
      <c r="D217" s="3">
        <f>Работы!H321</f>
        <v/>
      </c>
      <c r="E217" s="3">
        <f>Работы!I321</f>
        <v/>
      </c>
      <c r="F217" s="3">
        <f>Работы!E321</f>
        <v/>
      </c>
    </row>
    <row r="218">
      <c r="A218" s="3">
        <f>Работы!B322</f>
        <v/>
      </c>
      <c r="B218" s="3">
        <f>Работы!C322</f>
        <v/>
      </c>
      <c r="C218" s="3">
        <f>Работы!G322</f>
        <v/>
      </c>
      <c r="D218" s="3">
        <f>Работы!H322</f>
        <v/>
      </c>
      <c r="E218" s="3">
        <f>Работы!I322</f>
        <v/>
      </c>
      <c r="F218" s="3">
        <f>Работы!E322</f>
        <v/>
      </c>
    </row>
    <row r="219">
      <c r="A219" s="3">
        <f>Работы!B328</f>
        <v/>
      </c>
      <c r="B219" s="3">
        <f>Работы!C328</f>
        <v/>
      </c>
      <c r="C219" s="3">
        <f>Работы!G328</f>
        <v/>
      </c>
      <c r="D219" s="3">
        <f>Работы!H328</f>
        <v/>
      </c>
      <c r="E219" s="3">
        <f>Работы!I328</f>
        <v/>
      </c>
      <c r="F219" s="3">
        <f>Работы!E328</f>
        <v/>
      </c>
    </row>
    <row r="220">
      <c r="A220" s="3">
        <f>Работы!B329</f>
        <v/>
      </c>
      <c r="B220" s="3">
        <f>Работы!C329</f>
        <v/>
      </c>
      <c r="C220" s="3">
        <f>Работы!G329</f>
        <v/>
      </c>
      <c r="D220" s="3">
        <f>Работы!H329</f>
        <v/>
      </c>
      <c r="E220" s="3">
        <f>Работы!I329</f>
        <v/>
      </c>
      <c r="F220" s="3">
        <f>Работы!E329</f>
        <v/>
      </c>
    </row>
    <row r="221">
      <c r="A221" s="3">
        <f>Работы!B330</f>
        <v/>
      </c>
      <c r="B221" s="3">
        <f>Работы!C330</f>
        <v/>
      </c>
      <c r="C221" s="3">
        <f>Работы!G330</f>
        <v/>
      </c>
      <c r="D221" s="3">
        <f>Работы!H330</f>
        <v/>
      </c>
      <c r="E221" s="3">
        <f>Работы!I330</f>
        <v/>
      </c>
      <c r="F221" s="3">
        <f>Работы!E330</f>
        <v/>
      </c>
    </row>
    <row r="222">
      <c r="A222" s="3">
        <f>Работы!B331</f>
        <v/>
      </c>
      <c r="B222" s="3">
        <f>Работы!C331</f>
        <v/>
      </c>
      <c r="C222" s="3">
        <f>Работы!G331</f>
        <v/>
      </c>
      <c r="D222" s="3">
        <f>Работы!H331</f>
        <v/>
      </c>
      <c r="E222" s="3">
        <f>Работы!I331</f>
        <v/>
      </c>
      <c r="F222" s="3">
        <f>Работы!E331</f>
        <v/>
      </c>
    </row>
    <row r="223">
      <c r="A223" s="3">
        <f>Работы!B332</f>
        <v/>
      </c>
      <c r="B223" s="3">
        <f>Работы!C332</f>
        <v/>
      </c>
      <c r="C223" s="3">
        <f>Работы!G332</f>
        <v/>
      </c>
      <c r="D223" s="3">
        <f>Работы!H332</f>
        <v/>
      </c>
      <c r="E223" s="3">
        <f>Работы!I332</f>
        <v/>
      </c>
      <c r="F223" s="3">
        <f>Работы!E332</f>
        <v/>
      </c>
    </row>
    <row r="224">
      <c r="A224" s="3">
        <f>Работы!B333</f>
        <v/>
      </c>
      <c r="B224" s="3">
        <f>Работы!C333</f>
        <v/>
      </c>
      <c r="C224" s="3">
        <f>Работы!G333</f>
        <v/>
      </c>
      <c r="D224" s="3">
        <f>Работы!H333</f>
        <v/>
      </c>
      <c r="E224" s="3">
        <f>Работы!I333</f>
        <v/>
      </c>
      <c r="F224" s="3">
        <f>Работы!E333</f>
        <v/>
      </c>
    </row>
    <row r="225">
      <c r="A225" s="3">
        <f>Работы!B334</f>
        <v/>
      </c>
      <c r="B225" s="3">
        <f>Работы!C334</f>
        <v/>
      </c>
      <c r="C225" s="3">
        <f>Работы!G334</f>
        <v/>
      </c>
      <c r="D225" s="3">
        <f>Работы!H334</f>
        <v/>
      </c>
      <c r="E225" s="3">
        <f>Работы!I334</f>
        <v/>
      </c>
      <c r="F225" s="3">
        <f>Работы!E334</f>
        <v/>
      </c>
    </row>
    <row r="226">
      <c r="A226" s="3">
        <f>Работы!B335</f>
        <v/>
      </c>
      <c r="B226" s="3">
        <f>Работы!C335</f>
        <v/>
      </c>
      <c r="C226" s="3">
        <f>Работы!G335</f>
        <v/>
      </c>
      <c r="D226" s="3">
        <f>Работы!H335</f>
        <v/>
      </c>
      <c r="E226" s="3">
        <f>Работы!I335</f>
        <v/>
      </c>
      <c r="F226" s="3">
        <f>Работы!E335</f>
        <v/>
      </c>
    </row>
    <row r="227">
      <c r="A227" s="3">
        <f>Работы!B336</f>
        <v/>
      </c>
      <c r="B227" s="3">
        <f>Работы!C336</f>
        <v/>
      </c>
      <c r="C227" s="3">
        <f>Работы!G336</f>
        <v/>
      </c>
      <c r="D227" s="3">
        <f>Работы!H336</f>
        <v/>
      </c>
      <c r="E227" s="3">
        <f>Работы!I336</f>
        <v/>
      </c>
      <c r="F227" s="3">
        <f>Работы!E336</f>
        <v/>
      </c>
    </row>
    <row r="228">
      <c r="A228" s="3">
        <f>Работы!B337</f>
        <v/>
      </c>
      <c r="B228" s="3">
        <f>Работы!C337</f>
        <v/>
      </c>
      <c r="C228" s="3">
        <f>Работы!G337</f>
        <v/>
      </c>
      <c r="D228" s="3">
        <f>Работы!H337</f>
        <v/>
      </c>
      <c r="E228" s="3">
        <f>Работы!I337</f>
        <v/>
      </c>
      <c r="F228" s="3">
        <f>Работы!E337</f>
        <v/>
      </c>
    </row>
    <row r="229">
      <c r="A229" s="3">
        <f>Работы!B338</f>
        <v/>
      </c>
      <c r="B229" s="3">
        <f>Работы!C338</f>
        <v/>
      </c>
      <c r="C229" s="3">
        <f>Работы!G338</f>
        <v/>
      </c>
      <c r="D229" s="3">
        <f>Работы!H338</f>
        <v/>
      </c>
      <c r="E229" s="3">
        <f>Работы!I338</f>
        <v/>
      </c>
      <c r="F229" s="3">
        <f>Работы!E338</f>
        <v/>
      </c>
    </row>
    <row r="230">
      <c r="A230" s="3">
        <f>Работы!B339</f>
        <v/>
      </c>
      <c r="B230" s="3">
        <f>Работы!C339</f>
        <v/>
      </c>
      <c r="C230" s="3">
        <f>Работы!G339</f>
        <v/>
      </c>
      <c r="D230" s="3">
        <f>Работы!H339</f>
        <v/>
      </c>
      <c r="E230" s="3">
        <f>Работы!I339</f>
        <v/>
      </c>
      <c r="F230" s="3">
        <f>Работы!E339</f>
        <v/>
      </c>
    </row>
    <row r="231">
      <c r="A231" s="3">
        <f>Работы!B340</f>
        <v/>
      </c>
      <c r="B231" s="3">
        <f>Работы!C340</f>
        <v/>
      </c>
      <c r="C231" s="3">
        <f>Работы!G340</f>
        <v/>
      </c>
      <c r="D231" s="3">
        <f>Работы!H340</f>
        <v/>
      </c>
      <c r="E231" s="3">
        <f>Работы!I340</f>
        <v/>
      </c>
      <c r="F231" s="3">
        <f>Работы!E340</f>
        <v/>
      </c>
    </row>
    <row r="232">
      <c r="A232" s="3">
        <f>Работы!B341</f>
        <v/>
      </c>
      <c r="B232" s="3">
        <f>Работы!C341</f>
        <v/>
      </c>
      <c r="C232" s="3">
        <f>Работы!G341</f>
        <v/>
      </c>
      <c r="D232" s="3">
        <f>Работы!H341</f>
        <v/>
      </c>
      <c r="E232" s="3">
        <f>Работы!I341</f>
        <v/>
      </c>
      <c r="F232" s="3">
        <f>Работы!E341</f>
        <v/>
      </c>
    </row>
    <row r="233">
      <c r="A233" s="3">
        <f>Работы!B342</f>
        <v/>
      </c>
      <c r="B233" s="3">
        <f>Работы!C342</f>
        <v/>
      </c>
      <c r="C233" s="3">
        <f>Работы!G342</f>
        <v/>
      </c>
      <c r="D233" s="3">
        <f>Работы!H342</f>
        <v/>
      </c>
      <c r="E233" s="3">
        <f>Работы!I342</f>
        <v/>
      </c>
      <c r="F233" s="3">
        <f>Работы!E342</f>
        <v/>
      </c>
    </row>
    <row r="234">
      <c r="A234" s="3">
        <f>Работы!B343</f>
        <v/>
      </c>
      <c r="B234" s="3">
        <f>Работы!C343</f>
        <v/>
      </c>
      <c r="C234" s="3">
        <f>Работы!G343</f>
        <v/>
      </c>
      <c r="D234" s="3">
        <f>Работы!H343</f>
        <v/>
      </c>
      <c r="E234" s="3">
        <f>Работы!I343</f>
        <v/>
      </c>
      <c r="F234" s="3">
        <f>Работы!E343</f>
        <v/>
      </c>
    </row>
    <row r="235">
      <c r="A235" s="3">
        <f>Работы!B344</f>
        <v/>
      </c>
      <c r="B235" s="3">
        <f>Работы!C344</f>
        <v/>
      </c>
      <c r="C235" s="3">
        <f>Работы!G344</f>
        <v/>
      </c>
      <c r="D235" s="3">
        <f>Работы!H344</f>
        <v/>
      </c>
      <c r="E235" s="3">
        <f>Работы!I344</f>
        <v/>
      </c>
      <c r="F235" s="3">
        <f>Работы!E344</f>
        <v/>
      </c>
    </row>
    <row r="236">
      <c r="A236" s="3">
        <f>Работы!B345</f>
        <v/>
      </c>
      <c r="B236" s="3">
        <f>Работы!C345</f>
        <v/>
      </c>
      <c r="C236" s="3">
        <f>Работы!G345</f>
        <v/>
      </c>
      <c r="D236" s="3">
        <f>Работы!H345</f>
        <v/>
      </c>
      <c r="E236" s="3">
        <f>Работы!I345</f>
        <v/>
      </c>
      <c r="F236" s="3">
        <f>Работы!E345</f>
        <v/>
      </c>
    </row>
    <row r="237">
      <c r="A237" s="3">
        <f>Работы!B346</f>
        <v/>
      </c>
      <c r="B237" s="3">
        <f>Работы!C346</f>
        <v/>
      </c>
      <c r="C237" s="3">
        <f>Работы!G346</f>
        <v/>
      </c>
      <c r="D237" s="3">
        <f>Работы!H346</f>
        <v/>
      </c>
      <c r="E237" s="3">
        <f>Работы!I346</f>
        <v/>
      </c>
      <c r="F237" s="3">
        <f>Работы!E346</f>
        <v/>
      </c>
    </row>
    <row r="238">
      <c r="A238" s="3">
        <f>Работы!B347</f>
        <v/>
      </c>
      <c r="B238" s="3">
        <f>Работы!C347</f>
        <v/>
      </c>
      <c r="C238" s="3">
        <f>Работы!G347</f>
        <v/>
      </c>
      <c r="D238" s="3">
        <f>Работы!H347</f>
        <v/>
      </c>
      <c r="E238" s="3">
        <f>Работы!I347</f>
        <v/>
      </c>
      <c r="F238" s="3">
        <f>Работы!E347</f>
        <v/>
      </c>
    </row>
    <row r="239">
      <c r="A239" s="3">
        <f>Работы!B348</f>
        <v/>
      </c>
      <c r="B239" s="3">
        <f>Работы!C348</f>
        <v/>
      </c>
      <c r="C239" s="3">
        <f>Работы!G348</f>
        <v/>
      </c>
      <c r="D239" s="3">
        <f>Работы!H348</f>
        <v/>
      </c>
      <c r="E239" s="3">
        <f>Работы!I348</f>
        <v/>
      </c>
      <c r="F239" s="3">
        <f>Работы!E348</f>
        <v/>
      </c>
    </row>
    <row r="240">
      <c r="A240" s="3">
        <f>Работы!B349</f>
        <v/>
      </c>
      <c r="B240" s="3">
        <f>Работы!C349</f>
        <v/>
      </c>
      <c r="C240" s="3">
        <f>Работы!G349</f>
        <v/>
      </c>
      <c r="D240" s="3">
        <f>Работы!H349</f>
        <v/>
      </c>
      <c r="E240" s="3">
        <f>Работы!I349</f>
        <v/>
      </c>
      <c r="F240" s="3">
        <f>Работы!E349</f>
        <v/>
      </c>
    </row>
    <row r="241">
      <c r="A241" s="3">
        <f>Работы!B350</f>
        <v/>
      </c>
      <c r="B241" s="3">
        <f>Работы!C350</f>
        <v/>
      </c>
      <c r="C241" s="3">
        <f>Работы!G350</f>
        <v/>
      </c>
      <c r="D241" s="3">
        <f>Работы!H350</f>
        <v/>
      </c>
      <c r="E241" s="3">
        <f>Работы!I350</f>
        <v/>
      </c>
      <c r="F241" s="3">
        <f>Работы!E350</f>
        <v/>
      </c>
    </row>
    <row r="242">
      <c r="A242" s="3">
        <f>Работы!B351</f>
        <v/>
      </c>
      <c r="B242" s="3">
        <f>Работы!C351</f>
        <v/>
      </c>
      <c r="C242" s="3">
        <f>Работы!G351</f>
        <v/>
      </c>
      <c r="D242" s="3">
        <f>Работы!H351</f>
        <v/>
      </c>
      <c r="E242" s="3">
        <f>Работы!I351</f>
        <v/>
      </c>
      <c r="F242" s="3">
        <f>Работы!E351</f>
        <v/>
      </c>
    </row>
    <row r="243">
      <c r="A243" s="3">
        <f>Работы!B352</f>
        <v/>
      </c>
      <c r="B243" s="3">
        <f>Работы!C352</f>
        <v/>
      </c>
      <c r="C243" s="3">
        <f>Работы!G352</f>
        <v/>
      </c>
      <c r="D243" s="3">
        <f>Работы!H352</f>
        <v/>
      </c>
      <c r="E243" s="3">
        <f>Работы!I352</f>
        <v/>
      </c>
      <c r="F243" s="3">
        <f>Работы!E352</f>
        <v/>
      </c>
    </row>
    <row r="244">
      <c r="A244" s="3">
        <f>Работы!B353</f>
        <v/>
      </c>
      <c r="B244" s="3">
        <f>Работы!C353</f>
        <v/>
      </c>
      <c r="C244" s="3">
        <f>Работы!G353</f>
        <v/>
      </c>
      <c r="D244" s="3">
        <f>Работы!H353</f>
        <v/>
      </c>
      <c r="E244" s="3">
        <f>Работы!I353</f>
        <v/>
      </c>
      <c r="F244" s="3">
        <f>Работы!E353</f>
        <v/>
      </c>
    </row>
    <row r="245">
      <c r="A245" s="3">
        <f>Работы!B354</f>
        <v/>
      </c>
      <c r="B245" s="3">
        <f>Работы!C354</f>
        <v/>
      </c>
      <c r="C245" s="3">
        <f>Работы!G354</f>
        <v/>
      </c>
      <c r="D245" s="3">
        <f>Работы!H354</f>
        <v/>
      </c>
      <c r="E245" s="3">
        <f>Работы!I354</f>
        <v/>
      </c>
      <c r="F245" s="3">
        <f>Работы!E354</f>
        <v/>
      </c>
    </row>
    <row r="246">
      <c r="A246" s="3">
        <f>Работы!B363</f>
        <v/>
      </c>
      <c r="B246" s="3">
        <f>Работы!C363</f>
        <v/>
      </c>
      <c r="C246" s="3">
        <f>Работы!G363</f>
        <v/>
      </c>
      <c r="D246" s="3">
        <f>Работы!H363</f>
        <v/>
      </c>
      <c r="E246" s="3">
        <f>Работы!I363</f>
        <v/>
      </c>
      <c r="F246" s="3">
        <f>Работы!E363</f>
        <v/>
      </c>
    </row>
    <row r="247">
      <c r="A247" s="3">
        <f>Работы!B364</f>
        <v/>
      </c>
      <c r="B247" s="3">
        <f>Работы!C364</f>
        <v/>
      </c>
      <c r="C247" s="3">
        <f>Работы!G364</f>
        <v/>
      </c>
      <c r="D247" s="3">
        <f>Работы!H364</f>
        <v/>
      </c>
      <c r="E247" s="3">
        <f>Работы!I364</f>
        <v/>
      </c>
      <c r="F247" s="3">
        <f>Работы!E364</f>
        <v/>
      </c>
    </row>
    <row r="248">
      <c r="A248" s="3">
        <f>Работы!B365</f>
        <v/>
      </c>
      <c r="B248" s="3">
        <f>Работы!C365</f>
        <v/>
      </c>
      <c r="C248" s="3">
        <f>Работы!G365</f>
        <v/>
      </c>
      <c r="D248" s="3">
        <f>Работы!H365</f>
        <v/>
      </c>
      <c r="E248" s="3">
        <f>Работы!I365</f>
        <v/>
      </c>
      <c r="F248" s="3">
        <f>Работы!E365</f>
        <v/>
      </c>
    </row>
    <row r="249">
      <c r="A249" s="3">
        <f>Работы!B366</f>
        <v/>
      </c>
      <c r="B249" s="3">
        <f>Работы!C366</f>
        <v/>
      </c>
      <c r="C249" s="3">
        <f>Работы!G366</f>
        <v/>
      </c>
      <c r="D249" s="3">
        <f>Работы!H366</f>
        <v/>
      </c>
      <c r="E249" s="3">
        <f>Работы!I366</f>
        <v/>
      </c>
      <c r="F249" s="3">
        <f>Работы!E366</f>
        <v/>
      </c>
    </row>
    <row r="250">
      <c r="A250" s="3">
        <f>Работы!B367</f>
        <v/>
      </c>
      <c r="B250" s="3">
        <f>Работы!C367</f>
        <v/>
      </c>
      <c r="C250" s="3">
        <f>Работы!G367</f>
        <v/>
      </c>
      <c r="D250" s="3">
        <f>Работы!H367</f>
        <v/>
      </c>
      <c r="E250" s="3">
        <f>Работы!I367</f>
        <v/>
      </c>
      <c r="F250" s="3">
        <f>Работы!E367</f>
        <v/>
      </c>
    </row>
    <row r="251">
      <c r="A251" s="3">
        <f>Работы!B368</f>
        <v/>
      </c>
      <c r="B251" s="3">
        <f>Работы!C368</f>
        <v/>
      </c>
      <c r="C251" s="3">
        <f>Работы!G368</f>
        <v/>
      </c>
      <c r="D251" s="3">
        <f>Работы!H368</f>
        <v/>
      </c>
      <c r="E251" s="3">
        <f>Работы!I368</f>
        <v/>
      </c>
      <c r="F251" s="3">
        <f>Работы!E368</f>
        <v/>
      </c>
    </row>
    <row r="252">
      <c r="A252" s="3">
        <f>Работы!B369</f>
        <v/>
      </c>
      <c r="B252" s="3">
        <f>Работы!C369</f>
        <v/>
      </c>
      <c r="C252" s="3">
        <f>Работы!G369</f>
        <v/>
      </c>
      <c r="D252" s="3">
        <f>Работы!H369</f>
        <v/>
      </c>
      <c r="E252" s="3">
        <f>Работы!I369</f>
        <v/>
      </c>
      <c r="F252" s="3">
        <f>Работы!E369</f>
        <v/>
      </c>
    </row>
    <row r="253">
      <c r="A253" s="3">
        <f>Работы!B370</f>
        <v/>
      </c>
      <c r="B253" s="3">
        <f>Работы!C370</f>
        <v/>
      </c>
      <c r="C253" s="3">
        <f>Работы!G370</f>
        <v/>
      </c>
      <c r="D253" s="3">
        <f>Работы!H370</f>
        <v/>
      </c>
      <c r="E253" s="3">
        <f>Работы!I370</f>
        <v/>
      </c>
      <c r="F253" s="3">
        <f>Работы!E370</f>
        <v/>
      </c>
    </row>
    <row r="254">
      <c r="A254" s="3">
        <f>Работы!B371</f>
        <v/>
      </c>
      <c r="B254" s="3">
        <f>Работы!C371</f>
        <v/>
      </c>
      <c r="C254" s="3">
        <f>Работы!G371</f>
        <v/>
      </c>
      <c r="D254" s="3">
        <f>Работы!H371</f>
        <v/>
      </c>
      <c r="E254" s="3">
        <f>Работы!I371</f>
        <v/>
      </c>
      <c r="F254" s="3">
        <f>Работы!E371</f>
        <v/>
      </c>
    </row>
    <row r="255">
      <c r="A255" s="3">
        <f>Работы!B372</f>
        <v/>
      </c>
      <c r="B255" s="3">
        <f>Работы!C372</f>
        <v/>
      </c>
      <c r="C255" s="3">
        <f>Работы!G372</f>
        <v/>
      </c>
      <c r="D255" s="3">
        <f>Работы!H372</f>
        <v/>
      </c>
      <c r="E255" s="3">
        <f>Работы!I372</f>
        <v/>
      </c>
      <c r="F255" s="3">
        <f>Работы!E372</f>
        <v/>
      </c>
    </row>
    <row r="256">
      <c r="A256" s="3">
        <f>Работы!B373</f>
        <v/>
      </c>
      <c r="B256" s="3">
        <f>Работы!C373</f>
        <v/>
      </c>
      <c r="C256" s="3">
        <f>Работы!G373</f>
        <v/>
      </c>
      <c r="D256" s="3">
        <f>Работы!H373</f>
        <v/>
      </c>
      <c r="E256" s="3">
        <f>Работы!I373</f>
        <v/>
      </c>
      <c r="F256" s="3">
        <f>Работы!E373</f>
        <v/>
      </c>
    </row>
    <row r="257">
      <c r="A257" s="3">
        <f>Работы!B374</f>
        <v/>
      </c>
      <c r="B257" s="3">
        <f>Работы!C374</f>
        <v/>
      </c>
      <c r="C257" s="3">
        <f>Работы!G374</f>
        <v/>
      </c>
      <c r="D257" s="3">
        <f>Работы!H374</f>
        <v/>
      </c>
      <c r="E257" s="3">
        <f>Работы!I374</f>
        <v/>
      </c>
      <c r="F257" s="3">
        <f>Работы!E374</f>
        <v/>
      </c>
    </row>
    <row r="258">
      <c r="A258" s="3">
        <f>Работы!B375</f>
        <v/>
      </c>
      <c r="B258" s="3">
        <f>Работы!C375</f>
        <v/>
      </c>
      <c r="C258" s="3">
        <f>Работы!G375</f>
        <v/>
      </c>
      <c r="D258" s="3">
        <f>Работы!H375</f>
        <v/>
      </c>
      <c r="E258" s="3">
        <f>Работы!I375</f>
        <v/>
      </c>
      <c r="F258" s="3">
        <f>Работы!E375</f>
        <v/>
      </c>
    </row>
    <row r="259">
      <c r="A259" s="3">
        <f>Работы!B376</f>
        <v/>
      </c>
      <c r="B259" s="3">
        <f>Работы!C376</f>
        <v/>
      </c>
      <c r="C259" s="3">
        <f>Работы!G376</f>
        <v/>
      </c>
      <c r="D259" s="3">
        <f>Работы!H376</f>
        <v/>
      </c>
      <c r="E259" s="3">
        <f>Работы!I376</f>
        <v/>
      </c>
      <c r="F259" s="3">
        <f>Работы!E376</f>
        <v/>
      </c>
    </row>
    <row r="260">
      <c r="A260" s="3">
        <f>Работы!B377</f>
        <v/>
      </c>
      <c r="B260" s="3">
        <f>Работы!C377</f>
        <v/>
      </c>
      <c r="C260" s="3">
        <f>Работы!G377</f>
        <v/>
      </c>
      <c r="D260" s="3">
        <f>Работы!H377</f>
        <v/>
      </c>
      <c r="E260" s="3">
        <f>Работы!I377</f>
        <v/>
      </c>
      <c r="F260" s="3">
        <f>Работы!E377</f>
        <v/>
      </c>
    </row>
    <row r="261">
      <c r="A261" s="3">
        <f>Работы!B378</f>
        <v/>
      </c>
      <c r="B261" s="3">
        <f>Работы!C378</f>
        <v/>
      </c>
      <c r="C261" s="3">
        <f>Работы!G378</f>
        <v/>
      </c>
      <c r="D261" s="3">
        <f>Работы!H378</f>
        <v/>
      </c>
      <c r="E261" s="3">
        <f>Работы!I378</f>
        <v/>
      </c>
      <c r="F261" s="3">
        <f>Работы!E378</f>
        <v/>
      </c>
    </row>
    <row r="262">
      <c r="A262" s="3">
        <f>Работы!B379</f>
        <v/>
      </c>
      <c r="B262" s="3">
        <f>Работы!C379</f>
        <v/>
      </c>
      <c r="C262" s="3">
        <f>Работы!G379</f>
        <v/>
      </c>
      <c r="D262" s="3">
        <f>Работы!H379</f>
        <v/>
      </c>
      <c r="E262" s="3">
        <f>Работы!I379</f>
        <v/>
      </c>
      <c r="F262" s="3">
        <f>Работы!E379</f>
        <v/>
      </c>
    </row>
    <row r="263">
      <c r="A263" s="3">
        <f>Работы!B380</f>
        <v/>
      </c>
      <c r="B263" s="3">
        <f>Работы!C380</f>
        <v/>
      </c>
      <c r="C263" s="3">
        <f>Работы!G380</f>
        <v/>
      </c>
      <c r="D263" s="3">
        <f>Работы!H380</f>
        <v/>
      </c>
      <c r="E263" s="3">
        <f>Работы!I380</f>
        <v/>
      </c>
      <c r="F263" s="3">
        <f>Работы!E380</f>
        <v/>
      </c>
    </row>
    <row r="264">
      <c r="A264" s="3">
        <f>Работы!B381</f>
        <v/>
      </c>
      <c r="B264" s="3">
        <f>Работы!C381</f>
        <v/>
      </c>
      <c r="C264" s="3">
        <f>Работы!G381</f>
        <v/>
      </c>
      <c r="D264" s="3">
        <f>Работы!H381</f>
        <v/>
      </c>
      <c r="E264" s="3">
        <f>Работы!I381</f>
        <v/>
      </c>
      <c r="F264" s="3">
        <f>Работы!E381</f>
        <v/>
      </c>
    </row>
    <row r="265">
      <c r="A265" s="3">
        <f>Работы!B382</f>
        <v/>
      </c>
      <c r="B265" s="3">
        <f>Работы!C382</f>
        <v/>
      </c>
      <c r="C265" s="3">
        <f>Работы!G382</f>
        <v/>
      </c>
      <c r="D265" s="3">
        <f>Работы!H382</f>
        <v/>
      </c>
      <c r="E265" s="3">
        <f>Работы!I382</f>
        <v/>
      </c>
      <c r="F265" s="3">
        <f>Работы!E382</f>
        <v/>
      </c>
    </row>
    <row r="266">
      <c r="A266" s="3">
        <f>Работы!B383</f>
        <v/>
      </c>
      <c r="B266" s="3">
        <f>Работы!C383</f>
        <v/>
      </c>
      <c r="C266" s="3">
        <f>Работы!G383</f>
        <v/>
      </c>
      <c r="D266" s="3">
        <f>Работы!H383</f>
        <v/>
      </c>
      <c r="E266" s="3">
        <f>Работы!I383</f>
        <v/>
      </c>
      <c r="F266" s="3">
        <f>Работы!E383</f>
        <v/>
      </c>
    </row>
    <row r="267">
      <c r="A267" s="3">
        <f>Работы!B384</f>
        <v/>
      </c>
      <c r="B267" s="3">
        <f>Работы!C384</f>
        <v/>
      </c>
      <c r="C267" s="3">
        <f>Работы!G384</f>
        <v/>
      </c>
      <c r="D267" s="3">
        <f>Работы!H384</f>
        <v/>
      </c>
      <c r="E267" s="3">
        <f>Работы!I384</f>
        <v/>
      </c>
      <c r="F267" s="3">
        <f>Работы!E384</f>
        <v/>
      </c>
    </row>
    <row r="268">
      <c r="A268" s="3">
        <f>Работы!B385</f>
        <v/>
      </c>
      <c r="B268" s="3">
        <f>Работы!C385</f>
        <v/>
      </c>
      <c r="C268" s="3">
        <f>Работы!G385</f>
        <v/>
      </c>
      <c r="D268" s="3">
        <f>Работы!H385</f>
        <v/>
      </c>
      <c r="E268" s="3">
        <f>Работы!I385</f>
        <v/>
      </c>
      <c r="F268" s="3">
        <f>Работы!E385</f>
        <v/>
      </c>
    </row>
    <row r="269">
      <c r="A269" s="3">
        <f>Работы!B386</f>
        <v/>
      </c>
      <c r="B269" s="3">
        <f>Работы!C386</f>
        <v/>
      </c>
      <c r="C269" s="3">
        <f>Работы!G386</f>
        <v/>
      </c>
      <c r="D269" s="3">
        <f>Работы!H386</f>
        <v/>
      </c>
      <c r="E269" s="3">
        <f>Работы!I386</f>
        <v/>
      </c>
      <c r="F269" s="3">
        <f>Работы!E386</f>
        <v/>
      </c>
    </row>
    <row r="270">
      <c r="A270" s="3">
        <f>Работы!B387</f>
        <v/>
      </c>
      <c r="B270" s="3">
        <f>Работы!C387</f>
        <v/>
      </c>
      <c r="C270" s="3">
        <f>Работы!G387</f>
        <v/>
      </c>
      <c r="D270" s="3">
        <f>Работы!H387</f>
        <v/>
      </c>
      <c r="E270" s="3">
        <f>Работы!I387</f>
        <v/>
      </c>
      <c r="F270" s="3">
        <f>Работы!E387</f>
        <v/>
      </c>
    </row>
    <row r="271">
      <c r="A271" s="3">
        <f>Работы!B388</f>
        <v/>
      </c>
      <c r="B271" s="3">
        <f>Работы!C388</f>
        <v/>
      </c>
      <c r="C271" s="3">
        <f>Работы!G388</f>
        <v/>
      </c>
      <c r="D271" s="3">
        <f>Работы!H388</f>
        <v/>
      </c>
      <c r="E271" s="3">
        <f>Работы!I388</f>
        <v/>
      </c>
      <c r="F271" s="3">
        <f>Работы!E388</f>
        <v/>
      </c>
    </row>
    <row r="272">
      <c r="A272" s="3">
        <f>Работы!B389</f>
        <v/>
      </c>
      <c r="B272" s="3">
        <f>Работы!C389</f>
        <v/>
      </c>
      <c r="C272" s="3">
        <f>Работы!G389</f>
        <v/>
      </c>
      <c r="D272" s="3">
        <f>Работы!H389</f>
        <v/>
      </c>
      <c r="E272" s="3">
        <f>Работы!I389</f>
        <v/>
      </c>
      <c r="F272" s="3">
        <f>Работы!E389</f>
        <v/>
      </c>
    </row>
    <row r="273">
      <c r="A273" s="3">
        <f>Работы!B390</f>
        <v/>
      </c>
      <c r="B273" s="3">
        <f>Работы!C390</f>
        <v/>
      </c>
      <c r="C273" s="3">
        <f>Работы!G390</f>
        <v/>
      </c>
      <c r="D273" s="3">
        <f>Работы!H390</f>
        <v/>
      </c>
      <c r="E273" s="3">
        <f>Работы!I390</f>
        <v/>
      </c>
      <c r="F273" s="3">
        <f>Работы!E390</f>
        <v/>
      </c>
    </row>
    <row r="274">
      <c r="A274" s="3">
        <f>Работы!B391</f>
        <v/>
      </c>
      <c r="B274" s="3">
        <f>Работы!C391</f>
        <v/>
      </c>
      <c r="C274" s="3">
        <f>Работы!G391</f>
        <v/>
      </c>
      <c r="D274" s="3">
        <f>Работы!H391</f>
        <v/>
      </c>
      <c r="E274" s="3">
        <f>Работы!I391</f>
        <v/>
      </c>
      <c r="F274" s="3">
        <f>Работы!E391</f>
        <v/>
      </c>
    </row>
    <row r="275">
      <c r="A275" s="3">
        <f>Работы!B392</f>
        <v/>
      </c>
      <c r="B275" s="3">
        <f>Работы!C392</f>
        <v/>
      </c>
      <c r="C275" s="3">
        <f>Работы!G392</f>
        <v/>
      </c>
      <c r="D275" s="3">
        <f>Работы!H392</f>
        <v/>
      </c>
      <c r="E275" s="3">
        <f>Работы!I392</f>
        <v/>
      </c>
      <c r="F275" s="3">
        <f>Работы!E392</f>
        <v/>
      </c>
    </row>
    <row r="276">
      <c r="A276" s="3">
        <f>Работы!B393</f>
        <v/>
      </c>
      <c r="B276" s="3">
        <f>Работы!C393</f>
        <v/>
      </c>
      <c r="C276" s="3">
        <f>Работы!G393</f>
        <v/>
      </c>
      <c r="D276" s="3">
        <f>Работы!H393</f>
        <v/>
      </c>
      <c r="E276" s="3">
        <f>Работы!I393</f>
        <v/>
      </c>
      <c r="F276" s="3">
        <f>Работы!E393</f>
        <v/>
      </c>
    </row>
    <row r="277">
      <c r="A277" s="3">
        <f>Работы!B394</f>
        <v/>
      </c>
      <c r="B277" s="3">
        <f>Работы!C394</f>
        <v/>
      </c>
      <c r="C277" s="3">
        <f>Работы!G394</f>
        <v/>
      </c>
      <c r="D277" s="3">
        <f>Работы!H394</f>
        <v/>
      </c>
      <c r="E277" s="3">
        <f>Работы!I394</f>
        <v/>
      </c>
      <c r="F277" s="3">
        <f>Работы!E394</f>
        <v/>
      </c>
    </row>
    <row r="278">
      <c r="A278" s="3">
        <f>Работы!B395</f>
        <v/>
      </c>
      <c r="B278" s="3">
        <f>Работы!C395</f>
        <v/>
      </c>
      <c r="C278" s="3">
        <f>Работы!G395</f>
        <v/>
      </c>
      <c r="D278" s="3">
        <f>Работы!H395</f>
        <v/>
      </c>
      <c r="E278" s="3">
        <f>Работы!I395</f>
        <v/>
      </c>
      <c r="F278" s="3">
        <f>Работы!E395</f>
        <v/>
      </c>
    </row>
    <row r="279">
      <c r="A279" s="3">
        <f>Работы!B396</f>
        <v/>
      </c>
      <c r="B279" s="3">
        <f>Работы!C396</f>
        <v/>
      </c>
      <c r="C279" s="3">
        <f>Работы!G396</f>
        <v/>
      </c>
      <c r="D279" s="3">
        <f>Работы!H396</f>
        <v/>
      </c>
      <c r="E279" s="3">
        <f>Работы!I396</f>
        <v/>
      </c>
      <c r="F279" s="3">
        <f>Работы!E396</f>
        <v/>
      </c>
    </row>
    <row r="280">
      <c r="A280" s="3">
        <f>Работы!B397</f>
        <v/>
      </c>
      <c r="B280" s="3">
        <f>Работы!C397</f>
        <v/>
      </c>
      <c r="C280" s="3">
        <f>Работы!G397</f>
        <v/>
      </c>
      <c r="D280" s="3">
        <f>Работы!H397</f>
        <v/>
      </c>
      <c r="E280" s="3">
        <f>Работы!I397</f>
        <v/>
      </c>
      <c r="F280" s="3">
        <f>Работы!E397</f>
        <v/>
      </c>
    </row>
    <row r="281">
      <c r="A281" s="3">
        <f>Работы!B398</f>
        <v/>
      </c>
      <c r="B281" s="3">
        <f>Работы!C398</f>
        <v/>
      </c>
      <c r="C281" s="3">
        <f>Работы!G398</f>
        <v/>
      </c>
      <c r="D281" s="3">
        <f>Работы!H398</f>
        <v/>
      </c>
      <c r="E281" s="3">
        <f>Работы!I398</f>
        <v/>
      </c>
      <c r="F281" s="3">
        <f>Работы!E398</f>
        <v/>
      </c>
    </row>
    <row r="282">
      <c r="A282" s="3">
        <f>Работы!B399</f>
        <v/>
      </c>
      <c r="B282" s="3">
        <f>Работы!C399</f>
        <v/>
      </c>
      <c r="C282" s="3">
        <f>Работы!G399</f>
        <v/>
      </c>
      <c r="D282" s="3">
        <f>Работы!H399</f>
        <v/>
      </c>
      <c r="E282" s="3">
        <f>Работы!I399</f>
        <v/>
      </c>
      <c r="F282" s="3">
        <f>Работы!E399</f>
        <v/>
      </c>
    </row>
    <row r="283">
      <c r="A283" s="3">
        <f>Работы!B400</f>
        <v/>
      </c>
      <c r="B283" s="3">
        <f>Работы!C400</f>
        <v/>
      </c>
      <c r="C283" s="3">
        <f>Работы!G400</f>
        <v/>
      </c>
      <c r="D283" s="3">
        <f>Работы!H400</f>
        <v/>
      </c>
      <c r="E283" s="3">
        <f>Работы!I400</f>
        <v/>
      </c>
      <c r="F283" s="3">
        <f>Работы!E400</f>
        <v/>
      </c>
    </row>
    <row r="284">
      <c r="A284" s="3">
        <f>Работы!B401</f>
        <v/>
      </c>
      <c r="B284" s="3">
        <f>Работы!C401</f>
        <v/>
      </c>
      <c r="C284" s="3">
        <f>Работы!G401</f>
        <v/>
      </c>
      <c r="D284" s="3">
        <f>Работы!H401</f>
        <v/>
      </c>
      <c r="E284" s="3">
        <f>Работы!I401</f>
        <v/>
      </c>
      <c r="F284" s="3">
        <f>Работы!E401</f>
        <v/>
      </c>
    </row>
    <row r="285">
      <c r="A285" s="3">
        <f>Работы!B402</f>
        <v/>
      </c>
      <c r="B285" s="3">
        <f>Работы!C402</f>
        <v/>
      </c>
      <c r="C285" s="3">
        <f>Работы!G402</f>
        <v/>
      </c>
      <c r="D285" s="3">
        <f>Работы!H402</f>
        <v/>
      </c>
      <c r="E285" s="3">
        <f>Работы!I402</f>
        <v/>
      </c>
      <c r="F285" s="3">
        <f>Работы!E402</f>
        <v/>
      </c>
    </row>
    <row r="286">
      <c r="A286" s="3">
        <f>Работы!B403</f>
        <v/>
      </c>
      <c r="B286" s="3">
        <f>Работы!C403</f>
        <v/>
      </c>
      <c r="C286" s="3">
        <f>Работы!G403</f>
        <v/>
      </c>
      <c r="D286" s="3">
        <f>Работы!H403</f>
        <v/>
      </c>
      <c r="E286" s="3">
        <f>Работы!I403</f>
        <v/>
      </c>
      <c r="F286" s="3">
        <f>Работы!E403</f>
        <v/>
      </c>
    </row>
    <row r="287">
      <c r="A287" s="3">
        <f>Работы!B404</f>
        <v/>
      </c>
      <c r="B287" s="3">
        <f>Работы!C404</f>
        <v/>
      </c>
      <c r="C287" s="3">
        <f>Работы!G404</f>
        <v/>
      </c>
      <c r="D287" s="3">
        <f>Работы!H404</f>
        <v/>
      </c>
      <c r="E287" s="3">
        <f>Работы!I404</f>
        <v/>
      </c>
      <c r="F287" s="3">
        <f>Работы!E404</f>
        <v/>
      </c>
    </row>
    <row r="288">
      <c r="A288" s="3">
        <f>Работы!B405</f>
        <v/>
      </c>
      <c r="B288" s="3">
        <f>Работы!C405</f>
        <v/>
      </c>
      <c r="C288" s="3">
        <f>Работы!G405</f>
        <v/>
      </c>
      <c r="D288" s="3">
        <f>Работы!H405</f>
        <v/>
      </c>
      <c r="E288" s="3">
        <f>Работы!I405</f>
        <v/>
      </c>
      <c r="F288" s="3">
        <f>Работы!E405</f>
        <v/>
      </c>
    </row>
    <row r="289">
      <c r="A289" s="3">
        <f>Работы!B406</f>
        <v/>
      </c>
      <c r="B289" s="3">
        <f>Работы!C406</f>
        <v/>
      </c>
      <c r="C289" s="3">
        <f>Работы!G406</f>
        <v/>
      </c>
      <c r="D289" s="3">
        <f>Работы!H406</f>
        <v/>
      </c>
      <c r="E289" s="3">
        <f>Работы!I406</f>
        <v/>
      </c>
      <c r="F289" s="3">
        <f>Работы!E406</f>
        <v/>
      </c>
    </row>
    <row r="290">
      <c r="A290" s="3">
        <f>Работы!B407</f>
        <v/>
      </c>
      <c r="B290" s="3">
        <f>Работы!C407</f>
        <v/>
      </c>
      <c r="C290" s="3">
        <f>Работы!G407</f>
        <v/>
      </c>
      <c r="D290" s="3">
        <f>Работы!H407</f>
        <v/>
      </c>
      <c r="E290" s="3">
        <f>Работы!I407</f>
        <v/>
      </c>
      <c r="F290" s="3">
        <f>Работы!E407</f>
        <v/>
      </c>
    </row>
    <row r="291">
      <c r="A291" s="3">
        <f>Работы!B408</f>
        <v/>
      </c>
      <c r="B291" s="3">
        <f>Работы!C408</f>
        <v/>
      </c>
      <c r="C291" s="3">
        <f>Работы!G408</f>
        <v/>
      </c>
      <c r="D291" s="3">
        <f>Работы!H408</f>
        <v/>
      </c>
      <c r="E291" s="3">
        <f>Работы!I408</f>
        <v/>
      </c>
      <c r="F291" s="3">
        <f>Работы!E408</f>
        <v/>
      </c>
    </row>
    <row r="292">
      <c r="A292" s="3">
        <f>Работы!B409</f>
        <v/>
      </c>
      <c r="B292" s="3">
        <f>Работы!C409</f>
        <v/>
      </c>
      <c r="C292" s="3">
        <f>Работы!G409</f>
        <v/>
      </c>
      <c r="D292" s="3">
        <f>Работы!H409</f>
        <v/>
      </c>
      <c r="E292" s="3">
        <f>Работы!I409</f>
        <v/>
      </c>
      <c r="F292" s="3">
        <f>Работы!E409</f>
        <v/>
      </c>
    </row>
    <row r="293">
      <c r="A293" s="3">
        <f>Работы!B430</f>
        <v/>
      </c>
      <c r="B293" s="3">
        <f>Работы!C430</f>
        <v/>
      </c>
      <c r="C293" s="3">
        <f>Работы!G430</f>
        <v/>
      </c>
      <c r="D293" s="3">
        <f>Работы!H430</f>
        <v/>
      </c>
      <c r="E293" s="3">
        <f>Работы!I430</f>
        <v/>
      </c>
      <c r="F293" s="3">
        <f>Работы!E430</f>
        <v/>
      </c>
    </row>
    <row r="294">
      <c r="A294" s="3">
        <f>Работы!B431</f>
        <v/>
      </c>
      <c r="B294" s="3">
        <f>Работы!C431</f>
        <v/>
      </c>
      <c r="C294" s="3">
        <f>Работы!G431</f>
        <v/>
      </c>
      <c r="D294" s="3">
        <f>Работы!H431</f>
        <v/>
      </c>
      <c r="E294" s="3">
        <f>Работы!I431</f>
        <v/>
      </c>
      <c r="F294" s="3">
        <f>Работы!E431</f>
        <v/>
      </c>
    </row>
    <row r="295">
      <c r="A295" s="3">
        <f>Работы!B432</f>
        <v/>
      </c>
      <c r="B295" s="3">
        <f>Работы!C432</f>
        <v/>
      </c>
      <c r="C295" s="3">
        <f>Работы!G432</f>
        <v/>
      </c>
      <c r="D295" s="3">
        <f>Работы!H432</f>
        <v/>
      </c>
      <c r="E295" s="3">
        <f>Работы!I432</f>
        <v/>
      </c>
      <c r="F295" s="3">
        <f>Работы!E432</f>
        <v/>
      </c>
    </row>
    <row r="296">
      <c r="A296" s="3">
        <f>Работы!B433</f>
        <v/>
      </c>
      <c r="B296" s="3">
        <f>Работы!C433</f>
        <v/>
      </c>
      <c r="C296" s="3">
        <f>Работы!G433</f>
        <v/>
      </c>
      <c r="D296" s="3">
        <f>Работы!H433</f>
        <v/>
      </c>
      <c r="E296" s="3">
        <f>Работы!I433</f>
        <v/>
      </c>
      <c r="F296" s="3">
        <f>Работы!E433</f>
        <v/>
      </c>
    </row>
    <row r="297">
      <c r="A297" s="3">
        <f>Работы!B434</f>
        <v/>
      </c>
      <c r="B297" s="3">
        <f>Работы!C434</f>
        <v/>
      </c>
      <c r="C297" s="3">
        <f>Работы!G434</f>
        <v/>
      </c>
      <c r="D297" s="3">
        <f>Работы!H434</f>
        <v/>
      </c>
      <c r="E297" s="3">
        <f>Работы!I434</f>
        <v/>
      </c>
      <c r="F297" s="3">
        <f>Работы!E434</f>
        <v/>
      </c>
    </row>
    <row r="298">
      <c r="A298" s="3">
        <f>Работы!B435</f>
        <v/>
      </c>
      <c r="B298" s="3">
        <f>Работы!C435</f>
        <v/>
      </c>
      <c r="C298" s="3">
        <f>Работы!G435</f>
        <v/>
      </c>
      <c r="D298" s="3">
        <f>Работы!H435</f>
        <v/>
      </c>
      <c r="E298" s="3">
        <f>Работы!I435</f>
        <v/>
      </c>
      <c r="F298" s="3">
        <f>Работы!E435</f>
        <v/>
      </c>
    </row>
    <row r="299">
      <c r="A299" s="3">
        <f>Работы!B436</f>
        <v/>
      </c>
      <c r="B299" s="3">
        <f>Работы!C436</f>
        <v/>
      </c>
      <c r="C299" s="3">
        <f>Работы!G436</f>
        <v/>
      </c>
      <c r="D299" s="3">
        <f>Работы!H436</f>
        <v/>
      </c>
      <c r="E299" s="3">
        <f>Работы!I436</f>
        <v/>
      </c>
      <c r="F299" s="3">
        <f>Работы!E436</f>
        <v/>
      </c>
    </row>
    <row r="300">
      <c r="A300" s="3">
        <f>Работы!B437</f>
        <v/>
      </c>
      <c r="B300" s="3">
        <f>Работы!C437</f>
        <v/>
      </c>
      <c r="C300" s="3">
        <f>Работы!G437</f>
        <v/>
      </c>
      <c r="D300" s="3">
        <f>Работы!H437</f>
        <v/>
      </c>
      <c r="E300" s="3">
        <f>Работы!I437</f>
        <v/>
      </c>
      <c r="F300" s="3">
        <f>Работы!E437</f>
        <v/>
      </c>
    </row>
    <row r="301">
      <c r="A301" s="3">
        <f>Работы!B438</f>
        <v/>
      </c>
      <c r="B301" s="3">
        <f>Работы!C438</f>
        <v/>
      </c>
      <c r="C301" s="3">
        <f>Работы!G438</f>
        <v/>
      </c>
      <c r="D301" s="3">
        <f>Работы!H438</f>
        <v/>
      </c>
      <c r="E301" s="3">
        <f>Работы!I438</f>
        <v/>
      </c>
      <c r="F301" s="3">
        <f>Работы!E438</f>
        <v/>
      </c>
    </row>
    <row r="302">
      <c r="A302" s="3">
        <f>Работы!B439</f>
        <v/>
      </c>
      <c r="B302" s="3">
        <f>Работы!C439</f>
        <v/>
      </c>
      <c r="C302" s="3">
        <f>Работы!G439</f>
        <v/>
      </c>
      <c r="D302" s="3">
        <f>Работы!H439</f>
        <v/>
      </c>
      <c r="E302" s="3">
        <f>Работы!I439</f>
        <v/>
      </c>
      <c r="F302" s="3">
        <f>Работы!E439</f>
        <v/>
      </c>
    </row>
    <row r="303">
      <c r="A303" s="3">
        <f>Работы!B440</f>
        <v/>
      </c>
      <c r="B303" s="3">
        <f>Работы!C440</f>
        <v/>
      </c>
      <c r="C303" s="3">
        <f>Работы!G440</f>
        <v/>
      </c>
      <c r="D303" s="3">
        <f>Работы!H440</f>
        <v/>
      </c>
      <c r="E303" s="3">
        <f>Работы!I440</f>
        <v/>
      </c>
      <c r="F303" s="3">
        <f>Работы!E440</f>
        <v/>
      </c>
    </row>
    <row r="304">
      <c r="A304" s="3">
        <f>Работы!B441</f>
        <v/>
      </c>
      <c r="B304" s="3">
        <f>Работы!C441</f>
        <v/>
      </c>
      <c r="C304" s="3">
        <f>Работы!G441</f>
        <v/>
      </c>
      <c r="D304" s="3">
        <f>Работы!H441</f>
        <v/>
      </c>
      <c r="E304" s="3">
        <f>Работы!I441</f>
        <v/>
      </c>
      <c r="F304" s="3">
        <f>Работы!E441</f>
        <v/>
      </c>
    </row>
    <row r="305">
      <c r="A305" s="3">
        <f>Работы!B442</f>
        <v/>
      </c>
      <c r="B305" s="3">
        <f>Работы!C442</f>
        <v/>
      </c>
      <c r="C305" s="3">
        <f>Работы!G442</f>
        <v/>
      </c>
      <c r="D305" s="3">
        <f>Работы!H442</f>
        <v/>
      </c>
      <c r="E305" s="3">
        <f>Работы!I442</f>
        <v/>
      </c>
      <c r="F305" s="3">
        <f>Работы!E442</f>
        <v/>
      </c>
    </row>
    <row r="306">
      <c r="A306" s="3">
        <f>Работы!B443</f>
        <v/>
      </c>
      <c r="B306" s="3">
        <f>Работы!C443</f>
        <v/>
      </c>
      <c r="C306" s="3">
        <f>Работы!G443</f>
        <v/>
      </c>
      <c r="D306" s="3">
        <f>Работы!H443</f>
        <v/>
      </c>
      <c r="E306" s="3">
        <f>Работы!I443</f>
        <v/>
      </c>
      <c r="F306" s="3">
        <f>Работы!E443</f>
        <v/>
      </c>
    </row>
    <row r="307">
      <c r="A307" s="3">
        <f>Работы!B444</f>
        <v/>
      </c>
      <c r="B307" s="3">
        <f>Работы!C444</f>
        <v/>
      </c>
      <c r="C307" s="3">
        <f>Работы!G444</f>
        <v/>
      </c>
      <c r="D307" s="3">
        <f>Работы!H444</f>
        <v/>
      </c>
      <c r="E307" s="3">
        <f>Работы!I444</f>
        <v/>
      </c>
      <c r="F307" s="3">
        <f>Работы!E444</f>
        <v/>
      </c>
    </row>
    <row r="308">
      <c r="A308" s="3">
        <f>Работы!B445</f>
        <v/>
      </c>
      <c r="B308" s="3">
        <f>Работы!C445</f>
        <v/>
      </c>
      <c r="C308" s="3">
        <f>Работы!G445</f>
        <v/>
      </c>
      <c r="D308" s="3">
        <f>Работы!H445</f>
        <v/>
      </c>
      <c r="E308" s="3">
        <f>Работы!I445</f>
        <v/>
      </c>
      <c r="F308" s="3">
        <f>Работы!E445</f>
        <v/>
      </c>
    </row>
    <row r="309">
      <c r="A309" s="3">
        <f>Работы!B446</f>
        <v/>
      </c>
      <c r="B309" s="3">
        <f>Работы!C446</f>
        <v/>
      </c>
      <c r="C309" s="3">
        <f>Работы!G446</f>
        <v/>
      </c>
      <c r="D309" s="3">
        <f>Работы!H446</f>
        <v/>
      </c>
      <c r="E309" s="3">
        <f>Работы!I446</f>
        <v/>
      </c>
      <c r="F309" s="3">
        <f>Работы!E446</f>
        <v/>
      </c>
    </row>
    <row r="310">
      <c r="A310" s="3">
        <f>Работы!B447</f>
        <v/>
      </c>
      <c r="B310" s="3">
        <f>Работы!C447</f>
        <v/>
      </c>
      <c r="C310" s="3">
        <f>Работы!G447</f>
        <v/>
      </c>
      <c r="D310" s="3">
        <f>Работы!H447</f>
        <v/>
      </c>
      <c r="E310" s="3">
        <f>Работы!I447</f>
        <v/>
      </c>
      <c r="F310" s="3">
        <f>Работы!E447</f>
        <v/>
      </c>
    </row>
    <row r="311">
      <c r="A311" s="3">
        <f>Работы!B448</f>
        <v/>
      </c>
      <c r="B311" s="3">
        <f>Работы!C448</f>
        <v/>
      </c>
      <c r="C311" s="3">
        <f>Работы!G448</f>
        <v/>
      </c>
      <c r="D311" s="3">
        <f>Работы!H448</f>
        <v/>
      </c>
      <c r="E311" s="3">
        <f>Работы!I448</f>
        <v/>
      </c>
      <c r="F311" s="3">
        <f>Работы!E448</f>
        <v/>
      </c>
    </row>
    <row r="312">
      <c r="A312" s="3">
        <f>Работы!B449</f>
        <v/>
      </c>
      <c r="B312" s="3">
        <f>Работы!C449</f>
        <v/>
      </c>
      <c r="C312" s="3">
        <f>Работы!G449</f>
        <v/>
      </c>
      <c r="D312" s="3">
        <f>Работы!H449</f>
        <v/>
      </c>
      <c r="E312" s="3">
        <f>Работы!I449</f>
        <v/>
      </c>
      <c r="F312" s="3">
        <f>Работы!E449</f>
        <v/>
      </c>
    </row>
    <row r="313">
      <c r="A313" s="3">
        <f>Работы!B450</f>
        <v/>
      </c>
      <c r="B313" s="3">
        <f>Работы!C450</f>
        <v/>
      </c>
      <c r="C313" s="3">
        <f>Работы!G450</f>
        <v/>
      </c>
      <c r="D313" s="3">
        <f>Работы!H450</f>
        <v/>
      </c>
      <c r="E313" s="3">
        <f>Работы!I450</f>
        <v/>
      </c>
      <c r="F313" s="3">
        <f>Работы!E450</f>
        <v/>
      </c>
    </row>
    <row r="314">
      <c r="A314" s="3">
        <f>Работы!B451</f>
        <v/>
      </c>
      <c r="B314" s="3">
        <f>Работы!C451</f>
        <v/>
      </c>
      <c r="C314" s="3">
        <f>Работы!G451</f>
        <v/>
      </c>
      <c r="D314" s="3">
        <f>Работы!H451</f>
        <v/>
      </c>
      <c r="E314" s="3">
        <f>Работы!I451</f>
        <v/>
      </c>
      <c r="F314" s="3">
        <f>Работы!E451</f>
        <v/>
      </c>
    </row>
    <row r="315">
      <c r="A315" s="3">
        <f>Работы!B452</f>
        <v/>
      </c>
      <c r="B315" s="3">
        <f>Работы!C452</f>
        <v/>
      </c>
      <c r="C315" s="3">
        <f>Работы!G452</f>
        <v/>
      </c>
      <c r="D315" s="3">
        <f>Работы!H452</f>
        <v/>
      </c>
      <c r="E315" s="3">
        <f>Работы!I452</f>
        <v/>
      </c>
      <c r="F315" s="3">
        <f>Работы!E452</f>
        <v/>
      </c>
    </row>
    <row r="316">
      <c r="A316" s="3">
        <f>Работы!B453</f>
        <v/>
      </c>
      <c r="B316" s="3">
        <f>Работы!C453</f>
        <v/>
      </c>
      <c r="C316" s="3">
        <f>Работы!G453</f>
        <v/>
      </c>
      <c r="D316" s="3">
        <f>Работы!H453</f>
        <v/>
      </c>
      <c r="E316" s="3">
        <f>Работы!I453</f>
        <v/>
      </c>
      <c r="F316" s="3">
        <f>Работы!E453</f>
        <v/>
      </c>
    </row>
    <row r="317">
      <c r="A317" s="3">
        <f>Работы!B454</f>
        <v/>
      </c>
      <c r="B317" s="3">
        <f>Работы!C454</f>
        <v/>
      </c>
      <c r="C317" s="3">
        <f>Работы!G454</f>
        <v/>
      </c>
      <c r="D317" s="3">
        <f>Работы!H454</f>
        <v/>
      </c>
      <c r="E317" s="3">
        <f>Работы!I454</f>
        <v/>
      </c>
      <c r="F317" s="3">
        <f>Работы!E454</f>
        <v/>
      </c>
    </row>
    <row r="318">
      <c r="A318" s="3">
        <f>Работы!B455</f>
        <v/>
      </c>
      <c r="B318" s="3">
        <f>Работы!C455</f>
        <v/>
      </c>
      <c r="C318" s="3">
        <f>Работы!G455</f>
        <v/>
      </c>
      <c r="D318" s="3">
        <f>Работы!H455</f>
        <v/>
      </c>
      <c r="E318" s="3">
        <f>Работы!I455</f>
        <v/>
      </c>
      <c r="F318" s="3">
        <f>Работы!E455</f>
        <v/>
      </c>
    </row>
    <row r="319">
      <c r="A319" s="3">
        <f>Работы!B456</f>
        <v/>
      </c>
      <c r="B319" s="3">
        <f>Работы!C456</f>
        <v/>
      </c>
      <c r="C319" s="3">
        <f>Работы!G456</f>
        <v/>
      </c>
      <c r="D319" s="3">
        <f>Работы!H456</f>
        <v/>
      </c>
      <c r="E319" s="3">
        <f>Работы!I456</f>
        <v/>
      </c>
      <c r="F319" s="3">
        <f>Работы!E456</f>
        <v/>
      </c>
    </row>
    <row r="320">
      <c r="A320" s="3">
        <f>Работы!B457</f>
        <v/>
      </c>
      <c r="B320" s="3">
        <f>Работы!C457</f>
        <v/>
      </c>
      <c r="C320" s="3">
        <f>Работы!G457</f>
        <v/>
      </c>
      <c r="D320" s="3">
        <f>Работы!H457</f>
        <v/>
      </c>
      <c r="E320" s="3">
        <f>Работы!I457</f>
        <v/>
      </c>
      <c r="F320" s="3">
        <f>Работы!E457</f>
        <v/>
      </c>
    </row>
    <row r="321">
      <c r="A321" s="3">
        <f>Работы!B458</f>
        <v/>
      </c>
      <c r="B321" s="3">
        <f>Работы!C458</f>
        <v/>
      </c>
      <c r="C321" s="3">
        <f>Работы!G458</f>
        <v/>
      </c>
      <c r="D321" s="3">
        <f>Работы!H458</f>
        <v/>
      </c>
      <c r="E321" s="3">
        <f>Работы!I458</f>
        <v/>
      </c>
      <c r="F321" s="3">
        <f>Работы!E458</f>
        <v/>
      </c>
    </row>
    <row r="322">
      <c r="A322" s="3">
        <f>Работы!B459</f>
        <v/>
      </c>
      <c r="B322" s="3">
        <f>Работы!C459</f>
        <v/>
      </c>
      <c r="C322" s="3">
        <f>Работы!G459</f>
        <v/>
      </c>
      <c r="D322" s="3">
        <f>Работы!H459</f>
        <v/>
      </c>
      <c r="E322" s="3">
        <f>Работы!I459</f>
        <v/>
      </c>
      <c r="F322" s="3">
        <f>Работы!E459</f>
        <v/>
      </c>
    </row>
    <row r="323">
      <c r="A323" s="3">
        <f>Работы!B460</f>
        <v/>
      </c>
      <c r="B323" s="3">
        <f>Работы!C460</f>
        <v/>
      </c>
      <c r="C323" s="3">
        <f>Работы!G460</f>
        <v/>
      </c>
      <c r="D323" s="3">
        <f>Работы!H460</f>
        <v/>
      </c>
      <c r="E323" s="3">
        <f>Работы!I460</f>
        <v/>
      </c>
      <c r="F323" s="3">
        <f>Работы!E460</f>
        <v/>
      </c>
    </row>
    <row r="324">
      <c r="A324" s="3">
        <f>Работы!B461</f>
        <v/>
      </c>
      <c r="B324" s="3">
        <f>Работы!C461</f>
        <v/>
      </c>
      <c r="C324" s="3">
        <f>Работы!G461</f>
        <v/>
      </c>
      <c r="D324" s="3">
        <f>Работы!H461</f>
        <v/>
      </c>
      <c r="E324" s="3">
        <f>Работы!I461</f>
        <v/>
      </c>
      <c r="F324" s="3">
        <f>Работы!E461</f>
        <v/>
      </c>
    </row>
    <row r="325">
      <c r="A325" s="3">
        <f>Работы!B462</f>
        <v/>
      </c>
      <c r="B325" s="3">
        <f>Работы!C462</f>
        <v/>
      </c>
      <c r="C325" s="3">
        <f>Работы!G462</f>
        <v/>
      </c>
      <c r="D325" s="3">
        <f>Работы!H462</f>
        <v/>
      </c>
      <c r="E325" s="3">
        <f>Работы!I462</f>
        <v/>
      </c>
      <c r="F325" s="3">
        <f>Работы!E462</f>
        <v/>
      </c>
    </row>
    <row r="326">
      <c r="A326" s="3">
        <f>Работы!B463</f>
        <v/>
      </c>
      <c r="B326" s="3">
        <f>Работы!C463</f>
        <v/>
      </c>
      <c r="C326" s="3">
        <f>Работы!G463</f>
        <v/>
      </c>
      <c r="D326" s="3">
        <f>Работы!H463</f>
        <v/>
      </c>
      <c r="E326" s="3">
        <f>Работы!I463</f>
        <v/>
      </c>
      <c r="F326" s="3">
        <f>Работы!E463</f>
        <v/>
      </c>
    </row>
    <row r="327">
      <c r="A327" s="3">
        <f>Работы!B464</f>
        <v/>
      </c>
      <c r="B327" s="3">
        <f>Работы!C464</f>
        <v/>
      </c>
      <c r="C327" s="3">
        <f>Работы!G464</f>
        <v/>
      </c>
      <c r="D327" s="3">
        <f>Работы!H464</f>
        <v/>
      </c>
      <c r="E327" s="3">
        <f>Работы!I464</f>
        <v/>
      </c>
      <c r="F327" s="3">
        <f>Работы!E464</f>
        <v/>
      </c>
    </row>
    <row r="328">
      <c r="A328" s="3">
        <f>Работы!B465</f>
        <v/>
      </c>
      <c r="B328" s="3">
        <f>Работы!C465</f>
        <v/>
      </c>
      <c r="C328" s="3">
        <f>Работы!G465</f>
        <v/>
      </c>
      <c r="D328" s="3">
        <f>Работы!H465</f>
        <v/>
      </c>
      <c r="E328" s="3">
        <f>Работы!I465</f>
        <v/>
      </c>
      <c r="F328" s="3">
        <f>Работы!E465</f>
        <v/>
      </c>
    </row>
    <row r="329">
      <c r="A329" s="3">
        <f>Работы!B466</f>
        <v/>
      </c>
      <c r="B329" s="3">
        <f>Работы!C466</f>
        <v/>
      </c>
      <c r="C329" s="3">
        <f>Работы!G466</f>
        <v/>
      </c>
      <c r="D329" s="3">
        <f>Работы!H466</f>
        <v/>
      </c>
      <c r="E329" s="3">
        <f>Работы!I466</f>
        <v/>
      </c>
      <c r="F329" s="3">
        <f>Работы!E466</f>
        <v/>
      </c>
    </row>
    <row r="330">
      <c r="A330" s="3">
        <f>Работы!B468</f>
        <v/>
      </c>
      <c r="B330" s="3">
        <f>Работы!C468</f>
        <v/>
      </c>
      <c r="C330" s="3">
        <f>Работы!G468</f>
        <v/>
      </c>
      <c r="D330" s="3">
        <f>Работы!H468</f>
        <v/>
      </c>
      <c r="E330" s="3">
        <f>Работы!I468</f>
        <v/>
      </c>
      <c r="F330" s="3">
        <f>Работы!E468</f>
        <v/>
      </c>
    </row>
    <row r="331">
      <c r="A331" s="3">
        <f>Работы!B469</f>
        <v/>
      </c>
      <c r="B331" s="3">
        <f>Работы!C469</f>
        <v/>
      </c>
      <c r="C331" s="3">
        <f>Работы!G469</f>
        <v/>
      </c>
      <c r="D331" s="3">
        <f>Работы!H469</f>
        <v/>
      </c>
      <c r="E331" s="3">
        <f>Работы!I469</f>
        <v/>
      </c>
      <c r="F331" s="3">
        <f>Работы!E469</f>
        <v/>
      </c>
    </row>
    <row r="332">
      <c r="A332" s="3">
        <f>Работы!B470</f>
        <v/>
      </c>
      <c r="B332" s="3">
        <f>Работы!C470</f>
        <v/>
      </c>
      <c r="C332" s="3">
        <f>Работы!G470</f>
        <v/>
      </c>
      <c r="D332" s="3">
        <f>Работы!H470</f>
        <v/>
      </c>
      <c r="E332" s="3">
        <f>Работы!I470</f>
        <v/>
      </c>
      <c r="F332" s="3">
        <f>Работы!E470</f>
        <v/>
      </c>
    </row>
    <row r="333">
      <c r="A333" s="3">
        <f>Работы!B471</f>
        <v/>
      </c>
      <c r="B333" s="3">
        <f>Работы!C471</f>
        <v/>
      </c>
      <c r="C333" s="3">
        <f>Работы!G471</f>
        <v/>
      </c>
      <c r="D333" s="3">
        <f>Работы!H471</f>
        <v/>
      </c>
      <c r="E333" s="3">
        <f>Работы!I471</f>
        <v/>
      </c>
      <c r="F333" s="3">
        <f>Работы!E471</f>
        <v/>
      </c>
    </row>
    <row r="334">
      <c r="A334" s="3">
        <f>Работы!B472</f>
        <v/>
      </c>
      <c r="B334" s="3">
        <f>Работы!C472</f>
        <v/>
      </c>
      <c r="C334" s="3">
        <f>Работы!G472</f>
        <v/>
      </c>
      <c r="D334" s="3">
        <f>Работы!H472</f>
        <v/>
      </c>
      <c r="E334" s="3">
        <f>Работы!I472</f>
        <v/>
      </c>
      <c r="F334" s="3">
        <f>Работы!E472</f>
        <v/>
      </c>
    </row>
    <row r="335">
      <c r="A335" s="3">
        <f>Работы!B473</f>
        <v/>
      </c>
      <c r="B335" s="3">
        <f>Работы!C473</f>
        <v/>
      </c>
      <c r="C335" s="3">
        <f>Работы!G473</f>
        <v/>
      </c>
      <c r="D335" s="3">
        <f>Работы!H473</f>
        <v/>
      </c>
      <c r="E335" s="3">
        <f>Работы!I473</f>
        <v/>
      </c>
      <c r="F335" s="3">
        <f>Работы!E473</f>
        <v/>
      </c>
    </row>
    <row r="336">
      <c r="A336" s="3">
        <f>Работы!B474</f>
        <v/>
      </c>
      <c r="B336" s="3">
        <f>Работы!C474</f>
        <v/>
      </c>
      <c r="C336" s="3">
        <f>Работы!G474</f>
        <v/>
      </c>
      <c r="D336" s="3">
        <f>Работы!H474</f>
        <v/>
      </c>
      <c r="E336" s="3">
        <f>Работы!I474</f>
        <v/>
      </c>
      <c r="F336" s="3">
        <f>Работы!E474</f>
        <v/>
      </c>
    </row>
    <row r="337">
      <c r="A337" s="3">
        <f>Работы!B475</f>
        <v/>
      </c>
      <c r="B337" s="3">
        <f>Работы!C475</f>
        <v/>
      </c>
      <c r="C337" s="3">
        <f>Работы!G475</f>
        <v/>
      </c>
      <c r="D337" s="3">
        <f>Работы!H475</f>
        <v/>
      </c>
      <c r="E337" s="3">
        <f>Работы!I475</f>
        <v/>
      </c>
      <c r="F337" s="3">
        <f>Работы!E475</f>
        <v/>
      </c>
    </row>
    <row r="338">
      <c r="A338" s="3">
        <f>Работы!B476</f>
        <v/>
      </c>
      <c r="B338" s="3">
        <f>Работы!C476</f>
        <v/>
      </c>
      <c r="C338" s="3">
        <f>Работы!G476</f>
        <v/>
      </c>
      <c r="D338" s="3">
        <f>Работы!H476</f>
        <v/>
      </c>
      <c r="E338" s="3">
        <f>Работы!I476</f>
        <v/>
      </c>
      <c r="F338" s="3">
        <f>Работы!E476</f>
        <v/>
      </c>
    </row>
    <row r="339">
      <c r="A339" s="3">
        <f>Работы!B477</f>
        <v/>
      </c>
      <c r="B339" s="3">
        <f>Работы!C477</f>
        <v/>
      </c>
      <c r="C339" s="3">
        <f>Работы!G477</f>
        <v/>
      </c>
      <c r="D339" s="3">
        <f>Работы!H477</f>
        <v/>
      </c>
      <c r="E339" s="3">
        <f>Работы!I477</f>
        <v/>
      </c>
      <c r="F339" s="3">
        <f>Работы!E477</f>
        <v/>
      </c>
    </row>
    <row r="340">
      <c r="A340" s="3">
        <f>Работы!B478</f>
        <v/>
      </c>
      <c r="B340" s="3">
        <f>Работы!C478</f>
        <v/>
      </c>
      <c r="C340" s="3">
        <f>Работы!G478</f>
        <v/>
      </c>
      <c r="D340" s="3">
        <f>Работы!H478</f>
        <v/>
      </c>
      <c r="E340" s="3">
        <f>Работы!I478</f>
        <v/>
      </c>
      <c r="F340" s="3">
        <f>Работы!E478</f>
        <v/>
      </c>
    </row>
    <row r="341">
      <c r="A341" s="3">
        <f>Работы!B479</f>
        <v/>
      </c>
      <c r="B341" s="3">
        <f>Работы!C479</f>
        <v/>
      </c>
      <c r="C341" s="3">
        <f>Работы!G479</f>
        <v/>
      </c>
      <c r="D341" s="3">
        <f>Работы!H479</f>
        <v/>
      </c>
      <c r="E341" s="3">
        <f>Работы!I479</f>
        <v/>
      </c>
      <c r="F341" s="3">
        <f>Работы!E479</f>
        <v/>
      </c>
    </row>
    <row r="342">
      <c r="A342" s="3">
        <f>Работы!B480</f>
        <v/>
      </c>
      <c r="B342" s="3">
        <f>Работы!C480</f>
        <v/>
      </c>
      <c r="C342" s="3">
        <f>Работы!G480</f>
        <v/>
      </c>
      <c r="D342" s="3">
        <f>Работы!H480</f>
        <v/>
      </c>
      <c r="E342" s="3">
        <f>Работы!I480</f>
        <v/>
      </c>
      <c r="F342" s="3">
        <f>Работы!E480</f>
        <v/>
      </c>
    </row>
    <row r="343">
      <c r="A343" s="3">
        <f>Работы!B481</f>
        <v/>
      </c>
      <c r="B343" s="3">
        <f>Работы!C481</f>
        <v/>
      </c>
      <c r="C343" s="3">
        <f>Работы!G481</f>
        <v/>
      </c>
      <c r="D343" s="3">
        <f>Работы!H481</f>
        <v/>
      </c>
      <c r="E343" s="3">
        <f>Работы!I481</f>
        <v/>
      </c>
      <c r="F343" s="3">
        <f>Работы!E481</f>
        <v/>
      </c>
    </row>
    <row r="344">
      <c r="A344" s="3">
        <f>Работы!B482</f>
        <v/>
      </c>
      <c r="B344" s="3">
        <f>Работы!C482</f>
        <v/>
      </c>
      <c r="C344" s="3">
        <f>Работы!G482</f>
        <v/>
      </c>
      <c r="D344" s="3">
        <f>Работы!H482</f>
        <v/>
      </c>
      <c r="E344" s="3">
        <f>Работы!I482</f>
        <v/>
      </c>
      <c r="F344" s="3">
        <f>Работы!E482</f>
        <v/>
      </c>
    </row>
    <row r="345">
      <c r="A345" s="3">
        <f>Работы!B483</f>
        <v/>
      </c>
      <c r="B345" s="3">
        <f>Работы!C483</f>
        <v/>
      </c>
      <c r="C345" s="3">
        <f>Работы!G483</f>
        <v/>
      </c>
      <c r="D345" s="3">
        <f>Работы!H483</f>
        <v/>
      </c>
      <c r="E345" s="3">
        <f>Работы!I483</f>
        <v/>
      </c>
      <c r="F345" s="3">
        <f>Работы!E483</f>
        <v/>
      </c>
    </row>
    <row r="346">
      <c r="A346" s="3">
        <f>Работы!B484</f>
        <v/>
      </c>
      <c r="B346" s="3">
        <f>Работы!C484</f>
        <v/>
      </c>
      <c r="C346" s="3">
        <f>Работы!G484</f>
        <v/>
      </c>
      <c r="D346" s="3">
        <f>Работы!H484</f>
        <v/>
      </c>
      <c r="E346" s="3">
        <f>Работы!I484</f>
        <v/>
      </c>
      <c r="F346" s="3">
        <f>Работы!E484</f>
        <v/>
      </c>
    </row>
    <row r="347">
      <c r="A347" s="3">
        <f>Работы!B485</f>
        <v/>
      </c>
      <c r="B347" s="3">
        <f>Работы!C485</f>
        <v/>
      </c>
      <c r="C347" s="3">
        <f>Работы!G485</f>
        <v/>
      </c>
      <c r="D347" s="3">
        <f>Работы!H485</f>
        <v/>
      </c>
      <c r="E347" s="3">
        <f>Работы!I485</f>
        <v/>
      </c>
      <c r="F347" s="3">
        <f>Работы!E485</f>
        <v/>
      </c>
    </row>
    <row r="348">
      <c r="A348" s="3">
        <f>Работы!B486</f>
        <v/>
      </c>
      <c r="B348" s="3">
        <f>Работы!C486</f>
        <v/>
      </c>
      <c r="C348" s="3">
        <f>Работы!G486</f>
        <v/>
      </c>
      <c r="D348" s="3">
        <f>Работы!H486</f>
        <v/>
      </c>
      <c r="E348" s="3">
        <f>Работы!I486</f>
        <v/>
      </c>
      <c r="F348" s="3">
        <f>Работы!E486</f>
        <v/>
      </c>
    </row>
    <row r="349">
      <c r="A349" s="3">
        <f>Работы!B487</f>
        <v/>
      </c>
      <c r="B349" s="3">
        <f>Работы!C487</f>
        <v/>
      </c>
      <c r="C349" s="3">
        <f>Работы!G487</f>
        <v/>
      </c>
      <c r="D349" s="3">
        <f>Работы!H487</f>
        <v/>
      </c>
      <c r="E349" s="3">
        <f>Работы!I487</f>
        <v/>
      </c>
      <c r="F349" s="3">
        <f>Работы!E487</f>
        <v/>
      </c>
    </row>
    <row r="350">
      <c r="A350" s="3">
        <f>Работы!B492</f>
        <v/>
      </c>
      <c r="B350" s="3">
        <f>Работы!C492</f>
        <v/>
      </c>
      <c r="C350" s="3">
        <f>Работы!G492</f>
        <v/>
      </c>
      <c r="D350" s="3">
        <f>Работы!H492</f>
        <v/>
      </c>
      <c r="E350" s="3">
        <f>Работы!I492</f>
        <v/>
      </c>
      <c r="F350" s="3">
        <f>Работы!E492</f>
        <v/>
      </c>
    </row>
    <row r="351">
      <c r="A351" s="3">
        <f>Работы!B497</f>
        <v/>
      </c>
      <c r="B351" s="3">
        <f>Работы!C497</f>
        <v/>
      </c>
      <c r="C351" s="3">
        <f>Работы!G497</f>
        <v/>
      </c>
      <c r="D351" s="3">
        <f>Работы!H497</f>
        <v/>
      </c>
      <c r="E351" s="3">
        <f>Работы!I497</f>
        <v/>
      </c>
      <c r="F351" s="3">
        <f>Работы!E497</f>
        <v/>
      </c>
    </row>
    <row r="352">
      <c r="A352" s="3">
        <f>Работы!B498</f>
        <v/>
      </c>
      <c r="B352" s="3">
        <f>Работы!C498</f>
        <v/>
      </c>
      <c r="C352" s="3">
        <f>Работы!G498</f>
        <v/>
      </c>
      <c r="D352" s="3">
        <f>Работы!H498</f>
        <v/>
      </c>
      <c r="E352" s="3">
        <f>Работы!I498</f>
        <v/>
      </c>
      <c r="F352" s="3">
        <f>Работы!E498</f>
        <v/>
      </c>
    </row>
    <row r="353">
      <c r="A353" s="3">
        <f>Работы!B499</f>
        <v/>
      </c>
      <c r="B353" s="3">
        <f>Работы!C499</f>
        <v/>
      </c>
      <c r="C353" s="3">
        <f>Работы!G499</f>
        <v/>
      </c>
      <c r="D353" s="3">
        <f>Работы!H499</f>
        <v/>
      </c>
      <c r="E353" s="3">
        <f>Работы!I499</f>
        <v/>
      </c>
      <c r="F353" s="3">
        <f>Работы!E499</f>
        <v/>
      </c>
    </row>
    <row r="354">
      <c r="A354" s="3">
        <f>Работы!B500</f>
        <v/>
      </c>
      <c r="B354" s="3">
        <f>Работы!C500</f>
        <v/>
      </c>
      <c r="C354" s="3">
        <f>Работы!G500</f>
        <v/>
      </c>
      <c r="D354" s="3">
        <f>Работы!H500</f>
        <v/>
      </c>
      <c r="E354" s="3">
        <f>Работы!I500</f>
        <v/>
      </c>
      <c r="F354" s="3">
        <f>Работы!E500</f>
        <v/>
      </c>
    </row>
    <row r="355">
      <c r="A355" s="3">
        <f>Работы!B501</f>
        <v/>
      </c>
      <c r="B355" s="3">
        <f>Работы!C501</f>
        <v/>
      </c>
      <c r="C355" s="3">
        <f>Работы!G501</f>
        <v/>
      </c>
      <c r="D355" s="3">
        <f>Работы!H501</f>
        <v/>
      </c>
      <c r="E355" s="3">
        <f>Работы!I501</f>
        <v/>
      </c>
      <c r="F355" s="3">
        <f>Работы!E501</f>
        <v/>
      </c>
    </row>
    <row r="356">
      <c r="A356" s="3">
        <f>Работы!B502</f>
        <v/>
      </c>
      <c r="B356" s="3">
        <f>Работы!C502</f>
        <v/>
      </c>
      <c r="C356" s="3">
        <f>Работы!G502</f>
        <v/>
      </c>
      <c r="D356" s="3">
        <f>Работы!H502</f>
        <v/>
      </c>
      <c r="E356" s="3">
        <f>Работы!I502</f>
        <v/>
      </c>
      <c r="F356" s="3">
        <f>Работы!E502</f>
        <v/>
      </c>
    </row>
    <row r="357">
      <c r="A357" s="3">
        <f>Работы!B503</f>
        <v/>
      </c>
      <c r="B357" s="3">
        <f>Работы!C503</f>
        <v/>
      </c>
      <c r="C357" s="3">
        <f>Работы!G503</f>
        <v/>
      </c>
      <c r="D357" s="3">
        <f>Работы!H503</f>
        <v/>
      </c>
      <c r="E357" s="3">
        <f>Работы!I503</f>
        <v/>
      </c>
      <c r="F357" s="3">
        <f>Работы!E503</f>
        <v/>
      </c>
    </row>
    <row r="358">
      <c r="A358" s="3">
        <f>Работы!B504</f>
        <v/>
      </c>
      <c r="B358" s="3">
        <f>Работы!C504</f>
        <v/>
      </c>
      <c r="C358" s="3">
        <f>Работы!G504</f>
        <v/>
      </c>
      <c r="D358" s="3">
        <f>Работы!H504</f>
        <v/>
      </c>
      <c r="E358" s="3">
        <f>Работы!I504</f>
        <v/>
      </c>
      <c r="F358" s="3">
        <f>Работы!E504</f>
        <v/>
      </c>
    </row>
    <row r="359">
      <c r="A359" s="3">
        <f>Работы!B505</f>
        <v/>
      </c>
      <c r="B359" s="3">
        <f>Работы!C505</f>
        <v/>
      </c>
      <c r="C359" s="3">
        <f>Работы!G505</f>
        <v/>
      </c>
      <c r="D359" s="3">
        <f>Работы!H505</f>
        <v/>
      </c>
      <c r="E359" s="3">
        <f>Работы!I505</f>
        <v/>
      </c>
      <c r="F359" s="3">
        <f>Работы!E505</f>
        <v/>
      </c>
    </row>
    <row r="360">
      <c r="A360" s="3">
        <f>Работы!B506</f>
        <v/>
      </c>
      <c r="B360" s="3">
        <f>Работы!C506</f>
        <v/>
      </c>
      <c r="C360" s="3">
        <f>Работы!G506</f>
        <v/>
      </c>
      <c r="D360" s="3">
        <f>Работы!H506</f>
        <v/>
      </c>
      <c r="E360" s="3">
        <f>Работы!I506</f>
        <v/>
      </c>
      <c r="F360" s="3">
        <f>Работы!E506</f>
        <v/>
      </c>
    </row>
    <row r="361">
      <c r="A361" s="3">
        <f>Работы!B507</f>
        <v/>
      </c>
      <c r="B361" s="3">
        <f>Работы!C507</f>
        <v/>
      </c>
      <c r="C361" s="3">
        <f>Работы!G507</f>
        <v/>
      </c>
      <c r="D361" s="3">
        <f>Работы!H507</f>
        <v/>
      </c>
      <c r="E361" s="3">
        <f>Работы!I507</f>
        <v/>
      </c>
      <c r="F361" s="3">
        <f>Работы!E507</f>
        <v/>
      </c>
    </row>
    <row r="362">
      <c r="A362" s="3">
        <f>Работы!B509</f>
        <v/>
      </c>
      <c r="B362" s="3">
        <f>Работы!C509</f>
        <v/>
      </c>
      <c r="C362" s="3">
        <f>Работы!G509</f>
        <v/>
      </c>
      <c r="D362" s="3">
        <f>Работы!H509</f>
        <v/>
      </c>
      <c r="E362" s="3">
        <f>Работы!I509</f>
        <v/>
      </c>
      <c r="F362" s="3">
        <f>Работы!E509</f>
        <v/>
      </c>
    </row>
    <row r="363">
      <c r="A363" s="3">
        <f>Работы!B510</f>
        <v/>
      </c>
      <c r="B363" s="3">
        <f>Работы!C510</f>
        <v/>
      </c>
      <c r="C363" s="3">
        <f>Работы!G510</f>
        <v/>
      </c>
      <c r="D363" s="3">
        <f>Работы!H510</f>
        <v/>
      </c>
      <c r="E363" s="3">
        <f>Работы!I510</f>
        <v/>
      </c>
      <c r="F363" s="3">
        <f>Работы!E510</f>
        <v/>
      </c>
    </row>
    <row r="364">
      <c r="A364" s="3">
        <f>Работы!B511</f>
        <v/>
      </c>
      <c r="B364" s="3">
        <f>Работы!C511</f>
        <v/>
      </c>
      <c r="C364" s="3">
        <f>Работы!G511</f>
        <v/>
      </c>
      <c r="D364" s="3">
        <f>Работы!H511</f>
        <v/>
      </c>
      <c r="E364" s="3">
        <f>Работы!I511</f>
        <v/>
      </c>
      <c r="F364" s="3">
        <f>Работы!E511</f>
        <v/>
      </c>
    </row>
    <row r="365">
      <c r="A365" s="3">
        <f>Работы!B512</f>
        <v/>
      </c>
      <c r="B365" s="3">
        <f>Работы!C512</f>
        <v/>
      </c>
      <c r="C365" s="3">
        <f>Работы!G512</f>
        <v/>
      </c>
      <c r="D365" s="3">
        <f>Работы!H512</f>
        <v/>
      </c>
      <c r="E365" s="3">
        <f>Работы!I512</f>
        <v/>
      </c>
      <c r="F365" s="3">
        <f>Работы!E512</f>
        <v/>
      </c>
    </row>
    <row r="366">
      <c r="A366" s="3">
        <f>Работы!B513</f>
        <v/>
      </c>
      <c r="B366" s="3">
        <f>Работы!C513</f>
        <v/>
      </c>
      <c r="C366" s="3">
        <f>Работы!G513</f>
        <v/>
      </c>
      <c r="D366" s="3">
        <f>Работы!H513</f>
        <v/>
      </c>
      <c r="E366" s="3">
        <f>Работы!I513</f>
        <v/>
      </c>
      <c r="F366" s="3">
        <f>Работы!E513</f>
        <v/>
      </c>
    </row>
    <row r="367">
      <c r="A367" s="3">
        <f>Работы!B514</f>
        <v/>
      </c>
      <c r="B367" s="3">
        <f>Работы!C514</f>
        <v/>
      </c>
      <c r="C367" s="3">
        <f>Работы!G514</f>
        <v/>
      </c>
      <c r="D367" s="3">
        <f>Работы!H514</f>
        <v/>
      </c>
      <c r="E367" s="3">
        <f>Работы!I514</f>
        <v/>
      </c>
      <c r="F367" s="3">
        <f>Работы!E514</f>
        <v/>
      </c>
    </row>
    <row r="368">
      <c r="A368" s="3">
        <f>Работы!B515</f>
        <v/>
      </c>
      <c r="B368" s="3">
        <f>Работы!C515</f>
        <v/>
      </c>
      <c r="C368" s="3">
        <f>Работы!G515</f>
        <v/>
      </c>
      <c r="D368" s="3">
        <f>Работы!H515</f>
        <v/>
      </c>
      <c r="E368" s="3">
        <f>Работы!I515</f>
        <v/>
      </c>
      <c r="F368" s="3">
        <f>Работы!E515</f>
        <v/>
      </c>
    </row>
    <row r="369">
      <c r="A369" s="3">
        <f>Работы!B516</f>
        <v/>
      </c>
      <c r="B369" s="3">
        <f>Работы!C516</f>
        <v/>
      </c>
      <c r="C369" s="3">
        <f>Работы!G516</f>
        <v/>
      </c>
      <c r="D369" s="3">
        <f>Работы!H516</f>
        <v/>
      </c>
      <c r="E369" s="3">
        <f>Работы!I516</f>
        <v/>
      </c>
      <c r="F369" s="3">
        <f>Работы!E516</f>
        <v/>
      </c>
    </row>
    <row r="370">
      <c r="A370" s="3">
        <f>Работы!B517</f>
        <v/>
      </c>
      <c r="B370" s="3">
        <f>Работы!C517</f>
        <v/>
      </c>
      <c r="C370" s="3">
        <f>Работы!G517</f>
        <v/>
      </c>
      <c r="D370" s="3">
        <f>Работы!H517</f>
        <v/>
      </c>
      <c r="E370" s="3">
        <f>Работы!I517</f>
        <v/>
      </c>
      <c r="F370" s="3">
        <f>Работы!E517</f>
        <v/>
      </c>
    </row>
    <row r="371">
      <c r="A371" s="3">
        <f>Работы!B518</f>
        <v/>
      </c>
      <c r="B371" s="3">
        <f>Работы!C518</f>
        <v/>
      </c>
      <c r="C371" s="3">
        <f>Работы!G518</f>
        <v/>
      </c>
      <c r="D371" s="3">
        <f>Работы!H518</f>
        <v/>
      </c>
      <c r="E371" s="3">
        <f>Работы!I518</f>
        <v/>
      </c>
      <c r="F371" s="3">
        <f>Работы!E518</f>
        <v/>
      </c>
    </row>
    <row r="372">
      <c r="A372" s="3">
        <f>Работы!B519</f>
        <v/>
      </c>
      <c r="B372" s="3">
        <f>Работы!C519</f>
        <v/>
      </c>
      <c r="C372" s="3">
        <f>Работы!G519</f>
        <v/>
      </c>
      <c r="D372" s="3">
        <f>Работы!H519</f>
        <v/>
      </c>
      <c r="E372" s="3">
        <f>Работы!I519</f>
        <v/>
      </c>
      <c r="F372" s="3">
        <f>Работы!E519</f>
        <v/>
      </c>
    </row>
    <row r="373">
      <c r="A373" s="3">
        <f>Работы!B520</f>
        <v/>
      </c>
      <c r="B373" s="3">
        <f>Работы!C520</f>
        <v/>
      </c>
      <c r="C373" s="3">
        <f>Работы!G520</f>
        <v/>
      </c>
      <c r="D373" s="3">
        <f>Работы!H520</f>
        <v/>
      </c>
      <c r="E373" s="3">
        <f>Работы!I520</f>
        <v/>
      </c>
      <c r="F373" s="3">
        <f>Работы!E520</f>
        <v/>
      </c>
    </row>
    <row r="374">
      <c r="A374" s="3">
        <f>Работы!B521</f>
        <v/>
      </c>
      <c r="B374" s="3">
        <f>Работы!C521</f>
        <v/>
      </c>
      <c r="C374" s="3">
        <f>Работы!G521</f>
        <v/>
      </c>
      <c r="D374" s="3">
        <f>Работы!H521</f>
        <v/>
      </c>
      <c r="E374" s="3">
        <f>Работы!I521</f>
        <v/>
      </c>
      <c r="F374" s="3">
        <f>Работы!E521</f>
        <v/>
      </c>
    </row>
    <row r="375">
      <c r="A375" s="3">
        <f>Работы!B522</f>
        <v/>
      </c>
      <c r="B375" s="3">
        <f>Работы!C522</f>
        <v/>
      </c>
      <c r="C375" s="3">
        <f>Работы!G522</f>
        <v/>
      </c>
      <c r="D375" s="3">
        <f>Работы!H522</f>
        <v/>
      </c>
      <c r="E375" s="3">
        <f>Работы!I522</f>
        <v/>
      </c>
      <c r="F375" s="3">
        <f>Работы!E522</f>
        <v/>
      </c>
    </row>
    <row r="376">
      <c r="A376" s="3">
        <f>Работы!B523</f>
        <v/>
      </c>
      <c r="B376" s="3">
        <f>Работы!C523</f>
        <v/>
      </c>
      <c r="C376" s="3">
        <f>Работы!G523</f>
        <v/>
      </c>
      <c r="D376" s="3">
        <f>Работы!H523</f>
        <v/>
      </c>
      <c r="E376" s="3">
        <f>Работы!I523</f>
        <v/>
      </c>
      <c r="F376" s="3">
        <f>Работы!E523</f>
        <v/>
      </c>
    </row>
    <row r="377">
      <c r="A377" s="3">
        <f>Работы!B524</f>
        <v/>
      </c>
      <c r="B377" s="3">
        <f>Работы!C524</f>
        <v/>
      </c>
      <c r="C377" s="3">
        <f>Работы!G524</f>
        <v/>
      </c>
      <c r="D377" s="3">
        <f>Работы!H524</f>
        <v/>
      </c>
      <c r="E377" s="3">
        <f>Работы!I524</f>
        <v/>
      </c>
      <c r="F377" s="3">
        <f>Работы!E524</f>
        <v/>
      </c>
    </row>
    <row r="378">
      <c r="A378" s="3">
        <f>Работы!B525</f>
        <v/>
      </c>
      <c r="B378" s="3">
        <f>Работы!C525</f>
        <v/>
      </c>
      <c r="C378" s="3">
        <f>Работы!G525</f>
        <v/>
      </c>
      <c r="D378" s="3">
        <f>Работы!H525</f>
        <v/>
      </c>
      <c r="E378" s="3">
        <f>Работы!I525</f>
        <v/>
      </c>
      <c r="F378" s="3">
        <f>Работы!E525</f>
        <v/>
      </c>
    </row>
    <row r="379">
      <c r="A379" s="3">
        <f>Работы!B526</f>
        <v/>
      </c>
      <c r="B379" s="3">
        <f>Работы!C526</f>
        <v/>
      </c>
      <c r="C379" s="3">
        <f>Работы!G526</f>
        <v/>
      </c>
      <c r="D379" s="3">
        <f>Работы!H526</f>
        <v/>
      </c>
      <c r="E379" s="3">
        <f>Работы!I526</f>
        <v/>
      </c>
      <c r="F379" s="3">
        <f>Работы!E526</f>
        <v/>
      </c>
    </row>
    <row r="380">
      <c r="A380" s="3">
        <f>Работы!B527</f>
        <v/>
      </c>
      <c r="B380" s="3">
        <f>Работы!C527</f>
        <v/>
      </c>
      <c r="C380" s="3">
        <f>Работы!G527</f>
        <v/>
      </c>
      <c r="D380" s="3">
        <f>Работы!H527</f>
        <v/>
      </c>
      <c r="E380" s="3">
        <f>Работы!I527</f>
        <v/>
      </c>
      <c r="F380" s="3">
        <f>Работы!E527</f>
        <v/>
      </c>
    </row>
    <row r="381">
      <c r="A381" s="3">
        <f>Работы!B528</f>
        <v/>
      </c>
      <c r="B381" s="3">
        <f>Работы!C528</f>
        <v/>
      </c>
      <c r="C381" s="3">
        <f>Работы!G528</f>
        <v/>
      </c>
      <c r="D381" s="3">
        <f>Работы!H528</f>
        <v/>
      </c>
      <c r="E381" s="3">
        <f>Работы!I528</f>
        <v/>
      </c>
      <c r="F381" s="3">
        <f>Работы!E528</f>
        <v/>
      </c>
    </row>
    <row r="382">
      <c r="A382" s="3">
        <f>Работы!B529</f>
        <v/>
      </c>
      <c r="B382" s="3">
        <f>Работы!C529</f>
        <v/>
      </c>
      <c r="C382" s="3">
        <f>Работы!G529</f>
        <v/>
      </c>
      <c r="D382" s="3">
        <f>Работы!H529</f>
        <v/>
      </c>
      <c r="E382" s="3">
        <f>Работы!I529</f>
        <v/>
      </c>
      <c r="F382" s="3">
        <f>Работы!E529</f>
        <v/>
      </c>
    </row>
    <row r="383">
      <c r="A383" s="3">
        <f>Работы!B530</f>
        <v/>
      </c>
      <c r="B383" s="3">
        <f>Работы!C530</f>
        <v/>
      </c>
      <c r="C383" s="3">
        <f>Работы!G530</f>
        <v/>
      </c>
      <c r="D383" s="3">
        <f>Работы!H530</f>
        <v/>
      </c>
      <c r="E383" s="3">
        <f>Работы!I530</f>
        <v/>
      </c>
      <c r="F383" s="3">
        <f>Работы!E530</f>
        <v/>
      </c>
    </row>
    <row r="384">
      <c r="A384" s="3">
        <f>Работы!B537</f>
        <v/>
      </c>
      <c r="B384" s="3">
        <f>Работы!C537</f>
        <v/>
      </c>
      <c r="C384" s="3">
        <f>Работы!G537</f>
        <v/>
      </c>
      <c r="D384" s="3">
        <f>Работы!H537</f>
        <v/>
      </c>
      <c r="E384" s="3">
        <f>Работы!I537</f>
        <v/>
      </c>
      <c r="F384" s="3">
        <f>Работы!E537</f>
        <v/>
      </c>
    </row>
    <row r="385">
      <c r="A385" s="3">
        <f>Работы!B540</f>
        <v/>
      </c>
      <c r="B385" s="3">
        <f>Работы!C540</f>
        <v/>
      </c>
      <c r="C385" s="3">
        <f>Работы!G540</f>
        <v/>
      </c>
      <c r="D385" s="3">
        <f>Работы!H540</f>
        <v/>
      </c>
      <c r="E385" s="3">
        <f>Работы!I540</f>
        <v/>
      </c>
      <c r="F385" s="3">
        <f>Работы!E540</f>
        <v/>
      </c>
    </row>
    <row r="386">
      <c r="A386" s="3">
        <f>Работы!B543</f>
        <v/>
      </c>
      <c r="B386" s="3">
        <f>Работы!C543</f>
        <v/>
      </c>
      <c r="C386" s="3">
        <f>Работы!G543</f>
        <v/>
      </c>
      <c r="D386" s="3">
        <f>Работы!H543</f>
        <v/>
      </c>
      <c r="E386" s="3">
        <f>Работы!I543</f>
        <v/>
      </c>
      <c r="F386" s="3">
        <f>Работы!E543</f>
        <v/>
      </c>
    </row>
    <row r="387">
      <c r="A387" s="3">
        <f>Работы!B544</f>
        <v/>
      </c>
      <c r="B387" s="3">
        <f>Работы!C544</f>
        <v/>
      </c>
      <c r="C387" s="3">
        <f>Работы!G544</f>
        <v/>
      </c>
      <c r="D387" s="3">
        <f>Работы!H544</f>
        <v/>
      </c>
      <c r="E387" s="3">
        <f>Работы!I544</f>
        <v/>
      </c>
      <c r="F387" s="3">
        <f>Работы!E544</f>
        <v/>
      </c>
    </row>
    <row r="388">
      <c r="A388" s="3">
        <f>Работы!B546</f>
        <v/>
      </c>
      <c r="B388" s="3">
        <f>Работы!C546</f>
        <v/>
      </c>
      <c r="C388" s="3">
        <f>Работы!G546</f>
        <v/>
      </c>
      <c r="D388" s="3">
        <f>Работы!H546</f>
        <v/>
      </c>
      <c r="E388" s="3">
        <f>Работы!I546</f>
        <v/>
      </c>
      <c r="F388" s="3">
        <f>Работы!E546</f>
        <v/>
      </c>
    </row>
    <row r="389">
      <c r="A389" s="3">
        <f>Работы!B549</f>
        <v/>
      </c>
      <c r="B389" s="3">
        <f>Работы!C549</f>
        <v/>
      </c>
      <c r="C389" s="3">
        <f>Работы!G549</f>
        <v/>
      </c>
      <c r="D389" s="3">
        <f>Работы!H549</f>
        <v/>
      </c>
      <c r="E389" s="3">
        <f>Работы!I549</f>
        <v/>
      </c>
      <c r="F389" s="3">
        <f>Работы!E549</f>
        <v/>
      </c>
    </row>
    <row r="390">
      <c r="A390" s="3">
        <f>Работы!B550</f>
        <v/>
      </c>
      <c r="B390" s="3">
        <f>Работы!C550</f>
        <v/>
      </c>
      <c r="C390" s="3">
        <f>Работы!G550</f>
        <v/>
      </c>
      <c r="D390" s="3">
        <f>Работы!H550</f>
        <v/>
      </c>
      <c r="E390" s="3">
        <f>Работы!I550</f>
        <v/>
      </c>
      <c r="F390" s="3">
        <f>Работы!E550</f>
        <v/>
      </c>
    </row>
    <row r="391">
      <c r="A391" s="3">
        <f>Работы!B551</f>
        <v/>
      </c>
      <c r="B391" s="3">
        <f>Работы!C551</f>
        <v/>
      </c>
      <c r="C391" s="3">
        <f>Работы!G551</f>
        <v/>
      </c>
      <c r="D391" s="3">
        <f>Работы!H551</f>
        <v/>
      </c>
      <c r="E391" s="3">
        <f>Работы!I551</f>
        <v/>
      </c>
      <c r="F391" s="3">
        <f>Работы!E551</f>
        <v/>
      </c>
    </row>
    <row r="392">
      <c r="A392" s="3">
        <f>Работы!B553</f>
        <v/>
      </c>
      <c r="B392" s="3">
        <f>Работы!C553</f>
        <v/>
      </c>
      <c r="C392" s="3">
        <f>Работы!G553</f>
        <v/>
      </c>
      <c r="D392" s="3">
        <f>Работы!H553</f>
        <v/>
      </c>
      <c r="E392" s="3">
        <f>Работы!I553</f>
        <v/>
      </c>
      <c r="F392" s="3">
        <f>Работы!E553</f>
        <v/>
      </c>
    </row>
    <row r="393">
      <c r="A393" s="3">
        <f>Работы!B554</f>
        <v/>
      </c>
      <c r="B393" s="3">
        <f>Работы!C554</f>
        <v/>
      </c>
      <c r="C393" s="3">
        <f>Работы!G554</f>
        <v/>
      </c>
      <c r="D393" s="3">
        <f>Работы!H554</f>
        <v/>
      </c>
      <c r="E393" s="3">
        <f>Работы!I554</f>
        <v/>
      </c>
      <c r="F393" s="3">
        <f>Работы!E554</f>
        <v/>
      </c>
    </row>
    <row r="394">
      <c r="A394" s="3">
        <f>Работы!B555</f>
        <v/>
      </c>
      <c r="B394" s="3">
        <f>Работы!C555</f>
        <v/>
      </c>
      <c r="C394" s="3">
        <f>Работы!G555</f>
        <v/>
      </c>
      <c r="D394" s="3">
        <f>Работы!H555</f>
        <v/>
      </c>
      <c r="E394" s="3">
        <f>Работы!I555</f>
        <v/>
      </c>
      <c r="F394" s="3">
        <f>Работы!E555</f>
        <v/>
      </c>
    </row>
    <row r="395">
      <c r="A395" s="3">
        <f>Работы!B556</f>
        <v/>
      </c>
      <c r="B395" s="3">
        <f>Работы!C556</f>
        <v/>
      </c>
      <c r="C395" s="3">
        <f>Работы!G556</f>
        <v/>
      </c>
      <c r="D395" s="3">
        <f>Работы!H556</f>
        <v/>
      </c>
      <c r="E395" s="3">
        <f>Работы!I556</f>
        <v/>
      </c>
      <c r="F395" s="3">
        <f>Работы!E556</f>
        <v/>
      </c>
    </row>
    <row r="396">
      <c r="A396" s="3">
        <f>Работы!B557</f>
        <v/>
      </c>
      <c r="B396" s="3">
        <f>Работы!C557</f>
        <v/>
      </c>
      <c r="C396" s="3">
        <f>Работы!G557</f>
        <v/>
      </c>
      <c r="D396" s="3">
        <f>Работы!H557</f>
        <v/>
      </c>
      <c r="E396" s="3">
        <f>Работы!I557</f>
        <v/>
      </c>
      <c r="F396" s="3">
        <f>Работы!E557</f>
        <v/>
      </c>
    </row>
    <row r="397">
      <c r="A397" s="3">
        <f>Работы!B559</f>
        <v/>
      </c>
      <c r="B397" s="3">
        <f>Работы!C559</f>
        <v/>
      </c>
      <c r="C397" s="3">
        <f>Работы!G559</f>
        <v/>
      </c>
      <c r="D397" s="3">
        <f>Работы!H559</f>
        <v/>
      </c>
      <c r="E397" s="3">
        <f>Работы!I559</f>
        <v/>
      </c>
      <c r="F397" s="3">
        <f>Работы!E559</f>
        <v/>
      </c>
    </row>
    <row r="398">
      <c r="A398" s="3">
        <f>Работы!B564</f>
        <v/>
      </c>
      <c r="B398" s="3">
        <f>Работы!C564</f>
        <v/>
      </c>
      <c r="C398" s="3">
        <f>Работы!G564</f>
        <v/>
      </c>
      <c r="D398" s="3">
        <f>Работы!H564</f>
        <v/>
      </c>
      <c r="E398" s="3">
        <f>Работы!I564</f>
        <v/>
      </c>
      <c r="F398" s="3">
        <f>Работы!E564</f>
        <v/>
      </c>
    </row>
    <row r="399">
      <c r="A399" s="3">
        <f>Работы!B565</f>
        <v/>
      </c>
      <c r="B399" s="3">
        <f>Работы!C565</f>
        <v/>
      </c>
      <c r="C399" s="3">
        <f>Работы!G565</f>
        <v/>
      </c>
      <c r="D399" s="3">
        <f>Работы!H565</f>
        <v/>
      </c>
      <c r="E399" s="3">
        <f>Работы!I565</f>
        <v/>
      </c>
      <c r="F399" s="3">
        <f>Работы!E565</f>
        <v/>
      </c>
    </row>
    <row r="400">
      <c r="A400" s="3">
        <f>Работы!B566</f>
        <v/>
      </c>
      <c r="B400" s="3">
        <f>Работы!C566</f>
        <v/>
      </c>
      <c r="C400" s="3">
        <f>Работы!G566</f>
        <v/>
      </c>
      <c r="D400" s="3">
        <f>Работы!H566</f>
        <v/>
      </c>
      <c r="E400" s="3">
        <f>Работы!I566</f>
        <v/>
      </c>
      <c r="F400" s="3">
        <f>Работы!E566</f>
        <v/>
      </c>
    </row>
    <row r="401">
      <c r="A401" s="3">
        <f>Работы!B567</f>
        <v/>
      </c>
      <c r="B401" s="3">
        <f>Работы!C567</f>
        <v/>
      </c>
      <c r="C401" s="3">
        <f>Работы!G567</f>
        <v/>
      </c>
      <c r="D401" s="3">
        <f>Работы!H567</f>
        <v/>
      </c>
      <c r="E401" s="3">
        <f>Работы!I567</f>
        <v/>
      </c>
      <c r="F401" s="3">
        <f>Работы!E567</f>
        <v/>
      </c>
    </row>
    <row r="402">
      <c r="A402" s="3">
        <f>Работы!B568</f>
        <v/>
      </c>
      <c r="B402" s="3">
        <f>Работы!C568</f>
        <v/>
      </c>
      <c r="C402" s="3">
        <f>Работы!G568</f>
        <v/>
      </c>
      <c r="D402" s="3">
        <f>Работы!H568</f>
        <v/>
      </c>
      <c r="E402" s="3">
        <f>Работы!I568</f>
        <v/>
      </c>
      <c r="F402" s="3">
        <f>Работы!E568</f>
        <v/>
      </c>
    </row>
    <row r="403">
      <c r="A403" s="3">
        <f>Работы!B569</f>
        <v/>
      </c>
      <c r="B403" s="3">
        <f>Работы!C569</f>
        <v/>
      </c>
      <c r="C403" s="3">
        <f>Работы!G569</f>
        <v/>
      </c>
      <c r="D403" s="3">
        <f>Работы!H569</f>
        <v/>
      </c>
      <c r="E403" s="3">
        <f>Работы!I569</f>
        <v/>
      </c>
      <c r="F403" s="3">
        <f>Работы!E569</f>
        <v/>
      </c>
    </row>
    <row r="404">
      <c r="A404" s="3">
        <f>Работы!B570</f>
        <v/>
      </c>
      <c r="B404" s="3">
        <f>Работы!C570</f>
        <v/>
      </c>
      <c r="C404" s="3">
        <f>Работы!G570</f>
        <v/>
      </c>
      <c r="D404" s="3">
        <f>Работы!H570</f>
        <v/>
      </c>
      <c r="E404" s="3">
        <f>Работы!I570</f>
        <v/>
      </c>
      <c r="F404" s="3">
        <f>Работы!E570</f>
        <v/>
      </c>
    </row>
    <row r="405">
      <c r="A405" s="3">
        <f>Работы!B571</f>
        <v/>
      </c>
      <c r="B405" s="3">
        <f>Работы!C571</f>
        <v/>
      </c>
      <c r="C405" s="3">
        <f>Работы!G571</f>
        <v/>
      </c>
      <c r="D405" s="3">
        <f>Работы!H571</f>
        <v/>
      </c>
      <c r="E405" s="3">
        <f>Работы!I571</f>
        <v/>
      </c>
      <c r="F405" s="3">
        <f>Работы!E571</f>
        <v/>
      </c>
    </row>
    <row r="406">
      <c r="A406" s="3">
        <f>Работы!B572</f>
        <v/>
      </c>
      <c r="B406" s="3">
        <f>Работы!C572</f>
        <v/>
      </c>
      <c r="C406" s="3">
        <f>Работы!G572</f>
        <v/>
      </c>
      <c r="D406" s="3">
        <f>Работы!H572</f>
        <v/>
      </c>
      <c r="E406" s="3">
        <f>Работы!I572</f>
        <v/>
      </c>
      <c r="F406" s="3">
        <f>Работы!E572</f>
        <v/>
      </c>
    </row>
    <row r="407">
      <c r="A407" s="3">
        <f>Работы!B573</f>
        <v/>
      </c>
      <c r="B407" s="3">
        <f>Работы!C573</f>
        <v/>
      </c>
      <c r="C407" s="3">
        <f>Работы!G573</f>
        <v/>
      </c>
      <c r="D407" s="3">
        <f>Работы!H573</f>
        <v/>
      </c>
      <c r="E407" s="3">
        <f>Работы!I573</f>
        <v/>
      </c>
      <c r="F407" s="3">
        <f>Работы!E573</f>
        <v/>
      </c>
    </row>
    <row r="408">
      <c r="A408" s="3">
        <f>Работы!B574</f>
        <v/>
      </c>
      <c r="B408" s="3">
        <f>Работы!C574</f>
        <v/>
      </c>
      <c r="C408" s="3">
        <f>Работы!G574</f>
        <v/>
      </c>
      <c r="D408" s="3">
        <f>Работы!H574</f>
        <v/>
      </c>
      <c r="E408" s="3">
        <f>Работы!I574</f>
        <v/>
      </c>
      <c r="F408" s="3">
        <f>Работы!E574</f>
        <v/>
      </c>
    </row>
    <row r="409">
      <c r="A409" s="3">
        <f>Работы!B575</f>
        <v/>
      </c>
      <c r="B409" s="3">
        <f>Работы!C575</f>
        <v/>
      </c>
      <c r="C409" s="3">
        <f>Работы!G575</f>
        <v/>
      </c>
      <c r="D409" s="3">
        <f>Работы!H575</f>
        <v/>
      </c>
      <c r="E409" s="3">
        <f>Работы!I575</f>
        <v/>
      </c>
      <c r="F409" s="3">
        <f>Работы!E575</f>
        <v/>
      </c>
    </row>
    <row r="410">
      <c r="A410" s="3">
        <f>Работы!B577</f>
        <v/>
      </c>
      <c r="B410" s="3">
        <f>Работы!C577</f>
        <v/>
      </c>
      <c r="C410" s="3">
        <f>Работы!G577</f>
        <v/>
      </c>
      <c r="D410" s="3">
        <f>Работы!H577</f>
        <v/>
      </c>
      <c r="E410" s="3">
        <f>Работы!I577</f>
        <v/>
      </c>
      <c r="F410" s="3">
        <f>Работы!E577</f>
        <v/>
      </c>
    </row>
    <row r="411">
      <c r="A411" s="3">
        <f>Работы!B578</f>
        <v/>
      </c>
      <c r="B411" s="3">
        <f>Работы!C578</f>
        <v/>
      </c>
      <c r="C411" s="3">
        <f>Работы!G578</f>
        <v/>
      </c>
      <c r="D411" s="3">
        <f>Работы!H578</f>
        <v/>
      </c>
      <c r="E411" s="3">
        <f>Работы!I578</f>
        <v/>
      </c>
      <c r="F411" s="3">
        <f>Работы!E578</f>
        <v/>
      </c>
    </row>
    <row r="412">
      <c r="A412" s="3">
        <f>Работы!B579</f>
        <v/>
      </c>
      <c r="B412" s="3">
        <f>Работы!C579</f>
        <v/>
      </c>
      <c r="C412" s="3">
        <f>Работы!G579</f>
        <v/>
      </c>
      <c r="D412" s="3">
        <f>Работы!H579</f>
        <v/>
      </c>
      <c r="E412" s="3">
        <f>Работы!I579</f>
        <v/>
      </c>
      <c r="F412" s="3">
        <f>Работы!E579</f>
        <v/>
      </c>
    </row>
    <row r="413">
      <c r="A413" s="3">
        <f>Работы!B580</f>
        <v/>
      </c>
      <c r="B413" s="3">
        <f>Работы!C580</f>
        <v/>
      </c>
      <c r="C413" s="3">
        <f>Работы!G580</f>
        <v/>
      </c>
      <c r="D413" s="3">
        <f>Работы!H580</f>
        <v/>
      </c>
      <c r="E413" s="3">
        <f>Работы!I580</f>
        <v/>
      </c>
      <c r="F413" s="3">
        <f>Работы!E580</f>
        <v/>
      </c>
    </row>
    <row r="414">
      <c r="A414" s="3">
        <f>Работы!B581</f>
        <v/>
      </c>
      <c r="B414" s="3">
        <f>Работы!C581</f>
        <v/>
      </c>
      <c r="C414" s="3">
        <f>Работы!G581</f>
        <v/>
      </c>
      <c r="D414" s="3">
        <f>Работы!H581</f>
        <v/>
      </c>
      <c r="E414" s="3">
        <f>Работы!I581</f>
        <v/>
      </c>
      <c r="F414" s="3">
        <f>Работы!E581</f>
        <v/>
      </c>
    </row>
    <row r="415">
      <c r="A415" s="3">
        <f>Работы!B582</f>
        <v/>
      </c>
      <c r="B415" s="3">
        <f>Работы!C582</f>
        <v/>
      </c>
      <c r="C415" s="3">
        <f>Работы!G582</f>
        <v/>
      </c>
      <c r="D415" s="3">
        <f>Работы!H582</f>
        <v/>
      </c>
      <c r="E415" s="3">
        <f>Работы!I582</f>
        <v/>
      </c>
      <c r="F415" s="3">
        <f>Работы!E582</f>
        <v/>
      </c>
    </row>
    <row r="416">
      <c r="A416" s="3">
        <f>Работы!B584</f>
        <v/>
      </c>
      <c r="B416" s="3">
        <f>Работы!C584</f>
        <v/>
      </c>
      <c r="C416" s="3">
        <f>Работы!G584</f>
        <v/>
      </c>
      <c r="D416" s="3">
        <f>Работы!H584</f>
        <v/>
      </c>
      <c r="E416" s="3">
        <f>Работы!I584</f>
        <v/>
      </c>
      <c r="F416" s="3">
        <f>Работы!E584</f>
        <v/>
      </c>
    </row>
    <row r="417">
      <c r="A417" s="3">
        <f>Работы!B585</f>
        <v/>
      </c>
      <c r="B417" s="3">
        <f>Работы!C585</f>
        <v/>
      </c>
      <c r="C417" s="3">
        <f>Работы!G585</f>
        <v/>
      </c>
      <c r="D417" s="3">
        <f>Работы!H585</f>
        <v/>
      </c>
      <c r="E417" s="3">
        <f>Работы!I585</f>
        <v/>
      </c>
      <c r="F417" s="3">
        <f>Работы!E585</f>
        <v/>
      </c>
    </row>
    <row r="418">
      <c r="A418" s="3">
        <f>Работы!B586</f>
        <v/>
      </c>
      <c r="B418" s="3">
        <f>Работы!C586</f>
        <v/>
      </c>
      <c r="C418" s="3">
        <f>Работы!G586</f>
        <v/>
      </c>
      <c r="D418" s="3">
        <f>Работы!H586</f>
        <v/>
      </c>
      <c r="E418" s="3">
        <f>Работы!I586</f>
        <v/>
      </c>
      <c r="F418" s="3">
        <f>Работы!E586</f>
        <v/>
      </c>
    </row>
    <row r="419">
      <c r="A419" s="3">
        <f>Работы!B587</f>
        <v/>
      </c>
      <c r="B419" s="3">
        <f>Работы!C587</f>
        <v/>
      </c>
      <c r="C419" s="3">
        <f>Работы!G587</f>
        <v/>
      </c>
      <c r="D419" s="3">
        <f>Работы!H587</f>
        <v/>
      </c>
      <c r="E419" s="3">
        <f>Работы!I587</f>
        <v/>
      </c>
      <c r="F419" s="3">
        <f>Работы!E587</f>
        <v/>
      </c>
    </row>
    <row r="420">
      <c r="A420" s="3">
        <f>Работы!B588</f>
        <v/>
      </c>
      <c r="B420" s="3">
        <f>Работы!C588</f>
        <v/>
      </c>
      <c r="C420" s="3">
        <f>Работы!G588</f>
        <v/>
      </c>
      <c r="D420" s="3">
        <f>Работы!H588</f>
        <v/>
      </c>
      <c r="E420" s="3">
        <f>Работы!I588</f>
        <v/>
      </c>
      <c r="F420" s="3">
        <f>Работы!E588</f>
        <v/>
      </c>
    </row>
    <row r="421">
      <c r="A421" s="3">
        <f>Работы!B589</f>
        <v/>
      </c>
      <c r="B421" s="3">
        <f>Работы!C589</f>
        <v/>
      </c>
      <c r="C421" s="3">
        <f>Работы!G589</f>
        <v/>
      </c>
      <c r="D421" s="3">
        <f>Работы!H589</f>
        <v/>
      </c>
      <c r="E421" s="3">
        <f>Работы!I589</f>
        <v/>
      </c>
      <c r="F421" s="3">
        <f>Работы!E589</f>
        <v/>
      </c>
    </row>
    <row r="422">
      <c r="A422" s="3">
        <f>Работы!B591</f>
        <v/>
      </c>
      <c r="B422" s="3">
        <f>Работы!C591</f>
        <v/>
      </c>
      <c r="C422" s="3">
        <f>Работы!G591</f>
        <v/>
      </c>
      <c r="D422" s="3">
        <f>Работы!H591</f>
        <v/>
      </c>
      <c r="E422" s="3">
        <f>Работы!I591</f>
        <v/>
      </c>
      <c r="F422" s="3">
        <f>Работы!E591</f>
        <v/>
      </c>
    </row>
    <row r="423">
      <c r="A423" s="3">
        <f>Работы!B592</f>
        <v/>
      </c>
      <c r="B423" s="3">
        <f>Работы!C592</f>
        <v/>
      </c>
      <c r="C423" s="3">
        <f>Работы!G592</f>
        <v/>
      </c>
      <c r="D423" s="3">
        <f>Работы!H592</f>
        <v/>
      </c>
      <c r="E423" s="3">
        <f>Работы!I592</f>
        <v/>
      </c>
      <c r="F423" s="3">
        <f>Работы!E592</f>
        <v/>
      </c>
    </row>
    <row r="424">
      <c r="A424" s="3">
        <f>Работы!B593</f>
        <v/>
      </c>
      <c r="B424" s="3">
        <f>Работы!C593</f>
        <v/>
      </c>
      <c r="C424" s="3">
        <f>Работы!G593</f>
        <v/>
      </c>
      <c r="D424" s="3">
        <f>Работы!H593</f>
        <v/>
      </c>
      <c r="E424" s="3">
        <f>Работы!I593</f>
        <v/>
      </c>
      <c r="F424" s="3">
        <f>Работы!E593</f>
        <v/>
      </c>
    </row>
    <row r="425">
      <c r="A425" s="3">
        <f>Работы!B596</f>
        <v/>
      </c>
      <c r="B425" s="3">
        <f>Работы!C596</f>
        <v/>
      </c>
      <c r="C425" s="3">
        <f>Работы!G596</f>
        <v/>
      </c>
      <c r="D425" s="3">
        <f>Работы!H596</f>
        <v/>
      </c>
      <c r="E425" s="3">
        <f>Работы!I596</f>
        <v/>
      </c>
      <c r="F425" s="3">
        <f>Работы!E596</f>
        <v/>
      </c>
    </row>
    <row r="426">
      <c r="A426" s="3">
        <f>Работы!B597</f>
        <v/>
      </c>
      <c r="B426" s="3">
        <f>Работы!C597</f>
        <v/>
      </c>
      <c r="C426" s="3">
        <f>Работы!G597</f>
        <v/>
      </c>
      <c r="D426" s="3">
        <f>Работы!H597</f>
        <v/>
      </c>
      <c r="E426" s="3">
        <f>Работы!I597</f>
        <v/>
      </c>
      <c r="F426" s="3">
        <f>Работы!E597</f>
        <v/>
      </c>
    </row>
    <row r="427">
      <c r="A427" s="3">
        <f>Работы!B598</f>
        <v/>
      </c>
      <c r="B427" s="3">
        <f>Работы!C598</f>
        <v/>
      </c>
      <c r="C427" s="3">
        <f>Работы!G598</f>
        <v/>
      </c>
      <c r="D427" s="3">
        <f>Работы!H598</f>
        <v/>
      </c>
      <c r="E427" s="3">
        <f>Работы!I598</f>
        <v/>
      </c>
      <c r="F427" s="3">
        <f>Работы!E598</f>
        <v/>
      </c>
    </row>
    <row r="428">
      <c r="A428" s="3">
        <f>Работы!B599</f>
        <v/>
      </c>
      <c r="B428" s="3">
        <f>Работы!C599</f>
        <v/>
      </c>
      <c r="C428" s="3">
        <f>Работы!G599</f>
        <v/>
      </c>
      <c r="D428" s="3">
        <f>Работы!H599</f>
        <v/>
      </c>
      <c r="E428" s="3">
        <f>Работы!I599</f>
        <v/>
      </c>
      <c r="F428" s="3">
        <f>Работы!E599</f>
        <v/>
      </c>
    </row>
    <row r="429">
      <c r="A429" s="3">
        <f>Работы!B600</f>
        <v/>
      </c>
      <c r="B429" s="3">
        <f>Работы!C600</f>
        <v/>
      </c>
      <c r="C429" s="3">
        <f>Работы!G600</f>
        <v/>
      </c>
      <c r="D429" s="3">
        <f>Работы!H600</f>
        <v/>
      </c>
      <c r="E429" s="3">
        <f>Работы!I600</f>
        <v/>
      </c>
      <c r="F429" s="3">
        <f>Работы!E600</f>
        <v/>
      </c>
    </row>
    <row r="430">
      <c r="A430" s="3">
        <f>Работы!B601</f>
        <v/>
      </c>
      <c r="B430" s="3">
        <f>Работы!C601</f>
        <v/>
      </c>
      <c r="C430" s="3">
        <f>Работы!G601</f>
        <v/>
      </c>
      <c r="D430" s="3">
        <f>Работы!H601</f>
        <v/>
      </c>
      <c r="E430" s="3">
        <f>Работы!I601</f>
        <v/>
      </c>
      <c r="F430" s="3">
        <f>Работы!E601</f>
        <v/>
      </c>
    </row>
    <row r="431">
      <c r="A431" s="3">
        <f>Работы!B602</f>
        <v/>
      </c>
      <c r="B431" s="3">
        <f>Работы!C602</f>
        <v/>
      </c>
      <c r="C431" s="3">
        <f>Работы!G602</f>
        <v/>
      </c>
      <c r="D431" s="3">
        <f>Работы!H602</f>
        <v/>
      </c>
      <c r="E431" s="3">
        <f>Работы!I602</f>
        <v/>
      </c>
      <c r="F431" s="3">
        <f>Работы!E602</f>
        <v/>
      </c>
    </row>
    <row r="432">
      <c r="A432" s="3">
        <f>Работы!B603</f>
        <v/>
      </c>
      <c r="B432" s="3">
        <f>Работы!C603</f>
        <v/>
      </c>
      <c r="C432" s="3">
        <f>Работы!G603</f>
        <v/>
      </c>
      <c r="D432" s="3">
        <f>Работы!H603</f>
        <v/>
      </c>
      <c r="E432" s="3">
        <f>Работы!I603</f>
        <v/>
      </c>
      <c r="F432" s="3">
        <f>Работы!E603</f>
        <v/>
      </c>
    </row>
    <row r="433">
      <c r="A433" s="3">
        <f>Работы!B606</f>
        <v/>
      </c>
      <c r="B433" s="3">
        <f>Работы!C606</f>
        <v/>
      </c>
      <c r="C433" s="3">
        <f>Работы!G606</f>
        <v/>
      </c>
      <c r="D433" s="3">
        <f>Работы!H606</f>
        <v/>
      </c>
      <c r="E433" s="3">
        <f>Работы!I606</f>
        <v/>
      </c>
      <c r="F433" s="3">
        <f>Работы!E606</f>
        <v/>
      </c>
    </row>
    <row r="434">
      <c r="A434" s="3">
        <f>Работы!B607</f>
        <v/>
      </c>
      <c r="B434" s="3">
        <f>Работы!C607</f>
        <v/>
      </c>
      <c r="C434" s="3">
        <f>Работы!G607</f>
        <v/>
      </c>
      <c r="D434" s="3">
        <f>Работы!H607</f>
        <v/>
      </c>
      <c r="E434" s="3">
        <f>Работы!I607</f>
        <v/>
      </c>
      <c r="F434" s="3">
        <f>Работы!E607</f>
        <v/>
      </c>
    </row>
    <row r="435">
      <c r="A435" s="3">
        <f>Работы!B608</f>
        <v/>
      </c>
      <c r="B435" s="3">
        <f>Работы!C608</f>
        <v/>
      </c>
      <c r="C435" s="3">
        <f>Работы!G608</f>
        <v/>
      </c>
      <c r="D435" s="3">
        <f>Работы!H608</f>
        <v/>
      </c>
      <c r="E435" s="3">
        <f>Работы!I608</f>
        <v/>
      </c>
      <c r="F435" s="3">
        <f>Работы!E608</f>
        <v/>
      </c>
    </row>
    <row r="436">
      <c r="A436" s="3">
        <f>Работы!B609</f>
        <v/>
      </c>
      <c r="B436" s="3">
        <f>Работы!C609</f>
        <v/>
      </c>
      <c r="C436" s="3">
        <f>Работы!G609</f>
        <v/>
      </c>
      <c r="D436" s="3">
        <f>Работы!H609</f>
        <v/>
      </c>
      <c r="E436" s="3">
        <f>Работы!I609</f>
        <v/>
      </c>
      <c r="F436" s="3">
        <f>Работы!E609</f>
        <v/>
      </c>
    </row>
    <row r="437">
      <c r="A437" s="3">
        <f>Работы!B610</f>
        <v/>
      </c>
      <c r="B437" s="3">
        <f>Работы!C610</f>
        <v/>
      </c>
      <c r="C437" s="3">
        <f>Работы!G610</f>
        <v/>
      </c>
      <c r="D437" s="3">
        <f>Работы!H610</f>
        <v/>
      </c>
      <c r="E437" s="3">
        <f>Работы!I610</f>
        <v/>
      </c>
      <c r="F437" s="3">
        <f>Работы!E610</f>
        <v/>
      </c>
    </row>
    <row r="438">
      <c r="A438" s="3">
        <f>Работы!B611</f>
        <v/>
      </c>
      <c r="B438" s="3">
        <f>Работы!C611</f>
        <v/>
      </c>
      <c r="C438" s="3">
        <f>Работы!G611</f>
        <v/>
      </c>
      <c r="D438" s="3">
        <f>Работы!H611</f>
        <v/>
      </c>
      <c r="E438" s="3">
        <f>Работы!I611</f>
        <v/>
      </c>
      <c r="F438" s="3">
        <f>Работы!E611</f>
        <v/>
      </c>
    </row>
    <row r="439">
      <c r="A439" s="3">
        <f>Работы!B612</f>
        <v/>
      </c>
      <c r="B439" s="3">
        <f>Работы!C612</f>
        <v/>
      </c>
      <c r="C439" s="3">
        <f>Работы!G612</f>
        <v/>
      </c>
      <c r="D439" s="3">
        <f>Работы!H612</f>
        <v/>
      </c>
      <c r="E439" s="3">
        <f>Работы!I612</f>
        <v/>
      </c>
      <c r="F439" s="3">
        <f>Работы!E612</f>
        <v/>
      </c>
    </row>
    <row r="440">
      <c r="A440" s="3">
        <f>Работы!B613</f>
        <v/>
      </c>
      <c r="B440" s="3">
        <f>Работы!C613</f>
        <v/>
      </c>
      <c r="C440" s="3">
        <f>Работы!G613</f>
        <v/>
      </c>
      <c r="D440" s="3">
        <f>Работы!H613</f>
        <v/>
      </c>
      <c r="E440" s="3">
        <f>Работы!I613</f>
        <v/>
      </c>
      <c r="F440" s="3">
        <f>Работы!E613</f>
        <v/>
      </c>
    </row>
    <row r="441">
      <c r="A441" s="3">
        <f>Работы!B615</f>
        <v/>
      </c>
      <c r="B441" s="3">
        <f>Работы!C615</f>
        <v/>
      </c>
      <c r="C441" s="3">
        <f>Работы!G615</f>
        <v/>
      </c>
      <c r="D441" s="3">
        <f>Работы!H615</f>
        <v/>
      </c>
      <c r="E441" s="3">
        <f>Работы!I615</f>
        <v/>
      </c>
      <c r="F441" s="3">
        <f>Работы!E615</f>
        <v/>
      </c>
    </row>
    <row r="442">
      <c r="A442" s="3">
        <f>Работы!B618</f>
        <v/>
      </c>
      <c r="B442" s="3">
        <f>Работы!C618</f>
        <v/>
      </c>
      <c r="C442" s="3">
        <f>Работы!G618</f>
        <v/>
      </c>
      <c r="D442" s="3">
        <f>Работы!H618</f>
        <v/>
      </c>
      <c r="E442" s="3">
        <f>Работы!I618</f>
        <v/>
      </c>
      <c r="F442" s="3">
        <f>Работы!E618</f>
        <v/>
      </c>
    </row>
    <row r="443">
      <c r="A443" s="3">
        <f>Работы!B619</f>
        <v/>
      </c>
      <c r="B443" s="3">
        <f>Работы!C619</f>
        <v/>
      </c>
      <c r="C443" s="3">
        <f>Работы!G619</f>
        <v/>
      </c>
      <c r="D443" s="3">
        <f>Работы!H619</f>
        <v/>
      </c>
      <c r="E443" s="3">
        <f>Работы!I619</f>
        <v/>
      </c>
      <c r="F443" s="3">
        <f>Работы!E619</f>
        <v/>
      </c>
    </row>
    <row r="444">
      <c r="A444" s="3">
        <f>Работы!B620</f>
        <v/>
      </c>
      <c r="B444" s="3">
        <f>Работы!C620</f>
        <v/>
      </c>
      <c r="C444" s="3">
        <f>Работы!G620</f>
        <v/>
      </c>
      <c r="D444" s="3">
        <f>Работы!H620</f>
        <v/>
      </c>
      <c r="E444" s="3">
        <f>Работы!I620</f>
        <v/>
      </c>
      <c r="F444" s="3">
        <f>Работы!E620</f>
        <v/>
      </c>
    </row>
    <row r="445">
      <c r="A445" s="3">
        <f>Работы!B621</f>
        <v/>
      </c>
      <c r="B445" s="3">
        <f>Работы!C621</f>
        <v/>
      </c>
      <c r="C445" s="3">
        <f>Работы!G621</f>
        <v/>
      </c>
      <c r="D445" s="3">
        <f>Работы!H621</f>
        <v/>
      </c>
      <c r="E445" s="3">
        <f>Работы!I621</f>
        <v/>
      </c>
      <c r="F445" s="3">
        <f>Работы!E621</f>
        <v/>
      </c>
    </row>
    <row r="446">
      <c r="A446" s="3">
        <f>Работы!B622</f>
        <v/>
      </c>
      <c r="B446" s="3">
        <f>Работы!C622</f>
        <v/>
      </c>
      <c r="C446" s="3">
        <f>Работы!G622</f>
        <v/>
      </c>
      <c r="D446" s="3">
        <f>Работы!H622</f>
        <v/>
      </c>
      <c r="E446" s="3">
        <f>Работы!I622</f>
        <v/>
      </c>
      <c r="F446" s="3">
        <f>Работы!E622</f>
        <v/>
      </c>
    </row>
    <row r="447">
      <c r="A447" s="3">
        <f>Работы!B623</f>
        <v/>
      </c>
      <c r="B447" s="3">
        <f>Работы!C623</f>
        <v/>
      </c>
      <c r="C447" s="3">
        <f>Работы!G623</f>
        <v/>
      </c>
      <c r="D447" s="3">
        <f>Работы!H623</f>
        <v/>
      </c>
      <c r="E447" s="3">
        <f>Работы!I623</f>
        <v/>
      </c>
      <c r="F447" s="3">
        <f>Работы!E623</f>
        <v/>
      </c>
    </row>
    <row r="448">
      <c r="A448" s="3">
        <f>Работы!B624</f>
        <v/>
      </c>
      <c r="B448" s="3">
        <f>Работы!C624</f>
        <v/>
      </c>
      <c r="C448" s="3">
        <f>Работы!G624</f>
        <v/>
      </c>
      <c r="D448" s="3">
        <f>Работы!H624</f>
        <v/>
      </c>
      <c r="E448" s="3">
        <f>Работы!I624</f>
        <v/>
      </c>
      <c r="F448" s="3">
        <f>Работы!E624</f>
        <v/>
      </c>
    </row>
    <row r="449">
      <c r="A449" s="3">
        <f>Работы!B625</f>
        <v/>
      </c>
      <c r="B449" s="3">
        <f>Работы!C625</f>
        <v/>
      </c>
      <c r="C449" s="3">
        <f>Работы!G625</f>
        <v/>
      </c>
      <c r="D449" s="3">
        <f>Работы!H625</f>
        <v/>
      </c>
      <c r="E449" s="3">
        <f>Работы!I625</f>
        <v/>
      </c>
      <c r="F449" s="3">
        <f>Работы!E625</f>
        <v/>
      </c>
    </row>
    <row r="450">
      <c r="A450" s="3">
        <f>Работы!B626</f>
        <v/>
      </c>
      <c r="B450" s="3">
        <f>Работы!C626</f>
        <v/>
      </c>
      <c r="C450" s="3">
        <f>Работы!G626</f>
        <v/>
      </c>
      <c r="D450" s="3">
        <f>Работы!H626</f>
        <v/>
      </c>
      <c r="E450" s="3">
        <f>Работы!I626</f>
        <v/>
      </c>
      <c r="F450" s="3">
        <f>Работы!E626</f>
        <v/>
      </c>
    </row>
    <row r="451">
      <c r="A451" s="3">
        <f>Работы!B627</f>
        <v/>
      </c>
      <c r="B451" s="3">
        <f>Работы!C627</f>
        <v/>
      </c>
      <c r="C451" s="3">
        <f>Работы!G627</f>
        <v/>
      </c>
      <c r="D451" s="3">
        <f>Работы!H627</f>
        <v/>
      </c>
      <c r="E451" s="3">
        <f>Работы!I627</f>
        <v/>
      </c>
      <c r="F451" s="3">
        <f>Работы!E627</f>
        <v/>
      </c>
    </row>
    <row r="452">
      <c r="A452" s="3">
        <f>Работы!B628</f>
        <v/>
      </c>
      <c r="B452" s="3">
        <f>Работы!C628</f>
        <v/>
      </c>
      <c r="C452" s="3">
        <f>Работы!G628</f>
        <v/>
      </c>
      <c r="D452" s="3">
        <f>Работы!H628</f>
        <v/>
      </c>
      <c r="E452" s="3">
        <f>Работы!I628</f>
        <v/>
      </c>
      <c r="F452" s="3">
        <f>Работы!E628</f>
        <v/>
      </c>
    </row>
    <row r="453">
      <c r="A453" s="3">
        <f>Работы!B629</f>
        <v/>
      </c>
      <c r="B453" s="3">
        <f>Работы!C629</f>
        <v/>
      </c>
      <c r="C453" s="3">
        <f>Работы!G629</f>
        <v/>
      </c>
      <c r="D453" s="3">
        <f>Работы!H629</f>
        <v/>
      </c>
      <c r="E453" s="3">
        <f>Работы!I629</f>
        <v/>
      </c>
      <c r="F453" s="3">
        <f>Работы!E629</f>
        <v/>
      </c>
    </row>
    <row r="454">
      <c r="A454" s="3">
        <f>Работы!B630</f>
        <v/>
      </c>
      <c r="B454" s="3">
        <f>Работы!C630</f>
        <v/>
      </c>
      <c r="C454" s="3">
        <f>Работы!G630</f>
        <v/>
      </c>
      <c r="D454" s="3">
        <f>Работы!H630</f>
        <v/>
      </c>
      <c r="E454" s="3">
        <f>Работы!I630</f>
        <v/>
      </c>
      <c r="F454" s="3">
        <f>Работы!E630</f>
        <v/>
      </c>
    </row>
    <row r="455">
      <c r="A455" s="3">
        <f>Работы!B631</f>
        <v/>
      </c>
      <c r="B455" s="3">
        <f>Работы!C631</f>
        <v/>
      </c>
      <c r="C455" s="3">
        <f>Работы!G631</f>
        <v/>
      </c>
      <c r="D455" s="3">
        <f>Работы!H631</f>
        <v/>
      </c>
      <c r="E455" s="3">
        <f>Работы!I631</f>
        <v/>
      </c>
      <c r="F455" s="3">
        <f>Работы!E631</f>
        <v/>
      </c>
    </row>
    <row r="456">
      <c r="A456" s="3">
        <f>Работы!B632</f>
        <v/>
      </c>
      <c r="B456" s="3">
        <f>Работы!C632</f>
        <v/>
      </c>
      <c r="C456" s="3">
        <f>Работы!G632</f>
        <v/>
      </c>
      <c r="D456" s="3">
        <f>Работы!H632</f>
        <v/>
      </c>
      <c r="E456" s="3">
        <f>Работы!I632</f>
        <v/>
      </c>
      <c r="F456" s="3">
        <f>Работы!E632</f>
        <v/>
      </c>
    </row>
    <row r="457">
      <c r="A457" s="3">
        <f>Работы!B633</f>
        <v/>
      </c>
      <c r="B457" s="3">
        <f>Работы!C633</f>
        <v/>
      </c>
      <c r="C457" s="3">
        <f>Работы!G633</f>
        <v/>
      </c>
      <c r="D457" s="3">
        <f>Работы!H633</f>
        <v/>
      </c>
      <c r="E457" s="3">
        <f>Работы!I633</f>
        <v/>
      </c>
      <c r="F457" s="3">
        <f>Работы!E633</f>
        <v/>
      </c>
    </row>
    <row r="458">
      <c r="A458" s="3">
        <f>Работы!B634</f>
        <v/>
      </c>
      <c r="B458" s="3">
        <f>Работы!C634</f>
        <v/>
      </c>
      <c r="C458" s="3">
        <f>Работы!G634</f>
        <v/>
      </c>
      <c r="D458" s="3">
        <f>Работы!H634</f>
        <v/>
      </c>
      <c r="E458" s="3">
        <f>Работы!I634</f>
        <v/>
      </c>
      <c r="F458" s="3">
        <f>Работы!E634</f>
        <v/>
      </c>
    </row>
    <row r="459">
      <c r="A459" s="3">
        <f>Работы!B635</f>
        <v/>
      </c>
      <c r="B459" s="3">
        <f>Работы!C635</f>
        <v/>
      </c>
      <c r="C459" s="3">
        <f>Работы!G635</f>
        <v/>
      </c>
      <c r="D459" s="3">
        <f>Работы!H635</f>
        <v/>
      </c>
      <c r="E459" s="3">
        <f>Работы!I635</f>
        <v/>
      </c>
      <c r="F459" s="3">
        <f>Работы!E635</f>
        <v/>
      </c>
    </row>
    <row r="460">
      <c r="A460" s="3">
        <f>Работы!B636</f>
        <v/>
      </c>
      <c r="B460" s="3">
        <f>Работы!C636</f>
        <v/>
      </c>
      <c r="C460" s="3">
        <f>Работы!G636</f>
        <v/>
      </c>
      <c r="D460" s="3">
        <f>Работы!H636</f>
        <v/>
      </c>
      <c r="E460" s="3">
        <f>Работы!I636</f>
        <v/>
      </c>
      <c r="F460" s="3">
        <f>Работы!E636</f>
        <v/>
      </c>
    </row>
    <row r="461">
      <c r="A461" s="3">
        <f>Работы!B637</f>
        <v/>
      </c>
      <c r="B461" s="3">
        <f>Работы!C637</f>
        <v/>
      </c>
      <c r="C461" s="3">
        <f>Работы!G637</f>
        <v/>
      </c>
      <c r="D461" s="3">
        <f>Работы!H637</f>
        <v/>
      </c>
      <c r="E461" s="3">
        <f>Работы!I637</f>
        <v/>
      </c>
      <c r="F461" s="3">
        <f>Работы!E637</f>
        <v/>
      </c>
    </row>
    <row r="462">
      <c r="A462" s="3">
        <f>Работы!B638</f>
        <v/>
      </c>
      <c r="B462" s="3">
        <f>Работы!C638</f>
        <v/>
      </c>
      <c r="C462" s="3">
        <f>Работы!G638</f>
        <v/>
      </c>
      <c r="D462" s="3">
        <f>Работы!H638</f>
        <v/>
      </c>
      <c r="E462" s="3">
        <f>Работы!I638</f>
        <v/>
      </c>
      <c r="F462" s="3">
        <f>Работы!E638</f>
        <v/>
      </c>
    </row>
    <row r="463">
      <c r="A463" s="3">
        <f>Работы!B639</f>
        <v/>
      </c>
      <c r="B463" s="3">
        <f>Работы!C639</f>
        <v/>
      </c>
      <c r="C463" s="3">
        <f>Работы!G639</f>
        <v/>
      </c>
      <c r="D463" s="3">
        <f>Работы!H639</f>
        <v/>
      </c>
      <c r="E463" s="3">
        <f>Работы!I639</f>
        <v/>
      </c>
      <c r="F463" s="3">
        <f>Работы!E639</f>
        <v/>
      </c>
    </row>
    <row r="464">
      <c r="A464" s="3">
        <f>Работы!B640</f>
        <v/>
      </c>
      <c r="B464" s="3">
        <f>Работы!C640</f>
        <v/>
      </c>
      <c r="C464" s="3">
        <f>Работы!G640</f>
        <v/>
      </c>
      <c r="D464" s="3">
        <f>Работы!H640</f>
        <v/>
      </c>
      <c r="E464" s="3">
        <f>Работы!I640</f>
        <v/>
      </c>
      <c r="F464" s="3">
        <f>Работы!E640</f>
        <v/>
      </c>
    </row>
    <row r="465">
      <c r="A465" s="3">
        <f>Работы!B641</f>
        <v/>
      </c>
      <c r="B465" s="3">
        <f>Работы!C641</f>
        <v/>
      </c>
      <c r="C465" s="3">
        <f>Работы!G641</f>
        <v/>
      </c>
      <c r="D465" s="3">
        <f>Работы!H641</f>
        <v/>
      </c>
      <c r="E465" s="3">
        <f>Работы!I641</f>
        <v/>
      </c>
      <c r="F465" s="3">
        <f>Работы!E641</f>
        <v/>
      </c>
    </row>
    <row r="466">
      <c r="A466" s="3">
        <f>Работы!B642</f>
        <v/>
      </c>
      <c r="B466" s="3">
        <f>Работы!C642</f>
        <v/>
      </c>
      <c r="C466" s="3">
        <f>Работы!G642</f>
        <v/>
      </c>
      <c r="D466" s="3">
        <f>Работы!H642</f>
        <v/>
      </c>
      <c r="E466" s="3">
        <f>Работы!I642</f>
        <v/>
      </c>
      <c r="F466" s="3">
        <f>Работы!E642</f>
        <v/>
      </c>
    </row>
    <row r="467">
      <c r="A467" s="3">
        <f>Работы!B643</f>
        <v/>
      </c>
      <c r="B467" s="3">
        <f>Работы!C643</f>
        <v/>
      </c>
      <c r="C467" s="3">
        <f>Работы!G643</f>
        <v/>
      </c>
      <c r="D467" s="3">
        <f>Работы!H643</f>
        <v/>
      </c>
      <c r="E467" s="3">
        <f>Работы!I643</f>
        <v/>
      </c>
      <c r="F467" s="3">
        <f>Работы!E643</f>
        <v/>
      </c>
    </row>
    <row r="468">
      <c r="A468" s="3">
        <f>Работы!B644</f>
        <v/>
      </c>
      <c r="B468" s="3">
        <f>Работы!C644</f>
        <v/>
      </c>
      <c r="C468" s="3">
        <f>Работы!G644</f>
        <v/>
      </c>
      <c r="D468" s="3">
        <f>Работы!H644</f>
        <v/>
      </c>
      <c r="E468" s="3">
        <f>Работы!I644</f>
        <v/>
      </c>
      <c r="F468" s="3">
        <f>Работы!E644</f>
        <v/>
      </c>
    </row>
    <row r="469">
      <c r="A469" s="3">
        <f>Работы!B645</f>
        <v/>
      </c>
      <c r="B469" s="3">
        <f>Работы!C645</f>
        <v/>
      </c>
      <c r="C469" s="3">
        <f>Работы!G645</f>
        <v/>
      </c>
      <c r="D469" s="3">
        <f>Работы!H645</f>
        <v/>
      </c>
      <c r="E469" s="3">
        <f>Работы!I645</f>
        <v/>
      </c>
      <c r="F469" s="3">
        <f>Работы!E645</f>
        <v/>
      </c>
    </row>
    <row r="470">
      <c r="A470" s="3">
        <f>Работы!B646</f>
        <v/>
      </c>
      <c r="B470" s="3">
        <f>Работы!C646</f>
        <v/>
      </c>
      <c r="C470" s="3">
        <f>Работы!G646</f>
        <v/>
      </c>
      <c r="D470" s="3">
        <f>Работы!H646</f>
        <v/>
      </c>
      <c r="E470" s="3">
        <f>Работы!I646</f>
        <v/>
      </c>
      <c r="F470" s="3">
        <f>Работы!E646</f>
        <v/>
      </c>
    </row>
    <row r="471">
      <c r="A471" s="3">
        <f>Работы!B647</f>
        <v/>
      </c>
      <c r="B471" s="3">
        <f>Работы!C647</f>
        <v/>
      </c>
      <c r="C471" s="3">
        <f>Работы!G647</f>
        <v/>
      </c>
      <c r="D471" s="3">
        <f>Работы!H647</f>
        <v/>
      </c>
      <c r="E471" s="3">
        <f>Работы!I647</f>
        <v/>
      </c>
      <c r="F471" s="3">
        <f>Работы!E647</f>
        <v/>
      </c>
    </row>
    <row r="472">
      <c r="A472" s="3">
        <f>Работы!B648</f>
        <v/>
      </c>
      <c r="B472" s="3">
        <f>Работы!C648</f>
        <v/>
      </c>
      <c r="C472" s="3">
        <f>Работы!G648</f>
        <v/>
      </c>
      <c r="D472" s="3">
        <f>Работы!H648</f>
        <v/>
      </c>
      <c r="E472" s="3">
        <f>Работы!I648</f>
        <v/>
      </c>
      <c r="F472" s="3">
        <f>Работы!E648</f>
        <v/>
      </c>
    </row>
    <row r="473">
      <c r="A473" s="3">
        <f>Работы!B649</f>
        <v/>
      </c>
      <c r="B473" s="3">
        <f>Работы!C649</f>
        <v/>
      </c>
      <c r="C473" s="3">
        <f>Работы!G649</f>
        <v/>
      </c>
      <c r="D473" s="3">
        <f>Работы!H649</f>
        <v/>
      </c>
      <c r="E473" s="3">
        <f>Работы!I649</f>
        <v/>
      </c>
      <c r="F473" s="3">
        <f>Работы!E649</f>
        <v/>
      </c>
    </row>
    <row r="474">
      <c r="A474" s="3">
        <f>Работы!B650</f>
        <v/>
      </c>
      <c r="B474" s="3">
        <f>Работы!C650</f>
        <v/>
      </c>
      <c r="C474" s="3">
        <f>Работы!G650</f>
        <v/>
      </c>
      <c r="D474" s="3">
        <f>Работы!H650</f>
        <v/>
      </c>
      <c r="E474" s="3">
        <f>Работы!I650</f>
        <v/>
      </c>
      <c r="F474" s="3">
        <f>Работы!E650</f>
        <v/>
      </c>
    </row>
    <row r="475">
      <c r="A475" s="3">
        <f>Работы!B651</f>
        <v/>
      </c>
      <c r="B475" s="3">
        <f>Работы!C651</f>
        <v/>
      </c>
      <c r="C475" s="3">
        <f>Работы!G651</f>
        <v/>
      </c>
      <c r="D475" s="3">
        <f>Работы!H651</f>
        <v/>
      </c>
      <c r="E475" s="3">
        <f>Работы!I651</f>
        <v/>
      </c>
      <c r="F475" s="3">
        <f>Работы!E651</f>
        <v/>
      </c>
    </row>
    <row r="476">
      <c r="A476" s="3">
        <f>Работы!B652</f>
        <v/>
      </c>
      <c r="B476" s="3">
        <f>Работы!C652</f>
        <v/>
      </c>
      <c r="C476" s="3">
        <f>Работы!G652</f>
        <v/>
      </c>
      <c r="D476" s="3">
        <f>Работы!H652</f>
        <v/>
      </c>
      <c r="E476" s="3">
        <f>Работы!I652</f>
        <v/>
      </c>
      <c r="F476" s="3">
        <f>Работы!E652</f>
        <v/>
      </c>
    </row>
    <row r="477">
      <c r="A477" s="3">
        <f>Работы!B653</f>
        <v/>
      </c>
      <c r="B477" s="3">
        <f>Работы!C653</f>
        <v/>
      </c>
      <c r="C477" s="3">
        <f>Работы!G653</f>
        <v/>
      </c>
      <c r="D477" s="3">
        <f>Работы!H653</f>
        <v/>
      </c>
      <c r="E477" s="3">
        <f>Работы!I653</f>
        <v/>
      </c>
      <c r="F477" s="3">
        <f>Работы!E653</f>
        <v/>
      </c>
    </row>
    <row r="478">
      <c r="A478" s="3">
        <f>Работы!B654</f>
        <v/>
      </c>
      <c r="B478" s="3">
        <f>Работы!C654</f>
        <v/>
      </c>
      <c r="C478" s="3">
        <f>Работы!G654</f>
        <v/>
      </c>
      <c r="D478" s="3">
        <f>Работы!H654</f>
        <v/>
      </c>
      <c r="E478" s="3">
        <f>Работы!I654</f>
        <v/>
      </c>
      <c r="F478" s="3">
        <f>Работы!E654</f>
        <v/>
      </c>
    </row>
    <row r="479">
      <c r="A479" s="3">
        <f>Работы!B655</f>
        <v/>
      </c>
      <c r="B479" s="3">
        <f>Работы!C655</f>
        <v/>
      </c>
      <c r="C479" s="3">
        <f>Работы!G655</f>
        <v/>
      </c>
      <c r="D479" s="3">
        <f>Работы!H655</f>
        <v/>
      </c>
      <c r="E479" s="3">
        <f>Работы!I655</f>
        <v/>
      </c>
      <c r="F479" s="3">
        <f>Работы!E655</f>
        <v/>
      </c>
    </row>
    <row r="480">
      <c r="A480" s="3">
        <f>Работы!B656</f>
        <v/>
      </c>
      <c r="B480" s="3">
        <f>Работы!C656</f>
        <v/>
      </c>
      <c r="C480" s="3">
        <f>Работы!G656</f>
        <v/>
      </c>
      <c r="D480" s="3">
        <f>Работы!H656</f>
        <v/>
      </c>
      <c r="E480" s="3">
        <f>Работы!I656</f>
        <v/>
      </c>
      <c r="F480" s="3">
        <f>Работы!E656</f>
        <v/>
      </c>
    </row>
    <row r="481">
      <c r="A481" s="3">
        <f>Работы!B657</f>
        <v/>
      </c>
      <c r="B481" s="3">
        <f>Работы!C657</f>
        <v/>
      </c>
      <c r="C481" s="3">
        <f>Работы!G657</f>
        <v/>
      </c>
      <c r="D481" s="3">
        <f>Работы!H657</f>
        <v/>
      </c>
      <c r="E481" s="3">
        <f>Работы!I657</f>
        <v/>
      </c>
      <c r="F481" s="3">
        <f>Работы!E657</f>
        <v/>
      </c>
    </row>
    <row r="482">
      <c r="A482" s="3">
        <f>Работы!B658</f>
        <v/>
      </c>
      <c r="B482" s="3">
        <f>Работы!C658</f>
        <v/>
      </c>
      <c r="C482" s="3">
        <f>Работы!G658</f>
        <v/>
      </c>
      <c r="D482" s="3">
        <f>Работы!H658</f>
        <v/>
      </c>
      <c r="E482" s="3">
        <f>Работы!I658</f>
        <v/>
      </c>
      <c r="F482" s="3">
        <f>Работы!E658</f>
        <v/>
      </c>
    </row>
    <row r="483">
      <c r="A483" s="3">
        <f>Работы!B659</f>
        <v/>
      </c>
      <c r="B483" s="3">
        <f>Работы!C659</f>
        <v/>
      </c>
      <c r="C483" s="3">
        <f>Работы!G659</f>
        <v/>
      </c>
      <c r="D483" s="3">
        <f>Работы!H659</f>
        <v/>
      </c>
      <c r="E483" s="3">
        <f>Работы!I659</f>
        <v/>
      </c>
      <c r="F483" s="3">
        <f>Работы!E659</f>
        <v/>
      </c>
    </row>
    <row r="484">
      <c r="A484" s="3">
        <f>Работы!B660</f>
        <v/>
      </c>
      <c r="B484" s="3">
        <f>Работы!C660</f>
        <v/>
      </c>
      <c r="C484" s="3">
        <f>Работы!G660</f>
        <v/>
      </c>
      <c r="D484" s="3">
        <f>Работы!H660</f>
        <v/>
      </c>
      <c r="E484" s="3">
        <f>Работы!I660</f>
        <v/>
      </c>
      <c r="F484" s="3">
        <f>Работы!E660</f>
        <v/>
      </c>
    </row>
    <row r="485">
      <c r="A485" s="3">
        <f>Работы!B661</f>
        <v/>
      </c>
      <c r="B485" s="3">
        <f>Работы!C661</f>
        <v/>
      </c>
      <c r="C485" s="3">
        <f>Работы!G661</f>
        <v/>
      </c>
      <c r="D485" s="3">
        <f>Работы!H661</f>
        <v/>
      </c>
      <c r="E485" s="3">
        <f>Работы!I661</f>
        <v/>
      </c>
      <c r="F485" s="3">
        <f>Работы!E661</f>
        <v/>
      </c>
    </row>
    <row r="486">
      <c r="A486" s="3">
        <f>Работы!B662</f>
        <v/>
      </c>
      <c r="B486" s="3">
        <f>Работы!C662</f>
        <v/>
      </c>
      <c r="C486" s="3">
        <f>Работы!G662</f>
        <v/>
      </c>
      <c r="D486" s="3">
        <f>Работы!H662</f>
        <v/>
      </c>
      <c r="E486" s="3">
        <f>Работы!I662</f>
        <v/>
      </c>
      <c r="F486" s="3">
        <f>Работы!E662</f>
        <v/>
      </c>
    </row>
    <row r="487">
      <c r="A487" s="3">
        <f>Работы!B663</f>
        <v/>
      </c>
      <c r="B487" s="3">
        <f>Работы!C663</f>
        <v/>
      </c>
      <c r="C487" s="3">
        <f>Работы!G663</f>
        <v/>
      </c>
      <c r="D487" s="3">
        <f>Работы!H663</f>
        <v/>
      </c>
      <c r="E487" s="3">
        <f>Работы!I663</f>
        <v/>
      </c>
      <c r="F487" s="3">
        <f>Работы!E663</f>
        <v/>
      </c>
    </row>
    <row r="488">
      <c r="A488" s="3">
        <f>Работы!B664</f>
        <v/>
      </c>
      <c r="B488" s="3">
        <f>Работы!C664</f>
        <v/>
      </c>
      <c r="C488" s="3">
        <f>Работы!G664</f>
        <v/>
      </c>
      <c r="D488" s="3">
        <f>Работы!H664</f>
        <v/>
      </c>
      <c r="E488" s="3">
        <f>Работы!I664</f>
        <v/>
      </c>
      <c r="F488" s="3">
        <f>Работы!E664</f>
        <v/>
      </c>
    </row>
    <row r="489">
      <c r="A489" s="3">
        <f>Работы!B665</f>
        <v/>
      </c>
      <c r="B489" s="3">
        <f>Работы!C665</f>
        <v/>
      </c>
      <c r="C489" s="3">
        <f>Работы!G665</f>
        <v/>
      </c>
      <c r="D489" s="3">
        <f>Работы!H665</f>
        <v/>
      </c>
      <c r="E489" s="3">
        <f>Работы!I665</f>
        <v/>
      </c>
      <c r="F489" s="3">
        <f>Работы!E665</f>
        <v/>
      </c>
    </row>
    <row r="490">
      <c r="A490" s="3">
        <f>Работы!B666</f>
        <v/>
      </c>
      <c r="B490" s="3">
        <f>Работы!C666</f>
        <v/>
      </c>
      <c r="C490" s="3">
        <f>Работы!G666</f>
        <v/>
      </c>
      <c r="D490" s="3">
        <f>Работы!H666</f>
        <v/>
      </c>
      <c r="E490" s="3">
        <f>Работы!I666</f>
        <v/>
      </c>
      <c r="F490" s="3">
        <f>Работы!E666</f>
        <v/>
      </c>
    </row>
    <row r="491">
      <c r="A491" s="3">
        <f>Работы!B667</f>
        <v/>
      </c>
      <c r="B491" s="3">
        <f>Работы!C667</f>
        <v/>
      </c>
      <c r="C491" s="3">
        <f>Работы!G667</f>
        <v/>
      </c>
      <c r="D491" s="3">
        <f>Работы!H667</f>
        <v/>
      </c>
      <c r="E491" s="3">
        <f>Работы!I667</f>
        <v/>
      </c>
      <c r="F491" s="3">
        <f>Работы!E667</f>
        <v/>
      </c>
    </row>
    <row r="492">
      <c r="A492" s="3">
        <f>Работы!B668</f>
        <v/>
      </c>
      <c r="B492" s="3">
        <f>Работы!C668</f>
        <v/>
      </c>
      <c r="C492" s="3">
        <f>Работы!G668</f>
        <v/>
      </c>
      <c r="D492" s="3">
        <f>Работы!H668</f>
        <v/>
      </c>
      <c r="E492" s="3">
        <f>Работы!I668</f>
        <v/>
      </c>
      <c r="F492" s="3">
        <f>Работы!E668</f>
        <v/>
      </c>
    </row>
    <row r="493">
      <c r="A493" s="3">
        <f>Работы!B669</f>
        <v/>
      </c>
      <c r="B493" s="3">
        <f>Работы!C669</f>
        <v/>
      </c>
      <c r="C493" s="3">
        <f>Работы!G669</f>
        <v/>
      </c>
      <c r="D493" s="3">
        <f>Работы!H669</f>
        <v/>
      </c>
      <c r="E493" s="3">
        <f>Работы!I669</f>
        <v/>
      </c>
      <c r="F493" s="3">
        <f>Работы!E669</f>
        <v/>
      </c>
    </row>
    <row r="494">
      <c r="A494" s="3">
        <f>Работы!B670</f>
        <v/>
      </c>
      <c r="B494" s="3">
        <f>Работы!C670</f>
        <v/>
      </c>
      <c r="C494" s="3">
        <f>Работы!G670</f>
        <v/>
      </c>
      <c r="D494" s="3">
        <f>Работы!H670</f>
        <v/>
      </c>
      <c r="E494" s="3">
        <f>Работы!I670</f>
        <v/>
      </c>
      <c r="F494" s="3">
        <f>Работы!E670</f>
        <v/>
      </c>
    </row>
    <row r="495">
      <c r="A495" s="3">
        <f>Работы!B671</f>
        <v/>
      </c>
      <c r="B495" s="3">
        <f>Работы!C671</f>
        <v/>
      </c>
      <c r="C495" s="3">
        <f>Работы!G671</f>
        <v/>
      </c>
      <c r="D495" s="3">
        <f>Работы!H671</f>
        <v/>
      </c>
      <c r="E495" s="3">
        <f>Работы!I671</f>
        <v/>
      </c>
      <c r="F495" s="3">
        <f>Работы!E671</f>
        <v/>
      </c>
    </row>
  </sheetData>
  <autoFilter ref="A3:F3"/>
  <pageMargins left="0.75" right="0.75" top="1" bottom="1" header="0.5" footer="0.5"/>
  <pageSetup orientation="landscape" paperSize="9" fitToHeight="0" fitToWidth="1"/>
  <headerFooter>
    <oddHeader/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2026-10-29T16:05:11Z</dcterms:created>
  <dcterms:modified xmlns:dcterms="http://purl.org/dc/terms/" xmlns:xsi="http://www.w3.org/2001/XMLSchema-instance" xsi:type="dcterms:W3CDTF">2026-10-29T16:17:45Z</dcterms:modified>
</cp:coreProperties>
</file>