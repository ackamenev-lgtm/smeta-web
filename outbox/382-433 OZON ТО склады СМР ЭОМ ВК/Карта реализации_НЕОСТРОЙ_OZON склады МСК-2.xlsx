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:r="http://schemas.openxmlformats.org/officeDocument/2006/relationships" xmlns="http://schemas.openxmlformats.org/spreadsheetml/2006/main">
  <workbookPr updateLinks="always"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сурсы" sheetId="1" state="visible" r:id="rId1"/>
    <sheet xmlns:r="http://schemas.openxmlformats.org/officeDocument/2006/relationships" name="График" sheetId="2" state="visible" r:id="rId2"/>
  </sheets>
  <definedNames/>
  <externalReferences>
    <externalReference r:id="rIdExt"/>
  </externalReferenc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0"/>
    </font>
    <font>
      <name val="Calibri"/>
      <i val="1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4" fontId="0" fillId="0" borderId="1" pivotButton="0" quotePrefix="0" xfId="0"/>
    <xf numFmtId="0" fontId="0" fillId="3" borderId="0" pivotButton="0" quotePrefix="0" xfId="0"/>
    <xf numFmtId="0" fontId="3" fillId="0" borderId="0" applyAlignment="1" pivotButton="0" quotePrefix="0" xfId="0">
      <alignment wrapText="1"/>
    </xf>
    <xf numFmtId="0" fontId="4" fillId="4" borderId="1" pivotButton="0" quotePrefix="0" xfId="0"/>
    <xf numFmtId="4" fontId="4" fillId="5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Id="rIdExt" Type="http://schemas.openxmlformats.org/officeDocument/2006/relationships/externalLink" Target="externalLinks/externalLink1.xml"/></Relationships>
</file>

<file path=xl/externalLinks/_rels/externalLink1.xml.rels><?xml version="1.0" encoding="UTF-8" standalone="yes"?>
<Relationships xmlns="http://schemas.openxmlformats.org/package/2006/relationships">
  <Relationship Id="rId1" Type="http://schemas.openxmlformats.org/officeDocument/2006/relationships/externalLinkPath" Target="&#1041;&#1102;&#1076;&#1078;&#1077;&#1090; &#1089;&#1077;&#1073;&#1077;&#1089;&#1090;&#1086;&#1080;&#1084;&#1086;&#1089;&#1090;&#1080;_&#1053;&#1045;&#1054;&#1057;&#1058;&#1056;&#1054;&#1049;_OZON &#1089;&#1082;&#1083;&#1072;&#1076;&#1099; &#1052;&#1057;&#1050;-2.xlsx" TargetMode="External"/>
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Работы"/>
      <sheetName val="Свод"/>
    </sheetNames>
    <sheetDataSet>
      <sheetData sheetId="0">
        <row r="4">
          <cell r="F4" t="str">
            <v>SAN</v>
          </cell>
          <cell r="U4">
            <v>0.16</v>
          </cell>
        </row>
        <row r="5">
          <cell r="F5" t="str">
            <v>SAN</v>
          </cell>
          <cell r="U5">
            <v>0.1</v>
          </cell>
        </row>
        <row r="6">
          <cell r="F6" t="str">
            <v>SAN</v>
          </cell>
          <cell r="U6">
            <v>6</v>
          </cell>
        </row>
        <row r="7">
          <cell r="F7" t="str">
            <v>VOR</v>
          </cell>
          <cell r="U7">
            <v>3</v>
          </cell>
        </row>
        <row r="8">
          <cell r="F8" t="str">
            <v>VOR</v>
          </cell>
          <cell r="U8">
            <v>40</v>
          </cell>
        </row>
        <row r="9">
          <cell r="F9" t="str">
            <v>SVA</v>
          </cell>
          <cell r="U9">
            <v>60</v>
          </cell>
        </row>
        <row r="10">
          <cell r="F10" t="str">
            <v>VOR</v>
          </cell>
          <cell r="U10">
            <v>30</v>
          </cell>
        </row>
        <row r="11">
          <cell r="F11" t="str">
            <v>SVA</v>
          </cell>
          <cell r="U11">
            <v>50</v>
          </cell>
        </row>
        <row r="12">
          <cell r="F12" t="str">
            <v>SAN</v>
          </cell>
          <cell r="U12">
            <v>16</v>
          </cell>
        </row>
        <row r="13">
          <cell r="F13" t="str">
            <v>SAN</v>
          </cell>
          <cell r="U13">
            <v>24</v>
          </cell>
        </row>
        <row r="14">
          <cell r="F14" t="str">
            <v>SAN</v>
          </cell>
          <cell r="U14">
            <v>40</v>
          </cell>
        </row>
        <row r="15">
          <cell r="F15" t="str">
            <v>SAN</v>
          </cell>
          <cell r="U15">
            <v>8</v>
          </cell>
        </row>
        <row r="16">
          <cell r="F16" t="str">
            <v>SAN</v>
          </cell>
          <cell r="U16">
            <v>20</v>
          </cell>
        </row>
        <row r="17">
          <cell r="F17" t="str">
            <v>SAN</v>
          </cell>
          <cell r="U17">
            <v>30</v>
          </cell>
        </row>
        <row r="18">
          <cell r="F18" t="str">
            <v>SAN</v>
          </cell>
          <cell r="U18">
            <v>28</v>
          </cell>
        </row>
        <row r="19">
          <cell r="F19" t="str">
            <v>SAN</v>
          </cell>
          <cell r="U19">
            <v>24</v>
          </cell>
        </row>
        <row r="20">
          <cell r="F20" t="str">
            <v>SAN</v>
          </cell>
          <cell r="U20">
            <v>16</v>
          </cell>
        </row>
        <row r="21">
          <cell r="F21" t="str">
            <v>SAN</v>
          </cell>
          <cell r="U21">
            <v>28</v>
          </cell>
        </row>
        <row r="22">
          <cell r="F22" t="str">
            <v>SAN</v>
          </cell>
          <cell r="U22">
            <v>16</v>
          </cell>
        </row>
        <row r="23">
          <cell r="F23" t="str">
            <v>SAN</v>
          </cell>
          <cell r="U23">
            <v>6</v>
          </cell>
        </row>
        <row r="24">
          <cell r="F24" t="str">
            <v>SAN</v>
          </cell>
          <cell r="U24">
            <v>5.6</v>
          </cell>
        </row>
        <row r="25">
          <cell r="F25" t="str">
            <v>SAN</v>
          </cell>
          <cell r="U25">
            <v>5.6</v>
          </cell>
        </row>
        <row r="26">
          <cell r="F26" t="str">
            <v>SAN</v>
          </cell>
          <cell r="U26">
            <v>5.6</v>
          </cell>
        </row>
        <row r="27">
          <cell r="F27" t="str">
            <v>SAN</v>
          </cell>
          <cell r="U27">
            <v>20</v>
          </cell>
        </row>
        <row r="28">
          <cell r="F28" t="str">
            <v>SAN</v>
          </cell>
          <cell r="U28">
            <v>16</v>
          </cell>
        </row>
        <row r="29">
          <cell r="F29" t="str">
            <v>SAN</v>
          </cell>
          <cell r="U29">
            <v>24</v>
          </cell>
        </row>
        <row r="30">
          <cell r="F30" t="str">
            <v>SAN</v>
          </cell>
          <cell r="U30">
            <v>1</v>
          </cell>
        </row>
        <row r="31">
          <cell r="F31" t="str">
            <v>KRO</v>
          </cell>
          <cell r="U31">
            <v>12.5</v>
          </cell>
        </row>
        <row r="32">
          <cell r="F32" t="str">
            <v>FAS</v>
          </cell>
          <cell r="U32">
            <v>15</v>
          </cell>
        </row>
        <row r="33">
          <cell r="F33" t="str">
            <v>FAS</v>
          </cell>
          <cell r="U33">
            <v>15</v>
          </cell>
        </row>
        <row r="34">
          <cell r="F34" t="str">
            <v>FAS</v>
          </cell>
          <cell r="U34">
            <v>15</v>
          </cell>
        </row>
        <row r="35">
          <cell r="F35" t="str">
            <v>SVA</v>
          </cell>
          <cell r="U35">
            <v>40</v>
          </cell>
        </row>
        <row r="36">
          <cell r="F36" t="str">
            <v>SVA</v>
          </cell>
          <cell r="U36">
            <v>40</v>
          </cell>
        </row>
        <row r="37">
          <cell r="F37" t="str">
            <v>PLI</v>
          </cell>
          <cell r="U37">
            <v>225</v>
          </cell>
        </row>
        <row r="38">
          <cell r="F38" t="str">
            <v>PLI</v>
          </cell>
          <cell r="U38">
            <v>225</v>
          </cell>
        </row>
        <row r="39">
          <cell r="F39" t="str">
            <v>PLI</v>
          </cell>
          <cell r="U39">
            <v>225</v>
          </cell>
        </row>
        <row r="40">
          <cell r="F40" t="str">
            <v>PLI</v>
          </cell>
          <cell r="U40">
            <v>225</v>
          </cell>
        </row>
        <row r="41">
          <cell r="F41" t="str">
            <v>PLI</v>
          </cell>
          <cell r="U41">
            <v>225</v>
          </cell>
        </row>
        <row r="42">
          <cell r="F42" t="str">
            <v>PLI</v>
          </cell>
          <cell r="U42">
            <v>225</v>
          </cell>
        </row>
        <row r="43">
          <cell r="F43" t="str">
            <v>PLI</v>
          </cell>
          <cell r="U43">
            <v>225</v>
          </cell>
        </row>
        <row r="44">
          <cell r="F44" t="str">
            <v>PLI</v>
          </cell>
          <cell r="U44">
            <v>225</v>
          </cell>
        </row>
        <row r="45">
          <cell r="F45" t="str">
            <v>PLI</v>
          </cell>
          <cell r="U45">
            <v>225</v>
          </cell>
        </row>
        <row r="46">
          <cell r="F46" t="str">
            <v>PLI</v>
          </cell>
          <cell r="U46">
            <v>225</v>
          </cell>
        </row>
        <row r="47">
          <cell r="F47" t="str">
            <v>PLI</v>
          </cell>
          <cell r="U47">
            <v>30</v>
          </cell>
        </row>
        <row r="48">
          <cell r="F48" t="str">
            <v>PLI</v>
          </cell>
          <cell r="U48">
            <v>125</v>
          </cell>
        </row>
        <row r="49">
          <cell r="F49" t="str">
            <v>OTD</v>
          </cell>
          <cell r="U49">
            <v>125</v>
          </cell>
        </row>
        <row r="50">
          <cell r="F50" t="str">
            <v>PLI</v>
          </cell>
          <cell r="U50">
            <v>50</v>
          </cell>
        </row>
        <row r="51">
          <cell r="F51" t="str">
            <v>OTD</v>
          </cell>
          <cell r="U51">
            <v>150</v>
          </cell>
        </row>
        <row r="52">
          <cell r="F52" t="str">
            <v>OTD</v>
          </cell>
          <cell r="U52">
            <v>175</v>
          </cell>
        </row>
        <row r="53">
          <cell r="F53" t="str">
            <v>OTD</v>
          </cell>
          <cell r="U53">
            <v>70</v>
          </cell>
        </row>
        <row r="54">
          <cell r="F54" t="str">
            <v>PLI</v>
          </cell>
          <cell r="U54">
            <v>75</v>
          </cell>
        </row>
        <row r="55">
          <cell r="F55" t="str">
            <v>PLI</v>
          </cell>
          <cell r="U55">
            <v>75</v>
          </cell>
        </row>
        <row r="56">
          <cell r="F56" t="str">
            <v>PLI</v>
          </cell>
          <cell r="U56">
            <v>75</v>
          </cell>
        </row>
        <row r="57">
          <cell r="F57" t="str">
            <v>PLI</v>
          </cell>
          <cell r="U57">
            <v>75</v>
          </cell>
        </row>
        <row r="58">
          <cell r="F58" t="str">
            <v>FAS</v>
          </cell>
          <cell r="U58">
            <v>70</v>
          </cell>
        </row>
        <row r="59">
          <cell r="F59" t="str">
            <v>FAS</v>
          </cell>
          <cell r="U59">
            <v>70</v>
          </cell>
        </row>
        <row r="60">
          <cell r="F60" t="str">
            <v>FAS</v>
          </cell>
          <cell r="U60">
            <v>70</v>
          </cell>
        </row>
        <row r="61">
          <cell r="F61" t="str">
            <v>OTD</v>
          </cell>
          <cell r="U61">
            <v>35</v>
          </cell>
        </row>
        <row r="62">
          <cell r="F62" t="str">
            <v>OTD</v>
          </cell>
          <cell r="U62">
            <v>35</v>
          </cell>
        </row>
        <row r="63">
          <cell r="F63" t="str">
            <v>OTD</v>
          </cell>
          <cell r="U63">
            <v>35</v>
          </cell>
        </row>
        <row r="64">
          <cell r="F64" t="str">
            <v>OTD</v>
          </cell>
          <cell r="U64">
            <v>12</v>
          </cell>
        </row>
        <row r="65">
          <cell r="F65" t="str">
            <v>OTD</v>
          </cell>
          <cell r="U65">
            <v>12</v>
          </cell>
        </row>
        <row r="66">
          <cell r="F66" t="str">
            <v>OTD</v>
          </cell>
          <cell r="U66">
            <v>20</v>
          </cell>
        </row>
        <row r="67">
          <cell r="F67" t="str">
            <v>OTD</v>
          </cell>
          <cell r="U67">
            <v>20</v>
          </cell>
        </row>
        <row r="68">
          <cell r="F68" t="str">
            <v>OTD</v>
          </cell>
          <cell r="U68">
            <v>20</v>
          </cell>
        </row>
        <row r="69">
          <cell r="F69" t="str">
            <v>OTD</v>
          </cell>
          <cell r="U69">
            <v>55</v>
          </cell>
        </row>
        <row r="70">
          <cell r="F70" t="str">
            <v>OTD</v>
          </cell>
          <cell r="U70">
            <v>45</v>
          </cell>
        </row>
        <row r="71">
          <cell r="F71" t="str">
            <v>OTD</v>
          </cell>
          <cell r="U71">
            <v>4</v>
          </cell>
        </row>
        <row r="72">
          <cell r="F72" t="str">
            <v>OTD</v>
          </cell>
          <cell r="U72">
            <v>55</v>
          </cell>
        </row>
        <row r="73">
          <cell r="F73" t="str">
            <v>OTD</v>
          </cell>
          <cell r="U73">
            <v>45</v>
          </cell>
        </row>
        <row r="74">
          <cell r="F74" t="str">
            <v>OTD</v>
          </cell>
          <cell r="U74">
            <v>35</v>
          </cell>
        </row>
        <row r="75">
          <cell r="F75" t="str">
            <v>OTD</v>
          </cell>
          <cell r="U75">
            <v>15</v>
          </cell>
        </row>
        <row r="76">
          <cell r="F76" t="str">
            <v>OTD</v>
          </cell>
          <cell r="U76">
            <v>15</v>
          </cell>
        </row>
        <row r="77">
          <cell r="F77" t="str">
            <v>OTD</v>
          </cell>
          <cell r="U77">
            <v>5</v>
          </cell>
        </row>
        <row r="78">
          <cell r="F78" t="str">
            <v>OTD</v>
          </cell>
          <cell r="U78">
            <v>8</v>
          </cell>
        </row>
        <row r="79">
          <cell r="F79" t="str">
            <v>OTD</v>
          </cell>
          <cell r="U79">
            <v>45</v>
          </cell>
        </row>
        <row r="80">
          <cell r="F80" t="str">
            <v>OTD</v>
          </cell>
          <cell r="U80">
            <v>45</v>
          </cell>
        </row>
        <row r="81">
          <cell r="F81" t="str">
            <v>SAN</v>
          </cell>
          <cell r="U81">
            <v>140</v>
          </cell>
        </row>
        <row r="82">
          <cell r="F82" t="str">
            <v>OTD</v>
          </cell>
          <cell r="U82">
            <v>25</v>
          </cell>
        </row>
        <row r="83">
          <cell r="F83" t="str">
            <v>OTD</v>
          </cell>
          <cell r="U83">
            <v>4</v>
          </cell>
        </row>
        <row r="84">
          <cell r="F84" t="str">
            <v>OTD</v>
          </cell>
          <cell r="U84">
            <v>55</v>
          </cell>
        </row>
        <row r="85">
          <cell r="F85" t="str">
            <v>OTD</v>
          </cell>
          <cell r="U85">
            <v>8</v>
          </cell>
        </row>
        <row r="86">
          <cell r="F86" t="str">
            <v>OTD</v>
          </cell>
          <cell r="U86">
            <v>8</v>
          </cell>
        </row>
        <row r="87">
          <cell r="F87" t="str">
            <v>OTD</v>
          </cell>
          <cell r="U87">
            <v>8</v>
          </cell>
        </row>
        <row r="88">
          <cell r="F88" t="str">
            <v>BET</v>
          </cell>
          <cell r="U88">
            <v>8</v>
          </cell>
        </row>
        <row r="89">
          <cell r="F89" t="str">
            <v>DVR</v>
          </cell>
          <cell r="U89">
            <v>30</v>
          </cell>
        </row>
        <row r="90">
          <cell r="F90" t="str">
            <v>DVR</v>
          </cell>
          <cell r="U90">
            <v>30</v>
          </cell>
        </row>
        <row r="91">
          <cell r="F91" t="str">
            <v>DVR</v>
          </cell>
          <cell r="U91">
            <v>30</v>
          </cell>
        </row>
        <row r="92">
          <cell r="F92" t="str">
            <v>DVR</v>
          </cell>
          <cell r="U92">
            <v>30</v>
          </cell>
        </row>
        <row r="93">
          <cell r="F93" t="str">
            <v>DVR</v>
          </cell>
          <cell r="U93">
            <v>30</v>
          </cell>
        </row>
        <row r="94">
          <cell r="F94" t="str">
            <v>DVR</v>
          </cell>
          <cell r="U94">
            <v>30</v>
          </cell>
        </row>
        <row r="95">
          <cell r="F95" t="str">
            <v>ELM</v>
          </cell>
          <cell r="U95">
            <v>40</v>
          </cell>
        </row>
        <row r="96">
          <cell r="F96" t="str">
            <v>DVR</v>
          </cell>
          <cell r="U96">
            <v>40</v>
          </cell>
        </row>
        <row r="97">
          <cell r="F97" t="str">
            <v>DVR</v>
          </cell>
          <cell r="U97">
            <v>40</v>
          </cell>
        </row>
        <row r="98">
          <cell r="F98" t="str">
            <v>DVR</v>
          </cell>
          <cell r="U98">
            <v>40</v>
          </cell>
        </row>
        <row r="99">
          <cell r="F99" t="str">
            <v>DVR</v>
          </cell>
          <cell r="U99">
            <v>40</v>
          </cell>
        </row>
        <row r="100">
          <cell r="F100" t="str">
            <v>DVR</v>
          </cell>
          <cell r="U100">
            <v>40</v>
          </cell>
        </row>
        <row r="101">
          <cell r="F101" t="str">
            <v>DVR</v>
          </cell>
          <cell r="U101">
            <v>40</v>
          </cell>
        </row>
        <row r="102">
          <cell r="F102" t="str">
            <v>DVR</v>
          </cell>
          <cell r="U102">
            <v>40</v>
          </cell>
        </row>
        <row r="103">
          <cell r="F103" t="str">
            <v>DVR</v>
          </cell>
          <cell r="U103">
            <v>200</v>
          </cell>
        </row>
        <row r="104">
          <cell r="F104" t="str">
            <v>SAN</v>
          </cell>
          <cell r="U104">
            <v>35</v>
          </cell>
        </row>
        <row r="105">
          <cell r="F105" t="str">
            <v>DVR</v>
          </cell>
          <cell r="U105">
            <v>160</v>
          </cell>
        </row>
        <row r="106">
          <cell r="F106" t="str">
            <v>DVR</v>
          </cell>
          <cell r="U106">
            <v>160</v>
          </cell>
        </row>
        <row r="107">
          <cell r="F107" t="str">
            <v>DVR</v>
          </cell>
          <cell r="U107">
            <v>160</v>
          </cell>
        </row>
        <row r="108">
          <cell r="F108" t="str">
            <v>DVR</v>
          </cell>
          <cell r="U108">
            <v>160</v>
          </cell>
        </row>
        <row r="109">
          <cell r="F109" t="str">
            <v>DVR</v>
          </cell>
          <cell r="U109">
            <v>500</v>
          </cell>
        </row>
        <row r="110">
          <cell r="F110" t="str">
            <v>DVR</v>
          </cell>
          <cell r="U110">
            <v>500</v>
          </cell>
        </row>
        <row r="111">
          <cell r="F111" t="str">
            <v>DVR</v>
          </cell>
          <cell r="U111">
            <v>500</v>
          </cell>
        </row>
        <row r="112">
          <cell r="F112" t="str">
            <v>DVR</v>
          </cell>
          <cell r="U112">
            <v>500</v>
          </cell>
        </row>
        <row r="113">
          <cell r="F113" t="str">
            <v>DVR</v>
          </cell>
          <cell r="U113">
            <v>700</v>
          </cell>
        </row>
        <row r="114">
          <cell r="F114" t="str">
            <v>DVR</v>
          </cell>
          <cell r="U114">
            <v>700</v>
          </cell>
        </row>
        <row r="115">
          <cell r="F115" t="str">
            <v>DVR</v>
          </cell>
          <cell r="U115">
            <v>700</v>
          </cell>
        </row>
        <row r="116">
          <cell r="F116" t="str">
            <v>DVR</v>
          </cell>
          <cell r="U116">
            <v>700</v>
          </cell>
        </row>
        <row r="117">
          <cell r="F117" t="str">
            <v>DVR</v>
          </cell>
          <cell r="U117">
            <v>700</v>
          </cell>
        </row>
        <row r="118">
          <cell r="F118" t="str">
            <v>DVR</v>
          </cell>
          <cell r="U118">
            <v>700</v>
          </cell>
        </row>
        <row r="119">
          <cell r="F119" t="str">
            <v>DVR</v>
          </cell>
          <cell r="U119">
            <v>700</v>
          </cell>
        </row>
        <row r="120">
          <cell r="F120" t="str">
            <v>DVR</v>
          </cell>
          <cell r="U120">
            <v>500</v>
          </cell>
        </row>
        <row r="121">
          <cell r="F121" t="str">
            <v>DVR</v>
          </cell>
          <cell r="U121">
            <v>500</v>
          </cell>
        </row>
        <row r="122">
          <cell r="F122" t="str">
            <v>DVR</v>
          </cell>
          <cell r="U122">
            <v>500</v>
          </cell>
        </row>
        <row r="123">
          <cell r="F123" t="str">
            <v>SVA</v>
          </cell>
          <cell r="U123">
            <v>43.9</v>
          </cell>
        </row>
        <row r="124">
          <cell r="F124" t="str">
            <v>SVA</v>
          </cell>
          <cell r="U124">
            <v>53.7</v>
          </cell>
        </row>
        <row r="125">
          <cell r="F125" t="str">
            <v>SVA</v>
          </cell>
          <cell r="U125">
            <v>59.5</v>
          </cell>
        </row>
        <row r="126">
          <cell r="F126" t="str">
            <v>SVA</v>
          </cell>
          <cell r="U126">
            <v>70.3</v>
          </cell>
        </row>
        <row r="127">
          <cell r="F127" t="str">
            <v>SVA</v>
          </cell>
          <cell r="U127">
            <v>76.7</v>
          </cell>
        </row>
        <row r="128">
          <cell r="F128" t="str">
            <v>SVA</v>
          </cell>
          <cell r="U128">
            <v>28.5</v>
          </cell>
        </row>
        <row r="129">
          <cell r="F129" t="str">
            <v>SVA</v>
          </cell>
          <cell r="U129">
            <v>29.9</v>
          </cell>
        </row>
        <row r="130">
          <cell r="F130" t="str">
            <v>SVA</v>
          </cell>
          <cell r="U130">
            <v>30.6</v>
          </cell>
        </row>
        <row r="131">
          <cell r="F131" t="str">
            <v>SVA</v>
          </cell>
          <cell r="U131">
            <v>32.7</v>
          </cell>
        </row>
        <row r="132">
          <cell r="F132" t="str">
            <v>SVA</v>
          </cell>
          <cell r="U132">
            <v>32</v>
          </cell>
        </row>
        <row r="133">
          <cell r="F133" t="str">
            <v>SVA</v>
          </cell>
          <cell r="U133">
            <v>35.6</v>
          </cell>
        </row>
        <row r="134">
          <cell r="F134" t="str">
            <v>SVA</v>
          </cell>
          <cell r="U134">
            <v>35.6</v>
          </cell>
        </row>
        <row r="135">
          <cell r="F135" t="str">
            <v>SVA</v>
          </cell>
          <cell r="U135">
            <v>38.4</v>
          </cell>
        </row>
        <row r="136">
          <cell r="F136" t="str">
            <v>SVA</v>
          </cell>
          <cell r="U136">
            <v>41.2</v>
          </cell>
        </row>
        <row r="137">
          <cell r="F137" t="str">
            <v>SVA</v>
          </cell>
          <cell r="U137">
            <v>65</v>
          </cell>
        </row>
        <row r="138">
          <cell r="F138" t="str">
            <v>SVA</v>
          </cell>
          <cell r="U138">
            <v>89.1</v>
          </cell>
        </row>
        <row r="139">
          <cell r="F139" t="str">
            <v>SVA</v>
          </cell>
          <cell r="U139">
            <v>53.7</v>
          </cell>
        </row>
        <row r="140">
          <cell r="F140" t="str">
            <v>SVA</v>
          </cell>
          <cell r="U140">
            <v>17.1</v>
          </cell>
        </row>
        <row r="141">
          <cell r="F141" t="str">
            <v>SVA</v>
          </cell>
          <cell r="U141">
            <v>18.8</v>
          </cell>
        </row>
        <row r="142">
          <cell r="F142" t="str">
            <v>SVA</v>
          </cell>
          <cell r="U142">
            <v>20.5</v>
          </cell>
        </row>
        <row r="143">
          <cell r="F143" t="str">
            <v>SVA</v>
          </cell>
          <cell r="U143">
            <v>23.3</v>
          </cell>
        </row>
        <row r="144">
          <cell r="F144" t="str">
            <v>SVA</v>
          </cell>
          <cell r="U144">
            <v>28.5</v>
          </cell>
        </row>
        <row r="145">
          <cell r="F145" t="str">
            <v>SVA</v>
          </cell>
          <cell r="U145">
            <v>31.5</v>
          </cell>
        </row>
        <row r="146">
          <cell r="F146" t="str">
            <v>SVA</v>
          </cell>
          <cell r="U146">
            <v>41.8</v>
          </cell>
        </row>
        <row r="147">
          <cell r="F147" t="str">
            <v>SVA</v>
          </cell>
          <cell r="U147">
            <v>120</v>
          </cell>
        </row>
        <row r="148">
          <cell r="F148" t="str">
            <v>SVA</v>
          </cell>
          <cell r="U148">
            <v>120</v>
          </cell>
        </row>
        <row r="149">
          <cell r="F149" t="str">
            <v>SVA</v>
          </cell>
          <cell r="U149">
            <v>120</v>
          </cell>
        </row>
        <row r="150">
          <cell r="F150" t="str">
            <v>SVA</v>
          </cell>
          <cell r="U150">
            <v>120</v>
          </cell>
        </row>
        <row r="151">
          <cell r="F151" t="str">
            <v>SVA</v>
          </cell>
          <cell r="U151">
            <v>120</v>
          </cell>
        </row>
        <row r="152">
          <cell r="F152" t="str">
            <v>SVA</v>
          </cell>
          <cell r="U152">
            <v>120</v>
          </cell>
        </row>
        <row r="153">
          <cell r="F153" t="str">
            <v>SVA</v>
          </cell>
          <cell r="U153">
            <v>120</v>
          </cell>
        </row>
        <row r="154">
          <cell r="F154" t="str">
            <v>SVA</v>
          </cell>
          <cell r="U154">
            <v>120</v>
          </cell>
        </row>
        <row r="155">
          <cell r="F155" t="str">
            <v>SVA</v>
          </cell>
          <cell r="U155">
            <v>15</v>
          </cell>
        </row>
        <row r="156">
          <cell r="F156" t="str">
            <v>SVA</v>
          </cell>
          <cell r="U156">
            <v>15</v>
          </cell>
        </row>
        <row r="157">
          <cell r="F157" t="str">
            <v>SVA</v>
          </cell>
          <cell r="U157">
            <v>15</v>
          </cell>
        </row>
        <row r="158">
          <cell r="F158" t="str">
            <v>SVA</v>
          </cell>
          <cell r="U158">
            <v>20</v>
          </cell>
        </row>
        <row r="159">
          <cell r="F159" t="str">
            <v>SVA</v>
          </cell>
          <cell r="U159">
            <v>20</v>
          </cell>
        </row>
        <row r="160">
          <cell r="F160" t="str">
            <v>SVA</v>
          </cell>
          <cell r="U160">
            <v>20</v>
          </cell>
        </row>
        <row r="161">
          <cell r="F161" t="str">
            <v>SVA</v>
          </cell>
          <cell r="U161">
            <v>64.3</v>
          </cell>
        </row>
        <row r="162">
          <cell r="F162" t="str">
            <v>SVA</v>
          </cell>
          <cell r="U162">
            <v>48.5</v>
          </cell>
        </row>
        <row r="163">
          <cell r="F163" t="str">
            <v>SVA</v>
          </cell>
          <cell r="U163">
            <v>64.3</v>
          </cell>
        </row>
        <row r="164">
          <cell r="F164" t="str">
            <v>SVA</v>
          </cell>
          <cell r="U164">
            <v>48.5</v>
          </cell>
        </row>
        <row r="165">
          <cell r="F165" t="str">
            <v>SVA</v>
          </cell>
          <cell r="U165">
            <v>29.3</v>
          </cell>
        </row>
        <row r="166">
          <cell r="F166" t="str">
            <v>SVA</v>
          </cell>
          <cell r="U166">
            <v>36.8</v>
          </cell>
        </row>
        <row r="167">
          <cell r="F167" t="str">
            <v>SVA</v>
          </cell>
          <cell r="U167">
            <v>30.4</v>
          </cell>
        </row>
        <row r="168">
          <cell r="F168" t="str">
            <v>SVA</v>
          </cell>
          <cell r="U168">
            <v>103.5</v>
          </cell>
        </row>
        <row r="169">
          <cell r="F169" t="str">
            <v>SVA</v>
          </cell>
          <cell r="U169">
            <v>40</v>
          </cell>
        </row>
        <row r="170">
          <cell r="F170" t="str">
            <v>SVA</v>
          </cell>
          <cell r="U170">
            <v>56.4</v>
          </cell>
        </row>
        <row r="171">
          <cell r="F171" t="str">
            <v>SVA</v>
          </cell>
          <cell r="U171">
            <v>20</v>
          </cell>
        </row>
        <row r="172">
          <cell r="F172" t="str">
            <v>SVA</v>
          </cell>
          <cell r="U172">
            <v>20</v>
          </cell>
        </row>
        <row r="173">
          <cell r="F173" t="str">
            <v>BET</v>
          </cell>
          <cell r="U173">
            <v>8</v>
          </cell>
        </row>
        <row r="174">
          <cell r="F174" t="str">
            <v>BET</v>
          </cell>
          <cell r="U174">
            <v>8</v>
          </cell>
        </row>
        <row r="175">
          <cell r="F175" t="str">
            <v>BET</v>
          </cell>
          <cell r="U175">
            <v>8</v>
          </cell>
        </row>
        <row r="176">
          <cell r="F176" t="str">
            <v>BET</v>
          </cell>
          <cell r="U176">
            <v>8</v>
          </cell>
        </row>
        <row r="177">
          <cell r="F177" t="str">
            <v>BET</v>
          </cell>
          <cell r="U177">
            <v>8</v>
          </cell>
        </row>
        <row r="178">
          <cell r="F178" t="str">
            <v>BET</v>
          </cell>
          <cell r="U178">
            <v>8</v>
          </cell>
        </row>
        <row r="179">
          <cell r="F179" t="str">
            <v>SVA</v>
          </cell>
          <cell r="U179">
            <v>1600</v>
          </cell>
        </row>
        <row r="180">
          <cell r="F180" t="str">
            <v>SVA</v>
          </cell>
          <cell r="U180">
            <v>1600</v>
          </cell>
        </row>
        <row r="181">
          <cell r="F181" t="str">
            <v>SVA</v>
          </cell>
          <cell r="U181">
            <v>1600</v>
          </cell>
        </row>
        <row r="182">
          <cell r="F182" t="str">
            <v>SVA</v>
          </cell>
          <cell r="U182">
            <v>35</v>
          </cell>
        </row>
        <row r="183">
          <cell r="F183" t="str">
            <v>SVA</v>
          </cell>
          <cell r="U183">
            <v>20</v>
          </cell>
        </row>
        <row r="184">
          <cell r="F184" t="str">
            <v>SVA</v>
          </cell>
          <cell r="U184">
            <v>35</v>
          </cell>
        </row>
        <row r="185">
          <cell r="F185" t="str">
            <v>SVA</v>
          </cell>
          <cell r="U185">
            <v>15</v>
          </cell>
        </row>
        <row r="186">
          <cell r="F186" t="str">
            <v>SVA</v>
          </cell>
          <cell r="U186">
            <v>35</v>
          </cell>
        </row>
        <row r="187">
          <cell r="F187" t="str">
            <v>SVA</v>
          </cell>
          <cell r="U187">
            <v>35</v>
          </cell>
        </row>
        <row r="188">
          <cell r="F188" t="str">
            <v>ELM</v>
          </cell>
          <cell r="U188">
            <v>24</v>
          </cell>
        </row>
        <row r="189">
          <cell r="F189" t="str">
            <v>ELM</v>
          </cell>
          <cell r="U189">
            <v>24</v>
          </cell>
        </row>
        <row r="190">
          <cell r="F190" t="str">
            <v>ELM</v>
          </cell>
          <cell r="U190">
            <v>50</v>
          </cell>
        </row>
        <row r="191">
          <cell r="F191" t="str">
            <v>ELM</v>
          </cell>
          <cell r="U191">
            <v>36</v>
          </cell>
        </row>
        <row r="192">
          <cell r="F192" t="str">
            <v>ELM</v>
          </cell>
          <cell r="U192">
            <v>36</v>
          </cell>
        </row>
        <row r="193">
          <cell r="F193" t="str">
            <v>ELM</v>
          </cell>
          <cell r="U193">
            <v>36</v>
          </cell>
        </row>
        <row r="194">
          <cell r="F194" t="str">
            <v>ELM</v>
          </cell>
          <cell r="U194">
            <v>36</v>
          </cell>
        </row>
        <row r="195">
          <cell r="F195" t="str">
            <v>ELM</v>
          </cell>
          <cell r="U195">
            <v>36</v>
          </cell>
        </row>
        <row r="196">
          <cell r="F196" t="str">
            <v>ELM</v>
          </cell>
          <cell r="U196">
            <v>80</v>
          </cell>
        </row>
        <row r="197">
          <cell r="F197" t="str">
            <v>ELM</v>
          </cell>
          <cell r="U197">
            <v>80</v>
          </cell>
        </row>
        <row r="198">
          <cell r="F198" t="str">
            <v>ELM</v>
          </cell>
          <cell r="U198">
            <v>80</v>
          </cell>
        </row>
        <row r="199">
          <cell r="F199" t="str">
            <v>ELM</v>
          </cell>
          <cell r="U199">
            <v>80</v>
          </cell>
        </row>
        <row r="200">
          <cell r="F200" t="str">
            <v>ELM</v>
          </cell>
          <cell r="U200">
            <v>80</v>
          </cell>
        </row>
        <row r="201">
          <cell r="F201" t="str">
            <v>ELM</v>
          </cell>
          <cell r="U201">
            <v>140</v>
          </cell>
        </row>
        <row r="202">
          <cell r="F202" t="str">
            <v>ELM</v>
          </cell>
          <cell r="U202">
            <v>140</v>
          </cell>
        </row>
        <row r="203">
          <cell r="F203" t="str">
            <v>ELM</v>
          </cell>
          <cell r="U203">
            <v>140</v>
          </cell>
        </row>
        <row r="204">
          <cell r="F204" t="str">
            <v>ELM</v>
          </cell>
          <cell r="U204">
            <v>140</v>
          </cell>
        </row>
        <row r="205">
          <cell r="F205" t="str">
            <v>ELM</v>
          </cell>
          <cell r="U205">
            <v>80</v>
          </cell>
        </row>
        <row r="206">
          <cell r="F206" t="str">
            <v>ELM</v>
          </cell>
          <cell r="U206">
            <v>80</v>
          </cell>
        </row>
        <row r="207">
          <cell r="F207" t="str">
            <v>ELM</v>
          </cell>
          <cell r="U207">
            <v>80</v>
          </cell>
        </row>
        <row r="208">
          <cell r="F208" t="str">
            <v>ELM</v>
          </cell>
          <cell r="U208">
            <v>24</v>
          </cell>
        </row>
        <row r="209">
          <cell r="F209" t="str">
            <v>ELM</v>
          </cell>
          <cell r="U209">
            <v>140</v>
          </cell>
        </row>
        <row r="210">
          <cell r="F210" t="str">
            <v>ELM</v>
          </cell>
          <cell r="U210">
            <v>140</v>
          </cell>
        </row>
        <row r="211">
          <cell r="F211" t="str">
            <v>ELM</v>
          </cell>
          <cell r="U211">
            <v>80</v>
          </cell>
        </row>
        <row r="212">
          <cell r="F212" t="str">
            <v>ELM</v>
          </cell>
          <cell r="U212">
            <v>140</v>
          </cell>
        </row>
        <row r="213">
          <cell r="F213" t="str">
            <v>ELM</v>
          </cell>
          <cell r="U213">
            <v>80</v>
          </cell>
        </row>
        <row r="214">
          <cell r="F214" t="str">
            <v>ELM</v>
          </cell>
          <cell r="U214">
            <v>80</v>
          </cell>
        </row>
        <row r="215">
          <cell r="F215" t="str">
            <v>ELM</v>
          </cell>
          <cell r="U215">
            <v>24</v>
          </cell>
        </row>
        <row r="216">
          <cell r="F216" t="str">
            <v>ELM</v>
          </cell>
          <cell r="U216">
            <v>80</v>
          </cell>
        </row>
        <row r="217">
          <cell r="F217" t="str">
            <v>ELM</v>
          </cell>
          <cell r="U217">
            <v>80</v>
          </cell>
        </row>
        <row r="218">
          <cell r="F218" t="str">
            <v>ELM</v>
          </cell>
          <cell r="U218">
            <v>80</v>
          </cell>
        </row>
        <row r="219">
          <cell r="F219" t="str">
            <v>ELM</v>
          </cell>
          <cell r="U219">
            <v>80</v>
          </cell>
        </row>
        <row r="220">
          <cell r="F220" t="str">
            <v>ELM</v>
          </cell>
          <cell r="U220">
            <v>80</v>
          </cell>
        </row>
        <row r="221">
          <cell r="F221" t="str">
            <v>ELM</v>
          </cell>
          <cell r="U221">
            <v>80</v>
          </cell>
        </row>
        <row r="222">
          <cell r="F222" t="str">
            <v>ELM</v>
          </cell>
          <cell r="U222">
            <v>80</v>
          </cell>
        </row>
        <row r="223">
          <cell r="F223" t="str">
            <v>ELM</v>
          </cell>
          <cell r="U223">
            <v>24</v>
          </cell>
        </row>
        <row r="224">
          <cell r="F224" t="str">
            <v>ELM</v>
          </cell>
          <cell r="U224">
            <v>24</v>
          </cell>
        </row>
        <row r="225">
          <cell r="F225" t="str">
            <v>ELM</v>
          </cell>
          <cell r="U225">
            <v>24</v>
          </cell>
        </row>
        <row r="226">
          <cell r="F226" t="str">
            <v>ELM</v>
          </cell>
          <cell r="U226">
            <v>24</v>
          </cell>
        </row>
        <row r="227">
          <cell r="F227" t="str">
            <v>ELM</v>
          </cell>
          <cell r="U227">
            <v>24</v>
          </cell>
        </row>
        <row r="228">
          <cell r="F228" t="str">
            <v>ELM</v>
          </cell>
          <cell r="U228">
            <v>24</v>
          </cell>
        </row>
        <row r="229">
          <cell r="F229" t="str">
            <v>ELM</v>
          </cell>
          <cell r="U229">
            <v>24</v>
          </cell>
        </row>
        <row r="230">
          <cell r="F230" t="str">
            <v>ELM</v>
          </cell>
          <cell r="U230">
            <v>24</v>
          </cell>
        </row>
        <row r="231">
          <cell r="F231" t="str">
            <v>ELM</v>
          </cell>
          <cell r="U231">
            <v>24</v>
          </cell>
        </row>
        <row r="232">
          <cell r="F232" t="str">
            <v>ELM</v>
          </cell>
          <cell r="U232">
            <v>24</v>
          </cell>
        </row>
        <row r="233">
          <cell r="F233" t="str">
            <v>ELM</v>
          </cell>
          <cell r="U233">
            <v>24</v>
          </cell>
        </row>
        <row r="234">
          <cell r="F234" t="str">
            <v>ELM</v>
          </cell>
          <cell r="U234">
            <v>24</v>
          </cell>
        </row>
        <row r="235">
          <cell r="F235" t="str">
            <v>ELM</v>
          </cell>
          <cell r="U235">
            <v>320</v>
          </cell>
        </row>
        <row r="236">
          <cell r="F236" t="str">
            <v>ELM</v>
          </cell>
          <cell r="U236">
            <v>320</v>
          </cell>
        </row>
        <row r="237">
          <cell r="F237" t="str">
            <v>ELM</v>
          </cell>
          <cell r="U237">
            <v>140</v>
          </cell>
        </row>
        <row r="238">
          <cell r="F238" t="str">
            <v>ELM</v>
          </cell>
          <cell r="U238">
            <v>140</v>
          </cell>
        </row>
        <row r="239">
          <cell r="F239" t="str">
            <v>ELM</v>
          </cell>
          <cell r="U239">
            <v>140</v>
          </cell>
        </row>
        <row r="240">
          <cell r="F240" t="str">
            <v>ELM</v>
          </cell>
          <cell r="U240">
            <v>140</v>
          </cell>
        </row>
        <row r="241">
          <cell r="F241" t="str">
            <v>ELM</v>
          </cell>
          <cell r="U241">
            <v>140</v>
          </cell>
        </row>
        <row r="242">
          <cell r="F242" t="str">
            <v>ELM</v>
          </cell>
          <cell r="U242">
            <v>320</v>
          </cell>
        </row>
        <row r="243">
          <cell r="F243" t="str">
            <v>ELM</v>
          </cell>
          <cell r="U243">
            <v>140</v>
          </cell>
        </row>
        <row r="244">
          <cell r="F244" t="str">
            <v>ELM</v>
          </cell>
          <cell r="U244">
            <v>140</v>
          </cell>
        </row>
        <row r="245">
          <cell r="F245" t="str">
            <v>ELM</v>
          </cell>
          <cell r="U245">
            <v>140</v>
          </cell>
        </row>
        <row r="246">
          <cell r="F246" t="str">
            <v>ELM</v>
          </cell>
          <cell r="U246">
            <v>140</v>
          </cell>
        </row>
        <row r="247">
          <cell r="F247" t="str">
            <v>ELM</v>
          </cell>
          <cell r="U247">
            <v>140</v>
          </cell>
        </row>
        <row r="248">
          <cell r="F248" t="str">
            <v>ELM</v>
          </cell>
          <cell r="U248">
            <v>140</v>
          </cell>
        </row>
        <row r="249">
          <cell r="F249" t="str">
            <v>ELM</v>
          </cell>
          <cell r="U249">
            <v>140</v>
          </cell>
        </row>
        <row r="250">
          <cell r="F250" t="str">
            <v>ELM</v>
          </cell>
          <cell r="U250">
            <v>320</v>
          </cell>
        </row>
        <row r="251">
          <cell r="F251" t="str">
            <v>ELM</v>
          </cell>
          <cell r="U251">
            <v>320</v>
          </cell>
        </row>
        <row r="252">
          <cell r="F252" t="str">
            <v>ELM</v>
          </cell>
          <cell r="U252">
            <v>140</v>
          </cell>
        </row>
        <row r="253">
          <cell r="F253" t="str">
            <v>ELM</v>
          </cell>
          <cell r="U253">
            <v>140</v>
          </cell>
        </row>
        <row r="254">
          <cell r="F254" t="str">
            <v>ELM</v>
          </cell>
          <cell r="U254">
            <v>30</v>
          </cell>
        </row>
        <row r="255">
          <cell r="F255" t="str">
            <v>ELM</v>
          </cell>
          <cell r="U255">
            <v>30</v>
          </cell>
        </row>
        <row r="256">
          <cell r="F256" t="str">
            <v>ELM</v>
          </cell>
          <cell r="U256">
            <v>30</v>
          </cell>
        </row>
        <row r="257">
          <cell r="F257" t="str">
            <v>ELM</v>
          </cell>
          <cell r="U257">
            <v>30</v>
          </cell>
        </row>
        <row r="258">
          <cell r="F258" t="str">
            <v>ELM</v>
          </cell>
          <cell r="U258">
            <v>30</v>
          </cell>
        </row>
        <row r="259">
          <cell r="F259" t="str">
            <v>ELM</v>
          </cell>
          <cell r="U259">
            <v>30</v>
          </cell>
        </row>
        <row r="260">
          <cell r="F260" t="str">
            <v>ELM</v>
          </cell>
          <cell r="U260">
            <v>30</v>
          </cell>
        </row>
        <row r="261">
          <cell r="F261" t="str">
            <v>ELM</v>
          </cell>
          <cell r="U261">
            <v>30</v>
          </cell>
        </row>
        <row r="262">
          <cell r="F262" t="str">
            <v>ELM</v>
          </cell>
          <cell r="U262">
            <v>30</v>
          </cell>
        </row>
        <row r="263">
          <cell r="F263" t="str">
            <v>ELM</v>
          </cell>
          <cell r="U263">
            <v>30</v>
          </cell>
        </row>
        <row r="264">
          <cell r="F264" t="str">
            <v>ELM</v>
          </cell>
          <cell r="U264">
            <v>30</v>
          </cell>
        </row>
        <row r="265">
          <cell r="F265" t="str">
            <v>ELM</v>
          </cell>
          <cell r="U265">
            <v>30</v>
          </cell>
        </row>
        <row r="266">
          <cell r="F266" t="str">
            <v>ELM</v>
          </cell>
          <cell r="U266">
            <v>30</v>
          </cell>
        </row>
        <row r="267">
          <cell r="F267" t="str">
            <v>ELM</v>
          </cell>
          <cell r="U267">
            <v>30</v>
          </cell>
        </row>
        <row r="268">
          <cell r="F268" t="str">
            <v>ELM</v>
          </cell>
          <cell r="U268">
            <v>30</v>
          </cell>
        </row>
        <row r="269">
          <cell r="F269" t="str">
            <v>ELM</v>
          </cell>
          <cell r="U269">
            <v>30</v>
          </cell>
        </row>
        <row r="270">
          <cell r="F270" t="str">
            <v>ELM</v>
          </cell>
          <cell r="U270">
            <v>30</v>
          </cell>
        </row>
        <row r="271">
          <cell r="F271" t="str">
            <v>ELM</v>
          </cell>
          <cell r="U271">
            <v>140</v>
          </cell>
        </row>
        <row r="272">
          <cell r="F272" t="str">
            <v>ELM</v>
          </cell>
          <cell r="U272">
            <v>30</v>
          </cell>
        </row>
        <row r="273">
          <cell r="F273" t="str">
            <v>ELM</v>
          </cell>
          <cell r="U273">
            <v>30</v>
          </cell>
        </row>
        <row r="274">
          <cell r="F274" t="str">
            <v>ELM</v>
          </cell>
          <cell r="U274">
            <v>30</v>
          </cell>
        </row>
        <row r="275">
          <cell r="F275" t="str">
            <v>ELM</v>
          </cell>
          <cell r="U275">
            <v>30</v>
          </cell>
        </row>
        <row r="276">
          <cell r="F276" t="str">
            <v>ELM</v>
          </cell>
          <cell r="U276">
            <v>30</v>
          </cell>
        </row>
        <row r="277">
          <cell r="F277" t="str">
            <v>ELM</v>
          </cell>
          <cell r="U277">
            <v>120</v>
          </cell>
        </row>
        <row r="278">
          <cell r="F278" t="str">
            <v>ELM</v>
          </cell>
          <cell r="U278">
            <v>120</v>
          </cell>
        </row>
        <row r="279">
          <cell r="F279" t="str">
            <v>ELM</v>
          </cell>
          <cell r="U279">
            <v>120</v>
          </cell>
        </row>
        <row r="280">
          <cell r="F280" t="str">
            <v>ELM</v>
          </cell>
          <cell r="U280">
            <v>120</v>
          </cell>
        </row>
        <row r="281">
          <cell r="F281" t="str">
            <v>ELM</v>
          </cell>
          <cell r="U281">
            <v>120</v>
          </cell>
        </row>
        <row r="282">
          <cell r="F282" t="str">
            <v>ELM</v>
          </cell>
          <cell r="U282">
            <v>120</v>
          </cell>
        </row>
        <row r="283">
          <cell r="F283" t="str">
            <v>ELM</v>
          </cell>
          <cell r="U283">
            <v>120</v>
          </cell>
        </row>
        <row r="284">
          <cell r="F284" t="str">
            <v>ELM</v>
          </cell>
          <cell r="U284">
            <v>70</v>
          </cell>
        </row>
        <row r="285">
          <cell r="F285" t="str">
            <v>ELM</v>
          </cell>
          <cell r="U285">
            <v>70</v>
          </cell>
        </row>
        <row r="286">
          <cell r="F286" t="str">
            <v>ELM</v>
          </cell>
          <cell r="U286">
            <v>70</v>
          </cell>
        </row>
        <row r="287">
          <cell r="F287" t="str">
            <v>ELM</v>
          </cell>
          <cell r="U287">
            <v>70</v>
          </cell>
        </row>
        <row r="288">
          <cell r="F288" t="str">
            <v>ELM</v>
          </cell>
          <cell r="U288">
            <v>70</v>
          </cell>
        </row>
        <row r="289">
          <cell r="F289" t="str">
            <v>ELM</v>
          </cell>
          <cell r="U289">
            <v>70</v>
          </cell>
        </row>
        <row r="290">
          <cell r="F290" t="str">
            <v>ELM</v>
          </cell>
          <cell r="U290">
            <v>70</v>
          </cell>
        </row>
        <row r="291">
          <cell r="F291" t="str">
            <v>ELM</v>
          </cell>
          <cell r="U291">
            <v>70</v>
          </cell>
        </row>
        <row r="292">
          <cell r="F292" t="str">
            <v>ELM</v>
          </cell>
          <cell r="U292">
            <v>70</v>
          </cell>
        </row>
        <row r="293">
          <cell r="F293" t="str">
            <v>ELM</v>
          </cell>
          <cell r="U293">
            <v>12</v>
          </cell>
        </row>
        <row r="294">
          <cell r="F294" t="str">
            <v>ELM</v>
          </cell>
          <cell r="U294">
            <v>12</v>
          </cell>
        </row>
        <row r="295">
          <cell r="F295" t="str">
            <v>ELM</v>
          </cell>
          <cell r="U295">
            <v>12</v>
          </cell>
        </row>
        <row r="296">
          <cell r="F296" t="str">
            <v>ELM</v>
          </cell>
          <cell r="U296">
            <v>12</v>
          </cell>
        </row>
        <row r="297">
          <cell r="F297" t="str">
            <v>ELM</v>
          </cell>
          <cell r="U297">
            <v>18</v>
          </cell>
        </row>
        <row r="298">
          <cell r="F298" t="str">
            <v>ELM</v>
          </cell>
          <cell r="U298">
            <v>24</v>
          </cell>
        </row>
        <row r="299">
          <cell r="F299" t="str">
            <v>ELM</v>
          </cell>
          <cell r="U299">
            <v>12</v>
          </cell>
        </row>
        <row r="300">
          <cell r="F300" t="str">
            <v>ELM</v>
          </cell>
          <cell r="U300">
            <v>24</v>
          </cell>
        </row>
        <row r="301">
          <cell r="F301" t="str">
            <v>ETL</v>
          </cell>
          <cell r="U301">
            <v>180</v>
          </cell>
        </row>
        <row r="302">
          <cell r="F302" t="str">
            <v>ELM</v>
          </cell>
          <cell r="U302">
            <v>21</v>
          </cell>
        </row>
        <row r="303">
          <cell r="F303" t="str">
            <v>ELM</v>
          </cell>
          <cell r="U303">
            <v>12</v>
          </cell>
        </row>
        <row r="304">
          <cell r="F304" t="str">
            <v>ELM</v>
          </cell>
          <cell r="U304">
            <v>12</v>
          </cell>
        </row>
        <row r="305">
          <cell r="F305" t="str">
            <v>ELM</v>
          </cell>
          <cell r="U305">
            <v>12</v>
          </cell>
        </row>
        <row r="306">
          <cell r="F306" t="str">
            <v>ELM</v>
          </cell>
          <cell r="U306">
            <v>4.5</v>
          </cell>
        </row>
        <row r="307">
          <cell r="F307" t="str">
            <v>ELM</v>
          </cell>
          <cell r="U307">
            <v>4.5</v>
          </cell>
        </row>
        <row r="308">
          <cell r="F308" t="str">
            <v>ELM</v>
          </cell>
          <cell r="U308">
            <v>12</v>
          </cell>
        </row>
        <row r="309">
          <cell r="F309" t="str">
            <v>ELM</v>
          </cell>
          <cell r="U309">
            <v>18</v>
          </cell>
        </row>
        <row r="310">
          <cell r="F310" t="str">
            <v>ELM</v>
          </cell>
          <cell r="U310">
            <v>60</v>
          </cell>
        </row>
        <row r="311">
          <cell r="F311" t="str">
            <v>ETL</v>
          </cell>
          <cell r="U311">
            <v>120</v>
          </cell>
        </row>
        <row r="312">
          <cell r="F312" t="str">
            <v>SAN</v>
          </cell>
          <cell r="U312">
            <v>42</v>
          </cell>
        </row>
        <row r="313">
          <cell r="F313" t="str">
            <v>SAN</v>
          </cell>
          <cell r="U313">
            <v>42</v>
          </cell>
        </row>
        <row r="314">
          <cell r="F314" t="str">
            <v>SAN</v>
          </cell>
          <cell r="U314">
            <v>45</v>
          </cell>
        </row>
        <row r="315">
          <cell r="F315" t="str">
            <v>SAN</v>
          </cell>
          <cell r="U315">
            <v>42</v>
          </cell>
        </row>
        <row r="316">
          <cell r="F316" t="str">
            <v>SAN</v>
          </cell>
          <cell r="U316">
            <v>60</v>
          </cell>
        </row>
        <row r="317">
          <cell r="F317" t="str">
            <v>SAN</v>
          </cell>
          <cell r="U317">
            <v>45</v>
          </cell>
        </row>
        <row r="318">
          <cell r="F318" t="str">
            <v>SAN</v>
          </cell>
          <cell r="U318">
            <v>60</v>
          </cell>
        </row>
        <row r="319">
          <cell r="F319" t="str">
            <v>SAN</v>
          </cell>
          <cell r="U319">
            <v>60</v>
          </cell>
        </row>
        <row r="320">
          <cell r="F320" t="str">
            <v>SAN</v>
          </cell>
          <cell r="U320">
            <v>45</v>
          </cell>
        </row>
        <row r="321">
          <cell r="F321" t="str">
            <v>SAN</v>
          </cell>
          <cell r="U321">
            <v>30</v>
          </cell>
        </row>
        <row r="322">
          <cell r="F322" t="str">
            <v>SAN</v>
          </cell>
          <cell r="U322">
            <v>75</v>
          </cell>
        </row>
        <row r="323">
          <cell r="F323" t="str">
            <v>SAN</v>
          </cell>
          <cell r="U323">
            <v>90</v>
          </cell>
        </row>
        <row r="324">
          <cell r="F324" t="str">
            <v>SAN</v>
          </cell>
          <cell r="U324">
            <v>90</v>
          </cell>
        </row>
        <row r="325">
          <cell r="F325" t="str">
            <v>SAN</v>
          </cell>
          <cell r="U325">
            <v>90</v>
          </cell>
        </row>
        <row r="326">
          <cell r="F326" t="str">
            <v>SAN</v>
          </cell>
          <cell r="U326">
            <v>90</v>
          </cell>
        </row>
        <row r="327">
          <cell r="F327" t="str">
            <v>SAN</v>
          </cell>
          <cell r="U327">
            <v>90</v>
          </cell>
        </row>
        <row r="328">
          <cell r="F328" t="str">
            <v>SAN</v>
          </cell>
          <cell r="U328">
            <v>10.5</v>
          </cell>
        </row>
        <row r="329">
          <cell r="F329" t="str">
            <v>SAN</v>
          </cell>
          <cell r="U329">
            <v>10.5</v>
          </cell>
        </row>
        <row r="330">
          <cell r="F330" t="str">
            <v>SAN</v>
          </cell>
          <cell r="U330">
            <v>10.5</v>
          </cell>
        </row>
        <row r="331">
          <cell r="F331" t="str">
            <v>SAN</v>
          </cell>
          <cell r="U331">
            <v>10.5</v>
          </cell>
        </row>
        <row r="332">
          <cell r="F332" t="str">
            <v>SAN</v>
          </cell>
          <cell r="U332">
            <v>10.5</v>
          </cell>
        </row>
        <row r="333">
          <cell r="F333" t="str">
            <v>SAN</v>
          </cell>
          <cell r="U333">
            <v>10.5</v>
          </cell>
        </row>
        <row r="334">
          <cell r="F334" t="str">
            <v>SAN</v>
          </cell>
          <cell r="U334">
            <v>10.5</v>
          </cell>
        </row>
        <row r="335">
          <cell r="F335" t="str">
            <v>SAN</v>
          </cell>
          <cell r="U335">
            <v>10.5</v>
          </cell>
        </row>
        <row r="336">
          <cell r="F336" t="str">
            <v>SAN</v>
          </cell>
          <cell r="U336">
            <v>10.5</v>
          </cell>
        </row>
        <row r="337">
          <cell r="F337" t="str">
            <v>SAN</v>
          </cell>
          <cell r="U337">
            <v>10.5</v>
          </cell>
        </row>
        <row r="338">
          <cell r="F338" t="str">
            <v>SAN</v>
          </cell>
          <cell r="U338">
            <v>10.5</v>
          </cell>
        </row>
        <row r="339">
          <cell r="F339" t="str">
            <v>SAN</v>
          </cell>
          <cell r="U339">
            <v>10.5</v>
          </cell>
        </row>
        <row r="340">
          <cell r="F340" t="str">
            <v>SAN</v>
          </cell>
          <cell r="U340">
            <v>10.5</v>
          </cell>
        </row>
        <row r="341">
          <cell r="F341" t="str">
            <v>SAN</v>
          </cell>
          <cell r="U341">
            <v>10.5</v>
          </cell>
        </row>
        <row r="342">
          <cell r="F342" t="str">
            <v>SAN</v>
          </cell>
          <cell r="U342">
            <v>10.5</v>
          </cell>
        </row>
        <row r="343">
          <cell r="F343" t="str">
            <v>SAN</v>
          </cell>
          <cell r="U343">
            <v>10.5</v>
          </cell>
        </row>
        <row r="344">
          <cell r="F344" t="str">
            <v>SAN</v>
          </cell>
          <cell r="U344">
            <v>8.4</v>
          </cell>
        </row>
        <row r="345">
          <cell r="F345" t="str">
            <v>SAN</v>
          </cell>
          <cell r="U345">
            <v>8.4</v>
          </cell>
        </row>
        <row r="346">
          <cell r="F346" t="str">
            <v>SAN</v>
          </cell>
          <cell r="U346">
            <v>8.4</v>
          </cell>
        </row>
        <row r="347">
          <cell r="F347" t="str">
            <v>SAN</v>
          </cell>
          <cell r="U347">
            <v>10.5</v>
          </cell>
        </row>
        <row r="348">
          <cell r="F348" t="str">
            <v>SAN</v>
          </cell>
          <cell r="U348">
            <v>10.5</v>
          </cell>
        </row>
        <row r="349">
          <cell r="F349" t="str">
            <v>SAN</v>
          </cell>
          <cell r="U349">
            <v>10.5</v>
          </cell>
        </row>
        <row r="350">
          <cell r="F350" t="str">
            <v>SAN</v>
          </cell>
          <cell r="U350">
            <v>10.5</v>
          </cell>
        </row>
        <row r="351">
          <cell r="F351" t="str">
            <v>SAN</v>
          </cell>
          <cell r="U351">
            <v>10.5</v>
          </cell>
        </row>
        <row r="352">
          <cell r="F352" t="str">
            <v>SAN</v>
          </cell>
          <cell r="U352">
            <v>10.5</v>
          </cell>
        </row>
        <row r="353">
          <cell r="F353" t="str">
            <v>SAN</v>
          </cell>
          <cell r="U353">
            <v>10.5</v>
          </cell>
        </row>
        <row r="354">
          <cell r="F354" t="str">
            <v>SAN</v>
          </cell>
          <cell r="U354">
            <v>10.5</v>
          </cell>
        </row>
        <row r="355">
          <cell r="F355" t="str">
            <v>SAN</v>
          </cell>
          <cell r="U355">
            <v>7.5</v>
          </cell>
        </row>
        <row r="356">
          <cell r="F356" t="str">
            <v>SAN</v>
          </cell>
          <cell r="U356">
            <v>8.1</v>
          </cell>
        </row>
        <row r="357">
          <cell r="F357" t="str">
            <v>SAN</v>
          </cell>
          <cell r="U357">
            <v>9</v>
          </cell>
        </row>
        <row r="358">
          <cell r="F358" t="str">
            <v>SAN</v>
          </cell>
          <cell r="U358">
            <v>9</v>
          </cell>
        </row>
        <row r="359">
          <cell r="F359" t="str">
            <v>SAN</v>
          </cell>
          <cell r="U359">
            <v>7.5</v>
          </cell>
        </row>
        <row r="360">
          <cell r="F360" t="str">
            <v>SAN</v>
          </cell>
          <cell r="U360">
            <v>8.1</v>
          </cell>
        </row>
        <row r="361">
          <cell r="F361" t="str">
            <v>SAN</v>
          </cell>
          <cell r="U361">
            <v>9</v>
          </cell>
        </row>
        <row r="362">
          <cell r="F362" t="str">
            <v>SAN</v>
          </cell>
          <cell r="U362">
            <v>9</v>
          </cell>
        </row>
        <row r="363">
          <cell r="F363" t="str">
            <v>SAN</v>
          </cell>
          <cell r="U363">
            <v>7.5</v>
          </cell>
        </row>
        <row r="364">
          <cell r="F364" t="str">
            <v>SAN</v>
          </cell>
          <cell r="U364">
            <v>8.1</v>
          </cell>
        </row>
        <row r="365">
          <cell r="F365" t="str">
            <v>SAN</v>
          </cell>
          <cell r="U365">
            <v>9</v>
          </cell>
        </row>
        <row r="366">
          <cell r="F366" t="str">
            <v>SAN</v>
          </cell>
          <cell r="U366">
            <v>9</v>
          </cell>
        </row>
        <row r="367">
          <cell r="F367" t="str">
            <v>SAN</v>
          </cell>
          <cell r="U367">
            <v>7.5</v>
          </cell>
        </row>
        <row r="368">
          <cell r="F368" t="str">
            <v>SAN</v>
          </cell>
          <cell r="U368">
            <v>7.5</v>
          </cell>
        </row>
        <row r="369">
          <cell r="F369" t="str">
            <v>SAN</v>
          </cell>
          <cell r="U369">
            <v>8.1</v>
          </cell>
        </row>
        <row r="370">
          <cell r="F370" t="str">
            <v>SAN</v>
          </cell>
          <cell r="U370">
            <v>8.1</v>
          </cell>
        </row>
        <row r="371">
          <cell r="F371" t="str">
            <v>SAN</v>
          </cell>
          <cell r="U371">
            <v>9</v>
          </cell>
        </row>
        <row r="372">
          <cell r="F372" t="str">
            <v>SAN</v>
          </cell>
          <cell r="U372">
            <v>9</v>
          </cell>
        </row>
        <row r="373">
          <cell r="F373" t="str">
            <v>SAN</v>
          </cell>
          <cell r="U373">
            <v>7.5</v>
          </cell>
        </row>
        <row r="374">
          <cell r="F374" t="str">
            <v>SAN</v>
          </cell>
          <cell r="U374">
            <v>7.5</v>
          </cell>
        </row>
        <row r="375">
          <cell r="F375" t="str">
            <v>SAN</v>
          </cell>
          <cell r="U375">
            <v>8.1</v>
          </cell>
        </row>
        <row r="376">
          <cell r="F376" t="str">
            <v>SAN</v>
          </cell>
          <cell r="U376">
            <v>8.1</v>
          </cell>
        </row>
        <row r="377">
          <cell r="F377" t="str">
            <v>SAN</v>
          </cell>
          <cell r="U377">
            <v>9</v>
          </cell>
        </row>
        <row r="378">
          <cell r="F378" t="str">
            <v>SAN</v>
          </cell>
          <cell r="U378">
            <v>9</v>
          </cell>
        </row>
        <row r="379">
          <cell r="F379" t="str">
            <v>SAN</v>
          </cell>
          <cell r="U379">
            <v>7.5</v>
          </cell>
        </row>
        <row r="380">
          <cell r="F380" t="str">
            <v>SAN</v>
          </cell>
          <cell r="U380">
            <v>7.5</v>
          </cell>
        </row>
        <row r="381">
          <cell r="F381" t="str">
            <v>SAN</v>
          </cell>
          <cell r="U381">
            <v>8.1</v>
          </cell>
        </row>
        <row r="382">
          <cell r="F382" t="str">
            <v>SAN</v>
          </cell>
          <cell r="U382">
            <v>8.1</v>
          </cell>
        </row>
        <row r="383">
          <cell r="F383" t="str">
            <v>SAN</v>
          </cell>
          <cell r="U383">
            <v>9</v>
          </cell>
        </row>
        <row r="384">
          <cell r="F384" t="str">
            <v>SAN</v>
          </cell>
          <cell r="U384">
            <v>10.5</v>
          </cell>
        </row>
        <row r="385">
          <cell r="F385" t="str">
            <v>SAN</v>
          </cell>
          <cell r="U385">
            <v>10.5</v>
          </cell>
        </row>
        <row r="386">
          <cell r="F386" t="str">
            <v>SAN</v>
          </cell>
          <cell r="U386">
            <v>10.5</v>
          </cell>
        </row>
        <row r="387">
          <cell r="F387" t="str">
            <v>SAN</v>
          </cell>
          <cell r="U387">
            <v>10.5</v>
          </cell>
        </row>
        <row r="388">
          <cell r="F388" t="str">
            <v>SAN</v>
          </cell>
          <cell r="U388">
            <v>10.5</v>
          </cell>
        </row>
        <row r="389">
          <cell r="F389" t="str">
            <v>SAN</v>
          </cell>
          <cell r="U389">
            <v>10.5</v>
          </cell>
        </row>
        <row r="390">
          <cell r="F390" t="str">
            <v>SAN</v>
          </cell>
          <cell r="U390">
            <v>10.5</v>
          </cell>
        </row>
        <row r="391">
          <cell r="F391" t="str">
            <v>SAN</v>
          </cell>
          <cell r="U391">
            <v>10.5</v>
          </cell>
        </row>
        <row r="392">
          <cell r="F392" t="str">
            <v>SAN</v>
          </cell>
          <cell r="U392">
            <v>10.5</v>
          </cell>
        </row>
        <row r="393">
          <cell r="F393" t="str">
            <v>SAN</v>
          </cell>
          <cell r="U393">
            <v>10.5</v>
          </cell>
        </row>
        <row r="394">
          <cell r="F394" t="str">
            <v>SAN</v>
          </cell>
          <cell r="U394">
            <v>10.5</v>
          </cell>
        </row>
        <row r="395">
          <cell r="F395" t="str">
            <v>SAN</v>
          </cell>
          <cell r="U395">
            <v>10.5</v>
          </cell>
        </row>
        <row r="396">
          <cell r="F396" t="str">
            <v>SAN</v>
          </cell>
          <cell r="U396">
            <v>10.5</v>
          </cell>
        </row>
        <row r="397">
          <cell r="F397" t="str">
            <v>SAN</v>
          </cell>
          <cell r="U397">
            <v>10.5</v>
          </cell>
        </row>
        <row r="398">
          <cell r="F398" t="str">
            <v>SAN</v>
          </cell>
          <cell r="U398">
            <v>10.5</v>
          </cell>
        </row>
        <row r="399">
          <cell r="F399" t="str">
            <v>SAN</v>
          </cell>
          <cell r="U399">
            <v>10.5</v>
          </cell>
        </row>
        <row r="400">
          <cell r="F400" t="str">
            <v>SAN</v>
          </cell>
          <cell r="U400">
            <v>10.5</v>
          </cell>
        </row>
        <row r="401">
          <cell r="F401" t="str">
            <v>SAN</v>
          </cell>
          <cell r="U401">
            <v>10.5</v>
          </cell>
        </row>
        <row r="402">
          <cell r="F402" t="str">
            <v>SAN</v>
          </cell>
          <cell r="U402">
            <v>10.5</v>
          </cell>
        </row>
        <row r="403">
          <cell r="F403" t="str">
            <v>SAN</v>
          </cell>
          <cell r="U403">
            <v>10.5</v>
          </cell>
        </row>
        <row r="404">
          <cell r="F404" t="str">
            <v>SAN</v>
          </cell>
          <cell r="U404">
            <v>10.5</v>
          </cell>
        </row>
        <row r="405">
          <cell r="F405" t="str">
            <v>SAN</v>
          </cell>
          <cell r="U405">
            <v>10.5</v>
          </cell>
        </row>
        <row r="406">
          <cell r="F406" t="str">
            <v>SAN</v>
          </cell>
          <cell r="U406">
            <v>10.5</v>
          </cell>
        </row>
        <row r="407">
          <cell r="F407" t="str">
            <v>SAN</v>
          </cell>
          <cell r="U407">
            <v>10.5</v>
          </cell>
        </row>
        <row r="408">
          <cell r="F408" t="str">
            <v>SAN</v>
          </cell>
          <cell r="U408">
            <v>10.5</v>
          </cell>
        </row>
        <row r="409">
          <cell r="F409" t="str">
            <v>SAN</v>
          </cell>
          <cell r="U409">
            <v>60</v>
          </cell>
        </row>
        <row r="410">
          <cell r="F410" t="str">
            <v>SAN</v>
          </cell>
          <cell r="U410">
            <v>60</v>
          </cell>
        </row>
        <row r="411">
          <cell r="F411" t="str">
            <v>SAN</v>
          </cell>
          <cell r="U411">
            <v>60</v>
          </cell>
        </row>
        <row r="412">
          <cell r="F412" t="str">
            <v>SAN</v>
          </cell>
          <cell r="U412">
            <v>60</v>
          </cell>
        </row>
        <row r="413">
          <cell r="F413" t="str">
            <v>SAN</v>
          </cell>
          <cell r="U413">
            <v>60</v>
          </cell>
        </row>
        <row r="414">
          <cell r="F414" t="str">
            <v>SAN</v>
          </cell>
          <cell r="U414">
            <v>24</v>
          </cell>
        </row>
        <row r="415">
          <cell r="F415" t="str">
            <v>SAN</v>
          </cell>
          <cell r="U415">
            <v>24</v>
          </cell>
        </row>
        <row r="416">
          <cell r="F416" t="str">
            <v>SAN</v>
          </cell>
          <cell r="U416">
            <v>24</v>
          </cell>
        </row>
        <row r="417">
          <cell r="F417" t="str">
            <v>SAN</v>
          </cell>
          <cell r="U417">
            <v>24</v>
          </cell>
        </row>
        <row r="418">
          <cell r="F418" t="str">
            <v>SAN</v>
          </cell>
          <cell r="U418">
            <v>24</v>
          </cell>
        </row>
        <row r="419">
          <cell r="F419" t="str">
            <v>SAN</v>
          </cell>
          <cell r="U419">
            <v>24</v>
          </cell>
        </row>
        <row r="420">
          <cell r="F420" t="str">
            <v>SAN</v>
          </cell>
          <cell r="U420">
            <v>24</v>
          </cell>
        </row>
        <row r="421">
          <cell r="F421" t="str">
            <v>SAN</v>
          </cell>
          <cell r="U421">
            <v>24</v>
          </cell>
        </row>
        <row r="422">
          <cell r="F422" t="str">
            <v>SAN</v>
          </cell>
          <cell r="U422">
            <v>24</v>
          </cell>
        </row>
        <row r="423">
          <cell r="F423" t="str">
            <v>SAN</v>
          </cell>
          <cell r="U423">
            <v>24</v>
          </cell>
        </row>
        <row r="424">
          <cell r="F424" t="str">
            <v>SAN</v>
          </cell>
          <cell r="U424">
            <v>24</v>
          </cell>
        </row>
        <row r="425">
          <cell r="F425" t="str">
            <v>SAN</v>
          </cell>
          <cell r="U425">
            <v>24</v>
          </cell>
        </row>
        <row r="426">
          <cell r="F426" t="str">
            <v>SAN</v>
          </cell>
          <cell r="U426">
            <v>24</v>
          </cell>
        </row>
        <row r="427">
          <cell r="F427" t="str">
            <v>SAN</v>
          </cell>
          <cell r="U427">
            <v>24</v>
          </cell>
        </row>
        <row r="428">
          <cell r="F428" t="str">
            <v>SAN</v>
          </cell>
          <cell r="U428">
            <v>24</v>
          </cell>
        </row>
        <row r="429">
          <cell r="F429" t="str">
            <v>SAN</v>
          </cell>
          <cell r="U429">
            <v>24</v>
          </cell>
        </row>
        <row r="430">
          <cell r="F430" t="str">
            <v>OTD</v>
          </cell>
          <cell r="U430">
            <v>6</v>
          </cell>
        </row>
        <row r="431">
          <cell r="F431" t="str">
            <v>OTD</v>
          </cell>
          <cell r="U431">
            <v>6</v>
          </cell>
        </row>
        <row r="432">
          <cell r="F432" t="str">
            <v>OTD</v>
          </cell>
          <cell r="U432">
            <v>6</v>
          </cell>
        </row>
        <row r="433">
          <cell r="F433" t="str">
            <v>OTD</v>
          </cell>
          <cell r="U433">
            <v>6</v>
          </cell>
        </row>
        <row r="434">
          <cell r="F434" t="str">
            <v>OTD</v>
          </cell>
          <cell r="U434">
            <v>6</v>
          </cell>
        </row>
        <row r="435">
          <cell r="F435" t="str">
            <v>OTD</v>
          </cell>
          <cell r="U435">
            <v>6</v>
          </cell>
        </row>
        <row r="436">
          <cell r="F436" t="str">
            <v>OTD</v>
          </cell>
          <cell r="U436">
            <v>6</v>
          </cell>
        </row>
        <row r="437">
          <cell r="F437" t="str">
            <v>OTD</v>
          </cell>
          <cell r="U437">
            <v>6</v>
          </cell>
        </row>
        <row r="438">
          <cell r="F438" t="str">
            <v>OTD</v>
          </cell>
          <cell r="U438">
            <v>6</v>
          </cell>
        </row>
        <row r="439">
          <cell r="F439" t="str">
            <v>OTD</v>
          </cell>
          <cell r="U439">
            <v>6</v>
          </cell>
        </row>
        <row r="440">
          <cell r="F440" t="str">
            <v>OTD</v>
          </cell>
          <cell r="U440">
            <v>6</v>
          </cell>
        </row>
        <row r="441">
          <cell r="F441" t="str">
            <v>OTD</v>
          </cell>
          <cell r="U441">
            <v>6</v>
          </cell>
        </row>
        <row r="442">
          <cell r="F442" t="str">
            <v>KRO</v>
          </cell>
          <cell r="U442">
            <v>6.6</v>
          </cell>
        </row>
        <row r="443">
          <cell r="F443" t="str">
            <v>KRO</v>
          </cell>
          <cell r="U443">
            <v>4.5</v>
          </cell>
        </row>
        <row r="444">
          <cell r="F444" t="str">
            <v>KRO</v>
          </cell>
          <cell r="U444">
            <v>4.5</v>
          </cell>
        </row>
        <row r="445">
          <cell r="F445" t="str">
            <v>KRO</v>
          </cell>
          <cell r="U445">
            <v>6</v>
          </cell>
        </row>
        <row r="446">
          <cell r="F446" t="str">
            <v>KRO</v>
          </cell>
          <cell r="U446">
            <v>6</v>
          </cell>
        </row>
        <row r="447">
          <cell r="F447" t="str">
            <v>KRO</v>
          </cell>
          <cell r="U447">
            <v>6</v>
          </cell>
        </row>
        <row r="448">
          <cell r="F448" t="str">
            <v>KRO</v>
          </cell>
          <cell r="U448">
            <v>6</v>
          </cell>
        </row>
        <row r="449">
          <cell r="F449" t="str">
            <v>KRO</v>
          </cell>
          <cell r="U449">
            <v>6</v>
          </cell>
        </row>
        <row r="450">
          <cell r="F450" t="str">
            <v>KRO</v>
          </cell>
          <cell r="U450">
            <v>6</v>
          </cell>
        </row>
        <row r="451">
          <cell r="F451" t="str">
            <v>KRO</v>
          </cell>
          <cell r="U451">
            <v>6</v>
          </cell>
        </row>
        <row r="452">
          <cell r="F452" t="str">
            <v>KRO</v>
          </cell>
          <cell r="U452">
            <v>6</v>
          </cell>
        </row>
        <row r="453">
          <cell r="F453" t="str">
            <v>KRO</v>
          </cell>
          <cell r="U453">
            <v>6.6</v>
          </cell>
        </row>
        <row r="454">
          <cell r="F454" t="str">
            <v>KRO</v>
          </cell>
          <cell r="U454">
            <v>6.6</v>
          </cell>
        </row>
        <row r="455">
          <cell r="F455" t="str">
            <v>KRO</v>
          </cell>
          <cell r="U455">
            <v>6</v>
          </cell>
        </row>
        <row r="456">
          <cell r="F456" t="str">
            <v>KRO</v>
          </cell>
          <cell r="U456">
            <v>1.5</v>
          </cell>
        </row>
        <row r="457">
          <cell r="F457" t="str">
            <v>KRO</v>
          </cell>
          <cell r="U457">
            <v>2.4</v>
          </cell>
        </row>
        <row r="458">
          <cell r="F458" t="str">
            <v>KRO</v>
          </cell>
          <cell r="U458">
            <v>6.6</v>
          </cell>
        </row>
        <row r="459">
          <cell r="F459" t="str">
            <v>KRO</v>
          </cell>
          <cell r="U459">
            <v>6.6</v>
          </cell>
        </row>
        <row r="460">
          <cell r="F460" t="str">
            <v>KRO</v>
          </cell>
          <cell r="U460">
            <v>6.6</v>
          </cell>
        </row>
        <row r="461">
          <cell r="F461" t="str">
            <v>KRO</v>
          </cell>
          <cell r="U461">
            <v>0</v>
          </cell>
        </row>
        <row r="462">
          <cell r="F462" t="str">
            <v>OTD</v>
          </cell>
          <cell r="U462">
            <v>6</v>
          </cell>
        </row>
        <row r="463">
          <cell r="F463" t="str">
            <v>OTD</v>
          </cell>
          <cell r="U463">
            <v>6</v>
          </cell>
        </row>
        <row r="464">
          <cell r="F464" t="str">
            <v>OTD</v>
          </cell>
          <cell r="U464">
            <v>6</v>
          </cell>
        </row>
        <row r="465">
          <cell r="F465" t="str">
            <v>OTD</v>
          </cell>
          <cell r="U465">
            <v>6</v>
          </cell>
        </row>
        <row r="466">
          <cell r="F466" t="str">
            <v>KRO</v>
          </cell>
          <cell r="U466">
            <v>4.5</v>
          </cell>
        </row>
        <row r="467">
          <cell r="F467" t="str">
            <v>KRO</v>
          </cell>
          <cell r="U467">
            <v>15</v>
          </cell>
        </row>
        <row r="468">
          <cell r="F468" t="str">
            <v>OTD</v>
          </cell>
          <cell r="U468">
            <v>6</v>
          </cell>
        </row>
        <row r="469">
          <cell r="F469" t="str">
            <v>ELM</v>
          </cell>
          <cell r="U469">
            <v>7.5</v>
          </cell>
        </row>
        <row r="470">
          <cell r="F470" t="str">
            <v>SAN</v>
          </cell>
          <cell r="U470">
            <v>6</v>
          </cell>
        </row>
        <row r="471">
          <cell r="F471" t="str">
            <v>FAS</v>
          </cell>
          <cell r="U471">
            <v>12</v>
          </cell>
        </row>
        <row r="472">
          <cell r="F472" t="str">
            <v>PSM</v>
          </cell>
          <cell r="U472">
            <v>2</v>
          </cell>
        </row>
        <row r="473">
          <cell r="F473" t="str">
            <v>SVA</v>
          </cell>
          <cell r="U473">
            <v>120</v>
          </cell>
        </row>
        <row r="474">
          <cell r="F474" t="str">
            <v>SVA</v>
          </cell>
          <cell r="U474">
            <v>120</v>
          </cell>
        </row>
        <row r="475">
          <cell r="F475" t="str">
            <v>SVA</v>
          </cell>
          <cell r="U475">
            <v>40</v>
          </cell>
        </row>
        <row r="476">
          <cell r="F476" t="str">
            <v>SVA</v>
          </cell>
          <cell r="U476">
            <v>40</v>
          </cell>
        </row>
        <row r="477">
          <cell r="F477" t="str">
            <v>VOR</v>
          </cell>
          <cell r="U477">
            <v>5</v>
          </cell>
        </row>
        <row r="478">
          <cell r="F478" t="str">
            <v>VOR</v>
          </cell>
          <cell r="U478">
            <v>5</v>
          </cell>
        </row>
        <row r="479">
          <cell r="F479" t="str">
            <v>VOR</v>
          </cell>
          <cell r="U479">
            <v>5</v>
          </cell>
        </row>
        <row r="480">
          <cell r="F480" t="str">
            <v>VOR</v>
          </cell>
          <cell r="U480">
            <v>5</v>
          </cell>
        </row>
        <row r="481">
          <cell r="F481" t="str">
            <v>VOR</v>
          </cell>
          <cell r="U481">
            <v>5</v>
          </cell>
        </row>
        <row r="482">
          <cell r="F482" t="str">
            <v>VOR</v>
          </cell>
          <cell r="U482">
            <v>5</v>
          </cell>
        </row>
        <row r="483">
          <cell r="F483" t="str">
            <v>PLI</v>
          </cell>
          <cell r="U483">
            <v>80</v>
          </cell>
        </row>
        <row r="484">
          <cell r="F484" t="str">
            <v>PLI</v>
          </cell>
          <cell r="U484">
            <v>80</v>
          </cell>
        </row>
        <row r="485">
          <cell r="F485" t="str">
            <v>PLI</v>
          </cell>
          <cell r="U485">
            <v>40</v>
          </cell>
        </row>
        <row r="486">
          <cell r="F486" t="str">
            <v>ELM</v>
          </cell>
          <cell r="U486">
            <v>40</v>
          </cell>
        </row>
        <row r="487">
          <cell r="F487" t="str">
            <v>RAZ</v>
          </cell>
          <cell r="U487">
            <v>80</v>
          </cell>
        </row>
        <row r="488">
          <cell r="F488" t="str">
            <v>SAN</v>
          </cell>
          <cell r="U488">
            <v>150</v>
          </cell>
        </row>
        <row r="489">
          <cell r="F489" t="str">
            <v>SAN</v>
          </cell>
          <cell r="U489">
            <v>150</v>
          </cell>
        </row>
        <row r="490">
          <cell r="F490" t="str">
            <v>SAN</v>
          </cell>
          <cell r="U490">
            <v>150</v>
          </cell>
        </row>
        <row r="491">
          <cell r="F491" t="str">
            <v>SAN</v>
          </cell>
          <cell r="U491">
            <v>150</v>
          </cell>
        </row>
        <row r="492">
          <cell r="F492" t="str">
            <v>RAZ</v>
          </cell>
          <cell r="U492">
            <v>80</v>
          </cell>
        </row>
        <row r="493">
          <cell r="F493" t="str">
            <v>SAN</v>
          </cell>
          <cell r="U493">
            <v>150</v>
          </cell>
        </row>
        <row r="494">
          <cell r="F494" t="str">
            <v>SAN</v>
          </cell>
          <cell r="U494">
            <v>150</v>
          </cell>
        </row>
        <row r="495">
          <cell r="F495" t="str">
            <v>SAN</v>
          </cell>
          <cell r="U495">
            <v>150</v>
          </cell>
        </row>
        <row r="496">
          <cell r="F496" t="str">
            <v>SAN</v>
          </cell>
          <cell r="U496">
            <v>150</v>
          </cell>
        </row>
        <row r="497">
          <cell r="F497" t="str">
            <v>PSM</v>
          </cell>
          <cell r="U497">
            <v>60</v>
          </cell>
        </row>
        <row r="498">
          <cell r="F498" t="str">
            <v>PSM</v>
          </cell>
          <cell r="U498">
            <v>60</v>
          </cell>
        </row>
        <row r="499">
          <cell r="F499" t="str">
            <v>PSM</v>
          </cell>
          <cell r="U499">
            <v>60</v>
          </cell>
        </row>
        <row r="500">
          <cell r="F500" t="str">
            <v>PSM</v>
          </cell>
          <cell r="U500">
            <v>60</v>
          </cell>
        </row>
        <row r="501">
          <cell r="F501" t="str">
            <v>ELM</v>
          </cell>
          <cell r="U501">
            <v>70</v>
          </cell>
        </row>
        <row r="502">
          <cell r="F502" t="str">
            <v>PSM</v>
          </cell>
          <cell r="U502">
            <v>60</v>
          </cell>
        </row>
        <row r="503">
          <cell r="F503" t="str">
            <v>PSM</v>
          </cell>
          <cell r="U503">
            <v>60</v>
          </cell>
        </row>
        <row r="504">
          <cell r="F504" t="str">
            <v>ELM</v>
          </cell>
          <cell r="U504">
            <v>40</v>
          </cell>
        </row>
        <row r="505">
          <cell r="F505" t="str">
            <v>ELM</v>
          </cell>
          <cell r="U505">
            <v>40</v>
          </cell>
        </row>
        <row r="506">
          <cell r="F506" t="str">
            <v>ELM</v>
          </cell>
          <cell r="U506">
            <v>40</v>
          </cell>
        </row>
        <row r="507">
          <cell r="F507" t="str">
            <v>ELM</v>
          </cell>
          <cell r="U507">
            <v>100</v>
          </cell>
        </row>
        <row r="508">
          <cell r="F508" t="str">
            <v>SVA</v>
          </cell>
          <cell r="U508">
            <v>100</v>
          </cell>
        </row>
        <row r="509">
          <cell r="F509" t="str">
            <v>PSM</v>
          </cell>
          <cell r="U509">
            <v>40</v>
          </cell>
        </row>
        <row r="510">
          <cell r="F510" t="str">
            <v>PSM</v>
          </cell>
          <cell r="U510">
            <v>40</v>
          </cell>
        </row>
        <row r="511">
          <cell r="F511" t="str">
            <v>PSM</v>
          </cell>
          <cell r="U511">
            <v>40</v>
          </cell>
        </row>
        <row r="512">
          <cell r="F512" t="str">
            <v>PSM</v>
          </cell>
          <cell r="U512">
            <v>40</v>
          </cell>
        </row>
        <row r="513">
          <cell r="F513" t="str">
            <v>RAZ</v>
          </cell>
          <cell r="U513">
            <v>50</v>
          </cell>
        </row>
        <row r="514">
          <cell r="F514" t="str">
            <v>RAZ</v>
          </cell>
          <cell r="U514">
            <v>8</v>
          </cell>
        </row>
        <row r="515">
          <cell r="F515" t="str">
            <v>RAZ</v>
          </cell>
          <cell r="U515">
            <v>8</v>
          </cell>
        </row>
        <row r="516">
          <cell r="F516" t="str">
            <v>ELM</v>
          </cell>
          <cell r="U516">
            <v>70</v>
          </cell>
        </row>
        <row r="517">
          <cell r="F517" t="str">
            <v>RAZ</v>
          </cell>
          <cell r="U517">
            <v>50</v>
          </cell>
        </row>
        <row r="518">
          <cell r="F518" t="str">
            <v>BET</v>
          </cell>
          <cell r="U518">
            <v>8</v>
          </cell>
        </row>
        <row r="519">
          <cell r="F519" t="str">
            <v>ELM</v>
          </cell>
          <cell r="U519">
            <v>4</v>
          </cell>
        </row>
        <row r="520">
          <cell r="F520" t="str">
            <v>SAN</v>
          </cell>
          <cell r="U520">
            <v>15</v>
          </cell>
        </row>
        <row r="521">
          <cell r="F521" t="str">
            <v>RAZ</v>
          </cell>
          <cell r="U521">
            <v>50</v>
          </cell>
        </row>
        <row r="522">
          <cell r="F522" t="str">
            <v>SAN</v>
          </cell>
          <cell r="U522">
            <v>100</v>
          </cell>
        </row>
        <row r="523">
          <cell r="F523" t="str">
            <v>BET</v>
          </cell>
          <cell r="U523">
            <v>8</v>
          </cell>
        </row>
        <row r="524">
          <cell r="F524" t="str">
            <v>RAZ</v>
          </cell>
          <cell r="U524">
            <v>50</v>
          </cell>
        </row>
        <row r="525">
          <cell r="F525" t="str">
            <v>RAZ</v>
          </cell>
          <cell r="U525">
            <v>50</v>
          </cell>
        </row>
        <row r="526">
          <cell r="F526" t="str">
            <v>RAZ</v>
          </cell>
          <cell r="U526">
            <v>50</v>
          </cell>
        </row>
        <row r="527">
          <cell r="F527" t="str">
            <v>RAZ</v>
          </cell>
          <cell r="U527">
            <v>50</v>
          </cell>
        </row>
        <row r="528">
          <cell r="F528" t="str">
            <v>RAZ</v>
          </cell>
          <cell r="U528">
            <v>50</v>
          </cell>
        </row>
        <row r="529">
          <cell r="F529" t="str">
            <v>RAZ</v>
          </cell>
          <cell r="U529">
            <v>20</v>
          </cell>
        </row>
        <row r="530">
          <cell r="F530" t="str">
            <v>OTD</v>
          </cell>
          <cell r="U530">
            <v>35</v>
          </cell>
        </row>
        <row r="531">
          <cell r="F531" t="str">
            <v>BET</v>
          </cell>
          <cell r="U531">
            <v>30</v>
          </cell>
        </row>
        <row r="532">
          <cell r="F532" t="str">
            <v>PLI</v>
          </cell>
          <cell r="U532">
            <v>15</v>
          </cell>
        </row>
        <row r="533">
          <cell r="F533" t="str">
            <v>OTD</v>
          </cell>
          <cell r="U533">
            <v>25</v>
          </cell>
        </row>
        <row r="534">
          <cell r="F534" t="str">
            <v>PLI</v>
          </cell>
          <cell r="U534">
            <v>150</v>
          </cell>
        </row>
        <row r="535">
          <cell r="F535" t="str">
            <v>PLI</v>
          </cell>
          <cell r="U535">
            <v>25</v>
          </cell>
        </row>
        <row r="536">
          <cell r="F536" t="str">
            <v>PLI</v>
          </cell>
          <cell r="U536">
            <v>25</v>
          </cell>
        </row>
        <row r="537">
          <cell r="F537" t="str">
            <v>PLI</v>
          </cell>
          <cell r="U537">
            <v>20</v>
          </cell>
        </row>
        <row r="538">
          <cell r="F538" t="str">
            <v>PLI</v>
          </cell>
          <cell r="U538">
            <v>10</v>
          </cell>
        </row>
        <row r="539">
          <cell r="F539" t="str">
            <v>PLI</v>
          </cell>
          <cell r="U539">
            <v>10</v>
          </cell>
        </row>
        <row r="540">
          <cell r="F540" t="str">
            <v>PLI</v>
          </cell>
          <cell r="U540">
            <v>40</v>
          </cell>
        </row>
        <row r="541">
          <cell r="F541" t="str">
            <v>PLI</v>
          </cell>
          <cell r="U541">
            <v>10</v>
          </cell>
        </row>
        <row r="542">
          <cell r="F542" t="str">
            <v>KAM</v>
          </cell>
          <cell r="U542">
            <v>60</v>
          </cell>
        </row>
        <row r="543">
          <cell r="F543" t="str">
            <v>SVA</v>
          </cell>
          <cell r="U543">
            <v>40</v>
          </cell>
        </row>
        <row r="544">
          <cell r="F544" t="str">
            <v>OTD</v>
          </cell>
          <cell r="U544">
            <v>35</v>
          </cell>
        </row>
        <row r="545">
          <cell r="F545" t="str">
            <v>OTD</v>
          </cell>
          <cell r="U545">
            <v>4</v>
          </cell>
        </row>
        <row r="546">
          <cell r="F546" t="str">
            <v>OTD</v>
          </cell>
          <cell r="U546">
            <v>55</v>
          </cell>
        </row>
        <row r="547">
          <cell r="F547" t="str">
            <v>OTD</v>
          </cell>
          <cell r="U547">
            <v>45</v>
          </cell>
        </row>
        <row r="548">
          <cell r="F548" t="str">
            <v>OTD</v>
          </cell>
          <cell r="U548">
            <v>20</v>
          </cell>
        </row>
        <row r="549">
          <cell r="F549" t="str">
            <v>OTD</v>
          </cell>
          <cell r="U549">
            <v>50</v>
          </cell>
        </row>
        <row r="550">
          <cell r="F550" t="str">
            <v>DVR</v>
          </cell>
          <cell r="U550">
            <v>120</v>
          </cell>
        </row>
        <row r="551">
          <cell r="F551" t="str">
            <v>DVR</v>
          </cell>
          <cell r="U551">
            <v>60</v>
          </cell>
        </row>
        <row r="552">
          <cell r="F552" t="str">
            <v>DVR</v>
          </cell>
          <cell r="U552">
            <v>500</v>
          </cell>
        </row>
        <row r="553">
          <cell r="F553" t="str">
            <v>DVR</v>
          </cell>
          <cell r="U553">
            <v>150</v>
          </cell>
        </row>
        <row r="554">
          <cell r="F554" t="str">
            <v>DVR</v>
          </cell>
          <cell r="U554">
            <v>120</v>
          </cell>
        </row>
        <row r="555">
          <cell r="F555" t="str">
            <v>DVR</v>
          </cell>
          <cell r="U555">
            <v>20</v>
          </cell>
        </row>
        <row r="556">
          <cell r="F556" t="str">
            <v>DVR</v>
          </cell>
          <cell r="U556">
            <v>70</v>
          </cell>
        </row>
        <row r="557">
          <cell r="F557" t="str">
            <v>DVR</v>
          </cell>
          <cell r="U557">
            <v>60</v>
          </cell>
        </row>
        <row r="558">
          <cell r="F558" t="str">
            <v>DVR</v>
          </cell>
          <cell r="U558">
            <v>30</v>
          </cell>
        </row>
        <row r="559">
          <cell r="F559" t="str">
            <v>OTD</v>
          </cell>
          <cell r="U559">
            <v>50</v>
          </cell>
        </row>
        <row r="560">
          <cell r="F560" t="str">
            <v>OTD</v>
          </cell>
          <cell r="U560">
            <v>20</v>
          </cell>
        </row>
        <row r="561">
          <cell r="F561" t="str">
            <v>OTD</v>
          </cell>
          <cell r="U561">
            <v>15</v>
          </cell>
        </row>
        <row r="562">
          <cell r="F562" t="str">
            <v>OTD</v>
          </cell>
          <cell r="U562">
            <v>4</v>
          </cell>
        </row>
        <row r="563">
          <cell r="F563" t="str">
            <v>OTD</v>
          </cell>
          <cell r="U563">
            <v>20</v>
          </cell>
        </row>
        <row r="564">
          <cell r="F564" t="str">
            <v>ELM</v>
          </cell>
          <cell r="U564">
            <v>35</v>
          </cell>
        </row>
        <row r="565">
          <cell r="F565" t="str">
            <v>ELM</v>
          </cell>
          <cell r="U565">
            <v>70</v>
          </cell>
        </row>
        <row r="566">
          <cell r="F566" t="str">
            <v>ELM</v>
          </cell>
          <cell r="U566">
            <v>105</v>
          </cell>
        </row>
        <row r="567">
          <cell r="F567" t="str">
            <v>ELM</v>
          </cell>
          <cell r="U567">
            <v>35</v>
          </cell>
        </row>
        <row r="568">
          <cell r="F568" t="str">
            <v>ELM</v>
          </cell>
          <cell r="U568">
            <v>60</v>
          </cell>
        </row>
        <row r="569">
          <cell r="F569" t="str">
            <v>ELM</v>
          </cell>
          <cell r="U569">
            <v>35</v>
          </cell>
        </row>
        <row r="570">
          <cell r="F570" t="str">
            <v>ELM</v>
          </cell>
          <cell r="U570">
            <v>35</v>
          </cell>
        </row>
        <row r="571">
          <cell r="F571" t="str">
            <v>ELM</v>
          </cell>
          <cell r="U571">
            <v>60</v>
          </cell>
        </row>
        <row r="572">
          <cell r="F572" t="str">
            <v>RAZ</v>
          </cell>
          <cell r="U572">
            <v>50</v>
          </cell>
        </row>
        <row r="573">
          <cell r="F573" t="str">
            <v>ELM</v>
          </cell>
          <cell r="U573">
            <v>20</v>
          </cell>
        </row>
        <row r="574">
          <cell r="F574" t="str">
            <v>ELM</v>
          </cell>
          <cell r="U574">
            <v>6</v>
          </cell>
        </row>
        <row r="575">
          <cell r="F575" t="str">
            <v>ELM</v>
          </cell>
          <cell r="U575">
            <v>6</v>
          </cell>
        </row>
        <row r="576">
          <cell r="F576" t="str">
            <v>ELM</v>
          </cell>
          <cell r="U576">
            <v>12</v>
          </cell>
        </row>
        <row r="577">
          <cell r="F577" t="str">
            <v>ELM</v>
          </cell>
          <cell r="U577">
            <v>12</v>
          </cell>
        </row>
        <row r="578">
          <cell r="F578" t="str">
            <v>ELM</v>
          </cell>
          <cell r="U578">
            <v>8</v>
          </cell>
        </row>
        <row r="579">
          <cell r="F579" t="str">
            <v>ELM</v>
          </cell>
          <cell r="U579">
            <v>20</v>
          </cell>
        </row>
        <row r="580">
          <cell r="F580" t="str">
            <v>BET</v>
          </cell>
          <cell r="U580">
            <v>8</v>
          </cell>
        </row>
        <row r="581">
          <cell r="F581" t="str">
            <v>BET</v>
          </cell>
          <cell r="U581">
            <v>8</v>
          </cell>
        </row>
        <row r="582">
          <cell r="F582" t="str">
            <v>ELM</v>
          </cell>
          <cell r="U582">
            <v>12</v>
          </cell>
        </row>
        <row r="583">
          <cell r="F583" t="str">
            <v>ELM</v>
          </cell>
          <cell r="U583">
            <v>12</v>
          </cell>
        </row>
        <row r="584">
          <cell r="F584" t="str">
            <v>SAN</v>
          </cell>
          <cell r="U584">
            <v>35</v>
          </cell>
        </row>
        <row r="585">
          <cell r="F585" t="str">
            <v>SAN</v>
          </cell>
          <cell r="U585">
            <v>35</v>
          </cell>
        </row>
        <row r="586">
          <cell r="F586" t="str">
            <v>RAZ</v>
          </cell>
          <cell r="U586">
            <v>80</v>
          </cell>
        </row>
        <row r="587">
          <cell r="F587" t="str">
            <v>SAN</v>
          </cell>
          <cell r="U587">
            <v>200</v>
          </cell>
        </row>
        <row r="588">
          <cell r="F588" t="str">
            <v>SAN</v>
          </cell>
          <cell r="U588">
            <v>100</v>
          </cell>
        </row>
        <row r="589">
          <cell r="F589" t="str">
            <v>SAN</v>
          </cell>
          <cell r="U589">
            <v>100</v>
          </cell>
        </row>
        <row r="590">
          <cell r="F590" t="str">
            <v>SAN</v>
          </cell>
          <cell r="U590">
            <v>200</v>
          </cell>
        </row>
        <row r="591">
          <cell r="F591" t="str">
            <v>BET</v>
          </cell>
          <cell r="U591">
            <v>8</v>
          </cell>
        </row>
        <row r="592">
          <cell r="F592" t="str">
            <v>OTD</v>
          </cell>
          <cell r="U592">
            <v>50</v>
          </cell>
        </row>
        <row r="593">
          <cell r="F593" t="str">
            <v>OTD</v>
          </cell>
          <cell r="U593">
            <v>40</v>
          </cell>
        </row>
        <row r="594">
          <cell r="F594" t="str">
            <v>SAN</v>
          </cell>
          <cell r="U594">
            <v>200</v>
          </cell>
        </row>
        <row r="595">
          <cell r="F595" t="str">
            <v>SAN</v>
          </cell>
          <cell r="U595">
            <v>200</v>
          </cell>
        </row>
        <row r="596">
          <cell r="F596" t="str">
            <v>RAZ</v>
          </cell>
          <cell r="U596">
            <v>80</v>
          </cell>
        </row>
        <row r="597">
          <cell r="F597" t="str">
            <v>RAZ</v>
          </cell>
          <cell r="U597">
            <v>80</v>
          </cell>
        </row>
        <row r="598">
          <cell r="F598" t="str">
            <v>RAZ</v>
          </cell>
          <cell r="U598">
            <v>80</v>
          </cell>
        </row>
        <row r="599">
          <cell r="F599" t="str">
            <v>RAZ</v>
          </cell>
          <cell r="U599">
            <v>80</v>
          </cell>
        </row>
        <row r="600">
          <cell r="F600" t="str">
            <v>PLI</v>
          </cell>
          <cell r="U600">
            <v>15</v>
          </cell>
        </row>
        <row r="601">
          <cell r="F601" t="str">
            <v>RAZ</v>
          </cell>
          <cell r="U601">
            <v>0</v>
          </cell>
        </row>
        <row r="602">
          <cell r="F602" t="str">
            <v>RAZ</v>
          </cell>
          <cell r="U602">
            <v>5</v>
          </cell>
        </row>
        <row r="603">
          <cell r="F603" t="str">
            <v>RAZ</v>
          </cell>
          <cell r="U603">
            <v>20</v>
          </cell>
        </row>
        <row r="604">
          <cell r="F604" t="str">
            <v>OTD</v>
          </cell>
          <cell r="U604">
            <v>30</v>
          </cell>
        </row>
        <row r="605">
          <cell r="F605" t="str">
            <v>OTD</v>
          </cell>
          <cell r="U605">
            <v>30</v>
          </cell>
        </row>
        <row r="606">
          <cell r="F606" t="str">
            <v>DVR</v>
          </cell>
          <cell r="U606">
            <v>60</v>
          </cell>
        </row>
        <row r="607">
          <cell r="F607" t="str">
            <v>DVR</v>
          </cell>
          <cell r="U607">
            <v>120</v>
          </cell>
        </row>
        <row r="608">
          <cell r="F608" t="str">
            <v>RAZ</v>
          </cell>
          <cell r="U608">
            <v>50</v>
          </cell>
        </row>
        <row r="609">
          <cell r="F609" t="str">
            <v>RAZ</v>
          </cell>
          <cell r="U609">
            <v>50</v>
          </cell>
        </row>
        <row r="610">
          <cell r="F610" t="str">
            <v>PLI</v>
          </cell>
          <cell r="U610">
            <v>45</v>
          </cell>
        </row>
        <row r="611">
          <cell r="F611" t="str">
            <v>OTD</v>
          </cell>
          <cell r="U611">
            <v>25</v>
          </cell>
        </row>
        <row r="612">
          <cell r="F612" t="str">
            <v>SVA</v>
          </cell>
          <cell r="U612">
            <v>15</v>
          </cell>
        </row>
        <row r="613">
          <cell r="F613" t="str">
            <v>OTD</v>
          </cell>
          <cell r="U613">
            <v>10</v>
          </cell>
        </row>
        <row r="614">
          <cell r="F614" t="str">
            <v>OTD</v>
          </cell>
          <cell r="U614">
            <v>30</v>
          </cell>
        </row>
        <row r="615">
          <cell r="F615" t="str">
            <v>OTD</v>
          </cell>
          <cell r="U615">
            <v>12</v>
          </cell>
        </row>
        <row r="616">
          <cell r="F616" t="str">
            <v>OTD</v>
          </cell>
          <cell r="U616">
            <v>20</v>
          </cell>
        </row>
        <row r="617">
          <cell r="F617" t="str">
            <v>OTD</v>
          </cell>
          <cell r="U617">
            <v>4</v>
          </cell>
        </row>
        <row r="618">
          <cell r="F618" t="str">
            <v>OTD</v>
          </cell>
          <cell r="U618">
            <v>8</v>
          </cell>
        </row>
        <row r="619">
          <cell r="F619" t="str">
            <v>PLI</v>
          </cell>
          <cell r="U619">
            <v>45</v>
          </cell>
        </row>
        <row r="620">
          <cell r="F620" t="str">
            <v>RAZ</v>
          </cell>
          <cell r="U620">
            <v>20</v>
          </cell>
        </row>
        <row r="621">
          <cell r="F621" t="str">
            <v>RAZ</v>
          </cell>
          <cell r="U621">
            <v>20</v>
          </cell>
        </row>
        <row r="622">
          <cell r="F622" t="str">
            <v>RAZ</v>
          </cell>
          <cell r="U622">
            <v>45</v>
          </cell>
        </row>
        <row r="623">
          <cell r="F623" t="str">
            <v>RAZ</v>
          </cell>
          <cell r="U623">
            <v>8</v>
          </cell>
        </row>
        <row r="624">
          <cell r="F624" t="str">
            <v>ELM</v>
          </cell>
          <cell r="U624">
            <v>4</v>
          </cell>
        </row>
        <row r="625">
          <cell r="F625" t="str">
            <v>RAZ</v>
          </cell>
          <cell r="U625">
            <v>8</v>
          </cell>
        </row>
        <row r="626">
          <cell r="F626" t="str">
            <v>RAZ</v>
          </cell>
          <cell r="U626">
            <v>50</v>
          </cell>
        </row>
        <row r="627">
          <cell r="F627" t="str">
            <v>RAZ</v>
          </cell>
          <cell r="U627">
            <v>50</v>
          </cell>
        </row>
        <row r="628">
          <cell r="F628" t="str">
            <v>ELM</v>
          </cell>
          <cell r="U628">
            <v>35</v>
          </cell>
        </row>
        <row r="629">
          <cell r="F629" t="str">
            <v>RAZ</v>
          </cell>
          <cell r="U629">
            <v>50</v>
          </cell>
        </row>
        <row r="630">
          <cell r="F630" t="str">
            <v>SVA</v>
          </cell>
          <cell r="U630">
            <v>15</v>
          </cell>
        </row>
        <row r="631">
          <cell r="F631" t="str">
            <v>ELM</v>
          </cell>
          <cell r="U631">
            <v>100</v>
          </cell>
        </row>
        <row r="632">
          <cell r="F632" t="str">
            <v>RAZ</v>
          </cell>
          <cell r="U632">
            <v>50</v>
          </cell>
        </row>
        <row r="633">
          <cell r="F633" t="str">
            <v>RAZ</v>
          </cell>
          <cell r="U633">
            <v>80</v>
          </cell>
        </row>
        <row r="634">
          <cell r="F634" t="str">
            <v>BLG</v>
          </cell>
          <cell r="U634">
            <v>100</v>
          </cell>
        </row>
        <row r="635">
          <cell r="F635" t="str">
            <v>KRO</v>
          </cell>
          <cell r="U635">
            <v>20</v>
          </cell>
        </row>
        <row r="636">
          <cell r="F636" t="str">
            <v>BLG</v>
          </cell>
          <cell r="U636">
            <v>15</v>
          </cell>
        </row>
        <row r="637">
          <cell r="F637" t="str">
            <v>ELM</v>
          </cell>
          <cell r="U637">
            <v>70</v>
          </cell>
        </row>
        <row r="638">
          <cell r="F638" t="str">
            <v>RAZ</v>
          </cell>
          <cell r="U638">
            <v>80</v>
          </cell>
        </row>
        <row r="639">
          <cell r="F639" t="str">
            <v>SAN</v>
          </cell>
          <cell r="U639">
            <v>100</v>
          </cell>
        </row>
        <row r="640">
          <cell r="F640" t="str">
            <v>KRO</v>
          </cell>
          <cell r="U640">
            <v>20</v>
          </cell>
        </row>
        <row r="641">
          <cell r="F641" t="str">
            <v>KRO</v>
          </cell>
          <cell r="U641">
            <v>20</v>
          </cell>
        </row>
        <row r="642">
          <cell r="F642" t="str">
            <v>KRO</v>
          </cell>
          <cell r="U642">
            <v>20</v>
          </cell>
        </row>
        <row r="643">
          <cell r="F643" t="str">
            <v>KRO</v>
          </cell>
          <cell r="U643">
            <v>20</v>
          </cell>
        </row>
        <row r="644">
          <cell r="F644" t="str">
            <v>KRO</v>
          </cell>
          <cell r="U644">
            <v>20</v>
          </cell>
        </row>
        <row r="645">
          <cell r="F645" t="str">
            <v>KRO</v>
          </cell>
          <cell r="U645">
            <v>20</v>
          </cell>
        </row>
        <row r="646">
          <cell r="F646" t="str">
            <v>KRO</v>
          </cell>
          <cell r="U646">
            <v>20</v>
          </cell>
        </row>
        <row r="647">
          <cell r="F647" t="str">
            <v>KRO</v>
          </cell>
          <cell r="U647">
            <v>20</v>
          </cell>
        </row>
        <row r="648">
          <cell r="F648" t="str">
            <v>KRO</v>
          </cell>
          <cell r="U648">
            <v>20</v>
          </cell>
        </row>
        <row r="649">
          <cell r="F649" t="str">
            <v>KRO</v>
          </cell>
          <cell r="U649">
            <v>20</v>
          </cell>
        </row>
        <row r="650">
          <cell r="F650" t="str">
            <v>KRO</v>
          </cell>
          <cell r="U650">
            <v>20</v>
          </cell>
        </row>
        <row r="651">
          <cell r="F651" t="str">
            <v>KRO</v>
          </cell>
          <cell r="U651">
            <v>20</v>
          </cell>
        </row>
        <row r="652">
          <cell r="F652" t="str">
            <v>KRO</v>
          </cell>
          <cell r="U652">
            <v>20</v>
          </cell>
        </row>
        <row r="653">
          <cell r="F653" t="str">
            <v>KRO</v>
          </cell>
          <cell r="U653">
            <v>20</v>
          </cell>
        </row>
        <row r="654">
          <cell r="F654" t="str">
            <v>KRO</v>
          </cell>
          <cell r="U654">
            <v>20</v>
          </cell>
        </row>
        <row r="655">
          <cell r="F655" t="str">
            <v>KRO</v>
          </cell>
          <cell r="U655">
            <v>20</v>
          </cell>
        </row>
        <row r="656">
          <cell r="F656" t="str">
            <v>KRO</v>
          </cell>
          <cell r="U656">
            <v>20</v>
          </cell>
        </row>
        <row r="657">
          <cell r="F657" t="str">
            <v>KRO</v>
          </cell>
          <cell r="U657">
            <v>20</v>
          </cell>
        </row>
        <row r="658">
          <cell r="F658" t="str">
            <v>KRO</v>
          </cell>
          <cell r="U658">
            <v>20</v>
          </cell>
        </row>
        <row r="659">
          <cell r="F659" t="str">
            <v>DVR</v>
          </cell>
          <cell r="U659">
            <v>30</v>
          </cell>
        </row>
        <row r="660">
          <cell r="F660" t="str">
            <v>KRO</v>
          </cell>
          <cell r="U660">
            <v>20</v>
          </cell>
        </row>
        <row r="661">
          <cell r="F661" t="str">
            <v>KRO</v>
          </cell>
          <cell r="U661">
            <v>20</v>
          </cell>
        </row>
        <row r="662">
          <cell r="F662" t="str">
            <v>KRO</v>
          </cell>
          <cell r="U662">
            <v>20</v>
          </cell>
        </row>
        <row r="663">
          <cell r="F663" t="str">
            <v>KRO</v>
          </cell>
          <cell r="U663">
            <v>20</v>
          </cell>
        </row>
        <row r="664">
          <cell r="F664" t="str">
            <v>KRO</v>
          </cell>
          <cell r="U664">
            <v>20</v>
          </cell>
        </row>
        <row r="665">
          <cell r="F665" t="str">
            <v>KRO</v>
          </cell>
          <cell r="U665">
            <v>25</v>
          </cell>
        </row>
        <row r="666">
          <cell r="F666" t="str">
            <v>KRO</v>
          </cell>
          <cell r="U666">
            <v>25</v>
          </cell>
        </row>
        <row r="667">
          <cell r="F667" t="str">
            <v>KRO</v>
          </cell>
          <cell r="U667">
            <v>20</v>
          </cell>
        </row>
        <row r="668">
          <cell r="F668" t="str">
            <v>KRO</v>
          </cell>
          <cell r="U668">
            <v>20</v>
          </cell>
        </row>
        <row r="669">
          <cell r="F669" t="str">
            <v>OTD</v>
          </cell>
          <cell r="U669">
            <v>5</v>
          </cell>
        </row>
        <row r="670">
          <cell r="F670" t="str">
            <v>VOR</v>
          </cell>
          <cell r="U670">
            <v>800</v>
          </cell>
        </row>
        <row r="671">
          <cell r="F671" t="str">
            <v>SVA</v>
          </cell>
          <cell r="U671">
            <v>80</v>
          </cell>
        </row>
        <row r="672">
          <cell r="F672" t="str">
            <v>FAS</v>
          </cell>
          <cell r="U672">
            <v>30</v>
          </cell>
        </row>
      </sheetData>
      <sheetData sheetId="1">
        <row r="11">
          <cell r="B11">
            <v>275637150.76999998</v>
          </cell>
        </row>
        <row r="13">
          <cell r="B13">
            <v>336277323.94</v>
          </cell>
        </row>
        <row r="22">
          <cell r="B22">
            <v>45196.06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zoomScale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2" customWidth="1" min="4" max="4"/>
  </cols>
  <sheetData>
    <row r="1" ht="22" customHeight="1">
      <c r="A1" s="1" t="inlineStr">
        <is>
          <t>Карта реализации — OZON склады МСК-2</t>
        </is>
      </c>
    </row>
    <row r="2" ht="32" customHeight="1">
      <c r="A2" s="6" t="inlineStr">
        <is>
          <t>Часы и деньги считаются из файла бюджета. Жёлтый код специальности можно поправить: сумма часов подтянется. Менять нормы и объёмы нужно в бюджете.</t>
        </is>
      </c>
    </row>
    <row r="3" ht="32" customHeight="1">
      <c r="A3" s="2" t="inlineStr">
        <is>
          <t>Код</t>
        </is>
      </c>
      <c r="B3" s="2" t="inlineStr">
        <is>
          <t>Чел.-ч</t>
        </is>
      </c>
      <c r="C3" s="2" t="inlineStr">
        <is>
          <t>Численность при 40 ч/нед</t>
        </is>
      </c>
      <c r="D3" s="2" t="inlineStr">
        <is>
          <t>Как отдавать</t>
        </is>
      </c>
    </row>
    <row r="4">
      <c r="A4" s="7" t="inlineStr">
        <is>
          <t>SAN</t>
        </is>
      </c>
      <c r="B4" s="8">
        <f>SUMIF('[1]Работы'!$F$4:$F$672,A4,'[1]Работы'!$U$4:$U$672)</f>
        <v/>
      </c>
      <c r="C4" s="8">
        <f>IF(B4=0,0,B4/40)</f>
        <v/>
      </c>
      <c r="D4" s="9" t="inlineStr">
        <is>
          <t>по тарификатору, лист «Нормы»</t>
        </is>
      </c>
    </row>
    <row r="5">
      <c r="A5" s="7" t="inlineStr">
        <is>
          <t>VOR</t>
        </is>
      </c>
      <c r="B5" s="8">
        <f>SUMIF('[1]Работы'!$F$4:$F$672,A5,'[1]Работы'!$U$4:$U$672)</f>
        <v/>
      </c>
      <c r="C5" s="8">
        <f>IF(B5=0,0,B5/40)</f>
        <v/>
      </c>
      <c r="D5" s="9" t="inlineStr">
        <is>
          <t>по тарификатору, лист «Нормы»</t>
        </is>
      </c>
    </row>
    <row r="6">
      <c r="A6" s="7" t="inlineStr">
        <is>
          <t>SVA</t>
        </is>
      </c>
      <c r="B6" s="8">
        <f>SUMIF('[1]Работы'!$F$4:$F$672,A6,'[1]Работы'!$U$4:$U$672)</f>
        <v/>
      </c>
      <c r="C6" s="8">
        <f>IF(B6=0,0,B6/40)</f>
        <v/>
      </c>
      <c r="D6" s="9" t="inlineStr">
        <is>
          <t>по тарификатору, лист «Нормы»</t>
        </is>
      </c>
    </row>
    <row r="7">
      <c r="A7" s="7" t="inlineStr">
        <is>
          <t>KRO</t>
        </is>
      </c>
      <c r="B7" s="8">
        <f>SUMIF('[1]Работы'!$F$4:$F$672,A7,'[1]Работы'!$U$4:$U$672)</f>
        <v/>
      </c>
      <c r="C7" s="8">
        <f>IF(B7=0,0,B7/40)</f>
        <v/>
      </c>
      <c r="D7" s="9" t="inlineStr">
        <is>
          <t>по тарификатору, лист «Нормы»</t>
        </is>
      </c>
    </row>
    <row r="8">
      <c r="A8" s="7" t="inlineStr">
        <is>
          <t>FAS</t>
        </is>
      </c>
      <c r="B8" s="8">
        <f>SUMIF('[1]Работы'!$F$4:$F$672,A8,'[1]Работы'!$U$4:$U$672)</f>
        <v/>
      </c>
      <c r="C8" s="8">
        <f>IF(B8=0,0,B8/40)</f>
        <v/>
      </c>
      <c r="D8" s="9" t="inlineStr">
        <is>
          <t>по тарификатору, лист «Нормы»</t>
        </is>
      </c>
    </row>
    <row r="9">
      <c r="A9" s="7" t="inlineStr">
        <is>
          <t>PLI</t>
        </is>
      </c>
      <c r="B9" s="8">
        <f>SUMIF('[1]Работы'!$F$4:$F$672,A9,'[1]Работы'!$U$4:$U$672)</f>
        <v/>
      </c>
      <c r="C9" s="8">
        <f>IF(B9=0,0,B9/40)</f>
        <v/>
      </c>
      <c r="D9" s="9" t="inlineStr">
        <is>
          <t>по тарификатору, лист «Нормы»</t>
        </is>
      </c>
    </row>
    <row r="10">
      <c r="A10" s="7" t="inlineStr">
        <is>
          <t>OTD</t>
        </is>
      </c>
      <c r="B10" s="8">
        <f>SUMIF('[1]Работы'!$F$4:$F$672,A10,'[1]Работы'!$U$4:$U$672)</f>
        <v/>
      </c>
      <c r="C10" s="8">
        <f>IF(B10=0,0,B10/40)</f>
        <v/>
      </c>
      <c r="D10" s="9" t="inlineStr">
        <is>
          <t>по тарификатору, лист «Нормы»</t>
        </is>
      </c>
    </row>
    <row r="11">
      <c r="A11" s="7" t="inlineStr">
        <is>
          <t>BET</t>
        </is>
      </c>
      <c r="B11" s="8">
        <f>SUMIF('[1]Работы'!$F$4:$F$672,A11,'[1]Работы'!$U$4:$U$672)</f>
        <v/>
      </c>
      <c r="C11" s="8">
        <f>IF(B11=0,0,B11/40)</f>
        <v/>
      </c>
      <c r="D11" s="9" t="inlineStr">
        <is>
          <t>по тарификатору, лист «Нормы»</t>
        </is>
      </c>
    </row>
    <row r="12">
      <c r="A12" s="7" t="inlineStr">
        <is>
          <t>DVR</t>
        </is>
      </c>
      <c r="B12" s="8">
        <f>SUMIF('[1]Работы'!$F$4:$F$672,A12,'[1]Работы'!$U$4:$U$672)</f>
        <v/>
      </c>
      <c r="C12" s="8">
        <f>IF(B12=0,0,B12/40)</f>
        <v/>
      </c>
      <c r="D12" s="9" t="inlineStr">
        <is>
          <t>по тарификатору, лист «Нормы»</t>
        </is>
      </c>
    </row>
    <row r="13">
      <c r="A13" s="7" t="inlineStr">
        <is>
          <t>ELM</t>
        </is>
      </c>
      <c r="B13" s="8">
        <f>SUMIF('[1]Работы'!$F$4:$F$672,A13,'[1]Работы'!$U$4:$U$672)</f>
        <v/>
      </c>
      <c r="C13" s="8">
        <f>IF(B13=0,0,B13/40)</f>
        <v/>
      </c>
      <c r="D13" s="9" t="inlineStr">
        <is>
          <t>по тарификатору, лист «Нормы»</t>
        </is>
      </c>
    </row>
    <row r="14">
      <c r="A14" s="7" t="inlineStr">
        <is>
          <t>ETL</t>
        </is>
      </c>
      <c r="B14" s="8">
        <f>SUMIF('[1]Работы'!$F$4:$F$672,A14,'[1]Работы'!$U$4:$U$672)</f>
        <v/>
      </c>
      <c r="C14" s="8">
        <f>IF(B14=0,0,B14/40)</f>
        <v/>
      </c>
      <c r="D14" s="9" t="inlineStr">
        <is>
          <t>по тарификатору, лист «Нормы»</t>
        </is>
      </c>
    </row>
    <row r="15">
      <c r="A15" s="7" t="inlineStr">
        <is>
          <t>PSM</t>
        </is>
      </c>
      <c r="B15" s="8">
        <f>SUMIF('[1]Работы'!$F$4:$F$672,A15,'[1]Работы'!$U$4:$U$672)</f>
        <v/>
      </c>
      <c r="C15" s="8">
        <f>IF(B15=0,0,B15/40)</f>
        <v/>
      </c>
      <c r="D15" s="9" t="inlineStr">
        <is>
          <t>по тарификатору, лист «Нормы»</t>
        </is>
      </c>
    </row>
    <row r="16">
      <c r="A16" s="7" t="inlineStr">
        <is>
          <t>RAZ</t>
        </is>
      </c>
      <c r="B16" s="8">
        <f>SUMIF('[1]Работы'!$F$4:$F$672,A16,'[1]Работы'!$U$4:$U$672)</f>
        <v/>
      </c>
      <c r="C16" s="8">
        <f>IF(B16=0,0,B16/40)</f>
        <v/>
      </c>
      <c r="D16" s="9" t="inlineStr">
        <is>
          <t>по тарификатору, лист «Нормы»</t>
        </is>
      </c>
    </row>
    <row r="17">
      <c r="A17" s="7" t="inlineStr">
        <is>
          <t>KAM</t>
        </is>
      </c>
      <c r="B17" s="8">
        <f>SUMIF('[1]Работы'!$F$4:$F$672,A17,'[1]Работы'!$U$4:$U$672)</f>
        <v/>
      </c>
      <c r="C17" s="8">
        <f>IF(B17=0,0,B17/40)</f>
        <v/>
      </c>
      <c r="D17" s="9" t="inlineStr">
        <is>
          <t>по тарификатору, лист «Нормы»</t>
        </is>
      </c>
    </row>
    <row r="18">
      <c r="A18" s="7" t="inlineStr">
        <is>
          <t>BLG</t>
        </is>
      </c>
      <c r="B18" s="8">
        <f>SUMIF('[1]Работы'!$F$4:$F$672,A18,'[1]Работы'!$U$4:$U$672)</f>
        <v/>
      </c>
      <c r="C18" s="8">
        <f>IF(B18=0,0,B18/40)</f>
        <v/>
      </c>
      <c r="D18" s="9" t="inlineStr">
        <is>
          <t>по тарификатору, лист «Нормы»</t>
        </is>
      </c>
    </row>
    <row r="19">
      <c r="A19" s="10" t="inlineStr">
        <is>
          <t>Всего</t>
        </is>
      </c>
      <c r="B19" s="8">
        <f>SUM(B4:B18)</f>
        <v/>
      </c>
      <c r="C19" s="8">
        <f>IF(B19=0,0,B19/40)</f>
        <v/>
      </c>
      <c r="D19" s="9" t="inlineStr">
        <is>
          <t>Сумма часов специальностей</t>
        </is>
      </c>
    </row>
    <row r="20">
      <c r="A20" s="10" t="inlineStr">
        <is>
          <t>Трудоёмкость из свода, чел.-ч</t>
        </is>
      </c>
      <c r="B20" s="8">
        <f>'[1]Свод'!B22</f>
        <v/>
      </c>
      <c r="C20" s="8">
        <f>B20-B19</f>
        <v/>
      </c>
      <c r="D20" s="9" t="inlineStr">
        <is>
          <t>Ноль, если карта сошлась со сводом</t>
        </is>
      </c>
    </row>
    <row r="21">
      <c r="A21" s="10" t="inlineStr">
        <is>
          <t>КП без НДС</t>
        </is>
      </c>
      <c r="B21" s="8">
        <f>'[1]Свод'!B11</f>
        <v/>
      </c>
      <c r="C21" s="9" t="n"/>
      <c r="D21" s="9" t="inlineStr">
        <is>
          <t>Из листа «Свод» бюджета</t>
        </is>
      </c>
    </row>
    <row r="22">
      <c r="A22" s="10" t="inlineStr">
        <is>
          <t>КП с НДС</t>
        </is>
      </c>
      <c r="B22" s="8">
        <f>'[1]Свод'!B13</f>
        <v/>
      </c>
      <c r="C22" s="9" t="n"/>
      <c r="D22" s="9" t="inlineStr">
        <is>
          <t>Из листа «Свод» бюджета</t>
        </is>
      </c>
    </row>
  </sheetData>
  <mergeCells count="1">
    <mergeCell ref="A2:D2"/>
  </mergeCells>
  <pageMargins left="0.75" right="0.75" top="1" bottom="1" header="0.5" footer="0.5"/>
  <pageSetup orientation="landscape" paperSize="9" fitToHeight="0" fitToWidth="1"/>
  <headerFooter>
    <oddHeader>&amp;LРесурсы</oddHeader>
    <oddFooter>&amp;LВнутренний документ — заказчику не передавать&amp;RНЕОСТРОЙ  | 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zoomScale="11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2" customHeight="1">
      <c r="A1" s="1" t="inlineStr">
        <is>
          <t>График</t>
        </is>
      </c>
    </row>
    <row r="2"/>
    <row r="3" ht="32" customHeight="1">
      <c r="A3" s="2" t="inlineStr">
        <is>
          <t>Работа</t>
        </is>
      </c>
      <c r="B3" s="2" t="inlineStr">
        <is>
          <t>Людей</t>
        </is>
      </c>
      <c r="C3" s="2" t="inlineStr">
        <is>
          <t>н1</t>
        </is>
      </c>
      <c r="D3" s="2" t="inlineStr">
        <is>
          <t>н2</t>
        </is>
      </c>
    </row>
    <row r="4">
      <c r="A4" s="3" t="inlineStr">
        <is>
          <t>Мобилизация на заявку</t>
        </is>
      </c>
      <c r="B4" s="3" t="n">
        <v>2</v>
      </c>
      <c r="C4" s="5" t="inlineStr">
        <is>
          <t>■</t>
        </is>
      </c>
    </row>
    <row r="5">
      <c r="A5" s="3" t="inlineStr">
        <is>
          <t>Работы по заявке на действующем складе</t>
        </is>
      </c>
      <c r="B5" s="3" t="n">
        <v>4</v>
      </c>
      <c r="C5" s="5" t="inlineStr">
        <is>
          <t>■</t>
        </is>
      </c>
      <c r="D5" s="5" t="inlineStr">
        <is>
          <t>■</t>
        </is>
      </c>
    </row>
    <row r="6"/>
    <row r="7">
      <c r="A7" s="10" t="inlineStr">
        <is>
          <t>КП без НДС, из бюджета</t>
        </is>
      </c>
      <c r="B7" s="8">
        <f>'[1]Свод'!B11</f>
        <v/>
      </c>
    </row>
    <row r="8">
      <c r="A8" s="11" t="inlineStr">
        <is>
          <t>Люди в графике — ввод. Деньги заявки считаются по единичным расценкам бюджета, когда известен объём заявки.</t>
        </is>
      </c>
    </row>
  </sheetData>
  <mergeCells count="1">
    <mergeCell ref="A8:D8"/>
  </mergeCells>
  <pageMargins left="0.75" right="0.75" top="1" bottom="1" header="0.5" footer="0.5"/>
  <pageSetup orientation="landscape" paperSize="9" fitToHeight="0" fitToWidth="1"/>
  <headerFooter>
    <oddHeader>&amp;LГрафик</oddHeader>
    <oddFooter>&amp;LВнутренний документ — заказчику не передавать&amp;RНЕОСТРОЙ  | 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2026-10-29T16:05:11Z</dcterms:created>
  <dcterms:modified xmlns:dcterms="http://purl.org/dc/terms/" xmlns:xsi="http://www.w3.org/2001/XMLSchema-instance" xsi:type="dcterms:W3CDTF">2026-10-29T16:17:45Z</dcterms:modified>
</cp:coreProperties>
</file>