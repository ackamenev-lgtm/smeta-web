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Свод" sheetId="1" state="visible" r:id="rId1"/>
    <sheet xmlns:r="http://schemas.openxmlformats.org/officeDocument/2006/relationships" name="Работы" sheetId="2" state="visible" r:id="rId2"/>
    <sheet xmlns:r="http://schemas.openxmlformats.org/officeDocument/2006/relationships" name="Цены материалов (источники)" sheetId="3" state="visible" r:id="rId3"/>
    <sheet xmlns:r="http://schemas.openxmlformats.org/officeDocument/2006/relationships" name="Параметры" sheetId="4" state="visible" r:id="rId4"/>
    <sheet xmlns:r="http://schemas.openxmlformats.org/officeDocument/2006/relationships" name="Риски и вопросы" sheetId="5" state="visible" r:id="rId5"/>
    <sheet xmlns:r="http://schemas.openxmlformats.org/officeDocument/2006/relationships" name="Добавить в тарификатор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%"/>
  </numFmts>
  <fonts count="4">
    <font>
      <name val="Calibri"/>
      <family val="2"/>
      <color theme="1"/>
      <sz val="11"/>
      <scheme val="minor"/>
    </font>
    <font>
      <b val="1"/>
      <sz val="14"/>
    </font>
    <font>
      <b val="1"/>
    </font>
    <font/>
  </fonts>
  <fills count="3">
    <fill>
      <patternFill/>
    </fill>
    <fill>
      <patternFill patternType="gray125"/>
    </fill>
    <fill>
      <patternFill patternType="solid">
        <fgColor rgb="00FFF2C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4" fontId="0" fillId="0" borderId="0" pivotButton="0" quotePrefix="0" xfId="0"/>
    <xf numFmtId="4" fontId="0" fillId="2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0"/>
  <sheetViews>
    <sheetView workbookViewId="0">
      <selection activeCell="A1" sqref="A1"/>
    </sheetView>
  </sheetViews>
  <sheetFormatPr baseColWidth="8" defaultRowHeight="15"/>
  <cols>
    <col width="62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</cols>
  <sheetData>
    <row r="1">
      <c r="A1" s="1" t="inlineStr">
        <is>
          <t>Бюджет себестоимости. Заказчику не отправлять.</t>
        </is>
      </c>
    </row>
    <row r="2">
      <c r="A2" t="inlineStr">
        <is>
          <t>235114, ПАО МТС, замена 65 фанкойлов, Петровский бульвар, 12, стр. 3</t>
        </is>
      </c>
    </row>
    <row r="3">
      <c r="A3" t="inlineStr">
        <is>
          <t>Первичный расчёт. В заявку не класть: нет метров труб и кабеля, нет проекта, нет цен арматуры и пультов, ночной коэффициент не заложен.</t>
        </is>
      </c>
    </row>
    <row r="5">
      <c r="A5" s="2" t="inlineStr">
        <is>
          <t>Показатель</t>
        </is>
      </c>
    </row>
    <row r="6">
      <c r="A6" s="3" t="inlineStr">
        <is>
          <t>Закупка оборудования б/НДС</t>
        </is>
      </c>
      <c r="B6" s="4">
        <f>SUMPRODUCT(B25:B28,D25:D28)</f>
        <v/>
      </c>
    </row>
    <row r="7">
      <c r="A7" s="3" t="inlineStr">
        <is>
          <t>Доставка 3%</t>
        </is>
      </c>
      <c r="B7" s="4">
        <f>SUMPRODUCT(B25:B28,E25:E28)-B6</f>
        <v/>
      </c>
    </row>
    <row r="8">
      <c r="A8" s="3" t="inlineStr">
        <is>
          <t>Себестоимость оборудования</t>
        </is>
      </c>
      <c r="B8" s="4">
        <f>SUMPRODUCT(B25:B28,E25:E28)</f>
        <v/>
      </c>
    </row>
    <row r="9">
      <c r="A9" s="3" t="inlineStr">
        <is>
          <t>Оплата бригаде</t>
        </is>
      </c>
      <c r="B9" s="4">
        <f>Работы!G12</f>
        <v/>
      </c>
    </row>
    <row r="10">
      <c r="A10" s="3" t="inlineStr">
        <is>
          <t>Расходники 2% к бригаде</t>
        </is>
      </c>
      <c r="B10" s="4">
        <f>ROUND(B9*Параметры!B5,2)</f>
        <v/>
      </c>
    </row>
    <row r="11">
      <c r="A11" s="3" t="inlineStr">
        <is>
          <t>Полная себестоимость посчитанной части</t>
        </is>
      </c>
      <c r="B11" s="5">
        <f>B8+B9+B10</f>
        <v/>
      </c>
    </row>
    <row r="12">
      <c r="A12" s="3" t="inlineStr">
        <is>
          <t>КП материалы б/НДС</t>
        </is>
      </c>
      <c r="B12" s="4">
        <f>SUMPRODUCT(B25:B28,F25:F28)</f>
        <v/>
      </c>
    </row>
    <row r="13">
      <c r="A13" s="3" t="inlineStr">
        <is>
          <t>КП работы б/НДС</t>
        </is>
      </c>
      <c r="B13" s="4">
        <f>Работы!E12</f>
        <v/>
      </c>
    </row>
    <row r="14">
      <c r="A14" s="3" t="inlineStr">
        <is>
          <t>КП посчитанной части б/НДС</t>
        </is>
      </c>
      <c r="B14" s="4">
        <f>B12+B13</f>
        <v/>
      </c>
    </row>
    <row r="15">
      <c r="A15" s="3" t="inlineStr">
        <is>
          <t>Непредвиденные 5% по формуле формы</t>
        </is>
      </c>
      <c r="B15" s="4">
        <f>ROUND(B14*0.05,2)</f>
        <v/>
      </c>
    </row>
    <row r="16">
      <c r="A16" s="3" t="inlineStr">
        <is>
          <t>КП б/НДС с непредвиденными</t>
        </is>
      </c>
      <c r="B16" s="5">
        <f>B14+B15</f>
        <v/>
      </c>
    </row>
    <row r="17">
      <c r="A17" s="3" t="inlineStr">
        <is>
          <t>НДС 22%</t>
        </is>
      </c>
      <c r="B17" s="4">
        <f>ROUND(B16*0.22,2)</f>
        <v/>
      </c>
    </row>
    <row r="18">
      <c r="A18" s="3" t="inlineStr">
        <is>
          <t>КП с НДС</t>
        </is>
      </c>
      <c r="B18" s="5">
        <f>B16+B17</f>
        <v/>
      </c>
    </row>
    <row r="19">
      <c r="A19" s="3" t="inlineStr">
        <is>
          <t>Наценка на посчитанную себестоимость</t>
        </is>
      </c>
      <c r="B19" s="6">
        <f>IF(B11=0,"",B16/B11-1)</f>
        <v/>
      </c>
    </row>
    <row r="20">
      <c r="A20" s="3" t="inlineStr">
        <is>
          <t>Маржа</t>
        </is>
      </c>
      <c r="B20" s="6">
        <f>IF(B16=0,"",1-B11/B16)</f>
        <v/>
      </c>
    </row>
    <row r="23">
      <c r="A23" t="inlineStr">
        <is>
          <t>Оборудование</t>
        </is>
      </c>
    </row>
    <row r="24">
      <c r="A24" s="2" t="inlineStr">
        <is>
          <t>Позиция</t>
        </is>
      </c>
      <c r="B24" s="2" t="inlineStr">
        <is>
          <t>Кол-во</t>
        </is>
      </c>
      <c r="C24" s="2" t="inlineStr">
        <is>
          <t>Цена сайта с НДС</t>
        </is>
      </c>
      <c r="D24" s="2" t="inlineStr">
        <is>
          <t>Без НДС</t>
        </is>
      </c>
      <c r="E24" s="2" t="inlineStr">
        <is>
          <t>С/с с доставкой</t>
        </is>
      </c>
      <c r="F24" s="2" t="inlineStr">
        <is>
          <t>КП за ед.</t>
        </is>
      </c>
      <c r="G24" s="2" t="inlineStr">
        <is>
          <t>С/с итого</t>
        </is>
      </c>
      <c r="H24" s="2" t="inlineStr">
        <is>
          <t>КП итого</t>
        </is>
      </c>
    </row>
    <row r="25">
      <c r="A25" t="inlineStr">
        <is>
          <t>Фанкойл 4,20 кВт, аналог MDV MDKG-V500C</t>
        </is>
      </c>
      <c r="B25" t="n">
        <v>23</v>
      </c>
      <c r="C25" t="n">
        <v>160000</v>
      </c>
      <c r="D25">
        <f>ROUND(C25/1.22,2)</f>
        <v/>
      </c>
      <c r="E25">
        <f>ROUND(D25*(1+Параметры!B3),2)</f>
        <v/>
      </c>
      <c r="F25">
        <f>ROUND(E25*(1+Параметры!B4),2)</f>
        <v/>
      </c>
      <c r="G25">
        <f>E25*B25</f>
        <v/>
      </c>
      <c r="H25">
        <f>F25*B25</f>
        <v/>
      </c>
    </row>
    <row r="26">
      <c r="A26" t="inlineStr">
        <is>
          <t>Фанкойл 5,35 кВт, аналог Dantex DF-600DL</t>
        </is>
      </c>
      <c r="B26" t="n">
        <v>32</v>
      </c>
      <c r="C26" t="n">
        <v>41440</v>
      </c>
      <c r="D26">
        <f>ROUND(C26/1.22,2)</f>
        <v/>
      </c>
      <c r="E26">
        <f>ROUND(D26*(1+Параметры!B3),2)</f>
        <v/>
      </c>
      <c r="F26">
        <f>ROUND(E26*(1+Параметры!B4),2)</f>
        <v/>
      </c>
      <c r="G26">
        <f>E26*B26</f>
        <v/>
      </c>
      <c r="H26">
        <f>F26*B26</f>
        <v/>
      </c>
    </row>
    <row r="27">
      <c r="A27" t="inlineStr">
        <is>
          <t>Фанкойл 6,66 кВт, аналог SHUFT SFF-800</t>
        </is>
      </c>
      <c r="B27" t="n">
        <v>6</v>
      </c>
      <c r="C27" t="n">
        <v>83990</v>
      </c>
      <c r="D27">
        <f>ROUND(C27/1.22,2)</f>
        <v/>
      </c>
      <c r="E27">
        <f>ROUND(D27*(1+Параметры!B3),2)</f>
        <v/>
      </c>
      <c r="F27">
        <f>ROUND(E27*(1+Параметры!B4),2)</f>
        <v/>
      </c>
      <c r="G27">
        <f>E27*B27</f>
        <v/>
      </c>
      <c r="H27">
        <f>F27*B27</f>
        <v/>
      </c>
    </row>
    <row r="28">
      <c r="A28" t="inlineStr">
        <is>
          <t>Дополнительные точки, временно класс 5,35</t>
        </is>
      </c>
      <c r="B28" t="n">
        <v>4</v>
      </c>
      <c r="C28" t="n">
        <v>41440</v>
      </c>
      <c r="D28">
        <f>ROUND(C28/1.22,2)</f>
        <v/>
      </c>
      <c r="E28">
        <f>ROUND(D28*(1+Параметры!B3),2)</f>
        <v/>
      </c>
      <c r="F28">
        <f>ROUND(E28*(1+Параметры!B4),2)</f>
        <v/>
      </c>
      <c r="G28">
        <f>E28*B28</f>
        <v/>
      </c>
      <c r="H28">
        <f>F28*B28</f>
        <v/>
      </c>
    </row>
    <row r="30">
      <c r="A30" t="inlineStr">
        <is>
          <t>Диапазон наценки для сетей — 30–40%. Если наценка ниже, цену в заявку не отправлять без решения генерального директора. Непосчитанные трубы, кабель, арматура и проект наценку ещё снизят.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12"/>
  <sheetViews>
    <sheetView workbookViewId="0">
      <selection activeCell="A1" sqref="A1"/>
    </sheetView>
  </sheetViews>
  <sheetFormatPr baseColWidth="8" defaultRowHeight="15"/>
  <cols>
    <col width="55" customWidth="1" min="2" max="2"/>
    <col width="70" customWidth="1" min="10" max="10"/>
  </cols>
  <sheetData>
    <row r="1">
      <c r="A1" s="2" t="inlineStr">
        <is>
          <t>Строка</t>
        </is>
      </c>
      <c r="B1" s="2" t="inlineStr">
        <is>
          <t>Работа</t>
        </is>
      </c>
      <c r="C1" s="2" t="inlineStr">
        <is>
          <t>Кол-во</t>
        </is>
      </c>
      <c r="D1" s="2" t="inlineStr">
        <is>
          <t>Цена КП</t>
        </is>
      </c>
      <c r="E1" s="2" t="inlineStr">
        <is>
          <t>Сумма КП</t>
        </is>
      </c>
      <c r="F1" s="2" t="inlineStr">
        <is>
          <t>Оплата бригаде за ед.</t>
        </is>
      </c>
      <c r="G1" s="2" t="inlineStr">
        <is>
          <t>Оплата бригаде</t>
        </is>
      </c>
      <c r="H1" s="2" t="inlineStr">
        <is>
          <t>Артикул</t>
        </is>
      </c>
      <c r="I1" s="2" t="inlineStr">
        <is>
          <t>Сопоставление</t>
        </is>
      </c>
      <c r="J1" s="2" t="inlineStr">
        <is>
          <t>Примечание</t>
        </is>
      </c>
    </row>
    <row r="2">
      <c r="A2" t="n">
        <v>58</v>
      </c>
      <c r="B2" t="inlineStr">
        <is>
          <t>Демонтаж существующих фанкойлов</t>
        </is>
      </c>
      <c r="C2" t="n">
        <v>64</v>
      </c>
      <c r="D2" t="n">
        <v>4224</v>
      </c>
      <c r="E2">
        <f>C2*D2</f>
        <v/>
      </c>
      <c r="F2" t="n">
        <v>2415</v>
      </c>
      <c r="G2">
        <f>C2*F2</f>
        <v/>
      </c>
      <c r="H2" t="inlineStr">
        <is>
          <t>1.9.11</t>
        </is>
      </c>
      <c r="I2" t="inlineStr">
        <is>
          <t>аналог</t>
        </is>
      </c>
      <c r="J2" t="inlineStr">
        <is>
          <t>Демонтаж внутреннего блока 5–8 кВт. Старые блоки Daikin разной мощности, в строке они одной кучей.</t>
        </is>
      </c>
    </row>
    <row r="3">
      <c r="A3" t="n">
        <v>67</v>
      </c>
      <c r="B3" t="inlineStr">
        <is>
          <t xml:space="preserve">Монтаж нового фанкойла </t>
        </is>
      </c>
      <c r="C3" t="n">
        <v>23</v>
      </c>
      <c r="D3" t="n">
        <v>5760</v>
      </c>
      <c r="E3">
        <f>C3*D3</f>
        <v/>
      </c>
      <c r="F3" t="n">
        <v>3200</v>
      </c>
      <c r="G3">
        <f>C3*F3</f>
        <v/>
      </c>
      <c r="H3" t="inlineStr">
        <is>
          <t>9.3.145</t>
        </is>
      </c>
      <c r="I3" t="inlineStr">
        <is>
          <t>оценка доли</t>
        </is>
      </c>
      <c r="J3" t="inlineStr">
        <is>
          <t>Расценка сплита 9 ч включает наружный блок и фреон. Их в лоте нет. Заложено 3 чел.-ч из 9.</t>
        </is>
      </c>
    </row>
    <row r="4">
      <c r="A4" t="n">
        <v>68</v>
      </c>
      <c r="B4" t="inlineStr">
        <is>
          <t xml:space="preserve">Монтаж нового фанкойла </t>
        </is>
      </c>
      <c r="C4" t="n">
        <v>32</v>
      </c>
      <c r="D4" t="n">
        <v>7040</v>
      </c>
      <c r="E4">
        <f>C4*D4</f>
        <v/>
      </c>
      <c r="F4" t="n">
        <v>4100</v>
      </c>
      <c r="G4">
        <f>C4*F4</f>
        <v/>
      </c>
      <c r="H4" t="inlineStr">
        <is>
          <t>9.3.146</t>
        </is>
      </c>
      <c r="I4" t="inlineStr">
        <is>
          <t>оценка доли</t>
        </is>
      </c>
      <c r="J4" t="inlineStr">
        <is>
          <t>То же для мощности до 8 кВт: 3 чел.-ч из 11 ч расценки сплита.</t>
        </is>
      </c>
    </row>
    <row r="5">
      <c r="A5" t="n">
        <v>69</v>
      </c>
      <c r="B5" t="inlineStr">
        <is>
          <t xml:space="preserve">Монтаж нового фанкойла </t>
        </is>
      </c>
      <c r="C5" t="n">
        <v>6</v>
      </c>
      <c r="D5" t="n">
        <v>7040</v>
      </c>
      <c r="E5">
        <f>C5*D5</f>
        <v/>
      </c>
      <c r="F5" t="n">
        <v>4100</v>
      </c>
      <c r="G5">
        <f>C5*F5</f>
        <v/>
      </c>
      <c r="H5" t="inlineStr">
        <is>
          <t>9.3.146</t>
        </is>
      </c>
      <c r="I5" t="inlineStr">
        <is>
          <t>оценка доли</t>
        </is>
      </c>
      <c r="J5" t="inlineStr">
        <is>
          <t>6 блоков 6,66 кВт. Та же доля расценки до 8 кВт.</t>
        </is>
      </c>
    </row>
    <row r="6">
      <c r="A6" t="n">
        <v>70</v>
      </c>
      <c r="B6" t="inlineStr">
        <is>
          <t>Монтаж новых фанкойлов в дополнительных точках</t>
        </is>
      </c>
      <c r="C6" t="n">
        <v>4</v>
      </c>
      <c r="D6" t="n">
        <v>7040</v>
      </c>
      <c r="E6">
        <f>C6*D6</f>
        <v/>
      </c>
      <c r="F6" t="n">
        <v>4100</v>
      </c>
      <c r="G6">
        <f>C6*F6</f>
        <v/>
      </c>
      <c r="H6" t="inlineStr">
        <is>
          <t>9.3.146</t>
        </is>
      </c>
      <c r="I6" t="inlineStr">
        <is>
          <t>оценка доли</t>
        </is>
      </c>
      <c r="J6" t="inlineStr">
        <is>
          <t>4 точки без подтверждённой мощности. Временно как до 8 кВт.</t>
        </is>
      </c>
    </row>
    <row r="7">
      <c r="A7" t="n">
        <v>71</v>
      </c>
      <c r="B7" t="inlineStr">
        <is>
          <t>Монтаж запорных кранов</t>
        </is>
      </c>
      <c r="C7" t="n">
        <v>130</v>
      </c>
      <c r="D7" t="n">
        <v>805</v>
      </c>
      <c r="E7">
        <f>C7*D7</f>
        <v/>
      </c>
      <c r="F7" t="n">
        <v>499</v>
      </c>
      <c r="G7">
        <f>C7*F7</f>
        <v/>
      </c>
      <c r="H7" t="inlineStr">
        <is>
          <t>9.2.65</t>
        </is>
      </c>
      <c r="I7" t="inlineStr">
        <is>
          <t>аналог</t>
        </is>
      </c>
      <c r="J7" t="inlineStr">
        <is>
          <t>Установка муфтового крана. Материал крана не оценён.</t>
        </is>
      </c>
    </row>
    <row r="8">
      <c r="A8" t="n">
        <v>72</v>
      </c>
      <c r="B8" t="inlineStr">
        <is>
          <t>Монтаж сетчатых фильтров</t>
        </is>
      </c>
      <c r="C8" t="n">
        <v>65</v>
      </c>
      <c r="D8" t="n">
        <v>805</v>
      </c>
      <c r="E8">
        <f>C8*D8</f>
        <v/>
      </c>
      <c r="F8" t="n">
        <v>499</v>
      </c>
      <c r="G8">
        <f>C8*F8</f>
        <v/>
      </c>
      <c r="H8" t="inlineStr">
        <is>
          <t>9.2.65</t>
        </is>
      </c>
      <c r="I8" t="inlineStr">
        <is>
          <t>аналог</t>
        </is>
      </c>
      <c r="J8" t="inlineStr">
        <is>
          <t>Фильтр как муфтовая арматура. Материал не оценён.</t>
        </is>
      </c>
    </row>
    <row r="9">
      <c r="A9" t="n">
        <v>73</v>
      </c>
      <c r="B9" t="inlineStr">
        <is>
          <t>Монтаж и настройка балансировочного клапана</t>
        </is>
      </c>
      <c r="C9" t="n">
        <v>65</v>
      </c>
      <c r="D9" t="n">
        <v>1035</v>
      </c>
      <c r="E9">
        <f>C9*D9</f>
        <v/>
      </c>
      <c r="F9" t="n">
        <v>642</v>
      </c>
      <c r="G9">
        <f>C9*F9</f>
        <v/>
      </c>
      <c r="H9" t="inlineStr">
        <is>
          <t>9.2.N9</t>
        </is>
      </c>
      <c r="I9" t="inlineStr">
        <is>
          <t>аналог</t>
        </is>
      </c>
      <c r="J9" t="inlineStr">
        <is>
          <t>Балансировочный клапан Ду15–32, только работа.</t>
        </is>
      </c>
    </row>
    <row r="10">
      <c r="A10" t="n">
        <v>74</v>
      </c>
      <c r="B10" t="inlineStr">
        <is>
          <t>Монтаж двухходового регулирующего клапана и подключение привода</t>
        </is>
      </c>
      <c r="C10" t="n">
        <v>65</v>
      </c>
      <c r="D10" t="n">
        <v>6900</v>
      </c>
      <c r="E10">
        <f>C10*D10</f>
        <v/>
      </c>
      <c r="F10" t="n">
        <v>4278</v>
      </c>
      <c r="G10">
        <f>C10*F10</f>
        <v/>
      </c>
      <c r="H10" t="inlineStr">
        <is>
          <t>9.2.59</t>
        </is>
      </c>
      <c r="I10" t="inlineStr">
        <is>
          <t>аналог</t>
        </is>
      </c>
      <c r="J10" t="inlineStr">
        <is>
          <t>Двух/трёхходовой клапан с сервоприводом, только работа. Клапан в закупку не заложен.</t>
        </is>
      </c>
    </row>
    <row r="11">
      <c r="A11" t="n">
        <v>102</v>
      </c>
      <c r="B11" t="inlineStr">
        <is>
          <t>Пуск и проверка вентилятора</t>
        </is>
      </c>
      <c r="C11" t="n">
        <v>65</v>
      </c>
      <c r="D11" t="n">
        <v>5800</v>
      </c>
      <c r="E11">
        <f>C11*D11</f>
        <v/>
      </c>
      <c r="F11" t="n">
        <v>3480</v>
      </c>
      <c r="G11">
        <f>C11*F11</f>
        <v/>
      </c>
      <c r="H11" t="inlineStr">
        <is>
          <t>9.3.60</t>
        </is>
      </c>
      <c r="I11" t="inlineStr">
        <is>
          <t>аналог</t>
        </is>
      </c>
      <c r="J11" t="inlineStr">
        <is>
          <t>Разовое обслуживание до 7 кВт как пакет проверок на точку. Строки 74–77 и 79–81 отдельно не суммируются, чтобы не удвоить пусконаладку.</t>
        </is>
      </c>
    </row>
    <row r="12">
      <c r="B12" t="inlineStr">
        <is>
          <t>Итого</t>
        </is>
      </c>
      <c r="E12">
        <f>SUM(E2:E11)</f>
        <v/>
      </c>
      <c r="G12">
        <f>SUM(G2:G11)</f>
        <v/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6"/>
  <sheetViews>
    <sheetView workbookViewId="0">
      <selection activeCell="A1" sqref="A1"/>
    </sheetView>
  </sheetViews>
  <sheetFormatPr baseColWidth="8" defaultRowHeight="15"/>
  <cols>
    <col width="55" customWidth="1" min="1" max="1"/>
    <col width="55" customWidth="1" min="3" max="3"/>
  </cols>
  <sheetData>
    <row r="1">
      <c r="A1" s="2" t="inlineStr">
        <is>
          <t>Позиция</t>
        </is>
      </c>
      <c r="B1" s="2" t="inlineStr">
        <is>
          <t>Магазин</t>
        </is>
      </c>
      <c r="C1" s="2" t="inlineStr">
        <is>
          <t>URL</t>
        </is>
      </c>
      <c r="D1" s="2" t="inlineStr">
        <is>
          <t>Дата</t>
        </is>
      </c>
      <c r="E1" s="2" t="inlineStr">
        <is>
          <t>Цена с НДС</t>
        </is>
      </c>
      <c r="F1" s="2" t="inlineStr">
        <is>
          <t>Цена без НДС</t>
        </is>
      </c>
      <c r="G1" s="2" t="inlineStr">
        <is>
          <t>Ед.</t>
        </is>
      </c>
      <c r="H1" s="2" t="inlineStr">
        <is>
          <t>Отметка</t>
        </is>
      </c>
    </row>
    <row r="2">
      <c r="A2" t="inlineStr">
        <is>
          <t>MDV MDKG-V500C, холод 4,47 / тепло 4,84 кВт</t>
        </is>
      </c>
      <c r="B2" t="inlineStr">
        <is>
          <t>ВЕНТАР-С</t>
        </is>
      </c>
      <c r="C2" t="inlineStr">
        <is>
          <t>https://ventar-s.ru/category/importnoe-oborudovanie/mdv/fankojly-mdv/nastennye-fankojly-mdv/</t>
        </is>
      </c>
      <c r="D2" t="inlineStr">
        <is>
          <t>2026-10-28</t>
        </is>
      </c>
      <c r="E2" t="n">
        <v>160000</v>
      </c>
      <c r="F2" t="n">
        <v>131147.54</v>
      </c>
      <c r="G2" t="inlineStr">
        <is>
          <t>шт</t>
        </is>
      </c>
      <c r="H2" t="inlineStr">
        <is>
          <t>запросить КП</t>
        </is>
      </c>
    </row>
    <row r="3">
      <c r="A3" t="inlineStr">
        <is>
          <t>MDV MDKG-V500C</t>
        </is>
      </c>
      <c r="B3" t="inlineStr">
        <is>
          <t>mdv.sale</t>
        </is>
      </c>
      <c r="C3" t="inlineStr">
        <is>
          <t>https://www.mdv.sale/catalog/dvukhtrubnye-2183/</t>
        </is>
      </c>
      <c r="D3" t="inlineStr">
        <is>
          <t>2026-10-28</t>
        </is>
      </c>
      <c r="E3" t="n">
        <v>160000</v>
      </c>
      <c r="F3" t="n">
        <v>131147.54</v>
      </c>
      <c r="G3" t="inlineStr">
        <is>
          <t>шт</t>
        </is>
      </c>
      <c r="H3" t="inlineStr">
        <is>
          <t>запросить КП</t>
        </is>
      </c>
    </row>
    <row r="4">
      <c r="A4" t="inlineStr">
        <is>
          <t>Dantex DF-600DL, холод 5,64 кВт, напольно-потолочный</t>
        </is>
      </c>
      <c r="B4" t="inlineStr">
        <is>
          <t>fankoyl.ru</t>
        </is>
      </c>
      <c r="C4" t="inlineStr">
        <is>
          <t>https://fankoyl.ru/fankoyl-po-moshchnosti-kvt/fankoyl-5-kvt/fankoyl-5-kvt-napolno-potolochniy/</t>
        </is>
      </c>
      <c r="D4" t="inlineStr">
        <is>
          <t>2026-10-28</t>
        </is>
      </c>
      <c r="E4" t="n">
        <v>41440</v>
      </c>
      <c r="F4" t="n">
        <v>33967.21</v>
      </c>
      <c r="G4" t="inlineStr">
        <is>
          <t>шт</t>
        </is>
      </c>
      <c r="H4" t="inlineStr">
        <is>
          <t>запросить КП</t>
        </is>
      </c>
    </row>
    <row r="5">
      <c r="A5" t="inlineStr">
        <is>
          <t>SHUFT SFF-500, холод 5,30 кВт</t>
        </is>
      </c>
      <c r="B5" t="inlineStr">
        <is>
          <t>ЕвроКлимат</t>
        </is>
      </c>
      <c r="C5" t="inlineStr">
        <is>
          <t>https://euroclimate.org/kondicionery/fancoily/napolno_potolochnye_fankoily</t>
        </is>
      </c>
      <c r="D5" t="inlineStr">
        <is>
          <t>2026-10-28</t>
        </is>
      </c>
      <c r="E5" t="n">
        <v>67990</v>
      </c>
      <c r="F5" t="n">
        <v>55729.51</v>
      </c>
      <c r="G5" t="inlineStr">
        <is>
          <t>шт</t>
        </is>
      </c>
      <c r="H5" t="inlineStr">
        <is>
          <t>холод чуть ниже 5,35, в минимум не взят</t>
        </is>
      </c>
    </row>
    <row r="6">
      <c r="A6" t="inlineStr">
        <is>
          <t>SHUFT SFF-800, холод 7,00 кВт</t>
        </is>
      </c>
      <c r="B6" t="inlineStr">
        <is>
          <t>ЕвроКлимат</t>
        </is>
      </c>
      <c r="C6" t="inlineStr">
        <is>
          <t>https://euroclimate.org/kondicionery/fancoily/napolno_potolochnye_fankoily</t>
        </is>
      </c>
      <c r="D6" t="inlineStr">
        <is>
          <t>2026-10-28</t>
        </is>
      </c>
      <c r="E6" t="n">
        <v>83990</v>
      </c>
      <c r="F6" t="n">
        <v>68844.25999999999</v>
      </c>
      <c r="G6" t="inlineStr">
        <is>
          <t>шт</t>
        </is>
      </c>
      <c r="H6" t="inlineStr">
        <is>
          <t>оценка: один источник, запросить КП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selection activeCell="A1" sqref="A1"/>
    </sheetView>
  </sheetViews>
  <sheetFormatPr baseColWidth="8" defaultRowHeight="15"/>
  <cols>
    <col width="70" customWidth="1" min="1" max="1"/>
  </cols>
  <sheetData>
    <row r="1">
      <c r="A1" t="inlineStr">
        <is>
          <t>Параметр</t>
        </is>
      </c>
      <c r="B1" t="inlineStr">
        <is>
          <t>Значение</t>
        </is>
      </c>
    </row>
    <row r="2">
      <c r="A2" t="inlineStr">
        <is>
          <t>НДС в цене сайта</t>
        </is>
      </c>
      <c r="B2" t="n">
        <v>0.22</v>
      </c>
    </row>
    <row r="3">
      <c r="A3" t="inlineStr">
        <is>
          <t>Доставка Москва</t>
        </is>
      </c>
      <c r="B3" t="n">
        <v>0.03</v>
      </c>
    </row>
    <row r="4">
      <c r="A4" t="inlineStr">
        <is>
          <t>Наценка оборудования, раздельная форма</t>
        </is>
      </c>
      <c r="B4" t="n">
        <v>0.1</v>
      </c>
    </row>
    <row r="5">
      <c r="A5" t="inlineStr">
        <is>
          <t>Расходники к бригаде HOL/SAN</t>
        </is>
      </c>
      <c r="B5" t="n">
        <v>0.02</v>
      </c>
    </row>
    <row r="6">
      <c r="A6" t="inlineStr">
        <is>
          <t>Отходы оборудования</t>
        </is>
      </c>
      <c r="B6" t="n">
        <v>0</v>
      </c>
    </row>
    <row r="7">
      <c r="A7" t="inlineStr">
        <is>
          <t>Рост цен</t>
        </is>
      </c>
      <c r="B7" t="n">
        <v>0</v>
      </c>
    </row>
    <row r="8">
      <c r="A8" t="inlineStr">
        <is>
          <t>Стоимость денег</t>
        </is>
      </c>
      <c r="B8" t="n">
        <v>0</v>
      </c>
    </row>
    <row r="10">
      <c r="A10" t="inlineStr">
        <is>
          <t>Аванс 50% по ТЗ. Закупку фанкойлов считаем из аванса, поэтому стоимость денег 0. Срок закупки внутри 2 месяцев, резерв роста 0. Ночные работы по ТЗ (18:00–06:00) в расценки не заложены.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cols>
    <col width="70" customWidth="1" min="2" max="2"/>
    <col width="45" customWidth="1" min="3" max="3"/>
    <col width="40" customWidth="1" min="4" max="4"/>
  </cols>
  <sheetData>
    <row r="1">
      <c r="A1" s="2" t="inlineStr">
        <is>
          <t>№</t>
        </is>
      </c>
      <c r="B1" s="2" t="inlineStr">
        <is>
          <t>Риск</t>
        </is>
      </c>
      <c r="C1" s="2" t="inlineStr">
        <is>
          <t>Влияние</t>
        </is>
      </c>
      <c r="D1" s="2" t="inlineStr">
        <is>
          <t>Что сделать</t>
        </is>
      </c>
    </row>
    <row r="2">
      <c r="A2" t="n">
        <v>1</v>
      </c>
      <c r="B2" t="inlineStr">
        <is>
          <t>Метры труб, дренажа, кабеля и гильз в форме пустые</t>
        </is>
      </c>
      <c r="C2" t="inlineStr">
        <is>
          <t>В цену не входят. Могут быть сопоставимы с арматурой.</t>
        </is>
      </c>
      <c r="D2" t="inlineStr">
        <is>
          <t>Обследование до подачи, иначе не подавать твёрдую цену.</t>
        </is>
      </c>
    </row>
    <row r="3">
      <c r="A3" t="n">
        <v>2</v>
      </c>
      <c r="B3" t="inlineStr">
        <is>
          <t>Арматура, фильтры, клапаны, K-Flex, пульты, крепёж — цены закупки нет</t>
        </is>
      </c>
      <c r="C3" t="inlineStr">
        <is>
          <t>В КП только работа по кранам и клапанам.</t>
        </is>
      </c>
      <c r="D3" t="inlineStr">
        <is>
          <t>Запросить КП поставщика.</t>
        </is>
      </c>
    </row>
    <row r="4">
      <c r="A4" t="n">
        <v>3</v>
      </c>
      <c r="B4" t="inlineStr">
        <is>
          <t>Проект, обследование, исполнительная документация не оценены</t>
        </is>
      </c>
      <c r="C4" t="inlineStr">
        <is>
          <t>Раздел 1 пустой.</t>
        </is>
      </c>
      <c r="D4" t="inlineStr">
        <is>
          <t>Оценить проектировщиком.</t>
        </is>
      </c>
    </row>
    <row r="5">
      <c r="A5" t="n">
        <v>4</v>
      </c>
      <c r="B5" t="inlineStr">
        <is>
          <t>Ночные и выходные работы по ТЗ</t>
        </is>
      </c>
      <c r="C5" t="inlineStr">
        <is>
          <t>Дневные расценки. Ночь удорожает бригаду.</t>
        </is>
      </c>
      <c r="D5" t="inlineStr">
        <is>
          <t>Согласовать коэффициент.</t>
        </is>
      </c>
    </row>
    <row r="6">
      <c r="A6" t="n">
        <v>5</v>
      </c>
      <c r="B6" t="inlineStr">
        <is>
          <t>Монтаж фанкойла — доля расценки сплита, не отдельная позиция тарификатора</t>
        </is>
      </c>
      <c r="C6" t="inlineStr">
        <is>
          <t>Можно ошибиться в 3 чел.-ч.</t>
        </is>
      </c>
      <c r="D6" t="inlineStr">
        <is>
          <t>Добавить в тарификатор монтаж водяного фанкойла.</t>
        </is>
      </c>
    </row>
    <row r="7">
      <c r="A7" t="n">
        <v>6</v>
      </c>
      <c r="B7" t="inlineStr">
        <is>
          <t>Опыт: один договор за 2 года не меньше 18 млн</t>
        </is>
      </c>
      <c r="C7" t="inlineStr">
        <is>
          <t>Допуск, не цена.</t>
        </is>
      </c>
      <c r="D7" t="inlineStr">
        <is>
          <t>Проверить референс до решения об участии.</t>
        </is>
      </c>
    </row>
    <row r="8">
      <c r="A8" t="n">
        <v>7</v>
      </c>
      <c r="B8" t="inlineStr">
        <is>
          <t>Форма считает непредвиденные 5% на всю сумму, текст формы говорит, что на подготовительные они не начисляются</t>
        </is>
      </c>
      <c r="C8" t="inlineStr">
        <is>
          <t>Пока раздел 1 пустой, расхождения нет.</t>
        </is>
      </c>
      <c r="D8" t="inlineStr">
        <is>
          <t>Не править формулу формы.</t>
        </is>
      </c>
    </row>
    <row r="9">
      <c r="A9" t="n">
        <v>8</v>
      </c>
      <c r="B9" t="inlineStr">
        <is>
          <t>ИТР, пропуска, ночной допуск, вывоз мусора отдельно не заложены</t>
        </is>
      </c>
      <c r="C9" t="inlineStr">
        <is>
          <t>Себестоимость выше посчитанной.</t>
        </is>
      </c>
      <c r="D9" t="inlineStr">
        <is>
          <t>Добавить до решения об участии.</t>
        </is>
      </c>
    </row>
    <row r="10">
      <c r="A10" t="n">
        <v>9</v>
      </c>
      <c r="B10" t="inlineStr">
        <is>
          <t>Гарантия 36 месяцев при заводской 12</t>
        </is>
      </c>
      <c r="C10" t="inlineStr">
        <is>
          <t>Резерв на гарантию не заложен.</t>
        </is>
      </c>
      <c r="D10" t="inlineStr">
        <is>
          <t>Заложить 1–2% после полной сметы.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t="inlineStr">
        <is>
          <t>Работа</t>
        </is>
      </c>
      <c r="B1" t="inlineStr">
        <is>
          <t>Почему</t>
        </is>
      </c>
    </row>
    <row r="2">
      <c r="A2" t="inlineStr">
        <is>
          <t>Монтаж водяного настенного/консольного фанкойла без наружного блока</t>
        </is>
      </c>
      <c r="B2" t="inlineStr">
        <is>
          <t>Сейчас взята треть расценки сплит-системы</t>
        </is>
      </c>
    </row>
    <row r="3">
      <c r="A3" t="inlineStr">
        <is>
          <t>Пусконаладка замены фанкойла на существующей чиллерной системе</t>
        </is>
      </c>
      <c r="B3" t="inlineStr">
        <is>
          <t>Сейчас аналог разового обслуживания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2026-10-28T16:00:32Z</dcterms:created>
  <dcterms:modified xmlns:dcterms="http://purl.org/dc/terms/" xmlns:xsi="http://www.w3.org/2001/XMLSchema-instance" xsi:type="dcterms:W3CDTF">2026-10-28T16:00:32Z</dcterms:modified>
</cp:coreProperties>
</file>