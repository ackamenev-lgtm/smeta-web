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rlito"/>
      <sz val="11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Calibri"/>
      <charset val="204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3" fillId="0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wrapText="1"/>
    </xf>
    <xf numFmtId="2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4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1" fontId="3" fillId="0" borderId="1" applyAlignment="1" pivotButton="0" quotePrefix="0" xfId="0">
      <alignment wrapText="1"/>
    </xf>
    <xf numFmtId="4" fontId="3" fillId="0" borderId="1" applyAlignment="1" pivotButton="0" quotePrefix="0" xfId="0">
      <alignment wrapText="1"/>
    </xf>
    <xf numFmtId="0" fontId="5" fillId="0" borderId="0" pivotButton="0" quotePrefix="0" xfId="0"/>
    <xf numFmtId="0" fontId="3" fillId="0" borderId="1" pivotButton="0" quotePrefix="0" xfId="0"/>
    <xf numFmtId="1" fontId="3" fillId="0" borderId="1" pivotButton="0" quotePrefix="0" xfId="0"/>
    <xf numFmtId="4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wrapText="1"/>
    </xf>
    <xf numFmtId="1" fontId="4" fillId="2" borderId="1" applyAlignment="1" pivotButton="0" quotePrefix="0" xfId="0">
      <alignment wrapText="1"/>
    </xf>
    <xf numFmtId="4" fontId="4" fillId="2" borderId="1" applyAlignment="1" pivotButton="0" quotePrefix="0" xfId="0">
      <alignment wrapText="1"/>
    </xf>
    <xf numFmtId="4" fontId="4" fillId="2" borderId="1" applyAlignment="1" pivotButton="0" quotePrefix="0" xfId="0">
      <alignment horizontal="right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wrapText="1"/>
    </xf>
    <xf numFmtId="1" fontId="2" fillId="0" borderId="0" applyAlignment="1" pivotButton="0" quotePrefix="0" xfId="0">
      <alignment horizontal="center" wrapText="1"/>
    </xf>
    <xf numFmtId="4" fontId="2" fillId="0" borderId="0" applyAlignment="1" pivotButton="0" quotePrefix="0" xfId="0">
      <alignment horizontal="right" wrapText="1"/>
    </xf>
    <xf numFmtId="0" fontId="3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right" vertical="center" wrapText="1"/>
    </xf>
    <xf numFmtId="0" fontId="3" fillId="0" borderId="0" applyAlignment="1" pivotButton="0" quotePrefix="0" xfId="1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7" pivotButton="0" quotePrefix="0" xfId="0"/>
    <xf numFmtId="0" fontId="0" fillId="0" borderId="4" pivotButton="0" quotePrefix="0" xfId="0"/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tabSelected="1" topLeftCell="A112" workbookViewId="0">
      <selection activeCell="N118" sqref="N118"/>
    </sheetView>
  </sheetViews>
  <sheetFormatPr baseColWidth="8" defaultColWidth="9.5703125" defaultRowHeight="15"/>
  <cols>
    <col width="10" customWidth="1" min="1" max="1"/>
    <col width="54.5703125" customWidth="1" min="2" max="2"/>
    <col width="12.5703125" customWidth="1" min="3" max="3"/>
    <col width="14" customWidth="1" min="4" max="4"/>
    <col width="16.140625" customWidth="1" min="5" max="5"/>
    <col width="19.5703125" customWidth="1" min="6" max="6"/>
    <col width="17.42578125" customWidth="1" min="7" max="7"/>
    <col width="16.140625" customWidth="1" min="8" max="8"/>
    <col width="19.42578125" customWidth="1" min="9" max="9"/>
  </cols>
  <sheetData>
    <row r="1" ht="20.1" customHeight="1">
      <c r="A1" s="32" t="n"/>
      <c r="B1" s="32" t="n"/>
      <c r="C1" s="32" t="n"/>
      <c r="D1" s="32" t="n"/>
      <c r="E1" s="32" t="n"/>
      <c r="F1" s="32" t="n"/>
      <c r="G1" s="32" t="n"/>
      <c r="H1" s="33" t="inlineStr">
        <is>
          <t>Приложение 3 к ТЗ</t>
        </is>
      </c>
    </row>
    <row r="2" ht="20.1" customHeight="1">
      <c r="A2" s="32" t="n"/>
      <c r="B2" s="34" t="inlineStr">
        <is>
          <t>ФОРМА КОММЕРЧЕСКОГО ПРЕДЛОЖЕНИЯ</t>
        </is>
      </c>
    </row>
    <row r="3" ht="44.1" customHeight="1">
      <c r="A3" s="32" t="n"/>
      <c r="B3" s="32" t="inlineStr">
        <is>
          <t>Наименование закупки:</t>
        </is>
      </c>
      <c r="C3" s="32" t="n"/>
      <c r="D3" s="35" t="inlineStr">
        <is>
          <t>Замена 65 фанкойлов под ключ на этажах 1–8 для ПАО «МТС»: г. Москва, Петровский бульвар, д. 12, стр. 3</t>
        </is>
      </c>
    </row>
    <row r="4" ht="20.1" customHeight="1">
      <c r="A4" s="32" t="n"/>
      <c r="B4" s="32" t="inlineStr">
        <is>
          <t>Исх. № __________ от __________ 20__ г.</t>
        </is>
      </c>
      <c r="C4" s="32" t="n"/>
      <c r="D4" s="32" t="n"/>
      <c r="E4" s="32" t="n"/>
      <c r="F4" s="32" t="n"/>
      <c r="G4" s="32" t="n"/>
      <c r="H4" s="32" t="n"/>
      <c r="I4" s="32" t="n"/>
    </row>
    <row r="5" ht="20.1" customHeight="1">
      <c r="A5" s="32" t="n"/>
      <c r="B5" s="32" t="inlineStr">
        <is>
          <t>Наименование Участника:</t>
        </is>
      </c>
      <c r="C5" s="32" t="n"/>
      <c r="D5" s="32" t="inlineStr">
        <is>
          <t>ООО «НЕОСТРОЙ»</t>
        </is>
      </c>
    </row>
    <row r="6" ht="20.1" customHeight="1">
      <c r="A6" s="32" t="n"/>
      <c r="B6" s="32" t="inlineStr">
        <is>
          <t>ИНН Участника:</t>
        </is>
      </c>
      <c r="C6" s="32" t="n"/>
      <c r="D6" s="32" t="inlineStr">
        <is>
          <t>________________________________________________________</t>
        </is>
      </c>
    </row>
    <row r="7" ht="20.1" customHeight="1">
      <c r="A7" s="32" t="n"/>
      <c r="B7" s="32" t="inlineStr">
        <is>
          <t>Заказчик: ПАО «Мобильные ТелеСистемы» (ПАО «МТС»)</t>
        </is>
      </c>
    </row>
    <row r="8" ht="44.1" customHeight="1">
      <c r="A8" s="31" t="inlineStr">
        <is>
          <t>№ п/п</t>
        </is>
      </c>
      <c r="B8" s="31" t="inlineStr">
        <is>
          <t>Наименование</t>
        </is>
      </c>
      <c r="C8" s="31" t="inlineStr">
        <is>
          <t>Ед. изм.</t>
        </is>
      </c>
      <c r="D8" s="31" t="inlineStr">
        <is>
          <t>Кол-во по проекту</t>
        </is>
      </c>
      <c r="E8" s="31" t="inlineStr">
        <is>
          <t>Стоимость материалов, руб. без НДС</t>
        </is>
      </c>
      <c r="F8" s="36" t="n"/>
      <c r="G8" s="31" t="inlineStr">
        <is>
          <t>Стоимость работ, руб. без НДС</t>
        </is>
      </c>
      <c r="H8" s="36" t="n"/>
      <c r="I8" s="31" t="inlineStr">
        <is>
          <t>Цена предложения, руб. без НДС</t>
        </is>
      </c>
    </row>
    <row r="9" ht="24" customHeight="1">
      <c r="A9" s="37" t="n"/>
      <c r="B9" s="37" t="n"/>
      <c r="C9" s="37" t="n"/>
      <c r="D9" s="37" t="n"/>
      <c r="E9" s="31" t="inlineStr">
        <is>
          <t>За единицу</t>
        </is>
      </c>
      <c r="F9" s="31" t="inlineStr">
        <is>
          <t>Итого</t>
        </is>
      </c>
      <c r="G9" s="31" t="inlineStr">
        <is>
          <t>За единицу</t>
        </is>
      </c>
      <c r="H9" s="31" t="inlineStr">
        <is>
          <t>Итого</t>
        </is>
      </c>
      <c r="I9" s="37" t="n"/>
    </row>
    <row r="10">
      <c r="A10" s="3" t="n"/>
      <c r="B10" s="17" t="inlineStr">
        <is>
          <t>Раздел 1. Обследование, проектирование и подготовка работ</t>
        </is>
      </c>
      <c r="C10" s="17" t="n"/>
      <c r="D10" s="18" t="n"/>
      <c r="E10" s="19" t="n"/>
      <c r="F10" s="19" t="n"/>
      <c r="G10" s="19" t="n"/>
      <c r="H10" s="19" t="n"/>
      <c r="I10" s="19" t="n"/>
    </row>
    <row r="11" ht="75" customHeight="1">
      <c r="A11" s="4" t="n">
        <v>1</v>
      </c>
      <c r="B11" s="5" t="inlineStr">
        <is>
          <t>Обследование точек замены и связанных коммуникаций
Обмеры, доступ, крепления, обвязка, дренаж, питание и управление
Включая 4 дополнительные точки на 1-м этаже; отчет по обследованию.</t>
        </is>
      </c>
      <c r="C11" s="4" t="inlineStr">
        <is>
          <t>точка</t>
        </is>
      </c>
      <c r="D11" s="6" t="n">
        <v>65</v>
      </c>
      <c r="E11" s="7" t="n"/>
      <c r="F11" s="7" t="n"/>
      <c r="G11" s="7" t="n"/>
      <c r="H11" s="7" t="n"/>
      <c r="I11" s="7" t="n"/>
    </row>
    <row r="12" ht="75" customHeight="1">
      <c r="A12" s="4" t="n">
        <v>2</v>
      </c>
      <c r="B12" s="5" t="inlineStr">
        <is>
          <t>Расчет и подтверждение эквивалентности оборудования
Полный и явный холод, нагрев, расход воды, сопротивление и шум
Все 65 точек на фактических режимах; таблица соответствия.</t>
        </is>
      </c>
      <c r="C12" s="4" t="inlineStr">
        <is>
          <t>компл.</t>
        </is>
      </c>
      <c r="D12" s="6" t="n">
        <v>1</v>
      </c>
      <c r="E12" s="7" t="n"/>
      <c r="F12" s="7" t="n"/>
      <c r="G12" s="7" t="n"/>
      <c r="H12" s="7" t="n"/>
      <c r="I12" s="7" t="n"/>
    </row>
    <row r="13" ht="60" customHeight="1">
      <c r="A13" s="4" t="n">
        <v>3</v>
      </c>
      <c r="B13" s="5" t="inlineStr">
        <is>
          <t>Разработка планов размещения и монтажных решений
Поэтажные планы и привязки блоков на этажах 1–8
Адаптация размещения и креплений включается в проект.</t>
        </is>
      </c>
      <c r="C13" s="4" t="inlineStr">
        <is>
          <t>компл.</t>
        </is>
      </c>
      <c r="D13" s="6" t="n">
        <v>1</v>
      </c>
      <c r="E13" s="7" t="n"/>
      <c r="F13" s="7" t="n"/>
      <c r="G13" s="7" t="n"/>
      <c r="H13" s="7" t="n"/>
      <c r="I13" s="7" t="n"/>
    </row>
    <row r="14" ht="75" customHeight="1">
      <c r="A14" s="4" t="n">
        <v>4</v>
      </c>
      <c r="B14" s="5" t="inlineStr">
        <is>
          <t>Разработка схем гидравлической обвязки и дренажа
Двухтрубная система; узлы подключения и местные трассы
В пределах заменяемого оборудования и связанных участков.</t>
        </is>
      </c>
      <c r="C14" s="4" t="inlineStr">
        <is>
          <t>компл.</t>
        </is>
      </c>
      <c r="D14" s="6" t="n">
        <v>1</v>
      </c>
      <c r="E14" s="7" t="n"/>
      <c r="F14" s="7" t="n"/>
      <c r="G14" s="7" t="n"/>
      <c r="H14" s="7" t="n"/>
      <c r="I14" s="7" t="n"/>
    </row>
    <row r="15" ht="45" customHeight="1">
      <c r="A15" s="4" t="n">
        <v>5</v>
      </c>
      <c r="B15" s="5" t="inlineStr">
        <is>
          <t>Разработка схем электропитания и управления
Питание, защита, PE, пульты, кабели и проходки
Согласование точек питания с главным энергетиком.</t>
        </is>
      </c>
      <c r="C15" s="4" t="inlineStr">
        <is>
          <t>компл.</t>
        </is>
      </c>
      <c r="D15" s="6" t="n">
        <v>1</v>
      </c>
      <c r="E15" s="7" t="n"/>
      <c r="F15" s="7" t="n"/>
      <c r="G15" s="7" t="n"/>
      <c r="H15" s="7" t="n"/>
      <c r="I15" s="7" t="n"/>
    </row>
    <row r="16" ht="58.7" customHeight="1">
      <c r="A16" s="4" t="n">
        <v>6</v>
      </c>
      <c r="B16" s="5" t="inlineStr">
        <is>
          <t>Подготовка спецификации оборудования и материалов
Комплектность, модели, арматура, подводки, автоматика
Подтверждение обозначений моделей и монтажных размеров</t>
        </is>
      </c>
      <c r="C16" s="4" t="inlineStr">
        <is>
          <t>компл.</t>
        </is>
      </c>
      <c r="D16" s="6" t="n">
        <v>1</v>
      </c>
      <c r="E16" s="7" t="n"/>
      <c r="F16" s="7" t="n"/>
      <c r="G16" s="7" t="n"/>
      <c r="H16" s="7" t="n"/>
      <c r="I16" s="7" t="n"/>
    </row>
    <row r="17" ht="45.6" customHeight="1">
      <c r="A17" s="4" t="n">
        <v>7</v>
      </c>
      <c r="B17" s="5" t="inlineStr">
        <is>
          <t>Подготовка и согласование графика и организации работ
Этапность, отключения, доступ и работы в нерабочее время
Согласование рабочей и сметной документации до начала монтажа.</t>
        </is>
      </c>
      <c r="C17" s="4" t="inlineStr">
        <is>
          <t>компл.</t>
        </is>
      </c>
      <c r="D17" s="6" t="n">
        <v>1</v>
      </c>
      <c r="E17" s="7" t="n"/>
      <c r="F17" s="7" t="n"/>
      <c r="G17" s="7" t="n"/>
      <c r="H17" s="7" t="n"/>
      <c r="I17" s="7" t="n"/>
    </row>
    <row r="18">
      <c r="A18" s="3" t="n"/>
      <c r="B18" s="17" t="inlineStr">
        <is>
          <t>Итого по разделу 1</t>
        </is>
      </c>
      <c r="C18" s="17" t="n"/>
      <c r="D18" s="18" t="n"/>
      <c r="E18" s="19" t="n"/>
      <c r="F18" s="12">
        <f>SUM(F11:F17)</f>
        <v/>
      </c>
      <c r="G18" s="12" t="n"/>
      <c r="H18" s="12">
        <f>SUM(H11:H17)</f>
        <v/>
      </c>
      <c r="I18" s="12">
        <f>SUM(I11:I17)</f>
        <v/>
      </c>
    </row>
    <row r="19">
      <c r="A19" s="3" t="n"/>
      <c r="B19" s="13" t="inlineStr">
        <is>
          <t>Раздел 2. Поставка оборудования и управления</t>
        </is>
      </c>
      <c r="C19" s="13" t="n"/>
      <c r="D19" s="14" t="n"/>
      <c r="E19" s="15" t="n"/>
      <c r="F19" s="15" t="n"/>
      <c r="G19" s="15" t="n"/>
      <c r="H19" s="15" t="n"/>
      <c r="I19" s="15" t="n"/>
    </row>
    <row r="20" ht="58.7" customHeight="1">
      <c r="A20" s="4" t="n">
        <v>8</v>
      </c>
      <c r="B20" s="5" t="inlineStr">
        <is>
          <t>Поставка нового корпусного фанкойла; полный / явный холод 4,20 / 1,91 кВт
23 шт. по КП; воздушный фильтр включен. Вертикальный монтаж по инструкции.</t>
        </is>
      </c>
      <c r="C20" s="4" t="inlineStr">
        <is>
          <t>шт.</t>
        </is>
      </c>
      <c r="D20" s="6" t="n">
        <v>23</v>
      </c>
      <c r="E20" s="7" t="n">
        <v>148590.17</v>
      </c>
      <c r="F20" s="7">
        <f>IF(OR(E20="",D20=""),"",E20*D20)</f>
        <v/>
      </c>
      <c r="G20" s="7" t="n"/>
      <c r="H20" s="7">
        <f>IF(OR(G20="",D20=""),"",G20*D20)</f>
        <v/>
      </c>
      <c r="I20" s="7">
        <f>IF(AND(F20="",H20=""),"",N(F20)+N(H20))</f>
        <v/>
      </c>
    </row>
    <row r="21" ht="58.7" customHeight="1">
      <c r="A21" s="4" t="n">
        <v>9</v>
      </c>
      <c r="B21" s="5" t="inlineStr">
        <is>
          <t>Поставка нового корпусного фанкойла; полный / явный холод 5,35 / 2,51 кВт
32 шт. по КП; воздушный фильтр включен. Вертикальный монтаж по инструкции.</t>
        </is>
      </c>
      <c r="C21" s="4" t="inlineStr">
        <is>
          <t>шт.</t>
        </is>
      </c>
      <c r="D21" s="6" t="n">
        <v>32</v>
      </c>
      <c r="E21" s="7" t="n">
        <v>38484.85</v>
      </c>
      <c r="F21" s="7">
        <f>IF(OR(E21="",D21=""),"",E21*D21)</f>
        <v/>
      </c>
      <c r="G21" s="7" t="n"/>
      <c r="H21" s="7">
        <f>IF(OR(G21="",D21=""),"",G21*D21)</f>
        <v/>
      </c>
      <c r="I21" s="7">
        <f>IF(AND(F21="",H21=""),"",N(F21)+N(H21))</f>
        <v/>
      </c>
    </row>
    <row r="22" ht="45.6" customHeight="1">
      <c r="A22" s="4" t="n">
        <v>10</v>
      </c>
      <c r="B22" s="5" t="inlineStr">
        <is>
          <t>Поставка нового корпусного фанкойла; полный / явный холод 6,66 / 3,40 кВт
6 шт. по КП; мощность существующего блока L=1400 уточнить.</t>
        </is>
      </c>
      <c r="C22" s="4" t="inlineStr">
        <is>
          <t>шт.</t>
        </is>
      </c>
      <c r="D22" s="6" t="n">
        <v>6</v>
      </c>
      <c r="E22" s="7" t="n">
        <v>78000.55</v>
      </c>
      <c r="F22" s="7">
        <f>IF(OR(E22="",D22=""),"",E22*D22)</f>
        <v/>
      </c>
      <c r="G22" s="7" t="n"/>
      <c r="H22" s="7">
        <f>IF(OR(G22="",D22=""),"",G22*D22)</f>
        <v/>
      </c>
      <c r="I22" s="7">
        <f>IF(AND(F22="",H22=""),"",N(F22)+N(H22))</f>
        <v/>
      </c>
    </row>
    <row r="23" ht="58.7" customHeight="1">
      <c r="A23" s="4" t="n">
        <v>11</v>
      </c>
      <c r="B23" s="5" t="inlineStr">
        <is>
          <t>Поставка новых фанкойлов для дополнительных точек; мощность подтвердить обследованием и расчетом
1-й этаж № 1–4. Еще 4 блока сверх 61 шт.</t>
        </is>
      </c>
      <c r="C23" s="4" t="inlineStr">
        <is>
          <t>шт.</t>
        </is>
      </c>
      <c r="D23" s="6" t="n">
        <v>4</v>
      </c>
      <c r="E23" s="7" t="n">
        <v>38484.85</v>
      </c>
      <c r="F23" s="7">
        <f>IF(OR(E23="",D23=""),"",E23*D23)</f>
        <v/>
      </c>
      <c r="G23" s="7" t="n"/>
      <c r="H23" s="7">
        <f>IF(OR(G23="",D23=""),"",G23*D23)</f>
        <v/>
      </c>
      <c r="I23" s="7">
        <f>IF(AND(F23="",H23=""),"",N(F23)+N(H23))</f>
        <v/>
      </c>
    </row>
    <row r="24" ht="58.7" customHeight="1">
      <c r="A24" s="4" t="n">
        <v>12</v>
      </c>
      <c r="B24" s="5" t="inlineStr">
        <is>
          <t>Поставка совместимого пульта / термостата управления
Включение, режим, скорости;
Один на блок.</t>
        </is>
      </c>
      <c r="C24" s="4" t="inlineStr">
        <is>
          <t>шт.</t>
        </is>
      </c>
      <c r="D24" s="6" t="n">
        <v>65</v>
      </c>
      <c r="E24" s="7" t="n"/>
      <c r="F24" s="7" t="n"/>
      <c r="G24" s="7" t="n"/>
      <c r="H24" s="7" t="n"/>
      <c r="I24" s="7" t="n"/>
    </row>
    <row r="25" ht="45.6" customHeight="1">
      <c r="A25" s="4" t="n">
        <v>13</v>
      </c>
      <c r="B25" s="5" t="inlineStr">
        <is>
          <t>Доставка оборудования и материалов на объект
Транспорт, упаковка и разгрузка новых изделий
Поставка полными комплектами по согласованным этапам.</t>
        </is>
      </c>
      <c r="C25" s="4" t="inlineStr">
        <is>
          <t>компл.</t>
        </is>
      </c>
      <c r="D25" s="6" t="n">
        <v>1</v>
      </c>
      <c r="E25" s="7" t="n"/>
      <c r="F25" s="7" t="n"/>
      <c r="G25" s="7" t="n"/>
      <c r="H25" s="7" t="n"/>
      <c r="I25" s="7" t="n"/>
    </row>
    <row r="26" ht="58.7" customHeight="1">
      <c r="A26" s="4" t="n">
        <v>14</v>
      </c>
      <c r="B26" s="5" t="inlineStr">
        <is>
          <t>Перемещение новых блоков к месту монтажа
Подъем и доставка на этажи 1–8
Внутриобъектовая логистика; материалы перемещаются в составе поставки.</t>
        </is>
      </c>
      <c r="C26" s="4" t="inlineStr">
        <is>
          <t>шт.</t>
        </is>
      </c>
      <c r="D26" s="6" t="n">
        <v>65</v>
      </c>
      <c r="E26" s="7" t="n"/>
      <c r="F26" s="7" t="n"/>
      <c r="G26" s="7" t="n"/>
      <c r="H26" s="7" t="n"/>
      <c r="I26" s="7" t="n"/>
    </row>
    <row r="27">
      <c r="A27" s="3" t="n"/>
      <c r="B27" s="17" t="inlineStr">
        <is>
          <t>Итого по разделу 2</t>
        </is>
      </c>
      <c r="C27" s="17" t="n"/>
      <c r="D27" s="18" t="n"/>
      <c r="E27" s="19" t="n"/>
      <c r="F27" s="12">
        <f>SUM(F20:F26)</f>
        <v/>
      </c>
      <c r="G27" s="12" t="n"/>
      <c r="H27" s="12">
        <f>SUM(H20:H26)</f>
        <v/>
      </c>
      <c r="I27" s="12">
        <f>SUM(I20:I26)</f>
        <v/>
      </c>
    </row>
    <row r="28">
      <c r="A28" s="3" t="n"/>
      <c r="B28" s="17" t="inlineStr">
        <is>
          <t>Раздел 3. Материалы гидравлической обвязки и дренажа</t>
        </is>
      </c>
      <c r="C28" s="17" t="n"/>
      <c r="D28" s="18" t="n"/>
      <c r="E28" s="19" t="n"/>
      <c r="F28" s="19" t="n"/>
      <c r="G28" s="19" t="n"/>
      <c r="H28" s="19" t="n"/>
      <c r="I28" s="19" t="n"/>
    </row>
    <row r="29" ht="58.7" customHeight="1">
      <c r="A29" s="4" t="n">
        <v>15</v>
      </c>
      <c r="B29" s="5" t="inlineStr">
        <is>
          <t>Запорный шаровой кран
Полнопроходной; исполнение, DN и разъемные соединения по проекту
Два на блок: подача и обратная линия; для 65 новых блоков.</t>
        </is>
      </c>
      <c r="C29" s="4" t="inlineStr">
        <is>
          <t>шт.</t>
        </is>
      </c>
      <c r="D29" s="6" t="n">
        <v>130</v>
      </c>
      <c r="E29" s="7" t="n"/>
      <c r="F29" s="7" t="n"/>
      <c r="G29" s="7" t="n"/>
      <c r="H29" s="7" t="n"/>
      <c r="I29" s="7" t="n"/>
    </row>
    <row r="30" ht="45.6" customHeight="1">
      <c r="A30" s="4" t="n">
        <v>16</v>
      </c>
      <c r="B30" s="5" t="inlineStr">
        <is>
          <t>Сетчатый фильтр
На подающей линии; DN и ячейка сетки по проекту
Один на блок; обеспечить доступ к очистке.</t>
        </is>
      </c>
      <c r="C30" s="4" t="inlineStr">
        <is>
          <t>шт.</t>
        </is>
      </c>
      <c r="D30" s="6" t="n">
        <v>65</v>
      </c>
      <c r="E30" s="7" t="n"/>
      <c r="F30" s="7" t="n"/>
      <c r="G30" s="7" t="n"/>
      <c r="H30" s="7" t="n"/>
      <c r="I30" s="7" t="n"/>
    </row>
    <row r="31" ht="72" customHeight="1">
      <c r="A31" s="4" t="n">
        <v>17</v>
      </c>
      <c r="B31" s="5" t="inlineStr">
        <is>
          <t>Поставка балансировочного клапана
Гидравлический балансировочный клапан; DN и диапазон расхода по расчету
Один на каждый из 65 фанкойлов. Обязательная поставка; дополнительно к двум запорным кранам.</t>
        </is>
      </c>
      <c r="C31" s="4" t="inlineStr">
        <is>
          <t>шт.</t>
        </is>
      </c>
      <c r="D31" s="6" t="n">
        <v>65</v>
      </c>
      <c r="E31" s="7" t="n"/>
      <c r="F31" s="7" t="n"/>
      <c r="G31" s="7" t="n"/>
      <c r="H31" s="7" t="n"/>
      <c r="I31" s="7" t="n"/>
    </row>
    <row r="32" ht="72" customHeight="1">
      <c r="A32" s="4" t="n">
        <v>18</v>
      </c>
      <c r="B32" s="5" t="inlineStr">
        <is>
          <t>Поставка двухходового регулирующего клапана с электроприводом
Двухходовой клапан и совместимый привод; DN, Kvs, питание и тип привода по проекту
Один комплект на каждый из 65 фанкойлов. Дополнительно к запорным кранам и балансировочному клапану.</t>
        </is>
      </c>
      <c r="C32" s="4" t="inlineStr">
        <is>
          <t>компл.</t>
        </is>
      </c>
      <c r="D32" s="6" t="n">
        <v>65</v>
      </c>
      <c r="E32" s="7" t="n"/>
      <c r="F32" s="7" t="n"/>
      <c r="G32" s="7" t="n"/>
      <c r="H32" s="7" t="n"/>
      <c r="I32" s="7" t="n"/>
    </row>
    <row r="33" ht="58.7" customHeight="1">
      <c r="A33" s="4" t="n">
        <v>19</v>
      </c>
      <c r="B33" s="5" t="inlineStr">
        <is>
          <t>Гибкая подводка для водяного фанкойла
Выбранные блоки 3/4″ по КП; для остальных 4 уточнить
Две на блок. Длина, теплоноситель, температура и давление по проекту.</t>
        </is>
      </c>
      <c r="C33" s="4" t="inlineStr">
        <is>
          <t>шт.</t>
        </is>
      </c>
      <c r="D33" s="6" t="n">
        <v>130</v>
      </c>
      <c r="E33" s="7" t="n"/>
      <c r="F33" s="7" t="n"/>
      <c r="G33" s="7" t="n"/>
      <c r="H33" s="7" t="n"/>
      <c r="I33" s="7" t="n"/>
    </row>
    <row r="34" ht="45.6" customHeight="1">
      <c r="A34" s="4" t="n">
        <v>20</v>
      </c>
      <c r="B34" s="5" t="inlineStr">
        <is>
          <t>Теплоизоляция гибкой подводки K-Flex
Комплект на одну подводку с герметизацией швов
На все 130 подводок; длина и толщина по проекту.</t>
        </is>
      </c>
      <c r="C34" s="4" t="inlineStr">
        <is>
          <t>компл.</t>
        </is>
      </c>
      <c r="D34" s="6" t="n">
        <v>130</v>
      </c>
      <c r="E34" s="7" t="n"/>
      <c r="F34" s="7" t="n"/>
      <c r="G34" s="7" t="n"/>
      <c r="H34" s="7" t="n"/>
      <c r="I34" s="7" t="n"/>
    </row>
    <row r="35" ht="45.6" customHeight="1">
      <c r="A35" s="4" t="n">
        <v>21</v>
      </c>
      <c r="B35" s="5" t="inlineStr">
        <is>
          <t>Комплект соединительных фитингов и переходов
Разъемные соединения, ниппели, переходники и уплотнения
На одну точку; переходы со старых присоединений на новый блок.</t>
        </is>
      </c>
      <c r="C35" s="4" t="inlineStr">
        <is>
          <t>компл.</t>
        </is>
      </c>
      <c r="D35" s="6" t="n">
        <v>65</v>
      </c>
      <c r="E35" s="7" t="n"/>
      <c r="F35" s="7" t="n"/>
      <c r="G35" s="7" t="n"/>
      <c r="H35" s="7" t="n"/>
      <c r="I35" s="7" t="n"/>
    </row>
    <row r="36" ht="72" customHeight="1">
      <c r="A36" s="4" t="n">
        <v>22</v>
      </c>
      <c r="B36" s="5" t="inlineStr">
        <is>
          <t>Комплект теплоизоляции запорных кранов, фильтра, балансировочного и регулирующего клапанов K-Flex
Изоляционные элементы, клей, лента и герметизация
65 гидравлических узлов. Сохранить доступ к очистке, настройке и штуцерам; привод теплоизоляцией не закрывать.</t>
        </is>
      </c>
      <c r="C36" s="4" t="inlineStr">
        <is>
          <t>компл.</t>
        </is>
      </c>
      <c r="D36" s="6" t="n">
        <v>65</v>
      </c>
      <c r="E36" s="7" t="n"/>
      <c r="F36" s="7" t="n"/>
      <c r="G36" s="7" t="n"/>
      <c r="H36" s="7" t="n"/>
      <c r="I36" s="7" t="n"/>
    </row>
    <row r="37" ht="58.7" customHeight="1">
      <c r="A37" s="4" t="n">
        <v>23</v>
      </c>
      <c r="B37" s="5" t="inlineStr">
        <is>
          <t>Локальные жесткие трубопроводы подачи и обратки
Материал, DN и способ соединения по проекту
Длины обеих линий по обмерам; подводки сюда не входят.
Количество уточняется по обмерам и проекту.</t>
        </is>
      </c>
      <c r="C37" s="4" t="inlineStr">
        <is>
          <t>м</t>
        </is>
      </c>
      <c r="D37" s="9" t="n"/>
      <c r="E37" s="7" t="n"/>
      <c r="F37" s="7" t="n"/>
      <c r="G37" s="7" t="n"/>
      <c r="H37" s="7" t="n"/>
      <c r="I37" s="7" t="n"/>
    </row>
    <row r="38" ht="58.7" customHeight="1">
      <c r="A38" s="4" t="n">
        <v>24</v>
      </c>
      <c r="B38" s="5" t="inlineStr">
        <is>
          <t>Теплоизоляция локальных жестких трубопроводов K-Flex
Диаметр и толщина по проекту
На участки, включенные в локальную переделку.
Количество уточняется по обмерам и проекту.</t>
        </is>
      </c>
      <c r="C38" s="4" t="inlineStr">
        <is>
          <t>м</t>
        </is>
      </c>
      <c r="D38" s="9" t="n"/>
      <c r="E38" s="7" t="n"/>
      <c r="F38" s="7" t="n"/>
      <c r="G38" s="7" t="n"/>
      <c r="H38" s="7" t="n"/>
      <c r="I38" s="7" t="n"/>
    </row>
    <row r="39" ht="58.7" customHeight="1">
      <c r="A39" s="4" t="n">
        <v>25</v>
      </c>
      <c r="B39" s="5" t="inlineStr">
        <is>
          <t>Локальный дренажный трубопровод
Материал, диаметр и уклон по проекту
Длина от блока до существующей сети определяется обмером.
Количество уточняется по обмерам и проекту.</t>
        </is>
      </c>
      <c r="C39" s="4" t="inlineStr">
        <is>
          <t>м</t>
        </is>
      </c>
      <c r="D39" s="9" t="n"/>
      <c r="E39" s="7" t="n"/>
      <c r="F39" s="7" t="n"/>
      <c r="G39" s="7" t="n"/>
      <c r="H39" s="7" t="n"/>
      <c r="I39" s="7" t="n"/>
    </row>
    <row r="40" ht="45.6" customHeight="1">
      <c r="A40" s="4" t="n">
        <v>26</v>
      </c>
      <c r="B40" s="5" t="inlineStr">
        <is>
          <t>Комплект дренажных соединений
Муфты, переходы, соединители, уплотнения и крепления
На одну точку подключения к существующему дренажу.</t>
        </is>
      </c>
      <c r="C40" s="4" t="inlineStr">
        <is>
          <t>компл.</t>
        </is>
      </c>
      <c r="D40" s="6" t="n">
        <v>65</v>
      </c>
      <c r="E40" s="7" t="n"/>
      <c r="F40" s="7" t="n"/>
      <c r="G40" s="7" t="n"/>
      <c r="H40" s="7" t="n"/>
      <c r="I40" s="7" t="n"/>
    </row>
    <row r="41" ht="58.7" customHeight="1">
      <c r="A41" s="4" t="n">
        <v>27</v>
      </c>
      <c r="B41" s="5" t="inlineStr">
        <is>
          <t>Комплект крепления фанкойла
Кронштейны / монтажные элементы, анкеры и виброразвязка
Только необходимое дополнение к заводскому комплекту; без двойного учета.</t>
        </is>
      </c>
      <c r="C41" s="4" t="inlineStr">
        <is>
          <t>компл.</t>
        </is>
      </c>
      <c r="D41" s="6" t="n">
        <v>65</v>
      </c>
      <c r="E41" s="7" t="n"/>
      <c r="F41" s="7" t="n"/>
      <c r="G41" s="7" t="n"/>
      <c r="H41" s="7" t="n"/>
      <c r="I41" s="7" t="n"/>
    </row>
    <row r="42" ht="45.6" customHeight="1">
      <c r="A42" s="4" t="n">
        <v>28</v>
      </c>
      <c r="B42" s="5" t="inlineStr">
        <is>
          <t>Крепеж и расходные материалы локальной обвязки
Опоры, хомуты, резьбовые уплотнения и маркировка линий
На одну точку; материалы для стыков в пределах объема замены.</t>
        </is>
      </c>
      <c r="C42" s="4" t="inlineStr">
        <is>
          <t>компл.</t>
        </is>
      </c>
      <c r="D42" s="6" t="n">
        <v>65</v>
      </c>
      <c r="E42" s="7" t="n"/>
      <c r="F42" s="7" t="n"/>
      <c r="G42" s="7" t="n"/>
      <c r="H42" s="7" t="n"/>
      <c r="I42" s="7" t="n"/>
    </row>
    <row r="43">
      <c r="A43" s="3" t="n"/>
      <c r="B43" s="13" t="inlineStr">
        <is>
          <t>Итого по разделу 3</t>
        </is>
      </c>
      <c r="C43" s="13" t="n"/>
      <c r="D43" s="14" t="n"/>
      <c r="E43" s="15" t="n"/>
      <c r="F43" s="12">
        <f>SUM(F29:F42)</f>
        <v/>
      </c>
      <c r="G43" s="12" t="n"/>
      <c r="H43" s="12">
        <f>SUM(H29:H42)</f>
        <v/>
      </c>
      <c r="I43" s="12">
        <f>SUM(I29:I42)</f>
        <v/>
      </c>
    </row>
    <row r="44">
      <c r="A44" s="3" t="n"/>
      <c r="B44" s="13" t="inlineStr">
        <is>
          <t>Раздел 4. Материалы электропитания и управления</t>
        </is>
      </c>
      <c r="C44" s="13" t="n"/>
      <c r="D44" s="14" t="n"/>
      <c r="E44" s="15" t="n"/>
      <c r="F44" s="15" t="n"/>
      <c r="G44" s="15" t="n"/>
      <c r="H44" s="15" t="n"/>
      <c r="I44" s="15" t="n"/>
    </row>
    <row r="45" ht="72" customHeight="1">
      <c r="A45" s="4" t="n">
        <v>29</v>
      </c>
      <c r="B45" s="5" t="inlineStr">
        <is>
          <t>Кабель электропитания
Сечение, число жил и пожарное исполнение по проекту
По трассам, включая восстановление питания в двух проблемных точках.
Количество уточняется по обмерам и проекту.</t>
        </is>
      </c>
      <c r="C45" s="4" t="inlineStr">
        <is>
          <t>м</t>
        </is>
      </c>
      <c r="D45" s="9" t="n"/>
      <c r="E45" s="7" t="n"/>
      <c r="F45" s="7" t="n"/>
      <c r="G45" s="7" t="n"/>
      <c r="H45" s="7" t="n"/>
      <c r="I45" s="7" t="n"/>
    </row>
    <row r="46" ht="72" customHeight="1">
      <c r="A46" s="4" t="n">
        <v>30</v>
      </c>
      <c r="B46" s="5" t="inlineStr">
        <is>
          <t>Кабель управления
Число жил и сечение по схеме выбранного пульта
По трассам пультов и приводов двухходовых клапанов; фактическая длина определяется проектом и обмерами.
Количество уточняется по обмерам и проекту.</t>
        </is>
      </c>
      <c r="C46" s="4" t="inlineStr">
        <is>
          <t>м</t>
        </is>
      </c>
      <c r="D46" s="9" t="n"/>
      <c r="E46" s="7" t="n"/>
      <c r="F46" s="7" t="n"/>
      <c r="G46" s="7" t="n"/>
      <c r="H46" s="7" t="n"/>
      <c r="I46" s="7" t="n"/>
    </row>
    <row r="47" ht="58.7" customHeight="1">
      <c r="A47" s="4" t="n">
        <v>31</v>
      </c>
      <c r="B47" s="5" t="inlineStr">
        <is>
          <t>Гофра для кабеля электропитания
Исполнение и диаметр по проекту
Для прокладки кабелей электропитания.
Количество уточняется по обмерам и проекту.</t>
        </is>
      </c>
      <c r="C47" s="4" t="inlineStr">
        <is>
          <t>м</t>
        </is>
      </c>
      <c r="D47" s="9" t="n"/>
      <c r="E47" s="7" t="n"/>
      <c r="F47" s="7" t="n"/>
      <c r="G47" s="7" t="n"/>
      <c r="H47" s="7" t="n"/>
      <c r="I47" s="7" t="n"/>
    </row>
    <row r="48" ht="58.7" customHeight="1">
      <c r="A48" s="4" t="n">
        <v>32</v>
      </c>
      <c r="B48" s="5" t="inlineStr">
        <is>
          <t>Гофра для кабеля управления
Исполнение и диаметр по проекту
Для прокладки кабелей управления.
Количество уточняется по обмерам и проекту.</t>
        </is>
      </c>
      <c r="C48" s="4" t="inlineStr">
        <is>
          <t>м</t>
        </is>
      </c>
      <c r="D48" s="9" t="n"/>
      <c r="E48" s="7" t="n"/>
      <c r="F48" s="7" t="n"/>
      <c r="G48" s="7" t="n"/>
      <c r="H48" s="7" t="n"/>
      <c r="I48" s="7" t="n"/>
    </row>
    <row r="49" ht="58.7" customHeight="1">
      <c r="A49" s="4" t="n">
        <v>33</v>
      </c>
      <c r="B49" s="5" t="inlineStr">
        <is>
          <t>Комплект электрического соединения
Клеммы, наконечники, коробки и кабельные вводы
На одну точку: соединения фанкойла, пульта и привода двухходового клапана; совместимость по проекту.</t>
        </is>
      </c>
      <c r="C49" s="4" t="inlineStr">
        <is>
          <t>компл.</t>
        </is>
      </c>
      <c r="D49" s="6" t="n">
        <v>65</v>
      </c>
      <c r="E49" s="7" t="n"/>
      <c r="F49" s="7" t="n"/>
      <c r="G49" s="7" t="n"/>
      <c r="H49" s="7" t="n"/>
      <c r="I49" s="7" t="n"/>
    </row>
    <row r="50" ht="45.6" customHeight="1">
      <c r="A50" s="4" t="n">
        <v>34</v>
      </c>
      <c r="B50" s="5" t="inlineStr">
        <is>
          <t>Комплект крепежа кабелей и маркировки
Крепления, стяжки, маркировка кабелей и цепей
На одну точку.</t>
        </is>
      </c>
      <c r="C50" s="4" t="inlineStr">
        <is>
          <t>компл.</t>
        </is>
      </c>
      <c r="D50" s="6" t="n">
        <v>65</v>
      </c>
      <c r="E50" s="7" t="n"/>
      <c r="F50" s="7" t="n"/>
      <c r="G50" s="7" t="n"/>
      <c r="H50" s="7" t="n"/>
      <c r="I50" s="7" t="n"/>
    </row>
    <row r="51" ht="58.7" customHeight="1">
      <c r="A51" s="4" t="n">
        <v>35</v>
      </c>
      <c r="B51" s="5" t="inlineStr">
        <is>
          <t>Металлическая гильза для электрической проходки
Размер и защита кромок по проекту
Через стены / перекрытия по ТЗ; количество по обмерам.
Количество уточняется по обмерам и проекту.</t>
        </is>
      </c>
      <c r="C51" s="4" t="inlineStr">
        <is>
          <t>шт.</t>
        </is>
      </c>
      <c r="D51" s="6" t="n"/>
      <c r="E51" s="7" t="n"/>
      <c r="F51" s="7" t="n"/>
      <c r="G51" s="7" t="n"/>
      <c r="H51" s="7" t="n"/>
      <c r="I51" s="7" t="n"/>
    </row>
    <row r="52">
      <c r="A52" s="3" t="n"/>
      <c r="B52" s="13" t="inlineStr">
        <is>
          <t>Итого по разделу 4</t>
        </is>
      </c>
      <c r="C52" s="13" t="n"/>
      <c r="D52" s="14" t="n"/>
      <c r="E52" s="15" t="n"/>
      <c r="F52" s="12">
        <f>SUM(F45:F51)</f>
        <v/>
      </c>
      <c r="G52" s="12" t="n"/>
      <c r="H52" s="12">
        <f>SUM(H45:H51)</f>
        <v/>
      </c>
      <c r="I52" s="12">
        <f>SUM(I45:I51)</f>
        <v/>
      </c>
    </row>
    <row r="53">
      <c r="A53" s="3" t="n"/>
      <c r="B53" s="13" t="inlineStr">
        <is>
          <t>Раздел 5. Подготовка, демонтаж и утилизация</t>
        </is>
      </c>
      <c r="C53" s="13" t="n"/>
      <c r="D53" s="14" t="n"/>
      <c r="E53" s="15" t="n"/>
      <c r="F53" s="15" t="n"/>
      <c r="G53" s="15" t="n"/>
      <c r="H53" s="15" t="n"/>
      <c r="I53" s="15" t="n"/>
    </row>
    <row r="54" ht="58.7" customHeight="1">
      <c r="A54" s="4" t="n">
        <v>36</v>
      </c>
      <c r="B54" s="5" t="inlineStr">
        <is>
          <t>Обеспечение доступа к недоступным блокам
Перестановка мебели / локальных экранов
1-й этаж № 1–3 и 8-й этаж № 7. Капитальное вскрытие уточняется отдельно.</t>
        </is>
      </c>
      <c r="C54" s="4" t="inlineStr">
        <is>
          <t>точка</t>
        </is>
      </c>
      <c r="D54" s="6" t="n">
        <v>4</v>
      </c>
      <c r="E54" s="7" t="n"/>
      <c r="F54" s="7" t="n"/>
      <c r="G54" s="7" t="n"/>
      <c r="H54" s="7" t="n"/>
      <c r="I54" s="7" t="n"/>
    </row>
    <row r="55" ht="45.6" customHeight="1">
      <c r="A55" s="4" t="n">
        <v>37</v>
      </c>
      <c r="B55" s="5" t="inlineStr">
        <is>
          <t>Защита мебели, пола и отделки в зоне работ
Временные укрытия и ограждение рабочей зоны
Включены материалы защиты; выполняется до демонтажа.</t>
        </is>
      </c>
      <c r="C55" s="4" t="inlineStr">
        <is>
          <t>точка</t>
        </is>
      </c>
      <c r="D55" s="6" t="n">
        <v>65</v>
      </c>
      <c r="E55" s="7" t="n"/>
      <c r="F55" s="7" t="n"/>
      <c r="G55" s="7" t="n"/>
      <c r="H55" s="7" t="n"/>
      <c r="I55" s="7" t="n"/>
    </row>
    <row r="56" ht="45.6" customHeight="1">
      <c r="A56" s="4" t="n">
        <v>38</v>
      </c>
      <c r="B56" s="5" t="inlineStr">
        <is>
          <t>Обесточивание и отключение существующих цепей
Проверка отсутствия напряжения, отсоединение питания и управления
На всех 65 местах, включая проверку ранее демонтированной точки.</t>
        </is>
      </c>
      <c r="C56" s="4" t="inlineStr">
        <is>
          <t>точка</t>
        </is>
      </c>
      <c r="D56" s="6" t="n">
        <v>65</v>
      </c>
      <c r="E56" s="7" t="n"/>
      <c r="F56" s="7" t="n"/>
      <c r="G56" s="7" t="n"/>
      <c r="H56" s="7" t="n"/>
      <c r="I56" s="7" t="n"/>
    </row>
    <row r="57" ht="58.7" customHeight="1">
      <c r="A57" s="4" t="n">
        <v>39</v>
      </c>
      <c r="B57" s="5" t="inlineStr">
        <is>
          <t>Отключение и слив заменяемых участков системы
Поэтапный комплекс по согласованной схеме отключений
На объект; число участков определяет проект, этаж не приравнен к участку.</t>
        </is>
      </c>
      <c r="C57" s="4" t="inlineStr">
        <is>
          <t>компл.</t>
        </is>
      </c>
      <c r="D57" s="6" t="n">
        <v>1</v>
      </c>
      <c r="E57" s="7" t="n"/>
      <c r="F57" s="7" t="n"/>
      <c r="G57" s="7" t="n"/>
      <c r="H57" s="7" t="n"/>
      <c r="I57" s="7" t="n"/>
    </row>
    <row r="58" ht="45.6" customHeight="1">
      <c r="A58" s="4" t="n">
        <v>40</v>
      </c>
      <c r="B58" s="5" t="inlineStr">
        <is>
          <t>Демонтаж существующих фанкойлов
Снятие корпуса / блока с креплений
64 блока; 1-й этаж № 4 повторно не демонтируется.</t>
        </is>
      </c>
      <c r="C58" s="4" t="inlineStr">
        <is>
          <t>шт.</t>
        </is>
      </c>
      <c r="D58" s="6" t="n">
        <v>64</v>
      </c>
      <c r="E58" s="7" t="n"/>
      <c r="F58" s="7">
        <f>IF(OR(E58="",D58=""),"",E58*D58)</f>
        <v/>
      </c>
      <c r="G58" s="7" t="n">
        <v>4224</v>
      </c>
      <c r="H58" s="7">
        <f>IF(OR(G58="",D58=""),"",G58*D58)</f>
        <v/>
      </c>
      <c r="I58" s="7">
        <f>IF(AND(F58="",H58=""),"",N(F58)+N(H58))</f>
        <v/>
      </c>
    </row>
    <row r="59" ht="58.7" customHeight="1">
      <c r="A59" s="4" t="n">
        <v>41</v>
      </c>
      <c r="B59" s="5" t="inlineStr">
        <is>
          <t>Демонтаж существующих гидравлических узлов
Арматура, фитинги и изоляция старой обвязки
На 64 существующих блока; остаточный узел точки № 4 уточняется отдельно.</t>
        </is>
      </c>
      <c r="C59" s="4" t="inlineStr">
        <is>
          <t>компл.</t>
        </is>
      </c>
      <c r="D59" s="6" t="n">
        <v>64</v>
      </c>
      <c r="E59" s="7" t="n"/>
      <c r="F59" s="7" t="n"/>
      <c r="G59" s="7" t="n"/>
      <c r="H59" s="7" t="n"/>
      <c r="I59" s="7" t="n"/>
    </row>
    <row r="60" ht="58.7" customHeight="1">
      <c r="A60" s="4" t="n">
        <v>42</v>
      </c>
      <c r="B60" s="5" t="inlineStr">
        <is>
          <t>Демонтаж существующих подводок
Комплект подающей и обратной линии одного блока
На 64 существующих блока; фактическое исполнение по обследованию.</t>
        </is>
      </c>
      <c r="C60" s="4" t="inlineStr">
        <is>
          <t>компл.</t>
        </is>
      </c>
      <c r="D60" s="6" t="n">
        <v>64</v>
      </c>
      <c r="E60" s="7" t="n"/>
      <c r="F60" s="7" t="n"/>
      <c r="G60" s="7" t="n"/>
      <c r="H60" s="7" t="n"/>
      <c r="I60" s="7" t="n"/>
    </row>
    <row r="61" ht="45.6" customHeight="1">
      <c r="A61" s="4" t="n">
        <v>43</v>
      </c>
      <c r="B61" s="5" t="inlineStr">
        <is>
          <t>Демонтаж местного дренажного подключения
Отсоединение и удаление заменяемого участка у блока
64 существующих подключения; магистральная сеть сохраняется.</t>
        </is>
      </c>
      <c r="C61" s="4" t="inlineStr">
        <is>
          <t>точка</t>
        </is>
      </c>
      <c r="D61" s="6" t="n">
        <v>64</v>
      </c>
      <c r="E61" s="7" t="n"/>
      <c r="F61" s="7" t="n"/>
      <c r="G61" s="7" t="n"/>
      <c r="H61" s="7" t="n"/>
      <c r="I61" s="7" t="n"/>
    </row>
    <row r="62" ht="45.6" customHeight="1">
      <c r="A62" s="4" t="n">
        <v>44</v>
      </c>
      <c r="B62" s="5" t="inlineStr">
        <is>
          <t>Перемещение демонтированных блоков к погрузке
Спуск с этажей и внутриобъектовое перемещение
64 блока.</t>
        </is>
      </c>
      <c r="C62" s="4" t="inlineStr">
        <is>
          <t>шт.</t>
        </is>
      </c>
      <c r="D62" s="6" t="n">
        <v>64</v>
      </c>
      <c r="E62" s="7" t="n"/>
      <c r="F62" s="7" t="n"/>
      <c r="G62" s="7" t="n"/>
      <c r="H62" s="7" t="n"/>
      <c r="I62" s="7" t="n"/>
    </row>
    <row r="63" ht="45.6" customHeight="1">
      <c r="A63" s="4" t="n">
        <v>45</v>
      </c>
      <c r="B63" s="5" t="inlineStr">
        <is>
          <t>Погрузка и вывоз демонтированных блоков
Погрузочные работы и транспорт до места передачи
64 блока; отдельно от вывоза строительного мусора.</t>
        </is>
      </c>
      <c r="C63" s="4" t="inlineStr">
        <is>
          <t>шт.</t>
        </is>
      </c>
      <c r="D63" s="6" t="n">
        <v>64</v>
      </c>
      <c r="E63" s="7" t="n"/>
      <c r="F63" s="7" t="n"/>
      <c r="G63" s="7" t="n"/>
      <c r="H63" s="7" t="n"/>
      <c r="I63" s="7" t="n"/>
    </row>
    <row r="64" ht="45.6" customHeight="1">
      <c r="A64" s="4" t="n">
        <v>46</v>
      </c>
      <c r="B64" s="5" t="inlineStr">
        <is>
          <t>Утилизация демонтированных блоков
Передача на утилизацию с подтверждающими документами
64 блока; объем утилизации соответствует фактическому демонтажу.</t>
        </is>
      </c>
      <c r="C64" s="4" t="inlineStr">
        <is>
          <t>шт.</t>
        </is>
      </c>
      <c r="D64" s="6" t="n">
        <v>64</v>
      </c>
      <c r="E64" s="7" t="n"/>
      <c r="F64" s="7" t="n"/>
      <c r="G64" s="7" t="n"/>
      <c r="H64" s="7" t="n"/>
      <c r="I64" s="7" t="n"/>
    </row>
    <row r="65">
      <c r="A65" s="3" t="n"/>
      <c r="B65" s="13" t="inlineStr">
        <is>
          <t>Итого по разделу 5</t>
        </is>
      </c>
      <c r="C65" s="13" t="n"/>
      <c r="D65" s="14" t="n"/>
      <c r="E65" s="15" t="n"/>
      <c r="F65" s="12">
        <f>SUM(F54:F64)</f>
        <v/>
      </c>
      <c r="G65" s="12" t="n"/>
      <c r="H65" s="12">
        <f>SUM(H54:H64)</f>
        <v/>
      </c>
      <c r="I65" s="12">
        <f>SUM(I54:I64)</f>
        <v/>
      </c>
    </row>
    <row r="66">
      <c r="A66" s="3" t="n"/>
      <c r="B66" s="17" t="inlineStr">
        <is>
          <t>Раздел 6. Монтаж фанкойлов, гидравлики и дренажа</t>
        </is>
      </c>
      <c r="C66" s="13" t="n"/>
      <c r="D66" s="14" t="n"/>
      <c r="E66" s="15" t="n"/>
      <c r="F66" s="15" t="n"/>
      <c r="G66" s="15" t="n"/>
      <c r="H66" s="15" t="n"/>
      <c r="I66" s="15" t="n"/>
    </row>
    <row r="67" ht="45.6" customHeight="1">
      <c r="A67" s="4" t="n">
        <v>47</v>
      </c>
      <c r="B67" s="5" t="inlineStr">
        <is>
          <t>Монтаж нового фанкойла 
Вертикальная установка; адаптация креплений
23 блока; проверить размещение корпуса для группы L=980.</t>
        </is>
      </c>
      <c r="C67" s="4" t="inlineStr">
        <is>
          <t>шт.</t>
        </is>
      </c>
      <c r="D67" s="6" t="n">
        <v>23</v>
      </c>
      <c r="E67" s="7" t="n"/>
      <c r="F67" s="7">
        <f>IF(OR(E67="",D67=""),"",E67*D67)</f>
        <v/>
      </c>
      <c r="G67" s="7" t="n">
        <v>5760</v>
      </c>
      <c r="H67" s="7">
        <f>IF(OR(G67="",D67=""),"",G67*D67)</f>
        <v/>
      </c>
      <c r="I67" s="7">
        <f>IF(AND(F67="",H67=""),"",N(F67)+N(H67))</f>
        <v/>
      </c>
    </row>
    <row r="68" ht="45.6" customHeight="1">
      <c r="A68" s="4" t="n">
        <v>48</v>
      </c>
      <c r="B68" s="5" t="inlineStr">
        <is>
          <t>Монтаж нового фанкойла 
Вертикальная установка; адаптация креплений
32 блока.</t>
        </is>
      </c>
      <c r="C68" s="4" t="inlineStr">
        <is>
          <t>шт.</t>
        </is>
      </c>
      <c r="D68" s="6" t="n">
        <v>32</v>
      </c>
      <c r="E68" s="7" t="n"/>
      <c r="F68" s="7">
        <f>IF(OR(E68="",D68=""),"",E68*D68)</f>
        <v/>
      </c>
      <c r="G68" s="7" t="n">
        <v>7040</v>
      </c>
      <c r="H68" s="7">
        <f>IF(OR(G68="",D68=""),"",G68*D68)</f>
        <v/>
      </c>
      <c r="I68" s="7">
        <f>IF(AND(F68="",H68=""),"",N(F68)+N(H68))</f>
        <v/>
      </c>
    </row>
    <row r="69" ht="45.6" customHeight="1">
      <c r="A69" s="4" t="n">
        <v>49</v>
      </c>
      <c r="B69" s="5" t="inlineStr">
        <is>
          <t>Монтаж нового фанкойла 
Вертикальная установка; адаптация креплений
6 блоков; монтажные размеры подтвердить.</t>
        </is>
      </c>
      <c r="C69" s="4" t="inlineStr">
        <is>
          <t>шт.</t>
        </is>
      </c>
      <c r="D69" s="6" t="n">
        <v>6</v>
      </c>
      <c r="E69" s="7" t="n"/>
      <c r="F69" s="7">
        <f>IF(OR(E69="",D69=""),"",E69*D69)</f>
        <v/>
      </c>
      <c r="G69" s="7" t="n">
        <v>7040</v>
      </c>
      <c r="H69" s="7">
        <f>IF(OR(G69="",D69=""),"",G69*D69)</f>
        <v/>
      </c>
      <c r="I69" s="7">
        <f>IF(AND(F69="",H69=""),"",N(F69)+N(H69))</f>
        <v/>
      </c>
    </row>
    <row r="70" ht="75" customHeight="1">
      <c r="A70" s="4" t="n">
        <v>50</v>
      </c>
      <c r="B70" s="5" t="inlineStr">
        <is>
          <t>Монтаж новых фанкойлов в дополнительных точках
Вертикальная установка и крепление по согласованному подбору
4 блока на 1-м этаже № 1–4; предварительно DF-024UDB/M, подтвердить подбор.</t>
        </is>
      </c>
      <c r="C70" s="4" t="inlineStr">
        <is>
          <t>шт.</t>
        </is>
      </c>
      <c r="D70" s="6" t="n">
        <v>4</v>
      </c>
      <c r="E70" s="7" t="n"/>
      <c r="F70" s="7">
        <f>IF(OR(E70="",D70=""),"",E70*D70)</f>
        <v/>
      </c>
      <c r="G70" s="7" t="n">
        <v>7040</v>
      </c>
      <c r="H70" s="7">
        <f>IF(OR(G70="",D70=""),"",G70*D70)</f>
        <v/>
      </c>
      <c r="I70" s="7">
        <f>IF(AND(F70="",H70=""),"",N(F70)+N(H70))</f>
        <v/>
      </c>
    </row>
    <row r="71" ht="45.6" customHeight="1">
      <c r="A71" s="4" t="n">
        <v>51</v>
      </c>
      <c r="B71" s="5" t="inlineStr">
        <is>
          <t>Монтаж запорных кранов
Подающая и обратная линия; разъемные соединения
130 кранов. Материалы учтены в разделе 3.</t>
        </is>
      </c>
      <c r="C71" s="4" t="inlineStr">
        <is>
          <t>шт.</t>
        </is>
      </c>
      <c r="D71" s="6" t="n">
        <v>130</v>
      </c>
      <c r="E71" s="7" t="n"/>
      <c r="F71" s="7">
        <f>IF(OR(E71="",D71=""),"",E71*D71)</f>
        <v/>
      </c>
      <c r="G71" s="7" t="n">
        <v>805</v>
      </c>
      <c r="H71" s="7">
        <f>IF(OR(G71="",D71=""),"",G71*D71)</f>
        <v/>
      </c>
      <c r="I71" s="7">
        <f>IF(AND(F71="",H71=""),"",N(F71)+N(H71))</f>
        <v/>
      </c>
    </row>
    <row r="72" ht="45.6" customHeight="1">
      <c r="A72" s="4" t="n">
        <v>52</v>
      </c>
      <c r="B72" s="5" t="inlineStr">
        <is>
          <t>Монтаж сетчатых фильтров
По направлению потока с доступом к обслуживанию
65 фильтров.</t>
        </is>
      </c>
      <c r="C72" s="4" t="inlineStr">
        <is>
          <t>шт.</t>
        </is>
      </c>
      <c r="D72" s="6" t="n">
        <v>65</v>
      </c>
      <c r="E72" s="7" t="n"/>
      <c r="F72" s="7">
        <f>IF(OR(E72="",D72=""),"",E72*D72)</f>
        <v/>
      </c>
      <c r="G72" s="7" t="n">
        <v>805</v>
      </c>
      <c r="H72" s="7">
        <f>IF(OR(G72="",D72=""),"",G72*D72)</f>
        <v/>
      </c>
      <c r="I72" s="7">
        <f>IF(AND(F72="",H72=""),"",N(F72)+N(H72))</f>
        <v/>
      </c>
    </row>
    <row r="73" ht="58.7" customHeight="1">
      <c r="A73" s="4" t="n">
        <v>53</v>
      </c>
      <c r="B73" s="5" t="inlineStr">
        <is>
          <t>Монтаж и настройка балансировочного клапана
Монтаж клапана и настройка расчетного расхода теплоносителя
Один на каждый из 65 фанкойлов. Материалы в разделе 3; настройка оплачивается здесь один раз.</t>
        </is>
      </c>
      <c r="C73" s="4" t="inlineStr">
        <is>
          <t>шт.</t>
        </is>
      </c>
      <c r="D73" s="6" t="n">
        <v>65</v>
      </c>
      <c r="E73" s="7" t="n"/>
      <c r="F73" s="7">
        <f>IF(OR(E73="",D73=""),"",E73*D73)</f>
        <v/>
      </c>
      <c r="G73" s="7" t="n">
        <v>1035</v>
      </c>
      <c r="H73" s="7">
        <f>IF(OR(G73="",D73=""),"",G73*D73)</f>
        <v/>
      </c>
      <c r="I73" s="7">
        <f>IF(AND(F73="",H73=""),"",N(F73)+N(H73))</f>
        <v/>
      </c>
    </row>
    <row r="74" ht="90" customHeight="1">
      <c r="A74" s="4" t="n">
        <v>54</v>
      </c>
      <c r="B74" s="5" t="inlineStr">
        <is>
          <t>Монтаж двухходового регулирующего клапана и подключение привода
Гидравлический монтаж клапана и электрическое подключение привода к системе управления
65 комплектов. Подключение привода учтено здесь; проверка работы входит в ПНР раздела 8.</t>
        </is>
      </c>
      <c r="C74" s="4" t="inlineStr">
        <is>
          <t>компл.</t>
        </is>
      </c>
      <c r="D74" s="6" t="n">
        <v>65</v>
      </c>
      <c r="E74" s="7" t="n"/>
      <c r="F74" s="7">
        <f>IF(OR(E74="",D74=""),"",E74*D74)</f>
        <v/>
      </c>
      <c r="G74" s="7" t="n">
        <v>6900</v>
      </c>
      <c r="H74" s="7">
        <f>IF(OR(G74="",D74=""),"",G74*D74)</f>
        <v/>
      </c>
      <c r="I74" s="7">
        <f>IF(AND(F74="",H74=""),"",N(F74)+N(H74))</f>
        <v/>
      </c>
    </row>
    <row r="75" ht="45.6" customHeight="1">
      <c r="A75" s="4" t="n">
        <v>55</v>
      </c>
      <c r="B75" s="5" t="inlineStr">
        <is>
          <t>Монтаж гибких подводок
Подключение подачи и обратки без натяжения и перегибов
130 подводок; фитинги и переходы в составе монтажа.</t>
        </is>
      </c>
      <c r="C75" s="4" t="inlineStr">
        <is>
          <t>шт.</t>
        </is>
      </c>
      <c r="D75" s="6" t="n">
        <v>130</v>
      </c>
      <c r="E75" s="7" t="n"/>
      <c r="F75" s="7" t="n"/>
      <c r="G75" s="7" t="n"/>
      <c r="H75" s="7" t="n"/>
      <c r="I75" s="7" t="n"/>
    </row>
    <row r="76" ht="58.7" customHeight="1">
      <c r="A76" s="4" t="n">
        <v>56</v>
      </c>
      <c r="B76" s="5" t="inlineStr">
        <is>
          <t>Прокладка локальных жестких трубопроводов
Соединения, крепление и адаптация существующих выводов
Суммарная длина двух линий; только обмеренный объем.
Количество уточняется по обмерам и проекту.</t>
        </is>
      </c>
      <c r="C76" s="4" t="inlineStr">
        <is>
          <t>м</t>
        </is>
      </c>
      <c r="D76" s="9" t="n"/>
      <c r="E76" s="7" t="n"/>
      <c r="F76" s="7" t="n"/>
      <c r="G76" s="7" t="n"/>
      <c r="H76" s="7" t="n"/>
      <c r="I76" s="7" t="n"/>
    </row>
    <row r="77" ht="45.6" customHeight="1">
      <c r="A77" s="4" t="n">
        <v>57</v>
      </c>
      <c r="B77" s="5" t="inlineStr">
        <is>
          <t>Теплоизоляция гибких подводок
Монтаж K-Flex, герметизация швов и примыканий
130 подводок; материалы в разделе 3.</t>
        </is>
      </c>
      <c r="C77" s="4" t="inlineStr">
        <is>
          <t>шт.</t>
        </is>
      </c>
      <c r="D77" s="6" t="n">
        <v>130</v>
      </c>
      <c r="E77" s="7" t="n"/>
      <c r="F77" s="7" t="n"/>
      <c r="G77" s="7" t="n"/>
      <c r="H77" s="7" t="n"/>
      <c r="I77" s="7" t="n"/>
    </row>
    <row r="78" ht="75" customHeight="1">
      <c r="A78" s="4" t="n">
        <v>58</v>
      </c>
      <c r="B78" s="5" t="inlineStr">
        <is>
          <t>Теплоизоляция запорных кранов, фильтров, балансировочных и регулирующих клапанов
Монтаж K-Flex на гидравлическом узле
65 узлов и открытые стыки; доступ к обслуживанию и настройке. Приводы теплоизоляцией не закрывать.</t>
        </is>
      </c>
      <c r="C78" s="4" t="inlineStr">
        <is>
          <t>компл.</t>
        </is>
      </c>
      <c r="D78" s="6" t="n">
        <v>65</v>
      </c>
      <c r="E78" s="7" t="n"/>
      <c r="F78" s="7" t="n"/>
      <c r="G78" s="7" t="n"/>
      <c r="H78" s="7" t="n"/>
      <c r="I78" s="7" t="n"/>
    </row>
    <row r="79" ht="58.7" customHeight="1">
      <c r="A79" s="4" t="n">
        <v>59</v>
      </c>
      <c r="B79" s="5" t="inlineStr">
        <is>
          <t>Теплоизоляция локальных жестких трубопроводов
K-Flex с герметизацией швов
Только локально заменяемые / добавляемые участки.
Количество уточняется по обмерам и проекту.</t>
        </is>
      </c>
      <c r="C79" s="4" t="inlineStr">
        <is>
          <t>м</t>
        </is>
      </c>
      <c r="D79" s="9" t="n"/>
      <c r="E79" s="7" t="n"/>
      <c r="F79" s="7" t="n"/>
      <c r="G79" s="7" t="n"/>
      <c r="H79" s="7" t="n"/>
      <c r="I79" s="7" t="n"/>
    </row>
    <row r="80" ht="72" customHeight="1">
      <c r="A80" s="4" t="n">
        <v>60</v>
      </c>
      <c r="B80" s="5" t="inlineStr">
        <is>
          <t>Прокладка локальных дренажных трубопроводов
Крепления, соединения, уклоны по проекту
Обмеренная длина; подключение блока учитывается следующей позицией.
Количество уточняется по обмерам и проекту.</t>
        </is>
      </c>
      <c r="C80" s="4" t="inlineStr">
        <is>
          <t>м</t>
        </is>
      </c>
      <c r="D80" s="9" t="n"/>
      <c r="E80" s="7" t="n"/>
      <c r="F80" s="7" t="n"/>
      <c r="G80" s="7" t="n"/>
      <c r="H80" s="7" t="n"/>
      <c r="I80" s="7" t="n"/>
    </row>
    <row r="81" ht="45.6" customHeight="1">
      <c r="A81" s="4" t="n">
        <v>61</v>
      </c>
      <c r="B81" s="5" t="inlineStr">
        <is>
          <t>Подключение блока к существующему дренажу
Монтаж соединений и адаптация выпуска конденсата
65 точек; материалы в разделе 3.</t>
        </is>
      </c>
      <c r="C81" s="4" t="inlineStr">
        <is>
          <t>точка</t>
        </is>
      </c>
      <c r="D81" s="6" t="n">
        <v>65</v>
      </c>
      <c r="E81" s="7" t="n"/>
      <c r="F81" s="7" t="n"/>
      <c r="G81" s="7" t="n"/>
      <c r="H81" s="7" t="n"/>
      <c r="I81" s="7" t="n"/>
    </row>
    <row r="82" ht="45.6" customHeight="1">
      <c r="A82" s="4" t="n">
        <v>62</v>
      </c>
      <c r="B82" s="5" t="inlineStr">
        <is>
          <t>Заполнение системы и удаление воздуха
Поэтапное восстановление работы отключенных участков
Комплекс по объекту после монтажа; число циклов по графику.</t>
        </is>
      </c>
      <c r="C82" s="4" t="inlineStr">
        <is>
          <t>компл.</t>
        </is>
      </c>
      <c r="D82" s="6" t="n">
        <v>1</v>
      </c>
      <c r="E82" s="7" t="n"/>
      <c r="F82" s="7" t="n"/>
      <c r="G82" s="7" t="n"/>
      <c r="H82" s="7" t="n"/>
      <c r="I82" s="7" t="n"/>
    </row>
    <row r="83">
      <c r="A83" s="3" t="n"/>
      <c r="B83" s="17" t="inlineStr">
        <is>
          <t>Итого по разделу 6</t>
        </is>
      </c>
      <c r="C83" s="17" t="n"/>
      <c r="D83" s="18" t="n"/>
      <c r="E83" s="19" t="n"/>
      <c r="F83" s="20">
        <f>SUM(F67:F82)</f>
        <v/>
      </c>
      <c r="G83" s="20" t="n"/>
      <c r="H83" s="20">
        <f>SUM(H67:H82)</f>
        <v/>
      </c>
      <c r="I83" s="20">
        <f>SUM(I67:I82)</f>
        <v/>
      </c>
    </row>
    <row r="84">
      <c r="A84" s="3" t="n"/>
      <c r="B84" s="17" t="inlineStr">
        <is>
          <t>Раздел 7. Электромонтаж и подключение управления</t>
        </is>
      </c>
      <c r="C84" s="17" t="n"/>
      <c r="D84" s="18" t="n"/>
      <c r="E84" s="19" t="n"/>
      <c r="F84" s="19" t="n"/>
      <c r="G84" s="19" t="n"/>
      <c r="H84" s="19" t="n"/>
      <c r="I84" s="19" t="n"/>
    </row>
    <row r="85" ht="58.7" customHeight="1">
      <c r="A85" s="4" t="n">
        <v>63</v>
      </c>
      <c r="B85" s="5" t="inlineStr">
        <is>
          <t>Прокладка кабеля электропитания
Протяжка по согласованным трассам
Без повторной оплаты прокладки гофры и оконцевания.
Количество уточняется по обмерам и проекту.</t>
        </is>
      </c>
      <c r="C85" s="4" t="inlineStr">
        <is>
          <t>м</t>
        </is>
      </c>
      <c r="D85" s="9" t="n"/>
      <c r="E85" s="7" t="n"/>
      <c r="F85" s="7" t="n"/>
      <c r="G85" s="7" t="n"/>
      <c r="H85" s="7" t="n"/>
      <c r="I85" s="7" t="n"/>
    </row>
    <row r="86" ht="58.7" customHeight="1">
      <c r="A86" s="4" t="n">
        <v>64</v>
      </c>
      <c r="B86" s="5" t="inlineStr">
        <is>
          <t>Прокладка кабеля управления
По схемам совместимых пультов / термостатов
Без повторной оплаты прокладки гофры и оконцевания.
Количество уточняется по обмерам и проекту.</t>
        </is>
      </c>
      <c r="C86" s="4" t="inlineStr">
        <is>
          <t>м</t>
        </is>
      </c>
      <c r="D86" s="9" t="n"/>
      <c r="E86" s="7" t="n"/>
      <c r="F86" s="7" t="n"/>
      <c r="G86" s="7" t="n"/>
      <c r="H86" s="7" t="n"/>
      <c r="I86" s="7" t="n"/>
    </row>
    <row r="87" ht="58.7" customHeight="1">
      <c r="A87" s="4" t="n">
        <v>65</v>
      </c>
      <c r="B87" s="5" t="inlineStr">
        <is>
          <t>Монтаж гофры электропитания
Крепление и подготовка трассы
Материал в разделе 4.
Количество уточняется по обмерам и проекту.</t>
        </is>
      </c>
      <c r="C87" s="4" t="inlineStr">
        <is>
          <t>м</t>
        </is>
      </c>
      <c r="D87" s="9" t="n"/>
      <c r="E87" s="7" t="n"/>
      <c r="F87" s="7" t="n"/>
      <c r="G87" s="7" t="n"/>
      <c r="H87" s="7" t="n"/>
      <c r="I87" s="7" t="n"/>
    </row>
    <row r="88" ht="58.7" customHeight="1">
      <c r="A88" s="4" t="n">
        <v>66</v>
      </c>
      <c r="B88" s="5" t="inlineStr">
        <is>
          <t>Монтаж гофры управления
Крепление и подготовка трассы
Материал в разделе 4.
Количество уточняется по обмерам и проекту.</t>
        </is>
      </c>
      <c r="C88" s="4" t="inlineStr">
        <is>
          <t>м</t>
        </is>
      </c>
      <c r="D88" s="9" t="n"/>
      <c r="E88" s="7" t="n"/>
      <c r="F88" s="7" t="n"/>
      <c r="G88" s="7" t="n"/>
      <c r="H88" s="7" t="n"/>
      <c r="I88" s="7" t="n"/>
    </row>
    <row r="89" ht="58.7" customHeight="1">
      <c r="A89" s="4" t="n">
        <v>67</v>
      </c>
      <c r="B89" s="5" t="inlineStr">
        <is>
          <t>Устройство электрических проходок и гильз
Проход через стены / перекрытия; установка металлической гильзы
Число и диаметры проходок по обследованию.
Количество уточняется по обмерам и проекту.</t>
        </is>
      </c>
      <c r="C89" s="4" t="inlineStr">
        <is>
          <t>шт.</t>
        </is>
      </c>
      <c r="D89" s="6" t="n"/>
      <c r="E89" s="7" t="n"/>
      <c r="F89" s="7" t="n"/>
      <c r="G89" s="7" t="n"/>
      <c r="H89" s="7" t="n"/>
      <c r="I89" s="7" t="n"/>
    </row>
    <row r="90" ht="58.7" customHeight="1">
      <c r="A90" s="4" t="n">
        <v>68</v>
      </c>
      <c r="B90" s="5" t="inlineStr">
        <is>
          <t>Заделка электрических проходок
Включая материалы; огнестойкость по проекту
Восстановление проходок в пределах выполняемых работ.
Количество уточняется по обмерам и проекту.</t>
        </is>
      </c>
      <c r="C90" s="4" t="inlineStr">
        <is>
          <t>шт.</t>
        </is>
      </c>
      <c r="D90" s="6" t="n"/>
      <c r="E90" s="7" t="n"/>
      <c r="F90" s="7" t="n"/>
      <c r="G90" s="7" t="n"/>
      <c r="H90" s="7" t="n"/>
      <c r="I90" s="7" t="n"/>
    </row>
    <row r="91" ht="45.6" customHeight="1">
      <c r="A91" s="4" t="n">
        <v>69</v>
      </c>
      <c r="B91" s="5" t="inlineStr">
        <is>
          <t>Подключение электропитания фанкойла
Оконцевание и коммутация питающих проводников
65 точек. Соединительные материалы в разделе 4.</t>
        </is>
      </c>
      <c r="C91" s="4" t="inlineStr">
        <is>
          <t>точка</t>
        </is>
      </c>
      <c r="D91" s="6" t="n">
        <v>65</v>
      </c>
      <c r="E91" s="7" t="n"/>
      <c r="F91" s="7" t="n"/>
      <c r="G91" s="7" t="n"/>
      <c r="H91" s="7" t="n"/>
      <c r="I91" s="7" t="n"/>
    </row>
    <row r="92" ht="45.6" customHeight="1">
      <c r="A92" s="4" t="n">
        <v>70</v>
      </c>
      <c r="B92" s="5" t="inlineStr">
        <is>
          <t>Подключение защитного проводника PE
Присоединение корпуса к существующей системе защиты
65 точек; проверка цепи в составе электроизмерений.</t>
        </is>
      </c>
      <c r="C92" s="4" t="inlineStr">
        <is>
          <t>точка</t>
        </is>
      </c>
      <c r="D92" s="6" t="n">
        <v>65</v>
      </c>
      <c r="E92" s="7" t="n"/>
      <c r="F92" s="7" t="n"/>
      <c r="G92" s="7" t="n"/>
      <c r="H92" s="7" t="n"/>
      <c r="I92" s="7" t="n"/>
    </row>
    <row r="93" ht="45.6" customHeight="1">
      <c r="A93" s="4" t="n">
        <v>71</v>
      </c>
      <c r="B93" s="5" t="inlineStr">
        <is>
          <t>Монтаж пульта / термостата управления
Крепление и установка в согласованном месте
65 пультов;</t>
        </is>
      </c>
      <c r="C93" s="4" t="inlineStr">
        <is>
          <t>шт.</t>
        </is>
      </c>
      <c r="D93" s="6" t="n">
        <v>65</v>
      </c>
      <c r="E93" s="7" t="n"/>
      <c r="F93" s="7" t="n"/>
      <c r="G93" s="7" t="n"/>
      <c r="H93" s="7" t="n"/>
      <c r="I93" s="7" t="n"/>
    </row>
    <row r="94" ht="58.7" customHeight="1">
      <c r="A94" s="4" t="n">
        <v>72</v>
      </c>
      <c r="B94" s="5" t="inlineStr">
        <is>
          <t>Подключение цепей управления
Коммутация по документации изготовителя
65 точек. Подключение приводов клапанов отдельно учтено в разделе 6; настройка и проверка входят в ПНР.</t>
        </is>
      </c>
      <c r="C94" s="4" t="inlineStr">
        <is>
          <t>точка</t>
        </is>
      </c>
      <c r="D94" s="6" t="n">
        <v>65</v>
      </c>
      <c r="E94" s="7" t="n"/>
      <c r="F94" s="7" t="n"/>
      <c r="G94" s="7" t="n"/>
      <c r="H94" s="7" t="n"/>
      <c r="I94" s="7" t="n"/>
    </row>
    <row r="95" ht="58.7" customHeight="1">
      <c r="A95" s="4" t="n">
        <v>73</v>
      </c>
      <c r="B95" s="5" t="inlineStr">
        <is>
          <t>Восстановление существующего электропитания
Диагностика и устранение отсутствия питания
3-й этаж № 1; 4-й этаж № 26. Новые кабели и аппараты учитываются отдельно.</t>
        </is>
      </c>
      <c r="C95" s="4" t="inlineStr">
        <is>
          <t>точка</t>
        </is>
      </c>
      <c r="D95" s="6" t="n">
        <v>2</v>
      </c>
      <c r="E95" s="7" t="n"/>
      <c r="F95" s="7" t="n"/>
      <c r="G95" s="7" t="n"/>
      <c r="H95" s="7" t="n"/>
      <c r="I95" s="7" t="n"/>
    </row>
    <row r="96">
      <c r="A96" s="3" t="n"/>
      <c r="B96" s="17" t="inlineStr">
        <is>
          <t>Итого по разделу 7</t>
        </is>
      </c>
      <c r="C96" s="13" t="n"/>
      <c r="D96" s="14" t="n"/>
      <c r="E96" s="15" t="n"/>
      <c r="F96" s="12">
        <f>SUM(F85:F95)</f>
        <v/>
      </c>
      <c r="G96" s="12" t="n"/>
      <c r="H96" s="12">
        <f>SUM(H85:H95)</f>
        <v/>
      </c>
      <c r="I96" s="12">
        <f>SUM(I85:I95)</f>
        <v/>
      </c>
    </row>
    <row r="97">
      <c r="A97" s="3" t="n"/>
      <c r="B97" s="17" t="inlineStr">
        <is>
          <t>Раздел 8. Испытания и пусконаладочные работы</t>
        </is>
      </c>
      <c r="C97" s="13" t="n"/>
      <c r="D97" s="14" t="n"/>
      <c r="E97" s="15" t="n"/>
      <c r="F97" s="15" t="n"/>
      <c r="G97" s="15" t="n"/>
      <c r="H97" s="15" t="n"/>
      <c r="I97" s="15" t="n"/>
    </row>
    <row r="98" ht="58.7" customHeight="1">
      <c r="A98" s="4" t="n">
        <v>74</v>
      </c>
      <c r="B98" s="5" t="inlineStr">
        <is>
          <t>Испытание герметичности новых гидравлических подключений
Режим испытаний по проекту и допустимым параметрам оборудования
65 точек; оформить результаты до закрытия изоляции.</t>
        </is>
      </c>
      <c r="C98" s="4" t="inlineStr">
        <is>
          <t>точка</t>
        </is>
      </c>
      <c r="D98" s="6" t="n">
        <v>65</v>
      </c>
      <c r="E98" s="7" t="n"/>
      <c r="F98" s="7" t="n"/>
      <c r="G98" s="7" t="n"/>
      <c r="H98" s="7" t="n"/>
      <c r="I98" s="7" t="n"/>
    </row>
    <row r="99" ht="45.6" customHeight="1">
      <c r="A99" s="4" t="n">
        <v>75</v>
      </c>
      <c r="B99" s="5" t="inlineStr">
        <is>
          <t>Промывка локальных подключений и очистка фильтров
В пределах нового узла и связанных заменяемых участков
Обслуживание новых фильтров после монтажа.</t>
        </is>
      </c>
      <c r="C99" s="4" t="inlineStr">
        <is>
          <t>точка</t>
        </is>
      </c>
      <c r="D99" s="6" t="n">
        <v>65</v>
      </c>
      <c r="E99" s="7" t="n"/>
      <c r="F99" s="7" t="n"/>
      <c r="G99" s="7" t="n"/>
      <c r="H99" s="7" t="n"/>
      <c r="I99" s="7" t="n"/>
    </row>
    <row r="100" ht="45.6" customHeight="1">
      <c r="A100" s="4" t="n">
        <v>76</v>
      </c>
      <c r="B100" s="5" t="inlineStr">
        <is>
          <t>Проверка отвода конденсата проливом
Проверка поддона, соединений, уклонов и существующего выпуска
65 точек; устранение дефектов нового подключения.</t>
        </is>
      </c>
      <c r="C100" s="4" t="inlineStr">
        <is>
          <t>точка</t>
        </is>
      </c>
      <c r="D100" s="6" t="n">
        <v>65</v>
      </c>
      <c r="E100" s="7" t="n"/>
      <c r="F100" s="7" t="n"/>
      <c r="G100" s="7" t="n"/>
      <c r="H100" s="7" t="n"/>
      <c r="I100" s="7" t="n"/>
    </row>
    <row r="101" ht="58.7" customHeight="1">
      <c r="A101" s="4" t="n">
        <v>77</v>
      </c>
      <c r="B101" s="5" t="inlineStr">
        <is>
          <t>Проверка расхода теплоносителя
Измерение и проверка соответствия расчету
Контроль расхода после настройки 65 балансировочных клапанов; сама настройка учтена в разделе 6.</t>
        </is>
      </c>
      <c r="C101" s="4" t="inlineStr">
        <is>
          <t>точка</t>
        </is>
      </c>
      <c r="D101" s="6" t="n">
        <v>65</v>
      </c>
      <c r="E101" s="7" t="n"/>
      <c r="F101" s="7" t="n"/>
      <c r="G101" s="7" t="n"/>
      <c r="H101" s="7" t="n"/>
      <c r="I101" s="7" t="n"/>
    </row>
    <row r="102" ht="45.6" customHeight="1">
      <c r="A102" s="4" t="n">
        <v>78</v>
      </c>
      <c r="B102" s="5" t="inlineStr">
        <is>
          <t>Пуск и проверка вентилятора
Проверка всех предусмотренных скоростей
65 новых блоков.</t>
        </is>
      </c>
      <c r="C102" s="4" t="inlineStr">
        <is>
          <t>шт.</t>
        </is>
      </c>
      <c r="D102" s="6" t="n">
        <v>65</v>
      </c>
      <c r="E102" s="7" t="n"/>
      <c r="F102" s="7">
        <f>IF(OR(E102="",D102=""),"",E102*D102)</f>
        <v/>
      </c>
      <c r="G102" s="7" t="n">
        <v>5800</v>
      </c>
      <c r="H102" s="7">
        <f>IF(OR(G102="",D102=""),"",G102*D102)</f>
        <v/>
      </c>
      <c r="I102" s="7">
        <f>IF(AND(F102="",H102=""),"",N(F102)+N(H102))</f>
        <v/>
      </c>
    </row>
    <row r="103" ht="58.7" customHeight="1">
      <c r="A103" s="4" t="n">
        <v>79</v>
      </c>
      <c r="B103" s="5" t="inlineStr">
        <is>
          <t>Настройка и проверка управления
Включение, уставки, выбор режима и скоростей
65 точек. Проверить пульт, скорости вентилятора, открытие и закрытие двухходового клапана по команде управления.</t>
        </is>
      </c>
      <c r="C103" s="4" t="inlineStr">
        <is>
          <t>точка</t>
        </is>
      </c>
      <c r="D103" s="6" t="n">
        <v>65</v>
      </c>
      <c r="E103" s="7" t="n"/>
      <c r="F103" s="7" t="n"/>
      <c r="G103" s="7" t="n"/>
      <c r="H103" s="7" t="n"/>
      <c r="I103" s="7" t="n"/>
    </row>
    <row r="104" ht="58.7" customHeight="1">
      <c r="A104" s="4" t="n">
        <v>80</v>
      </c>
      <c r="B104" s="5" t="inlineStr">
        <is>
          <t>Проверка температур и работы теплообменника
В доступном сезонном режиме
Проверку второго режима согласовать по сезонной доступности теплоносителя.</t>
        </is>
      </c>
      <c r="C104" s="4" t="inlineStr">
        <is>
          <t>шт.</t>
        </is>
      </c>
      <c r="D104" s="6" t="n">
        <v>65</v>
      </c>
      <c r="E104" s="7" t="n"/>
      <c r="F104" s="7" t="n"/>
      <c r="G104" s="7" t="n"/>
      <c r="H104" s="7" t="n"/>
      <c r="I104" s="7" t="n"/>
    </row>
    <row r="105" ht="45.6" customHeight="1">
      <c r="A105" s="4" t="n">
        <v>81</v>
      </c>
      <c r="B105" s="5" t="inlineStr">
        <is>
          <t>Проверка шума, вибраций и креплений
Работа на предусмотренных скоростях
65 блоков; устранение дефектов монтажа.</t>
        </is>
      </c>
      <c r="C105" s="4" t="inlineStr">
        <is>
          <t>шт.</t>
        </is>
      </c>
      <c r="D105" s="6" t="n">
        <v>65</v>
      </c>
      <c r="E105" s="7" t="n"/>
      <c r="F105" s="7" t="n"/>
      <c r="G105" s="7" t="n"/>
      <c r="H105" s="7" t="n"/>
      <c r="I105" s="7" t="n"/>
    </row>
    <row r="106" ht="58.7" customHeight="1">
      <c r="A106" s="4" t="n">
        <v>82</v>
      </c>
      <c r="B106" s="5" t="inlineStr">
        <is>
          <t>Электроизмерения и технический отчет
Проверка измененных цепей и защитных мер
В пределах электрического объема замены; отчет передается заказчику.</t>
        </is>
      </c>
      <c r="C106" s="4" t="inlineStr">
        <is>
          <t>компл.</t>
        </is>
      </c>
      <c r="D106" s="6" t="n">
        <v>1</v>
      </c>
      <c r="E106" s="7" t="n"/>
      <c r="F106" s="7" t="n"/>
      <c r="G106" s="7" t="n"/>
      <c r="H106" s="7" t="n"/>
      <c r="I106" s="7" t="n"/>
    </row>
    <row r="107" ht="45.6" customHeight="1">
      <c r="A107" s="4" t="n">
        <v>83</v>
      </c>
      <c r="B107" s="5" t="inlineStr">
        <is>
          <t>Оформление индивидуальных испытаний оборудования
Результаты проверок по каждой точке
65 протоколов / записей в согласованной форме акта.</t>
        </is>
      </c>
      <c r="C107" s="4" t="inlineStr">
        <is>
          <t>шт.</t>
        </is>
      </c>
      <c r="D107" s="6" t="n">
        <v>65</v>
      </c>
      <c r="E107" s="7" t="n"/>
      <c r="F107" s="7" t="n"/>
      <c r="G107" s="7" t="n"/>
      <c r="H107" s="7" t="n"/>
      <c r="I107" s="7" t="n"/>
    </row>
    <row r="108" ht="45.6" customHeight="1">
      <c r="A108" s="4" t="n">
        <v>84</v>
      </c>
      <c r="B108" s="5" t="inlineStr">
        <is>
          <t>Инструктаж обслуживающего персонала
Управление, фильтры, сезонные режимы и гарантийное обслуживание
Передача инструкций и разъяснение эксплуатации.</t>
        </is>
      </c>
      <c r="C108" s="4" t="inlineStr">
        <is>
          <t>компл.</t>
        </is>
      </c>
      <c r="D108" s="6" t="n">
        <v>1</v>
      </c>
      <c r="E108" s="7" t="n"/>
      <c r="F108" s="7" t="n"/>
      <c r="G108" s="7" t="n"/>
      <c r="H108" s="7" t="n"/>
      <c r="I108" s="7" t="n"/>
    </row>
    <row r="109">
      <c r="A109" s="3" t="n"/>
      <c r="B109" s="17" t="inlineStr">
        <is>
          <t>Итого по разделу 8</t>
        </is>
      </c>
      <c r="C109" s="17" t="n"/>
      <c r="D109" s="18" t="n"/>
      <c r="E109" s="19" t="n"/>
      <c r="F109" s="20">
        <f>SUM(F98:F108)</f>
        <v/>
      </c>
      <c r="G109" s="20" t="n"/>
      <c r="H109" s="20">
        <f>SUM(H98:H108)</f>
        <v/>
      </c>
      <c r="I109" s="20">
        <f>SUM(I98:I108)</f>
        <v/>
      </c>
    </row>
    <row r="110">
      <c r="A110" s="3" t="n"/>
      <c r="B110" s="17" t="inlineStr">
        <is>
          <t>Раздел 9. Восстановление и уборка</t>
        </is>
      </c>
      <c r="C110" s="17" t="n"/>
      <c r="D110" s="18" t="n"/>
      <c r="E110" s="19" t="n"/>
      <c r="F110" s="19" t="n"/>
      <c r="G110" s="19" t="n"/>
      <c r="H110" s="19" t="n"/>
      <c r="I110" s="19" t="n"/>
    </row>
    <row r="111" ht="58.7" customHeight="1">
      <c r="A111" s="4" t="n">
        <v>85</v>
      </c>
      <c r="B111" s="5" t="inlineStr">
        <is>
          <t>Локальное восстановление отделки в зоне замены
Работы и материалы по адаптации креплений и выводов
65 зон. Дополнительное капитальное вскрытие — по уточняемому объему.</t>
        </is>
      </c>
      <c r="C111" s="4" t="inlineStr">
        <is>
          <t>точка</t>
        </is>
      </c>
      <c r="D111" s="6" t="n">
        <v>65</v>
      </c>
      <c r="E111" s="7" t="n"/>
      <c r="F111" s="7" t="n"/>
      <c r="G111" s="7" t="n"/>
      <c r="H111" s="7" t="n"/>
      <c r="I111" s="7" t="n"/>
    </row>
    <row r="112" ht="45.6" customHeight="1">
      <c r="A112" s="4" t="n">
        <v>86</v>
      </c>
      <c r="B112" s="5" t="inlineStr">
        <is>
          <t>Ежедневная уборка мест проведения работ
Сбор мусора и поддержание порядка по этапам
Комплекс по объекту на весь срок работ.</t>
        </is>
      </c>
      <c r="C112" s="4" t="inlineStr">
        <is>
          <t>компл.</t>
        </is>
      </c>
      <c r="D112" s="6" t="n">
        <v>1</v>
      </c>
      <c r="E112" s="7" t="n"/>
      <c r="F112" s="7" t="n"/>
      <c r="G112" s="7" t="n"/>
      <c r="H112" s="7" t="n"/>
      <c r="I112" s="7" t="n"/>
    </row>
    <row r="113" ht="45.6" customHeight="1">
      <c r="A113" s="4" t="n">
        <v>87</v>
      </c>
      <c r="B113" s="5" t="inlineStr">
        <is>
          <t>Вывоз упаковки и строительного мусора
Погрузка, транспорт и передача отходов
Не включает 64 старых блока, учтенных в разделе 5.</t>
        </is>
      </c>
      <c r="C113" s="4" t="inlineStr">
        <is>
          <t>компл.</t>
        </is>
      </c>
      <c r="D113" s="6" t="n">
        <v>1</v>
      </c>
      <c r="E113" s="7" t="n"/>
      <c r="F113" s="7" t="n"/>
      <c r="G113" s="7" t="n"/>
      <c r="H113" s="7" t="n"/>
      <c r="I113" s="7" t="n"/>
    </row>
    <row r="114" ht="45.6" customHeight="1">
      <c r="A114" s="4" t="n">
        <v>88</v>
      </c>
      <c r="B114" s="5" t="inlineStr">
        <is>
          <t>Итоговая уборка и снятие временной защиты
После завершения монтажа и испытаний
Передача помещений заказчику после завершения работ.</t>
        </is>
      </c>
      <c r="C114" s="4" t="inlineStr">
        <is>
          <t>компл.</t>
        </is>
      </c>
      <c r="D114" s="6" t="n">
        <v>1</v>
      </c>
      <c r="E114" s="7" t="n"/>
      <c r="F114" s="7" t="n"/>
      <c r="G114" s="7" t="n"/>
      <c r="H114" s="7" t="n"/>
      <c r="I114" s="7" t="n"/>
    </row>
    <row r="115">
      <c r="A115" s="3" t="n"/>
      <c r="B115" s="17" t="inlineStr">
        <is>
          <t>Итого по разделу 9</t>
        </is>
      </c>
      <c r="C115" s="17" t="n"/>
      <c r="D115" s="18" t="n"/>
      <c r="E115" s="19" t="n"/>
      <c r="F115" s="20">
        <f>SUM(F111:F114)</f>
        <v/>
      </c>
      <c r="G115" s="20" t="n"/>
      <c r="H115" s="20">
        <f>SUM(H111:H114)</f>
        <v/>
      </c>
      <c r="I115" s="20">
        <f>SUM(I111:I114)</f>
        <v/>
      </c>
    </row>
    <row r="116">
      <c r="A116" s="3" t="n"/>
      <c r="B116" s="17" t="inlineStr">
        <is>
          <t>Раздел 10. Исполнительная документация и сдача</t>
        </is>
      </c>
      <c r="C116" s="17" t="n"/>
      <c r="D116" s="18" t="n"/>
      <c r="E116" s="19" t="n"/>
      <c r="F116" s="19" t="n"/>
      <c r="G116" s="19" t="n"/>
      <c r="H116" s="19" t="n"/>
      <c r="I116" s="19" t="n"/>
    </row>
    <row r="117" ht="45.6" customHeight="1">
      <c r="A117" s="4" t="n">
        <v>89</v>
      </c>
      <c r="B117" s="5" t="inlineStr">
        <is>
          <t>Подготовка исполнительных схем и спецификаций
Планы размещения, трассы, дренаж, питание и управление
3 бумажных экземпляра и 1 электронный комплект DWG / PDF по ТЗ.</t>
        </is>
      </c>
      <c r="C117" s="4" t="inlineStr">
        <is>
          <t>компл.</t>
        </is>
      </c>
      <c r="D117" s="6" t="n">
        <v>1</v>
      </c>
      <c r="E117" s="7" t="n"/>
      <c r="F117" s="7" t="n"/>
      <c r="G117" s="7" t="n"/>
      <c r="H117" s="7" t="n"/>
      <c r="I117" s="7" t="n"/>
    </row>
    <row r="118" ht="45.6" customHeight="1">
      <c r="A118" s="4" t="n">
        <v>90</v>
      </c>
      <c r="B118" s="5" t="inlineStr">
        <is>
          <t>Оформление актов скрытых работ
По фактически выполненным скрываемым работам
Комплект актов в составе исполнительной документации.</t>
        </is>
      </c>
      <c r="C118" s="4" t="inlineStr">
        <is>
          <t>компл.</t>
        </is>
      </c>
      <c r="D118" s="6" t="n">
        <v>1</v>
      </c>
      <c r="E118" s="7" t="n"/>
      <c r="F118" s="7" t="n"/>
      <c r="G118" s="7" t="n"/>
      <c r="H118" s="7" t="n"/>
      <c r="I118" s="7" t="n"/>
    </row>
    <row r="119" ht="58.7" customHeight="1">
      <c r="A119" s="4" t="n">
        <v>91</v>
      </c>
      <c r="B119" s="5" t="inlineStr">
        <is>
          <t>Сбор паспортов и документов соответствия
Паспорта, применимые декларации / сертификаты, русские инструкции
Комплект на все поставленное оборудование и материалы.</t>
        </is>
      </c>
      <c r="C119" s="4" t="inlineStr">
        <is>
          <t>компл.</t>
        </is>
      </c>
      <c r="D119" s="6" t="n">
        <v>1</v>
      </c>
      <c r="E119" s="7" t="n"/>
      <c r="F119" s="7" t="n"/>
      <c r="G119" s="7" t="n"/>
      <c r="H119" s="7" t="n"/>
      <c r="I119" s="7" t="n"/>
    </row>
    <row r="120" ht="45.6" customHeight="1">
      <c r="A120" s="4" t="n">
        <v>92</v>
      </c>
      <c r="B120" s="5" t="inlineStr">
        <is>
          <t>Оформление гарантийных обязательств
36 месяцев на работы, оборудование и материалы по ТЗ
Оформление документов; обязательство входит в объем подрядчика.</t>
        </is>
      </c>
      <c r="C120" s="4" t="inlineStr">
        <is>
          <t>компл.</t>
        </is>
      </c>
      <c r="D120" s="6" t="n">
        <v>1</v>
      </c>
      <c r="E120" s="7" t="n"/>
      <c r="F120" s="7" t="n"/>
      <c r="G120" s="7" t="n"/>
      <c r="H120" s="7" t="n"/>
      <c r="I120" s="7" t="n"/>
    </row>
    <row r="121">
      <c r="A121" s="3" t="n"/>
      <c r="B121" s="17" t="inlineStr">
        <is>
          <t>Итого по разделу 10</t>
        </is>
      </c>
      <c r="C121" s="17" t="n"/>
      <c r="D121" s="18" t="n"/>
      <c r="E121" s="19" t="n"/>
      <c r="F121" s="12">
        <f>SUM(F117:F120)</f>
        <v/>
      </c>
      <c r="G121" s="12" t="n"/>
      <c r="H121" s="12">
        <f>SUM(H117:H120)</f>
        <v/>
      </c>
      <c r="I121" s="12">
        <f>SUM(I117:I120)</f>
        <v/>
      </c>
    </row>
    <row r="122" customFormat="1" s="16">
      <c r="A122" s="21" t="n"/>
      <c r="B122" s="22" t="inlineStr">
        <is>
          <t>Итоговая стоимость, руб. без НДС</t>
        </is>
      </c>
      <c r="C122" s="23" t="n"/>
      <c r="D122" s="24" t="n"/>
      <c r="E122" s="25" t="n"/>
      <c r="F122" s="26" t="n"/>
      <c r="G122" s="26" t="n"/>
      <c r="H122" s="26" t="n"/>
      <c r="I122" s="26">
        <f>I121+I115+I109+I96+I83+I65+I52+I43+I27+I18</f>
        <v/>
      </c>
    </row>
    <row r="123" customFormat="1" s="16">
      <c r="A123" s="21" t="n"/>
      <c r="B123" s="22" t="inlineStr">
        <is>
          <t>Непредвиденные расходы 5% (не применяетсмя на подготовительные работы)</t>
        </is>
      </c>
      <c r="C123" s="23" t="n"/>
      <c r="D123" s="24" t="n"/>
      <c r="E123" s="25" t="n"/>
      <c r="F123" s="26" t="n"/>
      <c r="G123" s="26" t="n"/>
      <c r="H123" s="26" t="n"/>
      <c r="I123" s="26">
        <f>I122*0.05</f>
        <v/>
      </c>
    </row>
    <row r="124" customFormat="1" s="16">
      <c r="A124" s="21" t="n"/>
      <c r="B124" s="22" t="inlineStr">
        <is>
          <t>Итоговая стоимость, руб. без НДС с учетом непредвиденных 5%</t>
        </is>
      </c>
      <c r="C124" s="23" t="n"/>
      <c r="D124" s="24" t="n"/>
      <c r="E124" s="25" t="n"/>
      <c r="F124" s="26" t="n"/>
      <c r="G124" s="26" t="n"/>
      <c r="H124" s="26" t="n"/>
      <c r="I124" s="26">
        <f>I122+I123</f>
        <v/>
      </c>
    </row>
    <row r="125" customFormat="1" s="16">
      <c r="A125" s="21" t="n"/>
      <c r="B125" s="22" t="inlineStr">
        <is>
          <t>НДС</t>
        </is>
      </c>
      <c r="C125" s="23" t="n"/>
      <c r="D125" s="24" t="n"/>
      <c r="E125" s="25" t="n"/>
      <c r="F125" s="26" t="n"/>
      <c r="G125" s="26" t="n"/>
      <c r="H125" s="26" t="n"/>
      <c r="I125" s="26">
        <f>I124*0.22</f>
        <v/>
      </c>
    </row>
    <row r="126" customFormat="1" s="16">
      <c r="A126" s="21" t="n"/>
      <c r="B126" s="22" t="inlineStr">
        <is>
          <t>Итоговая стоимость, руб. с НДС</t>
        </is>
      </c>
      <c r="C126" s="23" t="n"/>
      <c r="D126" s="24" t="n"/>
      <c r="E126" s="25" t="n"/>
      <c r="F126" s="26" t="n"/>
      <c r="G126" s="26" t="n"/>
      <c r="H126" s="26" t="n"/>
      <c r="I126" s="26">
        <f>I124+I125</f>
        <v/>
      </c>
    </row>
    <row r="128">
      <c r="A128" s="28" t="n"/>
      <c r="B128" s="27" t="inlineStr">
        <is>
          <t>Форма коммерческого предложения (сметы) является приложением № 3 и неотъемлемой частью ТЗ. Участник представляет заполненную форму в составе заявки.</t>
        </is>
      </c>
    </row>
    <row r="129">
      <c r="A129" s="28" t="n"/>
      <c r="B129" s="27" t="inlineStr">
        <is>
          <t>Цены указываются в рублях без НДС. Заполните E и G по каждой позиции разделов 1–10; при отсутствии затрат укажите 0. Итоги появятся после заполнения всех цен и количеств.</t>
        </is>
      </c>
    </row>
    <row r="130" ht="38.1" customHeight="1">
      <c r="A130" s="28" t="n"/>
      <c r="B130" s="27" t="inlineStr">
        <is>
          <t>Графы E–F: оборудование и материалы. Графы G–H: полная стоимость работ и услуг, включая накладные расходы и прибыль. Поставку и монтаж учитывайте один раз; для не относящейся к позиции графы укажите 0.</t>
        </is>
      </c>
    </row>
    <row r="131" ht="38.1" customHeight="1">
      <c r="A131" s="28" t="n"/>
      <c r="B131" s="27" t="inlineStr">
        <is>
          <t>В основной объем включены 65 новых фанкойлов, демонтаж и утилизация 64 существующих блоков, демонтаж старых узлов и подводок. Блок на 1-м этаже № 4 ранее снят; повторный демонтаж блока не учитывается.</t>
        </is>
      </c>
    </row>
    <row r="132" ht="51.95" customHeight="1">
      <c r="A132" s="28" t="n"/>
      <c r="B132" s="27" t="inlineStr">
        <is>
          <t>На каждый новый блок: 2 запорных крана, 1 сетчатый фильтр, 1 балансировочный клапан, 1 двухходовой регулирующий клапан с электроприводом и 2 гибкие подводки с теплоизоляцией. Всего: 130 запорных кранов, 65 фильтров, 65 балансировочных клапанов, 65 регулирующих клапанов с приводами и 130 подводок. Поставка, монтаж, подключение приводов, теплоизоляция и настройка включены в основной итог.</t>
        </is>
      </c>
    </row>
    <row r="133" ht="38.1" customHeight="1">
      <c r="A133" s="28" t="n"/>
      <c r="B133" s="27" t="inlineStr">
        <is>
          <t>Модели, мощности, монтажные размеры и управление согласуются до закупки по расчету и обследованию. Пульты и дополнительные модули не должны оплачиваться повторно при включении в заводской комплект.</t>
        </is>
      </c>
    </row>
    <row r="134" ht="38.1" customHeight="1">
      <c r="A134" s="28" t="n"/>
      <c r="B134" s="27" t="inlineStr">
        <is>
          <t>Незаполненные количества по трассам и проходкам уточняются обследованием и проектом. Подтвержденное отсутствие объема обозначается 0. Заданные количества блоков и комплектов изменяются только по согласованию с Заказчиком.</t>
        </is>
      </c>
    </row>
    <row r="135" ht="38.1" customHeight="1">
      <c r="A135" s="28" t="n"/>
      <c r="B135" s="27" t="inlineStr">
        <is>
          <t>Раздел 11 заполняется при необходимости по согласованному проекту, рассчитывается отдельно и не входит в итог разделов 1–10. До подтверждения объема и согласования стоимости дополнительные позиции в договор не включаются.</t>
        </is>
      </c>
    </row>
    <row r="136" ht="38.1" customHeight="1">
      <c r="A136" s="28" t="n"/>
      <c r="B136" s="27" t="inlineStr">
        <is>
          <t>Условия оплаты: аванс 50% в течение 10 календарных дней с даты подписания Заказа на основании счета. Оставшиеся 50% — после завершения и приемки всех работ, в течение 20 календарных дней с даты подписания КС-2, КС-3 и получения счета (по последнему из событий).</t>
        </is>
      </c>
    </row>
    <row r="137" ht="38.1" customHeight="1">
      <c r="A137" s="28" t="n"/>
      <c r="B137" s="27" t="inlineStr">
        <is>
          <t>Срок поставки оборудования: ______________. Общий срок выполнения работ: не более 90 календарных дней с даты подписания Договора / Заказа. Предложение участника: ______________.</t>
        </is>
      </c>
    </row>
    <row r="138" ht="38.1" customHeight="1">
      <c r="A138" s="28" t="n"/>
      <c r="B138" s="27" t="inlineStr">
        <is>
          <t>Гарантия на работы, оборудование и материалы — не менее 36 месяцев по ТЗ. Работы: будни 18:00–06:00, выходные и праздничные дни — круглосуточно.</t>
        </is>
      </c>
    </row>
    <row r="139" ht="38.1" customHeight="1">
      <c r="A139" s="28" t="n"/>
      <c r="B139" s="27" t="inlineStr">
        <is>
          <t>Наименование участника, ИНН и сведения о подписанте заполняются перед подачей предложения. Уполномоченный представитель __________________ / __________________</t>
        </is>
      </c>
    </row>
  </sheetData>
  <mergeCells count="25">
    <mergeCell ref="B135:I135"/>
    <mergeCell ref="B138:I138"/>
    <mergeCell ref="B7:I7"/>
    <mergeCell ref="B129:I129"/>
    <mergeCell ref="H1:I1"/>
    <mergeCell ref="B8:B9"/>
    <mergeCell ref="B134:I134"/>
    <mergeCell ref="G8:H8"/>
    <mergeCell ref="E8:F8"/>
    <mergeCell ref="B131:I131"/>
    <mergeCell ref="B130:I130"/>
    <mergeCell ref="B2:I2"/>
    <mergeCell ref="B136:I136"/>
    <mergeCell ref="D3:I3"/>
    <mergeCell ref="B132:I132"/>
    <mergeCell ref="A8:A9"/>
    <mergeCell ref="C8:C9"/>
    <mergeCell ref="I8:I9"/>
    <mergeCell ref="D5:I5"/>
    <mergeCell ref="D8:D9"/>
    <mergeCell ref="B137:I137"/>
    <mergeCell ref="B128:I128"/>
    <mergeCell ref="B139:I139"/>
    <mergeCell ref="B133:I133"/>
    <mergeCell ref="D6:I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Важнов Михаил Владимирович</dc:creator>
  <dcterms:created xmlns:dcterms="http://purl.org/dc/terms/" xmlns:xsi="http://www.w3.org/2001/XMLSchema-instance" xsi:type="dcterms:W3CDTF">2026-10-06T07:23:49Z</dcterms:created>
  <dcterms:modified xmlns:dcterms="http://purl.org/dc/terms/" xmlns:xsi="http://www.w3.org/2001/XMLSchema-instance" xsi:type="dcterms:W3CDTF">2026-10-28T16:00:32Z</dcterms:modified>
  <cp:lastModifiedBy>Удачина Наталья Вячеславовна</cp:lastModifiedBy>
</cp:coreProperties>
</file>