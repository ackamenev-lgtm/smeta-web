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Администратор\Desktop\Сметы\"/>
    </mc:Choice>
  </mc:AlternateContent>
  <bookViews>
    <workbookView xWindow="0" yWindow="0" windowWidth="21570" windowHeight="10215" activeTab="1"/>
  </bookViews>
  <sheets>
    <sheet name="Как считать" sheetId="1" r:id="rId1"/>
    <sheet name="Калькулятор" sheetId="2" r:id="rId2"/>
    <sheet name="Комплекты материалов" sheetId="3" r:id="rId3"/>
    <sheet name="Категории и наценки" sheetId="4" r:id="rId4"/>
    <sheet name="Расходники к работам" sheetId="5" r:id="rId5"/>
    <sheet name="Тип тендера" sheetId="6" r:id="rId6"/>
    <sheet name="Параметры" sheetId="7" r:id="rId7"/>
    <sheet name="Тарификатор" sheetId="8" r:id="rId8"/>
  </sheets>
  <definedNames>
    <definedName name="_FilterDatabase" localSheetId="7" hidden="1">Тарификатор!$A$4:$J$2356</definedName>
  </definedNames>
  <calcPr calcId="162913"/>
</workbook>
</file>

<file path=xl/calcChain.xml><?xml version="1.0" encoding="utf-8"?>
<calcChain xmlns="http://schemas.openxmlformats.org/spreadsheetml/2006/main">
  <c r="E9" i="6" l="1"/>
  <c r="D9" i="6"/>
  <c r="E8" i="6"/>
  <c r="D8" i="6"/>
  <c r="E7" i="6"/>
  <c r="D7" i="6"/>
  <c r="E6" i="6"/>
  <c r="D6" i="6"/>
  <c r="E5" i="6"/>
  <c r="D5" i="6"/>
  <c r="M177" i="2"/>
  <c r="K177" i="2"/>
  <c r="N177" i="2" s="1"/>
  <c r="J177" i="2"/>
  <c r="G177" i="2"/>
  <c r="M176" i="2"/>
  <c r="K176" i="2"/>
  <c r="N176" i="2" s="1"/>
  <c r="J176" i="2"/>
  <c r="G176" i="2"/>
  <c r="M175" i="2"/>
  <c r="K175" i="2"/>
  <c r="L175" i="2" s="1"/>
  <c r="J175" i="2"/>
  <c r="G175" i="2"/>
  <c r="M174" i="2"/>
  <c r="K174" i="2"/>
  <c r="J174" i="2"/>
  <c r="G174" i="2"/>
  <c r="M173" i="2"/>
  <c r="K173" i="2"/>
  <c r="J173" i="2"/>
  <c r="G173" i="2"/>
  <c r="M172" i="2"/>
  <c r="K172" i="2"/>
  <c r="N172" i="2" s="1"/>
  <c r="J172" i="2"/>
  <c r="G172" i="2"/>
  <c r="M171" i="2"/>
  <c r="K171" i="2"/>
  <c r="J171" i="2"/>
  <c r="G171" i="2"/>
  <c r="M170" i="2"/>
  <c r="K170" i="2"/>
  <c r="J170" i="2"/>
  <c r="G170" i="2"/>
  <c r="N169" i="2"/>
  <c r="Q169" i="2" s="1"/>
  <c r="M169" i="2"/>
  <c r="K169" i="2"/>
  <c r="L169" i="2" s="1"/>
  <c r="J169" i="2"/>
  <c r="G169" i="2"/>
  <c r="M168" i="2"/>
  <c r="K168" i="2"/>
  <c r="J168" i="2"/>
  <c r="G168" i="2"/>
  <c r="M167" i="2"/>
  <c r="K167" i="2"/>
  <c r="J167" i="2"/>
  <c r="G167" i="2"/>
  <c r="M166" i="2"/>
  <c r="K166" i="2"/>
  <c r="N166" i="2" s="1"/>
  <c r="J166" i="2"/>
  <c r="G166" i="2"/>
  <c r="M165" i="2"/>
  <c r="K165" i="2"/>
  <c r="J165" i="2"/>
  <c r="G165" i="2"/>
  <c r="M164" i="2"/>
  <c r="K164" i="2"/>
  <c r="J164" i="2"/>
  <c r="G164" i="2"/>
  <c r="M163" i="2"/>
  <c r="K163" i="2"/>
  <c r="N163" i="2" s="1"/>
  <c r="J163" i="2"/>
  <c r="G163" i="2"/>
  <c r="M162" i="2"/>
  <c r="K162" i="2"/>
  <c r="J162" i="2"/>
  <c r="G162" i="2"/>
  <c r="M161" i="2"/>
  <c r="K161" i="2"/>
  <c r="J161" i="2"/>
  <c r="G161" i="2"/>
  <c r="M160" i="2"/>
  <c r="K160" i="2"/>
  <c r="N160" i="2" s="1"/>
  <c r="J160" i="2"/>
  <c r="G160" i="2"/>
  <c r="M159" i="2"/>
  <c r="K159" i="2"/>
  <c r="J159" i="2"/>
  <c r="G159" i="2"/>
  <c r="M158" i="2"/>
  <c r="K158" i="2"/>
  <c r="J158" i="2"/>
  <c r="G158" i="2"/>
  <c r="N157" i="2"/>
  <c r="Q157" i="2" s="1"/>
  <c r="M157" i="2"/>
  <c r="K157" i="2"/>
  <c r="L157" i="2" s="1"/>
  <c r="J157" i="2"/>
  <c r="G157" i="2"/>
  <c r="M156" i="2"/>
  <c r="K156" i="2"/>
  <c r="J156" i="2"/>
  <c r="G156" i="2"/>
  <c r="M155" i="2"/>
  <c r="K155" i="2"/>
  <c r="J155" i="2"/>
  <c r="G155" i="2"/>
  <c r="M154" i="2"/>
  <c r="K154" i="2"/>
  <c r="N154" i="2" s="1"/>
  <c r="J154" i="2"/>
  <c r="G154" i="2"/>
  <c r="M153" i="2"/>
  <c r="K153" i="2"/>
  <c r="J153" i="2"/>
  <c r="G153" i="2"/>
  <c r="M152" i="2"/>
  <c r="K152" i="2"/>
  <c r="J152" i="2"/>
  <c r="G152" i="2"/>
  <c r="M151" i="2"/>
  <c r="K151" i="2"/>
  <c r="L151" i="2" s="1"/>
  <c r="J151" i="2"/>
  <c r="G151" i="2"/>
  <c r="M150" i="2"/>
  <c r="K150" i="2"/>
  <c r="J150" i="2"/>
  <c r="G150" i="2"/>
  <c r="M149" i="2"/>
  <c r="K149" i="2"/>
  <c r="J149" i="2"/>
  <c r="G149" i="2"/>
  <c r="M148" i="2"/>
  <c r="K148" i="2"/>
  <c r="N148" i="2" s="1"/>
  <c r="J148" i="2"/>
  <c r="G148" i="2"/>
  <c r="M147" i="2"/>
  <c r="K147" i="2"/>
  <c r="J147" i="2"/>
  <c r="G147" i="2"/>
  <c r="M146" i="2"/>
  <c r="K146" i="2"/>
  <c r="J146" i="2"/>
  <c r="G146" i="2"/>
  <c r="N145" i="2"/>
  <c r="Q145" i="2" s="1"/>
  <c r="M145" i="2"/>
  <c r="K145" i="2"/>
  <c r="L145" i="2" s="1"/>
  <c r="J145" i="2"/>
  <c r="G145" i="2"/>
  <c r="M144" i="2"/>
  <c r="K144" i="2"/>
  <c r="J144" i="2"/>
  <c r="G144" i="2"/>
  <c r="M143" i="2"/>
  <c r="K143" i="2"/>
  <c r="J143" i="2"/>
  <c r="G143" i="2"/>
  <c r="M142" i="2"/>
  <c r="K142" i="2"/>
  <c r="N142" i="2" s="1"/>
  <c r="J142" i="2"/>
  <c r="G142" i="2"/>
  <c r="N141" i="2"/>
  <c r="Q141" i="2" s="1"/>
  <c r="M141" i="2"/>
  <c r="K141" i="2"/>
  <c r="J141" i="2"/>
  <c r="G141" i="2"/>
  <c r="M140" i="2"/>
  <c r="K140" i="2"/>
  <c r="L140" i="2" s="1"/>
  <c r="J140" i="2"/>
  <c r="G140" i="2"/>
  <c r="M139" i="2"/>
  <c r="K139" i="2"/>
  <c r="L139" i="2" s="1"/>
  <c r="J139" i="2"/>
  <c r="G139" i="2"/>
  <c r="M138" i="2"/>
  <c r="K138" i="2"/>
  <c r="J138" i="2"/>
  <c r="G138" i="2"/>
  <c r="M137" i="2"/>
  <c r="K137" i="2"/>
  <c r="J137" i="2"/>
  <c r="G137" i="2"/>
  <c r="M136" i="2"/>
  <c r="K136" i="2"/>
  <c r="N136" i="2" s="1"/>
  <c r="J136" i="2"/>
  <c r="G136" i="2"/>
  <c r="M135" i="2"/>
  <c r="K135" i="2"/>
  <c r="J135" i="2"/>
  <c r="G135" i="2"/>
  <c r="M134" i="2"/>
  <c r="K134" i="2"/>
  <c r="J134" i="2"/>
  <c r="G134" i="2"/>
  <c r="M133" i="2"/>
  <c r="K133" i="2"/>
  <c r="N133" i="2" s="1"/>
  <c r="J133" i="2"/>
  <c r="G133" i="2"/>
  <c r="M132" i="2"/>
  <c r="K132" i="2"/>
  <c r="L132" i="2" s="1"/>
  <c r="J132" i="2"/>
  <c r="G132" i="2"/>
  <c r="M131" i="2"/>
  <c r="K131" i="2"/>
  <c r="J131" i="2"/>
  <c r="G131" i="2"/>
  <c r="N130" i="2"/>
  <c r="Q130" i="2" s="1"/>
  <c r="M130" i="2"/>
  <c r="K130" i="2"/>
  <c r="J130" i="2"/>
  <c r="G130" i="2"/>
  <c r="M129" i="2"/>
  <c r="K129" i="2"/>
  <c r="L129" i="2" s="1"/>
  <c r="J129" i="2"/>
  <c r="G129" i="2"/>
  <c r="M128" i="2"/>
  <c r="K128" i="2"/>
  <c r="J128" i="2"/>
  <c r="G128" i="2"/>
  <c r="M127" i="2"/>
  <c r="K127" i="2"/>
  <c r="N127" i="2" s="1"/>
  <c r="J127" i="2"/>
  <c r="G127" i="2"/>
  <c r="M126" i="2"/>
  <c r="K126" i="2"/>
  <c r="J126" i="2"/>
  <c r="G126" i="2"/>
  <c r="M125" i="2"/>
  <c r="K125" i="2"/>
  <c r="J125" i="2"/>
  <c r="G125" i="2"/>
  <c r="M124" i="2"/>
  <c r="K124" i="2"/>
  <c r="N124" i="2" s="1"/>
  <c r="J124" i="2"/>
  <c r="G124" i="2"/>
  <c r="N123" i="2"/>
  <c r="Q123" i="2" s="1"/>
  <c r="M123" i="2"/>
  <c r="K123" i="2"/>
  <c r="L123" i="2" s="1"/>
  <c r="J123" i="2"/>
  <c r="G123" i="2"/>
  <c r="M122" i="2"/>
  <c r="K122" i="2"/>
  <c r="L122" i="2" s="1"/>
  <c r="J122" i="2"/>
  <c r="G122" i="2"/>
  <c r="M121" i="2"/>
  <c r="K121" i="2"/>
  <c r="L121" i="2" s="1"/>
  <c r="J121" i="2"/>
  <c r="G121" i="2"/>
  <c r="M120" i="2"/>
  <c r="K120" i="2"/>
  <c r="J120" i="2"/>
  <c r="G120" i="2"/>
  <c r="M119" i="2"/>
  <c r="K119" i="2"/>
  <c r="J119" i="2"/>
  <c r="G119" i="2"/>
  <c r="M118" i="2"/>
  <c r="K118" i="2"/>
  <c r="N118" i="2" s="1"/>
  <c r="J118" i="2"/>
  <c r="G118" i="2"/>
  <c r="M117" i="2"/>
  <c r="K117" i="2"/>
  <c r="J117" i="2"/>
  <c r="G117" i="2"/>
  <c r="M116" i="2"/>
  <c r="K116" i="2"/>
  <c r="J116" i="2"/>
  <c r="G116" i="2"/>
  <c r="M115" i="2"/>
  <c r="K115" i="2"/>
  <c r="N115" i="2" s="1"/>
  <c r="J115" i="2"/>
  <c r="G115" i="2"/>
  <c r="M114" i="2"/>
  <c r="K114" i="2"/>
  <c r="J114" i="2"/>
  <c r="G114" i="2"/>
  <c r="M113" i="2"/>
  <c r="K113" i="2"/>
  <c r="J113" i="2"/>
  <c r="G113" i="2"/>
  <c r="O112" i="2"/>
  <c r="N112" i="2"/>
  <c r="Q112" i="2" s="1"/>
  <c r="M112" i="2"/>
  <c r="K112" i="2"/>
  <c r="J112" i="2"/>
  <c r="G112" i="2"/>
  <c r="M111" i="2"/>
  <c r="K111" i="2"/>
  <c r="L111" i="2" s="1"/>
  <c r="J111" i="2"/>
  <c r="G111" i="2"/>
  <c r="M110" i="2"/>
  <c r="K110" i="2"/>
  <c r="J110" i="2"/>
  <c r="G110" i="2"/>
  <c r="M109" i="2"/>
  <c r="K109" i="2"/>
  <c r="N109" i="2" s="1"/>
  <c r="J109" i="2"/>
  <c r="G109" i="2"/>
  <c r="M108" i="2"/>
  <c r="K108" i="2"/>
  <c r="J108" i="2"/>
  <c r="G108" i="2"/>
  <c r="M107" i="2"/>
  <c r="K107" i="2"/>
  <c r="L107" i="2" s="1"/>
  <c r="J107" i="2"/>
  <c r="G107" i="2"/>
  <c r="M106" i="2"/>
  <c r="K106" i="2"/>
  <c r="N106" i="2" s="1"/>
  <c r="J106" i="2"/>
  <c r="G106" i="2"/>
  <c r="N105" i="2"/>
  <c r="Q105" i="2" s="1"/>
  <c r="M105" i="2"/>
  <c r="K105" i="2"/>
  <c r="J105" i="2"/>
  <c r="G105" i="2"/>
  <c r="M104" i="2"/>
  <c r="K104" i="2"/>
  <c r="L104" i="2" s="1"/>
  <c r="J104" i="2"/>
  <c r="G104" i="2"/>
  <c r="M103" i="2"/>
  <c r="K103" i="2"/>
  <c r="L103" i="2" s="1"/>
  <c r="J103" i="2"/>
  <c r="G103" i="2"/>
  <c r="M102" i="2"/>
  <c r="K102" i="2"/>
  <c r="J102" i="2"/>
  <c r="G102" i="2"/>
  <c r="M101" i="2"/>
  <c r="K101" i="2"/>
  <c r="L101" i="2" s="1"/>
  <c r="J101" i="2"/>
  <c r="G101" i="2"/>
  <c r="M100" i="2"/>
  <c r="K100" i="2"/>
  <c r="N100" i="2" s="1"/>
  <c r="J100" i="2"/>
  <c r="G100" i="2"/>
  <c r="M99" i="2"/>
  <c r="K99" i="2"/>
  <c r="J99" i="2"/>
  <c r="G99" i="2"/>
  <c r="M98" i="2"/>
  <c r="K98" i="2"/>
  <c r="L98" i="2" s="1"/>
  <c r="J98" i="2"/>
  <c r="G98" i="2"/>
  <c r="M97" i="2"/>
  <c r="K97" i="2"/>
  <c r="L97" i="2" s="1"/>
  <c r="J97" i="2"/>
  <c r="G97" i="2"/>
  <c r="M96" i="2"/>
  <c r="K96" i="2"/>
  <c r="L96" i="2" s="1"/>
  <c r="J96" i="2"/>
  <c r="G96" i="2"/>
  <c r="M95" i="2"/>
  <c r="K95" i="2"/>
  <c r="J95" i="2"/>
  <c r="G95" i="2"/>
  <c r="M94" i="2"/>
  <c r="K94" i="2"/>
  <c r="N94" i="2" s="1"/>
  <c r="J94" i="2"/>
  <c r="G94" i="2"/>
  <c r="M93" i="2"/>
  <c r="K93" i="2"/>
  <c r="L93" i="2" s="1"/>
  <c r="J93" i="2"/>
  <c r="G93" i="2"/>
  <c r="M92" i="2"/>
  <c r="K92" i="2"/>
  <c r="L92" i="2" s="1"/>
  <c r="J92" i="2"/>
  <c r="G92" i="2"/>
  <c r="M91" i="2"/>
  <c r="K91" i="2"/>
  <c r="N91" i="2" s="1"/>
  <c r="J91" i="2"/>
  <c r="G91" i="2"/>
  <c r="M90" i="2"/>
  <c r="K90" i="2"/>
  <c r="J90" i="2"/>
  <c r="G90" i="2"/>
  <c r="M89" i="2"/>
  <c r="K89" i="2"/>
  <c r="L89" i="2" s="1"/>
  <c r="J89" i="2"/>
  <c r="G89" i="2"/>
  <c r="M88" i="2"/>
  <c r="K88" i="2"/>
  <c r="L88" i="2" s="1"/>
  <c r="J88" i="2"/>
  <c r="G88" i="2"/>
  <c r="N87" i="2"/>
  <c r="Q87" i="2" s="1"/>
  <c r="M87" i="2"/>
  <c r="K87" i="2"/>
  <c r="J87" i="2"/>
  <c r="G87" i="2"/>
  <c r="M86" i="2"/>
  <c r="K86" i="2"/>
  <c r="J86" i="2"/>
  <c r="G86" i="2"/>
  <c r="N85" i="2"/>
  <c r="Q85" i="2" s="1"/>
  <c r="M85" i="2"/>
  <c r="K85" i="2"/>
  <c r="L85" i="2" s="1"/>
  <c r="J85" i="2"/>
  <c r="G85" i="2"/>
  <c r="M84" i="2"/>
  <c r="K84" i="2"/>
  <c r="L84" i="2" s="1"/>
  <c r="J84" i="2"/>
  <c r="G84" i="2"/>
  <c r="M83" i="2"/>
  <c r="K83" i="2"/>
  <c r="J83" i="2"/>
  <c r="G83" i="2"/>
  <c r="M82" i="2"/>
  <c r="K82" i="2"/>
  <c r="N82" i="2" s="1"/>
  <c r="J82" i="2"/>
  <c r="G82" i="2"/>
  <c r="M81" i="2"/>
  <c r="K81" i="2"/>
  <c r="J81" i="2"/>
  <c r="G81" i="2"/>
  <c r="M80" i="2"/>
  <c r="K80" i="2"/>
  <c r="J80" i="2"/>
  <c r="G80" i="2"/>
  <c r="N79" i="2"/>
  <c r="Q79" i="2" s="1"/>
  <c r="M79" i="2"/>
  <c r="K79" i="2"/>
  <c r="J79" i="2"/>
  <c r="G79" i="2"/>
  <c r="N78" i="2"/>
  <c r="Q78" i="2" s="1"/>
  <c r="M78" i="2"/>
  <c r="K78" i="2"/>
  <c r="J78" i="2"/>
  <c r="G78" i="2"/>
  <c r="M77" i="2"/>
  <c r="K77" i="2"/>
  <c r="L77" i="2" s="1"/>
  <c r="J77" i="2"/>
  <c r="G77" i="2"/>
  <c r="M76" i="2"/>
  <c r="K76" i="2"/>
  <c r="L76" i="2" s="1"/>
  <c r="J76" i="2"/>
  <c r="G76" i="2"/>
  <c r="M75" i="2"/>
  <c r="K75" i="2"/>
  <c r="J75" i="2"/>
  <c r="G75" i="2"/>
  <c r="M74" i="2"/>
  <c r="K74" i="2"/>
  <c r="L74" i="2" s="1"/>
  <c r="J74" i="2"/>
  <c r="G74" i="2"/>
  <c r="M73" i="2"/>
  <c r="K73" i="2"/>
  <c r="N73" i="2" s="1"/>
  <c r="J73" i="2"/>
  <c r="G73" i="2"/>
  <c r="M72" i="2"/>
  <c r="K72" i="2"/>
  <c r="J72" i="2"/>
  <c r="G72" i="2"/>
  <c r="M71" i="2"/>
  <c r="K71" i="2"/>
  <c r="L71" i="2" s="1"/>
  <c r="J71" i="2"/>
  <c r="G71" i="2"/>
  <c r="M70" i="2"/>
  <c r="K70" i="2"/>
  <c r="L70" i="2" s="1"/>
  <c r="J70" i="2"/>
  <c r="G70" i="2"/>
  <c r="M69" i="2"/>
  <c r="K69" i="2"/>
  <c r="L69" i="2" s="1"/>
  <c r="J69" i="2"/>
  <c r="G69" i="2"/>
  <c r="M68" i="2"/>
  <c r="K68" i="2"/>
  <c r="J68" i="2"/>
  <c r="G68" i="2"/>
  <c r="M67" i="2"/>
  <c r="K67" i="2"/>
  <c r="N67" i="2" s="1"/>
  <c r="J67" i="2"/>
  <c r="G67" i="2"/>
  <c r="M66" i="2"/>
  <c r="J66" i="2"/>
  <c r="G66" i="2"/>
  <c r="M65" i="2"/>
  <c r="J65" i="2"/>
  <c r="G65" i="2"/>
  <c r="M64" i="2"/>
  <c r="J64" i="2"/>
  <c r="G64" i="2"/>
  <c r="M63" i="2"/>
  <c r="J63" i="2"/>
  <c r="G63" i="2"/>
  <c r="M62" i="2"/>
  <c r="J62" i="2"/>
  <c r="G62" i="2"/>
  <c r="M61" i="2"/>
  <c r="J61" i="2"/>
  <c r="G61" i="2"/>
  <c r="M60" i="2"/>
  <c r="J60" i="2"/>
  <c r="G60" i="2"/>
  <c r="M59" i="2"/>
  <c r="J59" i="2"/>
  <c r="G59" i="2"/>
  <c r="M58" i="2"/>
  <c r="J58" i="2"/>
  <c r="G58" i="2"/>
  <c r="O52" i="2"/>
  <c r="N52" i="2"/>
  <c r="J52" i="2"/>
  <c r="K52" i="2" s="1"/>
  <c r="M52" i="2" s="1"/>
  <c r="H52" i="2"/>
  <c r="G52" i="2"/>
  <c r="I52" i="2" s="1"/>
  <c r="P52" i="2" s="1"/>
  <c r="F52" i="2"/>
  <c r="L52" i="2" s="1"/>
  <c r="D52" i="2"/>
  <c r="C52" i="2"/>
  <c r="Q51" i="2"/>
  <c r="R51" i="2" s="1"/>
  <c r="O51" i="2"/>
  <c r="N51" i="2"/>
  <c r="J51" i="2"/>
  <c r="K51" i="2" s="1"/>
  <c r="M51" i="2" s="1"/>
  <c r="H51" i="2"/>
  <c r="G51" i="2"/>
  <c r="I51" i="2" s="1"/>
  <c r="P51" i="2" s="1"/>
  <c r="F51" i="2"/>
  <c r="L51" i="2" s="1"/>
  <c r="D51" i="2"/>
  <c r="C51" i="2"/>
  <c r="O50" i="2"/>
  <c r="N50" i="2"/>
  <c r="J50" i="2"/>
  <c r="K50" i="2" s="1"/>
  <c r="Q50" i="2" s="1"/>
  <c r="R50" i="2" s="1"/>
  <c r="H50" i="2"/>
  <c r="G50" i="2"/>
  <c r="I50" i="2" s="1"/>
  <c r="P50" i="2" s="1"/>
  <c r="F50" i="2"/>
  <c r="L50" i="2" s="1"/>
  <c r="D50" i="2"/>
  <c r="C50" i="2"/>
  <c r="O49" i="2"/>
  <c r="N49" i="2"/>
  <c r="M49" i="2"/>
  <c r="K49" i="2"/>
  <c r="Q49" i="2" s="1"/>
  <c r="R49" i="2" s="1"/>
  <c r="J49" i="2"/>
  <c r="I49" i="2"/>
  <c r="P49" i="2" s="1"/>
  <c r="H49" i="2"/>
  <c r="G49" i="2"/>
  <c r="F49" i="2"/>
  <c r="L49" i="2" s="1"/>
  <c r="D49" i="2"/>
  <c r="C49" i="2"/>
  <c r="P48" i="2"/>
  <c r="O48" i="2"/>
  <c r="N48" i="2"/>
  <c r="L48" i="2"/>
  <c r="K48" i="2"/>
  <c r="M48" i="2" s="1"/>
  <c r="J48" i="2"/>
  <c r="I48" i="2"/>
  <c r="H48" i="2"/>
  <c r="G48" i="2"/>
  <c r="F48" i="2"/>
  <c r="D48" i="2"/>
  <c r="C48" i="2"/>
  <c r="Q47" i="2"/>
  <c r="R47" i="2" s="1"/>
  <c r="O47" i="2"/>
  <c r="N47" i="2"/>
  <c r="J47" i="2"/>
  <c r="K47" i="2" s="1"/>
  <c r="M47" i="2" s="1"/>
  <c r="H47" i="2"/>
  <c r="G47" i="2"/>
  <c r="I47" i="2" s="1"/>
  <c r="P47" i="2" s="1"/>
  <c r="F47" i="2"/>
  <c r="L47" i="2" s="1"/>
  <c r="D47" i="2"/>
  <c r="C47" i="2"/>
  <c r="O46" i="2"/>
  <c r="N46" i="2"/>
  <c r="J46" i="2"/>
  <c r="K46" i="2" s="1"/>
  <c r="H46" i="2"/>
  <c r="G46" i="2"/>
  <c r="I46" i="2" s="1"/>
  <c r="P46" i="2" s="1"/>
  <c r="F46" i="2"/>
  <c r="L46" i="2" s="1"/>
  <c r="D46" i="2"/>
  <c r="C46" i="2"/>
  <c r="O45" i="2"/>
  <c r="N45" i="2"/>
  <c r="J45" i="2"/>
  <c r="K45" i="2" s="1"/>
  <c r="H45" i="2"/>
  <c r="G45" i="2"/>
  <c r="I45" i="2" s="1"/>
  <c r="P45" i="2" s="1"/>
  <c r="F45" i="2"/>
  <c r="L45" i="2" s="1"/>
  <c r="D45" i="2"/>
  <c r="C45" i="2"/>
  <c r="O44" i="2"/>
  <c r="N44" i="2"/>
  <c r="L44" i="2"/>
  <c r="J44" i="2"/>
  <c r="K44" i="2" s="1"/>
  <c r="H44" i="2"/>
  <c r="G44" i="2"/>
  <c r="I44" i="2" s="1"/>
  <c r="P44" i="2" s="1"/>
  <c r="F44" i="2"/>
  <c r="D44" i="2"/>
  <c r="C44" i="2"/>
  <c r="O43" i="2"/>
  <c r="N43" i="2"/>
  <c r="K43" i="2"/>
  <c r="Q43" i="2" s="1"/>
  <c r="R43" i="2" s="1"/>
  <c r="J43" i="2"/>
  <c r="H43" i="2"/>
  <c r="G43" i="2"/>
  <c r="I43" i="2" s="1"/>
  <c r="P43" i="2" s="1"/>
  <c r="F43" i="2"/>
  <c r="L43" i="2" s="1"/>
  <c r="D43" i="2"/>
  <c r="C43" i="2"/>
  <c r="O42" i="2"/>
  <c r="N42" i="2"/>
  <c r="J42" i="2"/>
  <c r="K42" i="2" s="1"/>
  <c r="I42" i="2"/>
  <c r="P42" i="2" s="1"/>
  <c r="H42" i="2"/>
  <c r="G42" i="2"/>
  <c r="F42" i="2"/>
  <c r="L42" i="2" s="1"/>
  <c r="D42" i="2"/>
  <c r="C42" i="2"/>
  <c r="O41" i="2"/>
  <c r="N41" i="2"/>
  <c r="J41" i="2"/>
  <c r="K41" i="2" s="1"/>
  <c r="H41" i="2"/>
  <c r="G41" i="2"/>
  <c r="I41" i="2" s="1"/>
  <c r="P41" i="2" s="1"/>
  <c r="F41" i="2"/>
  <c r="L41" i="2" s="1"/>
  <c r="D41" i="2"/>
  <c r="C41" i="2"/>
  <c r="O40" i="2"/>
  <c r="N40" i="2"/>
  <c r="J40" i="2"/>
  <c r="K40" i="2" s="1"/>
  <c r="H40" i="2"/>
  <c r="G40" i="2"/>
  <c r="I40" i="2" s="1"/>
  <c r="P40" i="2" s="1"/>
  <c r="F40" i="2"/>
  <c r="L40" i="2" s="1"/>
  <c r="D40" i="2"/>
  <c r="C40" i="2"/>
  <c r="O39" i="2"/>
  <c r="N39" i="2"/>
  <c r="J39" i="2"/>
  <c r="K39" i="2" s="1"/>
  <c r="Q39" i="2" s="1"/>
  <c r="R39" i="2" s="1"/>
  <c r="H39" i="2"/>
  <c r="G39" i="2"/>
  <c r="I39" i="2" s="1"/>
  <c r="P39" i="2" s="1"/>
  <c r="F39" i="2"/>
  <c r="L39" i="2" s="1"/>
  <c r="D39" i="2"/>
  <c r="C39" i="2"/>
  <c r="O38" i="2"/>
  <c r="N38" i="2"/>
  <c r="J38" i="2"/>
  <c r="K38" i="2" s="1"/>
  <c r="I38" i="2"/>
  <c r="P38" i="2" s="1"/>
  <c r="H38" i="2"/>
  <c r="G38" i="2"/>
  <c r="F38" i="2"/>
  <c r="L38" i="2" s="1"/>
  <c r="D38" i="2"/>
  <c r="C38" i="2"/>
  <c r="O37" i="2"/>
  <c r="N37" i="2"/>
  <c r="L37" i="2"/>
  <c r="J37" i="2"/>
  <c r="K37" i="2" s="1"/>
  <c r="H37" i="2"/>
  <c r="G37" i="2"/>
  <c r="I37" i="2" s="1"/>
  <c r="P37" i="2" s="1"/>
  <c r="F37" i="2"/>
  <c r="D37" i="2"/>
  <c r="C37" i="2"/>
  <c r="O36" i="2"/>
  <c r="N36" i="2"/>
  <c r="J36" i="2"/>
  <c r="K36" i="2" s="1"/>
  <c r="H36" i="2"/>
  <c r="G36" i="2"/>
  <c r="I36" i="2" s="1"/>
  <c r="P36" i="2" s="1"/>
  <c r="F36" i="2"/>
  <c r="L36" i="2" s="1"/>
  <c r="D36" i="2"/>
  <c r="C36" i="2"/>
  <c r="O35" i="2"/>
  <c r="N35" i="2"/>
  <c r="J35" i="2"/>
  <c r="K35" i="2" s="1"/>
  <c r="Q35" i="2" s="1"/>
  <c r="R35" i="2" s="1"/>
  <c r="H35" i="2"/>
  <c r="G35" i="2"/>
  <c r="I35" i="2" s="1"/>
  <c r="P35" i="2" s="1"/>
  <c r="F35" i="2"/>
  <c r="L35" i="2" s="1"/>
  <c r="D35" i="2"/>
  <c r="C35" i="2"/>
  <c r="O34" i="2"/>
  <c r="N34" i="2"/>
  <c r="J34" i="2"/>
  <c r="K34" i="2" s="1"/>
  <c r="I34" i="2"/>
  <c r="P34" i="2" s="1"/>
  <c r="H34" i="2"/>
  <c r="G34" i="2"/>
  <c r="F34" i="2"/>
  <c r="L34" i="2" s="1"/>
  <c r="D34" i="2"/>
  <c r="C34" i="2"/>
  <c r="O33" i="2"/>
  <c r="N33" i="2"/>
  <c r="L33" i="2"/>
  <c r="J33" i="2"/>
  <c r="K33" i="2" s="1"/>
  <c r="H33" i="2"/>
  <c r="G33" i="2"/>
  <c r="I33" i="2" s="1"/>
  <c r="P33" i="2" s="1"/>
  <c r="F33" i="2"/>
  <c r="D33" i="2"/>
  <c r="C33" i="2"/>
  <c r="O32" i="2"/>
  <c r="N32" i="2"/>
  <c r="L32" i="2"/>
  <c r="J32" i="2"/>
  <c r="K32" i="2" s="1"/>
  <c r="I32" i="2"/>
  <c r="P32" i="2" s="1"/>
  <c r="H32" i="2"/>
  <c r="G32" i="2"/>
  <c r="F32" i="2"/>
  <c r="D32" i="2"/>
  <c r="C32" i="2"/>
  <c r="O31" i="2"/>
  <c r="N31" i="2"/>
  <c r="K31" i="2"/>
  <c r="M31" i="2" s="1"/>
  <c r="J31" i="2"/>
  <c r="H31" i="2"/>
  <c r="G31" i="2"/>
  <c r="I31" i="2" s="1"/>
  <c r="P31" i="2" s="1"/>
  <c r="F31" i="2"/>
  <c r="L31" i="2" s="1"/>
  <c r="D31" i="2"/>
  <c r="C31" i="2"/>
  <c r="O30" i="2"/>
  <c r="N30" i="2"/>
  <c r="J30" i="2"/>
  <c r="K30" i="2" s="1"/>
  <c r="H30" i="2"/>
  <c r="G30" i="2"/>
  <c r="I30" i="2" s="1"/>
  <c r="P30" i="2" s="1"/>
  <c r="F30" i="2"/>
  <c r="L30" i="2" s="1"/>
  <c r="D30" i="2"/>
  <c r="C30" i="2"/>
  <c r="O29" i="2"/>
  <c r="N29" i="2"/>
  <c r="L29" i="2"/>
  <c r="J29" i="2"/>
  <c r="K29" i="2" s="1"/>
  <c r="H29" i="2"/>
  <c r="G29" i="2"/>
  <c r="I29" i="2" s="1"/>
  <c r="P29" i="2" s="1"/>
  <c r="F29" i="2"/>
  <c r="D29" i="2"/>
  <c r="C29" i="2"/>
  <c r="O28" i="2"/>
  <c r="N28" i="2"/>
  <c r="L28" i="2"/>
  <c r="J28" i="2"/>
  <c r="K28" i="2" s="1"/>
  <c r="I28" i="2"/>
  <c r="P28" i="2" s="1"/>
  <c r="H28" i="2"/>
  <c r="G28" i="2"/>
  <c r="F28" i="2"/>
  <c r="D28" i="2"/>
  <c r="C28" i="2"/>
  <c r="O27" i="2"/>
  <c r="N27" i="2"/>
  <c r="J27" i="2"/>
  <c r="K27" i="2" s="1"/>
  <c r="M27" i="2" s="1"/>
  <c r="H27" i="2"/>
  <c r="G27" i="2"/>
  <c r="I27" i="2" s="1"/>
  <c r="P27" i="2" s="1"/>
  <c r="F27" i="2"/>
  <c r="L27" i="2" s="1"/>
  <c r="D27" i="2"/>
  <c r="C27" i="2"/>
  <c r="O26" i="2"/>
  <c r="N26" i="2"/>
  <c r="J26" i="2"/>
  <c r="K26" i="2" s="1"/>
  <c r="H26" i="2"/>
  <c r="G26" i="2"/>
  <c r="I26" i="2" s="1"/>
  <c r="P26" i="2" s="1"/>
  <c r="F26" i="2"/>
  <c r="L26" i="2" s="1"/>
  <c r="D26" i="2"/>
  <c r="C26" i="2"/>
  <c r="O25" i="2"/>
  <c r="N25" i="2"/>
  <c r="J25" i="2"/>
  <c r="K25" i="2" s="1"/>
  <c r="H25" i="2"/>
  <c r="G25" i="2"/>
  <c r="I25" i="2" s="1"/>
  <c r="P25" i="2" s="1"/>
  <c r="F25" i="2"/>
  <c r="L25" i="2" s="1"/>
  <c r="D25" i="2"/>
  <c r="C25" i="2"/>
  <c r="P24" i="2"/>
  <c r="O24" i="2"/>
  <c r="N24" i="2"/>
  <c r="L24" i="2"/>
  <c r="J24" i="2"/>
  <c r="K24" i="2" s="1"/>
  <c r="I24" i="2"/>
  <c r="H24" i="2"/>
  <c r="G24" i="2"/>
  <c r="F24" i="2"/>
  <c r="D24" i="2"/>
  <c r="C24" i="2"/>
  <c r="O23" i="2"/>
  <c r="N23" i="2"/>
  <c r="K23" i="2"/>
  <c r="M23" i="2" s="1"/>
  <c r="J23" i="2"/>
  <c r="H23" i="2"/>
  <c r="G23" i="2"/>
  <c r="I23" i="2" s="1"/>
  <c r="P23" i="2" s="1"/>
  <c r="F23" i="2"/>
  <c r="L23" i="2" s="1"/>
  <c r="D23" i="2"/>
  <c r="C23" i="2"/>
  <c r="O22" i="2"/>
  <c r="N22" i="2"/>
  <c r="J22" i="2"/>
  <c r="K22" i="2" s="1"/>
  <c r="H22" i="2"/>
  <c r="G22" i="2"/>
  <c r="I22" i="2" s="1"/>
  <c r="P22" i="2" s="1"/>
  <c r="F22" i="2"/>
  <c r="L22" i="2" s="1"/>
  <c r="D22" i="2"/>
  <c r="C22" i="2"/>
  <c r="O21" i="2"/>
  <c r="N21" i="2"/>
  <c r="J21" i="2"/>
  <c r="K21" i="2" s="1"/>
  <c r="H21" i="2"/>
  <c r="G21" i="2"/>
  <c r="I21" i="2" s="1"/>
  <c r="P21" i="2" s="1"/>
  <c r="F21" i="2"/>
  <c r="L21" i="2" s="1"/>
  <c r="D21" i="2"/>
  <c r="C21" i="2"/>
  <c r="O20" i="2"/>
  <c r="N20" i="2"/>
  <c r="L20" i="2"/>
  <c r="J20" i="2"/>
  <c r="K20" i="2" s="1"/>
  <c r="H20" i="2"/>
  <c r="G20" i="2"/>
  <c r="I20" i="2" s="1"/>
  <c r="P20" i="2" s="1"/>
  <c r="F20" i="2"/>
  <c r="D20" i="2"/>
  <c r="C20" i="2"/>
  <c r="O19" i="2"/>
  <c r="N19" i="2"/>
  <c r="K19" i="2"/>
  <c r="M19" i="2" s="1"/>
  <c r="J19" i="2"/>
  <c r="H19" i="2"/>
  <c r="G19" i="2"/>
  <c r="I19" i="2" s="1"/>
  <c r="P19" i="2" s="1"/>
  <c r="F19" i="2"/>
  <c r="L19" i="2" s="1"/>
  <c r="D19" i="2"/>
  <c r="C19" i="2"/>
  <c r="O18" i="2"/>
  <c r="N18" i="2"/>
  <c r="J18" i="2"/>
  <c r="K18" i="2" s="1"/>
  <c r="I18" i="2"/>
  <c r="P18" i="2" s="1"/>
  <c r="H18" i="2"/>
  <c r="G18" i="2"/>
  <c r="F18" i="2"/>
  <c r="L18" i="2" s="1"/>
  <c r="D18" i="2"/>
  <c r="C18" i="2"/>
  <c r="O17" i="2"/>
  <c r="N17" i="2"/>
  <c r="J17" i="2"/>
  <c r="K17" i="2" s="1"/>
  <c r="H17" i="2"/>
  <c r="G17" i="2"/>
  <c r="I17" i="2" s="1"/>
  <c r="P17" i="2" s="1"/>
  <c r="F17" i="2"/>
  <c r="L17" i="2" s="1"/>
  <c r="D17" i="2"/>
  <c r="C17" i="2"/>
  <c r="O16" i="2"/>
  <c r="N16" i="2"/>
  <c r="J16" i="2"/>
  <c r="K16" i="2" s="1"/>
  <c r="H16" i="2"/>
  <c r="G16" i="2"/>
  <c r="I16" i="2" s="1"/>
  <c r="P16" i="2" s="1"/>
  <c r="F16" i="2"/>
  <c r="L16" i="2" s="1"/>
  <c r="D16" i="2"/>
  <c r="C16" i="2"/>
  <c r="O15" i="2"/>
  <c r="N15" i="2"/>
  <c r="J15" i="2"/>
  <c r="K15" i="2" s="1"/>
  <c r="Q15" i="2" s="1"/>
  <c r="R15" i="2" s="1"/>
  <c r="H15" i="2"/>
  <c r="G15" i="2"/>
  <c r="I15" i="2" s="1"/>
  <c r="P15" i="2" s="1"/>
  <c r="F15" i="2"/>
  <c r="L15" i="2" s="1"/>
  <c r="D15" i="2"/>
  <c r="C15" i="2"/>
  <c r="J14" i="2"/>
  <c r="K14" i="2" s="1"/>
  <c r="F14" i="2"/>
  <c r="L14" i="2" s="1"/>
  <c r="D14" i="2"/>
  <c r="C14" i="2"/>
  <c r="F13" i="2"/>
  <c r="L13" i="2" s="1"/>
  <c r="D13" i="2"/>
  <c r="C13" i="2"/>
  <c r="M8" i="2"/>
  <c r="G14" i="2" s="1"/>
  <c r="I14" i="2" s="1"/>
  <c r="M7" i="2"/>
  <c r="M6" i="2"/>
  <c r="M5" i="2"/>
  <c r="M4" i="2"/>
  <c r="M3" i="2"/>
  <c r="Q67" i="2" l="1"/>
  <c r="O67" i="2"/>
  <c r="Q163" i="2"/>
  <c r="O163" i="2"/>
  <c r="Q94" i="2"/>
  <c r="O94" i="2"/>
  <c r="K64" i="2"/>
  <c r="O85" i="2"/>
  <c r="O145" i="2"/>
  <c r="L102" i="2"/>
  <c r="N88" i="2"/>
  <c r="Q88" i="2" s="1"/>
  <c r="L113" i="2"/>
  <c r="L130" i="2"/>
  <c r="N132" i="2"/>
  <c r="Q132" i="2" s="1"/>
  <c r="N151" i="2"/>
  <c r="N175" i="2"/>
  <c r="K60" i="2"/>
  <c r="L78" i="2"/>
  <c r="L86" i="2"/>
  <c r="L105" i="2"/>
  <c r="L116" i="2"/>
  <c r="L141" i="2"/>
  <c r="N69" i="2"/>
  <c r="Q69" i="2" s="1"/>
  <c r="L80" i="2"/>
  <c r="L94" i="2"/>
  <c r="N96" i="2"/>
  <c r="Q96" i="2" s="1"/>
  <c r="L138" i="2"/>
  <c r="O169" i="2"/>
  <c r="O130" i="2"/>
  <c r="K59" i="2"/>
  <c r="L59" i="2" s="1"/>
  <c r="L67" i="2"/>
  <c r="L75" i="2"/>
  <c r="L83" i="2"/>
  <c r="N121" i="2"/>
  <c r="K61" i="2"/>
  <c r="L61" i="2" s="1"/>
  <c r="N70" i="2"/>
  <c r="Q70" i="2" s="1"/>
  <c r="N97" i="2"/>
  <c r="Q97" i="2" s="1"/>
  <c r="L114" i="2"/>
  <c r="L125" i="2"/>
  <c r="O157" i="2"/>
  <c r="L163" i="2"/>
  <c r="O176" i="2"/>
  <c r="L68" i="2"/>
  <c r="N76" i="2"/>
  <c r="L87" i="2"/>
  <c r="L95" i="2"/>
  <c r="N103" i="2"/>
  <c r="L120" i="2"/>
  <c r="N139" i="2"/>
  <c r="K65" i="2"/>
  <c r="N65" i="2" s="1"/>
  <c r="K63" i="2"/>
  <c r="G13" i="2"/>
  <c r="I13" i="2" s="1"/>
  <c r="I53" i="2" s="1"/>
  <c r="D188" i="2" s="1"/>
  <c r="L79" i="2"/>
  <c r="L112" i="2"/>
  <c r="N114" i="2"/>
  <c r="Q114" i="2" s="1"/>
  <c r="L131" i="2"/>
  <c r="K58" i="2"/>
  <c r="N58" i="2" s="1"/>
  <c r="K62" i="2"/>
  <c r="L62" i="2" s="1"/>
  <c r="L134" i="2"/>
  <c r="L65" i="2"/>
  <c r="Q37" i="2"/>
  <c r="R37" i="2" s="1"/>
  <c r="M37" i="2"/>
  <c r="L63" i="2"/>
  <c r="N14" i="2" s="1"/>
  <c r="N63" i="2"/>
  <c r="N64" i="2"/>
  <c r="L64" i="2"/>
  <c r="Q28" i="2"/>
  <c r="R28" i="2" s="1"/>
  <c r="M28" i="2"/>
  <c r="Q33" i="2"/>
  <c r="R33" i="2" s="1"/>
  <c r="M33" i="2"/>
  <c r="Q38" i="2"/>
  <c r="R38" i="2" s="1"/>
  <c r="M38" i="2"/>
  <c r="Q17" i="2"/>
  <c r="R17" i="2" s="1"/>
  <c r="M17" i="2"/>
  <c r="Q22" i="2"/>
  <c r="R22" i="2" s="1"/>
  <c r="M22" i="2"/>
  <c r="M36" i="2"/>
  <c r="Q36" i="2"/>
  <c r="R36" i="2" s="1"/>
  <c r="Q41" i="2"/>
  <c r="R41" i="2" s="1"/>
  <c r="M41" i="2"/>
  <c r="Q46" i="2"/>
  <c r="R46" i="2" s="1"/>
  <c r="M46" i="2"/>
  <c r="Q124" i="2"/>
  <c r="O124" i="2"/>
  <c r="Q127" i="2"/>
  <c r="O127" i="2"/>
  <c r="Q154" i="2"/>
  <c r="O154" i="2"/>
  <c r="L60" i="2"/>
  <c r="N60" i="2"/>
  <c r="Q118" i="2"/>
  <c r="O118" i="2"/>
  <c r="Q148" i="2"/>
  <c r="O148" i="2"/>
  <c r="Q18" i="2"/>
  <c r="R18" i="2" s="1"/>
  <c r="M18" i="2"/>
  <c r="Q16" i="2"/>
  <c r="R16" i="2" s="1"/>
  <c r="M16" i="2"/>
  <c r="M40" i="2"/>
  <c r="Q40" i="2"/>
  <c r="R40" i="2" s="1"/>
  <c r="Q45" i="2"/>
  <c r="R45" i="2" s="1"/>
  <c r="M45" i="2"/>
  <c r="Q73" i="2"/>
  <c r="O73" i="2"/>
  <c r="Q100" i="2"/>
  <c r="O100" i="2"/>
  <c r="Q133" i="2"/>
  <c r="O133" i="2"/>
  <c r="Q136" i="2"/>
  <c r="O136" i="2"/>
  <c r="Q160" i="2"/>
  <c r="O160" i="2"/>
  <c r="Q21" i="2"/>
  <c r="R21" i="2" s="1"/>
  <c r="M21" i="2"/>
  <c r="Q25" i="2"/>
  <c r="R25" i="2" s="1"/>
  <c r="M25" i="2"/>
  <c r="Q30" i="2"/>
  <c r="R30" i="2" s="1"/>
  <c r="M30" i="2"/>
  <c r="Q44" i="2"/>
  <c r="R44" i="2" s="1"/>
  <c r="M44" i="2"/>
  <c r="N61" i="2"/>
  <c r="Q26" i="2"/>
  <c r="R26" i="2" s="1"/>
  <c r="M26" i="2"/>
  <c r="M20" i="2"/>
  <c r="Q20" i="2"/>
  <c r="R20" i="2" s="1"/>
  <c r="Q172" i="2"/>
  <c r="O172" i="2"/>
  <c r="Q32" i="2"/>
  <c r="R32" i="2" s="1"/>
  <c r="M32" i="2"/>
  <c r="Q42" i="2"/>
  <c r="R42" i="2" s="1"/>
  <c r="M42" i="2"/>
  <c r="Q91" i="2"/>
  <c r="O91" i="2"/>
  <c r="Q106" i="2"/>
  <c r="O106" i="2"/>
  <c r="Q109" i="2"/>
  <c r="O109" i="2"/>
  <c r="Q142" i="2"/>
  <c r="O142" i="2"/>
  <c r="Q166" i="2"/>
  <c r="O166" i="2"/>
  <c r="Q115" i="2"/>
  <c r="O115" i="2"/>
  <c r="M14" i="2"/>
  <c r="M24" i="2"/>
  <c r="Q24" i="2"/>
  <c r="R24" i="2" s="1"/>
  <c r="Q29" i="2"/>
  <c r="R29" i="2" s="1"/>
  <c r="M29" i="2"/>
  <c r="Q34" i="2"/>
  <c r="R34" i="2" s="1"/>
  <c r="M34" i="2"/>
  <c r="L58" i="2"/>
  <c r="Q82" i="2"/>
  <c r="O82" i="2"/>
  <c r="M15" i="2"/>
  <c r="M35" i="2"/>
  <c r="M39" i="2"/>
  <c r="M43" i="2"/>
  <c r="H13" i="2"/>
  <c r="J13" i="2"/>
  <c r="K13" i="2" s="1"/>
  <c r="Q52" i="2"/>
  <c r="R52" i="2" s="1"/>
  <c r="H14" i="2"/>
  <c r="Q19" i="2"/>
  <c r="R19" i="2" s="1"/>
  <c r="Q23" i="2"/>
  <c r="R23" i="2" s="1"/>
  <c r="Q27" i="2"/>
  <c r="R27" i="2" s="1"/>
  <c r="Q31" i="2"/>
  <c r="R31" i="2" s="1"/>
  <c r="O69" i="2"/>
  <c r="N71" i="2"/>
  <c r="L73" i="2"/>
  <c r="O78" i="2"/>
  <c r="N80" i="2"/>
  <c r="L82" i="2"/>
  <c r="O87" i="2"/>
  <c r="N89" i="2"/>
  <c r="L91" i="2"/>
  <c r="O96" i="2"/>
  <c r="N98" i="2"/>
  <c r="L100" i="2"/>
  <c r="O105" i="2"/>
  <c r="N107" i="2"/>
  <c r="L109" i="2"/>
  <c r="O114" i="2"/>
  <c r="N116" i="2"/>
  <c r="L118" i="2"/>
  <c r="O123" i="2"/>
  <c r="N125" i="2"/>
  <c r="L127" i="2"/>
  <c r="O132" i="2"/>
  <c r="N134" i="2"/>
  <c r="L136" i="2"/>
  <c r="O141" i="2"/>
  <c r="Q48" i="2"/>
  <c r="R48" i="2" s="1"/>
  <c r="K66" i="2"/>
  <c r="M50" i="2"/>
  <c r="N75" i="2"/>
  <c r="N84" i="2"/>
  <c r="N93" i="2"/>
  <c r="N102" i="2"/>
  <c r="N111" i="2"/>
  <c r="N120" i="2"/>
  <c r="N129" i="2"/>
  <c r="N138" i="2"/>
  <c r="N68" i="2"/>
  <c r="N77" i="2"/>
  <c r="N86" i="2"/>
  <c r="N95" i="2"/>
  <c r="N104" i="2"/>
  <c r="L106" i="2"/>
  <c r="N113" i="2"/>
  <c r="L115" i="2"/>
  <c r="N122" i="2"/>
  <c r="L124" i="2"/>
  <c r="N131" i="2"/>
  <c r="L133" i="2"/>
  <c r="N140" i="2"/>
  <c r="L142" i="2"/>
  <c r="N144" i="2"/>
  <c r="L144" i="2"/>
  <c r="N146" i="2"/>
  <c r="L146" i="2"/>
  <c r="L148" i="2"/>
  <c r="N150" i="2"/>
  <c r="L150" i="2"/>
  <c r="N152" i="2"/>
  <c r="L152" i="2"/>
  <c r="L154" i="2"/>
  <c r="N156" i="2"/>
  <c r="L156" i="2"/>
  <c r="N158" i="2"/>
  <c r="L158" i="2"/>
  <c r="L160" i="2"/>
  <c r="N162" i="2"/>
  <c r="L162" i="2"/>
  <c r="N164" i="2"/>
  <c r="L164" i="2"/>
  <c r="L166" i="2"/>
  <c r="N168" i="2"/>
  <c r="L168" i="2"/>
  <c r="N170" i="2"/>
  <c r="L170" i="2"/>
  <c r="L172" i="2"/>
  <c r="N174" i="2"/>
  <c r="L174" i="2"/>
  <c r="L72" i="2"/>
  <c r="L81" i="2"/>
  <c r="L90" i="2"/>
  <c r="L99" i="2"/>
  <c r="L108" i="2"/>
  <c r="L117" i="2"/>
  <c r="L126" i="2"/>
  <c r="L135" i="2"/>
  <c r="L110" i="2"/>
  <c r="L119" i="2"/>
  <c r="L128" i="2"/>
  <c r="L137" i="2"/>
  <c r="Q176" i="2"/>
  <c r="O70" i="2"/>
  <c r="N72" i="2"/>
  <c r="O79" i="2"/>
  <c r="N81" i="2"/>
  <c r="O88" i="2"/>
  <c r="N90" i="2"/>
  <c r="O97" i="2"/>
  <c r="N99" i="2"/>
  <c r="N108" i="2"/>
  <c r="N117" i="2"/>
  <c r="N126" i="2"/>
  <c r="N135" i="2"/>
  <c r="N74" i="2"/>
  <c r="N83" i="2"/>
  <c r="N92" i="2"/>
  <c r="N101" i="2"/>
  <c r="N110" i="2"/>
  <c r="N119" i="2"/>
  <c r="N128" i="2"/>
  <c r="N137" i="2"/>
  <c r="Q177" i="2"/>
  <c r="O177" i="2"/>
  <c r="N143" i="2"/>
  <c r="L143" i="2"/>
  <c r="N147" i="2"/>
  <c r="L147" i="2"/>
  <c r="N149" i="2"/>
  <c r="L149" i="2"/>
  <c r="N153" i="2"/>
  <c r="L153" i="2"/>
  <c r="N155" i="2"/>
  <c r="L155" i="2"/>
  <c r="N159" i="2"/>
  <c r="L159" i="2"/>
  <c r="N161" i="2"/>
  <c r="L161" i="2"/>
  <c r="N165" i="2"/>
  <c r="L165" i="2"/>
  <c r="N167" i="2"/>
  <c r="L167" i="2"/>
  <c r="N171" i="2"/>
  <c r="L171" i="2"/>
  <c r="N173" i="2"/>
  <c r="L173" i="2"/>
  <c r="L177" i="2"/>
  <c r="L176" i="2"/>
  <c r="Q121" i="2" l="1"/>
  <c r="O121" i="2"/>
  <c r="Q103" i="2"/>
  <c r="O103" i="2"/>
  <c r="N59" i="2"/>
  <c r="O59" i="2" s="1"/>
  <c r="Q76" i="2"/>
  <c r="O76" i="2"/>
  <c r="Q14" i="2"/>
  <c r="N62" i="2"/>
  <c r="Q62" i="2" s="1"/>
  <c r="Q151" i="2"/>
  <c r="O151" i="2"/>
  <c r="Q175" i="2"/>
  <c r="O175" i="2"/>
  <c r="Q139" i="2"/>
  <c r="O139" i="2"/>
  <c r="Q158" i="2"/>
  <c r="O158" i="2"/>
  <c r="Q99" i="2"/>
  <c r="O99" i="2"/>
  <c r="O71" i="2"/>
  <c r="Q71" i="2"/>
  <c r="Q173" i="2"/>
  <c r="O173" i="2"/>
  <c r="Q155" i="2"/>
  <c r="O155" i="2"/>
  <c r="Q128" i="2"/>
  <c r="O128" i="2"/>
  <c r="Q170" i="2"/>
  <c r="O170" i="2"/>
  <c r="Q156" i="2"/>
  <c r="O156" i="2"/>
  <c r="Q140" i="2"/>
  <c r="O140" i="2"/>
  <c r="Q68" i="2"/>
  <c r="O68" i="2"/>
  <c r="Q59" i="2"/>
  <c r="Q131" i="2"/>
  <c r="O131" i="2"/>
  <c r="Q129" i="2"/>
  <c r="O129" i="2"/>
  <c r="O134" i="2"/>
  <c r="Q134" i="2"/>
  <c r="O98" i="2"/>
  <c r="Q98" i="2"/>
  <c r="Q60" i="2"/>
  <c r="O60" i="2"/>
  <c r="Q86" i="2"/>
  <c r="O86" i="2"/>
  <c r="Q153" i="2"/>
  <c r="O153" i="2"/>
  <c r="Q101" i="2"/>
  <c r="O101" i="2"/>
  <c r="Q81" i="2"/>
  <c r="O81" i="2"/>
  <c r="Q152" i="2"/>
  <c r="O152" i="2"/>
  <c r="Q120" i="2"/>
  <c r="O120" i="2"/>
  <c r="O62" i="2"/>
  <c r="Q64" i="2"/>
  <c r="O64" i="2"/>
  <c r="Q144" i="2"/>
  <c r="O144" i="2"/>
  <c r="Q137" i="2"/>
  <c r="O137" i="2"/>
  <c r="Q119" i="2"/>
  <c r="O119" i="2"/>
  <c r="Q171" i="2"/>
  <c r="O171" i="2"/>
  <c r="Q110" i="2"/>
  <c r="O110" i="2"/>
  <c r="Q168" i="2"/>
  <c r="O168" i="2"/>
  <c r="Q167" i="2"/>
  <c r="O167" i="2"/>
  <c r="Q149" i="2"/>
  <c r="O149" i="2"/>
  <c r="Q92" i="2"/>
  <c r="O92" i="2"/>
  <c r="Q122" i="2"/>
  <c r="O122" i="2"/>
  <c r="Q111" i="2"/>
  <c r="O111" i="2"/>
  <c r="Q63" i="2"/>
  <c r="O63" i="2"/>
  <c r="Q61" i="2"/>
  <c r="O61" i="2"/>
  <c r="Q108" i="2"/>
  <c r="O108" i="2"/>
  <c r="O107" i="2"/>
  <c r="Q107" i="2"/>
  <c r="Q83" i="2"/>
  <c r="O83" i="2"/>
  <c r="Q72" i="2"/>
  <c r="O72" i="2"/>
  <c r="Q164" i="2"/>
  <c r="O164" i="2"/>
  <c r="Q150" i="2"/>
  <c r="O150" i="2"/>
  <c r="Q102" i="2"/>
  <c r="O102" i="2"/>
  <c r="O125" i="2"/>
  <c r="Q125" i="2"/>
  <c r="O89" i="2"/>
  <c r="Q89" i="2"/>
  <c r="Q58" i="2"/>
  <c r="O58" i="2"/>
  <c r="Q165" i="2"/>
  <c r="O165" i="2"/>
  <c r="Q147" i="2"/>
  <c r="O147" i="2"/>
  <c r="Q74" i="2"/>
  <c r="O74" i="2"/>
  <c r="Q113" i="2"/>
  <c r="O113" i="2"/>
  <c r="Q93" i="2"/>
  <c r="O93" i="2"/>
  <c r="N13" i="2"/>
  <c r="N53" i="2" s="1"/>
  <c r="K53" i="2"/>
  <c r="D183" i="2" s="1"/>
  <c r="M13" i="2"/>
  <c r="M53" i="2" s="1"/>
  <c r="D184" i="2" s="1"/>
  <c r="Q159" i="2"/>
  <c r="O159" i="2"/>
  <c r="Q77" i="2"/>
  <c r="O77" i="2"/>
  <c r="Q90" i="2"/>
  <c r="O90" i="2"/>
  <c r="Q65" i="2"/>
  <c r="O65" i="2"/>
  <c r="L66" i="2"/>
  <c r="L178" i="2" s="1"/>
  <c r="N66" i="2"/>
  <c r="Q138" i="2"/>
  <c r="O138" i="2"/>
  <c r="Q135" i="2"/>
  <c r="O135" i="2"/>
  <c r="Q162" i="2"/>
  <c r="O162" i="2"/>
  <c r="Q84" i="2"/>
  <c r="O84" i="2"/>
  <c r="Q161" i="2"/>
  <c r="O161" i="2"/>
  <c r="Q143" i="2"/>
  <c r="O143" i="2"/>
  <c r="Q126" i="2"/>
  <c r="O126" i="2"/>
  <c r="Q146" i="2"/>
  <c r="O146" i="2"/>
  <c r="Q104" i="2"/>
  <c r="O104" i="2"/>
  <c r="Q75" i="2"/>
  <c r="O75" i="2"/>
  <c r="Q116" i="2"/>
  <c r="O116" i="2"/>
  <c r="O80" i="2"/>
  <c r="Q80" i="2"/>
  <c r="Q117" i="2"/>
  <c r="O117" i="2"/>
  <c r="Q174" i="2"/>
  <c r="O174" i="2"/>
  <c r="Q95" i="2"/>
  <c r="O95" i="2"/>
  <c r="O14" i="2" l="1"/>
  <c r="P14" i="2" s="1"/>
  <c r="D182" i="2"/>
  <c r="D186" i="2" s="1"/>
  <c r="Q178" i="2"/>
  <c r="O13" i="2"/>
  <c r="Q66" i="2"/>
  <c r="O66" i="2"/>
  <c r="O178" i="2" s="1"/>
  <c r="Q13" i="2"/>
  <c r="R14" i="2"/>
  <c r="D187" i="2" l="1"/>
  <c r="D190" i="2" s="1"/>
  <c r="M178" i="2"/>
  <c r="Q53" i="2"/>
  <c r="R13" i="2"/>
  <c r="O53" i="2"/>
  <c r="P13" i="2"/>
  <c r="D193" i="2"/>
  <c r="D195" i="2" s="1"/>
  <c r="D191" i="2" l="1"/>
  <c r="D192" i="2" s="1"/>
  <c r="D194" i="2"/>
</calcChain>
</file>

<file path=xl/sharedStrings.xml><?xml version="1.0" encoding="utf-8"?>
<sst xmlns="http://schemas.openxmlformats.org/spreadsheetml/2006/main" count="10107" uniqueCount="5143">
  <si>
    <t>МАТЕРИАЛЫ: КАК СЧИТАТЬ СЕБЕСТОИМОСТЬ И ЦЕНУ В КП</t>
  </si>
  <si>
    <t>Версия 23.10.2026. Внутренний документ НЕОСТРОЙ. Работы — по файлу «Расценки НЕОСТРОЙ — для сотрудников», материалы и расходники — по этому файлу.</t>
  </si>
  <si>
    <t>1. МАТЕРИАЛЫ РАСЦЕНКИ — ВЕСЬ КОМПЛЕКТ</t>
  </si>
  <si>
    <t>• Цена работы в тарификаторе — только работа. Материалы расценки считаются комплектом: всё, что по технологии уходит в работу. Пример — укладка керамогранита: керамогранит, клей, затирка, грунт, СВП/крестики, демпферная лента.</t>
  </si>
  <si>
    <t>• Расход на единицу работы — по технологическим картам и нормам производителей (лист «Комплекты материалов» — типовые комплекты; пополняется). Отходы добавляются по категории.</t>
  </si>
  <si>
    <t>2. СЕБЕСТОИМОСТЬ МАТЕРИАЛА</t>
  </si>
  <si>
    <t>С/с за единицу = закупка б/НДС × (1 + отходы) × (1 + доставка) × (1 + резерв роста цен + стоимость денег).</t>
  </si>
  <si>
    <t>• Закупка. Позиции дороже 5 % суммы материалов — минимум 2–3 КП поставщиков (берём лучшую). Остальное — прайсы дистрибьюторов для юрлиц с нашей скидкой. Оборудование — только по КП поставщика. Источник цены записывается в калькулятор — без него с/с не принимается.</t>
  </si>
  <si>
    <t>• Отходы и запас — по категории (лист «Категории и наценки»): заказчик платит за объём по проекту, а покупаем мы больше на величину отходов.</t>
  </si>
  <si>
    <t>• Доставка, разгрузка, подъём — % к закупке по региону (лист «Параметры»: СПб/Москва 3 %, области 5 %, регионы — по расчёту).</t>
  </si>
  <si>
    <t>• Резерв роста цен — если закупка позже чем через 2 месяца после КП и цену у поставщика не зафиксировали: 1,25 % за каждый месяц сверх двух.</t>
  </si>
  <si>
    <t>• Стоимость денег — если материалы покупаем не из аванса: 2 % за каждый месяц от закупки до оплаты заказчиком.</t>
  </si>
  <si>
    <t>3. РАСХОДНИКИ — ЗА НАШ СЧЁТ</t>
  </si>
  <si>
    <t>• Расходник — только то, что изнашивается или выбрасывается: диски, свёрла, коронки, биты, валики, кисти, плёнка, мешки, малярный скотч. В цену бригады и в ставку часа НЕ входят — покупаем и выдаём мы.</t>
  </si>
  <si>
    <t>• В бюджет — % к оплате бригаде по специальности (лист «Расходники к работам», 1–4 %). В КП отдельной строкой не показываем — это часть себестоимости работ.</t>
  </si>
  <si>
    <t>• СИЗ, инструмент, оснастка — не расходники, они в накладных расходах компании.</t>
  </si>
  <si>
    <t>4. НАЦЕНКА НА МАТЕРИАЛЫ В КП</t>
  </si>
  <si>
    <t>• Главное правило: наценку кладём на РАБОТЫ (цена из тарификатора), материалы держим близко к закупке. Заказчик сверяет материалы с прайсами — завышение видно сразу и вызывает торг.</t>
  </si>
  <si>
    <t>• Раздельная форма (материалы и работы в разных колонках): +8–15 % на стандартные материалы, +10 % на оборудование, до +20 % на специальные материалы без открытых прайсов.</t>
  </si>
  <si>
    <t>• Форма «под ключ» (одна цена за единицу: работа по тарификатору + материалы): +15–30 % по категории. НО если работа в тарификаторе подтянута выше рынка — на её материалы ставим наценку раздельной формы, чтобы не завышать итог дважды (калькулятор делает это сам).</t>
  </si>
  <si>
    <t>• Ограничение: цена материала в КП НЕ выше розничной цены для юрлица на сайте дистрибьютора (Петрович, Лемана ПРО, ЭТМ и т. п.). Для топ-10 позиций по сумме — проверять обязательно (колонки «Розница» и «Проверка»).</t>
  </si>
  <si>
    <t>• Легко проверяемые услуги (вывоз мусора, аренда техники) — +10–25 % и без распределения косвенных расходов, иначе цена за м³/маш.-ч вылезает выше рынка.</t>
  </si>
  <si>
    <t>5. ИТОГОВАЯ НАЦЕНКА НА ПРОЕКТ</t>
  </si>
  <si>
    <t>• Полная себестоимость = материалы + оплата бригадам + расходники + косвенные проекта. Итоговая наценка сверяется с диапазоном по типу тендера (лист «Тип тендера»): крупные сети и девелоперы +30–40 %, переторжка/вход к заказчику +15–25 %, fit-out и частный бизнес +45–60 %, ТО +30–40 %.</t>
  </si>
  <si>
    <t>• Ниже +15 % — только с согласования генерального директора.</t>
  </si>
  <si>
    <t>6. ПОРЯДОК РАБОТЫ С КАЛЬКУЛЯТОРОМ</t>
  </si>
  <si>
    <t>1) Шапка: регион (определяет цены СПб/Мск), форма КП, тип тендера, сроки закупки, аванс.</t>
  </si>
  <si>
    <t>2) Таблица 1 «Работы»: артикул из тарификатора и объём — название, цена в КП, оплата бригаде, расходники подставятся сами.</t>
  </si>
  <si>
    <t>3) Таблица 2 «Материалы»: скопировать комплект с листа «Комплекты материалов», указать артикул работы (из списка), закупку и поставщика. Количество = расход × объём работы. Материалы без работы (оборудование) — артикул пустой, в «расход» пишем количество.</t>
  </si>
  <si>
    <t>4) В таблице 1 появится цена под ключ за единицу и маржа по каждой работе; внизу — итог, наценка, маржа и проверка по типу тендера.</t>
  </si>
  <si>
    <t>КАЛЬКУЛЯТОР: РАБОТЫ ИЗ ТАРИФИКАТОРА + КОМПЛЕКТЫ МАТЕРИАЛОВ → СЕБЕСТОИМОСТЬ И КП</t>
  </si>
  <si>
    <t>Объект / тендер</t>
  </si>
  <si>
    <t>Доставка, %</t>
  </si>
  <si>
    <t>Регион</t>
  </si>
  <si>
    <t>СПб</t>
  </si>
  <si>
    <t>Резерв роста цен, %</t>
  </si>
  <si>
    <t>Форма КП</t>
  </si>
  <si>
    <t>Раздельная</t>
  </si>
  <si>
    <t>Стоимость денег, %</t>
  </si>
  <si>
    <t>Тип тендера</t>
  </si>
  <si>
    <t>Крупные сети и девелоперы — конкурентный тендер</t>
  </si>
  <si>
    <t>Целевая наценка от</t>
  </si>
  <si>
    <t>Месяцев от КП до закупки</t>
  </si>
  <si>
    <t>Целевая наценка до</t>
  </si>
  <si>
    <t>Материалы покупаем из аванса?</t>
  </si>
  <si>
    <t>да</t>
  </si>
  <si>
    <t>Цены тарификатора (по региону)</t>
  </si>
  <si>
    <t>Мес. от закупки до оплаты (если не из аванса)</t>
  </si>
  <si>
    <t>1. РАБОТЫ (введите артикул тарификатора и объём — остальное подставится)</t>
  </si>
  <si>
    <t>№</t>
  </si>
  <si>
    <t>Артикул</t>
  </si>
  <si>
    <t>Работа (из тарификатора)</t>
  </si>
  <si>
    <t>Ед.</t>
  </si>
  <si>
    <t>Объём</t>
  </si>
  <si>
    <t>Код</t>
  </si>
  <si>
    <t>Цена работы в КП за ед.</t>
  </si>
  <si>
    <t>Подтянута выше рынка</t>
  </si>
  <si>
    <t>Работа в КП, сумма
= цена × объём</t>
  </si>
  <si>
    <t>Оплата бригаде за ед.</t>
  </si>
  <si>
    <t>Оплата бригаде, сумма</t>
  </si>
  <si>
    <t>Расходники, %
(по коду)</t>
  </si>
  <si>
    <t>Расходники, руб
= оплата × %</t>
  </si>
  <si>
    <t>Материалы по работе — с/с
(из таблицы 2)</t>
  </si>
  <si>
    <t>Материалы по работе — КП
(из таблицы 2)</t>
  </si>
  <si>
    <t>ЦЕНА ПОД КЛЮЧ за ед.
= (работа + материалы) ÷ объём</t>
  </si>
  <si>
    <t>С/с строки
= бригада + расходники + материалы</t>
  </si>
  <si>
    <t>Маржа строки</t>
  </si>
  <si>
    <t>7.2.25</t>
  </si>
  <si>
    <t>10.2.N3</t>
  </si>
  <si>
    <t>ИТОГО работы</t>
  </si>
  <si>
    <t>Строки 1–2 — пример, замените своими. Работы, которых нет в тарификаторе, — запрос сметчику.</t>
  </si>
  <si>
    <t>2. МАТЕРИАЛЫ — комплект к каждой работе (артикул работы + расход на её единицу) или отдельно (артикул пустой, расход = количество)</t>
  </si>
  <si>
    <t>Артикул работы
(пусто — отдельно)</t>
  </si>
  <si>
    <t>Материал</t>
  </si>
  <si>
    <t>Категория (список)</t>
  </si>
  <si>
    <t>Расход на ед. работы
(или кол-во, если без работы)</t>
  </si>
  <si>
    <t>Кол-во по КП
= расход × объём работы</t>
  </si>
  <si>
    <t>Закупка за ед. б/НДС</t>
  </si>
  <si>
    <t>Поставщик / источник цены</t>
  </si>
  <si>
    <t>Отходы, %</t>
  </si>
  <si>
    <t>С/с за ед.
= закупка × (1+отходы) × (1+доставка) × (1+резерв+деньги)</t>
  </si>
  <si>
    <t>С/с итого</t>
  </si>
  <si>
    <t>Наценка, %
(категория, форма КП; для подтянутых работ — как раздельная)</t>
  </si>
  <si>
    <t>Цена в КП за ед.
= с/с × (1 + наценка)</t>
  </si>
  <si>
    <t>Сумма в КП</t>
  </si>
  <si>
    <t>Розница для юрлица на сайте, за ед. (ввод)</t>
  </si>
  <si>
    <t>Проверка</t>
  </si>
  <si>
    <t>Керамогранит 600×600 технический</t>
  </si>
  <si>
    <t>Плитка, керамогранит</t>
  </si>
  <si>
    <t>м2</t>
  </si>
  <si>
    <t>Керама Марацци, КП №…</t>
  </si>
  <si>
    <t>Клей плиточный C2</t>
  </si>
  <si>
    <t>Сухие смеси, штукатурки, шпаклёвки</t>
  </si>
  <si>
    <t>кг</t>
  </si>
  <si>
    <t>Петрович</t>
  </si>
  <si>
    <t>Затирка цементная</t>
  </si>
  <si>
    <t>Грунт глубокого проникновения</t>
  </si>
  <si>
    <t>Краски, грунты, ЛКМ</t>
  </si>
  <si>
    <t>л</t>
  </si>
  <si>
    <t>СВП клипсы 1,5 мм</t>
  </si>
  <si>
    <t>Прочее</t>
  </si>
  <si>
    <t>шт</t>
  </si>
  <si>
    <t>Лемана ПРО</t>
  </si>
  <si>
    <t>Кабель ВВГнг(А)-LS 3×2,5</t>
  </si>
  <si>
    <t>Кабель и провод</t>
  </si>
  <si>
    <t>м</t>
  </si>
  <si>
    <t>ЭТМ, счёт №…</t>
  </si>
  <si>
    <t>Клипса для кабеля</t>
  </si>
  <si>
    <t>Электроустановочные изделия, щиты, автоматы</t>
  </si>
  <si>
    <t>ЭТМ</t>
  </si>
  <si>
    <t>Дюбель-гвоздь 6×40</t>
  </si>
  <si>
    <t>Приточная установка 3 000 м³/ч</t>
  </si>
  <si>
    <t>ОБОРУДОВАНИЕ (вентустановки, кондиционеры, насосы, щиты под заказ)</t>
  </si>
  <si>
    <t>КП поставщика</t>
  </si>
  <si>
    <t>ИТОГО материалы</t>
  </si>
  <si>
    <t>Комплекты расхода — лист «Комплекты материалов»: скопируйте строки сюда и проставьте артикул работы и закупку.</t>
  </si>
  <si>
    <t>3. ИТОГ ПО ПРОЕКТУ И ПРОВЕРКА НАЦЕНКИ</t>
  </si>
  <si>
    <t>Материалы — себестоимость</t>
  </si>
  <si>
    <t>Работы — оплата бригадам</t>
  </si>
  <si>
    <t>Расходники (износ оснастки, укрывные — за счёт НЕОСТРОЙ)</t>
  </si>
  <si>
    <t>Косвенные проекта: ИТР, командировки, бытовки, техника, вывоз мусора и т. п. (ввод)</t>
  </si>
  <si>
    <t>ПОЛНАЯ СЕБЕСТОИМОСТЬ</t>
  </si>
  <si>
    <t>Материалы в КП</t>
  </si>
  <si>
    <t>Работы в КП (по тарификатору)</t>
  </si>
  <si>
    <t>Прочие строки КП (ввод: вывоз мусора, техника, ПНР отдельной строкой)</t>
  </si>
  <si>
    <t>ИТОГО КП без НДС</t>
  </si>
  <si>
    <t>НДС 22 %</t>
  </si>
  <si>
    <t>ИТОГО КП с НДС</t>
  </si>
  <si>
    <t>Наценка на себестоимость</t>
  </si>
  <si>
    <t>Маржа</t>
  </si>
  <si>
    <t>Проверка по типу тендера</t>
  </si>
  <si>
    <t>КОМПЛЕКТЫ МАТЕРИАЛОВ К РАСЦЕНКАМ — РАСХОД НА ЕДИНИЦУ РАБОТЫ</t>
  </si>
  <si>
    <t>В материалы расценки входит ВСЁ, что по технологии уходит в работу: для укладки плитки — плитка, клей, затирка, грунт, крестики/СВП, демпферная лента. Расход — по технологическим картам и нормам производителей (Knauf, Ceresit, ТехноНИКОЛЬ и т. п.), без отходов: отходы добавляются по категории в калькуляторе. Как пользоваться: скопировать строки комплекта в калькулятор (таблица «Материалы»), указать артикул работы и цену закупки. Список пополняется по мере работы.</t>
  </si>
  <si>
    <t>Артикул работы</t>
  </si>
  <si>
    <t>Работа</t>
  </si>
  <si>
    <t>Ед. работы</t>
  </si>
  <si>
    <t>Категория</t>
  </si>
  <si>
    <t>Ед. материала</t>
  </si>
  <si>
    <t>Расход на ед. работы</t>
  </si>
  <si>
    <t>Основание / комментарий</t>
  </si>
  <si>
    <t>Пол из керамогранита на клее, грунт, затирка</t>
  </si>
  <si>
    <t>Керамогранит</t>
  </si>
  <si>
    <t>отходы 10 % — в категории</t>
  </si>
  <si>
    <t>Клей плиточный цементный C1/C2</t>
  </si>
  <si>
    <t>60×60, гребёнка 10 мм (Ceresit CM 11/CM 17)</t>
  </si>
  <si>
    <t>шов 2–3 мм</t>
  </si>
  <si>
    <t>СВП (клипсы + клинья) / крестики</t>
  </si>
  <si>
    <t>клипсы одноразовые, клинья многоразовые</t>
  </si>
  <si>
    <t>Демпферная лента</t>
  </si>
  <si>
    <t>по периметру помещения — уточнить</t>
  </si>
  <si>
    <t>8.2.22</t>
  </si>
  <si>
    <t>Облицовка стен керамической плиткой на клее</t>
  </si>
  <si>
    <t>Плитка керамическая настенная</t>
  </si>
  <si>
    <t>Клей плиточный C1</t>
  </si>
  <si>
    <t>гребёнка 8 мм</t>
  </si>
  <si>
    <t>Крестики / СВП</t>
  </si>
  <si>
    <t>Уголок/раскладка для плитки</t>
  </si>
  <si>
    <t>по проекту</t>
  </si>
  <si>
    <t>8.1.22</t>
  </si>
  <si>
    <t>Перегородка ГКЛ С111 (одинарный каркас, 1 слой с двух сторон)</t>
  </si>
  <si>
    <t>ГКЛ 12,5 мм</t>
  </si>
  <si>
    <t>ГКЛ, профиль, комплектующие</t>
  </si>
  <si>
    <t>Knauf С111</t>
  </si>
  <si>
    <t>Профиль стоечный ПС 50/50</t>
  </si>
  <si>
    <t>Профиль направляющий ПН 50/40</t>
  </si>
  <si>
    <t>Саморез TN 25</t>
  </si>
  <si>
    <t>Дюбель 6×40</t>
  </si>
  <si>
    <t>Лента уплотнительная</t>
  </si>
  <si>
    <t>Шпаклёвка для швов (Фугенфюллер)</t>
  </si>
  <si>
    <t>Лента армирующая (серпянка/бумажная)</t>
  </si>
  <si>
    <t>Грунт</t>
  </si>
  <si>
    <t>8.3.12</t>
  </si>
  <si>
    <t>Подвесной потолок ГКЛ П113 одноуровневый</t>
  </si>
  <si>
    <t>Knauf П113</t>
  </si>
  <si>
    <t>Профиль потолочный ПП 60/27</t>
  </si>
  <si>
    <t>Профиль направляющий ПН 28/27</t>
  </si>
  <si>
    <t>зависит от периметра</t>
  </si>
  <si>
    <t>Подвес прямой / с тягой</t>
  </si>
  <si>
    <t>Соединитель одноуровневый «краб»</t>
  </si>
  <si>
    <t>Анкер-клин / дюбель потолочный</t>
  </si>
  <si>
    <t>Саморез LN 9</t>
  </si>
  <si>
    <t>Шпаклёвка для швов</t>
  </si>
  <si>
    <t>Лента армирующая</t>
  </si>
  <si>
    <t>8.3.13</t>
  </si>
  <si>
    <t>Подвесной потолок «Армстронг» 600×600</t>
  </si>
  <si>
    <t>Плита потолочная 600×600</t>
  </si>
  <si>
    <t>Профиль несущий 3,7 м</t>
  </si>
  <si>
    <t>Профиль поперечный 1,2 м</t>
  </si>
  <si>
    <t>Профиль поперечный 0,6 м</t>
  </si>
  <si>
    <t>Уголок пристенный</t>
  </si>
  <si>
    <t>по периметру — уточнить</t>
  </si>
  <si>
    <t>Подвес с тягой</t>
  </si>
  <si>
    <t>Анкер-клин / дюбель</t>
  </si>
  <si>
    <t>8.2.38</t>
  </si>
  <si>
    <t>Сплошная шпаклёвка стен (2 слоя)</t>
  </si>
  <si>
    <t>Шпаклёвка финишная полимерная</t>
  </si>
  <si>
    <t>8.2.34</t>
  </si>
  <si>
    <t>Окраска стен ВД акриловой краской за 2 раза</t>
  </si>
  <si>
    <t>Краска ВД акриловая</t>
  </si>
  <si>
    <t>0,15 л/м² × 2 слоя</t>
  </si>
  <si>
    <t>7.2.21</t>
  </si>
  <si>
    <t>Линолеум коммерческий на клее</t>
  </si>
  <si>
    <t>Линолеум коммерческий</t>
  </si>
  <si>
    <t>Напольные покрытия (линолеум, ПВХ, ковролин)</t>
  </si>
  <si>
    <t>отходы 8 % — в категории</t>
  </si>
  <si>
    <t>Клей для линолеума</t>
  </si>
  <si>
    <t>Шнур сварочный</t>
  </si>
  <si>
    <t>для коммерческого линолеума</t>
  </si>
  <si>
    <t>7.2.16</t>
  </si>
  <si>
    <t>Наливной пол финишный до 5 мм</t>
  </si>
  <si>
    <t>Ровнитель самовыравнивающийся</t>
  </si>
  <si>
    <t>1,6 кг/м²/мм × 5 мм</t>
  </si>
  <si>
    <t>6.1.16</t>
  </si>
  <si>
    <t>Наплавляемая кровля в 2 слоя</t>
  </si>
  <si>
    <t>Рулонный наплавляемый — нижний слой</t>
  </si>
  <si>
    <t>Кровельные материалы и утеплитель</t>
  </si>
  <si>
    <t>нахлёст; отходы — в категории</t>
  </si>
  <si>
    <t>Рулонный наплавляемый — верхний слой</t>
  </si>
  <si>
    <t>Праймер битумный</t>
  </si>
  <si>
    <t>Газ пропан</t>
  </si>
  <si>
    <t>6.1.18</t>
  </si>
  <si>
    <t>Кровля ПВХ-мембрана по готовому основанию</t>
  </si>
  <si>
    <t>ПВХ-мембрана 1,5 мм</t>
  </si>
  <si>
    <t>нахлёст</t>
  </si>
  <si>
    <t>Крепёж телескопический + саморез</t>
  </si>
  <si>
    <t>по ветровому расчёту</t>
  </si>
  <si>
    <t>Геотекстиль разделительный</t>
  </si>
  <si>
    <t>если по проекту</t>
  </si>
  <si>
    <t>Прокладка кабеля открыто с креплением скобами/клипсами</t>
  </si>
  <si>
    <t>мп</t>
  </si>
  <si>
    <t>Кабель (марка по проекту)</t>
  </si>
  <si>
    <t>запас 4 % — в категории</t>
  </si>
  <si>
    <t>Клипса / скоба</t>
  </si>
  <si>
    <t>Дюбель-гвоздь</t>
  </si>
  <si>
    <t>10.3.20</t>
  </si>
  <si>
    <t>Установка розетки скрытой проводки</t>
  </si>
  <si>
    <t>Розетка</t>
  </si>
  <si>
    <t>Подрозетник</t>
  </si>
  <si>
    <t>Гипс / алебастр</t>
  </si>
  <si>
    <t>Клеммы / гильзы, изолента</t>
  </si>
  <si>
    <t>компл</t>
  </si>
  <si>
    <t>5.4.N1</t>
  </si>
  <si>
    <t>Кладка из газобетонных блоков</t>
  </si>
  <si>
    <t>м3</t>
  </si>
  <si>
    <t>Блок газобетонный</t>
  </si>
  <si>
    <t>Кирпич, блоки, ЖБИ</t>
  </si>
  <si>
    <t>Клей для газобетона</t>
  </si>
  <si>
    <t>Арматура Ø8 для армирования рядов</t>
  </si>
  <si>
    <t>Арматура</t>
  </si>
  <si>
    <t>каждый 4-й ряд</t>
  </si>
  <si>
    <t>КАТЕГОРИИ МАТЕРИАЛОВ: ОТХОДЫ, НАЦЕНКА В КП, ГДЕ ПРОВЕРЯТЬ ЦЕНУ</t>
  </si>
  <si>
    <t>Наценка — к себестоимости материала (закупка + отходы + доставка + резервы). «Раздельная форма» — КП, где материалы и работы в разных колонках (заказчик сверяет материалы с прайсами — наценка минимальная). «Под ключ» — одна цена за единицу работы с материалом. Главное ограничение: цена материала в КП не выше розничной цены для юрлица на сайтах дистрибьюторов (колонка «Где проверять»).</t>
  </si>
  <si>
    <t>Отходы и запас, %</t>
  </si>
  <si>
    <t>Наценка: раздельная форма</t>
  </si>
  <si>
    <t>Наценка: под ключ</t>
  </si>
  <si>
    <t>Где заказчик проверит цену (и где брать закупку)</t>
  </si>
  <si>
    <t>Примеры</t>
  </si>
  <si>
    <t>Комментарий</t>
  </si>
  <si>
    <t>Петрович, Лемана ПРО, сайты производителей (Knauf, Ceresit, Волма)</t>
  </si>
  <si>
    <t>Штукатурка гипсовая, шпаклёвка, клей плиточный, ровнитель</t>
  </si>
  <si>
    <t>Петрович, Лемана ПРО, Tikkurila/Dulux/Текс</t>
  </si>
  <si>
    <t>Краска ВД, грунт, эмаль, огнезащита (кроме спец.)</t>
  </si>
  <si>
    <t>Петрович, Knauf, Гипсополимер</t>
  </si>
  <si>
    <t>ГКЛ, ГВЛ, профиль ПП/ПН, подвесы</t>
  </si>
  <si>
    <t>Лемана, Керама Марацци, сайты дилеров</t>
  </si>
  <si>
    <t>Керамогранит 60×60, плитка настенная</t>
  </si>
  <si>
    <t>Отходы выше при диагональной раскладке (до 15 %)</t>
  </si>
  <si>
    <t>Tarkett, Forbo, дилеры</t>
  </si>
  <si>
    <t>Коммерческий линолеум, кварцвинил, ковровая плитка</t>
  </si>
  <si>
    <t>Наливные и промышленные полы (эпоксид, ПУ, топпинг)</t>
  </si>
  <si>
    <t>Дилеры производителей, цены по запросу</t>
  </si>
  <si>
    <t>Эпоксидное покрытие, полиуретан, упрочнитель</t>
  </si>
  <si>
    <t>Прайсы закрыты — можно выше</t>
  </si>
  <si>
    <t>ТехноНИКОЛЬ (прайс), Петрович, Лемана</t>
  </si>
  <si>
    <t>Наплавляемые, ПВХ-мембрана, минвата, XPS</t>
  </si>
  <si>
    <t>Металлопрокат и метизы</t>
  </si>
  <si>
    <t>Металлобазы, Металлсервис, ПКМ</t>
  </si>
  <si>
    <t>Швеллер, уголок, лист, труба профильная</t>
  </si>
  <si>
    <t>Цена по биржевым котировкам — легко проверяется</t>
  </si>
  <si>
    <t>Бетон и раствор товарный</t>
  </si>
  <si>
    <t>Сайты БСУ, агрегаторы</t>
  </si>
  <si>
    <t>Бетон В25, раствор М150</t>
  </si>
  <si>
    <t>Легко проверяется</t>
  </si>
  <si>
    <t>Металлобазы</t>
  </si>
  <si>
    <t>А500С, вязальная проволока</t>
  </si>
  <si>
    <t>Петрович, заводы ЖБИ</t>
  </si>
  <si>
    <t>Кирпич, газобетон, лотки, кольца</t>
  </si>
  <si>
    <t>ЭТМ, Русский Свет, Элком, Кабель.рф</t>
  </si>
  <si>
    <t>ВВГнг-LS, NYM, КПСЭ, UTP</t>
  </si>
  <si>
    <t>Цена меняется с медью — фиксировать у поставщика</t>
  </si>
  <si>
    <t>ЭТМ, Русский Свет, IEK/EKF/ABB</t>
  </si>
  <si>
    <t>Автоматы, щиты, розетки, кабель-каналы, лотки</t>
  </si>
  <si>
    <t>Светильники</t>
  </si>
  <si>
    <t>Дилеры, сайты производителей</t>
  </si>
  <si>
    <t>LED-панели, промышленные, уличные</t>
  </si>
  <si>
    <t>Часто дают КП с ценой — проверяется</t>
  </si>
  <si>
    <t>Трубы и фитинги ВиК, отопления</t>
  </si>
  <si>
    <t>Сантехкомплект, Valtec, Rehau, Петрович</t>
  </si>
  <si>
    <t>ПП, PE, сталь, чугун, PEX, фитинги, краны</t>
  </si>
  <si>
    <t>Сантехприборы</t>
  </si>
  <si>
    <t>Сантехкомплект, Лемана</t>
  </si>
  <si>
    <t>Унитазы, раковины, смесители, трапы</t>
  </si>
  <si>
    <t>Воздуховоды, фасонные изделия, изоляция</t>
  </si>
  <si>
    <t>Производители воздуховодов (цены по запросу)</t>
  </si>
  <si>
    <t>Оцинк. воздуховоды, фасонка, решётки, клапаны</t>
  </si>
  <si>
    <t>Под заказ, прайсов мало</t>
  </si>
  <si>
    <t>КП поставщика; заказчик часто сам запрашивает цену</t>
  </si>
  <si>
    <t>ПВУ, ККБ, сплит-системы, насосные станции</t>
  </si>
  <si>
    <t>Самое проверяемое — наценка минимальная</t>
  </si>
  <si>
    <t>Изделия под заказ (ворота, двери, окна, перегородки)</t>
  </si>
  <si>
    <t>КП производителя (DoorHan, Alutech и т. п.)</t>
  </si>
  <si>
    <t>Секционные ворота, противопожарные двери, витражи</t>
  </si>
  <si>
    <t>Нерудные и дорожные (щебень, песок, асфальт)</t>
  </si>
  <si>
    <t>Карьеры, АБЗ, агрегаторы</t>
  </si>
  <si>
    <t>Щебень гранитный, песок, асфальтобетон</t>
  </si>
  <si>
    <t>Легко проверяется, большие объёмы</t>
  </si>
  <si>
    <t>Специальные материалы (нет в открытых прайсах)</t>
  </si>
  <si>
    <t>Только КП поставщиков</t>
  </si>
  <si>
    <t>Огнезащита спец., антистатика, химия для промполов</t>
  </si>
  <si>
    <t>Можно выше — заказчику не с чем сравнить</t>
  </si>
  <si>
    <t>—</t>
  </si>
  <si>
    <t>РАСХОДНЫЕ МАТЕРИАЛЫ К РАБОТАМ — ЗА СЧЁТ НЕОСТРОЙ</t>
  </si>
  <si>
    <t>Расходники в цену бригады и в ставку часа НЕ входят — их покупаем и выдаём мы. Расходник — только то, что изнашивается или выбрасывается (диски, свёрла, коронки, валики, плёнка, мешки). Всё, что по технологии уходит в работу (клей, затирка, крестики, крепёж, пена, электроды, газ…), — МАТЕРИАЛ в комплекте расценки (лист «Комплекты материалов»). Норматив — % к оплате бригаде по специальности. Это себестоимость работ: в КП отдельной строкой не выделяется, покрывается ценой работ. Нормативы — экспертная оценка; уточнить по фактическим закупкам за 2–3 месяца (сумма расходников ÷ сумма выплат бригадам по объектам).</t>
  </si>
  <si>
    <t>Специальность</t>
  </si>
  <si>
    <t>Расходники, % к оплате бригаде</t>
  </si>
  <si>
    <t>Расходники: износ оснастки и укрывные</t>
  </si>
  <si>
    <t>НЕ расходник — материал в составе работы (комплект материалов расценки)</t>
  </si>
  <si>
    <t>RAZ</t>
  </si>
  <si>
    <t>Разнорабочий / демонтажник</t>
  </si>
  <si>
    <t>Отрезные диски, свёрла и коронки, мешки для мусора, плёнка укрывная, скотч</t>
  </si>
  <si>
    <t>Контейнер и вывоз мусора — отдельная услуга</t>
  </si>
  <si>
    <t>ZEM</t>
  </si>
  <si>
    <t>Землекоп</t>
  </si>
  <si>
    <t>Мешки, сигнальная лента, колышки</t>
  </si>
  <si>
    <t>Песок, щебень, геотекстиль</t>
  </si>
  <si>
    <t>BLG</t>
  </si>
  <si>
    <t>Благоустройство</t>
  </si>
  <si>
    <t>Диски по камню, шнур разбивочный</t>
  </si>
  <si>
    <t>Плитка, бордюр, ЦПС, щебень</t>
  </si>
  <si>
    <t>BET</t>
  </si>
  <si>
    <t>Бетонщик / арматурщик</t>
  </si>
  <si>
    <t>Диски, свёрла, плёнка для ухода за бетоном</t>
  </si>
  <si>
    <t>Бетон, арматура, вязальная проволока, фиксаторы, смазка опалубки</t>
  </si>
  <si>
    <t>KAM</t>
  </si>
  <si>
    <t>Каменщик</t>
  </si>
  <si>
    <t>Диски, свёрла, плёнка</t>
  </si>
  <si>
    <t>Кирпич, блоки, раствор/клей, сетка, гибкие связи</t>
  </si>
  <si>
    <t>OTD</t>
  </si>
  <si>
    <t>Отделочник</t>
  </si>
  <si>
    <t>Валики, кисти, шпатели, абразив, малярная лента, плёнка, биты</t>
  </si>
  <si>
    <t>Смеси, грунт, краска, ГКЛ, профиль, саморезы, дюбели, серпянка</t>
  </si>
  <si>
    <t>PLI</t>
  </si>
  <si>
    <t>Плиточник / полы</t>
  </si>
  <si>
    <t>Диски и коронки алмазные, губки, малярная лента, плёнка</t>
  </si>
  <si>
    <t>Плитка, клей, затирка, грунт, крестики/СВП, демпферная лента</t>
  </si>
  <si>
    <t>KRO</t>
  </si>
  <si>
    <t>Кровельщик</t>
  </si>
  <si>
    <t>Диски, ножи, насадки, валики прикаточные</t>
  </si>
  <si>
    <t>Рулонные материалы, мембрана, праймер, газ, крепёж, герметик, утеплитель</t>
  </si>
  <si>
    <t>FAS</t>
  </si>
  <si>
    <t>Фасадчик / промальп</t>
  </si>
  <si>
    <t>Свёрла, биты, диски, расходники верёвочного доступа</t>
  </si>
  <si>
    <t>Кассеты, подсистема, утеплитель, заклёпки, анкеры, герметик</t>
  </si>
  <si>
    <t>SVA</t>
  </si>
  <si>
    <t>Сварщик / монтажник МК</t>
  </si>
  <si>
    <t>Отрезные и зачистные диски, щётки, наконечники и сопла горелок</t>
  </si>
  <si>
    <t>Металл, электроды, проволока, газ, грунт и краска, болты</t>
  </si>
  <si>
    <t>SAN</t>
  </si>
  <si>
    <t>Сантехник</t>
  </si>
  <si>
    <t>Свёрла, коронки, полотна, биты</t>
  </si>
  <si>
    <t>Трубы, фитинги, арматура, приборы, хомуты, лён/паста/ФУМ, герметик</t>
  </si>
  <si>
    <t>VEN</t>
  </si>
  <si>
    <t>Монтажник вентиляции</t>
  </si>
  <si>
    <t>Свёрла, биты, ножницы/полотна по металлу</t>
  </si>
  <si>
    <t>Воздуховоды, фасонка, шпилька, анкеры, траверсы, алюм. скотч, герметик</t>
  </si>
  <si>
    <t>HOL</t>
  </si>
  <si>
    <t>Холодильщик / кондиционеры</t>
  </si>
  <si>
    <t>Свёрла, коронки, насадки, фильтры вакуумного насоса</t>
  </si>
  <si>
    <t>Медь, изоляция, дренаж, кронштейны, фреон, азот, припой, флюс</t>
  </si>
  <si>
    <t>ELM</t>
  </si>
  <si>
    <t>Электромонтажник</t>
  </si>
  <si>
    <t>Свёрла, коронки, биты, полотна, диски</t>
  </si>
  <si>
    <t>Кабель, лотки, гофра, стяжки, дюбель-хомуты, изолента, гильзы, наконечники, маркировка</t>
  </si>
  <si>
    <t>ETL</t>
  </si>
  <si>
    <t>Электролаборатория / ПНР</t>
  </si>
  <si>
    <t>Батареи приборов, бланки</t>
  </si>
  <si>
    <t>DVR</t>
  </si>
  <si>
    <t>Двери, окна, перегородки</t>
  </si>
  <si>
    <t>Свёрла, биты, диски, плёнка</t>
  </si>
  <si>
    <t>Изделия, пена, анкерные пластины, герметик, саморезы, фурнитура</t>
  </si>
  <si>
    <t>VOR</t>
  </si>
  <si>
    <t>Ворота и автоматика</t>
  </si>
  <si>
    <t>Свёрла, биты, ветошь</t>
  </si>
  <si>
    <t>ЗИП: пружины, ролики, тросы, приводы, платы; смазки, крепёж</t>
  </si>
  <si>
    <t>PSM</t>
  </si>
  <si>
    <t>Механик ПС / подъёмники / доки</t>
  </si>
  <si>
    <t>Ветошь, свёрла, биты</t>
  </si>
  <si>
    <t>ЗИП, масла и смазки, шланги, уплотнения, крепёж</t>
  </si>
  <si>
    <t>NAR</t>
  </si>
  <si>
    <t>Наружные сети</t>
  </si>
  <si>
    <t>Диски, полотна, ленты сигнальные</t>
  </si>
  <si>
    <t>Трубы, колодцы, песок, смазка для раструбов, манжеты</t>
  </si>
  <si>
    <t>DER</t>
  </si>
  <si>
    <t>Дезинфектор (ОЗДС)</t>
  </si>
  <si>
    <t>Перчатки одноразовые, ветошь</t>
  </si>
  <si>
    <t>Препараты, приманки, ловушки, станции — материал по нормам расхода</t>
  </si>
  <si>
    <t>СИЗ, инструмент, оснастка, бытовки — не расходники, они в накладных расходах НЕОСТРОЙ (25 % к ставке бригады в тарификаторе).</t>
  </si>
  <si>
    <t>Как выдавать: прораб получает расходники под объект по нормативу (оплата бригадам × %); перерасход больше 20 % — объяснение прораба.</t>
  </si>
  <si>
    <t>ИТОГОВАЯ НАЦЕНКА НА ВСЮ СЕБЕСТОИМОСТЬ ПО ТИПУ ТЕНДЕРА</t>
  </si>
  <si>
    <t>Наценка = КП ÷ полная себестоимость − 1; маржа = 1 − себестоимость ÷ КП. Ориентиры — по КП НЕОСТРОЙ август–октябрь 2026; результаты торгов (выиграли / нет) не собраны, поэтому диапазоны нужно калибровать по реестру тендеров.</t>
  </si>
  <si>
    <t>Наценка от</t>
  </si>
  <si>
    <t>Наценка до</t>
  </si>
  <si>
    <t>Маржа от</t>
  </si>
  <si>
    <t>Маржа до</t>
  </si>
  <si>
    <t>Примеры НЕОСТРОЙ</t>
  </si>
  <si>
    <t>АГМ Р71 +30 %, ФСК лот 141 +30 %, Сегежа +40 %, АГМ Р-7 +40 %, Перекрёсток 1 тур маржа 21,9 %</t>
  </si>
  <si>
    <t>Переторжка / 2 тур / вход к новому заказчику</t>
  </si>
  <si>
    <t>ФСК лот 126 +17 %, переторжки АГМ лот 28</t>
  </si>
  <si>
    <t>Fit-out, частный бизнес, малые объёмы</t>
  </si>
  <si>
    <t>Партия Еды +50 %, Космос Невский ~+45 %, СанЛайт работы ×1,7</t>
  </si>
  <si>
    <t>ТО и абонентское обслуживание</t>
  </si>
  <si>
    <t>Биотек +35 %, Лемана 4 ГМ +50 %, СПАР +30 %</t>
  </si>
  <si>
    <t>Госзакупки 44-ФЗ / 223-ФЗ</t>
  </si>
  <si>
    <t>Считать от НМЦК: допустимое снижение = НМЦК − с/с × 1,15</t>
  </si>
  <si>
    <t>Нижняя граница без согласования генерального директора:</t>
  </si>
  <si>
    <t>ПАРАМЕТРЫ (жёлтые ячейки можно менять — калькулятор пересчитается)</t>
  </si>
  <si>
    <t>Параметр</t>
  </si>
  <si>
    <t>Значение</t>
  </si>
  <si>
    <t>Пояснение</t>
  </si>
  <si>
    <t>Доставка: СПб</t>
  </si>
  <si>
    <t>Доставка, разгрузка, подъём на этаж — % к закупке</t>
  </si>
  <si>
    <t>Доставка: Москва</t>
  </si>
  <si>
    <t>Москва</t>
  </si>
  <si>
    <t>Доставка: Ленобласть</t>
  </si>
  <si>
    <t>Ленобласть</t>
  </si>
  <si>
    <t>Доставка: Подмосковье</t>
  </si>
  <si>
    <t>Подмосковье</t>
  </si>
  <si>
    <t>Доставка: Регион</t>
  </si>
  <si>
    <t>Для регионов посчитать доставку фактически (машины × тариф) и вписать % сюда (АМК Наб. Челны — 12,7 %)</t>
  </si>
  <si>
    <t>Рост цен поставщиков, % в месяц</t>
  </si>
  <si>
    <t>Применяется, если закупка позже чем через «льготный» срок после КП и цену у поставщика не зафиксировали</t>
  </si>
  <si>
    <t>Льготный срок без резерва роста, мес.</t>
  </si>
  <si>
    <t>КП поставщиков обычно держат цену 1–2 месяца</t>
  </si>
  <si>
    <t>Стоимость денег, % в месяц</t>
  </si>
  <si>
    <t>Если материалы покупаем не из аванса — за каждый месяц от закупки до оплаты заказчиком</t>
  </si>
  <si>
    <t>ТАРИФИКАТОР НЕОСТРОЙ — РАБОТЫ (справочно, для подстановки в калькулятор по артикулу)</t>
  </si>
  <si>
    <t>Значения из основного тарификатора v2. Цена работы в КП и оплата бригаде — только работа, без материалов и расходников. «Выше рынка» &gt; 0 — цена подтянута над рынком (почасовая маржа была &lt; 25 %).</t>
  </si>
  <si>
    <t>Цена в КП СПб</t>
  </si>
  <si>
    <t>Цена в КП Мск</t>
  </si>
  <si>
    <t>Оплата бригаде СПб</t>
  </si>
  <si>
    <t>Оплата бригаде Мск</t>
  </si>
  <si>
    <t>Выше рынка СПб</t>
  </si>
  <si>
    <t>Выше рынка Мск</t>
  </si>
  <si>
    <t>1.1.1</t>
  </si>
  <si>
    <t>Разборка покрытий и оснований асфальтобетонных</t>
  </si>
  <si>
    <t>1.1.2</t>
  </si>
  <si>
    <t>Демонтаж деревянных зданий и строений без сохранения годного материала</t>
  </si>
  <si>
    <t>м3 здания</t>
  </si>
  <si>
    <t>1.1.3</t>
  </si>
  <si>
    <t>Демонтаж зданий и строений из металлоконструкций без сохранения годного материала</t>
  </si>
  <si>
    <t>т</t>
  </si>
  <si>
    <t>1.1.4</t>
  </si>
  <si>
    <t>Демонтаж каменных зданий и строений (кирпич, бетон, железобетон) комплексная работа с сохранением годного материала</t>
  </si>
  <si>
    <t>1.1.5</t>
  </si>
  <si>
    <t>Разборка бортовых камней с сохранением камня пригодного для дальнейшего использования</t>
  </si>
  <si>
    <t>1.1.6</t>
  </si>
  <si>
    <t>Разборка тротуаров и дорожек из плит бетонных, брусчатки с сохранением пригодных для дальнейшего использования</t>
  </si>
  <si>
    <t>1.1.N1</t>
  </si>
  <si>
    <t>Разборка асфальтобетонного покрытия толщиной до 5 см отбойными молотками</t>
  </si>
  <si>
    <t>1.1.N2</t>
  </si>
  <si>
    <t>Демонтаж бетонных дорожных плит (ПАГ, 2П) с погрузкой</t>
  </si>
  <si>
    <t>1.1.N3</t>
  </si>
  <si>
    <t>Демонтаж ограждения из сетки/профлиста со стойками</t>
  </si>
  <si>
    <t>1.2.1</t>
  </si>
  <si>
    <t>Отбивка штукатурки с поверхностей стен</t>
  </si>
  <si>
    <t>1.2.2</t>
  </si>
  <si>
    <t>Демонтаж облицовки из профилированного листа без разборки каркаса</t>
  </si>
  <si>
    <t>1.2.3</t>
  </si>
  <si>
    <t>Демонтаж облицовки из профилированного листа с разборкой каркаса</t>
  </si>
  <si>
    <t>1.2.4</t>
  </si>
  <si>
    <t>Демонтаж ограждающих конструкций стен из многослойных панелей (сэндвич-панели)</t>
  </si>
  <si>
    <t>1.2.5</t>
  </si>
  <si>
    <t>Демонтаж ограждающих конструкций стен из панелей "Алюкобонд" и металлического каркаса</t>
  </si>
  <si>
    <t>1.2.6</t>
  </si>
  <si>
    <t>Демонтаж теплоизоляционного слоя стен</t>
  </si>
  <si>
    <t>1.2.7</t>
  </si>
  <si>
    <t>Разборка систем вентилируемых фасадов из плит "Керамогранит" с сохранением каркаса</t>
  </si>
  <si>
    <t>1.2.8</t>
  </si>
  <si>
    <t>Разборка систем вентилируемых фасадов из плит "Керамогранит" с учетом каркаса</t>
  </si>
  <si>
    <t>1.2.N1</t>
  </si>
  <si>
    <t>Демонтаж металлического козырька/навеса над входом</t>
  </si>
  <si>
    <t>1.3.1</t>
  </si>
  <si>
    <t>Разборка бутовых фундаментов</t>
  </si>
  <si>
    <t>1.3.2</t>
  </si>
  <si>
    <t>Разборка бетонных фундаментов</t>
  </si>
  <si>
    <t>1.3.3</t>
  </si>
  <si>
    <t>Разборка железобетонных фундаментов</t>
  </si>
  <si>
    <t>1.4.1</t>
  </si>
  <si>
    <t>Очистка кровли от листвы и мусора</t>
  </si>
  <si>
    <t>1.4.2</t>
  </si>
  <si>
    <t>Очистка снега с крыш при толщине слоя до 20 см</t>
  </si>
  <si>
    <t>1.4.3</t>
  </si>
  <si>
    <t>Очистка снега с крыш, добавлять на каждые следующие 10 см увеличения толщины слоя</t>
  </si>
  <si>
    <t>1.4.4</t>
  </si>
  <si>
    <t>Разборка водосточных ПВХ труб</t>
  </si>
  <si>
    <t>1.4.5</t>
  </si>
  <si>
    <t>Разборка водосточных труб металлических</t>
  </si>
  <si>
    <t>1.4.6</t>
  </si>
  <si>
    <t>Разборка выравнивающих стяжек цементно-песчаных на кровле</t>
  </si>
  <si>
    <t>1.4.7</t>
  </si>
  <si>
    <t>Разборка монолитных перекрытий бетонных</t>
  </si>
  <si>
    <t>1.4.8</t>
  </si>
  <si>
    <t>Разборка монолитных перекрытий железобетонных</t>
  </si>
  <si>
    <t>1.4.9</t>
  </si>
  <si>
    <t>Разборка парапетных решеток</t>
  </si>
  <si>
    <t>1.4.10</t>
  </si>
  <si>
    <t>Разборка покрытий кровель из волнистых и полуволнистых асбестоцементных листов</t>
  </si>
  <si>
    <t>1.4.11</t>
  </si>
  <si>
    <t>Разборка покрытий кровель из листовой стали</t>
  </si>
  <si>
    <t>1.4.12</t>
  </si>
  <si>
    <t>Разборка покрытий кровель из рулонных материалов (добавляется на каждый последующий слой сверх 4х слоев)</t>
  </si>
  <si>
    <t>1.4.13</t>
  </si>
  <si>
    <t>Разборка покрытий кровель из рулонных материалов ковер до 4х слоев</t>
  </si>
  <si>
    <t>1.4.14</t>
  </si>
  <si>
    <t>Разборка поясков, сандриков, желобов, отливов, свесов и т.п. из листовой стали</t>
  </si>
  <si>
    <t>1.4.15</t>
  </si>
  <si>
    <t>Разборка теплоизоляции на кровле из листовых материалов</t>
  </si>
  <si>
    <t>1.4.N1</t>
  </si>
  <si>
    <t>Демонтаж кровельных сэндвич-панелей</t>
  </si>
  <si>
    <t>1.4.N2</t>
  </si>
  <si>
    <t>Демонтаж кровельного профлиста</t>
  </si>
  <si>
    <t>1.4.N3</t>
  </si>
  <si>
    <t>Демонтаж кровельной воронки</t>
  </si>
  <si>
    <t>1.4.N4</t>
  </si>
  <si>
    <t>Сбивание сосулек и наледи с карнизов (промальп)</t>
  </si>
  <si>
    <t>1.4.N5</t>
  </si>
  <si>
    <t>Демонтаж зенитного фонаря / люка дымоудаления</t>
  </si>
  <si>
    <t>1.5.1</t>
  </si>
  <si>
    <t>Демонтаж металлических балок, ригелей перекрытия, покрытия</t>
  </si>
  <si>
    <t>тн</t>
  </si>
  <si>
    <t>1.5.2</t>
  </si>
  <si>
    <t>Демонтаж железобетонных конструкций. При объеме более 1 м3 - при помощи отбойных молотков</t>
  </si>
  <si>
    <t>1.5.3</t>
  </si>
  <si>
    <t>Демонтаж бетонных конструкций</t>
  </si>
  <si>
    <t>1.5.4</t>
  </si>
  <si>
    <t>Демонтаж металлоконструкций</t>
  </si>
  <si>
    <t>1.5.5</t>
  </si>
  <si>
    <t>Алмазная резка железобетонных конструкций глубиной 230 мм</t>
  </si>
  <si>
    <t>м реза</t>
  </si>
  <si>
    <t>1.5.6</t>
  </si>
  <si>
    <t>На каждые 100 мм увеличения глубины реза добавлять к расценке по алмазной резке ж/б конструкций</t>
  </si>
  <si>
    <t>1.5.N1</t>
  </si>
  <si>
    <t>Алмазное бурение отверстия в ж/б Ø до 100 мм глубиной до 200 мм</t>
  </si>
  <si>
    <t>1.5.N2</t>
  </si>
  <si>
    <t>Демонтаж металлических лестниц, площадок, антресолей</t>
  </si>
  <si>
    <t>1.6.1</t>
  </si>
  <si>
    <t>Демонтаж стяжек полов до основания</t>
  </si>
  <si>
    <t>1.6.2</t>
  </si>
  <si>
    <t>Разборка бетонных оснований под полы</t>
  </si>
  <si>
    <t>1.6.3</t>
  </si>
  <si>
    <t>Разборка плинтусов деревянных и из пластмассовых материалов</t>
  </si>
  <si>
    <t>1.6.4</t>
  </si>
  <si>
    <t>Разборка плинтусов цементных и из керамогранита</t>
  </si>
  <si>
    <t>1.6.5</t>
  </si>
  <si>
    <t>Разборка покрытий полов из древесностружечных плит в один слой</t>
  </si>
  <si>
    <t>1.6.6</t>
  </si>
  <si>
    <t>Разборка покрытий полов из керамических плиток</t>
  </si>
  <si>
    <t>1.6.7</t>
  </si>
  <si>
    <t>Разборка покрытий полов из керамогранитных плит толщиной более 15 мм с расчисткой основания от клея</t>
  </si>
  <si>
    <t>1.6.8</t>
  </si>
  <si>
    <t>Разборка покрытий полов из линолеума и релина</t>
  </si>
  <si>
    <t>1.6.9</t>
  </si>
  <si>
    <t>Снятие алюминиевого порога</t>
  </si>
  <si>
    <t>1.6.10</t>
  </si>
  <si>
    <t>Разборка покрытий полов из плиток поливинилхлоридных</t>
  </si>
  <si>
    <t>1.6.11</t>
  </si>
  <si>
    <t>Разборка покрытий полов цементных толщиной до 150 мм</t>
  </si>
  <si>
    <t>1.6.12</t>
  </si>
  <si>
    <t>Разборка покрытий полов из керамогранитных плит толщиной до 15 мм с расчисткой основания от клея</t>
  </si>
  <si>
    <t>1.6.N1</t>
  </si>
  <si>
    <t>Разборка покрытия из ламината / паркетной доски</t>
  </si>
  <si>
    <t>1.6.N2</t>
  </si>
  <si>
    <t>Демонтаж ковролина / ковровой плитки с зачисткой клея</t>
  </si>
  <si>
    <t>1.6.N3</t>
  </si>
  <si>
    <t>Удаление полимерного (эпоксидного/ПУ) покрытия пола фрезерованием</t>
  </si>
  <si>
    <t>1.6.N4</t>
  </si>
  <si>
    <t>Демонтаж фальшпола (съёмного) с опорами</t>
  </si>
  <si>
    <t>1.7.1</t>
  </si>
  <si>
    <t>Демонтаж утеплителя потолков</t>
  </si>
  <si>
    <t>1.7.2</t>
  </si>
  <si>
    <t>Отбивка штукатурки с поверхности потолка</t>
  </si>
  <si>
    <t>1.7.3</t>
  </si>
  <si>
    <t>Разборка облицовки потолков из гипсокартонных листов с каркасом</t>
  </si>
  <si>
    <t>1.7.4</t>
  </si>
  <si>
    <t>Разборка подвесного потолка Грильято включая направляющие</t>
  </si>
  <si>
    <t>1.7.5</t>
  </si>
  <si>
    <t>Разборка подвесной системы потолка</t>
  </si>
  <si>
    <t>1.7.6</t>
  </si>
  <si>
    <t>Разборка подвесных каркасов, подшивных потолков из металлических уголков (не применимо для направляющих)</t>
  </si>
  <si>
    <t>1.7.7</t>
  </si>
  <si>
    <t>Разборка подвесных потолков из металлических кассет, включая направляющие</t>
  </si>
  <si>
    <t>1.7.8</t>
  </si>
  <si>
    <t>Разборка подвесных потолков типа &lt;Армстронг&gt; включая направляющие</t>
  </si>
  <si>
    <t>1.7.9</t>
  </si>
  <si>
    <t>Разборка потолков реечных алюминиевых включая направляющие</t>
  </si>
  <si>
    <t>1.7.10</t>
  </si>
  <si>
    <t>Разборка реечного потолка из ламелей (потолок Кубота)</t>
  </si>
  <si>
    <t>1.7.11</t>
  </si>
  <si>
    <t>Снятие акустических плит, металлокассет подвесного потолка без направляющих</t>
  </si>
  <si>
    <t>1.7.12</t>
  </si>
  <si>
    <t>Снятие облицовки ГКЛ без каркаса</t>
  </si>
  <si>
    <t>1.7.N1</t>
  </si>
  <si>
    <t>Демонтаж натяжного потолка</t>
  </si>
  <si>
    <t>1.8.1</t>
  </si>
  <si>
    <t>Алмазная резка стены железобетонной глубиной до 10 см</t>
  </si>
  <si>
    <t>1.8.2</t>
  </si>
  <si>
    <t>Алмазная резка стены железобетонной глубиной от 10 см до 40 см</t>
  </si>
  <si>
    <t>1.8.3</t>
  </si>
  <si>
    <t>Демонтаж каркаса под облицовку (только для ГКЛ, ГВЛ,ДСП)</t>
  </si>
  <si>
    <t>1.8.4</t>
  </si>
  <si>
    <t>Демонтаж облицовки стен из ГКЛ, ГВЛ, панелей ПВХ, ДСП (с сохранением каркаса)</t>
  </si>
  <si>
    <t>1.8.5</t>
  </si>
  <si>
    <t>Демонтаж облицовки стен из керамической плитки</t>
  </si>
  <si>
    <t>1.8.6</t>
  </si>
  <si>
    <t>Демонтаж облицовки стен из металлических листов/оцинковки</t>
  </si>
  <si>
    <t>1.8.7</t>
  </si>
  <si>
    <t>Демонтаж утеплителя стен</t>
  </si>
  <si>
    <t>1.8.8</t>
  </si>
  <si>
    <t>Отбивка штукатурки с поверхностей стен, столбов, колонн, пилястр</t>
  </si>
  <si>
    <t>1.8.9</t>
  </si>
  <si>
    <t>Пробивка проема в конструкциях из бетона</t>
  </si>
  <si>
    <t>1.8.10</t>
  </si>
  <si>
    <t>Пробивка проема в конструкциях из кирпича</t>
  </si>
  <si>
    <t>1.8.11</t>
  </si>
  <si>
    <t>Пробивка проема со сплошным выравниванием откосов в перегородках бетонных</t>
  </si>
  <si>
    <t>1.8.12</t>
  </si>
  <si>
    <t>Пробивка проема со сплошным выравниванием откосов в перегородках кирпичных</t>
  </si>
  <si>
    <t>1.8.13</t>
  </si>
  <si>
    <t>Прорезка проемов в перегородках ГКЛ</t>
  </si>
  <si>
    <t>1.8.14</t>
  </si>
  <si>
    <t>Разборка кирпичных перегородок толщиной до 1 кирпича</t>
  </si>
  <si>
    <t>1.8.15</t>
  </si>
  <si>
    <t>Разборка кирпичных стен</t>
  </si>
  <si>
    <t>1.8.16</t>
  </si>
  <si>
    <t>Разборка мелкоблочных стен</t>
  </si>
  <si>
    <t>1.8.17</t>
  </si>
  <si>
    <t>Разборка перегородок из гипсокартонного листа</t>
  </si>
  <si>
    <t>1.8.18</t>
  </si>
  <si>
    <t>Снятие обоев простых и улучшенных</t>
  </si>
  <si>
    <t>1.8.N1</t>
  </si>
  <si>
    <t>Разборка перегородок из пазогребневых / газобетонных блоков до 100 мм</t>
  </si>
  <si>
    <t>1.8.N2</t>
  </si>
  <si>
    <t>Штробление бетонных стен 2×2 см</t>
  </si>
  <si>
    <t>1.8.N3</t>
  </si>
  <si>
    <t>Демонтаж офисных стеклянных перегородок в алюминиевом профиле</t>
  </si>
  <si>
    <t>1.8.N4</t>
  </si>
  <si>
    <t>Удаление масляной краски со стен механически</t>
  </si>
  <si>
    <t>1.9.1</t>
  </si>
  <si>
    <t>Демонтаж антивандальной решетки №1 1000х500х 600</t>
  </si>
  <si>
    <t>1.9.2</t>
  </si>
  <si>
    <t>Демонтаж антивандальной решетки №2 1200х700х1000</t>
  </si>
  <si>
    <t>1.9.3</t>
  </si>
  <si>
    <t>Демонтаж антивандальной решетки №3 1300х900х1500</t>
  </si>
  <si>
    <t>1.9.4</t>
  </si>
  <si>
    <t>Демонтаж вент.оборудования весом от 025 тн до 0.5 тн (вентилятор)</t>
  </si>
  <si>
    <t>1.9.5</t>
  </si>
  <si>
    <t>Демонтаж вент.оборудования весом до 0.1 тн (вентилятор)</t>
  </si>
  <si>
    <t>1.9.6</t>
  </si>
  <si>
    <t>Демонтаж вент.оборудования весом от 01 тн до 0.25 тн (вентилятор)</t>
  </si>
  <si>
    <t>1.9.7</t>
  </si>
  <si>
    <t>Демонтаж вент.оборудования весом свыше 0.5 тн (вентилятор)</t>
  </si>
  <si>
    <t>1.9.8</t>
  </si>
  <si>
    <t>Демонтаж вентиляционной решетки</t>
  </si>
  <si>
    <t>1.9.9</t>
  </si>
  <si>
    <t>Демонтаж внутреннего блока кондиционера от 3 до 5 кВт</t>
  </si>
  <si>
    <t>1.9.10</t>
  </si>
  <si>
    <t>Демонтаж внутреннего блока кондиционера до 3 кВт</t>
  </si>
  <si>
    <t>1.9.11</t>
  </si>
  <si>
    <t>Демонтаж внутреннего блока кондиционера от 5 до 8 кВт</t>
  </si>
  <si>
    <t>1.9.12</t>
  </si>
  <si>
    <t>Демонтаж внутреннего блока кондиционера свыше 8 кВт</t>
  </si>
  <si>
    <t>1.9.13</t>
  </si>
  <si>
    <t>Демонтаж воздуховодов из листовой, оцинкованной стали и алюминия</t>
  </si>
  <si>
    <t>1.9.14</t>
  </si>
  <si>
    <t>Демонтаж воздуховодов из нержавеющей стали</t>
  </si>
  <si>
    <t>1.9.15</t>
  </si>
  <si>
    <t>Демонтаж вытяжного зонта</t>
  </si>
  <si>
    <t>1.9.16</t>
  </si>
  <si>
    <t>Демонтаж накопительной дренажной помпы</t>
  </si>
  <si>
    <t>1.9.17</t>
  </si>
  <si>
    <t>Демонтаж наружного блока кондиционера от 3 до 5 кВт</t>
  </si>
  <si>
    <t>1.9.18</t>
  </si>
  <si>
    <t>Демонтаж наружного блока кондиционера до 3 кВт</t>
  </si>
  <si>
    <t>1.9.19</t>
  </si>
  <si>
    <t>Демонтаж наружного блока кондиционера от 5 до 8 кВт</t>
  </si>
  <si>
    <t>1.9.20</t>
  </si>
  <si>
    <t>Демонтаж наружного блока кондиционера свыше 8 кВт</t>
  </si>
  <si>
    <t>1.9.21</t>
  </si>
  <si>
    <t>Демонтаж проточной дренажной помпы</t>
  </si>
  <si>
    <t>1.9.22</t>
  </si>
  <si>
    <t>Демонтаж смесительного узла</t>
  </si>
  <si>
    <t>1.9.23</t>
  </si>
  <si>
    <t>Демонтаж сплит-систем канального типа до 3 кВт</t>
  </si>
  <si>
    <t>1.9.24</t>
  </si>
  <si>
    <t>Демонтаж сплит-систем канального типа от 3 до 5 кВт</t>
  </si>
  <si>
    <t>1.9.25</t>
  </si>
  <si>
    <t>Демонтаж сплит-систем канального типа от 5 до 8 кВт</t>
  </si>
  <si>
    <t>1.9.26</t>
  </si>
  <si>
    <t>Демонтаж сплит-систем канального типа свыше 8 кВт</t>
  </si>
  <si>
    <t>1.9.27</t>
  </si>
  <si>
    <t>Демонтаж сплит-систем кассетного типа до 3 кВт</t>
  </si>
  <si>
    <t>1.9.28</t>
  </si>
  <si>
    <t>Демонтаж сплит-систем кассетного типа от 3 до 5 кВт</t>
  </si>
  <si>
    <t>1.9.29</t>
  </si>
  <si>
    <t>Демонтаж сплит-систем кассетного типа от 5 до 8 кВт</t>
  </si>
  <si>
    <t>1.9.30</t>
  </si>
  <si>
    <t>Демонтаж сплит-систем кассетного типа свыше 8 кВт</t>
  </si>
  <si>
    <t>1.9.31</t>
  </si>
  <si>
    <t>Демонтаж сплит-систем настенного типа до 3 кВт</t>
  </si>
  <si>
    <t>1.9.32</t>
  </si>
  <si>
    <t>Демонтаж сплит-систем настенного типа от 3 до 5 кВт</t>
  </si>
  <si>
    <t>1.9.33</t>
  </si>
  <si>
    <t>Демонтаж сплит-систем настенного типа от 5 до 8 кВт</t>
  </si>
  <si>
    <t>1.9.34</t>
  </si>
  <si>
    <t>Демонтаж сплит-систем настенного типа свыше 8 кВт</t>
  </si>
  <si>
    <t>1.9.35</t>
  </si>
  <si>
    <t>Демонтаж тепловой завесы водяной длиной до 1000 мм</t>
  </si>
  <si>
    <t>1.9.36</t>
  </si>
  <si>
    <t>Демонтаж тепловой завесы водяной длиной свыше 1000 мм</t>
  </si>
  <si>
    <t>1.9.37</t>
  </si>
  <si>
    <t>Демонтаж тепловой завесы электрической длиной до 1000 мм</t>
  </si>
  <si>
    <t>1.9.38</t>
  </si>
  <si>
    <t>Демонтаж тепловой завесы электрической длиной свыше 1000 мм</t>
  </si>
  <si>
    <t>1.9.39</t>
  </si>
  <si>
    <t>Демонтаж трасс системы кондиционирования</t>
  </si>
  <si>
    <t>1.9.N1</t>
  </si>
  <si>
    <t>Демонтаж гибких воздуховодов</t>
  </si>
  <si>
    <t>1.9.N2</t>
  </si>
  <si>
    <t>Демонтаж круглых воздуховодов Ø до 315 мм</t>
  </si>
  <si>
    <t>1.9.N3</t>
  </si>
  <si>
    <t>Эвакуация хладагента из системы в баллон (сплит/VRF-ветка)</t>
  </si>
  <si>
    <t>1.9.N4</t>
  </si>
  <si>
    <t>Демонтаж фанкойла (кассетного/канального)</t>
  </si>
  <si>
    <t>1.9.N5</t>
  </si>
  <si>
    <t>Демонтаж крышного вентилятора до 100 кг</t>
  </si>
  <si>
    <t>1.10.1</t>
  </si>
  <si>
    <t>Демонтаж арматуры сливного бачка</t>
  </si>
  <si>
    <t>1.10.2</t>
  </si>
  <si>
    <t>Демонтаж биде</t>
  </si>
  <si>
    <t>1.10.3</t>
  </si>
  <si>
    <t>Демонтаж ванны</t>
  </si>
  <si>
    <t>1.10.4</t>
  </si>
  <si>
    <t>Демонтаж грязевиков/фильтров</t>
  </si>
  <si>
    <t>1.10.5</t>
  </si>
  <si>
    <t>Демонтаж душевого поддона</t>
  </si>
  <si>
    <t>1.10.6</t>
  </si>
  <si>
    <t>Демонтаж железобетонного подиума крепления насоса</t>
  </si>
  <si>
    <t>1.10.7</t>
  </si>
  <si>
    <t>Демонтаж жироуловителя/пескоуловителя</t>
  </si>
  <si>
    <t>1.10.8</t>
  </si>
  <si>
    <t>Демонтаж калориферов массой до 0,1 т (Калорифер водяной КСк 4-9 )</t>
  </si>
  <si>
    <t>1.10.9</t>
  </si>
  <si>
    <t>Демонтаж канализационного насоса Grundfos Sololift2</t>
  </si>
  <si>
    <t>1.10.10</t>
  </si>
  <si>
    <t>Демонтаж канализационной системы типа Multilift</t>
  </si>
  <si>
    <t>1.10.11</t>
  </si>
  <si>
    <t>Демонтаж мойки со смесителем</t>
  </si>
  <si>
    <t>1.10.12</t>
  </si>
  <si>
    <t>Демонтаж муфтовой запорной арматуры</t>
  </si>
  <si>
    <t>1.10.13</t>
  </si>
  <si>
    <t>Демонтаж насоса дренажного погружного</t>
  </si>
  <si>
    <t>1.10.14</t>
  </si>
  <si>
    <t>Демонтаж насоса циркуляционного</t>
  </si>
  <si>
    <t>1.10.15</t>
  </si>
  <si>
    <t>Демонтаж пластинчатых теплообменников для систем отопления и горячего водоснабжения</t>
  </si>
  <si>
    <t>1.10.16</t>
  </si>
  <si>
    <t>Демонтаж пожарного шкафа</t>
  </si>
  <si>
    <t>1.10.17</t>
  </si>
  <si>
    <t>Демонтаж радиатора стального</t>
  </si>
  <si>
    <t>1.10.18</t>
  </si>
  <si>
    <t>Демонтаж радиатора чугунного</t>
  </si>
  <si>
    <t>1.10.19</t>
  </si>
  <si>
    <t>Демонтаж сифона</t>
  </si>
  <si>
    <t>1.10.20</t>
  </si>
  <si>
    <t>Демонтаж сливного трапа</t>
  </si>
  <si>
    <t>1.10.21</t>
  </si>
  <si>
    <t>Демонтаж смесителя без душевой сетки</t>
  </si>
  <si>
    <t>1.10.22</t>
  </si>
  <si>
    <t>Демонтаж смесителя с душевой сеткой</t>
  </si>
  <si>
    <t>1.10.23</t>
  </si>
  <si>
    <t>Демонтаж счетчика-водомерного (тахометрического, импульсного) хвс, гвс (ВСХд)</t>
  </si>
  <si>
    <t>1.10.24</t>
  </si>
  <si>
    <t>Демонтаж тепловентилятора</t>
  </si>
  <si>
    <t>1.10.25</t>
  </si>
  <si>
    <t>Демонтаж тепловой завесы электрической</t>
  </si>
  <si>
    <t>1.10.26</t>
  </si>
  <si>
    <t>Демонтаж трубопроводов стальных/чугунных</t>
  </si>
  <si>
    <t>1.10.27</t>
  </si>
  <si>
    <t>Демонтаж трубупроводов ПВХ /полипропилен</t>
  </si>
  <si>
    <t>1.10.28</t>
  </si>
  <si>
    <t>Демонтаж узла теплового элеваторного</t>
  </si>
  <si>
    <t>1.10.29</t>
  </si>
  <si>
    <t>Демонтаж унитаза или писсуара</t>
  </si>
  <si>
    <t>1.10.30</t>
  </si>
  <si>
    <t>Демонтаж фановых труб</t>
  </si>
  <si>
    <t>1.10.31</t>
  </si>
  <si>
    <t>Демонтаж фланцевой запорной арматуры</t>
  </si>
  <si>
    <t>1.10.32</t>
  </si>
  <si>
    <t>Утилизация жироуловителя с предоставлением акта</t>
  </si>
  <si>
    <t>1.10.N1</t>
  </si>
  <si>
    <t>Демонтаж умывальника (раковины) с сифоном</t>
  </si>
  <si>
    <t>1.10.N2</t>
  </si>
  <si>
    <t>Демонтаж накопительного водонагревателя до 100 л</t>
  </si>
  <si>
    <t>1.10.N3</t>
  </si>
  <si>
    <t>Демонтаж полотенцесушителя</t>
  </si>
  <si>
    <t>1.10.N4</t>
  </si>
  <si>
    <t>Демонтаж инсталляции подвесного унитаза</t>
  </si>
  <si>
    <t>1.11.1</t>
  </si>
  <si>
    <t>Демонтаж шинопровода</t>
  </si>
  <si>
    <t>1.11.2</t>
  </si>
  <si>
    <t>Демонтаж автоматических выключателей/УЗО/Диф 1 Р</t>
  </si>
  <si>
    <t>1.11.3</t>
  </si>
  <si>
    <t>Демонтаж автоматических выключателей/УЗО/Диф 2 Р</t>
  </si>
  <si>
    <t>1.11.4</t>
  </si>
  <si>
    <t>Демонтаж автоматических выключателей/УЗО/Диф 3 Р</t>
  </si>
  <si>
    <t>1.11.5</t>
  </si>
  <si>
    <t>Демонтаж автоматических выключателей/УЗО/Диф 4 Р</t>
  </si>
  <si>
    <t>1.11.6</t>
  </si>
  <si>
    <t>Демонтаж выключателя, розетки</t>
  </si>
  <si>
    <t>шт.</t>
  </si>
  <si>
    <t>1.11.7</t>
  </si>
  <si>
    <t>Демонтаж кабеля сечением до 35 мм2</t>
  </si>
  <si>
    <t>1.11.8</t>
  </si>
  <si>
    <t>Демонтаж кабеля сечением сыше 35 мм2</t>
  </si>
  <si>
    <t>1.11.9</t>
  </si>
  <si>
    <t>Демонтаж кассового узла</t>
  </si>
  <si>
    <t>1.11.10</t>
  </si>
  <si>
    <t>Демонтаж КСО</t>
  </si>
  <si>
    <t>1.11.11</t>
  </si>
  <si>
    <t>Демонтаж лотков кабельных</t>
  </si>
  <si>
    <t>1.11.12</t>
  </si>
  <si>
    <t>Демонтаж магнитного пускателя</t>
  </si>
  <si>
    <t>1.11.13</t>
  </si>
  <si>
    <t>Демонтаж светильника</t>
  </si>
  <si>
    <t>1.11.14</t>
  </si>
  <si>
    <t>Демонтаж светодиодной ленты</t>
  </si>
  <si>
    <t>1.11.15</t>
  </si>
  <si>
    <t>Демонтаж табакошопа</t>
  </si>
  <si>
    <t>1.11.16</t>
  </si>
  <si>
    <t>Демонтаж электросчетчика</t>
  </si>
  <si>
    <t>1.11.17</t>
  </si>
  <si>
    <t>Демонтаж электрощита</t>
  </si>
  <si>
    <t>1.11.N1</t>
  </si>
  <si>
    <t>Демонтаж кабель-канала</t>
  </si>
  <si>
    <t>1.11.N2</t>
  </si>
  <si>
    <t>Демонтаж промышленного светильника (high-bay) на высоте до 12 м</t>
  </si>
  <si>
    <t>1.11.N3</t>
  </si>
  <si>
    <t>Демонтаж распаечной коробки</t>
  </si>
  <si>
    <t>1.11.N4</t>
  </si>
  <si>
    <t>Демонтаж извещателей / оповещателей ОПС</t>
  </si>
  <si>
    <t>1.12.1</t>
  </si>
  <si>
    <t>Высверливание личинки замка</t>
  </si>
  <si>
    <t>1.12.2</t>
  </si>
  <si>
    <t>Демонтаж витражного оконного блока из алюминиевого профиля</t>
  </si>
  <si>
    <t>1.12.3</t>
  </si>
  <si>
    <t>Демонтаж витринных стекол М1 6 мм, до 4 м2, с утилизацией</t>
  </si>
  <si>
    <t>1.12.4</t>
  </si>
  <si>
    <t>Демонтаж витринных стекол М1 6 мм, свыше 4 м2, с утилизацией</t>
  </si>
  <si>
    <t>1.12.5</t>
  </si>
  <si>
    <t>Демонтаж двери металлической двухстворчатой</t>
  </si>
  <si>
    <t>1.12.6</t>
  </si>
  <si>
    <t>Демонтаж двери металлической одностворчатой</t>
  </si>
  <si>
    <t>1.12.7</t>
  </si>
  <si>
    <t>Демонтаж деревянной дверной коробки: в каменных стенах с отбивкой штукатурки в откосах со снятием наличников и дверных полотен</t>
  </si>
  <si>
    <t>1.12.8</t>
  </si>
  <si>
    <t>Демонтаж деревянных дверных блоков из перегородок ГКЛ</t>
  </si>
  <si>
    <t>1.12.9</t>
  </si>
  <si>
    <t>Демонтаж доводчика</t>
  </si>
  <si>
    <t>1.12.10</t>
  </si>
  <si>
    <t>Демонтаж дуговой ручки ПВХ двери</t>
  </si>
  <si>
    <t>1.12.11</t>
  </si>
  <si>
    <t>Демонтаж замка врезного металлической двери</t>
  </si>
  <si>
    <t>1.12.12</t>
  </si>
  <si>
    <t>Демонтаж оконного блока из ПВХ профиля</t>
  </si>
  <si>
    <t>1.12.13</t>
  </si>
  <si>
    <t>Демонтаж оконных блоков: в каменных стенах с отбивкой штукатурки в откосах</t>
  </si>
  <si>
    <t>1.12.14</t>
  </si>
  <si>
    <t>Демонтаж ПВХ двери с коробкой</t>
  </si>
  <si>
    <t>1.12.15</t>
  </si>
  <si>
    <t>Демонтаж петли деревянной двери</t>
  </si>
  <si>
    <t>1.12.16</t>
  </si>
  <si>
    <t>Демонтаж петли металлической двери (на сварке)</t>
  </si>
  <si>
    <t>1.12.17</t>
  </si>
  <si>
    <t>Демонтаж петли ПВХ двери</t>
  </si>
  <si>
    <t>1.12.18</t>
  </si>
  <si>
    <t>Демонтаж подоконных досок бетонных</t>
  </si>
  <si>
    <t>1.12.19</t>
  </si>
  <si>
    <t>Демонтаж подоконных досок деревянных</t>
  </si>
  <si>
    <t>1.12.20</t>
  </si>
  <si>
    <t>Демонтаж подоконных досок из ПВХ</t>
  </si>
  <si>
    <t>1.12.21</t>
  </si>
  <si>
    <t>Демонтаж ручки антипаника</t>
  </si>
  <si>
    <t>1.12.22</t>
  </si>
  <si>
    <t>Демонтаж стеклоалюминиевой двери</t>
  </si>
  <si>
    <t>1.12.23</t>
  </si>
  <si>
    <t>Демонтаж стеклопакетов из алюминиевых профилей</t>
  </si>
  <si>
    <t>1.12.24</t>
  </si>
  <si>
    <t>Демонтаж стеклопакетов из ПВХ профилей</t>
  </si>
  <si>
    <t>1.12.25</t>
  </si>
  <si>
    <t>Демонтаж/монтаж полотна металлической двери</t>
  </si>
  <si>
    <t>1.12.26</t>
  </si>
  <si>
    <t>Очистка стекла от тонировочной пленки</t>
  </si>
  <si>
    <t>1.12.27</t>
  </si>
  <si>
    <t>Снятие наличников</t>
  </si>
  <si>
    <t>1.12.N1</t>
  </si>
  <si>
    <t>Демонтаж автоматической раздвижной двери (привод + створки)</t>
  </si>
  <si>
    <t>1.12.N2</t>
  </si>
  <si>
    <t>Демонтаж противопожарной металлической двери EI60 одностворчатой</t>
  </si>
  <si>
    <t>1.12.N3</t>
  </si>
  <si>
    <t>Демонтаж оконных отливов</t>
  </si>
  <si>
    <t>1.13.1</t>
  </si>
  <si>
    <t>1.13.2</t>
  </si>
  <si>
    <t>Демонтаж алюминиевого верхнего профиля</t>
  </si>
  <si>
    <t>1.13.3</t>
  </si>
  <si>
    <t>Демонтаж алюминиевого нижнего профиля</t>
  </si>
  <si>
    <t>1.13.4</t>
  </si>
  <si>
    <t>Демонтаж алюминиевого обрамления калитки</t>
  </si>
  <si>
    <t>1.13.5</t>
  </si>
  <si>
    <t>Демонтаж барабана ворот</t>
  </si>
  <si>
    <t>1.13.6</t>
  </si>
  <si>
    <t>Демонтаж бокового замка части полотна рулонных ворот</t>
  </si>
  <si>
    <t>1.13.7</t>
  </si>
  <si>
    <t>Демонтаж бокового уплотнителя направляющей рулонных ворот</t>
  </si>
  <si>
    <t>1.13.8</t>
  </si>
  <si>
    <t>Демонтаж боковой крышки 137,150,165 короба рулонных ворот</t>
  </si>
  <si>
    <t>1.13.9</t>
  </si>
  <si>
    <t>Демонтаж боковой крышки 180,205,250 короба рулонных ворот</t>
  </si>
  <si>
    <t>1.13.10</t>
  </si>
  <si>
    <t>Демонтаж боковой крышки 300,375 короба рулонных ворот</t>
  </si>
  <si>
    <t>1.13.11</t>
  </si>
  <si>
    <t>Демонтаж боковой крышки панели рулонных ворот</t>
  </si>
  <si>
    <t>1.13.12</t>
  </si>
  <si>
    <t>Демонтаж боковой опоры с роликодержателем рулонных ворот</t>
  </si>
  <si>
    <t>1.13.13</t>
  </si>
  <si>
    <t>Демонтаж болта для центровки пленочных и ПВХ ворот</t>
  </si>
  <si>
    <t>1.13.14</t>
  </si>
  <si>
    <t>Демонтаж вала полнотелого с пазом под шпонку рулонных ворот</t>
  </si>
  <si>
    <t>1.13.15</t>
  </si>
  <si>
    <t>Демонтаж вала пустотелого с пазом под шпонку рулонных ворот</t>
  </si>
  <si>
    <t>1.13.16</t>
  </si>
  <si>
    <t>Демонтаж вала рулонных ворот</t>
  </si>
  <si>
    <t>1.13.17</t>
  </si>
  <si>
    <t>Демонтаж вертикальной направляющей стойки, вертикальный подъем</t>
  </si>
  <si>
    <t>1.13.18</t>
  </si>
  <si>
    <t>Демонтаж вертикальной направляющей стойки, стандартный подъем</t>
  </si>
  <si>
    <t>1.13.19</t>
  </si>
  <si>
    <t>Демонтаж верхнего и нижнего резинового уплотнителя ворот</t>
  </si>
  <si>
    <t>1.13.20</t>
  </si>
  <si>
    <t>Демонтаж верхней опоры створки пленочных и ПВХ ворот</t>
  </si>
  <si>
    <t>1.13.21</t>
  </si>
  <si>
    <t>Демонтаж внешнего бокового уплотнителя секционных ворот</t>
  </si>
  <si>
    <t>1.13.22</t>
  </si>
  <si>
    <t>Демонтаж внешнего верхнего уплотнителя секционных ворот</t>
  </si>
  <si>
    <t>1.13.23</t>
  </si>
  <si>
    <t>Демонтаж ворот секционных и рулонных</t>
  </si>
  <si>
    <t>1.13.24</t>
  </si>
  <si>
    <t>Демонтаж врезного замка калитки ворот, дверей, секционных ворот</t>
  </si>
  <si>
    <t>1.13.25</t>
  </si>
  <si>
    <t>Демонтаж вставки для пружины</t>
  </si>
  <si>
    <t>1.13.26</t>
  </si>
  <si>
    <t>Демонтаж втулки распорной для ролика/роликодержателя</t>
  </si>
  <si>
    <t>1.13.27</t>
  </si>
  <si>
    <t>Демонтаж горизонтальной направляющей ворот</t>
  </si>
  <si>
    <t>1.13.28</t>
  </si>
  <si>
    <t>Демонтаж гребенки полосовых завес</t>
  </si>
  <si>
    <t>1.13.29</t>
  </si>
  <si>
    <t>Демонтаж датчика сигнализации ворот</t>
  </si>
  <si>
    <t>1.13.30</t>
  </si>
  <si>
    <t>Демонтаж жалюзи ворот</t>
  </si>
  <si>
    <t>1.13.31</t>
  </si>
  <si>
    <t>Демонтаж задвижки секционных и рулонных ворот</t>
  </si>
  <si>
    <t>1.13.32</t>
  </si>
  <si>
    <t>Демонтаж замка одностороннего ворот</t>
  </si>
  <si>
    <t>1.13.33</t>
  </si>
  <si>
    <t>Демонтаж защиты вертикальной направляющей стойки</t>
  </si>
  <si>
    <t>1.13.34</t>
  </si>
  <si>
    <t>Демонтаж изгиба направляющей стойки</t>
  </si>
  <si>
    <t>1.13.35</t>
  </si>
  <si>
    <t>Демонтаж калитки ворот</t>
  </si>
  <si>
    <t>1.13.36</t>
  </si>
  <si>
    <t>Демонтаж капсулы для вала</t>
  </si>
  <si>
    <t>1.13.37</t>
  </si>
  <si>
    <t>Демонтаж кардана ворот</t>
  </si>
  <si>
    <t>1.13.38</t>
  </si>
  <si>
    <t>Демонтаж каретки подвижной рулонных ворот</t>
  </si>
  <si>
    <t>1.13.39</t>
  </si>
  <si>
    <t>Демонтаж консоли крепления вала рулонных ворот</t>
  </si>
  <si>
    <t>1.13.40</t>
  </si>
  <si>
    <t>Демонтаж концевого опорного кронштейна вала рулонных ворот</t>
  </si>
  <si>
    <t>1.13.41</t>
  </si>
  <si>
    <t>Демонтаж кронштейна для крепления навального привода</t>
  </si>
  <si>
    <t>1.13.42</t>
  </si>
  <si>
    <t>Демонтаж кронштейна для поддержки пружины</t>
  </si>
  <si>
    <t>1.13.43</t>
  </si>
  <si>
    <t>Демонтаж кронштейна каретки подвижной рулонных ворот</t>
  </si>
  <si>
    <t>1.13.44</t>
  </si>
  <si>
    <t>Демонтаж механической части ручного управления рулонных ворот</t>
  </si>
  <si>
    <t>1.13.45</t>
  </si>
  <si>
    <t>Демонтаж направляющего ролика рулонных ворот</t>
  </si>
  <si>
    <t>1.13.46</t>
  </si>
  <si>
    <t>Демонтаж направляющей профиля рулонных ворот</t>
  </si>
  <si>
    <t>1.13.47</t>
  </si>
  <si>
    <t>Демонтаж натяжного ролика цепи цепного редуктора рулонных ворот</t>
  </si>
  <si>
    <t>1.13.48</t>
  </si>
  <si>
    <t>Демонтаж нижнего углового кронштейна</t>
  </si>
  <si>
    <t>1.13.49</t>
  </si>
  <si>
    <t>Демонтаж нижней опоры створки пленочных и ПВХ ворот</t>
  </si>
  <si>
    <t>1.13.50</t>
  </si>
  <si>
    <t>Демонтаж одной полосы пленочных завес</t>
  </si>
  <si>
    <t>1.13.51</t>
  </si>
  <si>
    <t>Демонтаж окончаний пружин ворот</t>
  </si>
  <si>
    <t>1.13.52</t>
  </si>
  <si>
    <t>Демонтаж Омега профиля от прогибания панели</t>
  </si>
  <si>
    <t>1.13.53</t>
  </si>
  <si>
    <t>Демонтаж панели калитки ворот</t>
  </si>
  <si>
    <t>1.13.54</t>
  </si>
  <si>
    <t>Демонтаж панели металлического ограждения из металлического профиля (без демонтажа стоек)</t>
  </si>
  <si>
    <t>1.13.55</t>
  </si>
  <si>
    <t>Демонтаж петли калитки ворот</t>
  </si>
  <si>
    <t>1.13.56</t>
  </si>
  <si>
    <t>Демонтаж пластиковой направляющей полотна рулонных ворот</t>
  </si>
  <si>
    <t>1.13.57</t>
  </si>
  <si>
    <t>Демонтаж пластины полосовой завесы</t>
  </si>
  <si>
    <t>1.13.58</t>
  </si>
  <si>
    <t>Демонтаж пленочных и ПВХ распашных ворот одна створка</t>
  </si>
  <si>
    <t>1.13.59</t>
  </si>
  <si>
    <t>Демонтаж подшипника ворот</t>
  </si>
  <si>
    <t>1.13.60</t>
  </si>
  <si>
    <t>Демонтаж подшипника опорного кронштейна для вала рулонных ворот</t>
  </si>
  <si>
    <t>1.13.61</t>
  </si>
  <si>
    <t>Демонтаж полотна пленочных и пластиковых ворот 1 створка</t>
  </si>
  <si>
    <t>створка</t>
  </si>
  <si>
    <t>1.13.62</t>
  </si>
  <si>
    <t>Демонтаж порога калитки ворот</t>
  </si>
  <si>
    <t>1.13.63</t>
  </si>
  <si>
    <t>Демонтаж привода секционных/рулонных ворот</t>
  </si>
  <si>
    <t>1.13.64</t>
  </si>
  <si>
    <t>Демонтаж промежуточного кронштейна для вала рулонных ворот</t>
  </si>
  <si>
    <t>1.13.65</t>
  </si>
  <si>
    <t>Демонтаж промежуточной петли секционных ворот</t>
  </si>
  <si>
    <t>1.13.66</t>
  </si>
  <si>
    <t>Демонтаж пружинновозвратого механизма пленочных и ПВХ ворот</t>
  </si>
  <si>
    <t>1.13.67</t>
  </si>
  <si>
    <t>Демонтаж пружинноинерционного механизма ворот</t>
  </si>
  <si>
    <t>1.13.68</t>
  </si>
  <si>
    <t>Демонтаж пружины</t>
  </si>
  <si>
    <t>1.13.69</t>
  </si>
  <si>
    <t>Демонтаж пружины пружинновозвратного механизма пленочных и ПВХ ворот</t>
  </si>
  <si>
    <t>1.13.70</t>
  </si>
  <si>
    <t>Демонтаж раздвижной решётки</t>
  </si>
  <si>
    <t>1.13.71</t>
  </si>
  <si>
    <t>Демонтаж редуктора ворот</t>
  </si>
  <si>
    <t>1.13.72</t>
  </si>
  <si>
    <t>Демонтаж ригельного замка и запорной полосы ворот</t>
  </si>
  <si>
    <t>1.13.73</t>
  </si>
  <si>
    <t>Демонтаж ригеля блокирующего и тяговой пружины ворот</t>
  </si>
  <si>
    <t>1.13.74</t>
  </si>
  <si>
    <t>Демонтаж ролика ворот</t>
  </si>
  <si>
    <t>1.13.75</t>
  </si>
  <si>
    <t>Демонтаж рольставней</t>
  </si>
  <si>
    <t>1.13.76</t>
  </si>
  <si>
    <t>Демонтаж ручки для поднятия полотна ворот</t>
  </si>
  <si>
    <t>1.13.77</t>
  </si>
  <si>
    <t>Демонтаж ручки на двери калитки секционных ворот</t>
  </si>
  <si>
    <t>1.13.78</t>
  </si>
  <si>
    <t>Демонтаж ручки ПВХ ворот</t>
  </si>
  <si>
    <t>1.13.79</t>
  </si>
  <si>
    <t>Демонтаж ручного цепного редуктора ворот</t>
  </si>
  <si>
    <t>1.13.80</t>
  </si>
  <si>
    <t>Демонтаж секционной панели секционных ворот</t>
  </si>
  <si>
    <t>1.13.81</t>
  </si>
  <si>
    <t>Демонтаж смотрового окна пленочных и ПВХ ворот</t>
  </si>
  <si>
    <t>1.13.82</t>
  </si>
  <si>
    <t>Демонтаж соединительной муфты вала ворот</t>
  </si>
  <si>
    <t>1.13.83</t>
  </si>
  <si>
    <t>Демонтаж стоек металлического ограждения из металлического профиля</t>
  </si>
  <si>
    <t>1.13.84</t>
  </si>
  <si>
    <t>Демонтаж стопора полотна рулонных ворот</t>
  </si>
  <si>
    <t>1.13.85</t>
  </si>
  <si>
    <t>Демонтаж суппорта с подшипником ворот</t>
  </si>
  <si>
    <t>1.13.86</t>
  </si>
  <si>
    <t>Демонтаж троса ворот</t>
  </si>
  <si>
    <t>1.13.87</t>
  </si>
  <si>
    <t>Демонтаж укосины для фиксации горизонтальной направляющей ворот</t>
  </si>
  <si>
    <t>1.13.88</t>
  </si>
  <si>
    <t>Демонтаж уплотнителя концевого профиля рулонных ворот</t>
  </si>
  <si>
    <t>1.13.89</t>
  </si>
  <si>
    <t>Демонтаж уплотнителя направляющего профиля рулонных ворот</t>
  </si>
  <si>
    <t>1.13.90</t>
  </si>
  <si>
    <t>Демонтаж устройства от обрыва пружины ворот</t>
  </si>
  <si>
    <t>1.13.91</t>
  </si>
  <si>
    <t>Демонтаж устройства от обрыва троса ворот</t>
  </si>
  <si>
    <t>1.13.92</t>
  </si>
  <si>
    <t>Демонтаж фиксирующей гайки нижней опоры пленочных и ПВХ ворот</t>
  </si>
  <si>
    <t>1.13.93</t>
  </si>
  <si>
    <t>Демонтаж части полотна рулонных ворот</t>
  </si>
  <si>
    <t>1.13.94</t>
  </si>
  <si>
    <t>Демонтаж шины скользящей для доводчика</t>
  </si>
  <si>
    <t>1.13.95</t>
  </si>
  <si>
    <t>Демонтаж шпильки барабана ворот</t>
  </si>
  <si>
    <t>1.13.96</t>
  </si>
  <si>
    <t>Демонтаж электромеханической части управления рулонных ворот</t>
  </si>
  <si>
    <t>1.13.97</t>
  </si>
  <si>
    <t>Демонтаж полотна скоростных ворот DYNACO среднетемпературного исполнения размером 3,0*5,0 м</t>
  </si>
  <si>
    <t>1.13.N1</t>
  </si>
  <si>
    <t>Демонтаж уравнительной платформы (докового левеллера)</t>
  </si>
  <si>
    <t>1.13.N2</t>
  </si>
  <si>
    <t>Демонтаж докового герметизатора / шелтера</t>
  </si>
  <si>
    <t>1.13.N3</t>
  </si>
  <si>
    <t>Демонтаж откатных ворот (полотно + консольная система)</t>
  </si>
  <si>
    <t>1.13.N4</t>
  </si>
  <si>
    <t>Демонтаж шлагбаума</t>
  </si>
  <si>
    <t>1.13.N5</t>
  </si>
  <si>
    <t>Разгрузка торсионных пружин секционных ворот перед демонтажем/ремонтом</t>
  </si>
  <si>
    <t>2.1</t>
  </si>
  <si>
    <t>Установка анкера от 92-112 мм в готовые отверстия</t>
  </si>
  <si>
    <t>2.2</t>
  </si>
  <si>
    <t>Установка анкера 16х200 с учетом сверления отверстий в бетоне</t>
  </si>
  <si>
    <t>2.3</t>
  </si>
  <si>
    <t>Сверление вертикальных отверстий в бетонных конструкциях полов перфоратором глубиной 200 мм диаметром 20-50 мм</t>
  </si>
  <si>
    <t>2.4</t>
  </si>
  <si>
    <t>На каждые 10 мм изменения глубины сверления добавлять или исключать к расценке по потолкам диаметр 20 -50мм</t>
  </si>
  <si>
    <t>2.5</t>
  </si>
  <si>
    <t>Сверление вертикальных отверстий в бетонных конструкциях полов перфоратором глубиной 100 мм диаметром 55-100 мм</t>
  </si>
  <si>
    <t>2.6</t>
  </si>
  <si>
    <t>На каждые 10 мм изменения глубины сверления добавлять или исключать к расценке по потолкам диаметр 55-100 мм</t>
  </si>
  <si>
    <t>2.7</t>
  </si>
  <si>
    <t>Сверление вертикальных отверстий в железобетонных конструкциях потолков перфоратором глубиной 200 мм диаметром 20-50 мм</t>
  </si>
  <si>
    <t>2.8</t>
  </si>
  <si>
    <t>На каждые 10 мм изменения глубины сверления добавлять или исключать к расценке по потолкам 20-50 мм</t>
  </si>
  <si>
    <t>2.9</t>
  </si>
  <si>
    <t>Сверление вертикальных отверстий в железобетонных конструкциях потолков перфоратором глубиной 200 мм диаметром 55-100 мм</t>
  </si>
  <si>
    <t>2.10</t>
  </si>
  <si>
    <t>На каждые 10 мм изменения глубины сверления добавлять или исключать к расценке по потолкам 55-100 мм</t>
  </si>
  <si>
    <t>2.11</t>
  </si>
  <si>
    <t>Пробивка в бетонных потолках толщиной 100 мм отверстий площадью до 100 см2</t>
  </si>
  <si>
    <t>2.12</t>
  </si>
  <si>
    <t>Пробивка в кирпичных стенах отверстия диаметром до 25 мм при толщине стен до 38 см</t>
  </si>
  <si>
    <t>2.13</t>
  </si>
  <si>
    <t>Пробивка в кирпичных стенах отверстия диаметром до 50 мм при толщине стен до 38 см</t>
  </si>
  <si>
    <t>2.14</t>
  </si>
  <si>
    <t>Пробивка в бетонных стенах и полах толщиной 100 мм отверстия площадью до 100 см2</t>
  </si>
  <si>
    <t>2.15</t>
  </si>
  <si>
    <t>Сверление отверстий, для прохода кабеля сквозь стену (ГКЛ)</t>
  </si>
  <si>
    <t>2.16</t>
  </si>
  <si>
    <t>Сверление кольцевыми алмазными сверлами в железобетон. констр-циях с применением охлажд. жидкости вертикального отверстия глубиной 200 мм диаметром 110 мм</t>
  </si>
  <si>
    <t>2.17</t>
  </si>
  <si>
    <t>Пробивка в бетонных конструкциях полов и стен борозды площадью сечения до 20 см2</t>
  </si>
  <si>
    <t>2.18</t>
  </si>
  <si>
    <t>Бурение отверстия в стене для фреоновой трассы до 0,6м (кирпич)</t>
  </si>
  <si>
    <t>2.19</t>
  </si>
  <si>
    <t>Бурение отверстия в стене для фреоновой трассы до 0,6м (бетон)</t>
  </si>
  <si>
    <t>2.20</t>
  </si>
  <si>
    <t>Бурение отверстия в стене для фреоновой трассы до 0,6м (монолит)</t>
  </si>
  <si>
    <t>2.21</t>
  </si>
  <si>
    <t>Бурение отверстия в стене для фреоновой трассы свыше 0,6м (кирпич)</t>
  </si>
  <si>
    <t>2.22</t>
  </si>
  <si>
    <t>Бурение отверстия в стене для фреоновой трассы свыше 0,6м (бетон)</t>
  </si>
  <si>
    <t>2.23</t>
  </si>
  <si>
    <t>Бурение отверстия в стене для фреоновой трассы свыше 0,6м (монолит)</t>
  </si>
  <si>
    <t>2.24</t>
  </si>
  <si>
    <t>Бурение отверстия в стене для дренажной трассы до 0,6м (кирпич) D25мм</t>
  </si>
  <si>
    <t>2.25</t>
  </si>
  <si>
    <t>Бурение отверстия в стене для дренажной трассы до 0,6м (бетон) D25мм</t>
  </si>
  <si>
    <t>2.26</t>
  </si>
  <si>
    <t>Бурение отверстия в стене для дренажной трассы до 0,6м (монолит) D25мм</t>
  </si>
  <si>
    <t>2.27</t>
  </si>
  <si>
    <t>Бурение отв. в стене для дренажной трассы свыше 0,6м (кирпич) D25мм</t>
  </si>
  <si>
    <t>2.28</t>
  </si>
  <si>
    <t>Бурение отв. в стене для дренажной трассы свыше 0,6м (бетон) D25мм</t>
  </si>
  <si>
    <t>2.29</t>
  </si>
  <si>
    <t>Бурение отв. в стене для дренажной трассы свыше 0,6м (монолит) D25мм</t>
  </si>
  <si>
    <t>2.30</t>
  </si>
  <si>
    <t>Пробивка в бетонных конструкциях полов и стен борозды площадью сечения до 50 см2</t>
  </si>
  <si>
    <t>2.31</t>
  </si>
  <si>
    <t>Пробивка в бетонных конструкциях полов и стен борозды площадью сечения до 100 см2</t>
  </si>
  <si>
    <t>2.32</t>
  </si>
  <si>
    <t>Покрытие полиэтиленовой пленкой поверхности шкафов, дверных блоков, офисной мебели, оборудования и т.п.</t>
  </si>
  <si>
    <t>2.33</t>
  </si>
  <si>
    <t>Покрытие полиэтиленовой пленкой поверхности полов</t>
  </si>
  <si>
    <t>2.34</t>
  </si>
  <si>
    <t>Спуск (подъем) крупногабаритного оборудования вручную</t>
  </si>
  <si>
    <t>2.35</t>
  </si>
  <si>
    <t>Перенос крупногабаритного оборудования вручную</t>
  </si>
  <si>
    <t>2.36</t>
  </si>
  <si>
    <t>Демонтаж стеллажей</t>
  </si>
  <si>
    <t>2.37</t>
  </si>
  <si>
    <t>Вывоз мусора контейнерами</t>
  </si>
  <si>
    <t>TEX</t>
  </si>
  <si>
    <t>2.38</t>
  </si>
  <si>
    <t>Очистка помещений от строительного мусора</t>
  </si>
  <si>
    <t>2.39</t>
  </si>
  <si>
    <t>Затаривание строительного мусора в мешки</t>
  </si>
  <si>
    <t>2.40</t>
  </si>
  <si>
    <t>Очистка вручную поверхности от красок с земли и лесов (без установки лесов) (1 м2)</t>
  </si>
  <si>
    <t>2.41</t>
  </si>
  <si>
    <t>Наполнение щебнем, битым стеклом и проч. материалами в помещении (заделка мест прохода грызунов)</t>
  </si>
  <si>
    <t>2.42</t>
  </si>
  <si>
    <t>Монтаж строительных лесов с учетом последующего демонтажа лесов</t>
  </si>
  <si>
    <t>2.43</t>
  </si>
  <si>
    <t>Тура вышка марки ВСП 250: аренда на 5суток с доставкой на объект и вывозом с объекта</t>
  </si>
  <si>
    <t>сутки</t>
  </si>
  <si>
    <t>2.44</t>
  </si>
  <si>
    <t>Демонтаж/монтаж датчиков пожарной сигнализации</t>
  </si>
  <si>
    <t>2.45</t>
  </si>
  <si>
    <t>Демонтаж/монтаж рекламы</t>
  </si>
  <si>
    <t>2.46</t>
  </si>
  <si>
    <t>Демонтаж/монтаж стеллажей (перенос)</t>
  </si>
  <si>
    <t>2.47</t>
  </si>
  <si>
    <t>Аренда спецтехники (автовышка, манипулятор)</t>
  </si>
  <si>
    <t>смена</t>
  </si>
  <si>
    <t>2.48</t>
  </si>
  <si>
    <t>Мыте фасада</t>
  </si>
  <si>
    <t>2.49</t>
  </si>
  <si>
    <t>Мыте витринных стекол</t>
  </si>
  <si>
    <t>2.50</t>
  </si>
  <si>
    <t>Установка колесоотбойников металлических</t>
  </si>
  <si>
    <t>2.51</t>
  </si>
  <si>
    <t>Установка колесоотбойников резиновых</t>
  </si>
  <si>
    <t>2.52</t>
  </si>
  <si>
    <t>Доставка материала а/т г/п до 0,5 тн в пределах города</t>
  </si>
  <si>
    <t>усл</t>
  </si>
  <si>
    <t>2.53</t>
  </si>
  <si>
    <t>Доставка материала а/т г/п до 1,5 тн в пределах города</t>
  </si>
  <si>
    <t>2.54</t>
  </si>
  <si>
    <t>Доставка материала а/т г/п до 3,5 тн в пределах города</t>
  </si>
  <si>
    <t>2.55</t>
  </si>
  <si>
    <t>Доставка материала а/т г/п до 5 тн в пределах города</t>
  </si>
  <si>
    <t>2.56</t>
  </si>
  <si>
    <t>Доставка материала а/т г/п до 0,5 тн по области до 30 км</t>
  </si>
  <si>
    <t>2.57</t>
  </si>
  <si>
    <t>Доставка материала а/т г/п до 1,5 тн по области до 30 км</t>
  </si>
  <si>
    <t>2.58</t>
  </si>
  <si>
    <t>Доставка материала а/т г/п до 3,5 тн по области до 30 км</t>
  </si>
  <si>
    <t>2.59</t>
  </si>
  <si>
    <t>Доставка материала а/т г/п до 5 тн по области до 30 км</t>
  </si>
  <si>
    <t>2.60</t>
  </si>
  <si>
    <t>Доставка материала а/т г/п до 0,5 тн по области от 30 до 70 км</t>
  </si>
  <si>
    <t>2.61</t>
  </si>
  <si>
    <t>Доставка материала а/т г/п до 1,5 тн по области от 30 до 70 км</t>
  </si>
  <si>
    <t>2.62</t>
  </si>
  <si>
    <t>Доставка материала а/т г/п до 3,5 тн по области от 30 до 70 км</t>
  </si>
  <si>
    <t>2.63</t>
  </si>
  <si>
    <t>Доставка материала а/т г/п до 5 тн по области от 30 до 70 км</t>
  </si>
  <si>
    <t>2.64</t>
  </si>
  <si>
    <t>Доставка материала а/т г/п до 0,5 тн по области от 70 до 120 км</t>
  </si>
  <si>
    <t>2.65</t>
  </si>
  <si>
    <t>Доставка материала а/т г/п до 1,5 тн по области от 70 до 120 км</t>
  </si>
  <si>
    <t>2.66</t>
  </si>
  <si>
    <t>Доставка материала а/т г/п до 3,5 тн по области от 70 до 120 км</t>
  </si>
  <si>
    <t>2.67</t>
  </si>
  <si>
    <t>Доставка материала а/т г/п до 5 тн по области от 70 до 120 км</t>
  </si>
  <si>
    <t>2.68</t>
  </si>
  <si>
    <t>Выезд на объект для дефектовки работ (при условии общей сметной стоимости работ не более 30 000 руб) в пределах города</t>
  </si>
  <si>
    <t>2.69</t>
  </si>
  <si>
    <t>Выезд на объект для мелкого ремонта и дефектовки работ (при условии общей сметной стоимости работ не более 30 000 руб) по области до 40 км</t>
  </si>
  <si>
    <t>2.70</t>
  </si>
  <si>
    <t>Выезд на объект для мелкого ремонта и дефектовки работ (при условии общей сметной стоимости работ не более 30 000 руб) по области от 40 до 80 км</t>
  </si>
  <si>
    <t>2.71</t>
  </si>
  <si>
    <t>Выезд на объект для мелкого ремонта и дефектовки работ (при условии общей сметной стоимости работ не более 30 000 руб) по области от 80 до 120 км</t>
  </si>
  <si>
    <t>2.72</t>
  </si>
  <si>
    <t>Мелкая работа, расценки на которую отсутствуют в прайс-листе (с указанием в примечании что именно и в каком объеме выполняют)</t>
  </si>
  <si>
    <t>ч/ч</t>
  </si>
  <si>
    <t>2.73</t>
  </si>
  <si>
    <t>Демонтаж стойки стеллажного оборудования высотой 8,5-10,5 м на РЦ</t>
  </si>
  <si>
    <t>2.74</t>
  </si>
  <si>
    <t>Устройство ограждения из металлической оцинкованной сетки</t>
  </si>
  <si>
    <t>2.75</t>
  </si>
  <si>
    <t>Демонтаж балки стеллажного оборудования на РЦ (2,8 м, высотой 115)</t>
  </si>
  <si>
    <t>2.76</t>
  </si>
  <si>
    <t>Демонтаж защиты стойки стеллажного оборудования на РЦ</t>
  </si>
  <si>
    <t>2.77</t>
  </si>
  <si>
    <t>Монтаж стойки стеллажного оборудования высотой 8,5-10,5 м на РЦ</t>
  </si>
  <si>
    <t>2.78</t>
  </si>
  <si>
    <t>Монтаж балки стеллажного оборудования на РЦ (2,8 м, высотой 115)</t>
  </si>
  <si>
    <t>2.79</t>
  </si>
  <si>
    <t>Монтаж защиты стойки стеллажного оборудования на РЦ</t>
  </si>
  <si>
    <t>2.N1</t>
  </si>
  <si>
    <t>Алмазное бурение отверстий Ø до 82 мм в ж/б (за 1 см глубины)</t>
  </si>
  <si>
    <t>см</t>
  </si>
  <si>
    <t>2.N2</t>
  </si>
  <si>
    <t>Алмазное бурение отверстий Ø 132–202 мм в ж/б (за 1 см глубины)</t>
  </si>
  <si>
    <t>2.N3</t>
  </si>
  <si>
    <t>Алмазная резка ж/б стен толщиной до 200 мм стенорезной машиной</t>
  </si>
  <si>
    <t>2.N4</t>
  </si>
  <si>
    <t>Погрузка строительного мусора в контейнер вручную</t>
  </si>
  <si>
    <t>2.N5</t>
  </si>
  <si>
    <t>Вынос строительного мусора по лестнице (на 1 этаж)</t>
  </si>
  <si>
    <t>2.N6</t>
  </si>
  <si>
    <t>Устройство временной пылезащитной перегородки (стойки + плёнка) с демонтажем</t>
  </si>
  <si>
    <t>2.N7</t>
  </si>
  <si>
    <t>Финишная уборка помещений после СМР</t>
  </si>
  <si>
    <t>2.N8</t>
  </si>
  <si>
    <t>Аренда мини-погрузчика с оператором</t>
  </si>
  <si>
    <t>2.N9</t>
  </si>
  <si>
    <t>Аренда ножничного подъёмника 10–12 м с доставкой</t>
  </si>
  <si>
    <t>2.N10</t>
  </si>
  <si>
    <t>Установка металлических столбиков-ограничителей на анкерах</t>
  </si>
  <si>
    <t>3.1</t>
  </si>
  <si>
    <t>Водоотлив из котлована, траншеи</t>
  </si>
  <si>
    <t>3.2</t>
  </si>
  <si>
    <t>Засыпка вручную траншей, пазух котлованов и ям</t>
  </si>
  <si>
    <t>3.3</t>
  </si>
  <si>
    <t>Засыпка траншей и котлованов с перемещением грунта до 5 м бульдозерами</t>
  </si>
  <si>
    <t>3.4</t>
  </si>
  <si>
    <t>Перемещение грунта бульдозерами</t>
  </si>
  <si>
    <t>3.5</t>
  </si>
  <si>
    <t>Планировка откосов вручную</t>
  </si>
  <si>
    <t>3.6</t>
  </si>
  <si>
    <t>Планировка откосов и полотна выемок механизированным способом</t>
  </si>
  <si>
    <t>3.7</t>
  </si>
  <si>
    <t>Разработка грунта в отвал экскаваторами</t>
  </si>
  <si>
    <t>3.8</t>
  </si>
  <si>
    <t>Разработка грунта вручную</t>
  </si>
  <si>
    <t>3.9</t>
  </si>
  <si>
    <t>Уплотнение грунта вибрационными катками</t>
  </si>
  <si>
    <t>3.10</t>
  </si>
  <si>
    <t>Уплотнение грунта пневматическими трамбовками</t>
  </si>
  <si>
    <t>3.N1</t>
  </si>
  <si>
    <t>Погрузка грунта экскаватором в автосамосвалы</t>
  </si>
  <si>
    <t>3.N2</t>
  </si>
  <si>
    <t>Вывоз грунта самосвалом до 30 км с размещением на полигоне</t>
  </si>
  <si>
    <t>3.N3</t>
  </si>
  <si>
    <t>Обратная засыпка пазух мини-погрузчиком с послойным уплотнением виброплитой</t>
  </si>
  <si>
    <t>3.N4</t>
  </si>
  <si>
    <t>Разработка грунта мини-экскаватором в стеснённых условиях действующего объекта</t>
  </si>
  <si>
    <t>3.N5</t>
  </si>
  <si>
    <t>Укладка геотекстиля</t>
  </si>
  <si>
    <t>4.1.1</t>
  </si>
  <si>
    <t>Устройство гравийного основания под фундаменты</t>
  </si>
  <si>
    <t>4.1.2</t>
  </si>
  <si>
    <t>Устройство песчаного основания под фундаменты</t>
  </si>
  <si>
    <t>4.1.3</t>
  </si>
  <si>
    <t>Устройство щебеночного основания под фундаменты</t>
  </si>
  <si>
    <t>4.2.1</t>
  </si>
  <si>
    <t>Монтаж/демонтаж крупнощитовой и мелокщитовой опалубки</t>
  </si>
  <si>
    <t>4.2.2</t>
  </si>
  <si>
    <t>Устройство бетонной подготовки</t>
  </si>
  <si>
    <t>4.2.3</t>
  </si>
  <si>
    <t>Армирование подстилающих слоев и набетонок</t>
  </si>
  <si>
    <t>4.2.4</t>
  </si>
  <si>
    <t>Устройство железобетонных фундаментов общего назначения объемом до 5м3</t>
  </si>
  <si>
    <t>4.2.5</t>
  </si>
  <si>
    <t>Устройство бетонных ступеней</t>
  </si>
  <si>
    <t>4.2.6</t>
  </si>
  <si>
    <t>Устройство бетонных площадок крыльца</t>
  </si>
  <si>
    <t>4.2.7</t>
  </si>
  <si>
    <t>Устройство бетонных фундаментов общего назначения под колонны объемом до 3 м3</t>
  </si>
  <si>
    <t>4.2.8</t>
  </si>
  <si>
    <t>Устройство железобетонных фундаментов общего назначения под колонны объемом до 3 м3</t>
  </si>
  <si>
    <t>4.2.9</t>
  </si>
  <si>
    <t>Устройство фундаментных плит железобетонных плоских</t>
  </si>
  <si>
    <t>4.2.10</t>
  </si>
  <si>
    <t>Устройство ленточных бетонных фундаментов</t>
  </si>
  <si>
    <t>4.2.N1</t>
  </si>
  <si>
    <t>Приём бетона с бетононасоса с вибрированием</t>
  </si>
  <si>
    <t>4.2.N2</t>
  </si>
  <si>
    <t>Подливка безусадочным раствором под базы колонн и оборудования</t>
  </si>
  <si>
    <t>4.2.N3</t>
  </si>
  <si>
    <t>Устройство деформационного шва (пенополиэтилен/доска)</t>
  </si>
  <si>
    <t>4.3.1</t>
  </si>
  <si>
    <t>Установка металлических закладных деталей массой до 20 кг</t>
  </si>
  <si>
    <t>4.3.2</t>
  </si>
  <si>
    <t>Установка металлических закладных деталей массой до 5 кг</t>
  </si>
  <si>
    <t>4.3.N1</t>
  </si>
  <si>
    <t>Установка анкерных (фундаментных) болтов по шаблону</t>
  </si>
  <si>
    <t>4.4.1</t>
  </si>
  <si>
    <t>Гидроизоляция боковая обмазочная битумная в 2 слоя</t>
  </si>
  <si>
    <t>4.4.2</t>
  </si>
  <si>
    <t>Гидроизоляция поверхностей мастиковй полиуретановой в 2 слоя</t>
  </si>
  <si>
    <t>4.4.3</t>
  </si>
  <si>
    <t>Горизонтальная цементная гидроизоляция стен, фундаментов с жидким стеклом</t>
  </si>
  <si>
    <t>4.4.4</t>
  </si>
  <si>
    <t>Оклеечная горизонтальная гидроизоляция стен, фундаментов в 2 слоя</t>
  </si>
  <si>
    <t>4.4.N1</t>
  </si>
  <si>
    <t>Утепление фундамента плитами ЭППС на клею/мастике</t>
  </si>
  <si>
    <t>4.4.N2</t>
  </si>
  <si>
    <t>Проникающая гидроизоляция (Пенетрон) в 2 слоя с подготовкой</t>
  </si>
  <si>
    <t>4.4.N3</t>
  </si>
  <si>
    <t>Устройство профилированной мембраны (Planter)</t>
  </si>
  <si>
    <t>5.1.1</t>
  </si>
  <si>
    <t>Изготовление и монтаж связей и распорок из одиночных и парных уголков, гнутосварных профилей и др.</t>
  </si>
  <si>
    <t>5.1.2</t>
  </si>
  <si>
    <t>СВЕРЛЕНИЕ ОТВЕРСТИЙ ЭЛЕКТРОДРЕЛЬЮ В МЕТАЛЛИЧЕСКИХ ДЕТАЛЯХ, ДИАМЕТР ОТВЕРСТИЯ ДО 10 ММ</t>
  </si>
  <si>
    <t>5.1.3</t>
  </si>
  <si>
    <t>СВЕРЛЕНИЕ ОТВЕРСТИЙ ЭЛЕКТРОДРЕЛЬЮ В МЕТАЛЛИЧЕСКИХ ДЕТАЛЯХ, ДИАМЕТР ОТВЕРСТИЯ БОЛЕЕ 10 ММ</t>
  </si>
  <si>
    <t>5.1.4</t>
  </si>
  <si>
    <t>Монтаж металлоконструкций</t>
  </si>
  <si>
    <t>5.1.5</t>
  </si>
  <si>
    <t>Усиление сборных железобетонных конструкций установкой каркасов, сеток и стержневой арматуры</t>
  </si>
  <si>
    <t>5.1.6</t>
  </si>
  <si>
    <t>Усиление сборных железобетонных конструкций установкой каркасов, сеток и стержневой арматуры. Решетка, "клетка" 150х150 мм. Толщина прутка 16-18 мм.</t>
  </si>
  <si>
    <t>5.1.7</t>
  </si>
  <si>
    <t>Монтаж усиливающей обвязки проемов, усиление створок проемов коридора</t>
  </si>
  <si>
    <t>5.1.8</t>
  </si>
  <si>
    <t>Изготовление и монтаж лестниц металлических служебных, эвакуационных, пожарных</t>
  </si>
  <si>
    <t>5.1.9</t>
  </si>
  <si>
    <t>Изготовление и монтаж площадок с настилом и ограждением из листовой, рифленой, просечной и круглой стали</t>
  </si>
  <si>
    <t>5.1.10</t>
  </si>
  <si>
    <t>Устройство металлических ограждений с поручнями из поливинилхлорида</t>
  </si>
  <si>
    <t>5.1.11</t>
  </si>
  <si>
    <t>Устройство металлических ограждений с поручнями из нержавеющей трубы на сварке</t>
  </si>
  <si>
    <t>5.1.12</t>
  </si>
  <si>
    <t>Установка ограждения на крыльце и вдоль пандуса из нержавеющий стали на сварке</t>
  </si>
  <si>
    <t>5.1.13</t>
  </si>
  <si>
    <t>Защита стен и колонн готовыми отбойниками снизу</t>
  </si>
  <si>
    <t>5.1.14</t>
  </si>
  <si>
    <t>Защита стен и колонн отбойниками снизу - металлическая нержавеющая труба диаметром 50мм</t>
  </si>
  <si>
    <t>5.1.15</t>
  </si>
  <si>
    <t>Устройство ограждений для стен из профильной металлической трубы сечением до 100 мм</t>
  </si>
  <si>
    <t>5.1.16</t>
  </si>
  <si>
    <t>Устройство ограждений из металлической трубы (стойки+поручень - диаметр 50мм; ригель - диаметр 25мм)</t>
  </si>
  <si>
    <t>5.1.17</t>
  </si>
  <si>
    <t>Козырек из проф. листа оцинкованного с устройством металлического каркаса</t>
  </si>
  <si>
    <t>5.1.18</t>
  </si>
  <si>
    <t>Козырек из проф. листа оцинкованного по готовому каркасу</t>
  </si>
  <si>
    <t>5.1.19</t>
  </si>
  <si>
    <t>Правка и ремонт металлоконструкций с применением сварочных работ</t>
  </si>
  <si>
    <t>н/ч</t>
  </si>
  <si>
    <t>5.1.20</t>
  </si>
  <si>
    <t>Облицовка ворот/фасадов/стен стальным профилированным листом по готовому каркасу</t>
  </si>
  <si>
    <t>5.1.21</t>
  </si>
  <si>
    <t>Постановка болтов строительных с гайками и шайбами</t>
  </si>
  <si>
    <t>5.1.22</t>
  </si>
  <si>
    <t>Резка стального профилированного,гладкого и рифленного листа</t>
  </si>
  <si>
    <t>5.1.23</t>
  </si>
  <si>
    <t>Вырезка отверстий в металлоконструкциях при толщине стали до 5 мм</t>
  </si>
  <si>
    <t>5.1.24</t>
  </si>
  <si>
    <t>Масляная окраска металлических поверхностей: стальных балок, труб и т.п., количество окрасок 2</t>
  </si>
  <si>
    <t>5.1.25</t>
  </si>
  <si>
    <t>Установка решеток металлических защитных в проемы</t>
  </si>
  <si>
    <t>5.1.N1</t>
  </si>
  <si>
    <t>Демонтаж металлоконструкций с резкой</t>
  </si>
  <si>
    <t>5.1.N2</t>
  </si>
  <si>
    <t>Установка химических анкеров М12–М16 в бетон со сверлением</t>
  </si>
  <si>
    <t>5.1.N3</t>
  </si>
  <si>
    <t>Установка отбойника колонн из трубы Ø108 с заполнением бетоном</t>
  </si>
  <si>
    <t>5.1.N4</t>
  </si>
  <si>
    <t>Ручная дуговая сварка, шов катет до 6 мм</t>
  </si>
  <si>
    <t>5.2.1</t>
  </si>
  <si>
    <t>Очистка поверхности щетками перед покраской</t>
  </si>
  <si>
    <t>5.2.2</t>
  </si>
  <si>
    <t>Обеспыливание поверхности перед покраской</t>
  </si>
  <si>
    <t>5.2.3</t>
  </si>
  <si>
    <t>Обезжиривание поверхности уйат-спиритом перед покраской</t>
  </si>
  <si>
    <t>5.2.4</t>
  </si>
  <si>
    <t>Огрунтовка металлических поверхностей за 1 раз грунтовкой</t>
  </si>
  <si>
    <t>5.2.5</t>
  </si>
  <si>
    <t>Окраска металлических огрунтованных поверхностей эмалью</t>
  </si>
  <si>
    <t>5.2.6</t>
  </si>
  <si>
    <t>Огнезащитное покрытие (при толщине покрытия 1,7 мм) метал. огрунтованных поверхностей материалом огнезащитным</t>
  </si>
  <si>
    <t>5.2.7</t>
  </si>
  <si>
    <t>Огнезащитное покрытие (при толщине покрытия 0,8мм) метал. огрунтованных поверхностей материалом огнезащитным</t>
  </si>
  <si>
    <t>5.2.N1</t>
  </si>
  <si>
    <t>Огнезащитное покрытие R90 тонкослойным составом (≈3 мм)</t>
  </si>
  <si>
    <t>5.2.N2</t>
  </si>
  <si>
    <t>Абразивоструйная очистка металла до Sa2,5</t>
  </si>
  <si>
    <t>5.3.1</t>
  </si>
  <si>
    <t>Устройство перекрытия по профнастилу</t>
  </si>
  <si>
    <t>5.3.2</t>
  </si>
  <si>
    <t>Устройство железобетонных перекрытий по стальным балкам</t>
  </si>
  <si>
    <t>5.3.3</t>
  </si>
  <si>
    <t>Устройство пандуса из монолитного железобетона</t>
  </si>
  <si>
    <t>5.3.4</t>
  </si>
  <si>
    <t>Устройство монолитных бетонных прямоугольных приямков под перегрузочные мосты, весы и во входных группах</t>
  </si>
  <si>
    <t>5.3.N1</t>
  </si>
  <si>
    <t>Вязка и установка арматуры монолитных стен и плит</t>
  </si>
  <si>
    <t>5.3.N2</t>
  </si>
  <si>
    <t>Устройство монолитного фундамента под оборудование (чиллер/конденсатор)</t>
  </si>
  <si>
    <t>5.4.1</t>
  </si>
  <si>
    <t>Кладка стен из бетонных блоков</t>
  </si>
  <si>
    <t>5.4.2</t>
  </si>
  <si>
    <t>Устройство стен из сэндвич-панелей заводской готовности (под ключ)</t>
  </si>
  <si>
    <t>5.4.3</t>
  </si>
  <si>
    <t>Кладка наружных стен из кирпича</t>
  </si>
  <si>
    <t>5.4.4</t>
  </si>
  <si>
    <t>Армирование кладки стен</t>
  </si>
  <si>
    <t>5.4.5</t>
  </si>
  <si>
    <t>Укладка перемычек железобетонных</t>
  </si>
  <si>
    <t>Кладка наружных стен из газобетонных блоков толщиной 300–400 мм</t>
  </si>
  <si>
    <t>5.4.N2</t>
  </si>
  <si>
    <t>Заделка проёмов кирпичом</t>
  </si>
  <si>
    <t>5.4.N3</t>
  </si>
  <si>
    <t>Демонтаж стеновых сэндвич-панелей</t>
  </si>
  <si>
    <t>5.5.1</t>
  </si>
  <si>
    <t>Облицовка профлистом с устройством каркаса</t>
  </si>
  <si>
    <t>5.5.2</t>
  </si>
  <si>
    <t>Облицовка профлистом по готовому каркасу</t>
  </si>
  <si>
    <t>5.5.3</t>
  </si>
  <si>
    <t>Отделка фасада композитными материалами в комплексе (раскладка,каркас, пароизоляция, леса)</t>
  </si>
  <si>
    <t>5.5.4</t>
  </si>
  <si>
    <t>Утепление фасада плитами из пенополистирола</t>
  </si>
  <si>
    <t>5.5.5</t>
  </si>
  <si>
    <t>Утепление фасада плитами минераловатными</t>
  </si>
  <si>
    <t>5.5.6</t>
  </si>
  <si>
    <t>Монтаж фриза из стали с полимерным покрытием, с устройством каркаса</t>
  </si>
  <si>
    <t>5.5.7</t>
  </si>
  <si>
    <t>Герметизация межпанельных швов силиконовым герметиком</t>
  </si>
  <si>
    <t>5.5.8</t>
  </si>
  <si>
    <t>Наружная облицовка поверхности стен сайдингом металлическим с полимерным покрытием с устройством металлического каркаса и теплоизоляционного слоя</t>
  </si>
  <si>
    <t>5.5.9</t>
  </si>
  <si>
    <t>Отделка фасада металлокассетами</t>
  </si>
  <si>
    <t>5.5.10</t>
  </si>
  <si>
    <t>Отделка фасада линеарными панелями</t>
  </si>
  <si>
    <t>5.5.11</t>
  </si>
  <si>
    <t>Монтаж навесного вентфасада с облицовкой керамогранитом размером 60*60</t>
  </si>
  <si>
    <t>5.5.12</t>
  </si>
  <si>
    <t>Монтаж навесного вентфасада с облицовкой керамогранитом размером 30*30</t>
  </si>
  <si>
    <t>5.5.13</t>
  </si>
  <si>
    <t>Наружная облицовка по бетонной поверхности керамическими отдельными плитками на цементном растворе стен</t>
  </si>
  <si>
    <t>5.5.14</t>
  </si>
  <si>
    <t>Покрытие поверхностей стен грунтовкой за 2 раза</t>
  </si>
  <si>
    <t>5.5.15</t>
  </si>
  <si>
    <t>Штукатурка стен фасадов декоративным раствором улучшенная</t>
  </si>
  <si>
    <t>5.5.16</t>
  </si>
  <si>
    <t>Сплошное выравнивание штукатурки гладких фасадов (толщина до 10 мм)</t>
  </si>
  <si>
    <t>5.5.17</t>
  </si>
  <si>
    <t>Сплошная шпатлевка стен гладких фасадов</t>
  </si>
  <si>
    <t>5.5.18</t>
  </si>
  <si>
    <t>Окраска стен фасадов акриловыми составами с лесов вручную по подготовленной поверхности за два раза</t>
  </si>
  <si>
    <t>5.5.19</t>
  </si>
  <si>
    <t>Облицовка наружных стен керамическим лицевым кирпичем (толщина 120 мм)</t>
  </si>
  <si>
    <t>5.5.20</t>
  </si>
  <si>
    <t>Покрытие стен грунтовкой глубокого проникновения в один слой</t>
  </si>
  <si>
    <t>5.5.N1</t>
  </si>
  <si>
    <t>Монтаж подсистемы навесного вентфасада (оцинкованная сталь)</t>
  </si>
  <si>
    <t>5.5.N2</t>
  </si>
  <si>
    <t>Монтаж утеплителя НВФ из минплит в 2 слоя с ветрозащитой и дюбелями</t>
  </si>
  <si>
    <t>5.5.N3</t>
  </si>
  <si>
    <t>Монтаж отливов и откосов из оцинкованной стали</t>
  </si>
  <si>
    <t>5.5.N4</t>
  </si>
  <si>
    <t>Армирование фасада стеклосеткой с базовым слоем</t>
  </si>
  <si>
    <t>5.6.1</t>
  </si>
  <si>
    <t>Замена элементов облицовки вентилируемого фасада без замены каркаса: керамогранитных плит, количество плит в одном месте свыше 5 шт</t>
  </si>
  <si>
    <t>5.6.2</t>
  </si>
  <si>
    <t>Замена элементов облицовки вентилируемого фасада без замены каркаса: керамогранитных плит, количество плит в одном месте до 5 шт</t>
  </si>
  <si>
    <t>5.6.3</t>
  </si>
  <si>
    <t>Правка направляющих подвесной фасадной системы (Металлокассеты,Керамогранита,Композитных панелей)</t>
  </si>
  <si>
    <t>5.6.4</t>
  </si>
  <si>
    <t>Замена плитки "Керамогранит" на вентфасаде</t>
  </si>
  <si>
    <t>5.6.5</t>
  </si>
  <si>
    <t>Замена поврежденных сэндвич-панелей</t>
  </si>
  <si>
    <t>5.6.6</t>
  </si>
  <si>
    <t>Монатж упорного резинового бампера</t>
  </si>
  <si>
    <t>5.6.7</t>
  </si>
  <si>
    <t>Ремонт штукатурки гладких фасадов (отбивка и выравнивание местами)</t>
  </si>
  <si>
    <t>5.6.N1</t>
  </si>
  <si>
    <t>Герметизация швов сэндвич-панелей с удалением старого герметика (промальп)</t>
  </si>
  <si>
    <t>5.6.N2</t>
  </si>
  <si>
    <t>Замена нащельников и фасонных элементов фасада</t>
  </si>
  <si>
    <t>6.1.1</t>
  </si>
  <si>
    <t>Герметизация швов примыканий битумно-каучуковым герметиком</t>
  </si>
  <si>
    <t>6.1.2</t>
  </si>
  <si>
    <t>Заполнение гофров профнастила керамзитобетоном на высоту волны</t>
  </si>
  <si>
    <t>6.1.3</t>
  </si>
  <si>
    <t>Монтаж кровельного покрытия из профилированного листа по готовому основанию</t>
  </si>
  <si>
    <t>6.1.4</t>
  </si>
  <si>
    <t>Настил из сотового поликарбоната</t>
  </si>
  <si>
    <t>6.1.5</t>
  </si>
  <si>
    <t>Обрешетка кровельная из досок и брусков с прозорами</t>
  </si>
  <si>
    <t>6.1.6</t>
  </si>
  <si>
    <t>Огрунтовка основания праймером</t>
  </si>
  <si>
    <t>6.1.7</t>
  </si>
  <si>
    <t>Ремонт наплавляемой кровли отдельными местами с демонтажем старого ковра, частичным ремонтом стяжки и устройством 1 слоя рулонной кровли</t>
  </si>
  <si>
    <t>6.1.8</t>
  </si>
  <si>
    <t>Ремонт наплавляемой кровли отдельными местами с демонтажем старого ковра, частичным ремонтом стяжки и устройством 2 слоев рулонной кровли</t>
  </si>
  <si>
    <t>6.1.9</t>
  </si>
  <si>
    <t>Ремонт цементной стяжки отдельными местами 0,25м2 толщиной 50 мм</t>
  </si>
  <si>
    <t>место</t>
  </si>
  <si>
    <t>6.1.10</t>
  </si>
  <si>
    <t>Устр-во плоских однослойных кровель из ПВХ мембран по утеплителю или разделительному слою с несущим основанием из бетона, со сваркой стыков</t>
  </si>
  <si>
    <t>6.1.11</t>
  </si>
  <si>
    <t>Устройство выравнивающих стяжек цементно-песчаных толщиной 15 мм</t>
  </si>
  <si>
    <t>6.1.12</t>
  </si>
  <si>
    <t>Устройство выравнивающих стяжек. На каждые 5 мм изменения толщины стяжки добавлять или исключать</t>
  </si>
  <si>
    <t>6.1.13</t>
  </si>
  <si>
    <t>Устройство дополнительного слоя мягкой кровли поверх существующего.</t>
  </si>
  <si>
    <t>6.1.14</t>
  </si>
  <si>
    <t>Устройство мастичной кровли с 2-х слойным покрытием (с подготовкой основания)</t>
  </si>
  <si>
    <t>6.1.15</t>
  </si>
  <si>
    <t>Устройство мелких покрытий (брандмауэры, парапеты, свесы и т.п.) из листовой оцинкованной стали</t>
  </si>
  <si>
    <t>Устройство наплавляемой кровли в 2 слоя рулонных материалов</t>
  </si>
  <si>
    <t>6.1.17</t>
  </si>
  <si>
    <t>Устройство пароизоляции кровли прокладной в один слой</t>
  </si>
  <si>
    <t>Устройство плоских однослойных кровель из ПВХ мембран по готовому основанию кроме бетонного со сваркой стыков</t>
  </si>
  <si>
    <t>6.1.19</t>
  </si>
  <si>
    <t>Устройство покрытий кровли из листовой стали</t>
  </si>
  <si>
    <t>6.1.20</t>
  </si>
  <si>
    <t>Устройство примыканий из ПВХ мембран к стенам и парапетам высотой до 450 мм с одним фартуком</t>
  </si>
  <si>
    <t>6.1.21</t>
  </si>
  <si>
    <t>Устройство примыканий кровель из наплавляемых материалов к стенам и парапетам высотой более 600 мм с одним фартуком</t>
  </si>
  <si>
    <t>6.1.22</t>
  </si>
  <si>
    <t>Устройство примыканий кровель из наплавляемых материалов к стенам и парапетам высотой до 600 мм без фартуков</t>
  </si>
  <si>
    <t>6.1.23</t>
  </si>
  <si>
    <t>Устройство примыканий рулонных и мастичных кровель к стенам и парапетам высотой более 600 мм с одним фартуком</t>
  </si>
  <si>
    <t>6.1.24</t>
  </si>
  <si>
    <t>Устройство примыканий рулонных и мастичных кровель к стенам и парапетам высотой до 600 мм без фартуков</t>
  </si>
  <si>
    <t>6.1.25</t>
  </si>
  <si>
    <t>Устройство теплоизоляции из керамзита с проливкой цементным молочком</t>
  </si>
  <si>
    <t>6.1.26</t>
  </si>
  <si>
    <t>Утепление покрытий плитами из пенопласта полистирольного на битумной мастике в один слой</t>
  </si>
  <si>
    <t>6.1.27</t>
  </si>
  <si>
    <t>Утепление покрытий плитами толщиной 50 мм из минеральной ваты на битумной мастике НА КАЖДЫЙ ПОСЛЕДУЮЩИЙ ДОБАВЛЯТЬ</t>
  </si>
  <si>
    <t>6.1.28</t>
  </si>
  <si>
    <t>Утепление покрытий плитами толщиной 50 мм из минеральной ваты на битумной мастике в один слой</t>
  </si>
  <si>
    <t>6.1.29</t>
  </si>
  <si>
    <t>Утепление покрытий плитами толщиной 50 мм из пенопласта НАСУХО</t>
  </si>
  <si>
    <t>6.1.N1</t>
  </si>
  <si>
    <t>Демонтаж рулонной кровли в 1–3 слоя</t>
  </si>
  <si>
    <t>6.1.N2</t>
  </si>
  <si>
    <t>Демонтаж цементно-песчаной стяжки до 50 мм</t>
  </si>
  <si>
    <t>6.1.N3</t>
  </si>
  <si>
    <t>Ремонт ПВХ-мембраны заплатами отдельными местами</t>
  </si>
  <si>
    <t>6.1.N4</t>
  </si>
  <si>
    <t>Укладка утеплителя (минплита/PIR) насухо под мембрану с механическим креплением</t>
  </si>
  <si>
    <t>6.1.N5</t>
  </si>
  <si>
    <t>Устройство наплавляемой пароизоляции</t>
  </si>
  <si>
    <t>6.1.N6</t>
  </si>
  <si>
    <t>Установка кровельных аэраторов</t>
  </si>
  <si>
    <t>6.1.N7</t>
  </si>
  <si>
    <t>Устройство разуклонки из клиновидного утеплителя</t>
  </si>
  <si>
    <t>6.1.N8</t>
  </si>
  <si>
    <t>Очистка плоской кровли от снега и наледи</t>
  </si>
  <si>
    <t>6.1.N9</t>
  </si>
  <si>
    <t>Устройство разделительного слоя из геотекстиля</t>
  </si>
  <si>
    <t>6.1.N10</t>
  </si>
  <si>
    <t>Установка снегозадержателей</t>
  </si>
  <si>
    <t>6.2.1</t>
  </si>
  <si>
    <t>Механическая прочистка ливневой канализации</t>
  </si>
  <si>
    <t>стояк</t>
  </si>
  <si>
    <t>6.2.2</t>
  </si>
  <si>
    <t>Ремонт воронок ливневой канализации, без установки ливневой решетки</t>
  </si>
  <si>
    <t>6.2.3</t>
  </si>
  <si>
    <t>Установка воронок кровельных сливных</t>
  </si>
  <si>
    <t>6.2.4</t>
  </si>
  <si>
    <t>Устройсво желобов настенных</t>
  </si>
  <si>
    <t>6.2.5</t>
  </si>
  <si>
    <t>Устройство металлической водосточной системы</t>
  </si>
  <si>
    <t>6.2.6</t>
  </si>
  <si>
    <t>Устройство ПВХ водосточной системы</t>
  </si>
  <si>
    <t>6.2.7</t>
  </si>
  <si>
    <t>Устройство решетки ливнестока</t>
  </si>
  <si>
    <t>6.2.N1</t>
  </si>
  <si>
    <t>Установка парапетной воронки (скапера) с примыканием</t>
  </si>
  <si>
    <t>6.2.N2</t>
  </si>
  <si>
    <t>Монтаж греющего кабеля в водостоках и воронках</t>
  </si>
  <si>
    <t>6.2.N3</t>
  </si>
  <si>
    <t>Прочистка кровельных воронок и лотков от мусора</t>
  </si>
  <si>
    <t>6.3.1</t>
  </si>
  <si>
    <t>Установка метал. рам под конденсаторы для холодильного оборудования, под рекламу, под фонари дымоудаления</t>
  </si>
  <si>
    <t>6.3.2</t>
  </si>
  <si>
    <t>Монтаж площадок с настилом и ограждением из листовой, рифленой, просечной и круглой стали</t>
  </si>
  <si>
    <t>6.3.N1</t>
  </si>
  <si>
    <t>Устройство проходного элемента мембраны вокруг опоры оборудования</t>
  </si>
  <si>
    <t>7.1.1</t>
  </si>
  <si>
    <t>Герметизация швов силиконовым герметиком</t>
  </si>
  <si>
    <t>7.1.2</t>
  </si>
  <si>
    <t>Армирование сеткой основания</t>
  </si>
  <si>
    <t>7.1.3</t>
  </si>
  <si>
    <t>Грунтовка поверхности пола в один слой</t>
  </si>
  <si>
    <t>7.1.4</t>
  </si>
  <si>
    <t>Устройство стяжек бетонных. На каждые 5 мм изменения толщины стяжки добавлять или исключать</t>
  </si>
  <si>
    <t>7.1.5</t>
  </si>
  <si>
    <t>Устройство стяжек цементных. На каждые 5 мм изменения толщины стяжки добавлять или исключать</t>
  </si>
  <si>
    <t>7.1.6</t>
  </si>
  <si>
    <t>Устройство монолитной бетонной плиты</t>
  </si>
  <si>
    <t>7.1.7</t>
  </si>
  <si>
    <t>Устройство напольного основания из звукоизоляционных плит</t>
  </si>
  <si>
    <t>7.1.8</t>
  </si>
  <si>
    <t>Устройство напольной гидроизоляции обмазочной в один слой из сухой смеси с ее приготовлением</t>
  </si>
  <si>
    <t>7.1.9</t>
  </si>
  <si>
    <t>Устройство напольной гидроизоляции обмазочной из сухой смеси с ее приготовлением - добавляется на каждый последующий слой</t>
  </si>
  <si>
    <t>7.1.10</t>
  </si>
  <si>
    <t>Устройство напольной гидроизоляции обмазочной в один слой из мастики полиуретановой в два слоя</t>
  </si>
  <si>
    <t>7.1.11</t>
  </si>
  <si>
    <t>Устройство напольной гидроизоляции оклеечной в два слоя</t>
  </si>
  <si>
    <t>7.1.12</t>
  </si>
  <si>
    <t>Устройство напольной тепло- и звукоизоляции сплошной из плит или матов минераловатных или стекловолокнистых</t>
  </si>
  <si>
    <t>7.1.13</t>
  </si>
  <si>
    <t>Устройство основания из песчано-гравийной смеси толщиной 10 см</t>
  </si>
  <si>
    <t>7.1.14</t>
  </si>
  <si>
    <t>Устройство подстилающих слоев щебеночных</t>
  </si>
  <si>
    <t>7.1.15</t>
  </si>
  <si>
    <t>Устройство стяжек бетонных толщиной 20 мм</t>
  </si>
  <si>
    <t>7.1.16</t>
  </si>
  <si>
    <t>Устройство стяжек из выравнивающей полимерцементной смеси толщиной 5 мм</t>
  </si>
  <si>
    <t>7.1.17</t>
  </si>
  <si>
    <t>Устройство стяжек на каждый последующий слой толщиной 1 мм добавлять к расценке из выравнивающей полимерцементной смеси</t>
  </si>
  <si>
    <t>7.1.18</t>
  </si>
  <si>
    <t>Устройство стяжек цементных толщиной 20 мм</t>
  </si>
  <si>
    <t>7.1.N1</t>
  </si>
  <si>
    <t>Демонтаж цементно-песчаной стяжки толщиной до 50 мм</t>
  </si>
  <si>
    <t>7.1.N2</t>
  </si>
  <si>
    <t>Шлифовка бетонного основания с обеспыливанием (подготовка под покрытие)</t>
  </si>
  <si>
    <t>7.1.N3</t>
  </si>
  <si>
    <t>Ремонт трещин в бетонном основании (расшивка, обеспыливание, заполнение ремсоставом)</t>
  </si>
  <si>
    <t>7.1.N4</t>
  </si>
  <si>
    <t>Устройство полусухой механизированной стяжки толщиной до 50 мм с армированием фиброй</t>
  </si>
  <si>
    <t>7.1.N5</t>
  </si>
  <si>
    <t>Устройство разделительного слоя из полиэтиленовой плёнки под стяжку</t>
  </si>
  <si>
    <t>7.2.1</t>
  </si>
  <si>
    <t>Замена напольной штучной плитки 30х30см</t>
  </si>
  <si>
    <t>7.2.2</t>
  </si>
  <si>
    <t>Замена напольной штучной плитки 40х40см</t>
  </si>
  <si>
    <t>7.2.3</t>
  </si>
  <si>
    <t>Замена напольной штучной плитки 60х60см</t>
  </si>
  <si>
    <t>7.2.4</t>
  </si>
  <si>
    <t>Затирка швов между плитками ранее облицованных поверхностей с применением сухой смеси</t>
  </si>
  <si>
    <t>7.2.5</t>
  </si>
  <si>
    <t>Монтаж алюминиевого порога</t>
  </si>
  <si>
    <t>7.2.6</t>
  </si>
  <si>
    <t>Монтаж антискользящих планок на саморезах</t>
  </si>
  <si>
    <t>7.2.7</t>
  </si>
  <si>
    <t>Монтаж антискользящих планок самоклеящихся</t>
  </si>
  <si>
    <t>7.2.8</t>
  </si>
  <si>
    <t>Монтаж противоскользящих планок на лестнице</t>
  </si>
  <si>
    <t>7.2.9</t>
  </si>
  <si>
    <t>Нарезка швов в бетоне с заполнением швов герметиком при устройстве бетонных полов</t>
  </si>
  <si>
    <t>7.2.10</t>
  </si>
  <si>
    <t>Облицовка ступеней керамогранитом с огрунтовкой основания и затиркой швов на клее из цементных сухих смесей</t>
  </si>
  <si>
    <t>7.2.11</t>
  </si>
  <si>
    <t>Противоскользящая самоклеящаяся резиновая полоса для ступеней</t>
  </si>
  <si>
    <t>7.2.12</t>
  </si>
  <si>
    <t>Установка напольного резинового ринго-мата</t>
  </si>
  <si>
    <t>7.2.13</t>
  </si>
  <si>
    <t>Устройство грязезащитных напольных покрытий (резиновый коврик типа «Волна», либо «Сити») в один уровень с полом</t>
  </si>
  <si>
    <t>7.2.14</t>
  </si>
  <si>
    <t>Устройство деформационного шва</t>
  </si>
  <si>
    <t>7.2.15</t>
  </si>
  <si>
    <t>Устройство наливных полов полимерных толщиной до 15 мм</t>
  </si>
  <si>
    <t>Устройство наливных полов финишных быстротвердеющих толщиной до 5 мм</t>
  </si>
  <si>
    <t>7.2.17</t>
  </si>
  <si>
    <t>Устройство напольного покрытия из ламината</t>
  </si>
  <si>
    <t>7.2.18</t>
  </si>
  <si>
    <t>Устройство напольного покрытия из рифленного алюминия толщиной до 2мм</t>
  </si>
  <si>
    <t>7.2.19</t>
  </si>
  <si>
    <t>Устройство напольного покрытия из рифленного железа толщиной до 4мм</t>
  </si>
  <si>
    <t>7.2.20</t>
  </si>
  <si>
    <t>Устройство напольных покрытий из линолеума насухо</t>
  </si>
  <si>
    <t>Устройство напольных покрытий из линолеума на клее</t>
  </si>
  <si>
    <t>7.2.22</t>
  </si>
  <si>
    <t>Устройство напольных покрытий наливных на эпоксидной смоле толщиной до 15 мм</t>
  </si>
  <si>
    <t>7.2.23</t>
  </si>
  <si>
    <t>Устройство подкрытий подступенков из гранитных плит</t>
  </si>
  <si>
    <t>7.2.24</t>
  </si>
  <si>
    <t>Устройство покрытий пола из модульных поливинилхоридных плит раазмером 500х500х7 мм</t>
  </si>
  <si>
    <t>Устройство покрытий пола из плит керамической плитки/керамогранита с огрунтовкой основания и затиркой швов на клее из цементных сухих смесей</t>
  </si>
  <si>
    <t>7.2.26</t>
  </si>
  <si>
    <t>Устройство покрытий ступеней из гранитных плит</t>
  </si>
  <si>
    <t>7.2.27</t>
  </si>
  <si>
    <t>Устройство полов бетонных толщиной 100 мм</t>
  </si>
  <si>
    <t>7.2.28</t>
  </si>
  <si>
    <t>Устройство полов бетонных толщиной 150 мм</t>
  </si>
  <si>
    <t>7.2.29</t>
  </si>
  <si>
    <t>Устройство полов бетонных толщиной 200 мм</t>
  </si>
  <si>
    <t>7.2.30</t>
  </si>
  <si>
    <t>Устройство полов бетонных толщиной 250 мм</t>
  </si>
  <si>
    <t>7.2.31</t>
  </si>
  <si>
    <t>Устройство полов бетонных, влагостойких с упрочнением верхнего слоя цементно-кварцевыми смесями с обеспыливающей пропиткой</t>
  </si>
  <si>
    <t>7.2.32</t>
  </si>
  <si>
    <t>Нанесение сплошных линий ,ширина линии 100мм,желтого /белого/оранжевого/синего/зеленого/красного цвета(с учетом материала)</t>
  </si>
  <si>
    <t>7.2.N1</t>
  </si>
  <si>
    <t>Демонтаж напольной керамической плитки / керамогранита</t>
  </si>
  <si>
    <t>7.2.N2</t>
  </si>
  <si>
    <t>Демонтаж линолеума / ковролина / ПВХ-плитки</t>
  </si>
  <si>
    <t>7.2.N3</t>
  </si>
  <si>
    <t>Устройство покрытия из ковровой плитки на фиксаторе</t>
  </si>
  <si>
    <t>7.2.N4</t>
  </si>
  <si>
    <t>Горячая сварка швов коммерческого линолеума</t>
  </si>
  <si>
    <t>7.2.N5</t>
  </si>
  <si>
    <t>Устройство тонкослойного эпоксидного (окрасочного) покрытия пола в 2 слоя</t>
  </si>
  <si>
    <t>7.2.N6</t>
  </si>
  <si>
    <t>Шлифовка и полировка бетонного пола с уплотняющей пропиткой</t>
  </si>
  <si>
    <t>7.2.N7</t>
  </si>
  <si>
    <t>Обеспыливающая пропитка бетонного пола в 2 слоя</t>
  </si>
  <si>
    <t>7.2.N8</t>
  </si>
  <si>
    <t>Локальный ремонт выбоин в бетонном/топпинговом полу ремонтным составом</t>
  </si>
  <si>
    <t>7.2.N9</t>
  </si>
  <si>
    <t>Площадная разметка пола краской (зоны, штриховка, символы по трафарету)</t>
  </si>
  <si>
    <t>7.2.N10</t>
  </si>
  <si>
    <t>Разметка пола полимерной лентой шириной до 100 мм</t>
  </si>
  <si>
    <t>7.3.1</t>
  </si>
  <si>
    <t>Установка металлического уголка (стык стена-пол) уголок 25х25 мм</t>
  </si>
  <si>
    <t>7.3.2</t>
  </si>
  <si>
    <t>Устройство плинтусов высотой 100 мм из керамогранита на клее из сухиих смесей с затиркой швов</t>
  </si>
  <si>
    <t>7.3.3</t>
  </si>
  <si>
    <t>Устройство плинтусов деревянных (массив)</t>
  </si>
  <si>
    <t>7.3.4</t>
  </si>
  <si>
    <t>Устройство плинтусов деревянных (МДФ)</t>
  </si>
  <si>
    <t>7.3.5</t>
  </si>
  <si>
    <t>Устройство плинтусов деревянных (шпон)</t>
  </si>
  <si>
    <t>7.3.6</t>
  </si>
  <si>
    <t>Устройство плинтусов из матовой нержавеющей стали высотой 100мм</t>
  </si>
  <si>
    <t>7.3.7</t>
  </si>
  <si>
    <t>Устройство плинтусов из плиток керамических на клее из сухиих смесей с затиркой швов</t>
  </si>
  <si>
    <t>7.3.8</t>
  </si>
  <si>
    <t>Устройство плинтусов поливинилхлоридных на клее с комплектующими</t>
  </si>
  <si>
    <t>7.3.9</t>
  </si>
  <si>
    <t>Устройство плинтусов поливинилхлоридных на саморезах с комплектующими</t>
  </si>
  <si>
    <t>7.3.N1</t>
  </si>
  <si>
    <t>Демонтаж плинтуса любого типа</t>
  </si>
  <si>
    <t>7.3.N2</t>
  </si>
  <si>
    <t>Устройство плинтуса из линолеума с заводом на стену и галтельным профилем</t>
  </si>
  <si>
    <t>7.4.1</t>
  </si>
  <si>
    <t>Установка грязезащитных решеток типа "Сити"</t>
  </si>
  <si>
    <t>7.4.2</t>
  </si>
  <si>
    <t>Установка оцинкованных грязезащитных решеток</t>
  </si>
  <si>
    <t>7.4.3</t>
  </si>
  <si>
    <t>Установка полимербетонных поддонов для грязезащитных решеток</t>
  </si>
  <si>
    <t>7.4.N1</t>
  </si>
  <si>
    <t>Устройство приямка под грязезащитную решётку (вырезка, бетонирование, установка рамки)</t>
  </si>
  <si>
    <t>7.4.N2</t>
  </si>
  <si>
    <t>Очистка приямка грязезащитной решётки со снятием и установкой решётки</t>
  </si>
  <si>
    <t>8.1.1</t>
  </si>
  <si>
    <t>Замена остекления в перегородках из алюминиевого профиля</t>
  </si>
  <si>
    <t>8.1.2</t>
  </si>
  <si>
    <t>Кладка перегородок из кирпича армированных толщиной в 1/2 кирпича</t>
  </si>
  <si>
    <t>8.1.3</t>
  </si>
  <si>
    <t>Кладка перегородок из кирпича армированных толщиной в 1/4 кирпича</t>
  </si>
  <si>
    <t>8.1.4</t>
  </si>
  <si>
    <t>Кладка стен кирпичных внутренних</t>
  </si>
  <si>
    <t>8.1.5</t>
  </si>
  <si>
    <t>Монтаж криволинейных перегородок из пеноблоков толщиной 100 мм</t>
  </si>
  <si>
    <t>8.1.6</t>
  </si>
  <si>
    <t>Монтаж перегородок из аллюминиевых профилей</t>
  </si>
  <si>
    <t>8.1.7</t>
  </si>
  <si>
    <t>Монтаж перегородок металлопластиковых остекленных</t>
  </si>
  <si>
    <t>8.1.8</t>
  </si>
  <si>
    <t>Монтаж перегородок: из алюминиевых сплавов сборно-разборных с остеклением</t>
  </si>
  <si>
    <t>8.1.9</t>
  </si>
  <si>
    <t>Монтаж стеклянных перегородок из высококачественного стекла марки М-1 толщиной 10мм</t>
  </si>
  <si>
    <t>8.1.10</t>
  </si>
  <si>
    <t>Установка дополнительного слоя ГКЛ</t>
  </si>
  <si>
    <t>8.1.11</t>
  </si>
  <si>
    <t>Установка перегородок из легкобетонных блоков толщ.200мм</t>
  </si>
  <si>
    <t>8.1.12</t>
  </si>
  <si>
    <t>Установка перегородок из легкобетонных блоков толщ.300мм</t>
  </si>
  <si>
    <t>8.1.13</t>
  </si>
  <si>
    <t>Установка перегородок из легкобетонных блоков толщиной 120мм</t>
  </si>
  <si>
    <t>8.1.14</t>
  </si>
  <si>
    <t>Установка перегородок из легкобетонных плит</t>
  </si>
  <si>
    <t>8.1.15</t>
  </si>
  <si>
    <t>Установка перегородок из пазогребневых блоков, плит толщиной 100 мм</t>
  </si>
  <si>
    <t>8.1.16</t>
  </si>
  <si>
    <t>Установка перегородок из пазогребневых блоков, плит толщиной 50 мм</t>
  </si>
  <si>
    <t>8.1.17</t>
  </si>
  <si>
    <t>Установка перегородок из пазогребневых блоков, плит толщиной 80 мм</t>
  </si>
  <si>
    <t>8.1.18</t>
  </si>
  <si>
    <t>Устр-во перегород. по сис-ме КНАУФ с 1-м метал. каркасом и 3-ной обшивкой с листом оцинк.стали 0,5мм между ГВЛ с 2-х сторон (С 367) 1 дверной проем</t>
  </si>
  <si>
    <t>8.1.19</t>
  </si>
  <si>
    <t>Устр-во перегородок высотой до 3м в общественных зданиях с двусторонней обшивкой ГКЛ в 2 слоя с изоляцией</t>
  </si>
  <si>
    <t>8.1.20</t>
  </si>
  <si>
    <t>Устр-во перегородок из ГВЛ 12,5мм по системе «КНАУФ:» с одинарным метал. каркасом и двухслойной обшивкой с обеих сторон (С 362)</t>
  </si>
  <si>
    <t>8.1.21</t>
  </si>
  <si>
    <t>Устр-во перегородок из ГВЛ толщиной 12,5мм по системе «КНАУФ»: с одинарным метал. каркасом и однослойной обшивкой с обеих сторон (С 361) - глухих</t>
  </si>
  <si>
    <t>Устр-во перегородок из ГКЛ 12,5мм по системе «КНАУФ» с одинарным метал. каркасом и однослойной обшивкой с обеих сторон (С 111) - глухих</t>
  </si>
  <si>
    <t>8.1.23</t>
  </si>
  <si>
    <t>Устр-во перегородок из ГКЛ по системе «КНАУФ» с одинарным металлическим каркасом и двухслойной обшивкой с обеих сторон (С 112)</t>
  </si>
  <si>
    <t>8.1.24</t>
  </si>
  <si>
    <t>Устр-во перегородок по сис-ме КНАУФ на 2-м метал. каркасе и 2-ной обшивкой из ГКЛ 12,5мм с 2-х сторон (115-1). Минераловатное заполнение</t>
  </si>
  <si>
    <t>8.1.25</t>
  </si>
  <si>
    <t>Устр-во перегородок по сис-ме КНАУФ с 1-м метал. каркасом и 2-ной обшивкой с листами оцинкованной стали 0,5мм между ГВЛ с обеих сторон</t>
  </si>
  <si>
    <t>8.1.26</t>
  </si>
  <si>
    <t>Устройство сантехнических перегородок высотой до 3м в общественных зданиях с двусторонней обшивкой пластиком с фурнитурой</t>
  </si>
  <si>
    <t>8.1.27</t>
  </si>
  <si>
    <t>Утепление стен и перегородок минватным утеплителем</t>
  </si>
  <si>
    <t>8.1.28</t>
  </si>
  <si>
    <t>Утепление стен и перегородок пенополистирольным утеплителем</t>
  </si>
  <si>
    <t>8.1.N1</t>
  </si>
  <si>
    <t>Демонтаж перегородок из ГКЛ/ГВЛ на металлокаркасе</t>
  </si>
  <si>
    <t>8.1.N2</t>
  </si>
  <si>
    <t>Демонтаж перегородок из кирпича/блоков толщиной до 120 мм</t>
  </si>
  <si>
    <t>8.1.N3</t>
  </si>
  <si>
    <t>Устройство дверного проёма в перегородке из ГКЛ с усилением профилем</t>
  </si>
  <si>
    <t>8.1.N4</t>
  </si>
  <si>
    <t>Устройство короба из ГКЛ (каркас + обшивка в 1 слой, развёртка до 1 м)</t>
  </si>
  <si>
    <t>8.1.N5</t>
  </si>
  <si>
    <t>Пробивка проёма в кирпичной перегородке толщиной в 1/2 кирпича с обрамлением</t>
  </si>
  <si>
    <t>8.1.N6</t>
  </si>
  <si>
    <t>Заделка проёма в перегородке из ГКЛ (каркас, обшивка 2 стороны, изоляция)</t>
  </si>
  <si>
    <t>8.1.N7</t>
  </si>
  <si>
    <t>Монтаж ревизионного люка в стене из ГКЛ</t>
  </si>
  <si>
    <t>8.2.1</t>
  </si>
  <si>
    <t>Вертикальная гидроизоляция стен готовой полимерной мастикой</t>
  </si>
  <si>
    <t>8.2.2</t>
  </si>
  <si>
    <t>Вертикальная гидроизоляция стен из сухихи цементно-песчаных смесей с их приготовлением</t>
  </si>
  <si>
    <t>8.2.3</t>
  </si>
  <si>
    <t>Вертикальная гидроизоляция стен рулонными материалалми</t>
  </si>
  <si>
    <t>8.2.4</t>
  </si>
  <si>
    <t>Гипсовая штукатурка стен толщиной слоя от 10 до 20 мм</t>
  </si>
  <si>
    <t>8.2.5</t>
  </si>
  <si>
    <t>Гипсовая штукатурка стен толщиной слоя до 10 мм</t>
  </si>
  <si>
    <t>8.2.6</t>
  </si>
  <si>
    <t>Замена настенной штучной плитки 20х30мм</t>
  </si>
  <si>
    <t>8.2.7</t>
  </si>
  <si>
    <t>Замена настенной штучной плитки 30х30мм</t>
  </si>
  <si>
    <t>8.2.8</t>
  </si>
  <si>
    <t>Замена настенной штучной плитки 40х40мм</t>
  </si>
  <si>
    <t>8.2.9</t>
  </si>
  <si>
    <t>Замена настенной штучной плитки 60х60мм</t>
  </si>
  <si>
    <t>8.2.10</t>
  </si>
  <si>
    <t>Защита внешних углов алюминиевым уголком на клее</t>
  </si>
  <si>
    <t>8.2.11</t>
  </si>
  <si>
    <t>Защита внешних углов алюминиевым уголком на саморезах</t>
  </si>
  <si>
    <t>8.2.12</t>
  </si>
  <si>
    <t>Защита внешних углов металлическим уголком на саморезах</t>
  </si>
  <si>
    <t>8.2.13</t>
  </si>
  <si>
    <t>Защита внешних углов уголком из нержавеющей стали на клее</t>
  </si>
  <si>
    <t>8.2.14</t>
  </si>
  <si>
    <t>Защита внешних углов уголком из нержавеющей стали на саморезах/анкерах</t>
  </si>
  <si>
    <t>8.2.15</t>
  </si>
  <si>
    <t>Облицовка стен панелями ЛДСП на клее</t>
  </si>
  <si>
    <t>8.2.16</t>
  </si>
  <si>
    <t>Облицовка стен панелями МДФ наклее</t>
  </si>
  <si>
    <t>8.2.17</t>
  </si>
  <si>
    <t>Облицовка стен гипсокартонными листами на клее</t>
  </si>
  <si>
    <t>8.2.18</t>
  </si>
  <si>
    <t>Облицовка стен и дверей оцинкованным листом</t>
  </si>
  <si>
    <t>8.2.19</t>
  </si>
  <si>
    <t>Облицовка стен и колонн алюминиевым рифленым листом</t>
  </si>
  <si>
    <t>8.2.20</t>
  </si>
  <si>
    <t>Облицовка стен и колонн листом из нержавеющей стали (зеркало)</t>
  </si>
  <si>
    <t>8.2.21</t>
  </si>
  <si>
    <t>Облицовка стен и колонн металлическим листом</t>
  </si>
  <si>
    <t>Облицовка стен керамической плиткой на клее из сухихи смесей с огрунтовкой поверхности и затиркой швов</t>
  </si>
  <si>
    <t>8.2.23</t>
  </si>
  <si>
    <t>Облицовка стен по готовому каркасу панелями МДФ</t>
  </si>
  <si>
    <t>8.2.24</t>
  </si>
  <si>
    <t>Облицовка стен по сис-ме «КНАУФ» ГКЛ в 2 слоя по 1-му метал. каркасу из ПН и ПС профилей глухих</t>
  </si>
  <si>
    <t>8.2.25</t>
  </si>
  <si>
    <t>Облицовка стен по сис-ме «КНАУФ» по 1-му метал. каркасу из ПН и ПС профилей гипсокартонными листами в один слой глухих</t>
  </si>
  <si>
    <t>8.2.26</t>
  </si>
  <si>
    <t>Облицовка стен ламинированными панелями по металлическому каркасу с его устройством</t>
  </si>
  <si>
    <t>8.2.27</t>
  </si>
  <si>
    <t>Облицовка стен ламинированными панелями на клее</t>
  </si>
  <si>
    <t>8.2.28</t>
  </si>
  <si>
    <t>Облицовка стен ламинированными панелями на саморезы</t>
  </si>
  <si>
    <t>8.2.29</t>
  </si>
  <si>
    <t>Облицовка уголком ПВХ на клее</t>
  </si>
  <si>
    <t>8.2.30</t>
  </si>
  <si>
    <t>Обработка стен антигрибковым составом</t>
  </si>
  <si>
    <t>8.2.31</t>
  </si>
  <si>
    <t>Обшивка стен фанерой на саморезах</t>
  </si>
  <si>
    <t>8.2.32</t>
  </si>
  <si>
    <t>Обшивка стен фанерой на клее</t>
  </si>
  <si>
    <t>8.2.33</t>
  </si>
  <si>
    <t>Оклейка обоями стен по монолитной штукатурке и бетону простыми и средней плотности</t>
  </si>
  <si>
    <t>Окраска водно-дисперсионными акриловыми составами за два раза по штукатурке стен, подготовленных под окраску</t>
  </si>
  <si>
    <t>8.2.35</t>
  </si>
  <si>
    <t>Окраска за два раза водно-дисперсионными акриловыми составами по сборным конструкциям стен, подготовленных под окраску (ГКЛ)</t>
  </si>
  <si>
    <t>8.2.36</t>
  </si>
  <si>
    <t>Окраска масляными составами за два разапо сборным конструкциям стен, подготовленных под окраску</t>
  </si>
  <si>
    <t>8.2.37</t>
  </si>
  <si>
    <t>Покрытие поверхностей стен грунтовкой глубокого проникновения за 2 раза</t>
  </si>
  <si>
    <t>Слошная шпаклевка стен</t>
  </si>
  <si>
    <t>8.2.39</t>
  </si>
  <si>
    <t>Сплошное выравнивание штукатурки стен из сухих растворных смесей (толщиной до 10 мм)</t>
  </si>
  <si>
    <t>8.2.40</t>
  </si>
  <si>
    <t>Устройство каркаса при оштукатуривании стен</t>
  </si>
  <si>
    <t>8.2.41</t>
  </si>
  <si>
    <t>Штукатурка стен по сетке улучшенная</t>
  </si>
  <si>
    <t>8.2.42</t>
  </si>
  <si>
    <t>Штукатурка стен цементно-известковым раствором толщиной слоя до 10 мм</t>
  </si>
  <si>
    <t>8.2.43</t>
  </si>
  <si>
    <t>Штукатурка стен цементно-известковым раствором толщиной слоя от 10 до 20 мм</t>
  </si>
  <si>
    <t>8.2.44</t>
  </si>
  <si>
    <t>Шумоизоляция стен плитами минватными насухо</t>
  </si>
  <si>
    <t>8.2.45</t>
  </si>
  <si>
    <t>Покрытие поверхностей грунтовкой глубокого проникновения: за 1 раз стен</t>
  </si>
  <si>
    <t>8.2.N1</t>
  </si>
  <si>
    <t>Демонтаж настенной керамической плитки</t>
  </si>
  <si>
    <t>8.2.N2</t>
  </si>
  <si>
    <t>Снятие старых обоев</t>
  </si>
  <si>
    <t>8.2.N3</t>
  </si>
  <si>
    <t>Удаление старого лакокрасочного покрытия со стен шлифованием</t>
  </si>
  <si>
    <t>8.2.N4</t>
  </si>
  <si>
    <t>Локальный ремонт штукатурки стен (заделка выбоин, отбитых участков до 1 м2)</t>
  </si>
  <si>
    <t>8.2.N5</t>
  </si>
  <si>
    <t>Армирование стен малярной стеклосеткой (стеклохолстом)</t>
  </si>
  <si>
    <t>8.2.N6</t>
  </si>
  <si>
    <t>Заделка швов и мест крепления ГКЛ с армирующей лентой</t>
  </si>
  <si>
    <t>8.2.N7</t>
  </si>
  <si>
    <t>Окраска стен износостойкой (эпоксидной/полиуретановой) краской в 2 слоя</t>
  </si>
  <si>
    <t>8.2.N8</t>
  </si>
  <si>
    <t>Монтаж защитного отбойника (ПВХ/металл) на стены</t>
  </si>
  <si>
    <t>8.3.1</t>
  </si>
  <si>
    <t>Замена потолочных плиток "Армстронг"</t>
  </si>
  <si>
    <t>8.3.2</t>
  </si>
  <si>
    <t>8.3.3</t>
  </si>
  <si>
    <t>Монтаж подвесной системы из профилей</t>
  </si>
  <si>
    <t>8.3.4</t>
  </si>
  <si>
    <t>Монтаж реечного потолка с направляющими</t>
  </si>
  <si>
    <t>8.3.5</t>
  </si>
  <si>
    <t>Огрунтовка потолков за два раза</t>
  </si>
  <si>
    <t>8.3.6</t>
  </si>
  <si>
    <t>Окраска потолков водо-эмульсионными акриловыми составами за два раза по подготовленной поверхности</t>
  </si>
  <si>
    <t>8.3.7</t>
  </si>
  <si>
    <t>Сплошная шпатлевка потолка</t>
  </si>
  <si>
    <t>8.3.8</t>
  </si>
  <si>
    <t>Сплошное выравнивание потолков из сухих растворных смесей (штукатурка до 10 мм)</t>
  </si>
  <si>
    <t>8.3.9</t>
  </si>
  <si>
    <t>Усиление каркасов потолка, если потолок свыше 4м</t>
  </si>
  <si>
    <t>8.3.10</t>
  </si>
  <si>
    <t>Устранение провисаний подвесного потолка</t>
  </si>
  <si>
    <t>8.3.11</t>
  </si>
  <si>
    <t>Устройство металлического потолка кассетного типа 600х600мм с направляющими</t>
  </si>
  <si>
    <t>Устройство подвесных потолков из гипсокартонных листов (ГКЛ) по системе "КНАУФ" одноуровневых (П113)</t>
  </si>
  <si>
    <t>Устройство подвесных потолков типа "Армстронг" по каркасу из оцинкованного профиля</t>
  </si>
  <si>
    <t>8.3.14</t>
  </si>
  <si>
    <t>Устройство подвесных потолков типа "Грильято" по каркасу из оцинкованного профиля</t>
  </si>
  <si>
    <t>8.3.15</t>
  </si>
  <si>
    <t>Устройство потолков типа "Албес" с направляющими</t>
  </si>
  <si>
    <t>8.3.16</t>
  </si>
  <si>
    <t>Устройство реечного потолка кубота из ламелей (бренд Бук)</t>
  </si>
  <si>
    <t>8.3.17</t>
  </si>
  <si>
    <t>Устройство шумоизоляции плит перекрытия. Полужесткие шумоизоляционные маты, толщиной мин. 100мм и обшивка гипсокартоном по металлическому каркасу</t>
  </si>
  <si>
    <t>8.3.18</t>
  </si>
  <si>
    <t>Устройство шумоизоляции потолка мембраной</t>
  </si>
  <si>
    <t>8.3.19</t>
  </si>
  <si>
    <t>Устройство шумоизоляции потолка плитами минватными</t>
  </si>
  <si>
    <t>8.3.20</t>
  </si>
  <si>
    <t>Покрытие поверхностей грунтовкой глубокого проникновения: за 1 раз потолков</t>
  </si>
  <si>
    <t>8.3.N1</t>
  </si>
  <si>
    <t>Демонтаж подвесного потолка типа «Армстронг» с сохранением плит</t>
  </si>
  <si>
    <t>8.3.N2</t>
  </si>
  <si>
    <t>Демонтаж потолка из ГКЛ по металлокаркасу</t>
  </si>
  <si>
    <t>8.3.N3</t>
  </si>
  <si>
    <t>Монтаж потолочного плинтуса (галтели) на клей</t>
  </si>
  <si>
    <t>8.3.N4</t>
  </si>
  <si>
    <t>Локальный ремонт потолка из ГКЛ (замена фрагмента до 1 м2 со шпаклёвкой и окраской)</t>
  </si>
  <si>
    <t>8.3.N5</t>
  </si>
  <si>
    <t>Монтаж ревизионного люка в потолок из ГКЛ</t>
  </si>
  <si>
    <t>8.3.N6</t>
  </si>
  <si>
    <t>Окраска потолков и открытых коммуникаций безвоздушным способом на высоте до 8 м</t>
  </si>
  <si>
    <t>9.1.1</t>
  </si>
  <si>
    <t>Восстановление креплений трубопроводов ХВС, ГВС под мойками и умывальниками. Очистка трубопроводов от грязи и жира. - работа проводится на ранее установленных трубопроводах (не вновь установленных)</t>
  </si>
  <si>
    <t>9.1.2</t>
  </si>
  <si>
    <t>Гидроизоляция швов душевых поддонов</t>
  </si>
  <si>
    <t>9.1.3</t>
  </si>
  <si>
    <t>Замена арматуры универсальной для сливного бачка</t>
  </si>
  <si>
    <t>9.1.4</t>
  </si>
  <si>
    <t>Замена выпусков на мойку</t>
  </si>
  <si>
    <t>9.1.5</t>
  </si>
  <si>
    <t>Замена гибкой подводки к сантехприборам</t>
  </si>
  <si>
    <t>9.1.6</t>
  </si>
  <si>
    <t>Замена гофротрубы унитаза</t>
  </si>
  <si>
    <t>9.1.7</t>
  </si>
  <si>
    <t>Замена сидения для унитаза</t>
  </si>
  <si>
    <t>9.1.8</t>
  </si>
  <si>
    <t>Замена сифона раковины/мойки</t>
  </si>
  <si>
    <t>9.1.9</t>
  </si>
  <si>
    <t>Крепление мойки к полу или к стене с помощью анкера забивного, стержня резьбового, гаек.</t>
  </si>
  <si>
    <t>9.1.10</t>
  </si>
  <si>
    <t>Крепление напорного трубопровода PPR Дн50 к стенам и потолку</t>
  </si>
  <si>
    <t>9.1.11</t>
  </si>
  <si>
    <t>Крепление поддонов из ПВХ к потолку с помощью: анкера забивного латунного, стрежня резьбового, гаек, сверление поддона из ПВХ, гидроизоляция места сверления поддона герометиком и резиновыми прокладками с внутренней и наружной стороны поддона. Создание уклона поддона в сторону выпусков из поддона.</t>
  </si>
  <si>
    <t>1 поддон</t>
  </si>
  <si>
    <t>9.1.12</t>
  </si>
  <si>
    <t>Механическая прочистка канализации (под ключ, за полный комплекс работ)</t>
  </si>
  <si>
    <t>9.1.13</t>
  </si>
  <si>
    <t>Монтаж воздушного клапана на трубопровод канализации (аэратор) после жироуловителя в местах активного разбора воды с целью предотвращения срыва гидрозатворов и появлению запахов канализации в СМ</t>
  </si>
  <si>
    <t>9.1.14</t>
  </si>
  <si>
    <t>Монтаж гидрозатвора любой конфигурации (под ключ)</t>
  </si>
  <si>
    <t>9.1.15</t>
  </si>
  <si>
    <t>Монтаж капельной воронки с гидрозатвором и с сухим затвором для сбора конденсата для трубопровода от кондиционера</t>
  </si>
  <si>
    <t>9.1.16</t>
  </si>
  <si>
    <t>Монтаж регулируемых опор на ножки мойки. Цель - поднять мойку на 3-4см. На одну мойку 4 шт. опоры.</t>
  </si>
  <si>
    <t>9.1.17</t>
  </si>
  <si>
    <t>Монтаж чаши слива грязной воды с подключением к трубопроводу подходящему к пескоуловителю.</t>
  </si>
  <si>
    <t>9.1.18</t>
  </si>
  <si>
    <t>Очистка подмоечного жироуловителя вручную с предоставление акта об утилизации</t>
  </si>
  <si>
    <t>9.1.19</t>
  </si>
  <si>
    <t>Прокладка трубопроводов из чугунных канализационных безраструбных труб диаметром до 100 мм (с учетом фасонных изделий и испытаний)</t>
  </si>
  <si>
    <t>9.1.20</t>
  </si>
  <si>
    <t>Прокладка трубопроводов из чугунных канализационных безраструбных труб диаметром до 125 мм (с учетом фасонных изделий и испытаний)</t>
  </si>
  <si>
    <t>9.1.21</t>
  </si>
  <si>
    <t>Прокладка трубопроводов из чугунных канализационных безраструбных труб диаметром до 150 мм (с учетом фасонных изделий и испытаний)</t>
  </si>
  <si>
    <t>9.1.22</t>
  </si>
  <si>
    <t>Прокладка трубопроводов из чугунных канализационных безраструбных труб диаметром до 50 мм (с учетом фасонных изделий)</t>
  </si>
  <si>
    <t>9.1.23</t>
  </si>
  <si>
    <t>Прокладка трубопроводов из чугунных канализационных раструбных труб диаметром до 100 мм (с учетом фасонных изделий и испытаний)</t>
  </si>
  <si>
    <t>9.1.24</t>
  </si>
  <si>
    <t>Прокладка трубопроводов из чугунных канализационных раструбных труб диаметром до 150 мм (с учетом фасонных изделий и испытаний)</t>
  </si>
  <si>
    <t>9.1.25</t>
  </si>
  <si>
    <t>Прокладка трубопроводов из чугунных канализационных раструбных труб диаметром до 50 мм (с учетом фасонных изделий и испытаний)</t>
  </si>
  <si>
    <t>9.1.26</t>
  </si>
  <si>
    <t>Прокладка трубопроводов канализации из полипропиленовых труб диаметром до 110 мм (с учетом фасонных изделий и испытаний)</t>
  </si>
  <si>
    <t>9.1.27</t>
  </si>
  <si>
    <t>Прокладка трубопроводов канализации из полипропиленовых труб диаметром до 160 мм (с учетом фасонных изделий и испытаний)</t>
  </si>
  <si>
    <t>9.1.28</t>
  </si>
  <si>
    <t>Прокладка трубопроводов канализации из полипропиленовых труб диаметром до 50 мм (с учетом фасонных изделий и испытаний)</t>
  </si>
  <si>
    <t>9.1.29</t>
  </si>
  <si>
    <t>Прокладка трубопроводов канализации из полиэтиленовых труб высокой плотности диаметром до 110 мм (с учетом фасонных изделий и испытаний)</t>
  </si>
  <si>
    <t>9.1.30</t>
  </si>
  <si>
    <t>Прокладка трубопроводов канализации из полиэтиленовых труб высокой плотности диаметром до 160 мм (с учетом фасонных изделий и испытаний)</t>
  </si>
  <si>
    <t>9.1.31</t>
  </si>
  <si>
    <t>Прокладка трубопроводов канализации из полиэтиленовых труб высокой плотности диаметром до 50 мм (с учетом фасонных изделий и испытаний)</t>
  </si>
  <si>
    <t>9.1.32</t>
  </si>
  <si>
    <t>Промывка гидродинамическим способом трубопроводов канализации внутренней диаметром до 100 мм каналоочистительной машиной Karcher</t>
  </si>
  <si>
    <t>9.1.33</t>
  </si>
  <si>
    <t>Промывка гидродинамическим способом трубопроводов канализации внутренней диаметром до 150 мм каналоочистительной машиной Karcher</t>
  </si>
  <si>
    <t>9.1.34</t>
  </si>
  <si>
    <t>Промывка гидродинамическоим способом трубопроводов напорной канализации диаметром до 50 мм</t>
  </si>
  <si>
    <t>9.1.35</t>
  </si>
  <si>
    <t>Прочистка канализационной насосной системы двухмоторной от бытовых отходов</t>
  </si>
  <si>
    <t>9.1.36</t>
  </si>
  <si>
    <t>Прочистка канализационной насосной системы одномоторной от бытовых отходов</t>
  </si>
  <si>
    <t>9.1.37</t>
  </si>
  <si>
    <t>Прочистка системы внутренней канализации без использования спец техники и средств диаметром до 100 мм</t>
  </si>
  <si>
    <t>9.1.38</t>
  </si>
  <si>
    <t>Установка ванн моечных на два отделения (под ключ)</t>
  </si>
  <si>
    <t>9.1.39</t>
  </si>
  <si>
    <t>Установка вентилей, задвижек, затворов, клапанов обратных, кранов проходных на трубопроводах из ПВХ труб диаметром до 110 мм</t>
  </si>
  <si>
    <t>9.1.40</t>
  </si>
  <si>
    <t>Установка вентилей, задвижек, затворов, клапанов обратных, кранов проходных на трубопроводах из полипропиленовых труб диаметром до 110 мм</t>
  </si>
  <si>
    <t>9.1.41</t>
  </si>
  <si>
    <t>Установка вентилей, задвижек, затворов, клапанов обратных, кранов проходных на трубопроводах из полипропиленовых труб диаметром до 160 мм</t>
  </si>
  <si>
    <t>9.1.42</t>
  </si>
  <si>
    <t>Установка вентилей, задвижек, затворов, клапанов обратных, кранов проходных на трубопроводах из чугунных напорных фланцевых труб диаметром до 100 мм</t>
  </si>
  <si>
    <t>9.1.43</t>
  </si>
  <si>
    <t>Установка вентиля, задвижки, затвора, клапана обратного, крана проходного на трубопроводах из ПВХ труб диаметром до 65 мм</t>
  </si>
  <si>
    <t>9.1.44</t>
  </si>
  <si>
    <t>Установка вентиля, задвижки, затвора, клапана обратного, крана проходного на трубопроводах из полипропиленовых труб диаметром до 65 мм</t>
  </si>
  <si>
    <t>9.1.45</t>
  </si>
  <si>
    <t>Установка вентиля, задвижки, затвора, клапана обратного, крана проходного на трубопроводах из чугунных напорных фланцевых труб диаметром до 65 мм</t>
  </si>
  <si>
    <t>9.1.46</t>
  </si>
  <si>
    <t>Установка гарнитуры туалетной: вешалок, подстаканников, поручней для ванн, крючков, штанг и пр.</t>
  </si>
  <si>
    <t>9.1.47</t>
  </si>
  <si>
    <t>Установка дренажного погружного насоса в приямок</t>
  </si>
  <si>
    <t>9.1.48</t>
  </si>
  <si>
    <t>Установка душирующего устройства с краном (под ключ)</t>
  </si>
  <si>
    <t>9.1.49</t>
  </si>
  <si>
    <t>Установка жироуловителя под мойки (под ключ)</t>
  </si>
  <si>
    <t>9.1.50</t>
  </si>
  <si>
    <t>Установка канализационной насосной системы двухмоторной</t>
  </si>
  <si>
    <t>9.1.51</t>
  </si>
  <si>
    <t>Установка канализационной насосной установки одномоторной</t>
  </si>
  <si>
    <t>9.1.52</t>
  </si>
  <si>
    <t>Установка канализационной насосной установки тип SOLOLIFT</t>
  </si>
  <si>
    <t>9.1.53</t>
  </si>
  <si>
    <t>Установка лючка-прочистки со вставной крышкой на резиновом уплотнителе</t>
  </si>
  <si>
    <t>9.1.54</t>
  </si>
  <si>
    <t>Установка лючка-ревизий</t>
  </si>
  <si>
    <t>9.1.55</t>
  </si>
  <si>
    <t>Установка микропереключателя для канализационной насосной установки</t>
  </si>
  <si>
    <t>9.1.56</t>
  </si>
  <si>
    <t>Установка моек на два отделения (под ключ)</t>
  </si>
  <si>
    <t>9.1.57</t>
  </si>
  <si>
    <t>Установка мойки на одно отделение (под ключ)</t>
  </si>
  <si>
    <t>9.1.58</t>
  </si>
  <si>
    <t>Установка насосной системы для отведения конденсата от кондиционеров по типу системы CONLIFT2</t>
  </si>
  <si>
    <t>9.1.59</t>
  </si>
  <si>
    <t>Установка педального смесителя (под ключ)</t>
  </si>
  <si>
    <t>9.1.60</t>
  </si>
  <si>
    <t>Установка пескоуловителя (под ключ)</t>
  </si>
  <si>
    <t>9.1.61</t>
  </si>
  <si>
    <t>Установка писсуаров настенных, любой конфигурации (под ключ)</t>
  </si>
  <si>
    <t>9.1.62</t>
  </si>
  <si>
    <t>Установка поддона душевого с гидроизоляцией швов (под ключ)</t>
  </si>
  <si>
    <t>9.1.63</t>
  </si>
  <si>
    <t>Установка раковины типа тюльпан с пьедесталом</t>
  </si>
  <si>
    <t>9.1.64</t>
  </si>
  <si>
    <t>Установка раковины (под ключ)</t>
  </si>
  <si>
    <t>9.1.65</t>
  </si>
  <si>
    <t>Установка ревизионного лючка из нержавеющей стали</t>
  </si>
  <si>
    <t>9.1.66</t>
  </si>
  <si>
    <t>Установка смесителя для мойки/раковины (под ключ)</t>
  </si>
  <si>
    <t>9.1.67</t>
  </si>
  <si>
    <t>Установка смесителя с душем для ванной комнаты (под ключ)</t>
  </si>
  <si>
    <t>9.1.68</t>
  </si>
  <si>
    <t>Установка трапа пластикового диаметром 100 мм (под ключ)</t>
  </si>
  <si>
    <t>9.1.69</t>
  </si>
  <si>
    <t>Установка трапа пластикового диаметром 50 мм (под ключ)</t>
  </si>
  <si>
    <t>9.1.70</t>
  </si>
  <si>
    <t>Установка трапа стального диаметром 100 мм (под ключ)</t>
  </si>
  <si>
    <t>9.1.71</t>
  </si>
  <si>
    <t>Установка трапа стального диаметром 50 мм (под ключ)</t>
  </si>
  <si>
    <t>9.1.72</t>
  </si>
  <si>
    <t>Установка унитаза любой марки с непосредственно присоединенным бачком (под ключ)</t>
  </si>
  <si>
    <t>9.1.73</t>
  </si>
  <si>
    <t>Установка финального жироуловителя (под ключ)</t>
  </si>
  <si>
    <t>9.1.74</t>
  </si>
  <si>
    <t>Чистка с предварительным разбором канализационной насосной системы двухмоторной</t>
  </si>
  <si>
    <t>9.1.75</t>
  </si>
  <si>
    <t>Чистка с предварительным разбором канализационной насосной системы одномоторной</t>
  </si>
  <si>
    <t>9.1.76</t>
  </si>
  <si>
    <t>Чистка с предварительным разбором насоса типа SOLOLIFT</t>
  </si>
  <si>
    <t>9.1.N1</t>
  </si>
  <si>
    <t>Демонтаж унитаза с бачком</t>
  </si>
  <si>
    <t>9.1.N2</t>
  </si>
  <si>
    <t>Демонтаж раковины/мойки со смесителем и сифоном</t>
  </si>
  <si>
    <t>9.1.N3</t>
  </si>
  <si>
    <t>Демонтаж канализационных трубопроводов из пластмассовых труб диаметром до 110 мм</t>
  </si>
  <si>
    <t>9.1.N4</t>
  </si>
  <si>
    <t>Демонтаж канализационных трубопроводов из чугунных труб диаметром до 150 мм</t>
  </si>
  <si>
    <t>9.1.N5</t>
  </si>
  <si>
    <t>Телеинспекция (видеодиагностика) внутренней канализации с отчётом</t>
  </si>
  <si>
    <t>9.1.N6</t>
  </si>
  <si>
    <t>Устранение засора санприбора/трапа ручным тросом (раковина, унитаз, трап)</t>
  </si>
  <si>
    <t>9.1.N7</t>
  </si>
  <si>
    <t>Установка подвесного унитаза с инсталляцией (под ключ, без отделки короба)</t>
  </si>
  <si>
    <t>9.1.N8</t>
  </si>
  <si>
    <t>Замена стояка канализации Ду110 в пределах этажа (демонтаж чугуна, монтаж ПП с ревизией)</t>
  </si>
  <si>
    <t>этаж</t>
  </si>
  <si>
    <t>9.1.N9</t>
  </si>
  <si>
    <t>Врезка в существующий канализационный трубопровод до Ду110 (тройник/отвод)</t>
  </si>
  <si>
    <t>9.1.N10</t>
  </si>
  <si>
    <t>Установка канализационного обратного клапана Ду50–110</t>
  </si>
  <si>
    <t>9.1.N11</t>
  </si>
  <si>
    <t>Герметизация примыканий санприборов/моек к стене санитарным герметиком</t>
  </si>
  <si>
    <t>9.1.N12</t>
  </si>
  <si>
    <t>Замена смывного устройства (кнопки, механизма) писсуара/унитаза</t>
  </si>
  <si>
    <t>9.2.1</t>
  </si>
  <si>
    <t>Антикоррозийная изоляция трубопроводов с подготовкой поверхности</t>
  </si>
  <si>
    <t>9.2.2</t>
  </si>
  <si>
    <t>Врезка в действующие внутренние сети отопления диаметром до 150 мм с установкой запорной арматуры(только для стальных трубопроводов)</t>
  </si>
  <si>
    <t>9.2.3</t>
  </si>
  <si>
    <t>Врезка в действующие внутренние сети отопления диаметром от 25 до 50 мм с установкой запорной арматуры (только для стальных трубопроводов)</t>
  </si>
  <si>
    <t>9.2.4</t>
  </si>
  <si>
    <t>Врезка в действующие внутренние сети отопления диаметром от 50 до 100 мм с установкой запорной арматуры (только для стальных трубопроводов)</t>
  </si>
  <si>
    <t>9.2.5</t>
  </si>
  <si>
    <t>Гидравлическое испытание трубопроводов систем отопления, водопровода и горячего водоснабжения диаметром до 100 мм</t>
  </si>
  <si>
    <t>9.2.6</t>
  </si>
  <si>
    <t>Гидравлическое испытание трубопроводов систем отопления, водопровода и горячего водоснабжения диаметром до 50 мм</t>
  </si>
  <si>
    <t>9.2.7</t>
  </si>
  <si>
    <t>Гидравлическое испытание+гидро-пневмопромывка УУТЭ</t>
  </si>
  <si>
    <t>9.2.8</t>
  </si>
  <si>
    <t>Гидропневматическая промывка систем теплоснабжения</t>
  </si>
  <si>
    <t>9.2.9</t>
  </si>
  <si>
    <t>Изоляция трубопроводов полуцилиндрами на основе минеральной ваты</t>
  </si>
  <si>
    <t>9.2.10</t>
  </si>
  <si>
    <t>Изоляция трубопроводов трубками на основе вспененного каучука</t>
  </si>
  <si>
    <t>9.2.11</t>
  </si>
  <si>
    <t>Изоляция трубопроводов трубками на основе вспененного полиэтилена</t>
  </si>
  <si>
    <t>9.2.12</t>
  </si>
  <si>
    <t>Монтаж реле перепада давления с импульсными трубками</t>
  </si>
  <si>
    <t>9.2.13</t>
  </si>
  <si>
    <t>Монтаж решеток для радиатора отопления</t>
  </si>
  <si>
    <t>9.2.14</t>
  </si>
  <si>
    <t>Нарезка длинной резьбы вручную на металлической трубе диаметром до 100 мм</t>
  </si>
  <si>
    <t>9.2.15</t>
  </si>
  <si>
    <t>Нарезка длинной резьбы вручную на металлической трубе диаметром до 50 мм</t>
  </si>
  <si>
    <t>9.2.16</t>
  </si>
  <si>
    <t>Нарезка короткой резьбы вручную на металлической трубе диаметром до 100 мм</t>
  </si>
  <si>
    <t>9.2.17</t>
  </si>
  <si>
    <t>Нарезка короткой резьбы вручную на металлической трубе диаметром до 50 мм</t>
  </si>
  <si>
    <t>9.2.18</t>
  </si>
  <si>
    <t>Организация аварийного отключения теплоснабжения в ресурсоснабжающей организации</t>
  </si>
  <si>
    <t>9.2.19</t>
  </si>
  <si>
    <t>Получение акта допуска в эксплуатацию узла учета тепловой энергии, вызов представителя энергоснабжающей организации для проведения опломбирования УУТЭ</t>
  </si>
  <si>
    <t>9.2.20</t>
  </si>
  <si>
    <t>Проверка на прогрев отопительных приборов с регулировкой</t>
  </si>
  <si>
    <t>9.2.21</t>
  </si>
  <si>
    <t>Прокладка трубопроводов отопления стальных бесшовных и электросварных труб диаметром: 100 мм (с учетом фасонных изделий)</t>
  </si>
  <si>
    <t>9.2.22</t>
  </si>
  <si>
    <t>Прокладка трубопроводов отопления стальных бесшовных и электросварных труб диаметром: 125 мм (с учетом фасонных изделий)</t>
  </si>
  <si>
    <t>9.2.23</t>
  </si>
  <si>
    <t>Прокладка трубопроводов отопления стальных бесшовных и электросварных труб диаметром: 150 мм (с учетом фасонных изделий)</t>
  </si>
  <si>
    <t>9.2.24</t>
  </si>
  <si>
    <t>Прокладка трубопроводов отопления стальных бесшовных и электросварных труб диаметром: 50 мм (с учетом фасонных изделий)</t>
  </si>
  <si>
    <t>9.2.25</t>
  </si>
  <si>
    <t>Прокладка трубопроводов отопления стальных бесшовных и электросварных труб диаметром: 65 мм (с учетом фасонных изделий)</t>
  </si>
  <si>
    <t>9.2.26</t>
  </si>
  <si>
    <t>Прокладка трубопроводов отопления стальных бесшовных и электросварных труб диаметром: 80 мм (с учетом фасонных изделий)</t>
  </si>
  <si>
    <t>9.2.27</t>
  </si>
  <si>
    <t>Прокладка трубопроводов отопления из многослойных металл-полимерных труб диаметром 20 мм (с учетом фасонных изделий)</t>
  </si>
  <si>
    <t>9.2.28</t>
  </si>
  <si>
    <t>Прокладка трубопроводов отопления из многослойных металл-полимерных труб диаметром 25 мм (с учетом фасонных изделий)</t>
  </si>
  <si>
    <t>9.2.29</t>
  </si>
  <si>
    <t>Прокладка трубопроводов отопления из многослойных металл-полимерных труб диаметром 50 мм (с учетом фасонных изделий)</t>
  </si>
  <si>
    <t>9.2.30</t>
  </si>
  <si>
    <t>Прокладка трубопроводов отопления из многослойных металл-полимерных труб диаметром 63 мм (с учетом фасонных изделий)</t>
  </si>
  <si>
    <t>9.2.31</t>
  </si>
  <si>
    <t>Прокладка трубопроводов отопления из многослойных полипропиленовых труб диаметром 20 мм (с учетом фасонных изделий)</t>
  </si>
  <si>
    <t>9.2.32</t>
  </si>
  <si>
    <t>Прокладка трубопроводов отопления из многослойных полипропиленовых труб диаметром 25 мм (с учетом фасонных изделий)</t>
  </si>
  <si>
    <t>9.2.33</t>
  </si>
  <si>
    <t>Прокладка трубопроводов отопления из многослойных полипропиленовых труб диаметром 50 мм (с учетом фасонных изделий)</t>
  </si>
  <si>
    <t>9.2.34</t>
  </si>
  <si>
    <t>Прокладка трубопроводов отопления из многослойных полипропиленовых труб диаметром 80 мм (с учетом фасонных изделий)</t>
  </si>
  <si>
    <t>9.2.35</t>
  </si>
  <si>
    <t>Прокладка трубопроводов отопления из стальных водогазопроводных неоцинкованных труб диаметром 15 мм (с учетом фасонных изделий)</t>
  </si>
  <si>
    <t>9.2.36</t>
  </si>
  <si>
    <t>Прокладка трубопроводов отопления из стальных водогазопроводных неоцинкованных труб диаметром 20 мм (с учетом фасонных изделий)</t>
  </si>
  <si>
    <t>9.2.37</t>
  </si>
  <si>
    <t>Прокладка трубопроводов отопления из стальных водогазопроводных неоцинкованных труб диаметром 25 мм (с учетом фасонных изделий)</t>
  </si>
  <si>
    <t>9.2.38</t>
  </si>
  <si>
    <t>Прокладка трубопроводов отопления из стальных водогазопроводных неоцинкованных труб диаметром 32 мм (с учетом фасонных изделий)</t>
  </si>
  <si>
    <t>9.2.39</t>
  </si>
  <si>
    <t>Прокладка трубопроводов отопления из стальных водогазопроводных неоцинкованных труб диаметром 40 мм (с учетом фасонных изделий)</t>
  </si>
  <si>
    <t>9.2.40</t>
  </si>
  <si>
    <t>Прокладка трубопроводов отопления из стальных водогазопроводных неоцинкованных труб диаметром 50 мм (с учетом фасонных изделий)</t>
  </si>
  <si>
    <t>9.2.41</t>
  </si>
  <si>
    <t>Прокладка трубопроводов теплснабжения из стальных бесшовных горячекатанных труб диаметром 102 мм (с учетом фасонных изделий)</t>
  </si>
  <si>
    <t>9.2.42</t>
  </si>
  <si>
    <t>Прокладка трубопроводов теплснабжения из стальных бесшовных горячекатанных труб диаметром 108 мм (с учетом фасонных изделий)</t>
  </si>
  <si>
    <t>9.2.43</t>
  </si>
  <si>
    <t>Прокладка трубопроводов теплснабжения из стальных бесшовных горячекатанных труб диаметром 133 мм (с учетом фасонных изделий)</t>
  </si>
  <si>
    <t>9.2.44</t>
  </si>
  <si>
    <t>Прокладка трубопроводов теплснабжения из стальных бесшовных горячекатанных труб диаметром 159 мм (с учетом фасонных изделий)</t>
  </si>
  <si>
    <t>9.2.45</t>
  </si>
  <si>
    <t>Прокладка трубопроводов теплснабжения из стальных бесшовных горячекатанных труб диаметром 32 мм (с учетом фасонных изделий)</t>
  </si>
  <si>
    <t>9.2.46</t>
  </si>
  <si>
    <t>Прокладка трубопроводов теплснабжения из стальных бесшовных горячекатанных труб диаметром 40 мм (с учетом фасонных изделий)</t>
  </si>
  <si>
    <t>9.2.47</t>
  </si>
  <si>
    <t>Прокладка трубопроводов теплснабжения из стальных бесшовных горячекатанных труб диаметром 50 мм (с учетом фасонных изделий)</t>
  </si>
  <si>
    <t>9.2.48</t>
  </si>
  <si>
    <t>Прокладка трубопроводов теплснабжения из стальных бесшовных горячекатанных труб диаметром 76 мм (с учетом фасонных изделий)</t>
  </si>
  <si>
    <t>9.2.49</t>
  </si>
  <si>
    <t>Прочистка и промывка радиаторов отопления</t>
  </si>
  <si>
    <t>9.2.50</t>
  </si>
  <si>
    <t>Слив и наполнение водой системы отопления</t>
  </si>
  <si>
    <t>9.2.51</t>
  </si>
  <si>
    <t>Установка байпаса с 2-мя шаровыми кранами (под ключ)</t>
  </si>
  <si>
    <t>9.2.52</t>
  </si>
  <si>
    <t>Установка байпаса с 3-мя шаровыми кранами (под ключ)</t>
  </si>
  <si>
    <t>9.2.53</t>
  </si>
  <si>
    <t>Установка блока питания импульсного</t>
  </si>
  <si>
    <t>9.2.54</t>
  </si>
  <si>
    <t>Установка в системах водоснабжения и отопления клапана предохранительного (под ключ)</t>
  </si>
  <si>
    <t>9.2.55</t>
  </si>
  <si>
    <t>Установка в системах водоснабжения и отопления расходомера (под ключ)</t>
  </si>
  <si>
    <t>9.2.56</t>
  </si>
  <si>
    <t>Установка воздухоотводчика в системе отопления (под ключ)</t>
  </si>
  <si>
    <t>9.2.57</t>
  </si>
  <si>
    <t>Установка гильзы в перекрытие (труба стальная D 76 мм, длина 400 мм) /Прокладка трубопроводов отопления и водоснабжения из стальных электросварных труб диаметром 80 мм</t>
  </si>
  <si>
    <t>9.2.58</t>
  </si>
  <si>
    <t>Установка датчика избыточного давления 0..1,6 Мпа</t>
  </si>
  <si>
    <t>9.2.59</t>
  </si>
  <si>
    <t>Установка двух/трехходового клапана с сервоприводом</t>
  </si>
  <si>
    <t>9.2.60</t>
  </si>
  <si>
    <t>Установка клапана для подключения расширительного бака в системах водоснабжения и отопления</t>
  </si>
  <si>
    <t>9.2.61</t>
  </si>
  <si>
    <t>Установка клапана приемного в системах водоснабжения и отопления (под ключ)</t>
  </si>
  <si>
    <t>9.2.62</t>
  </si>
  <si>
    <t>Установка манометра с трехходовым краном</t>
  </si>
  <si>
    <t>9.2.63</t>
  </si>
  <si>
    <t>Установка муфтовых вентилей, задвижек, затворов, клапанов обратных, кранов проходных на трубопроводах из полипропиленовых труб диаметром до 100 мм</t>
  </si>
  <si>
    <t>9.2.64</t>
  </si>
  <si>
    <t>Установка муфтовых вентилей, задвижек, затворов, клапанов обратных, кранов проходных на трубопроводах из полипропиленовых труб диаметром до 150 мм</t>
  </si>
  <si>
    <t>9.2.65</t>
  </si>
  <si>
    <t>Установка муфтовых вентилей, задвижек, затворов, клапанов обратных, кранов проходных на трубопроводах из полипропиленовых труб диаметром до 25 мм</t>
  </si>
  <si>
    <t>9.2.66</t>
  </si>
  <si>
    <t>Установка муфтовых вентилей, задвижек, затворов, клапанов обратных, кранов проходных на трубопроводах из полипропиленовых труб диаметром до 50 мм</t>
  </si>
  <si>
    <t>9.2.67</t>
  </si>
  <si>
    <t>Установка муфтовых вентилей, задвижек, затворов, клапанов обратных, кранов проходных на трубопроводах из стальных труб диаметром до 100 мм</t>
  </si>
  <si>
    <t>9.2.68</t>
  </si>
  <si>
    <t>Установка муфтовых вентилей, задвижек, затворов, клапанов обратных, кранов проходных на трубопроводах из стальных труб диаметром до 150 мм</t>
  </si>
  <si>
    <t>9.2.69</t>
  </si>
  <si>
    <t>Установка муфтовых вентилей, задвижек, затворов, клапанов обратных, кранов проходных на трубопроводах из стальных труб диаметром до 25 мм</t>
  </si>
  <si>
    <t>9.2.70</t>
  </si>
  <si>
    <t>Установка муфтовых вентилей, задвижек, затворов, клапанов обратных, кранов проходных на трубопроводах из стальных труб диаметром до 50 мм</t>
  </si>
  <si>
    <t>9.2.71</t>
  </si>
  <si>
    <t>Установка насоса центробежного с электродвигателем в системах водоснабжения и отопления (с монтажом фланцев)</t>
  </si>
  <si>
    <t>9.2.72</t>
  </si>
  <si>
    <t>Установка подводки гибкой</t>
  </si>
  <si>
    <t>9.2.73</t>
  </si>
  <si>
    <t>Установка преобразователя расхода 1-поточный</t>
  </si>
  <si>
    <t>9.2.74</t>
  </si>
  <si>
    <t>Установка преобразователя расхода 2-поточный</t>
  </si>
  <si>
    <t>9.2.75</t>
  </si>
  <si>
    <t>Установка преобразователя расхода 4-поточный</t>
  </si>
  <si>
    <t>9.2.76</t>
  </si>
  <si>
    <t>Установка радиатора стального, любой кофигурации (под ключ)</t>
  </si>
  <si>
    <t>9.2.77</t>
  </si>
  <si>
    <t>Установка смесительного узла с учетом наладки</t>
  </si>
  <si>
    <t>9.2.78</t>
  </si>
  <si>
    <t>Установка счетчиков потребления тепловой энергии c цифровым выходом</t>
  </si>
  <si>
    <t>9.2.79</t>
  </si>
  <si>
    <t>Установка тепловычислителя</t>
  </si>
  <si>
    <t>9.2.80</t>
  </si>
  <si>
    <t>Установка термометра в оправе прямых и угловых</t>
  </si>
  <si>
    <t>9.2.81</t>
  </si>
  <si>
    <t>Установка термометра сопротивления</t>
  </si>
  <si>
    <t>9.2.82</t>
  </si>
  <si>
    <t>Установка термопреобразователей</t>
  </si>
  <si>
    <t>9.2.83</t>
  </si>
  <si>
    <t>Установка трубы гофрированной из нержавеющей стали с учетом муфт</t>
  </si>
  <si>
    <t>9.2.84</t>
  </si>
  <si>
    <t>Установка устройства считывания</t>
  </si>
  <si>
    <t>9.2.85</t>
  </si>
  <si>
    <t>Установка фланцевых вентилей, задвижек, затворов, клапанов обратных, кранов проходных на трубопроводах из стальных труб диаметром до 100 мм</t>
  </si>
  <si>
    <t>9.2.86</t>
  </si>
  <si>
    <t>Установка фланцевых вентилей, задвижек, затворов, клапанов обратных, кранов проходных на трубопроводах из стальных труб диаметром до 150 мм</t>
  </si>
  <si>
    <t>9.2.87</t>
  </si>
  <si>
    <t>Установка фланцевых вентилей, задвижек, затворов, клапанов обратных, кранов проходных на трубопроводах из стальных труб диаметром до 25 мм</t>
  </si>
  <si>
    <t>9.2.88</t>
  </si>
  <si>
    <t>Установка фланцевых вентилей, задвижек, затворов, клапанов обратных, кранов проходных на трубопроводах из стальных труб диаметром до 50 мм</t>
  </si>
  <si>
    <t>9.2.89</t>
  </si>
  <si>
    <t>Установка циркуляционного насоса в систему отопления на готовое основание</t>
  </si>
  <si>
    <t>9.2.90</t>
  </si>
  <si>
    <t>Установка шкафа скоммутированного металлического для теплосчетчика</t>
  </si>
  <si>
    <t>9.2.91</t>
  </si>
  <si>
    <t>Установка электромагнитного теплосчетчика</t>
  </si>
  <si>
    <t>9.2.92</t>
  </si>
  <si>
    <t>Установка закладных устройств приборов, бобышки, штуцеры (под установку манометров, термометров, спускников)</t>
  </si>
  <si>
    <t>9.2.93</t>
  </si>
  <si>
    <t>Ремонт стального трубопровода диаметром до 50 мм (1 место ремонта) (1. Доставка рабочих к месту производства работ и обратно 2. Внешний осмотр 3. Ремонт трубопровода электрогазосваркой 4. Гидроиспытание)</t>
  </si>
  <si>
    <t>9.2.94</t>
  </si>
  <si>
    <t>Ремонт стального трубопровода диаметром до 80 мм (1 место ремонта) (1. Доставка рабочих к месту производства работ и обратно 2. Внешний осмотр 3. Ремонт трубопровода электрогазосваркой 4. Гидроиспытание)</t>
  </si>
  <si>
    <t>9.2.95</t>
  </si>
  <si>
    <t>Ремонт стального трубопровода диаметром до 100 мм (1 место ремонта) (1. Доставка рабочих к месту производства работ и обратно 2. Внешний осмотр 3. Ремонт трубопровода электрогазосваркой 4. Гидроиспытание)</t>
  </si>
  <si>
    <t>9.2.96</t>
  </si>
  <si>
    <t>Поверка манометра (Техническое обслуживание) (1 шт)</t>
  </si>
  <si>
    <t>9.2.97</t>
  </si>
  <si>
    <t>Проведение лабораторного химического анализа жесткости воды</t>
  </si>
  <si>
    <t>9.2.98</t>
  </si>
  <si>
    <t>Повторный вызов представителей ПАО «МОЭК» для приемки к зимней эксплуатации теплофикационного оборудования зданий (в расчете на одно здание), кроме ЦТП/ИТП</t>
  </si>
  <si>
    <t>9.2.N1</t>
  </si>
  <si>
    <t>Демонтаж радиатора отопления с заглушением подводок</t>
  </si>
  <si>
    <t>9.2.N2</t>
  </si>
  <si>
    <t>Демонтаж стальных трубопроводов отопления/водоснабжения до Ду50 (газорезка)</t>
  </si>
  <si>
    <t>9.2.N3</t>
  </si>
  <si>
    <t>Замена термостатического клапана/термоголовки радиатора</t>
  </si>
  <si>
    <t>9.2.N4</t>
  </si>
  <si>
    <t>Установка внутрипольного/настенного водяного конвектора с подключением</t>
  </si>
  <si>
    <t>9.2.N5</t>
  </si>
  <si>
    <t>Опрессовка системы отопления здания/ИТП с оформлением акта (до 10 стояков)</t>
  </si>
  <si>
    <t>система</t>
  </si>
  <si>
    <t>9.2.N6</t>
  </si>
  <si>
    <t>Подготовка ИТП/теплового пункта к отопительному сезону (ревизия арматуры, промывка, опрессовка, акт)</t>
  </si>
  <si>
    <t>9.2.N7</t>
  </si>
  <si>
    <t>Ревизия задвижки/затвора Ду50–100 (замена набивки, прокладок)</t>
  </si>
  <si>
    <t>9.2.N8</t>
  </si>
  <si>
    <t>Замена прокладок фланцевого соединения Ду50–100</t>
  </si>
  <si>
    <t>соед.</t>
  </si>
  <si>
    <t>9.2.N9</t>
  </si>
  <si>
    <t>Установка балансировочного клапана Ду15–32</t>
  </si>
  <si>
    <t>9.2.N10</t>
  </si>
  <si>
    <t>Подключение водяной тепловой завесы к теплоносителю (узел обвязки с арматурой)</t>
  </si>
  <si>
    <t>9.2.N11</t>
  </si>
  <si>
    <t>Монтаж узла обвязки водяного калорифера приточной установки (насос, 3-ход. клапан, арматура)</t>
  </si>
  <si>
    <t>9.2.N12</t>
  </si>
  <si>
    <t>Окраска трубопроводов отопления/водоснабжения за 2 раза (без грунтовки)</t>
  </si>
  <si>
    <t>9.2.N13</t>
  </si>
  <si>
    <t>Установка мембранного расширительного бака до 100 л</t>
  </si>
  <si>
    <t>9.4.1</t>
  </si>
  <si>
    <t>Водомерный узел, собранный в блок, без обводной линии диаметром ввода до 65 мм, диаметром водомера до 40 мм</t>
  </si>
  <si>
    <t>9.4.2</t>
  </si>
  <si>
    <t>Водомерный узел, собранный в блок, без обводной линиии диаметром ввода до 100 мм, диаметром водомера до 80 мм</t>
  </si>
  <si>
    <t>9.4.3</t>
  </si>
  <si>
    <t>Водомерный узел, собранный в блок, с обводной линией диаметром ввода до 100 мм, диаметром водомера до 80 мм</t>
  </si>
  <si>
    <t>9.4.4</t>
  </si>
  <si>
    <t>Водомерный узел, собранный в блок, с обводной линией диаметром ввода до 65 мм, диаметром водомера до 40 мм</t>
  </si>
  <si>
    <t>9.4.5</t>
  </si>
  <si>
    <t>Гидравлическое испытание nрубопроводов систем отопления, водопровода и горячего водоснабжения диаметром до 100 мм</t>
  </si>
  <si>
    <t>9.4.6</t>
  </si>
  <si>
    <t>Гидравлическое испытание nрубопроводов систем отопления, водопровода и горячего водоснабжения диаметром до 50 мм</t>
  </si>
  <si>
    <t>9.4.7</t>
  </si>
  <si>
    <t>Монтаж водонагревателей электрических накопительных (емкостных) объемом: до 50 л</t>
  </si>
  <si>
    <t>9.4.8</t>
  </si>
  <si>
    <t>Монтаж водонагревателей электрических накопительных (емкостных) объемом: свыше 100 л</t>
  </si>
  <si>
    <t>9.4.9</t>
  </si>
  <si>
    <t>Монтаж водонагревателей электрических накопительных (емкостных) объемом: свыше 50 до 100 л</t>
  </si>
  <si>
    <t>9.4.10</t>
  </si>
  <si>
    <t>Прокладка трубопровода отопления и водоснабжения из стальных электросварных труб диаметром до 100 мм (с учетом фасонных изделий)</t>
  </si>
  <si>
    <t>9.4.11</t>
  </si>
  <si>
    <t>Прокладка трубопровода отопления и водоснабжения из стальных электросварных труб диаметром до 50 мм (с учетом фасонных изделий)</t>
  </si>
  <si>
    <t>9.4.12</t>
  </si>
  <si>
    <t>Прокладка трубопроводов водоснабжения из стальных водогазопроводных оцинкованных труб диаметром 15 мм (с учетом фасонных изделий)</t>
  </si>
  <si>
    <t>9.4.13</t>
  </si>
  <si>
    <t>Прокладка трубопроводов водоснабжения из стальных водогазопроводных оцинкованных труб диаметром 20 мм (с учетом фасонных изделий)</t>
  </si>
  <si>
    <t>9.4.14</t>
  </si>
  <si>
    <t>Прокладка трубопроводов водоснабжения из стальных водогазопроводных оцинкованных труб диаметром 25 мм</t>
  </si>
  <si>
    <t>9.4.15</t>
  </si>
  <si>
    <t>Прокладка трубопроводов водоснабжения из стальных водогазопроводных оцинкованных труб диаметром 32 мм (с учетом фасонных изделий)</t>
  </si>
  <si>
    <t>9.4.16</t>
  </si>
  <si>
    <t>Прокладка трубопроводов водоснабжения из стальных водогазопроводных оцинкованных труб диаметром 40 мм</t>
  </si>
  <si>
    <t>9.4.17</t>
  </si>
  <si>
    <t>Прокладка трубопроводов водоснабжения из стальных водогазопроводных оцинкованных труб диаметром 50 мм (с учетом фасонных изделий)</t>
  </si>
  <si>
    <t>9.4.18</t>
  </si>
  <si>
    <t>Прокладка трубопроводов противопожарного водоснабжения из стальных труб диаметром до 50 мм (с учетом фасонных изделий)</t>
  </si>
  <si>
    <t>9.4.19</t>
  </si>
  <si>
    <t>Трубопровод водоснабжения из многослойных металл-полимерных труб диаметром 15 мм (с учетом фасонных изделий)</t>
  </si>
  <si>
    <t>9.4.20</t>
  </si>
  <si>
    <t>Трубопровод водоснабжения из многослойных металл-полимерных труб диаметром 20 мм (с учетом фасонных изделий)</t>
  </si>
  <si>
    <t>9.4.21</t>
  </si>
  <si>
    <t>Трубопровод водоснабжения из многослойных металл-полимерных труб диаметром 25 мм (с учетом фасонных изделий)</t>
  </si>
  <si>
    <t>9.4.22</t>
  </si>
  <si>
    <t>Трубопровод водоснабжения из многослойных металл-полимерных труб диаметром 32 мм (с учетом фасонных изделий)</t>
  </si>
  <si>
    <t>9.4.23</t>
  </si>
  <si>
    <t>Трубопровод водоснабжения из многослойных металл-полимерных труб диаметром 40 мм (с учетом фасонных изделий)</t>
  </si>
  <si>
    <t>9.4.24</t>
  </si>
  <si>
    <t>Трубопровод водоснабжения из многослойных металл-полимерных труб диаметром 50 мм (с учетом фасонных изделий)</t>
  </si>
  <si>
    <t>9.4.25</t>
  </si>
  <si>
    <t>Трубопровод водоснабжения из многослойных металл-полимерных труб диаметром 63 мм (с учетом фасонных изделий)</t>
  </si>
  <si>
    <t>9.4.26</t>
  </si>
  <si>
    <t>Трубопровод водоснабжения из напорных полиэтиленовых труб диаметром 110 мм (с учетом фасонных изделий) на клее</t>
  </si>
  <si>
    <t>9.4.27</t>
  </si>
  <si>
    <t>Трубопровод водоснабжения из напорных полиэтиленовых труб диаметром 20 мм (с учетом фасонных изделий) на клее</t>
  </si>
  <si>
    <t>9.4.28</t>
  </si>
  <si>
    <t>Трубопровод водоснабжения из напорных полиэтиленовых труб диаметром 25 мм (с учетом фасонных изделий) на клее</t>
  </si>
  <si>
    <t>9.4.29</t>
  </si>
  <si>
    <t>Трубопровод водоснабжения из напорных полиэтиленовых труб диаметром 32 мм (с учетом фасонных изделий) на клее</t>
  </si>
  <si>
    <t>9.4.30</t>
  </si>
  <si>
    <t>Трубопровод водоснабжения из напорных полиэтиленовых труб диаметром 40 мм (с учетом фасонных изделий) на клее</t>
  </si>
  <si>
    <t>9.4.31</t>
  </si>
  <si>
    <t>Трубопровод водоснабжения из напорных полиэтиленовых труб диаметром 50 мм (с учетом фасонных изделий) на клее</t>
  </si>
  <si>
    <t>9.4.32</t>
  </si>
  <si>
    <t>Трубопровод водоснабжения из напорных полиэтиленовых труб диаметром 63 мм (с учетом фасонных изделий) на клее</t>
  </si>
  <si>
    <t>9.4.33</t>
  </si>
  <si>
    <t>Трубопровод водоснабжения из напорных полиэтиленовых труб диаметром 75 мм (с учетом фасонных изделий) на клее</t>
  </si>
  <si>
    <t>9.4.34</t>
  </si>
  <si>
    <t>Трубопровод водоснабжения из напорных полиэтиленовых труб диаметром 90 мм (с учетом фасонных изделий) на клее</t>
  </si>
  <si>
    <t>9.4.35</t>
  </si>
  <si>
    <t>Трубопровод водоснабжения из полипропиленовых труб диаметром 20 мм (с учетом фасонных изделий)</t>
  </si>
  <si>
    <t>9.4.36</t>
  </si>
  <si>
    <t>Трубопровод водоснабжения из полипропиленовых труб диаметром 25 мм (с учетом фасонных изделий)</t>
  </si>
  <si>
    <t>9.4.37</t>
  </si>
  <si>
    <t>Трубопровод водоснабжения из полипропиленовых труб диаметром 32 мм (с учетом фасонных изделий)</t>
  </si>
  <si>
    <t>9.4.38</t>
  </si>
  <si>
    <t>Трубопровод водоснабжения из полипропиленовых труб диаметром 40 мм (с учетом фасонных изделий)</t>
  </si>
  <si>
    <t>9.4.39</t>
  </si>
  <si>
    <t>Трубопровод водоснабжения из полипропиленовых труб диаметром 50 мм (с учетом фасонных изделий)</t>
  </si>
  <si>
    <t>9.4.40</t>
  </si>
  <si>
    <t>Трубопровод водоснабжения из полипропиленовых труб диаметром 63 мм (с учетом фасонных изделий)</t>
  </si>
  <si>
    <t>9.4.41</t>
  </si>
  <si>
    <t>Трубопровод водоснабжения из полипропиленовых труб диаметром 75 мм (с учетом фасонных изделий)</t>
  </si>
  <si>
    <t>9.4.42</t>
  </si>
  <si>
    <t>Трубопровод водоснабжения из полипропиленовых труб диаметром 90 мм (с учетом фасонных изделий)</t>
  </si>
  <si>
    <t>9.4.43</t>
  </si>
  <si>
    <t>Установка вентилей, задвижек, затворов, клапанов обратных, кранов проходных на трубопроводах из полипропиленовых труб на сварке диаметром: до 100 мм</t>
  </si>
  <si>
    <t>9.4.44</t>
  </si>
  <si>
    <t>Установка вентилей, задвижек, затворов, клапанов обратных, кранов проходных на трубопроводах из полипропиленовых труб на сварке диаметром: до 25 мм</t>
  </si>
  <si>
    <t>9.4.45</t>
  </si>
  <si>
    <t>Установка вентилей, задвижек, затворов, клапанов обратных, кранов проходных на трубопроводах из полипропиленовых труб на сварке диаметром: до 50 мм</t>
  </si>
  <si>
    <t>9.4.46</t>
  </si>
  <si>
    <t>Установка в системе водоснабжения фильтра диаметром 25 мм (под ключ)</t>
  </si>
  <si>
    <t>9.4.47</t>
  </si>
  <si>
    <t>Установка в системе водоснабжения фильтра диаметром 32 мм (под ключ)</t>
  </si>
  <si>
    <t>9.4.48</t>
  </si>
  <si>
    <t>Установка в системе водоснабжения фильтра диаметром 40 мм (под ключ)</t>
  </si>
  <si>
    <t>9.4.49</t>
  </si>
  <si>
    <t>Установка в системе водоснабжения фильтра диаметром 50 мм (под ключ)</t>
  </si>
  <si>
    <t>9.4.50</t>
  </si>
  <si>
    <t>Установка кранов пожарных диаметром 50 мм</t>
  </si>
  <si>
    <t>9.4.51</t>
  </si>
  <si>
    <t>Установка кранов поливочных диаметром: 25 мм</t>
  </si>
  <si>
    <t>9.4.52</t>
  </si>
  <si>
    <t>Установка муфтовых вентилей, задвижек, затворов, клапанов обратных, кранов проходных на трубопроводах из пластиковых труб диаметром: до 100 мм</t>
  </si>
  <si>
    <t>9.4.53</t>
  </si>
  <si>
    <t>Установка муфтовых вентилей, задвижек, затворов, клапанов обратных, кранов проходных на трубопроводах из пластиковых труб диаметром: до 25 мм</t>
  </si>
  <si>
    <t>9.4.54</t>
  </si>
  <si>
    <t>Установка муфтовых вентилей, задвижек, затворов, клапанов обратных, кранов проходных на трубопроводах из пластиковых труб диаметром: до 50 мм</t>
  </si>
  <si>
    <t>9.4.55</t>
  </si>
  <si>
    <t>Установка муфтовых вентилей, задвижек, затворов, клапанов обратных, кранов проходных на трубопроводах из стальных труб диаметром: до 100 мм</t>
  </si>
  <si>
    <t>9.4.56</t>
  </si>
  <si>
    <t>Установка муфтовых вентилей, задвижек, затворов, клапанов обратных, кранов проходных на трубопроводах из стальных труб диаметром: до 150 мм</t>
  </si>
  <si>
    <t>9.4.57</t>
  </si>
  <si>
    <t>Установка муфтовых вентилей, задвижек, затворов, клапанов обратных, кранов проходных на трубопроводах из стальных труб диаметром: до 25 мм</t>
  </si>
  <si>
    <t>9.4.58</t>
  </si>
  <si>
    <t>Установка муфтовых вентилей, задвижек, затворов, клапанов обратных, кранов проходных на трубопроводах из стальных труб диаметром: до 50 мм</t>
  </si>
  <si>
    <t>9.4.59</t>
  </si>
  <si>
    <t>Установка опорных конструкций для крепления трубопроводов внутри зданий и сооружений</t>
  </si>
  <si>
    <t>9.4.60</t>
  </si>
  <si>
    <t>Установка полотенцесушителей: из водогазопроводных труб</t>
  </si>
  <si>
    <t>9.4.61</t>
  </si>
  <si>
    <t>Установка полотенцесушителей: из латунных хромированных труб</t>
  </si>
  <si>
    <t>9.4.62</t>
  </si>
  <si>
    <t>Установка счетчика (водомера) диаметром до 100 мм</t>
  </si>
  <si>
    <t>9.4.63</t>
  </si>
  <si>
    <t>Установка счетчика (водомера) диаметром до 150 мм</t>
  </si>
  <si>
    <t>9.4.64</t>
  </si>
  <si>
    <t>Установка счетчика (водомера) диаметром до 40 мм</t>
  </si>
  <si>
    <t>9.4.65</t>
  </si>
  <si>
    <t>Установка счетчика (водомера) диаметром до 50 мм</t>
  </si>
  <si>
    <t>9.4.66</t>
  </si>
  <si>
    <t>Установка счетчика (водомера) диаметром до 80 мм</t>
  </si>
  <si>
    <t>9.4.67</t>
  </si>
  <si>
    <t>Установка фланцевых вентилей, задвижек, затворов, клапанов обратных, кранов проходных на трубопроводах из стальных труб диаметром: до 100 мм</t>
  </si>
  <si>
    <t>9.4.68</t>
  </si>
  <si>
    <t>Установка фланцевых вентилей, задвижек, затворов, клапанов обратных, кранов проходных на трубопроводах из стальных труб диаметром: до 150 мм</t>
  </si>
  <si>
    <t>9.4.69</t>
  </si>
  <si>
    <t>Установка фланцевых вентилей, задвижек, затворов, клапанов обратных, кранов проходных на трубопроводах из стальных труб диаметром: до 25 мм</t>
  </si>
  <si>
    <t>9.4.70</t>
  </si>
  <si>
    <t>Установка фланцевых вентилей, задвижек, затворов, клапанов обратных, кранов проходных на трубопроводах из стальных труб диаметром: до 50 мм</t>
  </si>
  <si>
    <t>9.4.71</t>
  </si>
  <si>
    <t>Установка пожарного шкафа</t>
  </si>
  <si>
    <t>9.4.N1</t>
  </si>
  <si>
    <t>Замена шарового крана Ду15–25 на действующей сети (с отключением и сливом)</t>
  </si>
  <si>
    <t>9.4.N2</t>
  </si>
  <si>
    <t>Установка редуктора давления Ду15–25</t>
  </si>
  <si>
    <t>9.4.N3</t>
  </si>
  <si>
    <t>Установка проточного электроводонагревателя</t>
  </si>
  <si>
    <t>9.4.N4</t>
  </si>
  <si>
    <t>Подключение технологического оборудования (ПММ, пароконвектомат, льдогенератор) к водопроводу и канализации</t>
  </si>
  <si>
    <t>9.4.N5</t>
  </si>
  <si>
    <t>Установка системы умягчения/фильтрации воды (колонна + обвязка) под ключ</t>
  </si>
  <si>
    <t>9.4.N6</t>
  </si>
  <si>
    <t>Замена картриджа магистрального фильтра</t>
  </si>
  <si>
    <t>9.4.N7</t>
  </si>
  <si>
    <t>Промывка и дезинфекция трубопроводов водоснабжения до Ду50 (с отбором проб)</t>
  </si>
  <si>
    <t>9.4.N8</t>
  </si>
  <si>
    <t>Перекатка пожарного рукава на новое ребро</t>
  </si>
  <si>
    <t>9.4.N9</t>
  </si>
  <si>
    <t>Проверка пожарного крана на водоотдачу с актом</t>
  </si>
  <si>
    <t>9.4.N10</t>
  </si>
  <si>
    <t>Установка повысительной насосной станции (до 3 насосов на раме) с подключением</t>
  </si>
  <si>
    <t>9.4.N11</t>
  </si>
  <si>
    <t>Демонтаж трубопроводов водоснабжения из пластмассовых труб до Ду63</t>
  </si>
  <si>
    <t>9.4.N12</t>
  </si>
  <si>
    <t>Установка счётчика воды Ду15–20 (резьбовой) с опломбировкой</t>
  </si>
  <si>
    <t>9.4.N13</t>
  </si>
  <si>
    <t>Установка системы защиты от протечек (краны с приводом + датчики), комплект</t>
  </si>
  <si>
    <t>9.3.1</t>
  </si>
  <si>
    <t>Вакуумирование системы до 7 кВт</t>
  </si>
  <si>
    <t>9.3.2</t>
  </si>
  <si>
    <t>Вакуумирование системы до 10 кВт</t>
  </si>
  <si>
    <t>9.3.3</t>
  </si>
  <si>
    <t>Вакуумирование системы до 14 кВт</t>
  </si>
  <si>
    <t>9.3.4</t>
  </si>
  <si>
    <t>Вакуумирование системы до 20 кВт</t>
  </si>
  <si>
    <t>9.3.5</t>
  </si>
  <si>
    <t>Видеодиагностика воздуховодов технологической вентиляции (до 60 мп)</t>
  </si>
  <si>
    <t>9.3.6</t>
  </si>
  <si>
    <t>Видеодиагностика воздуховодов технологической вентиляции (свыше 60 мп)</t>
  </si>
  <si>
    <t>9.3.7</t>
  </si>
  <si>
    <t>Гидродинамическая промывка с применением хим.реагента внутренней поверхности воздуховодов, решеток струями высокого давления с предоставлением акта лаборатории (с забором смывов и предоставлением акта лаборатории)</t>
  </si>
  <si>
    <t>9.3.8</t>
  </si>
  <si>
    <t>Диагностика работоспособности кондиционера</t>
  </si>
  <si>
    <t>9.3.9</t>
  </si>
  <si>
    <t>Диагностика целостности прохождения хладагента на предмет утечек (течеискателем)</t>
  </si>
  <si>
    <t>9.3.10</t>
  </si>
  <si>
    <t>Замена вентилятора внешнего блока кондиционера</t>
  </si>
  <si>
    <t>9.3.11</t>
  </si>
  <si>
    <t>Замена вентилятора внутреннего блока</t>
  </si>
  <si>
    <t>9.3.12</t>
  </si>
  <si>
    <t>Замена дренажной помпы</t>
  </si>
  <si>
    <t>9.3.13</t>
  </si>
  <si>
    <t>Замена крыльчатки вентилятора охлаждения внешнего блока</t>
  </si>
  <si>
    <t>9.3.14</t>
  </si>
  <si>
    <t>Изоляция изделиями из вспененного каучука, вспененного полиэтилена трубопроводов наружным диметром: до 160 мм трубками</t>
  </si>
  <si>
    <t>9.3.15</t>
  </si>
  <si>
    <t>Изоляция плоских и криволинейных поверхностей плитами</t>
  </si>
  <si>
    <t>9.3.16</t>
  </si>
  <si>
    <t>Изоляция трубопроводов цилиндрами и полуцилиндрами из минеральной ваты на синтетическом связующем</t>
  </si>
  <si>
    <t>9.3.17</t>
  </si>
  <si>
    <t>Изоляция трубопроводов цилиндрами, полуцилиндрами и сегментами из пенопласта</t>
  </si>
  <si>
    <t>9.3.18</t>
  </si>
  <si>
    <t>Монтаж (пайка) разветвителя ( 3-х труб )</t>
  </si>
  <si>
    <t>9.3.19</t>
  </si>
  <si>
    <t>Монтаж антивандальной решетки №1 1000х500х 600</t>
  </si>
  <si>
    <t>9.3.20</t>
  </si>
  <si>
    <t>Монтаж антивандальной решетки №2 1200х700х1000</t>
  </si>
  <si>
    <t>9.3.21</t>
  </si>
  <si>
    <t>Монтаж антивандальной решетки №3 1300х900х1500</t>
  </si>
  <si>
    <t>9.3.22</t>
  </si>
  <si>
    <t>Монтаж гибкой ПВХ дренажной трубы</t>
  </si>
  <si>
    <t>9.3.23</t>
  </si>
  <si>
    <t>Монтаж каппилярной дренажной трубки</t>
  </si>
  <si>
    <t>9.3.24</t>
  </si>
  <si>
    <t>Монтаж мульти-сплит системы (2 наст. бл.) до 7,0 кВт</t>
  </si>
  <si>
    <t>9.3.25</t>
  </si>
  <si>
    <t>Монтаж мульти-сплит системы (3 наст. бл.) до 12,0 кВт</t>
  </si>
  <si>
    <t>9.3.26</t>
  </si>
  <si>
    <t>Монтаж мульти-сплит системы (4 наст. бл.) до 16,0 кВт</t>
  </si>
  <si>
    <t>9.3.27</t>
  </si>
  <si>
    <t>Монтаж наружн. Блока мощностью до 5 кВт</t>
  </si>
  <si>
    <t>9.3.28</t>
  </si>
  <si>
    <t>Монтаж наружн. Блока мощностью до 8 кВт</t>
  </si>
  <si>
    <t>9.3.29</t>
  </si>
  <si>
    <t>Монтаж наружн. Блока мощностью свыше 8 кВт</t>
  </si>
  <si>
    <t>9.3.30</t>
  </si>
  <si>
    <t>Монтаж обратного клапана</t>
  </si>
  <si>
    <t>9.3.31</t>
  </si>
  <si>
    <t>Настройка параметров, холодильного контура в рабочем режиме.</t>
  </si>
  <si>
    <t>9.3.32</t>
  </si>
  <si>
    <t>Настройка элементов системы автоматики и защитных устройств.</t>
  </si>
  <si>
    <t>9.3.33</t>
  </si>
  <si>
    <t>Очистка от жира с применением химреагентов вентиляторов с предоставлением акта лаборатории</t>
  </si>
  <si>
    <t>9.3.34</t>
  </si>
  <si>
    <t>Очистка от жира с применением химреагентов вытяжных зонтов с предоставлением акта лаборатории</t>
  </si>
  <si>
    <t>9.3.35</t>
  </si>
  <si>
    <t>Пайка трасс сечение до 1 дюйма за 1 пайку - ремонт ранее установленных</t>
  </si>
  <si>
    <t>9.3.36</t>
  </si>
  <si>
    <t>Пайка трасс сечением свыше 1 дюйма за пайку - ремонт ранее установленных</t>
  </si>
  <si>
    <t>9.3.37</t>
  </si>
  <si>
    <t>Перезаправка / Заправка хладагента</t>
  </si>
  <si>
    <t>9.3.38</t>
  </si>
  <si>
    <t>Продувка межблочной трассы азотом</t>
  </si>
  <si>
    <t>9.3.39</t>
  </si>
  <si>
    <t>Прокладка воздуховодов из листовой, оцинкованной стали и алюминия толщиной: 0,5 мм (с учетом фасоных деталей) периметром до 1000 мм</t>
  </si>
  <si>
    <t>9.3.40</t>
  </si>
  <si>
    <t>Прокладка воздуховодов из листовой, оцинкованной стали и алюминия толщиной: 0,6 мм, (с учетом фасоных деталей) диаметром до 250 мм</t>
  </si>
  <si>
    <t>9.3.41</t>
  </si>
  <si>
    <t>Прокладка воздуховодов из листовой, оцинкованной стали и алюминия толщиной: 0,6 мм, (с учетом фасоных деталей) диаметром до 450 мм</t>
  </si>
  <si>
    <t>9.3.42</t>
  </si>
  <si>
    <t>Прокладка воздуховодов из листовой, оцинкованной стали и алюминия толщиной: 0,7 мм, (с учетом фасоных деталей) периметром до 2400 мм</t>
  </si>
  <si>
    <t>9.3.43</t>
  </si>
  <si>
    <t>Прокладка воздуховодов из листовой, оцинкованной стали и алюминия толщиной: 0,7 мм, (с учетом фасоных деталей) диаметром до 800 мм</t>
  </si>
  <si>
    <t>9.3.44</t>
  </si>
  <si>
    <t>Прокладка воздуховодов из листовой, оцинкованной стали и алюминия толщиной: 0,9 м,(с учетом фасоных деталей), периметром до 5200 мм</t>
  </si>
  <si>
    <t>9.3.45</t>
  </si>
  <si>
    <t>Прокладка воздуховодов из листовой, оцинкованной стали и алюминия толщиной: 0,9 мм, (с учетом фасоных деталей) периметром до 4500 мм</t>
  </si>
  <si>
    <t>9.3.46</t>
  </si>
  <si>
    <t>Прокладка воздуховодов из листовой, оцинкованной стали и алюминия толщиной: 1,2 мм (с учетом фасоных деталей), диаметром 1600 мм</t>
  </si>
  <si>
    <t>9.3.47</t>
  </si>
  <si>
    <t>Прокладка воздуховодов из листовой, оцинкованной стали и алюминия толщиной: 1,2 мм (с учетом фасоных деталей), периметром до 5200 мм</t>
  </si>
  <si>
    <t>9.3.48</t>
  </si>
  <si>
    <t>Прокладка воздуховодов из листовой, оцинкованной стали и алюминия толщиной: 1,0 мм (с учетом фасоных деталей), диаметром до 1250 мм</t>
  </si>
  <si>
    <t>9.3.49</t>
  </si>
  <si>
    <t>Прокладка воздуховодов из нержавеющей стали толщиной 0,7 мм (с учетом фасоных деталей) нипельное соединение (1 м2) периметром до 4500мм</t>
  </si>
  <si>
    <t>9.3.50</t>
  </si>
  <si>
    <t>Прокладка воздуховодов из нержавеющей стали толщиной 0,7 мм (с учетом фасоных деталей) фланцевое соединение (1 м2) периметром до 3200мм</t>
  </si>
  <si>
    <t>9.3.51</t>
  </si>
  <si>
    <t>Прокладка воздуховодов из нержавеющей стали толщиной 1 мм (с учетом фасоных деталей) нипельное соединение (1 м2) периметром до 4500мм</t>
  </si>
  <si>
    <t>9.3.52</t>
  </si>
  <si>
    <t>Прокладка воздуховодов из нержавеющей стали толщиной 1 мм (с учетом фасоных деталей) фланцевое соединение (1 м2) периметром до 4500мм</t>
  </si>
  <si>
    <t>9.3.53</t>
  </si>
  <si>
    <t>Прокладка воздуховодов из нержавеющей стали толщиной 1,2 мм (с учетом фасоных деталей) нипельное соединение (1 м2) периметром до 4500мм</t>
  </si>
  <si>
    <t>9.3.54</t>
  </si>
  <si>
    <t>Прокладка воздуховодов из нержавеющей стали толщиной 1,2 мм (с учетом фасоных деталей) фланцевое соединение (1 м2) периметром до 4500мм</t>
  </si>
  <si>
    <t>9.3.55</t>
  </si>
  <si>
    <t>Прокладка трассы из трубы медной диаметром до 16 мм</t>
  </si>
  <si>
    <t>9.3.56</t>
  </si>
  <si>
    <t>Прокладка трассы из трубы медной диаметром до 25 мм</t>
  </si>
  <si>
    <t>9.3.57</t>
  </si>
  <si>
    <t>Прокладка трассы из трубы медной диаметром до 42 мм</t>
  </si>
  <si>
    <t>9.3.58</t>
  </si>
  <si>
    <t>Прокладка трассы из трубы медной диаметром до 67 мм</t>
  </si>
  <si>
    <t>9.3.59</t>
  </si>
  <si>
    <t>Разборка - сборка 1 блока кондиционера (внутреннего или наружного)</t>
  </si>
  <si>
    <t>9.3.60</t>
  </si>
  <si>
    <t>Разовое обслуживание кондиционера любого типа мощностью от 07-24 тыс.BTU обслуживание двух блоков (очистка и дезинфекция блоков, фильтров, радиатора, крыльчатки проверка дренажа и фреонопровода на герметичность, проверка эл.соединений)</t>
  </si>
  <si>
    <t>9.3.61</t>
  </si>
  <si>
    <t>Разовое обслуживание кондиционера любого типа мощностью от 28-36 тыс.BTU обслуживание двух блоков(очистка и дезинфекция блоков, фильтров, радиатора, крыльчатки проверка дренажа и фреонопровода на герметичность, проверка эл.соединений)</t>
  </si>
  <si>
    <t>9.3.62</t>
  </si>
  <si>
    <t>Разовое обслуживание кондиционера любого типа мощностью от 45-54 тыс.BTU обслуживание двух блоков(очистка и дезинфекция блоков, фильтров, радиатора, крыльчатки проверка дренажа и фреонопровода на герметичность, проверка эл.соединений)</t>
  </si>
  <si>
    <t>9.3.63</t>
  </si>
  <si>
    <t>Разовое обслуживание кондиционера любого типа мощностью от 60-90 тыс.BTU обслуживание двух блоков (очистка и дезинфекция блоков, проверка дренажа и фреонопровода на герметичность, дозаправка)</t>
  </si>
  <si>
    <t>9.3.64</t>
  </si>
  <si>
    <t>Сухая очистка внутренней поверхности воздуховодов, решеток</t>
  </si>
  <si>
    <t>9.3.65</t>
  </si>
  <si>
    <t>Техническое обслуживание тепловой завесы длиной до 1000 мм (чистка, проверка эл.соединений)</t>
  </si>
  <si>
    <t>9.3.66</t>
  </si>
  <si>
    <t>Техническое обслуживание тепловой завесы длиной до 1500 мм (чистка, проверка эл.соединений)</t>
  </si>
  <si>
    <t>9.3.67</t>
  </si>
  <si>
    <t>Техническое обслуживание тепловой завесы длиной до 2000 мм (чистка, проверка эл.соединений)</t>
  </si>
  <si>
    <t>9.3.68</t>
  </si>
  <si>
    <t>Установка вставки для фильтр-бокса</t>
  </si>
  <si>
    <t>9.3.69</t>
  </si>
  <si>
    <t>Установка агрегатов вентиляционных пылеулавливающих</t>
  </si>
  <si>
    <t>9.3.70</t>
  </si>
  <si>
    <t>Установка блока защиты кондиционера от эксплуатации ниже -5*С</t>
  </si>
  <si>
    <t>9.3.71</t>
  </si>
  <si>
    <t>Установка блока подключения тепловых завес</t>
  </si>
  <si>
    <t>9.3.72</t>
  </si>
  <si>
    <t>Установка блока ротации для 2-х кондиционеров (для серверных)</t>
  </si>
  <si>
    <t>9.3.73</t>
  </si>
  <si>
    <t>Установка вентиля 2-х ходового</t>
  </si>
  <si>
    <t>9.3.74</t>
  </si>
  <si>
    <t>Установка вентиля 3-х ходового</t>
  </si>
  <si>
    <t>9.3.75</t>
  </si>
  <si>
    <t>Установка вентиля 4-х ходового</t>
  </si>
  <si>
    <t>9.3.76</t>
  </si>
  <si>
    <t>Установка вентиляторов крышных массой: до 0,1 т</t>
  </si>
  <si>
    <t>9.3.77</t>
  </si>
  <si>
    <t>Установка вентиляторов крышных массой: до 0,2 т</t>
  </si>
  <si>
    <t>9.3.78</t>
  </si>
  <si>
    <t>Установка вентиляторов крышных массой: до 0,4 т</t>
  </si>
  <si>
    <t>9.3.79</t>
  </si>
  <si>
    <t>Установка вентиляторов крышных массой: до 0,7 т</t>
  </si>
  <si>
    <t>9.3.80</t>
  </si>
  <si>
    <t>Установка вентиляторов радиальных массой: до 0,05 т</t>
  </si>
  <si>
    <t>9.3.81</t>
  </si>
  <si>
    <t>Установка вентиляторов радиальных массой: свыше 0,05 до 0,12 т</t>
  </si>
  <si>
    <t>9.3.82</t>
  </si>
  <si>
    <t>Установка вентиляторов радиальных массой: свыше 0,12 до 0,2 т</t>
  </si>
  <si>
    <t>9.3.83</t>
  </si>
  <si>
    <t>Установка вентиляторов радиальных массой: свыше 0,2 до 0,4 т</t>
  </si>
  <si>
    <t>9.3.84</t>
  </si>
  <si>
    <t>Установка внутреннего блока канального типа мощностью: до 5 кВт</t>
  </si>
  <si>
    <t>9.3.85</t>
  </si>
  <si>
    <t>Установка внутреннего блока канального типа мощностью: до 8 кВт</t>
  </si>
  <si>
    <t>9.3.86</t>
  </si>
  <si>
    <t>Установка внутреннего блока канального типа мощностью: свыше 8 кВт</t>
  </si>
  <si>
    <t>9.3.87</t>
  </si>
  <si>
    <t>Установка внутреннего блока кассетного типа мощностью: до 5 кВт</t>
  </si>
  <si>
    <t>9.3.88</t>
  </si>
  <si>
    <t>Установка внутреннего блока кассетного типа мощностью: до 8 кВт</t>
  </si>
  <si>
    <t>9.3.89</t>
  </si>
  <si>
    <t>Установка внутреннего блока кассетного типа мощностью: свыше 8 кВт</t>
  </si>
  <si>
    <t>9.3.90</t>
  </si>
  <si>
    <t>Установка внутреннего блока напольного типа мощностью: до 5 кВт</t>
  </si>
  <si>
    <t>9.3.91</t>
  </si>
  <si>
    <t>Установка внутреннего блока напольного типа мощностью: до 8 кВт</t>
  </si>
  <si>
    <t>9.3.92</t>
  </si>
  <si>
    <t>Установка внутреннего блока напольного типа мощностью: свыше 8 кВт</t>
  </si>
  <si>
    <t>9.3.93</t>
  </si>
  <si>
    <t>Установка внутреннего блока настенного типа мощностью: до 5 кВт</t>
  </si>
  <si>
    <t>9.3.94</t>
  </si>
  <si>
    <t>Установка внутреннего блока настенного типа мощностью: до 8 кВт</t>
  </si>
  <si>
    <t>9.3.95</t>
  </si>
  <si>
    <t>Установка внутреннего блока настенного типа мощностью: свыше 8 кВт</t>
  </si>
  <si>
    <t>9.3.96</t>
  </si>
  <si>
    <t>Установка воздухонагревателя/воздухоохладителя электрического</t>
  </si>
  <si>
    <t>9.3.97</t>
  </si>
  <si>
    <t>Установка воздухонагревателя/теплообменника/калорифера весом до 0,1 тн</t>
  </si>
  <si>
    <t>9.3.98</t>
  </si>
  <si>
    <t>Установка воздухонагревателя/теплообменника/калорифера весом до 0,2 тн</t>
  </si>
  <si>
    <t>9.3.99</t>
  </si>
  <si>
    <t>Установка воздухонагревателя/теплообменника/калорифера весом до 0,3 тн</t>
  </si>
  <si>
    <t>9.3.100</t>
  </si>
  <si>
    <t>Установка воздухонагревателя/теплообменника/калорифера весом до 0,4 тн</t>
  </si>
  <si>
    <t>9.3.101</t>
  </si>
  <si>
    <t>Установка воздухораспределителей, предназначенных для подачи воздуха: в рабочую зону, массой до 20 кг</t>
  </si>
  <si>
    <t>9.3.102</t>
  </si>
  <si>
    <t>Установка воздухораспределителей, предназначенных для подачи воздуха: в рабочую зону, массой до 50 кг</t>
  </si>
  <si>
    <t>9.3.103</t>
  </si>
  <si>
    <t>Установка воздушного клапана</t>
  </si>
  <si>
    <t>9.3.104</t>
  </si>
  <si>
    <t>Установка вставки для фильтра карманного</t>
  </si>
  <si>
    <t>9.3.105</t>
  </si>
  <si>
    <t>Установка вставки кассетной фильтрующей</t>
  </si>
  <si>
    <t>9.3.106</t>
  </si>
  <si>
    <t>Установка вставок гибких к радиальным вентиляторам</t>
  </si>
  <si>
    <t>9.3.107</t>
  </si>
  <si>
    <t>Установка датчиков, термостатов (температуры, давления)</t>
  </si>
  <si>
    <t>9.3.108</t>
  </si>
  <si>
    <t>Установка заслонок воздушных клапанов с электрическим приводом</t>
  </si>
  <si>
    <t>9.3.109</t>
  </si>
  <si>
    <t>Установка заслонок воздушных клапанов с ручным приводом</t>
  </si>
  <si>
    <t>9.3.110</t>
  </si>
  <si>
    <t>Установка зонтов над оборудованием</t>
  </si>
  <si>
    <t>9.3.111</t>
  </si>
  <si>
    <t>Установка канального электронагревателя</t>
  </si>
  <si>
    <t>9.3.112</t>
  </si>
  <si>
    <t>Установка кожуха для защиты двигателя вентилятора</t>
  </si>
  <si>
    <t>9.3.113</t>
  </si>
  <si>
    <t>Установка коллектора жира</t>
  </si>
  <si>
    <t>9.3.114</t>
  </si>
  <si>
    <t>Установка комплекта NEMA для частотного преобразовтаеля</t>
  </si>
  <si>
    <t>9.3.115</t>
  </si>
  <si>
    <t>Установка модуля подключения завес c IP54</t>
  </si>
  <si>
    <t>9.3.116</t>
  </si>
  <si>
    <t>Установка низкотемпературного комплекта до -30 градусов (подогрев компрессора, подогрев дренажа, регулятор оборотов вентилятора нар. блока)</t>
  </si>
  <si>
    <t>9.3.117</t>
  </si>
  <si>
    <t>Установка очистителя воздуха Tion Ext X (подвесной способ монтажа) весом до 0,1 тн</t>
  </si>
  <si>
    <t>9.3.118</t>
  </si>
  <si>
    <t>Установка очистителя воздуха Tion Ext X (подвесной способ монтажа) весом от 0,1 до 0,2 тн</t>
  </si>
  <si>
    <t>9.3.119</t>
  </si>
  <si>
    <t>Установка очистителя воздуха Tion Ext X (подвесной способ монтажа) весом от 0,2 до 0,3 тн</t>
  </si>
  <si>
    <t>9.3.120</t>
  </si>
  <si>
    <t>Установка очистителя воздуха Tion Ext X (подвесной способ монтажа) весом от 0,3 до 0,4 тн</t>
  </si>
  <si>
    <t>9.3.121</t>
  </si>
  <si>
    <t>Установка очистителя воздуха Tion Ext X (подвесной способ монтажа) весом от 0,4 до 0,5 тн</t>
  </si>
  <si>
    <t>9.3.122</t>
  </si>
  <si>
    <t>Установка панели управления частотного преобразователя</t>
  </si>
  <si>
    <t>9.3.123</t>
  </si>
  <si>
    <t>Установка помпы накопительной</t>
  </si>
  <si>
    <t>9.3.124</t>
  </si>
  <si>
    <t>Установка помпы проточной</t>
  </si>
  <si>
    <t>9.3.125</t>
  </si>
  <si>
    <t>Установка привода воздушного клапана</t>
  </si>
  <si>
    <t>9.3.126</t>
  </si>
  <si>
    <t>Установка пульта коммутации и управления тепловыми завесами</t>
  </si>
  <si>
    <t>9.3.127</t>
  </si>
  <si>
    <t>Установка регулятора скорости ступенчатого</t>
  </si>
  <si>
    <t>9.3.128</t>
  </si>
  <si>
    <t>Установка рекуператора канального пластинчатого</t>
  </si>
  <si>
    <t>9.3.129</t>
  </si>
  <si>
    <t>Установка решеток жалюзийных площадью в свету: до 0,5 м2</t>
  </si>
  <si>
    <t>9.3.130</t>
  </si>
  <si>
    <t>Установка решеток жалюзийных площадью в свету: до 1,0 м2</t>
  </si>
  <si>
    <t>9.3.131</t>
  </si>
  <si>
    <t>Установка решеток жалюзийных площадью в свету: до 1,5 м2</t>
  </si>
  <si>
    <t>9.3.132</t>
  </si>
  <si>
    <t>Установка решеток жалюзийных площадью в свету: до 2,5 м2</t>
  </si>
  <si>
    <t>9.3.133</t>
  </si>
  <si>
    <t>Установка решеток жалюзийных площадью в свету: до 5 м2</t>
  </si>
  <si>
    <t>9.3.134</t>
  </si>
  <si>
    <t>Установка сервопривода</t>
  </si>
  <si>
    <t>9.3.135</t>
  </si>
  <si>
    <t>9.3.136</t>
  </si>
  <si>
    <t>Установка сплит-систем с внутренним блоком канального типа мощностью: до 5 кВт</t>
  </si>
  <si>
    <t>9.3.137</t>
  </si>
  <si>
    <t>Установка сплит-систем с внутренним блоком канального типа мощностью: до 8 кВт</t>
  </si>
  <si>
    <t>9.3.138</t>
  </si>
  <si>
    <t>Установка сплит-систем с внутренним блоком канального типа мощностью: свыше 8 кВт</t>
  </si>
  <si>
    <t>9.3.139</t>
  </si>
  <si>
    <t>Установка сплит-систем с внутренним блоком кассетного типа мощностью: до 5 кВт</t>
  </si>
  <si>
    <t>9.3.140</t>
  </si>
  <si>
    <t>Установка сплит-систем с внутренним блоком кассетного типа мощностью: до 8 кВт</t>
  </si>
  <si>
    <t>9.3.141</t>
  </si>
  <si>
    <t>Установка сплит-систем с внутренним блоком кассетного типа мощностью: свыше 8 кВт</t>
  </si>
  <si>
    <t>9.3.142</t>
  </si>
  <si>
    <t>Установка сплит-систем с внутренним блоком напольного типа мощностью: до 5 кВт</t>
  </si>
  <si>
    <t>9.3.143</t>
  </si>
  <si>
    <t>Установка сплит-систем с внутренним блоком напольного типа мощностью: до 8 кВт</t>
  </si>
  <si>
    <t>9.3.144</t>
  </si>
  <si>
    <t>Установка сплит-систем с внутренним блоком напольного типа мощностью: свыше 8 кВт</t>
  </si>
  <si>
    <t>9.3.145</t>
  </si>
  <si>
    <t>Установка сплит-систем с внутренним блоком настенного типа мощностью: до 5 кВт</t>
  </si>
  <si>
    <t>9.3.146</t>
  </si>
  <si>
    <t>Установка сплит-систем с внутренним блоком настенного типа мощностью: до 8 кВт</t>
  </si>
  <si>
    <t>9.3.147</t>
  </si>
  <si>
    <t>Установка сплит-систем с внутренним блоком настенного типа мощностью: свыше 8 кВт</t>
  </si>
  <si>
    <t>9.3.148</t>
  </si>
  <si>
    <t>Установка тепловой завесы с водяным источником энергии длиной 1000-1500 мм</t>
  </si>
  <si>
    <t>9.3.149</t>
  </si>
  <si>
    <t>Установка тепловой завесы с водяным источником энергии длиной 1500-2000 мм</t>
  </si>
  <si>
    <t>9.3.150</t>
  </si>
  <si>
    <t>Установка тепловой завесы с водяным источником энергии длиной до 1000 мм</t>
  </si>
  <si>
    <t>9.3.151</t>
  </si>
  <si>
    <t>Установка тепловой завесы с водяным источником энергии длиной свыше 2000 мм</t>
  </si>
  <si>
    <t>9.3.152</t>
  </si>
  <si>
    <t>Установка тепловой завесы с электрическим источником энергии длиной 1000-1500 мм</t>
  </si>
  <si>
    <t>9.3.153</t>
  </si>
  <si>
    <t>Установка тепловой завесы с электрическим источником энергии длиной 1500-2000 мм</t>
  </si>
  <si>
    <t>9.3.154</t>
  </si>
  <si>
    <t>Установка тепловой завесы с электрическим источником энергии длиной до 1000 мм</t>
  </si>
  <si>
    <t>9.3.155</t>
  </si>
  <si>
    <t>Установка тепловой завесы с электрическим источником энергии длиной свыше 2000 мм</t>
  </si>
  <si>
    <t>9.3.156</t>
  </si>
  <si>
    <t>Установка узлов прохода вытяжных вентиляционных шахт</t>
  </si>
  <si>
    <t>9.3.157</t>
  </si>
  <si>
    <t>Установка фильтра карманного</t>
  </si>
  <si>
    <t>9.3.158</t>
  </si>
  <si>
    <t>Установка фильтра кассетного</t>
  </si>
  <si>
    <t>9.3.159</t>
  </si>
  <si>
    <t>Установка фильтр-бокса</t>
  </si>
  <si>
    <t>9.3.160</t>
  </si>
  <si>
    <t>Установка частотного преобразователя</t>
  </si>
  <si>
    <t>9.3.161</t>
  </si>
  <si>
    <t>Установка шумоглушителей вентиляционных трубчатых круглого сечения</t>
  </si>
  <si>
    <t>9.3.162</t>
  </si>
  <si>
    <t>Установка шумоглушителей вентиляционных трубчатых прямоугольного сечения</t>
  </si>
  <si>
    <t>9.3.163</t>
  </si>
  <si>
    <t>Установка шумоглушителя для круглых воздуховодов</t>
  </si>
  <si>
    <t>9.3.164</t>
  </si>
  <si>
    <t>Установка шумоглушителя для прямоугольных воздуховодов</t>
  </si>
  <si>
    <t>9.3.165</t>
  </si>
  <si>
    <t>Установка щита автоматики приточной вентиляционной системы на базе русифицированного свободнопрограммируемого контроллера</t>
  </si>
  <si>
    <t>9.3.166</t>
  </si>
  <si>
    <t>Установка диффузора (воздухораспределителя) системы вентиляции</t>
  </si>
  <si>
    <t>9.3.167</t>
  </si>
  <si>
    <t>Изоляция плоских и криволинейных поверхностей пластинами (плитами) из вспененного каучука, вспененного полиэтилена</t>
  </si>
  <si>
    <t>9.3.168</t>
  </si>
  <si>
    <t>Уст-ка обогрева дренажа (в подготовленное отверстие)</t>
  </si>
  <si>
    <t>9.3.169</t>
  </si>
  <si>
    <t>Чистка дренажной системы</t>
  </si>
  <si>
    <t>пм</t>
  </si>
  <si>
    <t>9.3.170</t>
  </si>
  <si>
    <t>Чистка фильтра грубой очистки кондиционера полупромышленного</t>
  </si>
  <si>
    <t>9.3.171</t>
  </si>
  <si>
    <t>Чистка фильтра грубой очистки кондиционера бытового</t>
  </si>
  <si>
    <t>9.3.N1</t>
  </si>
  <si>
    <t>Демонтаж сплит-системы настенного типа до 5 кВт (со сбором фреона)</t>
  </si>
  <si>
    <t>9.3.N2</t>
  </si>
  <si>
    <t>Демонтаж сплит-системы мощностью 5–10 кВт</t>
  </si>
  <si>
    <t>9.3.N3</t>
  </si>
  <si>
    <t>Демонтаж полупромышленной сплит-системы (кассетный/канальный) до 16 кВт</t>
  </si>
  <si>
    <t>9.3.N4</t>
  </si>
  <si>
    <t>Монтаж канального вентилятора до 1 000 м3/ч</t>
  </si>
  <si>
    <t>9.3.N5</t>
  </si>
  <si>
    <t>Монтаж канального вентилятора 1 500–10 000 м3/ч</t>
  </si>
  <si>
    <t>9.3.N6</t>
  </si>
  <si>
    <t>Монтаж гибкого воздуховода (изолированного/неизолированного)</t>
  </si>
  <si>
    <t>9.3.N7</t>
  </si>
  <si>
    <t>Установка гибкой вставки к канальному оборудованию</t>
  </si>
  <si>
    <t>9.3.N8</t>
  </si>
  <si>
    <t>Установка огнезадерживающего (противопожарного) клапана до 0,5 м2 с приводом</t>
  </si>
  <si>
    <t>9.3.N9</t>
  </si>
  <si>
    <t>Огнезащита воздуховодов рулонным материалом (МБОР, EI 60–150)</t>
  </si>
  <si>
    <t>9.3.N10</t>
  </si>
  <si>
    <t>ТО приточной установки до 5 000 м3/ч</t>
  </si>
  <si>
    <t>9.3.N11</t>
  </si>
  <si>
    <t>ТО приточной установки 5 000–20 000 м3/ч</t>
  </si>
  <si>
    <t>9.3.N12</t>
  </si>
  <si>
    <t>ТО вытяжной установки/канального вентилятора до 5 000 м3/ч</t>
  </si>
  <si>
    <t>9.3.N13</t>
  </si>
  <si>
    <t>ТО крышного вентилятора (осмотр, чистка, подшипники, ремень, замер тока)</t>
  </si>
  <si>
    <t>9.3.N14</t>
  </si>
  <si>
    <t>Замена комплекта фильтров приточной установки (без стоимости фильтров)</t>
  </si>
  <si>
    <t>9.3.N15</t>
  </si>
  <si>
    <t>ТО полупромышленного кондиционера (кассетный/канальный/напольно-потолочный) до 16 кВт</t>
  </si>
  <si>
    <t>9.3.N16</t>
  </si>
  <si>
    <t>ТО компрессорно-конденсаторного блока до 50 кВт</t>
  </si>
  <si>
    <t>9.3.N17</t>
  </si>
  <si>
    <t>Пусконаладка вентсистемы с замером и регулировкой расходов (до 10 точек)</t>
  </si>
  <si>
    <t>сист</t>
  </si>
  <si>
    <t>9.3.N18</t>
  </si>
  <si>
    <t>Аэродинамические испытания и паспортизация системы вентиляции</t>
  </si>
  <si>
    <t>9.3.N19</t>
  </si>
  <si>
    <t>Чистка калорифера/теплообменника приточной установки без разборки воздуховодов</t>
  </si>
  <si>
    <t>9.3.N20</t>
  </si>
  <si>
    <t>Навеска наружного блока кондиционера промальпинистом (высотные работы)</t>
  </si>
  <si>
    <t>9.3.N21</t>
  </si>
  <si>
    <t>Сверление отверстия в бетоне/кирпиче Ø до 60 мм под трассу/дренаж</t>
  </si>
  <si>
    <t>9.3.N22</t>
  </si>
  <si>
    <t>Укладка трассы/дренажа в декоративный кабель-канал (с монтажом короба)</t>
  </si>
  <si>
    <t>9.3.N23</t>
  </si>
  <si>
    <t>Монтаж опорной рамы/кронштейна наружного блока на кровле</t>
  </si>
  <si>
    <t>9.3.N24</t>
  </si>
  <si>
    <t>Замена компрессора сплит-системы до 7 кВт (без стоимости компрессора, с вакуумированием)</t>
  </si>
  <si>
    <t>9.3.N25</t>
  </si>
  <si>
    <t>Замена платы управления кондиционера</t>
  </si>
  <si>
    <t>9.3.N26</t>
  </si>
  <si>
    <t>Замена 4-ходового клапана реверса (пайка, вакуумирование)</t>
  </si>
  <si>
    <t>9.3.N27</t>
  </si>
  <si>
    <t>Мойка теплообменника наружного блока (АВД, химия)</t>
  </si>
  <si>
    <t>9.3.N28</t>
  </si>
  <si>
    <t>Дезинфекция воздуховодов</t>
  </si>
  <si>
    <t>9.3.N29</t>
  </si>
  <si>
    <t>Отбор микробиологического смыва с лабораторным анализом и протоколом</t>
  </si>
  <si>
    <t>9.3.N30</t>
  </si>
  <si>
    <t>Монтаж элемента автоматики вентиляции (датчик, реле, концевик) с подключением кабеля</t>
  </si>
  <si>
    <t>10.1.1</t>
  </si>
  <si>
    <t>Автомат одно-, двух-, трехполюсный, устанавливаемый на конструкции: на стене или колонне, на ток до 100 А</t>
  </si>
  <si>
    <t>10.1.2</t>
  </si>
  <si>
    <t>Автомат одно-, двух-, трехполюсный, устанавливаемый на конструкции: на стене или колонне, на ток до 25 А</t>
  </si>
  <si>
    <t>10.1.3</t>
  </si>
  <si>
    <t>Автомат одно-, двух-, трехполюсный, устанавливаемый на конструкции: на стене или колонне, на ток до 250 А</t>
  </si>
  <si>
    <t>10.1.4</t>
  </si>
  <si>
    <t>Автомат одно-, двух-, трехполюсный, устанавливаемый на конструкции: на стене или колонне, на ток до 400 А</t>
  </si>
  <si>
    <t>10.1.5</t>
  </si>
  <si>
    <t>Автомат одно-, двух-, трехполюсный, устанавливаемый на конструкции: на стене или колонне, на ток до 630 А</t>
  </si>
  <si>
    <t>10.1.6</t>
  </si>
  <si>
    <t>Установка рубильников с подключением</t>
  </si>
  <si>
    <t>10.1.7</t>
  </si>
  <si>
    <t>Установка шины соединительной</t>
  </si>
  <si>
    <t>10.1.8</t>
  </si>
  <si>
    <t>Установка автоматического выключателя/дифавтомата/УЗО на Din рейку 2-полюсного с подключением</t>
  </si>
  <si>
    <t>10.1.9</t>
  </si>
  <si>
    <t>Установка автоматического выключателя/дифавтомата/УЗО на Din рейку 3-полюсного с подключением</t>
  </si>
  <si>
    <t>10.1.10</t>
  </si>
  <si>
    <t>Установка автоматического выключателя/дифавтомата/УЗО на Din рейку 4-полюсного с подключением</t>
  </si>
  <si>
    <t>10.1.11</t>
  </si>
  <si>
    <t>Установка автоматического выключателя/дифавтомата/УЗО на Din рейку 1-полюсного с подключением</t>
  </si>
  <si>
    <t>10.1.12</t>
  </si>
  <si>
    <t>Установка автоматического выключателя/дифавтомата/УЗО на монтажную плату 1-полюсного с подключением</t>
  </si>
  <si>
    <t>10.1.13</t>
  </si>
  <si>
    <t>Установка автоматического выключателя/дифавтомата/УЗО на монтажную плату 2-полюсного с подключением</t>
  </si>
  <si>
    <t>10.1.14</t>
  </si>
  <si>
    <t>Установка автоматического выключателя/дифавтомата/УЗО на монтажную плату 3-полюсного с подключением</t>
  </si>
  <si>
    <t>10.1.15</t>
  </si>
  <si>
    <t>Установка автоматического выключателя/дифавтомата/УЗО на монтажную плату 4-полюсного с подключением</t>
  </si>
  <si>
    <t>10.1.16</t>
  </si>
  <si>
    <t>Установка амперметра переменного тока прямого измерения с подключением</t>
  </si>
  <si>
    <t>10.1.17</t>
  </si>
  <si>
    <t>Установка вольтметра с подключением</t>
  </si>
  <si>
    <t>10.1.18</t>
  </si>
  <si>
    <t>Установка двухканального календарного таймера реального времени с подключением</t>
  </si>
  <si>
    <t>10.1.19</t>
  </si>
  <si>
    <t>Установка контактора с подключеним</t>
  </si>
  <si>
    <t>10.1.20</t>
  </si>
  <si>
    <t>Установка металлического встроенного корпуса щита</t>
  </si>
  <si>
    <t>10.1.21</t>
  </si>
  <si>
    <t>Установка металлического навесного корпуса щита</t>
  </si>
  <si>
    <t>10.1.22</t>
  </si>
  <si>
    <t>Установка переключателя вольтметра с подключением</t>
  </si>
  <si>
    <t>10.1.23</t>
  </si>
  <si>
    <t>Установка пускателя магнитного с подключением</t>
  </si>
  <si>
    <t>10.1.24</t>
  </si>
  <si>
    <t>Установка Щита автоматической защиты от перегрузок ЩАП</t>
  </si>
  <si>
    <t>10.1.25</t>
  </si>
  <si>
    <t>Установка щитов FreeTech с настройкой</t>
  </si>
  <si>
    <t>10.1.26</t>
  </si>
  <si>
    <t>Установка щита учета с замком IP 31, на два счетчика с окнами</t>
  </si>
  <si>
    <t>10.1.27</t>
  </si>
  <si>
    <t>Установка ящика с понижающим трансформатором типа ЯТП</t>
  </si>
  <si>
    <t>10.1.N1</t>
  </si>
  <si>
    <t>Демонтаж автоматического выключателя/УЗО с DIN-рейки 1–4P</t>
  </si>
  <si>
    <t>10.1.N2</t>
  </si>
  <si>
    <t>Сборка и расключение щита распределительного, за 1 модуль</t>
  </si>
  <si>
    <t>модуль</t>
  </si>
  <si>
    <t>10.1.N3</t>
  </si>
  <si>
    <t>Установка УЗИП / реле контроля напряжения на DIN-рейку с подключением</t>
  </si>
  <si>
    <t>10.1.N4</t>
  </si>
  <si>
    <t>Демонтаж щита навесного металлического до 54 модулей</t>
  </si>
  <si>
    <t>10.1.N5</t>
  </si>
  <si>
    <t>Установка DIN-рейки</t>
  </si>
  <si>
    <t>10.1.N6</t>
  </si>
  <si>
    <t>Установка кросс-модуля / распределительного блока до 125 А с подключением</t>
  </si>
  <si>
    <t>10.1.N7</t>
  </si>
  <si>
    <t>Маркировка групповых линий в щите и актуализация однолинейной схемы на двери</t>
  </si>
  <si>
    <t>щит</t>
  </si>
  <si>
    <t>10.1.N8</t>
  </si>
  <si>
    <t>Установка фотореле / датчика освещённости с подключением</t>
  </si>
  <si>
    <t>10.2.1</t>
  </si>
  <si>
    <t>Затягивание провода/кабеля в проложенные трубы и металлические рукава первого одножильного или многожильного в общей оплетке, суммарное сечение: до 16 мм2</t>
  </si>
  <si>
    <t>10.2.2</t>
  </si>
  <si>
    <t>Затягивание провода/кабеля в проложенные трубы и металлические рукава первого одножильного или многожильного в общей оплетке, суммарное сечение: до 2,5 мм2</t>
  </si>
  <si>
    <t>10.2.3</t>
  </si>
  <si>
    <t>Затягивание провода/кабеля в проложенные трубы и металлические рукава первого одножильного или многожильного в общей оплетке, суммарное сечение: до 35 мм2</t>
  </si>
  <si>
    <t>10.2.4</t>
  </si>
  <si>
    <t>Затягивание провода/кабеля в проложенные трубы и металлические рукава первого одножильного или многожильного в общей оплетке, суммарное сечение: до 6 мм2</t>
  </si>
  <si>
    <t>10.2.5</t>
  </si>
  <si>
    <t>Затягивание провода/кабеля в проложенные трубы и металлические рукава первого одножильного или многожильного в общей оплетке, суммарное сечение: до 70 мм2</t>
  </si>
  <si>
    <t>10.2.6</t>
  </si>
  <si>
    <t>Кабель сечением до 120 мм2 по установленным стальным конструкциям и лоткам</t>
  </si>
  <si>
    <t>10.2.7</t>
  </si>
  <si>
    <t>Кабель сечением до 16 мм2 по установленным стальным конструкциям и лоткам</t>
  </si>
  <si>
    <t>10.2.8</t>
  </si>
  <si>
    <t>Кабель сечением до 2,5 мм2 по установленным стальным конструкциям и лтокам</t>
  </si>
  <si>
    <t>10.2.9</t>
  </si>
  <si>
    <t>Кабель сечением до 240 мм2 по установленным стальным конструкциям и лоткам</t>
  </si>
  <si>
    <t>10.2.10</t>
  </si>
  <si>
    <t>Кабель сечением до 35 мм2 по установленным стальным конструкциям и лтокам</t>
  </si>
  <si>
    <t>10.2.11</t>
  </si>
  <si>
    <t>Кабель сечением до 400 мм2 по установленным стальным конструкциям и лоткам</t>
  </si>
  <si>
    <t>10.2.12</t>
  </si>
  <si>
    <t>Кабель сечением до 6 мм2 по установленным стальным конструкциям и лоткам</t>
  </si>
  <si>
    <t>10.2.13</t>
  </si>
  <si>
    <t>Кабель сечением до 70 мм2 по установленным стальным конструкциям и лоткам</t>
  </si>
  <si>
    <t>10.2.14</t>
  </si>
  <si>
    <t>Монтаж коробов пластмассовых шириной до 120 мм</t>
  </si>
  <si>
    <t>10.2.15</t>
  </si>
  <si>
    <t>Монтаж коробов пластмассовых шириной до 40 мм</t>
  </si>
  <si>
    <t>10.2.16</t>
  </si>
  <si>
    <t>Монтаж коробов пластмассовых шириной до 63 мм</t>
  </si>
  <si>
    <t>10.2.17</t>
  </si>
  <si>
    <t>Присоединение к зажимам жил проводов или кабелей сечением: до 150 мм2</t>
  </si>
  <si>
    <t>10.2.18</t>
  </si>
  <si>
    <t>Присоединение к зажимам жил проводов или кабелей сечением: до 16 мм2</t>
  </si>
  <si>
    <t>10.2.19</t>
  </si>
  <si>
    <t>Присоединение к зажимам жил проводов или кабелей сечением: до 2,5 мм2</t>
  </si>
  <si>
    <t>10.2.20</t>
  </si>
  <si>
    <t>Присоединение к зажимам жил проводов или кабелей сечением: до 35 мм2</t>
  </si>
  <si>
    <t>10.2.21</t>
  </si>
  <si>
    <t>Присоединение к зажимам жил проводов или кабелей сечением: до 6 мм2</t>
  </si>
  <si>
    <t>10.2.22</t>
  </si>
  <si>
    <t>Присоединение к зажимам жил проводов или кабелей сечением: до 70 мм2</t>
  </si>
  <si>
    <t>10.2.23</t>
  </si>
  <si>
    <t>Установка консоли-крепление к плоскости (зажимной винт) для опуска</t>
  </si>
  <si>
    <t>10.2.24</t>
  </si>
  <si>
    <t>Установка коробки пластиковой распределительной закрытой установки</t>
  </si>
  <si>
    <t>10.2.25</t>
  </si>
  <si>
    <t>Установка коробки пластиковой распределительной открытой установки</t>
  </si>
  <si>
    <t>10.2.26</t>
  </si>
  <si>
    <t>Установка лотков металлических проволочных по установленным конструкциям</t>
  </si>
  <si>
    <t>10.2.27</t>
  </si>
  <si>
    <t>Установка лотков металлических штампованных по установленным конструкциям, ширина лотка: до 200 мм</t>
  </si>
  <si>
    <t>10.2.28</t>
  </si>
  <si>
    <t>Установка лотков металлических штампованных по установленным конструкциям, ширина лотка: до 400 мм</t>
  </si>
  <si>
    <t>10.2.29</t>
  </si>
  <si>
    <t>Установка наконечников медных обжимных</t>
  </si>
  <si>
    <t>10.2.30</t>
  </si>
  <si>
    <t>Установка опуска для кабелей из хромированной трубы</t>
  </si>
  <si>
    <t>10.2.31</t>
  </si>
  <si>
    <t>Установка профиля перфорированного монтажного</t>
  </si>
  <si>
    <t>10.2.32</t>
  </si>
  <si>
    <t>Установка рукава металлического наружным диаметром: до 48 мм</t>
  </si>
  <si>
    <t>10.2.33</t>
  </si>
  <si>
    <t>Установка рукава металлического наружным диаметром: до 60 мм</t>
  </si>
  <si>
    <t>10.2.34</t>
  </si>
  <si>
    <t>Установка рукава металлического наружным диаметром: до 78 мм</t>
  </si>
  <si>
    <t>10.2.35</t>
  </si>
  <si>
    <t>Установка трубы винипластовой по установленным конструкциям, по стенам и колоннам с креплением скобами, диаметр: до 25 мм</t>
  </si>
  <si>
    <t>10.2.36</t>
  </si>
  <si>
    <t>Установка трубы винипластовой по установленным конструкциям, по стенам и колоннам с креплением скобами, диаметр: до 50 мм</t>
  </si>
  <si>
    <t>10.2.37</t>
  </si>
  <si>
    <t>Установка трубы винипластовой по установленным конструкциям, по стенам и колоннам с креплением скобами, диаметр: до 63 мм</t>
  </si>
  <si>
    <t>10.2.38</t>
  </si>
  <si>
    <t>Установка трубы гофрированной ПВХ для защиты проводов и кабелей по установленным конструкциям, по стенам, колоннам, потолкам, основанию пола</t>
  </si>
  <si>
    <t>10.2.N1</t>
  </si>
  <si>
    <t>Демонтаж кабеля сечением до 16 мм² (с лотков/скоб)</t>
  </si>
  <si>
    <t>10.2.N2</t>
  </si>
  <si>
    <t>Демонтаж кабеля сечением до 70 мм²</t>
  </si>
  <si>
    <t>Прокладка кабеля до 16 мм² открыто по стенам/потолку с креплением скобами/клипсами</t>
  </si>
  <si>
    <t>10.2.N4</t>
  </si>
  <si>
    <t>Монтаж консоли/шпилечного подвеса для лотка (с анкеровкой)</t>
  </si>
  <si>
    <t>10.2.N5</t>
  </si>
  <si>
    <t>Демонтаж лотка металлического до 400 мм</t>
  </si>
  <si>
    <t>10.2.N6</t>
  </si>
  <si>
    <t>Пробивка отверстия в стене/перекрытии для кабеля Ø до 50 мм, толщина до 250 мм (бетон/кирпич)</t>
  </si>
  <si>
    <t>10.2.N7</t>
  </si>
  <si>
    <t>Огнезащитная заделка кабельной проходки (пена/мастика), до 0,02 м²</t>
  </si>
  <si>
    <t>10.2.N8</t>
  </si>
  <si>
    <t>Прокладка кабеля слаботочного (UTP, КПСЭнг) в лоток/короб</t>
  </si>
  <si>
    <t>10.2.N9</t>
  </si>
  <si>
    <t>Расключение распределительной коробки (до 6 соединений, клеммы/опрессовка)</t>
  </si>
  <si>
    <t>10.2.N10</t>
  </si>
  <si>
    <t>Маркировка кабеля бирками</t>
  </si>
  <si>
    <t>10.3.1</t>
  </si>
  <si>
    <t>Программирование модема</t>
  </si>
  <si>
    <t>10.3.2</t>
  </si>
  <si>
    <t>Программирование счетчика</t>
  </si>
  <si>
    <t>10.3.3</t>
  </si>
  <si>
    <t>Сопряжение счетчика/модема</t>
  </si>
  <si>
    <t>10.3.4</t>
  </si>
  <si>
    <t>Установка GSM/GPRS-Модема</t>
  </si>
  <si>
    <t>10.3.5</t>
  </si>
  <si>
    <t>Установка антенны универсальной мультидиапазонной</t>
  </si>
  <si>
    <t>10.3.6</t>
  </si>
  <si>
    <t>Установка блока питания</t>
  </si>
  <si>
    <t>10.3.7</t>
  </si>
  <si>
    <t>Установка вилок кабельных силовых с подключением</t>
  </si>
  <si>
    <t>10.3.8</t>
  </si>
  <si>
    <t>Установка выключателей двухклавишных для установки в кабель-канал с подключением</t>
  </si>
  <si>
    <t>10.3.9</t>
  </si>
  <si>
    <t>Установка выключателей двухклавишных неутопленного типа при открытой открытой проводке с подключением</t>
  </si>
  <si>
    <t>10.3.10</t>
  </si>
  <si>
    <t>Установка выключателей двухклавишных утопленного типа при открытой скрытой проводке с подключением</t>
  </si>
  <si>
    <t>10.3.11</t>
  </si>
  <si>
    <t>Установка выключателей одноклавишных для установки в кабель-канал с подключением</t>
  </si>
  <si>
    <t>10.3.12</t>
  </si>
  <si>
    <t>Установка выключателей одноклавишных неутопленного типа при открытой открытой проводке с подключением</t>
  </si>
  <si>
    <t>10.3.13</t>
  </si>
  <si>
    <t>Установка выключателей одноклавишных утопленного типа при открытой скрытой проводке с подключением</t>
  </si>
  <si>
    <t>10.3.14</t>
  </si>
  <si>
    <t>Установка звонка беспроводного</t>
  </si>
  <si>
    <t>10.3.15</t>
  </si>
  <si>
    <t>Установка звонка проводного</t>
  </si>
  <si>
    <t>10.3.16</t>
  </si>
  <si>
    <t>Установка кнопки звонка</t>
  </si>
  <si>
    <t>10.3.17</t>
  </si>
  <si>
    <t>Установка розеток кабельных силовых с подключением</t>
  </si>
  <si>
    <t>10.3.18</t>
  </si>
  <si>
    <t>Установка розеток штепсельных герметчиных и полугерметичных с подключением</t>
  </si>
  <si>
    <t>10.3.19</t>
  </si>
  <si>
    <t>Установка розеток штепсельных неутопленного типа при открытой проводке с подключением</t>
  </si>
  <si>
    <t>Установка розеток штепсельных утопленного типа при скрытой проводке с подключением</t>
  </si>
  <si>
    <t>10.3.21</t>
  </si>
  <si>
    <t>Установка счетчика с подключением</t>
  </si>
  <si>
    <t>10.3.22</t>
  </si>
  <si>
    <t>Установка трансформатора тока</t>
  </si>
  <si>
    <t>10.3.23</t>
  </si>
  <si>
    <t>Замена вторичной цепи прибора учета электроэнергии, включенного через трансформаторы тока (без замены эл. Счетчика и трансформаторов тока)</t>
  </si>
  <si>
    <t>10.3.24</t>
  </si>
  <si>
    <t>Замена контроллера шкафа тепловой завесы с учетом оборудования для с-мы Умный Магазин</t>
  </si>
  <si>
    <t>10.3.25</t>
  </si>
  <si>
    <t>Замена контроллера шкафа вентиляции ТЗ с учетом оборудования для с-мы Умный Магазин</t>
  </si>
  <si>
    <t>10.3.26</t>
  </si>
  <si>
    <t>Замена контроллера шкафа вентиляции ПП с учетом оборудования для с-мы Умный Магазин</t>
  </si>
  <si>
    <t>10.3.27</t>
  </si>
  <si>
    <t>Подключение ХО к БМ для с-мы Умный Магазин</t>
  </si>
  <si>
    <t>10.3.28</t>
  </si>
  <si>
    <t>Подкл к БМХО счетчика ЭЭ с имп выходами с учетом оборудования для с-мы Умный Магазин</t>
  </si>
  <si>
    <t>10.3.29</t>
  </si>
  <si>
    <t>Инженерные работы БМХО (настройка нового на основании плана расстановки контроллеров ХО) для с-мы Умный Магазин</t>
  </si>
  <si>
    <t>10.3.30</t>
  </si>
  <si>
    <t>Разработка плана расстановки контроллеров ХО для с-мы Умный Магазин</t>
  </si>
  <si>
    <t>10.3.31</t>
  </si>
  <si>
    <t>Замена контроллера ХМ ГЕ с учетом оборудования</t>
  </si>
  <si>
    <t>10.3.32</t>
  </si>
  <si>
    <t>Установка сетевой карты холод.потребителей с учетом карты для с-мы Умный Магазин</t>
  </si>
  <si>
    <t>10.3.33</t>
  </si>
  <si>
    <t>Инженерные работы. Печь пиццы (настройка адреса сети, интеграция в систему, проверка корректности передаваемой информации, актуализация ИД) для с-мы Умный Магазин</t>
  </si>
  <si>
    <t>10.3.34</t>
  </si>
  <si>
    <t>Монтаж шкафа. Печь пиццы (установка шкафа, переподключение питающего кабеля от автомата щита к силовому контактору шкафа, подключение кабеля от шкафа к автомату силового щита, подключение к сети Modbus RTU) для с-мы Умный Магазин</t>
  </si>
  <si>
    <t>10.3.35</t>
  </si>
  <si>
    <t>Инженерные работы. Хлебопечь (настройка адреса сети, интеграция счетчика в систему, проверка корректности передаваемой информации, актуализация ИД) для с-мы Умный Магазин</t>
  </si>
  <si>
    <t>10.3.36</t>
  </si>
  <si>
    <t>Монтаж анализатора и ТТ. Хлебопечь для с-мы Умный Магазин</t>
  </si>
  <si>
    <t>10.3.37</t>
  </si>
  <si>
    <t>Инженерные работы БМХО ХМ ГЕ для с-мы Умный Магазин</t>
  </si>
  <si>
    <t>10.3.38</t>
  </si>
  <si>
    <t>Командировка КМВ по проекту УМ</t>
  </si>
  <si>
    <t>10.3.39</t>
  </si>
  <si>
    <t>Командировка Волгоград пр проекту УМ</t>
  </si>
  <si>
    <t>10.3.40</t>
  </si>
  <si>
    <t>Командировка ЗК по проекту УМ</t>
  </si>
  <si>
    <t>10.3.41</t>
  </si>
  <si>
    <t>Командировка НН по проекту УМ</t>
  </si>
  <si>
    <t>10.3.42</t>
  </si>
  <si>
    <t>Командировка Казань по проекту УМ</t>
  </si>
  <si>
    <t>10.3.43</t>
  </si>
  <si>
    <t>Командировка Краснодар по проекту УМ</t>
  </si>
  <si>
    <t>10.3.44</t>
  </si>
  <si>
    <t>Ремоделинг Carel pCOxs (PCOS004850 Сетевая карта для PCO3 RS485, BMS; PCO100CLK0 Часы реального времени для PCOxs; монтаж, загрузка и настройка ПО с учетом оборудования и материалов)</t>
  </si>
  <si>
    <t>10.3.N1</t>
  </si>
  <si>
    <t>Демонтаж розетки/выключателя</t>
  </si>
  <si>
    <t>10.3.N2</t>
  </si>
  <si>
    <t>Замена счётчика 3ф прямого включения (демонтаж + монтаж + подключение)</t>
  </si>
  <si>
    <t>10.3.N3</t>
  </si>
  <si>
    <t>Установка датчика движения/присутствия с подключением</t>
  </si>
  <si>
    <t>10.3.N4</t>
  </si>
  <si>
    <t>Установка подрозетника в бетон/кирпич со сверлением гнезда</t>
  </si>
  <si>
    <t>10.3.N5</t>
  </si>
  <si>
    <t>Установка блока розеток рабочего места (4 розетки) в кабель-канал/под стол</t>
  </si>
  <si>
    <t>10.4.1</t>
  </si>
  <si>
    <t>Замена блока питания 220в/12в для светодиодных лент и модулей</t>
  </si>
  <si>
    <t>10.4.2</t>
  </si>
  <si>
    <t>Замена драйвер для светодиодного светильника (со снятием и монтажом светильника)</t>
  </si>
  <si>
    <t>10.4.3</t>
  </si>
  <si>
    <t>Замена лампы светодиодной</t>
  </si>
  <si>
    <t>10.4.4</t>
  </si>
  <si>
    <t>Монтаж шинопровода с комплектующими</t>
  </si>
  <si>
    <t>10.4.5</t>
  </si>
  <si>
    <t>Установка инфракрасного обогревателя</t>
  </si>
  <si>
    <t>10.4.6</t>
  </si>
  <si>
    <t>Установка светильников в подвесных потолках, устанавливаемый: на подвесках, количество ламп в светильнике до 2</t>
  </si>
  <si>
    <t>10.4.7</t>
  </si>
  <si>
    <t>Установка блока прожекторов, отдельно устанавливаемых на стальной конструкции: на крыше здания, на фасаде</t>
  </si>
  <si>
    <t>10.4.8</t>
  </si>
  <si>
    <t>Установка линейного магистрального светильника</t>
  </si>
  <si>
    <t>10.4.9</t>
  </si>
  <si>
    <t>Установка линейных светильников в ПП</t>
  </si>
  <si>
    <t>10.4.10</t>
  </si>
  <si>
    <t>Установка прожекторов, отдельно устанавливаемых на стальной конструкции: на крыше здания, на фасаде</t>
  </si>
  <si>
    <t>10.4.11</t>
  </si>
  <si>
    <t>Установка регулятора инфракрасного обогревателя</t>
  </si>
  <si>
    <t>10.4.12</t>
  </si>
  <si>
    <t>Установка светильника бактерицидного/рециркулятора</t>
  </si>
  <si>
    <t>10.4.13</t>
  </si>
  <si>
    <t>Установка светильника в подвесных потолках (спот)</t>
  </si>
  <si>
    <t>10.4.14</t>
  </si>
  <si>
    <t>Установка светильника инсекцидного</t>
  </si>
  <si>
    <t>10.4.15</t>
  </si>
  <si>
    <t>Установка светильника на проволочные лотки</t>
  </si>
  <si>
    <t>10.4.16</t>
  </si>
  <si>
    <t>Установка светильников в подвесных потолках, устанавливаемых: на подвесках, количество ламп в светильнике до 4</t>
  </si>
  <si>
    <t>10.4.17</t>
  </si>
  <si>
    <t>Установка светильников на кронштейнах</t>
  </si>
  <si>
    <t>10.4.18</t>
  </si>
  <si>
    <t>Установка светильников отдельно устанавливаемых: на подвесах (штангах) с количеством ламп в светильнике до 4</t>
  </si>
  <si>
    <t>10.4.19</t>
  </si>
  <si>
    <t>Установка светильников отдельно устанавливаемых: на штырях с количеством ламп в светильнике до 6</t>
  </si>
  <si>
    <t>10.4.20</t>
  </si>
  <si>
    <t>Установка световых настенных указателей ВЫХОД</t>
  </si>
  <si>
    <t>10.4.21</t>
  </si>
  <si>
    <t>Установка светодиодной ленты</t>
  </si>
  <si>
    <t>10.4.22</t>
  </si>
  <si>
    <t>Установка трекового акцентного светильника</t>
  </si>
  <si>
    <t>10.4.N1</t>
  </si>
  <si>
    <t>Демонтаж светильника потолочного (Армстронг/линейного)</t>
  </si>
  <si>
    <t>10.4.N2</t>
  </si>
  <si>
    <t>Замена светильника Армстронг (демонтаж старого + монтаж нового)</t>
  </si>
  <si>
    <t>10.4.N3</t>
  </si>
  <si>
    <t>Ремонт светодиодного светильника (замена LED-модуля/платы)</t>
  </si>
  <si>
    <t>10.4.N4</t>
  </si>
  <si>
    <t>Установка аварийного светильника / блока аварийного питания (БАП) с подключением</t>
  </si>
  <si>
    <t>10.4.N5</t>
  </si>
  <si>
    <t>Замена светильника промышленного (high-bay) на высоте до 12 м с подъёмника (без аренды техники)</t>
  </si>
  <si>
    <t>10.4.N6</t>
  </si>
  <si>
    <t>Установка светильника уличного консольного на опоре (без автовышки)</t>
  </si>
  <si>
    <t>10.4.N7</t>
  </si>
  <si>
    <t>Монтаж алюминиевого профиля для светодиодной ленты с рассеивателем</t>
  </si>
  <si>
    <t>10.4.N8</t>
  </si>
  <si>
    <t>Установка контроллера/диммера освещения с подключением</t>
  </si>
  <si>
    <t>10.5.1</t>
  </si>
  <si>
    <t>Замена/выкладка двухполюсного указателя напряжения</t>
  </si>
  <si>
    <t>10.5.2</t>
  </si>
  <si>
    <t>Замена/выкладка диэлектрическиого ковра</t>
  </si>
  <si>
    <t>10.5.3</t>
  </si>
  <si>
    <t>Замена/выкладка диэлектрических галош</t>
  </si>
  <si>
    <t>10.5.4</t>
  </si>
  <si>
    <t>Замена/выкладка диэлектрических перчаток</t>
  </si>
  <si>
    <t>10.5.5</t>
  </si>
  <si>
    <t>Замена/выкладка журнала регистрации СИЗ</t>
  </si>
  <si>
    <t>10.5.6</t>
  </si>
  <si>
    <t>Замена/выкладка знака постоянного 150х150 мм "Осторожно электрическое напряжение"</t>
  </si>
  <si>
    <t>10.5.7</t>
  </si>
  <si>
    <t>Замена/выкладка изолирующей штанги универсальной</t>
  </si>
  <si>
    <t>10.5.8</t>
  </si>
  <si>
    <t>Замена/выкладка переносного заземления</t>
  </si>
  <si>
    <t>10.5.9</t>
  </si>
  <si>
    <t>Замена/выкладка плаката переносного "Заземлено"</t>
  </si>
  <si>
    <t>10.5.10</t>
  </si>
  <si>
    <t>Замена/выкладка плаката переносного "Не включать работают люди"</t>
  </si>
  <si>
    <t>10.5.11</t>
  </si>
  <si>
    <t>Замена/выкладка плаката переносного "Работать здесь"</t>
  </si>
  <si>
    <t>10.5.12</t>
  </si>
  <si>
    <t>Замена/выкладка щитка защитного лицевого</t>
  </si>
  <si>
    <t>10.5.N1</t>
  </si>
  <si>
    <t>Организация испытаний диэлектрических СИЗ (сбор, доставка в ЭТЛ и возврат), без стоимости испытаний</t>
  </si>
  <si>
    <t>10.6.1</t>
  </si>
  <si>
    <t>Аварийная поставка ДГУ 150кВт в.т.ч. кабель_на период 10часов</t>
  </si>
  <si>
    <t>10.6.2</t>
  </si>
  <si>
    <t>Аварийная поставка ДГУ 250кВт в.т.ч. кабель_на период 10часов</t>
  </si>
  <si>
    <t>10.6.3</t>
  </si>
  <si>
    <t>Аварийная поставка ДГУ 300кВт в.т.ч. кабель_на период 10часов</t>
  </si>
  <si>
    <t>10.6.4</t>
  </si>
  <si>
    <t>Аварийный выезд технического специалиста для проведения эл.испытания</t>
  </si>
  <si>
    <t>10.6.5</t>
  </si>
  <si>
    <t>Замеры сопротивления, разработка технического отчета магазина до 2000м2</t>
  </si>
  <si>
    <t>10.6.6</t>
  </si>
  <si>
    <t>Замеры сопротивления, разработка технического отчета магазина от 2000….3000м2</t>
  </si>
  <si>
    <t>10.6.7</t>
  </si>
  <si>
    <t>Измерения сопротивления заземляющих устройств</t>
  </si>
  <si>
    <t>10.6.8</t>
  </si>
  <si>
    <t>Испытание кабеля</t>
  </si>
  <si>
    <t>10.6.9</t>
  </si>
  <si>
    <t>Оперативное отключение и включение питания в трансформаторной подстанции с помощью сотрудников МОЭСК</t>
  </si>
  <si>
    <t>10.6.10</t>
  </si>
  <si>
    <t>Опломбировка узла учета электроэнергии с предоставлением акта допуска ПУ</t>
  </si>
  <si>
    <t>10.6.11</t>
  </si>
  <si>
    <t>Подготовка протокола испытаний электроустановки</t>
  </si>
  <si>
    <t>10.6.12</t>
  </si>
  <si>
    <t>Подключение ДГУ</t>
  </si>
  <si>
    <t>10.6.13</t>
  </si>
  <si>
    <t>Проверка (визуальный осмотр) соответствия смонтированной схемы электроустановки требованиям нормативно-технической документации</t>
  </si>
  <si>
    <t>10.6.14</t>
  </si>
  <si>
    <t>Проверка наличия цепи между заземленными установками и элементами заземленной установки</t>
  </si>
  <si>
    <t>10.6.15</t>
  </si>
  <si>
    <t>Проверка сопротивления изоляции проводов, кабелей и обмоток электрических машин</t>
  </si>
  <si>
    <t>10.6.16</t>
  </si>
  <si>
    <t>Проверка сопротивления цепи фаза-0 с последующим определением тока в электроустановках с номинальным напряжением до 1 кВ с системой TN</t>
  </si>
  <si>
    <t>10.6.17</t>
  </si>
  <si>
    <t>Програмирование, настройка автоматического таймера</t>
  </si>
  <si>
    <t>10.6.18</t>
  </si>
  <si>
    <t>Программирование механического таймера</t>
  </si>
  <si>
    <t>10.6.19</t>
  </si>
  <si>
    <t>Прожиг кабеля поиск неисправности</t>
  </si>
  <si>
    <t>10.6.20</t>
  </si>
  <si>
    <t>Распломбировка узла учета электроэнергии с предоставлением акта осмотра ПУ</t>
  </si>
  <si>
    <t>10.6.21</t>
  </si>
  <si>
    <t>Ревизия щитов ЩС,ЩК,ЩНОР,ЩО</t>
  </si>
  <si>
    <t>10.6.22</t>
  </si>
  <si>
    <t>Тепловизионный контроль электрооборудования</t>
  </si>
  <si>
    <t>10.6.N1</t>
  </si>
  <si>
    <t>Проверка срабатывания УЗО (ток и время)</t>
  </si>
  <si>
    <t>10.6.N2</t>
  </si>
  <si>
    <t>Проверка (прогрузка) автоматического выключателя до 63 А</t>
  </si>
  <si>
    <t>10.6.N3</t>
  </si>
  <si>
    <t>Прогрузка автоматического выключателя 100–630 А первичным током</t>
  </si>
  <si>
    <t>10.6.N4</t>
  </si>
  <si>
    <t>Обследование щита и составление однолинейной схемы (до 24 групп)</t>
  </si>
  <si>
    <t>10.6.N5</t>
  </si>
  <si>
    <t>Измерение освещённости с оформлением протокола</t>
  </si>
  <si>
    <t>точка</t>
  </si>
  <si>
    <t>10.6.N6</t>
  </si>
  <si>
    <t>Функциональная проверка АВР (опробование переключения)</t>
  </si>
  <si>
    <t>11.1.1</t>
  </si>
  <si>
    <t>Устройство основания под трубопроводы песчаного</t>
  </si>
  <si>
    <t>11.1.2</t>
  </si>
  <si>
    <t>Устройство основания под трубопроводы щебеночного</t>
  </si>
  <si>
    <t>11.1.3</t>
  </si>
  <si>
    <t>Устройство основания под трубопроводы бетонного</t>
  </si>
  <si>
    <t>11.1.4</t>
  </si>
  <si>
    <t>Монтаж/демонтаж сетчатого ограждения при проведении ремонтных работ</t>
  </si>
  <si>
    <t>секция</t>
  </si>
  <si>
    <t>11.1.5</t>
  </si>
  <si>
    <t>Монтаж/демонтаж ограждения из полимерных композитных материалов при проведении ремонтных работ</t>
  </si>
  <si>
    <t>11.1.6</t>
  </si>
  <si>
    <t>Восстановление бетонных стен каналов после ремонтных работ</t>
  </si>
  <si>
    <t>11.1.7</t>
  </si>
  <si>
    <t>Ремонт железобетонных стен каналов отдельными местами площадью до 0,2 м2</t>
  </si>
  <si>
    <t>11.1.8</t>
  </si>
  <si>
    <t>Изготовление и монтаж площадок для обслуживания оборудования и трубопроводов</t>
  </si>
  <si>
    <t>11.1.9</t>
  </si>
  <si>
    <t>Замена плит перекрытия каналов</t>
  </si>
  <si>
    <t>11.1.10</t>
  </si>
  <si>
    <t>Замена неподвижных опор</t>
  </si>
  <si>
    <t>11.1.11</t>
  </si>
  <si>
    <t>Замена скользящих опор</t>
  </si>
  <si>
    <t>11.1.12</t>
  </si>
  <si>
    <t>Оклеечная гидроизоляция каналов</t>
  </si>
  <si>
    <t>11.1.13</t>
  </si>
  <si>
    <t>Присоединение к действующим сетям ДУ до 80мм</t>
  </si>
  <si>
    <t>11.1.14</t>
  </si>
  <si>
    <t>Присоединение к действующим сетям ДУ до 100мм</t>
  </si>
  <si>
    <t>11.1.15</t>
  </si>
  <si>
    <t>Присоединение к действующим сетям ДУ до 125мм</t>
  </si>
  <si>
    <t>11.1.16</t>
  </si>
  <si>
    <t>Присоединение к действующим сетям ДУ до 150мм</t>
  </si>
  <si>
    <t>11.1.17</t>
  </si>
  <si>
    <t>Очистка камер: от сухого ила и грязи при наличии труб с отключенным теплоносителем</t>
  </si>
  <si>
    <t>11.1.18</t>
  </si>
  <si>
    <t>Очистка камер: от сухого ила и грязи без труб и арматуры</t>
  </si>
  <si>
    <t>11.1.19</t>
  </si>
  <si>
    <t>Очистка камер: от сухого ила и грязи при наличии горячих труб и температуре воздуха более 40 градусов</t>
  </si>
  <si>
    <t>11.1.20</t>
  </si>
  <si>
    <t>Очистка камер: от мокрого ила и грязи при наличии труб с отключенным теплоносителем</t>
  </si>
  <si>
    <t>11.1.21</t>
  </si>
  <si>
    <t>Очистка камер: от мокрого ила и грязи при наличии горячих труб и температуре воздуха более 40 градусов</t>
  </si>
  <si>
    <t>11.1.22</t>
  </si>
  <si>
    <t>Очистка камер: от мокрого ила и грязи без труб и арматуры</t>
  </si>
  <si>
    <t>11.1.23</t>
  </si>
  <si>
    <t>Очистка непроходных каналов: от мокрого ила и грязи при снятых трубах, глубина очистки до 2 м</t>
  </si>
  <si>
    <t>11.1.24</t>
  </si>
  <si>
    <t>Очистка непроходных каналов: от мокрого ила и грязи при снятых трубах, глубина очистки более 2 м</t>
  </si>
  <si>
    <t>11.1.25</t>
  </si>
  <si>
    <t>Устройство тепловой изоляции: из плит, сегментов и скорлуп</t>
  </si>
  <si>
    <t>11.1.26</t>
  </si>
  <si>
    <t>Устройство тепловой изоляции: из ваты минеральной</t>
  </si>
  <si>
    <t>11.1.27</t>
  </si>
  <si>
    <t>Установка сборных железобетонных колец горловин колодцев</t>
  </si>
  <si>
    <t>11.1.28</t>
  </si>
  <si>
    <t>Замена люков колодцев и камер</t>
  </si>
  <si>
    <t>11.1.29</t>
  </si>
  <si>
    <t>Замена люков и кирпичных горловин колодцев и камер</t>
  </si>
  <si>
    <t>11.1.N1</t>
  </si>
  <si>
    <t>Шурфовка для поиска коммуникаций вручную (1×1×1,5 м) с обратной засыпкой</t>
  </si>
  <si>
    <t>11.1.N2</t>
  </si>
  <si>
    <t>Водоотлив из траншей, колодцев и камер погружным насосом</t>
  </si>
  <si>
    <t>11.1.N3</t>
  </si>
  <si>
    <t>Гидравлическое испытание трубопровода Ду до 150 мм (участок до 100 м) с оформлением акта</t>
  </si>
  <si>
    <t>11.1.N4</t>
  </si>
  <si>
    <t>Промывка с дезинфекцией водопровода Ду до 150 мм (до 100 м), без лабораторных анализов</t>
  </si>
  <si>
    <t>11.1.N5</t>
  </si>
  <si>
    <t>Крепление стенок траншей инвентарными щитами (установка и разборка)</t>
  </si>
  <si>
    <t>11.1.N6</t>
  </si>
  <si>
    <t>Герметизация стыков колец колодца (гидропломба/герметик) изнутри</t>
  </si>
  <si>
    <t>стык</t>
  </si>
  <si>
    <t>11.2.1</t>
  </si>
  <si>
    <t>Очистка колодца вручную при степени засоренности: 0,05 м3</t>
  </si>
  <si>
    <t>11.2.2</t>
  </si>
  <si>
    <t>Очистка колодца вручную при степени засоренности: 0,25 м3</t>
  </si>
  <si>
    <t>11.2.3</t>
  </si>
  <si>
    <t>Очистка колодца вручную при степени засоренности: 0,50 м3</t>
  </si>
  <si>
    <t>11.2.4</t>
  </si>
  <si>
    <t>Очистка колодца вручную при степени засоренности: 0,75 м3</t>
  </si>
  <si>
    <t>11.2.5</t>
  </si>
  <si>
    <t>Очистка колодца вручную при степени засоренности: 1,0 м3</t>
  </si>
  <si>
    <t>11.2.6</t>
  </si>
  <si>
    <t>Очистка колодца вручную при степени засоренности: от 1,0 м3 до 3,0 м3</t>
  </si>
  <si>
    <t>11.2.7</t>
  </si>
  <si>
    <t>Очистка приямков вручную, включая промывку и очистку стенок</t>
  </si>
  <si>
    <t>11.2.8</t>
  </si>
  <si>
    <t>Откачивание сточной жидкости фекальным насосом</t>
  </si>
  <si>
    <t>11.2.9</t>
  </si>
  <si>
    <t>Откачка жирового осадка насосом, включая промывку и очистку стенок, с предоставлением документов об утилизации жироуловителей</t>
  </si>
  <si>
    <t>11.2.10</t>
  </si>
  <si>
    <t>Промывка гидродинамическим способом трубопроводов канализации внешней диаметром до 150 мм каналоочистительной машиной Karcher</t>
  </si>
  <si>
    <t>11.2.11</t>
  </si>
  <si>
    <t>Промывка гидродинамическим способом трубопроводов канализации внешней диаметром до 250 мм каналоочистительной машиной Karcher</t>
  </si>
  <si>
    <t>11.2.12</t>
  </si>
  <si>
    <t>Промывка гидродинамическим способом трубопроводов канализации внешней диаметром до 300 мм каналоочистительной машиной Karcher</t>
  </si>
  <si>
    <t>11.2.13</t>
  </si>
  <si>
    <t>Проверка трубопровода видеокамерой (до 60 мп)</t>
  </si>
  <si>
    <t>11.2.14</t>
  </si>
  <si>
    <t>Проверка трубопровода видеокамерой (свыше 60 мп)</t>
  </si>
  <si>
    <t>11.2.15</t>
  </si>
  <si>
    <t>Работы по поиску колодцев без геоподосновы</t>
  </si>
  <si>
    <t>11.2.16</t>
  </si>
  <si>
    <t>Установка жироуловителей вертикальных диаметром 1200 мм</t>
  </si>
  <si>
    <t>11.2.17</t>
  </si>
  <si>
    <t>Установка жироуловителей вертикальных диаметром 1500 мм</t>
  </si>
  <si>
    <t>11.2.18</t>
  </si>
  <si>
    <t>Установка жироуловителей горизонтальных диаметром 1200 мм</t>
  </si>
  <si>
    <t>11.2.19</t>
  </si>
  <si>
    <t>Установка жироуловителей горизонатльных диаметром 1500 мм</t>
  </si>
  <si>
    <t>11.2.20</t>
  </si>
  <si>
    <t>Установка смотрового колодца жироуловителей</t>
  </si>
  <si>
    <t>11.2.21</t>
  </si>
  <si>
    <t>Укладка трубопроводов канализации из полиэтиленовых труб диаметром: 110 мм ( с учетом фасонных изделий)</t>
  </si>
  <si>
    <t>11.2.22</t>
  </si>
  <si>
    <t>Укладка трубопроводов канализации из полиэтиленовых труб диаметром: 225 мм ( с учетом фасонных изделий)</t>
  </si>
  <si>
    <t>11.2.23</t>
  </si>
  <si>
    <t>Укладка трубопроводов канализации из полиэтиленовых труб диаметром: 315 мм ( с учетом фасонных изделий)</t>
  </si>
  <si>
    <t>11.2.24</t>
  </si>
  <si>
    <t>Устройство коллекторов прямоугольных сборных железобетонных односекционных</t>
  </si>
  <si>
    <t>11.2.25</t>
  </si>
  <si>
    <t>Укладка канализационных безнапорных раструбных труб из поливинилхлорида (ПВХ) диаметром: 160 мм (с учетом фасонных изделий)</t>
  </si>
  <si>
    <t>11.2.26</t>
  </si>
  <si>
    <t>Укладка канализационных безнапорных раструбных труб из поливинилхлорида (ПВХ) диаметром: 200 мм (с учетом фасонных изделий)</t>
  </si>
  <si>
    <t>11.2.27</t>
  </si>
  <si>
    <t>Укладка канализационных безнапорных раструбных труб из поливинилхлорида (ПВХ) диаметром: 250 мм (с учетом фасонных изделий)</t>
  </si>
  <si>
    <t>11.2.28</t>
  </si>
  <si>
    <t>Укладка канализационных безнапорных раструбных труб из поливинилхлорида (ПВХ) диаметром: 315 мм (с учетом фасонных изделий)</t>
  </si>
  <si>
    <t>11.2.29</t>
  </si>
  <si>
    <t>Устройство круглых сборных железобетонных канализационных колодцев диаметром 1 м в сухих грунтах</t>
  </si>
  <si>
    <t>11.2.30</t>
  </si>
  <si>
    <t>Устройство круглых сборных железобетонных канализационных колодцев диаметром 1 м в мокрых грунтах</t>
  </si>
  <si>
    <t>11.2.31</t>
  </si>
  <si>
    <t>Восстановление внутренних поверхностей канализационных колодцев нанесением цементно-песчанной гидроизоляции толщиной 12 мм при диаметре 1,0 м и высоте 1,0 м</t>
  </si>
  <si>
    <t>11.2.32</t>
  </si>
  <si>
    <t>Укладка трубопроводов водостока из полиэтиленовых труб диаметром: 110 мм (с учетом фасонных изделий)</t>
  </si>
  <si>
    <t>11.2.33</t>
  </si>
  <si>
    <t>Укладка трубопроводов водостока из полиэтиленовых труб диаметром: 225 мм (с учетом фасонных изделий)</t>
  </si>
  <si>
    <t>11.2.34</t>
  </si>
  <si>
    <t>Укладка трубопроводов водостока из полиэтиленовых труб диаметром: 315 мм (с учетом фасонных изделий)</t>
  </si>
  <si>
    <t>11.2.35</t>
  </si>
  <si>
    <t>Присоединение канализационных трубопроводов к существующей сети в грунтах: сухих (Очистка колодца от мусора и осадка; Копание приямка; Пробивка проема в стене колодца;аделка в стену колодца конца трубы; Засыпка приямка; Перенабивка лотка с оштукатуриванием и железнением)</t>
  </si>
  <si>
    <t>11.2.36</t>
  </si>
  <si>
    <t>Присоединение канализационных трубопроводов к существующей сети в грунтах: мокрых (Очистка колодца от мусора и осадка; Копание приямка; Пробивка проема в стене колодца;аделка в стену колодца конца трубы; Засыпка приямка; Перенабивка лотка с оштукатуриванием и железнением)</t>
  </si>
  <si>
    <t>11.2.N1</t>
  </si>
  <si>
    <t>Механическая прочистка выпуска/трубопровода канализации Ду до 150 электромеханической машиной</t>
  </si>
  <si>
    <t>11.2.N2</t>
  </si>
  <si>
    <t>Откачка и вывоз содержимого колодцев/ЛОС илососом с утилизацией (талон)</t>
  </si>
  <si>
    <t>11.2.N3</t>
  </si>
  <si>
    <t>Перенабивка лотка канализационного колодца с железнением</t>
  </si>
  <si>
    <t>11.2.N4</t>
  </si>
  <si>
    <t>Установка (замена) дождеприёмной решётки с опорной рамой</t>
  </si>
  <si>
    <t>11.2.N5</t>
  </si>
  <si>
    <t>Монтаж линейного водоотводного лотка с решёткой на бетонное основание</t>
  </si>
  <si>
    <t>11.2.N6</t>
  </si>
  <si>
    <t>ТО локальных очистных сооружений (пескоуловитель/бензомаслоотделитель): осмотр, промывка коалесцентных модулей</t>
  </si>
  <si>
    <t>11.2.N7</t>
  </si>
  <si>
    <t>Установка обратного клапана (канализационного затвора) Ду 110–160 на выпуске</t>
  </si>
  <si>
    <t>11.2.N8</t>
  </si>
  <si>
    <t>Заделка ввода трубы в стену колодца (герметизация проёма)</t>
  </si>
  <si>
    <t>11.3.1</t>
  </si>
  <si>
    <t>Укладка водопроводных чугунных напорных раструбных труб при заделке раструбов асбестоцементом диаметром 65 мм</t>
  </si>
  <si>
    <t>11.3.2</t>
  </si>
  <si>
    <t>Укладка водопроводных чугунных напорных раструбных труб при заделке раструбов асбестоцементом диаметром 100 мм</t>
  </si>
  <si>
    <t>11.3.3</t>
  </si>
  <si>
    <t>Укладка водопроводных чугунных напорных раструбных труб при заделке раструбов асбестоцементом диаметром 125 мм</t>
  </si>
  <si>
    <t>11.3.4</t>
  </si>
  <si>
    <t>Укладка стальных водопроводных труб с гидравлическим испытанием диаметром 100 мм</t>
  </si>
  <si>
    <t>11.3.5</t>
  </si>
  <si>
    <t>Укладка стальных водопроводных труб с гидравлическим испытанием диаметром 125 мм</t>
  </si>
  <si>
    <t>11.3.6</t>
  </si>
  <si>
    <t>Укладка стальных водопроводных труб с гидравлическим испытанием диаметром 150 мм</t>
  </si>
  <si>
    <t>11.3.7</t>
  </si>
  <si>
    <t>Укладка трубопроводов из полиэтиленовых труб диаметром 65 мм</t>
  </si>
  <si>
    <t>11.3.8</t>
  </si>
  <si>
    <t>Укладка трубопроводов из полиэтиленовых труб диаметром 100 мм</t>
  </si>
  <si>
    <t>11.3.9</t>
  </si>
  <si>
    <t>Укладка трубопроводов из полиэтиленовых труб диаметром 125 мм</t>
  </si>
  <si>
    <t>11.3.10</t>
  </si>
  <si>
    <t>Укладка трубопроводов из полиэтиленовых труб диаметром 150 мм</t>
  </si>
  <si>
    <t>11.3.11</t>
  </si>
  <si>
    <t>Нанесение усиленной антикоррозионной битумно-резиновой или битумно-полимерной изоляции на стальные трубопроводы диаметром 100 мм</t>
  </si>
  <si>
    <t>11.3.12</t>
  </si>
  <si>
    <t>Нанесение усиленной антикоррозионной битумно-резиновой или битумно-полимерной изоляции на стальные трубопроводы диаметром 125 мм</t>
  </si>
  <si>
    <t>11.3.13</t>
  </si>
  <si>
    <t>Установка фасонных частей чугунных диаметром 50-100 мм</t>
  </si>
  <si>
    <t>11.3.14</t>
  </si>
  <si>
    <t>Установка фасонных частей чугунных диаметром 125-200 мм</t>
  </si>
  <si>
    <t>11.3.15</t>
  </si>
  <si>
    <t>Установка полиэтиленовых фасонных частей отводов, колен, патрубков, переходов, тройников, крестовин</t>
  </si>
  <si>
    <t>11.3.16</t>
  </si>
  <si>
    <t>Установка стальных обжимных, соединительных и регулировочных муфт 400 мм</t>
  </si>
  <si>
    <t>11.3.17</t>
  </si>
  <si>
    <t>Установка задвижек или клапанов обратных чугунных диаметром 50 мм</t>
  </si>
  <si>
    <t>11.3.18</t>
  </si>
  <si>
    <t>Установка задвижек или клапанов обратных чугунных диаметром 100 мм</t>
  </si>
  <si>
    <t>11.3.19</t>
  </si>
  <si>
    <t>Установка задвижек или клапанов обратных чугунных диаметром 150 мм</t>
  </si>
  <si>
    <t>11.3.20</t>
  </si>
  <si>
    <t>Установка задвижек или клапанов обратных стальных диаметром 50 мм</t>
  </si>
  <si>
    <t>11.3.21</t>
  </si>
  <si>
    <t>Установка задвижек или клапанов обратных стальных диаметром 100 мм</t>
  </si>
  <si>
    <t>11.3.22</t>
  </si>
  <si>
    <t>Установка задвижек или клапанов обратных стальных диаметром 150 мм</t>
  </si>
  <si>
    <t>11.3.23</t>
  </si>
  <si>
    <t>Приварка фланцев к стальным трубопроводам диаметром 50 мм</t>
  </si>
  <si>
    <t>11.3.24</t>
  </si>
  <si>
    <t>Приварка фланцев к стальным трубопроводам диаметром 100 мм</t>
  </si>
  <si>
    <t>11.3.25</t>
  </si>
  <si>
    <t>Приварка фланцев к стальным трубопроводам диаметром 150 мм</t>
  </si>
  <si>
    <t>11.3.N1</t>
  </si>
  <si>
    <t>Врезка под давлением в ПЭ трубу седёлкой электросварной Ду до 63</t>
  </si>
  <si>
    <t>11.3.N2</t>
  </si>
  <si>
    <t>Замена пожарного гидранта подземного</t>
  </si>
  <si>
    <t>11.3.N3</t>
  </si>
  <si>
    <t>Устранение течи установкой ремонтного хомута Ду до 150 (без земляных)</t>
  </si>
  <si>
    <t>11.3.N4</t>
  </si>
  <si>
    <t>Монтаж водомерного узла Ду 50 в колодце (без прибора учёта)</t>
  </si>
  <si>
    <t>11.4.1</t>
  </si>
  <si>
    <t>Прокладка трубопроводов в каналах и надземная при условном давлении 0,6 МПа, температуре 115°С, диаметр труб 80 мм (с учетом фасонных изделий)</t>
  </si>
  <si>
    <t>11.4.2</t>
  </si>
  <si>
    <t>Прокладка трубопроводов в каналах и надземная при условном давлении 0,6 МПа, температуре 115°С, диаметр труб 100 мм (с учетом фасонных изделий)</t>
  </si>
  <si>
    <t>11.4.3</t>
  </si>
  <si>
    <t>Прокладка трубопроводов в каналах и надземная при условном давлении 0,6 МПа, температуре 115°С, диаметр труб 125 мм (с учетом фасонных изделий)</t>
  </si>
  <si>
    <t>11.4.4</t>
  </si>
  <si>
    <t>Прокладка трубопроводов в каналах и надземная при условном давлении 0,6 МПа, температуре 115°С, диаметр труб 150 мм (с учетом фасонных изделий)</t>
  </si>
  <si>
    <t>11.4.5</t>
  </si>
  <si>
    <t>Прокладка трубопроводов в непроходном канале при условном давлении 1,6 МПа, температуре 150°С, диаметр труб 80 мм (с учетом фасонных изделий)</t>
  </si>
  <si>
    <t>11.4.6</t>
  </si>
  <si>
    <t>Прокладка трубопроводов в непроходном канале при условном давлении 1,6 МПа, температуре 150°С, диаметр труб 100 мм (с учетом фасонных изделий)</t>
  </si>
  <si>
    <t>11.4.7</t>
  </si>
  <si>
    <t>Прокладка трубопроводов в непроходном канале при условном давлении 1,6 МПа, температуре 150°С, диаметр труб 125 мм (с учетом фасонных изделий)</t>
  </si>
  <si>
    <t>11.4.8</t>
  </si>
  <si>
    <t>Прокладка трубопроводов в непроходном канале при условном давлении 1,6 МПа, температуре 150°С, диаметр труб 150 мм (с учетом фасонных изделий)</t>
  </si>
  <si>
    <t>11.4.9</t>
  </si>
  <si>
    <t>Надземная прокладка трубопроводов в изоляции из пенополиуретана (ППУ) при условном давлении 1,6 МПа, температуре 150°С, диаметр труб 80 мм (с учетом фасонных изделий)</t>
  </si>
  <si>
    <t>11.4.10</t>
  </si>
  <si>
    <t>Надземная прокладка трубопроводов в изоляции из пенополиуретана (ППУ) при условном давлении 1,6 МПа, температуре 150°С, диаметр труб 100 мм (с учетом фасонных изделий)</t>
  </si>
  <si>
    <t>11.4.11</t>
  </si>
  <si>
    <t>Надземная прокладка трубопроводов в изоляции из пенополиуретана (ППУ) при условном давлении 1,6 МПа, температуре 150°С, диаметр труб 150 мм (с учетом фасонных изделий)</t>
  </si>
  <si>
    <t>11.4.12</t>
  </si>
  <si>
    <t>Подвальная прокладка трубопроводов в изоляции из пенополиуретана (ППУ) с изоляцией стыков при условном давлении 1,6 МПа, температуре 150°С, диаметр труб 80 мм (с учетом фасонных изделий)</t>
  </si>
  <si>
    <t>11.4.13</t>
  </si>
  <si>
    <t>Подвальная прокладка трубопроводов в изоляции из пенополиуретана (ППУ) с изоляцией стыков при условном давлении 1,6 МПа, температуре 150°С, диаметр труб 100 мм (с учетом фасонных изделий)</t>
  </si>
  <si>
    <t>11.4.14</t>
  </si>
  <si>
    <t>Подвальная прокладка трубопроводов в изоляции из пенополиуретана (ППУ) с изоляцией стыков при условном давлении 1,6 МПа, температуре 150°С, диаметр труб 150 мм (с учетом фасонных изделий)</t>
  </si>
  <si>
    <t>11.4.15</t>
  </si>
  <si>
    <t>Установка задвижек или клапанов стальных для горячей воды и пара диаметром 80 мм</t>
  </si>
  <si>
    <t>11.4.16</t>
  </si>
  <si>
    <t>Установка задвижек или клапанов стальных для горячей воды и пара диаметром 100 мм</t>
  </si>
  <si>
    <t>11.4.17</t>
  </si>
  <si>
    <t>Установка задвижек или клапанов стальных для горячей воды и пара диаметром 150 мм</t>
  </si>
  <si>
    <t>11.4.18</t>
  </si>
  <si>
    <t>Установка вентилей и клапанов обратных муфтовых диаметром до 50 мм</t>
  </si>
  <si>
    <t>11.4.19</t>
  </si>
  <si>
    <t>Установка компенсатора диаметром труб до 100 мм</t>
  </si>
  <si>
    <t>11.4.20</t>
  </si>
  <si>
    <t>Приварка фланцев к стальным трубопроводам диаметром до 50 мм</t>
  </si>
  <si>
    <t>11.4.21</t>
  </si>
  <si>
    <t>Приварка фланцев к стальным трубопроводам диаметром до 100 мм</t>
  </si>
  <si>
    <t>11.4.22</t>
  </si>
  <si>
    <t>Замена прокладок на фланцевых соединениях трубопроводов диаметром труб: до 100 мм</t>
  </si>
  <si>
    <t>11.4.N1</t>
  </si>
  <si>
    <t>Изоляция стыка ППУ-трубы термоусадочной муфтой с заливкой пены Ду до 150</t>
  </si>
  <si>
    <t>11.4.N2</t>
  </si>
  <si>
    <t>Восстановление теплоизоляции трубопровода (минвата + покровный слой оцинковка) Ду до 150</t>
  </si>
  <si>
    <t>11.4.N3</t>
  </si>
  <si>
    <t>Опрессовка участка тепловой сети с оформлением акта</t>
  </si>
  <si>
    <t>13.1</t>
  </si>
  <si>
    <t>Выкашивание газонов газонокосилкой</t>
  </si>
  <si>
    <t>13.2</t>
  </si>
  <si>
    <t>13.3</t>
  </si>
  <si>
    <t>Копка ям вручную размером: 0,3x0,3 м на почвах средних</t>
  </si>
  <si>
    <t>13.4</t>
  </si>
  <si>
    <t>Копка ям вручную размером: 0,6x0,6 м на почвах средних</t>
  </si>
  <si>
    <t>13.5</t>
  </si>
  <si>
    <t>Копка ям вручную размером: 0,8x0,6 м на почвах средних</t>
  </si>
  <si>
    <t>13.6</t>
  </si>
  <si>
    <t>Металлическая ограда из сетчатых панелей высотой 1,2м по железобетонным столбам без цоколя</t>
  </si>
  <si>
    <t>13.7</t>
  </si>
  <si>
    <t>Металлическая ограда из сетчатых панелей высотой 1,6м по железобетонным столбам с цоколем</t>
  </si>
  <si>
    <t>13.8</t>
  </si>
  <si>
    <t>Металлическое ограждение из труб различного профиля по металлическим столбам</t>
  </si>
  <si>
    <t>13.9</t>
  </si>
  <si>
    <t>Монтаж искусственной дорожной неровности (ИДН)</t>
  </si>
  <si>
    <t>13.10</t>
  </si>
  <si>
    <t>На каждые 0,5 см изменения толщины покрытия добавлять или исключать к расценке на устройство покрытий из горячих асфальтобетонных смесей плотных купнозернистых типа АБВ</t>
  </si>
  <si>
    <t>13.11</t>
  </si>
  <si>
    <t>На каждые 0,5 см изменения толщины покрытия добавлять или исключать к расценке на устройство покрытий из горячих асфальтобетонных смесей плотных мелкозернистых типа АБВ</t>
  </si>
  <si>
    <t>13.12</t>
  </si>
  <si>
    <t>На каждые 0,5 см изменения толщины покрытия добавлять к расценке ( из литой мелкозернистой асфальто-бетонной смеси толщиной 3 см)</t>
  </si>
  <si>
    <t>13.13</t>
  </si>
  <si>
    <t>На каждые 0,5 см изменения толщины покрытия из холодных асфальтобетонных смесей добавлять или исключать</t>
  </si>
  <si>
    <t>13.14</t>
  </si>
  <si>
    <t>Нанесение линии горизонтальной дорожной разметки краской со световозвращающими элементами на дорожное покрытие (асфальт, поверхностная обработка)</t>
  </si>
  <si>
    <t>13.15</t>
  </si>
  <si>
    <t>Нанесение линии поперечной дорожной разметки холодным пластиком со световозвращающими элементами вручную с применением трафаретной самоклеящейся ленты</t>
  </si>
  <si>
    <t>13.16</t>
  </si>
  <si>
    <t>Нарезка шва на асфальте алмазным диском</t>
  </si>
  <si>
    <t>13.17</t>
  </si>
  <si>
    <t>Окраска деревянных ограждений</t>
  </si>
  <si>
    <t>13.18</t>
  </si>
  <si>
    <t>Окраска металлических оргаждений, решеток</t>
  </si>
  <si>
    <t>13.19</t>
  </si>
  <si>
    <t>Очистка участка от мусора</t>
  </si>
  <si>
    <t>13.20</t>
  </si>
  <si>
    <t>Планировка участка вручную</t>
  </si>
  <si>
    <t>13.21</t>
  </si>
  <si>
    <t>Подготовка асфальтобетонных оснований под малые архитектурные формы</t>
  </si>
  <si>
    <t>13.22</t>
  </si>
  <si>
    <t>Подготовка грунтовых оснований под малые архитектурные формы</t>
  </si>
  <si>
    <t>13.23</t>
  </si>
  <si>
    <t>Подготовка под цветники, толщина насыпки 20 см</t>
  </si>
  <si>
    <t>13.24</t>
  </si>
  <si>
    <t>Подготовка почвы для устройства партерного и обыкновенного газона без внесения растительной земли механизированным способом</t>
  </si>
  <si>
    <t>13.25</t>
  </si>
  <si>
    <t>Подготовка почвы для устройства партерного и обыкновенного газона без внесения растительной земли ручным способом</t>
  </si>
  <si>
    <t>13.26</t>
  </si>
  <si>
    <t>Подготовка почвы для устройства партерного и обыкновенного газона с внесением растительной земли слоем 15 см: вручную</t>
  </si>
  <si>
    <t>13.27</t>
  </si>
  <si>
    <t>Подготовка почвы для устройства партерного и обыкновенного газона с внесением растительной земли слоем 15 см: механизированным способом</t>
  </si>
  <si>
    <t>13.28</t>
  </si>
  <si>
    <t>Подготовка стандартных посадочных мест вручную для деревьев и кустарников с круглым комом земли размером: 0,2x0,15 м и 0,25x0,2 м в естественном грунте</t>
  </si>
  <si>
    <t>13.29</t>
  </si>
  <si>
    <t>Подготовка стандартных посадочных мест для деревьев-саженцев с комом земли вручную: в естественном грунте</t>
  </si>
  <si>
    <t>13.30</t>
  </si>
  <si>
    <t>Подготовка стандартных посадочных мест для деревьев-саженцев с комом земли системой вручную: в естественном грунте</t>
  </si>
  <si>
    <t>13.31</t>
  </si>
  <si>
    <t>Подготовка стандартных посадочных мест для кустарников-саженцев в группы вручную: в естественном грунте</t>
  </si>
  <si>
    <t>13.32</t>
  </si>
  <si>
    <t>Подготовка щебеночных оснований под малые архитектурные формы</t>
  </si>
  <si>
    <t>13.33</t>
  </si>
  <si>
    <t>Покрытие деревянных поверхностей малых форм лаком с подготовкой поверхности</t>
  </si>
  <si>
    <t>13.34</t>
  </si>
  <si>
    <t>Посадка деревьев и кустанрников с комом земли в ямы</t>
  </si>
  <si>
    <t>13.35</t>
  </si>
  <si>
    <t>Посадка деревьев-саженцев с оголенной корневой системой в ямы</t>
  </si>
  <si>
    <t>13.36</t>
  </si>
  <si>
    <t>Посадка цветов в клумбы, рабатки и вазы-цветочницы: клубневых, луковичных и клубнелуковичных</t>
  </si>
  <si>
    <t>13.37</t>
  </si>
  <si>
    <t>Посадка цветов в клумбы, рабатки и вазы-цветочницы: многолетних и корневищных</t>
  </si>
  <si>
    <t>13.38</t>
  </si>
  <si>
    <t>Посев газонов вручную</t>
  </si>
  <si>
    <t>13.39</t>
  </si>
  <si>
    <t>Разбивка участка</t>
  </si>
  <si>
    <t>13.40</t>
  </si>
  <si>
    <t>Разборка покрытий и оснований: цементно-бетонных</t>
  </si>
  <si>
    <t>13.41</t>
  </si>
  <si>
    <t>Разметка краской для проезжей части знака "Инвалид" вручную с использованием трафаретной ленты</t>
  </si>
  <si>
    <t>13.42</t>
  </si>
  <si>
    <t>Разметка краской для проезжей части пешеходного перехода вручную с использованием трафаретной ленты</t>
  </si>
  <si>
    <t>13.43</t>
  </si>
  <si>
    <t>Разметка проезжей части краской сплошной линией шириной 0,1 м</t>
  </si>
  <si>
    <t>км</t>
  </si>
  <si>
    <t>13.44</t>
  </si>
  <si>
    <t>Разметка проезжей части термопластиком сплошной линией шириной 0,1 м</t>
  </si>
  <si>
    <t>13.45</t>
  </si>
  <si>
    <t>Разработка грунта в отвал экскаватором</t>
  </si>
  <si>
    <t>13.46</t>
  </si>
  <si>
    <t>13.47</t>
  </si>
  <si>
    <t>Резка гранитных и бетонных малоразмерных плит в построечных условиях</t>
  </si>
  <si>
    <t>13.48</t>
  </si>
  <si>
    <t>Ремонт асфальтобетонного покрытия дорог двухслойного толщиной 4-10см</t>
  </si>
  <si>
    <t>13.49</t>
  </si>
  <si>
    <t>Ремонт асфальтобетонного покрытия дорог однослойного толщиной до 4см</t>
  </si>
  <si>
    <t>13.50</t>
  </si>
  <si>
    <t>Ремонт металлических ограждений средний</t>
  </si>
  <si>
    <t>13.51</t>
  </si>
  <si>
    <t>Розлив вяжущих материалов</t>
  </si>
  <si>
    <t>13.52</t>
  </si>
  <si>
    <t>Сгребание и уборка трав</t>
  </si>
  <si>
    <t>13.53</t>
  </si>
  <si>
    <t>Смена отдельных участков металлического ограждения газонов из труб диаметром до 40 мм</t>
  </si>
  <si>
    <t>13.54</t>
  </si>
  <si>
    <t>Укладка металлической сетки в цементобетонное дорожное покрытие</t>
  </si>
  <si>
    <t>13.55</t>
  </si>
  <si>
    <t>Укладка наземных тактильных плит на слой сухой цементно-песчаной смеси</t>
  </si>
  <si>
    <t>13.56</t>
  </si>
  <si>
    <t>13.57</t>
  </si>
  <si>
    <t>Уплотнение грунта самоходным катком</t>
  </si>
  <si>
    <t>13.58</t>
  </si>
  <si>
    <t>Установка бортовых камней дорожных бетонных: при цементобетонных покрытиях</t>
  </si>
  <si>
    <t>13.59</t>
  </si>
  <si>
    <t>Установка дорожных знаков бесфундаментных: на металлических стойках</t>
  </si>
  <si>
    <t>13.60</t>
  </si>
  <si>
    <t>Установка дорожных знаков на металлических рамных конструкциях П-образных</t>
  </si>
  <si>
    <t>13.61</t>
  </si>
  <si>
    <t>Установка дорожных знаков на металлических рамных конструкциях Т-образных</t>
  </si>
  <si>
    <t>13.62</t>
  </si>
  <si>
    <t>Установка дорожных знаков на сборных железобетонных фундаментах и металлических стойках массой до 25 кг</t>
  </si>
  <si>
    <t>13.63</t>
  </si>
  <si>
    <t>Установка дорожных знаков на сборных железобетонных фундаментах и металлических стойках массой от 25 до 50 кг</t>
  </si>
  <si>
    <t>13.64</t>
  </si>
  <si>
    <t>Установка защитных ограждений тротуаров: бетонных полусфер</t>
  </si>
  <si>
    <t>13.65</t>
  </si>
  <si>
    <t>Установка защитных ограждений тротуаров: бетонных тумб</t>
  </si>
  <si>
    <t>13.66</t>
  </si>
  <si>
    <t>Установка садового бордюра бетонного</t>
  </si>
  <si>
    <t>13.67</t>
  </si>
  <si>
    <t>Установка скамеек бетонных</t>
  </si>
  <si>
    <t>13.68</t>
  </si>
  <si>
    <t>Установка скамеек деревянных на металлическом каркасе</t>
  </si>
  <si>
    <t>13.69</t>
  </si>
  <si>
    <t>Установка урн бетонных</t>
  </si>
  <si>
    <t>13.70</t>
  </si>
  <si>
    <t>Установка урн металлических</t>
  </si>
  <si>
    <t>13.71</t>
  </si>
  <si>
    <t>Установка цветочниц бетонных</t>
  </si>
  <si>
    <t>13.72</t>
  </si>
  <si>
    <t>Устройство асфальтобетонных покрытий дорожек и тротуаров однослойных из литой мелкозернистой асфальто-бетонной смеси толщиной 3 см (1 м2)</t>
  </si>
  <si>
    <t>13.73</t>
  </si>
  <si>
    <t>Устройство верхнего слоя покрытия из песчаной асфальтобетонной смеси толщиной 3 см вручную</t>
  </si>
  <si>
    <t>13.74</t>
  </si>
  <si>
    <t>Устройство газонов из готовых рулонных заготовок</t>
  </si>
  <si>
    <t>13.75</t>
  </si>
  <si>
    <t>Устройство металлических пешеходных ограждений</t>
  </si>
  <si>
    <t>13.76</t>
  </si>
  <si>
    <t>Устройство нижнего слоя покрытия из крупнозернистой асфальтобетонной смеси толщиной 4,5 см вручную</t>
  </si>
  <si>
    <t>13.77</t>
  </si>
  <si>
    <t>Устройство однослойных оснований толщиной 15 см из щебня фракции 40-70 мм при укатке каменных материалов</t>
  </si>
  <si>
    <t>13.78</t>
  </si>
  <si>
    <t>Устройство подстилающих и выравнивающих слоев оснований из гравия</t>
  </si>
  <si>
    <t>13.79</t>
  </si>
  <si>
    <t>Устройство подстилающих и выравнивающих слоев оснований из песка</t>
  </si>
  <si>
    <t>13.80</t>
  </si>
  <si>
    <t>Устройство подстилающих и выравнивающих слоев оснований из щебня</t>
  </si>
  <si>
    <t>13.81</t>
  </si>
  <si>
    <t>Устройство покрытий бетонных толщиной 30 мм</t>
  </si>
  <si>
    <t>13.82</t>
  </si>
  <si>
    <t>Устройство покрытий из гранитных малоразмерных плит</t>
  </si>
  <si>
    <t>13.83</t>
  </si>
  <si>
    <t>Устройство покрытий тротуаров из бетонной плитки типа "Брусчатка": веерным мощением</t>
  </si>
  <si>
    <t>13.84</t>
  </si>
  <si>
    <t>Устройство покрытий тротуаров из бетонной плитки типа "Брусчатка": кольцевым мощением</t>
  </si>
  <si>
    <t>13.85</t>
  </si>
  <si>
    <t>Устройство покрытий тротуаров из бетонной плитки типа "Брусчатка": рядовым или паркетным мощением</t>
  </si>
  <si>
    <t>13.86</t>
  </si>
  <si>
    <t>Устройство покрытия толщиной 3 см из холодных асфальтобетонных смесей</t>
  </si>
  <si>
    <t>13.87</t>
  </si>
  <si>
    <t>Устройство покрытия толщиной 4 см из горячих асфальтобетонных смесей плотных крупнозернинистых типа АБ, плотность каменных материалов 2,5-2,9 т/м3</t>
  </si>
  <si>
    <t>13.88</t>
  </si>
  <si>
    <t>Устройство покрытия толщиной 4 см из горячих асфальтобетонных смесей плотных мелкозернистых типа АБВ, плотность каменных материалов 2,5-2,9 т/м3</t>
  </si>
  <si>
    <t>13.89</t>
  </si>
  <si>
    <t>Устройство прослойки из нетканого синтетического материала (НСМ) в земляном полотне: сплошной</t>
  </si>
  <si>
    <t>13.90</t>
  </si>
  <si>
    <t>Ямочный ремонт асфальтобетонного покрытия литой асфальтобетонной смесью с разрушением поверхности и с учетом подготовки основания</t>
  </si>
  <si>
    <t>13.N1</t>
  </si>
  <si>
    <t>Демонтаж асфальтобетонного покрытия толщиной до 10 см с погрузкой (вручную/отбойник)</t>
  </si>
  <si>
    <t>13.N2</t>
  </si>
  <si>
    <t>Фрезерование асфальтобетонного покрытия до 5 см (дорожная фреза с оператором)</t>
  </si>
  <si>
    <t>13.N3</t>
  </si>
  <si>
    <t>Демонтаж бортового камня с погрузкой</t>
  </si>
  <si>
    <t>13.N4</t>
  </si>
  <si>
    <t>Демонтаж тротуарной плитки с сортировкой и складированием</t>
  </si>
  <si>
    <t>13.N5</t>
  </si>
  <si>
    <t>Перекладка просевших участков тротуарной плитки с подсыпкой и уплотнением</t>
  </si>
  <si>
    <t>13.N6</t>
  </si>
  <si>
    <t>Герметизация трещин асфальта битумной мастикой с разделкой</t>
  </si>
  <si>
    <t>13.N7</t>
  </si>
  <si>
    <t>Установка парковочного столбика на анкерах</t>
  </si>
  <si>
    <t>13.N8</t>
  </si>
  <si>
    <t>Монтаж колесоотбойника резинового/композитного на анкерах</t>
  </si>
  <si>
    <t>13.N9</t>
  </si>
  <si>
    <t>Демаркировка (удаление) старой разметки механическим способом</t>
  </si>
  <si>
    <t>13.N10</t>
  </si>
  <si>
    <t>Разметка машиноместа краской (линии + номер)</t>
  </si>
  <si>
    <t>13.N11</t>
  </si>
  <si>
    <t>Окраска бортового камня (работа)</t>
  </si>
  <si>
    <t>13.N12</t>
  </si>
  <si>
    <t>Досыпка растительного грунта на газоны с разравниванием вручную</t>
  </si>
  <si>
    <t>13.N13</t>
  </si>
  <si>
    <t>Вывоз строительного мусора/грунта самосвалом до 30 км (без утилизации)</t>
  </si>
  <si>
    <t>13.N14</t>
  </si>
  <si>
    <t>Аренда мини-экскаватора/экскаватора-погрузчика с оператором</t>
  </si>
  <si>
    <t>маш.-ч</t>
  </si>
  <si>
    <t>13.N15</t>
  </si>
  <si>
    <t>Аренда виброкатка 1,5–3 т с оператором</t>
  </si>
  <si>
    <t>13.N16</t>
  </si>
  <si>
    <t>Замена панели 3D-ограждения на существующих столбах</t>
  </si>
  <si>
    <t>14.1</t>
  </si>
  <si>
    <t>Изготовление и монтаж каркаса из одиночных и парных уголков, гнутосварных профилей и др.</t>
  </si>
  <si>
    <t>14.2</t>
  </si>
  <si>
    <t>Бурение отверстий в асфальте глубиной до 20 см, диаметром до 16 мм</t>
  </si>
  <si>
    <t>14.3</t>
  </si>
  <si>
    <t>Обезжиривание металлоконструкций</t>
  </si>
  <si>
    <t>14.4</t>
  </si>
  <si>
    <t>Облицовка листовым металлом по готовому каркасу</t>
  </si>
  <si>
    <t>14.5</t>
  </si>
  <si>
    <t>14.6</t>
  </si>
  <si>
    <t>Огрунтовка металлоконструкций</t>
  </si>
  <si>
    <t>14.7</t>
  </si>
  <si>
    <t>Окраска металлоконструкций за два раза</t>
  </si>
  <si>
    <t>14.8</t>
  </si>
  <si>
    <t>14.9</t>
  </si>
  <si>
    <t>Сборка евроконтейнеров 1100л</t>
  </si>
  <si>
    <t>14.10</t>
  </si>
  <si>
    <t>Резка листового металла</t>
  </si>
  <si>
    <t>14.11</t>
  </si>
  <si>
    <t>Ремонт металлоконструкций каркаса с применением сварочных работ</t>
  </si>
  <si>
    <t>14.12</t>
  </si>
  <si>
    <t>Установка задвижки</t>
  </si>
  <si>
    <t>14.13</t>
  </si>
  <si>
    <t>Установка замка навесного с проушинами (комплект)</t>
  </si>
  <si>
    <t>14.14</t>
  </si>
  <si>
    <t>Установка усиленной петли двери контейрной площадки</t>
  </si>
  <si>
    <t>14.N1</t>
  </si>
  <si>
    <t>Устройство бетонного основания площадки 150 мм с армированием сеткой (без материалов)</t>
  </si>
  <si>
    <t>14.N2</t>
  </si>
  <si>
    <t>Демонтаж старой контейнерной площадки (МК, профлист) с резкой</t>
  </si>
  <si>
    <t>14.N3</t>
  </si>
  <si>
    <t>Установка колесоупора/отбойника для контейнеров из трубы с анкеровкой</t>
  </si>
  <si>
    <t>15.1</t>
  </si>
  <si>
    <t>Монтаж блока преобразователя импульсного (БПИ)</t>
  </si>
  <si>
    <t>15.2</t>
  </si>
  <si>
    <t>Монтаж барьера электризуемый БЭ</t>
  </si>
  <si>
    <t>15.3</t>
  </si>
  <si>
    <t>Монтаж блока высоковольтного усилителя (БВУ)</t>
  </si>
  <si>
    <t>15.4</t>
  </si>
  <si>
    <t>Проектные работы устройства сети охранно-защитной дератизационной системы (ОЗДС)</t>
  </si>
  <si>
    <t>услуга</t>
  </si>
  <si>
    <t>15.5</t>
  </si>
  <si>
    <t>Прокладка провода высоковольтного для с-мы ОЗДС</t>
  </si>
  <si>
    <t>15.6</t>
  </si>
  <si>
    <t>Техническое обслуживание охранно-защитной дератизационной системы (ОЗДС)</t>
  </si>
  <si>
    <t>15.7</t>
  </si>
  <si>
    <t>Установка извещателя ПС автоматический тепловой электро-контактный, магнитоконтактный в нормальном исполнении</t>
  </si>
  <si>
    <t>15.8</t>
  </si>
  <si>
    <t>Установка предупреждающей наклейки ОЗДС</t>
  </si>
  <si>
    <t>15.9</t>
  </si>
  <si>
    <t>Химическая дератизация помещений с учетом хим.препаратов</t>
  </si>
  <si>
    <t>15.N1</t>
  </si>
  <si>
    <t>Пусконаладка ОЗДС с измерением выходного напряжения и оформлением протокола</t>
  </si>
  <si>
    <t>15.N2</t>
  </si>
  <si>
    <t>Демонтаж элементов ОЗДС (барьеры, провод)</t>
  </si>
  <si>
    <t>15.N3</t>
  </si>
  <si>
    <t>Установка приманочной станции (родентостанции) с закреплением</t>
  </si>
  <si>
    <t>15.N4</t>
  </si>
  <si>
    <t>Обслуживание приманочной станции (замена приманки, учёт поедаемости) за обход</t>
  </si>
  <si>
    <t>12.1.1</t>
  </si>
  <si>
    <t>Замена 2-х секционной петли алюминиевой двери входной группы</t>
  </si>
  <si>
    <t>12.1.2</t>
  </si>
  <si>
    <t>Замена 3-х секционной петли алюминиевой двери входной группы</t>
  </si>
  <si>
    <t>12.1.3</t>
  </si>
  <si>
    <t>Замена блока управления с настройкой параметров пользователя</t>
  </si>
  <si>
    <t>12.1.4</t>
  </si>
  <si>
    <t>Замена двойного стекла "триплекс" 4+4мм в автоматической раздвижной двери (под ключ)</t>
  </si>
  <si>
    <t>12.1.5</t>
  </si>
  <si>
    <t>Замена замка двери входной группы с личинкой</t>
  </si>
  <si>
    <t>12.1.6</t>
  </si>
  <si>
    <t>Замена каретки (тележки) подвижной створки</t>
  </si>
  <si>
    <t>12.1.7</t>
  </si>
  <si>
    <t>Замена кнопки аварийной остановки</t>
  </si>
  <si>
    <t>12.1.8</t>
  </si>
  <si>
    <t>Замена кронштейна створки автоматической двери</t>
  </si>
  <si>
    <t>12.1.9</t>
  </si>
  <si>
    <t>Замена крышки оператора автоматической двери</t>
  </si>
  <si>
    <t>12.1.10</t>
  </si>
  <si>
    <t>Замена личинки замка входной группы</t>
  </si>
  <si>
    <t>12.1.11</t>
  </si>
  <si>
    <t>Замена механического разблокиратора замка</t>
  </si>
  <si>
    <t>12.1.12</t>
  </si>
  <si>
    <t>Замена мотор-редуктора с регулировкой натяжения приводного ремня</t>
  </si>
  <si>
    <t>12.1.13</t>
  </si>
  <si>
    <t>Замена напольной направляющей подвижной створки</t>
  </si>
  <si>
    <t>12.1.14</t>
  </si>
  <si>
    <t>Замена натяжного ролика с последующей регулировкой натяжения ремня привода</t>
  </si>
  <si>
    <t>12.1.15</t>
  </si>
  <si>
    <t>Замена нащельника плоского</t>
  </si>
  <si>
    <t>12.1.16</t>
  </si>
  <si>
    <t>Замена нащельника углового</t>
  </si>
  <si>
    <t>12.1.17</t>
  </si>
  <si>
    <t>Замена несущего профиля</t>
  </si>
  <si>
    <t>12.1.18</t>
  </si>
  <si>
    <t>Замена оператора автоматической двери</t>
  </si>
  <si>
    <t>12.1.19</t>
  </si>
  <si>
    <t>Замена платы расширения</t>
  </si>
  <si>
    <t>12.1.20</t>
  </si>
  <si>
    <t>Замена приводного ремня</t>
  </si>
  <si>
    <t>12.1.21</t>
  </si>
  <si>
    <t>Замена промежуточной (внутренней) петли алюминиевой двери входнрой группы</t>
  </si>
  <si>
    <t>12.1.22</t>
  </si>
  <si>
    <t>Замена радара (детектора движения) с последующей настройкой</t>
  </si>
  <si>
    <t>12.1.23</t>
  </si>
  <si>
    <t>Замена ролика каретки (тележки) привода</t>
  </si>
  <si>
    <t>12.1.24</t>
  </si>
  <si>
    <t>Замена ручки дуговой алюминиевой двери входной группы</t>
  </si>
  <si>
    <t>12.1.25</t>
  </si>
  <si>
    <t>Замена сборочного комплекта створки</t>
  </si>
  <si>
    <t>12.1.26</t>
  </si>
  <si>
    <t>Замена селектора (переключателя режимов работы) на идентичный без изменения местоположения</t>
  </si>
  <si>
    <t>12.1.27</t>
  </si>
  <si>
    <t>Замена селектора на другую модель</t>
  </si>
  <si>
    <t>12.1.28</t>
  </si>
  <si>
    <t>Замена силового трансформатора</t>
  </si>
  <si>
    <t>12.1.29</t>
  </si>
  <si>
    <t>Замена сэндвич-панели 10 мм для заполнения дверей</t>
  </si>
  <si>
    <t>12.1.30</t>
  </si>
  <si>
    <t>Замена сэндвич-панели 24 мм для заполнения двери</t>
  </si>
  <si>
    <t>12.1.31</t>
  </si>
  <si>
    <t>Замена фотоэлемента безопасности</t>
  </si>
  <si>
    <t>12.1.32</t>
  </si>
  <si>
    <t>Замена электромагнитного замка</t>
  </si>
  <si>
    <t>12.1.33</t>
  </si>
  <si>
    <t>Замена электромеханического замка автоматических дверей</t>
  </si>
  <si>
    <t>12.1.34</t>
  </si>
  <si>
    <t>Замена электронного блока управления</t>
  </si>
  <si>
    <t>12.1.35</t>
  </si>
  <si>
    <t>Комплексная диагностика привода автоматической двери</t>
  </si>
  <si>
    <t>12.1.36</t>
  </si>
  <si>
    <t>Монтаж автоматической двухстворчатой раздвижной двери. Высота чистого проема 2300 мм, ширина чистого прохода 1300 мм.</t>
  </si>
  <si>
    <t>12.1.37</t>
  </si>
  <si>
    <t>Монтаж автоматической двухстворчатой раздвижной двери. Высота чистого проема 2300 мм, ширина чистого прохода 1500 мм.</t>
  </si>
  <si>
    <t>12.1.38</t>
  </si>
  <si>
    <t>Монтаж автоматической двухстворчатой раздвижной двери. Высота чистого проема 2300мм, ширина чистого прохода 900мм.</t>
  </si>
  <si>
    <t>12.1.39</t>
  </si>
  <si>
    <t>Монтаж автоматической одностворчатой раздвижной двери. Высота чистого проема 2300мм, ширина чистого прохода 900 мм.</t>
  </si>
  <si>
    <t>12.1.40</t>
  </si>
  <si>
    <t>Монтаж автоматической раздвижной двери автобусного типа (2 створки). Высота чистого проема 2300мм, ширина чистого прохода 1000мм.</t>
  </si>
  <si>
    <t>12.1.41</t>
  </si>
  <si>
    <t>Монтаж автоматической раздвижной двери автобусного типа (2 створки). Высота чистого проема 2300мм, ширина чистого прохода 1400мм.</t>
  </si>
  <si>
    <t>12.1.42</t>
  </si>
  <si>
    <t>Монтаж алюминиевой двери из профиля СПЛ-02</t>
  </si>
  <si>
    <t>12.1.43</t>
  </si>
  <si>
    <t>Монтаж полотна алюминиевой/пластиковой двери, состоящее из сэндвич-панели или окрашенного стального листа 0,7мм (размер 600х900мм)</t>
  </si>
  <si>
    <t>12.1.44</t>
  </si>
  <si>
    <t>Монтаж стеклоалюминиевой распашной двери (верх-стекло, низ-сэндвич, без порога, 3 петли)</t>
  </si>
  <si>
    <t>12.1.45</t>
  </si>
  <si>
    <t>Настройка параметров блока управления (без перезагрузки)</t>
  </si>
  <si>
    <t>12.1.46</t>
  </si>
  <si>
    <t>Настройка параметров блока управления (с перезагрузкой)</t>
  </si>
  <si>
    <t>12.1.47</t>
  </si>
  <si>
    <t>Окраска двери по RAL заказчика (кроме 9016) порошковым способом</t>
  </si>
  <si>
    <t>12.1.48</t>
  </si>
  <si>
    <t>Покраска нажимной гарнитуры в цвет полотна двери порошковым способом</t>
  </si>
  <si>
    <t>12.1.49</t>
  </si>
  <si>
    <t>Покраска ручки дуговой в цвет полотна двери порошковым способом</t>
  </si>
  <si>
    <t>12.1.50</t>
  </si>
  <si>
    <t>Протяжка дверного полотна алюминиевой двери</t>
  </si>
  <si>
    <t>12.1.51</t>
  </si>
  <si>
    <t>Прошивка блока управления</t>
  </si>
  <si>
    <t>12.1.52</t>
  </si>
  <si>
    <t>Разовое технической обслуживание автоматической двери (Удаление загрязнений с рабочих поверхностей, Протяжка крепежа конструкций и блоков привода, Регулировка натяжения ременной (цепной) передачи. Проверка функционирования блока аварийного открытия, Настройка параметров системы управления привода, Настройка датчиков движения, Проверка функционирования фотоэлементов, Контроль износа напольных направляющих, Регулировка положения подвижных створок, Проверка функционирования электромеханического замка)</t>
  </si>
  <si>
    <t>12.1.53</t>
  </si>
  <si>
    <t>Регулировка механической части привода</t>
  </si>
  <si>
    <t>12.1.54</t>
  </si>
  <si>
    <t>Ремонт замка во входной группе</t>
  </si>
  <si>
    <t>12.1.55</t>
  </si>
  <si>
    <t>Ремонт замка многозапорного</t>
  </si>
  <si>
    <t>12.1.56</t>
  </si>
  <si>
    <t>Ремонт петли 2-х картной ПВХ двери с регулировкой</t>
  </si>
  <si>
    <t>12.1.57</t>
  </si>
  <si>
    <t>Ремонт простой петли во входной группе</t>
  </si>
  <si>
    <t>12.1.58</t>
  </si>
  <si>
    <t>Ремонт ручки дуговой во входной группе</t>
  </si>
  <si>
    <t>12.1.59</t>
  </si>
  <si>
    <t>Ремонт шпингалета накладного во входной группе</t>
  </si>
  <si>
    <t>12.1.60</t>
  </si>
  <si>
    <t>Установка сбитой створки на несущий рельс</t>
  </si>
  <si>
    <t>12.1.61</t>
  </si>
  <si>
    <t>Устройство раздвижной металлической решетки в тамбуре главного входа</t>
  </si>
  <si>
    <t>12.1.62</t>
  </si>
  <si>
    <t>Замена крышки короба автоматических дверей</t>
  </si>
  <si>
    <t>12.1.63</t>
  </si>
  <si>
    <t>Ремонт электрокоммуникаций автоматических дверей</t>
  </si>
  <si>
    <t>12.1.64</t>
  </si>
  <si>
    <t>Замена короба дверей</t>
  </si>
  <si>
    <t>12.1.65</t>
  </si>
  <si>
    <t>Замена рельса</t>
  </si>
  <si>
    <t>12.1.66</t>
  </si>
  <si>
    <t>Регулировка кареток автоматических дверей</t>
  </si>
  <si>
    <t>12.1.67</t>
  </si>
  <si>
    <t>Регулировка створок автоматических дверей</t>
  </si>
  <si>
    <t>12.1.68</t>
  </si>
  <si>
    <t>Утилизация остекленнной ПВХ двери входной группы</t>
  </si>
  <si>
    <t>12.1.69</t>
  </si>
  <si>
    <t>Утилизация остекленной алюминиевой двери входной группы</t>
  </si>
  <si>
    <t>12.1.N1</t>
  </si>
  <si>
    <t>Демонтаж автоматической раздвижной двери (привод, створки, профили)</t>
  </si>
  <si>
    <t>12.1.N2</t>
  </si>
  <si>
    <t>Аварийный выезд: разблокировка/перевод автоматической двери в ручной режим</t>
  </si>
  <si>
    <t>12.1.N3</t>
  </si>
  <si>
    <t>Замена аккумуляторной батареи блока аварийного открывания</t>
  </si>
  <si>
    <t>12.1.N4</t>
  </si>
  <si>
    <t>Замена щёточного уплотнителя створки автоматической двери</t>
  </si>
  <si>
    <t>12.1.N5</t>
  </si>
  <si>
    <t>Замена энкодера привода автоматической двери</t>
  </si>
  <si>
    <t>12.1.N6</t>
  </si>
  <si>
    <t>Установка доводчика на алюминиевую дверь входной группы</t>
  </si>
  <si>
    <t>12.2.1</t>
  </si>
  <si>
    <t>Монтаж навесных панелей фасадов из герметичных стеклопакетов в пластиковой или алюминиевой обвязке</t>
  </si>
  <si>
    <t>12.2.2</t>
  </si>
  <si>
    <t>Монтаж оконных блоков: алюминиевых с нащельниками из алюминия</t>
  </si>
  <si>
    <t>12.2.3</t>
  </si>
  <si>
    <t>Монтаж оконных блоков: из алюминиевых многокамерных профилей с герметичными стеклопакетами</t>
  </si>
  <si>
    <t>12.2.4</t>
  </si>
  <si>
    <t>Монтаж оконных блоков: стальных с нащельниками из алюминиевых сплавов при высоте здания до 50 м</t>
  </si>
  <si>
    <t>12.2.5</t>
  </si>
  <si>
    <t>Монтаж оконных блоков: стальных с нащельниками из стали при высоте здания до 50 м</t>
  </si>
  <si>
    <t>12.2.6</t>
  </si>
  <si>
    <t>Нанесение атермальной пленки на стекла с подготовкой поверхности</t>
  </si>
  <si>
    <t>12.2.7</t>
  </si>
  <si>
    <t>Нанесение защитой пленки на стекла с подготовкой поверхности</t>
  </si>
  <si>
    <t>12.2.8</t>
  </si>
  <si>
    <t>Нанесение пленки матовой белой на стекла с подготовкой поверхности</t>
  </si>
  <si>
    <t>12.2.9</t>
  </si>
  <si>
    <t>Установка подоконной ДСП-доски, облицованной пластиком</t>
  </si>
  <si>
    <t>12.2.10</t>
  </si>
  <si>
    <t>Смена стекол толщиной 4-6 мм в металлических переплетах на штапиках по эластичной прокладке при площади стекол до 0,25 м2</t>
  </si>
  <si>
    <t>12.2.11</t>
  </si>
  <si>
    <t>Смена стекол толщиной 4-6 мм в металлических переплетах на штапиках по эластичной прокладке при площади стекол до 1.00 м2</t>
  </si>
  <si>
    <t>12.2.12</t>
  </si>
  <si>
    <t>Смена фурнитуры оконных блоков</t>
  </si>
  <si>
    <t>12.2.13</t>
  </si>
  <si>
    <t>Установка в жилых и общественных зданиях оконных блоков из ПВХ профилей: глухих с площадью проема более 2 м2</t>
  </si>
  <si>
    <t>12.2.14</t>
  </si>
  <si>
    <t>Установка в жилых и общественных зданиях оконных блоков из ПВХ профилей: глухих с площадью проема до 2 м2</t>
  </si>
  <si>
    <t>12.2.15</t>
  </si>
  <si>
    <t>Установка в жилых и общественных зданиях оконных блоков из ПВХ профилей: поворотных (откидных, поворотно-откидных) с площадью проема более 2 м2 двухстворчатых</t>
  </si>
  <si>
    <t>12.2.16</t>
  </si>
  <si>
    <t>Установка в жилых и общественных зданиях оконных блоков из ПВХ профилей: поворотных (откидных, поворотно-откидных) с площадью проема более 2 м2 одностворчатых</t>
  </si>
  <si>
    <t>12.2.17</t>
  </si>
  <si>
    <t>Установка в жилых и общественных зданиях оконных блоков из ПВХ профилей: поворотных (откидных, поворотно-откидных) с площадью проема более 2 м2 трехстворчатых, в том числе при наличии створок глухого остекления</t>
  </si>
  <si>
    <t>12.2.18</t>
  </si>
  <si>
    <t>Установка в жилых и общественных зданиях оконных блоков из ПВХ профилей: поворотных (откидных, поворотно-откидных) с площадью проема до 2 м2 двухстворчатых</t>
  </si>
  <si>
    <t>12.2.19</t>
  </si>
  <si>
    <t>Установка в жилых и общественных зданиях оконных блоков из ПВХ профилей: поворотных (откидных, поворотно-откидных) с площадью проема до 2 м2 одностворчатых</t>
  </si>
  <si>
    <t>12.2.20</t>
  </si>
  <si>
    <t>Установка подоконных досок из ПВХ: в каменных стенах толщиной до 0,51 м</t>
  </si>
  <si>
    <t>12.2.21</t>
  </si>
  <si>
    <t>Установка подоконных досок из ПВХ: в каменных стенах толщиной свыше 0,51 м</t>
  </si>
  <si>
    <t>12.2.22</t>
  </si>
  <si>
    <t>Установка подоконных досок из ПВХ: в панельных стенах</t>
  </si>
  <si>
    <t>12.2.23</t>
  </si>
  <si>
    <t>Установка противомоскитных сеток</t>
  </si>
  <si>
    <t>12.2.24</t>
  </si>
  <si>
    <t>Установка уголков ПВХ на клее</t>
  </si>
  <si>
    <t>12.2.25</t>
  </si>
  <si>
    <t>Устройство витринного остекления двойного</t>
  </si>
  <si>
    <t>12.2.26</t>
  </si>
  <si>
    <t>Устройство витринного остекления одинарного</t>
  </si>
  <si>
    <t>12.2.N1</t>
  </si>
  <si>
    <t>Демонтаж оконного блока (ПВХ/алюминий) с подоконником и отливом</t>
  </si>
  <si>
    <t>12.2.N2</t>
  </si>
  <si>
    <t>Регулировка фурнитуры створки окна/двери ПВХ</t>
  </si>
  <si>
    <t>12.2.N3</t>
  </si>
  <si>
    <t>Замена уплотнителя окна/двери ПВХ</t>
  </si>
  <si>
    <t>12.2.N4</t>
  </si>
  <si>
    <t>Замена стеклопакета в ПВХ/алюминиевой раме</t>
  </si>
  <si>
    <t>12.2.N5</t>
  </si>
  <si>
    <t>Устройство откосов из ПВХ сэндвич-панелей</t>
  </si>
  <si>
    <t>12.2.N6</t>
  </si>
  <si>
    <t>Установка оконного отлива</t>
  </si>
  <si>
    <t>12.2.N7</t>
  </si>
  <si>
    <t>Снятие старой плёнки со стекла с очисткой</t>
  </si>
  <si>
    <t>12.3.1</t>
  </si>
  <si>
    <t>Покраска дверной петли</t>
  </si>
  <si>
    <t>12.3.2</t>
  </si>
  <si>
    <t>Регулировка ранее установленного доводчика двери</t>
  </si>
  <si>
    <t>12.3.3</t>
  </si>
  <si>
    <t>Ремонт петли металлической двери без сварочных работ</t>
  </si>
  <si>
    <t>12.3.4</t>
  </si>
  <si>
    <t>Ремонт петли металлической двери с применением сварки</t>
  </si>
  <si>
    <t>12.3.5</t>
  </si>
  <si>
    <t>Ремонт шпингалета встроенного</t>
  </si>
  <si>
    <t>12.3.6</t>
  </si>
  <si>
    <t>Ремонт шпингалета накладного</t>
  </si>
  <si>
    <t>12.3.7</t>
  </si>
  <si>
    <t>Смена окошек в металлических дверях</t>
  </si>
  <si>
    <t>12.3.8</t>
  </si>
  <si>
    <t>Смена/установка вертикальных запоров для с-мы Антипаника</t>
  </si>
  <si>
    <t>12.3.9</t>
  </si>
  <si>
    <t>Смена/установка глазка дверного</t>
  </si>
  <si>
    <t>12.3.10</t>
  </si>
  <si>
    <t>Смена/установка замка многозапорного (в комплекте с личинкой)</t>
  </si>
  <si>
    <t>12.3.11</t>
  </si>
  <si>
    <t>Смена/установка замка однозапорного (в комплекте с личинкой)</t>
  </si>
  <si>
    <t>12.3.12</t>
  </si>
  <si>
    <t>Смена/установка нажимной гарнитуры для с-мы Антипаника</t>
  </si>
  <si>
    <t>12.3.13</t>
  </si>
  <si>
    <t>Смена/установка ограничителя открывания двери</t>
  </si>
  <si>
    <t>12.3.14</t>
  </si>
  <si>
    <t>Смена/установка перекладины для с-мы Антипаника</t>
  </si>
  <si>
    <t>12.3.15</t>
  </si>
  <si>
    <t>Смена/установка петли на металлическую дверь</t>
  </si>
  <si>
    <t>12.3.16</t>
  </si>
  <si>
    <t>Смена/установка ручки дуговой</t>
  </si>
  <si>
    <t>12.3.17</t>
  </si>
  <si>
    <t>Смена/установка ручки наружной для системы антипаника с профильным цилиндром (ключом)</t>
  </si>
  <si>
    <t>12.3.18</t>
  </si>
  <si>
    <t>Смена/установка ручки скобы</t>
  </si>
  <si>
    <t>12.3.19</t>
  </si>
  <si>
    <t>Смена/установка цилиндрового механизма с вертушкой</t>
  </si>
  <si>
    <t>12.3.20</t>
  </si>
  <si>
    <t>Смена/установка шпангалета встроенного</t>
  </si>
  <si>
    <t>12.3.21</t>
  </si>
  <si>
    <t>Смена/установка шпангалета накладного</t>
  </si>
  <si>
    <t>12.3.22</t>
  </si>
  <si>
    <t>Установка доводчика (верхний способ монтажа)</t>
  </si>
  <si>
    <t>12.3.23</t>
  </si>
  <si>
    <t>Установка доводчика (напольный способ монтажа)</t>
  </si>
  <si>
    <t>12.3.24</t>
  </si>
  <si>
    <t>Установка металлической противопожарной маятниковой двери</t>
  </si>
  <si>
    <t>12.3.25</t>
  </si>
  <si>
    <t>Установка на анкера противопожарных дверей: двупольных</t>
  </si>
  <si>
    <t>12.3.26</t>
  </si>
  <si>
    <t>Установка на анкера противопожарных дверей: однопольных</t>
  </si>
  <si>
    <t>12.3.27</t>
  </si>
  <si>
    <t>Установка пластиковой противопожарной маятниковой двери</t>
  </si>
  <si>
    <t>12.3.28</t>
  </si>
  <si>
    <t>Установка противопожарных дверей: двупольных глухих (на сварке) с установкой фурнитруы и доводчика</t>
  </si>
  <si>
    <t>12.3.29</t>
  </si>
  <si>
    <t>Установка противопожарных дверей: двупольных остекленных (на сварке) с установкой фурнитруы и доводчика</t>
  </si>
  <si>
    <t>12.3.30</t>
  </si>
  <si>
    <t>Установка противопожарных дверей: однопольных глухих (на сварке) с установкой фурнитруы и доводчика</t>
  </si>
  <si>
    <t>12.3.31</t>
  </si>
  <si>
    <t>Установка противопожарных дверей: однопольных остекленных (на сварке) с установкой фурнитруы и доводчика</t>
  </si>
  <si>
    <t>12.3.N1</t>
  </si>
  <si>
    <t>Демонтаж металлической двери с коробкой</t>
  </si>
  <si>
    <t>12.3.N2</t>
  </si>
  <si>
    <t>Замена уплотнителя притвора металлической/противопожарной двери</t>
  </si>
  <si>
    <t>12.3.N3</t>
  </si>
  <si>
    <t>Установка металлической технической двери однопольной на анкера (до 2,2 м2)</t>
  </si>
  <si>
    <t>12.3.N4</t>
  </si>
  <si>
    <t>Установка электромагнитного удерживателя противопожарной двери (без кабеля)</t>
  </si>
  <si>
    <t>12.3.N5</t>
  </si>
  <si>
    <t>Установка электромагнитного замка СКУД на дверь (без кабеля)</t>
  </si>
  <si>
    <t>12.3.N6</t>
  </si>
  <si>
    <t>Заделка монтажного зазора противопожарной двери огнестойкой пеной/раствором</t>
  </si>
  <si>
    <t>12.3.N7</t>
  </si>
  <si>
    <t>Регулировка металлической двери (петли, притвор, замок)</t>
  </si>
  <si>
    <t>12.4.1</t>
  </si>
  <si>
    <t>12.4.2</t>
  </si>
  <si>
    <t>Ремонт облицовки ворот</t>
  </si>
  <si>
    <t>12.4.3</t>
  </si>
  <si>
    <t>Установка задвижки-упора</t>
  </si>
  <si>
    <t>12.4.4</t>
  </si>
  <si>
    <t>Установка каркаса металлических распашных ворот из профильной трубы</t>
  </si>
  <si>
    <t>12.4.5</t>
  </si>
  <si>
    <t>Установка металлических распашных ворот с фурнитурой</t>
  </si>
  <si>
    <t>12.4.6</t>
  </si>
  <si>
    <t>Установка навесных замков с проушинами (комплект)</t>
  </si>
  <si>
    <t>12.4.7</t>
  </si>
  <si>
    <t>Установка накладной задвижки</t>
  </si>
  <si>
    <t>12.4.8</t>
  </si>
  <si>
    <t>Установка петель на болтовом соединении</t>
  </si>
  <si>
    <t>12.4.9</t>
  </si>
  <si>
    <t>Установка петель на сварке</t>
  </si>
  <si>
    <t>12.4.10</t>
  </si>
  <si>
    <t>Установка сигнальной лампы на ворота</t>
  </si>
  <si>
    <t>12.4.N1</t>
  </si>
  <si>
    <t>Демонтаж распашных металлических ворот</t>
  </si>
  <si>
    <t>12.4.N2</t>
  </si>
  <si>
    <t>Окраска металлоконструкций ворот эмалью за 2 раза с подготовкой</t>
  </si>
  <si>
    <t>12.5.1</t>
  </si>
  <si>
    <t>Изготовление пружины 50-67мм для секционных ворот на объекте (пружина в сборе с окончанием)</t>
  </si>
  <si>
    <t>12.5.2</t>
  </si>
  <si>
    <t>Изготовление пружины 95-152мм для секционных ворот на объекте (пружина в сборе с окончанием)</t>
  </si>
  <si>
    <t>12.5.3</t>
  </si>
  <si>
    <t>Настройка автоматики ворот</t>
  </si>
  <si>
    <t>12.5.4</t>
  </si>
  <si>
    <t>Натяжка пружинно-инерционного механизма рулонных ворот</t>
  </si>
  <si>
    <t>12.5.5</t>
  </si>
  <si>
    <t>Подрезка секционной панели на объекте</t>
  </si>
  <si>
    <t>12.5.6</t>
  </si>
  <si>
    <t>Подтяжка пружины ворот 152мм</t>
  </si>
  <si>
    <t>12.5.7</t>
  </si>
  <si>
    <t>Подтяжка пружины ворот 50-67мм</t>
  </si>
  <si>
    <t>12.5.8</t>
  </si>
  <si>
    <t>Подтяжка пружины ворот 95мм</t>
  </si>
  <si>
    <t>12.5.9</t>
  </si>
  <si>
    <t>Прослабление пружины ворот 152мм</t>
  </si>
  <si>
    <t>12.5.10</t>
  </si>
  <si>
    <t>Прослабление пружины ворот 50-67мм</t>
  </si>
  <si>
    <t>12.5.11</t>
  </si>
  <si>
    <t>Прослабление пружины ворот 95мм</t>
  </si>
  <si>
    <t>12.5.12</t>
  </si>
  <si>
    <t>Регулировка ворот по уровню</t>
  </si>
  <si>
    <t>12.5.13</t>
  </si>
  <si>
    <t>Смазка трущихся элементов рулонных и секционных ворот (с учетом смазки)</t>
  </si>
  <si>
    <t>12.5.14</t>
  </si>
  <si>
    <t>Установка торсионной пружины 50-67 мм</t>
  </si>
  <si>
    <t>12.5.15</t>
  </si>
  <si>
    <t>Установка торсионной пружины 95-152 мм</t>
  </si>
  <si>
    <t>12.5.16</t>
  </si>
  <si>
    <t>Установка шпильки барабана ворот</t>
  </si>
  <si>
    <t>12.5.17</t>
  </si>
  <si>
    <t>Установка алюминиевого верхнего профиля</t>
  </si>
  <si>
    <t>12.5.18</t>
  </si>
  <si>
    <t>Установка алюминиевого нижнего профиля</t>
  </si>
  <si>
    <t>12.5.19</t>
  </si>
  <si>
    <t>Установка алюминиевого обрамления калитки</t>
  </si>
  <si>
    <t>12.5.20</t>
  </si>
  <si>
    <t>Установка барабана ворот</t>
  </si>
  <si>
    <t>12.5.21</t>
  </si>
  <si>
    <t>Установка бокового замка части полотна рулонных ворот</t>
  </si>
  <si>
    <t>12.5.22</t>
  </si>
  <si>
    <t>Установка бокового уплотнителя направляющей рулонных ворот</t>
  </si>
  <si>
    <t>12.5.23</t>
  </si>
  <si>
    <t>Установка боковой крышки 137,150,165 короба рулонных ворот</t>
  </si>
  <si>
    <t>12.5.24</t>
  </si>
  <si>
    <t>Установка боковой крышки 180,205,250 короба рулонных ворот</t>
  </si>
  <si>
    <t>12.5.25</t>
  </si>
  <si>
    <t>Установка боковой крышки 300,375 короба рулонных ворот</t>
  </si>
  <si>
    <t>12.5.26</t>
  </si>
  <si>
    <t>Установка боковой крышки панели рулонных ворот</t>
  </si>
  <si>
    <t>12.5.27</t>
  </si>
  <si>
    <t>Установка боковой опоры с роликодержателем рулонных ворот</t>
  </si>
  <si>
    <t>12.5.28</t>
  </si>
  <si>
    <t>Установка вала полнотелого с пазом под шпонку рулонных ворот</t>
  </si>
  <si>
    <t>12.5.29</t>
  </si>
  <si>
    <t>Установка вала пустотелого с пазом под шпонку рулонных ворот</t>
  </si>
  <si>
    <t>12.5.30</t>
  </si>
  <si>
    <t>Установка вала рулонных ворот</t>
  </si>
  <si>
    <t>12.5.31</t>
  </si>
  <si>
    <t>Установка вертикальной направляющей стойки, вертикальный подъем</t>
  </si>
  <si>
    <t>12.5.32</t>
  </si>
  <si>
    <t>Установка вертикальной направляющей стойки, стандартный подъем</t>
  </si>
  <si>
    <t>12.5.33</t>
  </si>
  <si>
    <t>Установка верхнего и нижнего резинового уплотнителя ворот</t>
  </si>
  <si>
    <t>12.5.34</t>
  </si>
  <si>
    <t>Установка внешнего бокового уплотнителя секционных ворот</t>
  </si>
  <si>
    <t>12.5.35</t>
  </si>
  <si>
    <t>Установка внешнего верхнего уплотнителя секционных ворот</t>
  </si>
  <si>
    <t>12.5.36</t>
  </si>
  <si>
    <t>Установка ворот секционных и рулонных</t>
  </si>
  <si>
    <t>12.5.37</t>
  </si>
  <si>
    <t>Установка врезного замка калитки ворот, дверей, секционных ворот</t>
  </si>
  <si>
    <t>12.5.38</t>
  </si>
  <si>
    <t>Установка вставки для пружины</t>
  </si>
  <si>
    <t>12.5.39</t>
  </si>
  <si>
    <t>Установка втулки распорной для ролика/роликодержателя</t>
  </si>
  <si>
    <t>12.5.40</t>
  </si>
  <si>
    <t>Установка горизонтальной направляющей ворот</t>
  </si>
  <si>
    <t>12.5.41</t>
  </si>
  <si>
    <t>Установка датчика сигнализации ворот</t>
  </si>
  <si>
    <t>12.5.42</t>
  </si>
  <si>
    <t>Установка жалюзи ворот</t>
  </si>
  <si>
    <t>12.5.43</t>
  </si>
  <si>
    <t>Установка задвижки секционных и рулонных ворот</t>
  </si>
  <si>
    <t>12.5.44</t>
  </si>
  <si>
    <t>Установка замка одностороннего ворот</t>
  </si>
  <si>
    <t>12.5.45</t>
  </si>
  <si>
    <t>Установка защиты вертикальной направляющей стойки</t>
  </si>
  <si>
    <t>12.5.46</t>
  </si>
  <si>
    <t>Установка изгиба направляющей стойки</t>
  </si>
  <si>
    <t>12.5.47</t>
  </si>
  <si>
    <t>Установка калитки ворот</t>
  </si>
  <si>
    <t>12.5.48</t>
  </si>
  <si>
    <t>Установка капсулы для вала</t>
  </si>
  <si>
    <t>12.5.49</t>
  </si>
  <si>
    <t>Установка кардана ворот</t>
  </si>
  <si>
    <t>12.5.50</t>
  </si>
  <si>
    <t>Установка каретки подвижной рулонных ворот</t>
  </si>
  <si>
    <t>12.5.51</t>
  </si>
  <si>
    <t>Установка консоли крепления вала рулонных ворот</t>
  </si>
  <si>
    <t>12.5.52</t>
  </si>
  <si>
    <t>Установка концевого опорного кронштейна вала рулонных ворот</t>
  </si>
  <si>
    <t>12.5.53</t>
  </si>
  <si>
    <t>Установка кронштейна для крепления навального привода</t>
  </si>
  <si>
    <t>12.5.54</t>
  </si>
  <si>
    <t>Установка кронштейна для поддержки пружины</t>
  </si>
  <si>
    <t>12.5.55</t>
  </si>
  <si>
    <t>Установка кронштейна каретки подвижной рулонных ворот</t>
  </si>
  <si>
    <t>12.5.56</t>
  </si>
  <si>
    <t>Установка механической части ручного управления рулонных ворот</t>
  </si>
  <si>
    <t>12.5.57</t>
  </si>
  <si>
    <t>Установка направляющего ролика рулонных ворот</t>
  </si>
  <si>
    <t>12.5.58</t>
  </si>
  <si>
    <t>Установка направляющей профиля рулонных ворот</t>
  </si>
  <si>
    <t>12.5.59</t>
  </si>
  <si>
    <t>Установка натяжного ролика цепи цепного редуктора рулонных ворот</t>
  </si>
  <si>
    <t>12.5.60</t>
  </si>
  <si>
    <t>Установка нижнего углового кронштейна</t>
  </si>
  <si>
    <t>12.5.61</t>
  </si>
  <si>
    <t>Установка окончаний пружин ворот</t>
  </si>
  <si>
    <t>12.5.62</t>
  </si>
  <si>
    <t>Установка Омега профиля от прогибания панели</t>
  </si>
  <si>
    <t>12.5.63</t>
  </si>
  <si>
    <t>Установка панели калитки ворот</t>
  </si>
  <si>
    <t>12.5.64</t>
  </si>
  <si>
    <t>Установка панели металлического ограждения из металлического профиля (без стоек)</t>
  </si>
  <si>
    <t>12.5.65</t>
  </si>
  <si>
    <t>Установка панели секционных ворот</t>
  </si>
  <si>
    <t>12.5.66</t>
  </si>
  <si>
    <t>Установка петли калитки ворот</t>
  </si>
  <si>
    <t>12.5.67</t>
  </si>
  <si>
    <t>Установка пластиковой направляющей полотна рулонных ворот</t>
  </si>
  <si>
    <t>12.5.68</t>
  </si>
  <si>
    <t>Установка подшипника ворот</t>
  </si>
  <si>
    <t>12.5.69</t>
  </si>
  <si>
    <t>Установка подшипника опорного кронштейна для вала рулонных ворот</t>
  </si>
  <si>
    <t>12.5.70</t>
  </si>
  <si>
    <t>Установка порога калитки ворот</t>
  </si>
  <si>
    <t>12.5.71</t>
  </si>
  <si>
    <t>Установка привода секционных/рулонных ворот</t>
  </si>
  <si>
    <t>12.5.72</t>
  </si>
  <si>
    <t>Установка промежуточного кронштейна для вала рулонных ворот</t>
  </si>
  <si>
    <t>12.5.73</t>
  </si>
  <si>
    <t>Установка промежуточной петли секционных ворот</t>
  </si>
  <si>
    <t>12.5.74</t>
  </si>
  <si>
    <t>Установка пружинно-инерционного механизма ворот</t>
  </si>
  <si>
    <t>12.5.75</t>
  </si>
  <si>
    <t>Установка раздвижной решётки</t>
  </si>
  <si>
    <t>12.5.76</t>
  </si>
  <si>
    <t>Установка редуктора ворот</t>
  </si>
  <si>
    <t>12.5.77</t>
  </si>
  <si>
    <t>Установка ригельного замка и запорной полосы ворот</t>
  </si>
  <si>
    <t>12.5.78</t>
  </si>
  <si>
    <t>Установка ригеля блокирующего и тяговой пружины ворот</t>
  </si>
  <si>
    <t>12.5.79</t>
  </si>
  <si>
    <t>Установка ролика ворот</t>
  </si>
  <si>
    <t>12.5.80</t>
  </si>
  <si>
    <t>Установка рольставней</t>
  </si>
  <si>
    <t>12.5.81</t>
  </si>
  <si>
    <t>Установка ручки для поднятия полотна ворот</t>
  </si>
  <si>
    <t>12.5.82</t>
  </si>
  <si>
    <t>Установка ручки на двери калитки секционных ворот</t>
  </si>
  <si>
    <t>12.5.83</t>
  </si>
  <si>
    <t>Установка ручки ПВХ-ворот</t>
  </si>
  <si>
    <t>12.5.84</t>
  </si>
  <si>
    <t>Установка ручного цепного редуктора ворот</t>
  </si>
  <si>
    <t>12.5.85</t>
  </si>
  <si>
    <t>Установка соединительной муфты вала ворот</t>
  </si>
  <si>
    <t>12.5.86</t>
  </si>
  <si>
    <t>Установка стоек металлического ограждения из металлического профиля</t>
  </si>
  <si>
    <t>12.5.87</t>
  </si>
  <si>
    <t>Установка стопора полотна рулонных ворот</t>
  </si>
  <si>
    <t>12.5.88</t>
  </si>
  <si>
    <t>Установка суппорта с подшипником ворот</t>
  </si>
  <si>
    <t>12.5.89</t>
  </si>
  <si>
    <t>Установка троса ворот с коушем и втулкой</t>
  </si>
  <si>
    <t>12.5.90</t>
  </si>
  <si>
    <t>Установка укосины для фиксации горизонтальной направляющей ворот</t>
  </si>
  <si>
    <t>12.5.91</t>
  </si>
  <si>
    <t>Установка уплотнителя концевого профиля рулонных ворот</t>
  </si>
  <si>
    <t>12.5.92</t>
  </si>
  <si>
    <t>Установка уплотнителя направляющего профиля рулонных ворот</t>
  </si>
  <si>
    <t>12.5.93</t>
  </si>
  <si>
    <t>Установка устройства от обрыва пружины ворот</t>
  </si>
  <si>
    <t>12.5.94</t>
  </si>
  <si>
    <t>Установка устройства от обрыва троса ворот</t>
  </si>
  <si>
    <t>12.5.95</t>
  </si>
  <si>
    <t>Установка части полотна рулонных ворот до 6 кв.м</t>
  </si>
  <si>
    <t>12.5.96</t>
  </si>
  <si>
    <t>Установка части полотна рулонных ворот от 12 кв.м до 16 кв.м</t>
  </si>
  <si>
    <t>12.5.97</t>
  </si>
  <si>
    <t>Установка части полотна рулонных ворот от 16 кв.м до 20 кв.м</t>
  </si>
  <si>
    <t>12.5.98</t>
  </si>
  <si>
    <t>Установка части полотна рулонных ворот от 6 кв.м до 12 кв.м</t>
  </si>
  <si>
    <t>12.5.99</t>
  </si>
  <si>
    <t>Установка части полотна рулонных ворот свыше 20 кв.м</t>
  </si>
  <si>
    <t>12.5.100</t>
  </si>
  <si>
    <t>Установка шины скользящей для доводчика</t>
  </si>
  <si>
    <t>12.5.101</t>
  </si>
  <si>
    <t>Замена роликового бокового кронштейна</t>
  </si>
  <si>
    <t>12.5.102</t>
  </si>
  <si>
    <t>Установка электромеханической части управления рулонных ворот</t>
  </si>
  <si>
    <t>12.5.103</t>
  </si>
  <si>
    <t>12.5.104</t>
  </si>
  <si>
    <t>Замена 1 шт. зиппера скоростных ворот DYNACO среднетемпературного и низкотемпературного исполнения.</t>
  </si>
  <si>
    <t>12.5.105</t>
  </si>
  <si>
    <t>Монтаж полотна скоростных ворот DYNACO низкотемпературного исполнения размером 3,0*5,0 м</t>
  </si>
  <si>
    <t>12.5.N1</t>
  </si>
  <si>
    <t>Регламентное ТО промышленных секционных ворот с приводом</t>
  </si>
  <si>
    <t>12.5.N2</t>
  </si>
  <si>
    <t>Регламентное ТО рулонных ворот / рольставни</t>
  </si>
  <si>
    <t>12.5.N3</t>
  </si>
  <si>
    <t>Демонтаж секционных ворот</t>
  </si>
  <si>
    <t>12.5.N4</t>
  </si>
  <si>
    <t>Замена фотоэлементов безопасности ворот (пара)</t>
  </si>
  <si>
    <t>12.5.N5</t>
  </si>
  <si>
    <t>Замена блока управления привода ворот с программированием</t>
  </si>
  <si>
    <t>12.5.N6</t>
  </si>
  <si>
    <t>Выезд и диагностика ворот (аварийная заявка)</t>
  </si>
  <si>
    <t>12.5.N7</t>
  </si>
  <si>
    <t>Рихтовка панели секционных ворот на месте</t>
  </si>
  <si>
    <t>12.5.N8</t>
  </si>
  <si>
    <t>Замена/настройка концевых выключателей привода</t>
  </si>
  <si>
    <t>12.5.N9</t>
  </si>
  <si>
    <t>Монтаж скоростных рулонных ПВХ-ворот до 12 м2</t>
  </si>
  <si>
    <t>12.5.N10</t>
  </si>
  <si>
    <t>Замена кнопочного поста / радиоприёмника привода ворот</t>
  </si>
  <si>
    <t>12.6.1</t>
  </si>
  <si>
    <t>Установка гребенки полосовых завес</t>
  </si>
  <si>
    <t>12.6.2</t>
  </si>
  <si>
    <t>Установка болта для центровки пленочных и ПВХ ворот</t>
  </si>
  <si>
    <t>12.6.3</t>
  </si>
  <si>
    <t>Установка верхней опоры створки пленочных и ПВХ ворот</t>
  </si>
  <si>
    <t>12.6.4</t>
  </si>
  <si>
    <t>Установка нижней опоры створки пленочных и ПВХ ворот</t>
  </si>
  <si>
    <t>12.6.5</t>
  </si>
  <si>
    <t>Установка одной полосы пленочных завес</t>
  </si>
  <si>
    <t>12.6.6</t>
  </si>
  <si>
    <t>Установка пластины полосовой завесы</t>
  </si>
  <si>
    <t>12.6.7</t>
  </si>
  <si>
    <t>Установка пленочных и ПВХ распашных ворот одна створка</t>
  </si>
  <si>
    <t>12.6.8</t>
  </si>
  <si>
    <t>Установка полотна пленочных и пластиковых ворот 1 створка</t>
  </si>
  <si>
    <t>12.6.9</t>
  </si>
  <si>
    <t>Установка пружинно-возвратого механизма пленочных и ПВХ ворот</t>
  </si>
  <si>
    <t>12.6.10</t>
  </si>
  <si>
    <t>Установка пружины пружинно-возвратного механизма пленочных и ПВХ ворот</t>
  </si>
  <si>
    <t>12.6.11</t>
  </si>
  <si>
    <t>Установка смотрового окна пленочных и ПВХ-ворот</t>
  </si>
  <si>
    <t>12.6.12</t>
  </si>
  <si>
    <t>Установка фиксирующей гайки нижней опоры пленочных и ПВХ ворот</t>
  </si>
  <si>
    <t>12.6.13</t>
  </si>
  <si>
    <t>Натяжка пружины пленочных и ПВХ ворот</t>
  </si>
  <si>
    <t>12.6.14</t>
  </si>
  <si>
    <t>Регулировка по уровню створки пленочных и пластиковых ворот</t>
  </si>
  <si>
    <t>12.6.15</t>
  </si>
  <si>
    <t>Ремонт полотна створки пленочных ворот</t>
  </si>
  <si>
    <t>12.6.16</t>
  </si>
  <si>
    <t>Смазка трущихся элементов пленочных и ПВХ ворот (с учетом смазки)</t>
  </si>
  <si>
    <t>12.6.17</t>
  </si>
  <si>
    <t>Укорачивание полотна 1 створки пленочных и ПВХ ворот</t>
  </si>
  <si>
    <t>12.6.18</t>
  </si>
  <si>
    <t>Установка фиксатора пружинно-возвратного механизма пленочных ворот</t>
  </si>
  <si>
    <t>12.6.19</t>
  </si>
  <si>
    <t>Установка пружинно-возвратного механизма ПВХ ворот</t>
  </si>
  <si>
    <t>12.6.20</t>
  </si>
  <si>
    <t>Установка шарика нижней опоры пленочных ворот</t>
  </si>
  <si>
    <t>12.6.21</t>
  </si>
  <si>
    <t>Установка шарика нижней опоры ПВХ ворот</t>
  </si>
  <si>
    <t>12.6.22</t>
  </si>
  <si>
    <t>Установка пружинно-возвратного механизма пленочных ворот</t>
  </si>
  <si>
    <t>12.6.N1</t>
  </si>
  <si>
    <t>Монтаж полосовой ПВХ-завесы на проём</t>
  </si>
  <si>
    <t>12.6.N2</t>
  </si>
  <si>
    <t>Демонтаж полосовой ПВХ-завесы</t>
  </si>
  <si>
    <t>12.7.1</t>
  </si>
  <si>
    <t>Замена замка межкомнатной двери</t>
  </si>
  <si>
    <t>12.7.2</t>
  </si>
  <si>
    <t>Замена замка шкафчиков сотрудников</t>
  </si>
  <si>
    <t>12.7.3</t>
  </si>
  <si>
    <t>Замена личинки замка</t>
  </si>
  <si>
    <t>12.7.4</t>
  </si>
  <si>
    <t>Замена петли межкомнатной двери</t>
  </si>
  <si>
    <t>12.7.5</t>
  </si>
  <si>
    <t>Замена ручки межкомнатной двери</t>
  </si>
  <si>
    <t>12.7.6</t>
  </si>
  <si>
    <t>Ремонт дверной ручки межкомнатной двери</t>
  </si>
  <si>
    <t>12.7.7</t>
  </si>
  <si>
    <t>Ремонт замка однозапорного межкомнатной двери</t>
  </si>
  <si>
    <t>12.7.8</t>
  </si>
  <si>
    <t>Установка дверных блоков из ПВХ с фурнитурой в наружных и внутренних дверных проемах: в каменных стенах площадью проема более 3 м2</t>
  </si>
  <si>
    <t>12.7.9</t>
  </si>
  <si>
    <t>Установка дверных блоков из ПВХ с фурнитурой в наружных и внутренних дверных проемах: в каменных стенах площадью проема до 3 м2</t>
  </si>
  <si>
    <t>12.7.10</t>
  </si>
  <si>
    <t>Установка дверных блоков из ПВХ с фурнитурой в наружных и внутренних дверных проемах: в перегородках ГКЛ площадью проема до 3 м2</t>
  </si>
  <si>
    <t>12.7.11</t>
  </si>
  <si>
    <t>Установка дверных блоков из ПВХ с фурнитурой в наружных и внутренних дверных проемах: в перегородках ГКЛ площадью проема более 3 м2</t>
  </si>
  <si>
    <t>12.7.12</t>
  </si>
  <si>
    <t>Установка деревянных дверных блоков с фурнитурой в наружных и внутренних дверных проемах: в каменных стенах, площадь проема более 3 м2</t>
  </si>
  <si>
    <t>12.7.13</t>
  </si>
  <si>
    <t>Установка деревянных дверных блоков с фурнитурой в наружных и внутренних дверных проемах: в каменных стенах, площадь проема до 3 м2</t>
  </si>
  <si>
    <t>12.7.14</t>
  </si>
  <si>
    <t>Установка деревянных дверных блоков с фурнитурой в наружных и внутренних дверных проемах: в перегородках из ГКЛ, площадь проема более 3 м2</t>
  </si>
  <si>
    <t>12.7.15</t>
  </si>
  <si>
    <t>Установка деревянных дверных блоков с фурнитурой в наружных и внутренних дверных проемах: в перегородках из ГКЛ, площадь проема до 3 м2</t>
  </si>
  <si>
    <t>12.7.16</t>
  </si>
  <si>
    <t>Установка и крепление наличников</t>
  </si>
  <si>
    <t>12.7.17</t>
  </si>
  <si>
    <t>Установка рейки-добора</t>
  </si>
  <si>
    <t>12.7.18</t>
  </si>
  <si>
    <t>Установка: в готовые гнезда врезных дверных замков с ручками</t>
  </si>
  <si>
    <t>12.7.19</t>
  </si>
  <si>
    <t>Установка: вертикальных задвижек</t>
  </si>
  <si>
    <t>12.7.20</t>
  </si>
  <si>
    <t>Установка: дверного доводчика</t>
  </si>
  <si>
    <t>12.7.N1</t>
  </si>
  <si>
    <t>Демонтаж межкомнатного дверного блока с наличниками</t>
  </si>
  <si>
    <t>12.7.N2</t>
  </si>
  <si>
    <t>Регулировка межкомнатной двери (петли, притвор)</t>
  </si>
  <si>
    <t>12.7.N3</t>
  </si>
  <si>
    <t>Установка межкомнатного дверного блока до 900 мм под ключ (коробка, петли, замок, наличники)</t>
  </si>
  <si>
    <t>12.7.N4</t>
  </si>
  <si>
    <t>Установка дверного порога</t>
  </si>
  <si>
    <t>12.7.N5</t>
  </si>
  <si>
    <t>Установка дверного упора/отбойника</t>
  </si>
  <si>
    <t>16.1.1</t>
  </si>
  <si>
    <t>Срочный выезд на объект, в пределах МКАД в течении 4-х часов для ремонта ГПО</t>
  </si>
  <si>
    <t>16.1.2</t>
  </si>
  <si>
    <t>Срочный выезд на объект, за пределами МКАД в течении 4-х часов для ремонта ГПО</t>
  </si>
  <si>
    <t>16.1.3</t>
  </si>
  <si>
    <t>Выезд на объект, в пределах МКАД для ремонта ГПО</t>
  </si>
  <si>
    <t>16.1.4</t>
  </si>
  <si>
    <t>Выезд на объект, за пределами МКАД за каждый км для ремонта ГПО</t>
  </si>
  <si>
    <t>16.1.5</t>
  </si>
  <si>
    <t>Фиксация грузовой платформы для очистки приямков</t>
  </si>
  <si>
    <t>16.1.6</t>
  </si>
  <si>
    <t>Очистка от грязи, мусора, сточных жидкостей приямка грузового подъемника</t>
  </si>
  <si>
    <t>16.1.7</t>
  </si>
  <si>
    <t>Дезинфекция стен, пола шахты грузового подъемника (с учетом расхоюдных материалов)</t>
  </si>
  <si>
    <t>16.1.8</t>
  </si>
  <si>
    <t>Откачка сточной жидкости из приямка грузового подъемника фекальным насосом</t>
  </si>
  <si>
    <t>16.1.9</t>
  </si>
  <si>
    <t>Проверка работоспособности оборудования/выявление неисправности, инструктаж сотрудников заказчика (одна единица оборудования) подъемного оборудования</t>
  </si>
  <si>
    <t>16.1.10</t>
  </si>
  <si>
    <t>Изготовление и Установка стенда/плаката об информационной безопасности оборудования, включая стоимость материалов</t>
  </si>
  <si>
    <t>16.1.11</t>
  </si>
  <si>
    <t>Регулировка реле контроля напряжения</t>
  </si>
  <si>
    <t>16.1.12</t>
  </si>
  <si>
    <t>Сброс ошибок, настройка параметров щита управления</t>
  </si>
  <si>
    <t>16.1.13</t>
  </si>
  <si>
    <t>Протяжка электрических соединений щита управления</t>
  </si>
  <si>
    <t>16.1.14</t>
  </si>
  <si>
    <t>Замена электромагнитного контактора</t>
  </si>
  <si>
    <t>16.1.15</t>
  </si>
  <si>
    <t>Замена реле контроля напряжения</t>
  </si>
  <si>
    <t>16.1.16</t>
  </si>
  <si>
    <t>Замена блока питания</t>
  </si>
  <si>
    <t>16.1.17</t>
  </si>
  <si>
    <t>Замена автомата защитного отключения</t>
  </si>
  <si>
    <t>16.1.18</t>
  </si>
  <si>
    <t>Замена промежуточного реле</t>
  </si>
  <si>
    <t>16.1.19</t>
  </si>
  <si>
    <t>Замена кнопочного выключателя/включателя</t>
  </si>
  <si>
    <t>16.1.20</t>
  </si>
  <si>
    <t>Установка кнопочного выключателя/включателя</t>
  </si>
  <si>
    <t>16.1.21</t>
  </si>
  <si>
    <t>Замена кулачкового выключателя/включателя</t>
  </si>
  <si>
    <t>16.1.22</t>
  </si>
  <si>
    <t>Ремонт обрыва многожильного кабеля цепи управления ,включая изоляционные материалы,клемники</t>
  </si>
  <si>
    <t>16.1.23</t>
  </si>
  <si>
    <t>Ремонт обрыва многожильного кабеля цепи безопасности ,включая изоляционные материалы,клемники</t>
  </si>
  <si>
    <t>16.1.24</t>
  </si>
  <si>
    <t>Ремонт обрыва многожильного кабеля цепи трехфазного питания, включая изоляционные материалы,клемники</t>
  </si>
  <si>
    <t>16.1.25</t>
  </si>
  <si>
    <t>Ремонт обрыва кабеля цепи освещения, включая изоляционные материалы,клемники</t>
  </si>
  <si>
    <t>16.1.26</t>
  </si>
  <si>
    <t>Замена кабеля (одна работа, не учитывающая метраж заменямого материала)</t>
  </si>
  <si>
    <t>16.1.27</t>
  </si>
  <si>
    <t>Монтаж кабеля (одна работа, не учитывающая метраж заменямого материала)</t>
  </si>
  <si>
    <t>16.1.28</t>
  </si>
  <si>
    <t>Замена металлорукава (одна работа, не учитывающая метраж заменямого материала)</t>
  </si>
  <si>
    <t>16.1.29</t>
  </si>
  <si>
    <t>Монтаж металлорукава (одна работа, не учитывающая метраж заменямого материала)</t>
  </si>
  <si>
    <t>16.1.30</t>
  </si>
  <si>
    <t>Замена гофрированной трубы (одна работа, не учитывающая метраж заменямого материала)</t>
  </si>
  <si>
    <t>16.1.31</t>
  </si>
  <si>
    <t>Монтаж гофрированной трубы (одна работа, не учитывающая метраж заменямого материала)</t>
  </si>
  <si>
    <t>16.1.32</t>
  </si>
  <si>
    <t>Замена щита управления грузового подъемника</t>
  </si>
  <si>
    <t>16.1.33</t>
  </si>
  <si>
    <t>Установка щита управления грузового подъемника</t>
  </si>
  <si>
    <t>16.1.34</t>
  </si>
  <si>
    <t>Замена концевого выключателя</t>
  </si>
  <si>
    <t>16.1.35</t>
  </si>
  <si>
    <t>Установка концевого выключателя</t>
  </si>
  <si>
    <t>16.1.36</t>
  </si>
  <si>
    <t>Регулировка концевого выключателя</t>
  </si>
  <si>
    <t>16.1.37</t>
  </si>
  <si>
    <t>Замена масла в редукторе лебедки (одна работа, не учитывающая объём заменямого материала)</t>
  </si>
  <si>
    <t>16.1.38</t>
  </si>
  <si>
    <t>Замена опорного ролика</t>
  </si>
  <si>
    <t>16.1.39</t>
  </si>
  <si>
    <t>Установка опорного ролика</t>
  </si>
  <si>
    <t>16.1.40</t>
  </si>
  <si>
    <t>Регулировка опорного ролика</t>
  </si>
  <si>
    <t>16.1.41</t>
  </si>
  <si>
    <t>Замена вкладыша башмака</t>
  </si>
  <si>
    <t>16.1.42</t>
  </si>
  <si>
    <t>Замена башмака</t>
  </si>
  <si>
    <t>16.1.43</t>
  </si>
  <si>
    <t>Демонтаж+монтаж электродвигателя тельферной лебедки г/п до 2т</t>
  </si>
  <si>
    <t>16.1.44</t>
  </si>
  <si>
    <t>Демонтаж+монтаж редуктора тельферной лебедки г/п до 2т</t>
  </si>
  <si>
    <t>16.1.45</t>
  </si>
  <si>
    <t>Демонтаж+монтаж электродвигателя тельферной лебедки г/п 2т</t>
  </si>
  <si>
    <t>16.1.46</t>
  </si>
  <si>
    <t>Демонтаж+монтаж редуктора тельферной лебедки г/п 2т</t>
  </si>
  <si>
    <t>16.1.47</t>
  </si>
  <si>
    <t>Демонтаж+монтаж электродвигателя тельферной лебедки г/п 3,2т</t>
  </si>
  <si>
    <t>16.1.48</t>
  </si>
  <si>
    <t>Демонтаж+монтаж редуктора тельферной лебедки г/п 3,2т</t>
  </si>
  <si>
    <t>16.1.49</t>
  </si>
  <si>
    <t>Замена кнопочного поста управления</t>
  </si>
  <si>
    <t>16.1.50</t>
  </si>
  <si>
    <t>Установка кнопочного поста управления</t>
  </si>
  <si>
    <t>16.1.51</t>
  </si>
  <si>
    <t>Ремонт кнопочного поста управления</t>
  </si>
  <si>
    <t>16.1.52</t>
  </si>
  <si>
    <t>Разблокировка застрявшей кабины грузового подъемника</t>
  </si>
  <si>
    <t>16.1.53</t>
  </si>
  <si>
    <t>Блокировка застрявшей кабины грузового подъемника</t>
  </si>
  <si>
    <t>16.1.54</t>
  </si>
  <si>
    <t>Подъем либо опускание кабины грузового подъемника при помощи ручной механической тали</t>
  </si>
  <si>
    <t>16.1.55</t>
  </si>
  <si>
    <t>Замена троса лебёдки тельферного грузового подъемника (одна работа, не учитывающая метраж заменямого материала)</t>
  </si>
  <si>
    <t>16.1.56</t>
  </si>
  <si>
    <t>Регулировка натяжения троса (одна работа, не учитывающая метраж заменямого материала)</t>
  </si>
  <si>
    <t>16.1.57</t>
  </si>
  <si>
    <t>Замена механического запирающего устройства</t>
  </si>
  <si>
    <t>16.1.58</t>
  </si>
  <si>
    <t>Установка механического запирающего устройства</t>
  </si>
  <si>
    <t>16.1.59</t>
  </si>
  <si>
    <t>Замена электромеханического/магнитного запирающего устройства</t>
  </si>
  <si>
    <t>16.1.60</t>
  </si>
  <si>
    <t>Установка электромеханического/магнитного запирающего устройства</t>
  </si>
  <si>
    <t>16.1.61</t>
  </si>
  <si>
    <t>Регулировка запирающего устройства</t>
  </si>
  <si>
    <t>16.1.62</t>
  </si>
  <si>
    <t>Регулировка направляющих тельферного подъемника (одна единица оборудования)</t>
  </si>
  <si>
    <t>16.1.63</t>
  </si>
  <si>
    <t>Регулировка тормозного механизма (одна единица оборудования)</t>
  </si>
  <si>
    <t>16.1.64</t>
  </si>
  <si>
    <t>Регулировка концевых положений грузовой платформы (одна единица оборудования)</t>
  </si>
  <si>
    <t>16.1.65</t>
  </si>
  <si>
    <t>Замена направляющих грузовой платформы (одна работа, не учитывающая метраж заменямого материала)</t>
  </si>
  <si>
    <t>16.1.66</t>
  </si>
  <si>
    <t>Замена балансирной подвески</t>
  </si>
  <si>
    <t>16.1.67</t>
  </si>
  <si>
    <t>Ремонт с последующей регулировкой дверей грузового подъемника (одна единица оборудования)</t>
  </si>
  <si>
    <t>16.1.68</t>
  </si>
  <si>
    <t>Протяжка механического соединения (одна единица оборудования)</t>
  </si>
  <si>
    <t>16.1.69</t>
  </si>
  <si>
    <t>Смазка подвижного элемента (одна единица оборудования)</t>
  </si>
  <si>
    <t>16.1.70</t>
  </si>
  <si>
    <t>Шприцевание подвижного элемента</t>
  </si>
  <si>
    <t>16.1.71</t>
  </si>
  <si>
    <t>Замена (демонтаж + монтаж) гидроцилиндра аппарели</t>
  </si>
  <si>
    <t>16.1.72</t>
  </si>
  <si>
    <t>Замена (демонтаж + монтаж) амортизирующего упора гидравлического подъемника</t>
  </si>
  <si>
    <t>16.1.73</t>
  </si>
  <si>
    <t>Замена (демонтаж + монтаж) гидроцилиндра грузовой платформы</t>
  </si>
  <si>
    <t>16.1.74</t>
  </si>
  <si>
    <t>Замена (демонтаж + монтаж) гидроцилиндра межэтажного гидравлического подъемника</t>
  </si>
  <si>
    <t>16.1.75</t>
  </si>
  <si>
    <t>Замена (демонтаж + монтаж) электродвигателя гидропривода</t>
  </si>
  <si>
    <t>16.1.76</t>
  </si>
  <si>
    <t>Замена (демонтаж + монтаж) РВД (шланга гидравлического)</t>
  </si>
  <si>
    <t>16.1.77</t>
  </si>
  <si>
    <t>Регулировка гидравлического клапана</t>
  </si>
  <si>
    <t>16.1.78</t>
  </si>
  <si>
    <t>Демонтаж гидравлического клапана подъемное оборудование</t>
  </si>
  <si>
    <t>16.1.79</t>
  </si>
  <si>
    <t>Монтаж гидравлического клапана</t>
  </si>
  <si>
    <t>16.1.80</t>
  </si>
  <si>
    <t>Замена гидростанции</t>
  </si>
  <si>
    <t>16.1.81</t>
  </si>
  <si>
    <t>Установка гидростанции</t>
  </si>
  <si>
    <t>16.1.82</t>
  </si>
  <si>
    <t>Замена масла (промывка фильтров) в гидростанции (одна работа, не учитывающая объём заменямого материала)</t>
  </si>
  <si>
    <t>16.1.83</t>
  </si>
  <si>
    <t>Замена фильтра в гидростанции</t>
  </si>
  <si>
    <t>16.1.84</t>
  </si>
  <si>
    <t>Долив масла в гидростанцию (одна работа, не учитывающая объём заменямого материала)</t>
  </si>
  <si>
    <t>16.1.85</t>
  </si>
  <si>
    <t>Ремонт блока управления грузового подъемика</t>
  </si>
  <si>
    <t>16.1.86</t>
  </si>
  <si>
    <t>Ремонт платы управления грузового подъемика</t>
  </si>
  <si>
    <t>16.1.87</t>
  </si>
  <si>
    <t>Ремонт профильной конструкции рамки безопасности (одна единица оборудования)</t>
  </si>
  <si>
    <t>16.1.88</t>
  </si>
  <si>
    <t>Замена упорного бампера</t>
  </si>
  <si>
    <t>16.1.89</t>
  </si>
  <si>
    <t>Установка дополнительного упорного бампера</t>
  </si>
  <si>
    <t>16.1.90</t>
  </si>
  <si>
    <t>Извлечение/удаление предметов(тележек, корзин, паллетов, поддонов, подносов, товарных остатков), препятствующих правильной работе грузового подъемника (на одном подъёмнике)</t>
  </si>
  <si>
    <t>16.1.91</t>
  </si>
  <si>
    <t>Ремонт дефектов, повреждений металлоконструкции с применением сварочных работ, включая сварочные материалы (на одном подъёмнике)</t>
  </si>
  <si>
    <t>16.1.92</t>
  </si>
  <si>
    <t>Аварийный ремонт дефектов, повреждений металлоконструкции с применением сварочных работ, включая сварочные материалы (на одном подъёмнике)</t>
  </si>
  <si>
    <t>16.1.93</t>
  </si>
  <si>
    <t>Аварийное вскрытие дверей грузового подъемника</t>
  </si>
  <si>
    <t>16.1.94</t>
  </si>
  <si>
    <t>Подъем платформы неисправного гидравлического подъемника с использованием специального грузоподъемного оборудования</t>
  </si>
  <si>
    <t>16.1.95</t>
  </si>
  <si>
    <t>Замена РТИ гидроцилиндра, включая материалы (на одном подъёмнике)</t>
  </si>
  <si>
    <t>16.1.96</t>
  </si>
  <si>
    <t>Замена гильзы гидроцилиндра, включая материалы</t>
  </si>
  <si>
    <t>16.1.97</t>
  </si>
  <si>
    <t>Замена штока гидроцилиндра, включая материалы</t>
  </si>
  <si>
    <t>16.1.98</t>
  </si>
  <si>
    <t>Установка раздвижных дверей кабины с применением сварочного оборудования</t>
  </si>
  <si>
    <t>16.1.99</t>
  </si>
  <si>
    <t>Установка крюковой подвески</t>
  </si>
  <si>
    <t>16.1.100</t>
  </si>
  <si>
    <t>Установка дверей кабины с применением сварочного оборудования</t>
  </si>
  <si>
    <t>16.1.101</t>
  </si>
  <si>
    <t>Демонтаж и утилизация поврежденных металлоконструкций</t>
  </si>
  <si>
    <t>16.1.102</t>
  </si>
  <si>
    <t>Установка тельферной лебедки 2т 6м</t>
  </si>
  <si>
    <t>16.1.103</t>
  </si>
  <si>
    <t>Изготовление метало каркаса с применением сварочного оборудования ,обшивка мет листом кабины</t>
  </si>
  <si>
    <t>16.1.104</t>
  </si>
  <si>
    <t>Установка светодиодного светильника ЖКХ с решеткой LED 16W IP54</t>
  </si>
  <si>
    <t>16.1.N1</t>
  </si>
  <si>
    <t>Техническое обслуживание грузового подъёмника (ежемесячное, 1 ед.)</t>
  </si>
  <si>
    <t>ед/мес</t>
  </si>
  <si>
    <t>16.1.N2</t>
  </si>
  <si>
    <t>Полное техническое освидетельствование подъёмника со статическими и динамическими испытаниями (без груза-балласта)</t>
  </si>
  <si>
    <t>16.1.N3</t>
  </si>
  <si>
    <t>Замена тормозных колодок/диска тормоза электротали</t>
  </si>
  <si>
    <t>16.1.N4</t>
  </si>
  <si>
    <t>Замена (восстановление) ловителей подъёмника, комплект</t>
  </si>
  <si>
    <t>16.1.N5</t>
  </si>
  <si>
    <t>Замена датчика точной остановки/положения кабины с настройкой</t>
  </si>
  <si>
    <t>16.1.N6</t>
  </si>
  <si>
    <t>Замена тяговых тросов малого грузового (ресторанного) подъёмника, комплект</t>
  </si>
  <si>
    <t>16.1.N7</t>
  </si>
  <si>
    <t>Работы по ремонту ПС, не предусмотренные тарификатором (нормо-час механика)</t>
  </si>
  <si>
    <t>16.1.N8</t>
  </si>
  <si>
    <t>Замена ходового колеса электротали/тельфера</t>
  </si>
  <si>
    <t>16.1.N9</t>
  </si>
  <si>
    <t>Измерение сопротивления изоляции и проверка заземления ПС (1 ед. оборудования) с протоколом</t>
  </si>
  <si>
    <t>16.1.N10</t>
  </si>
  <si>
    <t>ТО ножничного подъёмного стола (ежеквартальное, 1 ед.)</t>
  </si>
  <si>
    <t>16.2.1</t>
  </si>
  <si>
    <t>Срочный выезд на объект, в пределах МКАД в течении 4-х часов для ремонта пресса</t>
  </si>
  <si>
    <t>16.2.2</t>
  </si>
  <si>
    <t>Срочный выезд на объект, за пределами МКАД в течении 4-х часов для ремонта пресса</t>
  </si>
  <si>
    <t>16.2.3</t>
  </si>
  <si>
    <t>Выезд на объект, в пределах МКАД для ремонта пресса</t>
  </si>
  <si>
    <t>16.2.4</t>
  </si>
  <si>
    <t>Выезд на объект, за пределами МКАД за каждый км для ремонта пресса</t>
  </si>
  <si>
    <t>16.2.5</t>
  </si>
  <si>
    <t>Проверка работоспособности оборудования/выявление неисправности, инструктаж сотрудников заказчика (одна единица оборудования) пресса</t>
  </si>
  <si>
    <t>16.2.6</t>
  </si>
  <si>
    <t>16.2.7</t>
  </si>
  <si>
    <t>16.2.8</t>
  </si>
  <si>
    <t>16.2.9</t>
  </si>
  <si>
    <t>16.2.10</t>
  </si>
  <si>
    <t>16.2.11</t>
  </si>
  <si>
    <t>Замена кабеля</t>
  </si>
  <si>
    <t>16.2.12</t>
  </si>
  <si>
    <t>16.2.13</t>
  </si>
  <si>
    <t>16.2.14</t>
  </si>
  <si>
    <t>16.2.15</t>
  </si>
  <si>
    <t>16.2.16</t>
  </si>
  <si>
    <t>16.2.17</t>
  </si>
  <si>
    <t>16.2.18</t>
  </si>
  <si>
    <t>16.2.19</t>
  </si>
  <si>
    <t>16.2.20</t>
  </si>
  <si>
    <t>Ремонт с последующей регулировкой дверей грузового подъемника (одна единица оборудования)/пресса</t>
  </si>
  <si>
    <t>16.2.21</t>
  </si>
  <si>
    <t>16.2.22</t>
  </si>
  <si>
    <t>16.2.23</t>
  </si>
  <si>
    <t>16.2.24</t>
  </si>
  <si>
    <t>Замена (демонтаж + монтаж) амортизирующего упора</t>
  </si>
  <si>
    <t>16.2.25</t>
  </si>
  <si>
    <t>Замена (демонтаж + монтаж) гидроцилиндра</t>
  </si>
  <si>
    <t>16.2.26</t>
  </si>
  <si>
    <t>16.2.27</t>
  </si>
  <si>
    <t>16.2.28</t>
  </si>
  <si>
    <t>16.2.29</t>
  </si>
  <si>
    <t>Демонтаж гидравлического клапана пресса</t>
  </si>
  <si>
    <t>16.2.30</t>
  </si>
  <si>
    <t>16.2.31</t>
  </si>
  <si>
    <t>16.2.32</t>
  </si>
  <si>
    <t>Замена масла (промывка фильтров) в гидростанции</t>
  </si>
  <si>
    <t>16.2.33</t>
  </si>
  <si>
    <t>Долив масла в гидростанцию</t>
  </si>
  <si>
    <t>16.2.34</t>
  </si>
  <si>
    <t>Ремонт платы управления пресса</t>
  </si>
  <si>
    <t>16.2.35</t>
  </si>
  <si>
    <t>Извлечение/удаление предметов(тележек, корзин, паллетов, поддонов, подносов, товарных остатков), препятствующих правильной работе пресса</t>
  </si>
  <si>
    <t>16.2.36</t>
  </si>
  <si>
    <t>Ремонт дефектов, повреждений металлоконструкции с применением сварочных работ, включая сварочные материалы</t>
  </si>
  <si>
    <t>16.2.37</t>
  </si>
  <si>
    <t>Аварийный ремонт дефектов, повреждений металлоконструкции с применением сварочных работ, включая сварочные материалы</t>
  </si>
  <si>
    <t>16.2.38</t>
  </si>
  <si>
    <t>Замена РТИ гидроцилиндра, включая материалы</t>
  </si>
  <si>
    <t>16.2.39</t>
  </si>
  <si>
    <t>16.2.40</t>
  </si>
  <si>
    <t>замена платы управления</t>
  </si>
  <si>
    <t>16.2.41</t>
  </si>
  <si>
    <t>замена кнопочной панели управления</t>
  </si>
  <si>
    <t>16.2.42</t>
  </si>
  <si>
    <t>16.2.43</t>
  </si>
  <si>
    <t>Демонтаж-монтаж прессующей плиты</t>
  </si>
  <si>
    <t>16.2.44</t>
  </si>
  <si>
    <t>Замена рукоятка 4864814-00</t>
  </si>
  <si>
    <t>16.2.45</t>
  </si>
  <si>
    <t>Замена крыла запорного механизма</t>
  </si>
  <si>
    <t>16.2.46</t>
  </si>
  <si>
    <t>Замена планки нижней двери 4871519-00</t>
  </si>
  <si>
    <t>16.2.47</t>
  </si>
  <si>
    <t>Замена крышки пресса нового образца</t>
  </si>
  <si>
    <t>16.2.48</t>
  </si>
  <si>
    <t>Замена ручки 4880650-00</t>
  </si>
  <si>
    <t>16.2.49</t>
  </si>
  <si>
    <t>Замена Конденсатора 4871621-00</t>
  </si>
  <si>
    <t>16.2.50</t>
  </si>
  <si>
    <t>Замена Тележки для пресса</t>
  </si>
  <si>
    <t>16.2.51</t>
  </si>
  <si>
    <t>Замена Двигателя электрического 4873470-00</t>
  </si>
  <si>
    <t>16.2.52</t>
  </si>
  <si>
    <t>Замена Датчика давления 4871620-00</t>
  </si>
  <si>
    <t>16.2.53</t>
  </si>
  <si>
    <t>Аварийный ремонт дефектов, повреждений металлоконструкции пресс плиты с применением сварочных работ, включая сварочные материалы</t>
  </si>
  <si>
    <t>16.2.54</t>
  </si>
  <si>
    <t>замена электродвигателя гидростанции пресса PRESSMAX</t>
  </si>
  <si>
    <t>16.2.55</t>
  </si>
  <si>
    <t>замена гидроцилиндра пресса PRESSMAX</t>
  </si>
  <si>
    <t>16.2.56</t>
  </si>
  <si>
    <t>Замена плиты пресса PRESSMAX</t>
  </si>
  <si>
    <t>16.2.57</t>
  </si>
  <si>
    <t>Изготовление РВД под нужный размер</t>
  </si>
  <si>
    <t>16.2.58</t>
  </si>
  <si>
    <t>Замена гидравлического клапана пресса PRESSMAX</t>
  </si>
  <si>
    <t>16.2.59</t>
  </si>
  <si>
    <t>Регулировка гидравлического клапана пресса PRESSMAX</t>
  </si>
  <si>
    <t>16.2.60</t>
  </si>
  <si>
    <t>Замена гидронасоса пресса PRESSMAX</t>
  </si>
  <si>
    <t>16.2.61</t>
  </si>
  <si>
    <t>Замена концевого выключателя для пресса PRESSMAX</t>
  </si>
  <si>
    <t>16.2.62</t>
  </si>
  <si>
    <t>Замена пускателя для пресса PRESSMAX</t>
  </si>
  <si>
    <t>16.2.63</t>
  </si>
  <si>
    <t>Замена гидрораспределителя для пресса PRESSMAX</t>
  </si>
  <si>
    <t>16.2.64</t>
  </si>
  <si>
    <t>Замена цепи выброса кипы для пресса PRESSMAX</t>
  </si>
  <si>
    <t>16.2.65</t>
  </si>
  <si>
    <t>Замена ручки управления прижимной плитой пресса PRESSMAX</t>
  </si>
  <si>
    <t>16.2.66</t>
  </si>
  <si>
    <t>Замена штока направляющего для пресса PRESSMAX</t>
  </si>
  <si>
    <t>16.2.67</t>
  </si>
  <si>
    <t>Замена маслянного бака для пресса PRESSMAX</t>
  </si>
  <si>
    <t>16.2.68</t>
  </si>
  <si>
    <t>Ремонт металлоконструкции двери пресса PRESSMAX с применением сварки</t>
  </si>
  <si>
    <t>16.2.69</t>
  </si>
  <si>
    <t>Замена замка двери пресса PRESSMAX</t>
  </si>
  <si>
    <t>16.2.70</t>
  </si>
  <si>
    <t>Ремонт замка двери пресса PRESSMAX</t>
  </si>
  <si>
    <t>16.2.71</t>
  </si>
  <si>
    <t>Замена выключатель путевого для пресса PRESSMAX</t>
  </si>
  <si>
    <t>16.2.72</t>
  </si>
  <si>
    <t>Замена заливной горловины для пресса PRESSMAX</t>
  </si>
  <si>
    <t>16.2.73</t>
  </si>
  <si>
    <t>Замена колокола для пресса PRESSMAX</t>
  </si>
  <si>
    <t>16.2.74</t>
  </si>
  <si>
    <t>Замена стекла масломерного TLA-5G для пресса PRESSMAX</t>
  </si>
  <si>
    <t>16.2.75</t>
  </si>
  <si>
    <t>Замена фильтрующего элемента SF064A034GR090 для пресса PRESSMAX</t>
  </si>
  <si>
    <t>16.2.76</t>
  </si>
  <si>
    <t>Ремонт гидроцилиндра пресса PRESSMAX</t>
  </si>
  <si>
    <t>16.2.77</t>
  </si>
  <si>
    <t>Замена петель двери пресса PRESSMAX</t>
  </si>
  <si>
    <t>16.2.78</t>
  </si>
  <si>
    <t>Промывка гидросистемы пресса PRESSMAX</t>
  </si>
  <si>
    <t>16.2.79</t>
  </si>
  <si>
    <t>Доливка масла в пресс PRESSMAX</t>
  </si>
  <si>
    <t>16.2.80</t>
  </si>
  <si>
    <t>Замена масла в прессе PRESSMAX</t>
  </si>
  <si>
    <t>16.2.N1</t>
  </si>
  <si>
    <t>Техническое обслуживание пакетировочного пресса (ежемесячное, 1 ед.)</t>
  </si>
  <si>
    <t>16.2.N2</t>
  </si>
  <si>
    <t>Замена реле давления/манометра пресса</t>
  </si>
  <si>
    <t>16.2.N3</t>
  </si>
  <si>
    <t>Замена износных накладок (полозьев) прессующей плиты, комплект</t>
  </si>
  <si>
    <t>16.2.N4</t>
  </si>
  <si>
    <t>Нормо-час механика пресса (работы вне тарификатора)</t>
  </si>
  <si>
    <t>16.2.N5</t>
  </si>
  <si>
    <t>Замена кабеля питания пресса с вилкой/разъёмом (до 10 м), работа</t>
  </si>
  <si>
    <t>17.1</t>
  </si>
  <si>
    <t>Пусконадалка радиального вентилятора</t>
  </si>
  <si>
    <t>17.2</t>
  </si>
  <si>
    <t>Пусконаладка клапана воздушного с электроприводом</t>
  </si>
  <si>
    <t>17.3</t>
  </si>
  <si>
    <t>Пусконаладка сети систем вентиляции и кондиционирования воздуха при количестве сечений: до 10</t>
  </si>
  <si>
    <t>сеть</t>
  </si>
  <si>
    <t>17.4</t>
  </si>
  <si>
    <t>Пусконаладка сети систем вентиляции и кондиционирования воздуха при количестве сечений: до 5</t>
  </si>
  <si>
    <t>17.5</t>
  </si>
  <si>
    <t>Пусконаладка теплообменной установки</t>
  </si>
  <si>
    <t>установка</t>
  </si>
  <si>
    <t>17.6</t>
  </si>
  <si>
    <t>Пусконаладка центробежных насосов</t>
  </si>
  <si>
    <t>17.7</t>
  </si>
  <si>
    <t>Пусконаладка щитов управления</t>
  </si>
  <si>
    <t>17.8</t>
  </si>
  <si>
    <t>Пусконаладкатеплообменной установки</t>
  </si>
  <si>
    <t>17.9</t>
  </si>
  <si>
    <t>Пусконаладочные работы. Оборудование индивидуального теплового пункта (ИТП) без диспетчеризации)</t>
  </si>
  <si>
    <t>17.10</t>
  </si>
  <si>
    <t>Пусконаладочные работы. Оборудование узла учета тепловой энергии (УУТЭ) без диспетчеризации</t>
  </si>
  <si>
    <t>17.11</t>
  </si>
  <si>
    <t>Разработка технических решений на установку автоматизированного узла управления с предоставлением согласованных проектов следующих разделов ТМ, ЭОМ, АТМ</t>
  </si>
  <si>
    <t>17.12</t>
  </si>
  <si>
    <t>Разработка технических решений на установку узла учета тепловой энергии (УУТЭ) с предоставлением согласованных проектов</t>
  </si>
  <si>
    <t>17.13</t>
  </si>
  <si>
    <t>Комплексная пусконаладка системы АСКУЭ (проверка работоспособности модема, установка сим-карты)</t>
  </si>
  <si>
    <t>17.N1</t>
  </si>
  <si>
    <t>ПНР приточной установки с водяным калорифером и автоматикой (комплексно)</t>
  </si>
  <si>
    <t>17.N2</t>
  </si>
  <si>
    <t>Аэродинамические испытания и паспортизация системы вентиляции (до 10 сечений)</t>
  </si>
  <si>
    <t>17.N3</t>
  </si>
  <si>
    <t>ПНР сплит-системы (проверка герметичности, вакуумирование, запуск)</t>
  </si>
  <si>
    <t>17.N4</t>
  </si>
  <si>
    <t>ПНР системы дымоудаления/подпора (вентилятор + клапаны) с актом</t>
  </si>
  <si>
    <t>17.N5</t>
  </si>
  <si>
    <t>ПНР воздушно-тепловой завесы с водяным теплообменником</t>
  </si>
  <si>
    <t>17.N6</t>
  </si>
  <si>
    <t>ПНР насосной станции повышения давления (2–3 насоса со шкафом управления)</t>
  </si>
  <si>
    <t>17.N7</t>
  </si>
  <si>
    <t>Подготовка УУТЭ к отопительному сезону и повторный допуск (акт с ТСО)</t>
  </si>
  <si>
    <t>17.N8</t>
  </si>
  <si>
    <t>Гидравлические испытания (опрессовка) системы отопления/ИТП с актом</t>
  </si>
  <si>
    <t>19.2.1</t>
  </si>
  <si>
    <t>Наклейка с маркировочной полосой, 300*100 мм Белый (1721060004)</t>
  </si>
  <si>
    <t>Нормо/час</t>
  </si>
  <si>
    <t>19.2.2</t>
  </si>
  <si>
    <t>Заготовка секции 3535х750 RAL 9006/9002 окрашивание 5009 P/N - 3094396/1541010385</t>
  </si>
  <si>
    <t>19.2.3</t>
  </si>
  <si>
    <t>Заготовка секции 3035х750 RAL 9006/9002 окрашивание 5009 P/N - 3091434/1541010385</t>
  </si>
  <si>
    <t>19.2.4</t>
  </si>
  <si>
    <t>Торцевая накладка 750 мм, левая P/N - 3083030</t>
  </si>
  <si>
    <t>19.2.5</t>
  </si>
  <si>
    <t>Торцевая накладка 750 мм, правая P/N - 3083033</t>
  </si>
  <si>
    <t>19.2.6</t>
  </si>
  <si>
    <t>Ходовой ролик тип KS P/N - 3040122/1521140002</t>
  </si>
  <si>
    <t>19.2.7</t>
  </si>
  <si>
    <t>Верхняя часть главного выключателя P/N - 635256</t>
  </si>
  <si>
    <t>19.2.8</t>
  </si>
  <si>
    <t>Вертикальная направляющая шина (1 м.) P/N - 3099887</t>
  </si>
  <si>
    <t>19.2.9</t>
  </si>
  <si>
    <t>Шарнир, тип 4 P/N - 3040030/1511140016</t>
  </si>
  <si>
    <t>19.2.10</t>
  </si>
  <si>
    <t>Роликовая опора тип 6, для HU/VU P/N - 3095192/1511140004</t>
  </si>
  <si>
    <t>19.2.11</t>
  </si>
  <si>
    <t>Роликодержатель P/N - 3039948/1511140034</t>
  </si>
  <si>
    <t>19.2.12</t>
  </si>
  <si>
    <t>Сэндвичное остекление типа A P/N - 3057711/1511050001</t>
  </si>
  <si>
    <t>19.2.13</t>
  </si>
  <si>
    <t>Гибкая муфта 3044205</t>
  </si>
  <si>
    <t>19.2.14</t>
  </si>
  <si>
    <t>Барабан для троса, левый для направляющих 3086207</t>
  </si>
  <si>
    <t>19.2.15</t>
  </si>
  <si>
    <t>Барабан для троса, правый для направляющих 3086208</t>
  </si>
  <si>
    <t>19.2.16</t>
  </si>
  <si>
    <t>Консоль держатель вала 3 лев+правый 3044143</t>
  </si>
  <si>
    <t>19.2.17</t>
  </si>
  <si>
    <t>Фланцевый подшипник 3076653</t>
  </si>
  <si>
    <t>19.2.18</t>
  </si>
  <si>
    <t>Пружинный амортизатор, длинный 3044522</t>
  </si>
  <si>
    <t>19.2.19</t>
  </si>
  <si>
    <t>Боковой элемент угловой коробки (1 м.) 3086281/3097671; 3086280/3097672</t>
  </si>
  <si>
    <t>19.2.20</t>
  </si>
  <si>
    <t>Вертикальная направляющая шина Херманн (1 м.) 3092887</t>
  </si>
  <si>
    <t>19.2.21</t>
  </si>
  <si>
    <t>Ролик, тип K 3039964</t>
  </si>
  <si>
    <t>19.2.22</t>
  </si>
  <si>
    <t>Элемент насадной N, H, HU, V, VU 3040794</t>
  </si>
  <si>
    <t>19.2.23</t>
  </si>
  <si>
    <t>Задвижка 3060817</t>
  </si>
  <si>
    <t>19.2.24</t>
  </si>
  <si>
    <t>Роликовая опора, верхняя 3093585</t>
  </si>
  <si>
    <t>19.2.25</t>
  </si>
  <si>
    <t>Вал пружины 40 × 3, с канавкой (1 м.) 3045688</t>
  </si>
  <si>
    <t>19.2.26</t>
  </si>
  <si>
    <t>Дуга ходовой шины переходная, 3094440</t>
  </si>
  <si>
    <t>19.2.27</t>
  </si>
  <si>
    <t>Горизонтальная направляющая (1 м.) 3089361</t>
  </si>
  <si>
    <t>19.2.28</t>
  </si>
  <si>
    <t>Уплотнение перемычки HG004 3045681</t>
  </si>
  <si>
    <t>19.2.29</t>
  </si>
  <si>
    <t>Приемная шина для напольного уплотнения (1 м.) 3041117</t>
  </si>
  <si>
    <t>19.2.30</t>
  </si>
  <si>
    <t>Напольное уплотнение (1 м.) P/N - 3098707/1511020032</t>
  </si>
  <si>
    <t>19.2.31</t>
  </si>
  <si>
    <t>Пружина торсионная R223 1521320386</t>
  </si>
  <si>
    <t>19.2.32</t>
  </si>
  <si>
    <t>Пружина торсионная L222 1521320384</t>
  </si>
  <si>
    <t>19.2.33</t>
  </si>
  <si>
    <t>Опорная втулка для пружины 3002225</t>
  </si>
  <si>
    <t>19.2.34</t>
  </si>
  <si>
    <t>Устройство защиты от обрыва пружины 3044643</t>
  </si>
  <si>
    <t>19.2.35</t>
  </si>
  <si>
    <t>Трос 5,5 мм, длина 8000 мм с коушем 3095597</t>
  </si>
  <si>
    <t>19.2.36</t>
  </si>
  <si>
    <t>Боковое уплотнение (1 м.) 1511260012</t>
  </si>
  <si>
    <t>19.2.37</t>
  </si>
  <si>
    <t>Блок управления 420S 636868</t>
  </si>
  <si>
    <t>19.2.38</t>
  </si>
  <si>
    <t>Блок управления 360 636768</t>
  </si>
  <si>
    <t>19.2.39</t>
  </si>
  <si>
    <t>Привод WA 300 S4 635872.Н4</t>
  </si>
  <si>
    <t>19.2.40</t>
  </si>
  <si>
    <t>Главный цилиндр EPL30-450/630 1821250008</t>
  </si>
  <si>
    <t>19.2.41</t>
  </si>
  <si>
    <t>Цилиндр аппарели EPL20-150/330, 1821250006/307392</t>
  </si>
  <si>
    <t>19.2.42</t>
  </si>
  <si>
    <t>Ось цилиндра D20 1821250001/307393</t>
  </si>
  <si>
    <t>19.2.43</t>
  </si>
  <si>
    <t>Гидравлический шланг L2500 1821260003/307092</t>
  </si>
  <si>
    <t>19.2.44</t>
  </si>
  <si>
    <t>Эластичный шнур Easy fix HORMANN HM-309189</t>
  </si>
  <si>
    <t>19.2.45</t>
  </si>
  <si>
    <t>Резиновый шнур для натяжения, с крюками Hormann 2000711</t>
  </si>
  <si>
    <t>19.2.46</t>
  </si>
  <si>
    <t>TL40 rd/gn светофор HORMANN HM-637537</t>
  </si>
  <si>
    <t>19.2.N1</t>
  </si>
  <si>
    <t>Плановое ТО уравнительной платформы (1 ед.)</t>
  </si>
  <si>
    <t>19.2.N2</t>
  </si>
  <si>
    <t>Плановое ТО промышленных секционных ворот с приводом (1 ед.)</t>
  </si>
  <si>
    <t>19.2.N3</t>
  </si>
  <si>
    <t>Плановое ТО докового герметизатора (1 ед.)</t>
  </si>
  <si>
    <t>19.2.N4</t>
  </si>
  <si>
    <t>Замена аппарели (губы) уравнительной платформы</t>
  </si>
  <si>
    <t>19.2.N5</t>
  </si>
  <si>
    <t>Замена шарнирной оси/пальцев аппарели, комплект</t>
  </si>
  <si>
    <t>19.2.N6</t>
  </si>
  <si>
    <t>Замена тентов (штор) докового герметизатора, комплект</t>
  </si>
  <si>
    <t>19.2.N7</t>
  </si>
  <si>
    <t>Замена гидроагрегата (насос-мотор) уравнительной платформы</t>
  </si>
  <si>
    <t>19.2.N8</t>
  </si>
  <si>
    <t>Замена масла в гидросистеме уравнительной платформы</t>
  </si>
  <si>
    <t>19.2.N9</t>
  </si>
  <si>
    <t>Замена резинового докового отбойника</t>
  </si>
  <si>
    <t>19.2.N10</t>
  </si>
  <si>
    <t>Аварийное открытие/фиксация секционных ворот при поломке</t>
  </si>
  <si>
    <t>19.2.N11</t>
  </si>
  <si>
    <t>Нормо-час сервисного инженера ворот/доков (работы вне тарификатора)</t>
  </si>
  <si>
    <t>19.2.N12</t>
  </si>
  <si>
    <t>Ремонт аппарели/настила уравнительной платформы сваркой (до 1 м шва)</t>
  </si>
  <si>
    <t>19.2.N13</t>
  </si>
  <si>
    <t>пара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</si>
</sst>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quot;–&quot;"/>
    <numFmt numFmtId="165" formatCode="0%;\-0%;&quot;–&quot;"/>
    <numFmt numFmtId="166" formatCode="0.0%"/>
    <numFmt numFmtId="167" formatCode="#,##0.00;\-#,##0.00;&quot;–&quot;"/>
    <numFmt numFmtId="168" formatCode="0.0%;\-0.0%;&quot;–&quot;"/>
  </numFmts>
  <fonts count="9" x14ac:knownFonts="1">
    <font>
      <sz val="11"/>
      <color theme="1"/>
      <name val="Calibri"/>
      <family val="2"/>
      <scheme val="minor"/>
    </font>
    <font>
      <b/>
      <sz val="14"/>
      <name val="Calibri"/>
    </font>
    <font>
      <b/>
      <sz val="11"/>
      <color rgb="FFFFFFFF"/>
      <name val="Calibri"/>
    </font>
    <font>
      <b/>
      <sz val="11"/>
      <name val="Calibri"/>
    </font>
    <font>
      <i/>
      <sz val="11"/>
      <color rgb="FF595959"/>
      <name val="Calibri"/>
    </font>
    <font>
      <sz val="11"/>
      <name val="Calibri"/>
    </font>
    <font>
      <b/>
      <sz val="12"/>
      <color rgb="FF1F3864"/>
      <name val="Calibri"/>
    </font>
    <font>
      <i/>
      <sz val="11"/>
      <color rgb="FF7F7F7F"/>
      <name val="Calibri"/>
    </font>
    <font>
      <b/>
      <sz val="15"/>
      <color rgb="FF1F3864"/>
      <name val="Calibri"/>
    </font>
  </fonts>
  <fills count="7">
    <fill>
      <patternFill patternType="none"/>
    </fill>
    <fill>
      <patternFill patternType="gray125"/>
    </fill>
    <fill>
      <patternFill patternType="solid">
        <fgColor rgb="FF1F3864"/>
      </patternFill>
    </fill>
    <fill>
      <patternFill patternType="solid">
        <fgColor rgb="FFFFF2CC"/>
      </patternFill>
    </fill>
    <fill>
      <patternFill patternType="solid">
        <fgColor rgb="FFE2EFDA"/>
      </patternFill>
    </fill>
    <fill>
      <patternFill patternType="solid">
        <fgColor rgb="FFD9E1F2"/>
      </patternFill>
    </fill>
    <fill>
      <patternFill patternType="solid">
        <fgColor rgb="FFDDEBF7"/>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1F3864"/>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51">
    <xf numFmtId="0" fontId="0" fillId="0" borderId="0" xfId="0"/>
    <xf numFmtId="0" fontId="8" fillId="0" borderId="0" xfId="0" applyFont="1" applyAlignment="1">
      <alignment vertical="top" wrapText="1"/>
    </xf>
    <xf numFmtId="0" fontId="4" fillId="0" borderId="0" xfId="0" applyFont="1" applyAlignment="1">
      <alignment vertical="top" wrapText="1"/>
    </xf>
    <xf numFmtId="0" fontId="6" fillId="5" borderId="0" xfId="0" applyFont="1" applyFill="1" applyAlignment="1">
      <alignment vertical="top" wrapText="1"/>
    </xf>
    <xf numFmtId="0" fontId="0" fillId="0" borderId="0" xfId="0" applyAlignment="1">
      <alignment vertical="top" wrapText="1"/>
    </xf>
    <xf numFmtId="0" fontId="3" fillId="6" borderId="0" xfId="0" applyFont="1" applyFill="1" applyAlignment="1">
      <alignment vertical="top" wrapText="1"/>
    </xf>
    <xf numFmtId="0" fontId="1" fillId="0" borderId="0" xfId="0" applyFont="1"/>
    <xf numFmtId="0" fontId="3" fillId="0" borderId="0" xfId="0" applyFont="1"/>
    <xf numFmtId="0" fontId="0" fillId="3" borderId="1" xfId="0" applyFill="1" applyBorder="1"/>
    <xf numFmtId="166" fontId="3" fillId="0" borderId="1" xfId="0" applyNumberFormat="1" applyFont="1" applyBorder="1"/>
    <xf numFmtId="0" fontId="6" fillId="0" borderId="0" xfId="0" applyFont="1"/>
    <xf numFmtId="0" fontId="2" fillId="2" borderId="1" xfId="0" applyFont="1" applyFill="1" applyBorder="1" applyAlignment="1">
      <alignment horizontal="center" vertical="center" wrapText="1"/>
    </xf>
    <xf numFmtId="0" fontId="0" fillId="0" borderId="1" xfId="0" applyBorder="1"/>
    <xf numFmtId="167" fontId="0" fillId="3" borderId="1" xfId="0" applyNumberFormat="1" applyFill="1" applyBorder="1"/>
    <xf numFmtId="167" fontId="0" fillId="0" borderId="1" xfId="0" applyNumberFormat="1" applyBorder="1"/>
    <xf numFmtId="165" fontId="0" fillId="0" borderId="1" xfId="0" applyNumberFormat="1" applyBorder="1"/>
    <xf numFmtId="167" fontId="3" fillId="0" borderId="1" xfId="0" applyNumberFormat="1" applyFont="1" applyBorder="1"/>
    <xf numFmtId="167" fontId="3" fillId="4" borderId="1" xfId="0" applyNumberFormat="1" applyFont="1" applyFill="1" applyBorder="1"/>
    <xf numFmtId="0" fontId="7" fillId="0" borderId="0" xfId="0" applyFont="1"/>
    <xf numFmtId="0" fontId="7" fillId="3" borderId="1" xfId="0" applyFont="1" applyFill="1" applyBorder="1"/>
    <xf numFmtId="168" fontId="3" fillId="0" borderId="0" xfId="0" applyNumberFormat="1" applyFont="1"/>
    <xf numFmtId="0" fontId="3" fillId="0" borderId="1" xfId="0" applyFont="1" applyBorder="1" applyAlignment="1">
      <alignment vertical="top" wrapText="1"/>
    </xf>
    <xf numFmtId="0" fontId="5" fillId="0" borderId="1" xfId="0" applyFont="1" applyBorder="1" applyAlignment="1">
      <alignment vertical="top" wrapText="1"/>
    </xf>
    <xf numFmtId="2" fontId="5" fillId="3" borderId="1" xfId="0" applyNumberFormat="1" applyFont="1" applyFill="1" applyBorder="1" applyAlignment="1">
      <alignment vertical="top" wrapText="1"/>
    </xf>
    <xf numFmtId="0" fontId="0" fillId="0" borderId="1" xfId="0" applyBorder="1" applyAlignment="1">
      <alignment vertical="top" wrapText="1"/>
    </xf>
    <xf numFmtId="2" fontId="0" fillId="3" borderId="1" xfId="0" applyNumberFormat="1" applyFill="1" applyBorder="1" applyAlignment="1">
      <alignment vertical="top" wrapText="1"/>
    </xf>
    <xf numFmtId="0" fontId="0" fillId="0" borderId="2" xfId="0" applyBorder="1" applyAlignment="1">
      <alignment vertical="top" wrapText="1"/>
    </xf>
    <xf numFmtId="2" fontId="0" fillId="3" borderId="2" xfId="0" applyNumberFormat="1" applyFill="1" applyBorder="1" applyAlignment="1">
      <alignment vertical="top" wrapText="1"/>
    </xf>
    <xf numFmtId="9" fontId="0" fillId="3" borderId="1" xfId="0" applyNumberFormat="1" applyFill="1" applyBorder="1" applyAlignment="1">
      <alignment vertical="top" wrapText="1"/>
    </xf>
    <xf numFmtId="9" fontId="3" fillId="3" borderId="1" xfId="0" applyNumberFormat="1" applyFont="1" applyFill="1" applyBorder="1" applyAlignment="1">
      <alignment vertical="top" wrapText="1"/>
    </xf>
    <xf numFmtId="0" fontId="4" fillId="0" borderId="0" xfId="0" applyFont="1"/>
    <xf numFmtId="9" fontId="0" fillId="0" borderId="1" xfId="0" applyNumberFormat="1" applyBorder="1" applyAlignment="1">
      <alignment vertical="top" wrapText="1"/>
    </xf>
    <xf numFmtId="9" fontId="3" fillId="3" borderId="0" xfId="0" applyNumberFormat="1" applyFont="1" applyFill="1"/>
    <xf numFmtId="9" fontId="3" fillId="3" borderId="1" xfId="0" applyNumberFormat="1" applyFont="1" applyFill="1" applyBorder="1"/>
    <xf numFmtId="10" fontId="3" fillId="3" borderId="1" xfId="0" applyNumberFormat="1" applyFont="1" applyFill="1" applyBorder="1"/>
    <xf numFmtId="1" fontId="3" fillId="3" borderId="1" xfId="0" applyNumberFormat="1" applyFont="1" applyFill="1" applyBorder="1"/>
    <xf numFmtId="164" fontId="0" fillId="0" borderId="0" xfId="0" applyNumberFormat="1"/>
    <xf numFmtId="165" fontId="0" fillId="0" borderId="0" xfId="0" applyNumberFormat="1"/>
    <xf numFmtId="0" fontId="0" fillId="0" borderId="0" xfId="0" applyAlignment="1">
      <alignment wrapText="1"/>
    </xf>
    <xf numFmtId="0" fontId="0" fillId="0" borderId="0" xfId="0"/>
    <xf numFmtId="167" fontId="0" fillId="0" borderId="1" xfId="0" applyNumberFormat="1" applyBorder="1"/>
    <xf numFmtId="0" fontId="0" fillId="0" borderId="3" xfId="0" applyBorder="1"/>
    <xf numFmtId="0" fontId="0" fillId="0" borderId="4" xfId="0" applyBorder="1"/>
    <xf numFmtId="0" fontId="3" fillId="0" borderId="0" xfId="0" applyFont="1" applyAlignment="1">
      <alignment wrapText="1"/>
    </xf>
    <xf numFmtId="0" fontId="0" fillId="3" borderId="1" xfId="0" applyFill="1" applyBorder="1"/>
    <xf numFmtId="168" fontId="3" fillId="0" borderId="1" xfId="0" applyNumberFormat="1" applyFont="1" applyBorder="1"/>
    <xf numFmtId="167" fontId="3" fillId="4" borderId="1" xfId="0" applyNumberFormat="1" applyFont="1" applyFill="1" applyBorder="1"/>
    <xf numFmtId="0" fontId="3" fillId="0" borderId="0" xfId="0" applyFont="1"/>
    <xf numFmtId="167" fontId="3" fillId="0" borderId="1" xfId="0" applyNumberFormat="1" applyFont="1" applyBorder="1"/>
    <xf numFmtId="167" fontId="0" fillId="3" borderId="1" xfId="0" applyNumberFormat="1" applyFill="1" applyBorder="1"/>
    <xf numFmtId="0" fontId="0" fillId="0" borderId="0" xfId="0" applyAlignment="1">
      <alignment vertical="top" wrapText="1"/>
    </xf>
  </cellXfs>
  <cellStyles count="1">
    <cellStyle name="Обычный" xfId="0" builtinId="0"/>
  </cellStyles>
  <dxfs count="11">
    <dxf>
      <fill>
        <patternFill patternType="solid">
          <fgColor rgb="FFFFE699"/>
          <bgColor rgb="FFFFE699"/>
        </patternFill>
      </fill>
    </dxf>
    <dxf>
      <fill>
        <patternFill patternType="solid">
          <fgColor rgb="FFE06666"/>
          <bgColor rgb="FFE06666"/>
        </patternFill>
      </fill>
    </dxf>
    <dxf>
      <fill>
        <patternFill patternType="solid">
          <fgColor rgb="FFC6E0B4"/>
          <bgColor rgb="FFC6E0B4"/>
        </patternFill>
      </fill>
    </dxf>
    <dxf>
      <fill>
        <patternFill patternType="solid">
          <fgColor rgb="FFF8CBAD"/>
          <bgColor rgb="FFF8CBAD"/>
        </patternFill>
      </fill>
    </dxf>
    <dxf>
      <fill>
        <patternFill patternType="solid">
          <fgColor rgb="FFC6E0B4"/>
          <bgColor rgb="FFC6E0B4"/>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CE4D6"/>
          <bgColor rgb="FFFCE4D6"/>
        </patternFill>
      </fill>
    </dxf>
    <dxf>
      <fill>
        <patternFill patternType="solid">
          <fgColor rgb="FFF4B183"/>
          <bgColor rgb="FFF4B183"/>
        </patternFill>
      </fill>
    </dxf>
    <dxf>
      <fill>
        <patternFill patternType="solid">
          <fgColor rgb="FFE06666"/>
          <bgColor rgb="FFE0666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30"/>
  <sheetViews>
    <sheetView workbookViewId="0"/>
  </sheetViews>
  <sheetFormatPr defaultRowHeight="15" x14ac:dyDescent="0.25"/>
  <cols>
    <col min="1" max="1" width="4" customWidth="1"/>
    <col min="2" max="2" width="130" customWidth="1"/>
  </cols>
  <sheetData>
    <row r="1" spans="2:2" ht="19.5" x14ac:dyDescent="0.25">
      <c r="B1" s="1" t="s">
        <v>0</v>
      </c>
    </row>
    <row r="2" spans="2:2" ht="30" customHeight="1" x14ac:dyDescent="0.25">
      <c r="B2" s="2" t="s">
        <v>1</v>
      </c>
    </row>
    <row r="3" spans="2:2" ht="15.75" x14ac:dyDescent="0.25">
      <c r="B3" s="3" t="s">
        <v>2</v>
      </c>
    </row>
    <row r="4" spans="2:2" ht="30" customHeight="1" x14ac:dyDescent="0.25">
      <c r="B4" s="4" t="s">
        <v>3</v>
      </c>
    </row>
    <row r="5" spans="2:2" ht="30" customHeight="1" x14ac:dyDescent="0.25">
      <c r="B5" s="4" t="s">
        <v>4</v>
      </c>
    </row>
    <row r="6" spans="2:2" ht="15.75" x14ac:dyDescent="0.25">
      <c r="B6" s="3" t="s">
        <v>5</v>
      </c>
    </row>
    <row r="7" spans="2:2" ht="15" customHeight="1" x14ac:dyDescent="0.25">
      <c r="B7" s="5" t="s">
        <v>6</v>
      </c>
    </row>
    <row r="8" spans="2:2" ht="45" customHeight="1" x14ac:dyDescent="0.25">
      <c r="B8" s="4" t="s">
        <v>7</v>
      </c>
    </row>
    <row r="9" spans="2:2" ht="30" customHeight="1" x14ac:dyDescent="0.25">
      <c r="B9" s="4" t="s">
        <v>8</v>
      </c>
    </row>
    <row r="10" spans="2:2" ht="30" customHeight="1" x14ac:dyDescent="0.25">
      <c r="B10" s="4" t="s">
        <v>9</v>
      </c>
    </row>
    <row r="11" spans="2:2" ht="30" customHeight="1" x14ac:dyDescent="0.25">
      <c r="B11" s="4" t="s">
        <v>10</v>
      </c>
    </row>
    <row r="12" spans="2:2" ht="15" customHeight="1" x14ac:dyDescent="0.25">
      <c r="B12" s="4" t="s">
        <v>11</v>
      </c>
    </row>
    <row r="13" spans="2:2" ht="15.75" x14ac:dyDescent="0.25">
      <c r="B13" s="3" t="s">
        <v>12</v>
      </c>
    </row>
    <row r="14" spans="2:2" ht="30" customHeight="1" x14ac:dyDescent="0.25">
      <c r="B14" s="4" t="s">
        <v>13</v>
      </c>
    </row>
    <row r="15" spans="2:2" ht="30" customHeight="1" x14ac:dyDescent="0.25">
      <c r="B15" s="4" t="s">
        <v>14</v>
      </c>
    </row>
    <row r="16" spans="2:2" ht="15" customHeight="1" x14ac:dyDescent="0.25">
      <c r="B16" s="4" t="s">
        <v>15</v>
      </c>
    </row>
    <row r="17" spans="2:2" ht="15.75" x14ac:dyDescent="0.25">
      <c r="B17" s="3" t="s">
        <v>16</v>
      </c>
    </row>
    <row r="18" spans="2:2" ht="30" customHeight="1" x14ac:dyDescent="0.25">
      <c r="B18" s="4" t="s">
        <v>17</v>
      </c>
    </row>
    <row r="19" spans="2:2" ht="30" customHeight="1" x14ac:dyDescent="0.25">
      <c r="B19" s="4" t="s">
        <v>18</v>
      </c>
    </row>
    <row r="20" spans="2:2" ht="45" customHeight="1" x14ac:dyDescent="0.25">
      <c r="B20" s="4" t="s">
        <v>19</v>
      </c>
    </row>
    <row r="21" spans="2:2" ht="30" customHeight="1" x14ac:dyDescent="0.25">
      <c r="B21" s="4" t="s">
        <v>20</v>
      </c>
    </row>
    <row r="22" spans="2:2" ht="30" customHeight="1" x14ac:dyDescent="0.25">
      <c r="B22" s="4" t="s">
        <v>21</v>
      </c>
    </row>
    <row r="23" spans="2:2" ht="15.75" x14ac:dyDescent="0.25">
      <c r="B23" s="3" t="s">
        <v>22</v>
      </c>
    </row>
    <row r="24" spans="2:2" ht="45" customHeight="1" x14ac:dyDescent="0.25">
      <c r="B24" s="4" t="s">
        <v>23</v>
      </c>
    </row>
    <row r="25" spans="2:2" ht="15" customHeight="1" x14ac:dyDescent="0.25">
      <c r="B25" s="4" t="s">
        <v>24</v>
      </c>
    </row>
    <row r="26" spans="2:2" ht="15.75" x14ac:dyDescent="0.25">
      <c r="B26" s="3" t="s">
        <v>25</v>
      </c>
    </row>
    <row r="27" spans="2:2" ht="15" customHeight="1" x14ac:dyDescent="0.25">
      <c r="B27" s="4" t="s">
        <v>26</v>
      </c>
    </row>
    <row r="28" spans="2:2" ht="30" customHeight="1" x14ac:dyDescent="0.25">
      <c r="B28" s="4" t="s">
        <v>27</v>
      </c>
    </row>
    <row r="29" spans="2:2" ht="45" customHeight="1" x14ac:dyDescent="0.25">
      <c r="B29" s="4" t="s">
        <v>28</v>
      </c>
    </row>
    <row r="30" spans="2:2" ht="30" customHeight="1" x14ac:dyDescent="0.25">
      <c r="B30" s="4"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5"/>
  <sheetViews>
    <sheetView tabSelected="1" workbookViewId="0">
      <pane xSplit="3" ySplit="12" topLeftCell="D13" activePane="bottomRight" state="frozen"/>
      <selection pane="topRight"/>
      <selection pane="bottomLeft"/>
      <selection pane="bottomRight"/>
    </sheetView>
  </sheetViews>
  <sheetFormatPr defaultRowHeight="15" x14ac:dyDescent="0.25"/>
  <cols>
    <col min="1" max="1" width="5" customWidth="1"/>
    <col min="2" max="2" width="11" customWidth="1"/>
    <col min="3" max="3" width="50" customWidth="1"/>
    <col min="4" max="4" width="30" customWidth="1"/>
    <col min="5" max="5" width="10" customWidth="1"/>
    <col min="6" max="6" width="9" customWidth="1"/>
    <col min="7" max="8" width="12" customWidth="1"/>
    <col min="9" max="9" width="14" customWidth="1"/>
    <col min="10" max="10" width="12" customWidth="1"/>
    <col min="11" max="17" width="14" customWidth="1"/>
    <col min="18" max="18" width="13" customWidth="1"/>
  </cols>
  <sheetData>
    <row r="1" spans="1:18" ht="18.75" x14ac:dyDescent="0.3">
      <c r="A1" s="6" t="s">
        <v>30</v>
      </c>
    </row>
    <row r="3" spans="1:18" x14ac:dyDescent="0.25">
      <c r="A3" s="47" t="s">
        <v>31</v>
      </c>
      <c r="B3" s="39"/>
      <c r="C3" s="39"/>
      <c r="D3" s="44"/>
      <c r="E3" s="41"/>
      <c r="F3" s="41"/>
      <c r="G3" s="42"/>
      <c r="J3" s="39" t="s">
        <v>32</v>
      </c>
      <c r="K3" s="39"/>
      <c r="L3" s="39"/>
      <c r="M3" s="9">
        <f>IFERROR(INDEX(Параметры!$B$4:$B$8,MATCH($D$4,Параметры!$E$4:$E$8,0)),0)</f>
        <v>0.03</v>
      </c>
    </row>
    <row r="4" spans="1:18" x14ac:dyDescent="0.25">
      <c r="A4" s="47" t="s">
        <v>33</v>
      </c>
      <c r="B4" s="39"/>
      <c r="C4" s="39"/>
      <c r="D4" s="44" t="s">
        <v>34</v>
      </c>
      <c r="E4" s="41"/>
      <c r="F4" s="41"/>
      <c r="G4" s="42"/>
      <c r="J4" s="39" t="s">
        <v>35</v>
      </c>
      <c r="K4" s="39"/>
      <c r="L4" s="39"/>
      <c r="M4" s="9">
        <f>MAX(0,$D$7-Параметры!$B$10)*Параметры!$B$9</f>
        <v>0</v>
      </c>
    </row>
    <row r="5" spans="1:18" x14ac:dyDescent="0.25">
      <c r="A5" s="47" t="s">
        <v>36</v>
      </c>
      <c r="B5" s="39"/>
      <c r="C5" s="39"/>
      <c r="D5" s="44" t="s">
        <v>37</v>
      </c>
      <c r="E5" s="41"/>
      <c r="F5" s="41"/>
      <c r="G5" s="42"/>
      <c r="J5" s="39" t="s">
        <v>38</v>
      </c>
      <c r="K5" s="39"/>
      <c r="L5" s="39"/>
      <c r="M5" s="9">
        <f>IF($D$8="нет",$D$9*Параметры!$B$11,0)</f>
        <v>0</v>
      </c>
    </row>
    <row r="6" spans="1:18" x14ac:dyDescent="0.25">
      <c r="A6" s="47" t="s">
        <v>39</v>
      </c>
      <c r="B6" s="39"/>
      <c r="C6" s="39"/>
      <c r="D6" s="44" t="s">
        <v>40</v>
      </c>
      <c r="E6" s="41"/>
      <c r="F6" s="41"/>
      <c r="G6" s="42"/>
      <c r="J6" s="39" t="s">
        <v>41</v>
      </c>
      <c r="K6" s="39"/>
      <c r="L6" s="39"/>
      <c r="M6" s="9">
        <f>INDEX('Тип тендера'!$B$5:$B$9,MATCH($D$6,'Тип тендера'!$A$5:$A$9,0))</f>
        <v>0.3</v>
      </c>
    </row>
    <row r="7" spans="1:18" x14ac:dyDescent="0.25">
      <c r="A7" s="47" t="s">
        <v>42</v>
      </c>
      <c r="B7" s="39"/>
      <c r="C7" s="39"/>
      <c r="D7" s="44">
        <v>1</v>
      </c>
      <c r="E7" s="41"/>
      <c r="F7" s="41"/>
      <c r="G7" s="42"/>
      <c r="J7" s="39" t="s">
        <v>43</v>
      </c>
      <c r="K7" s="39"/>
      <c r="L7" s="39"/>
      <c r="M7" s="9">
        <f>INDEX('Тип тендера'!$C$5:$C$9,MATCH($D$6,'Тип тендера'!$A$5:$A$9,0))</f>
        <v>0.4</v>
      </c>
    </row>
    <row r="8" spans="1:18" x14ac:dyDescent="0.25">
      <c r="A8" s="47" t="s">
        <v>44</v>
      </c>
      <c r="B8" s="39"/>
      <c r="C8" s="39"/>
      <c r="D8" s="44" t="s">
        <v>45</v>
      </c>
      <c r="E8" s="41"/>
      <c r="F8" s="41"/>
      <c r="G8" s="42"/>
      <c r="J8" s="39" t="s">
        <v>46</v>
      </c>
      <c r="K8" s="39"/>
      <c r="L8" s="39"/>
      <c r="M8" s="9" t="str">
        <f>IF(OR($D$4="Москва",$D$4="Подмосковье"),"Мск","СПб")</f>
        <v>СПб</v>
      </c>
    </row>
    <row r="9" spans="1:18" x14ac:dyDescent="0.25">
      <c r="A9" s="47" t="s">
        <v>47</v>
      </c>
      <c r="B9" s="39"/>
      <c r="C9" s="39"/>
      <c r="D9" s="44">
        <v>2</v>
      </c>
      <c r="E9" s="41"/>
      <c r="F9" s="41"/>
      <c r="G9" s="42"/>
    </row>
    <row r="11" spans="1:18" ht="15.75" x14ac:dyDescent="0.25">
      <c r="A11" s="10" t="s">
        <v>48</v>
      </c>
    </row>
    <row r="12" spans="1:18" ht="80.099999999999994" customHeight="1" x14ac:dyDescent="0.25">
      <c r="A12" s="11" t="s">
        <v>49</v>
      </c>
      <c r="B12" s="11" t="s">
        <v>50</v>
      </c>
      <c r="C12" s="11" t="s">
        <v>51</v>
      </c>
      <c r="D12" s="11" t="s">
        <v>52</v>
      </c>
      <c r="E12" s="11" t="s">
        <v>53</v>
      </c>
      <c r="F12" s="11" t="s">
        <v>54</v>
      </c>
      <c r="G12" s="11" t="s">
        <v>55</v>
      </c>
      <c r="H12" s="11" t="s">
        <v>56</v>
      </c>
      <c r="I12" s="11" t="s">
        <v>57</v>
      </c>
      <c r="J12" s="11" t="s">
        <v>58</v>
      </c>
      <c r="K12" s="11" t="s">
        <v>59</v>
      </c>
      <c r="L12" s="11" t="s">
        <v>60</v>
      </c>
      <c r="M12" s="11" t="s">
        <v>61</v>
      </c>
      <c r="N12" s="11" t="s">
        <v>62</v>
      </c>
      <c r="O12" s="11" t="s">
        <v>63</v>
      </c>
      <c r="P12" s="11" t="s">
        <v>64</v>
      </c>
      <c r="Q12" s="11" t="s">
        <v>65</v>
      </c>
      <c r="R12" s="11" t="s">
        <v>66</v>
      </c>
    </row>
    <row r="13" spans="1:18" x14ac:dyDescent="0.25">
      <c r="A13" s="12">
        <v>1</v>
      </c>
      <c r="B13" s="8" t="s">
        <v>67</v>
      </c>
      <c r="C13" s="12" t="str">
        <f>IF(B13="","",IFERROR(INDEX(Тарификатор!$B$5:$B$2356,MATCH(B13,Тарификатор!$A$5:$A$2356,0)),"НЕТ ТАКОГО АРТИКУЛА"))</f>
        <v>Устройство покрытий пола из плит керамической плитки/керамогранита с огрунтовкой основания и затиркой швов на клее из цементных сухих смесей</v>
      </c>
      <c r="D13" s="12" t="str">
        <f>IF(B13="","",IFERROR(INDEX(Тарификатор!$C$5:$C$2356,MATCH(B13,Тарификатор!$A$5:$A$2356,0)),""))</f>
        <v>м2</v>
      </c>
      <c r="E13" s="13">
        <v>250</v>
      </c>
      <c r="F13" s="12" t="str">
        <f>IF(B13="","",IFERROR(INDEX(Тарификатор!$D$5:$D$2356,MATCH(B13,Тарификатор!$A$5:$A$2356,0)),""))</f>
        <v>PLI</v>
      </c>
      <c r="G13" s="14">
        <f>IF(B13="","",IFERROR(IF($M$8="Мск",INDEX(Тарификатор!$F$5:$F$2356,MATCH(B13,Тарификатор!$A$5:$A$2356,0)),INDEX(Тарификатор!$E$5:$E$2356,MATCH(B13,Тарификатор!$A$5:$A$2356,0))),0))</f>
        <v>1800</v>
      </c>
      <c r="H13" s="15">
        <f>IF(B13="","",IFERROR(IF($M$8="Мск",INDEX(Тарификатор!$J$5:$J$2356,MATCH(B13,Тарификатор!$A$5:$A$2356,0)),INDEX(Тарификатор!$I$5:$I$2356,MATCH(B13,Тарификатор!$A$5:$A$2356,0))),0))</f>
        <v>0.125</v>
      </c>
      <c r="I13" s="14">
        <f t="shared" ref="I13:I52" si="0">IF(OR(G13="",E13=""),"",ROUND(G13*E13,2))</f>
        <v>450000</v>
      </c>
      <c r="J13" s="14">
        <f>IF(B13="","",IFERROR(IF($M$8="Мск",INDEX(Тарификатор!$H$5:$H$2356,MATCH(B13,Тарификатор!$A$5:$A$2356,0)),INDEX(Тарификатор!$G$5:$G$2356,MATCH(B13,Тарификатор!$A$5:$A$2356,0))),0))</f>
        <v>1000</v>
      </c>
      <c r="K13" s="14">
        <f t="shared" ref="K13:K52" si="1">IF(OR(J13="",E13=""),"",ROUND(J13*E13,2))</f>
        <v>250000</v>
      </c>
      <c r="L13" s="15">
        <f>IF(F13="","",IFERROR(INDEX('Расходники к работам'!$C$5:$C$24,MATCH(F13,'Расходники к работам'!$A$5:$A$24,0)),0))</f>
        <v>0.02</v>
      </c>
      <c r="M13" s="14">
        <f t="shared" ref="M13:M52" si="2">IF(K13="","",ROUND(K13*L13,2))</f>
        <v>5000</v>
      </c>
      <c r="N13" s="14">
        <f t="shared" ref="N13:N52" si="3">IF(B13="","",SUMIF($B$58:$B$177,B13,$L$58:$L$177))</f>
        <v>389143.88</v>
      </c>
      <c r="O13" s="14">
        <f t="shared" ref="O13:O52" si="4">IF(B13="","",SUMIF($B$58:$B$177,B13,$O$58:$O$177))</f>
        <v>436031.75</v>
      </c>
      <c r="P13" s="16">
        <f t="shared" ref="P13:P52" si="5">IF(OR(I13="",E13="",E13=0),"",ROUND((I13+O13)/E13,2))</f>
        <v>3544.13</v>
      </c>
      <c r="Q13" s="14">
        <f t="shared" ref="Q13:Q52" si="6">IF(K13="","",K13+M13+N13)</f>
        <v>644143.88</v>
      </c>
      <c r="R13" s="15">
        <f t="shared" ref="R13:R52" si="7">IF(Q13="","",IF(N(I13)+N(O13)=0,"",1-Q13/(N(I13)+N(O13))))</f>
        <v>0.27300135689268468</v>
      </c>
    </row>
    <row r="14" spans="1:18" x14ac:dyDescent="0.25">
      <c r="A14" s="12">
        <v>2</v>
      </c>
      <c r="B14" s="8" t="s">
        <v>68</v>
      </c>
      <c r="C14" s="12" t="str">
        <f>IF(B14="","",IFERROR(INDEX(Тарификатор!$B$5:$B$2356,MATCH(B14,Тарификатор!$A$5:$A$2356,0)),"НЕТ ТАКОГО АРТИКУЛА"))</f>
        <v>Прокладка кабеля до 16 мм² открыто по стенам/потолку с креплением скобами/клипсами</v>
      </c>
      <c r="D14" s="12" t="str">
        <f>IF(B14="","",IFERROR(INDEX(Тарификатор!$C$5:$C$2356,MATCH(B14,Тарификатор!$A$5:$A$2356,0)),""))</f>
        <v>мп</v>
      </c>
      <c r="E14" s="13">
        <v>1200</v>
      </c>
      <c r="F14" s="12" t="str">
        <f>IF(B14="","",IFERROR(INDEX(Тарификатор!$D$5:$D$2356,MATCH(B14,Тарификатор!$A$5:$A$2356,0)),""))</f>
        <v>ELM</v>
      </c>
      <c r="G14" s="14">
        <f>IF(B14="","",IFERROR(IF($M$8="Мск",INDEX(Тарификатор!$F$5:$F$2356,MATCH(B14,Тарификатор!$A$5:$A$2356,0)),INDEX(Тарификатор!$E$5:$E$2356,MATCH(B14,Тарификатор!$A$5:$A$2356,0))),0))</f>
        <v>220</v>
      </c>
      <c r="H14" s="15">
        <f>IF(B14="","",IFERROR(IF($M$8="Мск",INDEX(Тарификатор!$J$5:$J$2356,MATCH(B14,Тарификатор!$A$5:$A$2356,0)),INDEX(Тарификатор!$I$5:$I$2356,MATCH(B14,Тарификатор!$A$5:$A$2356,0))),0))</f>
        <v>0</v>
      </c>
      <c r="I14" s="14">
        <f t="shared" si="0"/>
        <v>264000</v>
      </c>
      <c r="J14" s="14">
        <f>IF(B14="","",IFERROR(IF($M$8="Мск",INDEX(Тарификатор!$H$5:$H$2356,MATCH(B14,Тарификатор!$A$5:$A$2356,0)),INDEX(Тарификатор!$G$5:$G$2356,MATCH(B14,Тарификатор!$A$5:$A$2356,0))),0))</f>
        <v>135</v>
      </c>
      <c r="K14" s="14">
        <f t="shared" si="1"/>
        <v>162000</v>
      </c>
      <c r="L14" s="15">
        <f>IF(F14="","",IFERROR(INDEX('Расходники к работам'!$C$5:$C$24,MATCH(F14,'Расходники к работам'!$A$5:$A$24,0)),0))</f>
        <v>0.02</v>
      </c>
      <c r="M14" s="14">
        <f t="shared" si="2"/>
        <v>3240</v>
      </c>
      <c r="N14" s="14">
        <f t="shared" si="3"/>
        <v>140724</v>
      </c>
      <c r="O14" s="14">
        <f t="shared" si="4"/>
        <v>157620</v>
      </c>
      <c r="P14" s="16">
        <f t="shared" si="5"/>
        <v>351.35</v>
      </c>
      <c r="Q14" s="14">
        <f t="shared" si="6"/>
        <v>305964</v>
      </c>
      <c r="R14" s="15">
        <f t="shared" si="7"/>
        <v>0.27431336274370288</v>
      </c>
    </row>
    <row r="15" spans="1:18" x14ac:dyDescent="0.25">
      <c r="A15" s="12">
        <v>3</v>
      </c>
      <c r="B15" s="8"/>
      <c r="C15" s="12" t="str">
        <f>IF(B15="","",IFERROR(INDEX(Тарификатор!$B$5:$B$2356,MATCH(B15,Тарификатор!$A$5:$A$2356,0)),"НЕТ ТАКОГО АРТИКУЛА"))</f>
        <v/>
      </c>
      <c r="D15" s="12" t="str">
        <f>IF(B15="","",IFERROR(INDEX(Тарификатор!$C$5:$C$2356,MATCH(B15,Тарификатор!$A$5:$A$2356,0)),""))</f>
        <v/>
      </c>
      <c r="E15" s="13"/>
      <c r="F15" s="12" t="str">
        <f>IF(B15="","",IFERROR(INDEX(Тарификатор!$D$5:$D$2356,MATCH(B15,Тарификатор!$A$5:$A$2356,0)),""))</f>
        <v/>
      </c>
      <c r="G15" s="14" t="str">
        <f>IF(B15="","",IFERROR(IF($M$8="Мск",INDEX(Тарификатор!$F$5:$F$2356,MATCH(B15,Тарификатор!$A$5:$A$2356,0)),INDEX(Тарификатор!$E$5:$E$2356,MATCH(B15,Тарификатор!$A$5:$A$2356,0))),0))</f>
        <v/>
      </c>
      <c r="H15" s="15" t="str">
        <f>IF(B15="","",IFERROR(IF($M$8="Мск",INDEX(Тарификатор!$J$5:$J$2356,MATCH(B15,Тарификатор!$A$5:$A$2356,0)),INDEX(Тарификатор!$I$5:$I$2356,MATCH(B15,Тарификатор!$A$5:$A$2356,0))),0))</f>
        <v/>
      </c>
      <c r="I15" s="14" t="str">
        <f t="shared" si="0"/>
        <v/>
      </c>
      <c r="J15" s="14" t="str">
        <f>IF(B15="","",IFERROR(IF($M$8="Мск",INDEX(Тарификатор!$H$5:$H$2356,MATCH(B15,Тарификатор!$A$5:$A$2356,0)),INDEX(Тарификатор!$G$5:$G$2356,MATCH(B15,Тарификатор!$A$5:$A$2356,0))),0))</f>
        <v/>
      </c>
      <c r="K15" s="14" t="str">
        <f t="shared" si="1"/>
        <v/>
      </c>
      <c r="L15" s="15" t="str">
        <f>IF(F15="","",IFERROR(INDEX('Расходники к работам'!$C$5:$C$24,MATCH(F15,'Расходники к работам'!$A$5:$A$24,0)),0))</f>
        <v/>
      </c>
      <c r="M15" s="14" t="str">
        <f t="shared" si="2"/>
        <v/>
      </c>
      <c r="N15" s="14" t="str">
        <f t="shared" si="3"/>
        <v/>
      </c>
      <c r="O15" s="14" t="str">
        <f t="shared" si="4"/>
        <v/>
      </c>
      <c r="P15" s="16" t="str">
        <f t="shared" si="5"/>
        <v/>
      </c>
      <c r="Q15" s="14" t="str">
        <f t="shared" si="6"/>
        <v/>
      </c>
      <c r="R15" s="15" t="str">
        <f t="shared" si="7"/>
        <v/>
      </c>
    </row>
    <row r="16" spans="1:18" x14ac:dyDescent="0.25">
      <c r="A16" s="12">
        <v>4</v>
      </c>
      <c r="B16" s="8"/>
      <c r="C16" s="12" t="str">
        <f>IF(B16="","",IFERROR(INDEX(Тарификатор!$B$5:$B$2356,MATCH(B16,Тарификатор!$A$5:$A$2356,0)),"НЕТ ТАКОГО АРТИКУЛА"))</f>
        <v/>
      </c>
      <c r="D16" s="12" t="str">
        <f>IF(B16="","",IFERROR(INDEX(Тарификатор!$C$5:$C$2356,MATCH(B16,Тарификатор!$A$5:$A$2356,0)),""))</f>
        <v/>
      </c>
      <c r="E16" s="13"/>
      <c r="F16" s="12" t="str">
        <f>IF(B16="","",IFERROR(INDEX(Тарификатор!$D$5:$D$2356,MATCH(B16,Тарификатор!$A$5:$A$2356,0)),""))</f>
        <v/>
      </c>
      <c r="G16" s="14" t="str">
        <f>IF(B16="","",IFERROR(IF($M$8="Мск",INDEX(Тарификатор!$F$5:$F$2356,MATCH(B16,Тарификатор!$A$5:$A$2356,0)),INDEX(Тарификатор!$E$5:$E$2356,MATCH(B16,Тарификатор!$A$5:$A$2356,0))),0))</f>
        <v/>
      </c>
      <c r="H16" s="15" t="str">
        <f>IF(B16="","",IFERROR(IF($M$8="Мск",INDEX(Тарификатор!$J$5:$J$2356,MATCH(B16,Тарификатор!$A$5:$A$2356,0)),INDEX(Тарификатор!$I$5:$I$2356,MATCH(B16,Тарификатор!$A$5:$A$2356,0))),0))</f>
        <v/>
      </c>
      <c r="I16" s="14" t="str">
        <f t="shared" si="0"/>
        <v/>
      </c>
      <c r="J16" s="14" t="str">
        <f>IF(B16="","",IFERROR(IF($M$8="Мск",INDEX(Тарификатор!$H$5:$H$2356,MATCH(B16,Тарификатор!$A$5:$A$2356,0)),INDEX(Тарификатор!$G$5:$G$2356,MATCH(B16,Тарификатор!$A$5:$A$2356,0))),0))</f>
        <v/>
      </c>
      <c r="K16" s="14" t="str">
        <f t="shared" si="1"/>
        <v/>
      </c>
      <c r="L16" s="15" t="str">
        <f>IF(F16="","",IFERROR(INDEX('Расходники к работам'!$C$5:$C$24,MATCH(F16,'Расходники к работам'!$A$5:$A$24,0)),0))</f>
        <v/>
      </c>
      <c r="M16" s="14" t="str">
        <f t="shared" si="2"/>
        <v/>
      </c>
      <c r="N16" s="14" t="str">
        <f t="shared" si="3"/>
        <v/>
      </c>
      <c r="O16" s="14" t="str">
        <f t="shared" si="4"/>
        <v/>
      </c>
      <c r="P16" s="16" t="str">
        <f t="shared" si="5"/>
        <v/>
      </c>
      <c r="Q16" s="14" t="str">
        <f t="shared" si="6"/>
        <v/>
      </c>
      <c r="R16" s="15" t="str">
        <f t="shared" si="7"/>
        <v/>
      </c>
    </row>
    <row r="17" spans="1:18" x14ac:dyDescent="0.25">
      <c r="A17" s="12">
        <v>5</v>
      </c>
      <c r="B17" s="8"/>
      <c r="C17" s="12" t="str">
        <f>IF(B17="","",IFERROR(INDEX(Тарификатор!$B$5:$B$2356,MATCH(B17,Тарификатор!$A$5:$A$2356,0)),"НЕТ ТАКОГО АРТИКУЛА"))</f>
        <v/>
      </c>
      <c r="D17" s="12" t="str">
        <f>IF(B17="","",IFERROR(INDEX(Тарификатор!$C$5:$C$2356,MATCH(B17,Тарификатор!$A$5:$A$2356,0)),""))</f>
        <v/>
      </c>
      <c r="E17" s="13"/>
      <c r="F17" s="12" t="str">
        <f>IF(B17="","",IFERROR(INDEX(Тарификатор!$D$5:$D$2356,MATCH(B17,Тарификатор!$A$5:$A$2356,0)),""))</f>
        <v/>
      </c>
      <c r="G17" s="14" t="str">
        <f>IF(B17="","",IFERROR(IF($M$8="Мск",INDEX(Тарификатор!$F$5:$F$2356,MATCH(B17,Тарификатор!$A$5:$A$2356,0)),INDEX(Тарификатор!$E$5:$E$2356,MATCH(B17,Тарификатор!$A$5:$A$2356,0))),0))</f>
        <v/>
      </c>
      <c r="H17" s="15" t="str">
        <f>IF(B17="","",IFERROR(IF($M$8="Мск",INDEX(Тарификатор!$J$5:$J$2356,MATCH(B17,Тарификатор!$A$5:$A$2356,0)),INDEX(Тарификатор!$I$5:$I$2356,MATCH(B17,Тарификатор!$A$5:$A$2356,0))),0))</f>
        <v/>
      </c>
      <c r="I17" s="14" t="str">
        <f t="shared" si="0"/>
        <v/>
      </c>
      <c r="J17" s="14" t="str">
        <f>IF(B17="","",IFERROR(IF($M$8="Мск",INDEX(Тарификатор!$H$5:$H$2356,MATCH(B17,Тарификатор!$A$5:$A$2356,0)),INDEX(Тарификатор!$G$5:$G$2356,MATCH(B17,Тарификатор!$A$5:$A$2356,0))),0))</f>
        <v/>
      </c>
      <c r="K17" s="14" t="str">
        <f t="shared" si="1"/>
        <v/>
      </c>
      <c r="L17" s="15" t="str">
        <f>IF(F17="","",IFERROR(INDEX('Расходники к работам'!$C$5:$C$24,MATCH(F17,'Расходники к работам'!$A$5:$A$24,0)),0))</f>
        <v/>
      </c>
      <c r="M17" s="14" t="str">
        <f t="shared" si="2"/>
        <v/>
      </c>
      <c r="N17" s="14" t="str">
        <f t="shared" si="3"/>
        <v/>
      </c>
      <c r="O17" s="14" t="str">
        <f t="shared" si="4"/>
        <v/>
      </c>
      <c r="P17" s="16" t="str">
        <f t="shared" si="5"/>
        <v/>
      </c>
      <c r="Q17" s="14" t="str">
        <f t="shared" si="6"/>
        <v/>
      </c>
      <c r="R17" s="15" t="str">
        <f t="shared" si="7"/>
        <v/>
      </c>
    </row>
    <row r="18" spans="1:18" x14ac:dyDescent="0.25">
      <c r="A18" s="12">
        <v>6</v>
      </c>
      <c r="B18" s="8"/>
      <c r="C18" s="12" t="str">
        <f>IF(B18="","",IFERROR(INDEX(Тарификатор!$B$5:$B$2356,MATCH(B18,Тарификатор!$A$5:$A$2356,0)),"НЕТ ТАКОГО АРТИКУЛА"))</f>
        <v/>
      </c>
      <c r="D18" s="12" t="str">
        <f>IF(B18="","",IFERROR(INDEX(Тарификатор!$C$5:$C$2356,MATCH(B18,Тарификатор!$A$5:$A$2356,0)),""))</f>
        <v/>
      </c>
      <c r="E18" s="13"/>
      <c r="F18" s="12" t="str">
        <f>IF(B18="","",IFERROR(INDEX(Тарификатор!$D$5:$D$2356,MATCH(B18,Тарификатор!$A$5:$A$2356,0)),""))</f>
        <v/>
      </c>
      <c r="G18" s="14" t="str">
        <f>IF(B18="","",IFERROR(IF($M$8="Мск",INDEX(Тарификатор!$F$5:$F$2356,MATCH(B18,Тарификатор!$A$5:$A$2356,0)),INDEX(Тарификатор!$E$5:$E$2356,MATCH(B18,Тарификатор!$A$5:$A$2356,0))),0))</f>
        <v/>
      </c>
      <c r="H18" s="15" t="str">
        <f>IF(B18="","",IFERROR(IF($M$8="Мск",INDEX(Тарификатор!$J$5:$J$2356,MATCH(B18,Тарификатор!$A$5:$A$2356,0)),INDEX(Тарификатор!$I$5:$I$2356,MATCH(B18,Тарификатор!$A$5:$A$2356,0))),0))</f>
        <v/>
      </c>
      <c r="I18" s="14" t="str">
        <f t="shared" si="0"/>
        <v/>
      </c>
      <c r="J18" s="14" t="str">
        <f>IF(B18="","",IFERROR(IF($M$8="Мск",INDEX(Тарификатор!$H$5:$H$2356,MATCH(B18,Тарификатор!$A$5:$A$2356,0)),INDEX(Тарификатор!$G$5:$G$2356,MATCH(B18,Тарификатор!$A$5:$A$2356,0))),0))</f>
        <v/>
      </c>
      <c r="K18" s="14" t="str">
        <f t="shared" si="1"/>
        <v/>
      </c>
      <c r="L18" s="15" t="str">
        <f>IF(F18="","",IFERROR(INDEX('Расходники к работам'!$C$5:$C$24,MATCH(F18,'Расходники к работам'!$A$5:$A$24,0)),0))</f>
        <v/>
      </c>
      <c r="M18" s="14" t="str">
        <f t="shared" si="2"/>
        <v/>
      </c>
      <c r="N18" s="14" t="str">
        <f t="shared" si="3"/>
        <v/>
      </c>
      <c r="O18" s="14" t="str">
        <f t="shared" si="4"/>
        <v/>
      </c>
      <c r="P18" s="16" t="str">
        <f t="shared" si="5"/>
        <v/>
      </c>
      <c r="Q18" s="14" t="str">
        <f t="shared" si="6"/>
        <v/>
      </c>
      <c r="R18" s="15" t="str">
        <f t="shared" si="7"/>
        <v/>
      </c>
    </row>
    <row r="19" spans="1:18" x14ac:dyDescent="0.25">
      <c r="A19" s="12">
        <v>7</v>
      </c>
      <c r="B19" s="8"/>
      <c r="C19" s="12" t="str">
        <f>IF(B19="","",IFERROR(INDEX(Тарификатор!$B$5:$B$2356,MATCH(B19,Тарификатор!$A$5:$A$2356,0)),"НЕТ ТАКОГО АРТИКУЛА"))</f>
        <v/>
      </c>
      <c r="D19" s="12" t="str">
        <f>IF(B19="","",IFERROR(INDEX(Тарификатор!$C$5:$C$2356,MATCH(B19,Тарификатор!$A$5:$A$2356,0)),""))</f>
        <v/>
      </c>
      <c r="E19" s="13"/>
      <c r="F19" s="12" t="str">
        <f>IF(B19="","",IFERROR(INDEX(Тарификатор!$D$5:$D$2356,MATCH(B19,Тарификатор!$A$5:$A$2356,0)),""))</f>
        <v/>
      </c>
      <c r="G19" s="14" t="str">
        <f>IF(B19="","",IFERROR(IF($M$8="Мск",INDEX(Тарификатор!$F$5:$F$2356,MATCH(B19,Тарификатор!$A$5:$A$2356,0)),INDEX(Тарификатор!$E$5:$E$2356,MATCH(B19,Тарификатор!$A$5:$A$2356,0))),0))</f>
        <v/>
      </c>
      <c r="H19" s="15" t="str">
        <f>IF(B19="","",IFERROR(IF($M$8="Мск",INDEX(Тарификатор!$J$5:$J$2356,MATCH(B19,Тарификатор!$A$5:$A$2356,0)),INDEX(Тарификатор!$I$5:$I$2356,MATCH(B19,Тарификатор!$A$5:$A$2356,0))),0))</f>
        <v/>
      </c>
      <c r="I19" s="14" t="str">
        <f t="shared" si="0"/>
        <v/>
      </c>
      <c r="J19" s="14" t="str">
        <f>IF(B19="","",IFERROR(IF($M$8="Мск",INDEX(Тарификатор!$H$5:$H$2356,MATCH(B19,Тарификатор!$A$5:$A$2356,0)),INDEX(Тарификатор!$G$5:$G$2356,MATCH(B19,Тарификатор!$A$5:$A$2356,0))),0))</f>
        <v/>
      </c>
      <c r="K19" s="14" t="str">
        <f t="shared" si="1"/>
        <v/>
      </c>
      <c r="L19" s="15" t="str">
        <f>IF(F19="","",IFERROR(INDEX('Расходники к работам'!$C$5:$C$24,MATCH(F19,'Расходники к работам'!$A$5:$A$24,0)),0))</f>
        <v/>
      </c>
      <c r="M19" s="14" t="str">
        <f t="shared" si="2"/>
        <v/>
      </c>
      <c r="N19" s="14" t="str">
        <f t="shared" si="3"/>
        <v/>
      </c>
      <c r="O19" s="14" t="str">
        <f t="shared" si="4"/>
        <v/>
      </c>
      <c r="P19" s="16" t="str">
        <f t="shared" si="5"/>
        <v/>
      </c>
      <c r="Q19" s="14" t="str">
        <f t="shared" si="6"/>
        <v/>
      </c>
      <c r="R19" s="15" t="str">
        <f t="shared" si="7"/>
        <v/>
      </c>
    </row>
    <row r="20" spans="1:18" x14ac:dyDescent="0.25">
      <c r="A20" s="12">
        <v>8</v>
      </c>
      <c r="B20" s="8"/>
      <c r="C20" s="12" t="str">
        <f>IF(B20="","",IFERROR(INDEX(Тарификатор!$B$5:$B$2356,MATCH(B20,Тарификатор!$A$5:$A$2356,0)),"НЕТ ТАКОГО АРТИКУЛА"))</f>
        <v/>
      </c>
      <c r="D20" s="12" t="str">
        <f>IF(B20="","",IFERROR(INDEX(Тарификатор!$C$5:$C$2356,MATCH(B20,Тарификатор!$A$5:$A$2356,0)),""))</f>
        <v/>
      </c>
      <c r="E20" s="13"/>
      <c r="F20" s="12" t="str">
        <f>IF(B20="","",IFERROR(INDEX(Тарификатор!$D$5:$D$2356,MATCH(B20,Тарификатор!$A$5:$A$2356,0)),""))</f>
        <v/>
      </c>
      <c r="G20" s="14" t="str">
        <f>IF(B20="","",IFERROR(IF($M$8="Мск",INDEX(Тарификатор!$F$5:$F$2356,MATCH(B20,Тарификатор!$A$5:$A$2356,0)),INDEX(Тарификатор!$E$5:$E$2356,MATCH(B20,Тарификатор!$A$5:$A$2356,0))),0))</f>
        <v/>
      </c>
      <c r="H20" s="15" t="str">
        <f>IF(B20="","",IFERROR(IF($M$8="Мск",INDEX(Тарификатор!$J$5:$J$2356,MATCH(B20,Тарификатор!$A$5:$A$2356,0)),INDEX(Тарификатор!$I$5:$I$2356,MATCH(B20,Тарификатор!$A$5:$A$2356,0))),0))</f>
        <v/>
      </c>
      <c r="I20" s="14" t="str">
        <f t="shared" si="0"/>
        <v/>
      </c>
      <c r="J20" s="14" t="str">
        <f>IF(B20="","",IFERROR(IF($M$8="Мск",INDEX(Тарификатор!$H$5:$H$2356,MATCH(B20,Тарификатор!$A$5:$A$2356,0)),INDEX(Тарификатор!$G$5:$G$2356,MATCH(B20,Тарификатор!$A$5:$A$2356,0))),0))</f>
        <v/>
      </c>
      <c r="K20" s="14" t="str">
        <f t="shared" si="1"/>
        <v/>
      </c>
      <c r="L20" s="15" t="str">
        <f>IF(F20="","",IFERROR(INDEX('Расходники к работам'!$C$5:$C$24,MATCH(F20,'Расходники к работам'!$A$5:$A$24,0)),0))</f>
        <v/>
      </c>
      <c r="M20" s="14" t="str">
        <f t="shared" si="2"/>
        <v/>
      </c>
      <c r="N20" s="14" t="str">
        <f t="shared" si="3"/>
        <v/>
      </c>
      <c r="O20" s="14" t="str">
        <f t="shared" si="4"/>
        <v/>
      </c>
      <c r="P20" s="16" t="str">
        <f t="shared" si="5"/>
        <v/>
      </c>
      <c r="Q20" s="14" t="str">
        <f t="shared" si="6"/>
        <v/>
      </c>
      <c r="R20" s="15" t="str">
        <f t="shared" si="7"/>
        <v/>
      </c>
    </row>
    <row r="21" spans="1:18" x14ac:dyDescent="0.25">
      <c r="A21" s="12">
        <v>9</v>
      </c>
      <c r="B21" s="8"/>
      <c r="C21" s="12" t="str">
        <f>IF(B21="","",IFERROR(INDEX(Тарификатор!$B$5:$B$2356,MATCH(B21,Тарификатор!$A$5:$A$2356,0)),"НЕТ ТАКОГО АРТИКУЛА"))</f>
        <v/>
      </c>
      <c r="D21" s="12" t="str">
        <f>IF(B21="","",IFERROR(INDEX(Тарификатор!$C$5:$C$2356,MATCH(B21,Тарификатор!$A$5:$A$2356,0)),""))</f>
        <v/>
      </c>
      <c r="E21" s="13"/>
      <c r="F21" s="12" t="str">
        <f>IF(B21="","",IFERROR(INDEX(Тарификатор!$D$5:$D$2356,MATCH(B21,Тарификатор!$A$5:$A$2356,0)),""))</f>
        <v/>
      </c>
      <c r="G21" s="14" t="str">
        <f>IF(B21="","",IFERROR(IF($M$8="Мск",INDEX(Тарификатор!$F$5:$F$2356,MATCH(B21,Тарификатор!$A$5:$A$2356,0)),INDEX(Тарификатор!$E$5:$E$2356,MATCH(B21,Тарификатор!$A$5:$A$2356,0))),0))</f>
        <v/>
      </c>
      <c r="H21" s="15" t="str">
        <f>IF(B21="","",IFERROR(IF($M$8="Мск",INDEX(Тарификатор!$J$5:$J$2356,MATCH(B21,Тарификатор!$A$5:$A$2356,0)),INDEX(Тарификатор!$I$5:$I$2356,MATCH(B21,Тарификатор!$A$5:$A$2356,0))),0))</f>
        <v/>
      </c>
      <c r="I21" s="14" t="str">
        <f t="shared" si="0"/>
        <v/>
      </c>
      <c r="J21" s="14" t="str">
        <f>IF(B21="","",IFERROR(IF($M$8="Мск",INDEX(Тарификатор!$H$5:$H$2356,MATCH(B21,Тарификатор!$A$5:$A$2356,0)),INDEX(Тарификатор!$G$5:$G$2356,MATCH(B21,Тарификатор!$A$5:$A$2356,0))),0))</f>
        <v/>
      </c>
      <c r="K21" s="14" t="str">
        <f t="shared" si="1"/>
        <v/>
      </c>
      <c r="L21" s="15" t="str">
        <f>IF(F21="","",IFERROR(INDEX('Расходники к работам'!$C$5:$C$24,MATCH(F21,'Расходники к работам'!$A$5:$A$24,0)),0))</f>
        <v/>
      </c>
      <c r="M21" s="14" t="str">
        <f t="shared" si="2"/>
        <v/>
      </c>
      <c r="N21" s="14" t="str">
        <f t="shared" si="3"/>
        <v/>
      </c>
      <c r="O21" s="14" t="str">
        <f t="shared" si="4"/>
        <v/>
      </c>
      <c r="P21" s="16" t="str">
        <f t="shared" si="5"/>
        <v/>
      </c>
      <c r="Q21" s="14" t="str">
        <f t="shared" si="6"/>
        <v/>
      </c>
      <c r="R21" s="15" t="str">
        <f t="shared" si="7"/>
        <v/>
      </c>
    </row>
    <row r="22" spans="1:18" x14ac:dyDescent="0.25">
      <c r="A22" s="12">
        <v>10</v>
      </c>
      <c r="B22" s="8"/>
      <c r="C22" s="12" t="str">
        <f>IF(B22="","",IFERROR(INDEX(Тарификатор!$B$5:$B$2356,MATCH(B22,Тарификатор!$A$5:$A$2356,0)),"НЕТ ТАКОГО АРТИКУЛА"))</f>
        <v/>
      </c>
      <c r="D22" s="12" t="str">
        <f>IF(B22="","",IFERROR(INDEX(Тарификатор!$C$5:$C$2356,MATCH(B22,Тарификатор!$A$5:$A$2356,0)),""))</f>
        <v/>
      </c>
      <c r="E22" s="13"/>
      <c r="F22" s="12" t="str">
        <f>IF(B22="","",IFERROR(INDEX(Тарификатор!$D$5:$D$2356,MATCH(B22,Тарификатор!$A$5:$A$2356,0)),""))</f>
        <v/>
      </c>
      <c r="G22" s="14" t="str">
        <f>IF(B22="","",IFERROR(IF($M$8="Мск",INDEX(Тарификатор!$F$5:$F$2356,MATCH(B22,Тарификатор!$A$5:$A$2356,0)),INDEX(Тарификатор!$E$5:$E$2356,MATCH(B22,Тарификатор!$A$5:$A$2356,0))),0))</f>
        <v/>
      </c>
      <c r="H22" s="15" t="str">
        <f>IF(B22="","",IFERROR(IF($M$8="Мск",INDEX(Тарификатор!$J$5:$J$2356,MATCH(B22,Тарификатор!$A$5:$A$2356,0)),INDEX(Тарификатор!$I$5:$I$2356,MATCH(B22,Тарификатор!$A$5:$A$2356,0))),0))</f>
        <v/>
      </c>
      <c r="I22" s="14" t="str">
        <f t="shared" si="0"/>
        <v/>
      </c>
      <c r="J22" s="14" t="str">
        <f>IF(B22="","",IFERROR(IF($M$8="Мск",INDEX(Тарификатор!$H$5:$H$2356,MATCH(B22,Тарификатор!$A$5:$A$2356,0)),INDEX(Тарификатор!$G$5:$G$2356,MATCH(B22,Тарификатор!$A$5:$A$2356,0))),0))</f>
        <v/>
      </c>
      <c r="K22" s="14" t="str">
        <f t="shared" si="1"/>
        <v/>
      </c>
      <c r="L22" s="15" t="str">
        <f>IF(F22="","",IFERROR(INDEX('Расходники к работам'!$C$5:$C$24,MATCH(F22,'Расходники к работам'!$A$5:$A$24,0)),0))</f>
        <v/>
      </c>
      <c r="M22" s="14" t="str">
        <f t="shared" si="2"/>
        <v/>
      </c>
      <c r="N22" s="14" t="str">
        <f t="shared" si="3"/>
        <v/>
      </c>
      <c r="O22" s="14" t="str">
        <f t="shared" si="4"/>
        <v/>
      </c>
      <c r="P22" s="16" t="str">
        <f t="shared" si="5"/>
        <v/>
      </c>
      <c r="Q22" s="14" t="str">
        <f t="shared" si="6"/>
        <v/>
      </c>
      <c r="R22" s="15" t="str">
        <f t="shared" si="7"/>
        <v/>
      </c>
    </row>
    <row r="23" spans="1:18" x14ac:dyDescent="0.25">
      <c r="A23" s="12">
        <v>11</v>
      </c>
      <c r="B23" s="8"/>
      <c r="C23" s="12" t="str">
        <f>IF(B23="","",IFERROR(INDEX(Тарификатор!$B$5:$B$2356,MATCH(B23,Тарификатор!$A$5:$A$2356,0)),"НЕТ ТАКОГО АРТИКУЛА"))</f>
        <v/>
      </c>
      <c r="D23" s="12" t="str">
        <f>IF(B23="","",IFERROR(INDEX(Тарификатор!$C$5:$C$2356,MATCH(B23,Тарификатор!$A$5:$A$2356,0)),""))</f>
        <v/>
      </c>
      <c r="E23" s="13"/>
      <c r="F23" s="12" t="str">
        <f>IF(B23="","",IFERROR(INDEX(Тарификатор!$D$5:$D$2356,MATCH(B23,Тарификатор!$A$5:$A$2356,0)),""))</f>
        <v/>
      </c>
      <c r="G23" s="14" t="str">
        <f>IF(B23="","",IFERROR(IF($M$8="Мск",INDEX(Тарификатор!$F$5:$F$2356,MATCH(B23,Тарификатор!$A$5:$A$2356,0)),INDEX(Тарификатор!$E$5:$E$2356,MATCH(B23,Тарификатор!$A$5:$A$2356,0))),0))</f>
        <v/>
      </c>
      <c r="H23" s="15" t="str">
        <f>IF(B23="","",IFERROR(IF($M$8="Мск",INDEX(Тарификатор!$J$5:$J$2356,MATCH(B23,Тарификатор!$A$5:$A$2356,0)),INDEX(Тарификатор!$I$5:$I$2356,MATCH(B23,Тарификатор!$A$5:$A$2356,0))),0))</f>
        <v/>
      </c>
      <c r="I23" s="14" t="str">
        <f t="shared" si="0"/>
        <v/>
      </c>
      <c r="J23" s="14" t="str">
        <f>IF(B23="","",IFERROR(IF($M$8="Мск",INDEX(Тарификатор!$H$5:$H$2356,MATCH(B23,Тарификатор!$A$5:$A$2356,0)),INDEX(Тарификатор!$G$5:$G$2356,MATCH(B23,Тарификатор!$A$5:$A$2356,0))),0))</f>
        <v/>
      </c>
      <c r="K23" s="14" t="str">
        <f t="shared" si="1"/>
        <v/>
      </c>
      <c r="L23" s="15" t="str">
        <f>IF(F23="","",IFERROR(INDEX('Расходники к работам'!$C$5:$C$24,MATCH(F23,'Расходники к работам'!$A$5:$A$24,0)),0))</f>
        <v/>
      </c>
      <c r="M23" s="14" t="str">
        <f t="shared" si="2"/>
        <v/>
      </c>
      <c r="N23" s="14" t="str">
        <f t="shared" si="3"/>
        <v/>
      </c>
      <c r="O23" s="14" t="str">
        <f t="shared" si="4"/>
        <v/>
      </c>
      <c r="P23" s="16" t="str">
        <f t="shared" si="5"/>
        <v/>
      </c>
      <c r="Q23" s="14" t="str">
        <f t="shared" si="6"/>
        <v/>
      </c>
      <c r="R23" s="15" t="str">
        <f t="shared" si="7"/>
        <v/>
      </c>
    </row>
    <row r="24" spans="1:18" x14ac:dyDescent="0.25">
      <c r="A24" s="12">
        <v>12</v>
      </c>
      <c r="B24" s="8"/>
      <c r="C24" s="12" t="str">
        <f>IF(B24="","",IFERROR(INDEX(Тарификатор!$B$5:$B$2356,MATCH(B24,Тарификатор!$A$5:$A$2356,0)),"НЕТ ТАКОГО АРТИКУЛА"))</f>
        <v/>
      </c>
      <c r="D24" s="12" t="str">
        <f>IF(B24="","",IFERROR(INDEX(Тарификатор!$C$5:$C$2356,MATCH(B24,Тарификатор!$A$5:$A$2356,0)),""))</f>
        <v/>
      </c>
      <c r="E24" s="13"/>
      <c r="F24" s="12" t="str">
        <f>IF(B24="","",IFERROR(INDEX(Тарификатор!$D$5:$D$2356,MATCH(B24,Тарификатор!$A$5:$A$2356,0)),""))</f>
        <v/>
      </c>
      <c r="G24" s="14" t="str">
        <f>IF(B24="","",IFERROR(IF($M$8="Мск",INDEX(Тарификатор!$F$5:$F$2356,MATCH(B24,Тарификатор!$A$5:$A$2356,0)),INDEX(Тарификатор!$E$5:$E$2356,MATCH(B24,Тарификатор!$A$5:$A$2356,0))),0))</f>
        <v/>
      </c>
      <c r="H24" s="15" t="str">
        <f>IF(B24="","",IFERROR(IF($M$8="Мск",INDEX(Тарификатор!$J$5:$J$2356,MATCH(B24,Тарификатор!$A$5:$A$2356,0)),INDEX(Тарификатор!$I$5:$I$2356,MATCH(B24,Тарификатор!$A$5:$A$2356,0))),0))</f>
        <v/>
      </c>
      <c r="I24" s="14" t="str">
        <f t="shared" si="0"/>
        <v/>
      </c>
      <c r="J24" s="14" t="str">
        <f>IF(B24="","",IFERROR(IF($M$8="Мск",INDEX(Тарификатор!$H$5:$H$2356,MATCH(B24,Тарификатор!$A$5:$A$2356,0)),INDEX(Тарификатор!$G$5:$G$2356,MATCH(B24,Тарификатор!$A$5:$A$2356,0))),0))</f>
        <v/>
      </c>
      <c r="K24" s="14" t="str">
        <f t="shared" si="1"/>
        <v/>
      </c>
      <c r="L24" s="15" t="str">
        <f>IF(F24="","",IFERROR(INDEX('Расходники к работам'!$C$5:$C$24,MATCH(F24,'Расходники к работам'!$A$5:$A$24,0)),0))</f>
        <v/>
      </c>
      <c r="M24" s="14" t="str">
        <f t="shared" si="2"/>
        <v/>
      </c>
      <c r="N24" s="14" t="str">
        <f t="shared" si="3"/>
        <v/>
      </c>
      <c r="O24" s="14" t="str">
        <f t="shared" si="4"/>
        <v/>
      </c>
      <c r="P24" s="16" t="str">
        <f t="shared" si="5"/>
        <v/>
      </c>
      <c r="Q24" s="14" t="str">
        <f t="shared" si="6"/>
        <v/>
      </c>
      <c r="R24" s="15" t="str">
        <f t="shared" si="7"/>
        <v/>
      </c>
    </row>
    <row r="25" spans="1:18" x14ac:dyDescent="0.25">
      <c r="A25" s="12">
        <v>13</v>
      </c>
      <c r="B25" s="8"/>
      <c r="C25" s="12" t="str">
        <f>IF(B25="","",IFERROR(INDEX(Тарификатор!$B$5:$B$2356,MATCH(B25,Тарификатор!$A$5:$A$2356,0)),"НЕТ ТАКОГО АРТИКУЛА"))</f>
        <v/>
      </c>
      <c r="D25" s="12" t="str">
        <f>IF(B25="","",IFERROR(INDEX(Тарификатор!$C$5:$C$2356,MATCH(B25,Тарификатор!$A$5:$A$2356,0)),""))</f>
        <v/>
      </c>
      <c r="E25" s="13"/>
      <c r="F25" s="12" t="str">
        <f>IF(B25="","",IFERROR(INDEX(Тарификатор!$D$5:$D$2356,MATCH(B25,Тарификатор!$A$5:$A$2356,0)),""))</f>
        <v/>
      </c>
      <c r="G25" s="14" t="str">
        <f>IF(B25="","",IFERROR(IF($M$8="Мск",INDEX(Тарификатор!$F$5:$F$2356,MATCH(B25,Тарификатор!$A$5:$A$2356,0)),INDEX(Тарификатор!$E$5:$E$2356,MATCH(B25,Тарификатор!$A$5:$A$2356,0))),0))</f>
        <v/>
      </c>
      <c r="H25" s="15" t="str">
        <f>IF(B25="","",IFERROR(IF($M$8="Мск",INDEX(Тарификатор!$J$5:$J$2356,MATCH(B25,Тарификатор!$A$5:$A$2356,0)),INDEX(Тарификатор!$I$5:$I$2356,MATCH(B25,Тарификатор!$A$5:$A$2356,0))),0))</f>
        <v/>
      </c>
      <c r="I25" s="14" t="str">
        <f t="shared" si="0"/>
        <v/>
      </c>
      <c r="J25" s="14" t="str">
        <f>IF(B25="","",IFERROR(IF($M$8="Мск",INDEX(Тарификатор!$H$5:$H$2356,MATCH(B25,Тарификатор!$A$5:$A$2356,0)),INDEX(Тарификатор!$G$5:$G$2356,MATCH(B25,Тарификатор!$A$5:$A$2356,0))),0))</f>
        <v/>
      </c>
      <c r="K25" s="14" t="str">
        <f t="shared" si="1"/>
        <v/>
      </c>
      <c r="L25" s="15" t="str">
        <f>IF(F25="","",IFERROR(INDEX('Расходники к работам'!$C$5:$C$24,MATCH(F25,'Расходники к работам'!$A$5:$A$24,0)),0))</f>
        <v/>
      </c>
      <c r="M25" s="14" t="str">
        <f t="shared" si="2"/>
        <v/>
      </c>
      <c r="N25" s="14" t="str">
        <f t="shared" si="3"/>
        <v/>
      </c>
      <c r="O25" s="14" t="str">
        <f t="shared" si="4"/>
        <v/>
      </c>
      <c r="P25" s="16" t="str">
        <f t="shared" si="5"/>
        <v/>
      </c>
      <c r="Q25" s="14" t="str">
        <f t="shared" si="6"/>
        <v/>
      </c>
      <c r="R25" s="15" t="str">
        <f t="shared" si="7"/>
        <v/>
      </c>
    </row>
    <row r="26" spans="1:18" x14ac:dyDescent="0.25">
      <c r="A26" s="12">
        <v>14</v>
      </c>
      <c r="B26" s="8"/>
      <c r="C26" s="12" t="str">
        <f>IF(B26="","",IFERROR(INDEX(Тарификатор!$B$5:$B$2356,MATCH(B26,Тарификатор!$A$5:$A$2356,0)),"НЕТ ТАКОГО АРТИКУЛА"))</f>
        <v/>
      </c>
      <c r="D26" s="12" t="str">
        <f>IF(B26="","",IFERROR(INDEX(Тарификатор!$C$5:$C$2356,MATCH(B26,Тарификатор!$A$5:$A$2356,0)),""))</f>
        <v/>
      </c>
      <c r="E26" s="13"/>
      <c r="F26" s="12" t="str">
        <f>IF(B26="","",IFERROR(INDEX(Тарификатор!$D$5:$D$2356,MATCH(B26,Тарификатор!$A$5:$A$2356,0)),""))</f>
        <v/>
      </c>
      <c r="G26" s="14" t="str">
        <f>IF(B26="","",IFERROR(IF($M$8="Мск",INDEX(Тарификатор!$F$5:$F$2356,MATCH(B26,Тарификатор!$A$5:$A$2356,0)),INDEX(Тарификатор!$E$5:$E$2356,MATCH(B26,Тарификатор!$A$5:$A$2356,0))),0))</f>
        <v/>
      </c>
      <c r="H26" s="15" t="str">
        <f>IF(B26="","",IFERROR(IF($M$8="Мск",INDEX(Тарификатор!$J$5:$J$2356,MATCH(B26,Тарификатор!$A$5:$A$2356,0)),INDEX(Тарификатор!$I$5:$I$2356,MATCH(B26,Тарификатор!$A$5:$A$2356,0))),0))</f>
        <v/>
      </c>
      <c r="I26" s="14" t="str">
        <f t="shared" si="0"/>
        <v/>
      </c>
      <c r="J26" s="14" t="str">
        <f>IF(B26="","",IFERROR(IF($M$8="Мск",INDEX(Тарификатор!$H$5:$H$2356,MATCH(B26,Тарификатор!$A$5:$A$2356,0)),INDEX(Тарификатор!$G$5:$G$2356,MATCH(B26,Тарификатор!$A$5:$A$2356,0))),0))</f>
        <v/>
      </c>
      <c r="K26" s="14" t="str">
        <f t="shared" si="1"/>
        <v/>
      </c>
      <c r="L26" s="15" t="str">
        <f>IF(F26="","",IFERROR(INDEX('Расходники к работам'!$C$5:$C$24,MATCH(F26,'Расходники к работам'!$A$5:$A$24,0)),0))</f>
        <v/>
      </c>
      <c r="M26" s="14" t="str">
        <f t="shared" si="2"/>
        <v/>
      </c>
      <c r="N26" s="14" t="str">
        <f t="shared" si="3"/>
        <v/>
      </c>
      <c r="O26" s="14" t="str">
        <f t="shared" si="4"/>
        <v/>
      </c>
      <c r="P26" s="16" t="str">
        <f t="shared" si="5"/>
        <v/>
      </c>
      <c r="Q26" s="14" t="str">
        <f t="shared" si="6"/>
        <v/>
      </c>
      <c r="R26" s="15" t="str">
        <f t="shared" si="7"/>
        <v/>
      </c>
    </row>
    <row r="27" spans="1:18" x14ac:dyDescent="0.25">
      <c r="A27" s="12">
        <v>15</v>
      </c>
      <c r="B27" s="8"/>
      <c r="C27" s="12" t="str">
        <f>IF(B27="","",IFERROR(INDEX(Тарификатор!$B$5:$B$2356,MATCH(B27,Тарификатор!$A$5:$A$2356,0)),"НЕТ ТАКОГО АРТИКУЛА"))</f>
        <v/>
      </c>
      <c r="D27" s="12" t="str">
        <f>IF(B27="","",IFERROR(INDEX(Тарификатор!$C$5:$C$2356,MATCH(B27,Тарификатор!$A$5:$A$2356,0)),""))</f>
        <v/>
      </c>
      <c r="E27" s="13"/>
      <c r="F27" s="12" t="str">
        <f>IF(B27="","",IFERROR(INDEX(Тарификатор!$D$5:$D$2356,MATCH(B27,Тарификатор!$A$5:$A$2356,0)),""))</f>
        <v/>
      </c>
      <c r="G27" s="14" t="str">
        <f>IF(B27="","",IFERROR(IF($M$8="Мск",INDEX(Тарификатор!$F$5:$F$2356,MATCH(B27,Тарификатор!$A$5:$A$2356,0)),INDEX(Тарификатор!$E$5:$E$2356,MATCH(B27,Тарификатор!$A$5:$A$2356,0))),0))</f>
        <v/>
      </c>
      <c r="H27" s="15" t="str">
        <f>IF(B27="","",IFERROR(IF($M$8="Мск",INDEX(Тарификатор!$J$5:$J$2356,MATCH(B27,Тарификатор!$A$5:$A$2356,0)),INDEX(Тарификатор!$I$5:$I$2356,MATCH(B27,Тарификатор!$A$5:$A$2356,0))),0))</f>
        <v/>
      </c>
      <c r="I27" s="14" t="str">
        <f t="shared" si="0"/>
        <v/>
      </c>
      <c r="J27" s="14" t="str">
        <f>IF(B27="","",IFERROR(IF($M$8="Мск",INDEX(Тарификатор!$H$5:$H$2356,MATCH(B27,Тарификатор!$A$5:$A$2356,0)),INDEX(Тарификатор!$G$5:$G$2356,MATCH(B27,Тарификатор!$A$5:$A$2356,0))),0))</f>
        <v/>
      </c>
      <c r="K27" s="14" t="str">
        <f t="shared" si="1"/>
        <v/>
      </c>
      <c r="L27" s="15" t="str">
        <f>IF(F27="","",IFERROR(INDEX('Расходники к работам'!$C$5:$C$24,MATCH(F27,'Расходники к работам'!$A$5:$A$24,0)),0))</f>
        <v/>
      </c>
      <c r="M27" s="14" t="str">
        <f t="shared" si="2"/>
        <v/>
      </c>
      <c r="N27" s="14" t="str">
        <f t="shared" si="3"/>
        <v/>
      </c>
      <c r="O27" s="14" t="str">
        <f t="shared" si="4"/>
        <v/>
      </c>
      <c r="P27" s="16" t="str">
        <f t="shared" si="5"/>
        <v/>
      </c>
      <c r="Q27" s="14" t="str">
        <f t="shared" si="6"/>
        <v/>
      </c>
      <c r="R27" s="15" t="str">
        <f t="shared" si="7"/>
        <v/>
      </c>
    </row>
    <row r="28" spans="1:18" x14ac:dyDescent="0.25">
      <c r="A28" s="12">
        <v>16</v>
      </c>
      <c r="B28" s="8"/>
      <c r="C28" s="12" t="str">
        <f>IF(B28="","",IFERROR(INDEX(Тарификатор!$B$5:$B$2356,MATCH(B28,Тарификатор!$A$5:$A$2356,0)),"НЕТ ТАКОГО АРТИКУЛА"))</f>
        <v/>
      </c>
      <c r="D28" s="12" t="str">
        <f>IF(B28="","",IFERROR(INDEX(Тарификатор!$C$5:$C$2356,MATCH(B28,Тарификатор!$A$5:$A$2356,0)),""))</f>
        <v/>
      </c>
      <c r="E28" s="13"/>
      <c r="F28" s="12" t="str">
        <f>IF(B28="","",IFERROR(INDEX(Тарификатор!$D$5:$D$2356,MATCH(B28,Тарификатор!$A$5:$A$2356,0)),""))</f>
        <v/>
      </c>
      <c r="G28" s="14" t="str">
        <f>IF(B28="","",IFERROR(IF($M$8="Мск",INDEX(Тарификатор!$F$5:$F$2356,MATCH(B28,Тарификатор!$A$5:$A$2356,0)),INDEX(Тарификатор!$E$5:$E$2356,MATCH(B28,Тарификатор!$A$5:$A$2356,0))),0))</f>
        <v/>
      </c>
      <c r="H28" s="15" t="str">
        <f>IF(B28="","",IFERROR(IF($M$8="Мск",INDEX(Тарификатор!$J$5:$J$2356,MATCH(B28,Тарификатор!$A$5:$A$2356,0)),INDEX(Тарификатор!$I$5:$I$2356,MATCH(B28,Тарификатор!$A$5:$A$2356,0))),0))</f>
        <v/>
      </c>
      <c r="I28" s="14" t="str">
        <f t="shared" si="0"/>
        <v/>
      </c>
      <c r="J28" s="14" t="str">
        <f>IF(B28="","",IFERROR(IF($M$8="Мск",INDEX(Тарификатор!$H$5:$H$2356,MATCH(B28,Тарификатор!$A$5:$A$2356,0)),INDEX(Тарификатор!$G$5:$G$2356,MATCH(B28,Тарификатор!$A$5:$A$2356,0))),0))</f>
        <v/>
      </c>
      <c r="K28" s="14" t="str">
        <f t="shared" si="1"/>
        <v/>
      </c>
      <c r="L28" s="15" t="str">
        <f>IF(F28="","",IFERROR(INDEX('Расходники к работам'!$C$5:$C$24,MATCH(F28,'Расходники к работам'!$A$5:$A$24,0)),0))</f>
        <v/>
      </c>
      <c r="M28" s="14" t="str">
        <f t="shared" si="2"/>
        <v/>
      </c>
      <c r="N28" s="14" t="str">
        <f t="shared" si="3"/>
        <v/>
      </c>
      <c r="O28" s="14" t="str">
        <f t="shared" si="4"/>
        <v/>
      </c>
      <c r="P28" s="16" t="str">
        <f t="shared" si="5"/>
        <v/>
      </c>
      <c r="Q28" s="14" t="str">
        <f t="shared" si="6"/>
        <v/>
      </c>
      <c r="R28" s="15" t="str">
        <f t="shared" si="7"/>
        <v/>
      </c>
    </row>
    <row r="29" spans="1:18" x14ac:dyDescent="0.25">
      <c r="A29" s="12">
        <v>17</v>
      </c>
      <c r="B29" s="8"/>
      <c r="C29" s="12" t="str">
        <f>IF(B29="","",IFERROR(INDEX(Тарификатор!$B$5:$B$2356,MATCH(B29,Тарификатор!$A$5:$A$2356,0)),"НЕТ ТАКОГО АРТИКУЛА"))</f>
        <v/>
      </c>
      <c r="D29" s="12" t="str">
        <f>IF(B29="","",IFERROR(INDEX(Тарификатор!$C$5:$C$2356,MATCH(B29,Тарификатор!$A$5:$A$2356,0)),""))</f>
        <v/>
      </c>
      <c r="E29" s="13"/>
      <c r="F29" s="12" t="str">
        <f>IF(B29="","",IFERROR(INDEX(Тарификатор!$D$5:$D$2356,MATCH(B29,Тарификатор!$A$5:$A$2356,0)),""))</f>
        <v/>
      </c>
      <c r="G29" s="14" t="str">
        <f>IF(B29="","",IFERROR(IF($M$8="Мск",INDEX(Тарификатор!$F$5:$F$2356,MATCH(B29,Тарификатор!$A$5:$A$2356,0)),INDEX(Тарификатор!$E$5:$E$2356,MATCH(B29,Тарификатор!$A$5:$A$2356,0))),0))</f>
        <v/>
      </c>
      <c r="H29" s="15" t="str">
        <f>IF(B29="","",IFERROR(IF($M$8="Мск",INDEX(Тарификатор!$J$5:$J$2356,MATCH(B29,Тарификатор!$A$5:$A$2356,0)),INDEX(Тарификатор!$I$5:$I$2356,MATCH(B29,Тарификатор!$A$5:$A$2356,0))),0))</f>
        <v/>
      </c>
      <c r="I29" s="14" t="str">
        <f t="shared" si="0"/>
        <v/>
      </c>
      <c r="J29" s="14" t="str">
        <f>IF(B29="","",IFERROR(IF($M$8="Мск",INDEX(Тарификатор!$H$5:$H$2356,MATCH(B29,Тарификатор!$A$5:$A$2356,0)),INDEX(Тарификатор!$G$5:$G$2356,MATCH(B29,Тарификатор!$A$5:$A$2356,0))),0))</f>
        <v/>
      </c>
      <c r="K29" s="14" t="str">
        <f t="shared" si="1"/>
        <v/>
      </c>
      <c r="L29" s="15" t="str">
        <f>IF(F29="","",IFERROR(INDEX('Расходники к работам'!$C$5:$C$24,MATCH(F29,'Расходники к работам'!$A$5:$A$24,0)),0))</f>
        <v/>
      </c>
      <c r="M29" s="14" t="str">
        <f t="shared" si="2"/>
        <v/>
      </c>
      <c r="N29" s="14" t="str">
        <f t="shared" si="3"/>
        <v/>
      </c>
      <c r="O29" s="14" t="str">
        <f t="shared" si="4"/>
        <v/>
      </c>
      <c r="P29" s="16" t="str">
        <f t="shared" si="5"/>
        <v/>
      </c>
      <c r="Q29" s="14" t="str">
        <f t="shared" si="6"/>
        <v/>
      </c>
      <c r="R29" s="15" t="str">
        <f t="shared" si="7"/>
        <v/>
      </c>
    </row>
    <row r="30" spans="1:18" x14ac:dyDescent="0.25">
      <c r="A30" s="12">
        <v>18</v>
      </c>
      <c r="B30" s="8"/>
      <c r="C30" s="12" t="str">
        <f>IF(B30="","",IFERROR(INDEX(Тарификатор!$B$5:$B$2356,MATCH(B30,Тарификатор!$A$5:$A$2356,0)),"НЕТ ТАКОГО АРТИКУЛА"))</f>
        <v/>
      </c>
      <c r="D30" s="12" t="str">
        <f>IF(B30="","",IFERROR(INDEX(Тарификатор!$C$5:$C$2356,MATCH(B30,Тарификатор!$A$5:$A$2356,0)),""))</f>
        <v/>
      </c>
      <c r="E30" s="13"/>
      <c r="F30" s="12" t="str">
        <f>IF(B30="","",IFERROR(INDEX(Тарификатор!$D$5:$D$2356,MATCH(B30,Тарификатор!$A$5:$A$2356,0)),""))</f>
        <v/>
      </c>
      <c r="G30" s="14" t="str">
        <f>IF(B30="","",IFERROR(IF($M$8="Мск",INDEX(Тарификатор!$F$5:$F$2356,MATCH(B30,Тарификатор!$A$5:$A$2356,0)),INDEX(Тарификатор!$E$5:$E$2356,MATCH(B30,Тарификатор!$A$5:$A$2356,0))),0))</f>
        <v/>
      </c>
      <c r="H30" s="15" t="str">
        <f>IF(B30="","",IFERROR(IF($M$8="Мск",INDEX(Тарификатор!$J$5:$J$2356,MATCH(B30,Тарификатор!$A$5:$A$2356,0)),INDEX(Тарификатор!$I$5:$I$2356,MATCH(B30,Тарификатор!$A$5:$A$2356,0))),0))</f>
        <v/>
      </c>
      <c r="I30" s="14" t="str">
        <f t="shared" si="0"/>
        <v/>
      </c>
      <c r="J30" s="14" t="str">
        <f>IF(B30="","",IFERROR(IF($M$8="Мск",INDEX(Тарификатор!$H$5:$H$2356,MATCH(B30,Тарификатор!$A$5:$A$2356,0)),INDEX(Тарификатор!$G$5:$G$2356,MATCH(B30,Тарификатор!$A$5:$A$2356,0))),0))</f>
        <v/>
      </c>
      <c r="K30" s="14" t="str">
        <f t="shared" si="1"/>
        <v/>
      </c>
      <c r="L30" s="15" t="str">
        <f>IF(F30="","",IFERROR(INDEX('Расходники к работам'!$C$5:$C$24,MATCH(F30,'Расходники к работам'!$A$5:$A$24,0)),0))</f>
        <v/>
      </c>
      <c r="M30" s="14" t="str">
        <f t="shared" si="2"/>
        <v/>
      </c>
      <c r="N30" s="14" t="str">
        <f t="shared" si="3"/>
        <v/>
      </c>
      <c r="O30" s="14" t="str">
        <f t="shared" si="4"/>
        <v/>
      </c>
      <c r="P30" s="16" t="str">
        <f t="shared" si="5"/>
        <v/>
      </c>
      <c r="Q30" s="14" t="str">
        <f t="shared" si="6"/>
        <v/>
      </c>
      <c r="R30" s="15" t="str">
        <f t="shared" si="7"/>
        <v/>
      </c>
    </row>
    <row r="31" spans="1:18" x14ac:dyDescent="0.25">
      <c r="A31" s="12">
        <v>19</v>
      </c>
      <c r="B31" s="8"/>
      <c r="C31" s="12" t="str">
        <f>IF(B31="","",IFERROR(INDEX(Тарификатор!$B$5:$B$2356,MATCH(B31,Тарификатор!$A$5:$A$2356,0)),"НЕТ ТАКОГО АРТИКУЛА"))</f>
        <v/>
      </c>
      <c r="D31" s="12" t="str">
        <f>IF(B31="","",IFERROR(INDEX(Тарификатор!$C$5:$C$2356,MATCH(B31,Тарификатор!$A$5:$A$2356,0)),""))</f>
        <v/>
      </c>
      <c r="E31" s="13"/>
      <c r="F31" s="12" t="str">
        <f>IF(B31="","",IFERROR(INDEX(Тарификатор!$D$5:$D$2356,MATCH(B31,Тарификатор!$A$5:$A$2356,0)),""))</f>
        <v/>
      </c>
      <c r="G31" s="14" t="str">
        <f>IF(B31="","",IFERROR(IF($M$8="Мск",INDEX(Тарификатор!$F$5:$F$2356,MATCH(B31,Тарификатор!$A$5:$A$2356,0)),INDEX(Тарификатор!$E$5:$E$2356,MATCH(B31,Тарификатор!$A$5:$A$2356,0))),0))</f>
        <v/>
      </c>
      <c r="H31" s="15" t="str">
        <f>IF(B31="","",IFERROR(IF($M$8="Мск",INDEX(Тарификатор!$J$5:$J$2356,MATCH(B31,Тарификатор!$A$5:$A$2356,0)),INDEX(Тарификатор!$I$5:$I$2356,MATCH(B31,Тарификатор!$A$5:$A$2356,0))),0))</f>
        <v/>
      </c>
      <c r="I31" s="14" t="str">
        <f t="shared" si="0"/>
        <v/>
      </c>
      <c r="J31" s="14" t="str">
        <f>IF(B31="","",IFERROR(IF($M$8="Мск",INDEX(Тарификатор!$H$5:$H$2356,MATCH(B31,Тарификатор!$A$5:$A$2356,0)),INDEX(Тарификатор!$G$5:$G$2356,MATCH(B31,Тарификатор!$A$5:$A$2356,0))),0))</f>
        <v/>
      </c>
      <c r="K31" s="14" t="str">
        <f t="shared" si="1"/>
        <v/>
      </c>
      <c r="L31" s="15" t="str">
        <f>IF(F31="","",IFERROR(INDEX('Расходники к работам'!$C$5:$C$24,MATCH(F31,'Расходники к работам'!$A$5:$A$24,0)),0))</f>
        <v/>
      </c>
      <c r="M31" s="14" t="str">
        <f t="shared" si="2"/>
        <v/>
      </c>
      <c r="N31" s="14" t="str">
        <f t="shared" si="3"/>
        <v/>
      </c>
      <c r="O31" s="14" t="str">
        <f t="shared" si="4"/>
        <v/>
      </c>
      <c r="P31" s="16" t="str">
        <f t="shared" si="5"/>
        <v/>
      </c>
      <c r="Q31" s="14" t="str">
        <f t="shared" si="6"/>
        <v/>
      </c>
      <c r="R31" s="15" t="str">
        <f t="shared" si="7"/>
        <v/>
      </c>
    </row>
    <row r="32" spans="1:18" x14ac:dyDescent="0.25">
      <c r="A32" s="12">
        <v>20</v>
      </c>
      <c r="B32" s="8"/>
      <c r="C32" s="12" t="str">
        <f>IF(B32="","",IFERROR(INDEX(Тарификатор!$B$5:$B$2356,MATCH(B32,Тарификатор!$A$5:$A$2356,0)),"НЕТ ТАКОГО АРТИКУЛА"))</f>
        <v/>
      </c>
      <c r="D32" s="12" t="str">
        <f>IF(B32="","",IFERROR(INDEX(Тарификатор!$C$5:$C$2356,MATCH(B32,Тарификатор!$A$5:$A$2356,0)),""))</f>
        <v/>
      </c>
      <c r="E32" s="13"/>
      <c r="F32" s="12" t="str">
        <f>IF(B32="","",IFERROR(INDEX(Тарификатор!$D$5:$D$2356,MATCH(B32,Тарификатор!$A$5:$A$2356,0)),""))</f>
        <v/>
      </c>
      <c r="G32" s="14" t="str">
        <f>IF(B32="","",IFERROR(IF($M$8="Мск",INDEX(Тарификатор!$F$5:$F$2356,MATCH(B32,Тарификатор!$A$5:$A$2356,0)),INDEX(Тарификатор!$E$5:$E$2356,MATCH(B32,Тарификатор!$A$5:$A$2356,0))),0))</f>
        <v/>
      </c>
      <c r="H32" s="15" t="str">
        <f>IF(B32="","",IFERROR(IF($M$8="Мск",INDEX(Тарификатор!$J$5:$J$2356,MATCH(B32,Тарификатор!$A$5:$A$2356,0)),INDEX(Тарификатор!$I$5:$I$2356,MATCH(B32,Тарификатор!$A$5:$A$2356,0))),0))</f>
        <v/>
      </c>
      <c r="I32" s="14" t="str">
        <f t="shared" si="0"/>
        <v/>
      </c>
      <c r="J32" s="14" t="str">
        <f>IF(B32="","",IFERROR(IF($M$8="Мск",INDEX(Тарификатор!$H$5:$H$2356,MATCH(B32,Тарификатор!$A$5:$A$2356,0)),INDEX(Тарификатор!$G$5:$G$2356,MATCH(B32,Тарификатор!$A$5:$A$2356,0))),0))</f>
        <v/>
      </c>
      <c r="K32" s="14" t="str">
        <f t="shared" si="1"/>
        <v/>
      </c>
      <c r="L32" s="15" t="str">
        <f>IF(F32="","",IFERROR(INDEX('Расходники к работам'!$C$5:$C$24,MATCH(F32,'Расходники к работам'!$A$5:$A$24,0)),0))</f>
        <v/>
      </c>
      <c r="M32" s="14" t="str">
        <f t="shared" si="2"/>
        <v/>
      </c>
      <c r="N32" s="14" t="str">
        <f t="shared" si="3"/>
        <v/>
      </c>
      <c r="O32" s="14" t="str">
        <f t="shared" si="4"/>
        <v/>
      </c>
      <c r="P32" s="16" t="str">
        <f t="shared" si="5"/>
        <v/>
      </c>
      <c r="Q32" s="14" t="str">
        <f t="shared" si="6"/>
        <v/>
      </c>
      <c r="R32" s="15" t="str">
        <f t="shared" si="7"/>
        <v/>
      </c>
    </row>
    <row r="33" spans="1:18" x14ac:dyDescent="0.25">
      <c r="A33" s="12">
        <v>21</v>
      </c>
      <c r="B33" s="8"/>
      <c r="C33" s="12" t="str">
        <f>IF(B33="","",IFERROR(INDEX(Тарификатор!$B$5:$B$2356,MATCH(B33,Тарификатор!$A$5:$A$2356,0)),"НЕТ ТАКОГО АРТИКУЛА"))</f>
        <v/>
      </c>
      <c r="D33" s="12" t="str">
        <f>IF(B33="","",IFERROR(INDEX(Тарификатор!$C$5:$C$2356,MATCH(B33,Тарификатор!$A$5:$A$2356,0)),""))</f>
        <v/>
      </c>
      <c r="E33" s="13"/>
      <c r="F33" s="12" t="str">
        <f>IF(B33="","",IFERROR(INDEX(Тарификатор!$D$5:$D$2356,MATCH(B33,Тарификатор!$A$5:$A$2356,0)),""))</f>
        <v/>
      </c>
      <c r="G33" s="14" t="str">
        <f>IF(B33="","",IFERROR(IF($M$8="Мск",INDEX(Тарификатор!$F$5:$F$2356,MATCH(B33,Тарификатор!$A$5:$A$2356,0)),INDEX(Тарификатор!$E$5:$E$2356,MATCH(B33,Тарификатор!$A$5:$A$2356,0))),0))</f>
        <v/>
      </c>
      <c r="H33" s="15" t="str">
        <f>IF(B33="","",IFERROR(IF($M$8="Мск",INDEX(Тарификатор!$J$5:$J$2356,MATCH(B33,Тарификатор!$A$5:$A$2356,0)),INDEX(Тарификатор!$I$5:$I$2356,MATCH(B33,Тарификатор!$A$5:$A$2356,0))),0))</f>
        <v/>
      </c>
      <c r="I33" s="14" t="str">
        <f t="shared" si="0"/>
        <v/>
      </c>
      <c r="J33" s="14" t="str">
        <f>IF(B33="","",IFERROR(IF($M$8="Мск",INDEX(Тарификатор!$H$5:$H$2356,MATCH(B33,Тарификатор!$A$5:$A$2356,0)),INDEX(Тарификатор!$G$5:$G$2356,MATCH(B33,Тарификатор!$A$5:$A$2356,0))),0))</f>
        <v/>
      </c>
      <c r="K33" s="14" t="str">
        <f t="shared" si="1"/>
        <v/>
      </c>
      <c r="L33" s="15" t="str">
        <f>IF(F33="","",IFERROR(INDEX('Расходники к работам'!$C$5:$C$24,MATCH(F33,'Расходники к работам'!$A$5:$A$24,0)),0))</f>
        <v/>
      </c>
      <c r="M33" s="14" t="str">
        <f t="shared" si="2"/>
        <v/>
      </c>
      <c r="N33" s="14" t="str">
        <f t="shared" si="3"/>
        <v/>
      </c>
      <c r="O33" s="14" t="str">
        <f t="shared" si="4"/>
        <v/>
      </c>
      <c r="P33" s="16" t="str">
        <f t="shared" si="5"/>
        <v/>
      </c>
      <c r="Q33" s="14" t="str">
        <f t="shared" si="6"/>
        <v/>
      </c>
      <c r="R33" s="15" t="str">
        <f t="shared" si="7"/>
        <v/>
      </c>
    </row>
    <row r="34" spans="1:18" x14ac:dyDescent="0.25">
      <c r="A34" s="12">
        <v>22</v>
      </c>
      <c r="B34" s="8"/>
      <c r="C34" s="12" t="str">
        <f>IF(B34="","",IFERROR(INDEX(Тарификатор!$B$5:$B$2356,MATCH(B34,Тарификатор!$A$5:$A$2356,0)),"НЕТ ТАКОГО АРТИКУЛА"))</f>
        <v/>
      </c>
      <c r="D34" s="12" t="str">
        <f>IF(B34="","",IFERROR(INDEX(Тарификатор!$C$5:$C$2356,MATCH(B34,Тарификатор!$A$5:$A$2356,0)),""))</f>
        <v/>
      </c>
      <c r="E34" s="13"/>
      <c r="F34" s="12" t="str">
        <f>IF(B34="","",IFERROR(INDEX(Тарификатор!$D$5:$D$2356,MATCH(B34,Тарификатор!$A$5:$A$2356,0)),""))</f>
        <v/>
      </c>
      <c r="G34" s="14" t="str">
        <f>IF(B34="","",IFERROR(IF($M$8="Мск",INDEX(Тарификатор!$F$5:$F$2356,MATCH(B34,Тарификатор!$A$5:$A$2356,0)),INDEX(Тарификатор!$E$5:$E$2356,MATCH(B34,Тарификатор!$A$5:$A$2356,0))),0))</f>
        <v/>
      </c>
      <c r="H34" s="15" t="str">
        <f>IF(B34="","",IFERROR(IF($M$8="Мск",INDEX(Тарификатор!$J$5:$J$2356,MATCH(B34,Тарификатор!$A$5:$A$2356,0)),INDEX(Тарификатор!$I$5:$I$2356,MATCH(B34,Тарификатор!$A$5:$A$2356,0))),0))</f>
        <v/>
      </c>
      <c r="I34" s="14" t="str">
        <f t="shared" si="0"/>
        <v/>
      </c>
      <c r="J34" s="14" t="str">
        <f>IF(B34="","",IFERROR(IF($M$8="Мск",INDEX(Тарификатор!$H$5:$H$2356,MATCH(B34,Тарификатор!$A$5:$A$2356,0)),INDEX(Тарификатор!$G$5:$G$2356,MATCH(B34,Тарификатор!$A$5:$A$2356,0))),0))</f>
        <v/>
      </c>
      <c r="K34" s="14" t="str">
        <f t="shared" si="1"/>
        <v/>
      </c>
      <c r="L34" s="15" t="str">
        <f>IF(F34="","",IFERROR(INDEX('Расходники к работам'!$C$5:$C$24,MATCH(F34,'Расходники к работам'!$A$5:$A$24,0)),0))</f>
        <v/>
      </c>
      <c r="M34" s="14" t="str">
        <f t="shared" si="2"/>
        <v/>
      </c>
      <c r="N34" s="14" t="str">
        <f t="shared" si="3"/>
        <v/>
      </c>
      <c r="O34" s="14" t="str">
        <f t="shared" si="4"/>
        <v/>
      </c>
      <c r="P34" s="16" t="str">
        <f t="shared" si="5"/>
        <v/>
      </c>
      <c r="Q34" s="14" t="str">
        <f t="shared" si="6"/>
        <v/>
      </c>
      <c r="R34" s="15" t="str">
        <f t="shared" si="7"/>
        <v/>
      </c>
    </row>
    <row r="35" spans="1:18" x14ac:dyDescent="0.25">
      <c r="A35" s="12">
        <v>23</v>
      </c>
      <c r="B35" s="8"/>
      <c r="C35" s="12" t="str">
        <f>IF(B35="","",IFERROR(INDEX(Тарификатор!$B$5:$B$2356,MATCH(B35,Тарификатор!$A$5:$A$2356,0)),"НЕТ ТАКОГО АРТИКУЛА"))</f>
        <v/>
      </c>
      <c r="D35" s="12" t="str">
        <f>IF(B35="","",IFERROR(INDEX(Тарификатор!$C$5:$C$2356,MATCH(B35,Тарификатор!$A$5:$A$2356,0)),""))</f>
        <v/>
      </c>
      <c r="E35" s="13"/>
      <c r="F35" s="12" t="str">
        <f>IF(B35="","",IFERROR(INDEX(Тарификатор!$D$5:$D$2356,MATCH(B35,Тарификатор!$A$5:$A$2356,0)),""))</f>
        <v/>
      </c>
      <c r="G35" s="14" t="str">
        <f>IF(B35="","",IFERROR(IF($M$8="Мск",INDEX(Тарификатор!$F$5:$F$2356,MATCH(B35,Тарификатор!$A$5:$A$2356,0)),INDEX(Тарификатор!$E$5:$E$2356,MATCH(B35,Тарификатор!$A$5:$A$2356,0))),0))</f>
        <v/>
      </c>
      <c r="H35" s="15" t="str">
        <f>IF(B35="","",IFERROR(IF($M$8="Мск",INDEX(Тарификатор!$J$5:$J$2356,MATCH(B35,Тарификатор!$A$5:$A$2356,0)),INDEX(Тарификатор!$I$5:$I$2356,MATCH(B35,Тарификатор!$A$5:$A$2356,0))),0))</f>
        <v/>
      </c>
      <c r="I35" s="14" t="str">
        <f t="shared" si="0"/>
        <v/>
      </c>
      <c r="J35" s="14" t="str">
        <f>IF(B35="","",IFERROR(IF($M$8="Мск",INDEX(Тарификатор!$H$5:$H$2356,MATCH(B35,Тарификатор!$A$5:$A$2356,0)),INDEX(Тарификатор!$G$5:$G$2356,MATCH(B35,Тарификатор!$A$5:$A$2356,0))),0))</f>
        <v/>
      </c>
      <c r="K35" s="14" t="str">
        <f t="shared" si="1"/>
        <v/>
      </c>
      <c r="L35" s="15" t="str">
        <f>IF(F35="","",IFERROR(INDEX('Расходники к работам'!$C$5:$C$24,MATCH(F35,'Расходники к работам'!$A$5:$A$24,0)),0))</f>
        <v/>
      </c>
      <c r="M35" s="14" t="str">
        <f t="shared" si="2"/>
        <v/>
      </c>
      <c r="N35" s="14" t="str">
        <f t="shared" si="3"/>
        <v/>
      </c>
      <c r="O35" s="14" t="str">
        <f t="shared" si="4"/>
        <v/>
      </c>
      <c r="P35" s="16" t="str">
        <f t="shared" si="5"/>
        <v/>
      </c>
      <c r="Q35" s="14" t="str">
        <f t="shared" si="6"/>
        <v/>
      </c>
      <c r="R35" s="15" t="str">
        <f t="shared" si="7"/>
        <v/>
      </c>
    </row>
    <row r="36" spans="1:18" x14ac:dyDescent="0.25">
      <c r="A36" s="12">
        <v>24</v>
      </c>
      <c r="B36" s="8"/>
      <c r="C36" s="12" t="str">
        <f>IF(B36="","",IFERROR(INDEX(Тарификатор!$B$5:$B$2356,MATCH(B36,Тарификатор!$A$5:$A$2356,0)),"НЕТ ТАКОГО АРТИКУЛА"))</f>
        <v/>
      </c>
      <c r="D36" s="12" t="str">
        <f>IF(B36="","",IFERROR(INDEX(Тарификатор!$C$5:$C$2356,MATCH(B36,Тарификатор!$A$5:$A$2356,0)),""))</f>
        <v/>
      </c>
      <c r="E36" s="13"/>
      <c r="F36" s="12" t="str">
        <f>IF(B36="","",IFERROR(INDEX(Тарификатор!$D$5:$D$2356,MATCH(B36,Тарификатор!$A$5:$A$2356,0)),""))</f>
        <v/>
      </c>
      <c r="G36" s="14" t="str">
        <f>IF(B36="","",IFERROR(IF($M$8="Мск",INDEX(Тарификатор!$F$5:$F$2356,MATCH(B36,Тарификатор!$A$5:$A$2356,0)),INDEX(Тарификатор!$E$5:$E$2356,MATCH(B36,Тарификатор!$A$5:$A$2356,0))),0))</f>
        <v/>
      </c>
      <c r="H36" s="15" t="str">
        <f>IF(B36="","",IFERROR(IF($M$8="Мск",INDEX(Тарификатор!$J$5:$J$2356,MATCH(B36,Тарификатор!$A$5:$A$2356,0)),INDEX(Тарификатор!$I$5:$I$2356,MATCH(B36,Тарификатор!$A$5:$A$2356,0))),0))</f>
        <v/>
      </c>
      <c r="I36" s="14" t="str">
        <f t="shared" si="0"/>
        <v/>
      </c>
      <c r="J36" s="14" t="str">
        <f>IF(B36="","",IFERROR(IF($M$8="Мск",INDEX(Тарификатор!$H$5:$H$2356,MATCH(B36,Тарификатор!$A$5:$A$2356,0)),INDEX(Тарификатор!$G$5:$G$2356,MATCH(B36,Тарификатор!$A$5:$A$2356,0))),0))</f>
        <v/>
      </c>
      <c r="K36" s="14" t="str">
        <f t="shared" si="1"/>
        <v/>
      </c>
      <c r="L36" s="15" t="str">
        <f>IF(F36="","",IFERROR(INDEX('Расходники к работам'!$C$5:$C$24,MATCH(F36,'Расходники к работам'!$A$5:$A$24,0)),0))</f>
        <v/>
      </c>
      <c r="M36" s="14" t="str">
        <f t="shared" si="2"/>
        <v/>
      </c>
      <c r="N36" s="14" t="str">
        <f t="shared" si="3"/>
        <v/>
      </c>
      <c r="O36" s="14" t="str">
        <f t="shared" si="4"/>
        <v/>
      </c>
      <c r="P36" s="16" t="str">
        <f t="shared" si="5"/>
        <v/>
      </c>
      <c r="Q36" s="14" t="str">
        <f t="shared" si="6"/>
        <v/>
      </c>
      <c r="R36" s="15" t="str">
        <f t="shared" si="7"/>
        <v/>
      </c>
    </row>
    <row r="37" spans="1:18" x14ac:dyDescent="0.25">
      <c r="A37" s="12">
        <v>25</v>
      </c>
      <c r="B37" s="8"/>
      <c r="C37" s="12" t="str">
        <f>IF(B37="","",IFERROR(INDEX(Тарификатор!$B$5:$B$2356,MATCH(B37,Тарификатор!$A$5:$A$2356,0)),"НЕТ ТАКОГО АРТИКУЛА"))</f>
        <v/>
      </c>
      <c r="D37" s="12" t="str">
        <f>IF(B37="","",IFERROR(INDEX(Тарификатор!$C$5:$C$2356,MATCH(B37,Тарификатор!$A$5:$A$2356,0)),""))</f>
        <v/>
      </c>
      <c r="E37" s="13"/>
      <c r="F37" s="12" t="str">
        <f>IF(B37="","",IFERROR(INDEX(Тарификатор!$D$5:$D$2356,MATCH(B37,Тарификатор!$A$5:$A$2356,0)),""))</f>
        <v/>
      </c>
      <c r="G37" s="14" t="str">
        <f>IF(B37="","",IFERROR(IF($M$8="Мск",INDEX(Тарификатор!$F$5:$F$2356,MATCH(B37,Тарификатор!$A$5:$A$2356,0)),INDEX(Тарификатор!$E$5:$E$2356,MATCH(B37,Тарификатор!$A$5:$A$2356,0))),0))</f>
        <v/>
      </c>
      <c r="H37" s="15" t="str">
        <f>IF(B37="","",IFERROR(IF($M$8="Мск",INDEX(Тарификатор!$J$5:$J$2356,MATCH(B37,Тарификатор!$A$5:$A$2356,0)),INDEX(Тарификатор!$I$5:$I$2356,MATCH(B37,Тарификатор!$A$5:$A$2356,0))),0))</f>
        <v/>
      </c>
      <c r="I37" s="14" t="str">
        <f t="shared" si="0"/>
        <v/>
      </c>
      <c r="J37" s="14" t="str">
        <f>IF(B37="","",IFERROR(IF($M$8="Мск",INDEX(Тарификатор!$H$5:$H$2356,MATCH(B37,Тарификатор!$A$5:$A$2356,0)),INDEX(Тарификатор!$G$5:$G$2356,MATCH(B37,Тарификатор!$A$5:$A$2356,0))),0))</f>
        <v/>
      </c>
      <c r="K37" s="14" t="str">
        <f t="shared" si="1"/>
        <v/>
      </c>
      <c r="L37" s="15" t="str">
        <f>IF(F37="","",IFERROR(INDEX('Расходники к работам'!$C$5:$C$24,MATCH(F37,'Расходники к работам'!$A$5:$A$24,0)),0))</f>
        <v/>
      </c>
      <c r="M37" s="14" t="str">
        <f t="shared" si="2"/>
        <v/>
      </c>
      <c r="N37" s="14" t="str">
        <f t="shared" si="3"/>
        <v/>
      </c>
      <c r="O37" s="14" t="str">
        <f t="shared" si="4"/>
        <v/>
      </c>
      <c r="P37" s="16" t="str">
        <f t="shared" si="5"/>
        <v/>
      </c>
      <c r="Q37" s="14" t="str">
        <f t="shared" si="6"/>
        <v/>
      </c>
      <c r="R37" s="15" t="str">
        <f t="shared" si="7"/>
        <v/>
      </c>
    </row>
    <row r="38" spans="1:18" x14ac:dyDescent="0.25">
      <c r="A38" s="12">
        <v>26</v>
      </c>
      <c r="B38" s="8"/>
      <c r="C38" s="12" t="str">
        <f>IF(B38="","",IFERROR(INDEX(Тарификатор!$B$5:$B$2356,MATCH(B38,Тарификатор!$A$5:$A$2356,0)),"НЕТ ТАКОГО АРТИКУЛА"))</f>
        <v/>
      </c>
      <c r="D38" s="12" t="str">
        <f>IF(B38="","",IFERROR(INDEX(Тарификатор!$C$5:$C$2356,MATCH(B38,Тарификатор!$A$5:$A$2356,0)),""))</f>
        <v/>
      </c>
      <c r="E38" s="13"/>
      <c r="F38" s="12" t="str">
        <f>IF(B38="","",IFERROR(INDEX(Тарификатор!$D$5:$D$2356,MATCH(B38,Тарификатор!$A$5:$A$2356,0)),""))</f>
        <v/>
      </c>
      <c r="G38" s="14" t="str">
        <f>IF(B38="","",IFERROR(IF($M$8="Мск",INDEX(Тарификатор!$F$5:$F$2356,MATCH(B38,Тарификатор!$A$5:$A$2356,0)),INDEX(Тарификатор!$E$5:$E$2356,MATCH(B38,Тарификатор!$A$5:$A$2356,0))),0))</f>
        <v/>
      </c>
      <c r="H38" s="15" t="str">
        <f>IF(B38="","",IFERROR(IF($M$8="Мск",INDEX(Тарификатор!$J$5:$J$2356,MATCH(B38,Тарификатор!$A$5:$A$2356,0)),INDEX(Тарификатор!$I$5:$I$2356,MATCH(B38,Тарификатор!$A$5:$A$2356,0))),0))</f>
        <v/>
      </c>
      <c r="I38" s="14" t="str">
        <f t="shared" si="0"/>
        <v/>
      </c>
      <c r="J38" s="14" t="str">
        <f>IF(B38="","",IFERROR(IF($M$8="Мск",INDEX(Тарификатор!$H$5:$H$2356,MATCH(B38,Тарификатор!$A$5:$A$2356,0)),INDEX(Тарификатор!$G$5:$G$2356,MATCH(B38,Тарификатор!$A$5:$A$2356,0))),0))</f>
        <v/>
      </c>
      <c r="K38" s="14" t="str">
        <f t="shared" si="1"/>
        <v/>
      </c>
      <c r="L38" s="15" t="str">
        <f>IF(F38="","",IFERROR(INDEX('Расходники к работам'!$C$5:$C$24,MATCH(F38,'Расходники к работам'!$A$5:$A$24,0)),0))</f>
        <v/>
      </c>
      <c r="M38" s="14" t="str">
        <f t="shared" si="2"/>
        <v/>
      </c>
      <c r="N38" s="14" t="str">
        <f t="shared" si="3"/>
        <v/>
      </c>
      <c r="O38" s="14" t="str">
        <f t="shared" si="4"/>
        <v/>
      </c>
      <c r="P38" s="16" t="str">
        <f t="shared" si="5"/>
        <v/>
      </c>
      <c r="Q38" s="14" t="str">
        <f t="shared" si="6"/>
        <v/>
      </c>
      <c r="R38" s="15" t="str">
        <f t="shared" si="7"/>
        <v/>
      </c>
    </row>
    <row r="39" spans="1:18" x14ac:dyDescent="0.25">
      <c r="A39" s="12">
        <v>27</v>
      </c>
      <c r="B39" s="8"/>
      <c r="C39" s="12" t="str">
        <f>IF(B39="","",IFERROR(INDEX(Тарификатор!$B$5:$B$2356,MATCH(B39,Тарификатор!$A$5:$A$2356,0)),"НЕТ ТАКОГО АРТИКУЛА"))</f>
        <v/>
      </c>
      <c r="D39" s="12" t="str">
        <f>IF(B39="","",IFERROR(INDEX(Тарификатор!$C$5:$C$2356,MATCH(B39,Тарификатор!$A$5:$A$2356,0)),""))</f>
        <v/>
      </c>
      <c r="E39" s="13"/>
      <c r="F39" s="12" t="str">
        <f>IF(B39="","",IFERROR(INDEX(Тарификатор!$D$5:$D$2356,MATCH(B39,Тарификатор!$A$5:$A$2356,0)),""))</f>
        <v/>
      </c>
      <c r="G39" s="14" t="str">
        <f>IF(B39="","",IFERROR(IF($M$8="Мск",INDEX(Тарификатор!$F$5:$F$2356,MATCH(B39,Тарификатор!$A$5:$A$2356,0)),INDEX(Тарификатор!$E$5:$E$2356,MATCH(B39,Тарификатор!$A$5:$A$2356,0))),0))</f>
        <v/>
      </c>
      <c r="H39" s="15" t="str">
        <f>IF(B39="","",IFERROR(IF($M$8="Мск",INDEX(Тарификатор!$J$5:$J$2356,MATCH(B39,Тарификатор!$A$5:$A$2356,0)),INDEX(Тарификатор!$I$5:$I$2356,MATCH(B39,Тарификатор!$A$5:$A$2356,0))),0))</f>
        <v/>
      </c>
      <c r="I39" s="14" t="str">
        <f t="shared" si="0"/>
        <v/>
      </c>
      <c r="J39" s="14" t="str">
        <f>IF(B39="","",IFERROR(IF($M$8="Мск",INDEX(Тарификатор!$H$5:$H$2356,MATCH(B39,Тарификатор!$A$5:$A$2356,0)),INDEX(Тарификатор!$G$5:$G$2356,MATCH(B39,Тарификатор!$A$5:$A$2356,0))),0))</f>
        <v/>
      </c>
      <c r="K39" s="14" t="str">
        <f t="shared" si="1"/>
        <v/>
      </c>
      <c r="L39" s="15" t="str">
        <f>IF(F39="","",IFERROR(INDEX('Расходники к работам'!$C$5:$C$24,MATCH(F39,'Расходники к работам'!$A$5:$A$24,0)),0))</f>
        <v/>
      </c>
      <c r="M39" s="14" t="str">
        <f t="shared" si="2"/>
        <v/>
      </c>
      <c r="N39" s="14" t="str">
        <f t="shared" si="3"/>
        <v/>
      </c>
      <c r="O39" s="14" t="str">
        <f t="shared" si="4"/>
        <v/>
      </c>
      <c r="P39" s="16" t="str">
        <f t="shared" si="5"/>
        <v/>
      </c>
      <c r="Q39" s="14" t="str">
        <f t="shared" si="6"/>
        <v/>
      </c>
      <c r="R39" s="15" t="str">
        <f t="shared" si="7"/>
        <v/>
      </c>
    </row>
    <row r="40" spans="1:18" x14ac:dyDescent="0.25">
      <c r="A40" s="12">
        <v>28</v>
      </c>
      <c r="B40" s="8"/>
      <c r="C40" s="12" t="str">
        <f>IF(B40="","",IFERROR(INDEX(Тарификатор!$B$5:$B$2356,MATCH(B40,Тарификатор!$A$5:$A$2356,0)),"НЕТ ТАКОГО АРТИКУЛА"))</f>
        <v/>
      </c>
      <c r="D40" s="12" t="str">
        <f>IF(B40="","",IFERROR(INDEX(Тарификатор!$C$5:$C$2356,MATCH(B40,Тарификатор!$A$5:$A$2356,0)),""))</f>
        <v/>
      </c>
      <c r="E40" s="13"/>
      <c r="F40" s="12" t="str">
        <f>IF(B40="","",IFERROR(INDEX(Тарификатор!$D$5:$D$2356,MATCH(B40,Тарификатор!$A$5:$A$2356,0)),""))</f>
        <v/>
      </c>
      <c r="G40" s="14" t="str">
        <f>IF(B40="","",IFERROR(IF($M$8="Мск",INDEX(Тарификатор!$F$5:$F$2356,MATCH(B40,Тарификатор!$A$5:$A$2356,0)),INDEX(Тарификатор!$E$5:$E$2356,MATCH(B40,Тарификатор!$A$5:$A$2356,0))),0))</f>
        <v/>
      </c>
      <c r="H40" s="15" t="str">
        <f>IF(B40="","",IFERROR(IF($M$8="Мск",INDEX(Тарификатор!$J$5:$J$2356,MATCH(B40,Тарификатор!$A$5:$A$2356,0)),INDEX(Тарификатор!$I$5:$I$2356,MATCH(B40,Тарификатор!$A$5:$A$2356,0))),0))</f>
        <v/>
      </c>
      <c r="I40" s="14" t="str">
        <f t="shared" si="0"/>
        <v/>
      </c>
      <c r="J40" s="14" t="str">
        <f>IF(B40="","",IFERROR(IF($M$8="Мск",INDEX(Тарификатор!$H$5:$H$2356,MATCH(B40,Тарификатор!$A$5:$A$2356,0)),INDEX(Тарификатор!$G$5:$G$2356,MATCH(B40,Тарификатор!$A$5:$A$2356,0))),0))</f>
        <v/>
      </c>
      <c r="K40" s="14" t="str">
        <f t="shared" si="1"/>
        <v/>
      </c>
      <c r="L40" s="15" t="str">
        <f>IF(F40="","",IFERROR(INDEX('Расходники к работам'!$C$5:$C$24,MATCH(F40,'Расходники к работам'!$A$5:$A$24,0)),0))</f>
        <v/>
      </c>
      <c r="M40" s="14" t="str">
        <f t="shared" si="2"/>
        <v/>
      </c>
      <c r="N40" s="14" t="str">
        <f t="shared" si="3"/>
        <v/>
      </c>
      <c r="O40" s="14" t="str">
        <f t="shared" si="4"/>
        <v/>
      </c>
      <c r="P40" s="16" t="str">
        <f t="shared" si="5"/>
        <v/>
      </c>
      <c r="Q40" s="14" t="str">
        <f t="shared" si="6"/>
        <v/>
      </c>
      <c r="R40" s="15" t="str">
        <f t="shared" si="7"/>
        <v/>
      </c>
    </row>
    <row r="41" spans="1:18" x14ac:dyDescent="0.25">
      <c r="A41" s="12">
        <v>29</v>
      </c>
      <c r="B41" s="8"/>
      <c r="C41" s="12" t="str">
        <f>IF(B41="","",IFERROR(INDEX(Тарификатор!$B$5:$B$2356,MATCH(B41,Тарификатор!$A$5:$A$2356,0)),"НЕТ ТАКОГО АРТИКУЛА"))</f>
        <v/>
      </c>
      <c r="D41" s="12" t="str">
        <f>IF(B41="","",IFERROR(INDEX(Тарификатор!$C$5:$C$2356,MATCH(B41,Тарификатор!$A$5:$A$2356,0)),""))</f>
        <v/>
      </c>
      <c r="E41" s="13"/>
      <c r="F41" s="12" t="str">
        <f>IF(B41="","",IFERROR(INDEX(Тарификатор!$D$5:$D$2356,MATCH(B41,Тарификатор!$A$5:$A$2356,0)),""))</f>
        <v/>
      </c>
      <c r="G41" s="14" t="str">
        <f>IF(B41="","",IFERROR(IF($M$8="Мск",INDEX(Тарификатор!$F$5:$F$2356,MATCH(B41,Тарификатор!$A$5:$A$2356,0)),INDEX(Тарификатор!$E$5:$E$2356,MATCH(B41,Тарификатор!$A$5:$A$2356,0))),0))</f>
        <v/>
      </c>
      <c r="H41" s="15" t="str">
        <f>IF(B41="","",IFERROR(IF($M$8="Мск",INDEX(Тарификатор!$J$5:$J$2356,MATCH(B41,Тарификатор!$A$5:$A$2356,0)),INDEX(Тарификатор!$I$5:$I$2356,MATCH(B41,Тарификатор!$A$5:$A$2356,0))),0))</f>
        <v/>
      </c>
      <c r="I41" s="14" t="str">
        <f t="shared" si="0"/>
        <v/>
      </c>
      <c r="J41" s="14" t="str">
        <f>IF(B41="","",IFERROR(IF($M$8="Мск",INDEX(Тарификатор!$H$5:$H$2356,MATCH(B41,Тарификатор!$A$5:$A$2356,0)),INDEX(Тарификатор!$G$5:$G$2356,MATCH(B41,Тарификатор!$A$5:$A$2356,0))),0))</f>
        <v/>
      </c>
      <c r="K41" s="14" t="str">
        <f t="shared" si="1"/>
        <v/>
      </c>
      <c r="L41" s="15" t="str">
        <f>IF(F41="","",IFERROR(INDEX('Расходники к работам'!$C$5:$C$24,MATCH(F41,'Расходники к работам'!$A$5:$A$24,0)),0))</f>
        <v/>
      </c>
      <c r="M41" s="14" t="str">
        <f t="shared" si="2"/>
        <v/>
      </c>
      <c r="N41" s="14" t="str">
        <f t="shared" si="3"/>
        <v/>
      </c>
      <c r="O41" s="14" t="str">
        <f t="shared" si="4"/>
        <v/>
      </c>
      <c r="P41" s="16" t="str">
        <f t="shared" si="5"/>
        <v/>
      </c>
      <c r="Q41" s="14" t="str">
        <f t="shared" si="6"/>
        <v/>
      </c>
      <c r="R41" s="15" t="str">
        <f t="shared" si="7"/>
        <v/>
      </c>
    </row>
    <row r="42" spans="1:18" x14ac:dyDescent="0.25">
      <c r="A42" s="12">
        <v>30</v>
      </c>
      <c r="B42" s="8"/>
      <c r="C42" s="12" t="str">
        <f>IF(B42="","",IFERROR(INDEX(Тарификатор!$B$5:$B$2356,MATCH(B42,Тарификатор!$A$5:$A$2356,0)),"НЕТ ТАКОГО АРТИКУЛА"))</f>
        <v/>
      </c>
      <c r="D42" s="12" t="str">
        <f>IF(B42="","",IFERROR(INDEX(Тарификатор!$C$5:$C$2356,MATCH(B42,Тарификатор!$A$5:$A$2356,0)),""))</f>
        <v/>
      </c>
      <c r="E42" s="13"/>
      <c r="F42" s="12" t="str">
        <f>IF(B42="","",IFERROR(INDEX(Тарификатор!$D$5:$D$2356,MATCH(B42,Тарификатор!$A$5:$A$2356,0)),""))</f>
        <v/>
      </c>
      <c r="G42" s="14" t="str">
        <f>IF(B42="","",IFERROR(IF($M$8="Мск",INDEX(Тарификатор!$F$5:$F$2356,MATCH(B42,Тарификатор!$A$5:$A$2356,0)),INDEX(Тарификатор!$E$5:$E$2356,MATCH(B42,Тарификатор!$A$5:$A$2356,0))),0))</f>
        <v/>
      </c>
      <c r="H42" s="15" t="str">
        <f>IF(B42="","",IFERROR(IF($M$8="Мск",INDEX(Тарификатор!$J$5:$J$2356,MATCH(B42,Тарификатор!$A$5:$A$2356,0)),INDEX(Тарификатор!$I$5:$I$2356,MATCH(B42,Тарификатор!$A$5:$A$2356,0))),0))</f>
        <v/>
      </c>
      <c r="I42" s="14" t="str">
        <f t="shared" si="0"/>
        <v/>
      </c>
      <c r="J42" s="14" t="str">
        <f>IF(B42="","",IFERROR(IF($M$8="Мск",INDEX(Тарификатор!$H$5:$H$2356,MATCH(B42,Тарификатор!$A$5:$A$2356,0)),INDEX(Тарификатор!$G$5:$G$2356,MATCH(B42,Тарификатор!$A$5:$A$2356,0))),0))</f>
        <v/>
      </c>
      <c r="K42" s="14" t="str">
        <f t="shared" si="1"/>
        <v/>
      </c>
      <c r="L42" s="15" t="str">
        <f>IF(F42="","",IFERROR(INDEX('Расходники к работам'!$C$5:$C$24,MATCH(F42,'Расходники к работам'!$A$5:$A$24,0)),0))</f>
        <v/>
      </c>
      <c r="M42" s="14" t="str">
        <f t="shared" si="2"/>
        <v/>
      </c>
      <c r="N42" s="14" t="str">
        <f t="shared" si="3"/>
        <v/>
      </c>
      <c r="O42" s="14" t="str">
        <f t="shared" si="4"/>
        <v/>
      </c>
      <c r="P42" s="16" t="str">
        <f t="shared" si="5"/>
        <v/>
      </c>
      <c r="Q42" s="14" t="str">
        <f t="shared" si="6"/>
        <v/>
      </c>
      <c r="R42" s="15" t="str">
        <f t="shared" si="7"/>
        <v/>
      </c>
    </row>
    <row r="43" spans="1:18" x14ac:dyDescent="0.25">
      <c r="A43" s="12">
        <v>31</v>
      </c>
      <c r="B43" s="8"/>
      <c r="C43" s="12" t="str">
        <f>IF(B43="","",IFERROR(INDEX(Тарификатор!$B$5:$B$2356,MATCH(B43,Тарификатор!$A$5:$A$2356,0)),"НЕТ ТАКОГО АРТИКУЛА"))</f>
        <v/>
      </c>
      <c r="D43" s="12" t="str">
        <f>IF(B43="","",IFERROR(INDEX(Тарификатор!$C$5:$C$2356,MATCH(B43,Тарификатор!$A$5:$A$2356,0)),""))</f>
        <v/>
      </c>
      <c r="E43" s="13"/>
      <c r="F43" s="12" t="str">
        <f>IF(B43="","",IFERROR(INDEX(Тарификатор!$D$5:$D$2356,MATCH(B43,Тарификатор!$A$5:$A$2356,0)),""))</f>
        <v/>
      </c>
      <c r="G43" s="14" t="str">
        <f>IF(B43="","",IFERROR(IF($M$8="Мск",INDEX(Тарификатор!$F$5:$F$2356,MATCH(B43,Тарификатор!$A$5:$A$2356,0)),INDEX(Тарификатор!$E$5:$E$2356,MATCH(B43,Тарификатор!$A$5:$A$2356,0))),0))</f>
        <v/>
      </c>
      <c r="H43" s="15" t="str">
        <f>IF(B43="","",IFERROR(IF($M$8="Мск",INDEX(Тарификатор!$J$5:$J$2356,MATCH(B43,Тарификатор!$A$5:$A$2356,0)),INDEX(Тарификатор!$I$5:$I$2356,MATCH(B43,Тарификатор!$A$5:$A$2356,0))),0))</f>
        <v/>
      </c>
      <c r="I43" s="14" t="str">
        <f t="shared" si="0"/>
        <v/>
      </c>
      <c r="J43" s="14" t="str">
        <f>IF(B43="","",IFERROR(IF($M$8="Мск",INDEX(Тарификатор!$H$5:$H$2356,MATCH(B43,Тарификатор!$A$5:$A$2356,0)),INDEX(Тарификатор!$G$5:$G$2356,MATCH(B43,Тарификатор!$A$5:$A$2356,0))),0))</f>
        <v/>
      </c>
      <c r="K43" s="14" t="str">
        <f t="shared" si="1"/>
        <v/>
      </c>
      <c r="L43" s="15" t="str">
        <f>IF(F43="","",IFERROR(INDEX('Расходники к работам'!$C$5:$C$24,MATCH(F43,'Расходники к работам'!$A$5:$A$24,0)),0))</f>
        <v/>
      </c>
      <c r="M43" s="14" t="str">
        <f t="shared" si="2"/>
        <v/>
      </c>
      <c r="N43" s="14" t="str">
        <f t="shared" si="3"/>
        <v/>
      </c>
      <c r="O43" s="14" t="str">
        <f t="shared" si="4"/>
        <v/>
      </c>
      <c r="P43" s="16" t="str">
        <f t="shared" si="5"/>
        <v/>
      </c>
      <c r="Q43" s="14" t="str">
        <f t="shared" si="6"/>
        <v/>
      </c>
      <c r="R43" s="15" t="str">
        <f t="shared" si="7"/>
        <v/>
      </c>
    </row>
    <row r="44" spans="1:18" x14ac:dyDescent="0.25">
      <c r="A44" s="12">
        <v>32</v>
      </c>
      <c r="B44" s="8"/>
      <c r="C44" s="12" t="str">
        <f>IF(B44="","",IFERROR(INDEX(Тарификатор!$B$5:$B$2356,MATCH(B44,Тарификатор!$A$5:$A$2356,0)),"НЕТ ТАКОГО АРТИКУЛА"))</f>
        <v/>
      </c>
      <c r="D44" s="12" t="str">
        <f>IF(B44="","",IFERROR(INDEX(Тарификатор!$C$5:$C$2356,MATCH(B44,Тарификатор!$A$5:$A$2356,0)),""))</f>
        <v/>
      </c>
      <c r="E44" s="13"/>
      <c r="F44" s="12" t="str">
        <f>IF(B44="","",IFERROR(INDEX(Тарификатор!$D$5:$D$2356,MATCH(B44,Тарификатор!$A$5:$A$2356,0)),""))</f>
        <v/>
      </c>
      <c r="G44" s="14" t="str">
        <f>IF(B44="","",IFERROR(IF($M$8="Мск",INDEX(Тарификатор!$F$5:$F$2356,MATCH(B44,Тарификатор!$A$5:$A$2356,0)),INDEX(Тарификатор!$E$5:$E$2356,MATCH(B44,Тарификатор!$A$5:$A$2356,0))),0))</f>
        <v/>
      </c>
      <c r="H44" s="15" t="str">
        <f>IF(B44="","",IFERROR(IF($M$8="Мск",INDEX(Тарификатор!$J$5:$J$2356,MATCH(B44,Тарификатор!$A$5:$A$2356,0)),INDEX(Тарификатор!$I$5:$I$2356,MATCH(B44,Тарификатор!$A$5:$A$2356,0))),0))</f>
        <v/>
      </c>
      <c r="I44" s="14" t="str">
        <f t="shared" si="0"/>
        <v/>
      </c>
      <c r="J44" s="14" t="str">
        <f>IF(B44="","",IFERROR(IF($M$8="Мск",INDEX(Тарификатор!$H$5:$H$2356,MATCH(B44,Тарификатор!$A$5:$A$2356,0)),INDEX(Тарификатор!$G$5:$G$2356,MATCH(B44,Тарификатор!$A$5:$A$2356,0))),0))</f>
        <v/>
      </c>
      <c r="K44" s="14" t="str">
        <f t="shared" si="1"/>
        <v/>
      </c>
      <c r="L44" s="15" t="str">
        <f>IF(F44="","",IFERROR(INDEX('Расходники к работам'!$C$5:$C$24,MATCH(F44,'Расходники к работам'!$A$5:$A$24,0)),0))</f>
        <v/>
      </c>
      <c r="M44" s="14" t="str">
        <f t="shared" si="2"/>
        <v/>
      </c>
      <c r="N44" s="14" t="str">
        <f t="shared" si="3"/>
        <v/>
      </c>
      <c r="O44" s="14" t="str">
        <f t="shared" si="4"/>
        <v/>
      </c>
      <c r="P44" s="16" t="str">
        <f t="shared" si="5"/>
        <v/>
      </c>
      <c r="Q44" s="14" t="str">
        <f t="shared" si="6"/>
        <v/>
      </c>
      <c r="R44" s="15" t="str">
        <f t="shared" si="7"/>
        <v/>
      </c>
    </row>
    <row r="45" spans="1:18" x14ac:dyDescent="0.25">
      <c r="A45" s="12">
        <v>33</v>
      </c>
      <c r="B45" s="8"/>
      <c r="C45" s="12" t="str">
        <f>IF(B45="","",IFERROR(INDEX(Тарификатор!$B$5:$B$2356,MATCH(B45,Тарификатор!$A$5:$A$2356,0)),"НЕТ ТАКОГО АРТИКУЛА"))</f>
        <v/>
      </c>
      <c r="D45" s="12" t="str">
        <f>IF(B45="","",IFERROR(INDEX(Тарификатор!$C$5:$C$2356,MATCH(B45,Тарификатор!$A$5:$A$2356,0)),""))</f>
        <v/>
      </c>
      <c r="E45" s="13"/>
      <c r="F45" s="12" t="str">
        <f>IF(B45="","",IFERROR(INDEX(Тарификатор!$D$5:$D$2356,MATCH(B45,Тарификатор!$A$5:$A$2356,0)),""))</f>
        <v/>
      </c>
      <c r="G45" s="14" t="str">
        <f>IF(B45="","",IFERROR(IF($M$8="Мск",INDEX(Тарификатор!$F$5:$F$2356,MATCH(B45,Тарификатор!$A$5:$A$2356,0)),INDEX(Тарификатор!$E$5:$E$2356,MATCH(B45,Тарификатор!$A$5:$A$2356,0))),0))</f>
        <v/>
      </c>
      <c r="H45" s="15" t="str">
        <f>IF(B45="","",IFERROR(IF($M$8="Мск",INDEX(Тарификатор!$J$5:$J$2356,MATCH(B45,Тарификатор!$A$5:$A$2356,0)),INDEX(Тарификатор!$I$5:$I$2356,MATCH(B45,Тарификатор!$A$5:$A$2356,0))),0))</f>
        <v/>
      </c>
      <c r="I45" s="14" t="str">
        <f t="shared" si="0"/>
        <v/>
      </c>
      <c r="J45" s="14" t="str">
        <f>IF(B45="","",IFERROR(IF($M$8="Мск",INDEX(Тарификатор!$H$5:$H$2356,MATCH(B45,Тарификатор!$A$5:$A$2356,0)),INDEX(Тарификатор!$G$5:$G$2356,MATCH(B45,Тарификатор!$A$5:$A$2356,0))),0))</f>
        <v/>
      </c>
      <c r="K45" s="14" t="str">
        <f t="shared" si="1"/>
        <v/>
      </c>
      <c r="L45" s="15" t="str">
        <f>IF(F45="","",IFERROR(INDEX('Расходники к работам'!$C$5:$C$24,MATCH(F45,'Расходники к работам'!$A$5:$A$24,0)),0))</f>
        <v/>
      </c>
      <c r="M45" s="14" t="str">
        <f t="shared" si="2"/>
        <v/>
      </c>
      <c r="N45" s="14" t="str">
        <f t="shared" si="3"/>
        <v/>
      </c>
      <c r="O45" s="14" t="str">
        <f t="shared" si="4"/>
        <v/>
      </c>
      <c r="P45" s="16" t="str">
        <f t="shared" si="5"/>
        <v/>
      </c>
      <c r="Q45" s="14" t="str">
        <f t="shared" si="6"/>
        <v/>
      </c>
      <c r="R45" s="15" t="str">
        <f t="shared" si="7"/>
        <v/>
      </c>
    </row>
    <row r="46" spans="1:18" x14ac:dyDescent="0.25">
      <c r="A46" s="12">
        <v>34</v>
      </c>
      <c r="B46" s="8"/>
      <c r="C46" s="12" t="str">
        <f>IF(B46="","",IFERROR(INDEX(Тарификатор!$B$5:$B$2356,MATCH(B46,Тарификатор!$A$5:$A$2356,0)),"НЕТ ТАКОГО АРТИКУЛА"))</f>
        <v/>
      </c>
      <c r="D46" s="12" t="str">
        <f>IF(B46="","",IFERROR(INDEX(Тарификатор!$C$5:$C$2356,MATCH(B46,Тарификатор!$A$5:$A$2356,0)),""))</f>
        <v/>
      </c>
      <c r="E46" s="13"/>
      <c r="F46" s="12" t="str">
        <f>IF(B46="","",IFERROR(INDEX(Тарификатор!$D$5:$D$2356,MATCH(B46,Тарификатор!$A$5:$A$2356,0)),""))</f>
        <v/>
      </c>
      <c r="G46" s="14" t="str">
        <f>IF(B46="","",IFERROR(IF($M$8="Мск",INDEX(Тарификатор!$F$5:$F$2356,MATCH(B46,Тарификатор!$A$5:$A$2356,0)),INDEX(Тарификатор!$E$5:$E$2356,MATCH(B46,Тарификатор!$A$5:$A$2356,0))),0))</f>
        <v/>
      </c>
      <c r="H46" s="15" t="str">
        <f>IF(B46="","",IFERROR(IF($M$8="Мск",INDEX(Тарификатор!$J$5:$J$2356,MATCH(B46,Тарификатор!$A$5:$A$2356,0)),INDEX(Тарификатор!$I$5:$I$2356,MATCH(B46,Тарификатор!$A$5:$A$2356,0))),0))</f>
        <v/>
      </c>
      <c r="I46" s="14" t="str">
        <f t="shared" si="0"/>
        <v/>
      </c>
      <c r="J46" s="14" t="str">
        <f>IF(B46="","",IFERROR(IF($M$8="Мск",INDEX(Тарификатор!$H$5:$H$2356,MATCH(B46,Тарификатор!$A$5:$A$2356,0)),INDEX(Тарификатор!$G$5:$G$2356,MATCH(B46,Тарификатор!$A$5:$A$2356,0))),0))</f>
        <v/>
      </c>
      <c r="K46" s="14" t="str">
        <f t="shared" si="1"/>
        <v/>
      </c>
      <c r="L46" s="15" t="str">
        <f>IF(F46="","",IFERROR(INDEX('Расходники к работам'!$C$5:$C$24,MATCH(F46,'Расходники к работам'!$A$5:$A$24,0)),0))</f>
        <v/>
      </c>
      <c r="M46" s="14" t="str">
        <f t="shared" si="2"/>
        <v/>
      </c>
      <c r="N46" s="14" t="str">
        <f t="shared" si="3"/>
        <v/>
      </c>
      <c r="O46" s="14" t="str">
        <f t="shared" si="4"/>
        <v/>
      </c>
      <c r="P46" s="16" t="str">
        <f t="shared" si="5"/>
        <v/>
      </c>
      <c r="Q46" s="14" t="str">
        <f t="shared" si="6"/>
        <v/>
      </c>
      <c r="R46" s="15" t="str">
        <f t="shared" si="7"/>
        <v/>
      </c>
    </row>
    <row r="47" spans="1:18" x14ac:dyDescent="0.25">
      <c r="A47" s="12">
        <v>35</v>
      </c>
      <c r="B47" s="8"/>
      <c r="C47" s="12" t="str">
        <f>IF(B47="","",IFERROR(INDEX(Тарификатор!$B$5:$B$2356,MATCH(B47,Тарификатор!$A$5:$A$2356,0)),"НЕТ ТАКОГО АРТИКУЛА"))</f>
        <v/>
      </c>
      <c r="D47" s="12" t="str">
        <f>IF(B47="","",IFERROR(INDEX(Тарификатор!$C$5:$C$2356,MATCH(B47,Тарификатор!$A$5:$A$2356,0)),""))</f>
        <v/>
      </c>
      <c r="E47" s="13"/>
      <c r="F47" s="12" t="str">
        <f>IF(B47="","",IFERROR(INDEX(Тарификатор!$D$5:$D$2356,MATCH(B47,Тарификатор!$A$5:$A$2356,0)),""))</f>
        <v/>
      </c>
      <c r="G47" s="14" t="str">
        <f>IF(B47="","",IFERROR(IF($M$8="Мск",INDEX(Тарификатор!$F$5:$F$2356,MATCH(B47,Тарификатор!$A$5:$A$2356,0)),INDEX(Тарификатор!$E$5:$E$2356,MATCH(B47,Тарификатор!$A$5:$A$2356,0))),0))</f>
        <v/>
      </c>
      <c r="H47" s="15" t="str">
        <f>IF(B47="","",IFERROR(IF($M$8="Мск",INDEX(Тарификатор!$J$5:$J$2356,MATCH(B47,Тарификатор!$A$5:$A$2356,0)),INDEX(Тарификатор!$I$5:$I$2356,MATCH(B47,Тарификатор!$A$5:$A$2356,0))),0))</f>
        <v/>
      </c>
      <c r="I47" s="14" t="str">
        <f t="shared" si="0"/>
        <v/>
      </c>
      <c r="J47" s="14" t="str">
        <f>IF(B47="","",IFERROR(IF($M$8="Мск",INDEX(Тарификатор!$H$5:$H$2356,MATCH(B47,Тарификатор!$A$5:$A$2356,0)),INDEX(Тарификатор!$G$5:$G$2356,MATCH(B47,Тарификатор!$A$5:$A$2356,0))),0))</f>
        <v/>
      </c>
      <c r="K47" s="14" t="str">
        <f t="shared" si="1"/>
        <v/>
      </c>
      <c r="L47" s="15" t="str">
        <f>IF(F47="","",IFERROR(INDEX('Расходники к работам'!$C$5:$C$24,MATCH(F47,'Расходники к работам'!$A$5:$A$24,0)),0))</f>
        <v/>
      </c>
      <c r="M47" s="14" t="str">
        <f t="shared" si="2"/>
        <v/>
      </c>
      <c r="N47" s="14" t="str">
        <f t="shared" si="3"/>
        <v/>
      </c>
      <c r="O47" s="14" t="str">
        <f t="shared" si="4"/>
        <v/>
      </c>
      <c r="P47" s="16" t="str">
        <f t="shared" si="5"/>
        <v/>
      </c>
      <c r="Q47" s="14" t="str">
        <f t="shared" si="6"/>
        <v/>
      </c>
      <c r="R47" s="15" t="str">
        <f t="shared" si="7"/>
        <v/>
      </c>
    </row>
    <row r="48" spans="1:18" x14ac:dyDescent="0.25">
      <c r="A48" s="12">
        <v>36</v>
      </c>
      <c r="B48" s="8"/>
      <c r="C48" s="12" t="str">
        <f>IF(B48="","",IFERROR(INDEX(Тарификатор!$B$5:$B$2356,MATCH(B48,Тарификатор!$A$5:$A$2356,0)),"НЕТ ТАКОГО АРТИКУЛА"))</f>
        <v/>
      </c>
      <c r="D48" s="12" t="str">
        <f>IF(B48="","",IFERROR(INDEX(Тарификатор!$C$5:$C$2356,MATCH(B48,Тарификатор!$A$5:$A$2356,0)),""))</f>
        <v/>
      </c>
      <c r="E48" s="13"/>
      <c r="F48" s="12" t="str">
        <f>IF(B48="","",IFERROR(INDEX(Тарификатор!$D$5:$D$2356,MATCH(B48,Тарификатор!$A$5:$A$2356,0)),""))</f>
        <v/>
      </c>
      <c r="G48" s="14" t="str">
        <f>IF(B48="","",IFERROR(IF($M$8="Мск",INDEX(Тарификатор!$F$5:$F$2356,MATCH(B48,Тарификатор!$A$5:$A$2356,0)),INDEX(Тарификатор!$E$5:$E$2356,MATCH(B48,Тарификатор!$A$5:$A$2356,0))),0))</f>
        <v/>
      </c>
      <c r="H48" s="15" t="str">
        <f>IF(B48="","",IFERROR(IF($M$8="Мск",INDEX(Тарификатор!$J$5:$J$2356,MATCH(B48,Тарификатор!$A$5:$A$2356,0)),INDEX(Тарификатор!$I$5:$I$2356,MATCH(B48,Тарификатор!$A$5:$A$2356,0))),0))</f>
        <v/>
      </c>
      <c r="I48" s="14" t="str">
        <f t="shared" si="0"/>
        <v/>
      </c>
      <c r="J48" s="14" t="str">
        <f>IF(B48="","",IFERROR(IF($M$8="Мск",INDEX(Тарификатор!$H$5:$H$2356,MATCH(B48,Тарификатор!$A$5:$A$2356,0)),INDEX(Тарификатор!$G$5:$G$2356,MATCH(B48,Тарификатор!$A$5:$A$2356,0))),0))</f>
        <v/>
      </c>
      <c r="K48" s="14" t="str">
        <f t="shared" si="1"/>
        <v/>
      </c>
      <c r="L48" s="15" t="str">
        <f>IF(F48="","",IFERROR(INDEX('Расходники к работам'!$C$5:$C$24,MATCH(F48,'Расходники к работам'!$A$5:$A$24,0)),0))</f>
        <v/>
      </c>
      <c r="M48" s="14" t="str">
        <f t="shared" si="2"/>
        <v/>
      </c>
      <c r="N48" s="14" t="str">
        <f t="shared" si="3"/>
        <v/>
      </c>
      <c r="O48" s="14" t="str">
        <f t="shared" si="4"/>
        <v/>
      </c>
      <c r="P48" s="16" t="str">
        <f t="shared" si="5"/>
        <v/>
      </c>
      <c r="Q48" s="14" t="str">
        <f t="shared" si="6"/>
        <v/>
      </c>
      <c r="R48" s="15" t="str">
        <f t="shared" si="7"/>
        <v/>
      </c>
    </row>
    <row r="49" spans="1:18" x14ac:dyDescent="0.25">
      <c r="A49" s="12">
        <v>37</v>
      </c>
      <c r="B49" s="8"/>
      <c r="C49" s="12" t="str">
        <f>IF(B49="","",IFERROR(INDEX(Тарификатор!$B$5:$B$2356,MATCH(B49,Тарификатор!$A$5:$A$2356,0)),"НЕТ ТАКОГО АРТИКУЛА"))</f>
        <v/>
      </c>
      <c r="D49" s="12" t="str">
        <f>IF(B49="","",IFERROR(INDEX(Тарификатор!$C$5:$C$2356,MATCH(B49,Тарификатор!$A$5:$A$2356,0)),""))</f>
        <v/>
      </c>
      <c r="E49" s="13"/>
      <c r="F49" s="12" t="str">
        <f>IF(B49="","",IFERROR(INDEX(Тарификатор!$D$5:$D$2356,MATCH(B49,Тарификатор!$A$5:$A$2356,0)),""))</f>
        <v/>
      </c>
      <c r="G49" s="14" t="str">
        <f>IF(B49="","",IFERROR(IF($M$8="Мск",INDEX(Тарификатор!$F$5:$F$2356,MATCH(B49,Тарификатор!$A$5:$A$2356,0)),INDEX(Тарификатор!$E$5:$E$2356,MATCH(B49,Тарификатор!$A$5:$A$2356,0))),0))</f>
        <v/>
      </c>
      <c r="H49" s="15" t="str">
        <f>IF(B49="","",IFERROR(IF($M$8="Мск",INDEX(Тарификатор!$J$5:$J$2356,MATCH(B49,Тарификатор!$A$5:$A$2356,0)),INDEX(Тарификатор!$I$5:$I$2356,MATCH(B49,Тарификатор!$A$5:$A$2356,0))),0))</f>
        <v/>
      </c>
      <c r="I49" s="14" t="str">
        <f t="shared" si="0"/>
        <v/>
      </c>
      <c r="J49" s="14" t="str">
        <f>IF(B49="","",IFERROR(IF($M$8="Мск",INDEX(Тарификатор!$H$5:$H$2356,MATCH(B49,Тарификатор!$A$5:$A$2356,0)),INDEX(Тарификатор!$G$5:$G$2356,MATCH(B49,Тарификатор!$A$5:$A$2356,0))),0))</f>
        <v/>
      </c>
      <c r="K49" s="14" t="str">
        <f t="shared" si="1"/>
        <v/>
      </c>
      <c r="L49" s="15" t="str">
        <f>IF(F49="","",IFERROR(INDEX('Расходники к работам'!$C$5:$C$24,MATCH(F49,'Расходники к работам'!$A$5:$A$24,0)),0))</f>
        <v/>
      </c>
      <c r="M49" s="14" t="str">
        <f t="shared" si="2"/>
        <v/>
      </c>
      <c r="N49" s="14" t="str">
        <f t="shared" si="3"/>
        <v/>
      </c>
      <c r="O49" s="14" t="str">
        <f t="shared" si="4"/>
        <v/>
      </c>
      <c r="P49" s="16" t="str">
        <f t="shared" si="5"/>
        <v/>
      </c>
      <c r="Q49" s="14" t="str">
        <f t="shared" si="6"/>
        <v/>
      </c>
      <c r="R49" s="15" t="str">
        <f t="shared" si="7"/>
        <v/>
      </c>
    </row>
    <row r="50" spans="1:18" x14ac:dyDescent="0.25">
      <c r="A50" s="12">
        <v>38</v>
      </c>
      <c r="B50" s="8"/>
      <c r="C50" s="12" t="str">
        <f>IF(B50="","",IFERROR(INDEX(Тарификатор!$B$5:$B$2356,MATCH(B50,Тарификатор!$A$5:$A$2356,0)),"НЕТ ТАКОГО АРТИКУЛА"))</f>
        <v/>
      </c>
      <c r="D50" s="12" t="str">
        <f>IF(B50="","",IFERROR(INDEX(Тарификатор!$C$5:$C$2356,MATCH(B50,Тарификатор!$A$5:$A$2356,0)),""))</f>
        <v/>
      </c>
      <c r="E50" s="13"/>
      <c r="F50" s="12" t="str">
        <f>IF(B50="","",IFERROR(INDEX(Тарификатор!$D$5:$D$2356,MATCH(B50,Тарификатор!$A$5:$A$2356,0)),""))</f>
        <v/>
      </c>
      <c r="G50" s="14" t="str">
        <f>IF(B50="","",IFERROR(IF($M$8="Мск",INDEX(Тарификатор!$F$5:$F$2356,MATCH(B50,Тарификатор!$A$5:$A$2356,0)),INDEX(Тарификатор!$E$5:$E$2356,MATCH(B50,Тарификатор!$A$5:$A$2356,0))),0))</f>
        <v/>
      </c>
      <c r="H50" s="15" t="str">
        <f>IF(B50="","",IFERROR(IF($M$8="Мск",INDEX(Тарификатор!$J$5:$J$2356,MATCH(B50,Тарификатор!$A$5:$A$2356,0)),INDEX(Тарификатор!$I$5:$I$2356,MATCH(B50,Тарификатор!$A$5:$A$2356,0))),0))</f>
        <v/>
      </c>
      <c r="I50" s="14" t="str">
        <f t="shared" si="0"/>
        <v/>
      </c>
      <c r="J50" s="14" t="str">
        <f>IF(B50="","",IFERROR(IF($M$8="Мск",INDEX(Тарификатор!$H$5:$H$2356,MATCH(B50,Тарификатор!$A$5:$A$2356,0)),INDEX(Тарификатор!$G$5:$G$2356,MATCH(B50,Тарификатор!$A$5:$A$2356,0))),0))</f>
        <v/>
      </c>
      <c r="K50" s="14" t="str">
        <f t="shared" si="1"/>
        <v/>
      </c>
      <c r="L50" s="15" t="str">
        <f>IF(F50="","",IFERROR(INDEX('Расходники к работам'!$C$5:$C$24,MATCH(F50,'Расходники к работам'!$A$5:$A$24,0)),0))</f>
        <v/>
      </c>
      <c r="M50" s="14" t="str">
        <f t="shared" si="2"/>
        <v/>
      </c>
      <c r="N50" s="14" t="str">
        <f t="shared" si="3"/>
        <v/>
      </c>
      <c r="O50" s="14" t="str">
        <f t="shared" si="4"/>
        <v/>
      </c>
      <c r="P50" s="16" t="str">
        <f t="shared" si="5"/>
        <v/>
      </c>
      <c r="Q50" s="14" t="str">
        <f t="shared" si="6"/>
        <v/>
      </c>
      <c r="R50" s="15" t="str">
        <f t="shared" si="7"/>
        <v/>
      </c>
    </row>
    <row r="51" spans="1:18" x14ac:dyDescent="0.25">
      <c r="A51" s="12">
        <v>39</v>
      </c>
      <c r="B51" s="8"/>
      <c r="C51" s="12" t="str">
        <f>IF(B51="","",IFERROR(INDEX(Тарификатор!$B$5:$B$2356,MATCH(B51,Тарификатор!$A$5:$A$2356,0)),"НЕТ ТАКОГО АРТИКУЛА"))</f>
        <v/>
      </c>
      <c r="D51" s="12" t="str">
        <f>IF(B51="","",IFERROR(INDEX(Тарификатор!$C$5:$C$2356,MATCH(B51,Тарификатор!$A$5:$A$2356,0)),""))</f>
        <v/>
      </c>
      <c r="E51" s="13"/>
      <c r="F51" s="12" t="str">
        <f>IF(B51="","",IFERROR(INDEX(Тарификатор!$D$5:$D$2356,MATCH(B51,Тарификатор!$A$5:$A$2356,0)),""))</f>
        <v/>
      </c>
      <c r="G51" s="14" t="str">
        <f>IF(B51="","",IFERROR(IF($M$8="Мск",INDEX(Тарификатор!$F$5:$F$2356,MATCH(B51,Тарификатор!$A$5:$A$2356,0)),INDEX(Тарификатор!$E$5:$E$2356,MATCH(B51,Тарификатор!$A$5:$A$2356,0))),0))</f>
        <v/>
      </c>
      <c r="H51" s="15" t="str">
        <f>IF(B51="","",IFERROR(IF($M$8="Мск",INDEX(Тарификатор!$J$5:$J$2356,MATCH(B51,Тарификатор!$A$5:$A$2356,0)),INDEX(Тарификатор!$I$5:$I$2356,MATCH(B51,Тарификатор!$A$5:$A$2356,0))),0))</f>
        <v/>
      </c>
      <c r="I51" s="14" t="str">
        <f t="shared" si="0"/>
        <v/>
      </c>
      <c r="J51" s="14" t="str">
        <f>IF(B51="","",IFERROR(IF($M$8="Мск",INDEX(Тарификатор!$H$5:$H$2356,MATCH(B51,Тарификатор!$A$5:$A$2356,0)),INDEX(Тарификатор!$G$5:$G$2356,MATCH(B51,Тарификатор!$A$5:$A$2356,0))),0))</f>
        <v/>
      </c>
      <c r="K51" s="14" t="str">
        <f t="shared" si="1"/>
        <v/>
      </c>
      <c r="L51" s="15" t="str">
        <f>IF(F51="","",IFERROR(INDEX('Расходники к работам'!$C$5:$C$24,MATCH(F51,'Расходники к работам'!$A$5:$A$24,0)),0))</f>
        <v/>
      </c>
      <c r="M51" s="14" t="str">
        <f t="shared" si="2"/>
        <v/>
      </c>
      <c r="N51" s="14" t="str">
        <f t="shared" si="3"/>
        <v/>
      </c>
      <c r="O51" s="14" t="str">
        <f t="shared" si="4"/>
        <v/>
      </c>
      <c r="P51" s="16" t="str">
        <f t="shared" si="5"/>
        <v/>
      </c>
      <c r="Q51" s="14" t="str">
        <f t="shared" si="6"/>
        <v/>
      </c>
      <c r="R51" s="15" t="str">
        <f t="shared" si="7"/>
        <v/>
      </c>
    </row>
    <row r="52" spans="1:18" x14ac:dyDescent="0.25">
      <c r="A52" s="12">
        <v>40</v>
      </c>
      <c r="B52" s="8"/>
      <c r="C52" s="12" t="str">
        <f>IF(B52="","",IFERROR(INDEX(Тарификатор!$B$5:$B$2356,MATCH(B52,Тарификатор!$A$5:$A$2356,0)),"НЕТ ТАКОГО АРТИКУЛА"))</f>
        <v/>
      </c>
      <c r="D52" s="12" t="str">
        <f>IF(B52="","",IFERROR(INDEX(Тарификатор!$C$5:$C$2356,MATCH(B52,Тарификатор!$A$5:$A$2356,0)),""))</f>
        <v/>
      </c>
      <c r="E52" s="13"/>
      <c r="F52" s="12" t="str">
        <f>IF(B52="","",IFERROR(INDEX(Тарификатор!$D$5:$D$2356,MATCH(B52,Тарификатор!$A$5:$A$2356,0)),""))</f>
        <v/>
      </c>
      <c r="G52" s="14" t="str">
        <f>IF(B52="","",IFERROR(IF($M$8="Мск",INDEX(Тарификатор!$F$5:$F$2356,MATCH(B52,Тарификатор!$A$5:$A$2356,0)),INDEX(Тарификатор!$E$5:$E$2356,MATCH(B52,Тарификатор!$A$5:$A$2356,0))),0))</f>
        <v/>
      </c>
      <c r="H52" s="15" t="str">
        <f>IF(B52="","",IFERROR(IF($M$8="Мск",INDEX(Тарификатор!$J$5:$J$2356,MATCH(B52,Тарификатор!$A$5:$A$2356,0)),INDEX(Тарификатор!$I$5:$I$2356,MATCH(B52,Тарификатор!$A$5:$A$2356,0))),0))</f>
        <v/>
      </c>
      <c r="I52" s="14" t="str">
        <f t="shared" si="0"/>
        <v/>
      </c>
      <c r="J52" s="14" t="str">
        <f>IF(B52="","",IFERROR(IF($M$8="Мск",INDEX(Тарификатор!$H$5:$H$2356,MATCH(B52,Тарификатор!$A$5:$A$2356,0)),INDEX(Тарификатор!$G$5:$G$2356,MATCH(B52,Тарификатор!$A$5:$A$2356,0))),0))</f>
        <v/>
      </c>
      <c r="K52" s="14" t="str">
        <f t="shared" si="1"/>
        <v/>
      </c>
      <c r="L52" s="15" t="str">
        <f>IF(F52="","",IFERROR(INDEX('Расходники к работам'!$C$5:$C$24,MATCH(F52,'Расходники к работам'!$A$5:$A$24,0)),0))</f>
        <v/>
      </c>
      <c r="M52" s="14" t="str">
        <f t="shared" si="2"/>
        <v/>
      </c>
      <c r="N52" s="14" t="str">
        <f t="shared" si="3"/>
        <v/>
      </c>
      <c r="O52" s="14" t="str">
        <f t="shared" si="4"/>
        <v/>
      </c>
      <c r="P52" s="16" t="str">
        <f t="shared" si="5"/>
        <v/>
      </c>
      <c r="Q52" s="14" t="str">
        <f t="shared" si="6"/>
        <v/>
      </c>
      <c r="R52" s="15" t="str">
        <f t="shared" si="7"/>
        <v/>
      </c>
    </row>
    <row r="53" spans="1:18" x14ac:dyDescent="0.25">
      <c r="C53" s="7" t="s">
        <v>69</v>
      </c>
      <c r="I53" s="17">
        <f>SUM(I13:I52)</f>
        <v>714000</v>
      </c>
      <c r="K53" s="17">
        <f>SUM(K13:K52)</f>
        <v>412000</v>
      </c>
      <c r="M53" s="17">
        <f>SUM(M13:M52)</f>
        <v>8240</v>
      </c>
      <c r="N53" s="17">
        <f>SUM(N13:N52)</f>
        <v>529867.88</v>
      </c>
      <c r="O53" s="17">
        <f>SUM(O13:O52)</f>
        <v>593651.75</v>
      </c>
      <c r="Q53" s="17">
        <f>SUM(Q13:Q52)</f>
        <v>950107.88</v>
      </c>
    </row>
    <row r="54" spans="1:18" x14ac:dyDescent="0.25">
      <c r="C54" s="18" t="s">
        <v>70</v>
      </c>
    </row>
    <row r="56" spans="1:18" ht="15.75" x14ac:dyDescent="0.25">
      <c r="A56" s="10" t="s">
        <v>71</v>
      </c>
    </row>
    <row r="57" spans="1:18" ht="105" customHeight="1" x14ac:dyDescent="0.25">
      <c r="A57" s="11" t="s">
        <v>49</v>
      </c>
      <c r="B57" s="11" t="s">
        <v>72</v>
      </c>
      <c r="C57" s="11" t="s">
        <v>73</v>
      </c>
      <c r="D57" s="11" t="s">
        <v>74</v>
      </c>
      <c r="E57" s="11" t="s">
        <v>52</v>
      </c>
      <c r="F57" s="11" t="s">
        <v>75</v>
      </c>
      <c r="G57" s="11" t="s">
        <v>76</v>
      </c>
      <c r="H57" s="11" t="s">
        <v>77</v>
      </c>
      <c r="I57" s="11" t="s">
        <v>78</v>
      </c>
      <c r="J57" s="11" t="s">
        <v>79</v>
      </c>
      <c r="K57" s="11" t="s">
        <v>80</v>
      </c>
      <c r="L57" s="11" t="s">
        <v>81</v>
      </c>
      <c r="M57" s="11" t="s">
        <v>82</v>
      </c>
      <c r="N57" s="11" t="s">
        <v>83</v>
      </c>
      <c r="O57" s="11" t="s">
        <v>84</v>
      </c>
      <c r="P57" s="11" t="s">
        <v>85</v>
      </c>
      <c r="Q57" s="11" t="s">
        <v>86</v>
      </c>
    </row>
    <row r="58" spans="1:18" x14ac:dyDescent="0.25">
      <c r="A58" s="12">
        <v>1</v>
      </c>
      <c r="B58" s="8" t="s">
        <v>67</v>
      </c>
      <c r="C58" s="8" t="s">
        <v>87</v>
      </c>
      <c r="D58" s="8" t="s">
        <v>88</v>
      </c>
      <c r="E58" s="8" t="s">
        <v>89</v>
      </c>
      <c r="F58" s="13">
        <v>1</v>
      </c>
      <c r="G58" s="14">
        <f t="shared" ref="G58:G89" si="8">IF(F58="","",IF(B58="",F58,IFERROR(F58*INDEX($E$13:$E$52,MATCH(B58,$B$13:$B$52,0)),"нет работы")))</f>
        <v>250</v>
      </c>
      <c r="H58" s="13">
        <v>1150</v>
      </c>
      <c r="I58" s="19" t="s">
        <v>90</v>
      </c>
      <c r="J58" s="15">
        <f>IF(D58="","",IFERROR(INDEX('Категории и наценки'!$B$5:$B$26,MATCH(D58,'Категории и наценки'!$A$5:$A$26,0)),0))</f>
        <v>0.1</v>
      </c>
      <c r="K58" s="14">
        <f t="shared" ref="K58:K89" si="9">IF(OR(H58="",D58=""),"",ROUND(H58*(1+J58)*(1+$M$3)*(1+$M$4+$M$5),2))</f>
        <v>1302.95</v>
      </c>
      <c r="L58" s="14">
        <f t="shared" ref="L58:L89" si="10">IF(OR(K58="",NOT(ISNUMBER(G58))),"",ROUND(K58*G58,2))</f>
        <v>325737.5</v>
      </c>
      <c r="M58" s="15">
        <f>IF(D58="","",IFERROR(IF($D$5="Под ключ",IF(AND(B58&lt;&gt;"",IFERROR(INDEX($H$13:$H$52,MATCH(B58,$B$13:$B$52,0)),0)&gt;0),INDEX('Категории и наценки'!$C$5:$C$26,MATCH(D58,'Категории и наценки'!$A$5:$A$26,0)),INDEX('Категории и наценки'!$D$5:$D$26,MATCH(D58,'Категории и наценки'!$A$5:$A$26,0))),INDEX('Категории и наценки'!$C$5:$C$26,MATCH(D58,'Категории и наценки'!$A$5:$A$26,0))),0))</f>
        <v>0.12</v>
      </c>
      <c r="N58" s="16">
        <f t="shared" ref="N58:N89" si="11">IF(K58="","",ROUND(K58*(1+M58),2))</f>
        <v>1459.3</v>
      </c>
      <c r="O58" s="16">
        <f t="shared" ref="O58:O89" si="12">IF(OR(N58="",NOT(ISNUMBER(G58))),"",ROUND(N58*G58,2))</f>
        <v>364825</v>
      </c>
      <c r="P58" s="13"/>
      <c r="Q58" s="12" t="str">
        <f t="shared" ref="Q58:Q89" si="13">IF(OR(P58="",N58=""),"—",IF(N58&gt;P58,"ВЫШЕ РОЗНИЦЫ","ок"))</f>
        <v>—</v>
      </c>
    </row>
    <row r="59" spans="1:18" x14ac:dyDescent="0.25">
      <c r="A59" s="12">
        <v>2</v>
      </c>
      <c r="B59" s="8" t="s">
        <v>67</v>
      </c>
      <c r="C59" s="8" t="s">
        <v>91</v>
      </c>
      <c r="D59" s="8" t="s">
        <v>92</v>
      </c>
      <c r="E59" s="8" t="s">
        <v>93</v>
      </c>
      <c r="F59" s="13">
        <v>5.5</v>
      </c>
      <c r="G59" s="14">
        <f t="shared" si="8"/>
        <v>1375</v>
      </c>
      <c r="H59" s="13">
        <v>28</v>
      </c>
      <c r="I59" s="19" t="s">
        <v>94</v>
      </c>
      <c r="J59" s="15">
        <f>IF(D59="","",IFERROR(INDEX('Категории и наценки'!$B$5:$B$26,MATCH(D59,'Категории и наценки'!$A$5:$A$26,0)),0))</f>
        <v>0.05</v>
      </c>
      <c r="K59" s="14">
        <f t="shared" si="9"/>
        <v>30.28</v>
      </c>
      <c r="L59" s="14">
        <f t="shared" si="10"/>
        <v>41635</v>
      </c>
      <c r="M59" s="15">
        <f>IF(D59="","",IFERROR(IF($D$5="Под ключ",IF(AND(B59&lt;&gt;"",IFERROR(INDEX($H$13:$H$52,MATCH(B59,$B$13:$B$52,0)),0)&gt;0),INDEX('Категории и наценки'!$C$5:$C$26,MATCH(D59,'Категории и наценки'!$A$5:$A$26,0)),INDEX('Категории и наценки'!$D$5:$D$26,MATCH(D59,'Категории и наценки'!$A$5:$A$26,0))),INDEX('Категории и наценки'!$C$5:$C$26,MATCH(D59,'Категории и наценки'!$A$5:$A$26,0))),0))</f>
        <v>0.12</v>
      </c>
      <c r="N59" s="16">
        <f t="shared" si="11"/>
        <v>33.909999999999997</v>
      </c>
      <c r="O59" s="16">
        <f t="shared" si="12"/>
        <v>46626.25</v>
      </c>
      <c r="P59" s="13"/>
      <c r="Q59" s="12" t="str">
        <f t="shared" si="13"/>
        <v>—</v>
      </c>
    </row>
    <row r="60" spans="1:18" x14ac:dyDescent="0.25">
      <c r="A60" s="12">
        <v>3</v>
      </c>
      <c r="B60" s="8" t="s">
        <v>67</v>
      </c>
      <c r="C60" s="8" t="s">
        <v>95</v>
      </c>
      <c r="D60" s="8" t="s">
        <v>92</v>
      </c>
      <c r="E60" s="8" t="s">
        <v>93</v>
      </c>
      <c r="F60" s="13">
        <v>0.4</v>
      </c>
      <c r="G60" s="14">
        <f t="shared" si="8"/>
        <v>100</v>
      </c>
      <c r="H60" s="13">
        <v>120</v>
      </c>
      <c r="I60" s="19" t="s">
        <v>94</v>
      </c>
      <c r="J60" s="15">
        <f>IF(D60="","",IFERROR(INDEX('Категории и наценки'!$B$5:$B$26,MATCH(D60,'Категории и наценки'!$A$5:$A$26,0)),0))</f>
        <v>0.05</v>
      </c>
      <c r="K60" s="14">
        <f t="shared" si="9"/>
        <v>129.78</v>
      </c>
      <c r="L60" s="14">
        <f t="shared" si="10"/>
        <v>12978</v>
      </c>
      <c r="M60" s="15">
        <f>IF(D60="","",IFERROR(IF($D$5="Под ключ",IF(AND(B60&lt;&gt;"",IFERROR(INDEX($H$13:$H$52,MATCH(B60,$B$13:$B$52,0)),0)&gt;0),INDEX('Категории и наценки'!$C$5:$C$26,MATCH(D60,'Категории и наценки'!$A$5:$A$26,0)),INDEX('Категории и наценки'!$D$5:$D$26,MATCH(D60,'Категории и наценки'!$A$5:$A$26,0))),INDEX('Категории и наценки'!$C$5:$C$26,MATCH(D60,'Категории и наценки'!$A$5:$A$26,0))),0))</f>
        <v>0.12</v>
      </c>
      <c r="N60" s="16">
        <f t="shared" si="11"/>
        <v>145.35</v>
      </c>
      <c r="O60" s="16">
        <f t="shared" si="12"/>
        <v>14535</v>
      </c>
      <c r="P60" s="13"/>
      <c r="Q60" s="12" t="str">
        <f t="shared" si="13"/>
        <v>—</v>
      </c>
    </row>
    <row r="61" spans="1:18" x14ac:dyDescent="0.25">
      <c r="A61" s="12">
        <v>4</v>
      </c>
      <c r="B61" s="8" t="s">
        <v>67</v>
      </c>
      <c r="C61" s="8" t="s">
        <v>96</v>
      </c>
      <c r="D61" s="8" t="s">
        <v>97</v>
      </c>
      <c r="E61" s="8" t="s">
        <v>98</v>
      </c>
      <c r="F61" s="13">
        <v>0.15</v>
      </c>
      <c r="G61" s="14">
        <f t="shared" si="8"/>
        <v>37.5</v>
      </c>
      <c r="H61" s="13">
        <v>60</v>
      </c>
      <c r="I61" s="19" t="s">
        <v>94</v>
      </c>
      <c r="J61" s="15">
        <f>IF(D61="","",IFERROR(INDEX('Категории и наценки'!$B$5:$B$26,MATCH(D61,'Категории и наценки'!$A$5:$A$26,0)),0))</f>
        <v>0.05</v>
      </c>
      <c r="K61" s="14">
        <f t="shared" si="9"/>
        <v>64.89</v>
      </c>
      <c r="L61" s="14">
        <f t="shared" si="10"/>
        <v>2433.38</v>
      </c>
      <c r="M61" s="15">
        <f>IF(D61="","",IFERROR(IF($D$5="Под ключ",IF(AND(B61&lt;&gt;"",IFERROR(INDEX($H$13:$H$52,MATCH(B61,$B$13:$B$52,0)),0)&gt;0),INDEX('Категории и наценки'!$C$5:$C$26,MATCH(D61,'Категории и наценки'!$A$5:$A$26,0)),INDEX('Категории и наценки'!$D$5:$D$26,MATCH(D61,'Категории и наценки'!$A$5:$A$26,0))),INDEX('Категории и наценки'!$C$5:$C$26,MATCH(D61,'Категории и наценки'!$A$5:$A$26,0))),0))</f>
        <v>0.12</v>
      </c>
      <c r="N61" s="16">
        <f t="shared" si="11"/>
        <v>72.680000000000007</v>
      </c>
      <c r="O61" s="16">
        <f t="shared" si="12"/>
        <v>2725.5</v>
      </c>
      <c r="P61" s="13"/>
      <c r="Q61" s="12" t="str">
        <f t="shared" si="13"/>
        <v>—</v>
      </c>
    </row>
    <row r="62" spans="1:18" x14ac:dyDescent="0.25">
      <c r="A62" s="12">
        <v>5</v>
      </c>
      <c r="B62" s="8" t="s">
        <v>67</v>
      </c>
      <c r="C62" s="8" t="s">
        <v>99</v>
      </c>
      <c r="D62" s="8" t="s">
        <v>100</v>
      </c>
      <c r="E62" s="8" t="s">
        <v>101</v>
      </c>
      <c r="F62" s="13">
        <v>8</v>
      </c>
      <c r="G62" s="14">
        <f t="shared" si="8"/>
        <v>2000</v>
      </c>
      <c r="H62" s="13">
        <v>3</v>
      </c>
      <c r="I62" s="19" t="s">
        <v>102</v>
      </c>
      <c r="J62" s="15">
        <f>IF(D62="","",IFERROR(INDEX('Категории и наценки'!$B$5:$B$26,MATCH(D62,'Категории и наценки'!$A$5:$A$26,0)),0))</f>
        <v>0.03</v>
      </c>
      <c r="K62" s="14">
        <f t="shared" si="9"/>
        <v>3.18</v>
      </c>
      <c r="L62" s="14">
        <f t="shared" si="10"/>
        <v>6360</v>
      </c>
      <c r="M62" s="15">
        <f>IF(D62="","",IFERROR(IF($D$5="Под ключ",IF(AND(B62&lt;&gt;"",IFERROR(INDEX($H$13:$H$52,MATCH(B62,$B$13:$B$52,0)),0)&gt;0),INDEX('Категории и наценки'!$C$5:$C$26,MATCH(D62,'Категории и наценки'!$A$5:$A$26,0)),INDEX('Категории и наценки'!$D$5:$D$26,MATCH(D62,'Категории и наценки'!$A$5:$A$26,0))),INDEX('Категории и наценки'!$C$5:$C$26,MATCH(D62,'Категории и наценки'!$A$5:$A$26,0))),0))</f>
        <v>0.15</v>
      </c>
      <c r="N62" s="16">
        <f t="shared" si="11"/>
        <v>3.66</v>
      </c>
      <c r="O62" s="16">
        <f t="shared" si="12"/>
        <v>7320</v>
      </c>
      <c r="P62" s="13"/>
      <c r="Q62" s="12" t="str">
        <f t="shared" si="13"/>
        <v>—</v>
      </c>
    </row>
    <row r="63" spans="1:18" x14ac:dyDescent="0.25">
      <c r="A63" s="12">
        <v>6</v>
      </c>
      <c r="B63" s="8" t="s">
        <v>68</v>
      </c>
      <c r="C63" s="8" t="s">
        <v>103</v>
      </c>
      <c r="D63" s="8" t="s">
        <v>104</v>
      </c>
      <c r="E63" s="8" t="s">
        <v>105</v>
      </c>
      <c r="F63" s="13">
        <v>1</v>
      </c>
      <c r="G63" s="14">
        <f t="shared" si="8"/>
        <v>1200</v>
      </c>
      <c r="H63" s="13">
        <v>92</v>
      </c>
      <c r="I63" s="19" t="s">
        <v>106</v>
      </c>
      <c r="J63" s="15">
        <f>IF(D63="","",IFERROR(INDEX('Категории и наценки'!$B$5:$B$26,MATCH(D63,'Категории и наценки'!$A$5:$A$26,0)),0))</f>
        <v>0.04</v>
      </c>
      <c r="K63" s="14">
        <f t="shared" si="9"/>
        <v>98.55</v>
      </c>
      <c r="L63" s="14">
        <f t="shared" si="10"/>
        <v>118260</v>
      </c>
      <c r="M63" s="15">
        <f>IF(D63="","",IFERROR(IF($D$5="Под ключ",IF(AND(B63&lt;&gt;"",IFERROR(INDEX($H$13:$H$52,MATCH(B63,$B$13:$B$52,0)),0)&gt;0),INDEX('Категории и наценки'!$C$5:$C$26,MATCH(D63,'Категории и наценки'!$A$5:$A$26,0)),INDEX('Категории и наценки'!$D$5:$D$26,MATCH(D63,'Категории и наценки'!$A$5:$A$26,0))),INDEX('Категории и наценки'!$C$5:$C$26,MATCH(D63,'Категории и наценки'!$A$5:$A$26,0))),0))</f>
        <v>0.12</v>
      </c>
      <c r="N63" s="16">
        <f t="shared" si="11"/>
        <v>110.38</v>
      </c>
      <c r="O63" s="16">
        <f t="shared" si="12"/>
        <v>132456</v>
      </c>
      <c r="P63" s="13"/>
      <c r="Q63" s="12" t="str">
        <f t="shared" si="13"/>
        <v>—</v>
      </c>
    </row>
    <row r="64" spans="1:18" x14ac:dyDescent="0.25">
      <c r="A64" s="12">
        <v>7</v>
      </c>
      <c r="B64" s="8" t="s">
        <v>68</v>
      </c>
      <c r="C64" s="8" t="s">
        <v>107</v>
      </c>
      <c r="D64" s="8" t="s">
        <v>108</v>
      </c>
      <c r="E64" s="8" t="s">
        <v>101</v>
      </c>
      <c r="F64" s="13">
        <v>3</v>
      </c>
      <c r="G64" s="14">
        <f t="shared" si="8"/>
        <v>3600</v>
      </c>
      <c r="H64" s="13">
        <v>4</v>
      </c>
      <c r="I64" s="19" t="s">
        <v>109</v>
      </c>
      <c r="J64" s="15">
        <f>IF(D64="","",IFERROR(INDEX('Категории и наценки'!$B$5:$B$26,MATCH(D64,'Категории и наценки'!$A$5:$A$26,0)),0))</f>
        <v>0.01</v>
      </c>
      <c r="K64" s="14">
        <f t="shared" si="9"/>
        <v>4.16</v>
      </c>
      <c r="L64" s="14">
        <f t="shared" si="10"/>
        <v>14976</v>
      </c>
      <c r="M64" s="15">
        <f>IF(D64="","",IFERROR(IF($D$5="Под ключ",IF(AND(B64&lt;&gt;"",IFERROR(INDEX($H$13:$H$52,MATCH(B64,$B$13:$B$52,0)),0)&gt;0),INDEX('Категории и наценки'!$C$5:$C$26,MATCH(D64,'Категории и наценки'!$A$5:$A$26,0)),INDEX('Категории и наценки'!$D$5:$D$26,MATCH(D64,'Категории и наценки'!$A$5:$A$26,0))),INDEX('Категории и наценки'!$C$5:$C$26,MATCH(D64,'Категории и наценки'!$A$5:$A$26,0))),0))</f>
        <v>0.12</v>
      </c>
      <c r="N64" s="16">
        <f t="shared" si="11"/>
        <v>4.66</v>
      </c>
      <c r="O64" s="16">
        <f t="shared" si="12"/>
        <v>16776</v>
      </c>
      <c r="P64" s="13"/>
      <c r="Q64" s="12" t="str">
        <f t="shared" si="13"/>
        <v>—</v>
      </c>
    </row>
    <row r="65" spans="1:17" x14ac:dyDescent="0.25">
      <c r="A65" s="12">
        <v>8</v>
      </c>
      <c r="B65" s="8" t="s">
        <v>68</v>
      </c>
      <c r="C65" s="8" t="s">
        <v>110</v>
      </c>
      <c r="D65" s="8" t="s">
        <v>108</v>
      </c>
      <c r="E65" s="8" t="s">
        <v>101</v>
      </c>
      <c r="F65" s="13">
        <v>3</v>
      </c>
      <c r="G65" s="14">
        <f t="shared" si="8"/>
        <v>3600</v>
      </c>
      <c r="H65" s="13">
        <v>2</v>
      </c>
      <c r="I65" s="19" t="s">
        <v>109</v>
      </c>
      <c r="J65" s="15">
        <f>IF(D65="","",IFERROR(INDEX('Категории и наценки'!$B$5:$B$26,MATCH(D65,'Категории и наценки'!$A$5:$A$26,0)),0))</f>
        <v>0.01</v>
      </c>
      <c r="K65" s="14">
        <f t="shared" si="9"/>
        <v>2.08</v>
      </c>
      <c r="L65" s="14">
        <f t="shared" si="10"/>
        <v>7488</v>
      </c>
      <c r="M65" s="15">
        <f>IF(D65="","",IFERROR(IF($D$5="Под ключ",IF(AND(B65&lt;&gt;"",IFERROR(INDEX($H$13:$H$52,MATCH(B65,$B$13:$B$52,0)),0)&gt;0),INDEX('Категории и наценки'!$C$5:$C$26,MATCH(D65,'Категории и наценки'!$A$5:$A$26,0)),INDEX('Категории и наценки'!$D$5:$D$26,MATCH(D65,'Категории и наценки'!$A$5:$A$26,0))),INDEX('Категории и наценки'!$C$5:$C$26,MATCH(D65,'Категории и наценки'!$A$5:$A$26,0))),0))</f>
        <v>0.12</v>
      </c>
      <c r="N65" s="16">
        <f t="shared" si="11"/>
        <v>2.33</v>
      </c>
      <c r="O65" s="16">
        <f t="shared" si="12"/>
        <v>8388</v>
      </c>
      <c r="P65" s="13"/>
      <c r="Q65" s="12" t="str">
        <f t="shared" si="13"/>
        <v>—</v>
      </c>
    </row>
    <row r="66" spans="1:17" x14ac:dyDescent="0.25">
      <c r="A66" s="12">
        <v>9</v>
      </c>
      <c r="B66" s="8"/>
      <c r="C66" s="8" t="s">
        <v>111</v>
      </c>
      <c r="D66" s="8" t="s">
        <v>112</v>
      </c>
      <c r="E66" s="8" t="s">
        <v>101</v>
      </c>
      <c r="F66" s="13">
        <v>1</v>
      </c>
      <c r="G66" s="14">
        <f t="shared" si="8"/>
        <v>1</v>
      </c>
      <c r="H66" s="13">
        <v>640000</v>
      </c>
      <c r="I66" s="19" t="s">
        <v>113</v>
      </c>
      <c r="J66" s="15">
        <f>IF(D66="","",IFERROR(INDEX('Категории и наценки'!$B$5:$B$26,MATCH(D66,'Категории и наценки'!$A$5:$A$26,0)),0))</f>
        <v>0</v>
      </c>
      <c r="K66" s="14">
        <f t="shared" si="9"/>
        <v>659200</v>
      </c>
      <c r="L66" s="14">
        <f t="shared" si="10"/>
        <v>659200</v>
      </c>
      <c r="M66" s="15">
        <f>IF(D66="","",IFERROR(IF($D$5="Под ключ",IF(AND(B66&lt;&gt;"",IFERROR(INDEX($H$13:$H$52,MATCH(B66,$B$13:$B$52,0)),0)&gt;0),INDEX('Категории и наценки'!$C$5:$C$26,MATCH(D66,'Категории и наценки'!$A$5:$A$26,0)),INDEX('Категории и наценки'!$D$5:$D$26,MATCH(D66,'Категории и наценки'!$A$5:$A$26,0))),INDEX('Категории и наценки'!$C$5:$C$26,MATCH(D66,'Категории и наценки'!$A$5:$A$26,0))),0))</f>
        <v>0.1</v>
      </c>
      <c r="N66" s="16">
        <f t="shared" si="11"/>
        <v>725120</v>
      </c>
      <c r="O66" s="16">
        <f t="shared" si="12"/>
        <v>725120</v>
      </c>
      <c r="P66" s="13"/>
      <c r="Q66" s="12" t="str">
        <f t="shared" si="13"/>
        <v>—</v>
      </c>
    </row>
    <row r="67" spans="1:17" x14ac:dyDescent="0.25">
      <c r="A67" s="12">
        <v>10</v>
      </c>
      <c r="B67" s="8"/>
      <c r="C67" s="8"/>
      <c r="D67" s="8"/>
      <c r="E67" s="8"/>
      <c r="F67" s="13"/>
      <c r="G67" s="14" t="str">
        <f t="shared" si="8"/>
        <v/>
      </c>
      <c r="H67" s="13"/>
      <c r="I67" s="8"/>
      <c r="J67" s="15" t="str">
        <f>IF(D67="","",IFERROR(INDEX('Категории и наценки'!$B$5:$B$26,MATCH(D67,'Категории и наценки'!$A$5:$A$26,0)),0))</f>
        <v/>
      </c>
      <c r="K67" s="14" t="str">
        <f t="shared" si="9"/>
        <v/>
      </c>
      <c r="L67" s="14" t="str">
        <f t="shared" si="10"/>
        <v/>
      </c>
      <c r="M67" s="15" t="str">
        <f>IF(D67="","",IFERROR(IF($D$5="Под ключ",IF(AND(B67&lt;&gt;"",IFERROR(INDEX($H$13:$H$52,MATCH(B67,$B$13:$B$52,0)),0)&gt;0),INDEX('Категории и наценки'!$C$5:$C$26,MATCH(D67,'Категории и наценки'!$A$5:$A$26,0)),INDEX('Категории и наценки'!$D$5:$D$26,MATCH(D67,'Категории и наценки'!$A$5:$A$26,0))),INDEX('Категории и наценки'!$C$5:$C$26,MATCH(D67,'Категории и наценки'!$A$5:$A$26,0))),0))</f>
        <v/>
      </c>
      <c r="N67" s="16" t="str">
        <f t="shared" si="11"/>
        <v/>
      </c>
      <c r="O67" s="16" t="str">
        <f t="shared" si="12"/>
        <v/>
      </c>
      <c r="P67" s="13"/>
      <c r="Q67" s="12" t="str">
        <f t="shared" si="13"/>
        <v>—</v>
      </c>
    </row>
    <row r="68" spans="1:17" x14ac:dyDescent="0.25">
      <c r="A68" s="12">
        <v>11</v>
      </c>
      <c r="B68" s="8"/>
      <c r="C68" s="8"/>
      <c r="D68" s="8"/>
      <c r="E68" s="8"/>
      <c r="F68" s="13"/>
      <c r="G68" s="14" t="str">
        <f t="shared" si="8"/>
        <v/>
      </c>
      <c r="H68" s="13"/>
      <c r="I68" s="8"/>
      <c r="J68" s="15" t="str">
        <f>IF(D68="","",IFERROR(INDEX('Категории и наценки'!$B$5:$B$26,MATCH(D68,'Категории и наценки'!$A$5:$A$26,0)),0))</f>
        <v/>
      </c>
      <c r="K68" s="14" t="str">
        <f t="shared" si="9"/>
        <v/>
      </c>
      <c r="L68" s="14" t="str">
        <f t="shared" si="10"/>
        <v/>
      </c>
      <c r="M68" s="15" t="str">
        <f>IF(D68="","",IFERROR(IF($D$5="Под ключ",IF(AND(B68&lt;&gt;"",IFERROR(INDEX($H$13:$H$52,MATCH(B68,$B$13:$B$52,0)),0)&gt;0),INDEX('Категории и наценки'!$C$5:$C$26,MATCH(D68,'Категории и наценки'!$A$5:$A$26,0)),INDEX('Категории и наценки'!$D$5:$D$26,MATCH(D68,'Категории и наценки'!$A$5:$A$26,0))),INDEX('Категории и наценки'!$C$5:$C$26,MATCH(D68,'Категории и наценки'!$A$5:$A$26,0))),0))</f>
        <v/>
      </c>
      <c r="N68" s="16" t="str">
        <f t="shared" si="11"/>
        <v/>
      </c>
      <c r="O68" s="16" t="str">
        <f t="shared" si="12"/>
        <v/>
      </c>
      <c r="P68" s="13"/>
      <c r="Q68" s="12" t="str">
        <f t="shared" si="13"/>
        <v>—</v>
      </c>
    </row>
    <row r="69" spans="1:17" x14ac:dyDescent="0.25">
      <c r="A69" s="12">
        <v>12</v>
      </c>
      <c r="B69" s="8"/>
      <c r="C69" s="8"/>
      <c r="D69" s="8"/>
      <c r="E69" s="8"/>
      <c r="F69" s="13"/>
      <c r="G69" s="14" t="str">
        <f t="shared" si="8"/>
        <v/>
      </c>
      <c r="H69" s="13"/>
      <c r="I69" s="8"/>
      <c r="J69" s="15" t="str">
        <f>IF(D69="","",IFERROR(INDEX('Категории и наценки'!$B$5:$B$26,MATCH(D69,'Категории и наценки'!$A$5:$A$26,0)),0))</f>
        <v/>
      </c>
      <c r="K69" s="14" t="str">
        <f t="shared" si="9"/>
        <v/>
      </c>
      <c r="L69" s="14" t="str">
        <f t="shared" si="10"/>
        <v/>
      </c>
      <c r="M69" s="15" t="str">
        <f>IF(D69="","",IFERROR(IF($D$5="Под ключ",IF(AND(B69&lt;&gt;"",IFERROR(INDEX($H$13:$H$52,MATCH(B69,$B$13:$B$52,0)),0)&gt;0),INDEX('Категории и наценки'!$C$5:$C$26,MATCH(D69,'Категории и наценки'!$A$5:$A$26,0)),INDEX('Категории и наценки'!$D$5:$D$26,MATCH(D69,'Категории и наценки'!$A$5:$A$26,0))),INDEX('Категории и наценки'!$C$5:$C$26,MATCH(D69,'Категории и наценки'!$A$5:$A$26,0))),0))</f>
        <v/>
      </c>
      <c r="N69" s="16" t="str">
        <f t="shared" si="11"/>
        <v/>
      </c>
      <c r="O69" s="16" t="str">
        <f t="shared" si="12"/>
        <v/>
      </c>
      <c r="P69" s="13"/>
      <c r="Q69" s="12" t="str">
        <f t="shared" si="13"/>
        <v>—</v>
      </c>
    </row>
    <row r="70" spans="1:17" x14ac:dyDescent="0.25">
      <c r="A70" s="12">
        <v>13</v>
      </c>
      <c r="B70" s="8"/>
      <c r="C70" s="8"/>
      <c r="D70" s="8"/>
      <c r="E70" s="8"/>
      <c r="F70" s="13"/>
      <c r="G70" s="14" t="str">
        <f t="shared" si="8"/>
        <v/>
      </c>
      <c r="H70" s="13"/>
      <c r="I70" s="8"/>
      <c r="J70" s="15" t="str">
        <f>IF(D70="","",IFERROR(INDEX('Категории и наценки'!$B$5:$B$26,MATCH(D70,'Категории и наценки'!$A$5:$A$26,0)),0))</f>
        <v/>
      </c>
      <c r="K70" s="14" t="str">
        <f t="shared" si="9"/>
        <v/>
      </c>
      <c r="L70" s="14" t="str">
        <f t="shared" si="10"/>
        <v/>
      </c>
      <c r="M70" s="15" t="str">
        <f>IF(D70="","",IFERROR(IF($D$5="Под ключ",IF(AND(B70&lt;&gt;"",IFERROR(INDEX($H$13:$H$52,MATCH(B70,$B$13:$B$52,0)),0)&gt;0),INDEX('Категории и наценки'!$C$5:$C$26,MATCH(D70,'Категории и наценки'!$A$5:$A$26,0)),INDEX('Категории и наценки'!$D$5:$D$26,MATCH(D70,'Категории и наценки'!$A$5:$A$26,0))),INDEX('Категории и наценки'!$C$5:$C$26,MATCH(D70,'Категории и наценки'!$A$5:$A$26,0))),0))</f>
        <v/>
      </c>
      <c r="N70" s="16" t="str">
        <f t="shared" si="11"/>
        <v/>
      </c>
      <c r="O70" s="16" t="str">
        <f t="shared" si="12"/>
        <v/>
      </c>
      <c r="P70" s="13"/>
      <c r="Q70" s="12" t="str">
        <f t="shared" si="13"/>
        <v>—</v>
      </c>
    </row>
    <row r="71" spans="1:17" x14ac:dyDescent="0.25">
      <c r="A71" s="12">
        <v>14</v>
      </c>
      <c r="B71" s="8"/>
      <c r="C71" s="8"/>
      <c r="D71" s="8"/>
      <c r="E71" s="8"/>
      <c r="F71" s="13"/>
      <c r="G71" s="14" t="str">
        <f t="shared" si="8"/>
        <v/>
      </c>
      <c r="H71" s="13"/>
      <c r="I71" s="8"/>
      <c r="J71" s="15" t="str">
        <f>IF(D71="","",IFERROR(INDEX('Категории и наценки'!$B$5:$B$26,MATCH(D71,'Категории и наценки'!$A$5:$A$26,0)),0))</f>
        <v/>
      </c>
      <c r="K71" s="14" t="str">
        <f t="shared" si="9"/>
        <v/>
      </c>
      <c r="L71" s="14" t="str">
        <f t="shared" si="10"/>
        <v/>
      </c>
      <c r="M71" s="15" t="str">
        <f>IF(D71="","",IFERROR(IF($D$5="Под ключ",IF(AND(B71&lt;&gt;"",IFERROR(INDEX($H$13:$H$52,MATCH(B71,$B$13:$B$52,0)),0)&gt;0),INDEX('Категории и наценки'!$C$5:$C$26,MATCH(D71,'Категории и наценки'!$A$5:$A$26,0)),INDEX('Категории и наценки'!$D$5:$D$26,MATCH(D71,'Категории и наценки'!$A$5:$A$26,0))),INDEX('Категории и наценки'!$C$5:$C$26,MATCH(D71,'Категории и наценки'!$A$5:$A$26,0))),0))</f>
        <v/>
      </c>
      <c r="N71" s="16" t="str">
        <f t="shared" si="11"/>
        <v/>
      </c>
      <c r="O71" s="16" t="str">
        <f t="shared" si="12"/>
        <v/>
      </c>
      <c r="P71" s="13"/>
      <c r="Q71" s="12" t="str">
        <f t="shared" si="13"/>
        <v>—</v>
      </c>
    </row>
    <row r="72" spans="1:17" x14ac:dyDescent="0.25">
      <c r="A72" s="12">
        <v>15</v>
      </c>
      <c r="B72" s="8"/>
      <c r="C72" s="8"/>
      <c r="D72" s="8"/>
      <c r="E72" s="8"/>
      <c r="F72" s="13"/>
      <c r="G72" s="14" t="str">
        <f t="shared" si="8"/>
        <v/>
      </c>
      <c r="H72" s="13"/>
      <c r="I72" s="8"/>
      <c r="J72" s="15" t="str">
        <f>IF(D72="","",IFERROR(INDEX('Категории и наценки'!$B$5:$B$26,MATCH(D72,'Категории и наценки'!$A$5:$A$26,0)),0))</f>
        <v/>
      </c>
      <c r="K72" s="14" t="str">
        <f t="shared" si="9"/>
        <v/>
      </c>
      <c r="L72" s="14" t="str">
        <f t="shared" si="10"/>
        <v/>
      </c>
      <c r="M72" s="15" t="str">
        <f>IF(D72="","",IFERROR(IF($D$5="Под ключ",IF(AND(B72&lt;&gt;"",IFERROR(INDEX($H$13:$H$52,MATCH(B72,$B$13:$B$52,0)),0)&gt;0),INDEX('Категории и наценки'!$C$5:$C$26,MATCH(D72,'Категории и наценки'!$A$5:$A$26,0)),INDEX('Категории и наценки'!$D$5:$D$26,MATCH(D72,'Категории и наценки'!$A$5:$A$26,0))),INDEX('Категории и наценки'!$C$5:$C$26,MATCH(D72,'Категории и наценки'!$A$5:$A$26,0))),0))</f>
        <v/>
      </c>
      <c r="N72" s="16" t="str">
        <f t="shared" si="11"/>
        <v/>
      </c>
      <c r="O72" s="16" t="str">
        <f t="shared" si="12"/>
        <v/>
      </c>
      <c r="P72" s="13"/>
      <c r="Q72" s="12" t="str">
        <f t="shared" si="13"/>
        <v>—</v>
      </c>
    </row>
    <row r="73" spans="1:17" x14ac:dyDescent="0.25">
      <c r="A73" s="12">
        <v>16</v>
      </c>
      <c r="B73" s="8"/>
      <c r="C73" s="8"/>
      <c r="D73" s="8"/>
      <c r="E73" s="8"/>
      <c r="F73" s="13"/>
      <c r="G73" s="14" t="str">
        <f t="shared" si="8"/>
        <v/>
      </c>
      <c r="H73" s="13"/>
      <c r="I73" s="8"/>
      <c r="J73" s="15" t="str">
        <f>IF(D73="","",IFERROR(INDEX('Категории и наценки'!$B$5:$B$26,MATCH(D73,'Категории и наценки'!$A$5:$A$26,0)),0))</f>
        <v/>
      </c>
      <c r="K73" s="14" t="str">
        <f t="shared" si="9"/>
        <v/>
      </c>
      <c r="L73" s="14" t="str">
        <f t="shared" si="10"/>
        <v/>
      </c>
      <c r="M73" s="15" t="str">
        <f>IF(D73="","",IFERROR(IF($D$5="Под ключ",IF(AND(B73&lt;&gt;"",IFERROR(INDEX($H$13:$H$52,MATCH(B73,$B$13:$B$52,0)),0)&gt;0),INDEX('Категории и наценки'!$C$5:$C$26,MATCH(D73,'Категории и наценки'!$A$5:$A$26,0)),INDEX('Категории и наценки'!$D$5:$D$26,MATCH(D73,'Категории и наценки'!$A$5:$A$26,0))),INDEX('Категории и наценки'!$C$5:$C$26,MATCH(D73,'Категории и наценки'!$A$5:$A$26,0))),0))</f>
        <v/>
      </c>
      <c r="N73" s="16" t="str">
        <f t="shared" si="11"/>
        <v/>
      </c>
      <c r="O73" s="16" t="str">
        <f t="shared" si="12"/>
        <v/>
      </c>
      <c r="P73" s="13"/>
      <c r="Q73" s="12" t="str">
        <f t="shared" si="13"/>
        <v>—</v>
      </c>
    </row>
    <row r="74" spans="1:17" x14ac:dyDescent="0.25">
      <c r="A74" s="12">
        <v>17</v>
      </c>
      <c r="B74" s="8"/>
      <c r="C74" s="8"/>
      <c r="D74" s="8"/>
      <c r="E74" s="8"/>
      <c r="F74" s="13"/>
      <c r="G74" s="14" t="str">
        <f t="shared" si="8"/>
        <v/>
      </c>
      <c r="H74" s="13"/>
      <c r="I74" s="8"/>
      <c r="J74" s="15" t="str">
        <f>IF(D74="","",IFERROR(INDEX('Категории и наценки'!$B$5:$B$26,MATCH(D74,'Категории и наценки'!$A$5:$A$26,0)),0))</f>
        <v/>
      </c>
      <c r="K74" s="14" t="str">
        <f t="shared" si="9"/>
        <v/>
      </c>
      <c r="L74" s="14" t="str">
        <f t="shared" si="10"/>
        <v/>
      </c>
      <c r="M74" s="15" t="str">
        <f>IF(D74="","",IFERROR(IF($D$5="Под ключ",IF(AND(B74&lt;&gt;"",IFERROR(INDEX($H$13:$H$52,MATCH(B74,$B$13:$B$52,0)),0)&gt;0),INDEX('Категории и наценки'!$C$5:$C$26,MATCH(D74,'Категории и наценки'!$A$5:$A$26,0)),INDEX('Категории и наценки'!$D$5:$D$26,MATCH(D74,'Категории и наценки'!$A$5:$A$26,0))),INDEX('Категории и наценки'!$C$5:$C$26,MATCH(D74,'Категории и наценки'!$A$5:$A$26,0))),0))</f>
        <v/>
      </c>
      <c r="N74" s="16" t="str">
        <f t="shared" si="11"/>
        <v/>
      </c>
      <c r="O74" s="16" t="str">
        <f t="shared" si="12"/>
        <v/>
      </c>
      <c r="P74" s="13"/>
      <c r="Q74" s="12" t="str">
        <f t="shared" si="13"/>
        <v>—</v>
      </c>
    </row>
    <row r="75" spans="1:17" x14ac:dyDescent="0.25">
      <c r="A75" s="12">
        <v>18</v>
      </c>
      <c r="B75" s="8"/>
      <c r="C75" s="8"/>
      <c r="D75" s="8"/>
      <c r="E75" s="8"/>
      <c r="F75" s="13"/>
      <c r="G75" s="14" t="str">
        <f t="shared" si="8"/>
        <v/>
      </c>
      <c r="H75" s="13"/>
      <c r="I75" s="8"/>
      <c r="J75" s="15" t="str">
        <f>IF(D75="","",IFERROR(INDEX('Категории и наценки'!$B$5:$B$26,MATCH(D75,'Категории и наценки'!$A$5:$A$26,0)),0))</f>
        <v/>
      </c>
      <c r="K75" s="14" t="str">
        <f t="shared" si="9"/>
        <v/>
      </c>
      <c r="L75" s="14" t="str">
        <f t="shared" si="10"/>
        <v/>
      </c>
      <c r="M75" s="15" t="str">
        <f>IF(D75="","",IFERROR(IF($D$5="Под ключ",IF(AND(B75&lt;&gt;"",IFERROR(INDEX($H$13:$H$52,MATCH(B75,$B$13:$B$52,0)),0)&gt;0),INDEX('Категории и наценки'!$C$5:$C$26,MATCH(D75,'Категории и наценки'!$A$5:$A$26,0)),INDEX('Категории и наценки'!$D$5:$D$26,MATCH(D75,'Категории и наценки'!$A$5:$A$26,0))),INDEX('Категории и наценки'!$C$5:$C$26,MATCH(D75,'Категории и наценки'!$A$5:$A$26,0))),0))</f>
        <v/>
      </c>
      <c r="N75" s="16" t="str">
        <f t="shared" si="11"/>
        <v/>
      </c>
      <c r="O75" s="16" t="str">
        <f t="shared" si="12"/>
        <v/>
      </c>
      <c r="P75" s="13"/>
      <c r="Q75" s="12" t="str">
        <f t="shared" si="13"/>
        <v>—</v>
      </c>
    </row>
    <row r="76" spans="1:17" x14ac:dyDescent="0.25">
      <c r="A76" s="12">
        <v>19</v>
      </c>
      <c r="B76" s="8"/>
      <c r="C76" s="8"/>
      <c r="D76" s="8"/>
      <c r="E76" s="8"/>
      <c r="F76" s="13"/>
      <c r="G76" s="14" t="str">
        <f t="shared" si="8"/>
        <v/>
      </c>
      <c r="H76" s="13"/>
      <c r="I76" s="8"/>
      <c r="J76" s="15" t="str">
        <f>IF(D76="","",IFERROR(INDEX('Категории и наценки'!$B$5:$B$26,MATCH(D76,'Категории и наценки'!$A$5:$A$26,0)),0))</f>
        <v/>
      </c>
      <c r="K76" s="14" t="str">
        <f t="shared" si="9"/>
        <v/>
      </c>
      <c r="L76" s="14" t="str">
        <f t="shared" si="10"/>
        <v/>
      </c>
      <c r="M76" s="15" t="str">
        <f>IF(D76="","",IFERROR(IF($D$5="Под ключ",IF(AND(B76&lt;&gt;"",IFERROR(INDEX($H$13:$H$52,MATCH(B76,$B$13:$B$52,0)),0)&gt;0),INDEX('Категории и наценки'!$C$5:$C$26,MATCH(D76,'Категории и наценки'!$A$5:$A$26,0)),INDEX('Категории и наценки'!$D$5:$D$26,MATCH(D76,'Категории и наценки'!$A$5:$A$26,0))),INDEX('Категории и наценки'!$C$5:$C$26,MATCH(D76,'Категории и наценки'!$A$5:$A$26,0))),0))</f>
        <v/>
      </c>
      <c r="N76" s="16" t="str">
        <f t="shared" si="11"/>
        <v/>
      </c>
      <c r="O76" s="16" t="str">
        <f t="shared" si="12"/>
        <v/>
      </c>
      <c r="P76" s="13"/>
      <c r="Q76" s="12" t="str">
        <f t="shared" si="13"/>
        <v>—</v>
      </c>
    </row>
    <row r="77" spans="1:17" x14ac:dyDescent="0.25">
      <c r="A77" s="12">
        <v>20</v>
      </c>
      <c r="B77" s="8"/>
      <c r="C77" s="8"/>
      <c r="D77" s="8"/>
      <c r="E77" s="8"/>
      <c r="F77" s="13"/>
      <c r="G77" s="14" t="str">
        <f t="shared" si="8"/>
        <v/>
      </c>
      <c r="H77" s="13"/>
      <c r="I77" s="8"/>
      <c r="J77" s="15" t="str">
        <f>IF(D77="","",IFERROR(INDEX('Категории и наценки'!$B$5:$B$26,MATCH(D77,'Категории и наценки'!$A$5:$A$26,0)),0))</f>
        <v/>
      </c>
      <c r="K77" s="14" t="str">
        <f t="shared" si="9"/>
        <v/>
      </c>
      <c r="L77" s="14" t="str">
        <f t="shared" si="10"/>
        <v/>
      </c>
      <c r="M77" s="15" t="str">
        <f>IF(D77="","",IFERROR(IF($D$5="Под ключ",IF(AND(B77&lt;&gt;"",IFERROR(INDEX($H$13:$H$52,MATCH(B77,$B$13:$B$52,0)),0)&gt;0),INDEX('Категории и наценки'!$C$5:$C$26,MATCH(D77,'Категории и наценки'!$A$5:$A$26,0)),INDEX('Категории и наценки'!$D$5:$D$26,MATCH(D77,'Категории и наценки'!$A$5:$A$26,0))),INDEX('Категории и наценки'!$C$5:$C$26,MATCH(D77,'Категории и наценки'!$A$5:$A$26,0))),0))</f>
        <v/>
      </c>
      <c r="N77" s="16" t="str">
        <f t="shared" si="11"/>
        <v/>
      </c>
      <c r="O77" s="16" t="str">
        <f t="shared" si="12"/>
        <v/>
      </c>
      <c r="P77" s="13"/>
      <c r="Q77" s="12" t="str">
        <f t="shared" si="13"/>
        <v>—</v>
      </c>
    </row>
    <row r="78" spans="1:17" x14ac:dyDescent="0.25">
      <c r="A78" s="12">
        <v>21</v>
      </c>
      <c r="B78" s="8"/>
      <c r="C78" s="8"/>
      <c r="D78" s="8"/>
      <c r="E78" s="8"/>
      <c r="F78" s="13"/>
      <c r="G78" s="14" t="str">
        <f t="shared" si="8"/>
        <v/>
      </c>
      <c r="H78" s="13"/>
      <c r="I78" s="8"/>
      <c r="J78" s="15" t="str">
        <f>IF(D78="","",IFERROR(INDEX('Категории и наценки'!$B$5:$B$26,MATCH(D78,'Категории и наценки'!$A$5:$A$26,0)),0))</f>
        <v/>
      </c>
      <c r="K78" s="14" t="str">
        <f t="shared" si="9"/>
        <v/>
      </c>
      <c r="L78" s="14" t="str">
        <f t="shared" si="10"/>
        <v/>
      </c>
      <c r="M78" s="15" t="str">
        <f>IF(D78="","",IFERROR(IF($D$5="Под ключ",IF(AND(B78&lt;&gt;"",IFERROR(INDEX($H$13:$H$52,MATCH(B78,$B$13:$B$52,0)),0)&gt;0),INDEX('Категории и наценки'!$C$5:$C$26,MATCH(D78,'Категории и наценки'!$A$5:$A$26,0)),INDEX('Категории и наценки'!$D$5:$D$26,MATCH(D78,'Категории и наценки'!$A$5:$A$26,0))),INDEX('Категории и наценки'!$C$5:$C$26,MATCH(D78,'Категории и наценки'!$A$5:$A$26,0))),0))</f>
        <v/>
      </c>
      <c r="N78" s="16" t="str">
        <f t="shared" si="11"/>
        <v/>
      </c>
      <c r="O78" s="16" t="str">
        <f t="shared" si="12"/>
        <v/>
      </c>
      <c r="P78" s="13"/>
      <c r="Q78" s="12" t="str">
        <f t="shared" si="13"/>
        <v>—</v>
      </c>
    </row>
    <row r="79" spans="1:17" x14ac:dyDescent="0.25">
      <c r="A79" s="12">
        <v>22</v>
      </c>
      <c r="B79" s="8"/>
      <c r="C79" s="8"/>
      <c r="D79" s="8"/>
      <c r="E79" s="8"/>
      <c r="F79" s="13"/>
      <c r="G79" s="14" t="str">
        <f t="shared" si="8"/>
        <v/>
      </c>
      <c r="H79" s="13"/>
      <c r="I79" s="8"/>
      <c r="J79" s="15" t="str">
        <f>IF(D79="","",IFERROR(INDEX('Категории и наценки'!$B$5:$B$26,MATCH(D79,'Категории и наценки'!$A$5:$A$26,0)),0))</f>
        <v/>
      </c>
      <c r="K79" s="14" t="str">
        <f t="shared" si="9"/>
        <v/>
      </c>
      <c r="L79" s="14" t="str">
        <f t="shared" si="10"/>
        <v/>
      </c>
      <c r="M79" s="15" t="str">
        <f>IF(D79="","",IFERROR(IF($D$5="Под ключ",IF(AND(B79&lt;&gt;"",IFERROR(INDEX($H$13:$H$52,MATCH(B79,$B$13:$B$52,0)),0)&gt;0),INDEX('Категории и наценки'!$C$5:$C$26,MATCH(D79,'Категории и наценки'!$A$5:$A$26,0)),INDEX('Категории и наценки'!$D$5:$D$26,MATCH(D79,'Категории и наценки'!$A$5:$A$26,0))),INDEX('Категории и наценки'!$C$5:$C$26,MATCH(D79,'Категории и наценки'!$A$5:$A$26,0))),0))</f>
        <v/>
      </c>
      <c r="N79" s="16" t="str">
        <f t="shared" si="11"/>
        <v/>
      </c>
      <c r="O79" s="16" t="str">
        <f t="shared" si="12"/>
        <v/>
      </c>
      <c r="P79" s="13"/>
      <c r="Q79" s="12" t="str">
        <f t="shared" si="13"/>
        <v>—</v>
      </c>
    </row>
    <row r="80" spans="1:17" x14ac:dyDescent="0.25">
      <c r="A80" s="12">
        <v>23</v>
      </c>
      <c r="B80" s="8"/>
      <c r="C80" s="8"/>
      <c r="D80" s="8"/>
      <c r="E80" s="8"/>
      <c r="F80" s="13"/>
      <c r="G80" s="14" t="str">
        <f t="shared" si="8"/>
        <v/>
      </c>
      <c r="H80" s="13"/>
      <c r="I80" s="8"/>
      <c r="J80" s="15" t="str">
        <f>IF(D80="","",IFERROR(INDEX('Категории и наценки'!$B$5:$B$26,MATCH(D80,'Категории и наценки'!$A$5:$A$26,0)),0))</f>
        <v/>
      </c>
      <c r="K80" s="14" t="str">
        <f t="shared" si="9"/>
        <v/>
      </c>
      <c r="L80" s="14" t="str">
        <f t="shared" si="10"/>
        <v/>
      </c>
      <c r="M80" s="15" t="str">
        <f>IF(D80="","",IFERROR(IF($D$5="Под ключ",IF(AND(B80&lt;&gt;"",IFERROR(INDEX($H$13:$H$52,MATCH(B80,$B$13:$B$52,0)),0)&gt;0),INDEX('Категории и наценки'!$C$5:$C$26,MATCH(D80,'Категории и наценки'!$A$5:$A$26,0)),INDEX('Категории и наценки'!$D$5:$D$26,MATCH(D80,'Категории и наценки'!$A$5:$A$26,0))),INDEX('Категории и наценки'!$C$5:$C$26,MATCH(D80,'Категории и наценки'!$A$5:$A$26,0))),0))</f>
        <v/>
      </c>
      <c r="N80" s="16" t="str">
        <f t="shared" si="11"/>
        <v/>
      </c>
      <c r="O80" s="16" t="str">
        <f t="shared" si="12"/>
        <v/>
      </c>
      <c r="P80" s="13"/>
      <c r="Q80" s="12" t="str">
        <f t="shared" si="13"/>
        <v>—</v>
      </c>
    </row>
    <row r="81" spans="1:17" x14ac:dyDescent="0.25">
      <c r="A81" s="12">
        <v>24</v>
      </c>
      <c r="B81" s="8"/>
      <c r="C81" s="8"/>
      <c r="D81" s="8"/>
      <c r="E81" s="8"/>
      <c r="F81" s="13"/>
      <c r="G81" s="14" t="str">
        <f t="shared" si="8"/>
        <v/>
      </c>
      <c r="H81" s="13"/>
      <c r="I81" s="8"/>
      <c r="J81" s="15" t="str">
        <f>IF(D81="","",IFERROR(INDEX('Категории и наценки'!$B$5:$B$26,MATCH(D81,'Категории и наценки'!$A$5:$A$26,0)),0))</f>
        <v/>
      </c>
      <c r="K81" s="14" t="str">
        <f t="shared" si="9"/>
        <v/>
      </c>
      <c r="L81" s="14" t="str">
        <f t="shared" si="10"/>
        <v/>
      </c>
      <c r="M81" s="15" t="str">
        <f>IF(D81="","",IFERROR(IF($D$5="Под ключ",IF(AND(B81&lt;&gt;"",IFERROR(INDEX($H$13:$H$52,MATCH(B81,$B$13:$B$52,0)),0)&gt;0),INDEX('Категории и наценки'!$C$5:$C$26,MATCH(D81,'Категории и наценки'!$A$5:$A$26,0)),INDEX('Категории и наценки'!$D$5:$D$26,MATCH(D81,'Категории и наценки'!$A$5:$A$26,0))),INDEX('Категории и наценки'!$C$5:$C$26,MATCH(D81,'Категории и наценки'!$A$5:$A$26,0))),0))</f>
        <v/>
      </c>
      <c r="N81" s="16" t="str">
        <f t="shared" si="11"/>
        <v/>
      </c>
      <c r="O81" s="16" t="str">
        <f t="shared" si="12"/>
        <v/>
      </c>
      <c r="P81" s="13"/>
      <c r="Q81" s="12" t="str">
        <f t="shared" si="13"/>
        <v>—</v>
      </c>
    </row>
    <row r="82" spans="1:17" x14ac:dyDescent="0.25">
      <c r="A82" s="12">
        <v>25</v>
      </c>
      <c r="B82" s="8"/>
      <c r="C82" s="8"/>
      <c r="D82" s="8"/>
      <c r="E82" s="8"/>
      <c r="F82" s="13"/>
      <c r="G82" s="14" t="str">
        <f t="shared" si="8"/>
        <v/>
      </c>
      <c r="H82" s="13"/>
      <c r="I82" s="8"/>
      <c r="J82" s="15" t="str">
        <f>IF(D82="","",IFERROR(INDEX('Категории и наценки'!$B$5:$B$26,MATCH(D82,'Категории и наценки'!$A$5:$A$26,0)),0))</f>
        <v/>
      </c>
      <c r="K82" s="14" t="str">
        <f t="shared" si="9"/>
        <v/>
      </c>
      <c r="L82" s="14" t="str">
        <f t="shared" si="10"/>
        <v/>
      </c>
      <c r="M82" s="15" t="str">
        <f>IF(D82="","",IFERROR(IF($D$5="Под ключ",IF(AND(B82&lt;&gt;"",IFERROR(INDEX($H$13:$H$52,MATCH(B82,$B$13:$B$52,0)),0)&gt;0),INDEX('Категории и наценки'!$C$5:$C$26,MATCH(D82,'Категории и наценки'!$A$5:$A$26,0)),INDEX('Категории и наценки'!$D$5:$D$26,MATCH(D82,'Категории и наценки'!$A$5:$A$26,0))),INDEX('Категории и наценки'!$C$5:$C$26,MATCH(D82,'Категории и наценки'!$A$5:$A$26,0))),0))</f>
        <v/>
      </c>
      <c r="N82" s="16" t="str">
        <f t="shared" si="11"/>
        <v/>
      </c>
      <c r="O82" s="16" t="str">
        <f t="shared" si="12"/>
        <v/>
      </c>
      <c r="P82" s="13"/>
      <c r="Q82" s="12" t="str">
        <f t="shared" si="13"/>
        <v>—</v>
      </c>
    </row>
    <row r="83" spans="1:17" x14ac:dyDescent="0.25">
      <c r="A83" s="12">
        <v>26</v>
      </c>
      <c r="B83" s="8"/>
      <c r="C83" s="8"/>
      <c r="D83" s="8"/>
      <c r="E83" s="8"/>
      <c r="F83" s="13"/>
      <c r="G83" s="14" t="str">
        <f t="shared" si="8"/>
        <v/>
      </c>
      <c r="H83" s="13"/>
      <c r="I83" s="8"/>
      <c r="J83" s="15" t="str">
        <f>IF(D83="","",IFERROR(INDEX('Категории и наценки'!$B$5:$B$26,MATCH(D83,'Категории и наценки'!$A$5:$A$26,0)),0))</f>
        <v/>
      </c>
      <c r="K83" s="14" t="str">
        <f t="shared" si="9"/>
        <v/>
      </c>
      <c r="L83" s="14" t="str">
        <f t="shared" si="10"/>
        <v/>
      </c>
      <c r="M83" s="15" t="str">
        <f>IF(D83="","",IFERROR(IF($D$5="Под ключ",IF(AND(B83&lt;&gt;"",IFERROR(INDEX($H$13:$H$52,MATCH(B83,$B$13:$B$52,0)),0)&gt;0),INDEX('Категории и наценки'!$C$5:$C$26,MATCH(D83,'Категории и наценки'!$A$5:$A$26,0)),INDEX('Категории и наценки'!$D$5:$D$26,MATCH(D83,'Категории и наценки'!$A$5:$A$26,0))),INDEX('Категории и наценки'!$C$5:$C$26,MATCH(D83,'Категории и наценки'!$A$5:$A$26,0))),0))</f>
        <v/>
      </c>
      <c r="N83" s="16" t="str">
        <f t="shared" si="11"/>
        <v/>
      </c>
      <c r="O83" s="16" t="str">
        <f t="shared" si="12"/>
        <v/>
      </c>
      <c r="P83" s="13"/>
      <c r="Q83" s="12" t="str">
        <f t="shared" si="13"/>
        <v>—</v>
      </c>
    </row>
    <row r="84" spans="1:17" x14ac:dyDescent="0.25">
      <c r="A84" s="12">
        <v>27</v>
      </c>
      <c r="B84" s="8"/>
      <c r="C84" s="8"/>
      <c r="D84" s="8"/>
      <c r="E84" s="8"/>
      <c r="F84" s="13"/>
      <c r="G84" s="14" t="str">
        <f t="shared" si="8"/>
        <v/>
      </c>
      <c r="H84" s="13"/>
      <c r="I84" s="8"/>
      <c r="J84" s="15" t="str">
        <f>IF(D84="","",IFERROR(INDEX('Категории и наценки'!$B$5:$B$26,MATCH(D84,'Категории и наценки'!$A$5:$A$26,0)),0))</f>
        <v/>
      </c>
      <c r="K84" s="14" t="str">
        <f t="shared" si="9"/>
        <v/>
      </c>
      <c r="L84" s="14" t="str">
        <f t="shared" si="10"/>
        <v/>
      </c>
      <c r="M84" s="15" t="str">
        <f>IF(D84="","",IFERROR(IF($D$5="Под ключ",IF(AND(B84&lt;&gt;"",IFERROR(INDEX($H$13:$H$52,MATCH(B84,$B$13:$B$52,0)),0)&gt;0),INDEX('Категории и наценки'!$C$5:$C$26,MATCH(D84,'Категории и наценки'!$A$5:$A$26,0)),INDEX('Категории и наценки'!$D$5:$D$26,MATCH(D84,'Категории и наценки'!$A$5:$A$26,0))),INDEX('Категории и наценки'!$C$5:$C$26,MATCH(D84,'Категории и наценки'!$A$5:$A$26,0))),0))</f>
        <v/>
      </c>
      <c r="N84" s="16" t="str">
        <f t="shared" si="11"/>
        <v/>
      </c>
      <c r="O84" s="16" t="str">
        <f t="shared" si="12"/>
        <v/>
      </c>
      <c r="P84" s="13"/>
      <c r="Q84" s="12" t="str">
        <f t="shared" si="13"/>
        <v>—</v>
      </c>
    </row>
    <row r="85" spans="1:17" x14ac:dyDescent="0.25">
      <c r="A85" s="12">
        <v>28</v>
      </c>
      <c r="B85" s="8"/>
      <c r="C85" s="8"/>
      <c r="D85" s="8"/>
      <c r="E85" s="8"/>
      <c r="F85" s="13"/>
      <c r="G85" s="14" t="str">
        <f t="shared" si="8"/>
        <v/>
      </c>
      <c r="H85" s="13"/>
      <c r="I85" s="8"/>
      <c r="J85" s="15" t="str">
        <f>IF(D85="","",IFERROR(INDEX('Категории и наценки'!$B$5:$B$26,MATCH(D85,'Категории и наценки'!$A$5:$A$26,0)),0))</f>
        <v/>
      </c>
      <c r="K85" s="14" t="str">
        <f t="shared" si="9"/>
        <v/>
      </c>
      <c r="L85" s="14" t="str">
        <f t="shared" si="10"/>
        <v/>
      </c>
      <c r="M85" s="15" t="str">
        <f>IF(D85="","",IFERROR(IF($D$5="Под ключ",IF(AND(B85&lt;&gt;"",IFERROR(INDEX($H$13:$H$52,MATCH(B85,$B$13:$B$52,0)),0)&gt;0),INDEX('Категории и наценки'!$C$5:$C$26,MATCH(D85,'Категории и наценки'!$A$5:$A$26,0)),INDEX('Категории и наценки'!$D$5:$D$26,MATCH(D85,'Категории и наценки'!$A$5:$A$26,0))),INDEX('Категории и наценки'!$C$5:$C$26,MATCH(D85,'Категории и наценки'!$A$5:$A$26,0))),0))</f>
        <v/>
      </c>
      <c r="N85" s="16" t="str">
        <f t="shared" si="11"/>
        <v/>
      </c>
      <c r="O85" s="16" t="str">
        <f t="shared" si="12"/>
        <v/>
      </c>
      <c r="P85" s="13"/>
      <c r="Q85" s="12" t="str">
        <f t="shared" si="13"/>
        <v>—</v>
      </c>
    </row>
    <row r="86" spans="1:17" x14ac:dyDescent="0.25">
      <c r="A86" s="12">
        <v>29</v>
      </c>
      <c r="B86" s="8"/>
      <c r="C86" s="8"/>
      <c r="D86" s="8"/>
      <c r="E86" s="8"/>
      <c r="F86" s="13"/>
      <c r="G86" s="14" t="str">
        <f t="shared" si="8"/>
        <v/>
      </c>
      <c r="H86" s="13"/>
      <c r="I86" s="8"/>
      <c r="J86" s="15" t="str">
        <f>IF(D86="","",IFERROR(INDEX('Категории и наценки'!$B$5:$B$26,MATCH(D86,'Категории и наценки'!$A$5:$A$26,0)),0))</f>
        <v/>
      </c>
      <c r="K86" s="14" t="str">
        <f t="shared" si="9"/>
        <v/>
      </c>
      <c r="L86" s="14" t="str">
        <f t="shared" si="10"/>
        <v/>
      </c>
      <c r="M86" s="15" t="str">
        <f>IF(D86="","",IFERROR(IF($D$5="Под ключ",IF(AND(B86&lt;&gt;"",IFERROR(INDEX($H$13:$H$52,MATCH(B86,$B$13:$B$52,0)),0)&gt;0),INDEX('Категории и наценки'!$C$5:$C$26,MATCH(D86,'Категории и наценки'!$A$5:$A$26,0)),INDEX('Категории и наценки'!$D$5:$D$26,MATCH(D86,'Категории и наценки'!$A$5:$A$26,0))),INDEX('Категории и наценки'!$C$5:$C$26,MATCH(D86,'Категории и наценки'!$A$5:$A$26,0))),0))</f>
        <v/>
      </c>
      <c r="N86" s="16" t="str">
        <f t="shared" si="11"/>
        <v/>
      </c>
      <c r="O86" s="16" t="str">
        <f t="shared" si="12"/>
        <v/>
      </c>
      <c r="P86" s="13"/>
      <c r="Q86" s="12" t="str">
        <f t="shared" si="13"/>
        <v>—</v>
      </c>
    </row>
    <row r="87" spans="1:17" x14ac:dyDescent="0.25">
      <c r="A87" s="12">
        <v>30</v>
      </c>
      <c r="B87" s="8"/>
      <c r="C87" s="8"/>
      <c r="D87" s="8"/>
      <c r="E87" s="8"/>
      <c r="F87" s="13"/>
      <c r="G87" s="14" t="str">
        <f t="shared" si="8"/>
        <v/>
      </c>
      <c r="H87" s="13"/>
      <c r="I87" s="8"/>
      <c r="J87" s="15" t="str">
        <f>IF(D87="","",IFERROR(INDEX('Категории и наценки'!$B$5:$B$26,MATCH(D87,'Категории и наценки'!$A$5:$A$26,0)),0))</f>
        <v/>
      </c>
      <c r="K87" s="14" t="str">
        <f t="shared" si="9"/>
        <v/>
      </c>
      <c r="L87" s="14" t="str">
        <f t="shared" si="10"/>
        <v/>
      </c>
      <c r="M87" s="15" t="str">
        <f>IF(D87="","",IFERROR(IF($D$5="Под ключ",IF(AND(B87&lt;&gt;"",IFERROR(INDEX($H$13:$H$52,MATCH(B87,$B$13:$B$52,0)),0)&gt;0),INDEX('Категории и наценки'!$C$5:$C$26,MATCH(D87,'Категории и наценки'!$A$5:$A$26,0)),INDEX('Категории и наценки'!$D$5:$D$26,MATCH(D87,'Категории и наценки'!$A$5:$A$26,0))),INDEX('Категории и наценки'!$C$5:$C$26,MATCH(D87,'Категории и наценки'!$A$5:$A$26,0))),0))</f>
        <v/>
      </c>
      <c r="N87" s="16" t="str">
        <f t="shared" si="11"/>
        <v/>
      </c>
      <c r="O87" s="16" t="str">
        <f t="shared" si="12"/>
        <v/>
      </c>
      <c r="P87" s="13"/>
      <c r="Q87" s="12" t="str">
        <f t="shared" si="13"/>
        <v>—</v>
      </c>
    </row>
    <row r="88" spans="1:17" x14ac:dyDescent="0.25">
      <c r="A88" s="12">
        <v>31</v>
      </c>
      <c r="B88" s="8"/>
      <c r="C88" s="8"/>
      <c r="D88" s="8"/>
      <c r="E88" s="8"/>
      <c r="F88" s="13"/>
      <c r="G88" s="14" t="str">
        <f t="shared" si="8"/>
        <v/>
      </c>
      <c r="H88" s="13"/>
      <c r="I88" s="8"/>
      <c r="J88" s="15" t="str">
        <f>IF(D88="","",IFERROR(INDEX('Категории и наценки'!$B$5:$B$26,MATCH(D88,'Категории и наценки'!$A$5:$A$26,0)),0))</f>
        <v/>
      </c>
      <c r="K88" s="14" t="str">
        <f t="shared" si="9"/>
        <v/>
      </c>
      <c r="L88" s="14" t="str">
        <f t="shared" si="10"/>
        <v/>
      </c>
      <c r="M88" s="15" t="str">
        <f>IF(D88="","",IFERROR(IF($D$5="Под ключ",IF(AND(B88&lt;&gt;"",IFERROR(INDEX($H$13:$H$52,MATCH(B88,$B$13:$B$52,0)),0)&gt;0),INDEX('Категории и наценки'!$C$5:$C$26,MATCH(D88,'Категории и наценки'!$A$5:$A$26,0)),INDEX('Категории и наценки'!$D$5:$D$26,MATCH(D88,'Категории и наценки'!$A$5:$A$26,0))),INDEX('Категории и наценки'!$C$5:$C$26,MATCH(D88,'Категории и наценки'!$A$5:$A$26,0))),0))</f>
        <v/>
      </c>
      <c r="N88" s="16" t="str">
        <f t="shared" si="11"/>
        <v/>
      </c>
      <c r="O88" s="16" t="str">
        <f t="shared" si="12"/>
        <v/>
      </c>
      <c r="P88" s="13"/>
      <c r="Q88" s="12" t="str">
        <f t="shared" si="13"/>
        <v>—</v>
      </c>
    </row>
    <row r="89" spans="1:17" x14ac:dyDescent="0.25">
      <c r="A89" s="12">
        <v>32</v>
      </c>
      <c r="B89" s="8"/>
      <c r="C89" s="8"/>
      <c r="D89" s="8"/>
      <c r="E89" s="8"/>
      <c r="F89" s="13"/>
      <c r="G89" s="14" t="str">
        <f t="shared" si="8"/>
        <v/>
      </c>
      <c r="H89" s="13"/>
      <c r="I89" s="8"/>
      <c r="J89" s="15" t="str">
        <f>IF(D89="","",IFERROR(INDEX('Категории и наценки'!$B$5:$B$26,MATCH(D89,'Категории и наценки'!$A$5:$A$26,0)),0))</f>
        <v/>
      </c>
      <c r="K89" s="14" t="str">
        <f t="shared" si="9"/>
        <v/>
      </c>
      <c r="L89" s="14" t="str">
        <f t="shared" si="10"/>
        <v/>
      </c>
      <c r="M89" s="15" t="str">
        <f>IF(D89="","",IFERROR(IF($D$5="Под ключ",IF(AND(B89&lt;&gt;"",IFERROR(INDEX($H$13:$H$52,MATCH(B89,$B$13:$B$52,0)),0)&gt;0),INDEX('Категории и наценки'!$C$5:$C$26,MATCH(D89,'Категории и наценки'!$A$5:$A$26,0)),INDEX('Категории и наценки'!$D$5:$D$26,MATCH(D89,'Категории и наценки'!$A$5:$A$26,0))),INDEX('Категории и наценки'!$C$5:$C$26,MATCH(D89,'Категории и наценки'!$A$5:$A$26,0))),0))</f>
        <v/>
      </c>
      <c r="N89" s="16" t="str">
        <f t="shared" si="11"/>
        <v/>
      </c>
      <c r="O89" s="16" t="str">
        <f t="shared" si="12"/>
        <v/>
      </c>
      <c r="P89" s="13"/>
      <c r="Q89" s="12" t="str">
        <f t="shared" si="13"/>
        <v>—</v>
      </c>
    </row>
    <row r="90" spans="1:17" x14ac:dyDescent="0.25">
      <c r="A90" s="12">
        <v>33</v>
      </c>
      <c r="B90" s="8"/>
      <c r="C90" s="8"/>
      <c r="D90" s="8"/>
      <c r="E90" s="8"/>
      <c r="F90" s="13"/>
      <c r="G90" s="14" t="str">
        <f t="shared" ref="G90:G121" si="14">IF(F90="","",IF(B90="",F90,IFERROR(F90*INDEX($E$13:$E$52,MATCH(B90,$B$13:$B$52,0)),"нет работы")))</f>
        <v/>
      </c>
      <c r="H90" s="13"/>
      <c r="I90" s="8"/>
      <c r="J90" s="15" t="str">
        <f>IF(D90="","",IFERROR(INDEX('Категории и наценки'!$B$5:$B$26,MATCH(D90,'Категории и наценки'!$A$5:$A$26,0)),0))</f>
        <v/>
      </c>
      <c r="K90" s="14" t="str">
        <f t="shared" ref="K90:K121" si="15">IF(OR(H90="",D90=""),"",ROUND(H90*(1+J90)*(1+$M$3)*(1+$M$4+$M$5),2))</f>
        <v/>
      </c>
      <c r="L90" s="14" t="str">
        <f t="shared" ref="L90:L121" si="16">IF(OR(K90="",NOT(ISNUMBER(G90))),"",ROUND(K90*G90,2))</f>
        <v/>
      </c>
      <c r="M90" s="15" t="str">
        <f>IF(D90="","",IFERROR(IF($D$5="Под ключ",IF(AND(B90&lt;&gt;"",IFERROR(INDEX($H$13:$H$52,MATCH(B90,$B$13:$B$52,0)),0)&gt;0),INDEX('Категории и наценки'!$C$5:$C$26,MATCH(D90,'Категории и наценки'!$A$5:$A$26,0)),INDEX('Категории и наценки'!$D$5:$D$26,MATCH(D90,'Категории и наценки'!$A$5:$A$26,0))),INDEX('Категории и наценки'!$C$5:$C$26,MATCH(D90,'Категории и наценки'!$A$5:$A$26,0))),0))</f>
        <v/>
      </c>
      <c r="N90" s="16" t="str">
        <f t="shared" ref="N90:N121" si="17">IF(K90="","",ROUND(K90*(1+M90),2))</f>
        <v/>
      </c>
      <c r="O90" s="16" t="str">
        <f t="shared" ref="O90:O121" si="18">IF(OR(N90="",NOT(ISNUMBER(G90))),"",ROUND(N90*G90,2))</f>
        <v/>
      </c>
      <c r="P90" s="13"/>
      <c r="Q90" s="12" t="str">
        <f t="shared" ref="Q90:Q121" si="19">IF(OR(P90="",N90=""),"—",IF(N90&gt;P90,"ВЫШЕ РОЗНИЦЫ","ок"))</f>
        <v>—</v>
      </c>
    </row>
    <row r="91" spans="1:17" x14ac:dyDescent="0.25">
      <c r="A91" s="12">
        <v>34</v>
      </c>
      <c r="B91" s="8"/>
      <c r="C91" s="8"/>
      <c r="D91" s="8"/>
      <c r="E91" s="8"/>
      <c r="F91" s="13"/>
      <c r="G91" s="14" t="str">
        <f t="shared" si="14"/>
        <v/>
      </c>
      <c r="H91" s="13"/>
      <c r="I91" s="8"/>
      <c r="J91" s="15" t="str">
        <f>IF(D91="","",IFERROR(INDEX('Категории и наценки'!$B$5:$B$26,MATCH(D91,'Категории и наценки'!$A$5:$A$26,0)),0))</f>
        <v/>
      </c>
      <c r="K91" s="14" t="str">
        <f t="shared" si="15"/>
        <v/>
      </c>
      <c r="L91" s="14" t="str">
        <f t="shared" si="16"/>
        <v/>
      </c>
      <c r="M91" s="15" t="str">
        <f>IF(D91="","",IFERROR(IF($D$5="Под ключ",IF(AND(B91&lt;&gt;"",IFERROR(INDEX($H$13:$H$52,MATCH(B91,$B$13:$B$52,0)),0)&gt;0),INDEX('Категории и наценки'!$C$5:$C$26,MATCH(D91,'Категории и наценки'!$A$5:$A$26,0)),INDEX('Категории и наценки'!$D$5:$D$26,MATCH(D91,'Категории и наценки'!$A$5:$A$26,0))),INDEX('Категории и наценки'!$C$5:$C$26,MATCH(D91,'Категории и наценки'!$A$5:$A$26,0))),0))</f>
        <v/>
      </c>
      <c r="N91" s="16" t="str">
        <f t="shared" si="17"/>
        <v/>
      </c>
      <c r="O91" s="16" t="str">
        <f t="shared" si="18"/>
        <v/>
      </c>
      <c r="P91" s="13"/>
      <c r="Q91" s="12" t="str">
        <f t="shared" si="19"/>
        <v>—</v>
      </c>
    </row>
    <row r="92" spans="1:17" x14ac:dyDescent="0.25">
      <c r="A92" s="12">
        <v>35</v>
      </c>
      <c r="B92" s="8"/>
      <c r="C92" s="8"/>
      <c r="D92" s="8"/>
      <c r="E92" s="8"/>
      <c r="F92" s="13"/>
      <c r="G92" s="14" t="str">
        <f t="shared" si="14"/>
        <v/>
      </c>
      <c r="H92" s="13"/>
      <c r="I92" s="8"/>
      <c r="J92" s="15" t="str">
        <f>IF(D92="","",IFERROR(INDEX('Категории и наценки'!$B$5:$B$26,MATCH(D92,'Категории и наценки'!$A$5:$A$26,0)),0))</f>
        <v/>
      </c>
      <c r="K92" s="14" t="str">
        <f t="shared" si="15"/>
        <v/>
      </c>
      <c r="L92" s="14" t="str">
        <f t="shared" si="16"/>
        <v/>
      </c>
      <c r="M92" s="15" t="str">
        <f>IF(D92="","",IFERROR(IF($D$5="Под ключ",IF(AND(B92&lt;&gt;"",IFERROR(INDEX($H$13:$H$52,MATCH(B92,$B$13:$B$52,0)),0)&gt;0),INDEX('Категории и наценки'!$C$5:$C$26,MATCH(D92,'Категории и наценки'!$A$5:$A$26,0)),INDEX('Категории и наценки'!$D$5:$D$26,MATCH(D92,'Категории и наценки'!$A$5:$A$26,0))),INDEX('Категории и наценки'!$C$5:$C$26,MATCH(D92,'Категории и наценки'!$A$5:$A$26,0))),0))</f>
        <v/>
      </c>
      <c r="N92" s="16" t="str">
        <f t="shared" si="17"/>
        <v/>
      </c>
      <c r="O92" s="16" t="str">
        <f t="shared" si="18"/>
        <v/>
      </c>
      <c r="P92" s="13"/>
      <c r="Q92" s="12" t="str">
        <f t="shared" si="19"/>
        <v>—</v>
      </c>
    </row>
    <row r="93" spans="1:17" x14ac:dyDescent="0.25">
      <c r="A93" s="12">
        <v>36</v>
      </c>
      <c r="B93" s="8"/>
      <c r="C93" s="8"/>
      <c r="D93" s="8"/>
      <c r="E93" s="8"/>
      <c r="F93" s="13"/>
      <c r="G93" s="14" t="str">
        <f t="shared" si="14"/>
        <v/>
      </c>
      <c r="H93" s="13"/>
      <c r="I93" s="8"/>
      <c r="J93" s="15" t="str">
        <f>IF(D93="","",IFERROR(INDEX('Категории и наценки'!$B$5:$B$26,MATCH(D93,'Категории и наценки'!$A$5:$A$26,0)),0))</f>
        <v/>
      </c>
      <c r="K93" s="14" t="str">
        <f t="shared" si="15"/>
        <v/>
      </c>
      <c r="L93" s="14" t="str">
        <f t="shared" si="16"/>
        <v/>
      </c>
      <c r="M93" s="15" t="str">
        <f>IF(D93="","",IFERROR(IF($D$5="Под ключ",IF(AND(B93&lt;&gt;"",IFERROR(INDEX($H$13:$H$52,MATCH(B93,$B$13:$B$52,0)),0)&gt;0),INDEX('Категории и наценки'!$C$5:$C$26,MATCH(D93,'Категории и наценки'!$A$5:$A$26,0)),INDEX('Категории и наценки'!$D$5:$D$26,MATCH(D93,'Категории и наценки'!$A$5:$A$26,0))),INDEX('Категории и наценки'!$C$5:$C$26,MATCH(D93,'Категории и наценки'!$A$5:$A$26,0))),0))</f>
        <v/>
      </c>
      <c r="N93" s="16" t="str">
        <f t="shared" si="17"/>
        <v/>
      </c>
      <c r="O93" s="16" t="str">
        <f t="shared" si="18"/>
        <v/>
      </c>
      <c r="P93" s="13"/>
      <c r="Q93" s="12" t="str">
        <f t="shared" si="19"/>
        <v>—</v>
      </c>
    </row>
    <row r="94" spans="1:17" x14ac:dyDescent="0.25">
      <c r="A94" s="12">
        <v>37</v>
      </c>
      <c r="B94" s="8"/>
      <c r="C94" s="8"/>
      <c r="D94" s="8"/>
      <c r="E94" s="8"/>
      <c r="F94" s="13"/>
      <c r="G94" s="14" t="str">
        <f t="shared" si="14"/>
        <v/>
      </c>
      <c r="H94" s="13"/>
      <c r="I94" s="8"/>
      <c r="J94" s="15" t="str">
        <f>IF(D94="","",IFERROR(INDEX('Категории и наценки'!$B$5:$B$26,MATCH(D94,'Категории и наценки'!$A$5:$A$26,0)),0))</f>
        <v/>
      </c>
      <c r="K94" s="14" t="str">
        <f t="shared" si="15"/>
        <v/>
      </c>
      <c r="L94" s="14" t="str">
        <f t="shared" si="16"/>
        <v/>
      </c>
      <c r="M94" s="15" t="str">
        <f>IF(D94="","",IFERROR(IF($D$5="Под ключ",IF(AND(B94&lt;&gt;"",IFERROR(INDEX($H$13:$H$52,MATCH(B94,$B$13:$B$52,0)),0)&gt;0),INDEX('Категории и наценки'!$C$5:$C$26,MATCH(D94,'Категории и наценки'!$A$5:$A$26,0)),INDEX('Категории и наценки'!$D$5:$D$26,MATCH(D94,'Категории и наценки'!$A$5:$A$26,0))),INDEX('Категории и наценки'!$C$5:$C$26,MATCH(D94,'Категории и наценки'!$A$5:$A$26,0))),0))</f>
        <v/>
      </c>
      <c r="N94" s="16" t="str">
        <f t="shared" si="17"/>
        <v/>
      </c>
      <c r="O94" s="16" t="str">
        <f t="shared" si="18"/>
        <v/>
      </c>
      <c r="P94" s="13"/>
      <c r="Q94" s="12" t="str">
        <f t="shared" si="19"/>
        <v>—</v>
      </c>
    </row>
    <row r="95" spans="1:17" x14ac:dyDescent="0.25">
      <c r="A95" s="12">
        <v>38</v>
      </c>
      <c r="B95" s="8"/>
      <c r="C95" s="8"/>
      <c r="D95" s="8"/>
      <c r="E95" s="8"/>
      <c r="F95" s="13"/>
      <c r="G95" s="14" t="str">
        <f t="shared" si="14"/>
        <v/>
      </c>
      <c r="H95" s="13"/>
      <c r="I95" s="8"/>
      <c r="J95" s="15" t="str">
        <f>IF(D95="","",IFERROR(INDEX('Категории и наценки'!$B$5:$B$26,MATCH(D95,'Категории и наценки'!$A$5:$A$26,0)),0))</f>
        <v/>
      </c>
      <c r="K95" s="14" t="str">
        <f t="shared" si="15"/>
        <v/>
      </c>
      <c r="L95" s="14" t="str">
        <f t="shared" si="16"/>
        <v/>
      </c>
      <c r="M95" s="15" t="str">
        <f>IF(D95="","",IFERROR(IF($D$5="Под ключ",IF(AND(B95&lt;&gt;"",IFERROR(INDEX($H$13:$H$52,MATCH(B95,$B$13:$B$52,0)),0)&gt;0),INDEX('Категории и наценки'!$C$5:$C$26,MATCH(D95,'Категории и наценки'!$A$5:$A$26,0)),INDEX('Категории и наценки'!$D$5:$D$26,MATCH(D95,'Категории и наценки'!$A$5:$A$26,0))),INDEX('Категории и наценки'!$C$5:$C$26,MATCH(D95,'Категории и наценки'!$A$5:$A$26,0))),0))</f>
        <v/>
      </c>
      <c r="N95" s="16" t="str">
        <f t="shared" si="17"/>
        <v/>
      </c>
      <c r="O95" s="16" t="str">
        <f t="shared" si="18"/>
        <v/>
      </c>
      <c r="P95" s="13"/>
      <c r="Q95" s="12" t="str">
        <f t="shared" si="19"/>
        <v>—</v>
      </c>
    </row>
    <row r="96" spans="1:17" x14ac:dyDescent="0.25">
      <c r="A96" s="12">
        <v>39</v>
      </c>
      <c r="B96" s="8"/>
      <c r="C96" s="8"/>
      <c r="D96" s="8"/>
      <c r="E96" s="8"/>
      <c r="F96" s="13"/>
      <c r="G96" s="14" t="str">
        <f t="shared" si="14"/>
        <v/>
      </c>
      <c r="H96" s="13"/>
      <c r="I96" s="8"/>
      <c r="J96" s="15" t="str">
        <f>IF(D96="","",IFERROR(INDEX('Категории и наценки'!$B$5:$B$26,MATCH(D96,'Категории и наценки'!$A$5:$A$26,0)),0))</f>
        <v/>
      </c>
      <c r="K96" s="14" t="str">
        <f t="shared" si="15"/>
        <v/>
      </c>
      <c r="L96" s="14" t="str">
        <f t="shared" si="16"/>
        <v/>
      </c>
      <c r="M96" s="15" t="str">
        <f>IF(D96="","",IFERROR(IF($D$5="Под ключ",IF(AND(B96&lt;&gt;"",IFERROR(INDEX($H$13:$H$52,MATCH(B96,$B$13:$B$52,0)),0)&gt;0),INDEX('Категории и наценки'!$C$5:$C$26,MATCH(D96,'Категории и наценки'!$A$5:$A$26,0)),INDEX('Категории и наценки'!$D$5:$D$26,MATCH(D96,'Категории и наценки'!$A$5:$A$26,0))),INDEX('Категории и наценки'!$C$5:$C$26,MATCH(D96,'Категории и наценки'!$A$5:$A$26,0))),0))</f>
        <v/>
      </c>
      <c r="N96" s="16" t="str">
        <f t="shared" si="17"/>
        <v/>
      </c>
      <c r="O96" s="16" t="str">
        <f t="shared" si="18"/>
        <v/>
      </c>
      <c r="P96" s="13"/>
      <c r="Q96" s="12" t="str">
        <f t="shared" si="19"/>
        <v>—</v>
      </c>
    </row>
    <row r="97" spans="1:17" x14ac:dyDescent="0.25">
      <c r="A97" s="12">
        <v>40</v>
      </c>
      <c r="B97" s="8"/>
      <c r="C97" s="8"/>
      <c r="D97" s="8"/>
      <c r="E97" s="8"/>
      <c r="F97" s="13"/>
      <c r="G97" s="14" t="str">
        <f t="shared" si="14"/>
        <v/>
      </c>
      <c r="H97" s="13"/>
      <c r="I97" s="8"/>
      <c r="J97" s="15" t="str">
        <f>IF(D97="","",IFERROR(INDEX('Категории и наценки'!$B$5:$B$26,MATCH(D97,'Категории и наценки'!$A$5:$A$26,0)),0))</f>
        <v/>
      </c>
      <c r="K97" s="14" t="str">
        <f t="shared" si="15"/>
        <v/>
      </c>
      <c r="L97" s="14" t="str">
        <f t="shared" si="16"/>
        <v/>
      </c>
      <c r="M97" s="15" t="str">
        <f>IF(D97="","",IFERROR(IF($D$5="Под ключ",IF(AND(B97&lt;&gt;"",IFERROR(INDEX($H$13:$H$52,MATCH(B97,$B$13:$B$52,0)),0)&gt;0),INDEX('Категории и наценки'!$C$5:$C$26,MATCH(D97,'Категории и наценки'!$A$5:$A$26,0)),INDEX('Категории и наценки'!$D$5:$D$26,MATCH(D97,'Категории и наценки'!$A$5:$A$26,0))),INDEX('Категории и наценки'!$C$5:$C$26,MATCH(D97,'Категории и наценки'!$A$5:$A$26,0))),0))</f>
        <v/>
      </c>
      <c r="N97" s="16" t="str">
        <f t="shared" si="17"/>
        <v/>
      </c>
      <c r="O97" s="16" t="str">
        <f t="shared" si="18"/>
        <v/>
      </c>
      <c r="P97" s="13"/>
      <c r="Q97" s="12" t="str">
        <f t="shared" si="19"/>
        <v>—</v>
      </c>
    </row>
    <row r="98" spans="1:17" x14ac:dyDescent="0.25">
      <c r="A98" s="12">
        <v>41</v>
      </c>
      <c r="B98" s="8"/>
      <c r="C98" s="8"/>
      <c r="D98" s="8"/>
      <c r="E98" s="8"/>
      <c r="F98" s="13"/>
      <c r="G98" s="14" t="str">
        <f t="shared" si="14"/>
        <v/>
      </c>
      <c r="H98" s="13"/>
      <c r="I98" s="8"/>
      <c r="J98" s="15" t="str">
        <f>IF(D98="","",IFERROR(INDEX('Категории и наценки'!$B$5:$B$26,MATCH(D98,'Категории и наценки'!$A$5:$A$26,0)),0))</f>
        <v/>
      </c>
      <c r="K98" s="14" t="str">
        <f t="shared" si="15"/>
        <v/>
      </c>
      <c r="L98" s="14" t="str">
        <f t="shared" si="16"/>
        <v/>
      </c>
      <c r="M98" s="15" t="str">
        <f>IF(D98="","",IFERROR(IF($D$5="Под ключ",IF(AND(B98&lt;&gt;"",IFERROR(INDEX($H$13:$H$52,MATCH(B98,$B$13:$B$52,0)),0)&gt;0),INDEX('Категории и наценки'!$C$5:$C$26,MATCH(D98,'Категории и наценки'!$A$5:$A$26,0)),INDEX('Категории и наценки'!$D$5:$D$26,MATCH(D98,'Категории и наценки'!$A$5:$A$26,0))),INDEX('Категории и наценки'!$C$5:$C$26,MATCH(D98,'Категории и наценки'!$A$5:$A$26,0))),0))</f>
        <v/>
      </c>
      <c r="N98" s="16" t="str">
        <f t="shared" si="17"/>
        <v/>
      </c>
      <c r="O98" s="16" t="str">
        <f t="shared" si="18"/>
        <v/>
      </c>
      <c r="P98" s="13"/>
      <c r="Q98" s="12" t="str">
        <f t="shared" si="19"/>
        <v>—</v>
      </c>
    </row>
    <row r="99" spans="1:17" x14ac:dyDescent="0.25">
      <c r="A99" s="12">
        <v>42</v>
      </c>
      <c r="B99" s="8"/>
      <c r="C99" s="8"/>
      <c r="D99" s="8"/>
      <c r="E99" s="8"/>
      <c r="F99" s="13"/>
      <c r="G99" s="14" t="str">
        <f t="shared" si="14"/>
        <v/>
      </c>
      <c r="H99" s="13"/>
      <c r="I99" s="8"/>
      <c r="J99" s="15" t="str">
        <f>IF(D99="","",IFERROR(INDEX('Категории и наценки'!$B$5:$B$26,MATCH(D99,'Категории и наценки'!$A$5:$A$26,0)),0))</f>
        <v/>
      </c>
      <c r="K99" s="14" t="str">
        <f t="shared" si="15"/>
        <v/>
      </c>
      <c r="L99" s="14" t="str">
        <f t="shared" si="16"/>
        <v/>
      </c>
      <c r="M99" s="15" t="str">
        <f>IF(D99="","",IFERROR(IF($D$5="Под ключ",IF(AND(B99&lt;&gt;"",IFERROR(INDEX($H$13:$H$52,MATCH(B99,$B$13:$B$52,0)),0)&gt;0),INDEX('Категории и наценки'!$C$5:$C$26,MATCH(D99,'Категории и наценки'!$A$5:$A$26,0)),INDEX('Категории и наценки'!$D$5:$D$26,MATCH(D99,'Категории и наценки'!$A$5:$A$26,0))),INDEX('Категории и наценки'!$C$5:$C$26,MATCH(D99,'Категории и наценки'!$A$5:$A$26,0))),0))</f>
        <v/>
      </c>
      <c r="N99" s="16" t="str">
        <f t="shared" si="17"/>
        <v/>
      </c>
      <c r="O99" s="16" t="str">
        <f t="shared" si="18"/>
        <v/>
      </c>
      <c r="P99" s="13"/>
      <c r="Q99" s="12" t="str">
        <f t="shared" si="19"/>
        <v>—</v>
      </c>
    </row>
    <row r="100" spans="1:17" x14ac:dyDescent="0.25">
      <c r="A100" s="12">
        <v>43</v>
      </c>
      <c r="B100" s="8"/>
      <c r="C100" s="8"/>
      <c r="D100" s="8"/>
      <c r="E100" s="8"/>
      <c r="F100" s="13"/>
      <c r="G100" s="14" t="str">
        <f t="shared" si="14"/>
        <v/>
      </c>
      <c r="H100" s="13"/>
      <c r="I100" s="8"/>
      <c r="J100" s="15" t="str">
        <f>IF(D100="","",IFERROR(INDEX('Категории и наценки'!$B$5:$B$26,MATCH(D100,'Категории и наценки'!$A$5:$A$26,0)),0))</f>
        <v/>
      </c>
      <c r="K100" s="14" t="str">
        <f t="shared" si="15"/>
        <v/>
      </c>
      <c r="L100" s="14" t="str">
        <f t="shared" si="16"/>
        <v/>
      </c>
      <c r="M100" s="15" t="str">
        <f>IF(D100="","",IFERROR(IF($D$5="Под ключ",IF(AND(B100&lt;&gt;"",IFERROR(INDEX($H$13:$H$52,MATCH(B100,$B$13:$B$52,0)),0)&gt;0),INDEX('Категории и наценки'!$C$5:$C$26,MATCH(D100,'Категории и наценки'!$A$5:$A$26,0)),INDEX('Категории и наценки'!$D$5:$D$26,MATCH(D100,'Категории и наценки'!$A$5:$A$26,0))),INDEX('Категории и наценки'!$C$5:$C$26,MATCH(D100,'Категории и наценки'!$A$5:$A$26,0))),0))</f>
        <v/>
      </c>
      <c r="N100" s="16" t="str">
        <f t="shared" si="17"/>
        <v/>
      </c>
      <c r="O100" s="16" t="str">
        <f t="shared" si="18"/>
        <v/>
      </c>
      <c r="P100" s="13"/>
      <c r="Q100" s="12" t="str">
        <f t="shared" si="19"/>
        <v>—</v>
      </c>
    </row>
    <row r="101" spans="1:17" x14ac:dyDescent="0.25">
      <c r="A101" s="12">
        <v>44</v>
      </c>
      <c r="B101" s="8"/>
      <c r="C101" s="8"/>
      <c r="D101" s="8"/>
      <c r="E101" s="8"/>
      <c r="F101" s="13"/>
      <c r="G101" s="14" t="str">
        <f t="shared" si="14"/>
        <v/>
      </c>
      <c r="H101" s="13"/>
      <c r="I101" s="8"/>
      <c r="J101" s="15" t="str">
        <f>IF(D101="","",IFERROR(INDEX('Категории и наценки'!$B$5:$B$26,MATCH(D101,'Категории и наценки'!$A$5:$A$26,0)),0))</f>
        <v/>
      </c>
      <c r="K101" s="14" t="str">
        <f t="shared" si="15"/>
        <v/>
      </c>
      <c r="L101" s="14" t="str">
        <f t="shared" si="16"/>
        <v/>
      </c>
      <c r="M101" s="15" t="str">
        <f>IF(D101="","",IFERROR(IF($D$5="Под ключ",IF(AND(B101&lt;&gt;"",IFERROR(INDEX($H$13:$H$52,MATCH(B101,$B$13:$B$52,0)),0)&gt;0),INDEX('Категории и наценки'!$C$5:$C$26,MATCH(D101,'Категории и наценки'!$A$5:$A$26,0)),INDEX('Категории и наценки'!$D$5:$D$26,MATCH(D101,'Категории и наценки'!$A$5:$A$26,0))),INDEX('Категории и наценки'!$C$5:$C$26,MATCH(D101,'Категории и наценки'!$A$5:$A$26,0))),0))</f>
        <v/>
      </c>
      <c r="N101" s="16" t="str">
        <f t="shared" si="17"/>
        <v/>
      </c>
      <c r="O101" s="16" t="str">
        <f t="shared" si="18"/>
        <v/>
      </c>
      <c r="P101" s="13"/>
      <c r="Q101" s="12" t="str">
        <f t="shared" si="19"/>
        <v>—</v>
      </c>
    </row>
    <row r="102" spans="1:17" x14ac:dyDescent="0.25">
      <c r="A102" s="12">
        <v>45</v>
      </c>
      <c r="B102" s="8"/>
      <c r="C102" s="8"/>
      <c r="D102" s="8"/>
      <c r="E102" s="8"/>
      <c r="F102" s="13"/>
      <c r="G102" s="14" t="str">
        <f t="shared" si="14"/>
        <v/>
      </c>
      <c r="H102" s="13"/>
      <c r="I102" s="8"/>
      <c r="J102" s="15" t="str">
        <f>IF(D102="","",IFERROR(INDEX('Категории и наценки'!$B$5:$B$26,MATCH(D102,'Категории и наценки'!$A$5:$A$26,0)),0))</f>
        <v/>
      </c>
      <c r="K102" s="14" t="str">
        <f t="shared" si="15"/>
        <v/>
      </c>
      <c r="L102" s="14" t="str">
        <f t="shared" si="16"/>
        <v/>
      </c>
      <c r="M102" s="15" t="str">
        <f>IF(D102="","",IFERROR(IF($D$5="Под ключ",IF(AND(B102&lt;&gt;"",IFERROR(INDEX($H$13:$H$52,MATCH(B102,$B$13:$B$52,0)),0)&gt;0),INDEX('Категории и наценки'!$C$5:$C$26,MATCH(D102,'Категории и наценки'!$A$5:$A$26,0)),INDEX('Категории и наценки'!$D$5:$D$26,MATCH(D102,'Категории и наценки'!$A$5:$A$26,0))),INDEX('Категории и наценки'!$C$5:$C$26,MATCH(D102,'Категории и наценки'!$A$5:$A$26,0))),0))</f>
        <v/>
      </c>
      <c r="N102" s="16" t="str">
        <f t="shared" si="17"/>
        <v/>
      </c>
      <c r="O102" s="16" t="str">
        <f t="shared" si="18"/>
        <v/>
      </c>
      <c r="P102" s="13"/>
      <c r="Q102" s="12" t="str">
        <f t="shared" si="19"/>
        <v>—</v>
      </c>
    </row>
    <row r="103" spans="1:17" x14ac:dyDescent="0.25">
      <c r="A103" s="12">
        <v>46</v>
      </c>
      <c r="B103" s="8"/>
      <c r="C103" s="8"/>
      <c r="D103" s="8"/>
      <c r="E103" s="8"/>
      <c r="F103" s="13"/>
      <c r="G103" s="14" t="str">
        <f t="shared" si="14"/>
        <v/>
      </c>
      <c r="H103" s="13"/>
      <c r="I103" s="8"/>
      <c r="J103" s="15" t="str">
        <f>IF(D103="","",IFERROR(INDEX('Категории и наценки'!$B$5:$B$26,MATCH(D103,'Категории и наценки'!$A$5:$A$26,0)),0))</f>
        <v/>
      </c>
      <c r="K103" s="14" t="str">
        <f t="shared" si="15"/>
        <v/>
      </c>
      <c r="L103" s="14" t="str">
        <f t="shared" si="16"/>
        <v/>
      </c>
      <c r="M103" s="15" t="str">
        <f>IF(D103="","",IFERROR(IF($D$5="Под ключ",IF(AND(B103&lt;&gt;"",IFERROR(INDEX($H$13:$H$52,MATCH(B103,$B$13:$B$52,0)),0)&gt;0),INDEX('Категории и наценки'!$C$5:$C$26,MATCH(D103,'Категории и наценки'!$A$5:$A$26,0)),INDEX('Категории и наценки'!$D$5:$D$26,MATCH(D103,'Категории и наценки'!$A$5:$A$26,0))),INDEX('Категории и наценки'!$C$5:$C$26,MATCH(D103,'Категории и наценки'!$A$5:$A$26,0))),0))</f>
        <v/>
      </c>
      <c r="N103" s="16" t="str">
        <f t="shared" si="17"/>
        <v/>
      </c>
      <c r="O103" s="16" t="str">
        <f t="shared" si="18"/>
        <v/>
      </c>
      <c r="P103" s="13"/>
      <c r="Q103" s="12" t="str">
        <f t="shared" si="19"/>
        <v>—</v>
      </c>
    </row>
    <row r="104" spans="1:17" x14ac:dyDescent="0.25">
      <c r="A104" s="12">
        <v>47</v>
      </c>
      <c r="B104" s="8"/>
      <c r="C104" s="8"/>
      <c r="D104" s="8"/>
      <c r="E104" s="8"/>
      <c r="F104" s="13"/>
      <c r="G104" s="14" t="str">
        <f t="shared" si="14"/>
        <v/>
      </c>
      <c r="H104" s="13"/>
      <c r="I104" s="8"/>
      <c r="J104" s="15" t="str">
        <f>IF(D104="","",IFERROR(INDEX('Категории и наценки'!$B$5:$B$26,MATCH(D104,'Категории и наценки'!$A$5:$A$26,0)),0))</f>
        <v/>
      </c>
      <c r="K104" s="14" t="str">
        <f t="shared" si="15"/>
        <v/>
      </c>
      <c r="L104" s="14" t="str">
        <f t="shared" si="16"/>
        <v/>
      </c>
      <c r="M104" s="15" t="str">
        <f>IF(D104="","",IFERROR(IF($D$5="Под ключ",IF(AND(B104&lt;&gt;"",IFERROR(INDEX($H$13:$H$52,MATCH(B104,$B$13:$B$52,0)),0)&gt;0),INDEX('Категории и наценки'!$C$5:$C$26,MATCH(D104,'Категории и наценки'!$A$5:$A$26,0)),INDEX('Категории и наценки'!$D$5:$D$26,MATCH(D104,'Категории и наценки'!$A$5:$A$26,0))),INDEX('Категории и наценки'!$C$5:$C$26,MATCH(D104,'Категории и наценки'!$A$5:$A$26,0))),0))</f>
        <v/>
      </c>
      <c r="N104" s="16" t="str">
        <f t="shared" si="17"/>
        <v/>
      </c>
      <c r="O104" s="16" t="str">
        <f t="shared" si="18"/>
        <v/>
      </c>
      <c r="P104" s="13"/>
      <c r="Q104" s="12" t="str">
        <f t="shared" si="19"/>
        <v>—</v>
      </c>
    </row>
    <row r="105" spans="1:17" x14ac:dyDescent="0.25">
      <c r="A105" s="12">
        <v>48</v>
      </c>
      <c r="B105" s="8"/>
      <c r="C105" s="8"/>
      <c r="D105" s="8"/>
      <c r="E105" s="8"/>
      <c r="F105" s="13"/>
      <c r="G105" s="14" t="str">
        <f t="shared" si="14"/>
        <v/>
      </c>
      <c r="H105" s="13"/>
      <c r="I105" s="8"/>
      <c r="J105" s="15" t="str">
        <f>IF(D105="","",IFERROR(INDEX('Категории и наценки'!$B$5:$B$26,MATCH(D105,'Категории и наценки'!$A$5:$A$26,0)),0))</f>
        <v/>
      </c>
      <c r="K105" s="14" t="str">
        <f t="shared" si="15"/>
        <v/>
      </c>
      <c r="L105" s="14" t="str">
        <f t="shared" si="16"/>
        <v/>
      </c>
      <c r="M105" s="15" t="str">
        <f>IF(D105="","",IFERROR(IF($D$5="Под ключ",IF(AND(B105&lt;&gt;"",IFERROR(INDEX($H$13:$H$52,MATCH(B105,$B$13:$B$52,0)),0)&gt;0),INDEX('Категории и наценки'!$C$5:$C$26,MATCH(D105,'Категории и наценки'!$A$5:$A$26,0)),INDEX('Категории и наценки'!$D$5:$D$26,MATCH(D105,'Категории и наценки'!$A$5:$A$26,0))),INDEX('Категории и наценки'!$C$5:$C$26,MATCH(D105,'Категории и наценки'!$A$5:$A$26,0))),0))</f>
        <v/>
      </c>
      <c r="N105" s="16" t="str">
        <f t="shared" si="17"/>
        <v/>
      </c>
      <c r="O105" s="16" t="str">
        <f t="shared" si="18"/>
        <v/>
      </c>
      <c r="P105" s="13"/>
      <c r="Q105" s="12" t="str">
        <f t="shared" si="19"/>
        <v>—</v>
      </c>
    </row>
    <row r="106" spans="1:17" x14ac:dyDescent="0.25">
      <c r="A106" s="12">
        <v>49</v>
      </c>
      <c r="B106" s="8"/>
      <c r="C106" s="8"/>
      <c r="D106" s="8"/>
      <c r="E106" s="8"/>
      <c r="F106" s="13"/>
      <c r="G106" s="14" t="str">
        <f t="shared" si="14"/>
        <v/>
      </c>
      <c r="H106" s="13"/>
      <c r="I106" s="8"/>
      <c r="J106" s="15" t="str">
        <f>IF(D106="","",IFERROR(INDEX('Категории и наценки'!$B$5:$B$26,MATCH(D106,'Категории и наценки'!$A$5:$A$26,0)),0))</f>
        <v/>
      </c>
      <c r="K106" s="14" t="str">
        <f t="shared" si="15"/>
        <v/>
      </c>
      <c r="L106" s="14" t="str">
        <f t="shared" si="16"/>
        <v/>
      </c>
      <c r="M106" s="15" t="str">
        <f>IF(D106="","",IFERROR(IF($D$5="Под ключ",IF(AND(B106&lt;&gt;"",IFERROR(INDEX($H$13:$H$52,MATCH(B106,$B$13:$B$52,0)),0)&gt;0),INDEX('Категории и наценки'!$C$5:$C$26,MATCH(D106,'Категории и наценки'!$A$5:$A$26,0)),INDEX('Категории и наценки'!$D$5:$D$26,MATCH(D106,'Категории и наценки'!$A$5:$A$26,0))),INDEX('Категории и наценки'!$C$5:$C$26,MATCH(D106,'Категории и наценки'!$A$5:$A$26,0))),0))</f>
        <v/>
      </c>
      <c r="N106" s="16" t="str">
        <f t="shared" si="17"/>
        <v/>
      </c>
      <c r="O106" s="16" t="str">
        <f t="shared" si="18"/>
        <v/>
      </c>
      <c r="P106" s="13"/>
      <c r="Q106" s="12" t="str">
        <f t="shared" si="19"/>
        <v>—</v>
      </c>
    </row>
    <row r="107" spans="1:17" x14ac:dyDescent="0.25">
      <c r="A107" s="12">
        <v>50</v>
      </c>
      <c r="B107" s="8"/>
      <c r="C107" s="8"/>
      <c r="D107" s="8"/>
      <c r="E107" s="8"/>
      <c r="F107" s="13"/>
      <c r="G107" s="14" t="str">
        <f t="shared" si="14"/>
        <v/>
      </c>
      <c r="H107" s="13"/>
      <c r="I107" s="8"/>
      <c r="J107" s="15" t="str">
        <f>IF(D107="","",IFERROR(INDEX('Категории и наценки'!$B$5:$B$26,MATCH(D107,'Категории и наценки'!$A$5:$A$26,0)),0))</f>
        <v/>
      </c>
      <c r="K107" s="14" t="str">
        <f t="shared" si="15"/>
        <v/>
      </c>
      <c r="L107" s="14" t="str">
        <f t="shared" si="16"/>
        <v/>
      </c>
      <c r="M107" s="15" t="str">
        <f>IF(D107="","",IFERROR(IF($D$5="Под ключ",IF(AND(B107&lt;&gt;"",IFERROR(INDEX($H$13:$H$52,MATCH(B107,$B$13:$B$52,0)),0)&gt;0),INDEX('Категории и наценки'!$C$5:$C$26,MATCH(D107,'Категории и наценки'!$A$5:$A$26,0)),INDEX('Категории и наценки'!$D$5:$D$26,MATCH(D107,'Категории и наценки'!$A$5:$A$26,0))),INDEX('Категории и наценки'!$C$5:$C$26,MATCH(D107,'Категории и наценки'!$A$5:$A$26,0))),0))</f>
        <v/>
      </c>
      <c r="N107" s="16" t="str">
        <f t="shared" si="17"/>
        <v/>
      </c>
      <c r="O107" s="16" t="str">
        <f t="shared" si="18"/>
        <v/>
      </c>
      <c r="P107" s="13"/>
      <c r="Q107" s="12" t="str">
        <f t="shared" si="19"/>
        <v>—</v>
      </c>
    </row>
    <row r="108" spans="1:17" x14ac:dyDescent="0.25">
      <c r="A108" s="12">
        <v>51</v>
      </c>
      <c r="B108" s="8"/>
      <c r="C108" s="8"/>
      <c r="D108" s="8"/>
      <c r="E108" s="8"/>
      <c r="F108" s="13"/>
      <c r="G108" s="14" t="str">
        <f t="shared" si="14"/>
        <v/>
      </c>
      <c r="H108" s="13"/>
      <c r="I108" s="8"/>
      <c r="J108" s="15" t="str">
        <f>IF(D108="","",IFERROR(INDEX('Категории и наценки'!$B$5:$B$26,MATCH(D108,'Категории и наценки'!$A$5:$A$26,0)),0))</f>
        <v/>
      </c>
      <c r="K108" s="14" t="str">
        <f t="shared" si="15"/>
        <v/>
      </c>
      <c r="L108" s="14" t="str">
        <f t="shared" si="16"/>
        <v/>
      </c>
      <c r="M108" s="15" t="str">
        <f>IF(D108="","",IFERROR(IF($D$5="Под ключ",IF(AND(B108&lt;&gt;"",IFERROR(INDEX($H$13:$H$52,MATCH(B108,$B$13:$B$52,0)),0)&gt;0),INDEX('Категории и наценки'!$C$5:$C$26,MATCH(D108,'Категории и наценки'!$A$5:$A$26,0)),INDEX('Категории и наценки'!$D$5:$D$26,MATCH(D108,'Категории и наценки'!$A$5:$A$26,0))),INDEX('Категории и наценки'!$C$5:$C$26,MATCH(D108,'Категории и наценки'!$A$5:$A$26,0))),0))</f>
        <v/>
      </c>
      <c r="N108" s="16" t="str">
        <f t="shared" si="17"/>
        <v/>
      </c>
      <c r="O108" s="16" t="str">
        <f t="shared" si="18"/>
        <v/>
      </c>
      <c r="P108" s="13"/>
      <c r="Q108" s="12" t="str">
        <f t="shared" si="19"/>
        <v>—</v>
      </c>
    </row>
    <row r="109" spans="1:17" x14ac:dyDescent="0.25">
      <c r="A109" s="12">
        <v>52</v>
      </c>
      <c r="B109" s="8"/>
      <c r="C109" s="8"/>
      <c r="D109" s="8"/>
      <c r="E109" s="8"/>
      <c r="F109" s="13"/>
      <c r="G109" s="14" t="str">
        <f t="shared" si="14"/>
        <v/>
      </c>
      <c r="H109" s="13"/>
      <c r="I109" s="8"/>
      <c r="J109" s="15" t="str">
        <f>IF(D109="","",IFERROR(INDEX('Категории и наценки'!$B$5:$B$26,MATCH(D109,'Категории и наценки'!$A$5:$A$26,0)),0))</f>
        <v/>
      </c>
      <c r="K109" s="14" t="str">
        <f t="shared" si="15"/>
        <v/>
      </c>
      <c r="L109" s="14" t="str">
        <f t="shared" si="16"/>
        <v/>
      </c>
      <c r="M109" s="15" t="str">
        <f>IF(D109="","",IFERROR(IF($D$5="Под ключ",IF(AND(B109&lt;&gt;"",IFERROR(INDEX($H$13:$H$52,MATCH(B109,$B$13:$B$52,0)),0)&gt;0),INDEX('Категории и наценки'!$C$5:$C$26,MATCH(D109,'Категории и наценки'!$A$5:$A$26,0)),INDEX('Категории и наценки'!$D$5:$D$26,MATCH(D109,'Категории и наценки'!$A$5:$A$26,0))),INDEX('Категории и наценки'!$C$5:$C$26,MATCH(D109,'Категории и наценки'!$A$5:$A$26,0))),0))</f>
        <v/>
      </c>
      <c r="N109" s="16" t="str">
        <f t="shared" si="17"/>
        <v/>
      </c>
      <c r="O109" s="16" t="str">
        <f t="shared" si="18"/>
        <v/>
      </c>
      <c r="P109" s="13"/>
      <c r="Q109" s="12" t="str">
        <f t="shared" si="19"/>
        <v>—</v>
      </c>
    </row>
    <row r="110" spans="1:17" x14ac:dyDescent="0.25">
      <c r="A110" s="12">
        <v>53</v>
      </c>
      <c r="B110" s="8"/>
      <c r="C110" s="8"/>
      <c r="D110" s="8"/>
      <c r="E110" s="8"/>
      <c r="F110" s="13"/>
      <c r="G110" s="14" t="str">
        <f t="shared" si="14"/>
        <v/>
      </c>
      <c r="H110" s="13"/>
      <c r="I110" s="8"/>
      <c r="J110" s="15" t="str">
        <f>IF(D110="","",IFERROR(INDEX('Категории и наценки'!$B$5:$B$26,MATCH(D110,'Категории и наценки'!$A$5:$A$26,0)),0))</f>
        <v/>
      </c>
      <c r="K110" s="14" t="str">
        <f t="shared" si="15"/>
        <v/>
      </c>
      <c r="L110" s="14" t="str">
        <f t="shared" si="16"/>
        <v/>
      </c>
      <c r="M110" s="15" t="str">
        <f>IF(D110="","",IFERROR(IF($D$5="Под ключ",IF(AND(B110&lt;&gt;"",IFERROR(INDEX($H$13:$H$52,MATCH(B110,$B$13:$B$52,0)),0)&gt;0),INDEX('Категории и наценки'!$C$5:$C$26,MATCH(D110,'Категории и наценки'!$A$5:$A$26,0)),INDEX('Категории и наценки'!$D$5:$D$26,MATCH(D110,'Категории и наценки'!$A$5:$A$26,0))),INDEX('Категории и наценки'!$C$5:$C$26,MATCH(D110,'Категории и наценки'!$A$5:$A$26,0))),0))</f>
        <v/>
      </c>
      <c r="N110" s="16" t="str">
        <f t="shared" si="17"/>
        <v/>
      </c>
      <c r="O110" s="16" t="str">
        <f t="shared" si="18"/>
        <v/>
      </c>
      <c r="P110" s="13"/>
      <c r="Q110" s="12" t="str">
        <f t="shared" si="19"/>
        <v>—</v>
      </c>
    </row>
    <row r="111" spans="1:17" x14ac:dyDescent="0.25">
      <c r="A111" s="12">
        <v>54</v>
      </c>
      <c r="B111" s="8"/>
      <c r="C111" s="8"/>
      <c r="D111" s="8"/>
      <c r="E111" s="8"/>
      <c r="F111" s="13"/>
      <c r="G111" s="14" t="str">
        <f t="shared" si="14"/>
        <v/>
      </c>
      <c r="H111" s="13"/>
      <c r="I111" s="8"/>
      <c r="J111" s="15" t="str">
        <f>IF(D111="","",IFERROR(INDEX('Категории и наценки'!$B$5:$B$26,MATCH(D111,'Категории и наценки'!$A$5:$A$26,0)),0))</f>
        <v/>
      </c>
      <c r="K111" s="14" t="str">
        <f t="shared" si="15"/>
        <v/>
      </c>
      <c r="L111" s="14" t="str">
        <f t="shared" si="16"/>
        <v/>
      </c>
      <c r="M111" s="15" t="str">
        <f>IF(D111="","",IFERROR(IF($D$5="Под ключ",IF(AND(B111&lt;&gt;"",IFERROR(INDEX($H$13:$H$52,MATCH(B111,$B$13:$B$52,0)),0)&gt;0),INDEX('Категории и наценки'!$C$5:$C$26,MATCH(D111,'Категории и наценки'!$A$5:$A$26,0)),INDEX('Категории и наценки'!$D$5:$D$26,MATCH(D111,'Категории и наценки'!$A$5:$A$26,0))),INDEX('Категории и наценки'!$C$5:$C$26,MATCH(D111,'Категории и наценки'!$A$5:$A$26,0))),0))</f>
        <v/>
      </c>
      <c r="N111" s="16" t="str">
        <f t="shared" si="17"/>
        <v/>
      </c>
      <c r="O111" s="16" t="str">
        <f t="shared" si="18"/>
        <v/>
      </c>
      <c r="P111" s="13"/>
      <c r="Q111" s="12" t="str">
        <f t="shared" si="19"/>
        <v>—</v>
      </c>
    </row>
    <row r="112" spans="1:17" x14ac:dyDescent="0.25">
      <c r="A112" s="12">
        <v>55</v>
      </c>
      <c r="B112" s="8"/>
      <c r="C112" s="8"/>
      <c r="D112" s="8"/>
      <c r="E112" s="8"/>
      <c r="F112" s="13"/>
      <c r="G112" s="14" t="str">
        <f t="shared" si="14"/>
        <v/>
      </c>
      <c r="H112" s="13"/>
      <c r="I112" s="8"/>
      <c r="J112" s="15" t="str">
        <f>IF(D112="","",IFERROR(INDEX('Категории и наценки'!$B$5:$B$26,MATCH(D112,'Категории и наценки'!$A$5:$A$26,0)),0))</f>
        <v/>
      </c>
      <c r="K112" s="14" t="str">
        <f t="shared" si="15"/>
        <v/>
      </c>
      <c r="L112" s="14" t="str">
        <f t="shared" si="16"/>
        <v/>
      </c>
      <c r="M112" s="15" t="str">
        <f>IF(D112="","",IFERROR(IF($D$5="Под ключ",IF(AND(B112&lt;&gt;"",IFERROR(INDEX($H$13:$H$52,MATCH(B112,$B$13:$B$52,0)),0)&gt;0),INDEX('Категории и наценки'!$C$5:$C$26,MATCH(D112,'Категории и наценки'!$A$5:$A$26,0)),INDEX('Категории и наценки'!$D$5:$D$26,MATCH(D112,'Категории и наценки'!$A$5:$A$26,0))),INDEX('Категории и наценки'!$C$5:$C$26,MATCH(D112,'Категории и наценки'!$A$5:$A$26,0))),0))</f>
        <v/>
      </c>
      <c r="N112" s="16" t="str">
        <f t="shared" si="17"/>
        <v/>
      </c>
      <c r="O112" s="16" t="str">
        <f t="shared" si="18"/>
        <v/>
      </c>
      <c r="P112" s="13"/>
      <c r="Q112" s="12" t="str">
        <f t="shared" si="19"/>
        <v>—</v>
      </c>
    </row>
    <row r="113" spans="1:17" x14ac:dyDescent="0.25">
      <c r="A113" s="12">
        <v>56</v>
      </c>
      <c r="B113" s="8"/>
      <c r="C113" s="8"/>
      <c r="D113" s="8"/>
      <c r="E113" s="8"/>
      <c r="F113" s="13"/>
      <c r="G113" s="14" t="str">
        <f t="shared" si="14"/>
        <v/>
      </c>
      <c r="H113" s="13"/>
      <c r="I113" s="8"/>
      <c r="J113" s="15" t="str">
        <f>IF(D113="","",IFERROR(INDEX('Категории и наценки'!$B$5:$B$26,MATCH(D113,'Категории и наценки'!$A$5:$A$26,0)),0))</f>
        <v/>
      </c>
      <c r="K113" s="14" t="str">
        <f t="shared" si="15"/>
        <v/>
      </c>
      <c r="L113" s="14" t="str">
        <f t="shared" si="16"/>
        <v/>
      </c>
      <c r="M113" s="15" t="str">
        <f>IF(D113="","",IFERROR(IF($D$5="Под ключ",IF(AND(B113&lt;&gt;"",IFERROR(INDEX($H$13:$H$52,MATCH(B113,$B$13:$B$52,0)),0)&gt;0),INDEX('Категории и наценки'!$C$5:$C$26,MATCH(D113,'Категории и наценки'!$A$5:$A$26,0)),INDEX('Категории и наценки'!$D$5:$D$26,MATCH(D113,'Категории и наценки'!$A$5:$A$26,0))),INDEX('Категории и наценки'!$C$5:$C$26,MATCH(D113,'Категории и наценки'!$A$5:$A$26,0))),0))</f>
        <v/>
      </c>
      <c r="N113" s="16" t="str">
        <f t="shared" si="17"/>
        <v/>
      </c>
      <c r="O113" s="16" t="str">
        <f t="shared" si="18"/>
        <v/>
      </c>
      <c r="P113" s="13"/>
      <c r="Q113" s="12" t="str">
        <f t="shared" si="19"/>
        <v>—</v>
      </c>
    </row>
    <row r="114" spans="1:17" x14ac:dyDescent="0.25">
      <c r="A114" s="12">
        <v>57</v>
      </c>
      <c r="B114" s="8"/>
      <c r="C114" s="8"/>
      <c r="D114" s="8"/>
      <c r="E114" s="8"/>
      <c r="F114" s="13"/>
      <c r="G114" s="14" t="str">
        <f t="shared" si="14"/>
        <v/>
      </c>
      <c r="H114" s="13"/>
      <c r="I114" s="8"/>
      <c r="J114" s="15" t="str">
        <f>IF(D114="","",IFERROR(INDEX('Категории и наценки'!$B$5:$B$26,MATCH(D114,'Категории и наценки'!$A$5:$A$26,0)),0))</f>
        <v/>
      </c>
      <c r="K114" s="14" t="str">
        <f t="shared" si="15"/>
        <v/>
      </c>
      <c r="L114" s="14" t="str">
        <f t="shared" si="16"/>
        <v/>
      </c>
      <c r="M114" s="15" t="str">
        <f>IF(D114="","",IFERROR(IF($D$5="Под ключ",IF(AND(B114&lt;&gt;"",IFERROR(INDEX($H$13:$H$52,MATCH(B114,$B$13:$B$52,0)),0)&gt;0),INDEX('Категории и наценки'!$C$5:$C$26,MATCH(D114,'Категории и наценки'!$A$5:$A$26,0)),INDEX('Категории и наценки'!$D$5:$D$26,MATCH(D114,'Категории и наценки'!$A$5:$A$26,0))),INDEX('Категории и наценки'!$C$5:$C$26,MATCH(D114,'Категории и наценки'!$A$5:$A$26,0))),0))</f>
        <v/>
      </c>
      <c r="N114" s="16" t="str">
        <f t="shared" si="17"/>
        <v/>
      </c>
      <c r="O114" s="16" t="str">
        <f t="shared" si="18"/>
        <v/>
      </c>
      <c r="P114" s="13"/>
      <c r="Q114" s="12" t="str">
        <f t="shared" si="19"/>
        <v>—</v>
      </c>
    </row>
    <row r="115" spans="1:17" x14ac:dyDescent="0.25">
      <c r="A115" s="12">
        <v>58</v>
      </c>
      <c r="B115" s="8"/>
      <c r="C115" s="8"/>
      <c r="D115" s="8"/>
      <c r="E115" s="8"/>
      <c r="F115" s="13"/>
      <c r="G115" s="14" t="str">
        <f t="shared" si="14"/>
        <v/>
      </c>
      <c r="H115" s="13"/>
      <c r="I115" s="8"/>
      <c r="J115" s="15" t="str">
        <f>IF(D115="","",IFERROR(INDEX('Категории и наценки'!$B$5:$B$26,MATCH(D115,'Категории и наценки'!$A$5:$A$26,0)),0))</f>
        <v/>
      </c>
      <c r="K115" s="14" t="str">
        <f t="shared" si="15"/>
        <v/>
      </c>
      <c r="L115" s="14" t="str">
        <f t="shared" si="16"/>
        <v/>
      </c>
      <c r="M115" s="15" t="str">
        <f>IF(D115="","",IFERROR(IF($D$5="Под ключ",IF(AND(B115&lt;&gt;"",IFERROR(INDEX($H$13:$H$52,MATCH(B115,$B$13:$B$52,0)),0)&gt;0),INDEX('Категории и наценки'!$C$5:$C$26,MATCH(D115,'Категории и наценки'!$A$5:$A$26,0)),INDEX('Категории и наценки'!$D$5:$D$26,MATCH(D115,'Категории и наценки'!$A$5:$A$26,0))),INDEX('Категории и наценки'!$C$5:$C$26,MATCH(D115,'Категории и наценки'!$A$5:$A$26,0))),0))</f>
        <v/>
      </c>
      <c r="N115" s="16" t="str">
        <f t="shared" si="17"/>
        <v/>
      </c>
      <c r="O115" s="16" t="str">
        <f t="shared" si="18"/>
        <v/>
      </c>
      <c r="P115" s="13"/>
      <c r="Q115" s="12" t="str">
        <f t="shared" si="19"/>
        <v>—</v>
      </c>
    </row>
    <row r="116" spans="1:17" x14ac:dyDescent="0.25">
      <c r="A116" s="12">
        <v>59</v>
      </c>
      <c r="B116" s="8"/>
      <c r="C116" s="8"/>
      <c r="D116" s="8"/>
      <c r="E116" s="8"/>
      <c r="F116" s="13"/>
      <c r="G116" s="14" t="str">
        <f t="shared" si="14"/>
        <v/>
      </c>
      <c r="H116" s="13"/>
      <c r="I116" s="8"/>
      <c r="J116" s="15" t="str">
        <f>IF(D116="","",IFERROR(INDEX('Категории и наценки'!$B$5:$B$26,MATCH(D116,'Категории и наценки'!$A$5:$A$26,0)),0))</f>
        <v/>
      </c>
      <c r="K116" s="14" t="str">
        <f t="shared" si="15"/>
        <v/>
      </c>
      <c r="L116" s="14" t="str">
        <f t="shared" si="16"/>
        <v/>
      </c>
      <c r="M116" s="15" t="str">
        <f>IF(D116="","",IFERROR(IF($D$5="Под ключ",IF(AND(B116&lt;&gt;"",IFERROR(INDEX($H$13:$H$52,MATCH(B116,$B$13:$B$52,0)),0)&gt;0),INDEX('Категории и наценки'!$C$5:$C$26,MATCH(D116,'Категории и наценки'!$A$5:$A$26,0)),INDEX('Категории и наценки'!$D$5:$D$26,MATCH(D116,'Категории и наценки'!$A$5:$A$26,0))),INDEX('Категории и наценки'!$C$5:$C$26,MATCH(D116,'Категории и наценки'!$A$5:$A$26,0))),0))</f>
        <v/>
      </c>
      <c r="N116" s="16" t="str">
        <f t="shared" si="17"/>
        <v/>
      </c>
      <c r="O116" s="16" t="str">
        <f t="shared" si="18"/>
        <v/>
      </c>
      <c r="P116" s="13"/>
      <c r="Q116" s="12" t="str">
        <f t="shared" si="19"/>
        <v>—</v>
      </c>
    </row>
    <row r="117" spans="1:17" x14ac:dyDescent="0.25">
      <c r="A117" s="12">
        <v>60</v>
      </c>
      <c r="B117" s="8"/>
      <c r="C117" s="8"/>
      <c r="D117" s="8"/>
      <c r="E117" s="8"/>
      <c r="F117" s="13"/>
      <c r="G117" s="14" t="str">
        <f t="shared" si="14"/>
        <v/>
      </c>
      <c r="H117" s="13"/>
      <c r="I117" s="8"/>
      <c r="J117" s="15" t="str">
        <f>IF(D117="","",IFERROR(INDEX('Категории и наценки'!$B$5:$B$26,MATCH(D117,'Категории и наценки'!$A$5:$A$26,0)),0))</f>
        <v/>
      </c>
      <c r="K117" s="14" t="str">
        <f t="shared" si="15"/>
        <v/>
      </c>
      <c r="L117" s="14" t="str">
        <f t="shared" si="16"/>
        <v/>
      </c>
      <c r="M117" s="15" t="str">
        <f>IF(D117="","",IFERROR(IF($D$5="Под ключ",IF(AND(B117&lt;&gt;"",IFERROR(INDEX($H$13:$H$52,MATCH(B117,$B$13:$B$52,0)),0)&gt;0),INDEX('Категории и наценки'!$C$5:$C$26,MATCH(D117,'Категории и наценки'!$A$5:$A$26,0)),INDEX('Категории и наценки'!$D$5:$D$26,MATCH(D117,'Категории и наценки'!$A$5:$A$26,0))),INDEX('Категории и наценки'!$C$5:$C$26,MATCH(D117,'Категории и наценки'!$A$5:$A$26,0))),0))</f>
        <v/>
      </c>
      <c r="N117" s="16" t="str">
        <f t="shared" si="17"/>
        <v/>
      </c>
      <c r="O117" s="16" t="str">
        <f t="shared" si="18"/>
        <v/>
      </c>
      <c r="P117" s="13"/>
      <c r="Q117" s="12" t="str">
        <f t="shared" si="19"/>
        <v>—</v>
      </c>
    </row>
    <row r="118" spans="1:17" x14ac:dyDescent="0.25">
      <c r="A118" s="12">
        <v>61</v>
      </c>
      <c r="B118" s="8"/>
      <c r="C118" s="8"/>
      <c r="D118" s="8"/>
      <c r="E118" s="8"/>
      <c r="F118" s="13"/>
      <c r="G118" s="14" t="str">
        <f t="shared" si="14"/>
        <v/>
      </c>
      <c r="H118" s="13"/>
      <c r="I118" s="8"/>
      <c r="J118" s="15" t="str">
        <f>IF(D118="","",IFERROR(INDEX('Категории и наценки'!$B$5:$B$26,MATCH(D118,'Категории и наценки'!$A$5:$A$26,0)),0))</f>
        <v/>
      </c>
      <c r="K118" s="14" t="str">
        <f t="shared" si="15"/>
        <v/>
      </c>
      <c r="L118" s="14" t="str">
        <f t="shared" si="16"/>
        <v/>
      </c>
      <c r="M118" s="15" t="str">
        <f>IF(D118="","",IFERROR(IF($D$5="Под ключ",IF(AND(B118&lt;&gt;"",IFERROR(INDEX($H$13:$H$52,MATCH(B118,$B$13:$B$52,0)),0)&gt;0),INDEX('Категории и наценки'!$C$5:$C$26,MATCH(D118,'Категории и наценки'!$A$5:$A$26,0)),INDEX('Категории и наценки'!$D$5:$D$26,MATCH(D118,'Категории и наценки'!$A$5:$A$26,0))),INDEX('Категории и наценки'!$C$5:$C$26,MATCH(D118,'Категории и наценки'!$A$5:$A$26,0))),0))</f>
        <v/>
      </c>
      <c r="N118" s="16" t="str">
        <f t="shared" si="17"/>
        <v/>
      </c>
      <c r="O118" s="16" t="str">
        <f t="shared" si="18"/>
        <v/>
      </c>
      <c r="P118" s="13"/>
      <c r="Q118" s="12" t="str">
        <f t="shared" si="19"/>
        <v>—</v>
      </c>
    </row>
    <row r="119" spans="1:17" x14ac:dyDescent="0.25">
      <c r="A119" s="12">
        <v>62</v>
      </c>
      <c r="B119" s="8"/>
      <c r="C119" s="8"/>
      <c r="D119" s="8"/>
      <c r="E119" s="8"/>
      <c r="F119" s="13"/>
      <c r="G119" s="14" t="str">
        <f t="shared" si="14"/>
        <v/>
      </c>
      <c r="H119" s="13"/>
      <c r="I119" s="8"/>
      <c r="J119" s="15" t="str">
        <f>IF(D119="","",IFERROR(INDEX('Категории и наценки'!$B$5:$B$26,MATCH(D119,'Категории и наценки'!$A$5:$A$26,0)),0))</f>
        <v/>
      </c>
      <c r="K119" s="14" t="str">
        <f t="shared" si="15"/>
        <v/>
      </c>
      <c r="L119" s="14" t="str">
        <f t="shared" si="16"/>
        <v/>
      </c>
      <c r="M119" s="15" t="str">
        <f>IF(D119="","",IFERROR(IF($D$5="Под ключ",IF(AND(B119&lt;&gt;"",IFERROR(INDEX($H$13:$H$52,MATCH(B119,$B$13:$B$52,0)),0)&gt;0),INDEX('Категории и наценки'!$C$5:$C$26,MATCH(D119,'Категории и наценки'!$A$5:$A$26,0)),INDEX('Категории и наценки'!$D$5:$D$26,MATCH(D119,'Категории и наценки'!$A$5:$A$26,0))),INDEX('Категории и наценки'!$C$5:$C$26,MATCH(D119,'Категории и наценки'!$A$5:$A$26,0))),0))</f>
        <v/>
      </c>
      <c r="N119" s="16" t="str">
        <f t="shared" si="17"/>
        <v/>
      </c>
      <c r="O119" s="16" t="str">
        <f t="shared" si="18"/>
        <v/>
      </c>
      <c r="P119" s="13"/>
      <c r="Q119" s="12" t="str">
        <f t="shared" si="19"/>
        <v>—</v>
      </c>
    </row>
    <row r="120" spans="1:17" x14ac:dyDescent="0.25">
      <c r="A120" s="12">
        <v>63</v>
      </c>
      <c r="B120" s="8"/>
      <c r="C120" s="8"/>
      <c r="D120" s="8"/>
      <c r="E120" s="8"/>
      <c r="F120" s="13"/>
      <c r="G120" s="14" t="str">
        <f t="shared" si="14"/>
        <v/>
      </c>
      <c r="H120" s="13"/>
      <c r="I120" s="8"/>
      <c r="J120" s="15" t="str">
        <f>IF(D120="","",IFERROR(INDEX('Категории и наценки'!$B$5:$B$26,MATCH(D120,'Категории и наценки'!$A$5:$A$26,0)),0))</f>
        <v/>
      </c>
      <c r="K120" s="14" t="str">
        <f t="shared" si="15"/>
        <v/>
      </c>
      <c r="L120" s="14" t="str">
        <f t="shared" si="16"/>
        <v/>
      </c>
      <c r="M120" s="15" t="str">
        <f>IF(D120="","",IFERROR(IF($D$5="Под ключ",IF(AND(B120&lt;&gt;"",IFERROR(INDEX($H$13:$H$52,MATCH(B120,$B$13:$B$52,0)),0)&gt;0),INDEX('Категории и наценки'!$C$5:$C$26,MATCH(D120,'Категории и наценки'!$A$5:$A$26,0)),INDEX('Категории и наценки'!$D$5:$D$26,MATCH(D120,'Категории и наценки'!$A$5:$A$26,0))),INDEX('Категории и наценки'!$C$5:$C$26,MATCH(D120,'Категории и наценки'!$A$5:$A$26,0))),0))</f>
        <v/>
      </c>
      <c r="N120" s="16" t="str">
        <f t="shared" si="17"/>
        <v/>
      </c>
      <c r="O120" s="16" t="str">
        <f t="shared" si="18"/>
        <v/>
      </c>
      <c r="P120" s="13"/>
      <c r="Q120" s="12" t="str">
        <f t="shared" si="19"/>
        <v>—</v>
      </c>
    </row>
    <row r="121" spans="1:17" x14ac:dyDescent="0.25">
      <c r="A121" s="12">
        <v>64</v>
      </c>
      <c r="B121" s="8"/>
      <c r="C121" s="8"/>
      <c r="D121" s="8"/>
      <c r="E121" s="8"/>
      <c r="F121" s="13"/>
      <c r="G121" s="14" t="str">
        <f t="shared" si="14"/>
        <v/>
      </c>
      <c r="H121" s="13"/>
      <c r="I121" s="8"/>
      <c r="J121" s="15" t="str">
        <f>IF(D121="","",IFERROR(INDEX('Категории и наценки'!$B$5:$B$26,MATCH(D121,'Категории и наценки'!$A$5:$A$26,0)),0))</f>
        <v/>
      </c>
      <c r="K121" s="14" t="str">
        <f t="shared" si="15"/>
        <v/>
      </c>
      <c r="L121" s="14" t="str">
        <f t="shared" si="16"/>
        <v/>
      </c>
      <c r="M121" s="15" t="str">
        <f>IF(D121="","",IFERROR(IF($D$5="Под ключ",IF(AND(B121&lt;&gt;"",IFERROR(INDEX($H$13:$H$52,MATCH(B121,$B$13:$B$52,0)),0)&gt;0),INDEX('Категории и наценки'!$C$5:$C$26,MATCH(D121,'Категории и наценки'!$A$5:$A$26,0)),INDEX('Категории и наценки'!$D$5:$D$26,MATCH(D121,'Категории и наценки'!$A$5:$A$26,0))),INDEX('Категории и наценки'!$C$5:$C$26,MATCH(D121,'Категории и наценки'!$A$5:$A$26,0))),0))</f>
        <v/>
      </c>
      <c r="N121" s="16" t="str">
        <f t="shared" si="17"/>
        <v/>
      </c>
      <c r="O121" s="16" t="str">
        <f t="shared" si="18"/>
        <v/>
      </c>
      <c r="P121" s="13"/>
      <c r="Q121" s="12" t="str">
        <f t="shared" si="19"/>
        <v>—</v>
      </c>
    </row>
    <row r="122" spans="1:17" x14ac:dyDescent="0.25">
      <c r="A122" s="12">
        <v>65</v>
      </c>
      <c r="B122" s="8"/>
      <c r="C122" s="8"/>
      <c r="D122" s="8"/>
      <c r="E122" s="8"/>
      <c r="F122" s="13"/>
      <c r="G122" s="14" t="str">
        <f t="shared" ref="G122:G153" si="20">IF(F122="","",IF(B122="",F122,IFERROR(F122*INDEX($E$13:$E$52,MATCH(B122,$B$13:$B$52,0)),"нет работы")))</f>
        <v/>
      </c>
      <c r="H122" s="13"/>
      <c r="I122" s="8"/>
      <c r="J122" s="15" t="str">
        <f>IF(D122="","",IFERROR(INDEX('Категории и наценки'!$B$5:$B$26,MATCH(D122,'Категории и наценки'!$A$5:$A$26,0)),0))</f>
        <v/>
      </c>
      <c r="K122" s="14" t="str">
        <f t="shared" ref="K122:K153" si="21">IF(OR(H122="",D122=""),"",ROUND(H122*(1+J122)*(1+$M$3)*(1+$M$4+$M$5),2))</f>
        <v/>
      </c>
      <c r="L122" s="14" t="str">
        <f t="shared" ref="L122:L153" si="22">IF(OR(K122="",NOT(ISNUMBER(G122))),"",ROUND(K122*G122,2))</f>
        <v/>
      </c>
      <c r="M122" s="15" t="str">
        <f>IF(D122="","",IFERROR(IF($D$5="Под ключ",IF(AND(B122&lt;&gt;"",IFERROR(INDEX($H$13:$H$52,MATCH(B122,$B$13:$B$52,0)),0)&gt;0),INDEX('Категории и наценки'!$C$5:$C$26,MATCH(D122,'Категории и наценки'!$A$5:$A$26,0)),INDEX('Категории и наценки'!$D$5:$D$26,MATCH(D122,'Категории и наценки'!$A$5:$A$26,0))),INDEX('Категории и наценки'!$C$5:$C$26,MATCH(D122,'Категории и наценки'!$A$5:$A$26,0))),0))</f>
        <v/>
      </c>
      <c r="N122" s="16" t="str">
        <f t="shared" ref="N122:N153" si="23">IF(K122="","",ROUND(K122*(1+M122),2))</f>
        <v/>
      </c>
      <c r="O122" s="16" t="str">
        <f t="shared" ref="O122:O153" si="24">IF(OR(N122="",NOT(ISNUMBER(G122))),"",ROUND(N122*G122,2))</f>
        <v/>
      </c>
      <c r="P122" s="13"/>
      <c r="Q122" s="12" t="str">
        <f t="shared" ref="Q122:Q153" si="25">IF(OR(P122="",N122=""),"—",IF(N122&gt;P122,"ВЫШЕ РОЗНИЦЫ","ок"))</f>
        <v>—</v>
      </c>
    </row>
    <row r="123" spans="1:17" x14ac:dyDescent="0.25">
      <c r="A123" s="12">
        <v>66</v>
      </c>
      <c r="B123" s="8"/>
      <c r="C123" s="8"/>
      <c r="D123" s="8"/>
      <c r="E123" s="8"/>
      <c r="F123" s="13"/>
      <c r="G123" s="14" t="str">
        <f t="shared" si="20"/>
        <v/>
      </c>
      <c r="H123" s="13"/>
      <c r="I123" s="8"/>
      <c r="J123" s="15" t="str">
        <f>IF(D123="","",IFERROR(INDEX('Категории и наценки'!$B$5:$B$26,MATCH(D123,'Категории и наценки'!$A$5:$A$26,0)),0))</f>
        <v/>
      </c>
      <c r="K123" s="14" t="str">
        <f t="shared" si="21"/>
        <v/>
      </c>
      <c r="L123" s="14" t="str">
        <f t="shared" si="22"/>
        <v/>
      </c>
      <c r="M123" s="15" t="str">
        <f>IF(D123="","",IFERROR(IF($D$5="Под ключ",IF(AND(B123&lt;&gt;"",IFERROR(INDEX($H$13:$H$52,MATCH(B123,$B$13:$B$52,0)),0)&gt;0),INDEX('Категории и наценки'!$C$5:$C$26,MATCH(D123,'Категории и наценки'!$A$5:$A$26,0)),INDEX('Категории и наценки'!$D$5:$D$26,MATCH(D123,'Категории и наценки'!$A$5:$A$26,0))),INDEX('Категории и наценки'!$C$5:$C$26,MATCH(D123,'Категории и наценки'!$A$5:$A$26,0))),0))</f>
        <v/>
      </c>
      <c r="N123" s="16" t="str">
        <f t="shared" si="23"/>
        <v/>
      </c>
      <c r="O123" s="16" t="str">
        <f t="shared" si="24"/>
        <v/>
      </c>
      <c r="P123" s="13"/>
      <c r="Q123" s="12" t="str">
        <f t="shared" si="25"/>
        <v>—</v>
      </c>
    </row>
    <row r="124" spans="1:17" x14ac:dyDescent="0.25">
      <c r="A124" s="12">
        <v>67</v>
      </c>
      <c r="B124" s="8"/>
      <c r="C124" s="8"/>
      <c r="D124" s="8"/>
      <c r="E124" s="8"/>
      <c r="F124" s="13"/>
      <c r="G124" s="14" t="str">
        <f t="shared" si="20"/>
        <v/>
      </c>
      <c r="H124" s="13"/>
      <c r="I124" s="8"/>
      <c r="J124" s="15" t="str">
        <f>IF(D124="","",IFERROR(INDEX('Категории и наценки'!$B$5:$B$26,MATCH(D124,'Категории и наценки'!$A$5:$A$26,0)),0))</f>
        <v/>
      </c>
      <c r="K124" s="14" t="str">
        <f t="shared" si="21"/>
        <v/>
      </c>
      <c r="L124" s="14" t="str">
        <f t="shared" si="22"/>
        <v/>
      </c>
      <c r="M124" s="15" t="str">
        <f>IF(D124="","",IFERROR(IF($D$5="Под ключ",IF(AND(B124&lt;&gt;"",IFERROR(INDEX($H$13:$H$52,MATCH(B124,$B$13:$B$52,0)),0)&gt;0),INDEX('Категории и наценки'!$C$5:$C$26,MATCH(D124,'Категории и наценки'!$A$5:$A$26,0)),INDEX('Категории и наценки'!$D$5:$D$26,MATCH(D124,'Категории и наценки'!$A$5:$A$26,0))),INDEX('Категории и наценки'!$C$5:$C$26,MATCH(D124,'Категории и наценки'!$A$5:$A$26,0))),0))</f>
        <v/>
      </c>
      <c r="N124" s="16" t="str">
        <f t="shared" si="23"/>
        <v/>
      </c>
      <c r="O124" s="16" t="str">
        <f t="shared" si="24"/>
        <v/>
      </c>
      <c r="P124" s="13"/>
      <c r="Q124" s="12" t="str">
        <f t="shared" si="25"/>
        <v>—</v>
      </c>
    </row>
    <row r="125" spans="1:17" x14ac:dyDescent="0.25">
      <c r="A125" s="12">
        <v>68</v>
      </c>
      <c r="B125" s="8"/>
      <c r="C125" s="8"/>
      <c r="D125" s="8"/>
      <c r="E125" s="8"/>
      <c r="F125" s="13"/>
      <c r="G125" s="14" t="str">
        <f t="shared" si="20"/>
        <v/>
      </c>
      <c r="H125" s="13"/>
      <c r="I125" s="8"/>
      <c r="J125" s="15" t="str">
        <f>IF(D125="","",IFERROR(INDEX('Категории и наценки'!$B$5:$B$26,MATCH(D125,'Категории и наценки'!$A$5:$A$26,0)),0))</f>
        <v/>
      </c>
      <c r="K125" s="14" t="str">
        <f t="shared" si="21"/>
        <v/>
      </c>
      <c r="L125" s="14" t="str">
        <f t="shared" si="22"/>
        <v/>
      </c>
      <c r="M125" s="15" t="str">
        <f>IF(D125="","",IFERROR(IF($D$5="Под ключ",IF(AND(B125&lt;&gt;"",IFERROR(INDEX($H$13:$H$52,MATCH(B125,$B$13:$B$52,0)),0)&gt;0),INDEX('Категории и наценки'!$C$5:$C$26,MATCH(D125,'Категории и наценки'!$A$5:$A$26,0)),INDEX('Категории и наценки'!$D$5:$D$26,MATCH(D125,'Категории и наценки'!$A$5:$A$26,0))),INDEX('Категории и наценки'!$C$5:$C$26,MATCH(D125,'Категории и наценки'!$A$5:$A$26,0))),0))</f>
        <v/>
      </c>
      <c r="N125" s="16" t="str">
        <f t="shared" si="23"/>
        <v/>
      </c>
      <c r="O125" s="16" t="str">
        <f t="shared" si="24"/>
        <v/>
      </c>
      <c r="P125" s="13"/>
      <c r="Q125" s="12" t="str">
        <f t="shared" si="25"/>
        <v>—</v>
      </c>
    </row>
    <row r="126" spans="1:17" x14ac:dyDescent="0.25">
      <c r="A126" s="12">
        <v>69</v>
      </c>
      <c r="B126" s="8"/>
      <c r="C126" s="8"/>
      <c r="D126" s="8"/>
      <c r="E126" s="8"/>
      <c r="F126" s="13"/>
      <c r="G126" s="14" t="str">
        <f t="shared" si="20"/>
        <v/>
      </c>
      <c r="H126" s="13"/>
      <c r="I126" s="8"/>
      <c r="J126" s="15" t="str">
        <f>IF(D126="","",IFERROR(INDEX('Категории и наценки'!$B$5:$B$26,MATCH(D126,'Категории и наценки'!$A$5:$A$26,0)),0))</f>
        <v/>
      </c>
      <c r="K126" s="14" t="str">
        <f t="shared" si="21"/>
        <v/>
      </c>
      <c r="L126" s="14" t="str">
        <f t="shared" si="22"/>
        <v/>
      </c>
      <c r="M126" s="15" t="str">
        <f>IF(D126="","",IFERROR(IF($D$5="Под ключ",IF(AND(B126&lt;&gt;"",IFERROR(INDEX($H$13:$H$52,MATCH(B126,$B$13:$B$52,0)),0)&gt;0),INDEX('Категории и наценки'!$C$5:$C$26,MATCH(D126,'Категории и наценки'!$A$5:$A$26,0)),INDEX('Категории и наценки'!$D$5:$D$26,MATCH(D126,'Категории и наценки'!$A$5:$A$26,0))),INDEX('Категории и наценки'!$C$5:$C$26,MATCH(D126,'Категории и наценки'!$A$5:$A$26,0))),0))</f>
        <v/>
      </c>
      <c r="N126" s="16" t="str">
        <f t="shared" si="23"/>
        <v/>
      </c>
      <c r="O126" s="16" t="str">
        <f t="shared" si="24"/>
        <v/>
      </c>
      <c r="P126" s="13"/>
      <c r="Q126" s="12" t="str">
        <f t="shared" si="25"/>
        <v>—</v>
      </c>
    </row>
    <row r="127" spans="1:17" x14ac:dyDescent="0.25">
      <c r="A127" s="12">
        <v>70</v>
      </c>
      <c r="B127" s="8"/>
      <c r="C127" s="8"/>
      <c r="D127" s="8"/>
      <c r="E127" s="8"/>
      <c r="F127" s="13"/>
      <c r="G127" s="14" t="str">
        <f t="shared" si="20"/>
        <v/>
      </c>
      <c r="H127" s="13"/>
      <c r="I127" s="8"/>
      <c r="J127" s="15" t="str">
        <f>IF(D127="","",IFERROR(INDEX('Категории и наценки'!$B$5:$B$26,MATCH(D127,'Категории и наценки'!$A$5:$A$26,0)),0))</f>
        <v/>
      </c>
      <c r="K127" s="14" t="str">
        <f t="shared" si="21"/>
        <v/>
      </c>
      <c r="L127" s="14" t="str">
        <f t="shared" si="22"/>
        <v/>
      </c>
      <c r="M127" s="15" t="str">
        <f>IF(D127="","",IFERROR(IF($D$5="Под ключ",IF(AND(B127&lt;&gt;"",IFERROR(INDEX($H$13:$H$52,MATCH(B127,$B$13:$B$52,0)),0)&gt;0),INDEX('Категории и наценки'!$C$5:$C$26,MATCH(D127,'Категории и наценки'!$A$5:$A$26,0)),INDEX('Категории и наценки'!$D$5:$D$26,MATCH(D127,'Категории и наценки'!$A$5:$A$26,0))),INDEX('Категории и наценки'!$C$5:$C$26,MATCH(D127,'Категории и наценки'!$A$5:$A$26,0))),0))</f>
        <v/>
      </c>
      <c r="N127" s="16" t="str">
        <f t="shared" si="23"/>
        <v/>
      </c>
      <c r="O127" s="16" t="str">
        <f t="shared" si="24"/>
        <v/>
      </c>
      <c r="P127" s="13"/>
      <c r="Q127" s="12" t="str">
        <f t="shared" si="25"/>
        <v>—</v>
      </c>
    </row>
    <row r="128" spans="1:17" x14ac:dyDescent="0.25">
      <c r="A128" s="12">
        <v>71</v>
      </c>
      <c r="B128" s="8"/>
      <c r="C128" s="8"/>
      <c r="D128" s="8"/>
      <c r="E128" s="8"/>
      <c r="F128" s="13"/>
      <c r="G128" s="14" t="str">
        <f t="shared" si="20"/>
        <v/>
      </c>
      <c r="H128" s="13"/>
      <c r="I128" s="8"/>
      <c r="J128" s="15" t="str">
        <f>IF(D128="","",IFERROR(INDEX('Категории и наценки'!$B$5:$B$26,MATCH(D128,'Категории и наценки'!$A$5:$A$26,0)),0))</f>
        <v/>
      </c>
      <c r="K128" s="14" t="str">
        <f t="shared" si="21"/>
        <v/>
      </c>
      <c r="L128" s="14" t="str">
        <f t="shared" si="22"/>
        <v/>
      </c>
      <c r="M128" s="15" t="str">
        <f>IF(D128="","",IFERROR(IF($D$5="Под ключ",IF(AND(B128&lt;&gt;"",IFERROR(INDEX($H$13:$H$52,MATCH(B128,$B$13:$B$52,0)),0)&gt;0),INDEX('Категории и наценки'!$C$5:$C$26,MATCH(D128,'Категории и наценки'!$A$5:$A$26,0)),INDEX('Категории и наценки'!$D$5:$D$26,MATCH(D128,'Категории и наценки'!$A$5:$A$26,0))),INDEX('Категории и наценки'!$C$5:$C$26,MATCH(D128,'Категории и наценки'!$A$5:$A$26,0))),0))</f>
        <v/>
      </c>
      <c r="N128" s="16" t="str">
        <f t="shared" si="23"/>
        <v/>
      </c>
      <c r="O128" s="16" t="str">
        <f t="shared" si="24"/>
        <v/>
      </c>
      <c r="P128" s="13"/>
      <c r="Q128" s="12" t="str">
        <f t="shared" si="25"/>
        <v>—</v>
      </c>
    </row>
    <row r="129" spans="1:17" x14ac:dyDescent="0.25">
      <c r="A129" s="12">
        <v>72</v>
      </c>
      <c r="B129" s="8"/>
      <c r="C129" s="8"/>
      <c r="D129" s="8"/>
      <c r="E129" s="8"/>
      <c r="F129" s="13"/>
      <c r="G129" s="14" t="str">
        <f t="shared" si="20"/>
        <v/>
      </c>
      <c r="H129" s="13"/>
      <c r="I129" s="8"/>
      <c r="J129" s="15" t="str">
        <f>IF(D129="","",IFERROR(INDEX('Категории и наценки'!$B$5:$B$26,MATCH(D129,'Категории и наценки'!$A$5:$A$26,0)),0))</f>
        <v/>
      </c>
      <c r="K129" s="14" t="str">
        <f t="shared" si="21"/>
        <v/>
      </c>
      <c r="L129" s="14" t="str">
        <f t="shared" si="22"/>
        <v/>
      </c>
      <c r="M129" s="15" t="str">
        <f>IF(D129="","",IFERROR(IF($D$5="Под ключ",IF(AND(B129&lt;&gt;"",IFERROR(INDEX($H$13:$H$52,MATCH(B129,$B$13:$B$52,0)),0)&gt;0),INDEX('Категории и наценки'!$C$5:$C$26,MATCH(D129,'Категории и наценки'!$A$5:$A$26,0)),INDEX('Категории и наценки'!$D$5:$D$26,MATCH(D129,'Категории и наценки'!$A$5:$A$26,0))),INDEX('Категории и наценки'!$C$5:$C$26,MATCH(D129,'Категории и наценки'!$A$5:$A$26,0))),0))</f>
        <v/>
      </c>
      <c r="N129" s="16" t="str">
        <f t="shared" si="23"/>
        <v/>
      </c>
      <c r="O129" s="16" t="str">
        <f t="shared" si="24"/>
        <v/>
      </c>
      <c r="P129" s="13"/>
      <c r="Q129" s="12" t="str">
        <f t="shared" si="25"/>
        <v>—</v>
      </c>
    </row>
    <row r="130" spans="1:17" x14ac:dyDescent="0.25">
      <c r="A130" s="12">
        <v>73</v>
      </c>
      <c r="B130" s="8"/>
      <c r="C130" s="8"/>
      <c r="D130" s="8"/>
      <c r="E130" s="8"/>
      <c r="F130" s="13"/>
      <c r="G130" s="14" t="str">
        <f t="shared" si="20"/>
        <v/>
      </c>
      <c r="H130" s="13"/>
      <c r="I130" s="8"/>
      <c r="J130" s="15" t="str">
        <f>IF(D130="","",IFERROR(INDEX('Категории и наценки'!$B$5:$B$26,MATCH(D130,'Категории и наценки'!$A$5:$A$26,0)),0))</f>
        <v/>
      </c>
      <c r="K130" s="14" t="str">
        <f t="shared" si="21"/>
        <v/>
      </c>
      <c r="L130" s="14" t="str">
        <f t="shared" si="22"/>
        <v/>
      </c>
      <c r="M130" s="15" t="str">
        <f>IF(D130="","",IFERROR(IF($D$5="Под ключ",IF(AND(B130&lt;&gt;"",IFERROR(INDEX($H$13:$H$52,MATCH(B130,$B$13:$B$52,0)),0)&gt;0),INDEX('Категории и наценки'!$C$5:$C$26,MATCH(D130,'Категории и наценки'!$A$5:$A$26,0)),INDEX('Категории и наценки'!$D$5:$D$26,MATCH(D130,'Категории и наценки'!$A$5:$A$26,0))),INDEX('Категории и наценки'!$C$5:$C$26,MATCH(D130,'Категории и наценки'!$A$5:$A$26,0))),0))</f>
        <v/>
      </c>
      <c r="N130" s="16" t="str">
        <f t="shared" si="23"/>
        <v/>
      </c>
      <c r="O130" s="16" t="str">
        <f t="shared" si="24"/>
        <v/>
      </c>
      <c r="P130" s="13"/>
      <c r="Q130" s="12" t="str">
        <f t="shared" si="25"/>
        <v>—</v>
      </c>
    </row>
    <row r="131" spans="1:17" x14ac:dyDescent="0.25">
      <c r="A131" s="12">
        <v>74</v>
      </c>
      <c r="B131" s="8"/>
      <c r="C131" s="8"/>
      <c r="D131" s="8"/>
      <c r="E131" s="8"/>
      <c r="F131" s="13"/>
      <c r="G131" s="14" t="str">
        <f t="shared" si="20"/>
        <v/>
      </c>
      <c r="H131" s="13"/>
      <c r="I131" s="8"/>
      <c r="J131" s="15" t="str">
        <f>IF(D131="","",IFERROR(INDEX('Категории и наценки'!$B$5:$B$26,MATCH(D131,'Категории и наценки'!$A$5:$A$26,0)),0))</f>
        <v/>
      </c>
      <c r="K131" s="14" t="str">
        <f t="shared" si="21"/>
        <v/>
      </c>
      <c r="L131" s="14" t="str">
        <f t="shared" si="22"/>
        <v/>
      </c>
      <c r="M131" s="15" t="str">
        <f>IF(D131="","",IFERROR(IF($D$5="Под ключ",IF(AND(B131&lt;&gt;"",IFERROR(INDEX($H$13:$H$52,MATCH(B131,$B$13:$B$52,0)),0)&gt;0),INDEX('Категории и наценки'!$C$5:$C$26,MATCH(D131,'Категории и наценки'!$A$5:$A$26,0)),INDEX('Категории и наценки'!$D$5:$D$26,MATCH(D131,'Категории и наценки'!$A$5:$A$26,0))),INDEX('Категории и наценки'!$C$5:$C$26,MATCH(D131,'Категории и наценки'!$A$5:$A$26,0))),0))</f>
        <v/>
      </c>
      <c r="N131" s="16" t="str">
        <f t="shared" si="23"/>
        <v/>
      </c>
      <c r="O131" s="16" t="str">
        <f t="shared" si="24"/>
        <v/>
      </c>
      <c r="P131" s="13"/>
      <c r="Q131" s="12" t="str">
        <f t="shared" si="25"/>
        <v>—</v>
      </c>
    </row>
    <row r="132" spans="1:17" x14ac:dyDescent="0.25">
      <c r="A132" s="12">
        <v>75</v>
      </c>
      <c r="B132" s="8"/>
      <c r="C132" s="8"/>
      <c r="D132" s="8"/>
      <c r="E132" s="8"/>
      <c r="F132" s="13"/>
      <c r="G132" s="14" t="str">
        <f t="shared" si="20"/>
        <v/>
      </c>
      <c r="H132" s="13"/>
      <c r="I132" s="8"/>
      <c r="J132" s="15" t="str">
        <f>IF(D132="","",IFERROR(INDEX('Категории и наценки'!$B$5:$B$26,MATCH(D132,'Категории и наценки'!$A$5:$A$26,0)),0))</f>
        <v/>
      </c>
      <c r="K132" s="14" t="str">
        <f t="shared" si="21"/>
        <v/>
      </c>
      <c r="L132" s="14" t="str">
        <f t="shared" si="22"/>
        <v/>
      </c>
      <c r="M132" s="15" t="str">
        <f>IF(D132="","",IFERROR(IF($D$5="Под ключ",IF(AND(B132&lt;&gt;"",IFERROR(INDEX($H$13:$H$52,MATCH(B132,$B$13:$B$52,0)),0)&gt;0),INDEX('Категории и наценки'!$C$5:$C$26,MATCH(D132,'Категории и наценки'!$A$5:$A$26,0)),INDEX('Категории и наценки'!$D$5:$D$26,MATCH(D132,'Категории и наценки'!$A$5:$A$26,0))),INDEX('Категории и наценки'!$C$5:$C$26,MATCH(D132,'Категории и наценки'!$A$5:$A$26,0))),0))</f>
        <v/>
      </c>
      <c r="N132" s="16" t="str">
        <f t="shared" si="23"/>
        <v/>
      </c>
      <c r="O132" s="16" t="str">
        <f t="shared" si="24"/>
        <v/>
      </c>
      <c r="P132" s="13"/>
      <c r="Q132" s="12" t="str">
        <f t="shared" si="25"/>
        <v>—</v>
      </c>
    </row>
    <row r="133" spans="1:17" x14ac:dyDescent="0.25">
      <c r="A133" s="12">
        <v>76</v>
      </c>
      <c r="B133" s="8"/>
      <c r="C133" s="8"/>
      <c r="D133" s="8"/>
      <c r="E133" s="8"/>
      <c r="F133" s="13"/>
      <c r="G133" s="14" t="str">
        <f t="shared" si="20"/>
        <v/>
      </c>
      <c r="H133" s="13"/>
      <c r="I133" s="8"/>
      <c r="J133" s="15" t="str">
        <f>IF(D133="","",IFERROR(INDEX('Категории и наценки'!$B$5:$B$26,MATCH(D133,'Категории и наценки'!$A$5:$A$26,0)),0))</f>
        <v/>
      </c>
      <c r="K133" s="14" t="str">
        <f t="shared" si="21"/>
        <v/>
      </c>
      <c r="L133" s="14" t="str">
        <f t="shared" si="22"/>
        <v/>
      </c>
      <c r="M133" s="15" t="str">
        <f>IF(D133="","",IFERROR(IF($D$5="Под ключ",IF(AND(B133&lt;&gt;"",IFERROR(INDEX($H$13:$H$52,MATCH(B133,$B$13:$B$52,0)),0)&gt;0),INDEX('Категории и наценки'!$C$5:$C$26,MATCH(D133,'Категории и наценки'!$A$5:$A$26,0)),INDEX('Категории и наценки'!$D$5:$D$26,MATCH(D133,'Категории и наценки'!$A$5:$A$26,0))),INDEX('Категории и наценки'!$C$5:$C$26,MATCH(D133,'Категории и наценки'!$A$5:$A$26,0))),0))</f>
        <v/>
      </c>
      <c r="N133" s="16" t="str">
        <f t="shared" si="23"/>
        <v/>
      </c>
      <c r="O133" s="16" t="str">
        <f t="shared" si="24"/>
        <v/>
      </c>
      <c r="P133" s="13"/>
      <c r="Q133" s="12" t="str">
        <f t="shared" si="25"/>
        <v>—</v>
      </c>
    </row>
    <row r="134" spans="1:17" x14ac:dyDescent="0.25">
      <c r="A134" s="12">
        <v>77</v>
      </c>
      <c r="B134" s="8"/>
      <c r="C134" s="8"/>
      <c r="D134" s="8"/>
      <c r="E134" s="8"/>
      <c r="F134" s="13"/>
      <c r="G134" s="14" t="str">
        <f t="shared" si="20"/>
        <v/>
      </c>
      <c r="H134" s="13"/>
      <c r="I134" s="8"/>
      <c r="J134" s="15" t="str">
        <f>IF(D134="","",IFERROR(INDEX('Категории и наценки'!$B$5:$B$26,MATCH(D134,'Категории и наценки'!$A$5:$A$26,0)),0))</f>
        <v/>
      </c>
      <c r="K134" s="14" t="str">
        <f t="shared" si="21"/>
        <v/>
      </c>
      <c r="L134" s="14" t="str">
        <f t="shared" si="22"/>
        <v/>
      </c>
      <c r="M134" s="15" t="str">
        <f>IF(D134="","",IFERROR(IF($D$5="Под ключ",IF(AND(B134&lt;&gt;"",IFERROR(INDEX($H$13:$H$52,MATCH(B134,$B$13:$B$52,0)),0)&gt;0),INDEX('Категории и наценки'!$C$5:$C$26,MATCH(D134,'Категории и наценки'!$A$5:$A$26,0)),INDEX('Категории и наценки'!$D$5:$D$26,MATCH(D134,'Категории и наценки'!$A$5:$A$26,0))),INDEX('Категории и наценки'!$C$5:$C$26,MATCH(D134,'Категории и наценки'!$A$5:$A$26,0))),0))</f>
        <v/>
      </c>
      <c r="N134" s="16" t="str">
        <f t="shared" si="23"/>
        <v/>
      </c>
      <c r="O134" s="16" t="str">
        <f t="shared" si="24"/>
        <v/>
      </c>
      <c r="P134" s="13"/>
      <c r="Q134" s="12" t="str">
        <f t="shared" si="25"/>
        <v>—</v>
      </c>
    </row>
    <row r="135" spans="1:17" x14ac:dyDescent="0.25">
      <c r="A135" s="12">
        <v>78</v>
      </c>
      <c r="B135" s="8"/>
      <c r="C135" s="8"/>
      <c r="D135" s="8"/>
      <c r="E135" s="8"/>
      <c r="F135" s="13"/>
      <c r="G135" s="14" t="str">
        <f t="shared" si="20"/>
        <v/>
      </c>
      <c r="H135" s="13"/>
      <c r="I135" s="8"/>
      <c r="J135" s="15" t="str">
        <f>IF(D135="","",IFERROR(INDEX('Категории и наценки'!$B$5:$B$26,MATCH(D135,'Категории и наценки'!$A$5:$A$26,0)),0))</f>
        <v/>
      </c>
      <c r="K135" s="14" t="str">
        <f t="shared" si="21"/>
        <v/>
      </c>
      <c r="L135" s="14" t="str">
        <f t="shared" si="22"/>
        <v/>
      </c>
      <c r="M135" s="15" t="str">
        <f>IF(D135="","",IFERROR(IF($D$5="Под ключ",IF(AND(B135&lt;&gt;"",IFERROR(INDEX($H$13:$H$52,MATCH(B135,$B$13:$B$52,0)),0)&gt;0),INDEX('Категории и наценки'!$C$5:$C$26,MATCH(D135,'Категории и наценки'!$A$5:$A$26,0)),INDEX('Категории и наценки'!$D$5:$D$26,MATCH(D135,'Категории и наценки'!$A$5:$A$26,0))),INDEX('Категории и наценки'!$C$5:$C$26,MATCH(D135,'Категории и наценки'!$A$5:$A$26,0))),0))</f>
        <v/>
      </c>
      <c r="N135" s="16" t="str">
        <f t="shared" si="23"/>
        <v/>
      </c>
      <c r="O135" s="16" t="str">
        <f t="shared" si="24"/>
        <v/>
      </c>
      <c r="P135" s="13"/>
      <c r="Q135" s="12" t="str">
        <f t="shared" si="25"/>
        <v>—</v>
      </c>
    </row>
    <row r="136" spans="1:17" x14ac:dyDescent="0.25">
      <c r="A136" s="12">
        <v>79</v>
      </c>
      <c r="B136" s="8"/>
      <c r="C136" s="8"/>
      <c r="D136" s="8"/>
      <c r="E136" s="8"/>
      <c r="F136" s="13"/>
      <c r="G136" s="14" t="str">
        <f t="shared" si="20"/>
        <v/>
      </c>
      <c r="H136" s="13"/>
      <c r="I136" s="8"/>
      <c r="J136" s="15" t="str">
        <f>IF(D136="","",IFERROR(INDEX('Категории и наценки'!$B$5:$B$26,MATCH(D136,'Категории и наценки'!$A$5:$A$26,0)),0))</f>
        <v/>
      </c>
      <c r="K136" s="14" t="str">
        <f t="shared" si="21"/>
        <v/>
      </c>
      <c r="L136" s="14" t="str">
        <f t="shared" si="22"/>
        <v/>
      </c>
      <c r="M136" s="15" t="str">
        <f>IF(D136="","",IFERROR(IF($D$5="Под ключ",IF(AND(B136&lt;&gt;"",IFERROR(INDEX($H$13:$H$52,MATCH(B136,$B$13:$B$52,0)),0)&gt;0),INDEX('Категории и наценки'!$C$5:$C$26,MATCH(D136,'Категории и наценки'!$A$5:$A$26,0)),INDEX('Категории и наценки'!$D$5:$D$26,MATCH(D136,'Категории и наценки'!$A$5:$A$26,0))),INDEX('Категории и наценки'!$C$5:$C$26,MATCH(D136,'Категории и наценки'!$A$5:$A$26,0))),0))</f>
        <v/>
      </c>
      <c r="N136" s="16" t="str">
        <f t="shared" si="23"/>
        <v/>
      </c>
      <c r="O136" s="16" t="str">
        <f t="shared" si="24"/>
        <v/>
      </c>
      <c r="P136" s="13"/>
      <c r="Q136" s="12" t="str">
        <f t="shared" si="25"/>
        <v>—</v>
      </c>
    </row>
    <row r="137" spans="1:17" x14ac:dyDescent="0.25">
      <c r="A137" s="12">
        <v>80</v>
      </c>
      <c r="B137" s="8"/>
      <c r="C137" s="8"/>
      <c r="D137" s="8"/>
      <c r="E137" s="8"/>
      <c r="F137" s="13"/>
      <c r="G137" s="14" t="str">
        <f t="shared" si="20"/>
        <v/>
      </c>
      <c r="H137" s="13"/>
      <c r="I137" s="8"/>
      <c r="J137" s="15" t="str">
        <f>IF(D137="","",IFERROR(INDEX('Категории и наценки'!$B$5:$B$26,MATCH(D137,'Категории и наценки'!$A$5:$A$26,0)),0))</f>
        <v/>
      </c>
      <c r="K137" s="14" t="str">
        <f t="shared" si="21"/>
        <v/>
      </c>
      <c r="L137" s="14" t="str">
        <f t="shared" si="22"/>
        <v/>
      </c>
      <c r="M137" s="15" t="str">
        <f>IF(D137="","",IFERROR(IF($D$5="Под ключ",IF(AND(B137&lt;&gt;"",IFERROR(INDEX($H$13:$H$52,MATCH(B137,$B$13:$B$52,0)),0)&gt;0),INDEX('Категории и наценки'!$C$5:$C$26,MATCH(D137,'Категории и наценки'!$A$5:$A$26,0)),INDEX('Категории и наценки'!$D$5:$D$26,MATCH(D137,'Категории и наценки'!$A$5:$A$26,0))),INDEX('Категории и наценки'!$C$5:$C$26,MATCH(D137,'Категории и наценки'!$A$5:$A$26,0))),0))</f>
        <v/>
      </c>
      <c r="N137" s="16" t="str">
        <f t="shared" si="23"/>
        <v/>
      </c>
      <c r="O137" s="16" t="str">
        <f t="shared" si="24"/>
        <v/>
      </c>
      <c r="P137" s="13"/>
      <c r="Q137" s="12" t="str">
        <f t="shared" si="25"/>
        <v>—</v>
      </c>
    </row>
    <row r="138" spans="1:17" x14ac:dyDescent="0.25">
      <c r="A138" s="12">
        <v>81</v>
      </c>
      <c r="B138" s="8"/>
      <c r="C138" s="8"/>
      <c r="D138" s="8"/>
      <c r="E138" s="8"/>
      <c r="F138" s="13"/>
      <c r="G138" s="14" t="str">
        <f t="shared" si="20"/>
        <v/>
      </c>
      <c r="H138" s="13"/>
      <c r="I138" s="8"/>
      <c r="J138" s="15" t="str">
        <f>IF(D138="","",IFERROR(INDEX('Категории и наценки'!$B$5:$B$26,MATCH(D138,'Категории и наценки'!$A$5:$A$26,0)),0))</f>
        <v/>
      </c>
      <c r="K138" s="14" t="str">
        <f t="shared" si="21"/>
        <v/>
      </c>
      <c r="L138" s="14" t="str">
        <f t="shared" si="22"/>
        <v/>
      </c>
      <c r="M138" s="15" t="str">
        <f>IF(D138="","",IFERROR(IF($D$5="Под ключ",IF(AND(B138&lt;&gt;"",IFERROR(INDEX($H$13:$H$52,MATCH(B138,$B$13:$B$52,0)),0)&gt;0),INDEX('Категории и наценки'!$C$5:$C$26,MATCH(D138,'Категории и наценки'!$A$5:$A$26,0)),INDEX('Категории и наценки'!$D$5:$D$26,MATCH(D138,'Категории и наценки'!$A$5:$A$26,0))),INDEX('Категории и наценки'!$C$5:$C$26,MATCH(D138,'Категории и наценки'!$A$5:$A$26,0))),0))</f>
        <v/>
      </c>
      <c r="N138" s="16" t="str">
        <f t="shared" si="23"/>
        <v/>
      </c>
      <c r="O138" s="16" t="str">
        <f t="shared" si="24"/>
        <v/>
      </c>
      <c r="P138" s="13"/>
      <c r="Q138" s="12" t="str">
        <f t="shared" si="25"/>
        <v>—</v>
      </c>
    </row>
    <row r="139" spans="1:17" x14ac:dyDescent="0.25">
      <c r="A139" s="12">
        <v>82</v>
      </c>
      <c r="B139" s="8"/>
      <c r="C139" s="8"/>
      <c r="D139" s="8"/>
      <c r="E139" s="8"/>
      <c r="F139" s="13"/>
      <c r="G139" s="14" t="str">
        <f t="shared" si="20"/>
        <v/>
      </c>
      <c r="H139" s="13"/>
      <c r="I139" s="8"/>
      <c r="J139" s="15" t="str">
        <f>IF(D139="","",IFERROR(INDEX('Категории и наценки'!$B$5:$B$26,MATCH(D139,'Категории и наценки'!$A$5:$A$26,0)),0))</f>
        <v/>
      </c>
      <c r="K139" s="14" t="str">
        <f t="shared" si="21"/>
        <v/>
      </c>
      <c r="L139" s="14" t="str">
        <f t="shared" si="22"/>
        <v/>
      </c>
      <c r="M139" s="15" t="str">
        <f>IF(D139="","",IFERROR(IF($D$5="Под ключ",IF(AND(B139&lt;&gt;"",IFERROR(INDEX($H$13:$H$52,MATCH(B139,$B$13:$B$52,0)),0)&gt;0),INDEX('Категории и наценки'!$C$5:$C$26,MATCH(D139,'Категории и наценки'!$A$5:$A$26,0)),INDEX('Категории и наценки'!$D$5:$D$26,MATCH(D139,'Категории и наценки'!$A$5:$A$26,0))),INDEX('Категории и наценки'!$C$5:$C$26,MATCH(D139,'Категории и наценки'!$A$5:$A$26,0))),0))</f>
        <v/>
      </c>
      <c r="N139" s="16" t="str">
        <f t="shared" si="23"/>
        <v/>
      </c>
      <c r="O139" s="16" t="str">
        <f t="shared" si="24"/>
        <v/>
      </c>
      <c r="P139" s="13"/>
      <c r="Q139" s="12" t="str">
        <f t="shared" si="25"/>
        <v>—</v>
      </c>
    </row>
    <row r="140" spans="1:17" x14ac:dyDescent="0.25">
      <c r="A140" s="12">
        <v>83</v>
      </c>
      <c r="B140" s="8"/>
      <c r="C140" s="8"/>
      <c r="D140" s="8"/>
      <c r="E140" s="8"/>
      <c r="F140" s="13"/>
      <c r="G140" s="14" t="str">
        <f t="shared" si="20"/>
        <v/>
      </c>
      <c r="H140" s="13"/>
      <c r="I140" s="8"/>
      <c r="J140" s="15" t="str">
        <f>IF(D140="","",IFERROR(INDEX('Категории и наценки'!$B$5:$B$26,MATCH(D140,'Категории и наценки'!$A$5:$A$26,0)),0))</f>
        <v/>
      </c>
      <c r="K140" s="14" t="str">
        <f t="shared" si="21"/>
        <v/>
      </c>
      <c r="L140" s="14" t="str">
        <f t="shared" si="22"/>
        <v/>
      </c>
      <c r="M140" s="15" t="str">
        <f>IF(D140="","",IFERROR(IF($D$5="Под ключ",IF(AND(B140&lt;&gt;"",IFERROR(INDEX($H$13:$H$52,MATCH(B140,$B$13:$B$52,0)),0)&gt;0),INDEX('Категории и наценки'!$C$5:$C$26,MATCH(D140,'Категории и наценки'!$A$5:$A$26,0)),INDEX('Категории и наценки'!$D$5:$D$26,MATCH(D140,'Категории и наценки'!$A$5:$A$26,0))),INDEX('Категории и наценки'!$C$5:$C$26,MATCH(D140,'Категории и наценки'!$A$5:$A$26,0))),0))</f>
        <v/>
      </c>
      <c r="N140" s="16" t="str">
        <f t="shared" si="23"/>
        <v/>
      </c>
      <c r="O140" s="16" t="str">
        <f t="shared" si="24"/>
        <v/>
      </c>
      <c r="P140" s="13"/>
      <c r="Q140" s="12" t="str">
        <f t="shared" si="25"/>
        <v>—</v>
      </c>
    </row>
    <row r="141" spans="1:17" x14ac:dyDescent="0.25">
      <c r="A141" s="12">
        <v>84</v>
      </c>
      <c r="B141" s="8"/>
      <c r="C141" s="8"/>
      <c r="D141" s="8"/>
      <c r="E141" s="8"/>
      <c r="F141" s="13"/>
      <c r="G141" s="14" t="str">
        <f t="shared" si="20"/>
        <v/>
      </c>
      <c r="H141" s="13"/>
      <c r="I141" s="8"/>
      <c r="J141" s="15" t="str">
        <f>IF(D141="","",IFERROR(INDEX('Категории и наценки'!$B$5:$B$26,MATCH(D141,'Категории и наценки'!$A$5:$A$26,0)),0))</f>
        <v/>
      </c>
      <c r="K141" s="14" t="str">
        <f t="shared" si="21"/>
        <v/>
      </c>
      <c r="L141" s="14" t="str">
        <f t="shared" si="22"/>
        <v/>
      </c>
      <c r="M141" s="15" t="str">
        <f>IF(D141="","",IFERROR(IF($D$5="Под ключ",IF(AND(B141&lt;&gt;"",IFERROR(INDEX($H$13:$H$52,MATCH(B141,$B$13:$B$52,0)),0)&gt;0),INDEX('Категории и наценки'!$C$5:$C$26,MATCH(D141,'Категории и наценки'!$A$5:$A$26,0)),INDEX('Категории и наценки'!$D$5:$D$26,MATCH(D141,'Категории и наценки'!$A$5:$A$26,0))),INDEX('Категории и наценки'!$C$5:$C$26,MATCH(D141,'Категории и наценки'!$A$5:$A$26,0))),0))</f>
        <v/>
      </c>
      <c r="N141" s="16" t="str">
        <f t="shared" si="23"/>
        <v/>
      </c>
      <c r="O141" s="16" t="str">
        <f t="shared" si="24"/>
        <v/>
      </c>
      <c r="P141" s="13"/>
      <c r="Q141" s="12" t="str">
        <f t="shared" si="25"/>
        <v>—</v>
      </c>
    </row>
    <row r="142" spans="1:17" x14ac:dyDescent="0.25">
      <c r="A142" s="12">
        <v>85</v>
      </c>
      <c r="B142" s="8"/>
      <c r="C142" s="8"/>
      <c r="D142" s="8"/>
      <c r="E142" s="8"/>
      <c r="F142" s="13"/>
      <c r="G142" s="14" t="str">
        <f t="shared" si="20"/>
        <v/>
      </c>
      <c r="H142" s="13"/>
      <c r="I142" s="8"/>
      <c r="J142" s="15" t="str">
        <f>IF(D142="","",IFERROR(INDEX('Категории и наценки'!$B$5:$B$26,MATCH(D142,'Категории и наценки'!$A$5:$A$26,0)),0))</f>
        <v/>
      </c>
      <c r="K142" s="14" t="str">
        <f t="shared" si="21"/>
        <v/>
      </c>
      <c r="L142" s="14" t="str">
        <f t="shared" si="22"/>
        <v/>
      </c>
      <c r="M142" s="15" t="str">
        <f>IF(D142="","",IFERROR(IF($D$5="Под ключ",IF(AND(B142&lt;&gt;"",IFERROR(INDEX($H$13:$H$52,MATCH(B142,$B$13:$B$52,0)),0)&gt;0),INDEX('Категории и наценки'!$C$5:$C$26,MATCH(D142,'Категории и наценки'!$A$5:$A$26,0)),INDEX('Категории и наценки'!$D$5:$D$26,MATCH(D142,'Категории и наценки'!$A$5:$A$26,0))),INDEX('Категории и наценки'!$C$5:$C$26,MATCH(D142,'Категории и наценки'!$A$5:$A$26,0))),0))</f>
        <v/>
      </c>
      <c r="N142" s="16" t="str">
        <f t="shared" si="23"/>
        <v/>
      </c>
      <c r="O142" s="16" t="str">
        <f t="shared" si="24"/>
        <v/>
      </c>
      <c r="P142" s="13"/>
      <c r="Q142" s="12" t="str">
        <f t="shared" si="25"/>
        <v>—</v>
      </c>
    </row>
    <row r="143" spans="1:17" x14ac:dyDescent="0.25">
      <c r="A143" s="12">
        <v>86</v>
      </c>
      <c r="B143" s="8"/>
      <c r="C143" s="8"/>
      <c r="D143" s="8"/>
      <c r="E143" s="8"/>
      <c r="F143" s="13"/>
      <c r="G143" s="14" t="str">
        <f t="shared" si="20"/>
        <v/>
      </c>
      <c r="H143" s="13"/>
      <c r="I143" s="8"/>
      <c r="J143" s="15" t="str">
        <f>IF(D143="","",IFERROR(INDEX('Категории и наценки'!$B$5:$B$26,MATCH(D143,'Категории и наценки'!$A$5:$A$26,0)),0))</f>
        <v/>
      </c>
      <c r="K143" s="14" t="str">
        <f t="shared" si="21"/>
        <v/>
      </c>
      <c r="L143" s="14" t="str">
        <f t="shared" si="22"/>
        <v/>
      </c>
      <c r="M143" s="15" t="str">
        <f>IF(D143="","",IFERROR(IF($D$5="Под ключ",IF(AND(B143&lt;&gt;"",IFERROR(INDEX($H$13:$H$52,MATCH(B143,$B$13:$B$52,0)),0)&gt;0),INDEX('Категории и наценки'!$C$5:$C$26,MATCH(D143,'Категории и наценки'!$A$5:$A$26,0)),INDEX('Категории и наценки'!$D$5:$D$26,MATCH(D143,'Категории и наценки'!$A$5:$A$26,0))),INDEX('Категории и наценки'!$C$5:$C$26,MATCH(D143,'Категории и наценки'!$A$5:$A$26,0))),0))</f>
        <v/>
      </c>
      <c r="N143" s="16" t="str">
        <f t="shared" si="23"/>
        <v/>
      </c>
      <c r="O143" s="16" t="str">
        <f t="shared" si="24"/>
        <v/>
      </c>
      <c r="P143" s="13"/>
      <c r="Q143" s="12" t="str">
        <f t="shared" si="25"/>
        <v>—</v>
      </c>
    </row>
    <row r="144" spans="1:17" x14ac:dyDescent="0.25">
      <c r="A144" s="12">
        <v>87</v>
      </c>
      <c r="B144" s="8"/>
      <c r="C144" s="8"/>
      <c r="D144" s="8"/>
      <c r="E144" s="8"/>
      <c r="F144" s="13"/>
      <c r="G144" s="14" t="str">
        <f t="shared" si="20"/>
        <v/>
      </c>
      <c r="H144" s="13"/>
      <c r="I144" s="8"/>
      <c r="J144" s="15" t="str">
        <f>IF(D144="","",IFERROR(INDEX('Категории и наценки'!$B$5:$B$26,MATCH(D144,'Категории и наценки'!$A$5:$A$26,0)),0))</f>
        <v/>
      </c>
      <c r="K144" s="14" t="str">
        <f t="shared" si="21"/>
        <v/>
      </c>
      <c r="L144" s="14" t="str">
        <f t="shared" si="22"/>
        <v/>
      </c>
      <c r="M144" s="15" t="str">
        <f>IF(D144="","",IFERROR(IF($D$5="Под ключ",IF(AND(B144&lt;&gt;"",IFERROR(INDEX($H$13:$H$52,MATCH(B144,$B$13:$B$52,0)),0)&gt;0),INDEX('Категории и наценки'!$C$5:$C$26,MATCH(D144,'Категории и наценки'!$A$5:$A$26,0)),INDEX('Категории и наценки'!$D$5:$D$26,MATCH(D144,'Категории и наценки'!$A$5:$A$26,0))),INDEX('Категории и наценки'!$C$5:$C$26,MATCH(D144,'Категории и наценки'!$A$5:$A$26,0))),0))</f>
        <v/>
      </c>
      <c r="N144" s="16" t="str">
        <f t="shared" si="23"/>
        <v/>
      </c>
      <c r="O144" s="16" t="str">
        <f t="shared" si="24"/>
        <v/>
      </c>
      <c r="P144" s="13"/>
      <c r="Q144" s="12" t="str">
        <f t="shared" si="25"/>
        <v>—</v>
      </c>
    </row>
    <row r="145" spans="1:17" x14ac:dyDescent="0.25">
      <c r="A145" s="12">
        <v>88</v>
      </c>
      <c r="B145" s="8"/>
      <c r="C145" s="8"/>
      <c r="D145" s="8"/>
      <c r="E145" s="8"/>
      <c r="F145" s="13"/>
      <c r="G145" s="14" t="str">
        <f t="shared" si="20"/>
        <v/>
      </c>
      <c r="H145" s="13"/>
      <c r="I145" s="8"/>
      <c r="J145" s="15" t="str">
        <f>IF(D145="","",IFERROR(INDEX('Категории и наценки'!$B$5:$B$26,MATCH(D145,'Категории и наценки'!$A$5:$A$26,0)),0))</f>
        <v/>
      </c>
      <c r="K145" s="14" t="str">
        <f t="shared" si="21"/>
        <v/>
      </c>
      <c r="L145" s="14" t="str">
        <f t="shared" si="22"/>
        <v/>
      </c>
      <c r="M145" s="15" t="str">
        <f>IF(D145="","",IFERROR(IF($D$5="Под ключ",IF(AND(B145&lt;&gt;"",IFERROR(INDEX($H$13:$H$52,MATCH(B145,$B$13:$B$52,0)),0)&gt;0),INDEX('Категории и наценки'!$C$5:$C$26,MATCH(D145,'Категории и наценки'!$A$5:$A$26,0)),INDEX('Категории и наценки'!$D$5:$D$26,MATCH(D145,'Категории и наценки'!$A$5:$A$26,0))),INDEX('Категории и наценки'!$C$5:$C$26,MATCH(D145,'Категории и наценки'!$A$5:$A$26,0))),0))</f>
        <v/>
      </c>
      <c r="N145" s="16" t="str">
        <f t="shared" si="23"/>
        <v/>
      </c>
      <c r="O145" s="16" t="str">
        <f t="shared" si="24"/>
        <v/>
      </c>
      <c r="P145" s="13"/>
      <c r="Q145" s="12" t="str">
        <f t="shared" si="25"/>
        <v>—</v>
      </c>
    </row>
    <row r="146" spans="1:17" x14ac:dyDescent="0.25">
      <c r="A146" s="12">
        <v>89</v>
      </c>
      <c r="B146" s="8"/>
      <c r="C146" s="8"/>
      <c r="D146" s="8"/>
      <c r="E146" s="8"/>
      <c r="F146" s="13"/>
      <c r="G146" s="14" t="str">
        <f t="shared" si="20"/>
        <v/>
      </c>
      <c r="H146" s="13"/>
      <c r="I146" s="8"/>
      <c r="J146" s="15" t="str">
        <f>IF(D146="","",IFERROR(INDEX('Категории и наценки'!$B$5:$B$26,MATCH(D146,'Категории и наценки'!$A$5:$A$26,0)),0))</f>
        <v/>
      </c>
      <c r="K146" s="14" t="str">
        <f t="shared" si="21"/>
        <v/>
      </c>
      <c r="L146" s="14" t="str">
        <f t="shared" si="22"/>
        <v/>
      </c>
      <c r="M146" s="15" t="str">
        <f>IF(D146="","",IFERROR(IF($D$5="Под ключ",IF(AND(B146&lt;&gt;"",IFERROR(INDEX($H$13:$H$52,MATCH(B146,$B$13:$B$52,0)),0)&gt;0),INDEX('Категории и наценки'!$C$5:$C$26,MATCH(D146,'Категории и наценки'!$A$5:$A$26,0)),INDEX('Категории и наценки'!$D$5:$D$26,MATCH(D146,'Категории и наценки'!$A$5:$A$26,0))),INDEX('Категории и наценки'!$C$5:$C$26,MATCH(D146,'Категории и наценки'!$A$5:$A$26,0))),0))</f>
        <v/>
      </c>
      <c r="N146" s="16" t="str">
        <f t="shared" si="23"/>
        <v/>
      </c>
      <c r="O146" s="16" t="str">
        <f t="shared" si="24"/>
        <v/>
      </c>
      <c r="P146" s="13"/>
      <c r="Q146" s="12" t="str">
        <f t="shared" si="25"/>
        <v>—</v>
      </c>
    </row>
    <row r="147" spans="1:17" x14ac:dyDescent="0.25">
      <c r="A147" s="12">
        <v>90</v>
      </c>
      <c r="B147" s="8"/>
      <c r="C147" s="8"/>
      <c r="D147" s="8"/>
      <c r="E147" s="8"/>
      <c r="F147" s="13"/>
      <c r="G147" s="14" t="str">
        <f t="shared" si="20"/>
        <v/>
      </c>
      <c r="H147" s="13"/>
      <c r="I147" s="8"/>
      <c r="J147" s="15" t="str">
        <f>IF(D147="","",IFERROR(INDEX('Категории и наценки'!$B$5:$B$26,MATCH(D147,'Категории и наценки'!$A$5:$A$26,0)),0))</f>
        <v/>
      </c>
      <c r="K147" s="14" t="str">
        <f t="shared" si="21"/>
        <v/>
      </c>
      <c r="L147" s="14" t="str">
        <f t="shared" si="22"/>
        <v/>
      </c>
      <c r="M147" s="15" t="str">
        <f>IF(D147="","",IFERROR(IF($D$5="Под ключ",IF(AND(B147&lt;&gt;"",IFERROR(INDEX($H$13:$H$52,MATCH(B147,$B$13:$B$52,0)),0)&gt;0),INDEX('Категории и наценки'!$C$5:$C$26,MATCH(D147,'Категории и наценки'!$A$5:$A$26,0)),INDEX('Категории и наценки'!$D$5:$D$26,MATCH(D147,'Категории и наценки'!$A$5:$A$26,0))),INDEX('Категории и наценки'!$C$5:$C$26,MATCH(D147,'Категории и наценки'!$A$5:$A$26,0))),0))</f>
        <v/>
      </c>
      <c r="N147" s="16" t="str">
        <f t="shared" si="23"/>
        <v/>
      </c>
      <c r="O147" s="16" t="str">
        <f t="shared" si="24"/>
        <v/>
      </c>
      <c r="P147" s="13"/>
      <c r="Q147" s="12" t="str">
        <f t="shared" si="25"/>
        <v>—</v>
      </c>
    </row>
    <row r="148" spans="1:17" x14ac:dyDescent="0.25">
      <c r="A148" s="12">
        <v>91</v>
      </c>
      <c r="B148" s="8"/>
      <c r="C148" s="8"/>
      <c r="D148" s="8"/>
      <c r="E148" s="8"/>
      <c r="F148" s="13"/>
      <c r="G148" s="14" t="str">
        <f t="shared" si="20"/>
        <v/>
      </c>
      <c r="H148" s="13"/>
      <c r="I148" s="8"/>
      <c r="J148" s="15" t="str">
        <f>IF(D148="","",IFERROR(INDEX('Категории и наценки'!$B$5:$B$26,MATCH(D148,'Категории и наценки'!$A$5:$A$26,0)),0))</f>
        <v/>
      </c>
      <c r="K148" s="14" t="str">
        <f t="shared" si="21"/>
        <v/>
      </c>
      <c r="L148" s="14" t="str">
        <f t="shared" si="22"/>
        <v/>
      </c>
      <c r="M148" s="15" t="str">
        <f>IF(D148="","",IFERROR(IF($D$5="Под ключ",IF(AND(B148&lt;&gt;"",IFERROR(INDEX($H$13:$H$52,MATCH(B148,$B$13:$B$52,0)),0)&gt;0),INDEX('Категории и наценки'!$C$5:$C$26,MATCH(D148,'Категории и наценки'!$A$5:$A$26,0)),INDEX('Категории и наценки'!$D$5:$D$26,MATCH(D148,'Категории и наценки'!$A$5:$A$26,0))),INDEX('Категории и наценки'!$C$5:$C$26,MATCH(D148,'Категории и наценки'!$A$5:$A$26,0))),0))</f>
        <v/>
      </c>
      <c r="N148" s="16" t="str">
        <f t="shared" si="23"/>
        <v/>
      </c>
      <c r="O148" s="16" t="str">
        <f t="shared" si="24"/>
        <v/>
      </c>
      <c r="P148" s="13"/>
      <c r="Q148" s="12" t="str">
        <f t="shared" si="25"/>
        <v>—</v>
      </c>
    </row>
    <row r="149" spans="1:17" x14ac:dyDescent="0.25">
      <c r="A149" s="12">
        <v>92</v>
      </c>
      <c r="B149" s="8"/>
      <c r="C149" s="8"/>
      <c r="D149" s="8"/>
      <c r="E149" s="8"/>
      <c r="F149" s="13"/>
      <c r="G149" s="14" t="str">
        <f t="shared" si="20"/>
        <v/>
      </c>
      <c r="H149" s="13"/>
      <c r="I149" s="8"/>
      <c r="J149" s="15" t="str">
        <f>IF(D149="","",IFERROR(INDEX('Категории и наценки'!$B$5:$B$26,MATCH(D149,'Категории и наценки'!$A$5:$A$26,0)),0))</f>
        <v/>
      </c>
      <c r="K149" s="14" t="str">
        <f t="shared" si="21"/>
        <v/>
      </c>
      <c r="L149" s="14" t="str">
        <f t="shared" si="22"/>
        <v/>
      </c>
      <c r="M149" s="15" t="str">
        <f>IF(D149="","",IFERROR(IF($D$5="Под ключ",IF(AND(B149&lt;&gt;"",IFERROR(INDEX($H$13:$H$52,MATCH(B149,$B$13:$B$52,0)),0)&gt;0),INDEX('Категории и наценки'!$C$5:$C$26,MATCH(D149,'Категории и наценки'!$A$5:$A$26,0)),INDEX('Категории и наценки'!$D$5:$D$26,MATCH(D149,'Категории и наценки'!$A$5:$A$26,0))),INDEX('Категории и наценки'!$C$5:$C$26,MATCH(D149,'Категории и наценки'!$A$5:$A$26,0))),0))</f>
        <v/>
      </c>
      <c r="N149" s="16" t="str">
        <f t="shared" si="23"/>
        <v/>
      </c>
      <c r="O149" s="16" t="str">
        <f t="shared" si="24"/>
        <v/>
      </c>
      <c r="P149" s="13"/>
      <c r="Q149" s="12" t="str">
        <f t="shared" si="25"/>
        <v>—</v>
      </c>
    </row>
    <row r="150" spans="1:17" x14ac:dyDescent="0.25">
      <c r="A150" s="12">
        <v>93</v>
      </c>
      <c r="B150" s="8"/>
      <c r="C150" s="8"/>
      <c r="D150" s="8"/>
      <c r="E150" s="8"/>
      <c r="F150" s="13"/>
      <c r="G150" s="14" t="str">
        <f t="shared" si="20"/>
        <v/>
      </c>
      <c r="H150" s="13"/>
      <c r="I150" s="8"/>
      <c r="J150" s="15" t="str">
        <f>IF(D150="","",IFERROR(INDEX('Категории и наценки'!$B$5:$B$26,MATCH(D150,'Категории и наценки'!$A$5:$A$26,0)),0))</f>
        <v/>
      </c>
      <c r="K150" s="14" t="str">
        <f t="shared" si="21"/>
        <v/>
      </c>
      <c r="L150" s="14" t="str">
        <f t="shared" si="22"/>
        <v/>
      </c>
      <c r="M150" s="15" t="str">
        <f>IF(D150="","",IFERROR(IF($D$5="Под ключ",IF(AND(B150&lt;&gt;"",IFERROR(INDEX($H$13:$H$52,MATCH(B150,$B$13:$B$52,0)),0)&gt;0),INDEX('Категории и наценки'!$C$5:$C$26,MATCH(D150,'Категории и наценки'!$A$5:$A$26,0)),INDEX('Категории и наценки'!$D$5:$D$26,MATCH(D150,'Категории и наценки'!$A$5:$A$26,0))),INDEX('Категории и наценки'!$C$5:$C$26,MATCH(D150,'Категории и наценки'!$A$5:$A$26,0))),0))</f>
        <v/>
      </c>
      <c r="N150" s="16" t="str">
        <f t="shared" si="23"/>
        <v/>
      </c>
      <c r="O150" s="16" t="str">
        <f t="shared" si="24"/>
        <v/>
      </c>
      <c r="P150" s="13"/>
      <c r="Q150" s="12" t="str">
        <f t="shared" si="25"/>
        <v>—</v>
      </c>
    </row>
    <row r="151" spans="1:17" x14ac:dyDescent="0.25">
      <c r="A151" s="12">
        <v>94</v>
      </c>
      <c r="B151" s="8"/>
      <c r="C151" s="8"/>
      <c r="D151" s="8"/>
      <c r="E151" s="8"/>
      <c r="F151" s="13"/>
      <c r="G151" s="14" t="str">
        <f t="shared" si="20"/>
        <v/>
      </c>
      <c r="H151" s="13"/>
      <c r="I151" s="8"/>
      <c r="J151" s="15" t="str">
        <f>IF(D151="","",IFERROR(INDEX('Категории и наценки'!$B$5:$B$26,MATCH(D151,'Категории и наценки'!$A$5:$A$26,0)),0))</f>
        <v/>
      </c>
      <c r="K151" s="14" t="str">
        <f t="shared" si="21"/>
        <v/>
      </c>
      <c r="L151" s="14" t="str">
        <f t="shared" si="22"/>
        <v/>
      </c>
      <c r="M151" s="15" t="str">
        <f>IF(D151="","",IFERROR(IF($D$5="Под ключ",IF(AND(B151&lt;&gt;"",IFERROR(INDEX($H$13:$H$52,MATCH(B151,$B$13:$B$52,0)),0)&gt;0),INDEX('Категории и наценки'!$C$5:$C$26,MATCH(D151,'Категории и наценки'!$A$5:$A$26,0)),INDEX('Категории и наценки'!$D$5:$D$26,MATCH(D151,'Категории и наценки'!$A$5:$A$26,0))),INDEX('Категории и наценки'!$C$5:$C$26,MATCH(D151,'Категории и наценки'!$A$5:$A$26,0))),0))</f>
        <v/>
      </c>
      <c r="N151" s="16" t="str">
        <f t="shared" si="23"/>
        <v/>
      </c>
      <c r="O151" s="16" t="str">
        <f t="shared" si="24"/>
        <v/>
      </c>
      <c r="P151" s="13"/>
      <c r="Q151" s="12" t="str">
        <f t="shared" si="25"/>
        <v>—</v>
      </c>
    </row>
    <row r="152" spans="1:17" x14ac:dyDescent="0.25">
      <c r="A152" s="12">
        <v>95</v>
      </c>
      <c r="B152" s="8"/>
      <c r="C152" s="8"/>
      <c r="D152" s="8"/>
      <c r="E152" s="8"/>
      <c r="F152" s="13"/>
      <c r="G152" s="14" t="str">
        <f t="shared" si="20"/>
        <v/>
      </c>
      <c r="H152" s="13"/>
      <c r="I152" s="8"/>
      <c r="J152" s="15" t="str">
        <f>IF(D152="","",IFERROR(INDEX('Категории и наценки'!$B$5:$B$26,MATCH(D152,'Категории и наценки'!$A$5:$A$26,0)),0))</f>
        <v/>
      </c>
      <c r="K152" s="14" t="str">
        <f t="shared" si="21"/>
        <v/>
      </c>
      <c r="L152" s="14" t="str">
        <f t="shared" si="22"/>
        <v/>
      </c>
      <c r="M152" s="15" t="str">
        <f>IF(D152="","",IFERROR(IF($D$5="Под ключ",IF(AND(B152&lt;&gt;"",IFERROR(INDEX($H$13:$H$52,MATCH(B152,$B$13:$B$52,0)),0)&gt;0),INDEX('Категории и наценки'!$C$5:$C$26,MATCH(D152,'Категории и наценки'!$A$5:$A$26,0)),INDEX('Категории и наценки'!$D$5:$D$26,MATCH(D152,'Категории и наценки'!$A$5:$A$26,0))),INDEX('Категории и наценки'!$C$5:$C$26,MATCH(D152,'Категории и наценки'!$A$5:$A$26,0))),0))</f>
        <v/>
      </c>
      <c r="N152" s="16" t="str">
        <f t="shared" si="23"/>
        <v/>
      </c>
      <c r="O152" s="16" t="str">
        <f t="shared" si="24"/>
        <v/>
      </c>
      <c r="P152" s="13"/>
      <c r="Q152" s="12" t="str">
        <f t="shared" si="25"/>
        <v>—</v>
      </c>
    </row>
    <row r="153" spans="1:17" x14ac:dyDescent="0.25">
      <c r="A153" s="12">
        <v>96</v>
      </c>
      <c r="B153" s="8"/>
      <c r="C153" s="8"/>
      <c r="D153" s="8"/>
      <c r="E153" s="8"/>
      <c r="F153" s="13"/>
      <c r="G153" s="14" t="str">
        <f t="shared" si="20"/>
        <v/>
      </c>
      <c r="H153" s="13"/>
      <c r="I153" s="8"/>
      <c r="J153" s="15" t="str">
        <f>IF(D153="","",IFERROR(INDEX('Категории и наценки'!$B$5:$B$26,MATCH(D153,'Категории и наценки'!$A$5:$A$26,0)),0))</f>
        <v/>
      </c>
      <c r="K153" s="14" t="str">
        <f t="shared" si="21"/>
        <v/>
      </c>
      <c r="L153" s="14" t="str">
        <f t="shared" si="22"/>
        <v/>
      </c>
      <c r="M153" s="15" t="str">
        <f>IF(D153="","",IFERROR(IF($D$5="Под ключ",IF(AND(B153&lt;&gt;"",IFERROR(INDEX($H$13:$H$52,MATCH(B153,$B$13:$B$52,0)),0)&gt;0),INDEX('Категории и наценки'!$C$5:$C$26,MATCH(D153,'Категории и наценки'!$A$5:$A$26,0)),INDEX('Категории и наценки'!$D$5:$D$26,MATCH(D153,'Категории и наценки'!$A$5:$A$26,0))),INDEX('Категории и наценки'!$C$5:$C$26,MATCH(D153,'Категории и наценки'!$A$5:$A$26,0))),0))</f>
        <v/>
      </c>
      <c r="N153" s="16" t="str">
        <f t="shared" si="23"/>
        <v/>
      </c>
      <c r="O153" s="16" t="str">
        <f t="shared" si="24"/>
        <v/>
      </c>
      <c r="P153" s="13"/>
      <c r="Q153" s="12" t="str">
        <f t="shared" si="25"/>
        <v>—</v>
      </c>
    </row>
    <row r="154" spans="1:17" x14ac:dyDescent="0.25">
      <c r="A154" s="12">
        <v>97</v>
      </c>
      <c r="B154" s="8"/>
      <c r="C154" s="8"/>
      <c r="D154" s="8"/>
      <c r="E154" s="8"/>
      <c r="F154" s="13"/>
      <c r="G154" s="14" t="str">
        <f t="shared" ref="G154:G185" si="26">IF(F154="","",IF(B154="",F154,IFERROR(F154*INDEX($E$13:$E$52,MATCH(B154,$B$13:$B$52,0)),"нет работы")))</f>
        <v/>
      </c>
      <c r="H154" s="13"/>
      <c r="I154" s="8"/>
      <c r="J154" s="15" t="str">
        <f>IF(D154="","",IFERROR(INDEX('Категории и наценки'!$B$5:$B$26,MATCH(D154,'Категории и наценки'!$A$5:$A$26,0)),0))</f>
        <v/>
      </c>
      <c r="K154" s="14" t="str">
        <f t="shared" ref="K154:K185" si="27">IF(OR(H154="",D154=""),"",ROUND(H154*(1+J154)*(1+$M$3)*(1+$M$4+$M$5),2))</f>
        <v/>
      </c>
      <c r="L154" s="14" t="str">
        <f t="shared" ref="L154:L185" si="28">IF(OR(K154="",NOT(ISNUMBER(G154))),"",ROUND(K154*G154,2))</f>
        <v/>
      </c>
      <c r="M154" s="15" t="str">
        <f>IF(D154="","",IFERROR(IF($D$5="Под ключ",IF(AND(B154&lt;&gt;"",IFERROR(INDEX($H$13:$H$52,MATCH(B154,$B$13:$B$52,0)),0)&gt;0),INDEX('Категории и наценки'!$C$5:$C$26,MATCH(D154,'Категории и наценки'!$A$5:$A$26,0)),INDEX('Категории и наценки'!$D$5:$D$26,MATCH(D154,'Категории и наценки'!$A$5:$A$26,0))),INDEX('Категории и наценки'!$C$5:$C$26,MATCH(D154,'Категории и наценки'!$A$5:$A$26,0))),0))</f>
        <v/>
      </c>
      <c r="N154" s="16" t="str">
        <f t="shared" ref="N154:N185" si="29">IF(K154="","",ROUND(K154*(1+M154),2))</f>
        <v/>
      </c>
      <c r="O154" s="16" t="str">
        <f t="shared" ref="O154:O185" si="30">IF(OR(N154="",NOT(ISNUMBER(G154))),"",ROUND(N154*G154,2))</f>
        <v/>
      </c>
      <c r="P154" s="13"/>
      <c r="Q154" s="12" t="str">
        <f t="shared" ref="Q154:Q185" si="31">IF(OR(P154="",N154=""),"—",IF(N154&gt;P154,"ВЫШЕ РОЗНИЦЫ","ок"))</f>
        <v>—</v>
      </c>
    </row>
    <row r="155" spans="1:17" x14ac:dyDescent="0.25">
      <c r="A155" s="12">
        <v>98</v>
      </c>
      <c r="B155" s="8"/>
      <c r="C155" s="8"/>
      <c r="D155" s="8"/>
      <c r="E155" s="8"/>
      <c r="F155" s="13"/>
      <c r="G155" s="14" t="str">
        <f t="shared" si="26"/>
        <v/>
      </c>
      <c r="H155" s="13"/>
      <c r="I155" s="8"/>
      <c r="J155" s="15" t="str">
        <f>IF(D155="","",IFERROR(INDEX('Категории и наценки'!$B$5:$B$26,MATCH(D155,'Категории и наценки'!$A$5:$A$26,0)),0))</f>
        <v/>
      </c>
      <c r="K155" s="14" t="str">
        <f t="shared" si="27"/>
        <v/>
      </c>
      <c r="L155" s="14" t="str">
        <f t="shared" si="28"/>
        <v/>
      </c>
      <c r="M155" s="15" t="str">
        <f>IF(D155="","",IFERROR(IF($D$5="Под ключ",IF(AND(B155&lt;&gt;"",IFERROR(INDEX($H$13:$H$52,MATCH(B155,$B$13:$B$52,0)),0)&gt;0),INDEX('Категории и наценки'!$C$5:$C$26,MATCH(D155,'Категории и наценки'!$A$5:$A$26,0)),INDEX('Категории и наценки'!$D$5:$D$26,MATCH(D155,'Категории и наценки'!$A$5:$A$26,0))),INDEX('Категории и наценки'!$C$5:$C$26,MATCH(D155,'Категории и наценки'!$A$5:$A$26,0))),0))</f>
        <v/>
      </c>
      <c r="N155" s="16" t="str">
        <f t="shared" si="29"/>
        <v/>
      </c>
      <c r="O155" s="16" t="str">
        <f t="shared" si="30"/>
        <v/>
      </c>
      <c r="P155" s="13"/>
      <c r="Q155" s="12" t="str">
        <f t="shared" si="31"/>
        <v>—</v>
      </c>
    </row>
    <row r="156" spans="1:17" x14ac:dyDescent="0.25">
      <c r="A156" s="12">
        <v>99</v>
      </c>
      <c r="B156" s="8"/>
      <c r="C156" s="8"/>
      <c r="D156" s="8"/>
      <c r="E156" s="8"/>
      <c r="F156" s="13"/>
      <c r="G156" s="14" t="str">
        <f t="shared" si="26"/>
        <v/>
      </c>
      <c r="H156" s="13"/>
      <c r="I156" s="8"/>
      <c r="J156" s="15" t="str">
        <f>IF(D156="","",IFERROR(INDEX('Категории и наценки'!$B$5:$B$26,MATCH(D156,'Категории и наценки'!$A$5:$A$26,0)),0))</f>
        <v/>
      </c>
      <c r="K156" s="14" t="str">
        <f t="shared" si="27"/>
        <v/>
      </c>
      <c r="L156" s="14" t="str">
        <f t="shared" si="28"/>
        <v/>
      </c>
      <c r="M156" s="15" t="str">
        <f>IF(D156="","",IFERROR(IF($D$5="Под ключ",IF(AND(B156&lt;&gt;"",IFERROR(INDEX($H$13:$H$52,MATCH(B156,$B$13:$B$52,0)),0)&gt;0),INDEX('Категории и наценки'!$C$5:$C$26,MATCH(D156,'Категории и наценки'!$A$5:$A$26,0)),INDEX('Категории и наценки'!$D$5:$D$26,MATCH(D156,'Категории и наценки'!$A$5:$A$26,0))),INDEX('Категории и наценки'!$C$5:$C$26,MATCH(D156,'Категории и наценки'!$A$5:$A$26,0))),0))</f>
        <v/>
      </c>
      <c r="N156" s="16" t="str">
        <f t="shared" si="29"/>
        <v/>
      </c>
      <c r="O156" s="16" t="str">
        <f t="shared" si="30"/>
        <v/>
      </c>
      <c r="P156" s="13"/>
      <c r="Q156" s="12" t="str">
        <f t="shared" si="31"/>
        <v>—</v>
      </c>
    </row>
    <row r="157" spans="1:17" x14ac:dyDescent="0.25">
      <c r="A157" s="12">
        <v>100</v>
      </c>
      <c r="B157" s="8"/>
      <c r="C157" s="8"/>
      <c r="D157" s="8"/>
      <c r="E157" s="8"/>
      <c r="F157" s="13"/>
      <c r="G157" s="14" t="str">
        <f t="shared" si="26"/>
        <v/>
      </c>
      <c r="H157" s="13"/>
      <c r="I157" s="8"/>
      <c r="J157" s="15" t="str">
        <f>IF(D157="","",IFERROR(INDEX('Категории и наценки'!$B$5:$B$26,MATCH(D157,'Категории и наценки'!$A$5:$A$26,0)),0))</f>
        <v/>
      </c>
      <c r="K157" s="14" t="str">
        <f t="shared" si="27"/>
        <v/>
      </c>
      <c r="L157" s="14" t="str">
        <f t="shared" si="28"/>
        <v/>
      </c>
      <c r="M157" s="15" t="str">
        <f>IF(D157="","",IFERROR(IF($D$5="Под ключ",IF(AND(B157&lt;&gt;"",IFERROR(INDEX($H$13:$H$52,MATCH(B157,$B$13:$B$52,0)),0)&gt;0),INDEX('Категории и наценки'!$C$5:$C$26,MATCH(D157,'Категории и наценки'!$A$5:$A$26,0)),INDEX('Категории и наценки'!$D$5:$D$26,MATCH(D157,'Категории и наценки'!$A$5:$A$26,0))),INDEX('Категории и наценки'!$C$5:$C$26,MATCH(D157,'Категории и наценки'!$A$5:$A$26,0))),0))</f>
        <v/>
      </c>
      <c r="N157" s="16" t="str">
        <f t="shared" si="29"/>
        <v/>
      </c>
      <c r="O157" s="16" t="str">
        <f t="shared" si="30"/>
        <v/>
      </c>
      <c r="P157" s="13"/>
      <c r="Q157" s="12" t="str">
        <f t="shared" si="31"/>
        <v>—</v>
      </c>
    </row>
    <row r="158" spans="1:17" x14ac:dyDescent="0.25">
      <c r="A158" s="12">
        <v>101</v>
      </c>
      <c r="B158" s="8"/>
      <c r="C158" s="8"/>
      <c r="D158" s="8"/>
      <c r="E158" s="8"/>
      <c r="F158" s="13"/>
      <c r="G158" s="14" t="str">
        <f t="shared" si="26"/>
        <v/>
      </c>
      <c r="H158" s="13"/>
      <c r="I158" s="8"/>
      <c r="J158" s="15" t="str">
        <f>IF(D158="","",IFERROR(INDEX('Категории и наценки'!$B$5:$B$26,MATCH(D158,'Категории и наценки'!$A$5:$A$26,0)),0))</f>
        <v/>
      </c>
      <c r="K158" s="14" t="str">
        <f t="shared" si="27"/>
        <v/>
      </c>
      <c r="L158" s="14" t="str">
        <f t="shared" si="28"/>
        <v/>
      </c>
      <c r="M158" s="15" t="str">
        <f>IF(D158="","",IFERROR(IF($D$5="Под ключ",IF(AND(B158&lt;&gt;"",IFERROR(INDEX($H$13:$H$52,MATCH(B158,$B$13:$B$52,0)),0)&gt;0),INDEX('Категории и наценки'!$C$5:$C$26,MATCH(D158,'Категории и наценки'!$A$5:$A$26,0)),INDEX('Категории и наценки'!$D$5:$D$26,MATCH(D158,'Категории и наценки'!$A$5:$A$26,0))),INDEX('Категории и наценки'!$C$5:$C$26,MATCH(D158,'Категории и наценки'!$A$5:$A$26,0))),0))</f>
        <v/>
      </c>
      <c r="N158" s="16" t="str">
        <f t="shared" si="29"/>
        <v/>
      </c>
      <c r="O158" s="16" t="str">
        <f t="shared" si="30"/>
        <v/>
      </c>
      <c r="P158" s="13"/>
      <c r="Q158" s="12" t="str">
        <f t="shared" si="31"/>
        <v>—</v>
      </c>
    </row>
    <row r="159" spans="1:17" x14ac:dyDescent="0.25">
      <c r="A159" s="12">
        <v>102</v>
      </c>
      <c r="B159" s="8"/>
      <c r="C159" s="8"/>
      <c r="D159" s="8"/>
      <c r="E159" s="8"/>
      <c r="F159" s="13"/>
      <c r="G159" s="14" t="str">
        <f t="shared" si="26"/>
        <v/>
      </c>
      <c r="H159" s="13"/>
      <c r="I159" s="8"/>
      <c r="J159" s="15" t="str">
        <f>IF(D159="","",IFERROR(INDEX('Категории и наценки'!$B$5:$B$26,MATCH(D159,'Категории и наценки'!$A$5:$A$26,0)),0))</f>
        <v/>
      </c>
      <c r="K159" s="14" t="str">
        <f t="shared" si="27"/>
        <v/>
      </c>
      <c r="L159" s="14" t="str">
        <f t="shared" si="28"/>
        <v/>
      </c>
      <c r="M159" s="15" t="str">
        <f>IF(D159="","",IFERROR(IF($D$5="Под ключ",IF(AND(B159&lt;&gt;"",IFERROR(INDEX($H$13:$H$52,MATCH(B159,$B$13:$B$52,0)),0)&gt;0),INDEX('Категории и наценки'!$C$5:$C$26,MATCH(D159,'Категории и наценки'!$A$5:$A$26,0)),INDEX('Категории и наценки'!$D$5:$D$26,MATCH(D159,'Категории и наценки'!$A$5:$A$26,0))),INDEX('Категории и наценки'!$C$5:$C$26,MATCH(D159,'Категории и наценки'!$A$5:$A$26,0))),0))</f>
        <v/>
      </c>
      <c r="N159" s="16" t="str">
        <f t="shared" si="29"/>
        <v/>
      </c>
      <c r="O159" s="16" t="str">
        <f t="shared" si="30"/>
        <v/>
      </c>
      <c r="P159" s="13"/>
      <c r="Q159" s="12" t="str">
        <f t="shared" si="31"/>
        <v>—</v>
      </c>
    </row>
    <row r="160" spans="1:17" x14ac:dyDescent="0.25">
      <c r="A160" s="12">
        <v>103</v>
      </c>
      <c r="B160" s="8"/>
      <c r="C160" s="8"/>
      <c r="D160" s="8"/>
      <c r="E160" s="8"/>
      <c r="F160" s="13"/>
      <c r="G160" s="14" t="str">
        <f t="shared" si="26"/>
        <v/>
      </c>
      <c r="H160" s="13"/>
      <c r="I160" s="8"/>
      <c r="J160" s="15" t="str">
        <f>IF(D160="","",IFERROR(INDEX('Категории и наценки'!$B$5:$B$26,MATCH(D160,'Категории и наценки'!$A$5:$A$26,0)),0))</f>
        <v/>
      </c>
      <c r="K160" s="14" t="str">
        <f t="shared" si="27"/>
        <v/>
      </c>
      <c r="L160" s="14" t="str">
        <f t="shared" si="28"/>
        <v/>
      </c>
      <c r="M160" s="15" t="str">
        <f>IF(D160="","",IFERROR(IF($D$5="Под ключ",IF(AND(B160&lt;&gt;"",IFERROR(INDEX($H$13:$H$52,MATCH(B160,$B$13:$B$52,0)),0)&gt;0),INDEX('Категории и наценки'!$C$5:$C$26,MATCH(D160,'Категории и наценки'!$A$5:$A$26,0)),INDEX('Категории и наценки'!$D$5:$D$26,MATCH(D160,'Категории и наценки'!$A$5:$A$26,0))),INDEX('Категории и наценки'!$C$5:$C$26,MATCH(D160,'Категории и наценки'!$A$5:$A$26,0))),0))</f>
        <v/>
      </c>
      <c r="N160" s="16" t="str">
        <f t="shared" si="29"/>
        <v/>
      </c>
      <c r="O160" s="16" t="str">
        <f t="shared" si="30"/>
        <v/>
      </c>
      <c r="P160" s="13"/>
      <c r="Q160" s="12" t="str">
        <f t="shared" si="31"/>
        <v>—</v>
      </c>
    </row>
    <row r="161" spans="1:17" x14ac:dyDescent="0.25">
      <c r="A161" s="12">
        <v>104</v>
      </c>
      <c r="B161" s="8"/>
      <c r="C161" s="8"/>
      <c r="D161" s="8"/>
      <c r="E161" s="8"/>
      <c r="F161" s="13"/>
      <c r="G161" s="14" t="str">
        <f t="shared" si="26"/>
        <v/>
      </c>
      <c r="H161" s="13"/>
      <c r="I161" s="8"/>
      <c r="J161" s="15" t="str">
        <f>IF(D161="","",IFERROR(INDEX('Категории и наценки'!$B$5:$B$26,MATCH(D161,'Категории и наценки'!$A$5:$A$26,0)),0))</f>
        <v/>
      </c>
      <c r="K161" s="14" t="str">
        <f t="shared" si="27"/>
        <v/>
      </c>
      <c r="L161" s="14" t="str">
        <f t="shared" si="28"/>
        <v/>
      </c>
      <c r="M161" s="15" t="str">
        <f>IF(D161="","",IFERROR(IF($D$5="Под ключ",IF(AND(B161&lt;&gt;"",IFERROR(INDEX($H$13:$H$52,MATCH(B161,$B$13:$B$52,0)),0)&gt;0),INDEX('Категории и наценки'!$C$5:$C$26,MATCH(D161,'Категории и наценки'!$A$5:$A$26,0)),INDEX('Категории и наценки'!$D$5:$D$26,MATCH(D161,'Категории и наценки'!$A$5:$A$26,0))),INDEX('Категории и наценки'!$C$5:$C$26,MATCH(D161,'Категории и наценки'!$A$5:$A$26,0))),0))</f>
        <v/>
      </c>
      <c r="N161" s="16" t="str">
        <f t="shared" si="29"/>
        <v/>
      </c>
      <c r="O161" s="16" t="str">
        <f t="shared" si="30"/>
        <v/>
      </c>
      <c r="P161" s="13"/>
      <c r="Q161" s="12" t="str">
        <f t="shared" si="31"/>
        <v>—</v>
      </c>
    </row>
    <row r="162" spans="1:17" x14ac:dyDescent="0.25">
      <c r="A162" s="12">
        <v>105</v>
      </c>
      <c r="B162" s="8"/>
      <c r="C162" s="8"/>
      <c r="D162" s="8"/>
      <c r="E162" s="8"/>
      <c r="F162" s="13"/>
      <c r="G162" s="14" t="str">
        <f t="shared" si="26"/>
        <v/>
      </c>
      <c r="H162" s="13"/>
      <c r="I162" s="8"/>
      <c r="J162" s="15" t="str">
        <f>IF(D162="","",IFERROR(INDEX('Категории и наценки'!$B$5:$B$26,MATCH(D162,'Категории и наценки'!$A$5:$A$26,0)),0))</f>
        <v/>
      </c>
      <c r="K162" s="14" t="str">
        <f t="shared" si="27"/>
        <v/>
      </c>
      <c r="L162" s="14" t="str">
        <f t="shared" si="28"/>
        <v/>
      </c>
      <c r="M162" s="15" t="str">
        <f>IF(D162="","",IFERROR(IF($D$5="Под ключ",IF(AND(B162&lt;&gt;"",IFERROR(INDEX($H$13:$H$52,MATCH(B162,$B$13:$B$52,0)),0)&gt;0),INDEX('Категории и наценки'!$C$5:$C$26,MATCH(D162,'Категории и наценки'!$A$5:$A$26,0)),INDEX('Категории и наценки'!$D$5:$D$26,MATCH(D162,'Категории и наценки'!$A$5:$A$26,0))),INDEX('Категории и наценки'!$C$5:$C$26,MATCH(D162,'Категории и наценки'!$A$5:$A$26,0))),0))</f>
        <v/>
      </c>
      <c r="N162" s="16" t="str">
        <f t="shared" si="29"/>
        <v/>
      </c>
      <c r="O162" s="16" t="str">
        <f t="shared" si="30"/>
        <v/>
      </c>
      <c r="P162" s="13"/>
      <c r="Q162" s="12" t="str">
        <f t="shared" si="31"/>
        <v>—</v>
      </c>
    </row>
    <row r="163" spans="1:17" x14ac:dyDescent="0.25">
      <c r="A163" s="12">
        <v>106</v>
      </c>
      <c r="B163" s="8"/>
      <c r="C163" s="8"/>
      <c r="D163" s="8"/>
      <c r="E163" s="8"/>
      <c r="F163" s="13"/>
      <c r="G163" s="14" t="str">
        <f t="shared" si="26"/>
        <v/>
      </c>
      <c r="H163" s="13"/>
      <c r="I163" s="8"/>
      <c r="J163" s="15" t="str">
        <f>IF(D163="","",IFERROR(INDEX('Категории и наценки'!$B$5:$B$26,MATCH(D163,'Категории и наценки'!$A$5:$A$26,0)),0))</f>
        <v/>
      </c>
      <c r="K163" s="14" t="str">
        <f t="shared" si="27"/>
        <v/>
      </c>
      <c r="L163" s="14" t="str">
        <f t="shared" si="28"/>
        <v/>
      </c>
      <c r="M163" s="15" t="str">
        <f>IF(D163="","",IFERROR(IF($D$5="Под ключ",IF(AND(B163&lt;&gt;"",IFERROR(INDEX($H$13:$H$52,MATCH(B163,$B$13:$B$52,0)),0)&gt;0),INDEX('Категории и наценки'!$C$5:$C$26,MATCH(D163,'Категории и наценки'!$A$5:$A$26,0)),INDEX('Категории и наценки'!$D$5:$D$26,MATCH(D163,'Категории и наценки'!$A$5:$A$26,0))),INDEX('Категории и наценки'!$C$5:$C$26,MATCH(D163,'Категории и наценки'!$A$5:$A$26,0))),0))</f>
        <v/>
      </c>
      <c r="N163" s="16" t="str">
        <f t="shared" si="29"/>
        <v/>
      </c>
      <c r="O163" s="16" t="str">
        <f t="shared" si="30"/>
        <v/>
      </c>
      <c r="P163" s="13"/>
      <c r="Q163" s="12" t="str">
        <f t="shared" si="31"/>
        <v>—</v>
      </c>
    </row>
    <row r="164" spans="1:17" x14ac:dyDescent="0.25">
      <c r="A164" s="12">
        <v>107</v>
      </c>
      <c r="B164" s="8"/>
      <c r="C164" s="8"/>
      <c r="D164" s="8"/>
      <c r="E164" s="8"/>
      <c r="F164" s="13"/>
      <c r="G164" s="14" t="str">
        <f t="shared" si="26"/>
        <v/>
      </c>
      <c r="H164" s="13"/>
      <c r="I164" s="8"/>
      <c r="J164" s="15" t="str">
        <f>IF(D164="","",IFERROR(INDEX('Категории и наценки'!$B$5:$B$26,MATCH(D164,'Категории и наценки'!$A$5:$A$26,0)),0))</f>
        <v/>
      </c>
      <c r="K164" s="14" t="str">
        <f t="shared" si="27"/>
        <v/>
      </c>
      <c r="L164" s="14" t="str">
        <f t="shared" si="28"/>
        <v/>
      </c>
      <c r="M164" s="15" t="str">
        <f>IF(D164="","",IFERROR(IF($D$5="Под ключ",IF(AND(B164&lt;&gt;"",IFERROR(INDEX($H$13:$H$52,MATCH(B164,$B$13:$B$52,0)),0)&gt;0),INDEX('Категории и наценки'!$C$5:$C$26,MATCH(D164,'Категории и наценки'!$A$5:$A$26,0)),INDEX('Категории и наценки'!$D$5:$D$26,MATCH(D164,'Категории и наценки'!$A$5:$A$26,0))),INDEX('Категории и наценки'!$C$5:$C$26,MATCH(D164,'Категории и наценки'!$A$5:$A$26,0))),0))</f>
        <v/>
      </c>
      <c r="N164" s="16" t="str">
        <f t="shared" si="29"/>
        <v/>
      </c>
      <c r="O164" s="16" t="str">
        <f t="shared" si="30"/>
        <v/>
      </c>
      <c r="P164" s="13"/>
      <c r="Q164" s="12" t="str">
        <f t="shared" si="31"/>
        <v>—</v>
      </c>
    </row>
    <row r="165" spans="1:17" x14ac:dyDescent="0.25">
      <c r="A165" s="12">
        <v>108</v>
      </c>
      <c r="B165" s="8"/>
      <c r="C165" s="8"/>
      <c r="D165" s="8"/>
      <c r="E165" s="8"/>
      <c r="F165" s="13"/>
      <c r="G165" s="14" t="str">
        <f t="shared" si="26"/>
        <v/>
      </c>
      <c r="H165" s="13"/>
      <c r="I165" s="8"/>
      <c r="J165" s="15" t="str">
        <f>IF(D165="","",IFERROR(INDEX('Категории и наценки'!$B$5:$B$26,MATCH(D165,'Категории и наценки'!$A$5:$A$26,0)),0))</f>
        <v/>
      </c>
      <c r="K165" s="14" t="str">
        <f t="shared" si="27"/>
        <v/>
      </c>
      <c r="L165" s="14" t="str">
        <f t="shared" si="28"/>
        <v/>
      </c>
      <c r="M165" s="15" t="str">
        <f>IF(D165="","",IFERROR(IF($D$5="Под ключ",IF(AND(B165&lt;&gt;"",IFERROR(INDEX($H$13:$H$52,MATCH(B165,$B$13:$B$52,0)),0)&gt;0),INDEX('Категории и наценки'!$C$5:$C$26,MATCH(D165,'Категории и наценки'!$A$5:$A$26,0)),INDEX('Категории и наценки'!$D$5:$D$26,MATCH(D165,'Категории и наценки'!$A$5:$A$26,0))),INDEX('Категории и наценки'!$C$5:$C$26,MATCH(D165,'Категории и наценки'!$A$5:$A$26,0))),0))</f>
        <v/>
      </c>
      <c r="N165" s="16" t="str">
        <f t="shared" si="29"/>
        <v/>
      </c>
      <c r="O165" s="16" t="str">
        <f t="shared" si="30"/>
        <v/>
      </c>
      <c r="P165" s="13"/>
      <c r="Q165" s="12" t="str">
        <f t="shared" si="31"/>
        <v>—</v>
      </c>
    </row>
    <row r="166" spans="1:17" x14ac:dyDescent="0.25">
      <c r="A166" s="12">
        <v>109</v>
      </c>
      <c r="B166" s="8"/>
      <c r="C166" s="8"/>
      <c r="D166" s="8"/>
      <c r="E166" s="8"/>
      <c r="F166" s="13"/>
      <c r="G166" s="14" t="str">
        <f t="shared" si="26"/>
        <v/>
      </c>
      <c r="H166" s="13"/>
      <c r="I166" s="8"/>
      <c r="J166" s="15" t="str">
        <f>IF(D166="","",IFERROR(INDEX('Категории и наценки'!$B$5:$B$26,MATCH(D166,'Категории и наценки'!$A$5:$A$26,0)),0))</f>
        <v/>
      </c>
      <c r="K166" s="14" t="str">
        <f t="shared" si="27"/>
        <v/>
      </c>
      <c r="L166" s="14" t="str">
        <f t="shared" si="28"/>
        <v/>
      </c>
      <c r="M166" s="15" t="str">
        <f>IF(D166="","",IFERROR(IF($D$5="Под ключ",IF(AND(B166&lt;&gt;"",IFERROR(INDEX($H$13:$H$52,MATCH(B166,$B$13:$B$52,0)),0)&gt;0),INDEX('Категории и наценки'!$C$5:$C$26,MATCH(D166,'Категории и наценки'!$A$5:$A$26,0)),INDEX('Категории и наценки'!$D$5:$D$26,MATCH(D166,'Категории и наценки'!$A$5:$A$26,0))),INDEX('Категории и наценки'!$C$5:$C$26,MATCH(D166,'Категории и наценки'!$A$5:$A$26,0))),0))</f>
        <v/>
      </c>
      <c r="N166" s="16" t="str">
        <f t="shared" si="29"/>
        <v/>
      </c>
      <c r="O166" s="16" t="str">
        <f t="shared" si="30"/>
        <v/>
      </c>
      <c r="P166" s="13"/>
      <c r="Q166" s="12" t="str">
        <f t="shared" si="31"/>
        <v>—</v>
      </c>
    </row>
    <row r="167" spans="1:17" x14ac:dyDescent="0.25">
      <c r="A167" s="12">
        <v>110</v>
      </c>
      <c r="B167" s="8"/>
      <c r="C167" s="8"/>
      <c r="D167" s="8"/>
      <c r="E167" s="8"/>
      <c r="F167" s="13"/>
      <c r="G167" s="14" t="str">
        <f t="shared" si="26"/>
        <v/>
      </c>
      <c r="H167" s="13"/>
      <c r="I167" s="8"/>
      <c r="J167" s="15" t="str">
        <f>IF(D167="","",IFERROR(INDEX('Категории и наценки'!$B$5:$B$26,MATCH(D167,'Категории и наценки'!$A$5:$A$26,0)),0))</f>
        <v/>
      </c>
      <c r="K167" s="14" t="str">
        <f t="shared" si="27"/>
        <v/>
      </c>
      <c r="L167" s="14" t="str">
        <f t="shared" si="28"/>
        <v/>
      </c>
      <c r="M167" s="15" t="str">
        <f>IF(D167="","",IFERROR(IF($D$5="Под ключ",IF(AND(B167&lt;&gt;"",IFERROR(INDEX($H$13:$H$52,MATCH(B167,$B$13:$B$52,0)),0)&gt;0),INDEX('Категории и наценки'!$C$5:$C$26,MATCH(D167,'Категории и наценки'!$A$5:$A$26,0)),INDEX('Категории и наценки'!$D$5:$D$26,MATCH(D167,'Категории и наценки'!$A$5:$A$26,0))),INDEX('Категории и наценки'!$C$5:$C$26,MATCH(D167,'Категории и наценки'!$A$5:$A$26,0))),0))</f>
        <v/>
      </c>
      <c r="N167" s="16" t="str">
        <f t="shared" si="29"/>
        <v/>
      </c>
      <c r="O167" s="16" t="str">
        <f t="shared" si="30"/>
        <v/>
      </c>
      <c r="P167" s="13"/>
      <c r="Q167" s="12" t="str">
        <f t="shared" si="31"/>
        <v>—</v>
      </c>
    </row>
    <row r="168" spans="1:17" x14ac:dyDescent="0.25">
      <c r="A168" s="12">
        <v>111</v>
      </c>
      <c r="B168" s="8"/>
      <c r="C168" s="8"/>
      <c r="D168" s="8"/>
      <c r="E168" s="8"/>
      <c r="F168" s="13"/>
      <c r="G168" s="14" t="str">
        <f t="shared" si="26"/>
        <v/>
      </c>
      <c r="H168" s="13"/>
      <c r="I168" s="8"/>
      <c r="J168" s="15" t="str">
        <f>IF(D168="","",IFERROR(INDEX('Категории и наценки'!$B$5:$B$26,MATCH(D168,'Категории и наценки'!$A$5:$A$26,0)),0))</f>
        <v/>
      </c>
      <c r="K168" s="14" t="str">
        <f t="shared" si="27"/>
        <v/>
      </c>
      <c r="L168" s="14" t="str">
        <f t="shared" si="28"/>
        <v/>
      </c>
      <c r="M168" s="15" t="str">
        <f>IF(D168="","",IFERROR(IF($D$5="Под ключ",IF(AND(B168&lt;&gt;"",IFERROR(INDEX($H$13:$H$52,MATCH(B168,$B$13:$B$52,0)),0)&gt;0),INDEX('Категории и наценки'!$C$5:$C$26,MATCH(D168,'Категории и наценки'!$A$5:$A$26,0)),INDEX('Категории и наценки'!$D$5:$D$26,MATCH(D168,'Категории и наценки'!$A$5:$A$26,0))),INDEX('Категории и наценки'!$C$5:$C$26,MATCH(D168,'Категории и наценки'!$A$5:$A$26,0))),0))</f>
        <v/>
      </c>
      <c r="N168" s="16" t="str">
        <f t="shared" si="29"/>
        <v/>
      </c>
      <c r="O168" s="16" t="str">
        <f t="shared" si="30"/>
        <v/>
      </c>
      <c r="P168" s="13"/>
      <c r="Q168" s="12" t="str">
        <f t="shared" si="31"/>
        <v>—</v>
      </c>
    </row>
    <row r="169" spans="1:17" x14ac:dyDescent="0.25">
      <c r="A169" s="12">
        <v>112</v>
      </c>
      <c r="B169" s="8"/>
      <c r="C169" s="8"/>
      <c r="D169" s="8"/>
      <c r="E169" s="8"/>
      <c r="F169" s="13"/>
      <c r="G169" s="14" t="str">
        <f t="shared" si="26"/>
        <v/>
      </c>
      <c r="H169" s="13"/>
      <c r="I169" s="8"/>
      <c r="J169" s="15" t="str">
        <f>IF(D169="","",IFERROR(INDEX('Категории и наценки'!$B$5:$B$26,MATCH(D169,'Категории и наценки'!$A$5:$A$26,0)),0))</f>
        <v/>
      </c>
      <c r="K169" s="14" t="str">
        <f t="shared" si="27"/>
        <v/>
      </c>
      <c r="L169" s="14" t="str">
        <f t="shared" si="28"/>
        <v/>
      </c>
      <c r="M169" s="15" t="str">
        <f>IF(D169="","",IFERROR(IF($D$5="Под ключ",IF(AND(B169&lt;&gt;"",IFERROR(INDEX($H$13:$H$52,MATCH(B169,$B$13:$B$52,0)),0)&gt;0),INDEX('Категории и наценки'!$C$5:$C$26,MATCH(D169,'Категории и наценки'!$A$5:$A$26,0)),INDEX('Категории и наценки'!$D$5:$D$26,MATCH(D169,'Категории и наценки'!$A$5:$A$26,0))),INDEX('Категории и наценки'!$C$5:$C$26,MATCH(D169,'Категории и наценки'!$A$5:$A$26,0))),0))</f>
        <v/>
      </c>
      <c r="N169" s="16" t="str">
        <f t="shared" si="29"/>
        <v/>
      </c>
      <c r="O169" s="16" t="str">
        <f t="shared" si="30"/>
        <v/>
      </c>
      <c r="P169" s="13"/>
      <c r="Q169" s="12" t="str">
        <f t="shared" si="31"/>
        <v>—</v>
      </c>
    </row>
    <row r="170" spans="1:17" x14ac:dyDescent="0.25">
      <c r="A170" s="12">
        <v>113</v>
      </c>
      <c r="B170" s="8"/>
      <c r="C170" s="8"/>
      <c r="D170" s="8"/>
      <c r="E170" s="8"/>
      <c r="F170" s="13"/>
      <c r="G170" s="14" t="str">
        <f t="shared" si="26"/>
        <v/>
      </c>
      <c r="H170" s="13"/>
      <c r="I170" s="8"/>
      <c r="J170" s="15" t="str">
        <f>IF(D170="","",IFERROR(INDEX('Категории и наценки'!$B$5:$B$26,MATCH(D170,'Категории и наценки'!$A$5:$A$26,0)),0))</f>
        <v/>
      </c>
      <c r="K170" s="14" t="str">
        <f t="shared" si="27"/>
        <v/>
      </c>
      <c r="L170" s="14" t="str">
        <f t="shared" si="28"/>
        <v/>
      </c>
      <c r="M170" s="15" t="str">
        <f>IF(D170="","",IFERROR(IF($D$5="Под ключ",IF(AND(B170&lt;&gt;"",IFERROR(INDEX($H$13:$H$52,MATCH(B170,$B$13:$B$52,0)),0)&gt;0),INDEX('Категории и наценки'!$C$5:$C$26,MATCH(D170,'Категории и наценки'!$A$5:$A$26,0)),INDEX('Категории и наценки'!$D$5:$D$26,MATCH(D170,'Категории и наценки'!$A$5:$A$26,0))),INDEX('Категории и наценки'!$C$5:$C$26,MATCH(D170,'Категории и наценки'!$A$5:$A$26,0))),0))</f>
        <v/>
      </c>
      <c r="N170" s="16" t="str">
        <f t="shared" si="29"/>
        <v/>
      </c>
      <c r="O170" s="16" t="str">
        <f t="shared" si="30"/>
        <v/>
      </c>
      <c r="P170" s="13"/>
      <c r="Q170" s="12" t="str">
        <f t="shared" si="31"/>
        <v>—</v>
      </c>
    </row>
    <row r="171" spans="1:17" x14ac:dyDescent="0.25">
      <c r="A171" s="12">
        <v>114</v>
      </c>
      <c r="B171" s="8"/>
      <c r="C171" s="8"/>
      <c r="D171" s="8"/>
      <c r="E171" s="8"/>
      <c r="F171" s="13"/>
      <c r="G171" s="14" t="str">
        <f t="shared" si="26"/>
        <v/>
      </c>
      <c r="H171" s="13"/>
      <c r="I171" s="8"/>
      <c r="J171" s="15" t="str">
        <f>IF(D171="","",IFERROR(INDEX('Категории и наценки'!$B$5:$B$26,MATCH(D171,'Категории и наценки'!$A$5:$A$26,0)),0))</f>
        <v/>
      </c>
      <c r="K171" s="14" t="str">
        <f t="shared" si="27"/>
        <v/>
      </c>
      <c r="L171" s="14" t="str">
        <f t="shared" si="28"/>
        <v/>
      </c>
      <c r="M171" s="15" t="str">
        <f>IF(D171="","",IFERROR(IF($D$5="Под ключ",IF(AND(B171&lt;&gt;"",IFERROR(INDEX($H$13:$H$52,MATCH(B171,$B$13:$B$52,0)),0)&gt;0),INDEX('Категории и наценки'!$C$5:$C$26,MATCH(D171,'Категории и наценки'!$A$5:$A$26,0)),INDEX('Категории и наценки'!$D$5:$D$26,MATCH(D171,'Категории и наценки'!$A$5:$A$26,0))),INDEX('Категории и наценки'!$C$5:$C$26,MATCH(D171,'Категории и наценки'!$A$5:$A$26,0))),0))</f>
        <v/>
      </c>
      <c r="N171" s="16" t="str">
        <f t="shared" si="29"/>
        <v/>
      </c>
      <c r="O171" s="16" t="str">
        <f t="shared" si="30"/>
        <v/>
      </c>
      <c r="P171" s="13"/>
      <c r="Q171" s="12" t="str">
        <f t="shared" si="31"/>
        <v>—</v>
      </c>
    </row>
    <row r="172" spans="1:17" x14ac:dyDescent="0.25">
      <c r="A172" s="12">
        <v>115</v>
      </c>
      <c r="B172" s="8"/>
      <c r="C172" s="8"/>
      <c r="D172" s="8"/>
      <c r="E172" s="8"/>
      <c r="F172" s="13"/>
      <c r="G172" s="14" t="str">
        <f t="shared" si="26"/>
        <v/>
      </c>
      <c r="H172" s="13"/>
      <c r="I172" s="8"/>
      <c r="J172" s="15" t="str">
        <f>IF(D172="","",IFERROR(INDEX('Категории и наценки'!$B$5:$B$26,MATCH(D172,'Категории и наценки'!$A$5:$A$26,0)),0))</f>
        <v/>
      </c>
      <c r="K172" s="14" t="str">
        <f t="shared" si="27"/>
        <v/>
      </c>
      <c r="L172" s="14" t="str">
        <f t="shared" si="28"/>
        <v/>
      </c>
      <c r="M172" s="15" t="str">
        <f>IF(D172="","",IFERROR(IF($D$5="Под ключ",IF(AND(B172&lt;&gt;"",IFERROR(INDEX($H$13:$H$52,MATCH(B172,$B$13:$B$52,0)),0)&gt;0),INDEX('Категории и наценки'!$C$5:$C$26,MATCH(D172,'Категории и наценки'!$A$5:$A$26,0)),INDEX('Категории и наценки'!$D$5:$D$26,MATCH(D172,'Категории и наценки'!$A$5:$A$26,0))),INDEX('Категории и наценки'!$C$5:$C$26,MATCH(D172,'Категории и наценки'!$A$5:$A$26,0))),0))</f>
        <v/>
      </c>
      <c r="N172" s="16" t="str">
        <f t="shared" si="29"/>
        <v/>
      </c>
      <c r="O172" s="16" t="str">
        <f t="shared" si="30"/>
        <v/>
      </c>
      <c r="P172" s="13"/>
      <c r="Q172" s="12" t="str">
        <f t="shared" si="31"/>
        <v>—</v>
      </c>
    </row>
    <row r="173" spans="1:17" x14ac:dyDescent="0.25">
      <c r="A173" s="12">
        <v>116</v>
      </c>
      <c r="B173" s="8"/>
      <c r="C173" s="8"/>
      <c r="D173" s="8"/>
      <c r="E173" s="8"/>
      <c r="F173" s="13"/>
      <c r="G173" s="14" t="str">
        <f t="shared" si="26"/>
        <v/>
      </c>
      <c r="H173" s="13"/>
      <c r="I173" s="8"/>
      <c r="J173" s="15" t="str">
        <f>IF(D173="","",IFERROR(INDEX('Категории и наценки'!$B$5:$B$26,MATCH(D173,'Категории и наценки'!$A$5:$A$26,0)),0))</f>
        <v/>
      </c>
      <c r="K173" s="14" t="str">
        <f t="shared" si="27"/>
        <v/>
      </c>
      <c r="L173" s="14" t="str">
        <f t="shared" si="28"/>
        <v/>
      </c>
      <c r="M173" s="15" t="str">
        <f>IF(D173="","",IFERROR(IF($D$5="Под ключ",IF(AND(B173&lt;&gt;"",IFERROR(INDEX($H$13:$H$52,MATCH(B173,$B$13:$B$52,0)),0)&gt;0),INDEX('Категории и наценки'!$C$5:$C$26,MATCH(D173,'Категории и наценки'!$A$5:$A$26,0)),INDEX('Категории и наценки'!$D$5:$D$26,MATCH(D173,'Категории и наценки'!$A$5:$A$26,0))),INDEX('Категории и наценки'!$C$5:$C$26,MATCH(D173,'Категории и наценки'!$A$5:$A$26,0))),0))</f>
        <v/>
      </c>
      <c r="N173" s="16" t="str">
        <f t="shared" si="29"/>
        <v/>
      </c>
      <c r="O173" s="16" t="str">
        <f t="shared" si="30"/>
        <v/>
      </c>
      <c r="P173" s="13"/>
      <c r="Q173" s="12" t="str">
        <f t="shared" si="31"/>
        <v>—</v>
      </c>
    </row>
    <row r="174" spans="1:17" x14ac:dyDescent="0.25">
      <c r="A174" s="12">
        <v>117</v>
      </c>
      <c r="B174" s="8"/>
      <c r="C174" s="8"/>
      <c r="D174" s="8"/>
      <c r="E174" s="8"/>
      <c r="F174" s="13"/>
      <c r="G174" s="14" t="str">
        <f t="shared" si="26"/>
        <v/>
      </c>
      <c r="H174" s="13"/>
      <c r="I174" s="8"/>
      <c r="J174" s="15" t="str">
        <f>IF(D174="","",IFERROR(INDEX('Категории и наценки'!$B$5:$B$26,MATCH(D174,'Категории и наценки'!$A$5:$A$26,0)),0))</f>
        <v/>
      </c>
      <c r="K174" s="14" t="str">
        <f t="shared" si="27"/>
        <v/>
      </c>
      <c r="L174" s="14" t="str">
        <f t="shared" si="28"/>
        <v/>
      </c>
      <c r="M174" s="15" t="str">
        <f>IF(D174="","",IFERROR(IF($D$5="Под ключ",IF(AND(B174&lt;&gt;"",IFERROR(INDEX($H$13:$H$52,MATCH(B174,$B$13:$B$52,0)),0)&gt;0),INDEX('Категории и наценки'!$C$5:$C$26,MATCH(D174,'Категории и наценки'!$A$5:$A$26,0)),INDEX('Категории и наценки'!$D$5:$D$26,MATCH(D174,'Категории и наценки'!$A$5:$A$26,0))),INDEX('Категории и наценки'!$C$5:$C$26,MATCH(D174,'Категории и наценки'!$A$5:$A$26,0))),0))</f>
        <v/>
      </c>
      <c r="N174" s="16" t="str">
        <f t="shared" si="29"/>
        <v/>
      </c>
      <c r="O174" s="16" t="str">
        <f t="shared" si="30"/>
        <v/>
      </c>
      <c r="P174" s="13"/>
      <c r="Q174" s="12" t="str">
        <f t="shared" si="31"/>
        <v>—</v>
      </c>
    </row>
    <row r="175" spans="1:17" x14ac:dyDescent="0.25">
      <c r="A175" s="12">
        <v>118</v>
      </c>
      <c r="B175" s="8"/>
      <c r="C175" s="8"/>
      <c r="D175" s="8"/>
      <c r="E175" s="8"/>
      <c r="F175" s="13"/>
      <c r="G175" s="14" t="str">
        <f t="shared" si="26"/>
        <v/>
      </c>
      <c r="H175" s="13"/>
      <c r="I175" s="8"/>
      <c r="J175" s="15" t="str">
        <f>IF(D175="","",IFERROR(INDEX('Категории и наценки'!$B$5:$B$26,MATCH(D175,'Категории и наценки'!$A$5:$A$26,0)),0))</f>
        <v/>
      </c>
      <c r="K175" s="14" t="str">
        <f t="shared" si="27"/>
        <v/>
      </c>
      <c r="L175" s="14" t="str">
        <f t="shared" si="28"/>
        <v/>
      </c>
      <c r="M175" s="15" t="str">
        <f>IF(D175="","",IFERROR(IF($D$5="Под ключ",IF(AND(B175&lt;&gt;"",IFERROR(INDEX($H$13:$H$52,MATCH(B175,$B$13:$B$52,0)),0)&gt;0),INDEX('Категории и наценки'!$C$5:$C$26,MATCH(D175,'Категории и наценки'!$A$5:$A$26,0)),INDEX('Категории и наценки'!$D$5:$D$26,MATCH(D175,'Категории и наценки'!$A$5:$A$26,0))),INDEX('Категории и наценки'!$C$5:$C$26,MATCH(D175,'Категории и наценки'!$A$5:$A$26,0))),0))</f>
        <v/>
      </c>
      <c r="N175" s="16" t="str">
        <f t="shared" si="29"/>
        <v/>
      </c>
      <c r="O175" s="16" t="str">
        <f t="shared" si="30"/>
        <v/>
      </c>
      <c r="P175" s="13"/>
      <c r="Q175" s="12" t="str">
        <f t="shared" si="31"/>
        <v>—</v>
      </c>
    </row>
    <row r="176" spans="1:17" x14ac:dyDescent="0.25">
      <c r="A176" s="12">
        <v>119</v>
      </c>
      <c r="B176" s="8"/>
      <c r="C176" s="8"/>
      <c r="D176" s="8"/>
      <c r="E176" s="8"/>
      <c r="F176" s="13"/>
      <c r="G176" s="14" t="str">
        <f t="shared" si="26"/>
        <v/>
      </c>
      <c r="H176" s="13"/>
      <c r="I176" s="8"/>
      <c r="J176" s="15" t="str">
        <f>IF(D176="","",IFERROR(INDEX('Категории и наценки'!$B$5:$B$26,MATCH(D176,'Категории и наценки'!$A$5:$A$26,0)),0))</f>
        <v/>
      </c>
      <c r="K176" s="14" t="str">
        <f t="shared" si="27"/>
        <v/>
      </c>
      <c r="L176" s="14" t="str">
        <f t="shared" si="28"/>
        <v/>
      </c>
      <c r="M176" s="15" t="str">
        <f>IF(D176="","",IFERROR(IF($D$5="Под ключ",IF(AND(B176&lt;&gt;"",IFERROR(INDEX($H$13:$H$52,MATCH(B176,$B$13:$B$52,0)),0)&gt;0),INDEX('Категории и наценки'!$C$5:$C$26,MATCH(D176,'Категории и наценки'!$A$5:$A$26,0)),INDEX('Категории и наценки'!$D$5:$D$26,MATCH(D176,'Категории и наценки'!$A$5:$A$26,0))),INDEX('Категории и наценки'!$C$5:$C$26,MATCH(D176,'Категории и наценки'!$A$5:$A$26,0))),0))</f>
        <v/>
      </c>
      <c r="N176" s="16" t="str">
        <f t="shared" si="29"/>
        <v/>
      </c>
      <c r="O176" s="16" t="str">
        <f t="shared" si="30"/>
        <v/>
      </c>
      <c r="P176" s="13"/>
      <c r="Q176" s="12" t="str">
        <f t="shared" si="31"/>
        <v>—</v>
      </c>
    </row>
    <row r="177" spans="1:17" x14ac:dyDescent="0.25">
      <c r="A177" s="12">
        <v>120</v>
      </c>
      <c r="B177" s="8"/>
      <c r="C177" s="8"/>
      <c r="D177" s="8"/>
      <c r="E177" s="8"/>
      <c r="F177" s="13"/>
      <c r="G177" s="14" t="str">
        <f t="shared" si="26"/>
        <v/>
      </c>
      <c r="H177" s="13"/>
      <c r="I177" s="8"/>
      <c r="J177" s="15" t="str">
        <f>IF(D177="","",IFERROR(INDEX('Категории и наценки'!$B$5:$B$26,MATCH(D177,'Категории и наценки'!$A$5:$A$26,0)),0))</f>
        <v/>
      </c>
      <c r="K177" s="14" t="str">
        <f t="shared" si="27"/>
        <v/>
      </c>
      <c r="L177" s="14" t="str">
        <f t="shared" si="28"/>
        <v/>
      </c>
      <c r="M177" s="15" t="str">
        <f>IF(D177="","",IFERROR(IF($D$5="Под ключ",IF(AND(B177&lt;&gt;"",IFERROR(INDEX($H$13:$H$52,MATCH(B177,$B$13:$B$52,0)),0)&gt;0),INDEX('Категории и наценки'!$C$5:$C$26,MATCH(D177,'Категории и наценки'!$A$5:$A$26,0)),INDEX('Категории и наценки'!$D$5:$D$26,MATCH(D177,'Категории и наценки'!$A$5:$A$26,0))),INDEX('Категории и наценки'!$C$5:$C$26,MATCH(D177,'Категории и наценки'!$A$5:$A$26,0))),0))</f>
        <v/>
      </c>
      <c r="N177" s="16" t="str">
        <f t="shared" si="29"/>
        <v/>
      </c>
      <c r="O177" s="16" t="str">
        <f t="shared" si="30"/>
        <v/>
      </c>
      <c r="P177" s="13"/>
      <c r="Q177" s="12" t="str">
        <f t="shared" si="31"/>
        <v>—</v>
      </c>
    </row>
    <row r="178" spans="1:17" x14ac:dyDescent="0.25">
      <c r="C178" s="7" t="s">
        <v>114</v>
      </c>
      <c r="L178" s="17">
        <f>SUM(L58:L177)</f>
        <v>1189067.8799999999</v>
      </c>
      <c r="M178" s="20">
        <f>IF(L178=0,"",O178/L178-1)</f>
        <v>0.10908029068954428</v>
      </c>
      <c r="O178" s="17">
        <f>SUM(O58:O177)</f>
        <v>1318771.75</v>
      </c>
      <c r="Q178" t="str">
        <f>COUNTIF(Q58:Q177,"ВЫШЕ РОЗНИЦЫ")&amp;" поз. выше розницы"</f>
        <v>0 поз. выше розницы</v>
      </c>
    </row>
    <row r="179" spans="1:17" x14ac:dyDescent="0.25">
      <c r="C179" s="18" t="s">
        <v>115</v>
      </c>
    </row>
    <row r="181" spans="1:17" ht="15.75" x14ac:dyDescent="0.25">
      <c r="A181" s="10" t="s">
        <v>116</v>
      </c>
    </row>
    <row r="182" spans="1:17" x14ac:dyDescent="0.25">
      <c r="A182" s="38" t="s">
        <v>117</v>
      </c>
      <c r="B182" s="39"/>
      <c r="C182" s="39"/>
      <c r="D182" s="40">
        <f>L178</f>
        <v>1189067.8799999999</v>
      </c>
      <c r="E182" s="41"/>
      <c r="F182" s="41"/>
      <c r="G182" s="42"/>
    </row>
    <row r="183" spans="1:17" x14ac:dyDescent="0.25">
      <c r="A183" s="38" t="s">
        <v>118</v>
      </c>
      <c r="B183" s="39"/>
      <c r="C183" s="39"/>
      <c r="D183" s="40">
        <f>K53</f>
        <v>412000</v>
      </c>
      <c r="E183" s="41"/>
      <c r="F183" s="41"/>
      <c r="G183" s="42"/>
    </row>
    <row r="184" spans="1:17" ht="30" customHeight="1" x14ac:dyDescent="0.25">
      <c r="A184" s="38" t="s">
        <v>119</v>
      </c>
      <c r="B184" s="39"/>
      <c r="C184" s="39"/>
      <c r="D184" s="40">
        <f>M53</f>
        <v>8240</v>
      </c>
      <c r="E184" s="41"/>
      <c r="F184" s="41"/>
      <c r="G184" s="42"/>
    </row>
    <row r="185" spans="1:17" ht="30" customHeight="1" x14ac:dyDescent="0.25">
      <c r="A185" s="38" t="s">
        <v>120</v>
      </c>
      <c r="B185" s="39"/>
      <c r="C185" s="39"/>
      <c r="D185" s="49"/>
      <c r="E185" s="41"/>
      <c r="F185" s="41"/>
      <c r="G185" s="42"/>
    </row>
    <row r="186" spans="1:17" x14ac:dyDescent="0.25">
      <c r="A186" s="43" t="s">
        <v>121</v>
      </c>
      <c r="B186" s="39"/>
      <c r="C186" s="39"/>
      <c r="D186" s="46">
        <f>SUM(D182:D185)</f>
        <v>1609307.88</v>
      </c>
      <c r="E186" s="41"/>
      <c r="F186" s="41"/>
      <c r="G186" s="42"/>
    </row>
    <row r="187" spans="1:17" x14ac:dyDescent="0.25">
      <c r="A187" s="38" t="s">
        <v>122</v>
      </c>
      <c r="B187" s="39"/>
      <c r="C187" s="39"/>
      <c r="D187" s="40">
        <f>O178</f>
        <v>1318771.75</v>
      </c>
      <c r="E187" s="41"/>
      <c r="F187" s="41"/>
      <c r="G187" s="42"/>
    </row>
    <row r="188" spans="1:17" x14ac:dyDescent="0.25">
      <c r="A188" s="38" t="s">
        <v>123</v>
      </c>
      <c r="B188" s="39"/>
      <c r="C188" s="39"/>
      <c r="D188" s="40">
        <f>I53</f>
        <v>714000</v>
      </c>
      <c r="E188" s="41"/>
      <c r="F188" s="41"/>
      <c r="G188" s="42"/>
    </row>
    <row r="189" spans="1:17" ht="30" customHeight="1" x14ac:dyDescent="0.25">
      <c r="A189" s="38" t="s">
        <v>124</v>
      </c>
      <c r="B189" s="39"/>
      <c r="C189" s="39"/>
      <c r="D189" s="49"/>
      <c r="E189" s="41"/>
      <c r="F189" s="41"/>
      <c r="G189" s="42"/>
    </row>
    <row r="190" spans="1:17" x14ac:dyDescent="0.25">
      <c r="A190" s="43" t="s">
        <v>125</v>
      </c>
      <c r="B190" s="39"/>
      <c r="C190" s="39"/>
      <c r="D190" s="46">
        <f>SUM(D187:D189)</f>
        <v>2032771.75</v>
      </c>
      <c r="E190" s="41"/>
      <c r="F190" s="41"/>
      <c r="G190" s="42"/>
    </row>
    <row r="191" spans="1:17" x14ac:dyDescent="0.25">
      <c r="A191" s="38" t="s">
        <v>126</v>
      </c>
      <c r="B191" s="39"/>
      <c r="C191" s="39"/>
      <c r="D191" s="40">
        <f>ROUND(D190*0.22,2)</f>
        <v>447209.79</v>
      </c>
      <c r="E191" s="41"/>
      <c r="F191" s="41"/>
      <c r="G191" s="42"/>
    </row>
    <row r="192" spans="1:17" x14ac:dyDescent="0.25">
      <c r="A192" s="43" t="s">
        <v>127</v>
      </c>
      <c r="B192" s="39"/>
      <c r="C192" s="39"/>
      <c r="D192" s="46">
        <f>D190+D191</f>
        <v>2479981.54</v>
      </c>
      <c r="E192" s="41"/>
      <c r="F192" s="41"/>
      <c r="G192" s="42"/>
    </row>
    <row r="193" spans="1:7" x14ac:dyDescent="0.25">
      <c r="A193" s="43" t="s">
        <v>128</v>
      </c>
      <c r="B193" s="39"/>
      <c r="C193" s="39"/>
      <c r="D193" s="45">
        <f>IF(D186=0,"",D190/D186-1)</f>
        <v>0.26313415553523556</v>
      </c>
      <c r="E193" s="41"/>
      <c r="F193" s="41"/>
      <c r="G193" s="42"/>
    </row>
    <row r="194" spans="1:7" x14ac:dyDescent="0.25">
      <c r="A194" s="43" t="s">
        <v>129</v>
      </c>
      <c r="B194" s="39"/>
      <c r="C194" s="39"/>
      <c r="D194" s="45">
        <f>IF(D190=0,"",1-D186/D190)</f>
        <v>0.20831845483881806</v>
      </c>
      <c r="E194" s="41"/>
      <c r="F194" s="41"/>
      <c r="G194" s="42"/>
    </row>
    <row r="195" spans="1:7" x14ac:dyDescent="0.25">
      <c r="A195" s="43" t="s">
        <v>130</v>
      </c>
      <c r="B195" s="39"/>
      <c r="C195" s="39"/>
      <c r="D195" s="48" t="str">
        <f>IF(D193="","",IF(D193&lt;'Тип тендера'!$B$11,"НИЖЕ МИНИМУМА — нужно согласование ГД",IF(D193&lt;$M$6,"ниже целевого диапазона",IF(D193&gt;$M$7,"выше целевого — риск не пройти","в диапазоне"))))</f>
        <v>ниже целевого диапазона</v>
      </c>
      <c r="E195" s="41"/>
      <c r="F195" s="41"/>
      <c r="G195" s="42"/>
    </row>
  </sheetData>
  <mergeCells count="48">
    <mergeCell ref="D195:G195"/>
    <mergeCell ref="D189:G189"/>
    <mergeCell ref="A186:C186"/>
    <mergeCell ref="D194:G194"/>
    <mergeCell ref="A182:C182"/>
    <mergeCell ref="D185:G185"/>
    <mergeCell ref="A191:C191"/>
    <mergeCell ref="A187:C187"/>
    <mergeCell ref="A4:C4"/>
    <mergeCell ref="J3:L3"/>
    <mergeCell ref="D190:G190"/>
    <mergeCell ref="A190:C190"/>
    <mergeCell ref="D186:G186"/>
    <mergeCell ref="D6:G6"/>
    <mergeCell ref="D183:G183"/>
    <mergeCell ref="A9:C9"/>
    <mergeCell ref="J8:L8"/>
    <mergeCell ref="J5:L5"/>
    <mergeCell ref="A6:C6"/>
    <mergeCell ref="D7:G7"/>
    <mergeCell ref="A7:C7"/>
    <mergeCell ref="D4:G4"/>
    <mergeCell ref="D182:G182"/>
    <mergeCell ref="A8:C8"/>
    <mergeCell ref="D191:G191"/>
    <mergeCell ref="D187:G187"/>
    <mergeCell ref="A184:C184"/>
    <mergeCell ref="A195:C195"/>
    <mergeCell ref="A185:C185"/>
    <mergeCell ref="A5:C5"/>
    <mergeCell ref="A188:C188"/>
    <mergeCell ref="A194:C194"/>
    <mergeCell ref="A183:C183"/>
    <mergeCell ref="J6:L6"/>
    <mergeCell ref="D184:G184"/>
    <mergeCell ref="A193:C193"/>
    <mergeCell ref="D3:G3"/>
    <mergeCell ref="D9:G9"/>
    <mergeCell ref="D193:G193"/>
    <mergeCell ref="D8:G8"/>
    <mergeCell ref="D192:G192"/>
    <mergeCell ref="A189:C189"/>
    <mergeCell ref="A3:C3"/>
    <mergeCell ref="J4:L4"/>
    <mergeCell ref="A192:C192"/>
    <mergeCell ref="D188:G188"/>
    <mergeCell ref="D5:G5"/>
    <mergeCell ref="J7:L7"/>
  </mergeCells>
  <conditionalFormatting sqref="H13:H52">
    <cfRule type="expression" dxfId="10" priority="1" stopIfTrue="1">
      <formula>AND(ISNUMBER(H13),H13&gt;0.3)</formula>
    </cfRule>
    <cfRule type="expression" dxfId="9" priority="2" stopIfTrue="1">
      <formula>AND(ISNUMBER(H13),H13&gt;0.1)</formula>
    </cfRule>
    <cfRule type="expression" dxfId="8" priority="3" stopIfTrue="1">
      <formula>AND(ISNUMBER(H13),H13&gt;0.00001)</formula>
    </cfRule>
  </conditionalFormatting>
  <conditionalFormatting sqref="C13:C52">
    <cfRule type="expression" dxfId="7" priority="4">
      <formula>C13="НЕТ ТАКОГО АРТИКУЛА"</formula>
    </cfRule>
  </conditionalFormatting>
  <conditionalFormatting sqref="R13:R52">
    <cfRule type="expression" dxfId="6" priority="5">
      <formula>AND(ISNUMBER(R13),R13&lt;0.2)</formula>
    </cfRule>
  </conditionalFormatting>
  <conditionalFormatting sqref="Q58:Q177">
    <cfRule type="expression" dxfId="5" priority="6">
      <formula>Q58="ВЫШЕ РОЗНИЦЫ"</formula>
    </cfRule>
    <cfRule type="expression" dxfId="4" priority="7">
      <formula>Q58="ок"</formula>
    </cfRule>
  </conditionalFormatting>
  <conditionalFormatting sqref="G58:G177">
    <cfRule type="expression" dxfId="3" priority="8">
      <formula>G58="нет работы"</formula>
    </cfRule>
  </conditionalFormatting>
  <conditionalFormatting sqref="D195">
    <cfRule type="expression" dxfId="2" priority="9">
      <formula>D195="в диапазоне"</formula>
    </cfRule>
    <cfRule type="expression" dxfId="1" priority="10">
      <formula>LEFT(D195,4)="НИЖЕ"</formula>
    </cfRule>
    <cfRule type="expression" dxfId="0" priority="11">
      <formula>OR(LEFT(D195,4)="ниже",LEFT(D195,5)="выше ")</formula>
    </cfRule>
  </conditionalFormatting>
  <dataValidations count="3">
    <dataValidation type="list" sqref="D5">
      <formula1>"Раздельная,Под ключ"</formula1>
    </dataValidation>
    <dataValidation type="list" sqref="D8">
      <formula1>"да,нет"</formula1>
    </dataValidation>
    <dataValidation type="list" allowBlank="1" sqref="B58:B177">
      <formula1>$B$13:$B$52</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x14:formula1>
            <xm:f>Параметры!$E$4:$E$8</xm:f>
          </x14:formula1>
          <xm:sqref>D4</xm:sqref>
        </x14:dataValidation>
        <x14:dataValidation type="list">
          <x14:formula1>
            <xm:f>'Тип тендера'!$A$5:$A$9</xm:f>
          </x14:formula1>
          <xm:sqref>D6</xm:sqref>
        </x14:dataValidation>
        <x14:dataValidation type="list" allowBlank="1">
          <x14:formula1>
            <xm:f>'Категории и наценки'!$A$5:$A$26</xm:f>
          </x14:formula1>
          <xm:sqref>D58:D177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0"/>
  <sheetViews>
    <sheetView workbookViewId="0">
      <pane xSplit="1" ySplit="4" topLeftCell="B5" activePane="bottomRight" state="frozen"/>
      <selection pane="topRight"/>
      <selection pane="bottomLeft"/>
      <selection pane="bottomRight"/>
    </sheetView>
  </sheetViews>
  <sheetFormatPr defaultRowHeight="15" x14ac:dyDescent="0.25"/>
  <cols>
    <col min="1" max="1" width="9" customWidth="1"/>
    <col min="2" max="2" width="48" customWidth="1"/>
    <col min="3" max="3" width="8" customWidth="1"/>
    <col min="4" max="4" width="42" customWidth="1"/>
    <col min="5" max="5" width="34" customWidth="1"/>
    <col min="6" max="6" width="9" customWidth="1"/>
    <col min="7" max="7" width="10" customWidth="1"/>
    <col min="8" max="8" width="46" customWidth="1"/>
  </cols>
  <sheetData>
    <row r="1" spans="1:8" ht="18.75" x14ac:dyDescent="0.3">
      <c r="A1" s="6" t="s">
        <v>131</v>
      </c>
    </row>
    <row r="2" spans="1:8" ht="60" customHeight="1" x14ac:dyDescent="0.25">
      <c r="A2" s="50" t="s">
        <v>132</v>
      </c>
      <c r="B2" s="39"/>
      <c r="C2" s="39"/>
      <c r="D2" s="39"/>
      <c r="E2" s="39"/>
      <c r="F2" s="39"/>
      <c r="G2" s="39"/>
      <c r="H2" s="39"/>
    </row>
    <row r="4" spans="1:8" ht="39.950000000000003" customHeight="1" x14ac:dyDescent="0.25">
      <c r="A4" s="11" t="s">
        <v>133</v>
      </c>
      <c r="B4" s="11" t="s">
        <v>134</v>
      </c>
      <c r="C4" s="11" t="s">
        <v>135</v>
      </c>
      <c r="D4" s="11" t="s">
        <v>73</v>
      </c>
      <c r="E4" s="11" t="s">
        <v>136</v>
      </c>
      <c r="F4" s="11" t="s">
        <v>137</v>
      </c>
      <c r="G4" s="11" t="s">
        <v>138</v>
      </c>
      <c r="H4" s="11" t="s">
        <v>139</v>
      </c>
    </row>
    <row r="5" spans="1:8" x14ac:dyDescent="0.25">
      <c r="A5" s="21" t="s">
        <v>67</v>
      </c>
      <c r="B5" s="21" t="s">
        <v>140</v>
      </c>
      <c r="C5" s="22" t="s">
        <v>89</v>
      </c>
      <c r="D5" s="22" t="s">
        <v>141</v>
      </c>
      <c r="E5" s="22" t="s">
        <v>88</v>
      </c>
      <c r="F5" s="22" t="s">
        <v>89</v>
      </c>
      <c r="G5" s="23">
        <v>1</v>
      </c>
      <c r="H5" s="22" t="s">
        <v>142</v>
      </c>
    </row>
    <row r="6" spans="1:8" ht="30" x14ac:dyDescent="0.25">
      <c r="A6" s="24" t="s">
        <v>67</v>
      </c>
      <c r="B6" s="24"/>
      <c r="C6" s="24"/>
      <c r="D6" s="24" t="s">
        <v>143</v>
      </c>
      <c r="E6" s="24" t="s">
        <v>92</v>
      </c>
      <c r="F6" s="24" t="s">
        <v>93</v>
      </c>
      <c r="G6" s="25">
        <v>5.5</v>
      </c>
      <c r="H6" s="24" t="s">
        <v>144</v>
      </c>
    </row>
    <row r="7" spans="1:8" ht="30" x14ac:dyDescent="0.25">
      <c r="A7" s="24" t="s">
        <v>67</v>
      </c>
      <c r="B7" s="24"/>
      <c r="C7" s="24"/>
      <c r="D7" s="24" t="s">
        <v>95</v>
      </c>
      <c r="E7" s="24" t="s">
        <v>92</v>
      </c>
      <c r="F7" s="24" t="s">
        <v>93</v>
      </c>
      <c r="G7" s="25">
        <v>0.4</v>
      </c>
      <c r="H7" s="24" t="s">
        <v>145</v>
      </c>
    </row>
    <row r="8" spans="1:8" x14ac:dyDescent="0.25">
      <c r="A8" s="24" t="s">
        <v>67</v>
      </c>
      <c r="B8" s="24"/>
      <c r="C8" s="24"/>
      <c r="D8" s="24" t="s">
        <v>96</v>
      </c>
      <c r="E8" s="24" t="s">
        <v>97</v>
      </c>
      <c r="F8" s="24" t="s">
        <v>98</v>
      </c>
      <c r="G8" s="25">
        <v>0.15</v>
      </c>
      <c r="H8" s="24"/>
    </row>
    <row r="9" spans="1:8" x14ac:dyDescent="0.25">
      <c r="A9" s="24" t="s">
        <v>67</v>
      </c>
      <c r="B9" s="24"/>
      <c r="C9" s="24"/>
      <c r="D9" s="24" t="s">
        <v>146</v>
      </c>
      <c r="E9" s="24" t="s">
        <v>100</v>
      </c>
      <c r="F9" s="24" t="s">
        <v>101</v>
      </c>
      <c r="G9" s="25">
        <v>8</v>
      </c>
      <c r="H9" s="24" t="s">
        <v>147</v>
      </c>
    </row>
    <row r="10" spans="1:8" x14ac:dyDescent="0.25">
      <c r="A10" s="26" t="s">
        <v>67</v>
      </c>
      <c r="B10" s="26"/>
      <c r="C10" s="26"/>
      <c r="D10" s="26" t="s">
        <v>148</v>
      </c>
      <c r="E10" s="26" t="s">
        <v>100</v>
      </c>
      <c r="F10" s="26" t="s">
        <v>105</v>
      </c>
      <c r="G10" s="27">
        <v>0.4</v>
      </c>
      <c r="H10" s="26" t="s">
        <v>149</v>
      </c>
    </row>
    <row r="11" spans="1:8" x14ac:dyDescent="0.25">
      <c r="A11" s="21" t="s">
        <v>150</v>
      </c>
      <c r="B11" s="21" t="s">
        <v>151</v>
      </c>
      <c r="C11" s="22" t="s">
        <v>89</v>
      </c>
      <c r="D11" s="22" t="s">
        <v>152</v>
      </c>
      <c r="E11" s="22" t="s">
        <v>88</v>
      </c>
      <c r="F11" s="22" t="s">
        <v>89</v>
      </c>
      <c r="G11" s="23">
        <v>1</v>
      </c>
      <c r="H11" s="22"/>
    </row>
    <row r="12" spans="1:8" ht="30" x14ac:dyDescent="0.25">
      <c r="A12" s="24" t="s">
        <v>150</v>
      </c>
      <c r="B12" s="24"/>
      <c r="C12" s="24"/>
      <c r="D12" s="24" t="s">
        <v>153</v>
      </c>
      <c r="E12" s="24" t="s">
        <v>92</v>
      </c>
      <c r="F12" s="24" t="s">
        <v>93</v>
      </c>
      <c r="G12" s="25">
        <v>4</v>
      </c>
      <c r="H12" s="24" t="s">
        <v>154</v>
      </c>
    </row>
    <row r="13" spans="1:8" ht="30" x14ac:dyDescent="0.25">
      <c r="A13" s="24" t="s">
        <v>150</v>
      </c>
      <c r="B13" s="24"/>
      <c r="C13" s="24"/>
      <c r="D13" s="24" t="s">
        <v>95</v>
      </c>
      <c r="E13" s="24" t="s">
        <v>92</v>
      </c>
      <c r="F13" s="24" t="s">
        <v>93</v>
      </c>
      <c r="G13" s="25">
        <v>0.3</v>
      </c>
      <c r="H13" s="24"/>
    </row>
    <row r="14" spans="1:8" x14ac:dyDescent="0.25">
      <c r="A14" s="24" t="s">
        <v>150</v>
      </c>
      <c r="B14" s="24"/>
      <c r="C14" s="24"/>
      <c r="D14" s="24" t="s">
        <v>96</v>
      </c>
      <c r="E14" s="24" t="s">
        <v>97</v>
      </c>
      <c r="F14" s="24" t="s">
        <v>98</v>
      </c>
      <c r="G14" s="25">
        <v>0.15</v>
      </c>
      <c r="H14" s="24"/>
    </row>
    <row r="15" spans="1:8" x14ac:dyDescent="0.25">
      <c r="A15" s="24" t="s">
        <v>150</v>
      </c>
      <c r="B15" s="24"/>
      <c r="C15" s="24"/>
      <c r="D15" s="24" t="s">
        <v>155</v>
      </c>
      <c r="E15" s="24" t="s">
        <v>100</v>
      </c>
      <c r="F15" s="24" t="s">
        <v>101</v>
      </c>
      <c r="G15" s="25">
        <v>10</v>
      </c>
      <c r="H15" s="24"/>
    </row>
    <row r="16" spans="1:8" x14ac:dyDescent="0.25">
      <c r="A16" s="26" t="s">
        <v>150</v>
      </c>
      <c r="B16" s="26"/>
      <c r="C16" s="26"/>
      <c r="D16" s="26" t="s">
        <v>156</v>
      </c>
      <c r="E16" s="26" t="s">
        <v>100</v>
      </c>
      <c r="F16" s="26" t="s">
        <v>105</v>
      </c>
      <c r="G16" s="27">
        <v>0.3</v>
      </c>
      <c r="H16" s="26" t="s">
        <v>157</v>
      </c>
    </row>
    <row r="17" spans="1:8" ht="30" x14ac:dyDescent="0.25">
      <c r="A17" s="21" t="s">
        <v>158</v>
      </c>
      <c r="B17" s="21" t="s">
        <v>159</v>
      </c>
      <c r="C17" s="22" t="s">
        <v>89</v>
      </c>
      <c r="D17" s="22" t="s">
        <v>160</v>
      </c>
      <c r="E17" s="22" t="s">
        <v>161</v>
      </c>
      <c r="F17" s="22" t="s">
        <v>89</v>
      </c>
      <c r="G17" s="23">
        <v>2</v>
      </c>
      <c r="H17" s="22" t="s">
        <v>162</v>
      </c>
    </row>
    <row r="18" spans="1:8" x14ac:dyDescent="0.25">
      <c r="A18" s="24" t="s">
        <v>158</v>
      </c>
      <c r="B18" s="24"/>
      <c r="C18" s="24"/>
      <c r="D18" s="24" t="s">
        <v>163</v>
      </c>
      <c r="E18" s="24" t="s">
        <v>161</v>
      </c>
      <c r="F18" s="24" t="s">
        <v>105</v>
      </c>
      <c r="G18" s="25">
        <v>2</v>
      </c>
      <c r="H18" s="24"/>
    </row>
    <row r="19" spans="1:8" x14ac:dyDescent="0.25">
      <c r="A19" s="24" t="s">
        <v>158</v>
      </c>
      <c r="B19" s="24"/>
      <c r="C19" s="24"/>
      <c r="D19" s="24" t="s">
        <v>164</v>
      </c>
      <c r="E19" s="24" t="s">
        <v>161</v>
      </c>
      <c r="F19" s="24" t="s">
        <v>105</v>
      </c>
      <c r="G19" s="25">
        <v>0.7</v>
      </c>
      <c r="H19" s="24"/>
    </row>
    <row r="20" spans="1:8" x14ac:dyDescent="0.25">
      <c r="A20" s="24" t="s">
        <v>158</v>
      </c>
      <c r="B20" s="24"/>
      <c r="C20" s="24"/>
      <c r="D20" s="24" t="s">
        <v>165</v>
      </c>
      <c r="E20" s="24" t="s">
        <v>161</v>
      </c>
      <c r="F20" s="24" t="s">
        <v>101</v>
      </c>
      <c r="G20" s="25">
        <v>29</v>
      </c>
      <c r="H20" s="24"/>
    </row>
    <row r="21" spans="1:8" x14ac:dyDescent="0.25">
      <c r="A21" s="24" t="s">
        <v>158</v>
      </c>
      <c r="B21" s="24"/>
      <c r="C21" s="24"/>
      <c r="D21" s="24" t="s">
        <v>166</v>
      </c>
      <c r="E21" s="24" t="s">
        <v>161</v>
      </c>
      <c r="F21" s="24" t="s">
        <v>101</v>
      </c>
      <c r="G21" s="25">
        <v>1.6</v>
      </c>
      <c r="H21" s="24"/>
    </row>
    <row r="22" spans="1:8" x14ac:dyDescent="0.25">
      <c r="A22" s="24" t="s">
        <v>158</v>
      </c>
      <c r="B22" s="24"/>
      <c r="C22" s="24"/>
      <c r="D22" s="24" t="s">
        <v>167</v>
      </c>
      <c r="E22" s="24" t="s">
        <v>161</v>
      </c>
      <c r="F22" s="24" t="s">
        <v>105</v>
      </c>
      <c r="G22" s="25">
        <v>1.2</v>
      </c>
      <c r="H22" s="24"/>
    </row>
    <row r="23" spans="1:8" ht="30" x14ac:dyDescent="0.25">
      <c r="A23" s="24" t="s">
        <v>158</v>
      </c>
      <c r="B23" s="24"/>
      <c r="C23" s="24"/>
      <c r="D23" s="24" t="s">
        <v>168</v>
      </c>
      <c r="E23" s="24" t="s">
        <v>92</v>
      </c>
      <c r="F23" s="24" t="s">
        <v>93</v>
      </c>
      <c r="G23" s="25">
        <v>0.6</v>
      </c>
      <c r="H23" s="24"/>
    </row>
    <row r="24" spans="1:8" x14ac:dyDescent="0.25">
      <c r="A24" s="24" t="s">
        <v>158</v>
      </c>
      <c r="B24" s="24"/>
      <c r="C24" s="24"/>
      <c r="D24" s="24" t="s">
        <v>169</v>
      </c>
      <c r="E24" s="24" t="s">
        <v>161</v>
      </c>
      <c r="F24" s="24" t="s">
        <v>105</v>
      </c>
      <c r="G24" s="25">
        <v>1.5</v>
      </c>
      <c r="H24" s="24"/>
    </row>
    <row r="25" spans="1:8" x14ac:dyDescent="0.25">
      <c r="A25" s="26" t="s">
        <v>158</v>
      </c>
      <c r="B25" s="26"/>
      <c r="C25" s="26"/>
      <c r="D25" s="26" t="s">
        <v>170</v>
      </c>
      <c r="E25" s="26" t="s">
        <v>97</v>
      </c>
      <c r="F25" s="26" t="s">
        <v>98</v>
      </c>
      <c r="G25" s="27">
        <v>0.2</v>
      </c>
      <c r="H25" s="26"/>
    </row>
    <row r="26" spans="1:8" x14ac:dyDescent="0.25">
      <c r="A26" s="21" t="s">
        <v>171</v>
      </c>
      <c r="B26" s="21" t="s">
        <v>172</v>
      </c>
      <c r="C26" s="22" t="s">
        <v>89</v>
      </c>
      <c r="D26" s="22" t="s">
        <v>160</v>
      </c>
      <c r="E26" s="22" t="s">
        <v>161</v>
      </c>
      <c r="F26" s="22" t="s">
        <v>89</v>
      </c>
      <c r="G26" s="23">
        <v>1</v>
      </c>
      <c r="H26" s="22" t="s">
        <v>173</v>
      </c>
    </row>
    <row r="27" spans="1:8" x14ac:dyDescent="0.25">
      <c r="A27" s="24" t="s">
        <v>171</v>
      </c>
      <c r="B27" s="24"/>
      <c r="C27" s="24"/>
      <c r="D27" s="24" t="s">
        <v>174</v>
      </c>
      <c r="E27" s="24" t="s">
        <v>161</v>
      </c>
      <c r="F27" s="24" t="s">
        <v>105</v>
      </c>
      <c r="G27" s="25">
        <v>3.2</v>
      </c>
      <c r="H27" s="24"/>
    </row>
    <row r="28" spans="1:8" x14ac:dyDescent="0.25">
      <c r="A28" s="24" t="s">
        <v>171</v>
      </c>
      <c r="B28" s="24"/>
      <c r="C28" s="24"/>
      <c r="D28" s="24" t="s">
        <v>175</v>
      </c>
      <c r="E28" s="24" t="s">
        <v>161</v>
      </c>
      <c r="F28" s="24" t="s">
        <v>105</v>
      </c>
      <c r="G28" s="25">
        <v>0.4</v>
      </c>
      <c r="H28" s="24" t="s">
        <v>176</v>
      </c>
    </row>
    <row r="29" spans="1:8" x14ac:dyDescent="0.25">
      <c r="A29" s="24" t="s">
        <v>171</v>
      </c>
      <c r="B29" s="24"/>
      <c r="C29" s="24"/>
      <c r="D29" s="24" t="s">
        <v>177</v>
      </c>
      <c r="E29" s="24" t="s">
        <v>161</v>
      </c>
      <c r="F29" s="24" t="s">
        <v>101</v>
      </c>
      <c r="G29" s="25">
        <v>0.7</v>
      </c>
      <c r="H29" s="24"/>
    </row>
    <row r="30" spans="1:8" x14ac:dyDescent="0.25">
      <c r="A30" s="24" t="s">
        <v>171</v>
      </c>
      <c r="B30" s="24"/>
      <c r="C30" s="24"/>
      <c r="D30" s="24" t="s">
        <v>178</v>
      </c>
      <c r="E30" s="24" t="s">
        <v>161</v>
      </c>
      <c r="F30" s="24" t="s">
        <v>101</v>
      </c>
      <c r="G30" s="25">
        <v>1.7</v>
      </c>
      <c r="H30" s="24"/>
    </row>
    <row r="31" spans="1:8" x14ac:dyDescent="0.25">
      <c r="A31" s="24" t="s">
        <v>171</v>
      </c>
      <c r="B31" s="24"/>
      <c r="C31" s="24"/>
      <c r="D31" s="24" t="s">
        <v>179</v>
      </c>
      <c r="E31" s="24" t="s">
        <v>161</v>
      </c>
      <c r="F31" s="24" t="s">
        <v>101</v>
      </c>
      <c r="G31" s="25">
        <v>1.3</v>
      </c>
      <c r="H31" s="24"/>
    </row>
    <row r="32" spans="1:8" x14ac:dyDescent="0.25">
      <c r="A32" s="24" t="s">
        <v>171</v>
      </c>
      <c r="B32" s="24"/>
      <c r="C32" s="24"/>
      <c r="D32" s="24" t="s">
        <v>180</v>
      </c>
      <c r="E32" s="24" t="s">
        <v>161</v>
      </c>
      <c r="F32" s="24" t="s">
        <v>101</v>
      </c>
      <c r="G32" s="25">
        <v>7</v>
      </c>
      <c r="H32" s="24"/>
    </row>
    <row r="33" spans="1:8" x14ac:dyDescent="0.25">
      <c r="A33" s="24" t="s">
        <v>171</v>
      </c>
      <c r="B33" s="24"/>
      <c r="C33" s="24"/>
      <c r="D33" s="24" t="s">
        <v>165</v>
      </c>
      <c r="E33" s="24" t="s">
        <v>161</v>
      </c>
      <c r="F33" s="24" t="s">
        <v>101</v>
      </c>
      <c r="G33" s="25">
        <v>23</v>
      </c>
      <c r="H33" s="24"/>
    </row>
    <row r="34" spans="1:8" ht="30" x14ac:dyDescent="0.25">
      <c r="A34" s="24" t="s">
        <v>171</v>
      </c>
      <c r="B34" s="24"/>
      <c r="C34" s="24"/>
      <c r="D34" s="24" t="s">
        <v>181</v>
      </c>
      <c r="E34" s="24" t="s">
        <v>92</v>
      </c>
      <c r="F34" s="24" t="s">
        <v>93</v>
      </c>
      <c r="G34" s="25">
        <v>0.5</v>
      </c>
      <c r="H34" s="24"/>
    </row>
    <row r="35" spans="1:8" x14ac:dyDescent="0.25">
      <c r="A35" s="26" t="s">
        <v>171</v>
      </c>
      <c r="B35" s="26"/>
      <c r="C35" s="26"/>
      <c r="D35" s="26" t="s">
        <v>182</v>
      </c>
      <c r="E35" s="26" t="s">
        <v>161</v>
      </c>
      <c r="F35" s="26" t="s">
        <v>105</v>
      </c>
      <c r="G35" s="27">
        <v>1.2</v>
      </c>
      <c r="H35" s="26"/>
    </row>
    <row r="36" spans="1:8" x14ac:dyDescent="0.25">
      <c r="A36" s="21" t="s">
        <v>183</v>
      </c>
      <c r="B36" s="21" t="s">
        <v>184</v>
      </c>
      <c r="C36" s="22" t="s">
        <v>89</v>
      </c>
      <c r="D36" s="22" t="s">
        <v>185</v>
      </c>
      <c r="E36" s="22" t="s">
        <v>161</v>
      </c>
      <c r="F36" s="22" t="s">
        <v>89</v>
      </c>
      <c r="G36" s="23">
        <v>1</v>
      </c>
      <c r="H36" s="22"/>
    </row>
    <row r="37" spans="1:8" x14ac:dyDescent="0.25">
      <c r="A37" s="24" t="s">
        <v>183</v>
      </c>
      <c r="B37" s="24"/>
      <c r="C37" s="24"/>
      <c r="D37" s="24" t="s">
        <v>186</v>
      </c>
      <c r="E37" s="24" t="s">
        <v>161</v>
      </c>
      <c r="F37" s="24" t="s">
        <v>105</v>
      </c>
      <c r="G37" s="25">
        <v>0.84</v>
      </c>
      <c r="H37" s="24"/>
    </row>
    <row r="38" spans="1:8" x14ac:dyDescent="0.25">
      <c r="A38" s="24" t="s">
        <v>183</v>
      </c>
      <c r="B38" s="24"/>
      <c r="C38" s="24"/>
      <c r="D38" s="24" t="s">
        <v>187</v>
      </c>
      <c r="E38" s="24" t="s">
        <v>161</v>
      </c>
      <c r="F38" s="24" t="s">
        <v>105</v>
      </c>
      <c r="G38" s="25">
        <v>1.67</v>
      </c>
      <c r="H38" s="24"/>
    </row>
    <row r="39" spans="1:8" x14ac:dyDescent="0.25">
      <c r="A39" s="24" t="s">
        <v>183</v>
      </c>
      <c r="B39" s="24"/>
      <c r="C39" s="24"/>
      <c r="D39" s="24" t="s">
        <v>188</v>
      </c>
      <c r="E39" s="24" t="s">
        <v>161</v>
      </c>
      <c r="F39" s="24" t="s">
        <v>105</v>
      </c>
      <c r="G39" s="25">
        <v>0.84</v>
      </c>
      <c r="H39" s="24"/>
    </row>
    <row r="40" spans="1:8" x14ac:dyDescent="0.25">
      <c r="A40" s="24" t="s">
        <v>183</v>
      </c>
      <c r="B40" s="24"/>
      <c r="C40" s="24"/>
      <c r="D40" s="24" t="s">
        <v>189</v>
      </c>
      <c r="E40" s="24" t="s">
        <v>161</v>
      </c>
      <c r="F40" s="24" t="s">
        <v>105</v>
      </c>
      <c r="G40" s="25">
        <v>0.6</v>
      </c>
      <c r="H40" s="24" t="s">
        <v>190</v>
      </c>
    </row>
    <row r="41" spans="1:8" x14ac:dyDescent="0.25">
      <c r="A41" s="24" t="s">
        <v>183</v>
      </c>
      <c r="B41" s="24"/>
      <c r="C41" s="24"/>
      <c r="D41" s="24" t="s">
        <v>191</v>
      </c>
      <c r="E41" s="24" t="s">
        <v>161</v>
      </c>
      <c r="F41" s="24" t="s">
        <v>101</v>
      </c>
      <c r="G41" s="25">
        <v>0.7</v>
      </c>
      <c r="H41" s="24"/>
    </row>
    <row r="42" spans="1:8" x14ac:dyDescent="0.25">
      <c r="A42" s="26" t="s">
        <v>183</v>
      </c>
      <c r="B42" s="26"/>
      <c r="C42" s="26"/>
      <c r="D42" s="26" t="s">
        <v>192</v>
      </c>
      <c r="E42" s="26" t="s">
        <v>161</v>
      </c>
      <c r="F42" s="26" t="s">
        <v>101</v>
      </c>
      <c r="G42" s="27">
        <v>1.2</v>
      </c>
      <c r="H42" s="26"/>
    </row>
    <row r="43" spans="1:8" ht="30" x14ac:dyDescent="0.25">
      <c r="A43" s="21" t="s">
        <v>193</v>
      </c>
      <c r="B43" s="21" t="s">
        <v>194</v>
      </c>
      <c r="C43" s="22" t="s">
        <v>89</v>
      </c>
      <c r="D43" s="22" t="s">
        <v>195</v>
      </c>
      <c r="E43" s="22" t="s">
        <v>92</v>
      </c>
      <c r="F43" s="22" t="s">
        <v>93</v>
      </c>
      <c r="G43" s="23">
        <v>1.2</v>
      </c>
      <c r="H43" s="22"/>
    </row>
    <row r="44" spans="1:8" x14ac:dyDescent="0.25">
      <c r="A44" s="26" t="s">
        <v>193</v>
      </c>
      <c r="B44" s="26"/>
      <c r="C44" s="26"/>
      <c r="D44" s="26" t="s">
        <v>170</v>
      </c>
      <c r="E44" s="26" t="s">
        <v>97</v>
      </c>
      <c r="F44" s="26" t="s">
        <v>98</v>
      </c>
      <c r="G44" s="27">
        <v>0.15</v>
      </c>
      <c r="H44" s="26"/>
    </row>
    <row r="45" spans="1:8" x14ac:dyDescent="0.25">
      <c r="A45" s="21" t="s">
        <v>196</v>
      </c>
      <c r="B45" s="21" t="s">
        <v>197</v>
      </c>
      <c r="C45" s="22" t="s">
        <v>89</v>
      </c>
      <c r="D45" s="22" t="s">
        <v>198</v>
      </c>
      <c r="E45" s="22" t="s">
        <v>97</v>
      </c>
      <c r="F45" s="22" t="s">
        <v>98</v>
      </c>
      <c r="G45" s="23">
        <v>0.3</v>
      </c>
      <c r="H45" s="22" t="s">
        <v>199</v>
      </c>
    </row>
    <row r="46" spans="1:8" x14ac:dyDescent="0.25">
      <c r="A46" s="26" t="s">
        <v>196</v>
      </c>
      <c r="B46" s="26"/>
      <c r="C46" s="26"/>
      <c r="D46" s="26" t="s">
        <v>170</v>
      </c>
      <c r="E46" s="26" t="s">
        <v>97</v>
      </c>
      <c r="F46" s="26" t="s">
        <v>98</v>
      </c>
      <c r="G46" s="27">
        <v>0.1</v>
      </c>
      <c r="H46" s="26"/>
    </row>
    <row r="47" spans="1:8" ht="30" x14ac:dyDescent="0.25">
      <c r="A47" s="21" t="s">
        <v>200</v>
      </c>
      <c r="B47" s="21" t="s">
        <v>201</v>
      </c>
      <c r="C47" s="22" t="s">
        <v>89</v>
      </c>
      <c r="D47" s="22" t="s">
        <v>202</v>
      </c>
      <c r="E47" s="22" t="s">
        <v>203</v>
      </c>
      <c r="F47" s="22" t="s">
        <v>89</v>
      </c>
      <c r="G47" s="23">
        <v>1</v>
      </c>
      <c r="H47" s="22" t="s">
        <v>204</v>
      </c>
    </row>
    <row r="48" spans="1:8" ht="30" x14ac:dyDescent="0.25">
      <c r="A48" s="24" t="s">
        <v>200</v>
      </c>
      <c r="B48" s="24"/>
      <c r="C48" s="24"/>
      <c r="D48" s="24" t="s">
        <v>205</v>
      </c>
      <c r="E48" s="24" t="s">
        <v>203</v>
      </c>
      <c r="F48" s="24" t="s">
        <v>93</v>
      </c>
      <c r="G48" s="25">
        <v>0.35</v>
      </c>
      <c r="H48" s="24"/>
    </row>
    <row r="49" spans="1:8" x14ac:dyDescent="0.25">
      <c r="A49" s="24" t="s">
        <v>200</v>
      </c>
      <c r="B49" s="24"/>
      <c r="C49" s="24"/>
      <c r="D49" s="24" t="s">
        <v>170</v>
      </c>
      <c r="E49" s="24" t="s">
        <v>97</v>
      </c>
      <c r="F49" s="24" t="s">
        <v>98</v>
      </c>
      <c r="G49" s="25">
        <v>0.15</v>
      </c>
      <c r="H49" s="24"/>
    </row>
    <row r="50" spans="1:8" ht="30" x14ac:dyDescent="0.25">
      <c r="A50" s="26" t="s">
        <v>200</v>
      </c>
      <c r="B50" s="26"/>
      <c r="C50" s="26"/>
      <c r="D50" s="26" t="s">
        <v>206</v>
      </c>
      <c r="E50" s="26" t="s">
        <v>203</v>
      </c>
      <c r="F50" s="26" t="s">
        <v>105</v>
      </c>
      <c r="G50" s="27">
        <v>0.6</v>
      </c>
      <c r="H50" s="26" t="s">
        <v>207</v>
      </c>
    </row>
    <row r="51" spans="1:8" ht="30" x14ac:dyDescent="0.25">
      <c r="A51" s="21" t="s">
        <v>208</v>
      </c>
      <c r="B51" s="21" t="s">
        <v>209</v>
      </c>
      <c r="C51" s="22" t="s">
        <v>89</v>
      </c>
      <c r="D51" s="22" t="s">
        <v>210</v>
      </c>
      <c r="E51" s="22" t="s">
        <v>92</v>
      </c>
      <c r="F51" s="22" t="s">
        <v>93</v>
      </c>
      <c r="G51" s="23">
        <v>8</v>
      </c>
      <c r="H51" s="22" t="s">
        <v>211</v>
      </c>
    </row>
    <row r="52" spans="1:8" x14ac:dyDescent="0.25">
      <c r="A52" s="24" t="s">
        <v>208</v>
      </c>
      <c r="B52" s="24"/>
      <c r="C52" s="24"/>
      <c r="D52" s="24" t="s">
        <v>170</v>
      </c>
      <c r="E52" s="24" t="s">
        <v>97</v>
      </c>
      <c r="F52" s="24" t="s">
        <v>98</v>
      </c>
      <c r="G52" s="25">
        <v>0.2</v>
      </c>
      <c r="H52" s="24"/>
    </row>
    <row r="53" spans="1:8" x14ac:dyDescent="0.25">
      <c r="A53" s="26" t="s">
        <v>208</v>
      </c>
      <c r="B53" s="26"/>
      <c r="C53" s="26"/>
      <c r="D53" s="26" t="s">
        <v>148</v>
      </c>
      <c r="E53" s="26" t="s">
        <v>100</v>
      </c>
      <c r="F53" s="26" t="s">
        <v>105</v>
      </c>
      <c r="G53" s="27">
        <v>0.4</v>
      </c>
      <c r="H53" s="26"/>
    </row>
    <row r="54" spans="1:8" ht="30" x14ac:dyDescent="0.25">
      <c r="A54" s="21" t="s">
        <v>212</v>
      </c>
      <c r="B54" s="21" t="s">
        <v>213</v>
      </c>
      <c r="C54" s="22" t="s">
        <v>89</v>
      </c>
      <c r="D54" s="22" t="s">
        <v>214</v>
      </c>
      <c r="E54" s="22" t="s">
        <v>215</v>
      </c>
      <c r="F54" s="22" t="s">
        <v>89</v>
      </c>
      <c r="G54" s="23">
        <v>1.05</v>
      </c>
      <c r="H54" s="22" t="s">
        <v>216</v>
      </c>
    </row>
    <row r="55" spans="1:8" ht="30" x14ac:dyDescent="0.25">
      <c r="A55" s="24" t="s">
        <v>212</v>
      </c>
      <c r="B55" s="24"/>
      <c r="C55" s="24"/>
      <c r="D55" s="24" t="s">
        <v>217</v>
      </c>
      <c r="E55" s="24" t="s">
        <v>215</v>
      </c>
      <c r="F55" s="24" t="s">
        <v>89</v>
      </c>
      <c r="G55" s="25">
        <v>1.05</v>
      </c>
      <c r="H55" s="24"/>
    </row>
    <row r="56" spans="1:8" ht="30" x14ac:dyDescent="0.25">
      <c r="A56" s="24" t="s">
        <v>212</v>
      </c>
      <c r="B56" s="24"/>
      <c r="C56" s="24"/>
      <c r="D56" s="24" t="s">
        <v>218</v>
      </c>
      <c r="E56" s="24" t="s">
        <v>215</v>
      </c>
      <c r="F56" s="24" t="s">
        <v>98</v>
      </c>
      <c r="G56" s="25">
        <v>0.3</v>
      </c>
      <c r="H56" s="24"/>
    </row>
    <row r="57" spans="1:8" x14ac:dyDescent="0.25">
      <c r="A57" s="26" t="s">
        <v>212</v>
      </c>
      <c r="B57" s="26"/>
      <c r="C57" s="26"/>
      <c r="D57" s="26" t="s">
        <v>219</v>
      </c>
      <c r="E57" s="26" t="s">
        <v>100</v>
      </c>
      <c r="F57" s="26" t="s">
        <v>93</v>
      </c>
      <c r="G57" s="27">
        <v>0.4</v>
      </c>
      <c r="H57" s="26"/>
    </row>
    <row r="58" spans="1:8" ht="30" x14ac:dyDescent="0.25">
      <c r="A58" s="21" t="s">
        <v>220</v>
      </c>
      <c r="B58" s="21" t="s">
        <v>221</v>
      </c>
      <c r="C58" s="22" t="s">
        <v>89</v>
      </c>
      <c r="D58" s="22" t="s">
        <v>222</v>
      </c>
      <c r="E58" s="22" t="s">
        <v>215</v>
      </c>
      <c r="F58" s="22" t="s">
        <v>89</v>
      </c>
      <c r="G58" s="23">
        <v>1.1200000000000001</v>
      </c>
      <c r="H58" s="22" t="s">
        <v>223</v>
      </c>
    </row>
    <row r="59" spans="1:8" ht="30" x14ac:dyDescent="0.25">
      <c r="A59" s="24" t="s">
        <v>220</v>
      </c>
      <c r="B59" s="24"/>
      <c r="C59" s="24"/>
      <c r="D59" s="24" t="s">
        <v>224</v>
      </c>
      <c r="E59" s="24" t="s">
        <v>215</v>
      </c>
      <c r="F59" s="24" t="s">
        <v>101</v>
      </c>
      <c r="G59" s="25">
        <v>5</v>
      </c>
      <c r="H59" s="24" t="s">
        <v>225</v>
      </c>
    </row>
    <row r="60" spans="1:8" ht="30" x14ac:dyDescent="0.25">
      <c r="A60" s="26" t="s">
        <v>220</v>
      </c>
      <c r="B60" s="26"/>
      <c r="C60" s="26"/>
      <c r="D60" s="26" t="s">
        <v>226</v>
      </c>
      <c r="E60" s="26" t="s">
        <v>215</v>
      </c>
      <c r="F60" s="26" t="s">
        <v>89</v>
      </c>
      <c r="G60" s="27">
        <v>1.1000000000000001</v>
      </c>
      <c r="H60" s="26" t="s">
        <v>227</v>
      </c>
    </row>
    <row r="61" spans="1:8" ht="30" x14ac:dyDescent="0.25">
      <c r="A61" s="21" t="s">
        <v>68</v>
      </c>
      <c r="B61" s="21" t="s">
        <v>228</v>
      </c>
      <c r="C61" s="22" t="s">
        <v>229</v>
      </c>
      <c r="D61" s="22" t="s">
        <v>230</v>
      </c>
      <c r="E61" s="22" t="s">
        <v>104</v>
      </c>
      <c r="F61" s="22" t="s">
        <v>105</v>
      </c>
      <c r="G61" s="23">
        <v>1</v>
      </c>
      <c r="H61" s="22" t="s">
        <v>231</v>
      </c>
    </row>
    <row r="62" spans="1:8" ht="30" x14ac:dyDescent="0.25">
      <c r="A62" s="24" t="s">
        <v>68</v>
      </c>
      <c r="B62" s="24"/>
      <c r="C62" s="24"/>
      <c r="D62" s="24" t="s">
        <v>232</v>
      </c>
      <c r="E62" s="24" t="s">
        <v>108</v>
      </c>
      <c r="F62" s="24" t="s">
        <v>101</v>
      </c>
      <c r="G62" s="25">
        <v>3</v>
      </c>
      <c r="H62" s="24"/>
    </row>
    <row r="63" spans="1:8" ht="30" x14ac:dyDescent="0.25">
      <c r="A63" s="26" t="s">
        <v>68</v>
      </c>
      <c r="B63" s="26"/>
      <c r="C63" s="26"/>
      <c r="D63" s="26" t="s">
        <v>233</v>
      </c>
      <c r="E63" s="26" t="s">
        <v>108</v>
      </c>
      <c r="F63" s="26" t="s">
        <v>101</v>
      </c>
      <c r="G63" s="27">
        <v>3</v>
      </c>
      <c r="H63" s="26"/>
    </row>
    <row r="64" spans="1:8" ht="30" x14ac:dyDescent="0.25">
      <c r="A64" s="21" t="s">
        <v>234</v>
      </c>
      <c r="B64" s="21" t="s">
        <v>235</v>
      </c>
      <c r="C64" s="22" t="s">
        <v>101</v>
      </c>
      <c r="D64" s="22" t="s">
        <v>236</v>
      </c>
      <c r="E64" s="22" t="s">
        <v>108</v>
      </c>
      <c r="F64" s="22" t="s">
        <v>101</v>
      </c>
      <c r="G64" s="23">
        <v>1</v>
      </c>
      <c r="H64" s="22"/>
    </row>
    <row r="65" spans="1:8" ht="30" x14ac:dyDescent="0.25">
      <c r="A65" s="24" t="s">
        <v>234</v>
      </c>
      <c r="B65" s="24"/>
      <c r="C65" s="24"/>
      <c r="D65" s="24" t="s">
        <v>237</v>
      </c>
      <c r="E65" s="24" t="s">
        <v>108</v>
      </c>
      <c r="F65" s="24" t="s">
        <v>101</v>
      </c>
      <c r="G65" s="25">
        <v>1</v>
      </c>
      <c r="H65" s="24"/>
    </row>
    <row r="66" spans="1:8" ht="30" x14ac:dyDescent="0.25">
      <c r="A66" s="24" t="s">
        <v>234</v>
      </c>
      <c r="B66" s="24"/>
      <c r="C66" s="24"/>
      <c r="D66" s="24" t="s">
        <v>238</v>
      </c>
      <c r="E66" s="24" t="s">
        <v>92</v>
      </c>
      <c r="F66" s="24" t="s">
        <v>93</v>
      </c>
      <c r="G66" s="25">
        <v>0.3</v>
      </c>
      <c r="H66" s="24"/>
    </row>
    <row r="67" spans="1:8" ht="30" x14ac:dyDescent="0.25">
      <c r="A67" s="26" t="s">
        <v>234</v>
      </c>
      <c r="B67" s="26"/>
      <c r="C67" s="26"/>
      <c r="D67" s="26" t="s">
        <v>239</v>
      </c>
      <c r="E67" s="26" t="s">
        <v>108</v>
      </c>
      <c r="F67" s="26" t="s">
        <v>240</v>
      </c>
      <c r="G67" s="27">
        <v>1</v>
      </c>
      <c r="H67" s="26"/>
    </row>
    <row r="68" spans="1:8" x14ac:dyDescent="0.25">
      <c r="A68" s="21" t="s">
        <v>241</v>
      </c>
      <c r="B68" s="21" t="s">
        <v>242</v>
      </c>
      <c r="C68" s="22" t="s">
        <v>243</v>
      </c>
      <c r="D68" s="22" t="s">
        <v>244</v>
      </c>
      <c r="E68" s="22" t="s">
        <v>245</v>
      </c>
      <c r="F68" s="22" t="s">
        <v>243</v>
      </c>
      <c r="G68" s="23">
        <v>1</v>
      </c>
      <c r="H68" s="22"/>
    </row>
    <row r="69" spans="1:8" ht="30" x14ac:dyDescent="0.25">
      <c r="A69" s="24" t="s">
        <v>241</v>
      </c>
      <c r="B69" s="24"/>
      <c r="C69" s="24"/>
      <c r="D69" s="24" t="s">
        <v>246</v>
      </c>
      <c r="E69" s="24" t="s">
        <v>92</v>
      </c>
      <c r="F69" s="24" t="s">
        <v>93</v>
      </c>
      <c r="G69" s="25">
        <v>25</v>
      </c>
      <c r="H69" s="24"/>
    </row>
    <row r="70" spans="1:8" x14ac:dyDescent="0.25">
      <c r="A70" s="26" t="s">
        <v>241</v>
      </c>
      <c r="B70" s="26"/>
      <c r="C70" s="26"/>
      <c r="D70" s="26" t="s">
        <v>247</v>
      </c>
      <c r="E70" s="26" t="s">
        <v>248</v>
      </c>
      <c r="F70" s="26" t="s">
        <v>105</v>
      </c>
      <c r="G70" s="27">
        <v>3</v>
      </c>
      <c r="H70" s="26" t="s">
        <v>249</v>
      </c>
    </row>
  </sheetData>
  <mergeCells count="1">
    <mergeCell ref="A2:H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pane xSplit="1" ySplit="4" topLeftCell="B5" activePane="bottomRight" state="frozen"/>
      <selection pane="topRight"/>
      <selection pane="bottomLeft"/>
      <selection pane="bottomRight"/>
    </sheetView>
  </sheetViews>
  <sheetFormatPr defaultRowHeight="15" x14ac:dyDescent="0.25"/>
  <cols>
    <col min="1" max="1" width="44" customWidth="1"/>
    <col min="2" max="2" width="10" customWidth="1"/>
    <col min="3" max="4" width="11" customWidth="1"/>
    <col min="5" max="5" width="46" customWidth="1"/>
    <col min="6" max="6" width="50" customWidth="1"/>
    <col min="7" max="7" width="40" customWidth="1"/>
  </cols>
  <sheetData>
    <row r="1" spans="1:7" ht="18.75" x14ac:dyDescent="0.3">
      <c r="A1" s="6" t="s">
        <v>250</v>
      </c>
    </row>
    <row r="2" spans="1:7" ht="48" customHeight="1" x14ac:dyDescent="0.25">
      <c r="A2" s="50" t="s">
        <v>251</v>
      </c>
      <c r="B2" s="39"/>
      <c r="C2" s="39"/>
      <c r="D2" s="39"/>
      <c r="E2" s="39"/>
      <c r="F2" s="39"/>
      <c r="G2" s="39"/>
    </row>
    <row r="4" spans="1:7" ht="48" customHeight="1" x14ac:dyDescent="0.25">
      <c r="A4" s="11" t="s">
        <v>136</v>
      </c>
      <c r="B4" s="11" t="s">
        <v>252</v>
      </c>
      <c r="C4" s="11" t="s">
        <v>253</v>
      </c>
      <c r="D4" s="11" t="s">
        <v>254</v>
      </c>
      <c r="E4" s="11" t="s">
        <v>255</v>
      </c>
      <c r="F4" s="11" t="s">
        <v>256</v>
      </c>
      <c r="G4" s="11" t="s">
        <v>257</v>
      </c>
    </row>
    <row r="5" spans="1:7" ht="30" x14ac:dyDescent="0.25">
      <c r="A5" s="24" t="s">
        <v>92</v>
      </c>
      <c r="B5" s="28">
        <v>0.05</v>
      </c>
      <c r="C5" s="28">
        <v>0.12</v>
      </c>
      <c r="D5" s="28">
        <v>0.25</v>
      </c>
      <c r="E5" s="24" t="s">
        <v>258</v>
      </c>
      <c r="F5" s="24" t="s">
        <v>259</v>
      </c>
      <c r="G5" s="24"/>
    </row>
    <row r="6" spans="1:7" x14ac:dyDescent="0.25">
      <c r="A6" s="24" t="s">
        <v>97</v>
      </c>
      <c r="B6" s="28">
        <v>0.05</v>
      </c>
      <c r="C6" s="28">
        <v>0.12</v>
      </c>
      <c r="D6" s="28">
        <v>0.25</v>
      </c>
      <c r="E6" s="24" t="s">
        <v>260</v>
      </c>
      <c r="F6" s="24" t="s">
        <v>261</v>
      </c>
      <c r="G6" s="24"/>
    </row>
    <row r="7" spans="1:7" x14ac:dyDescent="0.25">
      <c r="A7" s="24" t="s">
        <v>161</v>
      </c>
      <c r="B7" s="28">
        <v>7.0000000000000007E-2</v>
      </c>
      <c r="C7" s="28">
        <v>0.12</v>
      </c>
      <c r="D7" s="28">
        <v>0.25</v>
      </c>
      <c r="E7" s="24" t="s">
        <v>262</v>
      </c>
      <c r="F7" s="24" t="s">
        <v>263</v>
      </c>
      <c r="G7" s="24"/>
    </row>
    <row r="8" spans="1:7" ht="30" x14ac:dyDescent="0.25">
      <c r="A8" s="24" t="s">
        <v>88</v>
      </c>
      <c r="B8" s="28">
        <v>0.1</v>
      </c>
      <c r="C8" s="28">
        <v>0.12</v>
      </c>
      <c r="D8" s="28">
        <v>0.25</v>
      </c>
      <c r="E8" s="24" t="s">
        <v>264</v>
      </c>
      <c r="F8" s="24" t="s">
        <v>265</v>
      </c>
      <c r="G8" s="24" t="s">
        <v>266</v>
      </c>
    </row>
    <row r="9" spans="1:7" ht="30" x14ac:dyDescent="0.25">
      <c r="A9" s="24" t="s">
        <v>203</v>
      </c>
      <c r="B9" s="28">
        <v>0.08</v>
      </c>
      <c r="C9" s="28">
        <v>0.15</v>
      </c>
      <c r="D9" s="28">
        <v>0.25</v>
      </c>
      <c r="E9" s="24" t="s">
        <v>267</v>
      </c>
      <c r="F9" s="24" t="s">
        <v>268</v>
      </c>
      <c r="G9" s="24"/>
    </row>
    <row r="10" spans="1:7" ht="30" x14ac:dyDescent="0.25">
      <c r="A10" s="24" t="s">
        <v>269</v>
      </c>
      <c r="B10" s="28">
        <v>0.05</v>
      </c>
      <c r="C10" s="28">
        <v>0.15</v>
      </c>
      <c r="D10" s="28">
        <v>0.3</v>
      </c>
      <c r="E10" s="24" t="s">
        <v>270</v>
      </c>
      <c r="F10" s="24" t="s">
        <v>271</v>
      </c>
      <c r="G10" s="24" t="s">
        <v>272</v>
      </c>
    </row>
    <row r="11" spans="1:7" x14ac:dyDescent="0.25">
      <c r="A11" s="24" t="s">
        <v>215</v>
      </c>
      <c r="B11" s="28">
        <v>0.1</v>
      </c>
      <c r="C11" s="28">
        <v>0.12</v>
      </c>
      <c r="D11" s="28">
        <v>0.25</v>
      </c>
      <c r="E11" s="24" t="s">
        <v>273</v>
      </c>
      <c r="F11" s="24" t="s">
        <v>274</v>
      </c>
      <c r="G11" s="24"/>
    </row>
    <row r="12" spans="1:7" ht="30" x14ac:dyDescent="0.25">
      <c r="A12" s="24" t="s">
        <v>275</v>
      </c>
      <c r="B12" s="28">
        <v>0.05</v>
      </c>
      <c r="C12" s="28">
        <v>0.1</v>
      </c>
      <c r="D12" s="28">
        <v>0.2</v>
      </c>
      <c r="E12" s="24" t="s">
        <v>276</v>
      </c>
      <c r="F12" s="24" t="s">
        <v>277</v>
      </c>
      <c r="G12" s="24" t="s">
        <v>278</v>
      </c>
    </row>
    <row r="13" spans="1:7" x14ac:dyDescent="0.25">
      <c r="A13" s="24" t="s">
        <v>279</v>
      </c>
      <c r="B13" s="28">
        <v>0.02</v>
      </c>
      <c r="C13" s="28">
        <v>0.08</v>
      </c>
      <c r="D13" s="28">
        <v>0.15</v>
      </c>
      <c r="E13" s="24" t="s">
        <v>280</v>
      </c>
      <c r="F13" s="24" t="s">
        <v>281</v>
      </c>
      <c r="G13" s="24" t="s">
        <v>282</v>
      </c>
    </row>
    <row r="14" spans="1:7" x14ac:dyDescent="0.25">
      <c r="A14" s="24" t="s">
        <v>248</v>
      </c>
      <c r="B14" s="28">
        <v>0.05</v>
      </c>
      <c r="C14" s="28">
        <v>0.1</v>
      </c>
      <c r="D14" s="28">
        <v>0.2</v>
      </c>
      <c r="E14" s="24" t="s">
        <v>283</v>
      </c>
      <c r="F14" s="24" t="s">
        <v>284</v>
      </c>
      <c r="G14" s="24"/>
    </row>
    <row r="15" spans="1:7" x14ac:dyDescent="0.25">
      <c r="A15" s="24" t="s">
        <v>245</v>
      </c>
      <c r="B15" s="28">
        <v>0.05</v>
      </c>
      <c r="C15" s="28">
        <v>0.12</v>
      </c>
      <c r="D15" s="28">
        <v>0.25</v>
      </c>
      <c r="E15" s="24" t="s">
        <v>285</v>
      </c>
      <c r="F15" s="24" t="s">
        <v>286</v>
      </c>
      <c r="G15" s="24"/>
    </row>
    <row r="16" spans="1:7" ht="30" x14ac:dyDescent="0.25">
      <c r="A16" s="24" t="s">
        <v>104</v>
      </c>
      <c r="B16" s="28">
        <v>0.04</v>
      </c>
      <c r="C16" s="28">
        <v>0.12</v>
      </c>
      <c r="D16" s="28">
        <v>0.25</v>
      </c>
      <c r="E16" s="24" t="s">
        <v>287</v>
      </c>
      <c r="F16" s="24" t="s">
        <v>288</v>
      </c>
      <c r="G16" s="24" t="s">
        <v>289</v>
      </c>
    </row>
    <row r="17" spans="1:7" ht="30" x14ac:dyDescent="0.25">
      <c r="A17" s="24" t="s">
        <v>108</v>
      </c>
      <c r="B17" s="28">
        <v>0.01</v>
      </c>
      <c r="C17" s="28">
        <v>0.12</v>
      </c>
      <c r="D17" s="28">
        <v>0.25</v>
      </c>
      <c r="E17" s="24" t="s">
        <v>290</v>
      </c>
      <c r="F17" s="24" t="s">
        <v>291</v>
      </c>
      <c r="G17" s="24"/>
    </row>
    <row r="18" spans="1:7" x14ac:dyDescent="0.25">
      <c r="A18" s="24" t="s">
        <v>292</v>
      </c>
      <c r="B18" s="28">
        <v>0.01</v>
      </c>
      <c r="C18" s="28">
        <v>0.1</v>
      </c>
      <c r="D18" s="28">
        <v>0.2</v>
      </c>
      <c r="E18" s="24" t="s">
        <v>293</v>
      </c>
      <c r="F18" s="24" t="s">
        <v>294</v>
      </c>
      <c r="G18" s="24" t="s">
        <v>295</v>
      </c>
    </row>
    <row r="19" spans="1:7" x14ac:dyDescent="0.25">
      <c r="A19" s="24" t="s">
        <v>296</v>
      </c>
      <c r="B19" s="28">
        <v>0.04</v>
      </c>
      <c r="C19" s="28">
        <v>0.12</v>
      </c>
      <c r="D19" s="28">
        <v>0.25</v>
      </c>
      <c r="E19" s="24" t="s">
        <v>297</v>
      </c>
      <c r="F19" s="24" t="s">
        <v>298</v>
      </c>
      <c r="G19" s="24"/>
    </row>
    <row r="20" spans="1:7" x14ac:dyDescent="0.25">
      <c r="A20" s="24" t="s">
        <v>299</v>
      </c>
      <c r="B20" s="28">
        <v>0</v>
      </c>
      <c r="C20" s="28">
        <v>0.12</v>
      </c>
      <c r="D20" s="28">
        <v>0.2</v>
      </c>
      <c r="E20" s="24" t="s">
        <v>300</v>
      </c>
      <c r="F20" s="24" t="s">
        <v>301</v>
      </c>
      <c r="G20" s="24"/>
    </row>
    <row r="21" spans="1:7" ht="30" x14ac:dyDescent="0.25">
      <c r="A21" s="24" t="s">
        <v>302</v>
      </c>
      <c r="B21" s="28">
        <v>0.05</v>
      </c>
      <c r="C21" s="28">
        <v>0.15</v>
      </c>
      <c r="D21" s="28">
        <v>0.3</v>
      </c>
      <c r="E21" s="24" t="s">
        <v>303</v>
      </c>
      <c r="F21" s="24" t="s">
        <v>304</v>
      </c>
      <c r="G21" s="24" t="s">
        <v>305</v>
      </c>
    </row>
    <row r="22" spans="1:7" ht="30" x14ac:dyDescent="0.25">
      <c r="A22" s="21" t="s">
        <v>112</v>
      </c>
      <c r="B22" s="28">
        <v>0</v>
      </c>
      <c r="C22" s="28">
        <v>0.1</v>
      </c>
      <c r="D22" s="28">
        <v>0.15</v>
      </c>
      <c r="E22" s="24" t="s">
        <v>306</v>
      </c>
      <c r="F22" s="24" t="s">
        <v>307</v>
      </c>
      <c r="G22" s="24" t="s">
        <v>308</v>
      </c>
    </row>
    <row r="23" spans="1:7" ht="30" x14ac:dyDescent="0.25">
      <c r="A23" s="24" t="s">
        <v>309</v>
      </c>
      <c r="B23" s="28">
        <v>0</v>
      </c>
      <c r="C23" s="28">
        <v>0.12</v>
      </c>
      <c r="D23" s="28">
        <v>0.2</v>
      </c>
      <c r="E23" s="24" t="s">
        <v>310</v>
      </c>
      <c r="F23" s="24" t="s">
        <v>311</v>
      </c>
      <c r="G23" s="24"/>
    </row>
    <row r="24" spans="1:7" ht="30" x14ac:dyDescent="0.25">
      <c r="A24" s="24" t="s">
        <v>312</v>
      </c>
      <c r="B24" s="28">
        <v>0.05</v>
      </c>
      <c r="C24" s="28">
        <v>0.08</v>
      </c>
      <c r="D24" s="28">
        <v>0.15</v>
      </c>
      <c r="E24" s="24" t="s">
        <v>313</v>
      </c>
      <c r="F24" s="24" t="s">
        <v>314</v>
      </c>
      <c r="G24" s="24" t="s">
        <v>315</v>
      </c>
    </row>
    <row r="25" spans="1:7" ht="30" x14ac:dyDescent="0.25">
      <c r="A25" s="24" t="s">
        <v>316</v>
      </c>
      <c r="B25" s="28">
        <v>0.03</v>
      </c>
      <c r="C25" s="28">
        <v>0.2</v>
      </c>
      <c r="D25" s="28">
        <v>0.3</v>
      </c>
      <c r="E25" s="24" t="s">
        <v>317</v>
      </c>
      <c r="F25" s="24" t="s">
        <v>318</v>
      </c>
      <c r="G25" s="24" t="s">
        <v>319</v>
      </c>
    </row>
    <row r="26" spans="1:7" x14ac:dyDescent="0.25">
      <c r="A26" s="24" t="s">
        <v>100</v>
      </c>
      <c r="B26" s="28">
        <v>0.03</v>
      </c>
      <c r="C26" s="28">
        <v>0.15</v>
      </c>
      <c r="D26" s="28">
        <v>0.25</v>
      </c>
      <c r="E26" s="24" t="s">
        <v>320</v>
      </c>
      <c r="F26" s="24"/>
      <c r="G26" s="24"/>
    </row>
  </sheetData>
  <mergeCells count="1">
    <mergeCell ref="A2:G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pane xSplit="2" ySplit="4" topLeftCell="C5" activePane="bottomRight" state="frozen"/>
      <selection pane="topRight"/>
      <selection pane="bottomLeft"/>
      <selection pane="bottomRight"/>
    </sheetView>
  </sheetViews>
  <sheetFormatPr defaultRowHeight="15" x14ac:dyDescent="0.25"/>
  <cols>
    <col min="1" max="1" width="6" customWidth="1"/>
    <col min="2" max="2" width="36" customWidth="1"/>
    <col min="3" max="3" width="12" customWidth="1"/>
    <col min="4" max="4" width="70" customWidth="1"/>
    <col min="5" max="5" width="50" customWidth="1"/>
  </cols>
  <sheetData>
    <row r="1" spans="1:5" ht="18.75" x14ac:dyDescent="0.3">
      <c r="A1" s="6" t="s">
        <v>321</v>
      </c>
    </row>
    <row r="2" spans="1:5" ht="75" customHeight="1" x14ac:dyDescent="0.25">
      <c r="A2" s="50" t="s">
        <v>322</v>
      </c>
      <c r="B2" s="39"/>
      <c r="C2" s="39"/>
      <c r="D2" s="39"/>
      <c r="E2" s="39"/>
    </row>
    <row r="4" spans="1:5" ht="48" customHeight="1" x14ac:dyDescent="0.25">
      <c r="A4" s="11" t="s">
        <v>54</v>
      </c>
      <c r="B4" s="11" t="s">
        <v>323</v>
      </c>
      <c r="C4" s="11" t="s">
        <v>324</v>
      </c>
      <c r="D4" s="11" t="s">
        <v>325</v>
      </c>
      <c r="E4" s="11" t="s">
        <v>326</v>
      </c>
    </row>
    <row r="5" spans="1:5" ht="30" x14ac:dyDescent="0.25">
      <c r="A5" s="24" t="s">
        <v>327</v>
      </c>
      <c r="B5" s="24" t="s">
        <v>328</v>
      </c>
      <c r="C5" s="29">
        <v>0.04</v>
      </c>
      <c r="D5" s="24" t="s">
        <v>329</v>
      </c>
      <c r="E5" s="24" t="s">
        <v>330</v>
      </c>
    </row>
    <row r="6" spans="1:5" x14ac:dyDescent="0.25">
      <c r="A6" s="24" t="s">
        <v>331</v>
      </c>
      <c r="B6" s="24" t="s">
        <v>332</v>
      </c>
      <c r="C6" s="29">
        <v>0.01</v>
      </c>
      <c r="D6" s="24" t="s">
        <v>333</v>
      </c>
      <c r="E6" s="24" t="s">
        <v>334</v>
      </c>
    </row>
    <row r="7" spans="1:5" x14ac:dyDescent="0.25">
      <c r="A7" s="24" t="s">
        <v>335</v>
      </c>
      <c r="B7" s="24" t="s">
        <v>336</v>
      </c>
      <c r="C7" s="29">
        <v>0.02</v>
      </c>
      <c r="D7" s="24" t="s">
        <v>337</v>
      </c>
      <c r="E7" s="24" t="s">
        <v>338</v>
      </c>
    </row>
    <row r="8" spans="1:5" ht="30" x14ac:dyDescent="0.25">
      <c r="A8" s="24" t="s">
        <v>339</v>
      </c>
      <c r="B8" s="24" t="s">
        <v>340</v>
      </c>
      <c r="C8" s="29">
        <v>0.02</v>
      </c>
      <c r="D8" s="24" t="s">
        <v>341</v>
      </c>
      <c r="E8" s="24" t="s">
        <v>342</v>
      </c>
    </row>
    <row r="9" spans="1:5" x14ac:dyDescent="0.25">
      <c r="A9" s="24" t="s">
        <v>343</v>
      </c>
      <c r="B9" s="24" t="s">
        <v>344</v>
      </c>
      <c r="C9" s="29">
        <v>0.02</v>
      </c>
      <c r="D9" s="24" t="s">
        <v>345</v>
      </c>
      <c r="E9" s="24" t="s">
        <v>346</v>
      </c>
    </row>
    <row r="10" spans="1:5" ht="30" x14ac:dyDescent="0.25">
      <c r="A10" s="24" t="s">
        <v>347</v>
      </c>
      <c r="B10" s="24" t="s">
        <v>348</v>
      </c>
      <c r="C10" s="29">
        <v>0.03</v>
      </c>
      <c r="D10" s="24" t="s">
        <v>349</v>
      </c>
      <c r="E10" s="24" t="s">
        <v>350</v>
      </c>
    </row>
    <row r="11" spans="1:5" ht="30" x14ac:dyDescent="0.25">
      <c r="A11" s="24" t="s">
        <v>351</v>
      </c>
      <c r="B11" s="24" t="s">
        <v>352</v>
      </c>
      <c r="C11" s="29">
        <v>0.02</v>
      </c>
      <c r="D11" s="24" t="s">
        <v>353</v>
      </c>
      <c r="E11" s="24" t="s">
        <v>354</v>
      </c>
    </row>
    <row r="12" spans="1:5" ht="30" x14ac:dyDescent="0.25">
      <c r="A12" s="24" t="s">
        <v>355</v>
      </c>
      <c r="B12" s="24" t="s">
        <v>356</v>
      </c>
      <c r="C12" s="29">
        <v>0.02</v>
      </c>
      <c r="D12" s="24" t="s">
        <v>357</v>
      </c>
      <c r="E12" s="24" t="s">
        <v>358</v>
      </c>
    </row>
    <row r="13" spans="1:5" ht="30" x14ac:dyDescent="0.25">
      <c r="A13" s="24" t="s">
        <v>359</v>
      </c>
      <c r="B13" s="24" t="s">
        <v>360</v>
      </c>
      <c r="C13" s="29">
        <v>0.02</v>
      </c>
      <c r="D13" s="24" t="s">
        <v>361</v>
      </c>
      <c r="E13" s="24" t="s">
        <v>362</v>
      </c>
    </row>
    <row r="14" spans="1:5" ht="30" x14ac:dyDescent="0.25">
      <c r="A14" s="24" t="s">
        <v>363</v>
      </c>
      <c r="B14" s="24" t="s">
        <v>364</v>
      </c>
      <c r="C14" s="29">
        <v>0.03</v>
      </c>
      <c r="D14" s="24" t="s">
        <v>365</v>
      </c>
      <c r="E14" s="24" t="s">
        <v>366</v>
      </c>
    </row>
    <row r="15" spans="1:5" ht="30" x14ac:dyDescent="0.25">
      <c r="A15" s="24" t="s">
        <v>367</v>
      </c>
      <c r="B15" s="24" t="s">
        <v>368</v>
      </c>
      <c r="C15" s="29">
        <v>0.02</v>
      </c>
      <c r="D15" s="24" t="s">
        <v>369</v>
      </c>
      <c r="E15" s="24" t="s">
        <v>370</v>
      </c>
    </row>
    <row r="16" spans="1:5" ht="30" x14ac:dyDescent="0.25">
      <c r="A16" s="24" t="s">
        <v>371</v>
      </c>
      <c r="B16" s="24" t="s">
        <v>372</v>
      </c>
      <c r="C16" s="29">
        <v>0.02</v>
      </c>
      <c r="D16" s="24" t="s">
        <v>373</v>
      </c>
      <c r="E16" s="24" t="s">
        <v>374</v>
      </c>
    </row>
    <row r="17" spans="1:5" ht="30" x14ac:dyDescent="0.25">
      <c r="A17" s="24" t="s">
        <v>375</v>
      </c>
      <c r="B17" s="24" t="s">
        <v>376</v>
      </c>
      <c r="C17" s="29">
        <v>0.02</v>
      </c>
      <c r="D17" s="24" t="s">
        <v>377</v>
      </c>
      <c r="E17" s="24" t="s">
        <v>378</v>
      </c>
    </row>
    <row r="18" spans="1:5" ht="30" x14ac:dyDescent="0.25">
      <c r="A18" s="24" t="s">
        <v>379</v>
      </c>
      <c r="B18" s="24" t="s">
        <v>380</v>
      </c>
      <c r="C18" s="29">
        <v>0.02</v>
      </c>
      <c r="D18" s="24" t="s">
        <v>381</v>
      </c>
      <c r="E18" s="24" t="s">
        <v>382</v>
      </c>
    </row>
    <row r="19" spans="1:5" x14ac:dyDescent="0.25">
      <c r="A19" s="24" t="s">
        <v>383</v>
      </c>
      <c r="B19" s="24" t="s">
        <v>384</v>
      </c>
      <c r="C19" s="29">
        <v>0.01</v>
      </c>
      <c r="D19" s="24" t="s">
        <v>385</v>
      </c>
      <c r="E19" s="24" t="s">
        <v>320</v>
      </c>
    </row>
    <row r="20" spans="1:5" ht="30" x14ac:dyDescent="0.25">
      <c r="A20" s="24" t="s">
        <v>386</v>
      </c>
      <c r="B20" s="24" t="s">
        <v>387</v>
      </c>
      <c r="C20" s="29">
        <v>0.02</v>
      </c>
      <c r="D20" s="24" t="s">
        <v>388</v>
      </c>
      <c r="E20" s="24" t="s">
        <v>389</v>
      </c>
    </row>
    <row r="21" spans="1:5" ht="30" x14ac:dyDescent="0.25">
      <c r="A21" s="24" t="s">
        <v>390</v>
      </c>
      <c r="B21" s="24" t="s">
        <v>391</v>
      </c>
      <c r="C21" s="29">
        <v>0.02</v>
      </c>
      <c r="D21" s="24" t="s">
        <v>392</v>
      </c>
      <c r="E21" s="24" t="s">
        <v>393</v>
      </c>
    </row>
    <row r="22" spans="1:5" x14ac:dyDescent="0.25">
      <c r="A22" s="24" t="s">
        <v>394</v>
      </c>
      <c r="B22" s="24" t="s">
        <v>395</v>
      </c>
      <c r="C22" s="29">
        <v>0.02</v>
      </c>
      <c r="D22" s="24" t="s">
        <v>396</v>
      </c>
      <c r="E22" s="24" t="s">
        <v>397</v>
      </c>
    </row>
    <row r="23" spans="1:5" ht="30" x14ac:dyDescent="0.25">
      <c r="A23" s="24" t="s">
        <v>398</v>
      </c>
      <c r="B23" s="24" t="s">
        <v>399</v>
      </c>
      <c r="C23" s="29">
        <v>0.02</v>
      </c>
      <c r="D23" s="24" t="s">
        <v>400</v>
      </c>
      <c r="E23" s="24" t="s">
        <v>401</v>
      </c>
    </row>
    <row r="24" spans="1:5" ht="30" x14ac:dyDescent="0.25">
      <c r="A24" s="24" t="s">
        <v>402</v>
      </c>
      <c r="B24" s="24" t="s">
        <v>403</v>
      </c>
      <c r="C24" s="29">
        <v>0.02</v>
      </c>
      <c r="D24" s="24" t="s">
        <v>404</v>
      </c>
      <c r="E24" s="24" t="s">
        <v>405</v>
      </c>
    </row>
    <row r="26" spans="1:5" x14ac:dyDescent="0.25">
      <c r="A26" s="30" t="s">
        <v>406</v>
      </c>
    </row>
    <row r="27" spans="1:5" x14ac:dyDescent="0.25">
      <c r="A27" s="30" t="s">
        <v>407</v>
      </c>
    </row>
  </sheetData>
  <mergeCells count="1">
    <mergeCell ref="A2:E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workbookViewId="0"/>
  </sheetViews>
  <sheetFormatPr defaultRowHeight="15" x14ac:dyDescent="0.25"/>
  <cols>
    <col min="1" max="1" width="52" customWidth="1"/>
    <col min="2" max="5" width="10" customWidth="1"/>
    <col min="6" max="6" width="80" customWidth="1"/>
  </cols>
  <sheetData>
    <row r="1" spans="1:6" ht="18.75" x14ac:dyDescent="0.3">
      <c r="A1" s="6" t="s">
        <v>408</v>
      </c>
    </row>
    <row r="2" spans="1:6" ht="45" customHeight="1" x14ac:dyDescent="0.25">
      <c r="A2" s="50" t="s">
        <v>409</v>
      </c>
      <c r="B2" s="39"/>
      <c r="C2" s="39"/>
      <c r="D2" s="39"/>
      <c r="E2" s="39"/>
      <c r="F2" s="39"/>
    </row>
    <row r="4" spans="1:6" ht="36" customHeight="1" x14ac:dyDescent="0.25">
      <c r="A4" s="11" t="s">
        <v>39</v>
      </c>
      <c r="B4" s="11" t="s">
        <v>410</v>
      </c>
      <c r="C4" s="11" t="s">
        <v>411</v>
      </c>
      <c r="D4" s="11" t="s">
        <v>412</v>
      </c>
      <c r="E4" s="11" t="s">
        <v>413</v>
      </c>
      <c r="F4" s="11" t="s">
        <v>414</v>
      </c>
    </row>
    <row r="5" spans="1:6" ht="30" x14ac:dyDescent="0.25">
      <c r="A5" s="24" t="s">
        <v>40</v>
      </c>
      <c r="B5" s="28">
        <v>0.3</v>
      </c>
      <c r="C5" s="28">
        <v>0.4</v>
      </c>
      <c r="D5" s="31">
        <f t="shared" ref="D5:E9" si="0">1-1/(1+B5)</f>
        <v>0.23076923076923084</v>
      </c>
      <c r="E5" s="31">
        <f t="shared" si="0"/>
        <v>0.2857142857142857</v>
      </c>
      <c r="F5" s="24" t="s">
        <v>415</v>
      </c>
    </row>
    <row r="6" spans="1:6" x14ac:dyDescent="0.25">
      <c r="A6" s="24" t="s">
        <v>416</v>
      </c>
      <c r="B6" s="28">
        <v>0.15</v>
      </c>
      <c r="C6" s="28">
        <v>0.25</v>
      </c>
      <c r="D6" s="31">
        <f t="shared" si="0"/>
        <v>0.13043478260869557</v>
      </c>
      <c r="E6" s="31">
        <f t="shared" si="0"/>
        <v>0.19999999999999996</v>
      </c>
      <c r="F6" s="24" t="s">
        <v>417</v>
      </c>
    </row>
    <row r="7" spans="1:6" x14ac:dyDescent="0.25">
      <c r="A7" s="24" t="s">
        <v>418</v>
      </c>
      <c r="B7" s="28">
        <v>0.45</v>
      </c>
      <c r="C7" s="28">
        <v>0.6</v>
      </c>
      <c r="D7" s="31">
        <f t="shared" si="0"/>
        <v>0.31034482758620685</v>
      </c>
      <c r="E7" s="31">
        <f t="shared" si="0"/>
        <v>0.375</v>
      </c>
      <c r="F7" s="24" t="s">
        <v>419</v>
      </c>
    </row>
    <row r="8" spans="1:6" x14ac:dyDescent="0.25">
      <c r="A8" s="24" t="s">
        <v>420</v>
      </c>
      <c r="B8" s="28">
        <v>0.3</v>
      </c>
      <c r="C8" s="28">
        <v>0.4</v>
      </c>
      <c r="D8" s="31">
        <f t="shared" si="0"/>
        <v>0.23076923076923084</v>
      </c>
      <c r="E8" s="31">
        <f t="shared" si="0"/>
        <v>0.2857142857142857</v>
      </c>
      <c r="F8" s="24" t="s">
        <v>421</v>
      </c>
    </row>
    <row r="9" spans="1:6" x14ac:dyDescent="0.25">
      <c r="A9" s="24" t="s">
        <v>422</v>
      </c>
      <c r="B9" s="28">
        <v>0.15</v>
      </c>
      <c r="C9" s="28">
        <v>0.3</v>
      </c>
      <c r="D9" s="31">
        <f t="shared" si="0"/>
        <v>0.13043478260869557</v>
      </c>
      <c r="E9" s="31">
        <f t="shared" si="0"/>
        <v>0.23076923076923084</v>
      </c>
      <c r="F9" s="24" t="s">
        <v>423</v>
      </c>
    </row>
    <row r="11" spans="1:6" x14ac:dyDescent="0.25">
      <c r="A11" s="7" t="s">
        <v>424</v>
      </c>
      <c r="B11" s="32">
        <v>0.15</v>
      </c>
    </row>
  </sheetData>
  <mergeCells count="1">
    <mergeCell ref="A2:F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heetViews>
  <sheetFormatPr defaultRowHeight="15" x14ac:dyDescent="0.25"/>
  <cols>
    <col min="1" max="1" width="46" customWidth="1"/>
    <col min="2" max="2" width="11" customWidth="1"/>
    <col min="3" max="3" width="95" customWidth="1"/>
    <col min="5" max="5" width="13" hidden="1" customWidth="1"/>
  </cols>
  <sheetData>
    <row r="1" spans="1:5" ht="18.75" x14ac:dyDescent="0.3">
      <c r="A1" s="6" t="s">
        <v>425</v>
      </c>
    </row>
    <row r="3" spans="1:5" ht="21.95" customHeight="1" x14ac:dyDescent="0.25">
      <c r="A3" s="11" t="s">
        <v>426</v>
      </c>
      <c r="B3" s="11" t="s">
        <v>427</v>
      </c>
      <c r="C3" s="11" t="s">
        <v>428</v>
      </c>
    </row>
    <row r="4" spans="1:5" x14ac:dyDescent="0.25">
      <c r="A4" s="12" t="s">
        <v>429</v>
      </c>
      <c r="B4" s="33">
        <v>0.03</v>
      </c>
      <c r="C4" s="12" t="s">
        <v>430</v>
      </c>
      <c r="E4" t="s">
        <v>34</v>
      </c>
    </row>
    <row r="5" spans="1:5" x14ac:dyDescent="0.25">
      <c r="A5" s="12" t="s">
        <v>431</v>
      </c>
      <c r="B5" s="33">
        <v>0.03</v>
      </c>
      <c r="C5" s="12"/>
      <c r="E5" t="s">
        <v>432</v>
      </c>
    </row>
    <row r="6" spans="1:5" x14ac:dyDescent="0.25">
      <c r="A6" s="12" t="s">
        <v>433</v>
      </c>
      <c r="B6" s="33">
        <v>0.05</v>
      </c>
      <c r="C6" s="12"/>
      <c r="E6" t="s">
        <v>434</v>
      </c>
    </row>
    <row r="7" spans="1:5" x14ac:dyDescent="0.25">
      <c r="A7" s="12" t="s">
        <v>435</v>
      </c>
      <c r="B7" s="33">
        <v>0.05</v>
      </c>
      <c r="C7" s="12"/>
      <c r="E7" t="s">
        <v>436</v>
      </c>
    </row>
    <row r="8" spans="1:5" x14ac:dyDescent="0.25">
      <c r="A8" s="12" t="s">
        <v>437</v>
      </c>
      <c r="B8" s="33">
        <v>0.1</v>
      </c>
      <c r="C8" s="12" t="s">
        <v>438</v>
      </c>
      <c r="E8" t="s">
        <v>33</v>
      </c>
    </row>
    <row r="9" spans="1:5" x14ac:dyDescent="0.25">
      <c r="A9" s="12" t="s">
        <v>439</v>
      </c>
      <c r="B9" s="34">
        <v>1.2500000000000001E-2</v>
      </c>
      <c r="C9" s="12" t="s">
        <v>440</v>
      </c>
    </row>
    <row r="10" spans="1:5" x14ac:dyDescent="0.25">
      <c r="A10" s="12" t="s">
        <v>441</v>
      </c>
      <c r="B10" s="35">
        <v>2</v>
      </c>
      <c r="C10" s="12" t="s">
        <v>442</v>
      </c>
    </row>
    <row r="11" spans="1:5" x14ac:dyDescent="0.25">
      <c r="A11" s="12" t="s">
        <v>443</v>
      </c>
      <c r="B11" s="33">
        <v>0.02</v>
      </c>
      <c r="C11" s="12" t="s">
        <v>444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56"/>
  <sheetViews>
    <sheetView workbookViewId="0">
      <pane xSplit="2" ySplit="4" topLeftCell="C5" activePane="bottomRight" state="frozen"/>
      <selection pane="topRight"/>
      <selection pane="bottomLeft"/>
      <selection pane="bottomRight"/>
    </sheetView>
  </sheetViews>
  <sheetFormatPr defaultRowHeight="15" x14ac:dyDescent="0.25"/>
  <cols>
    <col min="1" max="1" width="9" customWidth="1"/>
    <col min="2" max="2" width="80" customWidth="1"/>
    <col min="3" max="3" width="7" customWidth="1"/>
    <col min="4" max="4" width="6" customWidth="1"/>
    <col min="5" max="8" width="11" customWidth="1"/>
    <col min="9" max="10" width="9" customWidth="1"/>
  </cols>
  <sheetData>
    <row r="1" spans="1:10" ht="18.75" x14ac:dyDescent="0.3">
      <c r="A1" s="6" t="s">
        <v>445</v>
      </c>
    </row>
    <row r="2" spans="1:10" ht="32.1" customHeight="1" x14ac:dyDescent="0.25">
      <c r="A2" s="50" t="s">
        <v>446</v>
      </c>
      <c r="B2" s="39"/>
      <c r="C2" s="39"/>
      <c r="D2" s="39"/>
      <c r="E2" s="39"/>
      <c r="F2" s="39"/>
      <c r="G2" s="39"/>
      <c r="H2" s="39"/>
      <c r="I2" s="39"/>
      <c r="J2" s="39"/>
    </row>
    <row r="4" spans="1:10" ht="36" customHeight="1" x14ac:dyDescent="0.25">
      <c r="A4" s="11" t="s">
        <v>50</v>
      </c>
      <c r="B4" s="11" t="s">
        <v>134</v>
      </c>
      <c r="C4" s="11" t="s">
        <v>52</v>
      </c>
      <c r="D4" s="11" t="s">
        <v>54</v>
      </c>
      <c r="E4" s="11" t="s">
        <v>447</v>
      </c>
      <c r="F4" s="11" t="s">
        <v>448</v>
      </c>
      <c r="G4" s="11" t="s">
        <v>449</v>
      </c>
      <c r="H4" s="11" t="s">
        <v>450</v>
      </c>
      <c r="I4" s="11" t="s">
        <v>451</v>
      </c>
      <c r="J4" s="11" t="s">
        <v>452</v>
      </c>
    </row>
    <row r="5" spans="1:10" x14ac:dyDescent="0.25">
      <c r="A5" t="s">
        <v>453</v>
      </c>
      <c r="B5" t="s">
        <v>454</v>
      </c>
      <c r="C5" t="s">
        <v>243</v>
      </c>
      <c r="D5" t="s">
        <v>335</v>
      </c>
      <c r="E5" s="36">
        <v>3500</v>
      </c>
      <c r="F5" s="36">
        <v>4025</v>
      </c>
      <c r="G5" s="36">
        <v>2100</v>
      </c>
      <c r="H5" s="36">
        <v>2415</v>
      </c>
      <c r="I5" s="37">
        <v>0</v>
      </c>
      <c r="J5" s="37">
        <v>0</v>
      </c>
    </row>
    <row r="6" spans="1:10" x14ac:dyDescent="0.25">
      <c r="A6" t="s">
        <v>455</v>
      </c>
      <c r="B6" t="s">
        <v>456</v>
      </c>
      <c r="C6" t="s">
        <v>457</v>
      </c>
      <c r="D6" t="s">
        <v>327</v>
      </c>
      <c r="E6" s="36">
        <v>1000</v>
      </c>
      <c r="F6" s="36">
        <v>1300</v>
      </c>
      <c r="G6" s="36">
        <v>600</v>
      </c>
      <c r="H6" s="36">
        <v>768</v>
      </c>
      <c r="I6" s="37">
        <v>0</v>
      </c>
      <c r="J6" s="37">
        <v>0</v>
      </c>
    </row>
    <row r="7" spans="1:10" x14ac:dyDescent="0.25">
      <c r="A7" t="s">
        <v>458</v>
      </c>
      <c r="B7" t="s">
        <v>459</v>
      </c>
      <c r="C7" t="s">
        <v>460</v>
      </c>
      <c r="D7" t="s">
        <v>363</v>
      </c>
      <c r="E7" s="36">
        <v>12000</v>
      </c>
      <c r="F7" s="36">
        <v>14400</v>
      </c>
      <c r="G7" s="36">
        <v>3900</v>
      </c>
      <c r="H7" s="36">
        <v>4485</v>
      </c>
      <c r="I7" s="37">
        <v>0.84615384615384626</v>
      </c>
      <c r="J7" s="37">
        <v>0.9264214046822743</v>
      </c>
    </row>
    <row r="8" spans="1:10" x14ac:dyDescent="0.25">
      <c r="A8" t="s">
        <v>461</v>
      </c>
      <c r="B8" t="s">
        <v>462</v>
      </c>
      <c r="C8" t="s">
        <v>243</v>
      </c>
      <c r="D8" t="s">
        <v>327</v>
      </c>
      <c r="E8" s="36">
        <v>4767</v>
      </c>
      <c r="F8" s="36">
        <v>5720</v>
      </c>
      <c r="G8" s="36">
        <v>2500</v>
      </c>
      <c r="H8" s="36">
        <v>2875</v>
      </c>
      <c r="I8" s="37">
        <v>0.13500000000000001</v>
      </c>
      <c r="J8" s="37">
        <v>0.18426501035196699</v>
      </c>
    </row>
    <row r="9" spans="1:10" x14ac:dyDescent="0.25">
      <c r="A9" t="s">
        <v>463</v>
      </c>
      <c r="B9" t="s">
        <v>464</v>
      </c>
      <c r="C9" t="s">
        <v>229</v>
      </c>
      <c r="D9" t="s">
        <v>335</v>
      </c>
      <c r="E9" s="36">
        <v>350</v>
      </c>
      <c r="F9" s="36">
        <v>402</v>
      </c>
      <c r="G9" s="36">
        <v>200</v>
      </c>
      <c r="H9" s="36">
        <v>230</v>
      </c>
      <c r="I9" s="37">
        <v>0</v>
      </c>
      <c r="J9" s="37">
        <v>0</v>
      </c>
    </row>
    <row r="10" spans="1:10" x14ac:dyDescent="0.25">
      <c r="A10" t="s">
        <v>465</v>
      </c>
      <c r="B10" t="s">
        <v>466</v>
      </c>
      <c r="C10" t="s">
        <v>89</v>
      </c>
      <c r="D10" t="s">
        <v>335</v>
      </c>
      <c r="E10" s="36">
        <v>260</v>
      </c>
      <c r="F10" s="36">
        <v>312</v>
      </c>
      <c r="G10" s="36">
        <v>150</v>
      </c>
      <c r="H10" s="36">
        <v>172</v>
      </c>
      <c r="I10" s="37">
        <v>4.0000000000000042E-2</v>
      </c>
      <c r="J10" s="37">
        <v>8.3333333333333259E-2</v>
      </c>
    </row>
    <row r="11" spans="1:10" x14ac:dyDescent="0.25">
      <c r="A11" t="s">
        <v>467</v>
      </c>
      <c r="B11" t="s">
        <v>468</v>
      </c>
      <c r="C11" t="s">
        <v>89</v>
      </c>
      <c r="D11" t="s">
        <v>335</v>
      </c>
      <c r="E11" s="36">
        <v>200</v>
      </c>
      <c r="F11" s="36">
        <v>230</v>
      </c>
      <c r="G11" s="36">
        <v>120</v>
      </c>
      <c r="H11" s="36">
        <v>138</v>
      </c>
      <c r="I11" s="37">
        <v>0</v>
      </c>
      <c r="J11" s="37">
        <v>0</v>
      </c>
    </row>
    <row r="12" spans="1:10" x14ac:dyDescent="0.25">
      <c r="A12" t="s">
        <v>469</v>
      </c>
      <c r="B12" t="s">
        <v>470</v>
      </c>
      <c r="C12" t="s">
        <v>89</v>
      </c>
      <c r="D12" t="s">
        <v>335</v>
      </c>
      <c r="E12" s="36">
        <v>460</v>
      </c>
      <c r="F12" s="36">
        <v>529</v>
      </c>
      <c r="G12" s="36">
        <v>280</v>
      </c>
      <c r="H12" s="36">
        <v>322</v>
      </c>
      <c r="I12" s="37">
        <v>0</v>
      </c>
      <c r="J12" s="37">
        <v>0</v>
      </c>
    </row>
    <row r="13" spans="1:10" x14ac:dyDescent="0.25">
      <c r="A13" t="s">
        <v>471</v>
      </c>
      <c r="B13" t="s">
        <v>472</v>
      </c>
      <c r="C13" t="s">
        <v>229</v>
      </c>
      <c r="D13" t="s">
        <v>363</v>
      </c>
      <c r="E13" s="36">
        <v>480</v>
      </c>
      <c r="F13" s="36">
        <v>576</v>
      </c>
      <c r="G13" s="36">
        <v>180</v>
      </c>
      <c r="H13" s="36">
        <v>207</v>
      </c>
      <c r="I13" s="37">
        <v>0.60000000000000009</v>
      </c>
      <c r="J13" s="37">
        <v>0.66956521739130426</v>
      </c>
    </row>
    <row r="14" spans="1:10" x14ac:dyDescent="0.25">
      <c r="A14" t="s">
        <v>473</v>
      </c>
      <c r="B14" t="s">
        <v>474</v>
      </c>
      <c r="C14" t="s">
        <v>89</v>
      </c>
      <c r="D14" t="s">
        <v>327</v>
      </c>
      <c r="E14" s="36">
        <v>300</v>
      </c>
      <c r="F14" s="36">
        <v>345</v>
      </c>
      <c r="G14" s="36">
        <v>180</v>
      </c>
      <c r="H14" s="36">
        <v>207</v>
      </c>
      <c r="I14" s="37">
        <v>0</v>
      </c>
      <c r="J14" s="37">
        <v>0</v>
      </c>
    </row>
    <row r="15" spans="1:10" x14ac:dyDescent="0.25">
      <c r="A15" t="s">
        <v>475</v>
      </c>
      <c r="B15" t="s">
        <v>476</v>
      </c>
      <c r="C15" t="s">
        <v>89</v>
      </c>
      <c r="D15" t="s">
        <v>327</v>
      </c>
      <c r="E15" s="36">
        <v>250</v>
      </c>
      <c r="F15" s="36">
        <v>288</v>
      </c>
      <c r="G15" s="36">
        <v>150</v>
      </c>
      <c r="H15" s="36">
        <v>172</v>
      </c>
      <c r="I15" s="37">
        <v>0</v>
      </c>
      <c r="J15" s="37">
        <v>0</v>
      </c>
    </row>
    <row r="16" spans="1:10" x14ac:dyDescent="0.25">
      <c r="A16" t="s">
        <v>477</v>
      </c>
      <c r="B16" t="s">
        <v>478</v>
      </c>
      <c r="C16" t="s">
        <v>89</v>
      </c>
      <c r="D16" t="s">
        <v>327</v>
      </c>
      <c r="E16" s="36">
        <v>380</v>
      </c>
      <c r="F16" s="36">
        <v>437</v>
      </c>
      <c r="G16" s="36">
        <v>230</v>
      </c>
      <c r="H16" s="36">
        <v>264</v>
      </c>
      <c r="I16" s="37">
        <v>0</v>
      </c>
      <c r="J16" s="37">
        <v>0</v>
      </c>
    </row>
    <row r="17" spans="1:10" x14ac:dyDescent="0.25">
      <c r="A17" t="s">
        <v>479</v>
      </c>
      <c r="B17" t="s">
        <v>480</v>
      </c>
      <c r="C17" t="s">
        <v>89</v>
      </c>
      <c r="D17" t="s">
        <v>355</v>
      </c>
      <c r="E17" s="36">
        <v>480</v>
      </c>
      <c r="F17" s="36">
        <v>571</v>
      </c>
      <c r="G17" s="36">
        <v>230</v>
      </c>
      <c r="H17" s="36">
        <v>264</v>
      </c>
      <c r="I17" s="37">
        <v>0.26315789473684198</v>
      </c>
      <c r="J17" s="37">
        <v>0.30663615560640722</v>
      </c>
    </row>
    <row r="18" spans="1:10" x14ac:dyDescent="0.25">
      <c r="A18" t="s">
        <v>481</v>
      </c>
      <c r="B18" t="s">
        <v>482</v>
      </c>
      <c r="C18" t="s">
        <v>89</v>
      </c>
      <c r="D18" t="s">
        <v>359</v>
      </c>
      <c r="E18" s="36">
        <v>1320</v>
      </c>
      <c r="F18" s="36">
        <v>1560</v>
      </c>
      <c r="G18" s="36">
        <v>650</v>
      </c>
      <c r="H18" s="36">
        <v>747</v>
      </c>
      <c r="I18" s="37">
        <v>0.2</v>
      </c>
      <c r="J18" s="37">
        <v>0.233201581027668</v>
      </c>
    </row>
    <row r="19" spans="1:10" x14ac:dyDescent="0.25">
      <c r="A19" t="s">
        <v>483</v>
      </c>
      <c r="B19" t="s">
        <v>484</v>
      </c>
      <c r="C19" t="s">
        <v>89</v>
      </c>
      <c r="D19" t="s">
        <v>327</v>
      </c>
      <c r="E19" s="36">
        <v>200</v>
      </c>
      <c r="F19" s="36">
        <v>230</v>
      </c>
      <c r="G19" s="36">
        <v>120</v>
      </c>
      <c r="H19" s="36">
        <v>138</v>
      </c>
      <c r="I19" s="37">
        <v>0</v>
      </c>
      <c r="J19" s="37">
        <v>0</v>
      </c>
    </row>
    <row r="20" spans="1:10" x14ac:dyDescent="0.25">
      <c r="A20" t="s">
        <v>485</v>
      </c>
      <c r="B20" t="s">
        <v>486</v>
      </c>
      <c r="C20" t="s">
        <v>89</v>
      </c>
      <c r="D20" t="s">
        <v>359</v>
      </c>
      <c r="E20" s="36">
        <v>880</v>
      </c>
      <c r="F20" s="36">
        <v>1040</v>
      </c>
      <c r="G20" s="36">
        <v>400</v>
      </c>
      <c r="H20" s="36">
        <v>460</v>
      </c>
      <c r="I20" s="37">
        <v>0.35384615384615392</v>
      </c>
      <c r="J20" s="37">
        <v>0.39223560910307897</v>
      </c>
    </row>
    <row r="21" spans="1:10" x14ac:dyDescent="0.25">
      <c r="A21" t="s">
        <v>487</v>
      </c>
      <c r="B21" t="s">
        <v>488</v>
      </c>
      <c r="C21" t="s">
        <v>89</v>
      </c>
      <c r="D21" t="s">
        <v>359</v>
      </c>
      <c r="E21" s="36">
        <v>1467</v>
      </c>
      <c r="F21" s="36">
        <v>1734</v>
      </c>
      <c r="G21" s="36">
        <v>650</v>
      </c>
      <c r="H21" s="36">
        <v>747</v>
      </c>
      <c r="I21" s="37">
        <v>0.33363636363636368</v>
      </c>
      <c r="J21" s="37">
        <v>0.37075098814229263</v>
      </c>
    </row>
    <row r="22" spans="1:10" x14ac:dyDescent="0.25">
      <c r="A22" t="s">
        <v>489</v>
      </c>
      <c r="B22" t="s">
        <v>490</v>
      </c>
      <c r="C22" t="s">
        <v>89</v>
      </c>
      <c r="D22" t="s">
        <v>363</v>
      </c>
      <c r="E22" s="36">
        <v>1200</v>
      </c>
      <c r="F22" s="36">
        <v>1440</v>
      </c>
      <c r="G22" s="36">
        <v>720</v>
      </c>
      <c r="H22" s="36">
        <v>828</v>
      </c>
      <c r="I22" s="37">
        <v>0</v>
      </c>
      <c r="J22" s="37">
        <v>4.3478260869565188E-2</v>
      </c>
    </row>
    <row r="23" spans="1:10" x14ac:dyDescent="0.25">
      <c r="A23" t="s">
        <v>491</v>
      </c>
      <c r="B23" t="s">
        <v>492</v>
      </c>
      <c r="C23" t="s">
        <v>243</v>
      </c>
      <c r="D23" t="s">
        <v>327</v>
      </c>
      <c r="E23" s="36">
        <v>5500</v>
      </c>
      <c r="F23" s="36">
        <v>6600</v>
      </c>
      <c r="G23" s="36">
        <v>2400</v>
      </c>
      <c r="H23" s="36">
        <v>2760</v>
      </c>
      <c r="I23" s="37">
        <v>0.375</v>
      </c>
      <c r="J23" s="37">
        <v>0.43478260869565211</v>
      </c>
    </row>
    <row r="24" spans="1:10" x14ac:dyDescent="0.25">
      <c r="A24" t="s">
        <v>493</v>
      </c>
      <c r="B24" t="s">
        <v>494</v>
      </c>
      <c r="C24" t="s">
        <v>243</v>
      </c>
      <c r="D24" t="s">
        <v>327</v>
      </c>
      <c r="E24" s="36">
        <v>8067</v>
      </c>
      <c r="F24" s="36">
        <v>9680</v>
      </c>
      <c r="G24" s="36">
        <v>4500</v>
      </c>
      <c r="H24" s="36">
        <v>5310</v>
      </c>
      <c r="I24" s="37">
        <v>7.559999999999989E-2</v>
      </c>
      <c r="J24" s="37">
        <v>7.5555555555555598E-2</v>
      </c>
    </row>
    <row r="25" spans="1:10" x14ac:dyDescent="0.25">
      <c r="A25" t="s">
        <v>495</v>
      </c>
      <c r="B25" t="s">
        <v>496</v>
      </c>
      <c r="C25" t="s">
        <v>243</v>
      </c>
      <c r="D25" t="s">
        <v>327</v>
      </c>
      <c r="E25" s="36">
        <v>11000</v>
      </c>
      <c r="F25" s="36">
        <v>13200</v>
      </c>
      <c r="G25" s="36">
        <v>6000</v>
      </c>
      <c r="H25" s="36">
        <v>7080</v>
      </c>
      <c r="I25" s="37">
        <v>0.1000000000000001</v>
      </c>
      <c r="J25" s="37">
        <v>0.1000000000000001</v>
      </c>
    </row>
    <row r="26" spans="1:10" x14ac:dyDescent="0.25">
      <c r="A26" t="s">
        <v>497</v>
      </c>
      <c r="B26" t="s">
        <v>498</v>
      </c>
      <c r="C26" t="s">
        <v>89</v>
      </c>
      <c r="D26" t="s">
        <v>327</v>
      </c>
      <c r="E26" s="36">
        <v>35</v>
      </c>
      <c r="F26" s="36">
        <v>40</v>
      </c>
      <c r="G26" s="36">
        <v>20</v>
      </c>
      <c r="H26" s="36">
        <v>23</v>
      </c>
      <c r="I26" s="37">
        <v>0</v>
      </c>
      <c r="J26" s="37">
        <v>0</v>
      </c>
    </row>
    <row r="27" spans="1:10" x14ac:dyDescent="0.25">
      <c r="A27" t="s">
        <v>499</v>
      </c>
      <c r="B27" t="s">
        <v>500</v>
      </c>
      <c r="C27" t="s">
        <v>89</v>
      </c>
      <c r="D27" t="s">
        <v>327</v>
      </c>
      <c r="E27" s="36">
        <v>30</v>
      </c>
      <c r="F27" s="36">
        <v>35</v>
      </c>
      <c r="G27" s="36">
        <v>18</v>
      </c>
      <c r="H27" s="36">
        <v>20.5</v>
      </c>
      <c r="I27" s="37">
        <v>0</v>
      </c>
      <c r="J27" s="37">
        <v>1.449275362318847E-2</v>
      </c>
    </row>
    <row r="28" spans="1:10" x14ac:dyDescent="0.25">
      <c r="A28" t="s">
        <v>501</v>
      </c>
      <c r="B28" t="s">
        <v>502</v>
      </c>
      <c r="C28" t="s">
        <v>89</v>
      </c>
      <c r="D28" t="s">
        <v>327</v>
      </c>
      <c r="E28" s="36">
        <v>10</v>
      </c>
      <c r="F28" s="36">
        <v>11</v>
      </c>
      <c r="G28" s="36">
        <v>5</v>
      </c>
      <c r="H28" s="36">
        <v>6</v>
      </c>
      <c r="I28" s="37">
        <v>0.25</v>
      </c>
      <c r="J28" s="37">
        <v>0.22222222222222229</v>
      </c>
    </row>
    <row r="29" spans="1:10" x14ac:dyDescent="0.25">
      <c r="A29" t="s">
        <v>503</v>
      </c>
      <c r="B29" t="s">
        <v>504</v>
      </c>
      <c r="C29" t="s">
        <v>229</v>
      </c>
      <c r="D29" t="s">
        <v>355</v>
      </c>
      <c r="E29" s="36">
        <v>160</v>
      </c>
      <c r="F29" s="36">
        <v>191</v>
      </c>
      <c r="G29" s="36">
        <v>70</v>
      </c>
      <c r="H29" s="36">
        <v>80.5</v>
      </c>
      <c r="I29" s="37">
        <v>0.33333333333333331</v>
      </c>
      <c r="J29" s="37">
        <v>0.38405797101449268</v>
      </c>
    </row>
    <row r="30" spans="1:10" x14ac:dyDescent="0.25">
      <c r="A30" t="s">
        <v>505</v>
      </c>
      <c r="B30" t="s">
        <v>506</v>
      </c>
      <c r="C30" t="s">
        <v>229</v>
      </c>
      <c r="D30" t="s">
        <v>355</v>
      </c>
      <c r="E30" s="36">
        <v>214</v>
      </c>
      <c r="F30" s="36">
        <v>254</v>
      </c>
      <c r="G30" s="36">
        <v>90</v>
      </c>
      <c r="H30" s="36">
        <v>103</v>
      </c>
      <c r="I30" s="37">
        <v>0.42666666666666669</v>
      </c>
      <c r="J30" s="37">
        <v>0.47674418604651159</v>
      </c>
    </row>
    <row r="31" spans="1:10" x14ac:dyDescent="0.25">
      <c r="A31" t="s">
        <v>507</v>
      </c>
      <c r="B31" t="s">
        <v>508</v>
      </c>
      <c r="C31" t="s">
        <v>243</v>
      </c>
      <c r="D31" t="s">
        <v>355</v>
      </c>
      <c r="E31" s="36">
        <v>10134</v>
      </c>
      <c r="F31" s="36">
        <v>12034</v>
      </c>
      <c r="G31" s="36">
        <v>3600</v>
      </c>
      <c r="H31" s="36">
        <v>4140</v>
      </c>
      <c r="I31" s="37">
        <v>0.68900000000000006</v>
      </c>
      <c r="J31" s="37">
        <v>0.74405797101449278</v>
      </c>
    </row>
    <row r="32" spans="1:10" x14ac:dyDescent="0.25">
      <c r="A32" t="s">
        <v>509</v>
      </c>
      <c r="B32" t="s">
        <v>510</v>
      </c>
      <c r="C32" t="s">
        <v>243</v>
      </c>
      <c r="D32" t="s">
        <v>327</v>
      </c>
      <c r="E32" s="36">
        <v>9534</v>
      </c>
      <c r="F32" s="36">
        <v>11440</v>
      </c>
      <c r="G32" s="36">
        <v>5100</v>
      </c>
      <c r="H32" s="36">
        <v>5865</v>
      </c>
      <c r="I32" s="37">
        <v>0.1216470588235294</v>
      </c>
      <c r="J32" s="37">
        <v>0.17033248081841429</v>
      </c>
    </row>
    <row r="33" spans="1:10" x14ac:dyDescent="0.25">
      <c r="A33" t="s">
        <v>511</v>
      </c>
      <c r="B33" t="s">
        <v>512</v>
      </c>
      <c r="C33" t="s">
        <v>243</v>
      </c>
      <c r="D33" t="s">
        <v>327</v>
      </c>
      <c r="E33" s="36">
        <v>12467</v>
      </c>
      <c r="F33" s="36">
        <v>14960</v>
      </c>
      <c r="G33" s="36">
        <v>6600</v>
      </c>
      <c r="H33" s="36">
        <v>7788</v>
      </c>
      <c r="I33" s="37">
        <v>0.13336363636363641</v>
      </c>
      <c r="J33" s="37">
        <v>0.1333333333333333</v>
      </c>
    </row>
    <row r="34" spans="1:10" x14ac:dyDescent="0.25">
      <c r="A34" t="s">
        <v>513</v>
      </c>
      <c r="B34" t="s">
        <v>514</v>
      </c>
      <c r="C34" t="s">
        <v>229</v>
      </c>
      <c r="D34" t="s">
        <v>355</v>
      </c>
      <c r="E34" s="36">
        <v>427</v>
      </c>
      <c r="F34" s="36">
        <v>507</v>
      </c>
      <c r="G34" s="36">
        <v>150</v>
      </c>
      <c r="H34" s="36">
        <v>172</v>
      </c>
      <c r="I34" s="37">
        <v>0.70799999999999996</v>
      </c>
      <c r="J34" s="37">
        <v>0.76041666666666674</v>
      </c>
    </row>
    <row r="35" spans="1:10" x14ac:dyDescent="0.25">
      <c r="A35" t="s">
        <v>515</v>
      </c>
      <c r="B35" t="s">
        <v>516</v>
      </c>
      <c r="C35" t="s">
        <v>89</v>
      </c>
      <c r="D35" t="s">
        <v>355</v>
      </c>
      <c r="E35" s="36">
        <v>267</v>
      </c>
      <c r="F35" s="36">
        <v>318</v>
      </c>
      <c r="G35" s="36">
        <v>130</v>
      </c>
      <c r="H35" s="36">
        <v>150</v>
      </c>
      <c r="I35" s="37">
        <v>0.2136363636363636</v>
      </c>
      <c r="J35" s="37">
        <v>0.2569169960474309</v>
      </c>
    </row>
    <row r="36" spans="1:10" x14ac:dyDescent="0.25">
      <c r="A36" t="s">
        <v>517</v>
      </c>
      <c r="B36" t="s">
        <v>518</v>
      </c>
      <c r="C36" t="s">
        <v>89</v>
      </c>
      <c r="D36" t="s">
        <v>355</v>
      </c>
      <c r="E36" s="36">
        <v>192</v>
      </c>
      <c r="F36" s="36">
        <v>228</v>
      </c>
      <c r="G36" s="36">
        <v>90</v>
      </c>
      <c r="H36" s="36">
        <v>103</v>
      </c>
      <c r="I36" s="37">
        <v>0.28000000000000003</v>
      </c>
      <c r="J36" s="37">
        <v>0.32558139534883712</v>
      </c>
    </row>
    <row r="37" spans="1:10" x14ac:dyDescent="0.25">
      <c r="A37" t="s">
        <v>519</v>
      </c>
      <c r="B37" t="s">
        <v>520</v>
      </c>
      <c r="C37" t="s">
        <v>89</v>
      </c>
      <c r="D37" t="s">
        <v>355</v>
      </c>
      <c r="E37" s="36">
        <v>54</v>
      </c>
      <c r="F37" s="36">
        <v>64</v>
      </c>
      <c r="G37" s="36">
        <v>25</v>
      </c>
      <c r="H37" s="36">
        <v>28.5</v>
      </c>
      <c r="I37" s="37">
        <v>0.35000000000000009</v>
      </c>
      <c r="J37" s="37">
        <v>0.39130434782608692</v>
      </c>
    </row>
    <row r="38" spans="1:10" x14ac:dyDescent="0.25">
      <c r="A38" t="s">
        <v>521</v>
      </c>
      <c r="B38" t="s">
        <v>522</v>
      </c>
      <c r="C38" t="s">
        <v>89</v>
      </c>
      <c r="D38" t="s">
        <v>355</v>
      </c>
      <c r="E38" s="36">
        <v>235</v>
      </c>
      <c r="F38" s="36">
        <v>279</v>
      </c>
      <c r="G38" s="36">
        <v>120</v>
      </c>
      <c r="H38" s="36">
        <v>138</v>
      </c>
      <c r="I38" s="37">
        <v>0.17499999999999999</v>
      </c>
      <c r="J38" s="37">
        <v>0.2130434782608697</v>
      </c>
    </row>
    <row r="39" spans="1:10" x14ac:dyDescent="0.25">
      <c r="A39" t="s">
        <v>523</v>
      </c>
      <c r="B39" t="s">
        <v>524</v>
      </c>
      <c r="C39" t="s">
        <v>229</v>
      </c>
      <c r="D39" t="s">
        <v>355</v>
      </c>
      <c r="E39" s="36">
        <v>160</v>
      </c>
      <c r="F39" s="36">
        <v>191</v>
      </c>
      <c r="G39" s="36">
        <v>70</v>
      </c>
      <c r="H39" s="36">
        <v>80.5</v>
      </c>
      <c r="I39" s="37">
        <v>0.33333333333333331</v>
      </c>
      <c r="J39" s="37">
        <v>0.38405797101449268</v>
      </c>
    </row>
    <row r="40" spans="1:10" x14ac:dyDescent="0.25">
      <c r="A40" t="s">
        <v>525</v>
      </c>
      <c r="B40" t="s">
        <v>526</v>
      </c>
      <c r="C40" t="s">
        <v>89</v>
      </c>
      <c r="D40" t="s">
        <v>355</v>
      </c>
      <c r="E40" s="36">
        <v>107</v>
      </c>
      <c r="F40" s="36">
        <v>127</v>
      </c>
      <c r="G40" s="36">
        <v>55</v>
      </c>
      <c r="H40" s="36">
        <v>63</v>
      </c>
      <c r="I40" s="37">
        <v>0.18888888888888891</v>
      </c>
      <c r="J40" s="37">
        <v>0.233009708737864</v>
      </c>
    </row>
    <row r="41" spans="1:10" x14ac:dyDescent="0.25">
      <c r="A41" t="s">
        <v>527</v>
      </c>
      <c r="B41" t="s">
        <v>528</v>
      </c>
      <c r="C41" t="s">
        <v>89</v>
      </c>
      <c r="D41" t="s">
        <v>355</v>
      </c>
      <c r="E41" s="36">
        <v>534</v>
      </c>
      <c r="F41" s="36">
        <v>634</v>
      </c>
      <c r="G41" s="36">
        <v>270</v>
      </c>
      <c r="H41" s="36">
        <v>310</v>
      </c>
      <c r="I41" s="37">
        <v>0.18666666666666679</v>
      </c>
      <c r="J41" s="37">
        <v>0.22393822393822391</v>
      </c>
    </row>
    <row r="42" spans="1:10" x14ac:dyDescent="0.25">
      <c r="A42" t="s">
        <v>529</v>
      </c>
      <c r="B42" t="s">
        <v>530</v>
      </c>
      <c r="C42" t="s">
        <v>89</v>
      </c>
      <c r="D42" t="s">
        <v>355</v>
      </c>
      <c r="E42" s="36">
        <v>214</v>
      </c>
      <c r="F42" s="36">
        <v>254</v>
      </c>
      <c r="G42" s="36">
        <v>120</v>
      </c>
      <c r="H42" s="36">
        <v>138</v>
      </c>
      <c r="I42" s="37">
        <v>7.0000000000000062E-2</v>
      </c>
      <c r="J42" s="37">
        <v>0.1043478260869566</v>
      </c>
    </row>
    <row r="43" spans="1:10" x14ac:dyDescent="0.25">
      <c r="A43" t="s">
        <v>531</v>
      </c>
      <c r="B43" t="s">
        <v>532</v>
      </c>
      <c r="C43" t="s">
        <v>101</v>
      </c>
      <c r="D43" t="s">
        <v>355</v>
      </c>
      <c r="E43" s="36">
        <v>900</v>
      </c>
      <c r="F43" s="36">
        <v>1035</v>
      </c>
      <c r="G43" s="36">
        <v>540</v>
      </c>
      <c r="H43" s="36">
        <v>621</v>
      </c>
      <c r="I43" s="37">
        <v>0</v>
      </c>
      <c r="J43" s="37">
        <v>0</v>
      </c>
    </row>
    <row r="44" spans="1:10" x14ac:dyDescent="0.25">
      <c r="A44" t="s">
        <v>533</v>
      </c>
      <c r="B44" t="s">
        <v>534</v>
      </c>
      <c r="C44" t="s">
        <v>229</v>
      </c>
      <c r="D44" t="s">
        <v>359</v>
      </c>
      <c r="E44" s="36">
        <v>220</v>
      </c>
      <c r="F44" s="36">
        <v>260</v>
      </c>
      <c r="G44" s="36">
        <v>70</v>
      </c>
      <c r="H44" s="36">
        <v>80.5</v>
      </c>
      <c r="I44" s="37">
        <v>0.83333333333333326</v>
      </c>
      <c r="J44" s="37">
        <v>0.88405797101449268</v>
      </c>
    </row>
    <row r="45" spans="1:10" x14ac:dyDescent="0.25">
      <c r="A45" t="s">
        <v>535</v>
      </c>
      <c r="B45" t="s">
        <v>536</v>
      </c>
      <c r="C45" t="s">
        <v>101</v>
      </c>
      <c r="D45" t="s">
        <v>355</v>
      </c>
      <c r="E45" s="36">
        <v>6000</v>
      </c>
      <c r="F45" s="36">
        <v>6900</v>
      </c>
      <c r="G45" s="36">
        <v>3600</v>
      </c>
      <c r="H45" s="36">
        <v>4140</v>
      </c>
      <c r="I45" s="37">
        <v>0</v>
      </c>
      <c r="J45" s="37">
        <v>0</v>
      </c>
    </row>
    <row r="46" spans="1:10" x14ac:dyDescent="0.25">
      <c r="A46" t="s">
        <v>537</v>
      </c>
      <c r="B46" t="s">
        <v>538</v>
      </c>
      <c r="C46" t="s">
        <v>539</v>
      </c>
      <c r="D46" t="s">
        <v>363</v>
      </c>
      <c r="E46" s="36">
        <v>24000</v>
      </c>
      <c r="F46" s="36">
        <v>28800</v>
      </c>
      <c r="G46" s="36">
        <v>7200</v>
      </c>
      <c r="H46" s="36">
        <v>8280</v>
      </c>
      <c r="I46" s="37">
        <v>1</v>
      </c>
      <c r="J46" s="37">
        <v>1.0869565217391299</v>
      </c>
    </row>
    <row r="47" spans="1:10" x14ac:dyDescent="0.25">
      <c r="A47" t="s">
        <v>540</v>
      </c>
      <c r="B47" t="s">
        <v>541</v>
      </c>
      <c r="C47" t="s">
        <v>243</v>
      </c>
      <c r="D47" t="s">
        <v>327</v>
      </c>
      <c r="E47" s="36">
        <v>12467</v>
      </c>
      <c r="F47" s="36">
        <v>14960</v>
      </c>
      <c r="G47" s="36">
        <v>6600</v>
      </c>
      <c r="H47" s="36">
        <v>7788</v>
      </c>
      <c r="I47" s="37">
        <v>0.13336363636363641</v>
      </c>
      <c r="J47" s="37">
        <v>0.1333333333333333</v>
      </c>
    </row>
    <row r="48" spans="1:10" x14ac:dyDescent="0.25">
      <c r="A48" t="s">
        <v>542</v>
      </c>
      <c r="B48" t="s">
        <v>543</v>
      </c>
      <c r="C48" t="s">
        <v>243</v>
      </c>
      <c r="D48" t="s">
        <v>327</v>
      </c>
      <c r="E48" s="36">
        <v>9534</v>
      </c>
      <c r="F48" s="36">
        <v>11440</v>
      </c>
      <c r="G48" s="36">
        <v>5100</v>
      </c>
      <c r="H48" s="36">
        <v>6018</v>
      </c>
      <c r="I48" s="37">
        <v>0.1216470588235294</v>
      </c>
      <c r="J48" s="37">
        <v>0.1215686274509804</v>
      </c>
    </row>
    <row r="49" spans="1:10" x14ac:dyDescent="0.25">
      <c r="A49" t="s">
        <v>544</v>
      </c>
      <c r="B49" t="s">
        <v>545</v>
      </c>
      <c r="C49" t="s">
        <v>539</v>
      </c>
      <c r="D49" t="s">
        <v>363</v>
      </c>
      <c r="E49" s="36">
        <v>14400</v>
      </c>
      <c r="F49" s="36">
        <v>17280</v>
      </c>
      <c r="G49" s="36">
        <v>4500</v>
      </c>
      <c r="H49" s="36">
        <v>5175</v>
      </c>
      <c r="I49" s="37">
        <v>0.91999999999999993</v>
      </c>
      <c r="J49" s="37">
        <v>1.0034782608695649</v>
      </c>
    </row>
    <row r="50" spans="1:10" x14ac:dyDescent="0.25">
      <c r="A50" t="s">
        <v>546</v>
      </c>
      <c r="B50" t="s">
        <v>547</v>
      </c>
      <c r="C50" t="s">
        <v>548</v>
      </c>
      <c r="D50" t="s">
        <v>339</v>
      </c>
      <c r="E50" s="36">
        <v>2000</v>
      </c>
      <c r="F50" s="36">
        <v>2300</v>
      </c>
      <c r="G50" s="36">
        <v>1200</v>
      </c>
      <c r="H50" s="36">
        <v>1380</v>
      </c>
      <c r="I50" s="37">
        <v>0</v>
      </c>
      <c r="J50" s="37">
        <v>0</v>
      </c>
    </row>
    <row r="51" spans="1:10" x14ac:dyDescent="0.25">
      <c r="A51" t="s">
        <v>549</v>
      </c>
      <c r="B51" t="s">
        <v>550</v>
      </c>
      <c r="C51" t="s">
        <v>548</v>
      </c>
      <c r="D51" t="s">
        <v>339</v>
      </c>
      <c r="E51" s="36">
        <v>800</v>
      </c>
      <c r="F51" s="36">
        <v>920</v>
      </c>
      <c r="G51" s="36">
        <v>480</v>
      </c>
      <c r="H51" s="36">
        <v>552</v>
      </c>
      <c r="I51" s="37">
        <v>0</v>
      </c>
      <c r="J51" s="37">
        <v>0</v>
      </c>
    </row>
    <row r="52" spans="1:10" x14ac:dyDescent="0.25">
      <c r="A52" t="s">
        <v>551</v>
      </c>
      <c r="B52" t="s">
        <v>552</v>
      </c>
      <c r="C52" t="s">
        <v>101</v>
      </c>
      <c r="D52" t="s">
        <v>339</v>
      </c>
      <c r="E52" s="36">
        <v>1200</v>
      </c>
      <c r="F52" s="36">
        <v>1380</v>
      </c>
      <c r="G52" s="36">
        <v>720</v>
      </c>
      <c r="H52" s="36">
        <v>828</v>
      </c>
      <c r="I52" s="37">
        <v>0</v>
      </c>
      <c r="J52" s="37">
        <v>0</v>
      </c>
    </row>
    <row r="53" spans="1:10" x14ac:dyDescent="0.25">
      <c r="A53" t="s">
        <v>553</v>
      </c>
      <c r="B53" t="s">
        <v>554</v>
      </c>
      <c r="C53" t="s">
        <v>460</v>
      </c>
      <c r="D53" t="s">
        <v>363</v>
      </c>
      <c r="E53" s="36">
        <v>21600</v>
      </c>
      <c r="F53" s="36">
        <v>25920</v>
      </c>
      <c r="G53" s="36">
        <v>7200</v>
      </c>
      <c r="H53" s="36">
        <v>8280</v>
      </c>
      <c r="I53" s="37">
        <v>0.8</v>
      </c>
      <c r="J53" s="37">
        <v>0.87826086956521743</v>
      </c>
    </row>
    <row r="54" spans="1:10" x14ac:dyDescent="0.25">
      <c r="A54" t="s">
        <v>555</v>
      </c>
      <c r="B54" t="s">
        <v>556</v>
      </c>
      <c r="C54" t="s">
        <v>243</v>
      </c>
      <c r="D54" t="s">
        <v>327</v>
      </c>
      <c r="E54" s="36">
        <v>6600</v>
      </c>
      <c r="F54" s="36">
        <v>7920</v>
      </c>
      <c r="G54" s="36">
        <v>3900</v>
      </c>
      <c r="H54" s="36">
        <v>4485</v>
      </c>
      <c r="I54" s="37">
        <v>1.538461538461533E-2</v>
      </c>
      <c r="J54" s="37">
        <v>5.9531772575250892E-2</v>
      </c>
    </row>
    <row r="55" spans="1:10" x14ac:dyDescent="0.25">
      <c r="A55" t="s">
        <v>557</v>
      </c>
      <c r="B55" t="s">
        <v>558</v>
      </c>
      <c r="C55" t="s">
        <v>243</v>
      </c>
      <c r="D55" t="s">
        <v>327</v>
      </c>
      <c r="E55" s="36">
        <v>8800</v>
      </c>
      <c r="F55" s="36">
        <v>10560</v>
      </c>
      <c r="G55" s="36">
        <v>4800</v>
      </c>
      <c r="H55" s="36">
        <v>5520</v>
      </c>
      <c r="I55" s="37">
        <v>0.1000000000000001</v>
      </c>
      <c r="J55" s="37">
        <v>0.1478260869565218</v>
      </c>
    </row>
    <row r="56" spans="1:10" x14ac:dyDescent="0.25">
      <c r="A56" t="s">
        <v>559</v>
      </c>
      <c r="B56" t="s">
        <v>560</v>
      </c>
      <c r="C56" t="s">
        <v>229</v>
      </c>
      <c r="D56" t="s">
        <v>327</v>
      </c>
      <c r="E56" s="36">
        <v>50</v>
      </c>
      <c r="F56" s="36">
        <v>57.5</v>
      </c>
      <c r="G56" s="36">
        <v>30</v>
      </c>
      <c r="H56" s="36">
        <v>34.5</v>
      </c>
      <c r="I56" s="37">
        <v>0</v>
      </c>
      <c r="J56" s="37">
        <v>0</v>
      </c>
    </row>
    <row r="57" spans="1:10" x14ac:dyDescent="0.25">
      <c r="A57" t="s">
        <v>561</v>
      </c>
      <c r="B57" t="s">
        <v>562</v>
      </c>
      <c r="C57" t="s">
        <v>229</v>
      </c>
      <c r="D57" t="s">
        <v>327</v>
      </c>
      <c r="E57" s="36">
        <v>120</v>
      </c>
      <c r="F57" s="36">
        <v>138</v>
      </c>
      <c r="G57" s="36">
        <v>70</v>
      </c>
      <c r="H57" s="36">
        <v>80.5</v>
      </c>
      <c r="I57" s="37">
        <v>0</v>
      </c>
      <c r="J57" s="37">
        <v>0</v>
      </c>
    </row>
    <row r="58" spans="1:10" x14ac:dyDescent="0.25">
      <c r="A58" t="s">
        <v>563</v>
      </c>
      <c r="B58" t="s">
        <v>564</v>
      </c>
      <c r="C58" t="s">
        <v>89</v>
      </c>
      <c r="D58" t="s">
        <v>327</v>
      </c>
      <c r="E58" s="36">
        <v>100</v>
      </c>
      <c r="F58" s="36">
        <v>115</v>
      </c>
      <c r="G58" s="36">
        <v>60</v>
      </c>
      <c r="H58" s="36">
        <v>69</v>
      </c>
      <c r="I58" s="37">
        <v>0</v>
      </c>
      <c r="J58" s="37">
        <v>0</v>
      </c>
    </row>
    <row r="59" spans="1:10" x14ac:dyDescent="0.25">
      <c r="A59" t="s">
        <v>565</v>
      </c>
      <c r="B59" t="s">
        <v>566</v>
      </c>
      <c r="C59" t="s">
        <v>89</v>
      </c>
      <c r="D59" t="s">
        <v>327</v>
      </c>
      <c r="E59" s="36">
        <v>300</v>
      </c>
      <c r="F59" s="36">
        <v>345</v>
      </c>
      <c r="G59" s="36">
        <v>180</v>
      </c>
      <c r="H59" s="36">
        <v>207</v>
      </c>
      <c r="I59" s="37">
        <v>0</v>
      </c>
      <c r="J59" s="37">
        <v>0</v>
      </c>
    </row>
    <row r="60" spans="1:10" x14ac:dyDescent="0.25">
      <c r="A60" t="s">
        <v>567</v>
      </c>
      <c r="B60" t="s">
        <v>568</v>
      </c>
      <c r="C60" t="s">
        <v>89</v>
      </c>
      <c r="D60" t="s">
        <v>327</v>
      </c>
      <c r="E60" s="36">
        <v>650</v>
      </c>
      <c r="F60" s="36">
        <v>747</v>
      </c>
      <c r="G60" s="36">
        <v>400</v>
      </c>
      <c r="H60" s="36">
        <v>460</v>
      </c>
      <c r="I60" s="37">
        <v>0</v>
      </c>
      <c r="J60" s="37">
        <v>0</v>
      </c>
    </row>
    <row r="61" spans="1:10" x14ac:dyDescent="0.25">
      <c r="A61" t="s">
        <v>569</v>
      </c>
      <c r="B61" t="s">
        <v>570</v>
      </c>
      <c r="C61" t="s">
        <v>89</v>
      </c>
      <c r="D61" t="s">
        <v>327</v>
      </c>
      <c r="E61" s="36">
        <v>80</v>
      </c>
      <c r="F61" s="36">
        <v>92</v>
      </c>
      <c r="G61" s="36">
        <v>50</v>
      </c>
      <c r="H61" s="36">
        <v>57.5</v>
      </c>
      <c r="I61" s="37">
        <v>0</v>
      </c>
      <c r="J61" s="37">
        <v>0</v>
      </c>
    </row>
    <row r="62" spans="1:10" x14ac:dyDescent="0.25">
      <c r="A62" t="s">
        <v>571</v>
      </c>
      <c r="B62" t="s">
        <v>572</v>
      </c>
      <c r="C62" t="s">
        <v>229</v>
      </c>
      <c r="D62" t="s">
        <v>327</v>
      </c>
      <c r="E62" s="36">
        <v>120</v>
      </c>
      <c r="F62" s="36">
        <v>138</v>
      </c>
      <c r="G62" s="36">
        <v>70</v>
      </c>
      <c r="H62" s="36">
        <v>80.5</v>
      </c>
      <c r="I62" s="37">
        <v>0</v>
      </c>
      <c r="J62" s="37">
        <v>0</v>
      </c>
    </row>
    <row r="63" spans="1:10" x14ac:dyDescent="0.25">
      <c r="A63" t="s">
        <v>573</v>
      </c>
      <c r="B63" t="s">
        <v>574</v>
      </c>
      <c r="C63" t="s">
        <v>89</v>
      </c>
      <c r="D63" t="s">
        <v>327</v>
      </c>
      <c r="E63" s="36">
        <v>150</v>
      </c>
      <c r="F63" s="36">
        <v>172</v>
      </c>
      <c r="G63" s="36">
        <v>90</v>
      </c>
      <c r="H63" s="36">
        <v>103</v>
      </c>
      <c r="I63" s="37">
        <v>0</v>
      </c>
      <c r="J63" s="37">
        <v>0</v>
      </c>
    </row>
    <row r="64" spans="1:10" x14ac:dyDescent="0.25">
      <c r="A64" t="s">
        <v>575</v>
      </c>
      <c r="B64" t="s">
        <v>576</v>
      </c>
      <c r="C64" t="s">
        <v>89</v>
      </c>
      <c r="D64" t="s">
        <v>327</v>
      </c>
      <c r="E64" s="36">
        <v>1027</v>
      </c>
      <c r="F64" s="36">
        <v>1232</v>
      </c>
      <c r="G64" s="36">
        <v>600</v>
      </c>
      <c r="H64" s="36">
        <v>690</v>
      </c>
      <c r="I64" s="37">
        <v>2.6999999999999909E-2</v>
      </c>
      <c r="J64" s="37">
        <v>7.1304347826086856E-2</v>
      </c>
    </row>
    <row r="65" spans="1:10" x14ac:dyDescent="0.25">
      <c r="A65" t="s">
        <v>577</v>
      </c>
      <c r="B65" t="s">
        <v>578</v>
      </c>
      <c r="C65" t="s">
        <v>89</v>
      </c>
      <c r="D65" t="s">
        <v>327</v>
      </c>
      <c r="E65" s="36">
        <v>450</v>
      </c>
      <c r="F65" s="36">
        <v>518</v>
      </c>
      <c r="G65" s="36">
        <v>270</v>
      </c>
      <c r="H65" s="36">
        <v>310</v>
      </c>
      <c r="I65" s="37">
        <v>0</v>
      </c>
      <c r="J65" s="37">
        <v>0</v>
      </c>
    </row>
    <row r="66" spans="1:10" x14ac:dyDescent="0.25">
      <c r="A66" t="s">
        <v>579</v>
      </c>
      <c r="B66" t="s">
        <v>580</v>
      </c>
      <c r="C66" t="s">
        <v>89</v>
      </c>
      <c r="D66" t="s">
        <v>327</v>
      </c>
      <c r="E66" s="36">
        <v>90</v>
      </c>
      <c r="F66" s="36">
        <v>103</v>
      </c>
      <c r="G66" s="36">
        <v>55</v>
      </c>
      <c r="H66" s="36">
        <v>63</v>
      </c>
      <c r="I66" s="37">
        <v>0</v>
      </c>
      <c r="J66" s="37">
        <v>0</v>
      </c>
    </row>
    <row r="67" spans="1:10" x14ac:dyDescent="0.25">
      <c r="A67" t="s">
        <v>581</v>
      </c>
      <c r="B67" t="s">
        <v>582</v>
      </c>
      <c r="C67" t="s">
        <v>89</v>
      </c>
      <c r="D67" t="s">
        <v>327</v>
      </c>
      <c r="E67" s="36">
        <v>150</v>
      </c>
      <c r="F67" s="36">
        <v>172</v>
      </c>
      <c r="G67" s="36">
        <v>90</v>
      </c>
      <c r="H67" s="36">
        <v>103</v>
      </c>
      <c r="I67" s="37">
        <v>0</v>
      </c>
      <c r="J67" s="37">
        <v>0</v>
      </c>
    </row>
    <row r="68" spans="1:10" x14ac:dyDescent="0.25">
      <c r="A68" t="s">
        <v>583</v>
      </c>
      <c r="B68" t="s">
        <v>584</v>
      </c>
      <c r="C68" t="s">
        <v>89</v>
      </c>
      <c r="D68" t="s">
        <v>351</v>
      </c>
      <c r="E68" s="36">
        <v>450</v>
      </c>
      <c r="F68" s="36">
        <v>518</v>
      </c>
      <c r="G68" s="36">
        <v>270</v>
      </c>
      <c r="H68" s="36">
        <v>310</v>
      </c>
      <c r="I68" s="37">
        <v>0</v>
      </c>
      <c r="J68" s="37">
        <v>0</v>
      </c>
    </row>
    <row r="69" spans="1:10" x14ac:dyDescent="0.25">
      <c r="A69" t="s">
        <v>585</v>
      </c>
      <c r="B69" t="s">
        <v>586</v>
      </c>
      <c r="C69" t="s">
        <v>89</v>
      </c>
      <c r="D69" t="s">
        <v>327</v>
      </c>
      <c r="E69" s="36">
        <v>300</v>
      </c>
      <c r="F69" s="36">
        <v>345</v>
      </c>
      <c r="G69" s="36">
        <v>180</v>
      </c>
      <c r="H69" s="36">
        <v>207</v>
      </c>
      <c r="I69" s="37">
        <v>0</v>
      </c>
      <c r="J69" s="37">
        <v>0</v>
      </c>
    </row>
    <row r="70" spans="1:10" x14ac:dyDescent="0.25">
      <c r="A70" t="s">
        <v>587</v>
      </c>
      <c r="B70" t="s">
        <v>588</v>
      </c>
      <c r="C70" t="s">
        <v>89</v>
      </c>
      <c r="D70" t="s">
        <v>327</v>
      </c>
      <c r="E70" s="36">
        <v>120</v>
      </c>
      <c r="F70" s="36">
        <v>138</v>
      </c>
      <c r="G70" s="36">
        <v>70</v>
      </c>
      <c r="H70" s="36">
        <v>80.5</v>
      </c>
      <c r="I70" s="37">
        <v>0</v>
      </c>
      <c r="J70" s="37">
        <v>0</v>
      </c>
    </row>
    <row r="71" spans="1:10" x14ac:dyDescent="0.25">
      <c r="A71" t="s">
        <v>589</v>
      </c>
      <c r="B71" t="s">
        <v>590</v>
      </c>
      <c r="C71" t="s">
        <v>89</v>
      </c>
      <c r="D71" t="s">
        <v>347</v>
      </c>
      <c r="E71" s="36">
        <v>500</v>
      </c>
      <c r="F71" s="36">
        <v>600</v>
      </c>
      <c r="G71" s="36">
        <v>210</v>
      </c>
      <c r="H71" s="36">
        <v>241</v>
      </c>
      <c r="I71" s="37">
        <v>0.4285714285714286</v>
      </c>
      <c r="J71" s="37">
        <v>0.49253731343283591</v>
      </c>
    </row>
    <row r="72" spans="1:10" x14ac:dyDescent="0.25">
      <c r="A72" t="s">
        <v>591</v>
      </c>
      <c r="B72" t="s">
        <v>592</v>
      </c>
      <c r="C72" t="s">
        <v>89</v>
      </c>
      <c r="D72" t="s">
        <v>347</v>
      </c>
      <c r="E72" s="36">
        <v>251</v>
      </c>
      <c r="F72" s="36">
        <v>300</v>
      </c>
      <c r="G72" s="36">
        <v>130</v>
      </c>
      <c r="H72" s="36">
        <v>150</v>
      </c>
      <c r="I72" s="37">
        <v>0.1409090909090909</v>
      </c>
      <c r="J72" s="37">
        <v>0.1857707509881423</v>
      </c>
    </row>
    <row r="73" spans="1:10" x14ac:dyDescent="0.25">
      <c r="A73" t="s">
        <v>593</v>
      </c>
      <c r="B73" t="s">
        <v>594</v>
      </c>
      <c r="C73" t="s">
        <v>89</v>
      </c>
      <c r="D73" t="s">
        <v>347</v>
      </c>
      <c r="E73" s="36">
        <v>200</v>
      </c>
      <c r="F73" s="36">
        <v>240</v>
      </c>
      <c r="G73" s="36">
        <v>110</v>
      </c>
      <c r="H73" s="36">
        <v>126</v>
      </c>
      <c r="I73" s="37">
        <v>0.1111111111111112</v>
      </c>
      <c r="J73" s="37">
        <v>0.15942028985507251</v>
      </c>
    </row>
    <row r="74" spans="1:10" x14ac:dyDescent="0.25">
      <c r="A74" t="s">
        <v>595</v>
      </c>
      <c r="B74" t="s">
        <v>596</v>
      </c>
      <c r="C74" t="s">
        <v>89</v>
      </c>
      <c r="D74" t="s">
        <v>347</v>
      </c>
      <c r="E74" s="36">
        <v>120</v>
      </c>
      <c r="F74" s="36">
        <v>144</v>
      </c>
      <c r="G74" s="36">
        <v>70</v>
      </c>
      <c r="H74" s="36">
        <v>80.5</v>
      </c>
      <c r="I74" s="37">
        <v>0</v>
      </c>
      <c r="J74" s="37">
        <v>4.3478260869565188E-2</v>
      </c>
    </row>
    <row r="75" spans="1:10" x14ac:dyDescent="0.25">
      <c r="A75" t="s">
        <v>597</v>
      </c>
      <c r="B75" t="s">
        <v>598</v>
      </c>
      <c r="C75" t="s">
        <v>89</v>
      </c>
      <c r="D75" t="s">
        <v>347</v>
      </c>
      <c r="E75" s="36">
        <v>180</v>
      </c>
      <c r="F75" s="36">
        <v>216</v>
      </c>
      <c r="G75" s="36">
        <v>90</v>
      </c>
      <c r="H75" s="36">
        <v>103</v>
      </c>
      <c r="I75" s="37">
        <v>0.2</v>
      </c>
      <c r="J75" s="37">
        <v>0.2558139534883721</v>
      </c>
    </row>
    <row r="76" spans="1:10" x14ac:dyDescent="0.25">
      <c r="A76" t="s">
        <v>599</v>
      </c>
      <c r="B76" t="s">
        <v>600</v>
      </c>
      <c r="C76" t="s">
        <v>89</v>
      </c>
      <c r="D76" t="s">
        <v>347</v>
      </c>
      <c r="E76" s="36">
        <v>220</v>
      </c>
      <c r="F76" s="36">
        <v>264</v>
      </c>
      <c r="G76" s="36">
        <v>120</v>
      </c>
      <c r="H76" s="36">
        <v>138</v>
      </c>
      <c r="I76" s="37">
        <v>0.1000000000000001</v>
      </c>
      <c r="J76" s="37">
        <v>0.1478260869565218</v>
      </c>
    </row>
    <row r="77" spans="1:10" x14ac:dyDescent="0.25">
      <c r="A77" t="s">
        <v>601</v>
      </c>
      <c r="B77" t="s">
        <v>602</v>
      </c>
      <c r="C77" t="s">
        <v>89</v>
      </c>
      <c r="D77" t="s">
        <v>347</v>
      </c>
      <c r="E77" s="36">
        <v>180</v>
      </c>
      <c r="F77" s="36">
        <v>216</v>
      </c>
      <c r="G77" s="36">
        <v>110</v>
      </c>
      <c r="H77" s="36">
        <v>126</v>
      </c>
      <c r="I77" s="37">
        <v>0</v>
      </c>
      <c r="J77" s="37">
        <v>4.3478260869565188E-2</v>
      </c>
    </row>
    <row r="78" spans="1:10" x14ac:dyDescent="0.25">
      <c r="A78" t="s">
        <v>603</v>
      </c>
      <c r="B78" t="s">
        <v>604</v>
      </c>
      <c r="C78" t="s">
        <v>89</v>
      </c>
      <c r="D78" t="s">
        <v>347</v>
      </c>
      <c r="E78" s="36">
        <v>220</v>
      </c>
      <c r="F78" s="36">
        <v>264</v>
      </c>
      <c r="G78" s="36">
        <v>120</v>
      </c>
      <c r="H78" s="36">
        <v>138</v>
      </c>
      <c r="I78" s="37">
        <v>0.1000000000000001</v>
      </c>
      <c r="J78" s="37">
        <v>0.1478260869565218</v>
      </c>
    </row>
    <row r="79" spans="1:10" x14ac:dyDescent="0.25">
      <c r="A79" t="s">
        <v>605</v>
      </c>
      <c r="B79" t="s">
        <v>606</v>
      </c>
      <c r="C79" t="s">
        <v>89</v>
      </c>
      <c r="D79" t="s">
        <v>347</v>
      </c>
      <c r="E79" s="36">
        <v>251</v>
      </c>
      <c r="F79" s="36">
        <v>300</v>
      </c>
      <c r="G79" s="36">
        <v>140</v>
      </c>
      <c r="H79" s="36">
        <v>161</v>
      </c>
      <c r="I79" s="37">
        <v>9.1304347826086873E-2</v>
      </c>
      <c r="J79" s="37">
        <v>0.13636363636363649</v>
      </c>
    </row>
    <row r="80" spans="1:10" x14ac:dyDescent="0.25">
      <c r="A80" t="s">
        <v>607</v>
      </c>
      <c r="B80" t="s">
        <v>608</v>
      </c>
      <c r="C80" t="s">
        <v>101</v>
      </c>
      <c r="D80" t="s">
        <v>347</v>
      </c>
      <c r="E80" s="36">
        <v>40</v>
      </c>
      <c r="F80" s="36">
        <v>48</v>
      </c>
      <c r="G80" s="36">
        <v>25</v>
      </c>
      <c r="H80" s="36">
        <v>28.5</v>
      </c>
      <c r="I80" s="37">
        <v>0</v>
      </c>
      <c r="J80" s="37">
        <v>4.3478260869565188E-2</v>
      </c>
    </row>
    <row r="81" spans="1:10" x14ac:dyDescent="0.25">
      <c r="A81" t="s">
        <v>609</v>
      </c>
      <c r="B81" t="s">
        <v>610</v>
      </c>
      <c r="C81" t="s">
        <v>89</v>
      </c>
      <c r="D81" t="s">
        <v>347</v>
      </c>
      <c r="E81" s="36">
        <v>151</v>
      </c>
      <c r="F81" s="36">
        <v>180</v>
      </c>
      <c r="G81" s="36">
        <v>70</v>
      </c>
      <c r="H81" s="36">
        <v>80.5</v>
      </c>
      <c r="I81" s="37">
        <v>0.2583333333333333</v>
      </c>
      <c r="J81" s="37">
        <v>0.30434782608695649</v>
      </c>
    </row>
    <row r="82" spans="1:10" x14ac:dyDescent="0.25">
      <c r="A82" t="s">
        <v>611</v>
      </c>
      <c r="B82" t="s">
        <v>612</v>
      </c>
      <c r="C82" t="s">
        <v>89</v>
      </c>
      <c r="D82" t="s">
        <v>347</v>
      </c>
      <c r="E82" s="36">
        <v>100</v>
      </c>
      <c r="F82" s="36">
        <v>115</v>
      </c>
      <c r="G82" s="36">
        <v>60</v>
      </c>
      <c r="H82" s="36">
        <v>69</v>
      </c>
      <c r="I82" s="37">
        <v>0</v>
      </c>
      <c r="J82" s="37">
        <v>0</v>
      </c>
    </row>
    <row r="83" spans="1:10" x14ac:dyDescent="0.25">
      <c r="A83" t="s">
        <v>613</v>
      </c>
      <c r="B83" t="s">
        <v>614</v>
      </c>
      <c r="C83" t="s">
        <v>229</v>
      </c>
      <c r="D83" t="s">
        <v>339</v>
      </c>
      <c r="E83" s="36">
        <v>800</v>
      </c>
      <c r="F83" s="36">
        <v>920</v>
      </c>
      <c r="G83" s="36">
        <v>480</v>
      </c>
      <c r="H83" s="36">
        <v>552</v>
      </c>
      <c r="I83" s="37">
        <v>0</v>
      </c>
      <c r="J83" s="37">
        <v>0</v>
      </c>
    </row>
    <row r="84" spans="1:10" x14ac:dyDescent="0.25">
      <c r="A84" t="s">
        <v>615</v>
      </c>
      <c r="B84" t="s">
        <v>616</v>
      </c>
      <c r="C84" t="s">
        <v>229</v>
      </c>
      <c r="D84" t="s">
        <v>339</v>
      </c>
      <c r="E84" s="36">
        <v>2000</v>
      </c>
      <c r="F84" s="36">
        <v>2300</v>
      </c>
      <c r="G84" s="36">
        <v>1200</v>
      </c>
      <c r="H84" s="36">
        <v>1380</v>
      </c>
      <c r="I84" s="37">
        <v>0</v>
      </c>
      <c r="J84" s="37">
        <v>0</v>
      </c>
    </row>
    <row r="85" spans="1:10" x14ac:dyDescent="0.25">
      <c r="A85" t="s">
        <v>617</v>
      </c>
      <c r="B85" t="s">
        <v>618</v>
      </c>
      <c r="C85" t="s">
        <v>89</v>
      </c>
      <c r="D85" t="s">
        <v>347</v>
      </c>
      <c r="E85" s="36">
        <v>151</v>
      </c>
      <c r="F85" s="36">
        <v>180</v>
      </c>
      <c r="G85" s="36">
        <v>70</v>
      </c>
      <c r="H85" s="36">
        <v>80.5</v>
      </c>
      <c r="I85" s="37">
        <v>0.2583333333333333</v>
      </c>
      <c r="J85" s="37">
        <v>0.30434782608695649</v>
      </c>
    </row>
    <row r="86" spans="1:10" x14ac:dyDescent="0.25">
      <c r="A86" t="s">
        <v>619</v>
      </c>
      <c r="B86" t="s">
        <v>620</v>
      </c>
      <c r="C86" t="s">
        <v>89</v>
      </c>
      <c r="D86" t="s">
        <v>347</v>
      </c>
      <c r="E86" s="36">
        <v>180</v>
      </c>
      <c r="F86" s="36">
        <v>216</v>
      </c>
      <c r="G86" s="36">
        <v>90</v>
      </c>
      <c r="H86" s="36">
        <v>103</v>
      </c>
      <c r="I86" s="37">
        <v>0.2</v>
      </c>
      <c r="J86" s="37">
        <v>0.2558139534883721</v>
      </c>
    </row>
    <row r="87" spans="1:10" x14ac:dyDescent="0.25">
      <c r="A87" t="s">
        <v>621</v>
      </c>
      <c r="B87" t="s">
        <v>622</v>
      </c>
      <c r="C87" t="s">
        <v>89</v>
      </c>
      <c r="D87" t="s">
        <v>347</v>
      </c>
      <c r="E87" s="36">
        <v>400</v>
      </c>
      <c r="F87" s="36">
        <v>480</v>
      </c>
      <c r="G87" s="36">
        <v>180</v>
      </c>
      <c r="H87" s="36">
        <v>207</v>
      </c>
      <c r="I87" s="37">
        <v>0.33333333333333331</v>
      </c>
      <c r="J87" s="37">
        <v>0.39130434782608692</v>
      </c>
    </row>
    <row r="88" spans="1:10" x14ac:dyDescent="0.25">
      <c r="A88" t="s">
        <v>623</v>
      </c>
      <c r="B88" t="s">
        <v>624</v>
      </c>
      <c r="C88" t="s">
        <v>89</v>
      </c>
      <c r="D88" t="s">
        <v>347</v>
      </c>
      <c r="E88" s="36">
        <v>220</v>
      </c>
      <c r="F88" s="36">
        <v>264</v>
      </c>
      <c r="G88" s="36">
        <v>110</v>
      </c>
      <c r="H88" s="36">
        <v>126</v>
      </c>
      <c r="I88" s="37">
        <v>0.22222222222222229</v>
      </c>
      <c r="J88" s="37">
        <v>0.2753623188405796</v>
      </c>
    </row>
    <row r="89" spans="1:10" x14ac:dyDescent="0.25">
      <c r="A89" t="s">
        <v>625</v>
      </c>
      <c r="B89" t="s">
        <v>626</v>
      </c>
      <c r="C89" t="s">
        <v>89</v>
      </c>
      <c r="D89" t="s">
        <v>327</v>
      </c>
      <c r="E89" s="36">
        <v>120</v>
      </c>
      <c r="F89" s="36">
        <v>138</v>
      </c>
      <c r="G89" s="36">
        <v>70</v>
      </c>
      <c r="H89" s="36">
        <v>80.5</v>
      </c>
      <c r="I89" s="37">
        <v>0</v>
      </c>
      <c r="J89" s="37">
        <v>0</v>
      </c>
    </row>
    <row r="90" spans="1:10" x14ac:dyDescent="0.25">
      <c r="A90" t="s">
        <v>627</v>
      </c>
      <c r="B90" t="s">
        <v>628</v>
      </c>
      <c r="C90" t="s">
        <v>89</v>
      </c>
      <c r="D90" t="s">
        <v>347</v>
      </c>
      <c r="E90" s="36">
        <v>451</v>
      </c>
      <c r="F90" s="36">
        <v>540</v>
      </c>
      <c r="G90" s="36">
        <v>210</v>
      </c>
      <c r="H90" s="36">
        <v>241</v>
      </c>
      <c r="I90" s="37">
        <v>0.28857142857142848</v>
      </c>
      <c r="J90" s="37">
        <v>0.34328358208955229</v>
      </c>
    </row>
    <row r="91" spans="1:10" x14ac:dyDescent="0.25">
      <c r="A91" t="s">
        <v>629</v>
      </c>
      <c r="B91" t="s">
        <v>630</v>
      </c>
      <c r="C91" t="s">
        <v>243</v>
      </c>
      <c r="D91" t="s">
        <v>327</v>
      </c>
      <c r="E91" s="36">
        <v>14667</v>
      </c>
      <c r="F91" s="36">
        <v>17600</v>
      </c>
      <c r="G91" s="36">
        <v>8400</v>
      </c>
      <c r="H91" s="36">
        <v>9912</v>
      </c>
      <c r="I91" s="37">
        <v>4.7642857142857098E-2</v>
      </c>
      <c r="J91" s="37">
        <v>4.7619047619047672E-2</v>
      </c>
    </row>
    <row r="92" spans="1:10" x14ac:dyDescent="0.25">
      <c r="A92" t="s">
        <v>631</v>
      </c>
      <c r="B92" t="s">
        <v>632</v>
      </c>
      <c r="C92" t="s">
        <v>243</v>
      </c>
      <c r="D92" t="s">
        <v>343</v>
      </c>
      <c r="E92" s="36">
        <v>9600</v>
      </c>
      <c r="F92" s="36">
        <v>11400</v>
      </c>
      <c r="G92" s="36">
        <v>3600</v>
      </c>
      <c r="H92" s="36">
        <v>4140</v>
      </c>
      <c r="I92" s="37">
        <v>0.60000000000000009</v>
      </c>
      <c r="J92" s="37">
        <v>0.65217391304347827</v>
      </c>
    </row>
    <row r="93" spans="1:10" x14ac:dyDescent="0.25">
      <c r="A93" t="s">
        <v>633</v>
      </c>
      <c r="B93" t="s">
        <v>634</v>
      </c>
      <c r="C93" t="s">
        <v>89</v>
      </c>
      <c r="D93" t="s">
        <v>327</v>
      </c>
      <c r="E93" s="36">
        <v>4000</v>
      </c>
      <c r="F93" s="36">
        <v>4600</v>
      </c>
      <c r="G93" s="36">
        <v>2400</v>
      </c>
      <c r="H93" s="36">
        <v>2760</v>
      </c>
      <c r="I93" s="37">
        <v>0</v>
      </c>
      <c r="J93" s="37">
        <v>0</v>
      </c>
    </row>
    <row r="94" spans="1:10" x14ac:dyDescent="0.25">
      <c r="A94" t="s">
        <v>635</v>
      </c>
      <c r="B94" t="s">
        <v>636</v>
      </c>
      <c r="C94" t="s">
        <v>89</v>
      </c>
      <c r="D94" t="s">
        <v>343</v>
      </c>
      <c r="E94" s="36">
        <v>4267</v>
      </c>
      <c r="F94" s="36">
        <v>5067</v>
      </c>
      <c r="G94" s="36">
        <v>1800</v>
      </c>
      <c r="H94" s="36">
        <v>2070</v>
      </c>
      <c r="I94" s="37">
        <v>0.42233333333333323</v>
      </c>
      <c r="J94" s="37">
        <v>0.46869565217391301</v>
      </c>
    </row>
    <row r="95" spans="1:10" x14ac:dyDescent="0.25">
      <c r="A95" t="s">
        <v>637</v>
      </c>
      <c r="B95" t="s">
        <v>638</v>
      </c>
      <c r="C95" t="s">
        <v>89</v>
      </c>
      <c r="D95" t="s">
        <v>347</v>
      </c>
      <c r="E95" s="36">
        <v>800</v>
      </c>
      <c r="F95" s="36">
        <v>960</v>
      </c>
      <c r="G95" s="36">
        <v>360</v>
      </c>
      <c r="H95" s="36">
        <v>414</v>
      </c>
      <c r="I95" s="37">
        <v>0.33333333333333331</v>
      </c>
      <c r="J95" s="37">
        <v>0.39130434782608692</v>
      </c>
    </row>
    <row r="96" spans="1:10" x14ac:dyDescent="0.25">
      <c r="A96" t="s">
        <v>639</v>
      </c>
      <c r="B96" t="s">
        <v>640</v>
      </c>
      <c r="C96" t="s">
        <v>89</v>
      </c>
      <c r="D96" t="s">
        <v>343</v>
      </c>
      <c r="E96" s="36">
        <v>960</v>
      </c>
      <c r="F96" s="36">
        <v>1140</v>
      </c>
      <c r="G96" s="36">
        <v>300</v>
      </c>
      <c r="H96" s="36">
        <v>345</v>
      </c>
      <c r="I96" s="37">
        <v>0.91999999999999993</v>
      </c>
      <c r="J96" s="37">
        <v>0.98260869565217401</v>
      </c>
    </row>
    <row r="97" spans="1:10" x14ac:dyDescent="0.25">
      <c r="A97" t="s">
        <v>641</v>
      </c>
      <c r="B97" t="s">
        <v>642</v>
      </c>
      <c r="C97" t="s">
        <v>243</v>
      </c>
      <c r="D97" t="s">
        <v>343</v>
      </c>
      <c r="E97" s="36">
        <v>5867</v>
      </c>
      <c r="F97" s="36">
        <v>6967</v>
      </c>
      <c r="G97" s="36">
        <v>2100</v>
      </c>
      <c r="H97" s="36">
        <v>2415</v>
      </c>
      <c r="I97" s="37">
        <v>0.67628571428571438</v>
      </c>
      <c r="J97" s="37">
        <v>0.7309316770186336</v>
      </c>
    </row>
    <row r="98" spans="1:10" x14ac:dyDescent="0.25">
      <c r="A98" t="s">
        <v>643</v>
      </c>
      <c r="B98" t="s">
        <v>644</v>
      </c>
      <c r="C98" t="s">
        <v>243</v>
      </c>
      <c r="D98" t="s">
        <v>343</v>
      </c>
      <c r="E98" s="36">
        <v>4267</v>
      </c>
      <c r="F98" s="36">
        <v>5067</v>
      </c>
      <c r="G98" s="36">
        <v>1500</v>
      </c>
      <c r="H98" s="36">
        <v>1725</v>
      </c>
      <c r="I98" s="37">
        <v>0.70680000000000009</v>
      </c>
      <c r="J98" s="37">
        <v>0.76243478260869568</v>
      </c>
    </row>
    <row r="99" spans="1:10" x14ac:dyDescent="0.25">
      <c r="A99" t="s">
        <v>645</v>
      </c>
      <c r="B99" t="s">
        <v>646</v>
      </c>
      <c r="C99" t="s">
        <v>89</v>
      </c>
      <c r="D99" t="s">
        <v>347</v>
      </c>
      <c r="E99" s="36">
        <v>300</v>
      </c>
      <c r="F99" s="36">
        <v>360</v>
      </c>
      <c r="G99" s="36">
        <v>170</v>
      </c>
      <c r="H99" s="36">
        <v>195</v>
      </c>
      <c r="I99" s="37">
        <v>7.1428571428571397E-2</v>
      </c>
      <c r="J99" s="37">
        <v>0.1180124223602483</v>
      </c>
    </row>
    <row r="100" spans="1:10" x14ac:dyDescent="0.25">
      <c r="A100" t="s">
        <v>647</v>
      </c>
      <c r="B100" t="s">
        <v>648</v>
      </c>
      <c r="C100" t="s">
        <v>89</v>
      </c>
      <c r="D100" t="s">
        <v>347</v>
      </c>
      <c r="E100" s="36">
        <v>100</v>
      </c>
      <c r="F100" s="36">
        <v>120</v>
      </c>
      <c r="G100" s="36">
        <v>55</v>
      </c>
      <c r="H100" s="36">
        <v>63</v>
      </c>
      <c r="I100" s="37">
        <v>0.1111111111111112</v>
      </c>
      <c r="J100" s="37">
        <v>0.16504854368932029</v>
      </c>
    </row>
    <row r="101" spans="1:10" x14ac:dyDescent="0.25">
      <c r="A101" t="s">
        <v>649</v>
      </c>
      <c r="B101" t="s">
        <v>650</v>
      </c>
      <c r="C101" t="s">
        <v>89</v>
      </c>
      <c r="D101" t="s">
        <v>327</v>
      </c>
      <c r="E101" s="36">
        <v>450</v>
      </c>
      <c r="F101" s="36">
        <v>528</v>
      </c>
      <c r="G101" s="36">
        <v>270</v>
      </c>
      <c r="H101" s="36">
        <v>310</v>
      </c>
      <c r="I101" s="37">
        <v>0</v>
      </c>
      <c r="J101" s="37">
        <v>1.930501930501927E-2</v>
      </c>
    </row>
    <row r="102" spans="1:10" x14ac:dyDescent="0.25">
      <c r="A102" t="s">
        <v>651</v>
      </c>
      <c r="B102" t="s">
        <v>652</v>
      </c>
      <c r="C102" t="s">
        <v>229</v>
      </c>
      <c r="D102" t="s">
        <v>379</v>
      </c>
      <c r="E102" s="36">
        <v>300</v>
      </c>
      <c r="F102" s="36">
        <v>345</v>
      </c>
      <c r="G102" s="36">
        <v>180</v>
      </c>
      <c r="H102" s="36">
        <v>207</v>
      </c>
      <c r="I102" s="37">
        <v>0</v>
      </c>
      <c r="J102" s="37">
        <v>0</v>
      </c>
    </row>
    <row r="103" spans="1:10" x14ac:dyDescent="0.25">
      <c r="A103" t="s">
        <v>653</v>
      </c>
      <c r="B103" t="s">
        <v>654</v>
      </c>
      <c r="C103" t="s">
        <v>89</v>
      </c>
      <c r="D103" t="s">
        <v>386</v>
      </c>
      <c r="E103" s="36">
        <v>640</v>
      </c>
      <c r="F103" s="36">
        <v>760</v>
      </c>
      <c r="G103" s="36">
        <v>300</v>
      </c>
      <c r="H103" s="36">
        <v>345</v>
      </c>
      <c r="I103" s="37">
        <v>0.28000000000000003</v>
      </c>
      <c r="J103" s="37">
        <v>0.32173913043478253</v>
      </c>
    </row>
    <row r="104" spans="1:10" x14ac:dyDescent="0.25">
      <c r="A104" t="s">
        <v>655</v>
      </c>
      <c r="B104" t="s">
        <v>656</v>
      </c>
      <c r="C104" t="s">
        <v>89</v>
      </c>
      <c r="D104" t="s">
        <v>347</v>
      </c>
      <c r="E104" s="36">
        <v>351</v>
      </c>
      <c r="F104" s="36">
        <v>420</v>
      </c>
      <c r="G104" s="36">
        <v>150</v>
      </c>
      <c r="H104" s="36">
        <v>172</v>
      </c>
      <c r="I104" s="37">
        <v>0.40399999999999991</v>
      </c>
      <c r="J104" s="37">
        <v>0.45833333333333331</v>
      </c>
    </row>
    <row r="105" spans="1:10" x14ac:dyDescent="0.25">
      <c r="A105" t="s">
        <v>657</v>
      </c>
      <c r="B105" t="s">
        <v>658</v>
      </c>
      <c r="C105" t="s">
        <v>101</v>
      </c>
      <c r="D105" t="s">
        <v>363</v>
      </c>
      <c r="E105" s="36">
        <v>1800</v>
      </c>
      <c r="F105" s="36">
        <v>2160</v>
      </c>
      <c r="G105" s="36">
        <v>720</v>
      </c>
      <c r="H105" s="36">
        <v>828</v>
      </c>
      <c r="I105" s="37">
        <v>0.5</v>
      </c>
      <c r="J105" s="37">
        <v>0.56521739130434789</v>
      </c>
    </row>
    <row r="106" spans="1:10" x14ac:dyDescent="0.25">
      <c r="A106" t="s">
        <v>659</v>
      </c>
      <c r="B106" t="s">
        <v>660</v>
      </c>
      <c r="C106" t="s">
        <v>101</v>
      </c>
      <c r="D106" t="s">
        <v>363</v>
      </c>
      <c r="E106" s="36">
        <v>2400</v>
      </c>
      <c r="F106" s="36">
        <v>2880</v>
      </c>
      <c r="G106" s="36">
        <v>960</v>
      </c>
      <c r="H106" s="36">
        <v>1104</v>
      </c>
      <c r="I106" s="37">
        <v>0.5</v>
      </c>
      <c r="J106" s="37">
        <v>0.56521739130434789</v>
      </c>
    </row>
    <row r="107" spans="1:10" x14ac:dyDescent="0.25">
      <c r="A107" t="s">
        <v>661</v>
      </c>
      <c r="B107" t="s">
        <v>662</v>
      </c>
      <c r="C107" t="s">
        <v>101</v>
      </c>
      <c r="D107" t="s">
        <v>363</v>
      </c>
      <c r="E107" s="36">
        <v>3000</v>
      </c>
      <c r="F107" s="36">
        <v>3600</v>
      </c>
      <c r="G107" s="36">
        <v>1200</v>
      </c>
      <c r="H107" s="36">
        <v>1380</v>
      </c>
      <c r="I107" s="37">
        <v>0.5</v>
      </c>
      <c r="J107" s="37">
        <v>0.56521739130434789</v>
      </c>
    </row>
    <row r="108" spans="1:10" x14ac:dyDescent="0.25">
      <c r="A108" t="s">
        <v>663</v>
      </c>
      <c r="B108" t="s">
        <v>664</v>
      </c>
      <c r="C108" t="s">
        <v>101</v>
      </c>
      <c r="D108" t="s">
        <v>371</v>
      </c>
      <c r="E108" s="36">
        <v>22000</v>
      </c>
      <c r="F108" s="36">
        <v>25300</v>
      </c>
      <c r="G108" s="36">
        <v>13000</v>
      </c>
      <c r="H108" s="36">
        <v>14950</v>
      </c>
      <c r="I108" s="37">
        <v>0</v>
      </c>
      <c r="J108" s="37">
        <v>0</v>
      </c>
    </row>
    <row r="109" spans="1:10" x14ac:dyDescent="0.25">
      <c r="A109" t="s">
        <v>665</v>
      </c>
      <c r="B109" t="s">
        <v>666</v>
      </c>
      <c r="C109" t="s">
        <v>101</v>
      </c>
      <c r="D109" t="s">
        <v>371</v>
      </c>
      <c r="E109" s="36">
        <v>6000</v>
      </c>
      <c r="F109" s="36">
        <v>6900</v>
      </c>
      <c r="G109" s="36">
        <v>3600</v>
      </c>
      <c r="H109" s="36">
        <v>4140</v>
      </c>
      <c r="I109" s="37">
        <v>0</v>
      </c>
      <c r="J109" s="37">
        <v>0</v>
      </c>
    </row>
    <row r="110" spans="1:10" x14ac:dyDescent="0.25">
      <c r="A110" t="s">
        <v>667</v>
      </c>
      <c r="B110" t="s">
        <v>668</v>
      </c>
      <c r="C110" t="s">
        <v>101</v>
      </c>
      <c r="D110" t="s">
        <v>371</v>
      </c>
      <c r="E110" s="36">
        <v>11000</v>
      </c>
      <c r="F110" s="36">
        <v>12650</v>
      </c>
      <c r="G110" s="36">
        <v>6600</v>
      </c>
      <c r="H110" s="36">
        <v>7590</v>
      </c>
      <c r="I110" s="37">
        <v>0</v>
      </c>
      <c r="J110" s="37">
        <v>0</v>
      </c>
    </row>
    <row r="111" spans="1:10" x14ac:dyDescent="0.25">
      <c r="A111" t="s">
        <v>669</v>
      </c>
      <c r="B111" t="s">
        <v>670</v>
      </c>
      <c r="C111" t="s">
        <v>101</v>
      </c>
      <c r="D111" t="s">
        <v>371</v>
      </c>
      <c r="E111" s="36">
        <v>32000</v>
      </c>
      <c r="F111" s="36">
        <v>36800</v>
      </c>
      <c r="G111" s="36">
        <v>19000</v>
      </c>
      <c r="H111" s="36">
        <v>21850</v>
      </c>
      <c r="I111" s="37">
        <v>0</v>
      </c>
      <c r="J111" s="37">
        <v>0</v>
      </c>
    </row>
    <row r="112" spans="1:10" x14ac:dyDescent="0.25">
      <c r="A112" t="s">
        <v>671</v>
      </c>
      <c r="B112" t="s">
        <v>672</v>
      </c>
      <c r="C112" t="s">
        <v>101</v>
      </c>
      <c r="D112" t="s">
        <v>371</v>
      </c>
      <c r="E112" s="36">
        <v>227</v>
      </c>
      <c r="F112" s="36">
        <v>272</v>
      </c>
      <c r="G112" s="36">
        <v>120</v>
      </c>
      <c r="H112" s="36">
        <v>138</v>
      </c>
      <c r="I112" s="37">
        <v>0.13500000000000001</v>
      </c>
      <c r="J112" s="37">
        <v>0.182608695652174</v>
      </c>
    </row>
    <row r="113" spans="1:10" x14ac:dyDescent="0.25">
      <c r="A113" t="s">
        <v>673</v>
      </c>
      <c r="B113" t="s">
        <v>674</v>
      </c>
      <c r="C113" t="s">
        <v>101</v>
      </c>
      <c r="D113" t="s">
        <v>375</v>
      </c>
      <c r="E113" s="36">
        <v>2880</v>
      </c>
      <c r="F113" s="36">
        <v>3456</v>
      </c>
      <c r="G113" s="36">
        <v>1700</v>
      </c>
      <c r="H113" s="36">
        <v>1955</v>
      </c>
      <c r="I113" s="37">
        <v>2.857142857142847E-2</v>
      </c>
      <c r="J113" s="37">
        <v>7.3291925465838403E-2</v>
      </c>
    </row>
    <row r="114" spans="1:10" x14ac:dyDescent="0.25">
      <c r="A114" t="s">
        <v>675</v>
      </c>
      <c r="B114" t="s">
        <v>676</v>
      </c>
      <c r="C114" t="s">
        <v>101</v>
      </c>
      <c r="D114" t="s">
        <v>375</v>
      </c>
      <c r="E114" s="36">
        <v>2500</v>
      </c>
      <c r="F114" s="36">
        <v>2880</v>
      </c>
      <c r="G114" s="36">
        <v>1500</v>
      </c>
      <c r="H114" s="36">
        <v>1725</v>
      </c>
      <c r="I114" s="37">
        <v>0</v>
      </c>
      <c r="J114" s="37">
        <v>1.739130434782687E-3</v>
      </c>
    </row>
    <row r="115" spans="1:10" x14ac:dyDescent="0.25">
      <c r="A115" t="s">
        <v>677</v>
      </c>
      <c r="B115" t="s">
        <v>678</v>
      </c>
      <c r="C115" t="s">
        <v>101</v>
      </c>
      <c r="D115" t="s">
        <v>375</v>
      </c>
      <c r="E115" s="36">
        <v>3520</v>
      </c>
      <c r="F115" s="36">
        <v>4224</v>
      </c>
      <c r="G115" s="36">
        <v>2100</v>
      </c>
      <c r="H115" s="36">
        <v>2415</v>
      </c>
      <c r="I115" s="37">
        <v>5.7142857142857828E-3</v>
      </c>
      <c r="J115" s="37">
        <v>4.9440993788819831E-2</v>
      </c>
    </row>
    <row r="116" spans="1:10" x14ac:dyDescent="0.25">
      <c r="A116" t="s">
        <v>679</v>
      </c>
      <c r="B116" t="s">
        <v>680</v>
      </c>
      <c r="C116" t="s">
        <v>101</v>
      </c>
      <c r="D116" t="s">
        <v>375</v>
      </c>
      <c r="E116" s="36">
        <v>5000</v>
      </c>
      <c r="F116" s="36">
        <v>5760</v>
      </c>
      <c r="G116" s="36">
        <v>3000</v>
      </c>
      <c r="H116" s="36">
        <v>3450</v>
      </c>
      <c r="I116" s="37">
        <v>0</v>
      </c>
      <c r="J116" s="37">
        <v>1.739130434782687E-3</v>
      </c>
    </row>
    <row r="117" spans="1:10" x14ac:dyDescent="0.25">
      <c r="A117" t="s">
        <v>681</v>
      </c>
      <c r="B117" t="s">
        <v>682</v>
      </c>
      <c r="C117" t="s">
        <v>89</v>
      </c>
      <c r="D117" t="s">
        <v>371</v>
      </c>
      <c r="E117" s="36">
        <v>340</v>
      </c>
      <c r="F117" s="36">
        <v>408</v>
      </c>
      <c r="G117" s="36">
        <v>150</v>
      </c>
      <c r="H117" s="36">
        <v>172</v>
      </c>
      <c r="I117" s="37">
        <v>0.3600000000000001</v>
      </c>
      <c r="J117" s="37">
        <v>0.41666666666666669</v>
      </c>
    </row>
    <row r="118" spans="1:10" x14ac:dyDescent="0.25">
      <c r="A118" t="s">
        <v>683</v>
      </c>
      <c r="B118" t="s">
        <v>684</v>
      </c>
      <c r="C118" t="s">
        <v>89</v>
      </c>
      <c r="D118" t="s">
        <v>371</v>
      </c>
      <c r="E118" s="36">
        <v>454</v>
      </c>
      <c r="F118" s="36">
        <v>544</v>
      </c>
      <c r="G118" s="36">
        <v>210</v>
      </c>
      <c r="H118" s="36">
        <v>241</v>
      </c>
      <c r="I118" s="37">
        <v>0.29714285714285721</v>
      </c>
      <c r="J118" s="37">
        <v>0.3532338308457712</v>
      </c>
    </row>
    <row r="119" spans="1:10" x14ac:dyDescent="0.25">
      <c r="A119" t="s">
        <v>685</v>
      </c>
      <c r="B119" t="s">
        <v>686</v>
      </c>
      <c r="C119" t="s">
        <v>101</v>
      </c>
      <c r="D119" t="s">
        <v>371</v>
      </c>
      <c r="E119" s="36">
        <v>3500</v>
      </c>
      <c r="F119" s="36">
        <v>4080</v>
      </c>
      <c r="G119" s="36">
        <v>2100</v>
      </c>
      <c r="H119" s="36">
        <v>2415</v>
      </c>
      <c r="I119" s="37">
        <v>0</v>
      </c>
      <c r="J119" s="37">
        <v>1.366459627329197E-2</v>
      </c>
    </row>
    <row r="120" spans="1:10" x14ac:dyDescent="0.25">
      <c r="A120" t="s">
        <v>687</v>
      </c>
      <c r="B120" t="s">
        <v>688</v>
      </c>
      <c r="C120" t="s">
        <v>101</v>
      </c>
      <c r="D120" t="s">
        <v>375</v>
      </c>
      <c r="E120" s="36">
        <v>800</v>
      </c>
      <c r="F120" s="36">
        <v>960</v>
      </c>
      <c r="G120" s="36">
        <v>360</v>
      </c>
      <c r="H120" s="36">
        <v>414</v>
      </c>
      <c r="I120" s="37">
        <v>0.33333333333333331</v>
      </c>
      <c r="J120" s="37">
        <v>0.39130434782608692</v>
      </c>
    </row>
    <row r="121" spans="1:10" x14ac:dyDescent="0.25">
      <c r="A121" t="s">
        <v>689</v>
      </c>
      <c r="B121" t="s">
        <v>690</v>
      </c>
      <c r="C121" t="s">
        <v>101</v>
      </c>
      <c r="D121" t="s">
        <v>375</v>
      </c>
      <c r="E121" s="36">
        <v>3500</v>
      </c>
      <c r="F121" s="36">
        <v>4025</v>
      </c>
      <c r="G121" s="36">
        <v>2100</v>
      </c>
      <c r="H121" s="36">
        <v>2415</v>
      </c>
      <c r="I121" s="37">
        <v>0</v>
      </c>
      <c r="J121" s="37">
        <v>0</v>
      </c>
    </row>
    <row r="122" spans="1:10" x14ac:dyDescent="0.25">
      <c r="A122" t="s">
        <v>691</v>
      </c>
      <c r="B122" t="s">
        <v>692</v>
      </c>
      <c r="C122" t="s">
        <v>101</v>
      </c>
      <c r="D122" t="s">
        <v>375</v>
      </c>
      <c r="E122" s="36">
        <v>2500</v>
      </c>
      <c r="F122" s="36">
        <v>2880</v>
      </c>
      <c r="G122" s="36">
        <v>1500</v>
      </c>
      <c r="H122" s="36">
        <v>1725</v>
      </c>
      <c r="I122" s="37">
        <v>0</v>
      </c>
      <c r="J122" s="37">
        <v>1.739130434782687E-3</v>
      </c>
    </row>
    <row r="123" spans="1:10" x14ac:dyDescent="0.25">
      <c r="A123" t="s">
        <v>693</v>
      </c>
      <c r="B123" t="s">
        <v>694</v>
      </c>
      <c r="C123" t="s">
        <v>101</v>
      </c>
      <c r="D123" t="s">
        <v>375</v>
      </c>
      <c r="E123" s="36">
        <v>4000</v>
      </c>
      <c r="F123" s="36">
        <v>4800</v>
      </c>
      <c r="G123" s="36">
        <v>2300</v>
      </c>
      <c r="H123" s="36">
        <v>2645</v>
      </c>
      <c r="I123" s="37">
        <v>5.2631578947368363E-2</v>
      </c>
      <c r="J123" s="37">
        <v>9.8398169336384456E-2</v>
      </c>
    </row>
    <row r="124" spans="1:10" x14ac:dyDescent="0.25">
      <c r="A124" t="s">
        <v>695</v>
      </c>
      <c r="B124" t="s">
        <v>696</v>
      </c>
      <c r="C124" t="s">
        <v>101</v>
      </c>
      <c r="D124" t="s">
        <v>375</v>
      </c>
      <c r="E124" s="36">
        <v>6400</v>
      </c>
      <c r="F124" s="36">
        <v>7680</v>
      </c>
      <c r="G124" s="36">
        <v>3600</v>
      </c>
      <c r="H124" s="36">
        <v>4140</v>
      </c>
      <c r="I124" s="37">
        <v>6.6666666666666652E-2</v>
      </c>
      <c r="J124" s="37">
        <v>0.11304347826086961</v>
      </c>
    </row>
    <row r="125" spans="1:10" x14ac:dyDescent="0.25">
      <c r="A125" t="s">
        <v>697</v>
      </c>
      <c r="B125" t="s">
        <v>698</v>
      </c>
      <c r="C125" t="s">
        <v>101</v>
      </c>
      <c r="D125" t="s">
        <v>375</v>
      </c>
      <c r="E125" s="36">
        <v>640</v>
      </c>
      <c r="F125" s="36">
        <v>768</v>
      </c>
      <c r="G125" s="36">
        <v>300</v>
      </c>
      <c r="H125" s="36">
        <v>345</v>
      </c>
      <c r="I125" s="37">
        <v>0.28000000000000003</v>
      </c>
      <c r="J125" s="37">
        <v>0.33565217391304358</v>
      </c>
    </row>
    <row r="126" spans="1:10" x14ac:dyDescent="0.25">
      <c r="A126" t="s">
        <v>699</v>
      </c>
      <c r="B126" t="s">
        <v>700</v>
      </c>
      <c r="C126" t="s">
        <v>101</v>
      </c>
      <c r="D126" t="s">
        <v>367</v>
      </c>
      <c r="E126" s="36">
        <v>2834</v>
      </c>
      <c r="F126" s="36">
        <v>3400</v>
      </c>
      <c r="G126" s="36">
        <v>1500</v>
      </c>
      <c r="H126" s="36">
        <v>1725</v>
      </c>
      <c r="I126" s="37">
        <v>0.13359999999999991</v>
      </c>
      <c r="J126" s="37">
        <v>0.182608695652174</v>
      </c>
    </row>
    <row r="127" spans="1:10" x14ac:dyDescent="0.25">
      <c r="A127" t="s">
        <v>701</v>
      </c>
      <c r="B127" t="s">
        <v>702</v>
      </c>
      <c r="C127" t="s">
        <v>101</v>
      </c>
      <c r="D127" t="s">
        <v>375</v>
      </c>
      <c r="E127" s="36">
        <v>8000</v>
      </c>
      <c r="F127" s="36">
        <v>9600</v>
      </c>
      <c r="G127" s="36">
        <v>4700</v>
      </c>
      <c r="H127" s="36">
        <v>5405</v>
      </c>
      <c r="I127" s="37">
        <v>2.564102564102555E-2</v>
      </c>
      <c r="J127" s="37">
        <v>7.0234113712374535E-2</v>
      </c>
    </row>
    <row r="128" spans="1:10" x14ac:dyDescent="0.25">
      <c r="A128" t="s">
        <v>703</v>
      </c>
      <c r="B128" t="s">
        <v>704</v>
      </c>
      <c r="C128" t="s">
        <v>101</v>
      </c>
      <c r="D128" t="s">
        <v>375</v>
      </c>
      <c r="E128" s="36">
        <v>9600</v>
      </c>
      <c r="F128" s="36">
        <v>11520</v>
      </c>
      <c r="G128" s="36">
        <v>5300</v>
      </c>
      <c r="H128" s="36">
        <v>6095</v>
      </c>
      <c r="I128" s="37">
        <v>9.0909090909090828E-2</v>
      </c>
      <c r="J128" s="37">
        <v>0.13833992094861669</v>
      </c>
    </row>
    <row r="129" spans="1:10" x14ac:dyDescent="0.25">
      <c r="A129" t="s">
        <v>705</v>
      </c>
      <c r="B129" t="s">
        <v>706</v>
      </c>
      <c r="C129" t="s">
        <v>101</v>
      </c>
      <c r="D129" t="s">
        <v>375</v>
      </c>
      <c r="E129" s="36">
        <v>11200</v>
      </c>
      <c r="F129" s="36">
        <v>13440</v>
      </c>
      <c r="G129" s="36">
        <v>6200</v>
      </c>
      <c r="H129" s="36">
        <v>7130</v>
      </c>
      <c r="I129" s="37">
        <v>8.737864077669899E-2</v>
      </c>
      <c r="J129" s="37">
        <v>0.1346559729843817</v>
      </c>
    </row>
    <row r="130" spans="1:10" x14ac:dyDescent="0.25">
      <c r="A130" t="s">
        <v>707</v>
      </c>
      <c r="B130" t="s">
        <v>708</v>
      </c>
      <c r="C130" t="s">
        <v>101</v>
      </c>
      <c r="D130" t="s">
        <v>375</v>
      </c>
      <c r="E130" s="36">
        <v>15000</v>
      </c>
      <c r="F130" s="36">
        <v>17280</v>
      </c>
      <c r="G130" s="36">
        <v>9000</v>
      </c>
      <c r="H130" s="36">
        <v>10350</v>
      </c>
      <c r="I130" s="37">
        <v>0</v>
      </c>
      <c r="J130" s="37">
        <v>1.739130434782687E-3</v>
      </c>
    </row>
    <row r="131" spans="1:10" x14ac:dyDescent="0.25">
      <c r="A131" t="s">
        <v>709</v>
      </c>
      <c r="B131" t="s">
        <v>710</v>
      </c>
      <c r="C131" t="s">
        <v>101</v>
      </c>
      <c r="D131" t="s">
        <v>375</v>
      </c>
      <c r="E131" s="36">
        <v>7500</v>
      </c>
      <c r="F131" s="36">
        <v>8640</v>
      </c>
      <c r="G131" s="36">
        <v>4500</v>
      </c>
      <c r="H131" s="36">
        <v>5175</v>
      </c>
      <c r="I131" s="37">
        <v>0</v>
      </c>
      <c r="J131" s="37">
        <v>1.739130434782687E-3</v>
      </c>
    </row>
    <row r="132" spans="1:10" x14ac:dyDescent="0.25">
      <c r="A132" t="s">
        <v>711</v>
      </c>
      <c r="B132" t="s">
        <v>712</v>
      </c>
      <c r="C132" t="s">
        <v>101</v>
      </c>
      <c r="D132" t="s">
        <v>375</v>
      </c>
      <c r="E132" s="36">
        <v>8800</v>
      </c>
      <c r="F132" s="36">
        <v>10560</v>
      </c>
      <c r="G132" s="36">
        <v>5100</v>
      </c>
      <c r="H132" s="36">
        <v>5865</v>
      </c>
      <c r="I132" s="37">
        <v>3.529411764705892E-2</v>
      </c>
      <c r="J132" s="37">
        <v>8.0306905370844062E-2</v>
      </c>
    </row>
    <row r="133" spans="1:10" x14ac:dyDescent="0.25">
      <c r="A133" t="s">
        <v>713</v>
      </c>
      <c r="B133" t="s">
        <v>714</v>
      </c>
      <c r="C133" t="s">
        <v>101</v>
      </c>
      <c r="D133" t="s">
        <v>375</v>
      </c>
      <c r="E133" s="36">
        <v>10400</v>
      </c>
      <c r="F133" s="36">
        <v>12480</v>
      </c>
      <c r="G133" s="36">
        <v>6000</v>
      </c>
      <c r="H133" s="36">
        <v>6900</v>
      </c>
      <c r="I133" s="37">
        <v>4.0000000000000042E-2</v>
      </c>
      <c r="J133" s="37">
        <v>8.5217391304347911E-2</v>
      </c>
    </row>
    <row r="134" spans="1:10" x14ac:dyDescent="0.25">
      <c r="A134" t="s">
        <v>715</v>
      </c>
      <c r="B134" t="s">
        <v>716</v>
      </c>
      <c r="C134" t="s">
        <v>101</v>
      </c>
      <c r="D134" t="s">
        <v>375</v>
      </c>
      <c r="E134" s="36">
        <v>14000</v>
      </c>
      <c r="F134" s="36">
        <v>16320</v>
      </c>
      <c r="G134" s="36">
        <v>8400</v>
      </c>
      <c r="H134" s="36">
        <v>9660</v>
      </c>
      <c r="I134" s="37">
        <v>0</v>
      </c>
      <c r="J134" s="37">
        <v>1.366459627329197E-2</v>
      </c>
    </row>
    <row r="135" spans="1:10" x14ac:dyDescent="0.25">
      <c r="A135" t="s">
        <v>717</v>
      </c>
      <c r="B135" t="s">
        <v>718</v>
      </c>
      <c r="C135" t="s">
        <v>101</v>
      </c>
      <c r="D135" t="s">
        <v>375</v>
      </c>
      <c r="E135" s="36">
        <v>4000</v>
      </c>
      <c r="F135" s="36">
        <v>4800</v>
      </c>
      <c r="G135" s="36">
        <v>2400</v>
      </c>
      <c r="H135" s="36">
        <v>2760</v>
      </c>
      <c r="I135" s="37">
        <v>0</v>
      </c>
      <c r="J135" s="37">
        <v>4.3478260869565188E-2</v>
      </c>
    </row>
    <row r="136" spans="1:10" x14ac:dyDescent="0.25">
      <c r="A136" t="s">
        <v>719</v>
      </c>
      <c r="B136" t="s">
        <v>720</v>
      </c>
      <c r="C136" t="s">
        <v>101</v>
      </c>
      <c r="D136" t="s">
        <v>375</v>
      </c>
      <c r="E136" s="36">
        <v>4800</v>
      </c>
      <c r="F136" s="36">
        <v>5760</v>
      </c>
      <c r="G136" s="36">
        <v>2800</v>
      </c>
      <c r="H136" s="36">
        <v>3220</v>
      </c>
      <c r="I136" s="37">
        <v>4.3478260869565188E-2</v>
      </c>
      <c r="J136" s="37">
        <v>8.8846880907372361E-2</v>
      </c>
    </row>
    <row r="137" spans="1:10" x14ac:dyDescent="0.25">
      <c r="A137" t="s">
        <v>721</v>
      </c>
      <c r="B137" t="s">
        <v>722</v>
      </c>
      <c r="C137" t="s">
        <v>101</v>
      </c>
      <c r="D137" t="s">
        <v>375</v>
      </c>
      <c r="E137" s="36">
        <v>5600</v>
      </c>
      <c r="F137" s="36">
        <v>6720</v>
      </c>
      <c r="G137" s="36">
        <v>3300</v>
      </c>
      <c r="H137" s="36">
        <v>3795</v>
      </c>
      <c r="I137" s="37">
        <v>1.818181818181808E-2</v>
      </c>
      <c r="J137" s="37">
        <v>6.2450592885375578E-2</v>
      </c>
    </row>
    <row r="138" spans="1:10" x14ac:dyDescent="0.25">
      <c r="A138" t="s">
        <v>723</v>
      </c>
      <c r="B138" t="s">
        <v>724</v>
      </c>
      <c r="C138" t="s">
        <v>101</v>
      </c>
      <c r="D138" t="s">
        <v>375</v>
      </c>
      <c r="E138" s="36">
        <v>7200</v>
      </c>
      <c r="F138" s="36">
        <v>8640</v>
      </c>
      <c r="G138" s="36">
        <v>4200</v>
      </c>
      <c r="H138" s="36">
        <v>4830</v>
      </c>
      <c r="I138" s="37">
        <v>2.857142857142847E-2</v>
      </c>
      <c r="J138" s="37">
        <v>7.3291925465838403E-2</v>
      </c>
    </row>
    <row r="139" spans="1:10" x14ac:dyDescent="0.25">
      <c r="A139" t="s">
        <v>725</v>
      </c>
      <c r="B139" t="s">
        <v>726</v>
      </c>
      <c r="C139" t="s">
        <v>101</v>
      </c>
      <c r="D139" t="s">
        <v>371</v>
      </c>
      <c r="E139" s="36">
        <v>4500</v>
      </c>
      <c r="F139" s="36">
        <v>5175</v>
      </c>
      <c r="G139" s="36">
        <v>2700</v>
      </c>
      <c r="H139" s="36">
        <v>3105</v>
      </c>
      <c r="I139" s="37">
        <v>0</v>
      </c>
      <c r="J139" s="37">
        <v>0</v>
      </c>
    </row>
    <row r="140" spans="1:10" x14ac:dyDescent="0.25">
      <c r="A140" t="s">
        <v>727</v>
      </c>
      <c r="B140" t="s">
        <v>728</v>
      </c>
      <c r="C140" t="s">
        <v>101</v>
      </c>
      <c r="D140" t="s">
        <v>371</v>
      </c>
      <c r="E140" s="36">
        <v>6000</v>
      </c>
      <c r="F140" s="36">
        <v>6900</v>
      </c>
      <c r="G140" s="36">
        <v>3600</v>
      </c>
      <c r="H140" s="36">
        <v>4140</v>
      </c>
      <c r="I140" s="37">
        <v>0</v>
      </c>
      <c r="J140" s="37">
        <v>0</v>
      </c>
    </row>
    <row r="141" spans="1:10" x14ac:dyDescent="0.25">
      <c r="A141" t="s">
        <v>729</v>
      </c>
      <c r="B141" t="s">
        <v>730</v>
      </c>
      <c r="C141" t="s">
        <v>101</v>
      </c>
      <c r="D141" t="s">
        <v>379</v>
      </c>
      <c r="E141" s="36">
        <v>2000</v>
      </c>
      <c r="F141" s="36">
        <v>2300</v>
      </c>
      <c r="G141" s="36">
        <v>1200</v>
      </c>
      <c r="H141" s="36">
        <v>1380</v>
      </c>
      <c r="I141" s="37">
        <v>0</v>
      </c>
      <c r="J141" s="37">
        <v>0</v>
      </c>
    </row>
    <row r="142" spans="1:10" x14ac:dyDescent="0.25">
      <c r="A142" t="s">
        <v>731</v>
      </c>
      <c r="B142" t="s">
        <v>732</v>
      </c>
      <c r="C142" t="s">
        <v>101</v>
      </c>
      <c r="D142" t="s">
        <v>379</v>
      </c>
      <c r="E142" s="36">
        <v>3000</v>
      </c>
      <c r="F142" s="36">
        <v>3450</v>
      </c>
      <c r="G142" s="36">
        <v>1800</v>
      </c>
      <c r="H142" s="36">
        <v>2070</v>
      </c>
      <c r="I142" s="37">
        <v>0</v>
      </c>
      <c r="J142" s="37">
        <v>0</v>
      </c>
    </row>
    <row r="143" spans="1:10" x14ac:dyDescent="0.25">
      <c r="A143" t="s">
        <v>733</v>
      </c>
      <c r="B143" t="s">
        <v>734</v>
      </c>
      <c r="C143" t="s">
        <v>229</v>
      </c>
      <c r="D143" t="s">
        <v>375</v>
      </c>
      <c r="E143" s="36">
        <v>400</v>
      </c>
      <c r="F143" s="36">
        <v>480</v>
      </c>
      <c r="G143" s="36">
        <v>180</v>
      </c>
      <c r="H143" s="36">
        <v>207</v>
      </c>
      <c r="I143" s="37">
        <v>0.33333333333333331</v>
      </c>
      <c r="J143" s="37">
        <v>0.39130434782608692</v>
      </c>
    </row>
    <row r="144" spans="1:10" x14ac:dyDescent="0.25">
      <c r="A144" t="s">
        <v>735</v>
      </c>
      <c r="B144" t="s">
        <v>736</v>
      </c>
      <c r="C144" t="s">
        <v>229</v>
      </c>
      <c r="D144" t="s">
        <v>371</v>
      </c>
      <c r="E144" s="36">
        <v>91</v>
      </c>
      <c r="F144" s="36">
        <v>110</v>
      </c>
      <c r="G144" s="36">
        <v>50</v>
      </c>
      <c r="H144" s="36">
        <v>57.5</v>
      </c>
      <c r="I144" s="37">
        <v>0.13750000000000001</v>
      </c>
      <c r="J144" s="37">
        <v>0.19565217391304349</v>
      </c>
    </row>
    <row r="145" spans="1:10" x14ac:dyDescent="0.25">
      <c r="A145" t="s">
        <v>737</v>
      </c>
      <c r="B145" t="s">
        <v>738</v>
      </c>
      <c r="C145" t="s">
        <v>229</v>
      </c>
      <c r="D145" t="s">
        <v>371</v>
      </c>
      <c r="E145" s="36">
        <v>227</v>
      </c>
      <c r="F145" s="36">
        <v>272</v>
      </c>
      <c r="G145" s="36">
        <v>110</v>
      </c>
      <c r="H145" s="36">
        <v>126</v>
      </c>
      <c r="I145" s="37">
        <v>0.26111111111111113</v>
      </c>
      <c r="J145" s="37">
        <v>0.31400966183574891</v>
      </c>
    </row>
    <row r="146" spans="1:10" x14ac:dyDescent="0.25">
      <c r="A146" t="s">
        <v>739</v>
      </c>
      <c r="B146" t="s">
        <v>740</v>
      </c>
      <c r="C146" t="s">
        <v>101</v>
      </c>
      <c r="D146" t="s">
        <v>375</v>
      </c>
      <c r="E146" s="36">
        <v>2500</v>
      </c>
      <c r="F146" s="36">
        <v>2875</v>
      </c>
      <c r="G146" s="36">
        <v>1500</v>
      </c>
      <c r="H146" s="36">
        <v>1725</v>
      </c>
      <c r="I146" s="37">
        <v>0</v>
      </c>
      <c r="J146" s="37">
        <v>0</v>
      </c>
    </row>
    <row r="147" spans="1:10" x14ac:dyDescent="0.25">
      <c r="A147" t="s">
        <v>741</v>
      </c>
      <c r="B147" t="s">
        <v>742</v>
      </c>
      <c r="C147" t="s">
        <v>101</v>
      </c>
      <c r="D147" t="s">
        <v>371</v>
      </c>
      <c r="E147" s="36">
        <v>3500</v>
      </c>
      <c r="F147" s="36">
        <v>4025</v>
      </c>
      <c r="G147" s="36">
        <v>2100</v>
      </c>
      <c r="H147" s="36">
        <v>2415</v>
      </c>
      <c r="I147" s="37">
        <v>0</v>
      </c>
      <c r="J147" s="37">
        <v>0</v>
      </c>
    </row>
    <row r="148" spans="1:10" x14ac:dyDescent="0.25">
      <c r="A148" t="s">
        <v>743</v>
      </c>
      <c r="B148" t="s">
        <v>744</v>
      </c>
      <c r="C148" t="s">
        <v>101</v>
      </c>
      <c r="D148" t="s">
        <v>371</v>
      </c>
      <c r="E148" s="36">
        <v>6000</v>
      </c>
      <c r="F148" s="36">
        <v>6900</v>
      </c>
      <c r="G148" s="36">
        <v>3600</v>
      </c>
      <c r="H148" s="36">
        <v>4140</v>
      </c>
      <c r="I148" s="37">
        <v>0</v>
      </c>
      <c r="J148" s="37">
        <v>0</v>
      </c>
    </row>
    <row r="149" spans="1:10" x14ac:dyDescent="0.25">
      <c r="A149" t="s">
        <v>745</v>
      </c>
      <c r="B149" t="s">
        <v>746</v>
      </c>
      <c r="C149" t="s">
        <v>101</v>
      </c>
      <c r="D149" t="s">
        <v>367</v>
      </c>
      <c r="E149" s="36">
        <v>454</v>
      </c>
      <c r="F149" s="36">
        <v>544</v>
      </c>
      <c r="G149" s="36">
        <v>240</v>
      </c>
      <c r="H149" s="36">
        <v>276</v>
      </c>
      <c r="I149" s="37">
        <v>0.13500000000000001</v>
      </c>
      <c r="J149" s="37">
        <v>0.182608695652174</v>
      </c>
    </row>
    <row r="150" spans="1:10" x14ac:dyDescent="0.25">
      <c r="A150" t="s">
        <v>747</v>
      </c>
      <c r="B150" t="s">
        <v>748</v>
      </c>
      <c r="C150" t="s">
        <v>101</v>
      </c>
      <c r="D150" t="s">
        <v>367</v>
      </c>
      <c r="E150" s="36">
        <v>794</v>
      </c>
      <c r="F150" s="36">
        <v>952</v>
      </c>
      <c r="G150" s="36">
        <v>420</v>
      </c>
      <c r="H150" s="36">
        <v>483</v>
      </c>
      <c r="I150" s="37">
        <v>0.13428571428571431</v>
      </c>
      <c r="J150" s="37">
        <v>0.182608695652174</v>
      </c>
    </row>
    <row r="151" spans="1:10" x14ac:dyDescent="0.25">
      <c r="A151" t="s">
        <v>749</v>
      </c>
      <c r="B151" t="s">
        <v>750</v>
      </c>
      <c r="C151" t="s">
        <v>101</v>
      </c>
      <c r="D151" t="s">
        <v>367</v>
      </c>
      <c r="E151" s="36">
        <v>2267</v>
      </c>
      <c r="F151" s="36">
        <v>2720</v>
      </c>
      <c r="G151" s="36">
        <v>900</v>
      </c>
      <c r="H151" s="36">
        <v>1035</v>
      </c>
      <c r="I151" s="37">
        <v>0.51133333333333342</v>
      </c>
      <c r="J151" s="37">
        <v>0.57681159420289863</v>
      </c>
    </row>
    <row r="152" spans="1:10" x14ac:dyDescent="0.25">
      <c r="A152" t="s">
        <v>751</v>
      </c>
      <c r="B152" t="s">
        <v>752</v>
      </c>
      <c r="C152" t="s">
        <v>101</v>
      </c>
      <c r="D152" t="s">
        <v>367</v>
      </c>
      <c r="E152" s="36">
        <v>680</v>
      </c>
      <c r="F152" s="36">
        <v>816</v>
      </c>
      <c r="G152" s="36">
        <v>360</v>
      </c>
      <c r="H152" s="36">
        <v>414</v>
      </c>
      <c r="I152" s="37">
        <v>0.1333333333333333</v>
      </c>
      <c r="J152" s="37">
        <v>0.182608695652174</v>
      </c>
    </row>
    <row r="153" spans="1:10" x14ac:dyDescent="0.25">
      <c r="A153" t="s">
        <v>753</v>
      </c>
      <c r="B153" t="s">
        <v>754</v>
      </c>
      <c r="C153" t="s">
        <v>101</v>
      </c>
      <c r="D153" t="s">
        <v>367</v>
      </c>
      <c r="E153" s="36">
        <v>1700</v>
      </c>
      <c r="F153" s="36">
        <v>2040</v>
      </c>
      <c r="G153" s="36">
        <v>720</v>
      </c>
      <c r="H153" s="36">
        <v>828</v>
      </c>
      <c r="I153" s="37">
        <v>0.41666666666666669</v>
      </c>
      <c r="J153" s="37">
        <v>0.47826086956521729</v>
      </c>
    </row>
    <row r="154" spans="1:10" x14ac:dyDescent="0.25">
      <c r="A154" t="s">
        <v>755</v>
      </c>
      <c r="B154" t="s">
        <v>756</v>
      </c>
      <c r="C154" t="s">
        <v>243</v>
      </c>
      <c r="D154" t="s">
        <v>339</v>
      </c>
      <c r="E154" s="36">
        <v>21334</v>
      </c>
      <c r="F154" s="36">
        <v>25334</v>
      </c>
      <c r="G154" s="36">
        <v>8400</v>
      </c>
      <c r="H154" s="36">
        <v>9660</v>
      </c>
      <c r="I154" s="37">
        <v>0.5238571428571428</v>
      </c>
      <c r="J154" s="37">
        <v>0.57354037267080749</v>
      </c>
    </row>
    <row r="155" spans="1:10" x14ac:dyDescent="0.25">
      <c r="A155" t="s">
        <v>757</v>
      </c>
      <c r="B155" t="s">
        <v>758</v>
      </c>
      <c r="C155" t="s">
        <v>101</v>
      </c>
      <c r="D155" t="s">
        <v>367</v>
      </c>
      <c r="E155" s="36">
        <v>3500</v>
      </c>
      <c r="F155" s="36">
        <v>4080</v>
      </c>
      <c r="G155" s="36">
        <v>2100</v>
      </c>
      <c r="H155" s="36">
        <v>2415</v>
      </c>
      <c r="I155" s="37">
        <v>0</v>
      </c>
      <c r="J155" s="37">
        <v>1.366459627329197E-2</v>
      </c>
    </row>
    <row r="156" spans="1:10" x14ac:dyDescent="0.25">
      <c r="A156" t="s">
        <v>759</v>
      </c>
      <c r="B156" t="s">
        <v>760</v>
      </c>
      <c r="C156" t="s">
        <v>101</v>
      </c>
      <c r="D156" t="s">
        <v>371</v>
      </c>
      <c r="E156" s="36">
        <v>3967</v>
      </c>
      <c r="F156" s="36">
        <v>4760</v>
      </c>
      <c r="G156" s="36">
        <v>2100</v>
      </c>
      <c r="H156" s="36">
        <v>2415</v>
      </c>
      <c r="I156" s="37">
        <v>0.13342857142857151</v>
      </c>
      <c r="J156" s="37">
        <v>0.182608695652174</v>
      </c>
    </row>
    <row r="157" spans="1:10" x14ac:dyDescent="0.25">
      <c r="A157" t="s">
        <v>761</v>
      </c>
      <c r="B157" t="s">
        <v>762</v>
      </c>
      <c r="C157" t="s">
        <v>101</v>
      </c>
      <c r="D157" t="s">
        <v>367</v>
      </c>
      <c r="E157" s="36">
        <v>2000</v>
      </c>
      <c r="F157" s="36">
        <v>2300</v>
      </c>
      <c r="G157" s="36">
        <v>1200</v>
      </c>
      <c r="H157" s="36">
        <v>1380</v>
      </c>
      <c r="I157" s="37">
        <v>0</v>
      </c>
      <c r="J157" s="37">
        <v>0</v>
      </c>
    </row>
    <row r="158" spans="1:10" x14ac:dyDescent="0.25">
      <c r="A158" t="s">
        <v>763</v>
      </c>
      <c r="B158" t="s">
        <v>764</v>
      </c>
      <c r="C158" t="s">
        <v>101</v>
      </c>
      <c r="D158" t="s">
        <v>367</v>
      </c>
      <c r="E158" s="36">
        <v>15000</v>
      </c>
      <c r="F158" s="36">
        <v>17250</v>
      </c>
      <c r="G158" s="36">
        <v>9000</v>
      </c>
      <c r="H158" s="36">
        <v>10350</v>
      </c>
      <c r="I158" s="37">
        <v>0</v>
      </c>
      <c r="J158" s="37">
        <v>0</v>
      </c>
    </row>
    <row r="159" spans="1:10" x14ac:dyDescent="0.25">
      <c r="A159" t="s">
        <v>765</v>
      </c>
      <c r="B159" t="s">
        <v>766</v>
      </c>
      <c r="C159" t="s">
        <v>101</v>
      </c>
      <c r="D159" t="s">
        <v>367</v>
      </c>
      <c r="E159" s="36">
        <v>907</v>
      </c>
      <c r="F159" s="36">
        <v>1088</v>
      </c>
      <c r="G159" s="36">
        <v>540</v>
      </c>
      <c r="H159" s="36">
        <v>621</v>
      </c>
      <c r="I159" s="37">
        <v>7.7777777777778834E-3</v>
      </c>
      <c r="J159" s="37">
        <v>5.1207729468599077E-2</v>
      </c>
    </row>
    <row r="160" spans="1:10" x14ac:dyDescent="0.25">
      <c r="A160" t="s">
        <v>767</v>
      </c>
      <c r="B160" t="s">
        <v>768</v>
      </c>
      <c r="C160" t="s">
        <v>101</v>
      </c>
      <c r="D160" t="s">
        <v>367</v>
      </c>
      <c r="E160" s="36">
        <v>454</v>
      </c>
      <c r="F160" s="36">
        <v>544</v>
      </c>
      <c r="G160" s="36">
        <v>270</v>
      </c>
      <c r="H160" s="36">
        <v>310</v>
      </c>
      <c r="I160" s="37">
        <v>8.8888888888889461E-3</v>
      </c>
      <c r="J160" s="37">
        <v>5.0193050193050093E-2</v>
      </c>
    </row>
    <row r="161" spans="1:10" x14ac:dyDescent="0.25">
      <c r="A161" t="s">
        <v>769</v>
      </c>
      <c r="B161" t="s">
        <v>770</v>
      </c>
      <c r="C161" t="s">
        <v>101</v>
      </c>
      <c r="D161" t="s">
        <v>367</v>
      </c>
      <c r="E161" s="36">
        <v>1200</v>
      </c>
      <c r="F161" s="36">
        <v>1380</v>
      </c>
      <c r="G161" s="36">
        <v>720</v>
      </c>
      <c r="H161" s="36">
        <v>828</v>
      </c>
      <c r="I161" s="37">
        <v>0</v>
      </c>
      <c r="J161" s="37">
        <v>0</v>
      </c>
    </row>
    <row r="162" spans="1:10" x14ac:dyDescent="0.25">
      <c r="A162" t="s">
        <v>771</v>
      </c>
      <c r="B162" t="s">
        <v>772</v>
      </c>
      <c r="C162" t="s">
        <v>101</v>
      </c>
      <c r="D162" t="s">
        <v>367</v>
      </c>
      <c r="E162" s="36">
        <v>2500</v>
      </c>
      <c r="F162" s="36">
        <v>2875</v>
      </c>
      <c r="G162" s="36">
        <v>1500</v>
      </c>
      <c r="H162" s="36">
        <v>1725</v>
      </c>
      <c r="I162" s="37">
        <v>0</v>
      </c>
      <c r="J162" s="37">
        <v>0</v>
      </c>
    </row>
    <row r="163" spans="1:10" x14ac:dyDescent="0.25">
      <c r="A163" t="s">
        <v>773</v>
      </c>
      <c r="B163" t="s">
        <v>774</v>
      </c>
      <c r="C163" t="s">
        <v>101</v>
      </c>
      <c r="D163" t="s">
        <v>367</v>
      </c>
      <c r="E163" s="36">
        <v>4534</v>
      </c>
      <c r="F163" s="36">
        <v>5440</v>
      </c>
      <c r="G163" s="36">
        <v>2700</v>
      </c>
      <c r="H163" s="36">
        <v>3105</v>
      </c>
      <c r="I163" s="37">
        <v>7.5555555555555376E-3</v>
      </c>
      <c r="J163" s="37">
        <v>5.1207729468599077E-2</v>
      </c>
    </row>
    <row r="164" spans="1:10" x14ac:dyDescent="0.25">
      <c r="A164" t="s">
        <v>775</v>
      </c>
      <c r="B164" t="s">
        <v>776</v>
      </c>
      <c r="C164" t="s">
        <v>101</v>
      </c>
      <c r="D164" t="s">
        <v>367</v>
      </c>
      <c r="E164" s="36">
        <v>1360</v>
      </c>
      <c r="F164" s="36">
        <v>1632</v>
      </c>
      <c r="G164" s="36">
        <v>720</v>
      </c>
      <c r="H164" s="36">
        <v>828</v>
      </c>
      <c r="I164" s="37">
        <v>0.1333333333333333</v>
      </c>
      <c r="J164" s="37">
        <v>0.182608695652174</v>
      </c>
    </row>
    <row r="165" spans="1:10" x14ac:dyDescent="0.25">
      <c r="A165" t="s">
        <v>777</v>
      </c>
      <c r="B165" t="s">
        <v>778</v>
      </c>
      <c r="C165" t="s">
        <v>101</v>
      </c>
      <c r="D165" t="s">
        <v>367</v>
      </c>
      <c r="E165" s="36">
        <v>907</v>
      </c>
      <c r="F165" s="36">
        <v>1088</v>
      </c>
      <c r="G165" s="36">
        <v>480</v>
      </c>
      <c r="H165" s="36">
        <v>552</v>
      </c>
      <c r="I165" s="37">
        <v>0.13375000000000001</v>
      </c>
      <c r="J165" s="37">
        <v>0.182608695652174</v>
      </c>
    </row>
    <row r="166" spans="1:10" x14ac:dyDescent="0.25">
      <c r="A166" t="s">
        <v>779</v>
      </c>
      <c r="B166" t="s">
        <v>780</v>
      </c>
      <c r="C166" t="s">
        <v>101</v>
      </c>
      <c r="D166" t="s">
        <v>367</v>
      </c>
      <c r="E166" s="36">
        <v>1700</v>
      </c>
      <c r="F166" s="36">
        <v>2040</v>
      </c>
      <c r="G166" s="36">
        <v>900</v>
      </c>
      <c r="H166" s="36">
        <v>1035</v>
      </c>
      <c r="I166" s="37">
        <v>0.1333333333333333</v>
      </c>
      <c r="J166" s="37">
        <v>0.182608695652174</v>
      </c>
    </row>
    <row r="167" spans="1:10" x14ac:dyDescent="0.25">
      <c r="A167" t="s">
        <v>781</v>
      </c>
      <c r="B167" t="s">
        <v>782</v>
      </c>
      <c r="C167" t="s">
        <v>101</v>
      </c>
      <c r="D167" t="s">
        <v>367</v>
      </c>
      <c r="E167" s="36">
        <v>227</v>
      </c>
      <c r="F167" s="36">
        <v>272</v>
      </c>
      <c r="G167" s="36">
        <v>120</v>
      </c>
      <c r="H167" s="36">
        <v>138</v>
      </c>
      <c r="I167" s="37">
        <v>0.13500000000000001</v>
      </c>
      <c r="J167" s="37">
        <v>0.182608695652174</v>
      </c>
    </row>
    <row r="168" spans="1:10" x14ac:dyDescent="0.25">
      <c r="A168" t="s">
        <v>783</v>
      </c>
      <c r="B168" t="s">
        <v>784</v>
      </c>
      <c r="C168" t="s">
        <v>101</v>
      </c>
      <c r="D168" t="s">
        <v>367</v>
      </c>
      <c r="E168" s="36">
        <v>794</v>
      </c>
      <c r="F168" s="36">
        <v>952</v>
      </c>
      <c r="G168" s="36">
        <v>360</v>
      </c>
      <c r="H168" s="36">
        <v>414</v>
      </c>
      <c r="I168" s="37">
        <v>0.32333333333333331</v>
      </c>
      <c r="J168" s="37">
        <v>0.37971014492753619</v>
      </c>
    </row>
    <row r="169" spans="1:10" x14ac:dyDescent="0.25">
      <c r="A169" t="s">
        <v>785</v>
      </c>
      <c r="B169" t="s">
        <v>786</v>
      </c>
      <c r="C169" t="s">
        <v>101</v>
      </c>
      <c r="D169" t="s">
        <v>367</v>
      </c>
      <c r="E169" s="36">
        <v>500</v>
      </c>
      <c r="F169" s="36">
        <v>575</v>
      </c>
      <c r="G169" s="36">
        <v>300</v>
      </c>
      <c r="H169" s="36">
        <v>345</v>
      </c>
      <c r="I169" s="37">
        <v>0</v>
      </c>
      <c r="J169" s="37">
        <v>0</v>
      </c>
    </row>
    <row r="170" spans="1:10" x14ac:dyDescent="0.25">
      <c r="A170" t="s">
        <v>787</v>
      </c>
      <c r="B170" t="s">
        <v>788</v>
      </c>
      <c r="C170" t="s">
        <v>101</v>
      </c>
      <c r="D170" t="s">
        <v>367</v>
      </c>
      <c r="E170" s="36">
        <v>700</v>
      </c>
      <c r="F170" s="36">
        <v>816</v>
      </c>
      <c r="G170" s="36">
        <v>420</v>
      </c>
      <c r="H170" s="36">
        <v>483</v>
      </c>
      <c r="I170" s="37">
        <v>0</v>
      </c>
      <c r="J170" s="37">
        <v>1.366459627329197E-2</v>
      </c>
    </row>
    <row r="171" spans="1:10" x14ac:dyDescent="0.25">
      <c r="A171" t="s">
        <v>789</v>
      </c>
      <c r="B171" t="s">
        <v>790</v>
      </c>
      <c r="C171" t="s">
        <v>101</v>
      </c>
      <c r="D171" t="s">
        <v>367</v>
      </c>
      <c r="E171" s="36">
        <v>567</v>
      </c>
      <c r="F171" s="36">
        <v>680</v>
      </c>
      <c r="G171" s="36">
        <v>300</v>
      </c>
      <c r="H171" s="36">
        <v>345</v>
      </c>
      <c r="I171" s="37">
        <v>0.1339999999999999</v>
      </c>
      <c r="J171" s="37">
        <v>0.182608695652174</v>
      </c>
    </row>
    <row r="172" spans="1:10" x14ac:dyDescent="0.25">
      <c r="A172" t="s">
        <v>791</v>
      </c>
      <c r="B172" t="s">
        <v>792</v>
      </c>
      <c r="C172" t="s">
        <v>101</v>
      </c>
      <c r="D172" t="s">
        <v>371</v>
      </c>
      <c r="E172" s="36">
        <v>3500</v>
      </c>
      <c r="F172" s="36">
        <v>4080</v>
      </c>
      <c r="G172" s="36">
        <v>2100</v>
      </c>
      <c r="H172" s="36">
        <v>2415</v>
      </c>
      <c r="I172" s="37">
        <v>0</v>
      </c>
      <c r="J172" s="37">
        <v>1.366459627329197E-2</v>
      </c>
    </row>
    <row r="173" spans="1:10" x14ac:dyDescent="0.25">
      <c r="A173" t="s">
        <v>793</v>
      </c>
      <c r="B173" t="s">
        <v>794</v>
      </c>
      <c r="C173" t="s">
        <v>101</v>
      </c>
      <c r="D173" t="s">
        <v>379</v>
      </c>
      <c r="E173" s="36">
        <v>2500</v>
      </c>
      <c r="F173" s="36">
        <v>2875</v>
      </c>
      <c r="G173" s="36">
        <v>1500</v>
      </c>
      <c r="H173" s="36">
        <v>1725</v>
      </c>
      <c r="I173" s="37">
        <v>0</v>
      </c>
      <c r="J173" s="37">
        <v>0</v>
      </c>
    </row>
    <row r="174" spans="1:10" x14ac:dyDescent="0.25">
      <c r="A174" t="s">
        <v>795</v>
      </c>
      <c r="B174" t="s">
        <v>796</v>
      </c>
      <c r="C174" t="s">
        <v>229</v>
      </c>
      <c r="D174" t="s">
        <v>367</v>
      </c>
      <c r="E174" s="36">
        <v>511</v>
      </c>
      <c r="F174" s="36">
        <v>612</v>
      </c>
      <c r="G174" s="36">
        <v>210</v>
      </c>
      <c r="H174" s="36">
        <v>241</v>
      </c>
      <c r="I174" s="37">
        <v>0.46</v>
      </c>
      <c r="J174" s="37">
        <v>0.52238805970149249</v>
      </c>
    </row>
    <row r="175" spans="1:10" x14ac:dyDescent="0.25">
      <c r="A175" t="s">
        <v>797</v>
      </c>
      <c r="B175" t="s">
        <v>798</v>
      </c>
      <c r="C175" t="s">
        <v>229</v>
      </c>
      <c r="D175" t="s">
        <v>367</v>
      </c>
      <c r="E175" s="36">
        <v>171</v>
      </c>
      <c r="F175" s="36">
        <v>204</v>
      </c>
      <c r="G175" s="36">
        <v>90</v>
      </c>
      <c r="H175" s="36">
        <v>103</v>
      </c>
      <c r="I175" s="37">
        <v>0.1399999999999999</v>
      </c>
      <c r="J175" s="37">
        <v>0.18604651162790711</v>
      </c>
    </row>
    <row r="176" spans="1:10" x14ac:dyDescent="0.25">
      <c r="A176" t="s">
        <v>799</v>
      </c>
      <c r="B176" t="s">
        <v>800</v>
      </c>
      <c r="C176" t="s">
        <v>101</v>
      </c>
      <c r="D176" t="s">
        <v>367</v>
      </c>
      <c r="E176" s="36">
        <v>5667</v>
      </c>
      <c r="F176" s="36">
        <v>6800</v>
      </c>
      <c r="G176" s="36">
        <v>2700</v>
      </c>
      <c r="H176" s="36">
        <v>3105</v>
      </c>
      <c r="I176" s="37">
        <v>0.25933333333333342</v>
      </c>
      <c r="J176" s="37">
        <v>0.31400966183574891</v>
      </c>
    </row>
    <row r="177" spans="1:10" x14ac:dyDescent="0.25">
      <c r="A177" t="s">
        <v>801</v>
      </c>
      <c r="B177" t="s">
        <v>802</v>
      </c>
      <c r="C177" t="s">
        <v>101</v>
      </c>
      <c r="D177" t="s">
        <v>367</v>
      </c>
      <c r="E177" s="36">
        <v>907</v>
      </c>
      <c r="F177" s="36">
        <v>1088</v>
      </c>
      <c r="G177" s="36">
        <v>480</v>
      </c>
      <c r="H177" s="36">
        <v>552</v>
      </c>
      <c r="I177" s="37">
        <v>0.13375000000000001</v>
      </c>
      <c r="J177" s="37">
        <v>0.182608695652174</v>
      </c>
    </row>
    <row r="178" spans="1:10" x14ac:dyDescent="0.25">
      <c r="A178" t="s">
        <v>803</v>
      </c>
      <c r="B178" t="s">
        <v>804</v>
      </c>
      <c r="C178" t="s">
        <v>101</v>
      </c>
      <c r="D178" t="s">
        <v>367</v>
      </c>
      <c r="E178" s="36">
        <v>454</v>
      </c>
      <c r="F178" s="36">
        <v>544</v>
      </c>
      <c r="G178" s="36">
        <v>240</v>
      </c>
      <c r="H178" s="36">
        <v>276</v>
      </c>
      <c r="I178" s="37">
        <v>0.13500000000000001</v>
      </c>
      <c r="J178" s="37">
        <v>0.182608695652174</v>
      </c>
    </row>
    <row r="179" spans="1:10" x14ac:dyDescent="0.25">
      <c r="A179" t="s">
        <v>805</v>
      </c>
      <c r="B179" t="s">
        <v>806</v>
      </c>
      <c r="C179" t="s">
        <v>101</v>
      </c>
      <c r="D179" t="s">
        <v>367</v>
      </c>
      <c r="E179" s="36">
        <v>907</v>
      </c>
      <c r="F179" s="36">
        <v>1088</v>
      </c>
      <c r="G179" s="36">
        <v>420</v>
      </c>
      <c r="H179" s="36">
        <v>483</v>
      </c>
      <c r="I179" s="37">
        <v>0.29571428571428582</v>
      </c>
      <c r="J179" s="37">
        <v>0.35155279503105602</v>
      </c>
    </row>
    <row r="180" spans="1:10" x14ac:dyDescent="0.25">
      <c r="A180" t="s">
        <v>807</v>
      </c>
      <c r="B180" t="s">
        <v>808</v>
      </c>
      <c r="C180" t="s">
        <v>101</v>
      </c>
      <c r="D180" t="s">
        <v>327</v>
      </c>
      <c r="E180" s="36">
        <v>2500</v>
      </c>
      <c r="F180" s="36">
        <v>2875</v>
      </c>
      <c r="G180" s="36">
        <v>300</v>
      </c>
      <c r="H180" s="36">
        <v>345</v>
      </c>
      <c r="I180" s="37">
        <v>0</v>
      </c>
      <c r="J180" s="37">
        <v>0</v>
      </c>
    </row>
    <row r="181" spans="1:10" x14ac:dyDescent="0.25">
      <c r="A181" t="s">
        <v>809</v>
      </c>
      <c r="B181" t="s">
        <v>810</v>
      </c>
      <c r="C181" t="s">
        <v>101</v>
      </c>
      <c r="D181" t="s">
        <v>367</v>
      </c>
      <c r="E181" s="36">
        <v>680</v>
      </c>
      <c r="F181" s="36">
        <v>816</v>
      </c>
      <c r="G181" s="36">
        <v>360</v>
      </c>
      <c r="H181" s="36">
        <v>414</v>
      </c>
      <c r="I181" s="37">
        <v>0.1333333333333333</v>
      </c>
      <c r="J181" s="37">
        <v>0.182608695652174</v>
      </c>
    </row>
    <row r="182" spans="1:10" x14ac:dyDescent="0.25">
      <c r="A182" t="s">
        <v>811</v>
      </c>
      <c r="B182" t="s">
        <v>812</v>
      </c>
      <c r="C182" t="s">
        <v>101</v>
      </c>
      <c r="D182" t="s">
        <v>367</v>
      </c>
      <c r="E182" s="36">
        <v>1500</v>
      </c>
      <c r="F182" s="36">
        <v>1725</v>
      </c>
      <c r="G182" s="36">
        <v>900</v>
      </c>
      <c r="H182" s="36">
        <v>1035</v>
      </c>
      <c r="I182" s="37">
        <v>0</v>
      </c>
      <c r="J182" s="37">
        <v>0</v>
      </c>
    </row>
    <row r="183" spans="1:10" x14ac:dyDescent="0.25">
      <c r="A183" t="s">
        <v>813</v>
      </c>
      <c r="B183" t="s">
        <v>814</v>
      </c>
      <c r="C183" t="s">
        <v>101</v>
      </c>
      <c r="D183" t="s">
        <v>367</v>
      </c>
      <c r="E183" s="36">
        <v>700</v>
      </c>
      <c r="F183" s="36">
        <v>816</v>
      </c>
      <c r="G183" s="36">
        <v>420</v>
      </c>
      <c r="H183" s="36">
        <v>483</v>
      </c>
      <c r="I183" s="37">
        <v>0</v>
      </c>
      <c r="J183" s="37">
        <v>1.366459627329197E-2</v>
      </c>
    </row>
    <row r="184" spans="1:10" x14ac:dyDescent="0.25">
      <c r="A184" t="s">
        <v>815</v>
      </c>
      <c r="B184" t="s">
        <v>816</v>
      </c>
      <c r="C184" t="s">
        <v>101</v>
      </c>
      <c r="D184" t="s">
        <v>367</v>
      </c>
      <c r="E184" s="36">
        <v>1800</v>
      </c>
      <c r="F184" s="36">
        <v>2070</v>
      </c>
      <c r="G184" s="36">
        <v>1080</v>
      </c>
      <c r="H184" s="36">
        <v>1242</v>
      </c>
      <c r="I184" s="37">
        <v>0</v>
      </c>
      <c r="J184" s="37">
        <v>0</v>
      </c>
    </row>
    <row r="185" spans="1:10" x14ac:dyDescent="0.25">
      <c r="A185" t="s">
        <v>817</v>
      </c>
      <c r="B185" t="s">
        <v>818</v>
      </c>
      <c r="C185" t="s">
        <v>229</v>
      </c>
      <c r="D185" t="s">
        <v>379</v>
      </c>
      <c r="E185" s="36">
        <v>454</v>
      </c>
      <c r="F185" s="36">
        <v>544</v>
      </c>
      <c r="G185" s="36">
        <v>210</v>
      </c>
      <c r="H185" s="36">
        <v>241</v>
      </c>
      <c r="I185" s="37">
        <v>0.29714285714285721</v>
      </c>
      <c r="J185" s="37">
        <v>0.3532338308457712</v>
      </c>
    </row>
    <row r="186" spans="1:10" x14ac:dyDescent="0.25">
      <c r="A186" t="s">
        <v>819</v>
      </c>
      <c r="B186" t="s">
        <v>820</v>
      </c>
      <c r="C186" t="s">
        <v>101</v>
      </c>
      <c r="D186" t="s">
        <v>379</v>
      </c>
      <c r="E186" s="36">
        <v>227</v>
      </c>
      <c r="F186" s="36">
        <v>272</v>
      </c>
      <c r="G186" s="36">
        <v>120</v>
      </c>
      <c r="H186" s="36">
        <v>138</v>
      </c>
      <c r="I186" s="37">
        <v>0.13500000000000001</v>
      </c>
      <c r="J186" s="37">
        <v>0.182608695652174</v>
      </c>
    </row>
    <row r="187" spans="1:10" x14ac:dyDescent="0.25">
      <c r="A187" t="s">
        <v>821</v>
      </c>
      <c r="B187" t="s">
        <v>822</v>
      </c>
      <c r="C187" t="s">
        <v>101</v>
      </c>
      <c r="D187" t="s">
        <v>379</v>
      </c>
      <c r="E187" s="36">
        <v>284</v>
      </c>
      <c r="F187" s="36">
        <v>340</v>
      </c>
      <c r="G187" s="36">
        <v>150</v>
      </c>
      <c r="H187" s="36">
        <v>172</v>
      </c>
      <c r="I187" s="37">
        <v>0.1359999999999999</v>
      </c>
      <c r="J187" s="37">
        <v>0.18055555555555561</v>
      </c>
    </row>
    <row r="188" spans="1:10" x14ac:dyDescent="0.25">
      <c r="A188" t="s">
        <v>823</v>
      </c>
      <c r="B188" t="s">
        <v>824</v>
      </c>
      <c r="C188" t="s">
        <v>101</v>
      </c>
      <c r="D188" t="s">
        <v>379</v>
      </c>
      <c r="E188" s="36">
        <v>350</v>
      </c>
      <c r="F188" s="36">
        <v>408</v>
      </c>
      <c r="G188" s="36">
        <v>210</v>
      </c>
      <c r="H188" s="36">
        <v>241</v>
      </c>
      <c r="I188" s="37">
        <v>0</v>
      </c>
      <c r="J188" s="37">
        <v>1.49253731343284E-2</v>
      </c>
    </row>
    <row r="189" spans="1:10" x14ac:dyDescent="0.25">
      <c r="A189" t="s">
        <v>825</v>
      </c>
      <c r="B189" t="s">
        <v>826</v>
      </c>
      <c r="C189" t="s">
        <v>101</v>
      </c>
      <c r="D189" t="s">
        <v>379</v>
      </c>
      <c r="E189" s="36">
        <v>400</v>
      </c>
      <c r="F189" s="36">
        <v>476</v>
      </c>
      <c r="G189" s="36">
        <v>240</v>
      </c>
      <c r="H189" s="36">
        <v>276</v>
      </c>
      <c r="I189" s="37">
        <v>0</v>
      </c>
      <c r="J189" s="37">
        <v>3.4782608695652202E-2</v>
      </c>
    </row>
    <row r="190" spans="1:10" x14ac:dyDescent="0.25">
      <c r="A190" t="s">
        <v>827</v>
      </c>
      <c r="B190" t="s">
        <v>828</v>
      </c>
      <c r="C190" t="s">
        <v>829</v>
      </c>
      <c r="D190" t="s">
        <v>379</v>
      </c>
      <c r="E190" s="36">
        <v>136</v>
      </c>
      <c r="F190" s="36">
        <v>163</v>
      </c>
      <c r="G190" s="36">
        <v>70</v>
      </c>
      <c r="H190" s="36">
        <v>80.5</v>
      </c>
      <c r="I190" s="37">
        <v>0.1333333333333333</v>
      </c>
      <c r="J190" s="37">
        <v>0.18115942028985499</v>
      </c>
    </row>
    <row r="191" spans="1:10" x14ac:dyDescent="0.25">
      <c r="A191" t="s">
        <v>830</v>
      </c>
      <c r="B191" t="s">
        <v>831</v>
      </c>
      <c r="C191" t="s">
        <v>229</v>
      </c>
      <c r="D191" t="s">
        <v>379</v>
      </c>
      <c r="E191" s="36">
        <v>68</v>
      </c>
      <c r="F191" s="36">
        <v>82</v>
      </c>
      <c r="G191" s="36">
        <v>35</v>
      </c>
      <c r="H191" s="36">
        <v>40</v>
      </c>
      <c r="I191" s="37">
        <v>0.1333333333333333</v>
      </c>
      <c r="J191" s="37">
        <v>0.1884057971014492</v>
      </c>
    </row>
    <row r="192" spans="1:10" x14ac:dyDescent="0.25">
      <c r="A192" t="s">
        <v>832</v>
      </c>
      <c r="B192" t="s">
        <v>833</v>
      </c>
      <c r="C192" t="s">
        <v>229</v>
      </c>
      <c r="D192" t="s">
        <v>379</v>
      </c>
      <c r="E192" s="36">
        <v>171</v>
      </c>
      <c r="F192" s="36">
        <v>204</v>
      </c>
      <c r="G192" s="36">
        <v>90</v>
      </c>
      <c r="H192" s="36">
        <v>103</v>
      </c>
      <c r="I192" s="37">
        <v>0.1399999999999999</v>
      </c>
      <c r="J192" s="37">
        <v>0.18604651162790711</v>
      </c>
    </row>
    <row r="193" spans="1:10" x14ac:dyDescent="0.25">
      <c r="A193" t="s">
        <v>834</v>
      </c>
      <c r="B193" t="s">
        <v>835</v>
      </c>
      <c r="C193" t="s">
        <v>101</v>
      </c>
      <c r="D193" t="s">
        <v>379</v>
      </c>
      <c r="E193" s="36">
        <v>4534</v>
      </c>
      <c r="F193" s="36">
        <v>5440</v>
      </c>
      <c r="G193" s="36">
        <v>2100</v>
      </c>
      <c r="H193" s="36">
        <v>2415</v>
      </c>
      <c r="I193" s="37">
        <v>0.29542857142857137</v>
      </c>
      <c r="J193" s="37">
        <v>0.35155279503105602</v>
      </c>
    </row>
    <row r="194" spans="1:10" x14ac:dyDescent="0.25">
      <c r="A194" t="s">
        <v>836</v>
      </c>
      <c r="B194" t="s">
        <v>837</v>
      </c>
      <c r="C194" t="s">
        <v>101</v>
      </c>
      <c r="D194" t="s">
        <v>379</v>
      </c>
      <c r="E194" s="36">
        <v>15000</v>
      </c>
      <c r="F194" s="36">
        <v>17250</v>
      </c>
      <c r="G194" s="36">
        <v>9000</v>
      </c>
      <c r="H194" s="36">
        <v>10350</v>
      </c>
      <c r="I194" s="37">
        <v>0</v>
      </c>
      <c r="J194" s="37">
        <v>0</v>
      </c>
    </row>
    <row r="195" spans="1:10" x14ac:dyDescent="0.25">
      <c r="A195" t="s">
        <v>838</v>
      </c>
      <c r="B195" t="s">
        <v>839</v>
      </c>
      <c r="C195" t="s">
        <v>229</v>
      </c>
      <c r="D195" t="s">
        <v>379</v>
      </c>
      <c r="E195" s="36">
        <v>91</v>
      </c>
      <c r="F195" s="36">
        <v>110</v>
      </c>
      <c r="G195" s="36">
        <v>50</v>
      </c>
      <c r="H195" s="36">
        <v>57.5</v>
      </c>
      <c r="I195" s="37">
        <v>0.13750000000000001</v>
      </c>
      <c r="J195" s="37">
        <v>0.19565217391304349</v>
      </c>
    </row>
    <row r="196" spans="1:10" x14ac:dyDescent="0.25">
      <c r="A196" t="s">
        <v>840</v>
      </c>
      <c r="B196" t="s">
        <v>841</v>
      </c>
      <c r="C196" t="s">
        <v>101</v>
      </c>
      <c r="D196" t="s">
        <v>379</v>
      </c>
      <c r="E196" s="36">
        <v>454</v>
      </c>
      <c r="F196" s="36">
        <v>544</v>
      </c>
      <c r="G196" s="36">
        <v>240</v>
      </c>
      <c r="H196" s="36">
        <v>276</v>
      </c>
      <c r="I196" s="37">
        <v>0.13500000000000001</v>
      </c>
      <c r="J196" s="37">
        <v>0.182608695652174</v>
      </c>
    </row>
    <row r="197" spans="1:10" x14ac:dyDescent="0.25">
      <c r="A197" t="s">
        <v>842</v>
      </c>
      <c r="B197" t="s">
        <v>843</v>
      </c>
      <c r="C197" t="s">
        <v>829</v>
      </c>
      <c r="D197" t="s">
        <v>379</v>
      </c>
      <c r="E197" s="36">
        <v>340</v>
      </c>
      <c r="F197" s="36">
        <v>408</v>
      </c>
      <c r="G197" s="36">
        <v>180</v>
      </c>
      <c r="H197" s="36">
        <v>207</v>
      </c>
      <c r="I197" s="37">
        <v>0.1333333333333333</v>
      </c>
      <c r="J197" s="37">
        <v>0.182608695652174</v>
      </c>
    </row>
    <row r="198" spans="1:10" x14ac:dyDescent="0.25">
      <c r="A198" t="s">
        <v>844</v>
      </c>
      <c r="B198" t="s">
        <v>845</v>
      </c>
      <c r="C198" t="s">
        <v>229</v>
      </c>
      <c r="D198" t="s">
        <v>379</v>
      </c>
      <c r="E198" s="36">
        <v>68</v>
      </c>
      <c r="F198" s="36">
        <v>82</v>
      </c>
      <c r="G198" s="36">
        <v>35</v>
      </c>
      <c r="H198" s="36">
        <v>40</v>
      </c>
      <c r="I198" s="37">
        <v>0.1333333333333333</v>
      </c>
      <c r="J198" s="37">
        <v>0.1884057971014492</v>
      </c>
    </row>
    <row r="199" spans="1:10" x14ac:dyDescent="0.25">
      <c r="A199" t="s">
        <v>846</v>
      </c>
      <c r="B199" t="s">
        <v>847</v>
      </c>
      <c r="C199" t="s">
        <v>101</v>
      </c>
      <c r="D199" t="s">
        <v>379</v>
      </c>
      <c r="E199" s="36">
        <v>3967</v>
      </c>
      <c r="F199" s="36">
        <v>4760</v>
      </c>
      <c r="G199" s="36">
        <v>1800</v>
      </c>
      <c r="H199" s="36">
        <v>2070</v>
      </c>
      <c r="I199" s="37">
        <v>0.32233333333333342</v>
      </c>
      <c r="J199" s="37">
        <v>0.37971014492753619</v>
      </c>
    </row>
    <row r="200" spans="1:10" x14ac:dyDescent="0.25">
      <c r="A200" t="s">
        <v>848</v>
      </c>
      <c r="B200" t="s">
        <v>849</v>
      </c>
      <c r="C200" t="s">
        <v>829</v>
      </c>
      <c r="D200" t="s">
        <v>379</v>
      </c>
      <c r="E200" s="36">
        <v>600</v>
      </c>
      <c r="F200" s="36">
        <v>690</v>
      </c>
      <c r="G200" s="36">
        <v>360</v>
      </c>
      <c r="H200" s="36">
        <v>414</v>
      </c>
      <c r="I200" s="37">
        <v>0</v>
      </c>
      <c r="J200" s="37">
        <v>0</v>
      </c>
    </row>
    <row r="201" spans="1:10" x14ac:dyDescent="0.25">
      <c r="A201" t="s">
        <v>850</v>
      </c>
      <c r="B201" t="s">
        <v>851</v>
      </c>
      <c r="C201" t="s">
        <v>829</v>
      </c>
      <c r="D201" t="s">
        <v>379</v>
      </c>
      <c r="E201" s="36">
        <v>2267</v>
      </c>
      <c r="F201" s="36">
        <v>2720</v>
      </c>
      <c r="G201" s="36">
        <v>1200</v>
      </c>
      <c r="H201" s="36">
        <v>1380</v>
      </c>
      <c r="I201" s="37">
        <v>0.13350000000000001</v>
      </c>
      <c r="J201" s="37">
        <v>0.182608695652174</v>
      </c>
    </row>
    <row r="202" spans="1:10" x14ac:dyDescent="0.25">
      <c r="A202" t="s">
        <v>852</v>
      </c>
      <c r="B202" t="s">
        <v>853</v>
      </c>
      <c r="C202" t="s">
        <v>229</v>
      </c>
      <c r="D202" t="s">
        <v>379</v>
      </c>
      <c r="E202" s="36">
        <v>58</v>
      </c>
      <c r="F202" s="36">
        <v>68</v>
      </c>
      <c r="G202" s="36">
        <v>30</v>
      </c>
      <c r="H202" s="36">
        <v>34.5</v>
      </c>
      <c r="I202" s="37">
        <v>0.15999999999999989</v>
      </c>
      <c r="J202" s="37">
        <v>0.182608695652174</v>
      </c>
    </row>
    <row r="203" spans="1:10" x14ac:dyDescent="0.25">
      <c r="A203" t="s">
        <v>854</v>
      </c>
      <c r="B203" t="s">
        <v>855</v>
      </c>
      <c r="C203" t="s">
        <v>101</v>
      </c>
      <c r="D203" t="s">
        <v>379</v>
      </c>
      <c r="E203" s="36">
        <v>907</v>
      </c>
      <c r="F203" s="36">
        <v>1088</v>
      </c>
      <c r="G203" s="36">
        <v>540</v>
      </c>
      <c r="H203" s="36">
        <v>621</v>
      </c>
      <c r="I203" s="37">
        <v>7.7777777777778834E-3</v>
      </c>
      <c r="J203" s="37">
        <v>5.1207729468599077E-2</v>
      </c>
    </row>
    <row r="204" spans="1:10" x14ac:dyDescent="0.25">
      <c r="A204" t="s">
        <v>856</v>
      </c>
      <c r="B204" t="s">
        <v>857</v>
      </c>
      <c r="C204" t="s">
        <v>101</v>
      </c>
      <c r="D204" t="s">
        <v>379</v>
      </c>
      <c r="E204" s="36">
        <v>171</v>
      </c>
      <c r="F204" s="36">
        <v>204</v>
      </c>
      <c r="G204" s="36">
        <v>90</v>
      </c>
      <c r="H204" s="36">
        <v>103</v>
      </c>
      <c r="I204" s="37">
        <v>0.1399999999999999</v>
      </c>
      <c r="J204" s="37">
        <v>0.18604651162790711</v>
      </c>
    </row>
    <row r="205" spans="1:10" x14ac:dyDescent="0.25">
      <c r="A205" t="s">
        <v>858</v>
      </c>
      <c r="B205" t="s">
        <v>859</v>
      </c>
      <c r="C205" t="s">
        <v>101</v>
      </c>
      <c r="D205" t="s">
        <v>379</v>
      </c>
      <c r="E205" s="36">
        <v>171</v>
      </c>
      <c r="F205" s="36">
        <v>204</v>
      </c>
      <c r="G205" s="36">
        <v>90</v>
      </c>
      <c r="H205" s="36">
        <v>103</v>
      </c>
      <c r="I205" s="37">
        <v>0.1399999999999999</v>
      </c>
      <c r="J205" s="37">
        <v>0.18604651162790711</v>
      </c>
    </row>
    <row r="206" spans="1:10" x14ac:dyDescent="0.25">
      <c r="A206" t="s">
        <v>860</v>
      </c>
      <c r="B206" t="s">
        <v>861</v>
      </c>
      <c r="C206" t="s">
        <v>101</v>
      </c>
      <c r="D206" t="s">
        <v>386</v>
      </c>
      <c r="E206" s="36">
        <v>1200</v>
      </c>
      <c r="F206" s="36">
        <v>1380</v>
      </c>
      <c r="G206" s="36">
        <v>700</v>
      </c>
      <c r="H206" s="36">
        <v>805</v>
      </c>
      <c r="I206" s="37">
        <v>0</v>
      </c>
      <c r="J206" s="37">
        <v>0</v>
      </c>
    </row>
    <row r="207" spans="1:10" x14ac:dyDescent="0.25">
      <c r="A207" t="s">
        <v>862</v>
      </c>
      <c r="B207" t="s">
        <v>863</v>
      </c>
      <c r="C207" t="s">
        <v>89</v>
      </c>
      <c r="D207" t="s">
        <v>386</v>
      </c>
      <c r="E207" s="36">
        <v>854</v>
      </c>
      <c r="F207" s="36">
        <v>1014</v>
      </c>
      <c r="G207" s="36">
        <v>420</v>
      </c>
      <c r="H207" s="36">
        <v>483</v>
      </c>
      <c r="I207" s="37">
        <v>0.22</v>
      </c>
      <c r="J207" s="37">
        <v>0.25962732919254661</v>
      </c>
    </row>
    <row r="208" spans="1:10" x14ac:dyDescent="0.25">
      <c r="A208" t="s">
        <v>864</v>
      </c>
      <c r="B208" t="s">
        <v>865</v>
      </c>
      <c r="C208" t="s">
        <v>89</v>
      </c>
      <c r="D208" t="s">
        <v>386</v>
      </c>
      <c r="E208" s="36">
        <v>640</v>
      </c>
      <c r="F208" s="36">
        <v>760</v>
      </c>
      <c r="G208" s="36">
        <v>300</v>
      </c>
      <c r="H208" s="36">
        <v>345</v>
      </c>
      <c r="I208" s="37">
        <v>0.28000000000000003</v>
      </c>
      <c r="J208" s="37">
        <v>0.32173913043478253</v>
      </c>
    </row>
    <row r="209" spans="1:10" x14ac:dyDescent="0.25">
      <c r="A209" t="s">
        <v>866</v>
      </c>
      <c r="B209" t="s">
        <v>867</v>
      </c>
      <c r="C209" t="s">
        <v>89</v>
      </c>
      <c r="D209" t="s">
        <v>386</v>
      </c>
      <c r="E209" s="36">
        <v>1067</v>
      </c>
      <c r="F209" s="36">
        <v>1267</v>
      </c>
      <c r="G209" s="36">
        <v>480</v>
      </c>
      <c r="H209" s="36">
        <v>552</v>
      </c>
      <c r="I209" s="37">
        <v>0.33374999999999999</v>
      </c>
      <c r="J209" s="37">
        <v>0.37717391304347841</v>
      </c>
    </row>
    <row r="210" spans="1:10" x14ac:dyDescent="0.25">
      <c r="A210" t="s">
        <v>868</v>
      </c>
      <c r="B210" t="s">
        <v>869</v>
      </c>
      <c r="C210" t="s">
        <v>101</v>
      </c>
      <c r="D210" t="s">
        <v>386</v>
      </c>
      <c r="E210" s="36">
        <v>2667</v>
      </c>
      <c r="F210" s="36">
        <v>3167</v>
      </c>
      <c r="G210" s="36">
        <v>1500</v>
      </c>
      <c r="H210" s="36">
        <v>1725</v>
      </c>
      <c r="I210" s="37">
        <v>6.6799999999999971E-2</v>
      </c>
      <c r="J210" s="37">
        <v>0.1015652173913044</v>
      </c>
    </row>
    <row r="211" spans="1:10" x14ac:dyDescent="0.25">
      <c r="A211" t="s">
        <v>870</v>
      </c>
      <c r="B211" t="s">
        <v>871</v>
      </c>
      <c r="C211" t="s">
        <v>101</v>
      </c>
      <c r="D211" t="s">
        <v>386</v>
      </c>
      <c r="E211" s="36">
        <v>1600</v>
      </c>
      <c r="F211" s="36">
        <v>1900</v>
      </c>
      <c r="G211" s="36">
        <v>900</v>
      </c>
      <c r="H211" s="36">
        <v>1035</v>
      </c>
      <c r="I211" s="37">
        <v>6.6666666666666652E-2</v>
      </c>
      <c r="J211" s="37">
        <v>0.10144927536231881</v>
      </c>
    </row>
    <row r="212" spans="1:10" x14ac:dyDescent="0.25">
      <c r="A212" t="s">
        <v>872</v>
      </c>
      <c r="B212" t="s">
        <v>873</v>
      </c>
      <c r="C212" t="s">
        <v>101</v>
      </c>
      <c r="D212" t="s">
        <v>386</v>
      </c>
      <c r="E212" s="36">
        <v>1280</v>
      </c>
      <c r="F212" s="36">
        <v>1520</v>
      </c>
      <c r="G212" s="36">
        <v>720</v>
      </c>
      <c r="H212" s="36">
        <v>828</v>
      </c>
      <c r="I212" s="37">
        <v>6.6666666666666652E-2</v>
      </c>
      <c r="J212" s="37">
        <v>0.10144927536231881</v>
      </c>
    </row>
    <row r="213" spans="1:10" x14ac:dyDescent="0.25">
      <c r="A213" t="s">
        <v>874</v>
      </c>
      <c r="B213" t="s">
        <v>875</v>
      </c>
      <c r="C213" t="s">
        <v>101</v>
      </c>
      <c r="D213" t="s">
        <v>386</v>
      </c>
      <c r="E213" s="36">
        <v>854</v>
      </c>
      <c r="F213" s="36">
        <v>1014</v>
      </c>
      <c r="G213" s="36">
        <v>480</v>
      </c>
      <c r="H213" s="36">
        <v>552</v>
      </c>
      <c r="I213" s="37">
        <v>6.7499999999999893E-2</v>
      </c>
      <c r="J213" s="37">
        <v>0.1021739130434782</v>
      </c>
    </row>
    <row r="214" spans="1:10" x14ac:dyDescent="0.25">
      <c r="A214" t="s">
        <v>876</v>
      </c>
      <c r="B214" t="s">
        <v>877</v>
      </c>
      <c r="C214" t="s">
        <v>101</v>
      </c>
      <c r="D214" t="s">
        <v>386</v>
      </c>
      <c r="E214" s="36">
        <v>400</v>
      </c>
      <c r="F214" s="36">
        <v>460</v>
      </c>
      <c r="G214" s="36">
        <v>240</v>
      </c>
      <c r="H214" s="36">
        <v>276</v>
      </c>
      <c r="I214" s="37">
        <v>0</v>
      </c>
      <c r="J214" s="37">
        <v>0</v>
      </c>
    </row>
    <row r="215" spans="1:10" x14ac:dyDescent="0.25">
      <c r="A215" t="s">
        <v>878</v>
      </c>
      <c r="B215" t="s">
        <v>879</v>
      </c>
      <c r="C215" t="s">
        <v>101</v>
      </c>
      <c r="D215" t="s">
        <v>386</v>
      </c>
      <c r="E215" s="36">
        <v>200</v>
      </c>
      <c r="F215" s="36">
        <v>230</v>
      </c>
      <c r="G215" s="36">
        <v>120</v>
      </c>
      <c r="H215" s="36">
        <v>138</v>
      </c>
      <c r="I215" s="37">
        <v>0</v>
      </c>
      <c r="J215" s="37">
        <v>0</v>
      </c>
    </row>
    <row r="216" spans="1:10" x14ac:dyDescent="0.25">
      <c r="A216" t="s">
        <v>880</v>
      </c>
      <c r="B216" t="s">
        <v>881</v>
      </c>
      <c r="C216" t="s">
        <v>101</v>
      </c>
      <c r="D216" t="s">
        <v>386</v>
      </c>
      <c r="E216" s="36">
        <v>500</v>
      </c>
      <c r="F216" s="36">
        <v>575</v>
      </c>
      <c r="G216" s="36">
        <v>300</v>
      </c>
      <c r="H216" s="36">
        <v>345</v>
      </c>
      <c r="I216" s="37">
        <v>0</v>
      </c>
      <c r="J216" s="37">
        <v>0</v>
      </c>
    </row>
    <row r="217" spans="1:10" x14ac:dyDescent="0.25">
      <c r="A217" t="s">
        <v>882</v>
      </c>
      <c r="B217" t="s">
        <v>883</v>
      </c>
      <c r="C217" t="s">
        <v>89</v>
      </c>
      <c r="D217" t="s">
        <v>386</v>
      </c>
      <c r="E217" s="36">
        <v>640</v>
      </c>
      <c r="F217" s="36">
        <v>760</v>
      </c>
      <c r="G217" s="36">
        <v>300</v>
      </c>
      <c r="H217" s="36">
        <v>345</v>
      </c>
      <c r="I217" s="37">
        <v>0.28000000000000003</v>
      </c>
      <c r="J217" s="37">
        <v>0.32173913043478253</v>
      </c>
    </row>
    <row r="218" spans="1:10" x14ac:dyDescent="0.25">
      <c r="A218" t="s">
        <v>884</v>
      </c>
      <c r="B218" t="s">
        <v>885</v>
      </c>
      <c r="C218" t="s">
        <v>101</v>
      </c>
      <c r="D218" t="s">
        <v>386</v>
      </c>
      <c r="E218" s="36">
        <v>1494</v>
      </c>
      <c r="F218" s="36">
        <v>1774</v>
      </c>
      <c r="G218" s="36">
        <v>720</v>
      </c>
      <c r="H218" s="36">
        <v>828</v>
      </c>
      <c r="I218" s="37">
        <v>0.24500000000000011</v>
      </c>
      <c r="J218" s="37">
        <v>0.28550724637681157</v>
      </c>
    </row>
    <row r="219" spans="1:10" x14ac:dyDescent="0.25">
      <c r="A219" t="s">
        <v>886</v>
      </c>
      <c r="B219" t="s">
        <v>887</v>
      </c>
      <c r="C219" t="s">
        <v>101</v>
      </c>
      <c r="D219" t="s">
        <v>386</v>
      </c>
      <c r="E219" s="36">
        <v>1280</v>
      </c>
      <c r="F219" s="36">
        <v>1520</v>
      </c>
      <c r="G219" s="36">
        <v>720</v>
      </c>
      <c r="H219" s="36">
        <v>828</v>
      </c>
      <c r="I219" s="37">
        <v>6.6666666666666652E-2</v>
      </c>
      <c r="J219" s="37">
        <v>0.10144927536231881</v>
      </c>
    </row>
    <row r="220" spans="1:10" x14ac:dyDescent="0.25">
      <c r="A220" t="s">
        <v>888</v>
      </c>
      <c r="B220" t="s">
        <v>889</v>
      </c>
      <c r="C220" t="s">
        <v>101</v>
      </c>
      <c r="D220" t="s">
        <v>386</v>
      </c>
      <c r="E220" s="36">
        <v>160</v>
      </c>
      <c r="F220" s="36">
        <v>191</v>
      </c>
      <c r="G220" s="36">
        <v>90</v>
      </c>
      <c r="H220" s="36">
        <v>103</v>
      </c>
      <c r="I220" s="37">
        <v>6.6666666666666652E-2</v>
      </c>
      <c r="J220" s="37">
        <v>0.1104651162790697</v>
      </c>
    </row>
    <row r="221" spans="1:10" x14ac:dyDescent="0.25">
      <c r="A221" t="s">
        <v>890</v>
      </c>
      <c r="B221" t="s">
        <v>891</v>
      </c>
      <c r="C221" t="s">
        <v>101</v>
      </c>
      <c r="D221" t="s">
        <v>386</v>
      </c>
      <c r="E221" s="36">
        <v>600</v>
      </c>
      <c r="F221" s="36">
        <v>690</v>
      </c>
      <c r="G221" s="36">
        <v>360</v>
      </c>
      <c r="H221" s="36">
        <v>414</v>
      </c>
      <c r="I221" s="37">
        <v>0</v>
      </c>
      <c r="J221" s="37">
        <v>0</v>
      </c>
    </row>
    <row r="222" spans="1:10" x14ac:dyDescent="0.25">
      <c r="A222" t="s">
        <v>892</v>
      </c>
      <c r="B222" t="s">
        <v>893</v>
      </c>
      <c r="C222" t="s">
        <v>101</v>
      </c>
      <c r="D222" t="s">
        <v>386</v>
      </c>
      <c r="E222" s="36">
        <v>250</v>
      </c>
      <c r="F222" s="36">
        <v>288</v>
      </c>
      <c r="G222" s="36">
        <v>150</v>
      </c>
      <c r="H222" s="36">
        <v>172</v>
      </c>
      <c r="I222" s="37">
        <v>0</v>
      </c>
      <c r="J222" s="37">
        <v>0</v>
      </c>
    </row>
    <row r="223" spans="1:10" x14ac:dyDescent="0.25">
      <c r="A223" t="s">
        <v>894</v>
      </c>
      <c r="B223" t="s">
        <v>895</v>
      </c>
      <c r="C223" t="s">
        <v>89</v>
      </c>
      <c r="D223" t="s">
        <v>327</v>
      </c>
      <c r="E223" s="36">
        <v>1500</v>
      </c>
      <c r="F223" s="36">
        <v>1760</v>
      </c>
      <c r="G223" s="36">
        <v>900</v>
      </c>
      <c r="H223" s="36">
        <v>1035</v>
      </c>
      <c r="I223" s="37">
        <v>0</v>
      </c>
      <c r="J223" s="37">
        <v>2.0289855072463722E-2</v>
      </c>
    </row>
    <row r="224" spans="1:10" x14ac:dyDescent="0.25">
      <c r="A224" t="s">
        <v>896</v>
      </c>
      <c r="B224" t="s">
        <v>897</v>
      </c>
      <c r="C224" t="s">
        <v>89</v>
      </c>
      <c r="D224" t="s">
        <v>386</v>
      </c>
      <c r="E224" s="36">
        <v>747</v>
      </c>
      <c r="F224" s="36">
        <v>887</v>
      </c>
      <c r="G224" s="36">
        <v>360</v>
      </c>
      <c r="H224" s="36">
        <v>414</v>
      </c>
      <c r="I224" s="37">
        <v>0.24500000000000011</v>
      </c>
      <c r="J224" s="37">
        <v>0.28550724637681157</v>
      </c>
    </row>
    <row r="225" spans="1:10" x14ac:dyDescent="0.25">
      <c r="A225" t="s">
        <v>898</v>
      </c>
      <c r="B225" t="s">
        <v>899</v>
      </c>
      <c r="C225" t="s">
        <v>89</v>
      </c>
      <c r="D225" t="s">
        <v>386</v>
      </c>
      <c r="E225" s="36">
        <v>427</v>
      </c>
      <c r="F225" s="36">
        <v>507</v>
      </c>
      <c r="G225" s="36">
        <v>240</v>
      </c>
      <c r="H225" s="36">
        <v>276</v>
      </c>
      <c r="I225" s="37">
        <v>6.7499999999999893E-2</v>
      </c>
      <c r="J225" s="37">
        <v>0.1021739130434782</v>
      </c>
    </row>
    <row r="226" spans="1:10" x14ac:dyDescent="0.25">
      <c r="A226" t="s">
        <v>900</v>
      </c>
      <c r="B226" t="s">
        <v>901</v>
      </c>
      <c r="C226" t="s">
        <v>101</v>
      </c>
      <c r="D226" t="s">
        <v>386</v>
      </c>
      <c r="E226" s="36">
        <v>800</v>
      </c>
      <c r="F226" s="36">
        <v>920</v>
      </c>
      <c r="G226" s="36">
        <v>480</v>
      </c>
      <c r="H226" s="36">
        <v>552</v>
      </c>
      <c r="I226" s="37">
        <v>0</v>
      </c>
      <c r="J226" s="37">
        <v>0</v>
      </c>
    </row>
    <row r="227" spans="1:10" x14ac:dyDescent="0.25">
      <c r="A227" t="s">
        <v>902</v>
      </c>
      <c r="B227" t="s">
        <v>903</v>
      </c>
      <c r="C227" t="s">
        <v>89</v>
      </c>
      <c r="D227" t="s">
        <v>386</v>
      </c>
      <c r="E227" s="36">
        <v>854</v>
      </c>
      <c r="F227" s="36">
        <v>1014</v>
      </c>
      <c r="G227" s="36">
        <v>420</v>
      </c>
      <c r="H227" s="36">
        <v>483</v>
      </c>
      <c r="I227" s="37">
        <v>0.22</v>
      </c>
      <c r="J227" s="37">
        <v>0.25962732919254661</v>
      </c>
    </row>
    <row r="228" spans="1:10" x14ac:dyDescent="0.25">
      <c r="A228" t="s">
        <v>904</v>
      </c>
      <c r="B228" t="s">
        <v>905</v>
      </c>
      <c r="C228" t="s">
        <v>89</v>
      </c>
      <c r="D228" t="s">
        <v>386</v>
      </c>
      <c r="E228" s="36">
        <v>534</v>
      </c>
      <c r="F228" s="36">
        <v>634</v>
      </c>
      <c r="G228" s="36">
        <v>270</v>
      </c>
      <c r="H228" s="36">
        <v>310</v>
      </c>
      <c r="I228" s="37">
        <v>0.18666666666666679</v>
      </c>
      <c r="J228" s="37">
        <v>0.22393822393822391</v>
      </c>
    </row>
    <row r="229" spans="1:10" x14ac:dyDescent="0.25">
      <c r="A229" t="s">
        <v>906</v>
      </c>
      <c r="B229" t="s">
        <v>907</v>
      </c>
      <c r="C229" t="s">
        <v>89</v>
      </c>
      <c r="D229" t="s">
        <v>386</v>
      </c>
      <c r="E229" s="36">
        <v>427</v>
      </c>
      <c r="F229" s="36">
        <v>507</v>
      </c>
      <c r="G229" s="36">
        <v>210</v>
      </c>
      <c r="H229" s="36">
        <v>241</v>
      </c>
      <c r="I229" s="37">
        <v>0.22</v>
      </c>
      <c r="J229" s="37">
        <v>0.26119402985074619</v>
      </c>
    </row>
    <row r="230" spans="1:10" x14ac:dyDescent="0.25">
      <c r="A230" t="s">
        <v>908</v>
      </c>
      <c r="B230" t="s">
        <v>909</v>
      </c>
      <c r="C230" t="s">
        <v>101</v>
      </c>
      <c r="D230" t="s">
        <v>386</v>
      </c>
      <c r="E230" s="36">
        <v>2500</v>
      </c>
      <c r="F230" s="36">
        <v>2875</v>
      </c>
      <c r="G230" s="36">
        <v>1500</v>
      </c>
      <c r="H230" s="36">
        <v>1725</v>
      </c>
      <c r="I230" s="37">
        <v>0</v>
      </c>
      <c r="J230" s="37">
        <v>0</v>
      </c>
    </row>
    <row r="231" spans="1:10" x14ac:dyDescent="0.25">
      <c r="A231" t="s">
        <v>910</v>
      </c>
      <c r="B231" t="s">
        <v>911</v>
      </c>
      <c r="C231" t="s">
        <v>89</v>
      </c>
      <c r="D231" t="s">
        <v>347</v>
      </c>
      <c r="E231" s="36">
        <v>300</v>
      </c>
      <c r="F231" s="36">
        <v>360</v>
      </c>
      <c r="G231" s="36">
        <v>150</v>
      </c>
      <c r="H231" s="36">
        <v>172</v>
      </c>
      <c r="I231" s="37">
        <v>0.2</v>
      </c>
      <c r="J231" s="37">
        <v>0.25</v>
      </c>
    </row>
    <row r="232" spans="1:10" x14ac:dyDescent="0.25">
      <c r="A232" t="s">
        <v>912</v>
      </c>
      <c r="B232" t="s">
        <v>913</v>
      </c>
      <c r="C232" t="s">
        <v>229</v>
      </c>
      <c r="D232" t="s">
        <v>386</v>
      </c>
      <c r="E232" s="36">
        <v>54</v>
      </c>
      <c r="F232" s="36">
        <v>64</v>
      </c>
      <c r="G232" s="36">
        <v>25</v>
      </c>
      <c r="H232" s="36">
        <v>28.5</v>
      </c>
      <c r="I232" s="37">
        <v>0.35000000000000009</v>
      </c>
      <c r="J232" s="37">
        <v>0.39130434782608692</v>
      </c>
    </row>
    <row r="233" spans="1:10" x14ac:dyDescent="0.25">
      <c r="A233" t="s">
        <v>914</v>
      </c>
      <c r="B233" t="s">
        <v>915</v>
      </c>
      <c r="C233" t="s">
        <v>101</v>
      </c>
      <c r="D233" t="s">
        <v>390</v>
      </c>
      <c r="E233" s="36">
        <v>9600</v>
      </c>
      <c r="F233" s="36">
        <v>11520</v>
      </c>
      <c r="G233" s="36">
        <v>4800</v>
      </c>
      <c r="H233" s="36">
        <v>5520</v>
      </c>
      <c r="I233" s="37">
        <v>0.2</v>
      </c>
      <c r="J233" s="37">
        <v>0.25217391304347841</v>
      </c>
    </row>
    <row r="234" spans="1:10" x14ac:dyDescent="0.25">
      <c r="A234" t="s">
        <v>916</v>
      </c>
      <c r="B234" t="s">
        <v>917</v>
      </c>
      <c r="C234" t="s">
        <v>101</v>
      </c>
      <c r="D234" t="s">
        <v>386</v>
      </c>
      <c r="E234" s="36">
        <v>2134</v>
      </c>
      <c r="F234" s="36">
        <v>2534</v>
      </c>
      <c r="G234" s="36">
        <v>1200</v>
      </c>
      <c r="H234" s="36">
        <v>1380</v>
      </c>
      <c r="I234" s="37">
        <v>6.6999999999999948E-2</v>
      </c>
      <c r="J234" s="37">
        <v>0.1017391304347826</v>
      </c>
    </row>
    <row r="235" spans="1:10" x14ac:dyDescent="0.25">
      <c r="A235" t="s">
        <v>918</v>
      </c>
      <c r="B235" t="s">
        <v>919</v>
      </c>
      <c r="C235" t="s">
        <v>229</v>
      </c>
      <c r="D235" t="s">
        <v>386</v>
      </c>
      <c r="E235" s="36">
        <v>160</v>
      </c>
      <c r="F235" s="36">
        <v>191</v>
      </c>
      <c r="G235" s="36">
        <v>90</v>
      </c>
      <c r="H235" s="36">
        <v>103</v>
      </c>
      <c r="I235" s="37">
        <v>6.6666666666666652E-2</v>
      </c>
      <c r="J235" s="37">
        <v>0.1104651162790697</v>
      </c>
    </row>
    <row r="236" spans="1:10" x14ac:dyDescent="0.25">
      <c r="A236" t="s">
        <v>920</v>
      </c>
      <c r="B236" t="s">
        <v>861</v>
      </c>
      <c r="C236" t="s">
        <v>101</v>
      </c>
      <c r="D236" t="s">
        <v>390</v>
      </c>
      <c r="E236" s="36">
        <v>1200</v>
      </c>
      <c r="F236" s="36">
        <v>1380</v>
      </c>
      <c r="G236" s="36">
        <v>700</v>
      </c>
      <c r="H236" s="36">
        <v>805</v>
      </c>
      <c r="I236" s="37">
        <v>0</v>
      </c>
      <c r="J236" s="37">
        <v>0</v>
      </c>
    </row>
    <row r="237" spans="1:10" x14ac:dyDescent="0.25">
      <c r="A237" t="s">
        <v>921</v>
      </c>
      <c r="B237" t="s">
        <v>922</v>
      </c>
      <c r="C237" t="s">
        <v>229</v>
      </c>
      <c r="D237" t="s">
        <v>390</v>
      </c>
      <c r="E237" s="36">
        <v>480</v>
      </c>
      <c r="F237" s="36">
        <v>576</v>
      </c>
      <c r="G237" s="36">
        <v>240</v>
      </c>
      <c r="H237" s="36">
        <v>276</v>
      </c>
      <c r="I237" s="37">
        <v>0.2</v>
      </c>
      <c r="J237" s="37">
        <v>0.25217391304347841</v>
      </c>
    </row>
    <row r="238" spans="1:10" x14ac:dyDescent="0.25">
      <c r="A238" t="s">
        <v>923</v>
      </c>
      <c r="B238" t="s">
        <v>924</v>
      </c>
      <c r="C238" t="s">
        <v>101</v>
      </c>
      <c r="D238" t="s">
        <v>390</v>
      </c>
      <c r="E238" s="36">
        <v>960</v>
      </c>
      <c r="F238" s="36">
        <v>1152</v>
      </c>
      <c r="G238" s="36">
        <v>480</v>
      </c>
      <c r="H238" s="36">
        <v>552</v>
      </c>
      <c r="I238" s="37">
        <v>0.2</v>
      </c>
      <c r="J238" s="37">
        <v>0.25217391304347841</v>
      </c>
    </row>
    <row r="239" spans="1:10" x14ac:dyDescent="0.25">
      <c r="A239" t="s">
        <v>925</v>
      </c>
      <c r="B239" t="s">
        <v>926</v>
      </c>
      <c r="C239" t="s">
        <v>101</v>
      </c>
      <c r="D239" t="s">
        <v>390</v>
      </c>
      <c r="E239" s="36">
        <v>1920</v>
      </c>
      <c r="F239" s="36">
        <v>2304</v>
      </c>
      <c r="G239" s="36">
        <v>900</v>
      </c>
      <c r="H239" s="36">
        <v>1035</v>
      </c>
      <c r="I239" s="37">
        <v>0.28000000000000003</v>
      </c>
      <c r="J239" s="37">
        <v>0.33565217391304358</v>
      </c>
    </row>
    <row r="240" spans="1:10" x14ac:dyDescent="0.25">
      <c r="A240" t="s">
        <v>927</v>
      </c>
      <c r="B240" t="s">
        <v>928</v>
      </c>
      <c r="C240" t="s">
        <v>101</v>
      </c>
      <c r="D240" t="s">
        <v>390</v>
      </c>
      <c r="E240" s="36">
        <v>1600</v>
      </c>
      <c r="F240" s="36">
        <v>1920</v>
      </c>
      <c r="G240" s="36">
        <v>900</v>
      </c>
      <c r="H240" s="36">
        <v>1035</v>
      </c>
      <c r="I240" s="37">
        <v>6.6666666666666652E-2</v>
      </c>
      <c r="J240" s="37">
        <v>0.11304347826086961</v>
      </c>
    </row>
    <row r="241" spans="1:10" x14ac:dyDescent="0.25">
      <c r="A241" t="s">
        <v>929</v>
      </c>
      <c r="B241" t="s">
        <v>930</v>
      </c>
      <c r="C241" t="s">
        <v>101</v>
      </c>
      <c r="D241" t="s">
        <v>390</v>
      </c>
      <c r="E241" s="36">
        <v>128</v>
      </c>
      <c r="F241" s="36">
        <v>154</v>
      </c>
      <c r="G241" s="36">
        <v>50</v>
      </c>
      <c r="H241" s="36">
        <v>57.5</v>
      </c>
      <c r="I241" s="37">
        <v>0.60000000000000009</v>
      </c>
      <c r="J241" s="37">
        <v>0.67391304347826098</v>
      </c>
    </row>
    <row r="242" spans="1:10" x14ac:dyDescent="0.25">
      <c r="A242" t="s">
        <v>931</v>
      </c>
      <c r="B242" t="s">
        <v>932</v>
      </c>
      <c r="C242" t="s">
        <v>101</v>
      </c>
      <c r="D242" t="s">
        <v>390</v>
      </c>
      <c r="E242" s="36">
        <v>480</v>
      </c>
      <c r="F242" s="36">
        <v>576</v>
      </c>
      <c r="G242" s="36">
        <v>240</v>
      </c>
      <c r="H242" s="36">
        <v>276</v>
      </c>
      <c r="I242" s="37">
        <v>0.2</v>
      </c>
      <c r="J242" s="37">
        <v>0.25217391304347841</v>
      </c>
    </row>
    <row r="243" spans="1:10" x14ac:dyDescent="0.25">
      <c r="A243" t="s">
        <v>933</v>
      </c>
      <c r="B243" t="s">
        <v>934</v>
      </c>
      <c r="C243" t="s">
        <v>101</v>
      </c>
      <c r="D243" t="s">
        <v>390</v>
      </c>
      <c r="E243" s="36">
        <v>800</v>
      </c>
      <c r="F243" s="36">
        <v>960</v>
      </c>
      <c r="G243" s="36">
        <v>420</v>
      </c>
      <c r="H243" s="36">
        <v>483</v>
      </c>
      <c r="I243" s="37">
        <v>0.14285714285714279</v>
      </c>
      <c r="J243" s="37">
        <v>0.19254658385093171</v>
      </c>
    </row>
    <row r="244" spans="1:10" x14ac:dyDescent="0.25">
      <c r="A244" t="s">
        <v>935</v>
      </c>
      <c r="B244" t="s">
        <v>936</v>
      </c>
      <c r="C244" t="s">
        <v>101</v>
      </c>
      <c r="D244" t="s">
        <v>390</v>
      </c>
      <c r="E244" s="36">
        <v>960</v>
      </c>
      <c r="F244" s="36">
        <v>1152</v>
      </c>
      <c r="G244" s="36">
        <v>510</v>
      </c>
      <c r="H244" s="36">
        <v>586</v>
      </c>
      <c r="I244" s="37">
        <v>0.12941176470588231</v>
      </c>
      <c r="J244" s="37">
        <v>0.17911975435005109</v>
      </c>
    </row>
    <row r="245" spans="1:10" x14ac:dyDescent="0.25">
      <c r="A245" t="s">
        <v>937</v>
      </c>
      <c r="B245" t="s">
        <v>938</v>
      </c>
      <c r="C245" t="s">
        <v>101</v>
      </c>
      <c r="D245" t="s">
        <v>390</v>
      </c>
      <c r="E245" s="36">
        <v>1280</v>
      </c>
      <c r="F245" s="36">
        <v>1536</v>
      </c>
      <c r="G245" s="36">
        <v>660</v>
      </c>
      <c r="H245" s="36">
        <v>759</v>
      </c>
      <c r="I245" s="37">
        <v>0.16363636363636361</v>
      </c>
      <c r="J245" s="37">
        <v>0.2142292490118578</v>
      </c>
    </row>
    <row r="246" spans="1:10" x14ac:dyDescent="0.25">
      <c r="A246" t="s">
        <v>939</v>
      </c>
      <c r="B246" t="s">
        <v>940</v>
      </c>
      <c r="C246" t="s">
        <v>101</v>
      </c>
      <c r="D246" t="s">
        <v>390</v>
      </c>
      <c r="E246" s="36">
        <v>800</v>
      </c>
      <c r="F246" s="36">
        <v>960</v>
      </c>
      <c r="G246" s="36">
        <v>360</v>
      </c>
      <c r="H246" s="36">
        <v>414</v>
      </c>
      <c r="I246" s="37">
        <v>0.33333333333333331</v>
      </c>
      <c r="J246" s="37">
        <v>0.39130434782608692</v>
      </c>
    </row>
    <row r="247" spans="1:10" x14ac:dyDescent="0.25">
      <c r="A247" t="s">
        <v>941</v>
      </c>
      <c r="B247" t="s">
        <v>942</v>
      </c>
      <c r="C247" t="s">
        <v>101</v>
      </c>
      <c r="D247" t="s">
        <v>390</v>
      </c>
      <c r="E247" s="36">
        <v>640</v>
      </c>
      <c r="F247" s="36">
        <v>768</v>
      </c>
      <c r="G247" s="36">
        <v>300</v>
      </c>
      <c r="H247" s="36">
        <v>345</v>
      </c>
      <c r="I247" s="37">
        <v>0.28000000000000003</v>
      </c>
      <c r="J247" s="37">
        <v>0.33565217391304358</v>
      </c>
    </row>
    <row r="248" spans="1:10" x14ac:dyDescent="0.25">
      <c r="A248" t="s">
        <v>943</v>
      </c>
      <c r="B248" t="s">
        <v>944</v>
      </c>
      <c r="C248" t="s">
        <v>101</v>
      </c>
      <c r="D248" t="s">
        <v>390</v>
      </c>
      <c r="E248" s="36">
        <v>240</v>
      </c>
      <c r="F248" s="36">
        <v>288</v>
      </c>
      <c r="G248" s="36">
        <v>120</v>
      </c>
      <c r="H248" s="36">
        <v>138</v>
      </c>
      <c r="I248" s="37">
        <v>0.2</v>
      </c>
      <c r="J248" s="37">
        <v>0.25217391304347841</v>
      </c>
    </row>
    <row r="249" spans="1:10" x14ac:dyDescent="0.25">
      <c r="A249" t="s">
        <v>945</v>
      </c>
      <c r="B249" t="s">
        <v>946</v>
      </c>
      <c r="C249" t="s">
        <v>101</v>
      </c>
      <c r="D249" t="s">
        <v>390</v>
      </c>
      <c r="E249" s="36">
        <v>4800</v>
      </c>
      <c r="F249" s="36">
        <v>5760</v>
      </c>
      <c r="G249" s="36">
        <v>2100</v>
      </c>
      <c r="H249" s="36">
        <v>2415</v>
      </c>
      <c r="I249" s="37">
        <v>0.37142857142857139</v>
      </c>
      <c r="J249" s="37">
        <v>0.43105590062111809</v>
      </c>
    </row>
    <row r="250" spans="1:10" x14ac:dyDescent="0.25">
      <c r="A250" t="s">
        <v>947</v>
      </c>
      <c r="B250" t="s">
        <v>948</v>
      </c>
      <c r="C250" t="s">
        <v>101</v>
      </c>
      <c r="D250" t="s">
        <v>390</v>
      </c>
      <c r="E250" s="36">
        <v>4800</v>
      </c>
      <c r="F250" s="36">
        <v>5760</v>
      </c>
      <c r="G250" s="36">
        <v>2100</v>
      </c>
      <c r="H250" s="36">
        <v>2415</v>
      </c>
      <c r="I250" s="37">
        <v>0.37142857142857139</v>
      </c>
      <c r="J250" s="37">
        <v>0.43105590062111809</v>
      </c>
    </row>
    <row r="251" spans="1:10" x14ac:dyDescent="0.25">
      <c r="A251" t="s">
        <v>949</v>
      </c>
      <c r="B251" t="s">
        <v>950</v>
      </c>
      <c r="C251" t="s">
        <v>101</v>
      </c>
      <c r="D251" t="s">
        <v>390</v>
      </c>
      <c r="E251" s="36">
        <v>4800</v>
      </c>
      <c r="F251" s="36">
        <v>5760</v>
      </c>
      <c r="G251" s="36">
        <v>2100</v>
      </c>
      <c r="H251" s="36">
        <v>2415</v>
      </c>
      <c r="I251" s="37">
        <v>0.37142857142857139</v>
      </c>
      <c r="J251" s="37">
        <v>0.43105590062111809</v>
      </c>
    </row>
    <row r="252" spans="1:10" x14ac:dyDescent="0.25">
      <c r="A252" t="s">
        <v>951</v>
      </c>
      <c r="B252" t="s">
        <v>952</v>
      </c>
      <c r="C252" t="s">
        <v>101</v>
      </c>
      <c r="D252" t="s">
        <v>390</v>
      </c>
      <c r="E252" s="36">
        <v>4000</v>
      </c>
      <c r="F252" s="36">
        <v>4800</v>
      </c>
      <c r="G252" s="36">
        <v>1800</v>
      </c>
      <c r="H252" s="36">
        <v>2070</v>
      </c>
      <c r="I252" s="37">
        <v>0.33333333333333331</v>
      </c>
      <c r="J252" s="37">
        <v>0.39130434782608692</v>
      </c>
    </row>
    <row r="253" spans="1:10" x14ac:dyDescent="0.25">
      <c r="A253" t="s">
        <v>953</v>
      </c>
      <c r="B253" t="s">
        <v>954</v>
      </c>
      <c r="C253" t="s">
        <v>101</v>
      </c>
      <c r="D253" t="s">
        <v>390</v>
      </c>
      <c r="E253" s="36">
        <v>3200</v>
      </c>
      <c r="F253" s="36">
        <v>3840</v>
      </c>
      <c r="G253" s="36">
        <v>1500</v>
      </c>
      <c r="H253" s="36">
        <v>1725</v>
      </c>
      <c r="I253" s="37">
        <v>0.28000000000000003</v>
      </c>
      <c r="J253" s="37">
        <v>0.33565217391304358</v>
      </c>
    </row>
    <row r="254" spans="1:10" x14ac:dyDescent="0.25">
      <c r="A254" t="s">
        <v>955</v>
      </c>
      <c r="B254" t="s">
        <v>956</v>
      </c>
      <c r="C254" t="s">
        <v>229</v>
      </c>
      <c r="D254" t="s">
        <v>390</v>
      </c>
      <c r="E254" s="36">
        <v>160</v>
      </c>
      <c r="F254" s="36">
        <v>192</v>
      </c>
      <c r="G254" s="36">
        <v>70</v>
      </c>
      <c r="H254" s="36">
        <v>80.5</v>
      </c>
      <c r="I254" s="37">
        <v>0.33333333333333331</v>
      </c>
      <c r="J254" s="37">
        <v>0.39130434782608692</v>
      </c>
    </row>
    <row r="255" spans="1:10" x14ac:dyDescent="0.25">
      <c r="A255" t="s">
        <v>957</v>
      </c>
      <c r="B255" t="s">
        <v>958</v>
      </c>
      <c r="C255" t="s">
        <v>101</v>
      </c>
      <c r="D255" t="s">
        <v>390</v>
      </c>
      <c r="E255" s="36">
        <v>640</v>
      </c>
      <c r="F255" s="36">
        <v>768</v>
      </c>
      <c r="G255" s="36">
        <v>300</v>
      </c>
      <c r="H255" s="36">
        <v>345</v>
      </c>
      <c r="I255" s="37">
        <v>0.28000000000000003</v>
      </c>
      <c r="J255" s="37">
        <v>0.33565217391304358</v>
      </c>
    </row>
    <row r="256" spans="1:10" x14ac:dyDescent="0.25">
      <c r="A256" t="s">
        <v>959</v>
      </c>
      <c r="B256" t="s">
        <v>960</v>
      </c>
      <c r="C256" t="s">
        <v>101</v>
      </c>
      <c r="D256" t="s">
        <v>390</v>
      </c>
      <c r="E256" s="36">
        <v>800</v>
      </c>
      <c r="F256" s="36">
        <v>960</v>
      </c>
      <c r="G256" s="36">
        <v>360</v>
      </c>
      <c r="H256" s="36">
        <v>414</v>
      </c>
      <c r="I256" s="37">
        <v>0.33333333333333331</v>
      </c>
      <c r="J256" s="37">
        <v>0.39130434782608692</v>
      </c>
    </row>
    <row r="257" spans="1:10" x14ac:dyDescent="0.25">
      <c r="A257" t="s">
        <v>961</v>
      </c>
      <c r="B257" t="s">
        <v>962</v>
      </c>
      <c r="C257" t="s">
        <v>101</v>
      </c>
      <c r="D257" t="s">
        <v>390</v>
      </c>
      <c r="E257" s="36">
        <v>800</v>
      </c>
      <c r="F257" s="36">
        <v>960</v>
      </c>
      <c r="G257" s="36">
        <v>360</v>
      </c>
      <c r="H257" s="36">
        <v>414</v>
      </c>
      <c r="I257" s="37">
        <v>0.33333333333333331</v>
      </c>
      <c r="J257" s="37">
        <v>0.39130434782608692</v>
      </c>
    </row>
    <row r="258" spans="1:10" x14ac:dyDescent="0.25">
      <c r="A258" t="s">
        <v>963</v>
      </c>
      <c r="B258" t="s">
        <v>964</v>
      </c>
      <c r="C258" t="s">
        <v>89</v>
      </c>
      <c r="D258" t="s">
        <v>390</v>
      </c>
      <c r="E258" s="36">
        <v>1280</v>
      </c>
      <c r="F258" s="36">
        <v>1536</v>
      </c>
      <c r="G258" s="36">
        <v>420</v>
      </c>
      <c r="H258" s="36">
        <v>483</v>
      </c>
      <c r="I258" s="37">
        <v>0.82857142857142851</v>
      </c>
      <c r="J258" s="37">
        <v>0.90807453416149064</v>
      </c>
    </row>
    <row r="259" spans="1:10" x14ac:dyDescent="0.25">
      <c r="A259" t="s">
        <v>965</v>
      </c>
      <c r="B259" t="s">
        <v>966</v>
      </c>
      <c r="C259" t="s">
        <v>101</v>
      </c>
      <c r="D259" t="s">
        <v>390</v>
      </c>
      <c r="E259" s="36">
        <v>800</v>
      </c>
      <c r="F259" s="36">
        <v>960</v>
      </c>
      <c r="G259" s="36">
        <v>360</v>
      </c>
      <c r="H259" s="36">
        <v>414</v>
      </c>
      <c r="I259" s="37">
        <v>0.33333333333333331</v>
      </c>
      <c r="J259" s="37">
        <v>0.39130434782608692</v>
      </c>
    </row>
    <row r="260" spans="1:10" x14ac:dyDescent="0.25">
      <c r="A260" t="s">
        <v>967</v>
      </c>
      <c r="B260" t="s">
        <v>968</v>
      </c>
      <c r="C260" t="s">
        <v>101</v>
      </c>
      <c r="D260" t="s">
        <v>390</v>
      </c>
      <c r="E260" s="36">
        <v>1280</v>
      </c>
      <c r="F260" s="36">
        <v>1536</v>
      </c>
      <c r="G260" s="36">
        <v>540</v>
      </c>
      <c r="H260" s="36">
        <v>621</v>
      </c>
      <c r="I260" s="37">
        <v>0.42222222222222228</v>
      </c>
      <c r="J260" s="37">
        <v>0.48405797101449283</v>
      </c>
    </row>
    <row r="261" spans="1:10" x14ac:dyDescent="0.25">
      <c r="A261" t="s">
        <v>969</v>
      </c>
      <c r="B261" t="s">
        <v>970</v>
      </c>
      <c r="C261" t="s">
        <v>101</v>
      </c>
      <c r="D261" t="s">
        <v>390</v>
      </c>
      <c r="E261" s="36">
        <v>480</v>
      </c>
      <c r="F261" s="36">
        <v>576</v>
      </c>
      <c r="G261" s="36">
        <v>210</v>
      </c>
      <c r="H261" s="36">
        <v>241</v>
      </c>
      <c r="I261" s="37">
        <v>0.37142857142857139</v>
      </c>
      <c r="J261" s="37">
        <v>0.43283582089552231</v>
      </c>
    </row>
    <row r="262" spans="1:10" x14ac:dyDescent="0.25">
      <c r="A262" t="s">
        <v>971</v>
      </c>
      <c r="B262" t="s">
        <v>972</v>
      </c>
      <c r="C262" t="s">
        <v>101</v>
      </c>
      <c r="D262" t="s">
        <v>390</v>
      </c>
      <c r="E262" s="36">
        <v>2400</v>
      </c>
      <c r="F262" s="36">
        <v>2880</v>
      </c>
      <c r="G262" s="36">
        <v>1200</v>
      </c>
      <c r="H262" s="36">
        <v>1380</v>
      </c>
      <c r="I262" s="37">
        <v>0.2</v>
      </c>
      <c r="J262" s="37">
        <v>0.25217391304347841</v>
      </c>
    </row>
    <row r="263" spans="1:10" x14ac:dyDescent="0.25">
      <c r="A263" t="s">
        <v>973</v>
      </c>
      <c r="B263" t="s">
        <v>974</v>
      </c>
      <c r="C263" t="s">
        <v>101</v>
      </c>
      <c r="D263" t="s">
        <v>390</v>
      </c>
      <c r="E263" s="36">
        <v>800</v>
      </c>
      <c r="F263" s="36">
        <v>960</v>
      </c>
      <c r="G263" s="36">
        <v>360</v>
      </c>
      <c r="H263" s="36">
        <v>414</v>
      </c>
      <c r="I263" s="37">
        <v>0.33333333333333331</v>
      </c>
      <c r="J263" s="37">
        <v>0.39130434782608692</v>
      </c>
    </row>
    <row r="264" spans="1:10" x14ac:dyDescent="0.25">
      <c r="A264" t="s">
        <v>975</v>
      </c>
      <c r="B264" t="s">
        <v>976</v>
      </c>
      <c r="C264" t="s">
        <v>101</v>
      </c>
      <c r="D264" t="s">
        <v>390</v>
      </c>
      <c r="E264" s="36">
        <v>480</v>
      </c>
      <c r="F264" s="36">
        <v>576</v>
      </c>
      <c r="G264" s="36">
        <v>240</v>
      </c>
      <c r="H264" s="36">
        <v>276</v>
      </c>
      <c r="I264" s="37">
        <v>0.2</v>
      </c>
      <c r="J264" s="37">
        <v>0.25217391304347841</v>
      </c>
    </row>
    <row r="265" spans="1:10" x14ac:dyDescent="0.25">
      <c r="A265" t="s">
        <v>977</v>
      </c>
      <c r="B265" t="s">
        <v>978</v>
      </c>
      <c r="C265" t="s">
        <v>101</v>
      </c>
      <c r="D265" t="s">
        <v>390</v>
      </c>
      <c r="E265" s="36">
        <v>800</v>
      </c>
      <c r="F265" s="36">
        <v>960</v>
      </c>
      <c r="G265" s="36">
        <v>360</v>
      </c>
      <c r="H265" s="36">
        <v>414</v>
      </c>
      <c r="I265" s="37">
        <v>0.33333333333333331</v>
      </c>
      <c r="J265" s="37">
        <v>0.39130434782608692</v>
      </c>
    </row>
    <row r="266" spans="1:10" x14ac:dyDescent="0.25">
      <c r="A266" t="s">
        <v>979</v>
      </c>
      <c r="B266" t="s">
        <v>980</v>
      </c>
      <c r="C266" t="s">
        <v>101</v>
      </c>
      <c r="D266" t="s">
        <v>390</v>
      </c>
      <c r="E266" s="36">
        <v>400</v>
      </c>
      <c r="F266" s="36">
        <v>480</v>
      </c>
      <c r="G266" s="36">
        <v>180</v>
      </c>
      <c r="H266" s="36">
        <v>207</v>
      </c>
      <c r="I266" s="37">
        <v>0.33333333333333331</v>
      </c>
      <c r="J266" s="37">
        <v>0.39130434782608692</v>
      </c>
    </row>
    <row r="267" spans="1:10" x14ac:dyDescent="0.25">
      <c r="A267" t="s">
        <v>981</v>
      </c>
      <c r="B267" t="s">
        <v>982</v>
      </c>
      <c r="C267" t="s">
        <v>101</v>
      </c>
      <c r="D267" t="s">
        <v>390</v>
      </c>
      <c r="E267" s="36">
        <v>480</v>
      </c>
      <c r="F267" s="36">
        <v>576</v>
      </c>
      <c r="G267" s="36">
        <v>240</v>
      </c>
      <c r="H267" s="36">
        <v>276</v>
      </c>
      <c r="I267" s="37">
        <v>0.2</v>
      </c>
      <c r="J267" s="37">
        <v>0.25217391304347841</v>
      </c>
    </row>
    <row r="268" spans="1:10" x14ac:dyDescent="0.25">
      <c r="A268" t="s">
        <v>983</v>
      </c>
      <c r="B268" t="s">
        <v>984</v>
      </c>
      <c r="C268" t="s">
        <v>101</v>
      </c>
      <c r="D268" t="s">
        <v>390</v>
      </c>
      <c r="E268" s="36">
        <v>1280</v>
      </c>
      <c r="F268" s="36">
        <v>1536</v>
      </c>
      <c r="G268" s="36">
        <v>600</v>
      </c>
      <c r="H268" s="36">
        <v>690</v>
      </c>
      <c r="I268" s="37">
        <v>0.28000000000000003</v>
      </c>
      <c r="J268" s="37">
        <v>0.33565217391304358</v>
      </c>
    </row>
    <row r="269" spans="1:10" x14ac:dyDescent="0.25">
      <c r="A269" t="s">
        <v>985</v>
      </c>
      <c r="B269" t="s">
        <v>986</v>
      </c>
      <c r="C269" t="s">
        <v>101</v>
      </c>
      <c r="D269" t="s">
        <v>390</v>
      </c>
      <c r="E269" s="36">
        <v>960</v>
      </c>
      <c r="F269" s="36">
        <v>1152</v>
      </c>
      <c r="G269" s="36">
        <v>480</v>
      </c>
      <c r="H269" s="36">
        <v>552</v>
      </c>
      <c r="I269" s="37">
        <v>0.2</v>
      </c>
      <c r="J269" s="37">
        <v>0.25217391304347841</v>
      </c>
    </row>
    <row r="270" spans="1:10" x14ac:dyDescent="0.25">
      <c r="A270" t="s">
        <v>987</v>
      </c>
      <c r="B270" t="s">
        <v>988</v>
      </c>
      <c r="C270" t="s">
        <v>101</v>
      </c>
      <c r="D270" t="s">
        <v>390</v>
      </c>
      <c r="E270" s="36">
        <v>3200</v>
      </c>
      <c r="F270" s="36">
        <v>3840</v>
      </c>
      <c r="G270" s="36">
        <v>1500</v>
      </c>
      <c r="H270" s="36">
        <v>1725</v>
      </c>
      <c r="I270" s="37">
        <v>0.28000000000000003</v>
      </c>
      <c r="J270" s="37">
        <v>0.33565217391304358</v>
      </c>
    </row>
    <row r="271" spans="1:10" x14ac:dyDescent="0.25">
      <c r="A271" t="s">
        <v>989</v>
      </c>
      <c r="B271" t="s">
        <v>990</v>
      </c>
      <c r="C271" t="s">
        <v>101</v>
      </c>
      <c r="D271" t="s">
        <v>390</v>
      </c>
      <c r="E271" s="36">
        <v>800</v>
      </c>
      <c r="F271" s="36">
        <v>960</v>
      </c>
      <c r="G271" s="36">
        <v>420</v>
      </c>
      <c r="H271" s="36">
        <v>483</v>
      </c>
      <c r="I271" s="37">
        <v>0.14285714285714279</v>
      </c>
      <c r="J271" s="37">
        <v>0.19254658385093171</v>
      </c>
    </row>
    <row r="272" spans="1:10" x14ac:dyDescent="0.25">
      <c r="A272" t="s">
        <v>991</v>
      </c>
      <c r="B272" t="s">
        <v>992</v>
      </c>
      <c r="C272" t="s">
        <v>101</v>
      </c>
      <c r="D272" t="s">
        <v>390</v>
      </c>
      <c r="E272" s="36">
        <v>1600</v>
      </c>
      <c r="F272" s="36">
        <v>1920</v>
      </c>
      <c r="G272" s="36">
        <v>780</v>
      </c>
      <c r="H272" s="36">
        <v>897</v>
      </c>
      <c r="I272" s="37">
        <v>0.23076923076923081</v>
      </c>
      <c r="J272" s="37">
        <v>0.28428093645484948</v>
      </c>
    </row>
    <row r="273" spans="1:10" x14ac:dyDescent="0.25">
      <c r="A273" t="s">
        <v>993</v>
      </c>
      <c r="B273" t="s">
        <v>994</v>
      </c>
      <c r="C273" t="s">
        <v>101</v>
      </c>
      <c r="D273" t="s">
        <v>390</v>
      </c>
      <c r="E273" s="36">
        <v>1600</v>
      </c>
      <c r="F273" s="36">
        <v>1920</v>
      </c>
      <c r="G273" s="36">
        <v>780</v>
      </c>
      <c r="H273" s="36">
        <v>897</v>
      </c>
      <c r="I273" s="37">
        <v>0.23076923076923081</v>
      </c>
      <c r="J273" s="37">
        <v>0.28428093645484948</v>
      </c>
    </row>
    <row r="274" spans="1:10" x14ac:dyDescent="0.25">
      <c r="A274" t="s">
        <v>995</v>
      </c>
      <c r="B274" t="s">
        <v>996</v>
      </c>
      <c r="C274" t="s">
        <v>101</v>
      </c>
      <c r="D274" t="s">
        <v>390</v>
      </c>
      <c r="E274" s="36">
        <v>960</v>
      </c>
      <c r="F274" s="36">
        <v>1152</v>
      </c>
      <c r="G274" s="36">
        <v>420</v>
      </c>
      <c r="H274" s="36">
        <v>483</v>
      </c>
      <c r="I274" s="37">
        <v>0.37142857142857139</v>
      </c>
      <c r="J274" s="37">
        <v>0.43105590062111809</v>
      </c>
    </row>
    <row r="275" spans="1:10" x14ac:dyDescent="0.25">
      <c r="A275" t="s">
        <v>997</v>
      </c>
      <c r="B275" t="s">
        <v>998</v>
      </c>
      <c r="C275" t="s">
        <v>101</v>
      </c>
      <c r="D275" t="s">
        <v>390</v>
      </c>
      <c r="E275" s="36">
        <v>640</v>
      </c>
      <c r="F275" s="36">
        <v>768</v>
      </c>
      <c r="G275" s="36">
        <v>300</v>
      </c>
      <c r="H275" s="36">
        <v>345</v>
      </c>
      <c r="I275" s="37">
        <v>0.28000000000000003</v>
      </c>
      <c r="J275" s="37">
        <v>0.33565217391304358</v>
      </c>
    </row>
    <row r="276" spans="1:10" x14ac:dyDescent="0.25">
      <c r="A276" t="s">
        <v>999</v>
      </c>
      <c r="B276" t="s">
        <v>1000</v>
      </c>
      <c r="C276" t="s">
        <v>101</v>
      </c>
      <c r="D276" t="s">
        <v>390</v>
      </c>
      <c r="E276" s="36">
        <v>800</v>
      </c>
      <c r="F276" s="36">
        <v>960</v>
      </c>
      <c r="G276" s="36">
        <v>360</v>
      </c>
      <c r="H276" s="36">
        <v>414</v>
      </c>
      <c r="I276" s="37">
        <v>0.33333333333333331</v>
      </c>
      <c r="J276" s="37">
        <v>0.39130434782608692</v>
      </c>
    </row>
    <row r="277" spans="1:10" x14ac:dyDescent="0.25">
      <c r="A277" t="s">
        <v>1001</v>
      </c>
      <c r="B277" t="s">
        <v>1002</v>
      </c>
      <c r="C277" t="s">
        <v>101</v>
      </c>
      <c r="D277" t="s">
        <v>390</v>
      </c>
      <c r="E277" s="36">
        <v>1280</v>
      </c>
      <c r="F277" s="36">
        <v>1536</v>
      </c>
      <c r="G277" s="36">
        <v>540</v>
      </c>
      <c r="H277" s="36">
        <v>621</v>
      </c>
      <c r="I277" s="37">
        <v>0.42222222222222228</v>
      </c>
      <c r="J277" s="37">
        <v>0.48405797101449283</v>
      </c>
    </row>
    <row r="278" spans="1:10" x14ac:dyDescent="0.25">
      <c r="A278" t="s">
        <v>1003</v>
      </c>
      <c r="B278" t="s">
        <v>1004</v>
      </c>
      <c r="C278" t="s">
        <v>101</v>
      </c>
      <c r="D278" t="s">
        <v>390</v>
      </c>
      <c r="E278" s="36">
        <v>800</v>
      </c>
      <c r="F278" s="36">
        <v>960</v>
      </c>
      <c r="G278" s="36">
        <v>360</v>
      </c>
      <c r="H278" s="36">
        <v>414</v>
      </c>
      <c r="I278" s="37">
        <v>0.33333333333333331</v>
      </c>
      <c r="J278" s="37">
        <v>0.39130434782608692</v>
      </c>
    </row>
    <row r="279" spans="1:10" x14ac:dyDescent="0.25">
      <c r="A279" t="s">
        <v>1005</v>
      </c>
      <c r="B279" t="s">
        <v>1006</v>
      </c>
      <c r="C279" t="s">
        <v>101</v>
      </c>
      <c r="D279" t="s">
        <v>390</v>
      </c>
      <c r="E279" s="36">
        <v>1920</v>
      </c>
      <c r="F279" s="36">
        <v>2304</v>
      </c>
      <c r="G279" s="36">
        <v>900</v>
      </c>
      <c r="H279" s="36">
        <v>1035</v>
      </c>
      <c r="I279" s="37">
        <v>0.28000000000000003</v>
      </c>
      <c r="J279" s="37">
        <v>0.33565217391304358</v>
      </c>
    </row>
    <row r="280" spans="1:10" x14ac:dyDescent="0.25">
      <c r="A280" t="s">
        <v>1007</v>
      </c>
      <c r="B280" t="s">
        <v>1008</v>
      </c>
      <c r="C280" t="s">
        <v>101</v>
      </c>
      <c r="D280" t="s">
        <v>390</v>
      </c>
      <c r="E280" s="36">
        <v>240</v>
      </c>
      <c r="F280" s="36">
        <v>288</v>
      </c>
      <c r="G280" s="36">
        <v>120</v>
      </c>
      <c r="H280" s="36">
        <v>138</v>
      </c>
      <c r="I280" s="37">
        <v>0.2</v>
      </c>
      <c r="J280" s="37">
        <v>0.25217391304347841</v>
      </c>
    </row>
    <row r="281" spans="1:10" x14ac:dyDescent="0.25">
      <c r="A281" t="s">
        <v>1009</v>
      </c>
      <c r="B281" t="s">
        <v>1010</v>
      </c>
      <c r="C281" t="s">
        <v>101</v>
      </c>
      <c r="D281" t="s">
        <v>390</v>
      </c>
      <c r="E281" s="36">
        <v>960</v>
      </c>
      <c r="F281" s="36">
        <v>1152</v>
      </c>
      <c r="G281" s="36">
        <v>480</v>
      </c>
      <c r="H281" s="36">
        <v>552</v>
      </c>
      <c r="I281" s="37">
        <v>0.2</v>
      </c>
      <c r="J281" s="37">
        <v>0.25217391304347841</v>
      </c>
    </row>
    <row r="282" spans="1:10" x14ac:dyDescent="0.25">
      <c r="A282" t="s">
        <v>1011</v>
      </c>
      <c r="B282" t="s">
        <v>1012</v>
      </c>
      <c r="C282" t="s">
        <v>101</v>
      </c>
      <c r="D282" t="s">
        <v>390</v>
      </c>
      <c r="E282" s="36">
        <v>960</v>
      </c>
      <c r="F282" s="36">
        <v>1152</v>
      </c>
      <c r="G282" s="36">
        <v>480</v>
      </c>
      <c r="H282" s="36">
        <v>552</v>
      </c>
      <c r="I282" s="37">
        <v>0.2</v>
      </c>
      <c r="J282" s="37">
        <v>0.25217391304347841</v>
      </c>
    </row>
    <row r="283" spans="1:10" x14ac:dyDescent="0.25">
      <c r="A283" t="s">
        <v>1013</v>
      </c>
      <c r="B283" t="s">
        <v>1014</v>
      </c>
      <c r="C283" t="s">
        <v>101</v>
      </c>
      <c r="D283" t="s">
        <v>390</v>
      </c>
      <c r="E283" s="36">
        <v>1280</v>
      </c>
      <c r="F283" s="36">
        <v>1536</v>
      </c>
      <c r="G283" s="36">
        <v>540</v>
      </c>
      <c r="H283" s="36">
        <v>621</v>
      </c>
      <c r="I283" s="37">
        <v>0.42222222222222228</v>
      </c>
      <c r="J283" s="37">
        <v>0.48405797101449283</v>
      </c>
    </row>
    <row r="284" spans="1:10" x14ac:dyDescent="0.25">
      <c r="A284" t="s">
        <v>1015</v>
      </c>
      <c r="B284" t="s">
        <v>1016</v>
      </c>
      <c r="C284" t="s">
        <v>101</v>
      </c>
      <c r="D284" t="s">
        <v>390</v>
      </c>
      <c r="E284" s="36">
        <v>800</v>
      </c>
      <c r="F284" s="36">
        <v>960</v>
      </c>
      <c r="G284" s="36">
        <v>360</v>
      </c>
      <c r="H284" s="36">
        <v>414</v>
      </c>
      <c r="I284" s="37">
        <v>0.33333333333333331</v>
      </c>
      <c r="J284" s="37">
        <v>0.39130434782608692</v>
      </c>
    </row>
    <row r="285" spans="1:10" x14ac:dyDescent="0.25">
      <c r="A285" t="s">
        <v>1017</v>
      </c>
      <c r="B285" t="s">
        <v>1018</v>
      </c>
      <c r="C285" t="s">
        <v>101</v>
      </c>
      <c r="D285" t="s">
        <v>390</v>
      </c>
      <c r="E285" s="36">
        <v>128</v>
      </c>
      <c r="F285" s="36">
        <v>154</v>
      </c>
      <c r="G285" s="36">
        <v>60</v>
      </c>
      <c r="H285" s="36">
        <v>69</v>
      </c>
      <c r="I285" s="37">
        <v>0.28000000000000003</v>
      </c>
      <c r="J285" s="37">
        <v>0.33913043478260868</v>
      </c>
    </row>
    <row r="286" spans="1:10" x14ac:dyDescent="0.25">
      <c r="A286" t="s">
        <v>1019</v>
      </c>
      <c r="B286" t="s">
        <v>1020</v>
      </c>
      <c r="C286" t="s">
        <v>101</v>
      </c>
      <c r="D286" t="s">
        <v>390</v>
      </c>
      <c r="E286" s="36">
        <v>320</v>
      </c>
      <c r="F286" s="36">
        <v>384</v>
      </c>
      <c r="G286" s="36">
        <v>150</v>
      </c>
      <c r="H286" s="36">
        <v>172</v>
      </c>
      <c r="I286" s="37">
        <v>0.28000000000000003</v>
      </c>
      <c r="J286" s="37">
        <v>0.33333333333333331</v>
      </c>
    </row>
    <row r="287" spans="1:10" x14ac:dyDescent="0.25">
      <c r="A287" t="s">
        <v>1021</v>
      </c>
      <c r="B287" t="s">
        <v>1022</v>
      </c>
      <c r="C287" t="s">
        <v>101</v>
      </c>
      <c r="D287" t="s">
        <v>390</v>
      </c>
      <c r="E287" s="36">
        <v>640</v>
      </c>
      <c r="F287" s="36">
        <v>768</v>
      </c>
      <c r="G287" s="36">
        <v>300</v>
      </c>
      <c r="H287" s="36">
        <v>345</v>
      </c>
      <c r="I287" s="37">
        <v>0.28000000000000003</v>
      </c>
      <c r="J287" s="37">
        <v>0.33565217391304358</v>
      </c>
    </row>
    <row r="288" spans="1:10" x14ac:dyDescent="0.25">
      <c r="A288" t="s">
        <v>1023</v>
      </c>
      <c r="B288" t="s">
        <v>1024</v>
      </c>
      <c r="C288" t="s">
        <v>101</v>
      </c>
      <c r="D288" t="s">
        <v>390</v>
      </c>
      <c r="E288" s="36">
        <v>1600</v>
      </c>
      <c r="F288" s="36">
        <v>1920</v>
      </c>
      <c r="G288" s="36">
        <v>780</v>
      </c>
      <c r="H288" s="36">
        <v>897</v>
      </c>
      <c r="I288" s="37">
        <v>0.23076923076923081</v>
      </c>
      <c r="J288" s="37">
        <v>0.28428093645484948</v>
      </c>
    </row>
    <row r="289" spans="1:10" x14ac:dyDescent="0.25">
      <c r="A289" t="s">
        <v>1025</v>
      </c>
      <c r="B289" t="s">
        <v>1026</v>
      </c>
      <c r="C289" t="s">
        <v>89</v>
      </c>
      <c r="D289" t="s">
        <v>363</v>
      </c>
      <c r="E289" s="36">
        <v>240</v>
      </c>
      <c r="F289" s="36">
        <v>288</v>
      </c>
      <c r="G289" s="36">
        <v>120</v>
      </c>
      <c r="H289" s="36">
        <v>138</v>
      </c>
      <c r="I289" s="37">
        <v>0.2</v>
      </c>
      <c r="J289" s="37">
        <v>0.25217391304347841</v>
      </c>
    </row>
    <row r="290" spans="1:10" x14ac:dyDescent="0.25">
      <c r="A290" t="s">
        <v>1027</v>
      </c>
      <c r="B290" t="s">
        <v>1028</v>
      </c>
      <c r="C290" t="s">
        <v>101</v>
      </c>
      <c r="D290" t="s">
        <v>390</v>
      </c>
      <c r="E290" s="36">
        <v>400</v>
      </c>
      <c r="F290" s="36">
        <v>480</v>
      </c>
      <c r="G290" s="36">
        <v>180</v>
      </c>
      <c r="H290" s="36">
        <v>207</v>
      </c>
      <c r="I290" s="37">
        <v>0.33333333333333331</v>
      </c>
      <c r="J290" s="37">
        <v>0.39130434782608692</v>
      </c>
    </row>
    <row r="291" spans="1:10" x14ac:dyDescent="0.25">
      <c r="A291" t="s">
        <v>1029</v>
      </c>
      <c r="B291" t="s">
        <v>1030</v>
      </c>
      <c r="C291" t="s">
        <v>101</v>
      </c>
      <c r="D291" t="s">
        <v>390</v>
      </c>
      <c r="E291" s="36">
        <v>800</v>
      </c>
      <c r="F291" s="36">
        <v>960</v>
      </c>
      <c r="G291" s="36">
        <v>360</v>
      </c>
      <c r="H291" s="36">
        <v>414</v>
      </c>
      <c r="I291" s="37">
        <v>0.33333333333333331</v>
      </c>
      <c r="J291" s="37">
        <v>0.39130434782608692</v>
      </c>
    </row>
    <row r="292" spans="1:10" x14ac:dyDescent="0.25">
      <c r="A292" t="s">
        <v>1031</v>
      </c>
      <c r="B292" t="s">
        <v>1032</v>
      </c>
      <c r="C292" t="s">
        <v>101</v>
      </c>
      <c r="D292" t="s">
        <v>390</v>
      </c>
      <c r="E292" s="36">
        <v>128</v>
      </c>
      <c r="F292" s="36">
        <v>154</v>
      </c>
      <c r="G292" s="36">
        <v>60</v>
      </c>
      <c r="H292" s="36">
        <v>69</v>
      </c>
      <c r="I292" s="37">
        <v>0.28000000000000003</v>
      </c>
      <c r="J292" s="37">
        <v>0.33913043478260868</v>
      </c>
    </row>
    <row r="293" spans="1:10" x14ac:dyDescent="0.25">
      <c r="A293" t="s">
        <v>1033</v>
      </c>
      <c r="B293" t="s">
        <v>1034</v>
      </c>
      <c r="C293" t="s">
        <v>101</v>
      </c>
      <c r="D293" t="s">
        <v>390</v>
      </c>
      <c r="E293" s="36">
        <v>2400</v>
      </c>
      <c r="F293" s="36">
        <v>2880</v>
      </c>
      <c r="G293" s="36">
        <v>1200</v>
      </c>
      <c r="H293" s="36">
        <v>1380</v>
      </c>
      <c r="I293" s="37">
        <v>0.2</v>
      </c>
      <c r="J293" s="37">
        <v>0.25217391304347841</v>
      </c>
    </row>
    <row r="294" spans="1:10" x14ac:dyDescent="0.25">
      <c r="A294" t="s">
        <v>1035</v>
      </c>
      <c r="B294" t="s">
        <v>1036</v>
      </c>
      <c r="C294" t="s">
        <v>101</v>
      </c>
      <c r="D294" t="s">
        <v>390</v>
      </c>
      <c r="E294" s="36">
        <v>960</v>
      </c>
      <c r="F294" s="36">
        <v>1152</v>
      </c>
      <c r="G294" s="36">
        <v>420</v>
      </c>
      <c r="H294" s="36">
        <v>483</v>
      </c>
      <c r="I294" s="37">
        <v>0.37142857142857139</v>
      </c>
      <c r="J294" s="37">
        <v>0.43105590062111809</v>
      </c>
    </row>
    <row r="295" spans="1:10" x14ac:dyDescent="0.25">
      <c r="A295" t="s">
        <v>1037</v>
      </c>
      <c r="B295" t="s">
        <v>1038</v>
      </c>
      <c r="C295" t="s">
        <v>101</v>
      </c>
      <c r="D295" t="s">
        <v>390</v>
      </c>
      <c r="E295" s="36">
        <v>1280</v>
      </c>
      <c r="F295" s="36">
        <v>1536</v>
      </c>
      <c r="G295" s="36">
        <v>540</v>
      </c>
      <c r="H295" s="36">
        <v>621</v>
      </c>
      <c r="I295" s="37">
        <v>0.42222222222222228</v>
      </c>
      <c r="J295" s="37">
        <v>0.48405797101449283</v>
      </c>
    </row>
    <row r="296" spans="1:10" x14ac:dyDescent="0.25">
      <c r="A296" t="s">
        <v>1039</v>
      </c>
      <c r="B296" t="s">
        <v>1040</v>
      </c>
      <c r="C296" t="s">
        <v>1041</v>
      </c>
      <c r="D296" t="s">
        <v>390</v>
      </c>
      <c r="E296" s="36">
        <v>1600</v>
      </c>
      <c r="F296" s="36">
        <v>1920</v>
      </c>
      <c r="G296" s="36">
        <v>780</v>
      </c>
      <c r="H296" s="36">
        <v>897</v>
      </c>
      <c r="I296" s="37">
        <v>0.23076923076923081</v>
      </c>
      <c r="J296" s="37">
        <v>0.28428093645484948</v>
      </c>
    </row>
    <row r="297" spans="1:10" x14ac:dyDescent="0.25">
      <c r="A297" t="s">
        <v>1042</v>
      </c>
      <c r="B297" t="s">
        <v>1043</v>
      </c>
      <c r="C297" t="s">
        <v>101</v>
      </c>
      <c r="D297" t="s">
        <v>390</v>
      </c>
      <c r="E297" s="36">
        <v>480</v>
      </c>
      <c r="F297" s="36">
        <v>576</v>
      </c>
      <c r="G297" s="36">
        <v>210</v>
      </c>
      <c r="H297" s="36">
        <v>241</v>
      </c>
      <c r="I297" s="37">
        <v>0.37142857142857139</v>
      </c>
      <c r="J297" s="37">
        <v>0.43283582089552231</v>
      </c>
    </row>
    <row r="298" spans="1:10" x14ac:dyDescent="0.25">
      <c r="A298" t="s">
        <v>1044</v>
      </c>
      <c r="B298" t="s">
        <v>1045</v>
      </c>
      <c r="C298" t="s">
        <v>101</v>
      </c>
      <c r="D298" t="s">
        <v>390</v>
      </c>
      <c r="E298" s="36">
        <v>3200</v>
      </c>
      <c r="F298" s="36">
        <v>3840</v>
      </c>
      <c r="G298" s="36">
        <v>1800</v>
      </c>
      <c r="H298" s="36">
        <v>2070</v>
      </c>
      <c r="I298" s="37">
        <v>6.6666666666666652E-2</v>
      </c>
      <c r="J298" s="37">
        <v>0.11304347826086961</v>
      </c>
    </row>
    <row r="299" spans="1:10" x14ac:dyDescent="0.25">
      <c r="A299" t="s">
        <v>1046</v>
      </c>
      <c r="B299" t="s">
        <v>1047</v>
      </c>
      <c r="C299" t="s">
        <v>101</v>
      </c>
      <c r="D299" t="s">
        <v>390</v>
      </c>
      <c r="E299" s="36">
        <v>960</v>
      </c>
      <c r="F299" s="36">
        <v>1152</v>
      </c>
      <c r="G299" s="36">
        <v>420</v>
      </c>
      <c r="H299" s="36">
        <v>483</v>
      </c>
      <c r="I299" s="37">
        <v>0.37142857142857139</v>
      </c>
      <c r="J299" s="37">
        <v>0.43105590062111809</v>
      </c>
    </row>
    <row r="300" spans="1:10" x14ac:dyDescent="0.25">
      <c r="A300" t="s">
        <v>1048</v>
      </c>
      <c r="B300" t="s">
        <v>1049</v>
      </c>
      <c r="C300" t="s">
        <v>101</v>
      </c>
      <c r="D300" t="s">
        <v>390</v>
      </c>
      <c r="E300" s="36">
        <v>400</v>
      </c>
      <c r="F300" s="36">
        <v>480</v>
      </c>
      <c r="G300" s="36">
        <v>180</v>
      </c>
      <c r="H300" s="36">
        <v>207</v>
      </c>
      <c r="I300" s="37">
        <v>0.33333333333333331</v>
      </c>
      <c r="J300" s="37">
        <v>0.39130434782608692</v>
      </c>
    </row>
    <row r="301" spans="1:10" x14ac:dyDescent="0.25">
      <c r="A301" t="s">
        <v>1050</v>
      </c>
      <c r="B301" t="s">
        <v>1051</v>
      </c>
      <c r="C301" t="s">
        <v>101</v>
      </c>
      <c r="D301" t="s">
        <v>390</v>
      </c>
      <c r="E301" s="36">
        <v>2400</v>
      </c>
      <c r="F301" s="36">
        <v>2880</v>
      </c>
      <c r="G301" s="36">
        <v>1080</v>
      </c>
      <c r="H301" s="36">
        <v>1242</v>
      </c>
      <c r="I301" s="37">
        <v>0.33333333333333331</v>
      </c>
      <c r="J301" s="37">
        <v>0.39130434782608692</v>
      </c>
    </row>
    <row r="302" spans="1:10" x14ac:dyDescent="0.25">
      <c r="A302" t="s">
        <v>1052</v>
      </c>
      <c r="B302" t="s">
        <v>1053</v>
      </c>
      <c r="C302" t="s">
        <v>101</v>
      </c>
      <c r="D302" t="s">
        <v>390</v>
      </c>
      <c r="E302" s="36">
        <v>4000</v>
      </c>
      <c r="F302" s="36">
        <v>4800</v>
      </c>
      <c r="G302" s="36">
        <v>1800</v>
      </c>
      <c r="H302" s="36">
        <v>2070</v>
      </c>
      <c r="I302" s="37">
        <v>0.33333333333333331</v>
      </c>
      <c r="J302" s="37">
        <v>0.39130434782608692</v>
      </c>
    </row>
    <row r="303" spans="1:10" x14ac:dyDescent="0.25">
      <c r="A303" t="s">
        <v>1054</v>
      </c>
      <c r="B303" t="s">
        <v>1055</v>
      </c>
      <c r="C303" t="s">
        <v>101</v>
      </c>
      <c r="D303" t="s">
        <v>390</v>
      </c>
      <c r="E303" s="36">
        <v>1920</v>
      </c>
      <c r="F303" s="36">
        <v>2304</v>
      </c>
      <c r="G303" s="36">
        <v>900</v>
      </c>
      <c r="H303" s="36">
        <v>1035</v>
      </c>
      <c r="I303" s="37">
        <v>0.28000000000000003</v>
      </c>
      <c r="J303" s="37">
        <v>0.33565217391304358</v>
      </c>
    </row>
    <row r="304" spans="1:10" x14ac:dyDescent="0.25">
      <c r="A304" t="s">
        <v>1056</v>
      </c>
      <c r="B304" t="s">
        <v>1057</v>
      </c>
      <c r="C304" t="s">
        <v>101</v>
      </c>
      <c r="D304" t="s">
        <v>390</v>
      </c>
      <c r="E304" s="36">
        <v>1280</v>
      </c>
      <c r="F304" s="36">
        <v>1536</v>
      </c>
      <c r="G304" s="36">
        <v>600</v>
      </c>
      <c r="H304" s="36">
        <v>690</v>
      </c>
      <c r="I304" s="37">
        <v>0.28000000000000003</v>
      </c>
      <c r="J304" s="37">
        <v>0.33565217391304358</v>
      </c>
    </row>
    <row r="305" spans="1:10" x14ac:dyDescent="0.25">
      <c r="A305" t="s">
        <v>1058</v>
      </c>
      <c r="B305" t="s">
        <v>1059</v>
      </c>
      <c r="C305" t="s">
        <v>101</v>
      </c>
      <c r="D305" t="s">
        <v>390</v>
      </c>
      <c r="E305" s="36">
        <v>4000</v>
      </c>
      <c r="F305" s="36">
        <v>4800</v>
      </c>
      <c r="G305" s="36">
        <v>1800</v>
      </c>
      <c r="H305" s="36">
        <v>2070</v>
      </c>
      <c r="I305" s="37">
        <v>0.33333333333333331</v>
      </c>
      <c r="J305" s="37">
        <v>0.39130434782608692</v>
      </c>
    </row>
    <row r="306" spans="1:10" x14ac:dyDescent="0.25">
      <c r="A306" t="s">
        <v>1060</v>
      </c>
      <c r="B306" t="s">
        <v>1061</v>
      </c>
      <c r="C306" t="s">
        <v>101</v>
      </c>
      <c r="D306" t="s">
        <v>390</v>
      </c>
      <c r="E306" s="36">
        <v>1920</v>
      </c>
      <c r="F306" s="36">
        <v>2304</v>
      </c>
      <c r="G306" s="36">
        <v>900</v>
      </c>
      <c r="H306" s="36">
        <v>1035</v>
      </c>
      <c r="I306" s="37">
        <v>0.28000000000000003</v>
      </c>
      <c r="J306" s="37">
        <v>0.33565217391304358</v>
      </c>
    </row>
    <row r="307" spans="1:10" x14ac:dyDescent="0.25">
      <c r="A307" t="s">
        <v>1062</v>
      </c>
      <c r="B307" t="s">
        <v>1063</v>
      </c>
      <c r="C307" t="s">
        <v>101</v>
      </c>
      <c r="D307" t="s">
        <v>390</v>
      </c>
      <c r="E307" s="36">
        <v>960</v>
      </c>
      <c r="F307" s="36">
        <v>1152</v>
      </c>
      <c r="G307" s="36">
        <v>480</v>
      </c>
      <c r="H307" s="36">
        <v>552</v>
      </c>
      <c r="I307" s="37">
        <v>0.2</v>
      </c>
      <c r="J307" s="37">
        <v>0.25217391304347841</v>
      </c>
    </row>
    <row r="308" spans="1:10" x14ac:dyDescent="0.25">
      <c r="A308" t="s">
        <v>1064</v>
      </c>
      <c r="B308" t="s">
        <v>1065</v>
      </c>
      <c r="C308" t="s">
        <v>101</v>
      </c>
      <c r="D308" t="s">
        <v>390</v>
      </c>
      <c r="E308" s="36">
        <v>640</v>
      </c>
      <c r="F308" s="36">
        <v>768</v>
      </c>
      <c r="G308" s="36">
        <v>300</v>
      </c>
      <c r="H308" s="36">
        <v>345</v>
      </c>
      <c r="I308" s="37">
        <v>0.28000000000000003</v>
      </c>
      <c r="J308" s="37">
        <v>0.33565217391304358</v>
      </c>
    </row>
    <row r="309" spans="1:10" x14ac:dyDescent="0.25">
      <c r="A309" t="s">
        <v>1066</v>
      </c>
      <c r="B309" t="s">
        <v>1067</v>
      </c>
      <c r="C309" t="s">
        <v>101</v>
      </c>
      <c r="D309" t="s">
        <v>390</v>
      </c>
      <c r="E309" s="36">
        <v>240</v>
      </c>
      <c r="F309" s="36">
        <v>288</v>
      </c>
      <c r="G309" s="36">
        <v>120</v>
      </c>
      <c r="H309" s="36">
        <v>138</v>
      </c>
      <c r="I309" s="37">
        <v>0.2</v>
      </c>
      <c r="J309" s="37">
        <v>0.25217391304347841</v>
      </c>
    </row>
    <row r="310" spans="1:10" x14ac:dyDescent="0.25">
      <c r="A310" t="s">
        <v>1068</v>
      </c>
      <c r="B310" t="s">
        <v>1069</v>
      </c>
      <c r="C310" t="s">
        <v>89</v>
      </c>
      <c r="D310" t="s">
        <v>390</v>
      </c>
      <c r="E310" s="36">
        <v>960</v>
      </c>
      <c r="F310" s="36">
        <v>1152</v>
      </c>
      <c r="G310" s="36">
        <v>360</v>
      </c>
      <c r="H310" s="36">
        <v>414</v>
      </c>
      <c r="I310" s="37">
        <v>0.60000000000000009</v>
      </c>
      <c r="J310" s="37">
        <v>0.66956521739130426</v>
      </c>
    </row>
    <row r="311" spans="1:10" x14ac:dyDescent="0.25">
      <c r="A311" t="s">
        <v>1070</v>
      </c>
      <c r="B311" t="s">
        <v>1071</v>
      </c>
      <c r="C311" t="s">
        <v>101</v>
      </c>
      <c r="D311" t="s">
        <v>390</v>
      </c>
      <c r="E311" s="36">
        <v>240</v>
      </c>
      <c r="F311" s="36">
        <v>288</v>
      </c>
      <c r="G311" s="36">
        <v>120</v>
      </c>
      <c r="H311" s="36">
        <v>138</v>
      </c>
      <c r="I311" s="37">
        <v>0.2</v>
      </c>
      <c r="J311" s="37">
        <v>0.25217391304347841</v>
      </c>
    </row>
    <row r="312" spans="1:10" x14ac:dyDescent="0.25">
      <c r="A312" t="s">
        <v>1072</v>
      </c>
      <c r="B312" t="s">
        <v>1073</v>
      </c>
      <c r="C312" t="s">
        <v>101</v>
      </c>
      <c r="D312" t="s">
        <v>390</v>
      </c>
      <c r="E312" s="36">
        <v>240</v>
      </c>
      <c r="F312" s="36">
        <v>288</v>
      </c>
      <c r="G312" s="36">
        <v>120</v>
      </c>
      <c r="H312" s="36">
        <v>138</v>
      </c>
      <c r="I312" s="37">
        <v>0.2</v>
      </c>
      <c r="J312" s="37">
        <v>0.25217391304347841</v>
      </c>
    </row>
    <row r="313" spans="1:10" x14ac:dyDescent="0.25">
      <c r="A313" t="s">
        <v>1074</v>
      </c>
      <c r="B313" t="s">
        <v>1075</v>
      </c>
      <c r="C313" t="s">
        <v>101</v>
      </c>
      <c r="D313" t="s">
        <v>390</v>
      </c>
      <c r="E313" s="36">
        <v>240</v>
      </c>
      <c r="F313" s="36">
        <v>288</v>
      </c>
      <c r="G313" s="36">
        <v>120</v>
      </c>
      <c r="H313" s="36">
        <v>138</v>
      </c>
      <c r="I313" s="37">
        <v>0.2</v>
      </c>
      <c r="J313" s="37">
        <v>0.25217391304347841</v>
      </c>
    </row>
    <row r="314" spans="1:10" x14ac:dyDescent="0.25">
      <c r="A314" t="s">
        <v>1076</v>
      </c>
      <c r="B314" t="s">
        <v>1077</v>
      </c>
      <c r="C314" t="s">
        <v>101</v>
      </c>
      <c r="D314" t="s">
        <v>390</v>
      </c>
      <c r="E314" s="36">
        <v>1920</v>
      </c>
      <c r="F314" s="36">
        <v>2304</v>
      </c>
      <c r="G314" s="36">
        <v>900</v>
      </c>
      <c r="H314" s="36">
        <v>1035</v>
      </c>
      <c r="I314" s="37">
        <v>0.28000000000000003</v>
      </c>
      <c r="J314" s="37">
        <v>0.33565217391304358</v>
      </c>
    </row>
    <row r="315" spans="1:10" x14ac:dyDescent="0.25">
      <c r="A315" t="s">
        <v>1078</v>
      </c>
      <c r="B315" t="s">
        <v>1079</v>
      </c>
      <c r="C315" t="s">
        <v>101</v>
      </c>
      <c r="D315" t="s">
        <v>390</v>
      </c>
      <c r="E315" s="36">
        <v>2880</v>
      </c>
      <c r="F315" s="36">
        <v>3456</v>
      </c>
      <c r="G315" s="36">
        <v>1500</v>
      </c>
      <c r="H315" s="36">
        <v>1725</v>
      </c>
      <c r="I315" s="37">
        <v>0.15199999999999991</v>
      </c>
      <c r="J315" s="37">
        <v>0.20208695652173911</v>
      </c>
    </row>
    <row r="316" spans="1:10" x14ac:dyDescent="0.25">
      <c r="A316" t="s">
        <v>1080</v>
      </c>
      <c r="B316" t="s">
        <v>1081</v>
      </c>
      <c r="C316" t="s">
        <v>101</v>
      </c>
      <c r="D316" t="s">
        <v>390</v>
      </c>
      <c r="E316" s="36">
        <v>960</v>
      </c>
      <c r="F316" s="36">
        <v>1152</v>
      </c>
      <c r="G316" s="36">
        <v>480</v>
      </c>
      <c r="H316" s="36">
        <v>552</v>
      </c>
      <c r="I316" s="37">
        <v>0.2</v>
      </c>
      <c r="J316" s="37">
        <v>0.25217391304347841</v>
      </c>
    </row>
    <row r="317" spans="1:10" x14ac:dyDescent="0.25">
      <c r="A317" t="s">
        <v>1082</v>
      </c>
      <c r="B317" t="s">
        <v>1083</v>
      </c>
      <c r="C317" t="s">
        <v>101</v>
      </c>
      <c r="D317" t="s">
        <v>390</v>
      </c>
      <c r="E317" s="36">
        <v>800</v>
      </c>
      <c r="F317" s="36">
        <v>960</v>
      </c>
      <c r="G317" s="36">
        <v>360</v>
      </c>
      <c r="H317" s="36">
        <v>414</v>
      </c>
      <c r="I317" s="37">
        <v>0.33333333333333331</v>
      </c>
      <c r="J317" s="37">
        <v>0.39130434782608692</v>
      </c>
    </row>
    <row r="318" spans="1:10" x14ac:dyDescent="0.25">
      <c r="A318" t="s">
        <v>1084</v>
      </c>
      <c r="B318" t="s">
        <v>1085</v>
      </c>
      <c r="C318" t="s">
        <v>101</v>
      </c>
      <c r="D318" t="s">
        <v>363</v>
      </c>
      <c r="E318" s="36">
        <v>600</v>
      </c>
      <c r="F318" s="36">
        <v>720</v>
      </c>
      <c r="G318" s="36">
        <v>300</v>
      </c>
      <c r="H318" s="36">
        <v>345</v>
      </c>
      <c r="I318" s="37">
        <v>0.2</v>
      </c>
      <c r="J318" s="37">
        <v>0.25217391304347841</v>
      </c>
    </row>
    <row r="319" spans="1:10" x14ac:dyDescent="0.25">
      <c r="A319" t="s">
        <v>1086</v>
      </c>
      <c r="B319" t="s">
        <v>1087</v>
      </c>
      <c r="C319" t="s">
        <v>101</v>
      </c>
      <c r="D319" t="s">
        <v>390</v>
      </c>
      <c r="E319" s="36">
        <v>240</v>
      </c>
      <c r="F319" s="36">
        <v>288</v>
      </c>
      <c r="G319" s="36">
        <v>120</v>
      </c>
      <c r="H319" s="36">
        <v>138</v>
      </c>
      <c r="I319" s="37">
        <v>0.2</v>
      </c>
      <c r="J319" s="37">
        <v>0.25217391304347841</v>
      </c>
    </row>
    <row r="320" spans="1:10" x14ac:dyDescent="0.25">
      <c r="A320" t="s">
        <v>1088</v>
      </c>
      <c r="B320" t="s">
        <v>1089</v>
      </c>
      <c r="C320" t="s">
        <v>101</v>
      </c>
      <c r="D320" t="s">
        <v>390</v>
      </c>
      <c r="E320" s="36">
        <v>960</v>
      </c>
      <c r="F320" s="36">
        <v>1152</v>
      </c>
      <c r="G320" s="36">
        <v>480</v>
      </c>
      <c r="H320" s="36">
        <v>552</v>
      </c>
      <c r="I320" s="37">
        <v>0.2</v>
      </c>
      <c r="J320" s="37">
        <v>0.25217391304347841</v>
      </c>
    </row>
    <row r="321" spans="1:10" x14ac:dyDescent="0.25">
      <c r="A321" t="s">
        <v>1090</v>
      </c>
      <c r="B321" t="s">
        <v>1091</v>
      </c>
      <c r="C321" t="s">
        <v>101</v>
      </c>
      <c r="D321" t="s">
        <v>390</v>
      </c>
      <c r="E321" s="36">
        <v>1600</v>
      </c>
      <c r="F321" s="36">
        <v>1920</v>
      </c>
      <c r="G321" s="36">
        <v>780</v>
      </c>
      <c r="H321" s="36">
        <v>897</v>
      </c>
      <c r="I321" s="37">
        <v>0.23076923076923081</v>
      </c>
      <c r="J321" s="37">
        <v>0.28428093645484948</v>
      </c>
    </row>
    <row r="322" spans="1:10" x14ac:dyDescent="0.25">
      <c r="A322" t="s">
        <v>1092</v>
      </c>
      <c r="B322" t="s">
        <v>1093</v>
      </c>
      <c r="C322" t="s">
        <v>101</v>
      </c>
      <c r="D322" t="s">
        <v>390</v>
      </c>
      <c r="E322" s="36">
        <v>640</v>
      </c>
      <c r="F322" s="36">
        <v>768</v>
      </c>
      <c r="G322" s="36">
        <v>300</v>
      </c>
      <c r="H322" s="36">
        <v>345</v>
      </c>
      <c r="I322" s="37">
        <v>0.28000000000000003</v>
      </c>
      <c r="J322" s="37">
        <v>0.33565217391304358</v>
      </c>
    </row>
    <row r="323" spans="1:10" x14ac:dyDescent="0.25">
      <c r="A323" t="s">
        <v>1094</v>
      </c>
      <c r="B323" t="s">
        <v>1095</v>
      </c>
      <c r="C323" t="s">
        <v>101</v>
      </c>
      <c r="D323" t="s">
        <v>390</v>
      </c>
      <c r="E323" s="36">
        <v>640</v>
      </c>
      <c r="F323" s="36">
        <v>768</v>
      </c>
      <c r="G323" s="36">
        <v>300</v>
      </c>
      <c r="H323" s="36">
        <v>345</v>
      </c>
      <c r="I323" s="37">
        <v>0.28000000000000003</v>
      </c>
      <c r="J323" s="37">
        <v>0.33565217391304358</v>
      </c>
    </row>
    <row r="324" spans="1:10" x14ac:dyDescent="0.25">
      <c r="A324" t="s">
        <v>1096</v>
      </c>
      <c r="B324" t="s">
        <v>1097</v>
      </c>
      <c r="C324" t="s">
        <v>101</v>
      </c>
      <c r="D324" t="s">
        <v>390</v>
      </c>
      <c r="E324" s="36">
        <v>640</v>
      </c>
      <c r="F324" s="36">
        <v>768</v>
      </c>
      <c r="G324" s="36">
        <v>300</v>
      </c>
      <c r="H324" s="36">
        <v>345</v>
      </c>
      <c r="I324" s="37">
        <v>0.28000000000000003</v>
      </c>
      <c r="J324" s="37">
        <v>0.33565217391304358</v>
      </c>
    </row>
    <row r="325" spans="1:10" x14ac:dyDescent="0.25">
      <c r="A325" t="s">
        <v>1098</v>
      </c>
      <c r="B325" t="s">
        <v>1099</v>
      </c>
      <c r="C325" t="s">
        <v>101</v>
      </c>
      <c r="D325" t="s">
        <v>390</v>
      </c>
      <c r="E325" s="36">
        <v>1600</v>
      </c>
      <c r="F325" s="36">
        <v>1920</v>
      </c>
      <c r="G325" s="36">
        <v>780</v>
      </c>
      <c r="H325" s="36">
        <v>897</v>
      </c>
      <c r="I325" s="37">
        <v>0.23076923076923081</v>
      </c>
      <c r="J325" s="37">
        <v>0.28428093645484948</v>
      </c>
    </row>
    <row r="326" spans="1:10" x14ac:dyDescent="0.25">
      <c r="A326" t="s">
        <v>1100</v>
      </c>
      <c r="B326" t="s">
        <v>1101</v>
      </c>
      <c r="C326" t="s">
        <v>101</v>
      </c>
      <c r="D326" t="s">
        <v>390</v>
      </c>
      <c r="E326" s="36">
        <v>1600</v>
      </c>
      <c r="F326" s="36">
        <v>1920</v>
      </c>
      <c r="G326" s="36">
        <v>780</v>
      </c>
      <c r="H326" s="36">
        <v>897</v>
      </c>
      <c r="I326" s="37">
        <v>0.23076923076923081</v>
      </c>
      <c r="J326" s="37">
        <v>0.28428093645484948</v>
      </c>
    </row>
    <row r="327" spans="1:10" x14ac:dyDescent="0.25">
      <c r="A327" t="s">
        <v>1102</v>
      </c>
      <c r="B327" t="s">
        <v>1103</v>
      </c>
      <c r="C327" t="s">
        <v>101</v>
      </c>
      <c r="D327" t="s">
        <v>390</v>
      </c>
      <c r="E327" s="36">
        <v>240</v>
      </c>
      <c r="F327" s="36">
        <v>288</v>
      </c>
      <c r="G327" s="36">
        <v>120</v>
      </c>
      <c r="H327" s="36">
        <v>138</v>
      </c>
      <c r="I327" s="37">
        <v>0.2</v>
      </c>
      <c r="J327" s="37">
        <v>0.25217391304347841</v>
      </c>
    </row>
    <row r="328" spans="1:10" x14ac:dyDescent="0.25">
      <c r="A328" t="s">
        <v>1104</v>
      </c>
      <c r="B328" t="s">
        <v>1105</v>
      </c>
      <c r="C328" t="s">
        <v>89</v>
      </c>
      <c r="D328" t="s">
        <v>390</v>
      </c>
      <c r="E328" s="36">
        <v>1280</v>
      </c>
      <c r="F328" s="36">
        <v>1536</v>
      </c>
      <c r="G328" s="36">
        <v>540</v>
      </c>
      <c r="H328" s="36">
        <v>621</v>
      </c>
      <c r="I328" s="37">
        <v>0.42222222222222228</v>
      </c>
      <c r="J328" s="37">
        <v>0.48405797101449283</v>
      </c>
    </row>
    <row r="329" spans="1:10" x14ac:dyDescent="0.25">
      <c r="A329" t="s">
        <v>1106</v>
      </c>
      <c r="B329" t="s">
        <v>1107</v>
      </c>
      <c r="C329" t="s">
        <v>101</v>
      </c>
      <c r="D329" t="s">
        <v>390</v>
      </c>
      <c r="E329" s="36">
        <v>480</v>
      </c>
      <c r="F329" s="36">
        <v>576</v>
      </c>
      <c r="G329" s="36">
        <v>240</v>
      </c>
      <c r="H329" s="36">
        <v>276</v>
      </c>
      <c r="I329" s="37">
        <v>0.2</v>
      </c>
      <c r="J329" s="37">
        <v>0.25217391304347841</v>
      </c>
    </row>
    <row r="330" spans="1:10" x14ac:dyDescent="0.25">
      <c r="A330" t="s">
        <v>1108</v>
      </c>
      <c r="B330" t="s">
        <v>1109</v>
      </c>
      <c r="C330" t="s">
        <v>101</v>
      </c>
      <c r="D330" t="s">
        <v>390</v>
      </c>
      <c r="E330" s="36">
        <v>640</v>
      </c>
      <c r="F330" s="36">
        <v>768</v>
      </c>
      <c r="G330" s="36">
        <v>300</v>
      </c>
      <c r="H330" s="36">
        <v>345</v>
      </c>
      <c r="I330" s="37">
        <v>0.28000000000000003</v>
      </c>
      <c r="J330" s="37">
        <v>0.33565217391304358</v>
      </c>
    </row>
    <row r="331" spans="1:10" x14ac:dyDescent="0.25">
      <c r="A331" t="s">
        <v>1110</v>
      </c>
      <c r="B331" t="s">
        <v>1111</v>
      </c>
      <c r="C331" t="s">
        <v>101</v>
      </c>
      <c r="D331" t="s">
        <v>390</v>
      </c>
      <c r="E331" s="36">
        <v>2400</v>
      </c>
      <c r="F331" s="36">
        <v>2880</v>
      </c>
      <c r="G331" s="36">
        <v>1200</v>
      </c>
      <c r="H331" s="36">
        <v>1380</v>
      </c>
      <c r="I331" s="37">
        <v>0.2</v>
      </c>
      <c r="J331" s="37">
        <v>0.25217391304347841</v>
      </c>
    </row>
    <row r="332" spans="1:10" x14ac:dyDescent="0.25">
      <c r="A332" t="s">
        <v>1112</v>
      </c>
      <c r="B332" t="s">
        <v>1113</v>
      </c>
      <c r="C332" t="s">
        <v>101</v>
      </c>
      <c r="D332" t="s">
        <v>390</v>
      </c>
      <c r="E332" s="36">
        <v>8000</v>
      </c>
      <c r="F332" s="36">
        <v>9600</v>
      </c>
      <c r="G332" s="36">
        <v>4200</v>
      </c>
      <c r="H332" s="36">
        <v>4830</v>
      </c>
      <c r="I332" s="37">
        <v>0.14285714285714279</v>
      </c>
      <c r="J332" s="37">
        <v>0.19254658385093171</v>
      </c>
    </row>
    <row r="333" spans="1:10" x14ac:dyDescent="0.25">
      <c r="A333" t="s">
        <v>1114</v>
      </c>
      <c r="B333" t="s">
        <v>1115</v>
      </c>
      <c r="C333" t="s">
        <v>101</v>
      </c>
      <c r="D333" t="s">
        <v>394</v>
      </c>
      <c r="E333" s="36">
        <v>20000</v>
      </c>
      <c r="F333" s="36">
        <v>24000</v>
      </c>
      <c r="G333" s="36">
        <v>9000</v>
      </c>
      <c r="H333" s="36">
        <v>10350</v>
      </c>
      <c r="I333" s="37">
        <v>0.33333333333333331</v>
      </c>
      <c r="J333" s="37">
        <v>0.39130434782608692</v>
      </c>
    </row>
    <row r="334" spans="1:10" x14ac:dyDescent="0.25">
      <c r="A334" t="s">
        <v>1116</v>
      </c>
      <c r="B334" t="s">
        <v>1117</v>
      </c>
      <c r="C334" t="s">
        <v>101</v>
      </c>
      <c r="D334" t="s">
        <v>390</v>
      </c>
      <c r="E334" s="36">
        <v>6400</v>
      </c>
      <c r="F334" s="36">
        <v>7680</v>
      </c>
      <c r="G334" s="36">
        <v>3000</v>
      </c>
      <c r="H334" s="36">
        <v>3450</v>
      </c>
      <c r="I334" s="37">
        <v>0.28000000000000003</v>
      </c>
      <c r="J334" s="37">
        <v>0.33565217391304358</v>
      </c>
    </row>
    <row r="335" spans="1:10" x14ac:dyDescent="0.25">
      <c r="A335" t="s">
        <v>1118</v>
      </c>
      <c r="B335" t="s">
        <v>1119</v>
      </c>
      <c r="C335" t="s">
        <v>101</v>
      </c>
      <c r="D335" t="s">
        <v>390</v>
      </c>
      <c r="E335" s="36">
        <v>9600</v>
      </c>
      <c r="F335" s="36">
        <v>11520</v>
      </c>
      <c r="G335" s="36">
        <v>4800</v>
      </c>
      <c r="H335" s="36">
        <v>5520</v>
      </c>
      <c r="I335" s="37">
        <v>0.2</v>
      </c>
      <c r="J335" s="37">
        <v>0.25217391304347841</v>
      </c>
    </row>
    <row r="336" spans="1:10" x14ac:dyDescent="0.25">
      <c r="A336" t="s">
        <v>1120</v>
      </c>
      <c r="B336" t="s">
        <v>1121</v>
      </c>
      <c r="C336" t="s">
        <v>101</v>
      </c>
      <c r="D336" t="s">
        <v>390</v>
      </c>
      <c r="E336" s="36">
        <v>4800</v>
      </c>
      <c r="F336" s="36">
        <v>5760</v>
      </c>
      <c r="G336" s="36">
        <v>2400</v>
      </c>
      <c r="H336" s="36">
        <v>2760</v>
      </c>
      <c r="I336" s="37">
        <v>0.2</v>
      </c>
      <c r="J336" s="37">
        <v>0.25217391304347841</v>
      </c>
    </row>
    <row r="337" spans="1:10" x14ac:dyDescent="0.25">
      <c r="A337" t="s">
        <v>1122</v>
      </c>
      <c r="B337" t="s">
        <v>1123</v>
      </c>
      <c r="C337" t="s">
        <v>240</v>
      </c>
      <c r="D337" t="s">
        <v>390</v>
      </c>
      <c r="E337" s="36">
        <v>1600</v>
      </c>
      <c r="F337" s="36">
        <v>1920</v>
      </c>
      <c r="G337" s="36">
        <v>900</v>
      </c>
      <c r="H337" s="36">
        <v>1035</v>
      </c>
      <c r="I337" s="37">
        <v>6.6666666666666652E-2</v>
      </c>
      <c r="J337" s="37">
        <v>0.11304347826086961</v>
      </c>
    </row>
    <row r="338" spans="1:10" x14ac:dyDescent="0.25">
      <c r="A338" t="s">
        <v>1124</v>
      </c>
      <c r="B338" t="s">
        <v>1125</v>
      </c>
      <c r="C338" t="s">
        <v>101</v>
      </c>
      <c r="D338" t="s">
        <v>327</v>
      </c>
      <c r="E338" s="36">
        <v>120</v>
      </c>
      <c r="F338" s="36">
        <v>140</v>
      </c>
      <c r="G338" s="36">
        <v>70</v>
      </c>
      <c r="H338" s="36">
        <v>80</v>
      </c>
      <c r="I338" s="37">
        <v>0</v>
      </c>
      <c r="J338" s="37">
        <v>0</v>
      </c>
    </row>
    <row r="339" spans="1:10" x14ac:dyDescent="0.25">
      <c r="A339" t="s">
        <v>1126</v>
      </c>
      <c r="B339" t="s">
        <v>1127</v>
      </c>
      <c r="C339" t="s">
        <v>101</v>
      </c>
      <c r="D339" t="s">
        <v>327</v>
      </c>
      <c r="E339" s="36">
        <v>350</v>
      </c>
      <c r="F339" s="36">
        <v>400</v>
      </c>
      <c r="G339" s="36">
        <v>200</v>
      </c>
      <c r="H339" s="36">
        <v>230</v>
      </c>
      <c r="I339" s="37">
        <v>0</v>
      </c>
      <c r="J339" s="37">
        <v>0</v>
      </c>
    </row>
    <row r="340" spans="1:10" x14ac:dyDescent="0.25">
      <c r="A340" t="s">
        <v>1128</v>
      </c>
      <c r="B340" t="s">
        <v>1129</v>
      </c>
      <c r="C340" t="s">
        <v>101</v>
      </c>
      <c r="D340" t="s">
        <v>327</v>
      </c>
      <c r="E340" s="36">
        <v>350</v>
      </c>
      <c r="F340" s="36">
        <v>400</v>
      </c>
      <c r="G340" s="36">
        <v>200</v>
      </c>
      <c r="H340" s="36">
        <v>230</v>
      </c>
      <c r="I340" s="37">
        <v>0</v>
      </c>
      <c r="J340" s="37">
        <v>0</v>
      </c>
    </row>
    <row r="341" spans="1:10" x14ac:dyDescent="0.25">
      <c r="A341" t="s">
        <v>1130</v>
      </c>
      <c r="B341" t="s">
        <v>1131</v>
      </c>
      <c r="C341" t="s">
        <v>101</v>
      </c>
      <c r="D341" t="s">
        <v>327</v>
      </c>
      <c r="E341" s="36">
        <v>15</v>
      </c>
      <c r="F341" s="36">
        <v>17</v>
      </c>
      <c r="G341" s="36">
        <v>9</v>
      </c>
      <c r="H341" s="36">
        <v>10</v>
      </c>
      <c r="I341" s="37">
        <v>0</v>
      </c>
      <c r="J341" s="37">
        <v>0</v>
      </c>
    </row>
    <row r="342" spans="1:10" x14ac:dyDescent="0.25">
      <c r="A342" t="s">
        <v>1132</v>
      </c>
      <c r="B342" t="s">
        <v>1133</v>
      </c>
      <c r="C342" t="s">
        <v>101</v>
      </c>
      <c r="D342" t="s">
        <v>327</v>
      </c>
      <c r="E342" s="36">
        <v>550</v>
      </c>
      <c r="F342" s="36">
        <v>630</v>
      </c>
      <c r="G342" s="36">
        <v>320</v>
      </c>
      <c r="H342" s="36">
        <v>370</v>
      </c>
      <c r="I342" s="37">
        <v>0</v>
      </c>
      <c r="J342" s="37">
        <v>0</v>
      </c>
    </row>
    <row r="343" spans="1:10" x14ac:dyDescent="0.25">
      <c r="A343" t="s">
        <v>1134</v>
      </c>
      <c r="B343" t="s">
        <v>1135</v>
      </c>
      <c r="C343" t="s">
        <v>101</v>
      </c>
      <c r="D343" t="s">
        <v>327</v>
      </c>
      <c r="E343" s="36">
        <v>50</v>
      </c>
      <c r="F343" s="36">
        <v>57</v>
      </c>
      <c r="G343" s="36">
        <v>30</v>
      </c>
      <c r="H343" s="36">
        <v>34</v>
      </c>
      <c r="I343" s="37">
        <v>0</v>
      </c>
      <c r="J343" s="37">
        <v>0</v>
      </c>
    </row>
    <row r="344" spans="1:10" x14ac:dyDescent="0.25">
      <c r="A344" t="s">
        <v>1136</v>
      </c>
      <c r="B344" t="s">
        <v>1137</v>
      </c>
      <c r="C344" t="s">
        <v>101</v>
      </c>
      <c r="D344" t="s">
        <v>327</v>
      </c>
      <c r="E344" s="36">
        <v>450</v>
      </c>
      <c r="F344" s="36">
        <v>520</v>
      </c>
      <c r="G344" s="36">
        <v>260</v>
      </c>
      <c r="H344" s="36">
        <v>300</v>
      </c>
      <c r="I344" s="37">
        <v>0</v>
      </c>
      <c r="J344" s="37">
        <v>0</v>
      </c>
    </row>
    <row r="345" spans="1:10" x14ac:dyDescent="0.25">
      <c r="A345" t="s">
        <v>1138</v>
      </c>
      <c r="B345" t="s">
        <v>1139</v>
      </c>
      <c r="C345" t="s">
        <v>101</v>
      </c>
      <c r="D345" t="s">
        <v>327</v>
      </c>
      <c r="E345" s="36">
        <v>20</v>
      </c>
      <c r="F345" s="36">
        <v>23</v>
      </c>
      <c r="G345" s="36">
        <v>12</v>
      </c>
      <c r="H345" s="36">
        <v>14</v>
      </c>
      <c r="I345" s="37">
        <v>0</v>
      </c>
      <c r="J345" s="37">
        <v>0</v>
      </c>
    </row>
    <row r="346" spans="1:10" x14ac:dyDescent="0.25">
      <c r="A346" t="s">
        <v>1140</v>
      </c>
      <c r="B346" t="s">
        <v>1141</v>
      </c>
      <c r="C346" t="s">
        <v>101</v>
      </c>
      <c r="D346" t="s">
        <v>327</v>
      </c>
      <c r="E346" s="36">
        <v>1100</v>
      </c>
      <c r="F346" s="36">
        <v>1250</v>
      </c>
      <c r="G346" s="36">
        <v>650</v>
      </c>
      <c r="H346" s="36">
        <v>750</v>
      </c>
      <c r="I346" s="37">
        <v>0</v>
      </c>
      <c r="J346" s="37">
        <v>0</v>
      </c>
    </row>
    <row r="347" spans="1:10" x14ac:dyDescent="0.25">
      <c r="A347" t="s">
        <v>1142</v>
      </c>
      <c r="B347" t="s">
        <v>1143</v>
      </c>
      <c r="C347" t="s">
        <v>101</v>
      </c>
      <c r="D347" t="s">
        <v>327</v>
      </c>
      <c r="E347" s="36">
        <v>55</v>
      </c>
      <c r="F347" s="36">
        <v>63</v>
      </c>
      <c r="G347" s="36">
        <v>32</v>
      </c>
      <c r="H347" s="36">
        <v>37</v>
      </c>
      <c r="I347" s="37">
        <v>0</v>
      </c>
      <c r="J347" s="37">
        <v>0</v>
      </c>
    </row>
    <row r="348" spans="1:10" x14ac:dyDescent="0.25">
      <c r="A348" t="s">
        <v>1144</v>
      </c>
      <c r="B348" t="s">
        <v>1145</v>
      </c>
      <c r="C348" t="s">
        <v>101</v>
      </c>
      <c r="D348" t="s">
        <v>327</v>
      </c>
      <c r="E348" s="36">
        <v>800</v>
      </c>
      <c r="F348" s="36">
        <v>920</v>
      </c>
      <c r="G348" s="36">
        <v>450</v>
      </c>
      <c r="H348" s="36">
        <v>520</v>
      </c>
      <c r="I348" s="37">
        <v>0</v>
      </c>
      <c r="J348" s="37">
        <v>0</v>
      </c>
    </row>
    <row r="349" spans="1:10" x14ac:dyDescent="0.25">
      <c r="A349" t="s">
        <v>1146</v>
      </c>
      <c r="B349" t="s">
        <v>1147</v>
      </c>
      <c r="C349" t="s">
        <v>101</v>
      </c>
      <c r="D349" t="s">
        <v>327</v>
      </c>
      <c r="E349" s="36">
        <v>350</v>
      </c>
      <c r="F349" s="36">
        <v>400</v>
      </c>
      <c r="G349" s="36">
        <v>200</v>
      </c>
      <c r="H349" s="36">
        <v>230</v>
      </c>
      <c r="I349" s="37">
        <v>0</v>
      </c>
      <c r="J349" s="37">
        <v>0</v>
      </c>
    </row>
    <row r="350" spans="1:10" x14ac:dyDescent="0.25">
      <c r="A350" t="s">
        <v>1148</v>
      </c>
      <c r="B350" t="s">
        <v>1149</v>
      </c>
      <c r="C350" t="s">
        <v>101</v>
      </c>
      <c r="D350" t="s">
        <v>327</v>
      </c>
      <c r="E350" s="36">
        <v>550</v>
      </c>
      <c r="F350" s="36">
        <v>630</v>
      </c>
      <c r="G350" s="36">
        <v>320</v>
      </c>
      <c r="H350" s="36">
        <v>370</v>
      </c>
      <c r="I350" s="37">
        <v>0</v>
      </c>
      <c r="J350" s="37">
        <v>0</v>
      </c>
    </row>
    <row r="351" spans="1:10" x14ac:dyDescent="0.25">
      <c r="A351" t="s">
        <v>1150</v>
      </c>
      <c r="B351" t="s">
        <v>1151</v>
      </c>
      <c r="C351" t="s">
        <v>101</v>
      </c>
      <c r="D351" t="s">
        <v>327</v>
      </c>
      <c r="E351" s="36">
        <v>650</v>
      </c>
      <c r="F351" s="36">
        <v>750</v>
      </c>
      <c r="G351" s="36">
        <v>380</v>
      </c>
      <c r="H351" s="36">
        <v>440</v>
      </c>
      <c r="I351" s="37">
        <v>0</v>
      </c>
      <c r="J351" s="37">
        <v>0</v>
      </c>
    </row>
    <row r="352" spans="1:10" x14ac:dyDescent="0.25">
      <c r="A352" t="s">
        <v>1152</v>
      </c>
      <c r="B352" t="s">
        <v>1153</v>
      </c>
      <c r="C352" t="s">
        <v>101</v>
      </c>
      <c r="D352" t="s">
        <v>379</v>
      </c>
      <c r="E352" s="36">
        <v>80</v>
      </c>
      <c r="F352" s="36">
        <v>90</v>
      </c>
      <c r="G352" s="36">
        <v>45</v>
      </c>
      <c r="H352" s="36">
        <v>52</v>
      </c>
      <c r="I352" s="37">
        <v>0</v>
      </c>
      <c r="J352" s="37">
        <v>0</v>
      </c>
    </row>
    <row r="353" spans="1:10" x14ac:dyDescent="0.25">
      <c r="A353" t="s">
        <v>1154</v>
      </c>
      <c r="B353" t="s">
        <v>1155</v>
      </c>
      <c r="C353" t="s">
        <v>101</v>
      </c>
      <c r="D353" t="s">
        <v>327</v>
      </c>
      <c r="E353" s="36">
        <v>1200</v>
      </c>
      <c r="F353" s="36">
        <v>1300</v>
      </c>
      <c r="G353" s="36">
        <v>700</v>
      </c>
      <c r="H353" s="36">
        <v>760</v>
      </c>
      <c r="I353" s="37">
        <v>0</v>
      </c>
      <c r="J353" s="37">
        <v>0</v>
      </c>
    </row>
    <row r="354" spans="1:10" x14ac:dyDescent="0.25">
      <c r="A354" t="s">
        <v>1156</v>
      </c>
      <c r="B354" t="s">
        <v>1157</v>
      </c>
      <c r="C354" t="s">
        <v>229</v>
      </c>
      <c r="D354" t="s">
        <v>327</v>
      </c>
      <c r="E354" s="36">
        <v>550</v>
      </c>
      <c r="F354" s="36">
        <v>630</v>
      </c>
      <c r="G354" s="36">
        <v>320</v>
      </c>
      <c r="H354" s="36">
        <v>370</v>
      </c>
      <c r="I354" s="37">
        <v>0</v>
      </c>
      <c r="J354" s="37">
        <v>0</v>
      </c>
    </row>
    <row r="355" spans="1:10" x14ac:dyDescent="0.25">
      <c r="A355" t="s">
        <v>1158</v>
      </c>
      <c r="B355" t="s">
        <v>1159</v>
      </c>
      <c r="C355" t="s">
        <v>101</v>
      </c>
      <c r="D355" t="s">
        <v>375</v>
      </c>
      <c r="E355" s="36">
        <v>1300</v>
      </c>
      <c r="F355" s="36">
        <v>1500</v>
      </c>
      <c r="G355" s="36">
        <v>750</v>
      </c>
      <c r="H355" s="36">
        <v>870</v>
      </c>
      <c r="I355" s="37">
        <v>0</v>
      </c>
      <c r="J355" s="37">
        <v>0</v>
      </c>
    </row>
    <row r="356" spans="1:10" x14ac:dyDescent="0.25">
      <c r="A356" t="s">
        <v>1160</v>
      </c>
      <c r="B356" t="s">
        <v>1161</v>
      </c>
      <c r="C356" t="s">
        <v>101</v>
      </c>
      <c r="D356" t="s">
        <v>375</v>
      </c>
      <c r="E356" s="36">
        <v>1700</v>
      </c>
      <c r="F356" s="36">
        <v>1950</v>
      </c>
      <c r="G356" s="36">
        <v>1000</v>
      </c>
      <c r="H356" s="36">
        <v>1150</v>
      </c>
      <c r="I356" s="37">
        <v>0</v>
      </c>
      <c r="J356" s="37">
        <v>0</v>
      </c>
    </row>
    <row r="357" spans="1:10" x14ac:dyDescent="0.25">
      <c r="A357" t="s">
        <v>1162</v>
      </c>
      <c r="B357" t="s">
        <v>1163</v>
      </c>
      <c r="C357" t="s">
        <v>101</v>
      </c>
      <c r="D357" t="s">
        <v>375</v>
      </c>
      <c r="E357" s="36">
        <v>2100</v>
      </c>
      <c r="F357" s="36">
        <v>2400</v>
      </c>
      <c r="G357" s="36">
        <v>1200</v>
      </c>
      <c r="H357" s="36">
        <v>1400</v>
      </c>
      <c r="I357" s="37">
        <v>0</v>
      </c>
      <c r="J357" s="37">
        <v>0</v>
      </c>
    </row>
    <row r="358" spans="1:10" x14ac:dyDescent="0.25">
      <c r="A358" t="s">
        <v>1164</v>
      </c>
      <c r="B358" t="s">
        <v>1165</v>
      </c>
      <c r="C358" t="s">
        <v>101</v>
      </c>
      <c r="D358" t="s">
        <v>375</v>
      </c>
      <c r="E358" s="36">
        <v>2000</v>
      </c>
      <c r="F358" s="36">
        <v>2300</v>
      </c>
      <c r="G358" s="36">
        <v>1150</v>
      </c>
      <c r="H358" s="36">
        <v>1350</v>
      </c>
      <c r="I358" s="37">
        <v>0</v>
      </c>
      <c r="J358" s="37">
        <v>0</v>
      </c>
    </row>
    <row r="359" spans="1:10" x14ac:dyDescent="0.25">
      <c r="A359" t="s">
        <v>1166</v>
      </c>
      <c r="B359" t="s">
        <v>1167</v>
      </c>
      <c r="C359" t="s">
        <v>101</v>
      </c>
      <c r="D359" t="s">
        <v>375</v>
      </c>
      <c r="E359" s="36">
        <v>2600</v>
      </c>
      <c r="F359" s="36">
        <v>3000</v>
      </c>
      <c r="G359" s="36">
        <v>1500</v>
      </c>
      <c r="H359" s="36">
        <v>1750</v>
      </c>
      <c r="I359" s="37">
        <v>0</v>
      </c>
      <c r="J359" s="37">
        <v>0</v>
      </c>
    </row>
    <row r="360" spans="1:10" x14ac:dyDescent="0.25">
      <c r="A360" t="s">
        <v>1168</v>
      </c>
      <c r="B360" t="s">
        <v>1169</v>
      </c>
      <c r="C360" t="s">
        <v>101</v>
      </c>
      <c r="D360" t="s">
        <v>375</v>
      </c>
      <c r="E360" s="36">
        <v>3200</v>
      </c>
      <c r="F360" s="36">
        <v>3700</v>
      </c>
      <c r="G360" s="36">
        <v>1850</v>
      </c>
      <c r="H360" s="36">
        <v>2150</v>
      </c>
      <c r="I360" s="37">
        <v>0</v>
      </c>
      <c r="J360" s="37">
        <v>0</v>
      </c>
    </row>
    <row r="361" spans="1:10" x14ac:dyDescent="0.25">
      <c r="A361" t="s">
        <v>1170</v>
      </c>
      <c r="B361" t="s">
        <v>1171</v>
      </c>
      <c r="C361" t="s">
        <v>101</v>
      </c>
      <c r="D361" t="s">
        <v>375</v>
      </c>
      <c r="E361" s="36">
        <v>500</v>
      </c>
      <c r="F361" s="36">
        <v>580</v>
      </c>
      <c r="G361" s="36">
        <v>290</v>
      </c>
      <c r="H361" s="36">
        <v>340</v>
      </c>
      <c r="I361" s="37">
        <v>0</v>
      </c>
      <c r="J361" s="37">
        <v>0</v>
      </c>
    </row>
    <row r="362" spans="1:10" x14ac:dyDescent="0.25">
      <c r="A362" t="s">
        <v>1172</v>
      </c>
      <c r="B362" t="s">
        <v>1173</v>
      </c>
      <c r="C362" t="s">
        <v>101</v>
      </c>
      <c r="D362" t="s">
        <v>375</v>
      </c>
      <c r="E362" s="36">
        <v>720</v>
      </c>
      <c r="F362" s="36">
        <v>864</v>
      </c>
      <c r="G362" s="36">
        <v>400</v>
      </c>
      <c r="H362" s="36">
        <v>460</v>
      </c>
      <c r="I362" s="37">
        <v>2.857142857142847E-2</v>
      </c>
      <c r="J362" s="37">
        <v>8.0000000000000071E-2</v>
      </c>
    </row>
    <row r="363" spans="1:10" x14ac:dyDescent="0.25">
      <c r="A363" t="s">
        <v>1174</v>
      </c>
      <c r="B363" t="s">
        <v>1175</v>
      </c>
      <c r="C363" t="s">
        <v>101</v>
      </c>
      <c r="D363" t="s">
        <v>375</v>
      </c>
      <c r="E363" s="36">
        <v>900</v>
      </c>
      <c r="F363" s="36">
        <v>1056</v>
      </c>
      <c r="G363" s="36">
        <v>520</v>
      </c>
      <c r="H363" s="36">
        <v>600</v>
      </c>
      <c r="I363" s="37">
        <v>0</v>
      </c>
      <c r="J363" s="37">
        <v>5.7142857142857828E-3</v>
      </c>
    </row>
    <row r="364" spans="1:10" x14ac:dyDescent="0.25">
      <c r="A364" t="s">
        <v>1176</v>
      </c>
      <c r="B364" t="s">
        <v>1177</v>
      </c>
      <c r="C364" t="s">
        <v>101</v>
      </c>
      <c r="D364" t="s">
        <v>375</v>
      </c>
      <c r="E364" s="36">
        <v>750</v>
      </c>
      <c r="F364" s="36">
        <v>864</v>
      </c>
      <c r="G364" s="36">
        <v>430</v>
      </c>
      <c r="H364" s="36">
        <v>500</v>
      </c>
      <c r="I364" s="37">
        <v>0</v>
      </c>
      <c r="J364" s="37">
        <v>4.6511627906977706E-3</v>
      </c>
    </row>
    <row r="365" spans="1:10" x14ac:dyDescent="0.25">
      <c r="A365" t="s">
        <v>1178</v>
      </c>
      <c r="B365" t="s">
        <v>1179</v>
      </c>
      <c r="C365" t="s">
        <v>101</v>
      </c>
      <c r="D365" t="s">
        <v>375</v>
      </c>
      <c r="E365" s="36">
        <v>1040</v>
      </c>
      <c r="F365" s="36">
        <v>1248</v>
      </c>
      <c r="G365" s="36">
        <v>580</v>
      </c>
      <c r="H365" s="36">
        <v>670</v>
      </c>
      <c r="I365" s="37">
        <v>4.0000000000000042E-2</v>
      </c>
      <c r="J365" s="37">
        <v>8.5217391304347911E-2</v>
      </c>
    </row>
    <row r="366" spans="1:10" x14ac:dyDescent="0.25">
      <c r="A366" t="s">
        <v>1180</v>
      </c>
      <c r="B366" t="s">
        <v>1181</v>
      </c>
      <c r="C366" t="s">
        <v>101</v>
      </c>
      <c r="D366" t="s">
        <v>375</v>
      </c>
      <c r="E366" s="36">
        <v>1300</v>
      </c>
      <c r="F366" s="36">
        <v>1536</v>
      </c>
      <c r="G366" s="36">
        <v>750</v>
      </c>
      <c r="H366" s="36">
        <v>870</v>
      </c>
      <c r="I366" s="37">
        <v>0</v>
      </c>
      <c r="J366" s="37">
        <v>2.4000000000000021E-2</v>
      </c>
    </row>
    <row r="367" spans="1:10" x14ac:dyDescent="0.25">
      <c r="A367" t="s">
        <v>1182</v>
      </c>
      <c r="B367" t="s">
        <v>1183</v>
      </c>
      <c r="C367" t="s">
        <v>229</v>
      </c>
      <c r="D367" t="s">
        <v>327</v>
      </c>
      <c r="E367" s="36">
        <v>900</v>
      </c>
      <c r="F367" s="36">
        <v>1050</v>
      </c>
      <c r="G367" s="36">
        <v>520</v>
      </c>
      <c r="H367" s="36">
        <v>600</v>
      </c>
      <c r="I367" s="37">
        <v>0</v>
      </c>
      <c r="J367" s="37">
        <v>0</v>
      </c>
    </row>
    <row r="368" spans="1:10" x14ac:dyDescent="0.25">
      <c r="A368" t="s">
        <v>1184</v>
      </c>
      <c r="B368" t="s">
        <v>1185</v>
      </c>
      <c r="C368" t="s">
        <v>229</v>
      </c>
      <c r="D368" t="s">
        <v>327</v>
      </c>
      <c r="E368" s="36">
        <v>1400</v>
      </c>
      <c r="F368" s="36">
        <v>1600</v>
      </c>
      <c r="G368" s="36">
        <v>800</v>
      </c>
      <c r="H368" s="36">
        <v>920</v>
      </c>
      <c r="I368" s="37">
        <v>0</v>
      </c>
      <c r="J368" s="37">
        <v>0</v>
      </c>
    </row>
    <row r="369" spans="1:10" x14ac:dyDescent="0.25">
      <c r="A369" t="s">
        <v>1186</v>
      </c>
      <c r="B369" t="s">
        <v>1187</v>
      </c>
      <c r="C369" t="s">
        <v>89</v>
      </c>
      <c r="D369" t="s">
        <v>327</v>
      </c>
      <c r="E369" s="36">
        <v>70</v>
      </c>
      <c r="F369" s="36">
        <v>80</v>
      </c>
      <c r="G369" s="36">
        <v>40</v>
      </c>
      <c r="H369" s="36">
        <v>46</v>
      </c>
      <c r="I369" s="37">
        <v>0</v>
      </c>
      <c r="J369" s="37">
        <v>0</v>
      </c>
    </row>
    <row r="370" spans="1:10" x14ac:dyDescent="0.25">
      <c r="A370" t="s">
        <v>1188</v>
      </c>
      <c r="B370" t="s">
        <v>1189</v>
      </c>
      <c r="C370" t="s">
        <v>89</v>
      </c>
      <c r="D370" t="s">
        <v>327</v>
      </c>
      <c r="E370" s="36">
        <v>45</v>
      </c>
      <c r="F370" s="36">
        <v>52</v>
      </c>
      <c r="G370" s="36">
        <v>25</v>
      </c>
      <c r="H370" s="36">
        <v>29</v>
      </c>
      <c r="I370" s="37">
        <v>0</v>
      </c>
      <c r="J370" s="37">
        <v>0</v>
      </c>
    </row>
    <row r="371" spans="1:10" x14ac:dyDescent="0.25">
      <c r="A371" t="s">
        <v>1190</v>
      </c>
      <c r="B371" t="s">
        <v>1191</v>
      </c>
      <c r="C371" t="s">
        <v>539</v>
      </c>
      <c r="D371" t="s">
        <v>327</v>
      </c>
      <c r="E371" s="36">
        <v>6500</v>
      </c>
      <c r="F371" s="36">
        <v>7500</v>
      </c>
      <c r="G371" s="36">
        <v>3800</v>
      </c>
      <c r="H371" s="36">
        <v>4400</v>
      </c>
      <c r="I371" s="37">
        <v>0</v>
      </c>
      <c r="J371" s="37">
        <v>0</v>
      </c>
    </row>
    <row r="372" spans="1:10" x14ac:dyDescent="0.25">
      <c r="A372" t="s">
        <v>1192</v>
      </c>
      <c r="B372" t="s">
        <v>1193</v>
      </c>
      <c r="C372" t="s">
        <v>539</v>
      </c>
      <c r="D372" t="s">
        <v>327</v>
      </c>
      <c r="E372" s="36">
        <v>4000</v>
      </c>
      <c r="F372" s="36">
        <v>4600</v>
      </c>
      <c r="G372" s="36">
        <v>2300</v>
      </c>
      <c r="H372" s="36">
        <v>2650</v>
      </c>
      <c r="I372" s="37">
        <v>0</v>
      </c>
      <c r="J372" s="37">
        <v>0</v>
      </c>
    </row>
    <row r="373" spans="1:10" x14ac:dyDescent="0.25">
      <c r="A373" t="s">
        <v>1194</v>
      </c>
      <c r="B373" t="s">
        <v>1195</v>
      </c>
      <c r="C373" t="s">
        <v>101</v>
      </c>
      <c r="D373" t="s">
        <v>327</v>
      </c>
      <c r="E373" s="36">
        <v>600</v>
      </c>
      <c r="F373" s="36">
        <v>700</v>
      </c>
      <c r="G373" s="36">
        <v>350</v>
      </c>
      <c r="H373" s="36">
        <v>400</v>
      </c>
      <c r="I373" s="37">
        <v>0</v>
      </c>
      <c r="J373" s="37">
        <v>0</v>
      </c>
    </row>
    <row r="374" spans="1:10" x14ac:dyDescent="0.25">
      <c r="A374" t="s">
        <v>1196</v>
      </c>
      <c r="B374" t="s">
        <v>1197</v>
      </c>
      <c r="C374" t="s">
        <v>243</v>
      </c>
      <c r="D374" t="s">
        <v>1198</v>
      </c>
      <c r="E374" s="36">
        <v>1350</v>
      </c>
      <c r="F374" s="36">
        <v>1750</v>
      </c>
      <c r="G374" s="36">
        <v>1100</v>
      </c>
      <c r="H374" s="36">
        <v>1400</v>
      </c>
      <c r="I374" s="37">
        <v>0</v>
      </c>
      <c r="J374" s="37">
        <v>0</v>
      </c>
    </row>
    <row r="375" spans="1:10" x14ac:dyDescent="0.25">
      <c r="A375" t="s">
        <v>1199</v>
      </c>
      <c r="B375" t="s">
        <v>1200</v>
      </c>
      <c r="C375" t="s">
        <v>539</v>
      </c>
      <c r="D375" t="s">
        <v>327</v>
      </c>
      <c r="E375" s="36">
        <v>2200</v>
      </c>
      <c r="F375" s="36">
        <v>2500</v>
      </c>
      <c r="G375" s="36">
        <v>1300</v>
      </c>
      <c r="H375" s="36">
        <v>1500</v>
      </c>
      <c r="I375" s="37">
        <v>0</v>
      </c>
      <c r="J375" s="37">
        <v>0</v>
      </c>
    </row>
    <row r="376" spans="1:10" x14ac:dyDescent="0.25">
      <c r="A376" t="s">
        <v>1201</v>
      </c>
      <c r="B376" t="s">
        <v>1202</v>
      </c>
      <c r="C376" t="s">
        <v>539</v>
      </c>
      <c r="D376" t="s">
        <v>327</v>
      </c>
      <c r="E376" s="36">
        <v>1400</v>
      </c>
      <c r="F376" s="36">
        <v>1600</v>
      </c>
      <c r="G376" s="36">
        <v>800</v>
      </c>
      <c r="H376" s="36">
        <v>920</v>
      </c>
      <c r="I376" s="37">
        <v>0</v>
      </c>
      <c r="J376" s="37">
        <v>0</v>
      </c>
    </row>
    <row r="377" spans="1:10" x14ac:dyDescent="0.25">
      <c r="A377" t="s">
        <v>1203</v>
      </c>
      <c r="B377" t="s">
        <v>1204</v>
      </c>
      <c r="C377" t="s">
        <v>89</v>
      </c>
      <c r="D377" t="s">
        <v>347</v>
      </c>
      <c r="E377" s="36">
        <v>351</v>
      </c>
      <c r="F377" s="36">
        <v>420</v>
      </c>
      <c r="G377" s="36">
        <v>170</v>
      </c>
      <c r="H377" s="36">
        <v>200</v>
      </c>
      <c r="I377" s="37">
        <v>0.1699999999999999</v>
      </c>
      <c r="J377" s="37">
        <v>0.2</v>
      </c>
    </row>
    <row r="378" spans="1:10" x14ac:dyDescent="0.25">
      <c r="A378" t="s">
        <v>1205</v>
      </c>
      <c r="B378" t="s">
        <v>1206</v>
      </c>
      <c r="C378" t="s">
        <v>243</v>
      </c>
      <c r="D378" t="s">
        <v>327</v>
      </c>
      <c r="E378" s="36">
        <v>2500</v>
      </c>
      <c r="F378" s="36">
        <v>2900</v>
      </c>
      <c r="G378" s="36">
        <v>1500</v>
      </c>
      <c r="H378" s="36">
        <v>1700</v>
      </c>
      <c r="I378" s="37">
        <v>0</v>
      </c>
      <c r="J378" s="37">
        <v>0</v>
      </c>
    </row>
    <row r="379" spans="1:10" x14ac:dyDescent="0.25">
      <c r="A379" t="s">
        <v>1207</v>
      </c>
      <c r="B379" t="s">
        <v>1208</v>
      </c>
      <c r="C379" t="s">
        <v>89</v>
      </c>
      <c r="D379" t="s">
        <v>327</v>
      </c>
      <c r="E379" s="36">
        <v>220</v>
      </c>
      <c r="F379" s="36">
        <v>250</v>
      </c>
      <c r="G379" s="36">
        <v>130</v>
      </c>
      <c r="H379" s="36">
        <v>150</v>
      </c>
      <c r="I379" s="37">
        <v>0</v>
      </c>
      <c r="J379" s="37">
        <v>0</v>
      </c>
    </row>
    <row r="380" spans="1:10" x14ac:dyDescent="0.25">
      <c r="A380" t="s">
        <v>1209</v>
      </c>
      <c r="B380" t="s">
        <v>1210</v>
      </c>
      <c r="C380" t="s">
        <v>1211</v>
      </c>
      <c r="D380" t="s">
        <v>1198</v>
      </c>
      <c r="E380" s="36">
        <v>900</v>
      </c>
      <c r="F380" s="36">
        <v>1000</v>
      </c>
      <c r="G380" s="36">
        <v>750</v>
      </c>
      <c r="H380" s="36">
        <v>850</v>
      </c>
      <c r="I380" s="37">
        <v>0</v>
      </c>
      <c r="J380" s="37">
        <v>0</v>
      </c>
    </row>
    <row r="381" spans="1:10" x14ac:dyDescent="0.25">
      <c r="A381" t="s">
        <v>1212</v>
      </c>
      <c r="B381" t="s">
        <v>1213</v>
      </c>
      <c r="C381" t="s">
        <v>101</v>
      </c>
      <c r="D381" t="s">
        <v>379</v>
      </c>
      <c r="E381" s="36">
        <v>700</v>
      </c>
      <c r="F381" s="36">
        <v>800</v>
      </c>
      <c r="G381" s="36">
        <v>400</v>
      </c>
      <c r="H381" s="36">
        <v>460</v>
      </c>
      <c r="I381" s="37">
        <v>0</v>
      </c>
      <c r="J381" s="37">
        <v>0</v>
      </c>
    </row>
    <row r="382" spans="1:10" x14ac:dyDescent="0.25">
      <c r="A382" t="s">
        <v>1214</v>
      </c>
      <c r="B382" t="s">
        <v>1215</v>
      </c>
      <c r="C382" t="s">
        <v>101</v>
      </c>
      <c r="D382" t="s">
        <v>327</v>
      </c>
      <c r="E382" s="36">
        <v>5000</v>
      </c>
      <c r="F382" s="36">
        <v>5800</v>
      </c>
      <c r="G382" s="36">
        <v>3000</v>
      </c>
      <c r="H382" s="36">
        <v>3450</v>
      </c>
      <c r="I382" s="37">
        <v>0</v>
      </c>
      <c r="J382" s="37">
        <v>0</v>
      </c>
    </row>
    <row r="383" spans="1:10" x14ac:dyDescent="0.25">
      <c r="A383" t="s">
        <v>1216</v>
      </c>
      <c r="B383" t="s">
        <v>1217</v>
      </c>
      <c r="C383" t="s">
        <v>101</v>
      </c>
      <c r="D383" t="s">
        <v>327</v>
      </c>
      <c r="E383" s="36">
        <v>1800</v>
      </c>
      <c r="F383" s="36">
        <v>2050</v>
      </c>
      <c r="G383" s="36">
        <v>1000</v>
      </c>
      <c r="H383" s="36">
        <v>1150</v>
      </c>
      <c r="I383" s="37">
        <v>0</v>
      </c>
      <c r="J383" s="37">
        <v>0</v>
      </c>
    </row>
    <row r="384" spans="1:10" x14ac:dyDescent="0.25">
      <c r="A384" t="s">
        <v>1218</v>
      </c>
      <c r="B384" t="s">
        <v>1219</v>
      </c>
      <c r="C384" t="s">
        <v>1220</v>
      </c>
      <c r="D384" t="s">
        <v>1198</v>
      </c>
      <c r="E384" s="36">
        <v>20000</v>
      </c>
      <c r="F384" s="36">
        <v>24000</v>
      </c>
      <c r="G384" s="36">
        <v>17000</v>
      </c>
      <c r="H384" s="36">
        <v>20000</v>
      </c>
      <c r="I384" s="37">
        <v>0</v>
      </c>
      <c r="J384" s="37">
        <v>0</v>
      </c>
    </row>
    <row r="385" spans="1:10" x14ac:dyDescent="0.25">
      <c r="A385" t="s">
        <v>1221</v>
      </c>
      <c r="B385" t="s">
        <v>1222</v>
      </c>
      <c r="C385" t="s">
        <v>89</v>
      </c>
      <c r="D385" t="s">
        <v>359</v>
      </c>
      <c r="E385" s="36">
        <v>70</v>
      </c>
      <c r="F385" s="36">
        <v>85</v>
      </c>
      <c r="G385" s="36">
        <v>40</v>
      </c>
      <c r="H385" s="36">
        <v>48</v>
      </c>
      <c r="I385" s="37">
        <v>0</v>
      </c>
      <c r="J385" s="37">
        <v>0</v>
      </c>
    </row>
    <row r="386" spans="1:10" x14ac:dyDescent="0.25">
      <c r="A386" t="s">
        <v>1223</v>
      </c>
      <c r="B386" t="s">
        <v>1224</v>
      </c>
      <c r="C386" t="s">
        <v>89</v>
      </c>
      <c r="D386" t="s">
        <v>327</v>
      </c>
      <c r="E386" s="36">
        <v>90</v>
      </c>
      <c r="F386" s="36">
        <v>105</v>
      </c>
      <c r="G386" s="36">
        <v>50</v>
      </c>
      <c r="H386" s="36">
        <v>58</v>
      </c>
      <c r="I386" s="37">
        <v>0</v>
      </c>
      <c r="J386" s="37">
        <v>0</v>
      </c>
    </row>
    <row r="387" spans="1:10" x14ac:dyDescent="0.25">
      <c r="A387" t="s">
        <v>1225</v>
      </c>
      <c r="B387" t="s">
        <v>1226</v>
      </c>
      <c r="C387" t="s">
        <v>101</v>
      </c>
      <c r="D387" t="s">
        <v>363</v>
      </c>
      <c r="E387" s="36">
        <v>1500</v>
      </c>
      <c r="F387" s="36">
        <v>1700</v>
      </c>
      <c r="G387" s="36">
        <v>850</v>
      </c>
      <c r="H387" s="36">
        <v>980</v>
      </c>
      <c r="I387" s="37">
        <v>0</v>
      </c>
      <c r="J387" s="37">
        <v>0</v>
      </c>
    </row>
    <row r="388" spans="1:10" x14ac:dyDescent="0.25">
      <c r="A388" t="s">
        <v>1227</v>
      </c>
      <c r="B388" t="s">
        <v>1228</v>
      </c>
      <c r="C388" t="s">
        <v>229</v>
      </c>
      <c r="D388" t="s">
        <v>327</v>
      </c>
      <c r="E388" s="36">
        <v>550</v>
      </c>
      <c r="F388" s="36">
        <v>630</v>
      </c>
      <c r="G388" s="36">
        <v>320</v>
      </c>
      <c r="H388" s="36">
        <v>370</v>
      </c>
      <c r="I388" s="37">
        <v>0</v>
      </c>
      <c r="J388" s="37">
        <v>0</v>
      </c>
    </row>
    <row r="389" spans="1:10" x14ac:dyDescent="0.25">
      <c r="A389" t="s">
        <v>1229</v>
      </c>
      <c r="B389" t="s">
        <v>1230</v>
      </c>
      <c r="C389" t="s">
        <v>1231</v>
      </c>
      <c r="D389" t="s">
        <v>1198</v>
      </c>
      <c r="E389" s="36">
        <v>3500</v>
      </c>
      <c r="F389" s="36">
        <v>4000</v>
      </c>
      <c r="G389" s="36">
        <v>3000</v>
      </c>
      <c r="H389" s="36">
        <v>3400</v>
      </c>
      <c r="I389" s="37">
        <v>0</v>
      </c>
      <c r="J389" s="37">
        <v>0</v>
      </c>
    </row>
    <row r="390" spans="1:10" x14ac:dyDescent="0.25">
      <c r="A390" t="s">
        <v>1232</v>
      </c>
      <c r="B390" t="s">
        <v>1233</v>
      </c>
      <c r="C390" t="s">
        <v>1231</v>
      </c>
      <c r="D390" t="s">
        <v>1198</v>
      </c>
      <c r="E390" s="36">
        <v>5500</v>
      </c>
      <c r="F390" s="36">
        <v>6300</v>
      </c>
      <c r="G390" s="36">
        <v>4700</v>
      </c>
      <c r="H390" s="36">
        <v>5400</v>
      </c>
      <c r="I390" s="37">
        <v>0</v>
      </c>
      <c r="J390" s="37">
        <v>0</v>
      </c>
    </row>
    <row r="391" spans="1:10" x14ac:dyDescent="0.25">
      <c r="A391" t="s">
        <v>1234</v>
      </c>
      <c r="B391" t="s">
        <v>1235</v>
      </c>
      <c r="C391" t="s">
        <v>1231</v>
      </c>
      <c r="D391" t="s">
        <v>1198</v>
      </c>
      <c r="E391" s="36">
        <v>8500</v>
      </c>
      <c r="F391" s="36">
        <v>9800</v>
      </c>
      <c r="G391" s="36">
        <v>7200</v>
      </c>
      <c r="H391" s="36">
        <v>8300</v>
      </c>
      <c r="I391" s="37">
        <v>0</v>
      </c>
      <c r="J391" s="37">
        <v>0</v>
      </c>
    </row>
    <row r="392" spans="1:10" x14ac:dyDescent="0.25">
      <c r="A392" t="s">
        <v>1236</v>
      </c>
      <c r="B392" t="s">
        <v>1237</v>
      </c>
      <c r="C392" t="s">
        <v>1231</v>
      </c>
      <c r="D392" t="s">
        <v>1198</v>
      </c>
      <c r="E392" s="36">
        <v>11000</v>
      </c>
      <c r="F392" s="36">
        <v>12700</v>
      </c>
      <c r="G392" s="36">
        <v>9400</v>
      </c>
      <c r="H392" s="36">
        <v>10800</v>
      </c>
      <c r="I392" s="37">
        <v>0</v>
      </c>
      <c r="J392" s="37">
        <v>0</v>
      </c>
    </row>
    <row r="393" spans="1:10" x14ac:dyDescent="0.25">
      <c r="A393" t="s">
        <v>1238</v>
      </c>
      <c r="B393" t="s">
        <v>1239</v>
      </c>
      <c r="C393" t="s">
        <v>1231</v>
      </c>
      <c r="D393" t="s">
        <v>1198</v>
      </c>
      <c r="E393" s="36">
        <v>4500</v>
      </c>
      <c r="F393" s="36">
        <v>5200</v>
      </c>
      <c r="G393" s="36">
        <v>3800</v>
      </c>
      <c r="H393" s="36">
        <v>4400</v>
      </c>
      <c r="I393" s="37">
        <v>0</v>
      </c>
      <c r="J393" s="37">
        <v>0</v>
      </c>
    </row>
    <row r="394" spans="1:10" x14ac:dyDescent="0.25">
      <c r="A394" t="s">
        <v>1240</v>
      </c>
      <c r="B394" t="s">
        <v>1241</v>
      </c>
      <c r="C394" t="s">
        <v>1231</v>
      </c>
      <c r="D394" t="s">
        <v>1198</v>
      </c>
      <c r="E394" s="36">
        <v>7500</v>
      </c>
      <c r="F394" s="36">
        <v>8600</v>
      </c>
      <c r="G394" s="36">
        <v>6400</v>
      </c>
      <c r="H394" s="36">
        <v>7300</v>
      </c>
      <c r="I394" s="37">
        <v>0</v>
      </c>
      <c r="J394" s="37">
        <v>0</v>
      </c>
    </row>
    <row r="395" spans="1:10" x14ac:dyDescent="0.25">
      <c r="A395" t="s">
        <v>1242</v>
      </c>
      <c r="B395" t="s">
        <v>1243</v>
      </c>
      <c r="C395" t="s">
        <v>1231</v>
      </c>
      <c r="D395" t="s">
        <v>1198</v>
      </c>
      <c r="E395" s="36">
        <v>11000</v>
      </c>
      <c r="F395" s="36">
        <v>12700</v>
      </c>
      <c r="G395" s="36">
        <v>9400</v>
      </c>
      <c r="H395" s="36">
        <v>10800</v>
      </c>
      <c r="I395" s="37">
        <v>0</v>
      </c>
      <c r="J395" s="37">
        <v>0</v>
      </c>
    </row>
    <row r="396" spans="1:10" x14ac:dyDescent="0.25">
      <c r="A396" t="s">
        <v>1244</v>
      </c>
      <c r="B396" t="s">
        <v>1245</v>
      </c>
      <c r="C396" t="s">
        <v>1231</v>
      </c>
      <c r="D396" t="s">
        <v>1198</v>
      </c>
      <c r="E396" s="36">
        <v>14000</v>
      </c>
      <c r="F396" s="36">
        <v>16100</v>
      </c>
      <c r="G396" s="36">
        <v>11900</v>
      </c>
      <c r="H396" s="36">
        <v>13700</v>
      </c>
      <c r="I396" s="37">
        <v>0</v>
      </c>
      <c r="J396" s="37">
        <v>0</v>
      </c>
    </row>
    <row r="397" spans="1:10" x14ac:dyDescent="0.25">
      <c r="A397" t="s">
        <v>1246</v>
      </c>
      <c r="B397" t="s">
        <v>1247</v>
      </c>
      <c r="C397" t="s">
        <v>1231</v>
      </c>
      <c r="D397" t="s">
        <v>1198</v>
      </c>
      <c r="E397" s="36">
        <v>6000</v>
      </c>
      <c r="F397" s="36">
        <v>6900</v>
      </c>
      <c r="G397" s="36">
        <v>5100</v>
      </c>
      <c r="H397" s="36">
        <v>5900</v>
      </c>
      <c r="I397" s="37">
        <v>0</v>
      </c>
      <c r="J397" s="37">
        <v>0</v>
      </c>
    </row>
    <row r="398" spans="1:10" x14ac:dyDescent="0.25">
      <c r="A398" t="s">
        <v>1248</v>
      </c>
      <c r="B398" t="s">
        <v>1249</v>
      </c>
      <c r="C398" t="s">
        <v>1231</v>
      </c>
      <c r="D398" t="s">
        <v>1198</v>
      </c>
      <c r="E398" s="36">
        <v>9500</v>
      </c>
      <c r="F398" s="36">
        <v>10900</v>
      </c>
      <c r="G398" s="36">
        <v>8100</v>
      </c>
      <c r="H398" s="36">
        <v>9300</v>
      </c>
      <c r="I398" s="37">
        <v>0</v>
      </c>
      <c r="J398" s="37">
        <v>0</v>
      </c>
    </row>
    <row r="399" spans="1:10" x14ac:dyDescent="0.25">
      <c r="A399" t="s">
        <v>1250</v>
      </c>
      <c r="B399" t="s">
        <v>1251</v>
      </c>
      <c r="C399" t="s">
        <v>1231</v>
      </c>
      <c r="D399" t="s">
        <v>1198</v>
      </c>
      <c r="E399" s="36">
        <v>14000</v>
      </c>
      <c r="F399" s="36">
        <v>16100</v>
      </c>
      <c r="G399" s="36">
        <v>11900</v>
      </c>
      <c r="H399" s="36">
        <v>13700</v>
      </c>
      <c r="I399" s="37">
        <v>0</v>
      </c>
      <c r="J399" s="37">
        <v>0</v>
      </c>
    </row>
    <row r="400" spans="1:10" x14ac:dyDescent="0.25">
      <c r="A400" t="s">
        <v>1252</v>
      </c>
      <c r="B400" t="s">
        <v>1253</v>
      </c>
      <c r="C400" t="s">
        <v>1231</v>
      </c>
      <c r="D400" t="s">
        <v>1198</v>
      </c>
      <c r="E400" s="36">
        <v>17500</v>
      </c>
      <c r="F400" s="36">
        <v>20100</v>
      </c>
      <c r="G400" s="36">
        <v>14900</v>
      </c>
      <c r="H400" s="36">
        <v>17100</v>
      </c>
      <c r="I400" s="37">
        <v>0</v>
      </c>
      <c r="J400" s="37">
        <v>0</v>
      </c>
    </row>
    <row r="401" spans="1:10" x14ac:dyDescent="0.25">
      <c r="A401" t="s">
        <v>1254</v>
      </c>
      <c r="B401" t="s">
        <v>1255</v>
      </c>
      <c r="C401" t="s">
        <v>1231</v>
      </c>
      <c r="D401" t="s">
        <v>1198</v>
      </c>
      <c r="E401" s="36">
        <v>8500</v>
      </c>
      <c r="F401" s="36">
        <v>9800</v>
      </c>
      <c r="G401" s="36">
        <v>7200</v>
      </c>
      <c r="H401" s="36">
        <v>8300</v>
      </c>
      <c r="I401" s="37">
        <v>0</v>
      </c>
      <c r="J401" s="37">
        <v>0</v>
      </c>
    </row>
    <row r="402" spans="1:10" x14ac:dyDescent="0.25">
      <c r="A402" t="s">
        <v>1256</v>
      </c>
      <c r="B402" t="s">
        <v>1257</v>
      </c>
      <c r="C402" t="s">
        <v>1231</v>
      </c>
      <c r="D402" t="s">
        <v>1198</v>
      </c>
      <c r="E402" s="36">
        <v>13000</v>
      </c>
      <c r="F402" s="36">
        <v>15000</v>
      </c>
      <c r="G402" s="36">
        <v>11000</v>
      </c>
      <c r="H402" s="36">
        <v>12700</v>
      </c>
      <c r="I402" s="37">
        <v>0</v>
      </c>
      <c r="J402" s="37">
        <v>0</v>
      </c>
    </row>
    <row r="403" spans="1:10" x14ac:dyDescent="0.25">
      <c r="A403" t="s">
        <v>1258</v>
      </c>
      <c r="B403" t="s">
        <v>1259</v>
      </c>
      <c r="C403" t="s">
        <v>1231</v>
      </c>
      <c r="D403" t="s">
        <v>1198</v>
      </c>
      <c r="E403" s="36">
        <v>18500</v>
      </c>
      <c r="F403" s="36">
        <v>21300</v>
      </c>
      <c r="G403" s="36">
        <v>15700</v>
      </c>
      <c r="H403" s="36">
        <v>18100</v>
      </c>
      <c r="I403" s="37">
        <v>0</v>
      </c>
      <c r="J403" s="37">
        <v>0</v>
      </c>
    </row>
    <row r="404" spans="1:10" x14ac:dyDescent="0.25">
      <c r="A404" t="s">
        <v>1260</v>
      </c>
      <c r="B404" t="s">
        <v>1261</v>
      </c>
      <c r="C404" t="s">
        <v>1231</v>
      </c>
      <c r="D404" t="s">
        <v>1198</v>
      </c>
      <c r="E404" s="36">
        <v>23000</v>
      </c>
      <c r="F404" s="36">
        <v>26500</v>
      </c>
      <c r="G404" s="36">
        <v>19500</v>
      </c>
      <c r="H404" s="36">
        <v>22500</v>
      </c>
      <c r="I404" s="37">
        <v>0</v>
      </c>
      <c r="J404" s="37">
        <v>0</v>
      </c>
    </row>
    <row r="405" spans="1:10" x14ac:dyDescent="0.25">
      <c r="A405" t="s">
        <v>1262</v>
      </c>
      <c r="B405" t="s">
        <v>1263</v>
      </c>
      <c r="C405" t="s">
        <v>1231</v>
      </c>
      <c r="D405" t="s">
        <v>327</v>
      </c>
      <c r="E405" s="36">
        <v>3500</v>
      </c>
      <c r="F405" s="36">
        <v>4000</v>
      </c>
      <c r="G405" s="36">
        <v>2000</v>
      </c>
      <c r="H405" s="36">
        <v>2300</v>
      </c>
      <c r="I405" s="37">
        <v>0</v>
      </c>
      <c r="J405" s="37">
        <v>0</v>
      </c>
    </row>
    <row r="406" spans="1:10" x14ac:dyDescent="0.25">
      <c r="A406" t="s">
        <v>1264</v>
      </c>
      <c r="B406" t="s">
        <v>1265</v>
      </c>
      <c r="C406" t="s">
        <v>1231</v>
      </c>
      <c r="D406" t="s">
        <v>327</v>
      </c>
      <c r="E406" s="36">
        <v>5000</v>
      </c>
      <c r="F406" s="36">
        <v>5800</v>
      </c>
      <c r="G406" s="36">
        <v>2900</v>
      </c>
      <c r="H406" s="36">
        <v>3350</v>
      </c>
      <c r="I406" s="37">
        <v>0</v>
      </c>
      <c r="J406" s="37">
        <v>0</v>
      </c>
    </row>
    <row r="407" spans="1:10" x14ac:dyDescent="0.25">
      <c r="A407" t="s">
        <v>1266</v>
      </c>
      <c r="B407" t="s">
        <v>1267</v>
      </c>
      <c r="C407" t="s">
        <v>1231</v>
      </c>
      <c r="D407" t="s">
        <v>327</v>
      </c>
      <c r="E407" s="36">
        <v>7000</v>
      </c>
      <c r="F407" s="36">
        <v>8000</v>
      </c>
      <c r="G407" s="36">
        <v>4000</v>
      </c>
      <c r="H407" s="36">
        <v>4600</v>
      </c>
      <c r="I407" s="37">
        <v>0</v>
      </c>
      <c r="J407" s="37">
        <v>0</v>
      </c>
    </row>
    <row r="408" spans="1:10" x14ac:dyDescent="0.25">
      <c r="A408" t="s">
        <v>1268</v>
      </c>
      <c r="B408" t="s">
        <v>1269</v>
      </c>
      <c r="C408" t="s">
        <v>1231</v>
      </c>
      <c r="D408" t="s">
        <v>327</v>
      </c>
      <c r="E408" s="36">
        <v>9000</v>
      </c>
      <c r="F408" s="36">
        <v>10300</v>
      </c>
      <c r="G408" s="36">
        <v>5200</v>
      </c>
      <c r="H408" s="36">
        <v>6000</v>
      </c>
      <c r="I408" s="37">
        <v>0</v>
      </c>
      <c r="J408" s="37">
        <v>0</v>
      </c>
    </row>
    <row r="409" spans="1:10" x14ac:dyDescent="0.25">
      <c r="A409" t="s">
        <v>1270</v>
      </c>
      <c r="B409" t="s">
        <v>1271</v>
      </c>
      <c r="C409" t="s">
        <v>1272</v>
      </c>
      <c r="D409" t="s">
        <v>327</v>
      </c>
      <c r="E409" s="36">
        <v>1500</v>
      </c>
      <c r="F409" s="36">
        <v>1800</v>
      </c>
      <c r="G409" s="36">
        <v>750</v>
      </c>
      <c r="H409" s="36">
        <v>850</v>
      </c>
      <c r="I409" s="37">
        <v>0</v>
      </c>
      <c r="J409" s="37">
        <v>0</v>
      </c>
    </row>
    <row r="410" spans="1:10" x14ac:dyDescent="0.25">
      <c r="A410" t="s">
        <v>1273</v>
      </c>
      <c r="B410" t="s">
        <v>1274</v>
      </c>
      <c r="C410" t="s">
        <v>101</v>
      </c>
      <c r="D410" t="s">
        <v>394</v>
      </c>
      <c r="E410" s="36">
        <v>4000</v>
      </c>
      <c r="F410" s="36">
        <v>4800</v>
      </c>
      <c r="G410" s="36">
        <v>1500</v>
      </c>
      <c r="H410" s="36">
        <v>1700</v>
      </c>
      <c r="I410" s="37">
        <v>0.60000000000000009</v>
      </c>
      <c r="J410" s="37">
        <v>0.65517241379310343</v>
      </c>
    </row>
    <row r="411" spans="1:10" x14ac:dyDescent="0.25">
      <c r="A411" t="s">
        <v>1275</v>
      </c>
      <c r="B411" t="s">
        <v>1276</v>
      </c>
      <c r="C411" t="s">
        <v>89</v>
      </c>
      <c r="D411" t="s">
        <v>327</v>
      </c>
      <c r="E411" s="36">
        <v>600</v>
      </c>
      <c r="F411" s="36">
        <v>700</v>
      </c>
      <c r="G411" s="36">
        <v>350</v>
      </c>
      <c r="H411" s="36">
        <v>400</v>
      </c>
      <c r="I411" s="37">
        <v>0</v>
      </c>
      <c r="J411" s="37">
        <v>0</v>
      </c>
    </row>
    <row r="412" spans="1:10" x14ac:dyDescent="0.25">
      <c r="A412" t="s">
        <v>1277</v>
      </c>
      <c r="B412" t="s">
        <v>1278</v>
      </c>
      <c r="C412" t="s">
        <v>101</v>
      </c>
      <c r="D412" t="s">
        <v>394</v>
      </c>
      <c r="E412" s="36">
        <v>500</v>
      </c>
      <c r="F412" s="36">
        <v>600</v>
      </c>
      <c r="G412" s="36">
        <v>140</v>
      </c>
      <c r="H412" s="36">
        <v>160</v>
      </c>
      <c r="I412" s="37">
        <v>1</v>
      </c>
      <c r="J412" s="37">
        <v>1.068965517241379</v>
      </c>
    </row>
    <row r="413" spans="1:10" x14ac:dyDescent="0.25">
      <c r="A413" t="s">
        <v>1279</v>
      </c>
      <c r="B413" t="s">
        <v>1280</v>
      </c>
      <c r="C413" t="s">
        <v>101</v>
      </c>
      <c r="D413" t="s">
        <v>394</v>
      </c>
      <c r="E413" s="36">
        <v>600</v>
      </c>
      <c r="F413" s="36">
        <v>720</v>
      </c>
      <c r="G413" s="36">
        <v>200</v>
      </c>
      <c r="H413" s="36">
        <v>230</v>
      </c>
      <c r="I413" s="37">
        <v>0.71428571428571419</v>
      </c>
      <c r="J413" s="37">
        <v>0.8</v>
      </c>
    </row>
    <row r="414" spans="1:10" x14ac:dyDescent="0.25">
      <c r="A414" t="s">
        <v>1281</v>
      </c>
      <c r="B414" t="s">
        <v>1282</v>
      </c>
      <c r="C414" t="s">
        <v>101</v>
      </c>
      <c r="D414" t="s">
        <v>394</v>
      </c>
      <c r="E414" s="36">
        <v>7000</v>
      </c>
      <c r="F414" s="36">
        <v>8400</v>
      </c>
      <c r="G414" s="36">
        <v>2600</v>
      </c>
      <c r="H414" s="36">
        <v>3000</v>
      </c>
      <c r="I414" s="37">
        <v>0.55555555555555558</v>
      </c>
      <c r="J414" s="37">
        <v>0.61538461538461542</v>
      </c>
    </row>
    <row r="415" spans="1:10" x14ac:dyDescent="0.25">
      <c r="A415" t="s">
        <v>1283</v>
      </c>
      <c r="B415" t="s">
        <v>1284</v>
      </c>
      <c r="C415" t="s">
        <v>101</v>
      </c>
      <c r="D415" t="s">
        <v>394</v>
      </c>
      <c r="E415" s="36">
        <v>700</v>
      </c>
      <c r="F415" s="36">
        <v>840</v>
      </c>
      <c r="G415" s="36">
        <v>230</v>
      </c>
      <c r="H415" s="36">
        <v>265</v>
      </c>
      <c r="I415" s="37">
        <v>0.75</v>
      </c>
      <c r="J415" s="37">
        <v>0.82608695652173902</v>
      </c>
    </row>
    <row r="416" spans="1:10" x14ac:dyDescent="0.25">
      <c r="A416" t="s">
        <v>1285</v>
      </c>
      <c r="B416" t="s">
        <v>1286</v>
      </c>
      <c r="C416" t="s">
        <v>101</v>
      </c>
      <c r="D416" t="s">
        <v>394</v>
      </c>
      <c r="E416" s="36">
        <v>1200</v>
      </c>
      <c r="F416" s="36">
        <v>1440</v>
      </c>
      <c r="G416" s="36">
        <v>430</v>
      </c>
      <c r="H416" s="36">
        <v>500</v>
      </c>
      <c r="I416" s="37">
        <v>0.60000000000000009</v>
      </c>
      <c r="J416" s="37">
        <v>0.67441860465116288</v>
      </c>
    </row>
    <row r="417" spans="1:10" x14ac:dyDescent="0.25">
      <c r="A417" t="s">
        <v>1287</v>
      </c>
      <c r="B417" t="s">
        <v>1288</v>
      </c>
      <c r="C417" t="s">
        <v>1289</v>
      </c>
      <c r="D417" t="s">
        <v>327</v>
      </c>
      <c r="E417" s="36">
        <v>35</v>
      </c>
      <c r="F417" s="36">
        <v>40</v>
      </c>
      <c r="G417" s="36">
        <v>20</v>
      </c>
      <c r="H417" s="36">
        <v>23</v>
      </c>
      <c r="I417" s="37">
        <v>0</v>
      </c>
      <c r="J417" s="37">
        <v>0</v>
      </c>
    </row>
    <row r="418" spans="1:10" x14ac:dyDescent="0.25">
      <c r="A418" t="s">
        <v>1290</v>
      </c>
      <c r="B418" t="s">
        <v>1291</v>
      </c>
      <c r="C418" t="s">
        <v>1289</v>
      </c>
      <c r="D418" t="s">
        <v>327</v>
      </c>
      <c r="E418" s="36">
        <v>55</v>
      </c>
      <c r="F418" s="36">
        <v>60</v>
      </c>
      <c r="G418" s="36">
        <v>32</v>
      </c>
      <c r="H418" s="36">
        <v>35</v>
      </c>
      <c r="I418" s="37">
        <v>0</v>
      </c>
      <c r="J418" s="37">
        <v>0</v>
      </c>
    </row>
    <row r="419" spans="1:10" x14ac:dyDescent="0.25">
      <c r="A419" t="s">
        <v>1292</v>
      </c>
      <c r="B419" t="s">
        <v>1293</v>
      </c>
      <c r="C419" t="s">
        <v>229</v>
      </c>
      <c r="D419" t="s">
        <v>327</v>
      </c>
      <c r="E419" s="36">
        <v>2200</v>
      </c>
      <c r="F419" s="36">
        <v>2500</v>
      </c>
      <c r="G419" s="36">
        <v>1300</v>
      </c>
      <c r="H419" s="36">
        <v>1450</v>
      </c>
      <c r="I419" s="37">
        <v>0</v>
      </c>
      <c r="J419" s="37">
        <v>0</v>
      </c>
    </row>
    <row r="420" spans="1:10" x14ac:dyDescent="0.25">
      <c r="A420" t="s">
        <v>1294</v>
      </c>
      <c r="B420" t="s">
        <v>1295</v>
      </c>
      <c r="C420" t="s">
        <v>243</v>
      </c>
      <c r="D420" t="s">
        <v>327</v>
      </c>
      <c r="E420" s="36">
        <v>734</v>
      </c>
      <c r="F420" s="36">
        <v>880</v>
      </c>
      <c r="G420" s="36">
        <v>350</v>
      </c>
      <c r="H420" s="36">
        <v>400</v>
      </c>
      <c r="I420" s="37">
        <v>0.22333333333333341</v>
      </c>
      <c r="J420" s="37">
        <v>0.25714285714285712</v>
      </c>
    </row>
    <row r="421" spans="1:10" x14ac:dyDescent="0.25">
      <c r="A421" t="s">
        <v>1296</v>
      </c>
      <c r="B421" t="s">
        <v>1297</v>
      </c>
      <c r="C421" t="s">
        <v>460</v>
      </c>
      <c r="D421" t="s">
        <v>327</v>
      </c>
      <c r="E421" s="36">
        <v>800</v>
      </c>
      <c r="F421" s="36">
        <v>920</v>
      </c>
      <c r="G421" s="36">
        <v>450</v>
      </c>
      <c r="H421" s="36">
        <v>520</v>
      </c>
      <c r="I421" s="37">
        <v>0</v>
      </c>
      <c r="J421" s="37">
        <v>0</v>
      </c>
    </row>
    <row r="422" spans="1:10" x14ac:dyDescent="0.25">
      <c r="A422" t="s">
        <v>1298</v>
      </c>
      <c r="B422" t="s">
        <v>1299</v>
      </c>
      <c r="C422" t="s">
        <v>89</v>
      </c>
      <c r="D422" t="s">
        <v>327</v>
      </c>
      <c r="E422" s="36">
        <v>250</v>
      </c>
      <c r="F422" s="36">
        <v>290</v>
      </c>
      <c r="G422" s="36">
        <v>140</v>
      </c>
      <c r="H422" s="36">
        <v>160</v>
      </c>
      <c r="I422" s="37">
        <v>0</v>
      </c>
      <c r="J422" s="37">
        <v>0</v>
      </c>
    </row>
    <row r="423" spans="1:10" x14ac:dyDescent="0.25">
      <c r="A423" t="s">
        <v>1300</v>
      </c>
      <c r="B423" t="s">
        <v>1301</v>
      </c>
      <c r="C423" t="s">
        <v>89</v>
      </c>
      <c r="D423" t="s">
        <v>327</v>
      </c>
      <c r="E423" s="36">
        <v>90</v>
      </c>
      <c r="F423" s="36">
        <v>105</v>
      </c>
      <c r="G423" s="36">
        <v>50</v>
      </c>
      <c r="H423" s="36">
        <v>58</v>
      </c>
      <c r="I423" s="37">
        <v>0</v>
      </c>
      <c r="J423" s="37">
        <v>0</v>
      </c>
    </row>
    <row r="424" spans="1:10" x14ac:dyDescent="0.25">
      <c r="A424" t="s">
        <v>1302</v>
      </c>
      <c r="B424" t="s">
        <v>1303</v>
      </c>
      <c r="C424" t="s">
        <v>1220</v>
      </c>
      <c r="D424" t="s">
        <v>1198</v>
      </c>
      <c r="E424" s="36">
        <v>22000</v>
      </c>
      <c r="F424" s="36">
        <v>26000</v>
      </c>
      <c r="G424" s="36">
        <v>19000</v>
      </c>
      <c r="H424" s="36">
        <v>22500</v>
      </c>
      <c r="I424" s="37">
        <v>0</v>
      </c>
      <c r="J424" s="37">
        <v>0</v>
      </c>
    </row>
    <row r="425" spans="1:10" x14ac:dyDescent="0.25">
      <c r="A425" t="s">
        <v>1304</v>
      </c>
      <c r="B425" t="s">
        <v>1305</v>
      </c>
      <c r="C425" t="s">
        <v>1211</v>
      </c>
      <c r="D425" t="s">
        <v>1198</v>
      </c>
      <c r="E425" s="36">
        <v>4500</v>
      </c>
      <c r="F425" s="36">
        <v>5000</v>
      </c>
      <c r="G425" s="36">
        <v>3800</v>
      </c>
      <c r="H425" s="36">
        <v>4300</v>
      </c>
      <c r="I425" s="37">
        <v>0</v>
      </c>
      <c r="J425" s="37">
        <v>0</v>
      </c>
    </row>
    <row r="426" spans="1:10" x14ac:dyDescent="0.25">
      <c r="A426" t="s">
        <v>1306</v>
      </c>
      <c r="B426" t="s">
        <v>1307</v>
      </c>
      <c r="C426" t="s">
        <v>101</v>
      </c>
      <c r="D426" t="s">
        <v>363</v>
      </c>
      <c r="E426" s="36">
        <v>1500</v>
      </c>
      <c r="F426" s="36">
        <v>1700</v>
      </c>
      <c r="G426" s="36">
        <v>850</v>
      </c>
      <c r="H426" s="36">
        <v>980</v>
      </c>
      <c r="I426" s="37">
        <v>0</v>
      </c>
      <c r="J426" s="37">
        <v>0</v>
      </c>
    </row>
    <row r="427" spans="1:10" x14ac:dyDescent="0.25">
      <c r="A427" t="s">
        <v>1308</v>
      </c>
      <c r="B427" t="s">
        <v>1309</v>
      </c>
      <c r="C427" t="s">
        <v>243</v>
      </c>
      <c r="D427" t="s">
        <v>1198</v>
      </c>
      <c r="E427" s="36">
        <v>180</v>
      </c>
      <c r="F427" s="36">
        <v>210</v>
      </c>
      <c r="G427" s="36">
        <v>100</v>
      </c>
      <c r="H427" s="36">
        <v>115</v>
      </c>
      <c r="I427" s="37">
        <v>0</v>
      </c>
      <c r="J427" s="37">
        <v>0</v>
      </c>
    </row>
    <row r="428" spans="1:10" x14ac:dyDescent="0.25">
      <c r="A428" t="s">
        <v>1310</v>
      </c>
      <c r="B428" t="s">
        <v>1311</v>
      </c>
      <c r="C428" t="s">
        <v>243</v>
      </c>
      <c r="D428" t="s">
        <v>331</v>
      </c>
      <c r="E428" s="36">
        <v>850</v>
      </c>
      <c r="F428" s="36">
        <v>950</v>
      </c>
      <c r="G428" s="36">
        <v>500</v>
      </c>
      <c r="H428" s="36">
        <v>560</v>
      </c>
      <c r="I428" s="37">
        <v>0</v>
      </c>
      <c r="J428" s="37">
        <v>0</v>
      </c>
    </row>
    <row r="429" spans="1:10" x14ac:dyDescent="0.25">
      <c r="A429" t="s">
        <v>1312</v>
      </c>
      <c r="B429" t="s">
        <v>1313</v>
      </c>
      <c r="C429" t="s">
        <v>243</v>
      </c>
      <c r="D429" t="s">
        <v>1198</v>
      </c>
      <c r="E429" s="36">
        <v>150</v>
      </c>
      <c r="F429" s="36">
        <v>180</v>
      </c>
      <c r="G429" s="36">
        <v>100</v>
      </c>
      <c r="H429" s="36">
        <v>120</v>
      </c>
      <c r="I429" s="37">
        <v>0</v>
      </c>
      <c r="J429" s="37">
        <v>0</v>
      </c>
    </row>
    <row r="430" spans="1:10" x14ac:dyDescent="0.25">
      <c r="A430" t="s">
        <v>1314</v>
      </c>
      <c r="B430" t="s">
        <v>1315</v>
      </c>
      <c r="C430" t="s">
        <v>243</v>
      </c>
      <c r="D430" t="s">
        <v>1198</v>
      </c>
      <c r="E430" s="36">
        <v>90</v>
      </c>
      <c r="F430" s="36">
        <v>105</v>
      </c>
      <c r="G430" s="36">
        <v>60</v>
      </c>
      <c r="H430" s="36">
        <v>70</v>
      </c>
      <c r="I430" s="37">
        <v>0</v>
      </c>
      <c r="J430" s="37">
        <v>0</v>
      </c>
    </row>
    <row r="431" spans="1:10" x14ac:dyDescent="0.25">
      <c r="A431" t="s">
        <v>1316</v>
      </c>
      <c r="B431" t="s">
        <v>1317</v>
      </c>
      <c r="C431" t="s">
        <v>89</v>
      </c>
      <c r="D431" t="s">
        <v>331</v>
      </c>
      <c r="E431" s="36">
        <v>180</v>
      </c>
      <c r="F431" s="36">
        <v>210</v>
      </c>
      <c r="G431" s="36">
        <v>100</v>
      </c>
      <c r="H431" s="36">
        <v>115</v>
      </c>
      <c r="I431" s="37">
        <v>0</v>
      </c>
      <c r="J431" s="37">
        <v>0</v>
      </c>
    </row>
    <row r="432" spans="1:10" x14ac:dyDescent="0.25">
      <c r="A432" t="s">
        <v>1318</v>
      </c>
      <c r="B432" t="s">
        <v>1319</v>
      </c>
      <c r="C432" t="s">
        <v>89</v>
      </c>
      <c r="D432" t="s">
        <v>1198</v>
      </c>
      <c r="E432" s="36">
        <v>40</v>
      </c>
      <c r="F432" s="36">
        <v>46</v>
      </c>
      <c r="G432" s="36">
        <v>25</v>
      </c>
      <c r="H432" s="36">
        <v>29</v>
      </c>
      <c r="I432" s="37">
        <v>0</v>
      </c>
      <c r="J432" s="37">
        <v>0</v>
      </c>
    </row>
    <row r="433" spans="1:10" x14ac:dyDescent="0.25">
      <c r="A433" t="s">
        <v>1320</v>
      </c>
      <c r="B433" t="s">
        <v>1321</v>
      </c>
      <c r="C433" t="s">
        <v>243</v>
      </c>
      <c r="D433" t="s">
        <v>1198</v>
      </c>
      <c r="E433" s="36">
        <v>250</v>
      </c>
      <c r="F433" s="36">
        <v>300</v>
      </c>
      <c r="G433" s="36">
        <v>170</v>
      </c>
      <c r="H433" s="36">
        <v>200</v>
      </c>
      <c r="I433" s="37">
        <v>0</v>
      </c>
      <c r="J433" s="37">
        <v>0</v>
      </c>
    </row>
    <row r="434" spans="1:10" x14ac:dyDescent="0.25">
      <c r="A434" t="s">
        <v>1322</v>
      </c>
      <c r="B434" t="s">
        <v>1323</v>
      </c>
      <c r="C434" t="s">
        <v>243</v>
      </c>
      <c r="D434" t="s">
        <v>331</v>
      </c>
      <c r="E434" s="36">
        <v>1467</v>
      </c>
      <c r="F434" s="36">
        <v>1760</v>
      </c>
      <c r="G434" s="36">
        <v>750</v>
      </c>
      <c r="H434" s="36">
        <v>860</v>
      </c>
      <c r="I434" s="37">
        <v>0.1284615384615384</v>
      </c>
      <c r="J434" s="37">
        <v>0.17333333333333331</v>
      </c>
    </row>
    <row r="435" spans="1:10" x14ac:dyDescent="0.25">
      <c r="A435" t="s">
        <v>1324</v>
      </c>
      <c r="B435" t="s">
        <v>1325</v>
      </c>
      <c r="C435" t="s">
        <v>243</v>
      </c>
      <c r="D435" t="s">
        <v>1198</v>
      </c>
      <c r="E435" s="36">
        <v>60</v>
      </c>
      <c r="F435" s="36">
        <v>70</v>
      </c>
      <c r="G435" s="36">
        <v>40</v>
      </c>
      <c r="H435" s="36">
        <v>46</v>
      </c>
      <c r="I435" s="37">
        <v>0</v>
      </c>
      <c r="J435" s="37">
        <v>0</v>
      </c>
    </row>
    <row r="436" spans="1:10" x14ac:dyDescent="0.25">
      <c r="A436" t="s">
        <v>1326</v>
      </c>
      <c r="B436" t="s">
        <v>1327</v>
      </c>
      <c r="C436" t="s">
        <v>243</v>
      </c>
      <c r="D436" t="s">
        <v>331</v>
      </c>
      <c r="E436" s="36">
        <v>300</v>
      </c>
      <c r="F436" s="36">
        <v>350</v>
      </c>
      <c r="G436" s="36">
        <v>170</v>
      </c>
      <c r="H436" s="36">
        <v>200</v>
      </c>
      <c r="I436" s="37">
        <v>0</v>
      </c>
      <c r="J436" s="37">
        <v>0</v>
      </c>
    </row>
    <row r="437" spans="1:10" x14ac:dyDescent="0.25">
      <c r="A437" t="s">
        <v>1328</v>
      </c>
      <c r="B437" t="s">
        <v>1329</v>
      </c>
      <c r="C437" t="s">
        <v>243</v>
      </c>
      <c r="D437" t="s">
        <v>1198</v>
      </c>
      <c r="E437" s="36">
        <v>200</v>
      </c>
      <c r="F437" s="36">
        <v>240</v>
      </c>
      <c r="G437" s="36">
        <v>140</v>
      </c>
      <c r="H437" s="36">
        <v>165</v>
      </c>
      <c r="I437" s="37">
        <v>0</v>
      </c>
      <c r="J437" s="37">
        <v>0</v>
      </c>
    </row>
    <row r="438" spans="1:10" x14ac:dyDescent="0.25">
      <c r="A438" t="s">
        <v>1330</v>
      </c>
      <c r="B438" t="s">
        <v>1331</v>
      </c>
      <c r="C438" t="s">
        <v>243</v>
      </c>
      <c r="D438" t="s">
        <v>1198</v>
      </c>
      <c r="E438" s="36">
        <v>900</v>
      </c>
      <c r="F438" s="36">
        <v>1300</v>
      </c>
      <c r="G438" s="36">
        <v>750</v>
      </c>
      <c r="H438" s="36">
        <v>1100</v>
      </c>
      <c r="I438" s="37">
        <v>0</v>
      </c>
      <c r="J438" s="37">
        <v>0</v>
      </c>
    </row>
    <row r="439" spans="1:10" x14ac:dyDescent="0.25">
      <c r="A439" t="s">
        <v>1332</v>
      </c>
      <c r="B439" t="s">
        <v>1333</v>
      </c>
      <c r="C439" t="s">
        <v>243</v>
      </c>
      <c r="D439" t="s">
        <v>331</v>
      </c>
      <c r="E439" s="36">
        <v>650</v>
      </c>
      <c r="F439" s="36">
        <v>750</v>
      </c>
      <c r="G439" s="36">
        <v>380</v>
      </c>
      <c r="H439" s="36">
        <v>440</v>
      </c>
      <c r="I439" s="37">
        <v>0</v>
      </c>
      <c r="J439" s="37">
        <v>0</v>
      </c>
    </row>
    <row r="440" spans="1:10" x14ac:dyDescent="0.25">
      <c r="A440" t="s">
        <v>1334</v>
      </c>
      <c r="B440" t="s">
        <v>1335</v>
      </c>
      <c r="C440" t="s">
        <v>243</v>
      </c>
      <c r="D440" t="s">
        <v>1198</v>
      </c>
      <c r="E440" s="36">
        <v>600</v>
      </c>
      <c r="F440" s="36">
        <v>700</v>
      </c>
      <c r="G440" s="36">
        <v>420</v>
      </c>
      <c r="H440" s="36">
        <v>490</v>
      </c>
      <c r="I440" s="37">
        <v>0</v>
      </c>
      <c r="J440" s="37">
        <v>0</v>
      </c>
    </row>
    <row r="441" spans="1:10" x14ac:dyDescent="0.25">
      <c r="A441" t="s">
        <v>1336</v>
      </c>
      <c r="B441" t="s">
        <v>1337</v>
      </c>
      <c r="C441" t="s">
        <v>89</v>
      </c>
      <c r="D441" t="s">
        <v>331</v>
      </c>
      <c r="E441" s="36">
        <v>40</v>
      </c>
      <c r="F441" s="36">
        <v>46</v>
      </c>
      <c r="G441" s="36">
        <v>22</v>
      </c>
      <c r="H441" s="36">
        <v>25</v>
      </c>
      <c r="I441" s="37">
        <v>0</v>
      </c>
      <c r="J441" s="37">
        <v>0</v>
      </c>
    </row>
    <row r="442" spans="1:10" x14ac:dyDescent="0.25">
      <c r="A442" t="s">
        <v>1338</v>
      </c>
      <c r="B442" t="s">
        <v>1339</v>
      </c>
      <c r="C442" t="s">
        <v>243</v>
      </c>
      <c r="D442" t="s">
        <v>339</v>
      </c>
      <c r="E442" s="36">
        <v>1280</v>
      </c>
      <c r="F442" s="36">
        <v>1520</v>
      </c>
      <c r="G442" s="36">
        <v>650</v>
      </c>
      <c r="H442" s="36">
        <v>750</v>
      </c>
      <c r="I442" s="37">
        <v>0.16363636363636361</v>
      </c>
      <c r="J442" s="37">
        <v>0.1692307692307693</v>
      </c>
    </row>
    <row r="443" spans="1:10" x14ac:dyDescent="0.25">
      <c r="A443" t="s">
        <v>1340</v>
      </c>
      <c r="B443" t="s">
        <v>1341</v>
      </c>
      <c r="C443" t="s">
        <v>243</v>
      </c>
      <c r="D443" t="s">
        <v>339</v>
      </c>
      <c r="E443" s="36">
        <v>1067</v>
      </c>
      <c r="F443" s="36">
        <v>1267</v>
      </c>
      <c r="G443" s="36">
        <v>520</v>
      </c>
      <c r="H443" s="36">
        <v>600</v>
      </c>
      <c r="I443" s="37">
        <v>0.1855555555555555</v>
      </c>
      <c r="J443" s="37">
        <v>0.2066666666666668</v>
      </c>
    </row>
    <row r="444" spans="1:10" x14ac:dyDescent="0.25">
      <c r="A444" t="s">
        <v>1342</v>
      </c>
      <c r="B444" t="s">
        <v>1343</v>
      </c>
      <c r="C444" t="s">
        <v>243</v>
      </c>
      <c r="D444" t="s">
        <v>339</v>
      </c>
      <c r="E444" s="36">
        <v>1387</v>
      </c>
      <c r="F444" s="36">
        <v>1647</v>
      </c>
      <c r="G444" s="36">
        <v>680</v>
      </c>
      <c r="H444" s="36">
        <v>780</v>
      </c>
      <c r="I444" s="37">
        <v>0.20608695652173911</v>
      </c>
      <c r="J444" s="37">
        <v>0.22</v>
      </c>
    </row>
    <row r="445" spans="1:10" x14ac:dyDescent="0.25">
      <c r="A445" t="s">
        <v>1344</v>
      </c>
      <c r="B445" t="s">
        <v>1345</v>
      </c>
      <c r="C445" t="s">
        <v>89</v>
      </c>
      <c r="D445" t="s">
        <v>339</v>
      </c>
      <c r="E445" s="36">
        <v>750</v>
      </c>
      <c r="F445" s="36">
        <v>850</v>
      </c>
      <c r="G445" s="36">
        <v>430</v>
      </c>
      <c r="H445" s="36">
        <v>490</v>
      </c>
      <c r="I445" s="37">
        <v>0</v>
      </c>
      <c r="J445" s="37">
        <v>0</v>
      </c>
    </row>
    <row r="446" spans="1:10" x14ac:dyDescent="0.25">
      <c r="A446" t="s">
        <v>1346</v>
      </c>
      <c r="B446" t="s">
        <v>1347</v>
      </c>
      <c r="C446" t="s">
        <v>243</v>
      </c>
      <c r="D446" t="s">
        <v>339</v>
      </c>
      <c r="E446" s="36">
        <v>1800</v>
      </c>
      <c r="F446" s="36">
        <v>2100</v>
      </c>
      <c r="G446" s="36">
        <v>1000</v>
      </c>
      <c r="H446" s="36">
        <v>1150</v>
      </c>
      <c r="I446" s="37">
        <v>0</v>
      </c>
      <c r="J446" s="37">
        <v>0</v>
      </c>
    </row>
    <row r="447" spans="1:10" x14ac:dyDescent="0.25">
      <c r="A447" t="s">
        <v>1348</v>
      </c>
      <c r="B447" t="s">
        <v>1349</v>
      </c>
      <c r="C447" t="s">
        <v>539</v>
      </c>
      <c r="D447" t="s">
        <v>339</v>
      </c>
      <c r="E447" s="36">
        <v>17067</v>
      </c>
      <c r="F447" s="36">
        <v>20267</v>
      </c>
      <c r="G447" s="36">
        <v>8500</v>
      </c>
      <c r="H447" s="36">
        <v>9700</v>
      </c>
      <c r="I447" s="37">
        <v>0.21907142857142861</v>
      </c>
      <c r="J447" s="37">
        <v>0.26668750000000002</v>
      </c>
    </row>
    <row r="448" spans="1:10" x14ac:dyDescent="0.25">
      <c r="A448" t="s">
        <v>1350</v>
      </c>
      <c r="B448" t="s">
        <v>1351</v>
      </c>
      <c r="C448" t="s">
        <v>243</v>
      </c>
      <c r="D448" t="s">
        <v>339</v>
      </c>
      <c r="E448" s="36">
        <v>9000</v>
      </c>
      <c r="F448" s="36">
        <v>11000</v>
      </c>
      <c r="G448" s="36">
        <v>5200</v>
      </c>
      <c r="H448" s="36">
        <v>6300</v>
      </c>
      <c r="I448" s="37">
        <v>0</v>
      </c>
      <c r="J448" s="37">
        <v>0</v>
      </c>
    </row>
    <row r="449" spans="1:10" x14ac:dyDescent="0.25">
      <c r="A449" t="s">
        <v>1352</v>
      </c>
      <c r="B449" t="s">
        <v>1353</v>
      </c>
      <c r="C449" t="s">
        <v>243</v>
      </c>
      <c r="D449" t="s">
        <v>339</v>
      </c>
      <c r="E449" s="36">
        <v>18000</v>
      </c>
      <c r="F449" s="36">
        <v>22000</v>
      </c>
      <c r="G449" s="36">
        <v>10500</v>
      </c>
      <c r="H449" s="36">
        <v>12800</v>
      </c>
      <c r="I449" s="37">
        <v>0</v>
      </c>
      <c r="J449" s="37">
        <v>0</v>
      </c>
    </row>
    <row r="450" spans="1:10" x14ac:dyDescent="0.25">
      <c r="A450" t="s">
        <v>1354</v>
      </c>
      <c r="B450" t="s">
        <v>1355</v>
      </c>
      <c r="C450" t="s">
        <v>243</v>
      </c>
      <c r="D450" t="s">
        <v>339</v>
      </c>
      <c r="E450" s="36">
        <v>7500</v>
      </c>
      <c r="F450" s="36">
        <v>8500</v>
      </c>
      <c r="G450" s="36">
        <v>4300</v>
      </c>
      <c r="H450" s="36">
        <v>4900</v>
      </c>
      <c r="I450" s="37">
        <v>0</v>
      </c>
      <c r="J450" s="37">
        <v>0</v>
      </c>
    </row>
    <row r="451" spans="1:10" x14ac:dyDescent="0.25">
      <c r="A451" t="s">
        <v>1356</v>
      </c>
      <c r="B451" t="s">
        <v>1357</v>
      </c>
      <c r="C451" t="s">
        <v>243</v>
      </c>
      <c r="D451" t="s">
        <v>339</v>
      </c>
      <c r="E451" s="36">
        <v>6500</v>
      </c>
      <c r="F451" s="36">
        <v>7500</v>
      </c>
      <c r="G451" s="36">
        <v>3800</v>
      </c>
      <c r="H451" s="36">
        <v>4400</v>
      </c>
      <c r="I451" s="37">
        <v>0</v>
      </c>
      <c r="J451" s="37">
        <v>0</v>
      </c>
    </row>
    <row r="452" spans="1:10" x14ac:dyDescent="0.25">
      <c r="A452" t="s">
        <v>1358</v>
      </c>
      <c r="B452" t="s">
        <v>1359</v>
      </c>
      <c r="C452" t="s">
        <v>243</v>
      </c>
      <c r="D452" t="s">
        <v>339</v>
      </c>
      <c r="E452" s="36">
        <v>8500</v>
      </c>
      <c r="F452" s="36">
        <v>10000</v>
      </c>
      <c r="G452" s="36">
        <v>4900</v>
      </c>
      <c r="H452" s="36">
        <v>5800</v>
      </c>
      <c r="I452" s="37">
        <v>0</v>
      </c>
      <c r="J452" s="37">
        <v>0</v>
      </c>
    </row>
    <row r="453" spans="1:10" x14ac:dyDescent="0.25">
      <c r="A453" t="s">
        <v>1360</v>
      </c>
      <c r="B453" t="s">
        <v>1361</v>
      </c>
      <c r="C453" t="s">
        <v>243</v>
      </c>
      <c r="D453" t="s">
        <v>339</v>
      </c>
      <c r="E453" s="36">
        <v>5500</v>
      </c>
      <c r="F453" s="36">
        <v>6500</v>
      </c>
      <c r="G453" s="36">
        <v>3200</v>
      </c>
      <c r="H453" s="36">
        <v>3800</v>
      </c>
      <c r="I453" s="37">
        <v>0</v>
      </c>
      <c r="J453" s="37">
        <v>0</v>
      </c>
    </row>
    <row r="454" spans="1:10" x14ac:dyDescent="0.25">
      <c r="A454" t="s">
        <v>1362</v>
      </c>
      <c r="B454" t="s">
        <v>1363</v>
      </c>
      <c r="C454" t="s">
        <v>243</v>
      </c>
      <c r="D454" t="s">
        <v>339</v>
      </c>
      <c r="E454" s="36">
        <v>6500</v>
      </c>
      <c r="F454" s="36">
        <v>8000</v>
      </c>
      <c r="G454" s="36">
        <v>3800</v>
      </c>
      <c r="H454" s="36">
        <v>4600</v>
      </c>
      <c r="I454" s="37">
        <v>0</v>
      </c>
      <c r="J454" s="37">
        <v>0</v>
      </c>
    </row>
    <row r="455" spans="1:10" x14ac:dyDescent="0.25">
      <c r="A455" t="s">
        <v>1364</v>
      </c>
      <c r="B455" t="s">
        <v>1365</v>
      </c>
      <c r="C455" t="s">
        <v>243</v>
      </c>
      <c r="D455" t="s">
        <v>339</v>
      </c>
      <c r="E455" s="36">
        <v>1400</v>
      </c>
      <c r="F455" s="36">
        <v>1700</v>
      </c>
      <c r="G455" s="36">
        <v>800</v>
      </c>
      <c r="H455" s="36">
        <v>970</v>
      </c>
      <c r="I455" s="37">
        <v>0</v>
      </c>
      <c r="J455" s="37">
        <v>0</v>
      </c>
    </row>
    <row r="456" spans="1:10" x14ac:dyDescent="0.25">
      <c r="A456" t="s">
        <v>1366</v>
      </c>
      <c r="B456" t="s">
        <v>1367</v>
      </c>
      <c r="C456" t="s">
        <v>243</v>
      </c>
      <c r="D456" t="s">
        <v>339</v>
      </c>
      <c r="E456" s="36">
        <v>12800</v>
      </c>
      <c r="F456" s="36">
        <v>15200</v>
      </c>
      <c r="G456" s="36">
        <v>7000</v>
      </c>
      <c r="H456" s="36">
        <v>8100</v>
      </c>
      <c r="I456" s="37">
        <v>6.6666666666666652E-2</v>
      </c>
      <c r="J456" s="37">
        <v>8.5714285714285632E-2</v>
      </c>
    </row>
    <row r="457" spans="1:10" x14ac:dyDescent="0.25">
      <c r="A457" t="s">
        <v>1368</v>
      </c>
      <c r="B457" t="s">
        <v>1369</v>
      </c>
      <c r="C457" t="s">
        <v>229</v>
      </c>
      <c r="D457" t="s">
        <v>339</v>
      </c>
      <c r="E457" s="36">
        <v>200</v>
      </c>
      <c r="F457" s="36">
        <v>230</v>
      </c>
      <c r="G457" s="36">
        <v>115</v>
      </c>
      <c r="H457" s="36">
        <v>130</v>
      </c>
      <c r="I457" s="37">
        <v>0</v>
      </c>
      <c r="J457" s="37">
        <v>0</v>
      </c>
    </row>
    <row r="458" spans="1:10" x14ac:dyDescent="0.25">
      <c r="A458" t="s">
        <v>1370</v>
      </c>
      <c r="B458" t="s">
        <v>1371</v>
      </c>
      <c r="C458" t="s">
        <v>539</v>
      </c>
      <c r="D458" t="s">
        <v>363</v>
      </c>
      <c r="E458" s="36">
        <v>54000</v>
      </c>
      <c r="F458" s="36">
        <v>64800</v>
      </c>
      <c r="G458" s="36">
        <v>26000</v>
      </c>
      <c r="H458" s="36">
        <v>30000</v>
      </c>
      <c r="I458" s="37">
        <v>0.2</v>
      </c>
      <c r="J458" s="37">
        <v>0.2461538461538462</v>
      </c>
    </row>
    <row r="459" spans="1:10" x14ac:dyDescent="0.25">
      <c r="A459" t="s">
        <v>1372</v>
      </c>
      <c r="B459" t="s">
        <v>1373</v>
      </c>
      <c r="C459" t="s">
        <v>539</v>
      </c>
      <c r="D459" t="s">
        <v>363</v>
      </c>
      <c r="E459" s="36">
        <v>96000</v>
      </c>
      <c r="F459" s="36">
        <v>115200</v>
      </c>
      <c r="G459" s="36">
        <v>40000</v>
      </c>
      <c r="H459" s="36">
        <v>46000</v>
      </c>
      <c r="I459" s="37">
        <v>0.37142857142857139</v>
      </c>
      <c r="J459" s="37">
        <v>0.43999999999999989</v>
      </c>
    </row>
    <row r="460" spans="1:10" x14ac:dyDescent="0.25">
      <c r="A460" t="s">
        <v>1374</v>
      </c>
      <c r="B460" t="s">
        <v>1375</v>
      </c>
      <c r="C460" t="s">
        <v>101</v>
      </c>
      <c r="D460" t="s">
        <v>363</v>
      </c>
      <c r="E460" s="36">
        <v>600</v>
      </c>
      <c r="F460" s="36">
        <v>720</v>
      </c>
      <c r="G460" s="36">
        <v>350</v>
      </c>
      <c r="H460" s="36">
        <v>400</v>
      </c>
      <c r="I460" s="37">
        <v>0</v>
      </c>
      <c r="J460" s="37">
        <v>2.857142857142847E-2</v>
      </c>
    </row>
    <row r="461" spans="1:10" x14ac:dyDescent="0.25">
      <c r="A461" t="s">
        <v>1376</v>
      </c>
      <c r="B461" t="s">
        <v>1377</v>
      </c>
      <c r="C461" t="s">
        <v>89</v>
      </c>
      <c r="D461" t="s">
        <v>339</v>
      </c>
      <c r="E461" s="36">
        <v>350</v>
      </c>
      <c r="F461" s="36">
        <v>400</v>
      </c>
      <c r="G461" s="36">
        <v>200</v>
      </c>
      <c r="H461" s="36">
        <v>230</v>
      </c>
      <c r="I461" s="37">
        <v>0</v>
      </c>
      <c r="J461" s="37">
        <v>0</v>
      </c>
    </row>
    <row r="462" spans="1:10" x14ac:dyDescent="0.25">
      <c r="A462" t="s">
        <v>1378</v>
      </c>
      <c r="B462" t="s">
        <v>1379</v>
      </c>
      <c r="C462" t="s">
        <v>89</v>
      </c>
      <c r="D462" t="s">
        <v>339</v>
      </c>
      <c r="E462" s="36">
        <v>350</v>
      </c>
      <c r="F462" s="36">
        <v>420</v>
      </c>
      <c r="G462" s="36">
        <v>200</v>
      </c>
      <c r="H462" s="36">
        <v>240</v>
      </c>
      <c r="I462" s="37">
        <v>0</v>
      </c>
      <c r="J462" s="37">
        <v>0</v>
      </c>
    </row>
    <row r="463" spans="1:10" x14ac:dyDescent="0.25">
      <c r="A463" t="s">
        <v>1380</v>
      </c>
      <c r="B463" t="s">
        <v>1381</v>
      </c>
      <c r="C463" t="s">
        <v>89</v>
      </c>
      <c r="D463" t="s">
        <v>339</v>
      </c>
      <c r="E463" s="36">
        <v>450</v>
      </c>
      <c r="F463" s="36">
        <v>520</v>
      </c>
      <c r="G463" s="36">
        <v>260</v>
      </c>
      <c r="H463" s="36">
        <v>300</v>
      </c>
      <c r="I463" s="37">
        <v>0</v>
      </c>
      <c r="J463" s="37">
        <v>0</v>
      </c>
    </row>
    <row r="464" spans="1:10" x14ac:dyDescent="0.25">
      <c r="A464" t="s">
        <v>1382</v>
      </c>
      <c r="B464" t="s">
        <v>1383</v>
      </c>
      <c r="C464" t="s">
        <v>89</v>
      </c>
      <c r="D464" t="s">
        <v>339</v>
      </c>
      <c r="E464" s="36">
        <v>450</v>
      </c>
      <c r="F464" s="36">
        <v>500</v>
      </c>
      <c r="G464" s="36">
        <v>260</v>
      </c>
      <c r="H464" s="36">
        <v>290</v>
      </c>
      <c r="I464" s="37">
        <v>0</v>
      </c>
      <c r="J464" s="37">
        <v>0</v>
      </c>
    </row>
    <row r="465" spans="1:10" x14ac:dyDescent="0.25">
      <c r="A465" t="s">
        <v>1384</v>
      </c>
      <c r="B465" t="s">
        <v>1385</v>
      </c>
      <c r="C465" t="s">
        <v>89</v>
      </c>
      <c r="D465" t="s">
        <v>339</v>
      </c>
      <c r="E465" s="36">
        <v>200</v>
      </c>
      <c r="F465" s="36">
        <v>230</v>
      </c>
      <c r="G465" s="36">
        <v>115</v>
      </c>
      <c r="H465" s="36">
        <v>130</v>
      </c>
      <c r="I465" s="37">
        <v>0</v>
      </c>
      <c r="J465" s="37">
        <v>0</v>
      </c>
    </row>
    <row r="466" spans="1:10" x14ac:dyDescent="0.25">
      <c r="A466" t="s">
        <v>1386</v>
      </c>
      <c r="B466" t="s">
        <v>1387</v>
      </c>
      <c r="C466" t="s">
        <v>89</v>
      </c>
      <c r="D466" t="s">
        <v>339</v>
      </c>
      <c r="E466" s="36">
        <v>400</v>
      </c>
      <c r="F466" s="36">
        <v>460</v>
      </c>
      <c r="G466" s="36">
        <v>230</v>
      </c>
      <c r="H466" s="36">
        <v>265</v>
      </c>
      <c r="I466" s="37">
        <v>0</v>
      </c>
      <c r="J466" s="37">
        <v>0</v>
      </c>
    </row>
    <row r="467" spans="1:10" x14ac:dyDescent="0.25">
      <c r="A467" t="s">
        <v>1388</v>
      </c>
      <c r="B467" t="s">
        <v>1389</v>
      </c>
      <c r="C467" t="s">
        <v>89</v>
      </c>
      <c r="D467" t="s">
        <v>339</v>
      </c>
      <c r="E467" s="36">
        <v>120</v>
      </c>
      <c r="F467" s="36">
        <v>140</v>
      </c>
      <c r="G467" s="36">
        <v>70</v>
      </c>
      <c r="H467" s="36">
        <v>80</v>
      </c>
      <c r="I467" s="37">
        <v>0</v>
      </c>
      <c r="J467" s="37">
        <v>0</v>
      </c>
    </row>
    <row r="468" spans="1:10" x14ac:dyDescent="0.25">
      <c r="A468" t="s">
        <v>1390</v>
      </c>
      <c r="B468" t="s">
        <v>1391</v>
      </c>
      <c r="C468" t="s">
        <v>539</v>
      </c>
      <c r="D468" t="s">
        <v>363</v>
      </c>
      <c r="E468" s="36">
        <v>110000</v>
      </c>
      <c r="F468" s="36">
        <v>125000</v>
      </c>
      <c r="G468" s="36">
        <v>65000</v>
      </c>
      <c r="H468" s="36">
        <v>74000</v>
      </c>
      <c r="I468" s="37">
        <v>0</v>
      </c>
      <c r="J468" s="37">
        <v>0</v>
      </c>
    </row>
    <row r="469" spans="1:10" x14ac:dyDescent="0.25">
      <c r="A469" t="s">
        <v>1392</v>
      </c>
      <c r="B469" t="s">
        <v>1393</v>
      </c>
      <c r="C469" t="s">
        <v>101</v>
      </c>
      <c r="D469" t="s">
        <v>363</v>
      </c>
      <c r="E469" s="36">
        <v>80</v>
      </c>
      <c r="F469" s="36">
        <v>90</v>
      </c>
      <c r="G469" s="36">
        <v>45</v>
      </c>
      <c r="H469" s="36">
        <v>52</v>
      </c>
      <c r="I469" s="37">
        <v>0</v>
      </c>
      <c r="J469" s="37">
        <v>0</v>
      </c>
    </row>
    <row r="470" spans="1:10" x14ac:dyDescent="0.25">
      <c r="A470" t="s">
        <v>1394</v>
      </c>
      <c r="B470" t="s">
        <v>1395</v>
      </c>
      <c r="C470" t="s">
        <v>101</v>
      </c>
      <c r="D470" t="s">
        <v>363</v>
      </c>
      <c r="E470" s="36">
        <v>150</v>
      </c>
      <c r="F470" s="36">
        <v>170</v>
      </c>
      <c r="G470" s="36">
        <v>85</v>
      </c>
      <c r="H470" s="36">
        <v>98</v>
      </c>
      <c r="I470" s="37">
        <v>0</v>
      </c>
      <c r="J470" s="37">
        <v>0</v>
      </c>
    </row>
    <row r="471" spans="1:10" x14ac:dyDescent="0.25">
      <c r="A471" t="s">
        <v>1396</v>
      </c>
      <c r="B471" t="s">
        <v>1397</v>
      </c>
      <c r="C471" t="s">
        <v>539</v>
      </c>
      <c r="D471" t="s">
        <v>363</v>
      </c>
      <c r="E471" s="36">
        <v>40000</v>
      </c>
      <c r="F471" s="36">
        <v>45000</v>
      </c>
      <c r="G471" s="36">
        <v>24000</v>
      </c>
      <c r="H471" s="36">
        <v>27000</v>
      </c>
      <c r="I471" s="37">
        <v>0</v>
      </c>
      <c r="J471" s="37">
        <v>0</v>
      </c>
    </row>
    <row r="472" spans="1:10" x14ac:dyDescent="0.25">
      <c r="A472" t="s">
        <v>1398</v>
      </c>
      <c r="B472" t="s">
        <v>1399</v>
      </c>
      <c r="C472" t="s">
        <v>539</v>
      </c>
      <c r="D472" t="s">
        <v>363</v>
      </c>
      <c r="E472" s="36">
        <v>42000</v>
      </c>
      <c r="F472" s="36">
        <v>50400</v>
      </c>
      <c r="G472" s="36">
        <v>19000</v>
      </c>
      <c r="H472" s="36">
        <v>21500</v>
      </c>
      <c r="I472" s="37">
        <v>0.3125</v>
      </c>
      <c r="J472" s="37">
        <v>0.39999999999999991</v>
      </c>
    </row>
    <row r="473" spans="1:10" x14ac:dyDescent="0.25">
      <c r="A473" t="s">
        <v>1400</v>
      </c>
      <c r="B473" t="s">
        <v>1401</v>
      </c>
      <c r="C473" t="s">
        <v>89</v>
      </c>
      <c r="D473" t="s">
        <v>363</v>
      </c>
      <c r="E473" s="36">
        <v>1080</v>
      </c>
      <c r="F473" s="36">
        <v>1296</v>
      </c>
      <c r="G473" s="36">
        <v>580</v>
      </c>
      <c r="H473" s="36">
        <v>670</v>
      </c>
      <c r="I473" s="37">
        <v>8.0000000000000071E-2</v>
      </c>
      <c r="J473" s="37">
        <v>0.12695652173913041</v>
      </c>
    </row>
    <row r="474" spans="1:10" x14ac:dyDescent="0.25">
      <c r="A474" t="s">
        <v>1402</v>
      </c>
      <c r="B474" t="s">
        <v>1403</v>
      </c>
      <c r="C474" t="s">
        <v>539</v>
      </c>
      <c r="D474" t="s">
        <v>363</v>
      </c>
      <c r="E474" s="36">
        <v>55000</v>
      </c>
      <c r="F474" s="36">
        <v>62000</v>
      </c>
      <c r="G474" s="36">
        <v>32000</v>
      </c>
      <c r="H474" s="36">
        <v>36000</v>
      </c>
      <c r="I474" s="37">
        <v>0</v>
      </c>
      <c r="J474" s="37">
        <v>0</v>
      </c>
    </row>
    <row r="475" spans="1:10" x14ac:dyDescent="0.25">
      <c r="A475" t="s">
        <v>1404</v>
      </c>
      <c r="B475" t="s">
        <v>1405</v>
      </c>
      <c r="C475" t="s">
        <v>539</v>
      </c>
      <c r="D475" t="s">
        <v>363</v>
      </c>
      <c r="E475" s="36">
        <v>115000</v>
      </c>
      <c r="F475" s="36">
        <v>130000</v>
      </c>
      <c r="G475" s="36">
        <v>68000</v>
      </c>
      <c r="H475" s="36">
        <v>76000</v>
      </c>
      <c r="I475" s="37">
        <v>0</v>
      </c>
      <c r="J475" s="37">
        <v>0</v>
      </c>
    </row>
    <row r="476" spans="1:10" x14ac:dyDescent="0.25">
      <c r="A476" t="s">
        <v>1406</v>
      </c>
      <c r="B476" t="s">
        <v>1407</v>
      </c>
      <c r="C476" t="s">
        <v>539</v>
      </c>
      <c r="D476" t="s">
        <v>363</v>
      </c>
      <c r="E476" s="36">
        <v>110000</v>
      </c>
      <c r="F476" s="36">
        <v>125000</v>
      </c>
      <c r="G476" s="36">
        <v>65000</v>
      </c>
      <c r="H476" s="36">
        <v>74000</v>
      </c>
      <c r="I476" s="37">
        <v>0</v>
      </c>
      <c r="J476" s="37">
        <v>0</v>
      </c>
    </row>
    <row r="477" spans="1:10" x14ac:dyDescent="0.25">
      <c r="A477" t="s">
        <v>1408</v>
      </c>
      <c r="B477" t="s">
        <v>1409</v>
      </c>
      <c r="C477" t="s">
        <v>229</v>
      </c>
      <c r="D477" t="s">
        <v>363</v>
      </c>
      <c r="E477" s="36">
        <v>1200</v>
      </c>
      <c r="F477" s="36">
        <v>1400</v>
      </c>
      <c r="G477" s="36">
        <v>700</v>
      </c>
      <c r="H477" s="36">
        <v>800</v>
      </c>
      <c r="I477" s="37">
        <v>0</v>
      </c>
      <c r="J477" s="37">
        <v>0</v>
      </c>
    </row>
    <row r="478" spans="1:10" x14ac:dyDescent="0.25">
      <c r="A478" t="s">
        <v>1410</v>
      </c>
      <c r="B478" t="s">
        <v>1411</v>
      </c>
      <c r="C478" t="s">
        <v>229</v>
      </c>
      <c r="D478" t="s">
        <v>363</v>
      </c>
      <c r="E478" s="36">
        <v>2500</v>
      </c>
      <c r="F478" s="36">
        <v>2900</v>
      </c>
      <c r="G478" s="36">
        <v>1450</v>
      </c>
      <c r="H478" s="36">
        <v>1680</v>
      </c>
      <c r="I478" s="37">
        <v>0</v>
      </c>
      <c r="J478" s="37">
        <v>0</v>
      </c>
    </row>
    <row r="479" spans="1:10" x14ac:dyDescent="0.25">
      <c r="A479" t="s">
        <v>1412</v>
      </c>
      <c r="B479" t="s">
        <v>1413</v>
      </c>
      <c r="C479" t="s">
        <v>229</v>
      </c>
      <c r="D479" t="s">
        <v>363</v>
      </c>
      <c r="E479" s="36">
        <v>2600</v>
      </c>
      <c r="F479" s="36">
        <v>3000</v>
      </c>
      <c r="G479" s="36">
        <v>1500</v>
      </c>
      <c r="H479" s="36">
        <v>1750</v>
      </c>
      <c r="I479" s="37">
        <v>0</v>
      </c>
      <c r="J479" s="37">
        <v>0</v>
      </c>
    </row>
    <row r="480" spans="1:10" x14ac:dyDescent="0.25">
      <c r="A480" t="s">
        <v>1414</v>
      </c>
      <c r="B480" t="s">
        <v>1415</v>
      </c>
      <c r="C480" t="s">
        <v>229</v>
      </c>
      <c r="D480" t="s">
        <v>327</v>
      </c>
      <c r="E480" s="36">
        <v>450</v>
      </c>
      <c r="F480" s="36">
        <v>520</v>
      </c>
      <c r="G480" s="36">
        <v>260</v>
      </c>
      <c r="H480" s="36">
        <v>300</v>
      </c>
      <c r="I480" s="37">
        <v>0</v>
      </c>
      <c r="J480" s="37">
        <v>0</v>
      </c>
    </row>
    <row r="481" spans="1:10" x14ac:dyDescent="0.25">
      <c r="A481" t="s">
        <v>1416</v>
      </c>
      <c r="B481" t="s">
        <v>1417</v>
      </c>
      <c r="C481" t="s">
        <v>229</v>
      </c>
      <c r="D481" t="s">
        <v>363</v>
      </c>
      <c r="E481" s="36">
        <v>1100</v>
      </c>
      <c r="F481" s="36">
        <v>1250</v>
      </c>
      <c r="G481" s="36">
        <v>640</v>
      </c>
      <c r="H481" s="36">
        <v>730</v>
      </c>
      <c r="I481" s="37">
        <v>0</v>
      </c>
      <c r="J481" s="37">
        <v>0</v>
      </c>
    </row>
    <row r="482" spans="1:10" x14ac:dyDescent="0.25">
      <c r="A482" t="s">
        <v>1418</v>
      </c>
      <c r="B482" t="s">
        <v>1419</v>
      </c>
      <c r="C482" t="s">
        <v>229</v>
      </c>
      <c r="D482" t="s">
        <v>363</v>
      </c>
      <c r="E482" s="36">
        <v>1600</v>
      </c>
      <c r="F482" s="36">
        <v>1850</v>
      </c>
      <c r="G482" s="36">
        <v>930</v>
      </c>
      <c r="H482" s="36">
        <v>1070</v>
      </c>
      <c r="I482" s="37">
        <v>0</v>
      </c>
      <c r="J482" s="37">
        <v>0</v>
      </c>
    </row>
    <row r="483" spans="1:10" x14ac:dyDescent="0.25">
      <c r="A483" t="s">
        <v>1420</v>
      </c>
      <c r="B483" t="s">
        <v>1421</v>
      </c>
      <c r="C483" t="s">
        <v>229</v>
      </c>
      <c r="D483" t="s">
        <v>363</v>
      </c>
      <c r="E483" s="36">
        <v>2300</v>
      </c>
      <c r="F483" s="36">
        <v>2650</v>
      </c>
      <c r="G483" s="36">
        <v>1350</v>
      </c>
      <c r="H483" s="36">
        <v>1550</v>
      </c>
      <c r="I483" s="37">
        <v>0</v>
      </c>
      <c r="J483" s="37">
        <v>0</v>
      </c>
    </row>
    <row r="484" spans="1:10" x14ac:dyDescent="0.25">
      <c r="A484" t="s">
        <v>1422</v>
      </c>
      <c r="B484" t="s">
        <v>1423</v>
      </c>
      <c r="C484" t="s">
        <v>89</v>
      </c>
      <c r="D484" t="s">
        <v>363</v>
      </c>
      <c r="E484" s="36">
        <v>2200</v>
      </c>
      <c r="F484" s="36">
        <v>2500</v>
      </c>
      <c r="G484" s="36">
        <v>1300</v>
      </c>
      <c r="H484" s="36">
        <v>1450</v>
      </c>
      <c r="I484" s="37">
        <v>0</v>
      </c>
      <c r="J484" s="37">
        <v>0</v>
      </c>
    </row>
    <row r="485" spans="1:10" x14ac:dyDescent="0.25">
      <c r="A485" t="s">
        <v>1424</v>
      </c>
      <c r="B485" t="s">
        <v>1425</v>
      </c>
      <c r="C485" t="s">
        <v>89</v>
      </c>
      <c r="D485" t="s">
        <v>355</v>
      </c>
      <c r="E485" s="36">
        <v>450</v>
      </c>
      <c r="F485" s="36">
        <v>520</v>
      </c>
      <c r="G485" s="36">
        <v>260</v>
      </c>
      <c r="H485" s="36">
        <v>300</v>
      </c>
      <c r="I485" s="37">
        <v>0</v>
      </c>
      <c r="J485" s="37">
        <v>0</v>
      </c>
    </row>
    <row r="486" spans="1:10" x14ac:dyDescent="0.25">
      <c r="A486" t="s">
        <v>1426</v>
      </c>
      <c r="B486" t="s">
        <v>1427</v>
      </c>
      <c r="C486" t="s">
        <v>1428</v>
      </c>
      <c r="D486" t="s">
        <v>363</v>
      </c>
      <c r="E486" s="36">
        <v>1800</v>
      </c>
      <c r="F486" s="36">
        <v>2100</v>
      </c>
      <c r="G486" s="36">
        <v>900</v>
      </c>
      <c r="H486" s="36">
        <v>1000</v>
      </c>
      <c r="I486" s="37">
        <v>0</v>
      </c>
      <c r="J486" s="37">
        <v>0</v>
      </c>
    </row>
    <row r="487" spans="1:10" x14ac:dyDescent="0.25">
      <c r="A487" t="s">
        <v>1429</v>
      </c>
      <c r="B487" t="s">
        <v>1430</v>
      </c>
      <c r="C487" t="s">
        <v>89</v>
      </c>
      <c r="D487" t="s">
        <v>359</v>
      </c>
      <c r="E487" s="36">
        <v>480</v>
      </c>
      <c r="F487" s="36">
        <v>550</v>
      </c>
      <c r="G487" s="36">
        <v>280</v>
      </c>
      <c r="H487" s="36">
        <v>320</v>
      </c>
      <c r="I487" s="37">
        <v>0</v>
      </c>
      <c r="J487" s="37">
        <v>0</v>
      </c>
    </row>
    <row r="488" spans="1:10" x14ac:dyDescent="0.25">
      <c r="A488" t="s">
        <v>1431</v>
      </c>
      <c r="B488" t="s">
        <v>1432</v>
      </c>
      <c r="C488" t="s">
        <v>101</v>
      </c>
      <c r="D488" t="s">
        <v>363</v>
      </c>
      <c r="E488" s="36">
        <v>60</v>
      </c>
      <c r="F488" s="36">
        <v>72</v>
      </c>
      <c r="G488" s="36">
        <v>35</v>
      </c>
      <c r="H488" s="36">
        <v>40</v>
      </c>
      <c r="I488" s="37">
        <v>0</v>
      </c>
      <c r="J488" s="37">
        <v>2.857142857142847E-2</v>
      </c>
    </row>
    <row r="489" spans="1:10" x14ac:dyDescent="0.25">
      <c r="A489" t="s">
        <v>1433</v>
      </c>
      <c r="B489" t="s">
        <v>1434</v>
      </c>
      <c r="C489" t="s">
        <v>229</v>
      </c>
      <c r="D489" t="s">
        <v>363</v>
      </c>
      <c r="E489" s="36">
        <v>120</v>
      </c>
      <c r="F489" s="36">
        <v>140</v>
      </c>
      <c r="G489" s="36">
        <v>70</v>
      </c>
      <c r="H489" s="36">
        <v>80</v>
      </c>
      <c r="I489" s="37">
        <v>0</v>
      </c>
      <c r="J489" s="37">
        <v>0</v>
      </c>
    </row>
    <row r="490" spans="1:10" x14ac:dyDescent="0.25">
      <c r="A490" t="s">
        <v>1435</v>
      </c>
      <c r="B490" t="s">
        <v>1436</v>
      </c>
      <c r="C490" t="s">
        <v>229</v>
      </c>
      <c r="D490" t="s">
        <v>363</v>
      </c>
      <c r="E490" s="36">
        <v>350</v>
      </c>
      <c r="F490" s="36">
        <v>400</v>
      </c>
      <c r="G490" s="36">
        <v>200</v>
      </c>
      <c r="H490" s="36">
        <v>230</v>
      </c>
      <c r="I490" s="37">
        <v>0</v>
      </c>
      <c r="J490" s="37">
        <v>0</v>
      </c>
    </row>
    <row r="491" spans="1:10" x14ac:dyDescent="0.25">
      <c r="A491" t="s">
        <v>1437</v>
      </c>
      <c r="B491" t="s">
        <v>1438</v>
      </c>
      <c r="C491" t="s">
        <v>89</v>
      </c>
      <c r="D491" t="s">
        <v>347</v>
      </c>
      <c r="E491" s="36">
        <v>300</v>
      </c>
      <c r="F491" s="36">
        <v>350</v>
      </c>
      <c r="G491" s="36">
        <v>170</v>
      </c>
      <c r="H491" s="36">
        <v>200</v>
      </c>
      <c r="I491" s="37">
        <v>0</v>
      </c>
      <c r="J491" s="37">
        <v>0</v>
      </c>
    </row>
    <row r="492" spans="1:10" x14ac:dyDescent="0.25">
      <c r="A492" t="s">
        <v>1439</v>
      </c>
      <c r="B492" t="s">
        <v>1440</v>
      </c>
      <c r="C492" t="s">
        <v>89</v>
      </c>
      <c r="D492" t="s">
        <v>363</v>
      </c>
      <c r="E492" s="36">
        <v>1200</v>
      </c>
      <c r="F492" s="36">
        <v>1440</v>
      </c>
      <c r="G492" s="36">
        <v>640</v>
      </c>
      <c r="H492" s="36">
        <v>730</v>
      </c>
      <c r="I492" s="37">
        <v>9.0909090909090828E-2</v>
      </c>
      <c r="J492" s="37">
        <v>0.15199999999999991</v>
      </c>
    </row>
    <row r="493" spans="1:10" x14ac:dyDescent="0.25">
      <c r="A493" t="s">
        <v>1441</v>
      </c>
      <c r="B493" t="s">
        <v>1442</v>
      </c>
      <c r="C493" t="s">
        <v>460</v>
      </c>
      <c r="D493" t="s">
        <v>363</v>
      </c>
      <c r="E493" s="36">
        <v>25000</v>
      </c>
      <c r="F493" s="36">
        <v>28000</v>
      </c>
      <c r="G493" s="36">
        <v>14500</v>
      </c>
      <c r="H493" s="36">
        <v>16000</v>
      </c>
      <c r="I493" s="37">
        <v>0</v>
      </c>
      <c r="J493" s="37">
        <v>0</v>
      </c>
    </row>
    <row r="494" spans="1:10" x14ac:dyDescent="0.25">
      <c r="A494" t="s">
        <v>1443</v>
      </c>
      <c r="B494" t="s">
        <v>1444</v>
      </c>
      <c r="C494" t="s">
        <v>101</v>
      </c>
      <c r="D494" t="s">
        <v>363</v>
      </c>
      <c r="E494" s="36">
        <v>450</v>
      </c>
      <c r="F494" s="36">
        <v>520</v>
      </c>
      <c r="G494" s="36">
        <v>260</v>
      </c>
      <c r="H494" s="36">
        <v>300</v>
      </c>
      <c r="I494" s="37">
        <v>0</v>
      </c>
      <c r="J494" s="37">
        <v>0</v>
      </c>
    </row>
    <row r="495" spans="1:10" x14ac:dyDescent="0.25">
      <c r="A495" t="s">
        <v>1445</v>
      </c>
      <c r="B495" t="s">
        <v>1446</v>
      </c>
      <c r="C495" t="s">
        <v>101</v>
      </c>
      <c r="D495" t="s">
        <v>363</v>
      </c>
      <c r="E495" s="36">
        <v>2800</v>
      </c>
      <c r="F495" s="36">
        <v>3200</v>
      </c>
      <c r="G495" s="36">
        <v>1600</v>
      </c>
      <c r="H495" s="36">
        <v>1850</v>
      </c>
      <c r="I495" s="37">
        <v>0</v>
      </c>
      <c r="J495" s="37">
        <v>0</v>
      </c>
    </row>
    <row r="496" spans="1:10" x14ac:dyDescent="0.25">
      <c r="A496" t="s">
        <v>1447</v>
      </c>
      <c r="B496" t="s">
        <v>1448</v>
      </c>
      <c r="C496" t="s">
        <v>229</v>
      </c>
      <c r="D496" t="s">
        <v>363</v>
      </c>
      <c r="E496" s="36">
        <v>400</v>
      </c>
      <c r="F496" s="36">
        <v>460</v>
      </c>
      <c r="G496" s="36">
        <v>230</v>
      </c>
      <c r="H496" s="36">
        <v>265</v>
      </c>
      <c r="I496" s="37">
        <v>0</v>
      </c>
      <c r="J496" s="37">
        <v>0</v>
      </c>
    </row>
    <row r="497" spans="1:10" x14ac:dyDescent="0.25">
      <c r="A497" t="s">
        <v>1449</v>
      </c>
      <c r="B497" t="s">
        <v>1450</v>
      </c>
      <c r="C497" t="s">
        <v>89</v>
      </c>
      <c r="D497" t="s">
        <v>347</v>
      </c>
      <c r="E497" s="36">
        <v>251</v>
      </c>
      <c r="F497" s="36">
        <v>300</v>
      </c>
      <c r="G497" s="36">
        <v>140</v>
      </c>
      <c r="H497" s="36">
        <v>160</v>
      </c>
      <c r="I497" s="37">
        <v>4.0000000000000044E-3</v>
      </c>
      <c r="J497" s="37">
        <v>3.4482758620689717E-2</v>
      </c>
    </row>
    <row r="498" spans="1:10" x14ac:dyDescent="0.25">
      <c r="A498" t="s">
        <v>1451</v>
      </c>
      <c r="B498" t="s">
        <v>1452</v>
      </c>
      <c r="C498" t="s">
        <v>89</v>
      </c>
      <c r="D498" t="s">
        <v>347</v>
      </c>
      <c r="E498" s="36">
        <v>35</v>
      </c>
      <c r="F498" s="36">
        <v>40</v>
      </c>
      <c r="G498" s="36">
        <v>20</v>
      </c>
      <c r="H498" s="36">
        <v>23</v>
      </c>
      <c r="I498" s="37">
        <v>0</v>
      </c>
      <c r="J498" s="37">
        <v>0</v>
      </c>
    </row>
    <row r="499" spans="1:10" x14ac:dyDescent="0.25">
      <c r="A499" t="s">
        <v>1453</v>
      </c>
      <c r="B499" t="s">
        <v>1454</v>
      </c>
      <c r="C499" t="s">
        <v>89</v>
      </c>
      <c r="D499" t="s">
        <v>347</v>
      </c>
      <c r="E499" s="36">
        <v>60</v>
      </c>
      <c r="F499" s="36">
        <v>70</v>
      </c>
      <c r="G499" s="36">
        <v>35</v>
      </c>
      <c r="H499" s="36">
        <v>40</v>
      </c>
      <c r="I499" s="37">
        <v>0</v>
      </c>
      <c r="J499" s="37">
        <v>0</v>
      </c>
    </row>
    <row r="500" spans="1:10" x14ac:dyDescent="0.25">
      <c r="A500" t="s">
        <v>1455</v>
      </c>
      <c r="B500" t="s">
        <v>1456</v>
      </c>
      <c r="C500" t="s">
        <v>89</v>
      </c>
      <c r="D500" t="s">
        <v>347</v>
      </c>
      <c r="E500" s="36">
        <v>90</v>
      </c>
      <c r="F500" s="36">
        <v>105</v>
      </c>
      <c r="G500" s="36">
        <v>50</v>
      </c>
      <c r="H500" s="36">
        <v>58</v>
      </c>
      <c r="I500" s="37">
        <v>0</v>
      </c>
      <c r="J500" s="37">
        <v>0</v>
      </c>
    </row>
    <row r="501" spans="1:10" x14ac:dyDescent="0.25">
      <c r="A501" t="s">
        <v>1457</v>
      </c>
      <c r="B501" t="s">
        <v>1458</v>
      </c>
      <c r="C501" t="s">
        <v>89</v>
      </c>
      <c r="D501" t="s">
        <v>347</v>
      </c>
      <c r="E501" s="36">
        <v>100</v>
      </c>
      <c r="F501" s="36">
        <v>115</v>
      </c>
      <c r="G501" s="36">
        <v>60</v>
      </c>
      <c r="H501" s="36">
        <v>70</v>
      </c>
      <c r="I501" s="37">
        <v>0</v>
      </c>
      <c r="J501" s="37">
        <v>0</v>
      </c>
    </row>
    <row r="502" spans="1:10" x14ac:dyDescent="0.25">
      <c r="A502" t="s">
        <v>1459</v>
      </c>
      <c r="B502" t="s">
        <v>1460</v>
      </c>
      <c r="C502" t="s">
        <v>89</v>
      </c>
      <c r="D502" t="s">
        <v>347</v>
      </c>
      <c r="E502" s="36">
        <v>550</v>
      </c>
      <c r="F502" s="36">
        <v>650</v>
      </c>
      <c r="G502" s="36">
        <v>320</v>
      </c>
      <c r="H502" s="36">
        <v>380</v>
      </c>
      <c r="I502" s="37">
        <v>0</v>
      </c>
      <c r="J502" s="37">
        <v>0</v>
      </c>
    </row>
    <row r="503" spans="1:10" x14ac:dyDescent="0.25">
      <c r="A503" t="s">
        <v>1461</v>
      </c>
      <c r="B503" t="s">
        <v>1462</v>
      </c>
      <c r="C503" t="s">
        <v>89</v>
      </c>
      <c r="D503" t="s">
        <v>347</v>
      </c>
      <c r="E503" s="36">
        <v>330</v>
      </c>
      <c r="F503" s="36">
        <v>400</v>
      </c>
      <c r="G503" s="36">
        <v>190</v>
      </c>
      <c r="H503" s="36">
        <v>230</v>
      </c>
      <c r="I503" s="37">
        <v>0</v>
      </c>
      <c r="J503" s="37">
        <v>0</v>
      </c>
    </row>
    <row r="504" spans="1:10" x14ac:dyDescent="0.25">
      <c r="A504" t="s">
        <v>1463</v>
      </c>
      <c r="B504" t="s">
        <v>1464</v>
      </c>
      <c r="C504" t="s">
        <v>89</v>
      </c>
      <c r="D504" t="s">
        <v>347</v>
      </c>
      <c r="E504" s="36">
        <v>1100</v>
      </c>
      <c r="F504" s="36">
        <v>1300</v>
      </c>
      <c r="G504" s="36">
        <v>640</v>
      </c>
      <c r="H504" s="36">
        <v>750</v>
      </c>
      <c r="I504" s="37">
        <v>0</v>
      </c>
      <c r="J504" s="37">
        <v>0</v>
      </c>
    </row>
    <row r="505" spans="1:10" x14ac:dyDescent="0.25">
      <c r="A505" t="s">
        <v>1465</v>
      </c>
      <c r="B505" t="s">
        <v>1466</v>
      </c>
      <c r="C505" t="s">
        <v>89</v>
      </c>
      <c r="D505" t="s">
        <v>347</v>
      </c>
      <c r="E505" s="36">
        <v>550</v>
      </c>
      <c r="F505" s="36">
        <v>650</v>
      </c>
      <c r="G505" s="36">
        <v>320</v>
      </c>
      <c r="H505" s="36">
        <v>380</v>
      </c>
      <c r="I505" s="37">
        <v>0</v>
      </c>
      <c r="J505" s="37">
        <v>0</v>
      </c>
    </row>
    <row r="506" spans="1:10" x14ac:dyDescent="0.25">
      <c r="A506" t="s">
        <v>1467</v>
      </c>
      <c r="B506" t="s">
        <v>1468</v>
      </c>
      <c r="C506" t="s">
        <v>243</v>
      </c>
      <c r="D506" t="s">
        <v>339</v>
      </c>
      <c r="E506" s="36">
        <v>9000</v>
      </c>
      <c r="F506" s="36">
        <v>11000</v>
      </c>
      <c r="G506" s="36">
        <v>5200</v>
      </c>
      <c r="H506" s="36">
        <v>6300</v>
      </c>
      <c r="I506" s="37">
        <v>0</v>
      </c>
      <c r="J506" s="37">
        <v>0</v>
      </c>
    </row>
    <row r="507" spans="1:10" x14ac:dyDescent="0.25">
      <c r="A507" t="s">
        <v>1469</v>
      </c>
      <c r="B507" t="s">
        <v>1470</v>
      </c>
      <c r="C507" t="s">
        <v>243</v>
      </c>
      <c r="D507" t="s">
        <v>339</v>
      </c>
      <c r="E507" s="36">
        <v>11000</v>
      </c>
      <c r="F507" s="36">
        <v>13000</v>
      </c>
      <c r="G507" s="36">
        <v>6400</v>
      </c>
      <c r="H507" s="36">
        <v>7500</v>
      </c>
      <c r="I507" s="37">
        <v>0</v>
      </c>
      <c r="J507" s="37">
        <v>0</v>
      </c>
    </row>
    <row r="508" spans="1:10" x14ac:dyDescent="0.25">
      <c r="A508" t="s">
        <v>1471</v>
      </c>
      <c r="B508" t="s">
        <v>1472</v>
      </c>
      <c r="C508" t="s">
        <v>243</v>
      </c>
      <c r="D508" t="s">
        <v>339</v>
      </c>
      <c r="E508" s="36">
        <v>8500</v>
      </c>
      <c r="F508" s="36">
        <v>10000</v>
      </c>
      <c r="G508" s="36">
        <v>4900</v>
      </c>
      <c r="H508" s="36">
        <v>5800</v>
      </c>
      <c r="I508" s="37">
        <v>0</v>
      </c>
      <c r="J508" s="37">
        <v>0</v>
      </c>
    </row>
    <row r="509" spans="1:10" x14ac:dyDescent="0.25">
      <c r="A509" t="s">
        <v>1473</v>
      </c>
      <c r="B509" t="s">
        <v>1474</v>
      </c>
      <c r="C509" t="s">
        <v>243</v>
      </c>
      <c r="D509" t="s">
        <v>339</v>
      </c>
      <c r="E509" s="36">
        <v>14000</v>
      </c>
      <c r="F509" s="36">
        <v>16500</v>
      </c>
      <c r="G509" s="36">
        <v>8100</v>
      </c>
      <c r="H509" s="36">
        <v>9500</v>
      </c>
      <c r="I509" s="37">
        <v>0</v>
      </c>
      <c r="J509" s="37">
        <v>0</v>
      </c>
    </row>
    <row r="510" spans="1:10" x14ac:dyDescent="0.25">
      <c r="A510" t="s">
        <v>1475</v>
      </c>
      <c r="B510" t="s">
        <v>1476</v>
      </c>
      <c r="C510" t="s">
        <v>460</v>
      </c>
      <c r="D510" t="s">
        <v>339</v>
      </c>
      <c r="E510" s="36">
        <v>19200</v>
      </c>
      <c r="F510" s="36">
        <v>22800</v>
      </c>
      <c r="G510" s="36">
        <v>9300</v>
      </c>
      <c r="H510" s="36">
        <v>10500</v>
      </c>
      <c r="I510" s="37">
        <v>0.2</v>
      </c>
      <c r="J510" s="37">
        <v>0.26666666666666661</v>
      </c>
    </row>
    <row r="511" spans="1:10" x14ac:dyDescent="0.25">
      <c r="A511" t="s">
        <v>1477</v>
      </c>
      <c r="B511" t="s">
        <v>1478</v>
      </c>
      <c r="C511" t="s">
        <v>243</v>
      </c>
      <c r="D511" t="s">
        <v>339</v>
      </c>
      <c r="E511" s="36">
        <v>10000</v>
      </c>
      <c r="F511" s="36">
        <v>12000</v>
      </c>
      <c r="G511" s="36">
        <v>5800</v>
      </c>
      <c r="H511" s="36">
        <v>6900</v>
      </c>
      <c r="I511" s="37">
        <v>0</v>
      </c>
      <c r="J511" s="37">
        <v>0</v>
      </c>
    </row>
    <row r="512" spans="1:10" x14ac:dyDescent="0.25">
      <c r="A512" t="s">
        <v>1479</v>
      </c>
      <c r="B512" t="s">
        <v>1480</v>
      </c>
      <c r="C512" t="s">
        <v>243</v>
      </c>
      <c r="D512" t="s">
        <v>343</v>
      </c>
      <c r="E512" s="36">
        <v>3734</v>
      </c>
      <c r="F512" s="36">
        <v>4434</v>
      </c>
      <c r="G512" s="36">
        <v>2000</v>
      </c>
      <c r="H512" s="36">
        <v>2300</v>
      </c>
      <c r="I512" s="37">
        <v>6.6857142857142948E-2</v>
      </c>
      <c r="J512" s="37">
        <v>0.1085</v>
      </c>
    </row>
    <row r="513" spans="1:10" x14ac:dyDescent="0.25">
      <c r="A513" t="s">
        <v>1481</v>
      </c>
      <c r="B513" t="s">
        <v>1482</v>
      </c>
      <c r="C513" t="s">
        <v>89</v>
      </c>
      <c r="D513" t="s">
        <v>359</v>
      </c>
      <c r="E513" s="36">
        <v>1300</v>
      </c>
      <c r="F513" s="36">
        <v>1450</v>
      </c>
      <c r="G513" s="36">
        <v>750</v>
      </c>
      <c r="H513" s="36">
        <v>840</v>
      </c>
      <c r="I513" s="37">
        <v>0</v>
      </c>
      <c r="J513" s="37">
        <v>0</v>
      </c>
    </row>
    <row r="514" spans="1:10" x14ac:dyDescent="0.25">
      <c r="A514" t="s">
        <v>1483</v>
      </c>
      <c r="B514" t="s">
        <v>1484</v>
      </c>
      <c r="C514" t="s">
        <v>243</v>
      </c>
      <c r="D514" t="s">
        <v>343</v>
      </c>
      <c r="E514" s="36">
        <v>5334</v>
      </c>
      <c r="F514" s="36">
        <v>6334</v>
      </c>
      <c r="G514" s="36">
        <v>3200</v>
      </c>
      <c r="H514" s="36">
        <v>3700</v>
      </c>
      <c r="I514" s="37">
        <v>6.6799999999999971E-2</v>
      </c>
      <c r="J514" s="37">
        <v>9.2068965517241308E-2</v>
      </c>
    </row>
    <row r="515" spans="1:10" x14ac:dyDescent="0.25">
      <c r="A515" t="s">
        <v>1485</v>
      </c>
      <c r="B515" t="s">
        <v>1486</v>
      </c>
      <c r="C515" t="s">
        <v>539</v>
      </c>
      <c r="D515" t="s">
        <v>343</v>
      </c>
      <c r="E515" s="36">
        <v>21334</v>
      </c>
      <c r="F515" s="36">
        <v>25334</v>
      </c>
      <c r="G515" s="36">
        <v>10500</v>
      </c>
      <c r="H515" s="36">
        <v>11500</v>
      </c>
      <c r="I515" s="37">
        <v>0.1852222222222222</v>
      </c>
      <c r="J515" s="37">
        <v>0.26669999999999988</v>
      </c>
    </row>
    <row r="516" spans="1:10" x14ac:dyDescent="0.25">
      <c r="A516" t="s">
        <v>1487</v>
      </c>
      <c r="B516" t="s">
        <v>1488</v>
      </c>
      <c r="C516" t="s">
        <v>101</v>
      </c>
      <c r="D516" t="s">
        <v>343</v>
      </c>
      <c r="E516" s="36">
        <v>700</v>
      </c>
      <c r="F516" s="36">
        <v>800</v>
      </c>
      <c r="G516" s="36">
        <v>400</v>
      </c>
      <c r="H516" s="36">
        <v>460</v>
      </c>
      <c r="I516" s="37">
        <v>0</v>
      </c>
      <c r="J516" s="37">
        <v>0</v>
      </c>
    </row>
    <row r="517" spans="1:10" x14ac:dyDescent="0.25">
      <c r="A517" t="s">
        <v>241</v>
      </c>
      <c r="B517" t="s">
        <v>1489</v>
      </c>
      <c r="C517" t="s">
        <v>243</v>
      </c>
      <c r="D517" t="s">
        <v>343</v>
      </c>
      <c r="E517" s="36">
        <v>3200</v>
      </c>
      <c r="F517" s="36">
        <v>3800</v>
      </c>
      <c r="G517" s="36">
        <v>1850</v>
      </c>
      <c r="H517" s="36">
        <v>2150</v>
      </c>
      <c r="I517" s="37">
        <v>0</v>
      </c>
      <c r="J517" s="37">
        <v>2.702702702702697E-2</v>
      </c>
    </row>
    <row r="518" spans="1:10" x14ac:dyDescent="0.25">
      <c r="A518" t="s">
        <v>1490</v>
      </c>
      <c r="B518" t="s">
        <v>1491</v>
      </c>
      <c r="C518" t="s">
        <v>243</v>
      </c>
      <c r="D518" t="s">
        <v>343</v>
      </c>
      <c r="E518" s="36">
        <v>6400</v>
      </c>
      <c r="F518" s="36">
        <v>7600</v>
      </c>
      <c r="G518" s="36">
        <v>3200</v>
      </c>
      <c r="H518" s="36">
        <v>3650</v>
      </c>
      <c r="I518" s="37">
        <v>0.16363636363636361</v>
      </c>
      <c r="J518" s="37">
        <v>0.20634920634920631</v>
      </c>
    </row>
    <row r="519" spans="1:10" x14ac:dyDescent="0.25">
      <c r="A519" t="s">
        <v>1492</v>
      </c>
      <c r="B519" t="s">
        <v>1493</v>
      </c>
      <c r="C519" t="s">
        <v>89</v>
      </c>
      <c r="D519" t="s">
        <v>359</v>
      </c>
      <c r="E519" s="36">
        <v>587</v>
      </c>
      <c r="F519" s="36">
        <v>694</v>
      </c>
      <c r="G519" s="36">
        <v>260</v>
      </c>
      <c r="H519" s="36">
        <v>300</v>
      </c>
      <c r="I519" s="37">
        <v>0.30444444444444452</v>
      </c>
      <c r="J519" s="37">
        <v>0.33461538461538448</v>
      </c>
    </row>
    <row r="520" spans="1:10" x14ac:dyDescent="0.25">
      <c r="A520" t="s">
        <v>1494</v>
      </c>
      <c r="B520" t="s">
        <v>1495</v>
      </c>
      <c r="C520" t="s">
        <v>89</v>
      </c>
      <c r="D520" t="s">
        <v>359</v>
      </c>
      <c r="E520" s="36">
        <v>1800</v>
      </c>
      <c r="F520" s="36">
        <v>2200</v>
      </c>
      <c r="G520" s="36">
        <v>1050</v>
      </c>
      <c r="H520" s="36">
        <v>1250</v>
      </c>
      <c r="I520" s="37">
        <v>0</v>
      </c>
      <c r="J520" s="37">
        <v>0</v>
      </c>
    </row>
    <row r="521" spans="1:10" x14ac:dyDescent="0.25">
      <c r="A521" t="s">
        <v>1496</v>
      </c>
      <c r="B521" t="s">
        <v>1497</v>
      </c>
      <c r="C521" t="s">
        <v>89</v>
      </c>
      <c r="D521" t="s">
        <v>359</v>
      </c>
      <c r="E521" s="36">
        <v>500</v>
      </c>
      <c r="F521" s="36">
        <v>600</v>
      </c>
      <c r="G521" s="36">
        <v>290</v>
      </c>
      <c r="H521" s="36">
        <v>350</v>
      </c>
      <c r="I521" s="37">
        <v>0</v>
      </c>
      <c r="J521" s="37">
        <v>0</v>
      </c>
    </row>
    <row r="522" spans="1:10" x14ac:dyDescent="0.25">
      <c r="A522" t="s">
        <v>1498</v>
      </c>
      <c r="B522" t="s">
        <v>1499</v>
      </c>
      <c r="C522" t="s">
        <v>89</v>
      </c>
      <c r="D522" t="s">
        <v>359</v>
      </c>
      <c r="E522" s="36">
        <v>4000</v>
      </c>
      <c r="F522" s="36">
        <v>4600</v>
      </c>
      <c r="G522" s="36">
        <v>2300</v>
      </c>
      <c r="H522" s="36">
        <v>2650</v>
      </c>
      <c r="I522" s="37">
        <v>0</v>
      </c>
      <c r="J522" s="37">
        <v>0</v>
      </c>
    </row>
    <row r="523" spans="1:10" x14ac:dyDescent="0.25">
      <c r="A523" t="s">
        <v>1500</v>
      </c>
      <c r="B523" t="s">
        <v>1501</v>
      </c>
      <c r="C523" t="s">
        <v>243</v>
      </c>
      <c r="D523" t="s">
        <v>359</v>
      </c>
      <c r="E523" s="36">
        <v>5134</v>
      </c>
      <c r="F523" s="36">
        <v>6067</v>
      </c>
      <c r="G523" s="36">
        <v>2200</v>
      </c>
      <c r="H523" s="36">
        <v>2500</v>
      </c>
      <c r="I523" s="37">
        <v>0.35105263157894728</v>
      </c>
      <c r="J523" s="37">
        <v>0.41093023255813937</v>
      </c>
    </row>
    <row r="524" spans="1:10" x14ac:dyDescent="0.25">
      <c r="A524" t="s">
        <v>1502</v>
      </c>
      <c r="B524" t="s">
        <v>1503</v>
      </c>
      <c r="C524" t="s">
        <v>243</v>
      </c>
      <c r="D524" t="s">
        <v>359</v>
      </c>
      <c r="E524" s="36">
        <v>5867</v>
      </c>
      <c r="F524" s="36">
        <v>6934</v>
      </c>
      <c r="G524" s="36">
        <v>2400</v>
      </c>
      <c r="H524" s="36">
        <v>2750</v>
      </c>
      <c r="I524" s="37">
        <v>0.39690476190476193</v>
      </c>
      <c r="J524" s="37">
        <v>0.44458333333333327</v>
      </c>
    </row>
    <row r="525" spans="1:10" x14ac:dyDescent="0.25">
      <c r="A525" t="s">
        <v>1504</v>
      </c>
      <c r="B525" t="s">
        <v>1505</v>
      </c>
      <c r="C525" t="s">
        <v>89</v>
      </c>
      <c r="D525" t="s">
        <v>359</v>
      </c>
      <c r="E525" s="36">
        <v>2200</v>
      </c>
      <c r="F525" s="36">
        <v>2500</v>
      </c>
      <c r="G525" s="36">
        <v>1270</v>
      </c>
      <c r="H525" s="36">
        <v>1450</v>
      </c>
      <c r="I525" s="37">
        <v>0</v>
      </c>
      <c r="J525" s="37">
        <v>0</v>
      </c>
    </row>
    <row r="526" spans="1:10" x14ac:dyDescent="0.25">
      <c r="A526" t="s">
        <v>1506</v>
      </c>
      <c r="B526" t="s">
        <v>1507</v>
      </c>
      <c r="C526" t="s">
        <v>229</v>
      </c>
      <c r="D526" t="s">
        <v>359</v>
      </c>
      <c r="E526" s="36">
        <v>200</v>
      </c>
      <c r="F526" s="36">
        <v>240</v>
      </c>
      <c r="G526" s="36">
        <v>115</v>
      </c>
      <c r="H526" s="36">
        <v>140</v>
      </c>
      <c r="I526" s="37">
        <v>0</v>
      </c>
      <c r="J526" s="37">
        <v>0</v>
      </c>
    </row>
    <row r="527" spans="1:10" x14ac:dyDescent="0.25">
      <c r="A527" t="s">
        <v>1508</v>
      </c>
      <c r="B527" t="s">
        <v>1509</v>
      </c>
      <c r="C527" t="s">
        <v>89</v>
      </c>
      <c r="D527" t="s">
        <v>359</v>
      </c>
      <c r="E527" s="36">
        <v>2000</v>
      </c>
      <c r="F527" s="36">
        <v>2300</v>
      </c>
      <c r="G527" s="36">
        <v>1150</v>
      </c>
      <c r="H527" s="36">
        <v>1320</v>
      </c>
      <c r="I527" s="37">
        <v>0</v>
      </c>
      <c r="J527" s="37">
        <v>0</v>
      </c>
    </row>
    <row r="528" spans="1:10" x14ac:dyDescent="0.25">
      <c r="A528" t="s">
        <v>1510</v>
      </c>
      <c r="B528" t="s">
        <v>1511</v>
      </c>
      <c r="C528" t="s">
        <v>89</v>
      </c>
      <c r="D528" t="s">
        <v>359</v>
      </c>
      <c r="E528" s="36">
        <v>1027</v>
      </c>
      <c r="F528" s="36">
        <v>1214</v>
      </c>
      <c r="G528" s="36">
        <v>580</v>
      </c>
      <c r="H528" s="36">
        <v>670</v>
      </c>
      <c r="I528" s="37">
        <v>2.6999999999999909E-2</v>
      </c>
      <c r="J528" s="37">
        <v>5.5652173913043557E-2</v>
      </c>
    </row>
    <row r="529" spans="1:10" x14ac:dyDescent="0.25">
      <c r="A529" t="s">
        <v>1512</v>
      </c>
      <c r="B529" t="s">
        <v>1513</v>
      </c>
      <c r="C529" t="s">
        <v>89</v>
      </c>
      <c r="D529" t="s">
        <v>359</v>
      </c>
      <c r="E529" s="36">
        <v>900</v>
      </c>
      <c r="F529" s="36">
        <v>1050</v>
      </c>
      <c r="G529" s="36">
        <v>520</v>
      </c>
      <c r="H529" s="36">
        <v>600</v>
      </c>
      <c r="I529" s="37">
        <v>0</v>
      </c>
      <c r="J529" s="37">
        <v>0</v>
      </c>
    </row>
    <row r="530" spans="1:10" x14ac:dyDescent="0.25">
      <c r="A530" t="s">
        <v>1514</v>
      </c>
      <c r="B530" t="s">
        <v>1515</v>
      </c>
      <c r="C530" t="s">
        <v>89</v>
      </c>
      <c r="D530" t="s">
        <v>359</v>
      </c>
      <c r="E530" s="36">
        <v>3300</v>
      </c>
      <c r="F530" s="36">
        <v>3800</v>
      </c>
      <c r="G530" s="36">
        <v>1900</v>
      </c>
      <c r="H530" s="36">
        <v>2200</v>
      </c>
      <c r="I530" s="37">
        <v>0</v>
      </c>
      <c r="J530" s="37">
        <v>0</v>
      </c>
    </row>
    <row r="531" spans="1:10" x14ac:dyDescent="0.25">
      <c r="A531" t="s">
        <v>1516</v>
      </c>
      <c r="B531" t="s">
        <v>1517</v>
      </c>
      <c r="C531" t="s">
        <v>89</v>
      </c>
      <c r="D531" t="s">
        <v>359</v>
      </c>
      <c r="E531" s="36">
        <v>3900</v>
      </c>
      <c r="F531" s="36">
        <v>4500</v>
      </c>
      <c r="G531" s="36">
        <v>2250</v>
      </c>
      <c r="H531" s="36">
        <v>2600</v>
      </c>
      <c r="I531" s="37">
        <v>0</v>
      </c>
      <c r="J531" s="37">
        <v>0</v>
      </c>
    </row>
    <row r="532" spans="1:10" x14ac:dyDescent="0.25">
      <c r="A532" t="s">
        <v>1518</v>
      </c>
      <c r="B532" t="s">
        <v>1519</v>
      </c>
      <c r="C532" t="s">
        <v>89</v>
      </c>
      <c r="D532" t="s">
        <v>351</v>
      </c>
      <c r="E532" s="36">
        <v>1800</v>
      </c>
      <c r="F532" s="36">
        <v>2100</v>
      </c>
      <c r="G532" s="36">
        <v>1050</v>
      </c>
      <c r="H532" s="36">
        <v>1200</v>
      </c>
      <c r="I532" s="37">
        <v>0</v>
      </c>
      <c r="J532" s="37">
        <v>0</v>
      </c>
    </row>
    <row r="533" spans="1:10" x14ac:dyDescent="0.25">
      <c r="A533" t="s">
        <v>1520</v>
      </c>
      <c r="B533" t="s">
        <v>1521</v>
      </c>
      <c r="C533" t="s">
        <v>89</v>
      </c>
      <c r="D533" t="s">
        <v>347</v>
      </c>
      <c r="E533" s="36">
        <v>70</v>
      </c>
      <c r="F533" s="36">
        <v>80</v>
      </c>
      <c r="G533" s="36">
        <v>40</v>
      </c>
      <c r="H533" s="36">
        <v>46</v>
      </c>
      <c r="I533" s="37">
        <v>0</v>
      </c>
      <c r="J533" s="37">
        <v>0</v>
      </c>
    </row>
    <row r="534" spans="1:10" x14ac:dyDescent="0.25">
      <c r="A534" t="s">
        <v>1522</v>
      </c>
      <c r="B534" t="s">
        <v>1523</v>
      </c>
      <c r="C534" t="s">
        <v>89</v>
      </c>
      <c r="D534" t="s">
        <v>347</v>
      </c>
      <c r="E534" s="36">
        <v>650</v>
      </c>
      <c r="F534" s="36">
        <v>750</v>
      </c>
      <c r="G534" s="36">
        <v>380</v>
      </c>
      <c r="H534" s="36">
        <v>430</v>
      </c>
      <c r="I534" s="37">
        <v>0</v>
      </c>
      <c r="J534" s="37">
        <v>0</v>
      </c>
    </row>
    <row r="535" spans="1:10" x14ac:dyDescent="0.25">
      <c r="A535" t="s">
        <v>1524</v>
      </c>
      <c r="B535" t="s">
        <v>1525</v>
      </c>
      <c r="C535" t="s">
        <v>89</v>
      </c>
      <c r="D535" t="s">
        <v>347</v>
      </c>
      <c r="E535" s="36">
        <v>451</v>
      </c>
      <c r="F535" s="36">
        <v>540</v>
      </c>
      <c r="G535" s="36">
        <v>260</v>
      </c>
      <c r="H535" s="36">
        <v>300</v>
      </c>
      <c r="I535" s="37">
        <v>2.2222222222221259E-3</v>
      </c>
      <c r="J535" s="37">
        <v>3.8461538461538547E-2</v>
      </c>
    </row>
    <row r="536" spans="1:10" x14ac:dyDescent="0.25">
      <c r="A536" t="s">
        <v>1526</v>
      </c>
      <c r="B536" t="s">
        <v>1527</v>
      </c>
      <c r="C536" t="s">
        <v>89</v>
      </c>
      <c r="D536" t="s">
        <v>347</v>
      </c>
      <c r="E536" s="36">
        <v>350</v>
      </c>
      <c r="F536" s="36">
        <v>400</v>
      </c>
      <c r="G536" s="36">
        <v>200</v>
      </c>
      <c r="H536" s="36">
        <v>230</v>
      </c>
      <c r="I536" s="37">
        <v>0</v>
      </c>
      <c r="J536" s="37">
        <v>0</v>
      </c>
    </row>
    <row r="537" spans="1:10" x14ac:dyDescent="0.25">
      <c r="A537" t="s">
        <v>1528</v>
      </c>
      <c r="B537" t="s">
        <v>1529</v>
      </c>
      <c r="C537" t="s">
        <v>89</v>
      </c>
      <c r="D537" t="s">
        <v>347</v>
      </c>
      <c r="E537" s="36">
        <v>330</v>
      </c>
      <c r="F537" s="36">
        <v>380</v>
      </c>
      <c r="G537" s="36">
        <v>190</v>
      </c>
      <c r="H537" s="36">
        <v>220</v>
      </c>
      <c r="I537" s="37">
        <v>0</v>
      </c>
      <c r="J537" s="37">
        <v>0</v>
      </c>
    </row>
    <row r="538" spans="1:10" x14ac:dyDescent="0.25">
      <c r="A538" t="s">
        <v>1530</v>
      </c>
      <c r="B538" t="s">
        <v>1531</v>
      </c>
      <c r="C538" t="s">
        <v>89</v>
      </c>
      <c r="D538" t="s">
        <v>343</v>
      </c>
      <c r="E538" s="36">
        <v>1800</v>
      </c>
      <c r="F538" s="36">
        <v>2100</v>
      </c>
      <c r="G538" s="36">
        <v>1050</v>
      </c>
      <c r="H538" s="36">
        <v>1200</v>
      </c>
      <c r="I538" s="37">
        <v>0</v>
      </c>
      <c r="J538" s="37">
        <v>0</v>
      </c>
    </row>
    <row r="539" spans="1:10" x14ac:dyDescent="0.25">
      <c r="A539" t="s">
        <v>1532</v>
      </c>
      <c r="B539" t="s">
        <v>1533</v>
      </c>
      <c r="C539" t="s">
        <v>89</v>
      </c>
      <c r="D539" t="s">
        <v>347</v>
      </c>
      <c r="E539" s="36">
        <v>40</v>
      </c>
      <c r="F539" s="36">
        <v>46</v>
      </c>
      <c r="G539" s="36">
        <v>22</v>
      </c>
      <c r="H539" s="36">
        <v>25</v>
      </c>
      <c r="I539" s="37">
        <v>0</v>
      </c>
      <c r="J539" s="37">
        <v>0</v>
      </c>
    </row>
    <row r="540" spans="1:10" x14ac:dyDescent="0.25">
      <c r="A540" t="s">
        <v>1534</v>
      </c>
      <c r="B540" t="s">
        <v>1535</v>
      </c>
      <c r="C540" t="s">
        <v>89</v>
      </c>
      <c r="D540" t="s">
        <v>359</v>
      </c>
      <c r="E540" s="36">
        <v>1320</v>
      </c>
      <c r="F540" s="36">
        <v>1560</v>
      </c>
      <c r="G540" s="36">
        <v>750</v>
      </c>
      <c r="H540" s="36">
        <v>870</v>
      </c>
      <c r="I540" s="37">
        <v>1.538461538461533E-2</v>
      </c>
      <c r="J540" s="37">
        <v>4.0000000000000042E-2</v>
      </c>
    </row>
    <row r="541" spans="1:10" x14ac:dyDescent="0.25">
      <c r="A541" t="s">
        <v>1536</v>
      </c>
      <c r="B541" t="s">
        <v>1537</v>
      </c>
      <c r="C541" t="s">
        <v>89</v>
      </c>
      <c r="D541" t="s">
        <v>359</v>
      </c>
      <c r="E541" s="36">
        <v>440</v>
      </c>
      <c r="F541" s="36">
        <v>520</v>
      </c>
      <c r="G541" s="36">
        <v>230</v>
      </c>
      <c r="H541" s="36">
        <v>265</v>
      </c>
      <c r="I541" s="37">
        <v>0.1000000000000001</v>
      </c>
      <c r="J541" s="37">
        <v>0.13043478260869559</v>
      </c>
    </row>
    <row r="542" spans="1:10" x14ac:dyDescent="0.25">
      <c r="A542" t="s">
        <v>1538</v>
      </c>
      <c r="B542" t="s">
        <v>1539</v>
      </c>
      <c r="C542" t="s">
        <v>229</v>
      </c>
      <c r="D542" t="s">
        <v>359</v>
      </c>
      <c r="E542" s="36">
        <v>587</v>
      </c>
      <c r="F542" s="36">
        <v>694</v>
      </c>
      <c r="G542" s="36">
        <v>320</v>
      </c>
      <c r="H542" s="36">
        <v>370</v>
      </c>
      <c r="I542" s="37">
        <v>6.7272727272727373E-2</v>
      </c>
      <c r="J542" s="37">
        <v>6.7692307692307718E-2</v>
      </c>
    </row>
    <row r="543" spans="1:10" x14ac:dyDescent="0.25">
      <c r="A543" t="s">
        <v>1540</v>
      </c>
      <c r="B543" t="s">
        <v>1541</v>
      </c>
      <c r="C543" t="s">
        <v>89</v>
      </c>
      <c r="D543" t="s">
        <v>347</v>
      </c>
      <c r="E543" s="36">
        <v>300</v>
      </c>
      <c r="F543" s="36">
        <v>360</v>
      </c>
      <c r="G543" s="36">
        <v>160</v>
      </c>
      <c r="H543" s="36">
        <v>190</v>
      </c>
      <c r="I543" s="37">
        <v>7.1428571428571397E-2</v>
      </c>
      <c r="J543" s="37">
        <v>9.0909090909090828E-2</v>
      </c>
    </row>
    <row r="544" spans="1:10" x14ac:dyDescent="0.25">
      <c r="A544" t="s">
        <v>1542</v>
      </c>
      <c r="B544" t="s">
        <v>1543</v>
      </c>
      <c r="C544" t="s">
        <v>89</v>
      </c>
      <c r="D544" t="s">
        <v>359</v>
      </c>
      <c r="E544" s="36">
        <v>1760</v>
      </c>
      <c r="F544" s="36">
        <v>2080</v>
      </c>
      <c r="G544" s="36">
        <v>870</v>
      </c>
      <c r="H544" s="36">
        <v>1000</v>
      </c>
      <c r="I544" s="37">
        <v>0.17333333333333331</v>
      </c>
      <c r="J544" s="37">
        <v>0.18857142857142861</v>
      </c>
    </row>
    <row r="545" spans="1:10" x14ac:dyDescent="0.25">
      <c r="A545" t="s">
        <v>1544</v>
      </c>
      <c r="B545" t="s">
        <v>1545</v>
      </c>
      <c r="C545" t="s">
        <v>89</v>
      </c>
      <c r="D545" t="s">
        <v>359</v>
      </c>
      <c r="E545" s="36">
        <v>2934</v>
      </c>
      <c r="F545" s="36">
        <v>3467</v>
      </c>
      <c r="G545" s="36">
        <v>1450</v>
      </c>
      <c r="H545" s="36">
        <v>1680</v>
      </c>
      <c r="I545" s="37">
        <v>0.1736</v>
      </c>
      <c r="J545" s="37">
        <v>0.19551724137931031</v>
      </c>
    </row>
    <row r="546" spans="1:10" x14ac:dyDescent="0.25">
      <c r="A546" t="s">
        <v>1546</v>
      </c>
      <c r="B546" t="s">
        <v>1547</v>
      </c>
      <c r="C546" t="s">
        <v>89</v>
      </c>
      <c r="D546" t="s">
        <v>359</v>
      </c>
      <c r="E546" s="36">
        <v>880</v>
      </c>
      <c r="F546" s="36">
        <v>1040</v>
      </c>
      <c r="G546" s="36">
        <v>400</v>
      </c>
      <c r="H546" s="36">
        <v>460</v>
      </c>
      <c r="I546" s="37">
        <v>0.25714285714285712</v>
      </c>
      <c r="J546" s="37">
        <v>0.3</v>
      </c>
    </row>
    <row r="547" spans="1:10" x14ac:dyDescent="0.25">
      <c r="A547" t="s">
        <v>1548</v>
      </c>
      <c r="B547" t="s">
        <v>1549</v>
      </c>
      <c r="C547" t="s">
        <v>89</v>
      </c>
      <c r="D547" t="s">
        <v>359</v>
      </c>
      <c r="E547" s="36">
        <v>1760</v>
      </c>
      <c r="F547" s="36">
        <v>2080</v>
      </c>
      <c r="G547" s="36">
        <v>870</v>
      </c>
      <c r="H547" s="36">
        <v>1000</v>
      </c>
      <c r="I547" s="37">
        <v>0.17333333333333331</v>
      </c>
      <c r="J547" s="37">
        <v>0.18857142857142861</v>
      </c>
    </row>
    <row r="548" spans="1:10" x14ac:dyDescent="0.25">
      <c r="A548" t="s">
        <v>1550</v>
      </c>
      <c r="B548" t="s">
        <v>1551</v>
      </c>
      <c r="C548" t="s">
        <v>89</v>
      </c>
      <c r="D548" t="s">
        <v>359</v>
      </c>
      <c r="E548" s="36">
        <v>2500</v>
      </c>
      <c r="F548" s="36">
        <v>2900</v>
      </c>
      <c r="G548" s="36">
        <v>1450</v>
      </c>
      <c r="H548" s="36">
        <v>1680</v>
      </c>
      <c r="I548" s="37">
        <v>0</v>
      </c>
      <c r="J548" s="37">
        <v>0</v>
      </c>
    </row>
    <row r="549" spans="1:10" x14ac:dyDescent="0.25">
      <c r="A549" t="s">
        <v>1552</v>
      </c>
      <c r="B549" t="s">
        <v>1553</v>
      </c>
      <c r="C549" t="s">
        <v>101</v>
      </c>
      <c r="D549" t="s">
        <v>394</v>
      </c>
      <c r="E549" s="36">
        <v>1600</v>
      </c>
      <c r="F549" s="36">
        <v>1920</v>
      </c>
      <c r="G549" s="36">
        <v>640</v>
      </c>
      <c r="H549" s="36">
        <v>730</v>
      </c>
      <c r="I549" s="37">
        <v>0.45454545454545459</v>
      </c>
      <c r="J549" s="37">
        <v>0.53600000000000003</v>
      </c>
    </row>
    <row r="550" spans="1:10" x14ac:dyDescent="0.25">
      <c r="A550" t="s">
        <v>1554</v>
      </c>
      <c r="B550" t="s">
        <v>1555</v>
      </c>
      <c r="C550" t="s">
        <v>89</v>
      </c>
      <c r="D550" t="s">
        <v>347</v>
      </c>
      <c r="E550" s="36">
        <v>1100</v>
      </c>
      <c r="F550" s="36">
        <v>1300</v>
      </c>
      <c r="G550" s="36">
        <v>640</v>
      </c>
      <c r="H550" s="36">
        <v>750</v>
      </c>
      <c r="I550" s="37">
        <v>0</v>
      </c>
      <c r="J550" s="37">
        <v>0</v>
      </c>
    </row>
    <row r="551" spans="1:10" x14ac:dyDescent="0.25">
      <c r="A551" t="s">
        <v>1556</v>
      </c>
      <c r="B551" t="s">
        <v>1557</v>
      </c>
      <c r="C551" t="s">
        <v>229</v>
      </c>
      <c r="D551" t="s">
        <v>359</v>
      </c>
      <c r="E551" s="36">
        <v>350</v>
      </c>
      <c r="F551" s="36">
        <v>420</v>
      </c>
      <c r="G551" s="36">
        <v>200</v>
      </c>
      <c r="H551" s="36">
        <v>240</v>
      </c>
      <c r="I551" s="37">
        <v>0</v>
      </c>
      <c r="J551" s="37">
        <v>0</v>
      </c>
    </row>
    <row r="552" spans="1:10" x14ac:dyDescent="0.25">
      <c r="A552" t="s">
        <v>1558</v>
      </c>
      <c r="B552" t="s">
        <v>1559</v>
      </c>
      <c r="C552" t="s">
        <v>229</v>
      </c>
      <c r="D552" t="s">
        <v>359</v>
      </c>
      <c r="E552" s="36">
        <v>440</v>
      </c>
      <c r="F552" s="36">
        <v>520</v>
      </c>
      <c r="G552" s="36">
        <v>230</v>
      </c>
      <c r="H552" s="36">
        <v>265</v>
      </c>
      <c r="I552" s="37">
        <v>0.1000000000000001</v>
      </c>
      <c r="J552" s="37">
        <v>0.13043478260869559</v>
      </c>
    </row>
    <row r="553" spans="1:10" x14ac:dyDescent="0.25">
      <c r="A553" t="s">
        <v>1560</v>
      </c>
      <c r="B553" t="s">
        <v>1561</v>
      </c>
      <c r="C553" t="s">
        <v>229</v>
      </c>
      <c r="D553" t="s">
        <v>355</v>
      </c>
      <c r="E553" s="36">
        <v>150</v>
      </c>
      <c r="F553" s="36">
        <v>175</v>
      </c>
      <c r="G553" s="36">
        <v>85</v>
      </c>
      <c r="H553" s="36">
        <v>100</v>
      </c>
      <c r="I553" s="37">
        <v>0</v>
      </c>
      <c r="J553" s="37">
        <v>0</v>
      </c>
    </row>
    <row r="554" spans="1:10" x14ac:dyDescent="0.25">
      <c r="A554" t="s">
        <v>1562</v>
      </c>
      <c r="B554" t="s">
        <v>1563</v>
      </c>
      <c r="C554" t="s">
        <v>243</v>
      </c>
      <c r="D554" t="s">
        <v>355</v>
      </c>
      <c r="E554" s="36">
        <v>6500</v>
      </c>
      <c r="F554" s="36">
        <v>7600</v>
      </c>
      <c r="G554" s="36">
        <v>3800</v>
      </c>
      <c r="H554" s="36">
        <v>4400</v>
      </c>
      <c r="I554" s="37">
        <v>0</v>
      </c>
      <c r="J554" s="37">
        <v>1.3333333333333419E-2</v>
      </c>
    </row>
    <row r="555" spans="1:10" x14ac:dyDescent="0.25">
      <c r="A555" t="s">
        <v>1564</v>
      </c>
      <c r="B555" t="s">
        <v>1565</v>
      </c>
      <c r="C555" t="s">
        <v>89</v>
      </c>
      <c r="D555" t="s">
        <v>355</v>
      </c>
      <c r="E555" s="36">
        <v>350</v>
      </c>
      <c r="F555" s="36">
        <v>400</v>
      </c>
      <c r="G555" s="36">
        <v>200</v>
      </c>
      <c r="H555" s="36">
        <v>230</v>
      </c>
      <c r="I555" s="37">
        <v>0</v>
      </c>
      <c r="J555" s="37">
        <v>0</v>
      </c>
    </row>
    <row r="556" spans="1:10" x14ac:dyDescent="0.25">
      <c r="A556" t="s">
        <v>1566</v>
      </c>
      <c r="B556" t="s">
        <v>1567</v>
      </c>
      <c r="C556" t="s">
        <v>89</v>
      </c>
      <c r="D556" t="s">
        <v>355</v>
      </c>
      <c r="E556" s="36">
        <v>500</v>
      </c>
      <c r="F556" s="36">
        <v>600</v>
      </c>
      <c r="G556" s="36">
        <v>290</v>
      </c>
      <c r="H556" s="36">
        <v>350</v>
      </c>
      <c r="I556" s="37">
        <v>0</v>
      </c>
      <c r="J556" s="37">
        <v>0</v>
      </c>
    </row>
    <row r="557" spans="1:10" x14ac:dyDescent="0.25">
      <c r="A557" t="s">
        <v>1568</v>
      </c>
      <c r="B557" t="s">
        <v>1569</v>
      </c>
      <c r="C557" t="s">
        <v>89</v>
      </c>
      <c r="D557" t="s">
        <v>355</v>
      </c>
      <c r="E557" s="36">
        <v>170</v>
      </c>
      <c r="F557" s="36">
        <v>200</v>
      </c>
      <c r="G557" s="36">
        <v>100</v>
      </c>
      <c r="H557" s="36">
        <v>115</v>
      </c>
      <c r="I557" s="37">
        <v>0</v>
      </c>
      <c r="J557" s="37">
        <v>0</v>
      </c>
    </row>
    <row r="558" spans="1:10" x14ac:dyDescent="0.25">
      <c r="A558" t="s">
        <v>1570</v>
      </c>
      <c r="B558" t="s">
        <v>1571</v>
      </c>
      <c r="C558" t="s">
        <v>89</v>
      </c>
      <c r="D558" t="s">
        <v>355</v>
      </c>
      <c r="E558" s="36">
        <v>40</v>
      </c>
      <c r="F558" s="36">
        <v>45</v>
      </c>
      <c r="G558" s="36">
        <v>22</v>
      </c>
      <c r="H558" s="36">
        <v>26</v>
      </c>
      <c r="I558" s="37">
        <v>0</v>
      </c>
      <c r="J558" s="37">
        <v>0</v>
      </c>
    </row>
    <row r="559" spans="1:10" x14ac:dyDescent="0.25">
      <c r="A559" t="s">
        <v>1572</v>
      </c>
      <c r="B559" t="s">
        <v>1573</v>
      </c>
      <c r="C559" t="s">
        <v>89</v>
      </c>
      <c r="D559" t="s">
        <v>355</v>
      </c>
      <c r="E559" s="36">
        <v>750</v>
      </c>
      <c r="F559" s="36">
        <v>900</v>
      </c>
      <c r="G559" s="36">
        <v>430</v>
      </c>
      <c r="H559" s="36">
        <v>520</v>
      </c>
      <c r="I559" s="37">
        <v>0</v>
      </c>
      <c r="J559" s="37">
        <v>0</v>
      </c>
    </row>
    <row r="560" spans="1:10" x14ac:dyDescent="0.25">
      <c r="A560" t="s">
        <v>1574</v>
      </c>
      <c r="B560" t="s">
        <v>1575</v>
      </c>
      <c r="C560" t="s">
        <v>89</v>
      </c>
      <c r="D560" t="s">
        <v>355</v>
      </c>
      <c r="E560" s="36">
        <v>1050</v>
      </c>
      <c r="F560" s="36">
        <v>1250</v>
      </c>
      <c r="G560" s="36">
        <v>600</v>
      </c>
      <c r="H560" s="36">
        <v>720</v>
      </c>
      <c r="I560" s="37">
        <v>0</v>
      </c>
      <c r="J560" s="37">
        <v>0</v>
      </c>
    </row>
    <row r="561" spans="1:10" x14ac:dyDescent="0.25">
      <c r="A561" t="s">
        <v>1576</v>
      </c>
      <c r="B561" t="s">
        <v>1577</v>
      </c>
      <c r="C561" t="s">
        <v>1578</v>
      </c>
      <c r="D561" t="s">
        <v>355</v>
      </c>
      <c r="E561" s="36">
        <v>650</v>
      </c>
      <c r="F561" s="36">
        <v>760</v>
      </c>
      <c r="G561" s="36">
        <v>370</v>
      </c>
      <c r="H561" s="36">
        <v>430</v>
      </c>
      <c r="I561" s="37">
        <v>0</v>
      </c>
      <c r="J561" s="37">
        <v>1.3333333333333419E-2</v>
      </c>
    </row>
    <row r="562" spans="1:10" x14ac:dyDescent="0.25">
      <c r="A562" t="s">
        <v>1579</v>
      </c>
      <c r="B562" t="s">
        <v>1580</v>
      </c>
      <c r="C562" t="s">
        <v>89</v>
      </c>
      <c r="D562" t="s">
        <v>355</v>
      </c>
      <c r="E562" s="36">
        <v>450</v>
      </c>
      <c r="F562" s="36">
        <v>520</v>
      </c>
      <c r="G562" s="36">
        <v>260</v>
      </c>
      <c r="H562" s="36">
        <v>300</v>
      </c>
      <c r="I562" s="37">
        <v>0</v>
      </c>
      <c r="J562" s="37">
        <v>0</v>
      </c>
    </row>
    <row r="563" spans="1:10" x14ac:dyDescent="0.25">
      <c r="A563" t="s">
        <v>1581</v>
      </c>
      <c r="B563" t="s">
        <v>1582</v>
      </c>
      <c r="C563" t="s">
        <v>89</v>
      </c>
      <c r="D563" t="s">
        <v>355</v>
      </c>
      <c r="E563" s="36">
        <v>300</v>
      </c>
      <c r="F563" s="36">
        <v>350</v>
      </c>
      <c r="G563" s="36">
        <v>170</v>
      </c>
      <c r="H563" s="36">
        <v>200</v>
      </c>
      <c r="I563" s="37">
        <v>0</v>
      </c>
      <c r="J563" s="37">
        <v>0</v>
      </c>
    </row>
    <row r="564" spans="1:10" x14ac:dyDescent="0.25">
      <c r="A564" t="s">
        <v>1583</v>
      </c>
      <c r="B564" t="s">
        <v>1584</v>
      </c>
      <c r="C564" t="s">
        <v>89</v>
      </c>
      <c r="D564" t="s">
        <v>355</v>
      </c>
      <c r="E564" s="36">
        <v>25</v>
      </c>
      <c r="F564" s="36">
        <v>29</v>
      </c>
      <c r="G564" s="36">
        <v>14</v>
      </c>
      <c r="H564" s="36">
        <v>16</v>
      </c>
      <c r="I564" s="37">
        <v>0</v>
      </c>
      <c r="J564" s="37">
        <v>0</v>
      </c>
    </row>
    <row r="565" spans="1:10" x14ac:dyDescent="0.25">
      <c r="A565" t="s">
        <v>1585</v>
      </c>
      <c r="B565" t="s">
        <v>1586</v>
      </c>
      <c r="C565" t="s">
        <v>89</v>
      </c>
      <c r="D565" t="s">
        <v>355</v>
      </c>
      <c r="E565" s="36">
        <v>300</v>
      </c>
      <c r="F565" s="36">
        <v>350</v>
      </c>
      <c r="G565" s="36">
        <v>170</v>
      </c>
      <c r="H565" s="36">
        <v>200</v>
      </c>
      <c r="I565" s="37">
        <v>0</v>
      </c>
      <c r="J565" s="37">
        <v>0</v>
      </c>
    </row>
    <row r="566" spans="1:10" x14ac:dyDescent="0.25">
      <c r="A566" t="s">
        <v>1587</v>
      </c>
      <c r="B566" t="s">
        <v>1588</v>
      </c>
      <c r="C566" t="s">
        <v>89</v>
      </c>
      <c r="D566" t="s">
        <v>355</v>
      </c>
      <c r="E566" s="36">
        <v>400</v>
      </c>
      <c r="F566" s="36">
        <v>470</v>
      </c>
      <c r="G566" s="36">
        <v>230</v>
      </c>
      <c r="H566" s="36">
        <v>270</v>
      </c>
      <c r="I566" s="37">
        <v>0</v>
      </c>
      <c r="J566" s="37">
        <v>0</v>
      </c>
    </row>
    <row r="567" spans="1:10" x14ac:dyDescent="0.25">
      <c r="A567" t="s">
        <v>1589</v>
      </c>
      <c r="B567" t="s">
        <v>1590</v>
      </c>
      <c r="C567" t="s">
        <v>89</v>
      </c>
      <c r="D567" t="s">
        <v>355</v>
      </c>
      <c r="E567" s="36">
        <v>854</v>
      </c>
      <c r="F567" s="36">
        <v>1014</v>
      </c>
      <c r="G567" s="36">
        <v>400</v>
      </c>
      <c r="H567" s="36">
        <v>460</v>
      </c>
      <c r="I567" s="37">
        <v>0.22</v>
      </c>
      <c r="J567" s="37">
        <v>0.26750000000000013</v>
      </c>
    </row>
    <row r="568" spans="1:10" x14ac:dyDescent="0.25">
      <c r="A568" t="s">
        <v>212</v>
      </c>
      <c r="B568" t="s">
        <v>1591</v>
      </c>
      <c r="C568" t="s">
        <v>89</v>
      </c>
      <c r="D568" t="s">
        <v>355</v>
      </c>
      <c r="E568" s="36">
        <v>450</v>
      </c>
      <c r="F568" s="36">
        <v>520</v>
      </c>
      <c r="G568" s="36">
        <v>260</v>
      </c>
      <c r="H568" s="36">
        <v>300</v>
      </c>
      <c r="I568" s="37">
        <v>0</v>
      </c>
      <c r="J568" s="37">
        <v>0</v>
      </c>
    </row>
    <row r="569" spans="1:10" x14ac:dyDescent="0.25">
      <c r="A569" t="s">
        <v>1592</v>
      </c>
      <c r="B569" t="s">
        <v>1593</v>
      </c>
      <c r="C569" t="s">
        <v>89</v>
      </c>
      <c r="D569" t="s">
        <v>355</v>
      </c>
      <c r="E569" s="36">
        <v>50</v>
      </c>
      <c r="F569" s="36">
        <v>60</v>
      </c>
      <c r="G569" s="36">
        <v>30</v>
      </c>
      <c r="H569" s="36">
        <v>35</v>
      </c>
      <c r="I569" s="37">
        <v>0</v>
      </c>
      <c r="J569" s="37">
        <v>0</v>
      </c>
    </row>
    <row r="570" spans="1:10" x14ac:dyDescent="0.25">
      <c r="A570" t="s">
        <v>220</v>
      </c>
      <c r="B570" t="s">
        <v>1594</v>
      </c>
      <c r="C570" t="s">
        <v>89</v>
      </c>
      <c r="D570" t="s">
        <v>355</v>
      </c>
      <c r="E570" s="36">
        <v>400</v>
      </c>
      <c r="F570" s="36">
        <v>460</v>
      </c>
      <c r="G570" s="36">
        <v>230</v>
      </c>
      <c r="H570" s="36">
        <v>265</v>
      </c>
      <c r="I570" s="37">
        <v>0</v>
      </c>
      <c r="J570" s="37">
        <v>0</v>
      </c>
    </row>
    <row r="571" spans="1:10" x14ac:dyDescent="0.25">
      <c r="A571" t="s">
        <v>1595</v>
      </c>
      <c r="B571" t="s">
        <v>1596</v>
      </c>
      <c r="C571" t="s">
        <v>89</v>
      </c>
      <c r="D571" t="s">
        <v>355</v>
      </c>
      <c r="E571" s="36">
        <v>854</v>
      </c>
      <c r="F571" s="36">
        <v>1014</v>
      </c>
      <c r="G571" s="36">
        <v>460</v>
      </c>
      <c r="H571" s="36">
        <v>550</v>
      </c>
      <c r="I571" s="37">
        <v>6.7499999999999893E-2</v>
      </c>
      <c r="J571" s="37">
        <v>6.7368421052631522E-2</v>
      </c>
    </row>
    <row r="572" spans="1:10" x14ac:dyDescent="0.25">
      <c r="A572" t="s">
        <v>1597</v>
      </c>
      <c r="B572" t="s">
        <v>1598</v>
      </c>
      <c r="C572" t="s">
        <v>229</v>
      </c>
      <c r="D572" t="s">
        <v>355</v>
      </c>
      <c r="E572" s="36">
        <v>650</v>
      </c>
      <c r="F572" s="36">
        <v>750</v>
      </c>
      <c r="G572" s="36">
        <v>370</v>
      </c>
      <c r="H572" s="36">
        <v>430</v>
      </c>
      <c r="I572" s="37">
        <v>0</v>
      </c>
      <c r="J572" s="37">
        <v>0</v>
      </c>
    </row>
    <row r="573" spans="1:10" x14ac:dyDescent="0.25">
      <c r="A573" t="s">
        <v>1599</v>
      </c>
      <c r="B573" t="s">
        <v>1600</v>
      </c>
      <c r="C573" t="s">
        <v>229</v>
      </c>
      <c r="D573" t="s">
        <v>355</v>
      </c>
      <c r="E573" s="36">
        <v>800</v>
      </c>
      <c r="F573" s="36">
        <v>920</v>
      </c>
      <c r="G573" s="36">
        <v>460</v>
      </c>
      <c r="H573" s="36">
        <v>530</v>
      </c>
      <c r="I573" s="37">
        <v>0</v>
      </c>
      <c r="J573" s="37">
        <v>0</v>
      </c>
    </row>
    <row r="574" spans="1:10" x14ac:dyDescent="0.25">
      <c r="A574" t="s">
        <v>1601</v>
      </c>
      <c r="B574" t="s">
        <v>1602</v>
      </c>
      <c r="C574" t="s">
        <v>229</v>
      </c>
      <c r="D574" t="s">
        <v>355</v>
      </c>
      <c r="E574" s="36">
        <v>600</v>
      </c>
      <c r="F574" s="36">
        <v>700</v>
      </c>
      <c r="G574" s="36">
        <v>350</v>
      </c>
      <c r="H574" s="36">
        <v>400</v>
      </c>
      <c r="I574" s="37">
        <v>0</v>
      </c>
      <c r="J574" s="37">
        <v>0</v>
      </c>
    </row>
    <row r="575" spans="1:10" x14ac:dyDescent="0.25">
      <c r="A575" t="s">
        <v>1603</v>
      </c>
      <c r="B575" t="s">
        <v>1604</v>
      </c>
      <c r="C575" t="s">
        <v>229</v>
      </c>
      <c r="D575" t="s">
        <v>355</v>
      </c>
      <c r="E575" s="36">
        <v>750</v>
      </c>
      <c r="F575" s="36">
        <v>860</v>
      </c>
      <c r="G575" s="36">
        <v>430</v>
      </c>
      <c r="H575" s="36">
        <v>500</v>
      </c>
      <c r="I575" s="37">
        <v>0</v>
      </c>
      <c r="J575" s="37">
        <v>0</v>
      </c>
    </row>
    <row r="576" spans="1:10" x14ac:dyDescent="0.25">
      <c r="A576" t="s">
        <v>1605</v>
      </c>
      <c r="B576" t="s">
        <v>1606</v>
      </c>
      <c r="C576" t="s">
        <v>229</v>
      </c>
      <c r="D576" t="s">
        <v>355</v>
      </c>
      <c r="E576" s="36">
        <v>550</v>
      </c>
      <c r="F576" s="36">
        <v>630</v>
      </c>
      <c r="G576" s="36">
        <v>320</v>
      </c>
      <c r="H576" s="36">
        <v>370</v>
      </c>
      <c r="I576" s="37">
        <v>0</v>
      </c>
      <c r="J576" s="37">
        <v>0</v>
      </c>
    </row>
    <row r="577" spans="1:10" x14ac:dyDescent="0.25">
      <c r="A577" t="s">
        <v>1607</v>
      </c>
      <c r="B577" t="s">
        <v>1608</v>
      </c>
      <c r="C577" t="s">
        <v>243</v>
      </c>
      <c r="D577" t="s">
        <v>355</v>
      </c>
      <c r="E577" s="36">
        <v>2667</v>
      </c>
      <c r="F577" s="36">
        <v>3167</v>
      </c>
      <c r="G577" s="36">
        <v>1270</v>
      </c>
      <c r="H577" s="36">
        <v>1500</v>
      </c>
      <c r="I577" s="37">
        <v>0.2122727272727272</v>
      </c>
      <c r="J577" s="37">
        <v>0.21807692307692311</v>
      </c>
    </row>
    <row r="578" spans="1:10" x14ac:dyDescent="0.25">
      <c r="A578" t="s">
        <v>1609</v>
      </c>
      <c r="B578" t="s">
        <v>1610</v>
      </c>
      <c r="C578" t="s">
        <v>243</v>
      </c>
      <c r="D578" t="s">
        <v>355</v>
      </c>
      <c r="E578" s="36">
        <v>2600</v>
      </c>
      <c r="F578" s="36">
        <v>3000</v>
      </c>
      <c r="G578" s="36">
        <v>1500</v>
      </c>
      <c r="H578" s="36">
        <v>1750</v>
      </c>
      <c r="I578" s="37">
        <v>0</v>
      </c>
      <c r="J578" s="37">
        <v>0</v>
      </c>
    </row>
    <row r="579" spans="1:10" x14ac:dyDescent="0.25">
      <c r="A579" t="s">
        <v>1611</v>
      </c>
      <c r="B579" t="s">
        <v>1612</v>
      </c>
      <c r="C579" t="s">
        <v>89</v>
      </c>
      <c r="D579" t="s">
        <v>355</v>
      </c>
      <c r="E579" s="36">
        <v>110</v>
      </c>
      <c r="F579" s="36">
        <v>130</v>
      </c>
      <c r="G579" s="36">
        <v>65</v>
      </c>
      <c r="H579" s="36">
        <v>75</v>
      </c>
      <c r="I579" s="37">
        <v>0</v>
      </c>
      <c r="J579" s="37">
        <v>0</v>
      </c>
    </row>
    <row r="580" spans="1:10" x14ac:dyDescent="0.25">
      <c r="A580" t="s">
        <v>1613</v>
      </c>
      <c r="B580" t="s">
        <v>1614</v>
      </c>
      <c r="C580" t="s">
        <v>89</v>
      </c>
      <c r="D580" t="s">
        <v>355</v>
      </c>
      <c r="E580" s="36">
        <v>140</v>
      </c>
      <c r="F580" s="36">
        <v>160</v>
      </c>
      <c r="G580" s="36">
        <v>80</v>
      </c>
      <c r="H580" s="36">
        <v>92</v>
      </c>
      <c r="I580" s="37">
        <v>0</v>
      </c>
      <c r="J580" s="37">
        <v>0</v>
      </c>
    </row>
    <row r="581" spans="1:10" x14ac:dyDescent="0.25">
      <c r="A581" t="s">
        <v>1615</v>
      </c>
      <c r="B581" t="s">
        <v>1616</v>
      </c>
      <c r="C581" t="s">
        <v>89</v>
      </c>
      <c r="D581" t="s">
        <v>355</v>
      </c>
      <c r="E581" s="36">
        <v>80</v>
      </c>
      <c r="F581" s="36">
        <v>95</v>
      </c>
      <c r="G581" s="36">
        <v>45</v>
      </c>
      <c r="H581" s="36">
        <v>52</v>
      </c>
      <c r="I581" s="37">
        <v>0</v>
      </c>
      <c r="J581" s="37">
        <v>0</v>
      </c>
    </row>
    <row r="582" spans="1:10" x14ac:dyDescent="0.25">
      <c r="A582" t="s">
        <v>1617</v>
      </c>
      <c r="B582" t="s">
        <v>1618</v>
      </c>
      <c r="C582" t="s">
        <v>89</v>
      </c>
      <c r="D582" t="s">
        <v>355</v>
      </c>
      <c r="E582" s="36">
        <v>180</v>
      </c>
      <c r="F582" s="36">
        <v>220</v>
      </c>
      <c r="G582" s="36">
        <v>100</v>
      </c>
      <c r="H582" s="36">
        <v>125</v>
      </c>
      <c r="I582" s="37">
        <v>0</v>
      </c>
      <c r="J582" s="37">
        <v>0</v>
      </c>
    </row>
    <row r="583" spans="1:10" x14ac:dyDescent="0.25">
      <c r="A583" t="s">
        <v>1619</v>
      </c>
      <c r="B583" t="s">
        <v>1620</v>
      </c>
      <c r="C583" t="s">
        <v>89</v>
      </c>
      <c r="D583" t="s">
        <v>355</v>
      </c>
      <c r="E583" s="36">
        <v>427</v>
      </c>
      <c r="F583" s="36">
        <v>507</v>
      </c>
      <c r="G583" s="36">
        <v>200</v>
      </c>
      <c r="H583" s="36">
        <v>230</v>
      </c>
      <c r="I583" s="37">
        <v>0.22</v>
      </c>
      <c r="J583" s="37">
        <v>0.26750000000000013</v>
      </c>
    </row>
    <row r="584" spans="1:10" x14ac:dyDescent="0.25">
      <c r="A584" t="s">
        <v>1621</v>
      </c>
      <c r="B584" t="s">
        <v>1622</v>
      </c>
      <c r="C584" t="s">
        <v>89</v>
      </c>
      <c r="D584" t="s">
        <v>355</v>
      </c>
      <c r="E584" s="36">
        <v>450</v>
      </c>
      <c r="F584" s="36">
        <v>520</v>
      </c>
      <c r="G584" s="36">
        <v>260</v>
      </c>
      <c r="H584" s="36">
        <v>300</v>
      </c>
      <c r="I584" s="37">
        <v>0</v>
      </c>
      <c r="J584" s="37">
        <v>0</v>
      </c>
    </row>
    <row r="585" spans="1:10" x14ac:dyDescent="0.25">
      <c r="A585" t="s">
        <v>1623</v>
      </c>
      <c r="B585" t="s">
        <v>1624</v>
      </c>
      <c r="C585" t="s">
        <v>89</v>
      </c>
      <c r="D585" t="s">
        <v>355</v>
      </c>
      <c r="E585" s="36">
        <v>120</v>
      </c>
      <c r="F585" s="36">
        <v>140</v>
      </c>
      <c r="G585" s="36">
        <v>70</v>
      </c>
      <c r="H585" s="36">
        <v>80</v>
      </c>
      <c r="I585" s="37">
        <v>0</v>
      </c>
      <c r="J585" s="37">
        <v>0</v>
      </c>
    </row>
    <row r="586" spans="1:10" x14ac:dyDescent="0.25">
      <c r="A586" t="s">
        <v>1625</v>
      </c>
      <c r="B586" t="s">
        <v>1626</v>
      </c>
      <c r="C586" t="s">
        <v>89</v>
      </c>
      <c r="D586" t="s">
        <v>355</v>
      </c>
      <c r="E586" s="36">
        <v>220</v>
      </c>
      <c r="F586" s="36">
        <v>260</v>
      </c>
      <c r="G586" s="36">
        <v>130</v>
      </c>
      <c r="H586" s="36">
        <v>150</v>
      </c>
      <c r="I586" s="37">
        <v>0</v>
      </c>
      <c r="J586" s="37">
        <v>0</v>
      </c>
    </row>
    <row r="587" spans="1:10" x14ac:dyDescent="0.25">
      <c r="A587" t="s">
        <v>1627</v>
      </c>
      <c r="B587" t="s">
        <v>1628</v>
      </c>
      <c r="C587" t="s">
        <v>101</v>
      </c>
      <c r="D587" t="s">
        <v>355</v>
      </c>
      <c r="E587" s="36">
        <v>1200</v>
      </c>
      <c r="F587" s="36">
        <v>1400</v>
      </c>
      <c r="G587" s="36">
        <v>700</v>
      </c>
      <c r="H587" s="36">
        <v>800</v>
      </c>
      <c r="I587" s="37">
        <v>0</v>
      </c>
      <c r="J587" s="37">
        <v>0</v>
      </c>
    </row>
    <row r="588" spans="1:10" x14ac:dyDescent="0.25">
      <c r="A588" t="s">
        <v>1629</v>
      </c>
      <c r="B588" t="s">
        <v>1630</v>
      </c>
      <c r="C588" t="s">
        <v>89</v>
      </c>
      <c r="D588" t="s">
        <v>355</v>
      </c>
      <c r="E588" s="36">
        <v>200</v>
      </c>
      <c r="F588" s="36">
        <v>230</v>
      </c>
      <c r="G588" s="36">
        <v>115</v>
      </c>
      <c r="H588" s="36">
        <v>130</v>
      </c>
      <c r="I588" s="37">
        <v>0</v>
      </c>
      <c r="J588" s="37">
        <v>0</v>
      </c>
    </row>
    <row r="589" spans="1:10" x14ac:dyDescent="0.25">
      <c r="A589" t="s">
        <v>1631</v>
      </c>
      <c r="B589" t="s">
        <v>1632</v>
      </c>
      <c r="C589" t="s">
        <v>89</v>
      </c>
      <c r="D589" t="s">
        <v>355</v>
      </c>
      <c r="E589" s="36">
        <v>50</v>
      </c>
      <c r="F589" s="36">
        <v>60</v>
      </c>
      <c r="G589" s="36">
        <v>30</v>
      </c>
      <c r="H589" s="36">
        <v>35</v>
      </c>
      <c r="I589" s="37">
        <v>0</v>
      </c>
      <c r="J589" s="37">
        <v>0</v>
      </c>
    </row>
    <row r="590" spans="1:10" x14ac:dyDescent="0.25">
      <c r="A590" t="s">
        <v>1633</v>
      </c>
      <c r="B590" t="s">
        <v>1634</v>
      </c>
      <c r="C590" t="s">
        <v>89</v>
      </c>
      <c r="D590" t="s">
        <v>355</v>
      </c>
      <c r="E590" s="36">
        <v>30</v>
      </c>
      <c r="F590" s="36">
        <v>35</v>
      </c>
      <c r="G590" s="36">
        <v>17</v>
      </c>
      <c r="H590" s="36">
        <v>20</v>
      </c>
      <c r="I590" s="37">
        <v>0</v>
      </c>
      <c r="J590" s="37">
        <v>0</v>
      </c>
    </row>
    <row r="591" spans="1:10" x14ac:dyDescent="0.25">
      <c r="A591" t="s">
        <v>1635</v>
      </c>
      <c r="B591" t="s">
        <v>1636</v>
      </c>
      <c r="C591" t="s">
        <v>229</v>
      </c>
      <c r="D591" t="s">
        <v>355</v>
      </c>
      <c r="E591" s="36">
        <v>550</v>
      </c>
      <c r="F591" s="36">
        <v>630</v>
      </c>
      <c r="G591" s="36">
        <v>320</v>
      </c>
      <c r="H591" s="36">
        <v>370</v>
      </c>
      <c r="I591" s="37">
        <v>0</v>
      </c>
      <c r="J591" s="37">
        <v>0</v>
      </c>
    </row>
    <row r="592" spans="1:10" x14ac:dyDescent="0.25">
      <c r="A592" t="s">
        <v>1637</v>
      </c>
      <c r="B592" t="s">
        <v>1638</v>
      </c>
      <c r="C592" t="s">
        <v>1639</v>
      </c>
      <c r="D592" t="s">
        <v>367</v>
      </c>
      <c r="E592" s="36">
        <v>3500</v>
      </c>
      <c r="F592" s="36">
        <v>4000</v>
      </c>
      <c r="G592" s="36">
        <v>2000</v>
      </c>
      <c r="H592" s="36">
        <v>2300</v>
      </c>
      <c r="I592" s="37">
        <v>0</v>
      </c>
      <c r="J592" s="37">
        <v>0</v>
      </c>
    </row>
    <row r="593" spans="1:10" x14ac:dyDescent="0.25">
      <c r="A593" t="s">
        <v>1640</v>
      </c>
      <c r="B593" t="s">
        <v>1641</v>
      </c>
      <c r="C593" t="s">
        <v>101</v>
      </c>
      <c r="D593" t="s">
        <v>355</v>
      </c>
      <c r="E593" s="36">
        <v>1800</v>
      </c>
      <c r="F593" s="36">
        <v>2100</v>
      </c>
      <c r="G593" s="36">
        <v>1050</v>
      </c>
      <c r="H593" s="36">
        <v>1200</v>
      </c>
      <c r="I593" s="37">
        <v>0</v>
      </c>
      <c r="J593" s="37">
        <v>0</v>
      </c>
    </row>
    <row r="594" spans="1:10" x14ac:dyDescent="0.25">
      <c r="A594" t="s">
        <v>1642</v>
      </c>
      <c r="B594" t="s">
        <v>1643</v>
      </c>
      <c r="C594" t="s">
        <v>101</v>
      </c>
      <c r="D594" t="s">
        <v>355</v>
      </c>
      <c r="E594" s="36">
        <v>3500</v>
      </c>
      <c r="F594" s="36">
        <v>4000</v>
      </c>
      <c r="G594" s="36">
        <v>2000</v>
      </c>
      <c r="H594" s="36">
        <v>2300</v>
      </c>
      <c r="I594" s="37">
        <v>0</v>
      </c>
      <c r="J594" s="37">
        <v>0</v>
      </c>
    </row>
    <row r="595" spans="1:10" x14ac:dyDescent="0.25">
      <c r="A595" t="s">
        <v>1644</v>
      </c>
      <c r="B595" t="s">
        <v>1645</v>
      </c>
      <c r="C595" t="s">
        <v>229</v>
      </c>
      <c r="D595" t="s">
        <v>355</v>
      </c>
      <c r="E595" s="36">
        <v>550</v>
      </c>
      <c r="F595" s="36">
        <v>650</v>
      </c>
      <c r="G595" s="36">
        <v>320</v>
      </c>
      <c r="H595" s="36">
        <v>370</v>
      </c>
      <c r="I595" s="37">
        <v>0</v>
      </c>
      <c r="J595" s="37">
        <v>0</v>
      </c>
    </row>
    <row r="596" spans="1:10" x14ac:dyDescent="0.25">
      <c r="A596" t="s">
        <v>1646</v>
      </c>
      <c r="B596" t="s">
        <v>1647</v>
      </c>
      <c r="C596" t="s">
        <v>229</v>
      </c>
      <c r="D596" t="s">
        <v>355</v>
      </c>
      <c r="E596" s="36">
        <v>700</v>
      </c>
      <c r="F596" s="36">
        <v>800</v>
      </c>
      <c r="G596" s="36">
        <v>400</v>
      </c>
      <c r="H596" s="36">
        <v>460</v>
      </c>
      <c r="I596" s="37">
        <v>0</v>
      </c>
      <c r="J596" s="37">
        <v>0</v>
      </c>
    </row>
    <row r="597" spans="1:10" x14ac:dyDescent="0.25">
      <c r="A597" t="s">
        <v>1648</v>
      </c>
      <c r="B597" t="s">
        <v>1649</v>
      </c>
      <c r="C597" t="s">
        <v>229</v>
      </c>
      <c r="D597" t="s">
        <v>355</v>
      </c>
      <c r="E597" s="36">
        <v>600</v>
      </c>
      <c r="F597" s="36">
        <v>700</v>
      </c>
      <c r="G597" s="36">
        <v>350</v>
      </c>
      <c r="H597" s="36">
        <v>400</v>
      </c>
      <c r="I597" s="37">
        <v>0</v>
      </c>
      <c r="J597" s="37">
        <v>0</v>
      </c>
    </row>
    <row r="598" spans="1:10" x14ac:dyDescent="0.25">
      <c r="A598" t="s">
        <v>1650</v>
      </c>
      <c r="B598" t="s">
        <v>1651</v>
      </c>
      <c r="C598" t="s">
        <v>89</v>
      </c>
      <c r="D598" t="s">
        <v>335</v>
      </c>
      <c r="E598" s="36">
        <v>600</v>
      </c>
      <c r="F598" s="36">
        <v>700</v>
      </c>
      <c r="G598" s="36">
        <v>350</v>
      </c>
      <c r="H598" s="36">
        <v>400</v>
      </c>
      <c r="I598" s="37">
        <v>0</v>
      </c>
      <c r="J598" s="37">
        <v>0</v>
      </c>
    </row>
    <row r="599" spans="1:10" x14ac:dyDescent="0.25">
      <c r="A599" t="s">
        <v>1652</v>
      </c>
      <c r="B599" t="s">
        <v>1653</v>
      </c>
      <c r="C599" t="s">
        <v>101</v>
      </c>
      <c r="D599" t="s">
        <v>355</v>
      </c>
      <c r="E599" s="36">
        <v>3500</v>
      </c>
      <c r="F599" s="36">
        <v>4000</v>
      </c>
      <c r="G599" s="36">
        <v>2000</v>
      </c>
      <c r="H599" s="36">
        <v>2300</v>
      </c>
      <c r="I599" s="37">
        <v>0</v>
      </c>
      <c r="J599" s="37">
        <v>0</v>
      </c>
    </row>
    <row r="600" spans="1:10" x14ac:dyDescent="0.25">
      <c r="A600" t="s">
        <v>1654</v>
      </c>
      <c r="B600" t="s">
        <v>1655</v>
      </c>
      <c r="C600" t="s">
        <v>229</v>
      </c>
      <c r="D600" t="s">
        <v>379</v>
      </c>
      <c r="E600" s="36">
        <v>450</v>
      </c>
      <c r="F600" s="36">
        <v>520</v>
      </c>
      <c r="G600" s="36">
        <v>260</v>
      </c>
      <c r="H600" s="36">
        <v>300</v>
      </c>
      <c r="I600" s="37">
        <v>0</v>
      </c>
      <c r="J600" s="37">
        <v>0</v>
      </c>
    </row>
    <row r="601" spans="1:10" x14ac:dyDescent="0.25">
      <c r="A601" t="s">
        <v>1656</v>
      </c>
      <c r="B601" t="s">
        <v>1657</v>
      </c>
      <c r="C601" t="s">
        <v>101</v>
      </c>
      <c r="D601" t="s">
        <v>355</v>
      </c>
      <c r="E601" s="36">
        <v>400</v>
      </c>
      <c r="F601" s="36">
        <v>460</v>
      </c>
      <c r="G601" s="36">
        <v>230</v>
      </c>
      <c r="H601" s="36">
        <v>265</v>
      </c>
      <c r="I601" s="37">
        <v>0</v>
      </c>
      <c r="J601" s="37">
        <v>0</v>
      </c>
    </row>
    <row r="602" spans="1:10" x14ac:dyDescent="0.25">
      <c r="A602" t="s">
        <v>1658</v>
      </c>
      <c r="B602" t="s">
        <v>1659</v>
      </c>
      <c r="C602" t="s">
        <v>539</v>
      </c>
      <c r="D602" t="s">
        <v>363</v>
      </c>
      <c r="E602" s="36">
        <v>95000</v>
      </c>
      <c r="F602" s="36">
        <v>110000</v>
      </c>
      <c r="G602" s="36">
        <v>55000</v>
      </c>
      <c r="H602" s="36">
        <v>63000</v>
      </c>
      <c r="I602" s="37">
        <v>0</v>
      </c>
      <c r="J602" s="37">
        <v>0</v>
      </c>
    </row>
    <row r="603" spans="1:10" x14ac:dyDescent="0.25">
      <c r="A603" t="s">
        <v>1660</v>
      </c>
      <c r="B603" t="s">
        <v>1661</v>
      </c>
      <c r="C603" t="s">
        <v>539</v>
      </c>
      <c r="D603" t="s">
        <v>363</v>
      </c>
      <c r="E603" s="36">
        <v>55000</v>
      </c>
      <c r="F603" s="36">
        <v>63000</v>
      </c>
      <c r="G603" s="36">
        <v>32000</v>
      </c>
      <c r="H603" s="36">
        <v>36500</v>
      </c>
      <c r="I603" s="37">
        <v>0</v>
      </c>
      <c r="J603" s="37">
        <v>0</v>
      </c>
    </row>
    <row r="604" spans="1:10" x14ac:dyDescent="0.25">
      <c r="A604" t="s">
        <v>1662</v>
      </c>
      <c r="B604" t="s">
        <v>1663</v>
      </c>
      <c r="C604" t="s">
        <v>101</v>
      </c>
      <c r="D604" t="s">
        <v>355</v>
      </c>
      <c r="E604" s="36">
        <v>900</v>
      </c>
      <c r="F604" s="36">
        <v>1050</v>
      </c>
      <c r="G604" s="36">
        <v>520</v>
      </c>
      <c r="H604" s="36">
        <v>600</v>
      </c>
      <c r="I604" s="37">
        <v>0</v>
      </c>
      <c r="J604" s="37">
        <v>0</v>
      </c>
    </row>
    <row r="605" spans="1:10" x14ac:dyDescent="0.25">
      <c r="A605" t="s">
        <v>1664</v>
      </c>
      <c r="B605" t="s">
        <v>1665</v>
      </c>
      <c r="C605" t="s">
        <v>229</v>
      </c>
      <c r="D605" t="s">
        <v>351</v>
      </c>
      <c r="E605" s="36">
        <v>180</v>
      </c>
      <c r="F605" s="36">
        <v>210</v>
      </c>
      <c r="G605" s="36">
        <v>110</v>
      </c>
      <c r="H605" s="36">
        <v>125</v>
      </c>
      <c r="I605" s="37">
        <v>0</v>
      </c>
      <c r="J605" s="37">
        <v>0</v>
      </c>
    </row>
    <row r="606" spans="1:10" x14ac:dyDescent="0.25">
      <c r="A606" t="s">
        <v>1666</v>
      </c>
      <c r="B606" t="s">
        <v>1667</v>
      </c>
      <c r="C606" t="s">
        <v>89</v>
      </c>
      <c r="D606" t="s">
        <v>339</v>
      </c>
      <c r="E606" s="36">
        <v>150</v>
      </c>
      <c r="F606" s="36">
        <v>180</v>
      </c>
      <c r="G606" s="36">
        <v>90</v>
      </c>
      <c r="H606" s="36">
        <v>105</v>
      </c>
      <c r="I606" s="37">
        <v>0</v>
      </c>
      <c r="J606" s="37">
        <v>0</v>
      </c>
    </row>
    <row r="607" spans="1:10" x14ac:dyDescent="0.25">
      <c r="A607" t="s">
        <v>1668</v>
      </c>
      <c r="B607" t="s">
        <v>1669</v>
      </c>
      <c r="C607" t="s">
        <v>89</v>
      </c>
      <c r="D607" t="s">
        <v>351</v>
      </c>
      <c r="E607" s="36">
        <v>60</v>
      </c>
      <c r="F607" s="36">
        <v>70</v>
      </c>
      <c r="G607" s="36">
        <v>35</v>
      </c>
      <c r="H607" s="36">
        <v>42</v>
      </c>
      <c r="I607" s="37">
        <v>0</v>
      </c>
      <c r="J607" s="37">
        <v>0</v>
      </c>
    </row>
    <row r="608" spans="1:10" x14ac:dyDescent="0.25">
      <c r="A608" t="s">
        <v>1670</v>
      </c>
      <c r="B608" t="s">
        <v>1671</v>
      </c>
      <c r="C608" t="s">
        <v>89</v>
      </c>
      <c r="D608" t="s">
        <v>339</v>
      </c>
      <c r="E608" s="36">
        <v>45</v>
      </c>
      <c r="F608" s="36">
        <v>55</v>
      </c>
      <c r="G608" s="36">
        <v>28</v>
      </c>
      <c r="H608" s="36">
        <v>33</v>
      </c>
      <c r="I608" s="37">
        <v>0</v>
      </c>
      <c r="J608" s="37">
        <v>0</v>
      </c>
    </row>
    <row r="609" spans="1:10" x14ac:dyDescent="0.25">
      <c r="A609" t="s">
        <v>1672</v>
      </c>
      <c r="B609" t="s">
        <v>1673</v>
      </c>
      <c r="C609" t="s">
        <v>89</v>
      </c>
      <c r="D609" t="s">
        <v>339</v>
      </c>
      <c r="E609" s="36">
        <v>45</v>
      </c>
      <c r="F609" s="36">
        <v>55</v>
      </c>
      <c r="G609" s="36">
        <v>28</v>
      </c>
      <c r="H609" s="36">
        <v>33</v>
      </c>
      <c r="I609" s="37">
        <v>0</v>
      </c>
      <c r="J609" s="37">
        <v>0</v>
      </c>
    </row>
    <row r="610" spans="1:10" x14ac:dyDescent="0.25">
      <c r="A610" t="s">
        <v>1674</v>
      </c>
      <c r="B610" t="s">
        <v>1675</v>
      </c>
      <c r="C610" t="s">
        <v>243</v>
      </c>
      <c r="D610" t="s">
        <v>339</v>
      </c>
      <c r="E610" s="36">
        <v>5500</v>
      </c>
      <c r="F610" s="36">
        <v>6500</v>
      </c>
      <c r="G610" s="36">
        <v>3500</v>
      </c>
      <c r="H610" s="36">
        <v>4100</v>
      </c>
      <c r="I610" s="37">
        <v>0</v>
      </c>
      <c r="J610" s="37">
        <v>0</v>
      </c>
    </row>
    <row r="611" spans="1:10" x14ac:dyDescent="0.25">
      <c r="A611" t="s">
        <v>1676</v>
      </c>
      <c r="B611" t="s">
        <v>1677</v>
      </c>
      <c r="C611" t="s">
        <v>243</v>
      </c>
      <c r="D611" t="s">
        <v>351</v>
      </c>
      <c r="E611" s="36">
        <v>5000</v>
      </c>
      <c r="F611" s="36">
        <v>5800</v>
      </c>
      <c r="G611" s="36">
        <v>3000</v>
      </c>
      <c r="H611" s="36">
        <v>3500</v>
      </c>
      <c r="I611" s="37">
        <v>0</v>
      </c>
      <c r="J611" s="37">
        <v>0</v>
      </c>
    </row>
    <row r="612" spans="1:10" x14ac:dyDescent="0.25">
      <c r="A612" t="s">
        <v>1678</v>
      </c>
      <c r="B612" t="s">
        <v>1679</v>
      </c>
      <c r="C612" t="s">
        <v>89</v>
      </c>
      <c r="D612" t="s">
        <v>351</v>
      </c>
      <c r="E612" s="36">
        <v>300</v>
      </c>
      <c r="F612" s="36">
        <v>350</v>
      </c>
      <c r="G612" s="36">
        <v>180</v>
      </c>
      <c r="H612" s="36">
        <v>210</v>
      </c>
      <c r="I612" s="37">
        <v>0</v>
      </c>
      <c r="J612" s="37">
        <v>0</v>
      </c>
    </row>
    <row r="613" spans="1:10" x14ac:dyDescent="0.25">
      <c r="A613" t="s">
        <v>1680</v>
      </c>
      <c r="B613" t="s">
        <v>1681</v>
      </c>
      <c r="C613" t="s">
        <v>89</v>
      </c>
      <c r="D613" t="s">
        <v>351</v>
      </c>
      <c r="E613" s="36">
        <v>150</v>
      </c>
      <c r="F613" s="36">
        <v>175</v>
      </c>
      <c r="G613" s="36">
        <v>90</v>
      </c>
      <c r="H613" s="36">
        <v>105</v>
      </c>
      <c r="I613" s="37">
        <v>0</v>
      </c>
      <c r="J613" s="37">
        <v>0</v>
      </c>
    </row>
    <row r="614" spans="1:10" x14ac:dyDescent="0.25">
      <c r="A614" t="s">
        <v>1682</v>
      </c>
      <c r="B614" t="s">
        <v>1683</v>
      </c>
      <c r="C614" t="s">
        <v>89</v>
      </c>
      <c r="D614" t="s">
        <v>351</v>
      </c>
      <c r="E614" s="36">
        <v>380</v>
      </c>
      <c r="F614" s="36">
        <v>440</v>
      </c>
      <c r="G614" s="36">
        <v>230</v>
      </c>
      <c r="H614" s="36">
        <v>265</v>
      </c>
      <c r="I614" s="37">
        <v>0</v>
      </c>
      <c r="J614" s="37">
        <v>0</v>
      </c>
    </row>
    <row r="615" spans="1:10" x14ac:dyDescent="0.25">
      <c r="A615" t="s">
        <v>1684</v>
      </c>
      <c r="B615" t="s">
        <v>1685</v>
      </c>
      <c r="C615" t="s">
        <v>89</v>
      </c>
      <c r="D615" t="s">
        <v>355</v>
      </c>
      <c r="E615" s="36">
        <v>450</v>
      </c>
      <c r="F615" s="36">
        <v>520</v>
      </c>
      <c r="G615" s="36">
        <v>270</v>
      </c>
      <c r="H615" s="36">
        <v>310</v>
      </c>
      <c r="I615" s="37">
        <v>0</v>
      </c>
      <c r="J615" s="37">
        <v>0</v>
      </c>
    </row>
    <row r="616" spans="1:10" x14ac:dyDescent="0.25">
      <c r="A616" t="s">
        <v>1686</v>
      </c>
      <c r="B616" t="s">
        <v>1687</v>
      </c>
      <c r="C616" t="s">
        <v>243</v>
      </c>
      <c r="D616" t="s">
        <v>351</v>
      </c>
      <c r="E616" s="36">
        <v>1440</v>
      </c>
      <c r="F616" s="36">
        <v>1728</v>
      </c>
      <c r="G616" s="36">
        <v>800</v>
      </c>
      <c r="H616" s="36">
        <v>920</v>
      </c>
      <c r="I616" s="37">
        <v>0.1076923076923078</v>
      </c>
      <c r="J616" s="37">
        <v>0.15199999999999991</v>
      </c>
    </row>
    <row r="617" spans="1:10" x14ac:dyDescent="0.25">
      <c r="A617" t="s">
        <v>1688</v>
      </c>
      <c r="B617" t="s">
        <v>1689</v>
      </c>
      <c r="C617" t="s">
        <v>89</v>
      </c>
      <c r="D617" t="s">
        <v>331</v>
      </c>
      <c r="E617" s="36">
        <v>200</v>
      </c>
      <c r="F617" s="36">
        <v>230</v>
      </c>
      <c r="G617" s="36">
        <v>120</v>
      </c>
      <c r="H617" s="36">
        <v>140</v>
      </c>
      <c r="I617" s="37">
        <v>0</v>
      </c>
      <c r="J617" s="37">
        <v>0</v>
      </c>
    </row>
    <row r="618" spans="1:10" x14ac:dyDescent="0.25">
      <c r="A618" t="s">
        <v>1690</v>
      </c>
      <c r="B618" t="s">
        <v>1691</v>
      </c>
      <c r="C618" t="s">
        <v>243</v>
      </c>
      <c r="D618" t="s">
        <v>331</v>
      </c>
      <c r="E618" s="36">
        <v>1614</v>
      </c>
      <c r="F618" s="36">
        <v>1936</v>
      </c>
      <c r="G618" s="36">
        <v>850</v>
      </c>
      <c r="H618" s="36">
        <v>980</v>
      </c>
      <c r="I618" s="37">
        <v>0.1528571428571428</v>
      </c>
      <c r="J618" s="37">
        <v>0.21</v>
      </c>
    </row>
    <row r="619" spans="1:10" x14ac:dyDescent="0.25">
      <c r="A619" t="s">
        <v>1692</v>
      </c>
      <c r="B619" t="s">
        <v>1693</v>
      </c>
      <c r="C619" t="s">
        <v>89</v>
      </c>
      <c r="D619" t="s">
        <v>339</v>
      </c>
      <c r="E619" s="36">
        <v>450</v>
      </c>
      <c r="F619" s="36">
        <v>550</v>
      </c>
      <c r="G619" s="36">
        <v>280</v>
      </c>
      <c r="H619" s="36">
        <v>330</v>
      </c>
      <c r="I619" s="37">
        <v>0</v>
      </c>
      <c r="J619" s="37">
        <v>0</v>
      </c>
    </row>
    <row r="620" spans="1:10" x14ac:dyDescent="0.25">
      <c r="A620" t="s">
        <v>1694</v>
      </c>
      <c r="B620" t="s">
        <v>1695</v>
      </c>
      <c r="C620" t="s">
        <v>89</v>
      </c>
      <c r="D620" t="s">
        <v>351</v>
      </c>
      <c r="E620" s="36">
        <v>380</v>
      </c>
      <c r="F620" s="36">
        <v>450</v>
      </c>
      <c r="G620" s="36">
        <v>230</v>
      </c>
      <c r="H620" s="36">
        <v>270</v>
      </c>
      <c r="I620" s="37">
        <v>0</v>
      </c>
      <c r="J620" s="37">
        <v>0</v>
      </c>
    </row>
    <row r="621" spans="1:10" x14ac:dyDescent="0.25">
      <c r="A621" t="s">
        <v>1696</v>
      </c>
      <c r="B621" t="s">
        <v>1697</v>
      </c>
      <c r="C621" t="s">
        <v>89</v>
      </c>
      <c r="D621" t="s">
        <v>351</v>
      </c>
      <c r="E621" s="36">
        <v>15</v>
      </c>
      <c r="F621" s="36">
        <v>18</v>
      </c>
      <c r="G621" s="36">
        <v>9</v>
      </c>
      <c r="H621" s="36">
        <v>11</v>
      </c>
      <c r="I621" s="37">
        <v>0</v>
      </c>
      <c r="J621" s="37">
        <v>0</v>
      </c>
    </row>
    <row r="622" spans="1:10" x14ac:dyDescent="0.25">
      <c r="A622" t="s">
        <v>1698</v>
      </c>
      <c r="B622" t="s">
        <v>1699</v>
      </c>
      <c r="C622" t="s">
        <v>89</v>
      </c>
      <c r="D622" t="s">
        <v>339</v>
      </c>
      <c r="E622" s="36">
        <v>450</v>
      </c>
      <c r="F622" s="36">
        <v>550</v>
      </c>
      <c r="G622" s="36">
        <v>280</v>
      </c>
      <c r="H622" s="36">
        <v>330</v>
      </c>
      <c r="I622" s="37">
        <v>0</v>
      </c>
      <c r="J622" s="37">
        <v>0</v>
      </c>
    </row>
    <row r="623" spans="1:10" x14ac:dyDescent="0.25">
      <c r="A623" t="s">
        <v>1700</v>
      </c>
      <c r="B623" t="s">
        <v>1701</v>
      </c>
      <c r="C623" t="s">
        <v>89</v>
      </c>
      <c r="D623" t="s">
        <v>327</v>
      </c>
      <c r="E623" s="36">
        <v>440</v>
      </c>
      <c r="F623" s="36">
        <v>528</v>
      </c>
      <c r="G623" s="36">
        <v>240</v>
      </c>
      <c r="H623" s="36">
        <v>280</v>
      </c>
      <c r="I623" s="37">
        <v>0.1000000000000001</v>
      </c>
      <c r="J623" s="37">
        <v>0.123404255319149</v>
      </c>
    </row>
    <row r="624" spans="1:10" x14ac:dyDescent="0.25">
      <c r="A624" t="s">
        <v>1702</v>
      </c>
      <c r="B624" t="s">
        <v>1703</v>
      </c>
      <c r="C624" t="s">
        <v>89</v>
      </c>
      <c r="D624" t="s">
        <v>339</v>
      </c>
      <c r="E624" s="36">
        <v>250</v>
      </c>
      <c r="F624" s="36">
        <v>290</v>
      </c>
      <c r="G624" s="36">
        <v>150</v>
      </c>
      <c r="H624" s="36">
        <v>175</v>
      </c>
      <c r="I624" s="37">
        <v>0</v>
      </c>
      <c r="J624" s="37">
        <v>0</v>
      </c>
    </row>
    <row r="625" spans="1:10" x14ac:dyDescent="0.25">
      <c r="A625" t="s">
        <v>1704</v>
      </c>
      <c r="B625" t="s">
        <v>1705</v>
      </c>
      <c r="C625" t="s">
        <v>229</v>
      </c>
      <c r="D625" t="s">
        <v>339</v>
      </c>
      <c r="E625" s="36">
        <v>400</v>
      </c>
      <c r="F625" s="36">
        <v>470</v>
      </c>
      <c r="G625" s="36">
        <v>240</v>
      </c>
      <c r="H625" s="36">
        <v>280</v>
      </c>
      <c r="I625" s="37">
        <v>0</v>
      </c>
      <c r="J625" s="37">
        <v>0</v>
      </c>
    </row>
    <row r="626" spans="1:10" x14ac:dyDescent="0.25">
      <c r="A626" t="s">
        <v>1706</v>
      </c>
      <c r="B626" t="s">
        <v>1707</v>
      </c>
      <c r="C626" t="s">
        <v>89</v>
      </c>
      <c r="D626" t="s">
        <v>339</v>
      </c>
      <c r="E626" s="36">
        <v>600</v>
      </c>
      <c r="F626" s="36">
        <v>700</v>
      </c>
      <c r="G626" s="36">
        <v>360</v>
      </c>
      <c r="H626" s="36">
        <v>420</v>
      </c>
      <c r="I626" s="37">
        <v>0</v>
      </c>
      <c r="J626" s="37">
        <v>0</v>
      </c>
    </row>
    <row r="627" spans="1:10" x14ac:dyDescent="0.25">
      <c r="A627" t="s">
        <v>1708</v>
      </c>
      <c r="B627" t="s">
        <v>1709</v>
      </c>
      <c r="C627" t="s">
        <v>89</v>
      </c>
      <c r="D627" t="s">
        <v>339</v>
      </c>
      <c r="E627" s="36">
        <v>50</v>
      </c>
      <c r="F627" s="36">
        <v>60</v>
      </c>
      <c r="G627" s="36">
        <v>30</v>
      </c>
      <c r="H627" s="36">
        <v>35</v>
      </c>
      <c r="I627" s="37">
        <v>0</v>
      </c>
      <c r="J627" s="37">
        <v>0</v>
      </c>
    </row>
    <row r="628" spans="1:10" x14ac:dyDescent="0.25">
      <c r="A628" t="s">
        <v>1710</v>
      </c>
      <c r="B628" t="s">
        <v>1711</v>
      </c>
      <c r="C628" t="s">
        <v>101</v>
      </c>
      <c r="D628" t="s">
        <v>351</v>
      </c>
      <c r="E628" s="36">
        <v>720</v>
      </c>
      <c r="F628" s="36">
        <v>864</v>
      </c>
      <c r="G628" s="36">
        <v>300</v>
      </c>
      <c r="H628" s="36">
        <v>350</v>
      </c>
      <c r="I628" s="37">
        <v>0.43999999999999989</v>
      </c>
      <c r="J628" s="37">
        <v>0.43999999999999989</v>
      </c>
    </row>
    <row r="629" spans="1:10" x14ac:dyDescent="0.25">
      <c r="A629" t="s">
        <v>1712</v>
      </c>
      <c r="B629" t="s">
        <v>1713</v>
      </c>
      <c r="C629" t="s">
        <v>101</v>
      </c>
      <c r="D629" t="s">
        <v>351</v>
      </c>
      <c r="E629" s="36">
        <v>840</v>
      </c>
      <c r="F629" s="36">
        <v>1008</v>
      </c>
      <c r="G629" s="36">
        <v>360</v>
      </c>
      <c r="H629" s="36">
        <v>420</v>
      </c>
      <c r="I629" s="37">
        <v>0.39999999999999991</v>
      </c>
      <c r="J629" s="37">
        <v>0.43999999999999989</v>
      </c>
    </row>
    <row r="630" spans="1:10" x14ac:dyDescent="0.25">
      <c r="A630" t="s">
        <v>1714</v>
      </c>
      <c r="B630" t="s">
        <v>1715</v>
      </c>
      <c r="C630" t="s">
        <v>101</v>
      </c>
      <c r="D630" t="s">
        <v>351</v>
      </c>
      <c r="E630" s="36">
        <v>1080</v>
      </c>
      <c r="F630" s="36">
        <v>1296</v>
      </c>
      <c r="G630" s="36">
        <v>480</v>
      </c>
      <c r="H630" s="36">
        <v>570</v>
      </c>
      <c r="I630" s="37">
        <v>0.35000000000000009</v>
      </c>
      <c r="J630" s="37">
        <v>0.36421052631578948</v>
      </c>
    </row>
    <row r="631" spans="1:10" x14ac:dyDescent="0.25">
      <c r="A631" t="s">
        <v>1716</v>
      </c>
      <c r="B631" t="s">
        <v>1717</v>
      </c>
      <c r="C631" t="s">
        <v>89</v>
      </c>
      <c r="D631" t="s">
        <v>351</v>
      </c>
      <c r="E631" s="36">
        <v>350</v>
      </c>
      <c r="F631" s="36">
        <v>400</v>
      </c>
      <c r="G631" s="36">
        <v>210</v>
      </c>
      <c r="H631" s="36">
        <v>240</v>
      </c>
      <c r="I631" s="37">
        <v>0</v>
      </c>
      <c r="J631" s="37">
        <v>0</v>
      </c>
    </row>
    <row r="632" spans="1:10" x14ac:dyDescent="0.25">
      <c r="A632" t="s">
        <v>1718</v>
      </c>
      <c r="B632" t="s">
        <v>1719</v>
      </c>
      <c r="C632" t="s">
        <v>229</v>
      </c>
      <c r="D632" t="s">
        <v>351</v>
      </c>
      <c r="E632" s="36">
        <v>350</v>
      </c>
      <c r="F632" s="36">
        <v>400</v>
      </c>
      <c r="G632" s="36">
        <v>210</v>
      </c>
      <c r="H632" s="36">
        <v>240</v>
      </c>
      <c r="I632" s="37">
        <v>0</v>
      </c>
      <c r="J632" s="37">
        <v>0</v>
      </c>
    </row>
    <row r="633" spans="1:10" x14ac:dyDescent="0.25">
      <c r="A633" t="s">
        <v>1720</v>
      </c>
      <c r="B633" t="s">
        <v>1721</v>
      </c>
      <c r="C633" t="s">
        <v>229</v>
      </c>
      <c r="D633" t="s">
        <v>351</v>
      </c>
      <c r="E633" s="36">
        <v>280</v>
      </c>
      <c r="F633" s="36">
        <v>320</v>
      </c>
      <c r="G633" s="36">
        <v>170</v>
      </c>
      <c r="H633" s="36">
        <v>195</v>
      </c>
      <c r="I633" s="37">
        <v>0</v>
      </c>
      <c r="J633" s="37">
        <v>0</v>
      </c>
    </row>
    <row r="634" spans="1:10" x14ac:dyDescent="0.25">
      <c r="A634" t="s">
        <v>1722</v>
      </c>
      <c r="B634" t="s">
        <v>1723</v>
      </c>
      <c r="C634" t="s">
        <v>229</v>
      </c>
      <c r="D634" t="s">
        <v>351</v>
      </c>
      <c r="E634" s="36">
        <v>90</v>
      </c>
      <c r="F634" s="36">
        <v>100</v>
      </c>
      <c r="G634" s="36">
        <v>55</v>
      </c>
      <c r="H634" s="36">
        <v>60</v>
      </c>
      <c r="I634" s="37">
        <v>0</v>
      </c>
      <c r="J634" s="37">
        <v>0</v>
      </c>
    </row>
    <row r="635" spans="1:10" x14ac:dyDescent="0.25">
      <c r="A635" t="s">
        <v>1724</v>
      </c>
      <c r="B635" t="s">
        <v>1725</v>
      </c>
      <c r="C635" t="s">
        <v>229</v>
      </c>
      <c r="D635" t="s">
        <v>351</v>
      </c>
      <c r="E635" s="36">
        <v>320</v>
      </c>
      <c r="F635" s="36">
        <v>370</v>
      </c>
      <c r="G635" s="36">
        <v>190</v>
      </c>
      <c r="H635" s="36">
        <v>220</v>
      </c>
      <c r="I635" s="37">
        <v>0</v>
      </c>
      <c r="J635" s="37">
        <v>0</v>
      </c>
    </row>
    <row r="636" spans="1:10" x14ac:dyDescent="0.25">
      <c r="A636" t="s">
        <v>1726</v>
      </c>
      <c r="B636" t="s">
        <v>1727</v>
      </c>
      <c r="C636" t="s">
        <v>229</v>
      </c>
      <c r="D636" t="s">
        <v>339</v>
      </c>
      <c r="E636" s="36">
        <v>380</v>
      </c>
      <c r="F636" s="36">
        <v>450</v>
      </c>
      <c r="G636" s="36">
        <v>220</v>
      </c>
      <c r="H636" s="36">
        <v>260</v>
      </c>
      <c r="I636" s="37">
        <v>0</v>
      </c>
      <c r="J636" s="37">
        <v>0</v>
      </c>
    </row>
    <row r="637" spans="1:10" x14ac:dyDescent="0.25">
      <c r="A637" t="s">
        <v>1728</v>
      </c>
      <c r="B637" t="s">
        <v>1729</v>
      </c>
      <c r="C637" t="s">
        <v>89</v>
      </c>
      <c r="D637" t="s">
        <v>351</v>
      </c>
      <c r="E637" s="36">
        <v>2600</v>
      </c>
      <c r="F637" s="36">
        <v>3000</v>
      </c>
      <c r="G637" s="36">
        <v>1600</v>
      </c>
      <c r="H637" s="36">
        <v>1850</v>
      </c>
      <c r="I637" s="37">
        <v>0</v>
      </c>
      <c r="J637" s="37">
        <v>0</v>
      </c>
    </row>
    <row r="638" spans="1:10" x14ac:dyDescent="0.25">
      <c r="A638" t="s">
        <v>1730</v>
      </c>
      <c r="B638" t="s">
        <v>1731</v>
      </c>
      <c r="C638" t="s">
        <v>229</v>
      </c>
      <c r="D638" t="s">
        <v>351</v>
      </c>
      <c r="E638" s="36">
        <v>90</v>
      </c>
      <c r="F638" s="36">
        <v>100</v>
      </c>
      <c r="G638" s="36">
        <v>55</v>
      </c>
      <c r="H638" s="36">
        <v>60</v>
      </c>
      <c r="I638" s="37">
        <v>0</v>
      </c>
      <c r="J638" s="37">
        <v>0</v>
      </c>
    </row>
    <row r="639" spans="1:10" x14ac:dyDescent="0.25">
      <c r="A639" t="s">
        <v>1732</v>
      </c>
      <c r="B639" t="s">
        <v>1733</v>
      </c>
      <c r="C639" t="s">
        <v>89</v>
      </c>
      <c r="D639" t="s">
        <v>351</v>
      </c>
      <c r="E639" s="36">
        <v>200</v>
      </c>
      <c r="F639" s="36">
        <v>230</v>
      </c>
      <c r="G639" s="36">
        <v>120</v>
      </c>
      <c r="H639" s="36">
        <v>140</v>
      </c>
      <c r="I639" s="37">
        <v>0</v>
      </c>
      <c r="J639" s="37">
        <v>0</v>
      </c>
    </row>
    <row r="640" spans="1:10" x14ac:dyDescent="0.25">
      <c r="A640" t="s">
        <v>1734</v>
      </c>
      <c r="B640" t="s">
        <v>1735</v>
      </c>
      <c r="C640" t="s">
        <v>89</v>
      </c>
      <c r="D640" t="s">
        <v>351</v>
      </c>
      <c r="E640" s="36">
        <v>480</v>
      </c>
      <c r="F640" s="36">
        <v>576</v>
      </c>
      <c r="G640" s="36">
        <v>270</v>
      </c>
      <c r="H640" s="36">
        <v>310</v>
      </c>
      <c r="I640" s="37">
        <v>6.6666666666666652E-2</v>
      </c>
      <c r="J640" s="37">
        <v>0.1076923076923078</v>
      </c>
    </row>
    <row r="641" spans="1:10" x14ac:dyDescent="0.25">
      <c r="A641" t="s">
        <v>1736</v>
      </c>
      <c r="B641" t="s">
        <v>1737</v>
      </c>
      <c r="C641" t="s">
        <v>229</v>
      </c>
      <c r="D641" t="s">
        <v>339</v>
      </c>
      <c r="E641" s="36">
        <v>550</v>
      </c>
      <c r="F641" s="36">
        <v>650</v>
      </c>
      <c r="G641" s="36">
        <v>330</v>
      </c>
      <c r="H641" s="36">
        <v>390</v>
      </c>
      <c r="I641" s="37">
        <v>0</v>
      </c>
      <c r="J641" s="37">
        <v>0</v>
      </c>
    </row>
    <row r="642" spans="1:10" x14ac:dyDescent="0.25">
      <c r="A642" t="s">
        <v>1738</v>
      </c>
      <c r="B642" t="s">
        <v>1739</v>
      </c>
      <c r="C642" t="s">
        <v>89</v>
      </c>
      <c r="D642" t="s">
        <v>351</v>
      </c>
      <c r="E642" s="36">
        <v>650</v>
      </c>
      <c r="F642" s="36">
        <v>750</v>
      </c>
      <c r="G642" s="36">
        <v>400</v>
      </c>
      <c r="H642" s="36">
        <v>460</v>
      </c>
      <c r="I642" s="37">
        <v>0</v>
      </c>
      <c r="J642" s="37">
        <v>0</v>
      </c>
    </row>
    <row r="643" spans="1:10" x14ac:dyDescent="0.25">
      <c r="A643" t="s">
        <v>208</v>
      </c>
      <c r="B643" t="s">
        <v>1740</v>
      </c>
      <c r="C643" t="s">
        <v>89</v>
      </c>
      <c r="D643" t="s">
        <v>351</v>
      </c>
      <c r="E643" s="36">
        <v>380</v>
      </c>
      <c r="F643" s="36">
        <v>450</v>
      </c>
      <c r="G643" s="36">
        <v>230</v>
      </c>
      <c r="H643" s="36">
        <v>270</v>
      </c>
      <c r="I643" s="37">
        <v>0</v>
      </c>
      <c r="J643" s="37">
        <v>0</v>
      </c>
    </row>
    <row r="644" spans="1:10" x14ac:dyDescent="0.25">
      <c r="A644" t="s">
        <v>1741</v>
      </c>
      <c r="B644" t="s">
        <v>1742</v>
      </c>
      <c r="C644" t="s">
        <v>89</v>
      </c>
      <c r="D644" t="s">
        <v>351</v>
      </c>
      <c r="E644" s="36">
        <v>380</v>
      </c>
      <c r="F644" s="36">
        <v>450</v>
      </c>
      <c r="G644" s="36">
        <v>230</v>
      </c>
      <c r="H644" s="36">
        <v>270</v>
      </c>
      <c r="I644" s="37">
        <v>0</v>
      </c>
      <c r="J644" s="37">
        <v>0</v>
      </c>
    </row>
    <row r="645" spans="1:10" x14ac:dyDescent="0.25">
      <c r="A645" t="s">
        <v>1743</v>
      </c>
      <c r="B645" t="s">
        <v>1744</v>
      </c>
      <c r="C645" t="s">
        <v>89</v>
      </c>
      <c r="D645" t="s">
        <v>351</v>
      </c>
      <c r="E645" s="36">
        <v>650</v>
      </c>
      <c r="F645" s="36">
        <v>750</v>
      </c>
      <c r="G645" s="36">
        <v>400</v>
      </c>
      <c r="H645" s="36">
        <v>460</v>
      </c>
      <c r="I645" s="37">
        <v>0</v>
      </c>
      <c r="J645" s="37">
        <v>0</v>
      </c>
    </row>
    <row r="646" spans="1:10" x14ac:dyDescent="0.25">
      <c r="A646" t="s">
        <v>1745</v>
      </c>
      <c r="B646" t="s">
        <v>1746</v>
      </c>
      <c r="C646" t="s">
        <v>89</v>
      </c>
      <c r="D646" t="s">
        <v>363</v>
      </c>
      <c r="E646" s="36">
        <v>960</v>
      </c>
      <c r="F646" s="36">
        <v>1152</v>
      </c>
      <c r="G646" s="36">
        <v>550</v>
      </c>
      <c r="H646" s="36">
        <v>640</v>
      </c>
      <c r="I646" s="37">
        <v>6.6666666666666652E-2</v>
      </c>
      <c r="J646" s="37">
        <v>9.7142857142857197E-2</v>
      </c>
    </row>
    <row r="647" spans="1:10" x14ac:dyDescent="0.25">
      <c r="A647" t="s">
        <v>1747</v>
      </c>
      <c r="B647" t="s">
        <v>1748</v>
      </c>
      <c r="C647" t="s">
        <v>89</v>
      </c>
      <c r="D647" t="s">
        <v>351</v>
      </c>
      <c r="E647" s="36">
        <v>220</v>
      </c>
      <c r="F647" s="36">
        <v>260</v>
      </c>
      <c r="G647" s="36">
        <v>130</v>
      </c>
      <c r="H647" s="36">
        <v>150</v>
      </c>
      <c r="I647" s="37">
        <v>0</v>
      </c>
      <c r="J647" s="37">
        <v>0</v>
      </c>
    </row>
    <row r="648" spans="1:10" x14ac:dyDescent="0.25">
      <c r="A648" t="s">
        <v>200</v>
      </c>
      <c r="B648" t="s">
        <v>1749</v>
      </c>
      <c r="C648" t="s">
        <v>89</v>
      </c>
      <c r="D648" t="s">
        <v>351</v>
      </c>
      <c r="E648" s="36">
        <v>380</v>
      </c>
      <c r="F648" s="36">
        <v>450</v>
      </c>
      <c r="G648" s="36">
        <v>230</v>
      </c>
      <c r="H648" s="36">
        <v>270</v>
      </c>
      <c r="I648" s="37">
        <v>0</v>
      </c>
      <c r="J648" s="37">
        <v>0</v>
      </c>
    </row>
    <row r="649" spans="1:10" x14ac:dyDescent="0.25">
      <c r="A649" t="s">
        <v>1750</v>
      </c>
      <c r="B649" t="s">
        <v>1751</v>
      </c>
      <c r="C649" t="s">
        <v>89</v>
      </c>
      <c r="D649" t="s">
        <v>351</v>
      </c>
      <c r="E649" s="36">
        <v>750</v>
      </c>
      <c r="F649" s="36">
        <v>870</v>
      </c>
      <c r="G649" s="36">
        <v>450</v>
      </c>
      <c r="H649" s="36">
        <v>520</v>
      </c>
      <c r="I649" s="37">
        <v>0</v>
      </c>
      <c r="J649" s="37">
        <v>0</v>
      </c>
    </row>
    <row r="650" spans="1:10" x14ac:dyDescent="0.25">
      <c r="A650" t="s">
        <v>1752</v>
      </c>
      <c r="B650" t="s">
        <v>1753</v>
      </c>
      <c r="C650" t="s">
        <v>229</v>
      </c>
      <c r="D650" t="s">
        <v>351</v>
      </c>
      <c r="E650" s="36">
        <v>900</v>
      </c>
      <c r="F650" s="36">
        <v>1050</v>
      </c>
      <c r="G650" s="36">
        <v>550</v>
      </c>
      <c r="H650" s="36">
        <v>640</v>
      </c>
      <c r="I650" s="37">
        <v>0</v>
      </c>
      <c r="J650" s="37">
        <v>0</v>
      </c>
    </row>
    <row r="651" spans="1:10" x14ac:dyDescent="0.25">
      <c r="A651" t="s">
        <v>1754</v>
      </c>
      <c r="B651" t="s">
        <v>1755</v>
      </c>
      <c r="C651" t="s">
        <v>89</v>
      </c>
      <c r="D651" t="s">
        <v>351</v>
      </c>
      <c r="E651" s="36">
        <v>420</v>
      </c>
      <c r="F651" s="36">
        <v>500</v>
      </c>
      <c r="G651" s="36">
        <v>250</v>
      </c>
      <c r="H651" s="36">
        <v>300</v>
      </c>
      <c r="I651" s="37">
        <v>0</v>
      </c>
      <c r="J651" s="37">
        <v>0</v>
      </c>
    </row>
    <row r="652" spans="1:10" x14ac:dyDescent="0.25">
      <c r="A652" t="s">
        <v>67</v>
      </c>
      <c r="B652" t="s">
        <v>1756</v>
      </c>
      <c r="C652" t="s">
        <v>89</v>
      </c>
      <c r="D652" t="s">
        <v>351</v>
      </c>
      <c r="E652" s="36">
        <v>1800</v>
      </c>
      <c r="F652" s="36">
        <v>2160</v>
      </c>
      <c r="G652" s="36">
        <v>1000</v>
      </c>
      <c r="H652" s="36">
        <v>1150</v>
      </c>
      <c r="I652" s="37">
        <v>0.125</v>
      </c>
      <c r="J652" s="37">
        <v>0.1368421052631579</v>
      </c>
    </row>
    <row r="653" spans="1:10" x14ac:dyDescent="0.25">
      <c r="A653" t="s">
        <v>1757</v>
      </c>
      <c r="B653" t="s">
        <v>1758</v>
      </c>
      <c r="C653" t="s">
        <v>229</v>
      </c>
      <c r="D653" t="s">
        <v>351</v>
      </c>
      <c r="E653" s="36">
        <v>2400</v>
      </c>
      <c r="F653" s="36">
        <v>2800</v>
      </c>
      <c r="G653" s="36">
        <v>1500</v>
      </c>
      <c r="H653" s="36">
        <v>1750</v>
      </c>
      <c r="I653" s="37">
        <v>0</v>
      </c>
      <c r="J653" s="37">
        <v>0</v>
      </c>
    </row>
    <row r="654" spans="1:10" x14ac:dyDescent="0.25">
      <c r="A654" t="s">
        <v>1759</v>
      </c>
      <c r="B654" t="s">
        <v>1760</v>
      </c>
      <c r="C654" t="s">
        <v>89</v>
      </c>
      <c r="D654" t="s">
        <v>339</v>
      </c>
      <c r="E654" s="36">
        <v>600</v>
      </c>
      <c r="F654" s="36">
        <v>700</v>
      </c>
      <c r="G654" s="36">
        <v>370</v>
      </c>
      <c r="H654" s="36">
        <v>430</v>
      </c>
      <c r="I654" s="37">
        <v>0</v>
      </c>
      <c r="J654" s="37">
        <v>0</v>
      </c>
    </row>
    <row r="655" spans="1:10" x14ac:dyDescent="0.25">
      <c r="A655" t="s">
        <v>1761</v>
      </c>
      <c r="B655" t="s">
        <v>1762</v>
      </c>
      <c r="C655" t="s">
        <v>89</v>
      </c>
      <c r="D655" t="s">
        <v>339</v>
      </c>
      <c r="E655" s="36">
        <v>660</v>
      </c>
      <c r="F655" s="36">
        <v>770</v>
      </c>
      <c r="G655" s="36">
        <v>400</v>
      </c>
      <c r="H655" s="36">
        <v>470</v>
      </c>
      <c r="I655" s="37">
        <v>0</v>
      </c>
      <c r="J655" s="37">
        <v>0</v>
      </c>
    </row>
    <row r="656" spans="1:10" x14ac:dyDescent="0.25">
      <c r="A656" t="s">
        <v>1763</v>
      </c>
      <c r="B656" t="s">
        <v>1764</v>
      </c>
      <c r="C656" t="s">
        <v>89</v>
      </c>
      <c r="D656" t="s">
        <v>339</v>
      </c>
      <c r="E656" s="36">
        <v>720</v>
      </c>
      <c r="F656" s="36">
        <v>840</v>
      </c>
      <c r="G656" s="36">
        <v>440</v>
      </c>
      <c r="H656" s="36">
        <v>510</v>
      </c>
      <c r="I656" s="37">
        <v>0</v>
      </c>
      <c r="J656" s="37">
        <v>0</v>
      </c>
    </row>
    <row r="657" spans="1:10" x14ac:dyDescent="0.25">
      <c r="A657" t="s">
        <v>1765</v>
      </c>
      <c r="B657" t="s">
        <v>1766</v>
      </c>
      <c r="C657" t="s">
        <v>89</v>
      </c>
      <c r="D657" t="s">
        <v>339</v>
      </c>
      <c r="E657" s="36">
        <v>780</v>
      </c>
      <c r="F657" s="36">
        <v>910</v>
      </c>
      <c r="G657" s="36">
        <v>480</v>
      </c>
      <c r="H657" s="36">
        <v>560</v>
      </c>
      <c r="I657" s="37">
        <v>0</v>
      </c>
      <c r="J657" s="37">
        <v>0</v>
      </c>
    </row>
    <row r="658" spans="1:10" x14ac:dyDescent="0.25">
      <c r="A658" t="s">
        <v>1767</v>
      </c>
      <c r="B658" t="s">
        <v>1768</v>
      </c>
      <c r="C658" t="s">
        <v>89</v>
      </c>
      <c r="D658" t="s">
        <v>339</v>
      </c>
      <c r="E658" s="36">
        <v>750</v>
      </c>
      <c r="F658" s="36">
        <v>870</v>
      </c>
      <c r="G658" s="36">
        <v>460</v>
      </c>
      <c r="H658" s="36">
        <v>530</v>
      </c>
      <c r="I658" s="37">
        <v>0</v>
      </c>
      <c r="J658" s="37">
        <v>0</v>
      </c>
    </row>
    <row r="659" spans="1:10" x14ac:dyDescent="0.25">
      <c r="A659" t="s">
        <v>1769</v>
      </c>
      <c r="B659" t="s">
        <v>1770</v>
      </c>
      <c r="C659" t="s">
        <v>229</v>
      </c>
      <c r="D659" t="s">
        <v>347</v>
      </c>
      <c r="E659" s="36">
        <v>150</v>
      </c>
      <c r="F659" s="36">
        <v>180</v>
      </c>
      <c r="G659" s="36">
        <v>70</v>
      </c>
      <c r="H659" s="36">
        <v>80</v>
      </c>
      <c r="I659" s="37">
        <v>0</v>
      </c>
      <c r="J659" s="37">
        <v>0</v>
      </c>
    </row>
    <row r="660" spans="1:10" x14ac:dyDescent="0.25">
      <c r="A660" t="s">
        <v>1771</v>
      </c>
      <c r="B660" t="s">
        <v>1772</v>
      </c>
      <c r="C660" t="s">
        <v>89</v>
      </c>
      <c r="D660" t="s">
        <v>327</v>
      </c>
      <c r="E660" s="36">
        <v>367</v>
      </c>
      <c r="F660" s="36">
        <v>440</v>
      </c>
      <c r="G660" s="36">
        <v>210</v>
      </c>
      <c r="H660" s="36">
        <v>240</v>
      </c>
      <c r="I660" s="37">
        <v>4.8571428571428488E-2</v>
      </c>
      <c r="J660" s="37">
        <v>0.1000000000000001</v>
      </c>
    </row>
    <row r="661" spans="1:10" x14ac:dyDescent="0.25">
      <c r="A661" t="s">
        <v>1773</v>
      </c>
      <c r="B661" t="s">
        <v>1774</v>
      </c>
      <c r="C661" t="s">
        <v>89</v>
      </c>
      <c r="D661" t="s">
        <v>327</v>
      </c>
      <c r="E661" s="36">
        <v>80</v>
      </c>
      <c r="F661" s="36">
        <v>95</v>
      </c>
      <c r="G661" s="36">
        <v>50</v>
      </c>
      <c r="H661" s="36">
        <v>55</v>
      </c>
      <c r="I661" s="37">
        <v>0</v>
      </c>
      <c r="J661" s="37">
        <v>0</v>
      </c>
    </row>
    <row r="662" spans="1:10" x14ac:dyDescent="0.25">
      <c r="A662" t="s">
        <v>1775</v>
      </c>
      <c r="B662" t="s">
        <v>1776</v>
      </c>
      <c r="C662" t="s">
        <v>89</v>
      </c>
      <c r="D662" t="s">
        <v>351</v>
      </c>
      <c r="E662" s="36">
        <v>300</v>
      </c>
      <c r="F662" s="36">
        <v>350</v>
      </c>
      <c r="G662" s="36">
        <v>180</v>
      </c>
      <c r="H662" s="36">
        <v>210</v>
      </c>
      <c r="I662" s="37">
        <v>0</v>
      </c>
      <c r="J662" s="37">
        <v>0</v>
      </c>
    </row>
    <row r="663" spans="1:10" x14ac:dyDescent="0.25">
      <c r="A663" t="s">
        <v>1777</v>
      </c>
      <c r="B663" t="s">
        <v>1778</v>
      </c>
      <c r="C663" t="s">
        <v>229</v>
      </c>
      <c r="D663" t="s">
        <v>351</v>
      </c>
      <c r="E663" s="36">
        <v>150</v>
      </c>
      <c r="F663" s="36">
        <v>180</v>
      </c>
      <c r="G663" s="36">
        <v>90</v>
      </c>
      <c r="H663" s="36">
        <v>105</v>
      </c>
      <c r="I663" s="37">
        <v>0</v>
      </c>
      <c r="J663" s="37">
        <v>0</v>
      </c>
    </row>
    <row r="664" spans="1:10" x14ac:dyDescent="0.25">
      <c r="A664" t="s">
        <v>1779</v>
      </c>
      <c r="B664" t="s">
        <v>1780</v>
      </c>
      <c r="C664" t="s">
        <v>89</v>
      </c>
      <c r="D664" t="s">
        <v>351</v>
      </c>
      <c r="E664" s="36">
        <v>350</v>
      </c>
      <c r="F664" s="36">
        <v>400</v>
      </c>
      <c r="G664" s="36">
        <v>210</v>
      </c>
      <c r="H664" s="36">
        <v>240</v>
      </c>
      <c r="I664" s="37">
        <v>0</v>
      </c>
      <c r="J664" s="37">
        <v>0</v>
      </c>
    </row>
    <row r="665" spans="1:10" x14ac:dyDescent="0.25">
      <c r="A665" t="s">
        <v>1781</v>
      </c>
      <c r="B665" t="s">
        <v>1782</v>
      </c>
      <c r="C665" t="s">
        <v>89</v>
      </c>
      <c r="D665" t="s">
        <v>339</v>
      </c>
      <c r="E665" s="36">
        <v>500</v>
      </c>
      <c r="F665" s="36">
        <v>580</v>
      </c>
      <c r="G665" s="36">
        <v>300</v>
      </c>
      <c r="H665" s="36">
        <v>350</v>
      </c>
      <c r="I665" s="37">
        <v>0</v>
      </c>
      <c r="J665" s="37">
        <v>0</v>
      </c>
    </row>
    <row r="666" spans="1:10" x14ac:dyDescent="0.25">
      <c r="A666" t="s">
        <v>1783</v>
      </c>
      <c r="B666" t="s">
        <v>1784</v>
      </c>
      <c r="C666" t="s">
        <v>89</v>
      </c>
      <c r="D666" t="s">
        <v>339</v>
      </c>
      <c r="E666" s="36">
        <v>80</v>
      </c>
      <c r="F666" s="36">
        <v>95</v>
      </c>
      <c r="G666" s="36">
        <v>50</v>
      </c>
      <c r="H666" s="36">
        <v>55</v>
      </c>
      <c r="I666" s="37">
        <v>0</v>
      </c>
      <c r="J666" s="37">
        <v>0</v>
      </c>
    </row>
    <row r="667" spans="1:10" x14ac:dyDescent="0.25">
      <c r="A667" t="s">
        <v>1785</v>
      </c>
      <c r="B667" t="s">
        <v>1786</v>
      </c>
      <c r="C667" t="s">
        <v>89</v>
      </c>
      <c r="D667" t="s">
        <v>339</v>
      </c>
      <c r="E667" s="36">
        <v>1200</v>
      </c>
      <c r="F667" s="36">
        <v>1400</v>
      </c>
      <c r="G667" s="36">
        <v>720</v>
      </c>
      <c r="H667" s="36">
        <v>830</v>
      </c>
      <c r="I667" s="37">
        <v>0</v>
      </c>
      <c r="J667" s="37">
        <v>0</v>
      </c>
    </row>
    <row r="668" spans="1:10" x14ac:dyDescent="0.25">
      <c r="A668" t="s">
        <v>1787</v>
      </c>
      <c r="B668" t="s">
        <v>1788</v>
      </c>
      <c r="C668" t="s">
        <v>89</v>
      </c>
      <c r="D668" t="s">
        <v>347</v>
      </c>
      <c r="E668" s="36">
        <v>480</v>
      </c>
      <c r="F668" s="36">
        <v>550</v>
      </c>
      <c r="G668" s="36">
        <v>290</v>
      </c>
      <c r="H668" s="36">
        <v>330</v>
      </c>
      <c r="I668" s="37">
        <v>0</v>
      </c>
      <c r="J668" s="37">
        <v>0</v>
      </c>
    </row>
    <row r="669" spans="1:10" x14ac:dyDescent="0.25">
      <c r="A669" t="s">
        <v>1789</v>
      </c>
      <c r="B669" t="s">
        <v>1790</v>
      </c>
      <c r="C669" t="s">
        <v>229</v>
      </c>
      <c r="D669" t="s">
        <v>347</v>
      </c>
      <c r="E669" s="36">
        <v>60</v>
      </c>
      <c r="F669" s="36">
        <v>70</v>
      </c>
      <c r="G669" s="36">
        <v>35</v>
      </c>
      <c r="H669" s="36">
        <v>42</v>
      </c>
      <c r="I669" s="37">
        <v>0</v>
      </c>
      <c r="J669" s="37">
        <v>0</v>
      </c>
    </row>
    <row r="670" spans="1:10" x14ac:dyDescent="0.25">
      <c r="A670" t="s">
        <v>1791</v>
      </c>
      <c r="B670" t="s">
        <v>1792</v>
      </c>
      <c r="C670" t="s">
        <v>229</v>
      </c>
      <c r="D670" t="s">
        <v>351</v>
      </c>
      <c r="E670" s="36">
        <v>250</v>
      </c>
      <c r="F670" s="36">
        <v>290</v>
      </c>
      <c r="G670" s="36">
        <v>150</v>
      </c>
      <c r="H670" s="36">
        <v>175</v>
      </c>
      <c r="I670" s="37">
        <v>0</v>
      </c>
      <c r="J670" s="37">
        <v>0</v>
      </c>
    </row>
    <row r="671" spans="1:10" x14ac:dyDescent="0.25">
      <c r="A671" t="s">
        <v>1793</v>
      </c>
      <c r="B671" t="s">
        <v>1794</v>
      </c>
      <c r="C671" t="s">
        <v>229</v>
      </c>
      <c r="D671" t="s">
        <v>351</v>
      </c>
      <c r="E671" s="36">
        <v>360</v>
      </c>
      <c r="F671" s="36">
        <v>432</v>
      </c>
      <c r="G671" s="36">
        <v>210</v>
      </c>
      <c r="H671" s="36">
        <v>240</v>
      </c>
      <c r="I671" s="37">
        <v>2.857142857142847E-2</v>
      </c>
      <c r="J671" s="37">
        <v>8.0000000000000071E-2</v>
      </c>
    </row>
    <row r="672" spans="1:10" x14ac:dyDescent="0.25">
      <c r="A672" t="s">
        <v>1795</v>
      </c>
      <c r="B672" t="s">
        <v>1796</v>
      </c>
      <c r="C672" t="s">
        <v>229</v>
      </c>
      <c r="D672" t="s">
        <v>351</v>
      </c>
      <c r="E672" s="36">
        <v>300</v>
      </c>
      <c r="F672" s="36">
        <v>350</v>
      </c>
      <c r="G672" s="36">
        <v>180</v>
      </c>
      <c r="H672" s="36">
        <v>210</v>
      </c>
      <c r="I672" s="37">
        <v>0</v>
      </c>
      <c r="J672" s="37">
        <v>0</v>
      </c>
    </row>
    <row r="673" spans="1:10" x14ac:dyDescent="0.25">
      <c r="A673" t="s">
        <v>1797</v>
      </c>
      <c r="B673" t="s">
        <v>1798</v>
      </c>
      <c r="C673" t="s">
        <v>229</v>
      </c>
      <c r="D673" t="s">
        <v>351</v>
      </c>
      <c r="E673" s="36">
        <v>220</v>
      </c>
      <c r="F673" s="36">
        <v>260</v>
      </c>
      <c r="G673" s="36">
        <v>130</v>
      </c>
      <c r="H673" s="36">
        <v>150</v>
      </c>
      <c r="I673" s="37">
        <v>0</v>
      </c>
      <c r="J673" s="37">
        <v>0</v>
      </c>
    </row>
    <row r="674" spans="1:10" x14ac:dyDescent="0.25">
      <c r="A674" t="s">
        <v>1799</v>
      </c>
      <c r="B674" t="s">
        <v>1800</v>
      </c>
      <c r="C674" t="s">
        <v>229</v>
      </c>
      <c r="D674" t="s">
        <v>351</v>
      </c>
      <c r="E674" s="36">
        <v>260</v>
      </c>
      <c r="F674" s="36">
        <v>300</v>
      </c>
      <c r="G674" s="36">
        <v>155</v>
      </c>
      <c r="H674" s="36">
        <v>180</v>
      </c>
      <c r="I674" s="37">
        <v>0</v>
      </c>
      <c r="J674" s="37">
        <v>0</v>
      </c>
    </row>
    <row r="675" spans="1:10" x14ac:dyDescent="0.25">
      <c r="A675" t="s">
        <v>1801</v>
      </c>
      <c r="B675" t="s">
        <v>1802</v>
      </c>
      <c r="C675" t="s">
        <v>229</v>
      </c>
      <c r="D675" t="s">
        <v>351</v>
      </c>
      <c r="E675" s="36">
        <v>400</v>
      </c>
      <c r="F675" s="36">
        <v>460</v>
      </c>
      <c r="G675" s="36">
        <v>240</v>
      </c>
      <c r="H675" s="36">
        <v>280</v>
      </c>
      <c r="I675" s="37">
        <v>0</v>
      </c>
      <c r="J675" s="37">
        <v>0</v>
      </c>
    </row>
    <row r="676" spans="1:10" x14ac:dyDescent="0.25">
      <c r="A676" t="s">
        <v>1803</v>
      </c>
      <c r="B676" t="s">
        <v>1804</v>
      </c>
      <c r="C676" t="s">
        <v>229</v>
      </c>
      <c r="D676" t="s">
        <v>351</v>
      </c>
      <c r="E676" s="36">
        <v>360</v>
      </c>
      <c r="F676" s="36">
        <v>432</v>
      </c>
      <c r="G676" s="36">
        <v>210</v>
      </c>
      <c r="H676" s="36">
        <v>240</v>
      </c>
      <c r="I676" s="37">
        <v>2.857142857142847E-2</v>
      </c>
      <c r="J676" s="37">
        <v>8.0000000000000071E-2</v>
      </c>
    </row>
    <row r="677" spans="1:10" x14ac:dyDescent="0.25">
      <c r="A677" t="s">
        <v>1805</v>
      </c>
      <c r="B677" t="s">
        <v>1806</v>
      </c>
      <c r="C677" t="s">
        <v>229</v>
      </c>
      <c r="D677" t="s">
        <v>351</v>
      </c>
      <c r="E677" s="36">
        <v>170</v>
      </c>
      <c r="F677" s="36">
        <v>200</v>
      </c>
      <c r="G677" s="36">
        <v>100</v>
      </c>
      <c r="H677" s="36">
        <v>120</v>
      </c>
      <c r="I677" s="37">
        <v>0</v>
      </c>
      <c r="J677" s="37">
        <v>0</v>
      </c>
    </row>
    <row r="678" spans="1:10" x14ac:dyDescent="0.25">
      <c r="A678" t="s">
        <v>1807</v>
      </c>
      <c r="B678" t="s">
        <v>1808</v>
      </c>
      <c r="C678" t="s">
        <v>229</v>
      </c>
      <c r="D678" t="s">
        <v>351</v>
      </c>
      <c r="E678" s="36">
        <v>150</v>
      </c>
      <c r="F678" s="36">
        <v>175</v>
      </c>
      <c r="G678" s="36">
        <v>90</v>
      </c>
      <c r="H678" s="36">
        <v>105</v>
      </c>
      <c r="I678" s="37">
        <v>0</v>
      </c>
      <c r="J678" s="37">
        <v>0</v>
      </c>
    </row>
    <row r="679" spans="1:10" x14ac:dyDescent="0.25">
      <c r="A679" t="s">
        <v>1809</v>
      </c>
      <c r="B679" t="s">
        <v>1810</v>
      </c>
      <c r="C679" t="s">
        <v>229</v>
      </c>
      <c r="D679" t="s">
        <v>327</v>
      </c>
      <c r="E679" s="36">
        <v>60</v>
      </c>
      <c r="F679" s="36">
        <v>70</v>
      </c>
      <c r="G679" s="36">
        <v>36</v>
      </c>
      <c r="H679" s="36">
        <v>42</v>
      </c>
      <c r="I679" s="37">
        <v>0</v>
      </c>
      <c r="J679" s="37">
        <v>0</v>
      </c>
    </row>
    <row r="680" spans="1:10" x14ac:dyDescent="0.25">
      <c r="A680" t="s">
        <v>1811</v>
      </c>
      <c r="B680" t="s">
        <v>1812</v>
      </c>
      <c r="C680" t="s">
        <v>229</v>
      </c>
      <c r="D680" t="s">
        <v>351</v>
      </c>
      <c r="E680" s="36">
        <v>400</v>
      </c>
      <c r="F680" s="36">
        <v>460</v>
      </c>
      <c r="G680" s="36">
        <v>240</v>
      </c>
      <c r="H680" s="36">
        <v>280</v>
      </c>
      <c r="I680" s="37">
        <v>0</v>
      </c>
      <c r="J680" s="37">
        <v>0</v>
      </c>
    </row>
    <row r="681" spans="1:10" x14ac:dyDescent="0.25">
      <c r="A681" t="s">
        <v>1813</v>
      </c>
      <c r="B681" t="s">
        <v>1814</v>
      </c>
      <c r="C681" t="s">
        <v>89</v>
      </c>
      <c r="D681" t="s">
        <v>351</v>
      </c>
      <c r="E681" s="36">
        <v>720</v>
      </c>
      <c r="F681" s="36">
        <v>864</v>
      </c>
      <c r="G681" s="36">
        <v>360</v>
      </c>
      <c r="H681" s="36">
        <v>420</v>
      </c>
      <c r="I681" s="37">
        <v>0.2</v>
      </c>
      <c r="J681" s="37">
        <v>0.23428571428571421</v>
      </c>
    </row>
    <row r="682" spans="1:10" x14ac:dyDescent="0.25">
      <c r="A682" t="s">
        <v>1815</v>
      </c>
      <c r="B682" t="s">
        <v>1816</v>
      </c>
      <c r="C682" t="s">
        <v>89</v>
      </c>
      <c r="D682" t="s">
        <v>351</v>
      </c>
      <c r="E682" s="36">
        <v>600</v>
      </c>
      <c r="F682" s="36">
        <v>720</v>
      </c>
      <c r="G682" s="36">
        <v>330</v>
      </c>
      <c r="H682" s="36">
        <v>390</v>
      </c>
      <c r="I682" s="37">
        <v>9.0909090909090828E-2</v>
      </c>
      <c r="J682" s="37">
        <v>0.1076923076923078</v>
      </c>
    </row>
    <row r="683" spans="1:10" x14ac:dyDescent="0.25">
      <c r="A683" t="s">
        <v>1817</v>
      </c>
      <c r="B683" t="s">
        <v>1818</v>
      </c>
      <c r="C683" t="s">
        <v>101</v>
      </c>
      <c r="D683" t="s">
        <v>351</v>
      </c>
      <c r="E683" s="36">
        <v>960</v>
      </c>
      <c r="F683" s="36">
        <v>1152</v>
      </c>
      <c r="G683" s="36">
        <v>540</v>
      </c>
      <c r="H683" s="36">
        <v>630</v>
      </c>
      <c r="I683" s="37">
        <v>6.6666666666666652E-2</v>
      </c>
      <c r="J683" s="37">
        <v>9.7142857142857197E-2</v>
      </c>
    </row>
    <row r="684" spans="1:10" x14ac:dyDescent="0.25">
      <c r="A684" t="s">
        <v>1819</v>
      </c>
      <c r="B684" t="s">
        <v>1820</v>
      </c>
      <c r="C684" t="s">
        <v>89</v>
      </c>
      <c r="D684" t="s">
        <v>339</v>
      </c>
      <c r="E684" s="36">
        <v>4000</v>
      </c>
      <c r="F684" s="36">
        <v>4600</v>
      </c>
      <c r="G684" s="36">
        <v>2400</v>
      </c>
      <c r="H684" s="36">
        <v>2800</v>
      </c>
      <c r="I684" s="37">
        <v>0</v>
      </c>
      <c r="J684" s="37">
        <v>0</v>
      </c>
    </row>
    <row r="685" spans="1:10" x14ac:dyDescent="0.25">
      <c r="A685" t="s">
        <v>1821</v>
      </c>
      <c r="B685" t="s">
        <v>1822</v>
      </c>
      <c r="C685" t="s">
        <v>89</v>
      </c>
      <c r="D685" t="s">
        <v>327</v>
      </c>
      <c r="E685" s="36">
        <v>300</v>
      </c>
      <c r="F685" s="36">
        <v>350</v>
      </c>
      <c r="G685" s="36">
        <v>180</v>
      </c>
      <c r="H685" s="36">
        <v>210</v>
      </c>
      <c r="I685" s="37">
        <v>0</v>
      </c>
      <c r="J685" s="37">
        <v>0</v>
      </c>
    </row>
    <row r="686" spans="1:10" x14ac:dyDescent="0.25">
      <c r="A686" t="s">
        <v>1823</v>
      </c>
      <c r="B686" t="s">
        <v>1824</v>
      </c>
      <c r="C686" t="s">
        <v>89</v>
      </c>
      <c r="D686" t="s">
        <v>386</v>
      </c>
      <c r="E686" s="36">
        <v>1600</v>
      </c>
      <c r="F686" s="36">
        <v>1900</v>
      </c>
      <c r="G686" s="36">
        <v>900</v>
      </c>
      <c r="H686" s="36">
        <v>1050</v>
      </c>
      <c r="I686" s="37">
        <v>6.6666666666666652E-2</v>
      </c>
      <c r="J686" s="37">
        <v>8.5714285714285632E-2</v>
      </c>
    </row>
    <row r="687" spans="1:10" x14ac:dyDescent="0.25">
      <c r="A687" t="s">
        <v>1825</v>
      </c>
      <c r="B687" t="s">
        <v>1826</v>
      </c>
      <c r="C687" t="s">
        <v>89</v>
      </c>
      <c r="D687" t="s">
        <v>343</v>
      </c>
      <c r="E687" s="36">
        <v>1387</v>
      </c>
      <c r="F687" s="36">
        <v>1647</v>
      </c>
      <c r="G687" s="36">
        <v>800</v>
      </c>
      <c r="H687" s="36">
        <v>920</v>
      </c>
      <c r="I687" s="37">
        <v>6.6923076923076863E-2</v>
      </c>
      <c r="J687" s="37">
        <v>9.8000000000000087E-2</v>
      </c>
    </row>
    <row r="688" spans="1:10" x14ac:dyDescent="0.25">
      <c r="A688" t="s">
        <v>1827</v>
      </c>
      <c r="B688" t="s">
        <v>1828</v>
      </c>
      <c r="C688" t="s">
        <v>89</v>
      </c>
      <c r="D688" t="s">
        <v>343</v>
      </c>
      <c r="E688" s="36">
        <v>1100</v>
      </c>
      <c r="F688" s="36">
        <v>1300</v>
      </c>
      <c r="G688" s="36">
        <v>680</v>
      </c>
      <c r="H688" s="36">
        <v>790</v>
      </c>
      <c r="I688" s="37">
        <v>0</v>
      </c>
      <c r="J688" s="37">
        <v>0</v>
      </c>
    </row>
    <row r="689" spans="1:10" x14ac:dyDescent="0.25">
      <c r="A689" t="s">
        <v>1829</v>
      </c>
      <c r="B689" t="s">
        <v>1830</v>
      </c>
      <c r="C689" t="s">
        <v>243</v>
      </c>
      <c r="D689" t="s">
        <v>343</v>
      </c>
      <c r="E689" s="36">
        <v>4800</v>
      </c>
      <c r="F689" s="36">
        <v>5700</v>
      </c>
      <c r="G689" s="36">
        <v>2800</v>
      </c>
      <c r="H689" s="36">
        <v>3200</v>
      </c>
      <c r="I689" s="37">
        <v>6.6666666666666652E-2</v>
      </c>
      <c r="J689" s="37">
        <v>9.6153846153846256E-2</v>
      </c>
    </row>
    <row r="690" spans="1:10" x14ac:dyDescent="0.25">
      <c r="A690" t="s">
        <v>1831</v>
      </c>
      <c r="B690" t="s">
        <v>1832</v>
      </c>
      <c r="C690" t="s">
        <v>89</v>
      </c>
      <c r="D690" t="s">
        <v>343</v>
      </c>
      <c r="E690" s="36">
        <v>1300</v>
      </c>
      <c r="F690" s="36">
        <v>1500</v>
      </c>
      <c r="G690" s="36">
        <v>800</v>
      </c>
      <c r="H690" s="36">
        <v>920</v>
      </c>
      <c r="I690" s="37">
        <v>0</v>
      </c>
      <c r="J690" s="37">
        <v>0</v>
      </c>
    </row>
    <row r="691" spans="1:10" x14ac:dyDescent="0.25">
      <c r="A691" t="s">
        <v>1833</v>
      </c>
      <c r="B691" t="s">
        <v>1834</v>
      </c>
      <c r="C691" t="s">
        <v>89</v>
      </c>
      <c r="D691" t="s">
        <v>386</v>
      </c>
      <c r="E691" s="36">
        <v>2667</v>
      </c>
      <c r="F691" s="36">
        <v>3167</v>
      </c>
      <c r="G691" s="36">
        <v>1000</v>
      </c>
      <c r="H691" s="36">
        <v>1150</v>
      </c>
      <c r="I691" s="37">
        <v>0.66687500000000011</v>
      </c>
      <c r="J691" s="37">
        <v>0.75944444444444437</v>
      </c>
    </row>
    <row r="692" spans="1:10" x14ac:dyDescent="0.25">
      <c r="A692" t="s">
        <v>1835</v>
      </c>
      <c r="B692" t="s">
        <v>1836</v>
      </c>
      <c r="C692" t="s">
        <v>89</v>
      </c>
      <c r="D692" t="s">
        <v>386</v>
      </c>
      <c r="E692" s="36">
        <v>2134</v>
      </c>
      <c r="F692" s="36">
        <v>2534</v>
      </c>
      <c r="G692" s="36">
        <v>850</v>
      </c>
      <c r="H692" s="36">
        <v>980</v>
      </c>
      <c r="I692" s="37">
        <v>0.52428571428571424</v>
      </c>
      <c r="J692" s="37">
        <v>0.58374999999999999</v>
      </c>
    </row>
    <row r="693" spans="1:10" x14ac:dyDescent="0.25">
      <c r="A693" t="s">
        <v>1837</v>
      </c>
      <c r="B693" t="s">
        <v>1838</v>
      </c>
      <c r="C693" t="s">
        <v>89</v>
      </c>
      <c r="D693" t="s">
        <v>386</v>
      </c>
      <c r="E693" s="36">
        <v>2667</v>
      </c>
      <c r="F693" s="36">
        <v>3167</v>
      </c>
      <c r="G693" s="36">
        <v>1000</v>
      </c>
      <c r="H693" s="36">
        <v>1150</v>
      </c>
      <c r="I693" s="37">
        <v>0.66687500000000011</v>
      </c>
      <c r="J693" s="37">
        <v>0.75944444444444437</v>
      </c>
    </row>
    <row r="694" spans="1:10" x14ac:dyDescent="0.25">
      <c r="A694" t="s">
        <v>1839</v>
      </c>
      <c r="B694" t="s">
        <v>1840</v>
      </c>
      <c r="C694" t="s">
        <v>89</v>
      </c>
      <c r="D694" t="s">
        <v>386</v>
      </c>
      <c r="E694" s="36">
        <v>1920</v>
      </c>
      <c r="F694" s="36">
        <v>2280</v>
      </c>
      <c r="G694" s="36">
        <v>1100</v>
      </c>
      <c r="H694" s="36">
        <v>1270</v>
      </c>
      <c r="I694" s="37">
        <v>6.6666666666666652E-2</v>
      </c>
      <c r="J694" s="37">
        <v>8.5714285714285632E-2</v>
      </c>
    </row>
    <row r="695" spans="1:10" x14ac:dyDescent="0.25">
      <c r="A695" t="s">
        <v>1841</v>
      </c>
      <c r="B695" t="s">
        <v>1842</v>
      </c>
      <c r="C695" t="s">
        <v>89</v>
      </c>
      <c r="D695" t="s">
        <v>347</v>
      </c>
      <c r="E695" s="36">
        <v>280</v>
      </c>
      <c r="F695" s="36">
        <v>320</v>
      </c>
      <c r="G695" s="36">
        <v>170</v>
      </c>
      <c r="H695" s="36">
        <v>195</v>
      </c>
      <c r="I695" s="37">
        <v>0</v>
      </c>
      <c r="J695" s="37">
        <v>0</v>
      </c>
    </row>
    <row r="696" spans="1:10" x14ac:dyDescent="0.25">
      <c r="A696" t="s">
        <v>1843</v>
      </c>
      <c r="B696" t="s">
        <v>1844</v>
      </c>
      <c r="C696" t="s">
        <v>89</v>
      </c>
      <c r="D696" t="s">
        <v>343</v>
      </c>
      <c r="E696" s="36">
        <v>1400</v>
      </c>
      <c r="F696" s="36">
        <v>1647</v>
      </c>
      <c r="G696" s="36">
        <v>850</v>
      </c>
      <c r="H696" s="36">
        <v>980</v>
      </c>
      <c r="I696" s="37">
        <v>0</v>
      </c>
      <c r="J696" s="37">
        <v>2.9374999999999929E-2</v>
      </c>
    </row>
    <row r="697" spans="1:10" x14ac:dyDescent="0.25">
      <c r="A697" t="s">
        <v>1845</v>
      </c>
      <c r="B697" t="s">
        <v>1846</v>
      </c>
      <c r="C697" t="s">
        <v>89</v>
      </c>
      <c r="D697" t="s">
        <v>343</v>
      </c>
      <c r="E697" s="36">
        <v>1814</v>
      </c>
      <c r="F697" s="36">
        <v>2154</v>
      </c>
      <c r="G697" s="36">
        <v>1050</v>
      </c>
      <c r="H697" s="36">
        <v>1220</v>
      </c>
      <c r="I697" s="37">
        <v>6.7058823529411837E-2</v>
      </c>
      <c r="J697" s="37">
        <v>7.6999999999999957E-2</v>
      </c>
    </row>
    <row r="698" spans="1:10" x14ac:dyDescent="0.25">
      <c r="A698" t="s">
        <v>1847</v>
      </c>
      <c r="B698" t="s">
        <v>1848</v>
      </c>
      <c r="C698" t="s">
        <v>89</v>
      </c>
      <c r="D698" t="s">
        <v>343</v>
      </c>
      <c r="E698" s="36">
        <v>1200</v>
      </c>
      <c r="F698" s="36">
        <v>1400</v>
      </c>
      <c r="G698" s="36">
        <v>750</v>
      </c>
      <c r="H698" s="36">
        <v>860</v>
      </c>
      <c r="I698" s="37">
        <v>0</v>
      </c>
      <c r="J698" s="37">
        <v>0</v>
      </c>
    </row>
    <row r="699" spans="1:10" x14ac:dyDescent="0.25">
      <c r="A699" t="s">
        <v>1849</v>
      </c>
      <c r="B699" t="s">
        <v>1850</v>
      </c>
      <c r="C699" t="s">
        <v>89</v>
      </c>
      <c r="D699" t="s">
        <v>343</v>
      </c>
      <c r="E699" s="36">
        <v>1100</v>
      </c>
      <c r="F699" s="36">
        <v>1300</v>
      </c>
      <c r="G699" s="36">
        <v>680</v>
      </c>
      <c r="H699" s="36">
        <v>790</v>
      </c>
      <c r="I699" s="37">
        <v>0</v>
      </c>
      <c r="J699" s="37">
        <v>0</v>
      </c>
    </row>
    <row r="700" spans="1:10" x14ac:dyDescent="0.25">
      <c r="A700" t="s">
        <v>1851</v>
      </c>
      <c r="B700" t="s">
        <v>1852</v>
      </c>
      <c r="C700" t="s">
        <v>89</v>
      </c>
      <c r="D700" t="s">
        <v>343</v>
      </c>
      <c r="E700" s="36">
        <v>1100</v>
      </c>
      <c r="F700" s="36">
        <v>1300</v>
      </c>
      <c r="G700" s="36">
        <v>680</v>
      </c>
      <c r="H700" s="36">
        <v>790</v>
      </c>
      <c r="I700" s="37">
        <v>0</v>
      </c>
      <c r="J700" s="37">
        <v>0</v>
      </c>
    </row>
    <row r="701" spans="1:10" x14ac:dyDescent="0.25">
      <c r="A701" t="s">
        <v>1853</v>
      </c>
      <c r="B701" t="s">
        <v>1854</v>
      </c>
      <c r="C701" t="s">
        <v>89</v>
      </c>
      <c r="D701" t="s">
        <v>343</v>
      </c>
      <c r="E701" s="36">
        <v>950</v>
      </c>
      <c r="F701" s="36">
        <v>1100</v>
      </c>
      <c r="G701" s="36">
        <v>580</v>
      </c>
      <c r="H701" s="36">
        <v>670</v>
      </c>
      <c r="I701" s="37">
        <v>0</v>
      </c>
      <c r="J701" s="37">
        <v>0</v>
      </c>
    </row>
    <row r="702" spans="1:10" x14ac:dyDescent="0.25">
      <c r="A702" t="s">
        <v>1855</v>
      </c>
      <c r="B702" t="s">
        <v>1856</v>
      </c>
      <c r="C702" t="s">
        <v>89</v>
      </c>
      <c r="D702" t="s">
        <v>343</v>
      </c>
      <c r="E702" s="36">
        <v>1050</v>
      </c>
      <c r="F702" s="36">
        <v>1200</v>
      </c>
      <c r="G702" s="36">
        <v>650</v>
      </c>
      <c r="H702" s="36">
        <v>750</v>
      </c>
      <c r="I702" s="37">
        <v>0</v>
      </c>
      <c r="J702" s="37">
        <v>0</v>
      </c>
    </row>
    <row r="703" spans="1:10" x14ac:dyDescent="0.25">
      <c r="A703" t="s">
        <v>1857</v>
      </c>
      <c r="B703" t="s">
        <v>1858</v>
      </c>
      <c r="C703" t="s">
        <v>89</v>
      </c>
      <c r="D703" t="s">
        <v>347</v>
      </c>
      <c r="E703" s="36">
        <v>2600</v>
      </c>
      <c r="F703" s="36">
        <v>3000</v>
      </c>
      <c r="G703" s="36">
        <v>1600</v>
      </c>
      <c r="H703" s="36">
        <v>1850</v>
      </c>
      <c r="I703" s="37">
        <v>0</v>
      </c>
      <c r="J703" s="37">
        <v>0</v>
      </c>
    </row>
    <row r="704" spans="1:10" x14ac:dyDescent="0.25">
      <c r="A704" t="s">
        <v>1859</v>
      </c>
      <c r="B704" t="s">
        <v>1860</v>
      </c>
      <c r="C704" t="s">
        <v>89</v>
      </c>
      <c r="D704" t="s">
        <v>347</v>
      </c>
      <c r="E704" s="36">
        <v>1800</v>
      </c>
      <c r="F704" s="36">
        <v>2100</v>
      </c>
      <c r="G704" s="36">
        <v>1100</v>
      </c>
      <c r="H704" s="36">
        <v>1270</v>
      </c>
      <c r="I704" s="37">
        <v>0</v>
      </c>
      <c r="J704" s="37">
        <v>0</v>
      </c>
    </row>
    <row r="705" spans="1:10" x14ac:dyDescent="0.25">
      <c r="A705" t="s">
        <v>1861</v>
      </c>
      <c r="B705" t="s">
        <v>1862</v>
      </c>
      <c r="C705" t="s">
        <v>89</v>
      </c>
      <c r="D705" t="s">
        <v>347</v>
      </c>
      <c r="E705" s="36">
        <v>2000</v>
      </c>
      <c r="F705" s="36">
        <v>2300</v>
      </c>
      <c r="G705" s="36">
        <v>1250</v>
      </c>
      <c r="H705" s="36">
        <v>1440</v>
      </c>
      <c r="I705" s="37">
        <v>0</v>
      </c>
      <c r="J705" s="37">
        <v>0</v>
      </c>
    </row>
    <row r="706" spans="1:10" x14ac:dyDescent="0.25">
      <c r="A706" t="s">
        <v>1863</v>
      </c>
      <c r="B706" t="s">
        <v>1864</v>
      </c>
      <c r="C706" t="s">
        <v>89</v>
      </c>
      <c r="D706" t="s">
        <v>347</v>
      </c>
      <c r="E706" s="36">
        <v>1400</v>
      </c>
      <c r="F706" s="36">
        <v>1600</v>
      </c>
      <c r="G706" s="36">
        <v>850</v>
      </c>
      <c r="H706" s="36">
        <v>980</v>
      </c>
      <c r="I706" s="37">
        <v>0</v>
      </c>
      <c r="J706" s="37">
        <v>0</v>
      </c>
    </row>
    <row r="707" spans="1:10" x14ac:dyDescent="0.25">
      <c r="A707" t="s">
        <v>158</v>
      </c>
      <c r="B707" t="s">
        <v>1865</v>
      </c>
      <c r="C707" t="s">
        <v>89</v>
      </c>
      <c r="D707" t="s">
        <v>347</v>
      </c>
      <c r="E707" s="36">
        <v>1300</v>
      </c>
      <c r="F707" s="36">
        <v>1500</v>
      </c>
      <c r="G707" s="36">
        <v>800</v>
      </c>
      <c r="H707" s="36">
        <v>920</v>
      </c>
      <c r="I707" s="37">
        <v>0</v>
      </c>
      <c r="J707" s="37">
        <v>0</v>
      </c>
    </row>
    <row r="708" spans="1:10" x14ac:dyDescent="0.25">
      <c r="A708" t="s">
        <v>1866</v>
      </c>
      <c r="B708" t="s">
        <v>1867</v>
      </c>
      <c r="C708" t="s">
        <v>89</v>
      </c>
      <c r="D708" t="s">
        <v>347</v>
      </c>
      <c r="E708" s="36">
        <v>1700</v>
      </c>
      <c r="F708" s="36">
        <v>1950</v>
      </c>
      <c r="G708" s="36">
        <v>1050</v>
      </c>
      <c r="H708" s="36">
        <v>1210</v>
      </c>
      <c r="I708" s="37">
        <v>0</v>
      </c>
      <c r="J708" s="37">
        <v>0</v>
      </c>
    </row>
    <row r="709" spans="1:10" x14ac:dyDescent="0.25">
      <c r="A709" t="s">
        <v>1868</v>
      </c>
      <c r="B709" t="s">
        <v>1869</v>
      </c>
      <c r="C709" t="s">
        <v>89</v>
      </c>
      <c r="D709" t="s">
        <v>347</v>
      </c>
      <c r="E709" s="36">
        <v>2400</v>
      </c>
      <c r="F709" s="36">
        <v>2800</v>
      </c>
      <c r="G709" s="36">
        <v>1500</v>
      </c>
      <c r="H709" s="36">
        <v>1730</v>
      </c>
      <c r="I709" s="37">
        <v>0</v>
      </c>
      <c r="J709" s="37">
        <v>0</v>
      </c>
    </row>
    <row r="710" spans="1:10" x14ac:dyDescent="0.25">
      <c r="A710" t="s">
        <v>1870</v>
      </c>
      <c r="B710" t="s">
        <v>1871</v>
      </c>
      <c r="C710" t="s">
        <v>89</v>
      </c>
      <c r="D710" t="s">
        <v>347</v>
      </c>
      <c r="E710" s="36">
        <v>2400</v>
      </c>
      <c r="F710" s="36">
        <v>2800</v>
      </c>
      <c r="G710" s="36">
        <v>1500</v>
      </c>
      <c r="H710" s="36">
        <v>1730</v>
      </c>
      <c r="I710" s="37">
        <v>0</v>
      </c>
      <c r="J710" s="37">
        <v>0</v>
      </c>
    </row>
    <row r="711" spans="1:10" x14ac:dyDescent="0.25">
      <c r="A711" t="s">
        <v>1872</v>
      </c>
      <c r="B711" t="s">
        <v>1873</v>
      </c>
      <c r="C711" t="s">
        <v>89</v>
      </c>
      <c r="D711" t="s">
        <v>386</v>
      </c>
      <c r="E711" s="36">
        <v>640</v>
      </c>
      <c r="F711" s="36">
        <v>760</v>
      </c>
      <c r="G711" s="36">
        <v>360</v>
      </c>
      <c r="H711" s="36">
        <v>420</v>
      </c>
      <c r="I711" s="37">
        <v>6.6666666666666652E-2</v>
      </c>
      <c r="J711" s="37">
        <v>8.5714285714285632E-2</v>
      </c>
    </row>
    <row r="712" spans="1:10" x14ac:dyDescent="0.25">
      <c r="A712" t="s">
        <v>1874</v>
      </c>
      <c r="B712" t="s">
        <v>1875</v>
      </c>
      <c r="C712" t="s">
        <v>243</v>
      </c>
      <c r="D712" t="s">
        <v>347</v>
      </c>
      <c r="E712" s="36">
        <v>1200</v>
      </c>
      <c r="F712" s="36">
        <v>1400</v>
      </c>
      <c r="G712" s="36">
        <v>720</v>
      </c>
      <c r="H712" s="36">
        <v>830</v>
      </c>
      <c r="I712" s="37">
        <v>0</v>
      </c>
      <c r="J712" s="37">
        <v>0</v>
      </c>
    </row>
    <row r="713" spans="1:10" x14ac:dyDescent="0.25">
      <c r="A713" t="s">
        <v>1876</v>
      </c>
      <c r="B713" t="s">
        <v>1877</v>
      </c>
      <c r="C713" t="s">
        <v>243</v>
      </c>
      <c r="D713" t="s">
        <v>347</v>
      </c>
      <c r="E713" s="36">
        <v>1300</v>
      </c>
      <c r="F713" s="36">
        <v>1500</v>
      </c>
      <c r="G713" s="36">
        <v>780</v>
      </c>
      <c r="H713" s="36">
        <v>900</v>
      </c>
      <c r="I713" s="37">
        <v>0</v>
      </c>
      <c r="J713" s="37">
        <v>0</v>
      </c>
    </row>
    <row r="714" spans="1:10" x14ac:dyDescent="0.25">
      <c r="A714" t="s">
        <v>1878</v>
      </c>
      <c r="B714" t="s">
        <v>1879</v>
      </c>
      <c r="C714" t="s">
        <v>89</v>
      </c>
      <c r="D714" t="s">
        <v>327</v>
      </c>
      <c r="E714" s="36">
        <v>350</v>
      </c>
      <c r="F714" s="36">
        <v>400</v>
      </c>
      <c r="G714" s="36">
        <v>210</v>
      </c>
      <c r="H714" s="36">
        <v>240</v>
      </c>
      <c r="I714" s="37">
        <v>0</v>
      </c>
      <c r="J714" s="37">
        <v>0</v>
      </c>
    </row>
    <row r="715" spans="1:10" x14ac:dyDescent="0.25">
      <c r="A715" t="s">
        <v>1880</v>
      </c>
      <c r="B715" t="s">
        <v>1881</v>
      </c>
      <c r="C715" t="s">
        <v>89</v>
      </c>
      <c r="D715" t="s">
        <v>327</v>
      </c>
      <c r="E715" s="36">
        <v>700</v>
      </c>
      <c r="F715" s="36">
        <v>800</v>
      </c>
      <c r="G715" s="36">
        <v>420</v>
      </c>
      <c r="H715" s="36">
        <v>480</v>
      </c>
      <c r="I715" s="37">
        <v>0</v>
      </c>
      <c r="J715" s="37">
        <v>0</v>
      </c>
    </row>
    <row r="716" spans="1:10" x14ac:dyDescent="0.25">
      <c r="A716" t="s">
        <v>1882</v>
      </c>
      <c r="B716" t="s">
        <v>1883</v>
      </c>
      <c r="C716" t="s">
        <v>101</v>
      </c>
      <c r="D716" t="s">
        <v>347</v>
      </c>
      <c r="E716" s="36">
        <v>2200</v>
      </c>
      <c r="F716" s="36">
        <v>2500</v>
      </c>
      <c r="G716" s="36">
        <v>1300</v>
      </c>
      <c r="H716" s="36">
        <v>1500</v>
      </c>
      <c r="I716" s="37">
        <v>0</v>
      </c>
      <c r="J716" s="37">
        <v>0</v>
      </c>
    </row>
    <row r="717" spans="1:10" x14ac:dyDescent="0.25">
      <c r="A717" t="s">
        <v>1884</v>
      </c>
      <c r="B717" t="s">
        <v>1885</v>
      </c>
      <c r="C717" t="s">
        <v>229</v>
      </c>
      <c r="D717" t="s">
        <v>347</v>
      </c>
      <c r="E717" s="36">
        <v>1300</v>
      </c>
      <c r="F717" s="36">
        <v>1500</v>
      </c>
      <c r="G717" s="36">
        <v>780</v>
      </c>
      <c r="H717" s="36">
        <v>900</v>
      </c>
      <c r="I717" s="37">
        <v>0</v>
      </c>
      <c r="J717" s="37">
        <v>0</v>
      </c>
    </row>
    <row r="718" spans="1:10" x14ac:dyDescent="0.25">
      <c r="A718" t="s">
        <v>1886</v>
      </c>
      <c r="B718" t="s">
        <v>1887</v>
      </c>
      <c r="C718" t="s">
        <v>89</v>
      </c>
      <c r="D718" t="s">
        <v>343</v>
      </c>
      <c r="E718" s="36">
        <v>2667</v>
      </c>
      <c r="F718" s="36">
        <v>3167</v>
      </c>
      <c r="G718" s="36">
        <v>1500</v>
      </c>
      <c r="H718" s="36">
        <v>1750</v>
      </c>
      <c r="I718" s="37">
        <v>6.6799999999999971E-2</v>
      </c>
      <c r="J718" s="37">
        <v>9.2068965517241308E-2</v>
      </c>
    </row>
    <row r="719" spans="1:10" x14ac:dyDescent="0.25">
      <c r="A719" t="s">
        <v>1888</v>
      </c>
      <c r="B719" t="s">
        <v>1889</v>
      </c>
      <c r="C719" t="s">
        <v>89</v>
      </c>
      <c r="D719" t="s">
        <v>347</v>
      </c>
      <c r="E719" s="36">
        <v>1500</v>
      </c>
      <c r="F719" s="36">
        <v>1700</v>
      </c>
      <c r="G719" s="36">
        <v>900</v>
      </c>
      <c r="H719" s="36">
        <v>1050</v>
      </c>
      <c r="I719" s="37">
        <v>0</v>
      </c>
      <c r="J719" s="37">
        <v>0</v>
      </c>
    </row>
    <row r="720" spans="1:10" x14ac:dyDescent="0.25">
      <c r="A720" t="s">
        <v>1890</v>
      </c>
      <c r="B720" t="s">
        <v>1891</v>
      </c>
      <c r="C720" t="s">
        <v>101</v>
      </c>
      <c r="D720" t="s">
        <v>347</v>
      </c>
      <c r="E720" s="36">
        <v>900</v>
      </c>
      <c r="F720" s="36">
        <v>1050</v>
      </c>
      <c r="G720" s="36">
        <v>540</v>
      </c>
      <c r="H720" s="36">
        <v>630</v>
      </c>
      <c r="I720" s="37">
        <v>0</v>
      </c>
      <c r="J720" s="37">
        <v>0</v>
      </c>
    </row>
    <row r="721" spans="1:10" x14ac:dyDescent="0.25">
      <c r="A721" t="s">
        <v>1892</v>
      </c>
      <c r="B721" t="s">
        <v>1893</v>
      </c>
      <c r="C721" t="s">
        <v>89</v>
      </c>
      <c r="D721" t="s">
        <v>347</v>
      </c>
      <c r="E721" s="36">
        <v>280</v>
      </c>
      <c r="F721" s="36">
        <v>330</v>
      </c>
      <c r="G721" s="36">
        <v>170</v>
      </c>
      <c r="H721" s="36">
        <v>195</v>
      </c>
      <c r="I721" s="37">
        <v>0</v>
      </c>
      <c r="J721" s="37">
        <v>0</v>
      </c>
    </row>
    <row r="722" spans="1:10" x14ac:dyDescent="0.25">
      <c r="A722" t="s">
        <v>1894</v>
      </c>
      <c r="B722" t="s">
        <v>1895</v>
      </c>
      <c r="C722" t="s">
        <v>89</v>
      </c>
      <c r="D722" t="s">
        <v>347</v>
      </c>
      <c r="E722" s="36">
        <v>300</v>
      </c>
      <c r="F722" s="36">
        <v>350</v>
      </c>
      <c r="G722" s="36">
        <v>180</v>
      </c>
      <c r="H722" s="36">
        <v>210</v>
      </c>
      <c r="I722" s="37">
        <v>0</v>
      </c>
      <c r="J722" s="37">
        <v>0</v>
      </c>
    </row>
    <row r="723" spans="1:10" x14ac:dyDescent="0.25">
      <c r="A723" t="s">
        <v>1896</v>
      </c>
      <c r="B723" t="s">
        <v>1897</v>
      </c>
      <c r="C723" t="s">
        <v>89</v>
      </c>
      <c r="D723" t="s">
        <v>355</v>
      </c>
      <c r="E723" s="36">
        <v>450</v>
      </c>
      <c r="F723" s="36">
        <v>520</v>
      </c>
      <c r="G723" s="36">
        <v>270</v>
      </c>
      <c r="H723" s="36">
        <v>310</v>
      </c>
      <c r="I723" s="37">
        <v>0</v>
      </c>
      <c r="J723" s="37">
        <v>0</v>
      </c>
    </row>
    <row r="724" spans="1:10" x14ac:dyDescent="0.25">
      <c r="A724" t="s">
        <v>1898</v>
      </c>
      <c r="B724" t="s">
        <v>1899</v>
      </c>
      <c r="C724" t="s">
        <v>89</v>
      </c>
      <c r="D724" t="s">
        <v>347</v>
      </c>
      <c r="E724" s="36">
        <v>700</v>
      </c>
      <c r="F724" s="36">
        <v>850</v>
      </c>
      <c r="G724" s="36">
        <v>430</v>
      </c>
      <c r="H724" s="36">
        <v>500</v>
      </c>
      <c r="I724" s="37">
        <v>0</v>
      </c>
      <c r="J724" s="37">
        <v>0</v>
      </c>
    </row>
    <row r="725" spans="1:10" x14ac:dyDescent="0.25">
      <c r="A725" t="s">
        <v>1900</v>
      </c>
      <c r="B725" t="s">
        <v>1901</v>
      </c>
      <c r="C725" t="s">
        <v>89</v>
      </c>
      <c r="D725" t="s">
        <v>347</v>
      </c>
      <c r="E725" s="36">
        <v>550</v>
      </c>
      <c r="F725" s="36">
        <v>650</v>
      </c>
      <c r="G725" s="36">
        <v>330</v>
      </c>
      <c r="H725" s="36">
        <v>390</v>
      </c>
      <c r="I725" s="37">
        <v>0</v>
      </c>
      <c r="J725" s="37">
        <v>0</v>
      </c>
    </row>
    <row r="726" spans="1:10" x14ac:dyDescent="0.25">
      <c r="A726" t="s">
        <v>1902</v>
      </c>
      <c r="B726" t="s">
        <v>1903</v>
      </c>
      <c r="C726" t="s">
        <v>101</v>
      </c>
      <c r="D726" t="s">
        <v>351</v>
      </c>
      <c r="E726" s="36">
        <v>600</v>
      </c>
      <c r="F726" s="36">
        <v>720</v>
      </c>
      <c r="G726" s="36">
        <v>270</v>
      </c>
      <c r="H726" s="36">
        <v>310</v>
      </c>
      <c r="I726" s="37">
        <v>0.33333333333333331</v>
      </c>
      <c r="J726" s="37">
        <v>0.38461538461538458</v>
      </c>
    </row>
    <row r="727" spans="1:10" x14ac:dyDescent="0.25">
      <c r="A727" t="s">
        <v>1904</v>
      </c>
      <c r="B727" t="s">
        <v>1905</v>
      </c>
      <c r="C727" t="s">
        <v>101</v>
      </c>
      <c r="D727" t="s">
        <v>351</v>
      </c>
      <c r="E727" s="36">
        <v>660</v>
      </c>
      <c r="F727" s="36">
        <v>792</v>
      </c>
      <c r="G727" s="36">
        <v>300</v>
      </c>
      <c r="H727" s="36">
        <v>350</v>
      </c>
      <c r="I727" s="37">
        <v>0.32000000000000012</v>
      </c>
      <c r="J727" s="37">
        <v>0.36551724137931041</v>
      </c>
    </row>
    <row r="728" spans="1:10" x14ac:dyDescent="0.25">
      <c r="A728" t="s">
        <v>1906</v>
      </c>
      <c r="B728" t="s">
        <v>1907</v>
      </c>
      <c r="C728" t="s">
        <v>101</v>
      </c>
      <c r="D728" t="s">
        <v>351</v>
      </c>
      <c r="E728" s="36">
        <v>780</v>
      </c>
      <c r="F728" s="36">
        <v>936</v>
      </c>
      <c r="G728" s="36">
        <v>360</v>
      </c>
      <c r="H728" s="36">
        <v>420</v>
      </c>
      <c r="I728" s="37">
        <v>0.3</v>
      </c>
      <c r="J728" s="37">
        <v>0.33714285714285719</v>
      </c>
    </row>
    <row r="729" spans="1:10" x14ac:dyDescent="0.25">
      <c r="A729" t="s">
        <v>1908</v>
      </c>
      <c r="B729" t="s">
        <v>1909</v>
      </c>
      <c r="C729" t="s">
        <v>101</v>
      </c>
      <c r="D729" t="s">
        <v>351</v>
      </c>
      <c r="E729" s="36">
        <v>1020</v>
      </c>
      <c r="F729" s="36">
        <v>1224</v>
      </c>
      <c r="G729" s="36">
        <v>480</v>
      </c>
      <c r="H729" s="36">
        <v>570</v>
      </c>
      <c r="I729" s="37">
        <v>0.27499999999999991</v>
      </c>
      <c r="J729" s="37">
        <v>0.28842105263157891</v>
      </c>
    </row>
    <row r="730" spans="1:10" x14ac:dyDescent="0.25">
      <c r="A730" t="s">
        <v>1910</v>
      </c>
      <c r="B730" t="s">
        <v>1911</v>
      </c>
      <c r="C730" t="s">
        <v>229</v>
      </c>
      <c r="D730" t="s">
        <v>347</v>
      </c>
      <c r="E730" s="36">
        <v>180</v>
      </c>
      <c r="F730" s="36">
        <v>210</v>
      </c>
      <c r="G730" s="36">
        <v>110</v>
      </c>
      <c r="H730" s="36">
        <v>125</v>
      </c>
      <c r="I730" s="37">
        <v>0</v>
      </c>
      <c r="J730" s="37">
        <v>0</v>
      </c>
    </row>
    <row r="731" spans="1:10" x14ac:dyDescent="0.25">
      <c r="A731" t="s">
        <v>1912</v>
      </c>
      <c r="B731" t="s">
        <v>1913</v>
      </c>
      <c r="C731" t="s">
        <v>229</v>
      </c>
      <c r="D731" t="s">
        <v>347</v>
      </c>
      <c r="E731" s="36">
        <v>220</v>
      </c>
      <c r="F731" s="36">
        <v>260</v>
      </c>
      <c r="G731" s="36">
        <v>130</v>
      </c>
      <c r="H731" s="36">
        <v>155</v>
      </c>
      <c r="I731" s="37">
        <v>0</v>
      </c>
      <c r="J731" s="37">
        <v>0</v>
      </c>
    </row>
    <row r="732" spans="1:10" x14ac:dyDescent="0.25">
      <c r="A732" t="s">
        <v>1914</v>
      </c>
      <c r="B732" t="s">
        <v>1915</v>
      </c>
      <c r="C732" t="s">
        <v>229</v>
      </c>
      <c r="D732" t="s">
        <v>347</v>
      </c>
      <c r="E732" s="36">
        <v>280</v>
      </c>
      <c r="F732" s="36">
        <v>320</v>
      </c>
      <c r="G732" s="36">
        <v>170</v>
      </c>
      <c r="H732" s="36">
        <v>195</v>
      </c>
      <c r="I732" s="37">
        <v>0</v>
      </c>
      <c r="J732" s="37">
        <v>0</v>
      </c>
    </row>
    <row r="733" spans="1:10" x14ac:dyDescent="0.25">
      <c r="A733" t="s">
        <v>1916</v>
      </c>
      <c r="B733" t="s">
        <v>1917</v>
      </c>
      <c r="C733" t="s">
        <v>229</v>
      </c>
      <c r="D733" t="s">
        <v>347</v>
      </c>
      <c r="E733" s="36">
        <v>220</v>
      </c>
      <c r="F733" s="36">
        <v>260</v>
      </c>
      <c r="G733" s="36">
        <v>130</v>
      </c>
      <c r="H733" s="36">
        <v>155</v>
      </c>
      <c r="I733" s="37">
        <v>0</v>
      </c>
      <c r="J733" s="37">
        <v>0</v>
      </c>
    </row>
    <row r="734" spans="1:10" x14ac:dyDescent="0.25">
      <c r="A734" t="s">
        <v>1918</v>
      </c>
      <c r="B734" t="s">
        <v>1919</v>
      </c>
      <c r="C734" t="s">
        <v>229</v>
      </c>
      <c r="D734" t="s">
        <v>347</v>
      </c>
      <c r="E734" s="36">
        <v>300</v>
      </c>
      <c r="F734" s="36">
        <v>350</v>
      </c>
      <c r="G734" s="36">
        <v>180</v>
      </c>
      <c r="H734" s="36">
        <v>210</v>
      </c>
      <c r="I734" s="37">
        <v>0</v>
      </c>
      <c r="J734" s="37">
        <v>0</v>
      </c>
    </row>
    <row r="735" spans="1:10" x14ac:dyDescent="0.25">
      <c r="A735" t="s">
        <v>1920</v>
      </c>
      <c r="B735" t="s">
        <v>1921</v>
      </c>
      <c r="C735" t="s">
        <v>89</v>
      </c>
      <c r="D735" t="s">
        <v>347</v>
      </c>
      <c r="E735" s="36">
        <v>550</v>
      </c>
      <c r="F735" s="36">
        <v>650</v>
      </c>
      <c r="G735" s="36">
        <v>330</v>
      </c>
      <c r="H735" s="36">
        <v>390</v>
      </c>
      <c r="I735" s="37">
        <v>0</v>
      </c>
      <c r="J735" s="37">
        <v>0</v>
      </c>
    </row>
    <row r="736" spans="1:10" x14ac:dyDescent="0.25">
      <c r="A736" t="s">
        <v>1922</v>
      </c>
      <c r="B736" t="s">
        <v>1923</v>
      </c>
      <c r="C736" t="s">
        <v>89</v>
      </c>
      <c r="D736" t="s">
        <v>347</v>
      </c>
      <c r="E736" s="36">
        <v>500</v>
      </c>
      <c r="F736" s="36">
        <v>580</v>
      </c>
      <c r="G736" s="36">
        <v>300</v>
      </c>
      <c r="H736" s="36">
        <v>350</v>
      </c>
      <c r="I736" s="37">
        <v>0</v>
      </c>
      <c r="J736" s="37">
        <v>0</v>
      </c>
    </row>
    <row r="737" spans="1:10" x14ac:dyDescent="0.25">
      <c r="A737" t="s">
        <v>1924</v>
      </c>
      <c r="B737" t="s">
        <v>1925</v>
      </c>
      <c r="C737" t="s">
        <v>89</v>
      </c>
      <c r="D737" t="s">
        <v>347</v>
      </c>
      <c r="E737" s="36">
        <v>450</v>
      </c>
      <c r="F737" s="36">
        <v>520</v>
      </c>
      <c r="G737" s="36">
        <v>270</v>
      </c>
      <c r="H737" s="36">
        <v>310</v>
      </c>
      <c r="I737" s="37">
        <v>0</v>
      </c>
      <c r="J737" s="37">
        <v>0</v>
      </c>
    </row>
    <row r="738" spans="1:10" x14ac:dyDescent="0.25">
      <c r="A738" t="s">
        <v>1926</v>
      </c>
      <c r="B738" t="s">
        <v>1927</v>
      </c>
      <c r="C738" t="s">
        <v>89</v>
      </c>
      <c r="D738" t="s">
        <v>363</v>
      </c>
      <c r="E738" s="36">
        <v>650</v>
      </c>
      <c r="F738" s="36">
        <v>750</v>
      </c>
      <c r="G738" s="36">
        <v>400</v>
      </c>
      <c r="H738" s="36">
        <v>460</v>
      </c>
      <c r="I738" s="37">
        <v>0</v>
      </c>
      <c r="J738" s="37">
        <v>0</v>
      </c>
    </row>
    <row r="739" spans="1:10" x14ac:dyDescent="0.25">
      <c r="A739" t="s">
        <v>1928</v>
      </c>
      <c r="B739" t="s">
        <v>1929</v>
      </c>
      <c r="C739" t="s">
        <v>89</v>
      </c>
      <c r="D739" t="s">
        <v>363</v>
      </c>
      <c r="E739" s="36">
        <v>650</v>
      </c>
      <c r="F739" s="36">
        <v>750</v>
      </c>
      <c r="G739" s="36">
        <v>400</v>
      </c>
      <c r="H739" s="36">
        <v>460</v>
      </c>
      <c r="I739" s="37">
        <v>0</v>
      </c>
      <c r="J739" s="37">
        <v>0</v>
      </c>
    </row>
    <row r="740" spans="1:10" x14ac:dyDescent="0.25">
      <c r="A740" t="s">
        <v>1930</v>
      </c>
      <c r="B740" t="s">
        <v>1931</v>
      </c>
      <c r="C740" t="s">
        <v>89</v>
      </c>
      <c r="D740" t="s">
        <v>363</v>
      </c>
      <c r="E740" s="36">
        <v>1000</v>
      </c>
      <c r="F740" s="36">
        <v>1152</v>
      </c>
      <c r="G740" s="36">
        <v>600</v>
      </c>
      <c r="H740" s="36">
        <v>690</v>
      </c>
      <c r="I740" s="37">
        <v>0</v>
      </c>
      <c r="J740" s="37">
        <v>1.739130434782687E-3</v>
      </c>
    </row>
    <row r="741" spans="1:10" x14ac:dyDescent="0.25">
      <c r="A741" t="s">
        <v>1932</v>
      </c>
      <c r="B741" t="s">
        <v>1933</v>
      </c>
      <c r="C741" t="s">
        <v>89</v>
      </c>
      <c r="D741" t="s">
        <v>363</v>
      </c>
      <c r="E741" s="36">
        <v>750</v>
      </c>
      <c r="F741" s="36">
        <v>870</v>
      </c>
      <c r="G741" s="36">
        <v>450</v>
      </c>
      <c r="H741" s="36">
        <v>520</v>
      </c>
      <c r="I741" s="37">
        <v>0</v>
      </c>
      <c r="J741" s="37">
        <v>0</v>
      </c>
    </row>
    <row r="742" spans="1:10" x14ac:dyDescent="0.25">
      <c r="A742" t="s">
        <v>150</v>
      </c>
      <c r="B742" t="s">
        <v>1934</v>
      </c>
      <c r="C742" t="s">
        <v>89</v>
      </c>
      <c r="D742" t="s">
        <v>351</v>
      </c>
      <c r="E742" s="36">
        <v>1920</v>
      </c>
      <c r="F742" s="36">
        <v>2304</v>
      </c>
      <c r="G742" s="36">
        <v>1050</v>
      </c>
      <c r="H742" s="36">
        <v>1210</v>
      </c>
      <c r="I742" s="37">
        <v>0.12941176470588231</v>
      </c>
      <c r="J742" s="37">
        <v>0.15199999999999991</v>
      </c>
    </row>
    <row r="743" spans="1:10" x14ac:dyDescent="0.25">
      <c r="A743" t="s">
        <v>1935</v>
      </c>
      <c r="B743" t="s">
        <v>1936</v>
      </c>
      <c r="C743" t="s">
        <v>89</v>
      </c>
      <c r="D743" t="s">
        <v>347</v>
      </c>
      <c r="E743" s="36">
        <v>450</v>
      </c>
      <c r="F743" s="36">
        <v>520</v>
      </c>
      <c r="G743" s="36">
        <v>270</v>
      </c>
      <c r="H743" s="36">
        <v>310</v>
      </c>
      <c r="I743" s="37">
        <v>0</v>
      </c>
      <c r="J743" s="37">
        <v>0</v>
      </c>
    </row>
    <row r="744" spans="1:10" x14ac:dyDescent="0.25">
      <c r="A744" t="s">
        <v>1937</v>
      </c>
      <c r="B744" t="s">
        <v>1938</v>
      </c>
      <c r="C744" t="s">
        <v>89</v>
      </c>
      <c r="D744" t="s">
        <v>347</v>
      </c>
      <c r="E744" s="36">
        <v>1300</v>
      </c>
      <c r="F744" s="36">
        <v>1500</v>
      </c>
      <c r="G744" s="36">
        <v>800</v>
      </c>
      <c r="H744" s="36">
        <v>920</v>
      </c>
      <c r="I744" s="37">
        <v>0</v>
      </c>
      <c r="J744" s="37">
        <v>0</v>
      </c>
    </row>
    <row r="745" spans="1:10" x14ac:dyDescent="0.25">
      <c r="A745" t="s">
        <v>1939</v>
      </c>
      <c r="B745" t="s">
        <v>1940</v>
      </c>
      <c r="C745" t="s">
        <v>89</v>
      </c>
      <c r="D745" t="s">
        <v>347</v>
      </c>
      <c r="E745" s="36">
        <v>1000</v>
      </c>
      <c r="F745" s="36">
        <v>1150</v>
      </c>
      <c r="G745" s="36">
        <v>620</v>
      </c>
      <c r="H745" s="36">
        <v>710</v>
      </c>
      <c r="I745" s="37">
        <v>0</v>
      </c>
      <c r="J745" s="37">
        <v>0</v>
      </c>
    </row>
    <row r="746" spans="1:10" x14ac:dyDescent="0.25">
      <c r="A746" t="s">
        <v>1941</v>
      </c>
      <c r="B746" t="s">
        <v>1942</v>
      </c>
      <c r="C746" t="s">
        <v>89</v>
      </c>
      <c r="D746" t="s">
        <v>347</v>
      </c>
      <c r="E746" s="36">
        <v>850</v>
      </c>
      <c r="F746" s="36">
        <v>1000</v>
      </c>
      <c r="G746" s="36">
        <v>520</v>
      </c>
      <c r="H746" s="36">
        <v>600</v>
      </c>
      <c r="I746" s="37">
        <v>0</v>
      </c>
      <c r="J746" s="37">
        <v>0</v>
      </c>
    </row>
    <row r="747" spans="1:10" x14ac:dyDescent="0.25">
      <c r="A747" t="s">
        <v>1943</v>
      </c>
      <c r="B747" t="s">
        <v>1944</v>
      </c>
      <c r="C747" t="s">
        <v>89</v>
      </c>
      <c r="D747" t="s">
        <v>347</v>
      </c>
      <c r="E747" s="36">
        <v>480</v>
      </c>
      <c r="F747" s="36">
        <v>560</v>
      </c>
      <c r="G747" s="36">
        <v>290</v>
      </c>
      <c r="H747" s="36">
        <v>335</v>
      </c>
      <c r="I747" s="37">
        <v>0</v>
      </c>
      <c r="J747" s="37">
        <v>0</v>
      </c>
    </row>
    <row r="748" spans="1:10" x14ac:dyDescent="0.25">
      <c r="A748" t="s">
        <v>1945</v>
      </c>
      <c r="B748" t="s">
        <v>1946</v>
      </c>
      <c r="C748" t="s">
        <v>89</v>
      </c>
      <c r="D748" t="s">
        <v>347</v>
      </c>
      <c r="E748" s="36">
        <v>450</v>
      </c>
      <c r="F748" s="36">
        <v>520</v>
      </c>
      <c r="G748" s="36">
        <v>270</v>
      </c>
      <c r="H748" s="36">
        <v>310</v>
      </c>
      <c r="I748" s="37">
        <v>0</v>
      </c>
      <c r="J748" s="37">
        <v>0</v>
      </c>
    </row>
    <row r="749" spans="1:10" x14ac:dyDescent="0.25">
      <c r="A749" t="s">
        <v>1947</v>
      </c>
      <c r="B749" t="s">
        <v>1948</v>
      </c>
      <c r="C749" t="s">
        <v>229</v>
      </c>
      <c r="D749" t="s">
        <v>347</v>
      </c>
      <c r="E749" s="36">
        <v>100</v>
      </c>
      <c r="F749" s="36">
        <v>120</v>
      </c>
      <c r="G749" s="36">
        <v>60</v>
      </c>
      <c r="H749" s="36">
        <v>70</v>
      </c>
      <c r="I749" s="37">
        <v>0</v>
      </c>
      <c r="J749" s="37">
        <v>0</v>
      </c>
    </row>
    <row r="750" spans="1:10" x14ac:dyDescent="0.25">
      <c r="A750" t="s">
        <v>1949</v>
      </c>
      <c r="B750" t="s">
        <v>1950</v>
      </c>
      <c r="C750" t="s">
        <v>89</v>
      </c>
      <c r="D750" t="s">
        <v>347</v>
      </c>
      <c r="E750" s="36">
        <v>110</v>
      </c>
      <c r="F750" s="36">
        <v>130</v>
      </c>
      <c r="G750" s="36">
        <v>65</v>
      </c>
      <c r="H750" s="36">
        <v>75</v>
      </c>
      <c r="I750" s="37">
        <v>0</v>
      </c>
      <c r="J750" s="37">
        <v>0</v>
      </c>
    </row>
    <row r="751" spans="1:10" x14ac:dyDescent="0.25">
      <c r="A751" t="s">
        <v>1951</v>
      </c>
      <c r="B751" t="s">
        <v>1952</v>
      </c>
      <c r="C751" t="s">
        <v>89</v>
      </c>
      <c r="D751" t="s">
        <v>347</v>
      </c>
      <c r="E751" s="36">
        <v>500</v>
      </c>
      <c r="F751" s="36">
        <v>580</v>
      </c>
      <c r="G751" s="36">
        <v>300</v>
      </c>
      <c r="H751" s="36">
        <v>350</v>
      </c>
      <c r="I751" s="37">
        <v>0</v>
      </c>
      <c r="J751" s="37">
        <v>0</v>
      </c>
    </row>
    <row r="752" spans="1:10" x14ac:dyDescent="0.25">
      <c r="A752" t="s">
        <v>1953</v>
      </c>
      <c r="B752" t="s">
        <v>1954</v>
      </c>
      <c r="C752" t="s">
        <v>89</v>
      </c>
      <c r="D752" t="s">
        <v>347</v>
      </c>
      <c r="E752" s="36">
        <v>520</v>
      </c>
      <c r="F752" s="36">
        <v>600</v>
      </c>
      <c r="G752" s="36">
        <v>310</v>
      </c>
      <c r="H752" s="36">
        <v>360</v>
      </c>
      <c r="I752" s="37">
        <v>0</v>
      </c>
      <c r="J752" s="37">
        <v>0</v>
      </c>
    </row>
    <row r="753" spans="1:10" x14ac:dyDescent="0.25">
      <c r="A753" t="s">
        <v>1955</v>
      </c>
      <c r="B753" t="s">
        <v>1956</v>
      </c>
      <c r="C753" t="s">
        <v>89</v>
      </c>
      <c r="D753" t="s">
        <v>347</v>
      </c>
      <c r="E753" s="36">
        <v>300</v>
      </c>
      <c r="F753" s="36">
        <v>360</v>
      </c>
      <c r="G753" s="36">
        <v>180</v>
      </c>
      <c r="H753" s="36">
        <v>210</v>
      </c>
      <c r="I753" s="37">
        <v>0</v>
      </c>
      <c r="J753" s="37">
        <v>2.857142857142847E-2</v>
      </c>
    </row>
    <row r="754" spans="1:10" x14ac:dyDescent="0.25">
      <c r="A754" t="s">
        <v>196</v>
      </c>
      <c r="B754" t="s">
        <v>1957</v>
      </c>
      <c r="C754" t="s">
        <v>89</v>
      </c>
      <c r="D754" t="s">
        <v>347</v>
      </c>
      <c r="E754" s="36">
        <v>300</v>
      </c>
      <c r="F754" s="36">
        <v>360</v>
      </c>
      <c r="G754" s="36">
        <v>180</v>
      </c>
      <c r="H754" s="36">
        <v>210</v>
      </c>
      <c r="I754" s="37">
        <v>0</v>
      </c>
      <c r="J754" s="37">
        <v>0</v>
      </c>
    </row>
    <row r="755" spans="1:10" x14ac:dyDescent="0.25">
      <c r="A755" t="s">
        <v>1958</v>
      </c>
      <c r="B755" t="s">
        <v>1959</v>
      </c>
      <c r="C755" t="s">
        <v>89</v>
      </c>
      <c r="D755" t="s">
        <v>347</v>
      </c>
      <c r="E755" s="36">
        <v>300</v>
      </c>
      <c r="F755" s="36">
        <v>360</v>
      </c>
      <c r="G755" s="36">
        <v>180</v>
      </c>
      <c r="H755" s="36">
        <v>210</v>
      </c>
      <c r="I755" s="37">
        <v>0</v>
      </c>
      <c r="J755" s="37">
        <v>0</v>
      </c>
    </row>
    <row r="756" spans="1:10" x14ac:dyDescent="0.25">
      <c r="A756" t="s">
        <v>1960</v>
      </c>
      <c r="B756" t="s">
        <v>1961</v>
      </c>
      <c r="C756" t="s">
        <v>89</v>
      </c>
      <c r="D756" t="s">
        <v>347</v>
      </c>
      <c r="E756" s="36">
        <v>380</v>
      </c>
      <c r="F756" s="36">
        <v>450</v>
      </c>
      <c r="G756" s="36">
        <v>230</v>
      </c>
      <c r="H756" s="36">
        <v>265</v>
      </c>
      <c r="I756" s="37">
        <v>0</v>
      </c>
      <c r="J756" s="37">
        <v>0</v>
      </c>
    </row>
    <row r="757" spans="1:10" x14ac:dyDescent="0.25">
      <c r="A757" t="s">
        <v>1962</v>
      </c>
      <c r="B757" t="s">
        <v>1963</v>
      </c>
      <c r="C757" t="s">
        <v>89</v>
      </c>
      <c r="D757" t="s">
        <v>347</v>
      </c>
      <c r="E757" s="36">
        <v>80</v>
      </c>
      <c r="F757" s="36">
        <v>95</v>
      </c>
      <c r="G757" s="36">
        <v>48</v>
      </c>
      <c r="H757" s="36">
        <v>55</v>
      </c>
      <c r="I757" s="37">
        <v>0</v>
      </c>
      <c r="J757" s="37">
        <v>0</v>
      </c>
    </row>
    <row r="758" spans="1:10" x14ac:dyDescent="0.25">
      <c r="A758" t="s">
        <v>193</v>
      </c>
      <c r="B758" t="s">
        <v>1964</v>
      </c>
      <c r="C758" t="s">
        <v>89</v>
      </c>
      <c r="D758" t="s">
        <v>347</v>
      </c>
      <c r="E758" s="36">
        <v>451</v>
      </c>
      <c r="F758" s="36">
        <v>540</v>
      </c>
      <c r="G758" s="36">
        <v>270</v>
      </c>
      <c r="H758" s="36">
        <v>310</v>
      </c>
      <c r="I758" s="37">
        <v>2.2222222222221259E-3</v>
      </c>
      <c r="J758" s="37">
        <v>3.8461538461538547E-2</v>
      </c>
    </row>
    <row r="759" spans="1:10" x14ac:dyDescent="0.25">
      <c r="A759" t="s">
        <v>1965</v>
      </c>
      <c r="B759" t="s">
        <v>1966</v>
      </c>
      <c r="C759" t="s">
        <v>89</v>
      </c>
      <c r="D759" t="s">
        <v>347</v>
      </c>
      <c r="E759" s="36">
        <v>500</v>
      </c>
      <c r="F759" s="36">
        <v>600</v>
      </c>
      <c r="G759" s="36">
        <v>300</v>
      </c>
      <c r="H759" s="36">
        <v>350</v>
      </c>
      <c r="I759" s="37">
        <v>0</v>
      </c>
      <c r="J759" s="37">
        <v>0</v>
      </c>
    </row>
    <row r="760" spans="1:10" x14ac:dyDescent="0.25">
      <c r="A760" t="s">
        <v>1967</v>
      </c>
      <c r="B760" t="s">
        <v>1968</v>
      </c>
      <c r="C760" t="s">
        <v>89</v>
      </c>
      <c r="D760" t="s">
        <v>347</v>
      </c>
      <c r="E760" s="36">
        <v>150</v>
      </c>
      <c r="F760" s="36">
        <v>180</v>
      </c>
      <c r="G760" s="36">
        <v>90</v>
      </c>
      <c r="H760" s="36">
        <v>105</v>
      </c>
      <c r="I760" s="37">
        <v>0</v>
      </c>
      <c r="J760" s="37">
        <v>0</v>
      </c>
    </row>
    <row r="761" spans="1:10" x14ac:dyDescent="0.25">
      <c r="A761" t="s">
        <v>1969</v>
      </c>
      <c r="B761" t="s">
        <v>1970</v>
      </c>
      <c r="C761" t="s">
        <v>89</v>
      </c>
      <c r="D761" t="s">
        <v>347</v>
      </c>
      <c r="E761" s="36">
        <v>800</v>
      </c>
      <c r="F761" s="36">
        <v>960</v>
      </c>
      <c r="G761" s="36">
        <v>480</v>
      </c>
      <c r="H761" s="36">
        <v>560</v>
      </c>
      <c r="I761" s="37">
        <v>0</v>
      </c>
      <c r="J761" s="37">
        <v>1.052631578947372E-2</v>
      </c>
    </row>
    <row r="762" spans="1:10" x14ac:dyDescent="0.25">
      <c r="A762" t="s">
        <v>1971</v>
      </c>
      <c r="B762" t="s">
        <v>1972</v>
      </c>
      <c r="C762" t="s">
        <v>89</v>
      </c>
      <c r="D762" t="s">
        <v>347</v>
      </c>
      <c r="E762" s="36">
        <v>600</v>
      </c>
      <c r="F762" s="36">
        <v>720</v>
      </c>
      <c r="G762" s="36">
        <v>360</v>
      </c>
      <c r="H762" s="36">
        <v>420</v>
      </c>
      <c r="I762" s="37">
        <v>0</v>
      </c>
      <c r="J762" s="37">
        <v>2.857142857142847E-2</v>
      </c>
    </row>
    <row r="763" spans="1:10" x14ac:dyDescent="0.25">
      <c r="A763" t="s">
        <v>1973</v>
      </c>
      <c r="B763" t="s">
        <v>1974</v>
      </c>
      <c r="C763" t="s">
        <v>89</v>
      </c>
      <c r="D763" t="s">
        <v>347</v>
      </c>
      <c r="E763" s="36">
        <v>800</v>
      </c>
      <c r="F763" s="36">
        <v>960</v>
      </c>
      <c r="G763" s="36">
        <v>450</v>
      </c>
      <c r="H763" s="36">
        <v>530</v>
      </c>
      <c r="I763" s="37">
        <v>6.6666666666666652E-2</v>
      </c>
      <c r="J763" s="37">
        <v>6.6666666666666652E-2</v>
      </c>
    </row>
    <row r="764" spans="1:10" x14ac:dyDescent="0.25">
      <c r="A764" t="s">
        <v>1975</v>
      </c>
      <c r="B764" t="s">
        <v>1976</v>
      </c>
      <c r="C764" t="s">
        <v>243</v>
      </c>
      <c r="D764" t="s">
        <v>347</v>
      </c>
      <c r="E764" s="36">
        <v>1200</v>
      </c>
      <c r="F764" s="36">
        <v>1400</v>
      </c>
      <c r="G764" s="36">
        <v>720</v>
      </c>
      <c r="H764" s="36">
        <v>830</v>
      </c>
      <c r="I764" s="37">
        <v>0</v>
      </c>
      <c r="J764" s="37">
        <v>0</v>
      </c>
    </row>
    <row r="765" spans="1:10" x14ac:dyDescent="0.25">
      <c r="A765" t="s">
        <v>1977</v>
      </c>
      <c r="B765" t="s">
        <v>1978</v>
      </c>
      <c r="C765" t="s">
        <v>89</v>
      </c>
      <c r="D765" t="s">
        <v>347</v>
      </c>
      <c r="E765" s="36">
        <v>50</v>
      </c>
      <c r="F765" s="36">
        <v>60</v>
      </c>
      <c r="G765" s="36">
        <v>30</v>
      </c>
      <c r="H765" s="36">
        <v>35</v>
      </c>
      <c r="I765" s="37">
        <v>0</v>
      </c>
      <c r="J765" s="37">
        <v>0</v>
      </c>
    </row>
    <row r="766" spans="1:10" x14ac:dyDescent="0.25">
      <c r="A766" t="s">
        <v>1979</v>
      </c>
      <c r="B766" t="s">
        <v>1980</v>
      </c>
      <c r="C766" t="s">
        <v>89</v>
      </c>
      <c r="D766" t="s">
        <v>327</v>
      </c>
      <c r="E766" s="36">
        <v>331</v>
      </c>
      <c r="F766" s="36">
        <v>396</v>
      </c>
      <c r="G766" s="36">
        <v>200</v>
      </c>
      <c r="H766" s="36">
        <v>230</v>
      </c>
      <c r="I766" s="37">
        <v>3.0303030303029388E-3</v>
      </c>
      <c r="J766" s="37">
        <v>4.2105263157894653E-2</v>
      </c>
    </row>
    <row r="767" spans="1:10" x14ac:dyDescent="0.25">
      <c r="A767" t="s">
        <v>1981</v>
      </c>
      <c r="B767" t="s">
        <v>1982</v>
      </c>
      <c r="C767" t="s">
        <v>89</v>
      </c>
      <c r="D767" t="s">
        <v>327</v>
      </c>
      <c r="E767" s="36">
        <v>100</v>
      </c>
      <c r="F767" s="36">
        <v>115</v>
      </c>
      <c r="G767" s="36">
        <v>60</v>
      </c>
      <c r="H767" s="36">
        <v>70</v>
      </c>
      <c r="I767" s="37">
        <v>0</v>
      </c>
      <c r="J767" s="37">
        <v>0</v>
      </c>
    </row>
    <row r="768" spans="1:10" x14ac:dyDescent="0.25">
      <c r="A768" t="s">
        <v>1983</v>
      </c>
      <c r="B768" t="s">
        <v>1984</v>
      </c>
      <c r="C768" t="s">
        <v>89</v>
      </c>
      <c r="D768" t="s">
        <v>347</v>
      </c>
      <c r="E768" s="36">
        <v>251</v>
      </c>
      <c r="F768" s="36">
        <v>300</v>
      </c>
      <c r="G768" s="36">
        <v>150</v>
      </c>
      <c r="H768" s="36">
        <v>175</v>
      </c>
      <c r="I768" s="37">
        <v>4.0000000000000044E-3</v>
      </c>
      <c r="J768" s="37">
        <v>3.4482758620689717E-2</v>
      </c>
    </row>
    <row r="769" spans="1:10" x14ac:dyDescent="0.25">
      <c r="A769" t="s">
        <v>1985</v>
      </c>
      <c r="B769" t="s">
        <v>1986</v>
      </c>
      <c r="C769" t="s">
        <v>89</v>
      </c>
      <c r="D769" t="s">
        <v>347</v>
      </c>
      <c r="E769" s="36">
        <v>1200</v>
      </c>
      <c r="F769" s="36">
        <v>1440</v>
      </c>
      <c r="G769" s="36">
        <v>720</v>
      </c>
      <c r="H769" s="36">
        <v>830</v>
      </c>
      <c r="I769" s="37">
        <v>0</v>
      </c>
      <c r="J769" s="37">
        <v>2.857142857142847E-2</v>
      </c>
    </row>
    <row r="770" spans="1:10" x14ac:dyDescent="0.25">
      <c r="A770" t="s">
        <v>1987</v>
      </c>
      <c r="B770" t="s">
        <v>1988</v>
      </c>
      <c r="C770" t="s">
        <v>89</v>
      </c>
      <c r="D770" t="s">
        <v>347</v>
      </c>
      <c r="E770" s="36">
        <v>150</v>
      </c>
      <c r="F770" s="36">
        <v>180</v>
      </c>
      <c r="G770" s="36">
        <v>90</v>
      </c>
      <c r="H770" s="36">
        <v>105</v>
      </c>
      <c r="I770" s="37">
        <v>0</v>
      </c>
      <c r="J770" s="37">
        <v>0</v>
      </c>
    </row>
    <row r="771" spans="1:10" x14ac:dyDescent="0.25">
      <c r="A771" t="s">
        <v>1989</v>
      </c>
      <c r="B771" t="s">
        <v>1990</v>
      </c>
      <c r="C771" t="s">
        <v>89</v>
      </c>
      <c r="D771" t="s">
        <v>347</v>
      </c>
      <c r="E771" s="36">
        <v>140</v>
      </c>
      <c r="F771" s="36">
        <v>160</v>
      </c>
      <c r="G771" s="36">
        <v>85</v>
      </c>
      <c r="H771" s="36">
        <v>95</v>
      </c>
      <c r="I771" s="37">
        <v>0</v>
      </c>
      <c r="J771" s="37">
        <v>0</v>
      </c>
    </row>
    <row r="772" spans="1:10" x14ac:dyDescent="0.25">
      <c r="A772" t="s">
        <v>1991</v>
      </c>
      <c r="B772" t="s">
        <v>1992</v>
      </c>
      <c r="C772" t="s">
        <v>89</v>
      </c>
      <c r="D772" t="s">
        <v>347</v>
      </c>
      <c r="E772" s="36">
        <v>380</v>
      </c>
      <c r="F772" s="36">
        <v>440</v>
      </c>
      <c r="G772" s="36">
        <v>230</v>
      </c>
      <c r="H772" s="36">
        <v>265</v>
      </c>
      <c r="I772" s="37">
        <v>0</v>
      </c>
      <c r="J772" s="37">
        <v>0</v>
      </c>
    </row>
    <row r="773" spans="1:10" x14ac:dyDescent="0.25">
      <c r="A773" t="s">
        <v>1993</v>
      </c>
      <c r="B773" t="s">
        <v>1994</v>
      </c>
      <c r="C773" t="s">
        <v>229</v>
      </c>
      <c r="D773" t="s">
        <v>347</v>
      </c>
      <c r="E773" s="36">
        <v>350</v>
      </c>
      <c r="F773" s="36">
        <v>400</v>
      </c>
      <c r="G773" s="36">
        <v>210</v>
      </c>
      <c r="H773" s="36">
        <v>240</v>
      </c>
      <c r="I773" s="37">
        <v>0</v>
      </c>
      <c r="J773" s="37">
        <v>0</v>
      </c>
    </row>
    <row r="774" spans="1:10" x14ac:dyDescent="0.25">
      <c r="A774" t="s">
        <v>1995</v>
      </c>
      <c r="B774" t="s">
        <v>1996</v>
      </c>
      <c r="C774" t="s">
        <v>89</v>
      </c>
      <c r="D774" t="s">
        <v>347</v>
      </c>
      <c r="E774" s="36">
        <v>200</v>
      </c>
      <c r="F774" s="36">
        <v>230</v>
      </c>
      <c r="G774" s="36">
        <v>120</v>
      </c>
      <c r="H774" s="36">
        <v>140</v>
      </c>
      <c r="I774" s="37">
        <v>0</v>
      </c>
      <c r="J774" s="37">
        <v>0</v>
      </c>
    </row>
    <row r="775" spans="1:10" x14ac:dyDescent="0.25">
      <c r="A775" t="s">
        <v>1997</v>
      </c>
      <c r="B775" t="s">
        <v>1996</v>
      </c>
      <c r="C775" t="s">
        <v>101</v>
      </c>
      <c r="D775" t="s">
        <v>347</v>
      </c>
      <c r="E775" s="36">
        <v>80</v>
      </c>
      <c r="F775" s="36">
        <v>95</v>
      </c>
      <c r="G775" s="36">
        <v>48</v>
      </c>
      <c r="H775" s="36">
        <v>55</v>
      </c>
      <c r="I775" s="37">
        <v>0</v>
      </c>
      <c r="J775" s="37">
        <v>0</v>
      </c>
    </row>
    <row r="776" spans="1:10" x14ac:dyDescent="0.25">
      <c r="A776" t="s">
        <v>1998</v>
      </c>
      <c r="B776" t="s">
        <v>1999</v>
      </c>
      <c r="C776" t="s">
        <v>89</v>
      </c>
      <c r="D776" t="s">
        <v>347</v>
      </c>
      <c r="E776" s="36">
        <v>650</v>
      </c>
      <c r="F776" s="36">
        <v>750</v>
      </c>
      <c r="G776" s="36">
        <v>400</v>
      </c>
      <c r="H776" s="36">
        <v>460</v>
      </c>
      <c r="I776" s="37">
        <v>0</v>
      </c>
      <c r="J776" s="37">
        <v>0</v>
      </c>
    </row>
    <row r="777" spans="1:10" x14ac:dyDescent="0.25">
      <c r="A777" t="s">
        <v>2000</v>
      </c>
      <c r="B777" t="s">
        <v>2001</v>
      </c>
      <c r="C777" t="s">
        <v>89</v>
      </c>
      <c r="D777" t="s">
        <v>347</v>
      </c>
      <c r="E777" s="36">
        <v>600</v>
      </c>
      <c r="F777" s="36">
        <v>700</v>
      </c>
      <c r="G777" s="36">
        <v>370</v>
      </c>
      <c r="H777" s="36">
        <v>430</v>
      </c>
      <c r="I777" s="37">
        <v>0</v>
      </c>
      <c r="J777" s="37">
        <v>0</v>
      </c>
    </row>
    <row r="778" spans="1:10" x14ac:dyDescent="0.25">
      <c r="A778" t="s">
        <v>2002</v>
      </c>
      <c r="B778" t="s">
        <v>2003</v>
      </c>
      <c r="C778" t="s">
        <v>89</v>
      </c>
      <c r="D778" t="s">
        <v>347</v>
      </c>
      <c r="E778" s="36">
        <v>90</v>
      </c>
      <c r="F778" s="36">
        <v>105</v>
      </c>
      <c r="G778" s="36">
        <v>55</v>
      </c>
      <c r="H778" s="36">
        <v>62</v>
      </c>
      <c r="I778" s="37">
        <v>0</v>
      </c>
      <c r="J778" s="37">
        <v>0</v>
      </c>
    </row>
    <row r="779" spans="1:10" x14ac:dyDescent="0.25">
      <c r="A779" t="s">
        <v>2004</v>
      </c>
      <c r="B779" t="s">
        <v>2005</v>
      </c>
      <c r="C779" t="s">
        <v>89</v>
      </c>
      <c r="D779" t="s">
        <v>347</v>
      </c>
      <c r="E779" s="36">
        <v>350</v>
      </c>
      <c r="F779" s="36">
        <v>420</v>
      </c>
      <c r="G779" s="36">
        <v>210</v>
      </c>
      <c r="H779" s="36">
        <v>245</v>
      </c>
      <c r="I779" s="37">
        <v>0</v>
      </c>
      <c r="J779" s="37">
        <v>0</v>
      </c>
    </row>
    <row r="780" spans="1:10" x14ac:dyDescent="0.25">
      <c r="A780" t="s">
        <v>2006</v>
      </c>
      <c r="B780" t="s">
        <v>2007</v>
      </c>
      <c r="C780" t="s">
        <v>89</v>
      </c>
      <c r="D780" t="s">
        <v>347</v>
      </c>
      <c r="E780" s="36">
        <v>551</v>
      </c>
      <c r="F780" s="36">
        <v>660</v>
      </c>
      <c r="G780" s="36">
        <v>310</v>
      </c>
      <c r="H780" s="36">
        <v>360</v>
      </c>
      <c r="I780" s="37">
        <v>5.9615384615384633E-2</v>
      </c>
      <c r="J780" s="37">
        <v>0.1000000000000001</v>
      </c>
    </row>
    <row r="781" spans="1:10" x14ac:dyDescent="0.25">
      <c r="A781" t="s">
        <v>2008</v>
      </c>
      <c r="B781" t="s">
        <v>2009</v>
      </c>
      <c r="C781" t="s">
        <v>89</v>
      </c>
      <c r="D781" t="s">
        <v>347</v>
      </c>
      <c r="E781" s="36">
        <v>651</v>
      </c>
      <c r="F781" s="36">
        <v>780</v>
      </c>
      <c r="G781" s="36">
        <v>390</v>
      </c>
      <c r="H781" s="36">
        <v>450</v>
      </c>
      <c r="I781" s="37">
        <v>1.538461538461489E-3</v>
      </c>
      <c r="J781" s="37">
        <v>4.0000000000000042E-2</v>
      </c>
    </row>
    <row r="782" spans="1:10" x14ac:dyDescent="0.25">
      <c r="A782" t="s">
        <v>2010</v>
      </c>
      <c r="B782" t="s">
        <v>2011</v>
      </c>
      <c r="C782" t="s">
        <v>539</v>
      </c>
      <c r="D782" t="s">
        <v>363</v>
      </c>
      <c r="E782" s="36">
        <v>48000</v>
      </c>
      <c r="F782" s="36">
        <v>57600</v>
      </c>
      <c r="G782" s="36">
        <v>28000</v>
      </c>
      <c r="H782" s="36">
        <v>32000</v>
      </c>
      <c r="I782" s="37">
        <v>6.6666666666666652E-2</v>
      </c>
      <c r="J782" s="37">
        <v>0.1076923076923078</v>
      </c>
    </row>
    <row r="783" spans="1:10" x14ac:dyDescent="0.25">
      <c r="A783" t="s">
        <v>2012</v>
      </c>
      <c r="B783" t="s">
        <v>2013</v>
      </c>
      <c r="C783" t="s">
        <v>89</v>
      </c>
      <c r="D783" t="s">
        <v>347</v>
      </c>
      <c r="E783" s="36">
        <v>150</v>
      </c>
      <c r="F783" s="36">
        <v>175</v>
      </c>
      <c r="G783" s="36">
        <v>90</v>
      </c>
      <c r="H783" s="36">
        <v>105</v>
      </c>
      <c r="I783" s="37">
        <v>0</v>
      </c>
      <c r="J783" s="37">
        <v>0</v>
      </c>
    </row>
    <row r="784" spans="1:10" x14ac:dyDescent="0.25">
      <c r="A784" t="s">
        <v>2014</v>
      </c>
      <c r="B784" t="s">
        <v>2015</v>
      </c>
      <c r="C784" t="s">
        <v>89</v>
      </c>
      <c r="D784" t="s">
        <v>347</v>
      </c>
      <c r="E784" s="36">
        <v>600</v>
      </c>
      <c r="F784" s="36">
        <v>700</v>
      </c>
      <c r="G784" s="36">
        <v>370</v>
      </c>
      <c r="H784" s="36">
        <v>430</v>
      </c>
      <c r="I784" s="37">
        <v>0</v>
      </c>
      <c r="J784" s="37">
        <v>0</v>
      </c>
    </row>
    <row r="785" spans="1:10" x14ac:dyDescent="0.25">
      <c r="A785" t="s">
        <v>171</v>
      </c>
      <c r="B785" t="s">
        <v>2016</v>
      </c>
      <c r="C785" t="s">
        <v>89</v>
      </c>
      <c r="D785" t="s">
        <v>347</v>
      </c>
      <c r="E785" s="36">
        <v>1200</v>
      </c>
      <c r="F785" s="36">
        <v>1400</v>
      </c>
      <c r="G785" s="36">
        <v>750</v>
      </c>
      <c r="H785" s="36">
        <v>860</v>
      </c>
      <c r="I785" s="37">
        <v>0</v>
      </c>
      <c r="J785" s="37">
        <v>0</v>
      </c>
    </row>
    <row r="786" spans="1:10" x14ac:dyDescent="0.25">
      <c r="A786" t="s">
        <v>183</v>
      </c>
      <c r="B786" t="s">
        <v>2017</v>
      </c>
      <c r="C786" t="s">
        <v>89</v>
      </c>
      <c r="D786" t="s">
        <v>347</v>
      </c>
      <c r="E786" s="36">
        <v>550</v>
      </c>
      <c r="F786" s="36">
        <v>650</v>
      </c>
      <c r="G786" s="36">
        <v>330</v>
      </c>
      <c r="H786" s="36">
        <v>390</v>
      </c>
      <c r="I786" s="37">
        <v>0</v>
      </c>
      <c r="J786" s="37">
        <v>0</v>
      </c>
    </row>
    <row r="787" spans="1:10" x14ac:dyDescent="0.25">
      <c r="A787" t="s">
        <v>2018</v>
      </c>
      <c r="B787" t="s">
        <v>2019</v>
      </c>
      <c r="C787" t="s">
        <v>89</v>
      </c>
      <c r="D787" t="s">
        <v>347</v>
      </c>
      <c r="E787" s="36">
        <v>700</v>
      </c>
      <c r="F787" s="36">
        <v>800</v>
      </c>
      <c r="G787" s="36">
        <v>430</v>
      </c>
      <c r="H787" s="36">
        <v>490</v>
      </c>
      <c r="I787" s="37">
        <v>0</v>
      </c>
      <c r="J787" s="37">
        <v>0</v>
      </c>
    </row>
    <row r="788" spans="1:10" x14ac:dyDescent="0.25">
      <c r="A788" t="s">
        <v>2020</v>
      </c>
      <c r="B788" t="s">
        <v>2021</v>
      </c>
      <c r="C788" t="s">
        <v>89</v>
      </c>
      <c r="D788" t="s">
        <v>347</v>
      </c>
      <c r="E788" s="36">
        <v>650</v>
      </c>
      <c r="F788" s="36">
        <v>750</v>
      </c>
      <c r="G788" s="36">
        <v>400</v>
      </c>
      <c r="H788" s="36">
        <v>460</v>
      </c>
      <c r="I788" s="37">
        <v>0</v>
      </c>
      <c r="J788" s="37">
        <v>0</v>
      </c>
    </row>
    <row r="789" spans="1:10" x14ac:dyDescent="0.25">
      <c r="A789" t="s">
        <v>2022</v>
      </c>
      <c r="B789" t="s">
        <v>2023</v>
      </c>
      <c r="C789" t="s">
        <v>89</v>
      </c>
      <c r="D789" t="s">
        <v>347</v>
      </c>
      <c r="E789" s="36">
        <v>800</v>
      </c>
      <c r="F789" s="36">
        <v>920</v>
      </c>
      <c r="G789" s="36">
        <v>480</v>
      </c>
      <c r="H789" s="36">
        <v>560</v>
      </c>
      <c r="I789" s="37">
        <v>0</v>
      </c>
      <c r="J789" s="37">
        <v>0</v>
      </c>
    </row>
    <row r="790" spans="1:10" x14ac:dyDescent="0.25">
      <c r="A790" t="s">
        <v>2024</v>
      </c>
      <c r="B790" t="s">
        <v>2025</v>
      </c>
      <c r="C790" t="s">
        <v>89</v>
      </c>
      <c r="D790" t="s">
        <v>347</v>
      </c>
      <c r="E790" s="36">
        <v>1500</v>
      </c>
      <c r="F790" s="36">
        <v>1750</v>
      </c>
      <c r="G790" s="36">
        <v>920</v>
      </c>
      <c r="H790" s="36">
        <v>1060</v>
      </c>
      <c r="I790" s="37">
        <v>0</v>
      </c>
      <c r="J790" s="37">
        <v>0</v>
      </c>
    </row>
    <row r="791" spans="1:10" x14ac:dyDescent="0.25">
      <c r="A791" t="s">
        <v>2026</v>
      </c>
      <c r="B791" t="s">
        <v>2027</v>
      </c>
      <c r="C791" t="s">
        <v>89</v>
      </c>
      <c r="D791" t="s">
        <v>347</v>
      </c>
      <c r="E791" s="36">
        <v>300</v>
      </c>
      <c r="F791" s="36">
        <v>350</v>
      </c>
      <c r="G791" s="36">
        <v>180</v>
      </c>
      <c r="H791" s="36">
        <v>210</v>
      </c>
      <c r="I791" s="37">
        <v>0</v>
      </c>
      <c r="J791" s="37">
        <v>0</v>
      </c>
    </row>
    <row r="792" spans="1:10" x14ac:dyDescent="0.25">
      <c r="A792" t="s">
        <v>2028</v>
      </c>
      <c r="B792" t="s">
        <v>2029</v>
      </c>
      <c r="C792" t="s">
        <v>89</v>
      </c>
      <c r="D792" t="s">
        <v>347</v>
      </c>
      <c r="E792" s="36">
        <v>250</v>
      </c>
      <c r="F792" s="36">
        <v>290</v>
      </c>
      <c r="G792" s="36">
        <v>150</v>
      </c>
      <c r="H792" s="36">
        <v>175</v>
      </c>
      <c r="I792" s="37">
        <v>0</v>
      </c>
      <c r="J792" s="37">
        <v>0</v>
      </c>
    </row>
    <row r="793" spans="1:10" x14ac:dyDescent="0.25">
      <c r="A793" t="s">
        <v>2030</v>
      </c>
      <c r="B793" t="s">
        <v>2031</v>
      </c>
      <c r="C793" t="s">
        <v>89</v>
      </c>
      <c r="D793" t="s">
        <v>347</v>
      </c>
      <c r="E793" s="36">
        <v>55</v>
      </c>
      <c r="F793" s="36">
        <v>65</v>
      </c>
      <c r="G793" s="36">
        <v>33</v>
      </c>
      <c r="H793" s="36">
        <v>38</v>
      </c>
      <c r="I793" s="37">
        <v>0</v>
      </c>
      <c r="J793" s="37">
        <v>0</v>
      </c>
    </row>
    <row r="794" spans="1:10" x14ac:dyDescent="0.25">
      <c r="A794" t="s">
        <v>2032</v>
      </c>
      <c r="B794" t="s">
        <v>2033</v>
      </c>
      <c r="C794" t="s">
        <v>89</v>
      </c>
      <c r="D794" t="s">
        <v>327</v>
      </c>
      <c r="E794" s="36">
        <v>150</v>
      </c>
      <c r="F794" s="36">
        <v>180</v>
      </c>
      <c r="G794" s="36">
        <v>90</v>
      </c>
      <c r="H794" s="36">
        <v>105</v>
      </c>
      <c r="I794" s="37">
        <v>0</v>
      </c>
      <c r="J794" s="37">
        <v>0</v>
      </c>
    </row>
    <row r="795" spans="1:10" x14ac:dyDescent="0.25">
      <c r="A795" t="s">
        <v>2034</v>
      </c>
      <c r="B795" t="s">
        <v>2035</v>
      </c>
      <c r="C795" t="s">
        <v>89</v>
      </c>
      <c r="D795" t="s">
        <v>327</v>
      </c>
      <c r="E795" s="36">
        <v>350</v>
      </c>
      <c r="F795" s="36">
        <v>400</v>
      </c>
      <c r="G795" s="36">
        <v>210</v>
      </c>
      <c r="H795" s="36">
        <v>240</v>
      </c>
      <c r="I795" s="37">
        <v>0</v>
      </c>
      <c r="J795" s="37">
        <v>0</v>
      </c>
    </row>
    <row r="796" spans="1:10" x14ac:dyDescent="0.25">
      <c r="A796" t="s">
        <v>2036</v>
      </c>
      <c r="B796" t="s">
        <v>2037</v>
      </c>
      <c r="C796" t="s">
        <v>229</v>
      </c>
      <c r="D796" t="s">
        <v>347</v>
      </c>
      <c r="E796" s="36">
        <v>300</v>
      </c>
      <c r="F796" s="36">
        <v>350</v>
      </c>
      <c r="G796" s="36">
        <v>180</v>
      </c>
      <c r="H796" s="36">
        <v>210</v>
      </c>
      <c r="I796" s="37">
        <v>0</v>
      </c>
      <c r="J796" s="37">
        <v>0</v>
      </c>
    </row>
    <row r="797" spans="1:10" x14ac:dyDescent="0.25">
      <c r="A797" t="s">
        <v>2038</v>
      </c>
      <c r="B797" t="s">
        <v>2039</v>
      </c>
      <c r="C797" t="s">
        <v>101</v>
      </c>
      <c r="D797" t="s">
        <v>347</v>
      </c>
      <c r="E797" s="36">
        <v>3000</v>
      </c>
      <c r="F797" s="36">
        <v>3500</v>
      </c>
      <c r="G797" s="36">
        <v>1800</v>
      </c>
      <c r="H797" s="36">
        <v>2100</v>
      </c>
      <c r="I797" s="37">
        <v>0</v>
      </c>
      <c r="J797" s="37">
        <v>0</v>
      </c>
    </row>
    <row r="798" spans="1:10" x14ac:dyDescent="0.25">
      <c r="A798" t="s">
        <v>2040</v>
      </c>
      <c r="B798" t="s">
        <v>2041</v>
      </c>
      <c r="C798" t="s">
        <v>101</v>
      </c>
      <c r="D798" t="s">
        <v>347</v>
      </c>
      <c r="E798" s="36">
        <v>1100</v>
      </c>
      <c r="F798" s="36">
        <v>1300</v>
      </c>
      <c r="G798" s="36">
        <v>660</v>
      </c>
      <c r="H798" s="36">
        <v>770</v>
      </c>
      <c r="I798" s="37">
        <v>0</v>
      </c>
      <c r="J798" s="37">
        <v>0</v>
      </c>
    </row>
    <row r="799" spans="1:10" x14ac:dyDescent="0.25">
      <c r="A799" t="s">
        <v>2042</v>
      </c>
      <c r="B799" t="s">
        <v>2043</v>
      </c>
      <c r="C799" t="s">
        <v>89</v>
      </c>
      <c r="D799" t="s">
        <v>347</v>
      </c>
      <c r="E799" s="36">
        <v>250</v>
      </c>
      <c r="F799" s="36">
        <v>290</v>
      </c>
      <c r="G799" s="36">
        <v>150</v>
      </c>
      <c r="H799" s="36">
        <v>175</v>
      </c>
      <c r="I799" s="37">
        <v>0</v>
      </c>
      <c r="J799" s="37">
        <v>0</v>
      </c>
    </row>
    <row r="800" spans="1:10" x14ac:dyDescent="0.25">
      <c r="A800" t="s">
        <v>2044</v>
      </c>
      <c r="B800" t="s">
        <v>2045</v>
      </c>
      <c r="C800" t="s">
        <v>229</v>
      </c>
      <c r="D800" t="s">
        <v>367</v>
      </c>
      <c r="E800" s="36">
        <v>350</v>
      </c>
      <c r="F800" s="36">
        <v>402</v>
      </c>
      <c r="G800" s="36">
        <v>217</v>
      </c>
      <c r="H800" s="36">
        <v>250</v>
      </c>
      <c r="I800" s="37">
        <v>0</v>
      </c>
      <c r="J800" s="37">
        <v>0</v>
      </c>
    </row>
    <row r="801" spans="1:10" x14ac:dyDescent="0.25">
      <c r="A801" t="s">
        <v>2046</v>
      </c>
      <c r="B801" t="s">
        <v>2047</v>
      </c>
      <c r="C801" t="s">
        <v>229</v>
      </c>
      <c r="D801" t="s">
        <v>367</v>
      </c>
      <c r="E801" s="36">
        <v>450</v>
      </c>
      <c r="F801" s="36">
        <v>518</v>
      </c>
      <c r="G801" s="36">
        <v>279</v>
      </c>
      <c r="H801" s="36">
        <v>321</v>
      </c>
      <c r="I801" s="37">
        <v>0</v>
      </c>
      <c r="J801" s="37">
        <v>0</v>
      </c>
    </row>
    <row r="802" spans="1:10" x14ac:dyDescent="0.25">
      <c r="A802" t="s">
        <v>2048</v>
      </c>
      <c r="B802" t="s">
        <v>2049</v>
      </c>
      <c r="C802" t="s">
        <v>101</v>
      </c>
      <c r="D802" t="s">
        <v>367</v>
      </c>
      <c r="E802" s="36">
        <v>1500</v>
      </c>
      <c r="F802" s="36">
        <v>1725</v>
      </c>
      <c r="G802" s="36">
        <v>930</v>
      </c>
      <c r="H802" s="36">
        <v>1069</v>
      </c>
      <c r="I802" s="37">
        <v>0</v>
      </c>
      <c r="J802" s="37">
        <v>0</v>
      </c>
    </row>
    <row r="803" spans="1:10" x14ac:dyDescent="0.25">
      <c r="A803" t="s">
        <v>2050</v>
      </c>
      <c r="B803" t="s">
        <v>2051</v>
      </c>
      <c r="C803" t="s">
        <v>101</v>
      </c>
      <c r="D803" t="s">
        <v>367</v>
      </c>
      <c r="E803" s="36">
        <v>800</v>
      </c>
      <c r="F803" s="36">
        <v>920</v>
      </c>
      <c r="G803" s="36">
        <v>496</v>
      </c>
      <c r="H803" s="36">
        <v>570</v>
      </c>
      <c r="I803" s="37">
        <v>0</v>
      </c>
      <c r="J803" s="37">
        <v>0</v>
      </c>
    </row>
    <row r="804" spans="1:10" x14ac:dyDescent="0.25">
      <c r="A804" t="s">
        <v>2052</v>
      </c>
      <c r="B804" t="s">
        <v>2053</v>
      </c>
      <c r="C804" t="s">
        <v>101</v>
      </c>
      <c r="D804" t="s">
        <v>367</v>
      </c>
      <c r="E804" s="36">
        <v>850</v>
      </c>
      <c r="F804" s="36">
        <v>977</v>
      </c>
      <c r="G804" s="36">
        <v>527</v>
      </c>
      <c r="H804" s="36">
        <v>606</v>
      </c>
      <c r="I804" s="37">
        <v>0</v>
      </c>
      <c r="J804" s="37">
        <v>0</v>
      </c>
    </row>
    <row r="805" spans="1:10" x14ac:dyDescent="0.25">
      <c r="A805" t="s">
        <v>2054</v>
      </c>
      <c r="B805" t="s">
        <v>2055</v>
      </c>
      <c r="C805" t="s">
        <v>101</v>
      </c>
      <c r="D805" t="s">
        <v>367</v>
      </c>
      <c r="E805" s="36">
        <v>1500</v>
      </c>
      <c r="F805" s="36">
        <v>1725</v>
      </c>
      <c r="G805" s="36">
        <v>930</v>
      </c>
      <c r="H805" s="36">
        <v>1069</v>
      </c>
      <c r="I805" s="37">
        <v>0</v>
      </c>
      <c r="J805" s="37">
        <v>0</v>
      </c>
    </row>
    <row r="806" spans="1:10" x14ac:dyDescent="0.25">
      <c r="A806" t="s">
        <v>2056</v>
      </c>
      <c r="B806" t="s">
        <v>2057</v>
      </c>
      <c r="C806" t="s">
        <v>101</v>
      </c>
      <c r="D806" t="s">
        <v>367</v>
      </c>
      <c r="E806" s="36">
        <v>600</v>
      </c>
      <c r="F806" s="36">
        <v>690</v>
      </c>
      <c r="G806" s="36">
        <v>372</v>
      </c>
      <c r="H806" s="36">
        <v>428</v>
      </c>
      <c r="I806" s="37">
        <v>0</v>
      </c>
      <c r="J806" s="37">
        <v>0</v>
      </c>
    </row>
    <row r="807" spans="1:10" x14ac:dyDescent="0.25">
      <c r="A807" t="s">
        <v>2058</v>
      </c>
      <c r="B807" t="s">
        <v>2059</v>
      </c>
      <c r="C807" t="s">
        <v>101</v>
      </c>
      <c r="D807" t="s">
        <v>367</v>
      </c>
      <c r="E807" s="36">
        <v>850</v>
      </c>
      <c r="F807" s="36">
        <v>977</v>
      </c>
      <c r="G807" s="36">
        <v>527</v>
      </c>
      <c r="H807" s="36">
        <v>606</v>
      </c>
      <c r="I807" s="37">
        <v>0</v>
      </c>
      <c r="J807" s="37">
        <v>0</v>
      </c>
    </row>
    <row r="808" spans="1:10" x14ac:dyDescent="0.25">
      <c r="A808" t="s">
        <v>2060</v>
      </c>
      <c r="B808" t="s">
        <v>2061</v>
      </c>
      <c r="C808" t="s">
        <v>101</v>
      </c>
      <c r="D808" t="s">
        <v>367</v>
      </c>
      <c r="E808" s="36">
        <v>750</v>
      </c>
      <c r="F808" s="36">
        <v>862</v>
      </c>
      <c r="G808" s="36">
        <v>465</v>
      </c>
      <c r="H808" s="36">
        <v>535</v>
      </c>
      <c r="I808" s="37">
        <v>0</v>
      </c>
      <c r="J808" s="37">
        <v>0</v>
      </c>
    </row>
    <row r="809" spans="1:10" x14ac:dyDescent="0.25">
      <c r="A809" t="s">
        <v>2062</v>
      </c>
      <c r="B809" t="s">
        <v>2063</v>
      </c>
      <c r="C809" t="s">
        <v>101</v>
      </c>
      <c r="D809" t="s">
        <v>367</v>
      </c>
      <c r="E809" s="36">
        <v>300</v>
      </c>
      <c r="F809" s="36">
        <v>345</v>
      </c>
      <c r="G809" s="36">
        <v>186</v>
      </c>
      <c r="H809" s="36">
        <v>214</v>
      </c>
      <c r="I809" s="37">
        <v>0</v>
      </c>
      <c r="J809" s="37">
        <v>0</v>
      </c>
    </row>
    <row r="810" spans="1:10" x14ac:dyDescent="0.25">
      <c r="A810" t="s">
        <v>2064</v>
      </c>
      <c r="B810" t="s">
        <v>2065</v>
      </c>
      <c r="C810" t="s">
        <v>2066</v>
      </c>
      <c r="D810" t="s">
        <v>367</v>
      </c>
      <c r="E810" s="36">
        <v>2500</v>
      </c>
      <c r="F810" s="36">
        <v>2875</v>
      </c>
      <c r="G810" s="36">
        <v>1550</v>
      </c>
      <c r="H810" s="36">
        <v>1782</v>
      </c>
      <c r="I810" s="37">
        <v>0</v>
      </c>
      <c r="J810" s="37">
        <v>0</v>
      </c>
    </row>
    <row r="811" spans="1:10" x14ac:dyDescent="0.25">
      <c r="A811" t="s">
        <v>2067</v>
      </c>
      <c r="B811" t="s">
        <v>2068</v>
      </c>
      <c r="C811" t="s">
        <v>1231</v>
      </c>
      <c r="D811" t="s">
        <v>367</v>
      </c>
      <c r="E811" s="36">
        <v>4500</v>
      </c>
      <c r="F811" s="36">
        <v>5040</v>
      </c>
      <c r="G811" s="36">
        <v>2790</v>
      </c>
      <c r="H811" s="36">
        <v>3125</v>
      </c>
      <c r="I811" s="37">
        <v>0</v>
      </c>
      <c r="J811" s="37">
        <v>0</v>
      </c>
    </row>
    <row r="812" spans="1:10" x14ac:dyDescent="0.25">
      <c r="A812" t="s">
        <v>2069</v>
      </c>
      <c r="B812" t="s">
        <v>2070</v>
      </c>
      <c r="C812" t="s">
        <v>101</v>
      </c>
      <c r="D812" t="s">
        <v>367</v>
      </c>
      <c r="E812" s="36">
        <v>1500</v>
      </c>
      <c r="F812" s="36">
        <v>1725</v>
      </c>
      <c r="G812" s="36">
        <v>930</v>
      </c>
      <c r="H812" s="36">
        <v>1069</v>
      </c>
      <c r="I812" s="37">
        <v>0</v>
      </c>
      <c r="J812" s="37">
        <v>0</v>
      </c>
    </row>
    <row r="813" spans="1:10" x14ac:dyDescent="0.25">
      <c r="A813" t="s">
        <v>2071</v>
      </c>
      <c r="B813" t="s">
        <v>2072</v>
      </c>
      <c r="C813" t="s">
        <v>101</v>
      </c>
      <c r="D813" t="s">
        <v>367</v>
      </c>
      <c r="E813" s="36">
        <v>1200</v>
      </c>
      <c r="F813" s="36">
        <v>1380</v>
      </c>
      <c r="G813" s="36">
        <v>744</v>
      </c>
      <c r="H813" s="36">
        <v>856</v>
      </c>
      <c r="I813" s="37">
        <v>0</v>
      </c>
      <c r="J813" s="37">
        <v>0</v>
      </c>
    </row>
    <row r="814" spans="1:10" x14ac:dyDescent="0.25">
      <c r="A814" t="s">
        <v>2073</v>
      </c>
      <c r="B814" t="s">
        <v>2074</v>
      </c>
      <c r="C814" t="s">
        <v>101</v>
      </c>
      <c r="D814" t="s">
        <v>367</v>
      </c>
      <c r="E814" s="36">
        <v>1500</v>
      </c>
      <c r="F814" s="36">
        <v>1725</v>
      </c>
      <c r="G814" s="36">
        <v>930</v>
      </c>
      <c r="H814" s="36">
        <v>1069</v>
      </c>
      <c r="I814" s="37">
        <v>0</v>
      </c>
      <c r="J814" s="37">
        <v>0</v>
      </c>
    </row>
    <row r="815" spans="1:10" x14ac:dyDescent="0.25">
      <c r="A815" t="s">
        <v>2075</v>
      </c>
      <c r="B815" t="s">
        <v>2076</v>
      </c>
      <c r="C815" t="s">
        <v>101</v>
      </c>
      <c r="D815" t="s">
        <v>367</v>
      </c>
      <c r="E815" s="36">
        <v>250</v>
      </c>
      <c r="F815" s="36">
        <v>288</v>
      </c>
      <c r="G815" s="36">
        <v>155</v>
      </c>
      <c r="H815" s="36">
        <v>178</v>
      </c>
      <c r="I815" s="37">
        <v>0</v>
      </c>
      <c r="J815" s="37">
        <v>0</v>
      </c>
    </row>
    <row r="816" spans="1:10" x14ac:dyDescent="0.25">
      <c r="A816" t="s">
        <v>2077</v>
      </c>
      <c r="B816" t="s">
        <v>2078</v>
      </c>
      <c r="C816" t="s">
        <v>101</v>
      </c>
      <c r="D816" t="s">
        <v>367</v>
      </c>
      <c r="E816" s="36">
        <v>4500</v>
      </c>
      <c r="F816" s="36">
        <v>5175</v>
      </c>
      <c r="G816" s="36">
        <v>2790</v>
      </c>
      <c r="H816" s="36">
        <v>3208</v>
      </c>
      <c r="I816" s="37">
        <v>0</v>
      </c>
      <c r="J816" s="37">
        <v>0</v>
      </c>
    </row>
    <row r="817" spans="1:10" x14ac:dyDescent="0.25">
      <c r="A817" t="s">
        <v>2079</v>
      </c>
      <c r="B817" t="s">
        <v>2080</v>
      </c>
      <c r="C817" t="s">
        <v>101</v>
      </c>
      <c r="D817" t="s">
        <v>367</v>
      </c>
      <c r="E817" s="36">
        <v>5500</v>
      </c>
      <c r="F817" s="36">
        <v>6490</v>
      </c>
      <c r="G817" s="36">
        <v>3025</v>
      </c>
      <c r="H817" s="36">
        <v>3570</v>
      </c>
      <c r="I817" s="37">
        <v>0</v>
      </c>
      <c r="J817" s="37">
        <v>0</v>
      </c>
    </row>
    <row r="818" spans="1:10" x14ac:dyDescent="0.25">
      <c r="A818" t="s">
        <v>2081</v>
      </c>
      <c r="B818" t="s">
        <v>2082</v>
      </c>
      <c r="C818" t="s">
        <v>229</v>
      </c>
      <c r="D818" t="s">
        <v>367</v>
      </c>
      <c r="E818" s="36">
        <v>1200</v>
      </c>
      <c r="F818" s="36">
        <v>1380</v>
      </c>
      <c r="G818" s="36">
        <v>744</v>
      </c>
      <c r="H818" s="36">
        <v>856</v>
      </c>
      <c r="I818" s="37">
        <v>0</v>
      </c>
      <c r="J818" s="37">
        <v>0</v>
      </c>
    </row>
    <row r="819" spans="1:10" x14ac:dyDescent="0.25">
      <c r="A819" t="s">
        <v>2083</v>
      </c>
      <c r="B819" t="s">
        <v>2084</v>
      </c>
      <c r="C819" t="s">
        <v>229</v>
      </c>
      <c r="D819" t="s">
        <v>367</v>
      </c>
      <c r="E819" s="36">
        <v>1400</v>
      </c>
      <c r="F819" s="36">
        <v>1610</v>
      </c>
      <c r="G819" s="36">
        <v>868</v>
      </c>
      <c r="H819" s="36">
        <v>998</v>
      </c>
      <c r="I819" s="37">
        <v>0</v>
      </c>
      <c r="J819" s="37">
        <v>0</v>
      </c>
    </row>
    <row r="820" spans="1:10" x14ac:dyDescent="0.25">
      <c r="A820" t="s">
        <v>2085</v>
      </c>
      <c r="B820" t="s">
        <v>2086</v>
      </c>
      <c r="C820" t="s">
        <v>229</v>
      </c>
      <c r="D820" t="s">
        <v>367</v>
      </c>
      <c r="E820" s="36">
        <v>1600</v>
      </c>
      <c r="F820" s="36">
        <v>1840</v>
      </c>
      <c r="G820" s="36">
        <v>992</v>
      </c>
      <c r="H820" s="36">
        <v>1141</v>
      </c>
      <c r="I820" s="37">
        <v>0</v>
      </c>
      <c r="J820" s="37">
        <v>0</v>
      </c>
    </row>
    <row r="821" spans="1:10" x14ac:dyDescent="0.25">
      <c r="A821" t="s">
        <v>2087</v>
      </c>
      <c r="B821" t="s">
        <v>2088</v>
      </c>
      <c r="C821" t="s">
        <v>229</v>
      </c>
      <c r="D821" t="s">
        <v>367</v>
      </c>
      <c r="E821" s="36">
        <v>900</v>
      </c>
      <c r="F821" s="36">
        <v>1035</v>
      </c>
      <c r="G821" s="36">
        <v>558</v>
      </c>
      <c r="H821" s="36">
        <v>642</v>
      </c>
      <c r="I821" s="37">
        <v>0</v>
      </c>
      <c r="J821" s="37">
        <v>0</v>
      </c>
    </row>
    <row r="822" spans="1:10" x14ac:dyDescent="0.25">
      <c r="A822" t="s">
        <v>2089</v>
      </c>
      <c r="B822" t="s">
        <v>2090</v>
      </c>
      <c r="C822" t="s">
        <v>229</v>
      </c>
      <c r="D822" t="s">
        <v>367</v>
      </c>
      <c r="E822" s="36">
        <v>1500</v>
      </c>
      <c r="F822" s="36">
        <v>1725</v>
      </c>
      <c r="G822" s="36">
        <v>930</v>
      </c>
      <c r="H822" s="36">
        <v>1069</v>
      </c>
      <c r="I822" s="37">
        <v>0</v>
      </c>
      <c r="J822" s="37">
        <v>0</v>
      </c>
    </row>
    <row r="823" spans="1:10" x14ac:dyDescent="0.25">
      <c r="A823" t="s">
        <v>2091</v>
      </c>
      <c r="B823" t="s">
        <v>2092</v>
      </c>
      <c r="C823" t="s">
        <v>229</v>
      </c>
      <c r="D823" t="s">
        <v>367</v>
      </c>
      <c r="E823" s="36">
        <v>2000</v>
      </c>
      <c r="F823" s="36">
        <v>2300</v>
      </c>
      <c r="G823" s="36">
        <v>1240</v>
      </c>
      <c r="H823" s="36">
        <v>1426</v>
      </c>
      <c r="I823" s="37">
        <v>0</v>
      </c>
      <c r="J823" s="37">
        <v>0</v>
      </c>
    </row>
    <row r="824" spans="1:10" x14ac:dyDescent="0.25">
      <c r="A824" t="s">
        <v>2093</v>
      </c>
      <c r="B824" t="s">
        <v>2094</v>
      </c>
      <c r="C824" t="s">
        <v>229</v>
      </c>
      <c r="D824" t="s">
        <v>367</v>
      </c>
      <c r="E824" s="36">
        <v>1100</v>
      </c>
      <c r="F824" s="36">
        <v>1265</v>
      </c>
      <c r="G824" s="36">
        <v>682</v>
      </c>
      <c r="H824" s="36">
        <v>784</v>
      </c>
      <c r="I824" s="37">
        <v>0</v>
      </c>
      <c r="J824" s="37">
        <v>0</v>
      </c>
    </row>
    <row r="825" spans="1:10" x14ac:dyDescent="0.25">
      <c r="A825" t="s">
        <v>2095</v>
      </c>
      <c r="B825" t="s">
        <v>2096</v>
      </c>
      <c r="C825" t="s">
        <v>229</v>
      </c>
      <c r="D825" t="s">
        <v>367</v>
      </c>
      <c r="E825" s="36">
        <v>600</v>
      </c>
      <c r="F825" s="36">
        <v>690</v>
      </c>
      <c r="G825" s="36">
        <v>372</v>
      </c>
      <c r="H825" s="36">
        <v>428</v>
      </c>
      <c r="I825" s="37">
        <v>0</v>
      </c>
      <c r="J825" s="37">
        <v>0</v>
      </c>
    </row>
    <row r="826" spans="1:10" x14ac:dyDescent="0.25">
      <c r="A826" t="s">
        <v>2097</v>
      </c>
      <c r="B826" t="s">
        <v>2098</v>
      </c>
      <c r="C826" t="s">
        <v>229</v>
      </c>
      <c r="D826" t="s">
        <v>367</v>
      </c>
      <c r="E826" s="36">
        <v>800</v>
      </c>
      <c r="F826" s="36">
        <v>920</v>
      </c>
      <c r="G826" s="36">
        <v>496</v>
      </c>
      <c r="H826" s="36">
        <v>570</v>
      </c>
      <c r="I826" s="37">
        <v>0</v>
      </c>
      <c r="J826" s="37">
        <v>0</v>
      </c>
    </row>
    <row r="827" spans="1:10" x14ac:dyDescent="0.25">
      <c r="A827" t="s">
        <v>2099</v>
      </c>
      <c r="B827" t="s">
        <v>2100</v>
      </c>
      <c r="C827" t="s">
        <v>229</v>
      </c>
      <c r="D827" t="s">
        <v>367</v>
      </c>
      <c r="E827" s="36">
        <v>450</v>
      </c>
      <c r="F827" s="36">
        <v>518</v>
      </c>
      <c r="G827" s="36">
        <v>279</v>
      </c>
      <c r="H827" s="36">
        <v>321</v>
      </c>
      <c r="I827" s="37">
        <v>0</v>
      </c>
      <c r="J827" s="37">
        <v>0</v>
      </c>
    </row>
    <row r="828" spans="1:10" x14ac:dyDescent="0.25">
      <c r="A828" t="s">
        <v>2101</v>
      </c>
      <c r="B828" t="s">
        <v>2102</v>
      </c>
      <c r="C828" t="s">
        <v>229</v>
      </c>
      <c r="D828" t="s">
        <v>367</v>
      </c>
      <c r="E828" s="36">
        <v>750</v>
      </c>
      <c r="F828" s="36">
        <v>862</v>
      </c>
      <c r="G828" s="36">
        <v>465</v>
      </c>
      <c r="H828" s="36">
        <v>535</v>
      </c>
      <c r="I828" s="37">
        <v>0</v>
      </c>
      <c r="J828" s="37">
        <v>0</v>
      </c>
    </row>
    <row r="829" spans="1:10" x14ac:dyDescent="0.25">
      <c r="A829" t="s">
        <v>2103</v>
      </c>
      <c r="B829" t="s">
        <v>2104</v>
      </c>
      <c r="C829" t="s">
        <v>229</v>
      </c>
      <c r="D829" t="s">
        <v>367</v>
      </c>
      <c r="E829" s="36">
        <v>1000</v>
      </c>
      <c r="F829" s="36">
        <v>1150</v>
      </c>
      <c r="G829" s="36">
        <v>620</v>
      </c>
      <c r="H829" s="36">
        <v>713</v>
      </c>
      <c r="I829" s="37">
        <v>0</v>
      </c>
      <c r="J829" s="37">
        <v>0</v>
      </c>
    </row>
    <row r="830" spans="1:10" x14ac:dyDescent="0.25">
      <c r="A830" t="s">
        <v>2105</v>
      </c>
      <c r="B830" t="s">
        <v>2106</v>
      </c>
      <c r="C830" t="s">
        <v>229</v>
      </c>
      <c r="D830" t="s">
        <v>367</v>
      </c>
      <c r="E830" s="36">
        <v>550</v>
      </c>
      <c r="F830" s="36">
        <v>632</v>
      </c>
      <c r="G830" s="36">
        <v>341</v>
      </c>
      <c r="H830" s="36">
        <v>392</v>
      </c>
      <c r="I830" s="37">
        <v>0</v>
      </c>
      <c r="J830" s="37">
        <v>0</v>
      </c>
    </row>
    <row r="831" spans="1:10" x14ac:dyDescent="0.25">
      <c r="A831" t="s">
        <v>2107</v>
      </c>
      <c r="B831" t="s">
        <v>2108</v>
      </c>
      <c r="C831" t="s">
        <v>229</v>
      </c>
      <c r="D831" t="s">
        <v>367</v>
      </c>
      <c r="E831" s="36">
        <v>250</v>
      </c>
      <c r="F831" s="36">
        <v>280</v>
      </c>
      <c r="G831" s="36">
        <v>155</v>
      </c>
      <c r="H831" s="36">
        <v>174</v>
      </c>
      <c r="I831" s="37">
        <v>0</v>
      </c>
      <c r="J831" s="37">
        <v>0</v>
      </c>
    </row>
    <row r="832" spans="1:10" x14ac:dyDescent="0.25">
      <c r="A832" t="s">
        <v>2109</v>
      </c>
      <c r="B832" t="s">
        <v>2110</v>
      </c>
      <c r="C832" t="s">
        <v>229</v>
      </c>
      <c r="D832" t="s">
        <v>367</v>
      </c>
      <c r="E832" s="36">
        <v>300</v>
      </c>
      <c r="F832" s="36">
        <v>336</v>
      </c>
      <c r="G832" s="36">
        <v>186</v>
      </c>
      <c r="H832" s="36">
        <v>208</v>
      </c>
      <c r="I832" s="37">
        <v>0</v>
      </c>
      <c r="J832" s="37">
        <v>0</v>
      </c>
    </row>
    <row r="833" spans="1:10" x14ac:dyDescent="0.25">
      <c r="A833" t="s">
        <v>2111</v>
      </c>
      <c r="B833" t="s">
        <v>2112</v>
      </c>
      <c r="C833" t="s">
        <v>229</v>
      </c>
      <c r="D833" t="s">
        <v>367</v>
      </c>
      <c r="E833" s="36">
        <v>180</v>
      </c>
      <c r="F833" s="36">
        <v>202</v>
      </c>
      <c r="G833" s="36">
        <v>112</v>
      </c>
      <c r="H833" s="36">
        <v>125</v>
      </c>
      <c r="I833" s="37">
        <v>0</v>
      </c>
      <c r="J833" s="37">
        <v>0</v>
      </c>
    </row>
    <row r="834" spans="1:10" x14ac:dyDescent="0.25">
      <c r="A834" t="s">
        <v>2113</v>
      </c>
      <c r="B834" t="s">
        <v>2114</v>
      </c>
      <c r="C834" t="s">
        <v>101</v>
      </c>
      <c r="D834" t="s">
        <v>367</v>
      </c>
      <c r="E834" s="36">
        <v>8000</v>
      </c>
      <c r="F834" s="36">
        <v>9200</v>
      </c>
      <c r="G834" s="36">
        <v>4960</v>
      </c>
      <c r="H834" s="36">
        <v>5704</v>
      </c>
      <c r="I834" s="37">
        <v>0</v>
      </c>
      <c r="J834" s="37">
        <v>0</v>
      </c>
    </row>
    <row r="835" spans="1:10" x14ac:dyDescent="0.25">
      <c r="A835" t="s">
        <v>2115</v>
      </c>
      <c r="B835" t="s">
        <v>2116</v>
      </c>
      <c r="C835" t="s">
        <v>101</v>
      </c>
      <c r="D835" t="s">
        <v>367</v>
      </c>
      <c r="E835" s="36">
        <v>6000</v>
      </c>
      <c r="F835" s="36">
        <v>6900</v>
      </c>
      <c r="G835" s="36">
        <v>3720</v>
      </c>
      <c r="H835" s="36">
        <v>4278</v>
      </c>
      <c r="I835" s="37">
        <v>0</v>
      </c>
      <c r="J835" s="37">
        <v>0</v>
      </c>
    </row>
    <row r="836" spans="1:10" x14ac:dyDescent="0.25">
      <c r="A836" t="s">
        <v>2117</v>
      </c>
      <c r="B836" t="s">
        <v>2118</v>
      </c>
      <c r="C836" t="s">
        <v>229</v>
      </c>
      <c r="D836" t="s">
        <v>367</v>
      </c>
      <c r="E836" s="36">
        <v>180</v>
      </c>
      <c r="F836" s="36">
        <v>207</v>
      </c>
      <c r="G836" s="36">
        <v>112</v>
      </c>
      <c r="H836" s="36">
        <v>128</v>
      </c>
      <c r="I836" s="37">
        <v>0</v>
      </c>
      <c r="J836" s="37">
        <v>0</v>
      </c>
    </row>
    <row r="837" spans="1:10" x14ac:dyDescent="0.25">
      <c r="A837" t="s">
        <v>2119</v>
      </c>
      <c r="B837" t="s">
        <v>2120</v>
      </c>
      <c r="C837" t="s">
        <v>101</v>
      </c>
      <c r="D837" t="s">
        <v>367</v>
      </c>
      <c r="E837" s="36">
        <v>3500</v>
      </c>
      <c r="F837" s="36">
        <v>4025</v>
      </c>
      <c r="G837" s="36">
        <v>2170</v>
      </c>
      <c r="H837" s="36">
        <v>2495</v>
      </c>
      <c r="I837" s="37">
        <v>0</v>
      </c>
      <c r="J837" s="37">
        <v>0</v>
      </c>
    </row>
    <row r="838" spans="1:10" x14ac:dyDescent="0.25">
      <c r="A838" t="s">
        <v>2121</v>
      </c>
      <c r="B838" t="s">
        <v>2122</v>
      </c>
      <c r="C838" t="s">
        <v>101</v>
      </c>
      <c r="D838" t="s">
        <v>367</v>
      </c>
      <c r="E838" s="36">
        <v>1200</v>
      </c>
      <c r="F838" s="36">
        <v>1380</v>
      </c>
      <c r="G838" s="36">
        <v>744</v>
      </c>
      <c r="H838" s="36">
        <v>856</v>
      </c>
      <c r="I838" s="37">
        <v>0</v>
      </c>
      <c r="J838" s="37">
        <v>0</v>
      </c>
    </row>
    <row r="839" spans="1:10" x14ac:dyDescent="0.25">
      <c r="A839" t="s">
        <v>2123</v>
      </c>
      <c r="B839" t="s">
        <v>2124</v>
      </c>
      <c r="C839" t="s">
        <v>101</v>
      </c>
      <c r="D839" t="s">
        <v>367</v>
      </c>
      <c r="E839" s="36">
        <v>1200</v>
      </c>
      <c r="F839" s="36">
        <v>1380</v>
      </c>
      <c r="G839" s="36">
        <v>744</v>
      </c>
      <c r="H839" s="36">
        <v>856</v>
      </c>
      <c r="I839" s="37">
        <v>0</v>
      </c>
      <c r="J839" s="37">
        <v>0</v>
      </c>
    </row>
    <row r="840" spans="1:10" x14ac:dyDescent="0.25">
      <c r="A840" t="s">
        <v>2125</v>
      </c>
      <c r="B840" t="s">
        <v>2126</v>
      </c>
      <c r="C840" t="s">
        <v>101</v>
      </c>
      <c r="D840" t="s">
        <v>367</v>
      </c>
      <c r="E840" s="36">
        <v>1500</v>
      </c>
      <c r="F840" s="36">
        <v>1725</v>
      </c>
      <c r="G840" s="36">
        <v>930</v>
      </c>
      <c r="H840" s="36">
        <v>1069</v>
      </c>
      <c r="I840" s="37">
        <v>0</v>
      </c>
      <c r="J840" s="37">
        <v>0</v>
      </c>
    </row>
    <row r="841" spans="1:10" x14ac:dyDescent="0.25">
      <c r="A841" t="s">
        <v>2127</v>
      </c>
      <c r="B841" t="s">
        <v>2128</v>
      </c>
      <c r="C841" t="s">
        <v>101</v>
      </c>
      <c r="D841" t="s">
        <v>367</v>
      </c>
      <c r="E841" s="36">
        <v>2300</v>
      </c>
      <c r="F841" s="36">
        <v>2720</v>
      </c>
      <c r="G841" s="36">
        <v>1426</v>
      </c>
      <c r="H841" s="36">
        <v>1640</v>
      </c>
      <c r="I841" s="37">
        <v>0</v>
      </c>
      <c r="J841" s="37">
        <v>2.8355387523629538E-2</v>
      </c>
    </row>
    <row r="842" spans="1:10" x14ac:dyDescent="0.25">
      <c r="A842" t="s">
        <v>2129</v>
      </c>
      <c r="B842" t="s">
        <v>2130</v>
      </c>
      <c r="C842" t="s">
        <v>101</v>
      </c>
      <c r="D842" t="s">
        <v>367</v>
      </c>
      <c r="E842" s="36">
        <v>900</v>
      </c>
      <c r="F842" s="36">
        <v>1035</v>
      </c>
      <c r="G842" s="36">
        <v>558</v>
      </c>
      <c r="H842" s="36">
        <v>642</v>
      </c>
      <c r="I842" s="37">
        <v>0</v>
      </c>
      <c r="J842" s="37">
        <v>0</v>
      </c>
    </row>
    <row r="843" spans="1:10" x14ac:dyDescent="0.25">
      <c r="A843" t="s">
        <v>2131</v>
      </c>
      <c r="B843" t="s">
        <v>2132</v>
      </c>
      <c r="C843" t="s">
        <v>101</v>
      </c>
      <c r="D843" t="s">
        <v>367</v>
      </c>
      <c r="E843" s="36">
        <v>900</v>
      </c>
      <c r="F843" s="36">
        <v>1035</v>
      </c>
      <c r="G843" s="36">
        <v>558</v>
      </c>
      <c r="H843" s="36">
        <v>642</v>
      </c>
      <c r="I843" s="37">
        <v>0</v>
      </c>
      <c r="J843" s="37">
        <v>0</v>
      </c>
    </row>
    <row r="844" spans="1:10" x14ac:dyDescent="0.25">
      <c r="A844" t="s">
        <v>2133</v>
      </c>
      <c r="B844" t="s">
        <v>2134</v>
      </c>
      <c r="C844" t="s">
        <v>101</v>
      </c>
      <c r="D844" t="s">
        <v>367</v>
      </c>
      <c r="E844" s="36">
        <v>1600</v>
      </c>
      <c r="F844" s="36">
        <v>1904</v>
      </c>
      <c r="G844" s="36">
        <v>992</v>
      </c>
      <c r="H844" s="36">
        <v>1141</v>
      </c>
      <c r="I844" s="37">
        <v>0</v>
      </c>
      <c r="J844" s="37">
        <v>3.4782608695652202E-2</v>
      </c>
    </row>
    <row r="845" spans="1:10" x14ac:dyDescent="0.25">
      <c r="A845" t="s">
        <v>2135</v>
      </c>
      <c r="B845" t="s">
        <v>2136</v>
      </c>
      <c r="C845" t="s">
        <v>101</v>
      </c>
      <c r="D845" t="s">
        <v>367</v>
      </c>
      <c r="E845" s="36">
        <v>450</v>
      </c>
      <c r="F845" s="36">
        <v>518</v>
      </c>
      <c r="G845" s="36">
        <v>279</v>
      </c>
      <c r="H845" s="36">
        <v>321</v>
      </c>
      <c r="I845" s="37">
        <v>0</v>
      </c>
      <c r="J845" s="37">
        <v>0</v>
      </c>
    </row>
    <row r="846" spans="1:10" x14ac:dyDescent="0.25">
      <c r="A846" t="s">
        <v>2137</v>
      </c>
      <c r="B846" t="s">
        <v>2138</v>
      </c>
      <c r="C846" t="s">
        <v>101</v>
      </c>
      <c r="D846" t="s">
        <v>367</v>
      </c>
      <c r="E846" s="36">
        <v>4500</v>
      </c>
      <c r="F846" s="36">
        <v>5175</v>
      </c>
      <c r="G846" s="36">
        <v>2790</v>
      </c>
      <c r="H846" s="36">
        <v>3208</v>
      </c>
      <c r="I846" s="37">
        <v>0</v>
      </c>
      <c r="J846" s="37">
        <v>0</v>
      </c>
    </row>
    <row r="847" spans="1:10" x14ac:dyDescent="0.25">
      <c r="A847" t="s">
        <v>2139</v>
      </c>
      <c r="B847" t="s">
        <v>2140</v>
      </c>
      <c r="C847" t="s">
        <v>101</v>
      </c>
      <c r="D847" t="s">
        <v>367</v>
      </c>
      <c r="E847" s="36">
        <v>2500</v>
      </c>
      <c r="F847" s="36">
        <v>2875</v>
      </c>
      <c r="G847" s="36">
        <v>1550</v>
      </c>
      <c r="H847" s="36">
        <v>1782</v>
      </c>
      <c r="I847" s="37">
        <v>0</v>
      </c>
      <c r="J847" s="37">
        <v>0</v>
      </c>
    </row>
    <row r="848" spans="1:10" x14ac:dyDescent="0.25">
      <c r="A848" t="s">
        <v>2141</v>
      </c>
      <c r="B848" t="s">
        <v>2142</v>
      </c>
      <c r="C848" t="s">
        <v>101</v>
      </c>
      <c r="D848" t="s">
        <v>367</v>
      </c>
      <c r="E848" s="36">
        <v>3500</v>
      </c>
      <c r="F848" s="36">
        <v>4025</v>
      </c>
      <c r="G848" s="36">
        <v>2170</v>
      </c>
      <c r="H848" s="36">
        <v>2495</v>
      </c>
      <c r="I848" s="37">
        <v>0</v>
      </c>
      <c r="J848" s="37">
        <v>0</v>
      </c>
    </row>
    <row r="849" spans="1:10" x14ac:dyDescent="0.25">
      <c r="A849" t="s">
        <v>2143</v>
      </c>
      <c r="B849" t="s">
        <v>2144</v>
      </c>
      <c r="C849" t="s">
        <v>101</v>
      </c>
      <c r="D849" t="s">
        <v>367</v>
      </c>
      <c r="E849" s="36">
        <v>45000</v>
      </c>
      <c r="F849" s="36">
        <v>51750</v>
      </c>
      <c r="G849" s="36">
        <v>27000</v>
      </c>
      <c r="H849" s="36">
        <v>31050</v>
      </c>
      <c r="I849" s="37">
        <v>0</v>
      </c>
      <c r="J849" s="37">
        <v>0</v>
      </c>
    </row>
    <row r="850" spans="1:10" x14ac:dyDescent="0.25">
      <c r="A850" t="s">
        <v>2145</v>
      </c>
      <c r="B850" t="s">
        <v>2146</v>
      </c>
      <c r="C850" t="s">
        <v>101</v>
      </c>
      <c r="D850" t="s">
        <v>367</v>
      </c>
      <c r="E850" s="36">
        <v>35000</v>
      </c>
      <c r="F850" s="36">
        <v>40250</v>
      </c>
      <c r="G850" s="36">
        <v>21000</v>
      </c>
      <c r="H850" s="36">
        <v>24150</v>
      </c>
      <c r="I850" s="37">
        <v>0</v>
      </c>
      <c r="J850" s="37">
        <v>0</v>
      </c>
    </row>
    <row r="851" spans="1:10" x14ac:dyDescent="0.25">
      <c r="A851" t="s">
        <v>2147</v>
      </c>
      <c r="B851" t="s">
        <v>2148</v>
      </c>
      <c r="C851" t="s">
        <v>101</v>
      </c>
      <c r="D851" t="s">
        <v>367</v>
      </c>
      <c r="E851" s="36">
        <v>5500</v>
      </c>
      <c r="F851" s="36">
        <v>6325</v>
      </c>
      <c r="G851" s="36">
        <v>3410</v>
      </c>
      <c r="H851" s="36">
        <v>3921</v>
      </c>
      <c r="I851" s="37">
        <v>0</v>
      </c>
      <c r="J851" s="37">
        <v>0</v>
      </c>
    </row>
    <row r="852" spans="1:10" x14ac:dyDescent="0.25">
      <c r="A852" t="s">
        <v>2149</v>
      </c>
      <c r="B852" t="s">
        <v>2150</v>
      </c>
      <c r="C852" t="s">
        <v>101</v>
      </c>
      <c r="D852" t="s">
        <v>367</v>
      </c>
      <c r="E852" s="36">
        <v>600</v>
      </c>
      <c r="F852" s="36">
        <v>690</v>
      </c>
      <c r="G852" s="36">
        <v>372</v>
      </c>
      <c r="H852" s="36">
        <v>428</v>
      </c>
      <c r="I852" s="37">
        <v>0</v>
      </c>
      <c r="J852" s="37">
        <v>0</v>
      </c>
    </row>
    <row r="853" spans="1:10" x14ac:dyDescent="0.25">
      <c r="A853" t="s">
        <v>2151</v>
      </c>
      <c r="B853" t="s">
        <v>2152</v>
      </c>
      <c r="C853" t="s">
        <v>101</v>
      </c>
      <c r="D853" t="s">
        <v>367</v>
      </c>
      <c r="E853" s="36">
        <v>1100</v>
      </c>
      <c r="F853" s="36">
        <v>1265</v>
      </c>
      <c r="G853" s="36">
        <v>682</v>
      </c>
      <c r="H853" s="36">
        <v>784</v>
      </c>
      <c r="I853" s="37">
        <v>0</v>
      </c>
      <c r="J853" s="37">
        <v>0</v>
      </c>
    </row>
    <row r="854" spans="1:10" x14ac:dyDescent="0.25">
      <c r="A854" t="s">
        <v>2153</v>
      </c>
      <c r="B854" t="s">
        <v>2154</v>
      </c>
      <c r="C854" t="s">
        <v>101</v>
      </c>
      <c r="D854" t="s">
        <v>379</v>
      </c>
      <c r="E854" s="36">
        <v>1500</v>
      </c>
      <c r="F854" s="36">
        <v>1725</v>
      </c>
      <c r="G854" s="36">
        <v>930</v>
      </c>
      <c r="H854" s="36">
        <v>1069</v>
      </c>
      <c r="I854" s="37">
        <v>0</v>
      </c>
      <c r="J854" s="37">
        <v>0</v>
      </c>
    </row>
    <row r="855" spans="1:10" x14ac:dyDescent="0.25">
      <c r="A855" t="s">
        <v>2155</v>
      </c>
      <c r="B855" t="s">
        <v>2156</v>
      </c>
      <c r="C855" t="s">
        <v>101</v>
      </c>
      <c r="D855" t="s">
        <v>367</v>
      </c>
      <c r="E855" s="36">
        <v>3000</v>
      </c>
      <c r="F855" s="36">
        <v>3450</v>
      </c>
      <c r="G855" s="36">
        <v>1860</v>
      </c>
      <c r="H855" s="36">
        <v>2139</v>
      </c>
      <c r="I855" s="37">
        <v>0</v>
      </c>
      <c r="J855" s="37">
        <v>0</v>
      </c>
    </row>
    <row r="856" spans="1:10" x14ac:dyDescent="0.25">
      <c r="A856" t="s">
        <v>2157</v>
      </c>
      <c r="B856" t="s">
        <v>2158</v>
      </c>
      <c r="C856" t="s">
        <v>101</v>
      </c>
      <c r="D856" t="s">
        <v>367</v>
      </c>
      <c r="E856" s="36">
        <v>2200</v>
      </c>
      <c r="F856" s="36">
        <v>2530</v>
      </c>
      <c r="G856" s="36">
        <v>1364</v>
      </c>
      <c r="H856" s="36">
        <v>1569</v>
      </c>
      <c r="I856" s="37">
        <v>0</v>
      </c>
      <c r="J856" s="37">
        <v>0</v>
      </c>
    </row>
    <row r="857" spans="1:10" x14ac:dyDescent="0.25">
      <c r="A857" t="s">
        <v>2159</v>
      </c>
      <c r="B857" t="s">
        <v>2160</v>
      </c>
      <c r="C857" t="s">
        <v>101</v>
      </c>
      <c r="D857" t="s">
        <v>375</v>
      </c>
      <c r="E857" s="36">
        <v>4000</v>
      </c>
      <c r="F857" s="36">
        <v>4800</v>
      </c>
      <c r="G857" s="36">
        <v>2480</v>
      </c>
      <c r="H857" s="36">
        <v>2852</v>
      </c>
      <c r="I857" s="37">
        <v>0</v>
      </c>
      <c r="J857" s="37">
        <v>4.3478260869565188E-2</v>
      </c>
    </row>
    <row r="858" spans="1:10" x14ac:dyDescent="0.25">
      <c r="A858" t="s">
        <v>2161</v>
      </c>
      <c r="B858" t="s">
        <v>2162</v>
      </c>
      <c r="C858" t="s">
        <v>101</v>
      </c>
      <c r="D858" t="s">
        <v>367</v>
      </c>
      <c r="E858" s="36">
        <v>2500</v>
      </c>
      <c r="F858" s="36">
        <v>2875</v>
      </c>
      <c r="G858" s="36">
        <v>1550</v>
      </c>
      <c r="H858" s="36">
        <v>1782</v>
      </c>
      <c r="I858" s="37">
        <v>0</v>
      </c>
      <c r="J858" s="37">
        <v>0</v>
      </c>
    </row>
    <row r="859" spans="1:10" x14ac:dyDescent="0.25">
      <c r="A859" t="s">
        <v>2163</v>
      </c>
      <c r="B859" t="s">
        <v>2164</v>
      </c>
      <c r="C859" t="s">
        <v>101</v>
      </c>
      <c r="D859" t="s">
        <v>367</v>
      </c>
      <c r="E859" s="36">
        <v>5000</v>
      </c>
      <c r="F859" s="36">
        <v>5750</v>
      </c>
      <c r="G859" s="36">
        <v>3100</v>
      </c>
      <c r="H859" s="36">
        <v>3565</v>
      </c>
      <c r="I859" s="37">
        <v>0</v>
      </c>
      <c r="J859" s="37">
        <v>0</v>
      </c>
    </row>
    <row r="860" spans="1:10" x14ac:dyDescent="0.25">
      <c r="A860" t="s">
        <v>2165</v>
      </c>
      <c r="B860" t="s">
        <v>2166</v>
      </c>
      <c r="C860" t="s">
        <v>101</v>
      </c>
      <c r="D860" t="s">
        <v>367</v>
      </c>
      <c r="E860" s="36">
        <v>2500</v>
      </c>
      <c r="F860" s="36">
        <v>2875</v>
      </c>
      <c r="G860" s="36">
        <v>1550</v>
      </c>
      <c r="H860" s="36">
        <v>1782</v>
      </c>
      <c r="I860" s="37">
        <v>0</v>
      </c>
      <c r="J860" s="37">
        <v>0</v>
      </c>
    </row>
    <row r="861" spans="1:10" x14ac:dyDescent="0.25">
      <c r="A861" t="s">
        <v>2167</v>
      </c>
      <c r="B861" t="s">
        <v>2168</v>
      </c>
      <c r="C861" t="s">
        <v>101</v>
      </c>
      <c r="D861" t="s">
        <v>367</v>
      </c>
      <c r="E861" s="36">
        <v>3000</v>
      </c>
      <c r="F861" s="36">
        <v>3450</v>
      </c>
      <c r="G861" s="36">
        <v>1860</v>
      </c>
      <c r="H861" s="36">
        <v>2139</v>
      </c>
      <c r="I861" s="37">
        <v>0</v>
      </c>
      <c r="J861" s="37">
        <v>0</v>
      </c>
    </row>
    <row r="862" spans="1:10" x14ac:dyDescent="0.25">
      <c r="A862" t="s">
        <v>2169</v>
      </c>
      <c r="B862" t="s">
        <v>2170</v>
      </c>
      <c r="C862" t="s">
        <v>101</v>
      </c>
      <c r="D862" t="s">
        <v>367</v>
      </c>
      <c r="E862" s="36">
        <v>2000</v>
      </c>
      <c r="F862" s="36">
        <v>2300</v>
      </c>
      <c r="G862" s="36">
        <v>1240</v>
      </c>
      <c r="H862" s="36">
        <v>1426</v>
      </c>
      <c r="I862" s="37">
        <v>0</v>
      </c>
      <c r="J862" s="37">
        <v>0</v>
      </c>
    </row>
    <row r="863" spans="1:10" x14ac:dyDescent="0.25">
      <c r="A863" t="s">
        <v>2171</v>
      </c>
      <c r="B863" t="s">
        <v>2172</v>
      </c>
      <c r="C863" t="s">
        <v>101</v>
      </c>
      <c r="D863" t="s">
        <v>367</v>
      </c>
      <c r="E863" s="36">
        <v>1800</v>
      </c>
      <c r="F863" s="36">
        <v>2070</v>
      </c>
      <c r="G863" s="36">
        <v>1116</v>
      </c>
      <c r="H863" s="36">
        <v>1283</v>
      </c>
      <c r="I863" s="37">
        <v>0</v>
      </c>
      <c r="J863" s="37">
        <v>0</v>
      </c>
    </row>
    <row r="864" spans="1:10" x14ac:dyDescent="0.25">
      <c r="A864" t="s">
        <v>2173</v>
      </c>
      <c r="B864" t="s">
        <v>2174</v>
      </c>
      <c r="C864" t="s">
        <v>101</v>
      </c>
      <c r="D864" t="s">
        <v>367</v>
      </c>
      <c r="E864" s="36">
        <v>1100</v>
      </c>
      <c r="F864" s="36">
        <v>1265</v>
      </c>
      <c r="G864" s="36">
        <v>682</v>
      </c>
      <c r="H864" s="36">
        <v>784</v>
      </c>
      <c r="I864" s="37">
        <v>0</v>
      </c>
      <c r="J864" s="37">
        <v>0</v>
      </c>
    </row>
    <row r="865" spans="1:10" x14ac:dyDescent="0.25">
      <c r="A865" t="s">
        <v>2175</v>
      </c>
      <c r="B865" t="s">
        <v>2176</v>
      </c>
      <c r="C865" t="s">
        <v>101</v>
      </c>
      <c r="D865" t="s">
        <v>367</v>
      </c>
      <c r="E865" s="36">
        <v>1200</v>
      </c>
      <c r="F865" s="36">
        <v>1380</v>
      </c>
      <c r="G865" s="36">
        <v>744</v>
      </c>
      <c r="H865" s="36">
        <v>856</v>
      </c>
      <c r="I865" s="37">
        <v>0</v>
      </c>
      <c r="J865" s="37">
        <v>0</v>
      </c>
    </row>
    <row r="866" spans="1:10" x14ac:dyDescent="0.25">
      <c r="A866" t="s">
        <v>2177</v>
      </c>
      <c r="B866" t="s">
        <v>2178</v>
      </c>
      <c r="C866" t="s">
        <v>101</v>
      </c>
      <c r="D866" t="s">
        <v>367</v>
      </c>
      <c r="E866" s="36">
        <v>1500</v>
      </c>
      <c r="F866" s="36">
        <v>1725</v>
      </c>
      <c r="G866" s="36">
        <v>930</v>
      </c>
      <c r="H866" s="36">
        <v>1069</v>
      </c>
      <c r="I866" s="37">
        <v>0</v>
      </c>
      <c r="J866" s="37">
        <v>0</v>
      </c>
    </row>
    <row r="867" spans="1:10" x14ac:dyDescent="0.25">
      <c r="A867" t="s">
        <v>2179</v>
      </c>
      <c r="B867" t="s">
        <v>2180</v>
      </c>
      <c r="C867" t="s">
        <v>101</v>
      </c>
      <c r="D867" t="s">
        <v>367</v>
      </c>
      <c r="E867" s="36">
        <v>2500</v>
      </c>
      <c r="F867" s="36">
        <v>2875</v>
      </c>
      <c r="G867" s="36">
        <v>1550</v>
      </c>
      <c r="H867" s="36">
        <v>1782</v>
      </c>
      <c r="I867" s="37">
        <v>0</v>
      </c>
      <c r="J867" s="37">
        <v>0</v>
      </c>
    </row>
    <row r="868" spans="1:10" x14ac:dyDescent="0.25">
      <c r="A868" t="s">
        <v>2181</v>
      </c>
      <c r="B868" t="s">
        <v>2182</v>
      </c>
      <c r="C868" t="s">
        <v>101</v>
      </c>
      <c r="D868" t="s">
        <v>367</v>
      </c>
      <c r="E868" s="36">
        <v>2200</v>
      </c>
      <c r="F868" s="36">
        <v>2530</v>
      </c>
      <c r="G868" s="36">
        <v>1364</v>
      </c>
      <c r="H868" s="36">
        <v>1569</v>
      </c>
      <c r="I868" s="37">
        <v>0</v>
      </c>
      <c r="J868" s="37">
        <v>0</v>
      </c>
    </row>
    <row r="869" spans="1:10" x14ac:dyDescent="0.25">
      <c r="A869" t="s">
        <v>2183</v>
      </c>
      <c r="B869" t="s">
        <v>2184</v>
      </c>
      <c r="C869" t="s">
        <v>101</v>
      </c>
      <c r="D869" t="s">
        <v>367</v>
      </c>
      <c r="E869" s="36">
        <v>3000</v>
      </c>
      <c r="F869" s="36">
        <v>3450</v>
      </c>
      <c r="G869" s="36">
        <v>1860</v>
      </c>
      <c r="H869" s="36">
        <v>2139</v>
      </c>
      <c r="I869" s="37">
        <v>0</v>
      </c>
      <c r="J869" s="37">
        <v>0</v>
      </c>
    </row>
    <row r="870" spans="1:10" x14ac:dyDescent="0.25">
      <c r="A870" t="s">
        <v>2185</v>
      </c>
      <c r="B870" t="s">
        <v>2186</v>
      </c>
      <c r="C870" t="s">
        <v>101</v>
      </c>
      <c r="D870" t="s">
        <v>367</v>
      </c>
      <c r="E870" s="36">
        <v>2600</v>
      </c>
      <c r="F870" s="36">
        <v>2990</v>
      </c>
      <c r="G870" s="36">
        <v>1612</v>
      </c>
      <c r="H870" s="36">
        <v>1854</v>
      </c>
      <c r="I870" s="37">
        <v>0</v>
      </c>
      <c r="J870" s="37">
        <v>0</v>
      </c>
    </row>
    <row r="871" spans="1:10" x14ac:dyDescent="0.25">
      <c r="A871" t="s">
        <v>2187</v>
      </c>
      <c r="B871" t="s">
        <v>2188</v>
      </c>
      <c r="C871" t="s">
        <v>101</v>
      </c>
      <c r="D871" t="s">
        <v>367</v>
      </c>
      <c r="E871" s="36">
        <v>2800</v>
      </c>
      <c r="F871" s="36">
        <v>3220</v>
      </c>
      <c r="G871" s="36">
        <v>1736</v>
      </c>
      <c r="H871" s="36">
        <v>1996</v>
      </c>
      <c r="I871" s="37">
        <v>0</v>
      </c>
      <c r="J871" s="37">
        <v>0</v>
      </c>
    </row>
    <row r="872" spans="1:10" x14ac:dyDescent="0.25">
      <c r="A872" t="s">
        <v>2189</v>
      </c>
      <c r="B872" t="s">
        <v>2190</v>
      </c>
      <c r="C872" t="s">
        <v>101</v>
      </c>
      <c r="D872" t="s">
        <v>367</v>
      </c>
      <c r="E872" s="36">
        <v>12000</v>
      </c>
      <c r="F872" s="36">
        <v>13800</v>
      </c>
      <c r="G872" s="36">
        <v>7440</v>
      </c>
      <c r="H872" s="36">
        <v>8556</v>
      </c>
      <c r="I872" s="37">
        <v>0</v>
      </c>
      <c r="J872" s="37">
        <v>0</v>
      </c>
    </row>
    <row r="873" spans="1:10" x14ac:dyDescent="0.25">
      <c r="A873" t="s">
        <v>2191</v>
      </c>
      <c r="B873" t="s">
        <v>2192</v>
      </c>
      <c r="C873" t="s">
        <v>101</v>
      </c>
      <c r="D873" t="s">
        <v>367</v>
      </c>
      <c r="E873" s="36">
        <v>14000</v>
      </c>
      <c r="F873" s="36">
        <v>16100</v>
      </c>
      <c r="G873" s="36">
        <v>8680</v>
      </c>
      <c r="H873" s="36">
        <v>9982</v>
      </c>
      <c r="I873" s="37">
        <v>0</v>
      </c>
      <c r="J873" s="37">
        <v>0</v>
      </c>
    </row>
    <row r="874" spans="1:10" x14ac:dyDescent="0.25">
      <c r="A874" t="s">
        <v>2193</v>
      </c>
      <c r="B874" t="s">
        <v>2194</v>
      </c>
      <c r="C874" t="s">
        <v>101</v>
      </c>
      <c r="D874" t="s">
        <v>367</v>
      </c>
      <c r="E874" s="36">
        <v>10000</v>
      </c>
      <c r="F874" s="36">
        <v>11500</v>
      </c>
      <c r="G874" s="36">
        <v>6200</v>
      </c>
      <c r="H874" s="36">
        <v>7130</v>
      </c>
      <c r="I874" s="37">
        <v>0</v>
      </c>
      <c r="J874" s="37">
        <v>0</v>
      </c>
    </row>
    <row r="875" spans="1:10" x14ac:dyDescent="0.25">
      <c r="A875" t="s">
        <v>2195</v>
      </c>
      <c r="B875" t="s">
        <v>2196</v>
      </c>
      <c r="C875" t="s">
        <v>101</v>
      </c>
      <c r="D875" t="s">
        <v>367</v>
      </c>
      <c r="E875" s="36">
        <v>4500</v>
      </c>
      <c r="F875" s="36">
        <v>4950</v>
      </c>
      <c r="G875" s="36">
        <v>2790</v>
      </c>
      <c r="H875" s="36">
        <v>3069</v>
      </c>
      <c r="I875" s="37">
        <v>0</v>
      </c>
      <c r="J875" s="37">
        <v>0</v>
      </c>
    </row>
    <row r="876" spans="1:10" x14ac:dyDescent="0.25">
      <c r="A876" t="s">
        <v>2197</v>
      </c>
      <c r="B876" t="s">
        <v>2198</v>
      </c>
      <c r="C876" t="s">
        <v>101</v>
      </c>
      <c r="D876" t="s">
        <v>367</v>
      </c>
      <c r="E876" s="36">
        <v>600</v>
      </c>
      <c r="F876" s="36">
        <v>690</v>
      </c>
      <c r="G876" s="36">
        <v>372</v>
      </c>
      <c r="H876" s="36">
        <v>428</v>
      </c>
      <c r="I876" s="37">
        <v>0</v>
      </c>
      <c r="J876" s="37">
        <v>0</v>
      </c>
    </row>
    <row r="877" spans="1:10" x14ac:dyDescent="0.25">
      <c r="A877" t="s">
        <v>2199</v>
      </c>
      <c r="B877" t="s">
        <v>2200</v>
      </c>
      <c r="C877" t="s">
        <v>101</v>
      </c>
      <c r="D877" t="s">
        <v>367</v>
      </c>
      <c r="E877" s="36">
        <v>454</v>
      </c>
      <c r="F877" s="36">
        <v>544</v>
      </c>
      <c r="G877" s="36">
        <v>279</v>
      </c>
      <c r="H877" s="36">
        <v>321</v>
      </c>
      <c r="I877" s="37">
        <v>8.8888888888889461E-3</v>
      </c>
      <c r="J877" s="37">
        <v>5.0193050193050093E-2</v>
      </c>
    </row>
    <row r="878" spans="1:10" x14ac:dyDescent="0.25">
      <c r="A878" t="s">
        <v>2201</v>
      </c>
      <c r="B878" t="s">
        <v>2202</v>
      </c>
      <c r="C878" t="s">
        <v>229</v>
      </c>
      <c r="D878" t="s">
        <v>327</v>
      </c>
      <c r="E878" s="36">
        <v>150</v>
      </c>
      <c r="F878" s="36">
        <v>172</v>
      </c>
      <c r="G878" s="36">
        <v>90</v>
      </c>
      <c r="H878" s="36">
        <v>104</v>
      </c>
      <c r="I878" s="37">
        <v>0</v>
      </c>
      <c r="J878" s="37">
        <v>0</v>
      </c>
    </row>
    <row r="879" spans="1:10" x14ac:dyDescent="0.25">
      <c r="A879" t="s">
        <v>2203</v>
      </c>
      <c r="B879" t="s">
        <v>2204</v>
      </c>
      <c r="C879" t="s">
        <v>229</v>
      </c>
      <c r="D879" t="s">
        <v>367</v>
      </c>
      <c r="E879" s="36">
        <v>567</v>
      </c>
      <c r="F879" s="36">
        <v>680</v>
      </c>
      <c r="G879" s="36">
        <v>270</v>
      </c>
      <c r="H879" s="36">
        <v>310</v>
      </c>
      <c r="I879" s="37">
        <v>0.26</v>
      </c>
      <c r="J879" s="37">
        <v>0.31274131274131278</v>
      </c>
    </row>
    <row r="880" spans="1:10" x14ac:dyDescent="0.25">
      <c r="A880" t="s">
        <v>2205</v>
      </c>
      <c r="B880" t="s">
        <v>2206</v>
      </c>
      <c r="C880" t="s">
        <v>229</v>
      </c>
      <c r="D880" t="s">
        <v>367</v>
      </c>
      <c r="E880" s="36">
        <v>150</v>
      </c>
      <c r="F880" s="36">
        <v>165</v>
      </c>
      <c r="G880" s="36">
        <v>90</v>
      </c>
      <c r="H880" s="36">
        <v>99</v>
      </c>
      <c r="I880" s="37">
        <v>0</v>
      </c>
      <c r="J880" s="37">
        <v>0</v>
      </c>
    </row>
    <row r="881" spans="1:10" x14ac:dyDescent="0.25">
      <c r="A881" t="s">
        <v>2207</v>
      </c>
      <c r="B881" t="s">
        <v>2208</v>
      </c>
      <c r="C881" t="s">
        <v>101</v>
      </c>
      <c r="D881" t="s">
        <v>367</v>
      </c>
      <c r="E881" s="36">
        <v>2000</v>
      </c>
      <c r="F881" s="36">
        <v>2300</v>
      </c>
      <c r="G881" s="36">
        <v>1240</v>
      </c>
      <c r="H881" s="36">
        <v>1426</v>
      </c>
      <c r="I881" s="37">
        <v>0</v>
      </c>
      <c r="J881" s="37">
        <v>0</v>
      </c>
    </row>
    <row r="882" spans="1:10" x14ac:dyDescent="0.25">
      <c r="A882" t="s">
        <v>2209</v>
      </c>
      <c r="B882" t="s">
        <v>2210</v>
      </c>
      <c r="C882" t="s">
        <v>101</v>
      </c>
      <c r="D882" t="s">
        <v>367</v>
      </c>
      <c r="E882" s="36">
        <v>4500</v>
      </c>
      <c r="F882" s="36">
        <v>5175</v>
      </c>
      <c r="G882" s="36">
        <v>2790</v>
      </c>
      <c r="H882" s="36">
        <v>3208</v>
      </c>
      <c r="I882" s="37">
        <v>0</v>
      </c>
      <c r="J882" s="37">
        <v>0</v>
      </c>
    </row>
    <row r="883" spans="1:10" x14ac:dyDescent="0.25">
      <c r="A883" t="s">
        <v>2211</v>
      </c>
      <c r="B883" t="s">
        <v>2212</v>
      </c>
      <c r="C883" t="s">
        <v>2213</v>
      </c>
      <c r="D883" t="s">
        <v>367</v>
      </c>
      <c r="E883" s="36">
        <v>7000</v>
      </c>
      <c r="F883" s="36">
        <v>8050</v>
      </c>
      <c r="G883" s="36">
        <v>4340</v>
      </c>
      <c r="H883" s="36">
        <v>4991</v>
      </c>
      <c r="I883" s="37">
        <v>0</v>
      </c>
      <c r="J883" s="37">
        <v>0</v>
      </c>
    </row>
    <row r="884" spans="1:10" x14ac:dyDescent="0.25">
      <c r="A884" t="s">
        <v>2214</v>
      </c>
      <c r="B884" t="s">
        <v>2215</v>
      </c>
      <c r="C884" t="s">
        <v>101</v>
      </c>
      <c r="D884" t="s">
        <v>367</v>
      </c>
      <c r="E884" s="36">
        <v>2000</v>
      </c>
      <c r="F884" s="36">
        <v>2300</v>
      </c>
      <c r="G884" s="36">
        <v>1240</v>
      </c>
      <c r="H884" s="36">
        <v>1426</v>
      </c>
      <c r="I884" s="37">
        <v>0</v>
      </c>
      <c r="J884" s="37">
        <v>0</v>
      </c>
    </row>
    <row r="885" spans="1:10" x14ac:dyDescent="0.25">
      <c r="A885" t="s">
        <v>2216</v>
      </c>
      <c r="B885" t="s">
        <v>2217</v>
      </c>
      <c r="C885" t="s">
        <v>101</v>
      </c>
      <c r="D885" t="s">
        <v>367</v>
      </c>
      <c r="E885" s="36">
        <v>1800</v>
      </c>
      <c r="F885" s="36">
        <v>2070</v>
      </c>
      <c r="G885" s="36">
        <v>1116</v>
      </c>
      <c r="H885" s="36">
        <v>1283</v>
      </c>
      <c r="I885" s="37">
        <v>0</v>
      </c>
      <c r="J885" s="37">
        <v>0</v>
      </c>
    </row>
    <row r="886" spans="1:10" x14ac:dyDescent="0.25">
      <c r="A886" t="s">
        <v>2218</v>
      </c>
      <c r="B886" t="s">
        <v>2219</v>
      </c>
      <c r="C886" t="s">
        <v>229</v>
      </c>
      <c r="D886" t="s">
        <v>367</v>
      </c>
      <c r="E886" s="36">
        <v>300</v>
      </c>
      <c r="F886" s="36">
        <v>345</v>
      </c>
      <c r="G886" s="36">
        <v>186</v>
      </c>
      <c r="H886" s="36">
        <v>214</v>
      </c>
      <c r="I886" s="37">
        <v>0</v>
      </c>
      <c r="J886" s="37">
        <v>0</v>
      </c>
    </row>
    <row r="887" spans="1:10" x14ac:dyDescent="0.25">
      <c r="A887" t="s">
        <v>2220</v>
      </c>
      <c r="B887" t="s">
        <v>2221</v>
      </c>
      <c r="C887" t="s">
        <v>101</v>
      </c>
      <c r="D887" t="s">
        <v>367</v>
      </c>
      <c r="E887" s="36">
        <v>1200</v>
      </c>
      <c r="F887" s="36">
        <v>1380</v>
      </c>
      <c r="G887" s="36">
        <v>744</v>
      </c>
      <c r="H887" s="36">
        <v>856</v>
      </c>
      <c r="I887" s="37">
        <v>0</v>
      </c>
      <c r="J887" s="37">
        <v>0</v>
      </c>
    </row>
    <row r="888" spans="1:10" x14ac:dyDescent="0.25">
      <c r="A888" t="s">
        <v>2222</v>
      </c>
      <c r="B888" t="s">
        <v>2223</v>
      </c>
      <c r="C888" t="s">
        <v>89</v>
      </c>
      <c r="D888" t="s">
        <v>347</v>
      </c>
      <c r="E888" s="36">
        <v>600</v>
      </c>
      <c r="F888" s="36">
        <v>720</v>
      </c>
      <c r="G888" s="36">
        <v>372</v>
      </c>
      <c r="H888" s="36">
        <v>428</v>
      </c>
      <c r="I888" s="37">
        <v>0</v>
      </c>
      <c r="J888" s="37">
        <v>4.3478260869565188E-2</v>
      </c>
    </row>
    <row r="889" spans="1:10" x14ac:dyDescent="0.25">
      <c r="A889" t="s">
        <v>2224</v>
      </c>
      <c r="B889" t="s">
        <v>2225</v>
      </c>
      <c r="C889" t="s">
        <v>101</v>
      </c>
      <c r="D889" t="s">
        <v>363</v>
      </c>
      <c r="E889" s="36">
        <v>14000</v>
      </c>
      <c r="F889" s="36">
        <v>16100</v>
      </c>
      <c r="G889" s="36">
        <v>8680</v>
      </c>
      <c r="H889" s="36">
        <v>9982</v>
      </c>
      <c r="I889" s="37">
        <v>0</v>
      </c>
      <c r="J889" s="37">
        <v>0</v>
      </c>
    </row>
    <row r="890" spans="1:10" x14ac:dyDescent="0.25">
      <c r="A890" t="s">
        <v>2226</v>
      </c>
      <c r="B890" t="s">
        <v>2227</v>
      </c>
      <c r="C890" t="s">
        <v>101</v>
      </c>
      <c r="D890" t="s">
        <v>363</v>
      </c>
      <c r="E890" s="36">
        <v>5500</v>
      </c>
      <c r="F890" s="36">
        <v>6325</v>
      </c>
      <c r="G890" s="36">
        <v>3410</v>
      </c>
      <c r="H890" s="36">
        <v>3921</v>
      </c>
      <c r="I890" s="37">
        <v>0</v>
      </c>
      <c r="J890" s="37">
        <v>0</v>
      </c>
    </row>
    <row r="891" spans="1:10" x14ac:dyDescent="0.25">
      <c r="A891" t="s">
        <v>2228</v>
      </c>
      <c r="B891" t="s">
        <v>2229</v>
      </c>
      <c r="C891" t="s">
        <v>101</v>
      </c>
      <c r="D891" t="s">
        <v>363</v>
      </c>
      <c r="E891" s="36">
        <v>9000</v>
      </c>
      <c r="F891" s="36">
        <v>10350</v>
      </c>
      <c r="G891" s="36">
        <v>5580</v>
      </c>
      <c r="H891" s="36">
        <v>6417</v>
      </c>
      <c r="I891" s="37">
        <v>0</v>
      </c>
      <c r="J891" s="37">
        <v>0</v>
      </c>
    </row>
    <row r="892" spans="1:10" x14ac:dyDescent="0.25">
      <c r="A892" t="s">
        <v>2230</v>
      </c>
      <c r="B892" t="s">
        <v>2231</v>
      </c>
      <c r="C892" t="s">
        <v>229</v>
      </c>
      <c r="D892" t="s">
        <v>367</v>
      </c>
      <c r="E892" s="36">
        <v>60</v>
      </c>
      <c r="F892" s="36">
        <v>69</v>
      </c>
      <c r="G892" s="36">
        <v>37</v>
      </c>
      <c r="H892" s="36">
        <v>43</v>
      </c>
      <c r="I892" s="37">
        <v>0</v>
      </c>
      <c r="J892" s="37">
        <v>0</v>
      </c>
    </row>
    <row r="893" spans="1:10" x14ac:dyDescent="0.25">
      <c r="A893" t="s">
        <v>2232</v>
      </c>
      <c r="B893" t="s">
        <v>2233</v>
      </c>
      <c r="C893" t="s">
        <v>229</v>
      </c>
      <c r="D893" t="s">
        <v>367</v>
      </c>
      <c r="E893" s="36">
        <v>45</v>
      </c>
      <c r="F893" s="36">
        <v>51.5</v>
      </c>
      <c r="G893" s="36">
        <v>28</v>
      </c>
      <c r="H893" s="36">
        <v>32</v>
      </c>
      <c r="I893" s="37">
        <v>0</v>
      </c>
      <c r="J893" s="37">
        <v>0</v>
      </c>
    </row>
    <row r="894" spans="1:10" x14ac:dyDescent="0.25">
      <c r="A894" t="s">
        <v>2234</v>
      </c>
      <c r="B894" t="s">
        <v>2235</v>
      </c>
      <c r="C894" t="s">
        <v>101</v>
      </c>
      <c r="D894" t="s">
        <v>367</v>
      </c>
      <c r="E894" s="36">
        <v>12000</v>
      </c>
      <c r="F894" s="36">
        <v>13800</v>
      </c>
      <c r="G894" s="36">
        <v>7440</v>
      </c>
      <c r="H894" s="36">
        <v>8556</v>
      </c>
      <c r="I894" s="37">
        <v>0</v>
      </c>
      <c r="J894" s="37">
        <v>0</v>
      </c>
    </row>
    <row r="895" spans="1:10" x14ac:dyDescent="0.25">
      <c r="A895" t="s">
        <v>2236</v>
      </c>
      <c r="B895" t="s">
        <v>2237</v>
      </c>
      <c r="C895" t="s">
        <v>229</v>
      </c>
      <c r="D895" t="s">
        <v>367</v>
      </c>
      <c r="E895" s="36">
        <v>45</v>
      </c>
      <c r="F895" s="36">
        <v>51.5</v>
      </c>
      <c r="G895" s="36">
        <v>28</v>
      </c>
      <c r="H895" s="36">
        <v>32</v>
      </c>
      <c r="I895" s="37">
        <v>0</v>
      </c>
      <c r="J895" s="37">
        <v>0</v>
      </c>
    </row>
    <row r="896" spans="1:10" x14ac:dyDescent="0.25">
      <c r="A896" t="s">
        <v>2238</v>
      </c>
      <c r="B896" t="s">
        <v>2239</v>
      </c>
      <c r="C896" t="s">
        <v>229</v>
      </c>
      <c r="D896" t="s">
        <v>367</v>
      </c>
      <c r="E896" s="36">
        <v>350</v>
      </c>
      <c r="F896" s="36">
        <v>408</v>
      </c>
      <c r="G896" s="36">
        <v>217</v>
      </c>
      <c r="H896" s="36">
        <v>250</v>
      </c>
      <c r="I896" s="37">
        <v>0</v>
      </c>
      <c r="J896" s="37">
        <v>1.49253731343284E-2</v>
      </c>
    </row>
    <row r="897" spans="1:10" x14ac:dyDescent="0.25">
      <c r="A897" t="s">
        <v>2240</v>
      </c>
      <c r="B897" t="s">
        <v>2241</v>
      </c>
      <c r="C897" t="s">
        <v>229</v>
      </c>
      <c r="D897" t="s">
        <v>367</v>
      </c>
      <c r="E897" s="36">
        <v>250</v>
      </c>
      <c r="F897" s="36">
        <v>288</v>
      </c>
      <c r="G897" s="36">
        <v>155</v>
      </c>
      <c r="H897" s="36">
        <v>178</v>
      </c>
      <c r="I897" s="37">
        <v>0</v>
      </c>
      <c r="J897" s="37">
        <v>0</v>
      </c>
    </row>
    <row r="898" spans="1:10" x14ac:dyDescent="0.25">
      <c r="A898" t="s">
        <v>2242</v>
      </c>
      <c r="B898" t="s">
        <v>2243</v>
      </c>
      <c r="C898" t="s">
        <v>229</v>
      </c>
      <c r="D898" t="s">
        <v>367</v>
      </c>
      <c r="E898" s="36">
        <v>150</v>
      </c>
      <c r="F898" s="36">
        <v>172</v>
      </c>
      <c r="G898" s="36">
        <v>93</v>
      </c>
      <c r="H898" s="36">
        <v>107</v>
      </c>
      <c r="I898" s="37">
        <v>0</v>
      </c>
      <c r="J898" s="37">
        <v>0</v>
      </c>
    </row>
    <row r="899" spans="1:10" x14ac:dyDescent="0.25">
      <c r="A899" t="s">
        <v>2244</v>
      </c>
      <c r="B899" t="s">
        <v>2245</v>
      </c>
      <c r="C899" t="s">
        <v>101</v>
      </c>
      <c r="D899" t="s">
        <v>367</v>
      </c>
      <c r="E899" s="36">
        <v>3000</v>
      </c>
      <c r="F899" s="36">
        <v>3450</v>
      </c>
      <c r="G899" s="36">
        <v>1860</v>
      </c>
      <c r="H899" s="36">
        <v>2139</v>
      </c>
      <c r="I899" s="37">
        <v>0</v>
      </c>
      <c r="J899" s="37">
        <v>0</v>
      </c>
    </row>
    <row r="900" spans="1:10" x14ac:dyDescent="0.25">
      <c r="A900" t="s">
        <v>2246</v>
      </c>
      <c r="B900" t="s">
        <v>2247</v>
      </c>
      <c r="C900" t="s">
        <v>101</v>
      </c>
      <c r="D900" t="s">
        <v>367</v>
      </c>
      <c r="E900" s="36">
        <v>600</v>
      </c>
      <c r="F900" s="36">
        <v>690</v>
      </c>
      <c r="G900" s="36">
        <v>372</v>
      </c>
      <c r="H900" s="36">
        <v>428</v>
      </c>
      <c r="I900" s="37">
        <v>0</v>
      </c>
      <c r="J900" s="37">
        <v>0</v>
      </c>
    </row>
    <row r="901" spans="1:10" x14ac:dyDescent="0.25">
      <c r="A901" t="s">
        <v>2248</v>
      </c>
      <c r="B901" t="s">
        <v>2249</v>
      </c>
      <c r="C901" t="s">
        <v>101</v>
      </c>
      <c r="D901" t="s">
        <v>367</v>
      </c>
      <c r="E901" s="36">
        <v>1500</v>
      </c>
      <c r="F901" s="36">
        <v>1725</v>
      </c>
      <c r="G901" s="36">
        <v>930</v>
      </c>
      <c r="H901" s="36">
        <v>1069</v>
      </c>
      <c r="I901" s="37">
        <v>0</v>
      </c>
      <c r="J901" s="37">
        <v>0</v>
      </c>
    </row>
    <row r="902" spans="1:10" x14ac:dyDescent="0.25">
      <c r="A902" t="s">
        <v>2250</v>
      </c>
      <c r="B902" t="s">
        <v>2251</v>
      </c>
      <c r="C902" t="s">
        <v>101</v>
      </c>
      <c r="D902" t="s">
        <v>367</v>
      </c>
      <c r="E902" s="36">
        <v>700</v>
      </c>
      <c r="F902" s="36">
        <v>805</v>
      </c>
      <c r="G902" s="36">
        <v>434</v>
      </c>
      <c r="H902" s="36">
        <v>499</v>
      </c>
      <c r="I902" s="37">
        <v>0</v>
      </c>
      <c r="J902" s="37">
        <v>0</v>
      </c>
    </row>
    <row r="903" spans="1:10" x14ac:dyDescent="0.25">
      <c r="A903" t="s">
        <v>2252</v>
      </c>
      <c r="B903" t="s">
        <v>2253</v>
      </c>
      <c r="C903" t="s">
        <v>101</v>
      </c>
      <c r="D903" t="s">
        <v>367</v>
      </c>
      <c r="E903" s="36">
        <v>1100</v>
      </c>
      <c r="F903" s="36">
        <v>1265</v>
      </c>
      <c r="G903" s="36">
        <v>682</v>
      </c>
      <c r="H903" s="36">
        <v>784</v>
      </c>
      <c r="I903" s="37">
        <v>0</v>
      </c>
      <c r="J903" s="37">
        <v>0</v>
      </c>
    </row>
    <row r="904" spans="1:10" x14ac:dyDescent="0.25">
      <c r="A904" t="s">
        <v>2254</v>
      </c>
      <c r="B904" t="s">
        <v>2255</v>
      </c>
      <c r="C904" t="s">
        <v>101</v>
      </c>
      <c r="D904" t="s">
        <v>367</v>
      </c>
      <c r="E904" s="36">
        <v>450</v>
      </c>
      <c r="F904" s="36">
        <v>518</v>
      </c>
      <c r="G904" s="36">
        <v>279</v>
      </c>
      <c r="H904" s="36">
        <v>321</v>
      </c>
      <c r="I904" s="37">
        <v>0</v>
      </c>
      <c r="J904" s="37">
        <v>0</v>
      </c>
    </row>
    <row r="905" spans="1:10" x14ac:dyDescent="0.25">
      <c r="A905" t="s">
        <v>2256</v>
      </c>
      <c r="B905" t="s">
        <v>2257</v>
      </c>
      <c r="C905" t="s">
        <v>1231</v>
      </c>
      <c r="D905" t="s">
        <v>367</v>
      </c>
      <c r="E905" s="36">
        <v>4000</v>
      </c>
      <c r="F905" s="36">
        <v>4600</v>
      </c>
      <c r="G905" s="36">
        <v>2480</v>
      </c>
      <c r="H905" s="36">
        <v>2852</v>
      </c>
      <c r="I905" s="37">
        <v>0</v>
      </c>
      <c r="J905" s="37">
        <v>0</v>
      </c>
    </row>
    <row r="906" spans="1:10" x14ac:dyDescent="0.25">
      <c r="A906" t="s">
        <v>2258</v>
      </c>
      <c r="B906" t="s">
        <v>2259</v>
      </c>
      <c r="C906" t="s">
        <v>101</v>
      </c>
      <c r="D906" t="s">
        <v>367</v>
      </c>
      <c r="E906" s="36">
        <v>15000</v>
      </c>
      <c r="F906" s="36">
        <v>18000</v>
      </c>
      <c r="G906" s="36">
        <v>9300</v>
      </c>
      <c r="H906" s="36">
        <v>11160</v>
      </c>
      <c r="I906" s="37">
        <v>0</v>
      </c>
      <c r="J906" s="37">
        <v>0</v>
      </c>
    </row>
    <row r="907" spans="1:10" x14ac:dyDescent="0.25">
      <c r="A907" t="s">
        <v>2260</v>
      </c>
      <c r="B907" t="s">
        <v>2261</v>
      </c>
      <c r="C907" t="s">
        <v>101</v>
      </c>
      <c r="D907" t="s">
        <v>367</v>
      </c>
      <c r="E907" s="36">
        <v>500</v>
      </c>
      <c r="F907" s="36">
        <v>575</v>
      </c>
      <c r="G907" s="36">
        <v>310</v>
      </c>
      <c r="H907" s="36">
        <v>356</v>
      </c>
      <c r="I907" s="37">
        <v>0</v>
      </c>
      <c r="J907" s="37">
        <v>0</v>
      </c>
    </row>
    <row r="908" spans="1:10" x14ac:dyDescent="0.25">
      <c r="A908" t="s">
        <v>2262</v>
      </c>
      <c r="B908" t="s">
        <v>2263</v>
      </c>
      <c r="C908" t="s">
        <v>229</v>
      </c>
      <c r="D908" t="s">
        <v>363</v>
      </c>
      <c r="E908" s="36">
        <v>1800</v>
      </c>
      <c r="F908" s="36">
        <v>2160</v>
      </c>
      <c r="G908" s="36">
        <v>992</v>
      </c>
      <c r="H908" s="36">
        <v>1141</v>
      </c>
      <c r="I908" s="37">
        <v>0.125</v>
      </c>
      <c r="J908" s="37">
        <v>0.173913043478261</v>
      </c>
    </row>
    <row r="909" spans="1:10" x14ac:dyDescent="0.25">
      <c r="A909" t="s">
        <v>2264</v>
      </c>
      <c r="B909" t="s">
        <v>2265</v>
      </c>
      <c r="C909" t="s">
        <v>229</v>
      </c>
      <c r="D909" t="s">
        <v>363</v>
      </c>
      <c r="E909" s="36">
        <v>2340</v>
      </c>
      <c r="F909" s="36">
        <v>2808</v>
      </c>
      <c r="G909" s="36">
        <v>1302</v>
      </c>
      <c r="H909" s="36">
        <v>1497</v>
      </c>
      <c r="I909" s="37">
        <v>0.1142857142857143</v>
      </c>
      <c r="J909" s="37">
        <v>0.16273291925465849</v>
      </c>
    </row>
    <row r="910" spans="1:10" x14ac:dyDescent="0.25">
      <c r="A910" t="s">
        <v>2266</v>
      </c>
      <c r="B910" t="s">
        <v>2267</v>
      </c>
      <c r="C910" t="s">
        <v>229</v>
      </c>
      <c r="D910" t="s">
        <v>363</v>
      </c>
      <c r="E910" s="36">
        <v>2760</v>
      </c>
      <c r="F910" s="36">
        <v>3312</v>
      </c>
      <c r="G910" s="36">
        <v>1550</v>
      </c>
      <c r="H910" s="36">
        <v>1782</v>
      </c>
      <c r="I910" s="37">
        <v>0.10400000000000011</v>
      </c>
      <c r="J910" s="37">
        <v>0.15199999999999991</v>
      </c>
    </row>
    <row r="911" spans="1:10" x14ac:dyDescent="0.25">
      <c r="A911" t="s">
        <v>2268</v>
      </c>
      <c r="B911" t="s">
        <v>2269</v>
      </c>
      <c r="C911" t="s">
        <v>229</v>
      </c>
      <c r="D911" t="s">
        <v>363</v>
      </c>
      <c r="E911" s="36">
        <v>1080</v>
      </c>
      <c r="F911" s="36">
        <v>1296</v>
      </c>
      <c r="G911" s="36">
        <v>558</v>
      </c>
      <c r="H911" s="36">
        <v>642</v>
      </c>
      <c r="I911" s="37">
        <v>0.2</v>
      </c>
      <c r="J911" s="37">
        <v>0.25217391304347841</v>
      </c>
    </row>
    <row r="912" spans="1:10" x14ac:dyDescent="0.25">
      <c r="A912" t="s">
        <v>2270</v>
      </c>
      <c r="B912" t="s">
        <v>2271</v>
      </c>
      <c r="C912" t="s">
        <v>229</v>
      </c>
      <c r="D912" t="s">
        <v>363</v>
      </c>
      <c r="E912" s="36">
        <v>1260</v>
      </c>
      <c r="F912" s="36">
        <v>1512</v>
      </c>
      <c r="G912" s="36">
        <v>682</v>
      </c>
      <c r="H912" s="36">
        <v>784</v>
      </c>
      <c r="I912" s="37">
        <v>0.1454545454545455</v>
      </c>
      <c r="J912" s="37">
        <v>0.19525691699604741</v>
      </c>
    </row>
    <row r="913" spans="1:10" x14ac:dyDescent="0.25">
      <c r="A913" t="s">
        <v>2272</v>
      </c>
      <c r="B913" t="s">
        <v>2273</v>
      </c>
      <c r="C913" t="s">
        <v>229</v>
      </c>
      <c r="D913" t="s">
        <v>363</v>
      </c>
      <c r="E913" s="36">
        <v>1500</v>
      </c>
      <c r="F913" s="36">
        <v>1800</v>
      </c>
      <c r="G913" s="36">
        <v>806</v>
      </c>
      <c r="H913" s="36">
        <v>927</v>
      </c>
      <c r="I913" s="37">
        <v>0.15384615384615369</v>
      </c>
      <c r="J913" s="37">
        <v>0.20401337792642149</v>
      </c>
    </row>
    <row r="914" spans="1:10" x14ac:dyDescent="0.25">
      <c r="A914" t="s">
        <v>2274</v>
      </c>
      <c r="B914" t="s">
        <v>2275</v>
      </c>
      <c r="C914" t="s">
        <v>229</v>
      </c>
      <c r="D914" t="s">
        <v>367</v>
      </c>
      <c r="E914" s="36">
        <v>450</v>
      </c>
      <c r="F914" s="36">
        <v>518</v>
      </c>
      <c r="G914" s="36">
        <v>279</v>
      </c>
      <c r="H914" s="36">
        <v>321</v>
      </c>
      <c r="I914" s="37">
        <v>0</v>
      </c>
      <c r="J914" s="37">
        <v>0</v>
      </c>
    </row>
    <row r="915" spans="1:10" x14ac:dyDescent="0.25">
      <c r="A915" t="s">
        <v>2276</v>
      </c>
      <c r="B915" t="s">
        <v>2277</v>
      </c>
      <c r="C915" t="s">
        <v>229</v>
      </c>
      <c r="D915" t="s">
        <v>367</v>
      </c>
      <c r="E915" s="36">
        <v>500</v>
      </c>
      <c r="F915" s="36">
        <v>575</v>
      </c>
      <c r="G915" s="36">
        <v>310</v>
      </c>
      <c r="H915" s="36">
        <v>356</v>
      </c>
      <c r="I915" s="37">
        <v>0</v>
      </c>
      <c r="J915" s="37">
        <v>0</v>
      </c>
    </row>
    <row r="916" spans="1:10" x14ac:dyDescent="0.25">
      <c r="A916" t="s">
        <v>2278</v>
      </c>
      <c r="B916" t="s">
        <v>2279</v>
      </c>
      <c r="C916" t="s">
        <v>229</v>
      </c>
      <c r="D916" t="s">
        <v>367</v>
      </c>
      <c r="E916" s="36">
        <v>900</v>
      </c>
      <c r="F916" s="36">
        <v>1035</v>
      </c>
      <c r="G916" s="36">
        <v>558</v>
      </c>
      <c r="H916" s="36">
        <v>642</v>
      </c>
      <c r="I916" s="37">
        <v>0</v>
      </c>
      <c r="J916" s="37">
        <v>0</v>
      </c>
    </row>
    <row r="917" spans="1:10" x14ac:dyDescent="0.25">
      <c r="A917" t="s">
        <v>2280</v>
      </c>
      <c r="B917" t="s">
        <v>2281</v>
      </c>
      <c r="C917" t="s">
        <v>229</v>
      </c>
      <c r="D917" t="s">
        <v>367</v>
      </c>
      <c r="E917" s="36">
        <v>1100</v>
      </c>
      <c r="F917" s="36">
        <v>1265</v>
      </c>
      <c r="G917" s="36">
        <v>682</v>
      </c>
      <c r="H917" s="36">
        <v>784</v>
      </c>
      <c r="I917" s="37">
        <v>0</v>
      </c>
      <c r="J917" s="37">
        <v>0</v>
      </c>
    </row>
    <row r="918" spans="1:10" x14ac:dyDescent="0.25">
      <c r="A918" t="s">
        <v>2282</v>
      </c>
      <c r="B918" t="s">
        <v>2283</v>
      </c>
      <c r="C918" t="s">
        <v>229</v>
      </c>
      <c r="D918" t="s">
        <v>367</v>
      </c>
      <c r="E918" s="36">
        <v>350</v>
      </c>
      <c r="F918" s="36">
        <v>402</v>
      </c>
      <c r="G918" s="36">
        <v>217</v>
      </c>
      <c r="H918" s="36">
        <v>250</v>
      </c>
      <c r="I918" s="37">
        <v>0</v>
      </c>
      <c r="J918" s="37">
        <v>0</v>
      </c>
    </row>
    <row r="919" spans="1:10" x14ac:dyDescent="0.25">
      <c r="A919" t="s">
        <v>2284</v>
      </c>
      <c r="B919" t="s">
        <v>2285</v>
      </c>
      <c r="C919" t="s">
        <v>229</v>
      </c>
      <c r="D919" t="s">
        <v>367</v>
      </c>
      <c r="E919" s="36">
        <v>400</v>
      </c>
      <c r="F919" s="36">
        <v>460</v>
      </c>
      <c r="G919" s="36">
        <v>248</v>
      </c>
      <c r="H919" s="36">
        <v>285</v>
      </c>
      <c r="I919" s="37">
        <v>0</v>
      </c>
      <c r="J919" s="37">
        <v>0</v>
      </c>
    </row>
    <row r="920" spans="1:10" x14ac:dyDescent="0.25">
      <c r="A920" t="s">
        <v>2286</v>
      </c>
      <c r="B920" t="s">
        <v>2287</v>
      </c>
      <c r="C920" t="s">
        <v>229</v>
      </c>
      <c r="D920" t="s">
        <v>367</v>
      </c>
      <c r="E920" s="36">
        <v>550</v>
      </c>
      <c r="F920" s="36">
        <v>632</v>
      </c>
      <c r="G920" s="36">
        <v>341</v>
      </c>
      <c r="H920" s="36">
        <v>392</v>
      </c>
      <c r="I920" s="37">
        <v>0</v>
      </c>
      <c r="J920" s="37">
        <v>0</v>
      </c>
    </row>
    <row r="921" spans="1:10" x14ac:dyDescent="0.25">
      <c r="A921" t="s">
        <v>2288</v>
      </c>
      <c r="B921" t="s">
        <v>2289</v>
      </c>
      <c r="C921" t="s">
        <v>229</v>
      </c>
      <c r="D921" t="s">
        <v>367</v>
      </c>
      <c r="E921" s="36">
        <v>850</v>
      </c>
      <c r="F921" s="36">
        <v>977</v>
      </c>
      <c r="G921" s="36">
        <v>527</v>
      </c>
      <c r="H921" s="36">
        <v>606</v>
      </c>
      <c r="I921" s="37">
        <v>0</v>
      </c>
      <c r="J921" s="37">
        <v>0</v>
      </c>
    </row>
    <row r="922" spans="1:10" x14ac:dyDescent="0.25">
      <c r="A922" t="s">
        <v>2290</v>
      </c>
      <c r="B922" t="s">
        <v>2291</v>
      </c>
      <c r="C922" t="s">
        <v>229</v>
      </c>
      <c r="D922" t="s">
        <v>367</v>
      </c>
      <c r="E922" s="36">
        <v>454</v>
      </c>
      <c r="F922" s="36">
        <v>544</v>
      </c>
      <c r="G922" s="36">
        <v>279</v>
      </c>
      <c r="H922" s="36">
        <v>321</v>
      </c>
      <c r="I922" s="37">
        <v>8.8888888888889461E-3</v>
      </c>
      <c r="J922" s="37">
        <v>5.0193050193050093E-2</v>
      </c>
    </row>
    <row r="923" spans="1:10" x14ac:dyDescent="0.25">
      <c r="A923" t="s">
        <v>2292</v>
      </c>
      <c r="B923" t="s">
        <v>2293</v>
      </c>
      <c r="C923" t="s">
        <v>229</v>
      </c>
      <c r="D923" t="s">
        <v>367</v>
      </c>
      <c r="E923" s="36">
        <v>511</v>
      </c>
      <c r="F923" s="36">
        <v>612</v>
      </c>
      <c r="G923" s="36">
        <v>310</v>
      </c>
      <c r="H923" s="36">
        <v>356</v>
      </c>
      <c r="I923" s="37">
        <v>2.200000000000002E-2</v>
      </c>
      <c r="J923" s="37">
        <v>6.434782608695655E-2</v>
      </c>
    </row>
    <row r="924" spans="1:10" x14ac:dyDescent="0.25">
      <c r="A924" t="s">
        <v>2294</v>
      </c>
      <c r="B924" t="s">
        <v>2295</v>
      </c>
      <c r="C924" t="s">
        <v>229</v>
      </c>
      <c r="D924" t="s">
        <v>367</v>
      </c>
      <c r="E924" s="36">
        <v>590</v>
      </c>
      <c r="F924" s="36">
        <v>707</v>
      </c>
      <c r="G924" s="36">
        <v>360</v>
      </c>
      <c r="H924" s="36">
        <v>414</v>
      </c>
      <c r="I924" s="37">
        <v>1.7241379310344751E-2</v>
      </c>
      <c r="J924" s="37">
        <v>5.9970014992503762E-2</v>
      </c>
    </row>
    <row r="925" spans="1:10" x14ac:dyDescent="0.25">
      <c r="A925" t="s">
        <v>2296</v>
      </c>
      <c r="B925" t="s">
        <v>2297</v>
      </c>
      <c r="C925" t="s">
        <v>229</v>
      </c>
      <c r="D925" t="s">
        <v>367</v>
      </c>
      <c r="E925" s="36">
        <v>703</v>
      </c>
      <c r="F925" s="36">
        <v>843</v>
      </c>
      <c r="G925" s="36">
        <v>422</v>
      </c>
      <c r="H925" s="36">
        <v>485</v>
      </c>
      <c r="I925" s="37">
        <v>3.3823529411764808E-2</v>
      </c>
      <c r="J925" s="37">
        <v>7.8005115089514021E-2</v>
      </c>
    </row>
    <row r="926" spans="1:10" x14ac:dyDescent="0.25">
      <c r="A926" t="s">
        <v>2298</v>
      </c>
      <c r="B926" t="s">
        <v>2299</v>
      </c>
      <c r="C926" t="s">
        <v>229</v>
      </c>
      <c r="D926" t="s">
        <v>367</v>
      </c>
      <c r="E926" s="36">
        <v>794</v>
      </c>
      <c r="F926" s="36">
        <v>952</v>
      </c>
      <c r="G926" s="36">
        <v>484</v>
      </c>
      <c r="H926" s="36">
        <v>556</v>
      </c>
      <c r="I926" s="37">
        <v>1.7948717948717881E-2</v>
      </c>
      <c r="J926" s="37">
        <v>6.1315496098104827E-2</v>
      </c>
    </row>
    <row r="927" spans="1:10" x14ac:dyDescent="0.25">
      <c r="A927" t="s">
        <v>2300</v>
      </c>
      <c r="B927" t="s">
        <v>2301</v>
      </c>
      <c r="C927" t="s">
        <v>229</v>
      </c>
      <c r="D927" t="s">
        <v>367</v>
      </c>
      <c r="E927" s="36">
        <v>930</v>
      </c>
      <c r="F927" s="36">
        <v>1115</v>
      </c>
      <c r="G927" s="36">
        <v>558</v>
      </c>
      <c r="H927" s="36">
        <v>642</v>
      </c>
      <c r="I927" s="37">
        <v>3.3333333333333437E-2</v>
      </c>
      <c r="J927" s="37">
        <v>7.7294685990338063E-2</v>
      </c>
    </row>
    <row r="928" spans="1:10" x14ac:dyDescent="0.25">
      <c r="A928" t="s">
        <v>2302</v>
      </c>
      <c r="B928" t="s">
        <v>2303</v>
      </c>
      <c r="C928" t="s">
        <v>229</v>
      </c>
      <c r="D928" t="s">
        <v>363</v>
      </c>
      <c r="E928" s="36">
        <v>1680</v>
      </c>
      <c r="F928" s="36">
        <v>2016</v>
      </c>
      <c r="G928" s="36">
        <v>930</v>
      </c>
      <c r="H928" s="36">
        <v>1069</v>
      </c>
      <c r="I928" s="37">
        <v>0.12000000000000011</v>
      </c>
      <c r="J928" s="37">
        <v>0.16869565217391311</v>
      </c>
    </row>
    <row r="929" spans="1:10" x14ac:dyDescent="0.25">
      <c r="A929" t="s">
        <v>2304</v>
      </c>
      <c r="B929" t="s">
        <v>2305</v>
      </c>
      <c r="C929" t="s">
        <v>229</v>
      </c>
      <c r="D929" t="s">
        <v>363</v>
      </c>
      <c r="E929" s="36">
        <v>1800</v>
      </c>
      <c r="F929" s="36">
        <v>2160</v>
      </c>
      <c r="G929" s="36">
        <v>992</v>
      </c>
      <c r="H929" s="36">
        <v>1141</v>
      </c>
      <c r="I929" s="37">
        <v>0.125</v>
      </c>
      <c r="J929" s="37">
        <v>0.173913043478261</v>
      </c>
    </row>
    <row r="930" spans="1:10" x14ac:dyDescent="0.25">
      <c r="A930" t="s">
        <v>2306</v>
      </c>
      <c r="B930" t="s">
        <v>2307</v>
      </c>
      <c r="C930" t="s">
        <v>229</v>
      </c>
      <c r="D930" t="s">
        <v>363</v>
      </c>
      <c r="E930" s="36">
        <v>2340</v>
      </c>
      <c r="F930" s="36">
        <v>2808</v>
      </c>
      <c r="G930" s="36">
        <v>1302</v>
      </c>
      <c r="H930" s="36">
        <v>1497</v>
      </c>
      <c r="I930" s="37">
        <v>0.1142857142857143</v>
      </c>
      <c r="J930" s="37">
        <v>0.16273291925465849</v>
      </c>
    </row>
    <row r="931" spans="1:10" x14ac:dyDescent="0.25">
      <c r="A931" t="s">
        <v>2308</v>
      </c>
      <c r="B931" t="s">
        <v>2309</v>
      </c>
      <c r="C931" t="s">
        <v>229</v>
      </c>
      <c r="D931" t="s">
        <v>363</v>
      </c>
      <c r="E931" s="36">
        <v>2760</v>
      </c>
      <c r="F931" s="36">
        <v>3312</v>
      </c>
      <c r="G931" s="36">
        <v>1550</v>
      </c>
      <c r="H931" s="36">
        <v>1782</v>
      </c>
      <c r="I931" s="37">
        <v>0.10400000000000011</v>
      </c>
      <c r="J931" s="37">
        <v>0.15199999999999991</v>
      </c>
    </row>
    <row r="932" spans="1:10" x14ac:dyDescent="0.25">
      <c r="A932" t="s">
        <v>2310</v>
      </c>
      <c r="B932" t="s">
        <v>2311</v>
      </c>
      <c r="C932" t="s">
        <v>229</v>
      </c>
      <c r="D932" t="s">
        <v>363</v>
      </c>
      <c r="E932" s="36">
        <v>780</v>
      </c>
      <c r="F932" s="36">
        <v>936</v>
      </c>
      <c r="G932" s="36">
        <v>434</v>
      </c>
      <c r="H932" s="36">
        <v>499</v>
      </c>
      <c r="I932" s="37">
        <v>0.1142857142857143</v>
      </c>
      <c r="J932" s="37">
        <v>0.16273291925465849</v>
      </c>
    </row>
    <row r="933" spans="1:10" x14ac:dyDescent="0.25">
      <c r="A933" t="s">
        <v>2312</v>
      </c>
      <c r="B933" t="s">
        <v>2313</v>
      </c>
      <c r="C933" t="s">
        <v>229</v>
      </c>
      <c r="D933" t="s">
        <v>363</v>
      </c>
      <c r="E933" s="36">
        <v>864</v>
      </c>
      <c r="F933" s="36">
        <v>1038</v>
      </c>
      <c r="G933" s="36">
        <v>484</v>
      </c>
      <c r="H933" s="36">
        <v>556</v>
      </c>
      <c r="I933" s="37">
        <v>0.1076923076923078</v>
      </c>
      <c r="J933" s="37">
        <v>0.15719063545150491</v>
      </c>
    </row>
    <row r="934" spans="1:10" x14ac:dyDescent="0.25">
      <c r="A934" t="s">
        <v>2314</v>
      </c>
      <c r="B934" t="s">
        <v>2315</v>
      </c>
      <c r="C934" t="s">
        <v>229</v>
      </c>
      <c r="D934" t="s">
        <v>363</v>
      </c>
      <c r="E934" s="36">
        <v>1080</v>
      </c>
      <c r="F934" s="36">
        <v>1296</v>
      </c>
      <c r="G934" s="36">
        <v>558</v>
      </c>
      <c r="H934" s="36">
        <v>642</v>
      </c>
      <c r="I934" s="37">
        <v>0.2</v>
      </c>
      <c r="J934" s="37">
        <v>0.25217391304347841</v>
      </c>
    </row>
    <row r="935" spans="1:10" x14ac:dyDescent="0.25">
      <c r="A935" t="s">
        <v>2316</v>
      </c>
      <c r="B935" t="s">
        <v>2317</v>
      </c>
      <c r="C935" t="s">
        <v>229</v>
      </c>
      <c r="D935" t="s">
        <v>363</v>
      </c>
      <c r="E935" s="36">
        <v>1320</v>
      </c>
      <c r="F935" s="36">
        <v>1584</v>
      </c>
      <c r="G935" s="36">
        <v>713</v>
      </c>
      <c r="H935" s="36">
        <v>820</v>
      </c>
      <c r="I935" s="37">
        <v>0.1478260869565218</v>
      </c>
      <c r="J935" s="37">
        <v>0.1981845688350983</v>
      </c>
    </row>
    <row r="936" spans="1:10" x14ac:dyDescent="0.25">
      <c r="A936" t="s">
        <v>2318</v>
      </c>
      <c r="B936" t="s">
        <v>2319</v>
      </c>
      <c r="C936" t="s">
        <v>101</v>
      </c>
      <c r="D936" t="s">
        <v>367</v>
      </c>
      <c r="E936" s="36">
        <v>2000</v>
      </c>
      <c r="F936" s="36">
        <v>2300</v>
      </c>
      <c r="G936" s="36">
        <v>1240</v>
      </c>
      <c r="H936" s="36">
        <v>1426</v>
      </c>
      <c r="I936" s="37">
        <v>0</v>
      </c>
      <c r="J936" s="37">
        <v>0</v>
      </c>
    </row>
    <row r="937" spans="1:10" x14ac:dyDescent="0.25">
      <c r="A937" t="s">
        <v>2320</v>
      </c>
      <c r="B937" t="s">
        <v>2321</v>
      </c>
      <c r="C937" t="s">
        <v>243</v>
      </c>
      <c r="D937" t="s">
        <v>367</v>
      </c>
      <c r="E937" s="36">
        <v>250</v>
      </c>
      <c r="F937" s="36">
        <v>288</v>
      </c>
      <c r="G937" s="36">
        <v>155</v>
      </c>
      <c r="H937" s="36">
        <v>178</v>
      </c>
      <c r="I937" s="37">
        <v>0</v>
      </c>
      <c r="J937" s="37">
        <v>0</v>
      </c>
    </row>
    <row r="938" spans="1:10" x14ac:dyDescent="0.25">
      <c r="A938" t="s">
        <v>2322</v>
      </c>
      <c r="B938" t="s">
        <v>2323</v>
      </c>
      <c r="C938" t="s">
        <v>101</v>
      </c>
      <c r="D938" t="s">
        <v>367</v>
      </c>
      <c r="E938" s="36">
        <v>2500</v>
      </c>
      <c r="F938" s="36">
        <v>2875</v>
      </c>
      <c r="G938" s="36">
        <v>1550</v>
      </c>
      <c r="H938" s="36">
        <v>1782</v>
      </c>
      <c r="I938" s="37">
        <v>0</v>
      </c>
      <c r="J938" s="37">
        <v>0</v>
      </c>
    </row>
    <row r="939" spans="1:10" x14ac:dyDescent="0.25">
      <c r="A939" t="s">
        <v>2324</v>
      </c>
      <c r="B939" t="s">
        <v>2325</v>
      </c>
      <c r="C939" t="s">
        <v>101</v>
      </c>
      <c r="D939" t="s">
        <v>367</v>
      </c>
      <c r="E939" s="36">
        <v>3000</v>
      </c>
      <c r="F939" s="36">
        <v>3450</v>
      </c>
      <c r="G939" s="36">
        <v>1860</v>
      </c>
      <c r="H939" s="36">
        <v>2139</v>
      </c>
      <c r="I939" s="37">
        <v>0</v>
      </c>
      <c r="J939" s="37">
        <v>0</v>
      </c>
    </row>
    <row r="940" spans="1:10" x14ac:dyDescent="0.25">
      <c r="A940" t="s">
        <v>2326</v>
      </c>
      <c r="B940" t="s">
        <v>2327</v>
      </c>
      <c r="C940" t="s">
        <v>101</v>
      </c>
      <c r="D940" t="s">
        <v>379</v>
      </c>
      <c r="E940" s="36">
        <v>700</v>
      </c>
      <c r="F940" s="36">
        <v>805</v>
      </c>
      <c r="G940" s="36">
        <v>434</v>
      </c>
      <c r="H940" s="36">
        <v>499</v>
      </c>
      <c r="I940" s="37">
        <v>0</v>
      </c>
      <c r="J940" s="37">
        <v>0</v>
      </c>
    </row>
    <row r="941" spans="1:10" x14ac:dyDescent="0.25">
      <c r="A941" t="s">
        <v>2328</v>
      </c>
      <c r="B941" t="s">
        <v>2329</v>
      </c>
      <c r="C941" t="s">
        <v>101</v>
      </c>
      <c r="D941" t="s">
        <v>367</v>
      </c>
      <c r="E941" s="36">
        <v>1000</v>
      </c>
      <c r="F941" s="36">
        <v>1150</v>
      </c>
      <c r="G941" s="36">
        <v>620</v>
      </c>
      <c r="H941" s="36">
        <v>713</v>
      </c>
      <c r="I941" s="37">
        <v>0</v>
      </c>
      <c r="J941" s="37">
        <v>0</v>
      </c>
    </row>
    <row r="942" spans="1:10" x14ac:dyDescent="0.25">
      <c r="A942" t="s">
        <v>2330</v>
      </c>
      <c r="B942" t="s">
        <v>2331</v>
      </c>
      <c r="C942" t="s">
        <v>101</v>
      </c>
      <c r="D942" t="s">
        <v>367</v>
      </c>
      <c r="E942" s="36">
        <v>1500</v>
      </c>
      <c r="F942" s="36">
        <v>1725</v>
      </c>
      <c r="G942" s="36">
        <v>930</v>
      </c>
      <c r="H942" s="36">
        <v>1069</v>
      </c>
      <c r="I942" s="37">
        <v>0</v>
      </c>
      <c r="J942" s="37">
        <v>0</v>
      </c>
    </row>
    <row r="943" spans="1:10" x14ac:dyDescent="0.25">
      <c r="A943" t="s">
        <v>2332</v>
      </c>
      <c r="B943" t="s">
        <v>2333</v>
      </c>
      <c r="C943" t="s">
        <v>101</v>
      </c>
      <c r="D943" t="s">
        <v>367</v>
      </c>
      <c r="E943" s="36">
        <v>800</v>
      </c>
      <c r="F943" s="36">
        <v>920</v>
      </c>
      <c r="G943" s="36">
        <v>496</v>
      </c>
      <c r="H943" s="36">
        <v>570</v>
      </c>
      <c r="I943" s="37">
        <v>0</v>
      </c>
      <c r="J943" s="37">
        <v>0</v>
      </c>
    </row>
    <row r="944" spans="1:10" x14ac:dyDescent="0.25">
      <c r="A944" t="s">
        <v>2334</v>
      </c>
      <c r="B944" t="s">
        <v>2335</v>
      </c>
      <c r="C944" t="s">
        <v>101</v>
      </c>
      <c r="D944" t="s">
        <v>367</v>
      </c>
      <c r="E944" s="36">
        <v>1200</v>
      </c>
      <c r="F944" s="36">
        <v>1380</v>
      </c>
      <c r="G944" s="36">
        <v>744</v>
      </c>
      <c r="H944" s="36">
        <v>856</v>
      </c>
      <c r="I944" s="37">
        <v>0</v>
      </c>
      <c r="J944" s="37">
        <v>0</v>
      </c>
    </row>
    <row r="945" spans="1:10" x14ac:dyDescent="0.25">
      <c r="A945" t="s">
        <v>2336</v>
      </c>
      <c r="B945" t="s">
        <v>2337</v>
      </c>
      <c r="C945" t="s">
        <v>101</v>
      </c>
      <c r="D945" t="s">
        <v>367</v>
      </c>
      <c r="E945" s="36">
        <v>1500</v>
      </c>
      <c r="F945" s="36">
        <v>1725</v>
      </c>
      <c r="G945" s="36">
        <v>930</v>
      </c>
      <c r="H945" s="36">
        <v>1069</v>
      </c>
      <c r="I945" s="37">
        <v>0</v>
      </c>
      <c r="J945" s="37">
        <v>0</v>
      </c>
    </row>
    <row r="946" spans="1:10" x14ac:dyDescent="0.25">
      <c r="A946" t="s">
        <v>2338</v>
      </c>
      <c r="B946" t="s">
        <v>2339</v>
      </c>
      <c r="C946" t="s">
        <v>101</v>
      </c>
      <c r="D946" t="s">
        <v>367</v>
      </c>
      <c r="E946" s="36">
        <v>6000</v>
      </c>
      <c r="F946" s="36">
        <v>6900</v>
      </c>
      <c r="G946" s="36">
        <v>3720</v>
      </c>
      <c r="H946" s="36">
        <v>4278</v>
      </c>
      <c r="I946" s="37">
        <v>0</v>
      </c>
      <c r="J946" s="37">
        <v>0</v>
      </c>
    </row>
    <row r="947" spans="1:10" x14ac:dyDescent="0.25">
      <c r="A947" t="s">
        <v>2340</v>
      </c>
      <c r="B947" t="s">
        <v>2341</v>
      </c>
      <c r="C947" t="s">
        <v>101</v>
      </c>
      <c r="D947" t="s">
        <v>367</v>
      </c>
      <c r="E947" s="36">
        <v>900</v>
      </c>
      <c r="F947" s="36">
        <v>1035</v>
      </c>
      <c r="G947" s="36">
        <v>558</v>
      </c>
      <c r="H947" s="36">
        <v>642</v>
      </c>
      <c r="I947" s="37">
        <v>0</v>
      </c>
      <c r="J947" s="37">
        <v>0</v>
      </c>
    </row>
    <row r="948" spans="1:10" x14ac:dyDescent="0.25">
      <c r="A948" t="s">
        <v>2342</v>
      </c>
      <c r="B948" t="s">
        <v>2343</v>
      </c>
      <c r="C948" t="s">
        <v>101</v>
      </c>
      <c r="D948" t="s">
        <v>367</v>
      </c>
      <c r="E948" s="36">
        <v>1000</v>
      </c>
      <c r="F948" s="36">
        <v>1150</v>
      </c>
      <c r="G948" s="36">
        <v>620</v>
      </c>
      <c r="H948" s="36">
        <v>713</v>
      </c>
      <c r="I948" s="37">
        <v>0</v>
      </c>
      <c r="J948" s="37">
        <v>0</v>
      </c>
    </row>
    <row r="949" spans="1:10" x14ac:dyDescent="0.25">
      <c r="A949" t="s">
        <v>2344</v>
      </c>
      <c r="B949" t="s">
        <v>2345</v>
      </c>
      <c r="C949" t="s">
        <v>101</v>
      </c>
      <c r="D949" t="s">
        <v>367</v>
      </c>
      <c r="E949" s="36">
        <v>700</v>
      </c>
      <c r="F949" s="36">
        <v>805</v>
      </c>
      <c r="G949" s="36">
        <v>434</v>
      </c>
      <c r="H949" s="36">
        <v>499</v>
      </c>
      <c r="I949" s="37">
        <v>0</v>
      </c>
      <c r="J949" s="37">
        <v>0</v>
      </c>
    </row>
    <row r="950" spans="1:10" x14ac:dyDescent="0.25">
      <c r="A950" t="s">
        <v>2346</v>
      </c>
      <c r="B950" t="s">
        <v>2347</v>
      </c>
      <c r="C950" t="s">
        <v>101</v>
      </c>
      <c r="D950" t="s">
        <v>367</v>
      </c>
      <c r="E950" s="36">
        <v>2000</v>
      </c>
      <c r="F950" s="36">
        <v>2300</v>
      </c>
      <c r="G950" s="36">
        <v>1240</v>
      </c>
      <c r="H950" s="36">
        <v>1426</v>
      </c>
      <c r="I950" s="37">
        <v>0</v>
      </c>
      <c r="J950" s="37">
        <v>0</v>
      </c>
    </row>
    <row r="951" spans="1:10" x14ac:dyDescent="0.25">
      <c r="A951" t="s">
        <v>2348</v>
      </c>
      <c r="B951" t="s">
        <v>2349</v>
      </c>
      <c r="C951" t="s">
        <v>101</v>
      </c>
      <c r="D951" t="s">
        <v>367</v>
      </c>
      <c r="E951" s="36">
        <v>2800</v>
      </c>
      <c r="F951" s="36">
        <v>3220</v>
      </c>
      <c r="G951" s="36">
        <v>1736</v>
      </c>
      <c r="H951" s="36">
        <v>1996</v>
      </c>
      <c r="I951" s="37">
        <v>0</v>
      </c>
      <c r="J951" s="37">
        <v>0</v>
      </c>
    </row>
    <row r="952" spans="1:10" x14ac:dyDescent="0.25">
      <c r="A952" t="s">
        <v>2350</v>
      </c>
      <c r="B952" t="s">
        <v>2351</v>
      </c>
      <c r="C952" t="s">
        <v>101</v>
      </c>
      <c r="D952" t="s">
        <v>367</v>
      </c>
      <c r="E952" s="36">
        <v>700</v>
      </c>
      <c r="F952" s="36">
        <v>805</v>
      </c>
      <c r="G952" s="36">
        <v>434</v>
      </c>
      <c r="H952" s="36">
        <v>499</v>
      </c>
      <c r="I952" s="37">
        <v>0</v>
      </c>
      <c r="J952" s="37">
        <v>0</v>
      </c>
    </row>
    <row r="953" spans="1:10" x14ac:dyDescent="0.25">
      <c r="A953" t="s">
        <v>2352</v>
      </c>
      <c r="B953" t="s">
        <v>2353</v>
      </c>
      <c r="C953" t="s">
        <v>101</v>
      </c>
      <c r="D953" t="s">
        <v>367</v>
      </c>
      <c r="E953" s="36">
        <v>1100</v>
      </c>
      <c r="F953" s="36">
        <v>1265</v>
      </c>
      <c r="G953" s="36">
        <v>682</v>
      </c>
      <c r="H953" s="36">
        <v>784</v>
      </c>
      <c r="I953" s="37">
        <v>0</v>
      </c>
      <c r="J953" s="37">
        <v>0</v>
      </c>
    </row>
    <row r="954" spans="1:10" x14ac:dyDescent="0.25">
      <c r="A954" t="s">
        <v>2354</v>
      </c>
      <c r="B954" t="s">
        <v>2355</v>
      </c>
      <c r="C954" t="s">
        <v>101</v>
      </c>
      <c r="D954" t="s">
        <v>367</v>
      </c>
      <c r="E954" s="36">
        <v>2300</v>
      </c>
      <c r="F954" s="36">
        <v>2645</v>
      </c>
      <c r="G954" s="36">
        <v>1426</v>
      </c>
      <c r="H954" s="36">
        <v>1640</v>
      </c>
      <c r="I954" s="37">
        <v>0</v>
      </c>
      <c r="J954" s="37">
        <v>0</v>
      </c>
    </row>
    <row r="955" spans="1:10" x14ac:dyDescent="0.25">
      <c r="A955" t="s">
        <v>2356</v>
      </c>
      <c r="B955" t="s">
        <v>2357</v>
      </c>
      <c r="C955" t="s">
        <v>101</v>
      </c>
      <c r="D955" t="s">
        <v>367</v>
      </c>
      <c r="E955" s="36">
        <v>3200</v>
      </c>
      <c r="F955" s="36">
        <v>3680</v>
      </c>
      <c r="G955" s="36">
        <v>1984</v>
      </c>
      <c r="H955" s="36">
        <v>2282</v>
      </c>
      <c r="I955" s="37">
        <v>0</v>
      </c>
      <c r="J955" s="37">
        <v>0</v>
      </c>
    </row>
    <row r="956" spans="1:10" x14ac:dyDescent="0.25">
      <c r="A956" t="s">
        <v>2358</v>
      </c>
      <c r="B956" t="s">
        <v>2359</v>
      </c>
      <c r="C956" t="s">
        <v>101</v>
      </c>
      <c r="D956" t="s">
        <v>367</v>
      </c>
      <c r="E956" s="36">
        <v>800</v>
      </c>
      <c r="F956" s="36">
        <v>920</v>
      </c>
      <c r="G956" s="36">
        <v>496</v>
      </c>
      <c r="H956" s="36">
        <v>570</v>
      </c>
      <c r="I956" s="37">
        <v>0</v>
      </c>
      <c r="J956" s="37">
        <v>0</v>
      </c>
    </row>
    <row r="957" spans="1:10" x14ac:dyDescent="0.25">
      <c r="A957" t="s">
        <v>2360</v>
      </c>
      <c r="B957" t="s">
        <v>2361</v>
      </c>
      <c r="C957" t="s">
        <v>101</v>
      </c>
      <c r="D957" t="s">
        <v>367</v>
      </c>
      <c r="E957" s="36">
        <v>1300</v>
      </c>
      <c r="F957" s="36">
        <v>1495</v>
      </c>
      <c r="G957" s="36">
        <v>806</v>
      </c>
      <c r="H957" s="36">
        <v>927</v>
      </c>
      <c r="I957" s="37">
        <v>0</v>
      </c>
      <c r="J957" s="37">
        <v>0</v>
      </c>
    </row>
    <row r="958" spans="1:10" x14ac:dyDescent="0.25">
      <c r="A958" t="s">
        <v>2362</v>
      </c>
      <c r="B958" t="s">
        <v>2363</v>
      </c>
      <c r="C958" t="s">
        <v>101</v>
      </c>
      <c r="D958" t="s">
        <v>367</v>
      </c>
      <c r="E958" s="36">
        <v>18000</v>
      </c>
      <c r="F958" s="36">
        <v>20700</v>
      </c>
      <c r="G958" s="36">
        <v>11160</v>
      </c>
      <c r="H958" s="36">
        <v>12834</v>
      </c>
      <c r="I958" s="37">
        <v>0</v>
      </c>
      <c r="J958" s="37">
        <v>0</v>
      </c>
    </row>
    <row r="959" spans="1:10" x14ac:dyDescent="0.25">
      <c r="A959" t="s">
        <v>2364</v>
      </c>
      <c r="B959" t="s">
        <v>2365</v>
      </c>
      <c r="C959" t="s">
        <v>229</v>
      </c>
      <c r="D959" t="s">
        <v>367</v>
      </c>
      <c r="E959" s="36">
        <v>600</v>
      </c>
      <c r="F959" s="36">
        <v>690</v>
      </c>
      <c r="G959" s="36">
        <v>372</v>
      </c>
      <c r="H959" s="36">
        <v>428</v>
      </c>
      <c r="I959" s="37">
        <v>0</v>
      </c>
      <c r="J959" s="37">
        <v>0</v>
      </c>
    </row>
    <row r="960" spans="1:10" x14ac:dyDescent="0.25">
      <c r="A960" t="s">
        <v>2366</v>
      </c>
      <c r="B960" t="s">
        <v>2367</v>
      </c>
      <c r="C960" t="s">
        <v>101</v>
      </c>
      <c r="D960" t="s">
        <v>367</v>
      </c>
      <c r="E960" s="36">
        <v>3000</v>
      </c>
      <c r="F960" s="36">
        <v>3450</v>
      </c>
      <c r="G960" s="36">
        <v>1860</v>
      </c>
      <c r="H960" s="36">
        <v>2139</v>
      </c>
      <c r="I960" s="37">
        <v>0</v>
      </c>
      <c r="J960" s="37">
        <v>0</v>
      </c>
    </row>
    <row r="961" spans="1:10" x14ac:dyDescent="0.25">
      <c r="A961" t="s">
        <v>2368</v>
      </c>
      <c r="B961" t="s">
        <v>2369</v>
      </c>
      <c r="C961" t="s">
        <v>101</v>
      </c>
      <c r="D961" t="s">
        <v>367</v>
      </c>
      <c r="E961" s="36">
        <v>4500</v>
      </c>
      <c r="F961" s="36">
        <v>5175</v>
      </c>
      <c r="G961" s="36">
        <v>2790</v>
      </c>
      <c r="H961" s="36">
        <v>3208</v>
      </c>
      <c r="I961" s="37">
        <v>0</v>
      </c>
      <c r="J961" s="37">
        <v>0</v>
      </c>
    </row>
    <row r="962" spans="1:10" x14ac:dyDescent="0.25">
      <c r="A962" t="s">
        <v>2370</v>
      </c>
      <c r="B962" t="s">
        <v>2371</v>
      </c>
      <c r="C962" t="s">
        <v>101</v>
      </c>
      <c r="D962" t="s">
        <v>367</v>
      </c>
      <c r="E962" s="36">
        <v>8000</v>
      </c>
      <c r="F962" s="36">
        <v>9200</v>
      </c>
      <c r="G962" s="36">
        <v>4960</v>
      </c>
      <c r="H962" s="36">
        <v>5704</v>
      </c>
      <c r="I962" s="37">
        <v>0</v>
      </c>
      <c r="J962" s="37">
        <v>0</v>
      </c>
    </row>
    <row r="963" spans="1:10" x14ac:dyDescent="0.25">
      <c r="A963" t="s">
        <v>2372</v>
      </c>
      <c r="B963" t="s">
        <v>2373</v>
      </c>
      <c r="C963" t="s">
        <v>101</v>
      </c>
      <c r="D963" t="s">
        <v>367</v>
      </c>
      <c r="E963" s="36">
        <v>3000</v>
      </c>
      <c r="F963" s="36">
        <v>3450</v>
      </c>
      <c r="G963" s="36">
        <v>1860</v>
      </c>
      <c r="H963" s="36">
        <v>2139</v>
      </c>
      <c r="I963" s="37">
        <v>0</v>
      </c>
      <c r="J963" s="37">
        <v>0</v>
      </c>
    </row>
    <row r="964" spans="1:10" x14ac:dyDescent="0.25">
      <c r="A964" t="s">
        <v>2374</v>
      </c>
      <c r="B964" t="s">
        <v>2375</v>
      </c>
      <c r="C964" t="s">
        <v>101</v>
      </c>
      <c r="D964" t="s">
        <v>367</v>
      </c>
      <c r="E964" s="36">
        <v>12000</v>
      </c>
      <c r="F964" s="36">
        <v>13800</v>
      </c>
      <c r="G964" s="36">
        <v>7440</v>
      </c>
      <c r="H964" s="36">
        <v>8556</v>
      </c>
      <c r="I964" s="37">
        <v>0</v>
      </c>
      <c r="J964" s="37">
        <v>0</v>
      </c>
    </row>
    <row r="965" spans="1:10" x14ac:dyDescent="0.25">
      <c r="A965" t="s">
        <v>2376</v>
      </c>
      <c r="B965" t="s">
        <v>2377</v>
      </c>
      <c r="C965" t="s">
        <v>101</v>
      </c>
      <c r="D965" t="s">
        <v>367</v>
      </c>
      <c r="E965" s="36">
        <v>3500</v>
      </c>
      <c r="F965" s="36">
        <v>4025</v>
      </c>
      <c r="G965" s="36">
        <v>2170</v>
      </c>
      <c r="H965" s="36">
        <v>2495</v>
      </c>
      <c r="I965" s="37">
        <v>0</v>
      </c>
      <c r="J965" s="37">
        <v>0</v>
      </c>
    </row>
    <row r="966" spans="1:10" x14ac:dyDescent="0.25">
      <c r="A966" t="s">
        <v>2378</v>
      </c>
      <c r="B966" t="s">
        <v>2379</v>
      </c>
      <c r="C966" t="s">
        <v>101</v>
      </c>
      <c r="D966" t="s">
        <v>379</v>
      </c>
      <c r="E966" s="36">
        <v>2500</v>
      </c>
      <c r="F966" s="36">
        <v>2875</v>
      </c>
      <c r="G966" s="36">
        <v>1550</v>
      </c>
      <c r="H966" s="36">
        <v>1782</v>
      </c>
      <c r="I966" s="37">
        <v>0</v>
      </c>
      <c r="J966" s="37">
        <v>0</v>
      </c>
    </row>
    <row r="967" spans="1:10" x14ac:dyDescent="0.25">
      <c r="A967" t="s">
        <v>2380</v>
      </c>
      <c r="B967" t="s">
        <v>2381</v>
      </c>
      <c r="C967" t="s">
        <v>101</v>
      </c>
      <c r="D967" t="s">
        <v>367</v>
      </c>
      <c r="E967" s="36">
        <v>600</v>
      </c>
      <c r="F967" s="36">
        <v>690</v>
      </c>
      <c r="G967" s="36">
        <v>372</v>
      </c>
      <c r="H967" s="36">
        <v>428</v>
      </c>
      <c r="I967" s="37">
        <v>0</v>
      </c>
      <c r="J967" s="37">
        <v>0</v>
      </c>
    </row>
    <row r="968" spans="1:10" x14ac:dyDescent="0.25">
      <c r="A968" t="s">
        <v>2382</v>
      </c>
      <c r="B968" t="s">
        <v>2383</v>
      </c>
      <c r="C968" t="s">
        <v>101</v>
      </c>
      <c r="D968" t="s">
        <v>367</v>
      </c>
      <c r="E968" s="36">
        <v>1200</v>
      </c>
      <c r="F968" s="36">
        <v>1380</v>
      </c>
      <c r="G968" s="36">
        <v>744</v>
      </c>
      <c r="H968" s="36">
        <v>856</v>
      </c>
      <c r="I968" s="37">
        <v>0</v>
      </c>
      <c r="J968" s="37">
        <v>0</v>
      </c>
    </row>
    <row r="969" spans="1:10" x14ac:dyDescent="0.25">
      <c r="A969" t="s">
        <v>2384</v>
      </c>
      <c r="B969" t="s">
        <v>2385</v>
      </c>
      <c r="C969" t="s">
        <v>101</v>
      </c>
      <c r="D969" t="s">
        <v>367</v>
      </c>
      <c r="E969" s="36">
        <v>1200</v>
      </c>
      <c r="F969" s="36">
        <v>1380</v>
      </c>
      <c r="G969" s="36">
        <v>744</v>
      </c>
      <c r="H969" s="36">
        <v>856</v>
      </c>
      <c r="I969" s="37">
        <v>0</v>
      </c>
      <c r="J969" s="37">
        <v>0</v>
      </c>
    </row>
    <row r="970" spans="1:10" x14ac:dyDescent="0.25">
      <c r="A970" t="s">
        <v>2386</v>
      </c>
      <c r="B970" t="s">
        <v>2387</v>
      </c>
      <c r="C970" t="s">
        <v>229</v>
      </c>
      <c r="D970" t="s">
        <v>367</v>
      </c>
      <c r="E970" s="36">
        <v>280</v>
      </c>
      <c r="F970" s="36">
        <v>322</v>
      </c>
      <c r="G970" s="36">
        <v>174</v>
      </c>
      <c r="H970" s="36">
        <v>200</v>
      </c>
      <c r="I970" s="37">
        <v>0</v>
      </c>
      <c r="J970" s="37">
        <v>0</v>
      </c>
    </row>
    <row r="971" spans="1:10" x14ac:dyDescent="0.25">
      <c r="A971" t="s">
        <v>2388</v>
      </c>
      <c r="B971" t="s">
        <v>2389</v>
      </c>
      <c r="C971" t="s">
        <v>101</v>
      </c>
      <c r="D971" t="s">
        <v>379</v>
      </c>
      <c r="E971" s="36">
        <v>1500</v>
      </c>
      <c r="F971" s="36">
        <v>1725</v>
      </c>
      <c r="G971" s="36">
        <v>930</v>
      </c>
      <c r="H971" s="36">
        <v>1069</v>
      </c>
      <c r="I971" s="37">
        <v>0</v>
      </c>
      <c r="J971" s="37">
        <v>0</v>
      </c>
    </row>
    <row r="972" spans="1:10" x14ac:dyDescent="0.25">
      <c r="A972" t="s">
        <v>2390</v>
      </c>
      <c r="B972" t="s">
        <v>2391</v>
      </c>
      <c r="C972" t="s">
        <v>101</v>
      </c>
      <c r="D972" t="s">
        <v>363</v>
      </c>
      <c r="E972" s="36">
        <v>4800</v>
      </c>
      <c r="F972" s="36">
        <v>5520</v>
      </c>
      <c r="G972" s="36">
        <v>2976</v>
      </c>
      <c r="H972" s="36">
        <v>3422</v>
      </c>
      <c r="I972" s="37">
        <v>0</v>
      </c>
      <c r="J972" s="37">
        <v>0</v>
      </c>
    </row>
    <row r="973" spans="1:10" x14ac:dyDescent="0.25">
      <c r="A973" t="s">
        <v>2392</v>
      </c>
      <c r="B973" t="s">
        <v>2393</v>
      </c>
      <c r="C973" t="s">
        <v>101</v>
      </c>
      <c r="D973" t="s">
        <v>363</v>
      </c>
      <c r="E973" s="36">
        <v>8000</v>
      </c>
      <c r="F973" s="36">
        <v>9200</v>
      </c>
      <c r="G973" s="36">
        <v>4960</v>
      </c>
      <c r="H973" s="36">
        <v>5704</v>
      </c>
      <c r="I973" s="37">
        <v>0</v>
      </c>
      <c r="J973" s="37">
        <v>0</v>
      </c>
    </row>
    <row r="974" spans="1:10" x14ac:dyDescent="0.25">
      <c r="A974" t="s">
        <v>2394</v>
      </c>
      <c r="B974" t="s">
        <v>2395</v>
      </c>
      <c r="C974" t="s">
        <v>101</v>
      </c>
      <c r="D974" t="s">
        <v>363</v>
      </c>
      <c r="E974" s="36">
        <v>2000</v>
      </c>
      <c r="F974" s="36">
        <v>2300</v>
      </c>
      <c r="G974" s="36">
        <v>1240</v>
      </c>
      <c r="H974" s="36">
        <v>1426</v>
      </c>
      <c r="I974" s="37">
        <v>0</v>
      </c>
      <c r="J974" s="37">
        <v>0</v>
      </c>
    </row>
    <row r="975" spans="1:10" x14ac:dyDescent="0.25">
      <c r="A975" t="s">
        <v>2396</v>
      </c>
      <c r="B975" t="s">
        <v>2397</v>
      </c>
      <c r="C975" t="s">
        <v>101</v>
      </c>
      <c r="D975" t="s">
        <v>363</v>
      </c>
      <c r="E975" s="36">
        <v>2800</v>
      </c>
      <c r="F975" s="36">
        <v>3220</v>
      </c>
      <c r="G975" s="36">
        <v>1736</v>
      </c>
      <c r="H975" s="36">
        <v>1996</v>
      </c>
      <c r="I975" s="37">
        <v>0</v>
      </c>
      <c r="J975" s="37">
        <v>0</v>
      </c>
    </row>
    <row r="976" spans="1:10" x14ac:dyDescent="0.25">
      <c r="A976" t="s">
        <v>2398</v>
      </c>
      <c r="B976" t="s">
        <v>2399</v>
      </c>
      <c r="C976" t="s">
        <v>101</v>
      </c>
      <c r="D976" t="s">
        <v>367</v>
      </c>
      <c r="E976" s="36">
        <v>7500</v>
      </c>
      <c r="F976" s="36">
        <v>8625</v>
      </c>
      <c r="G976" s="36">
        <v>4650</v>
      </c>
      <c r="H976" s="36">
        <v>5348</v>
      </c>
      <c r="I976" s="37">
        <v>0</v>
      </c>
      <c r="J976" s="37">
        <v>0</v>
      </c>
    </row>
    <row r="977" spans="1:10" x14ac:dyDescent="0.25">
      <c r="A977" t="s">
        <v>2400</v>
      </c>
      <c r="B977" t="s">
        <v>2401</v>
      </c>
      <c r="C977" t="s">
        <v>101</v>
      </c>
      <c r="D977" t="s">
        <v>379</v>
      </c>
      <c r="E977" s="36">
        <v>4500</v>
      </c>
      <c r="F977" s="36">
        <v>5175</v>
      </c>
      <c r="G977" s="36">
        <v>2790</v>
      </c>
      <c r="H977" s="36">
        <v>3208</v>
      </c>
      <c r="I977" s="37">
        <v>0</v>
      </c>
      <c r="J977" s="37">
        <v>0</v>
      </c>
    </row>
    <row r="978" spans="1:10" x14ac:dyDescent="0.25">
      <c r="A978" t="s">
        <v>2402</v>
      </c>
      <c r="B978" t="s">
        <v>2403</v>
      </c>
      <c r="C978" t="s">
        <v>101</v>
      </c>
      <c r="D978" t="s">
        <v>367</v>
      </c>
      <c r="E978" s="36">
        <v>9000</v>
      </c>
      <c r="F978" s="36">
        <v>10350</v>
      </c>
      <c r="G978" s="36">
        <v>5580</v>
      </c>
      <c r="H978" s="36">
        <v>6417</v>
      </c>
      <c r="I978" s="37">
        <v>0</v>
      </c>
      <c r="J978" s="37">
        <v>0</v>
      </c>
    </row>
    <row r="979" spans="1:10" x14ac:dyDescent="0.25">
      <c r="A979" t="s">
        <v>2404</v>
      </c>
      <c r="B979" t="s">
        <v>2405</v>
      </c>
      <c r="C979" t="s">
        <v>101</v>
      </c>
      <c r="D979" t="s">
        <v>363</v>
      </c>
      <c r="E979" s="36">
        <v>1000</v>
      </c>
      <c r="F979" s="36">
        <v>1150</v>
      </c>
      <c r="G979" s="36">
        <v>620</v>
      </c>
      <c r="H979" s="36">
        <v>713</v>
      </c>
      <c r="I979" s="37">
        <v>0</v>
      </c>
      <c r="J979" s="37">
        <v>0</v>
      </c>
    </row>
    <row r="980" spans="1:10" x14ac:dyDescent="0.25">
      <c r="A980" t="s">
        <v>2406</v>
      </c>
      <c r="B980" t="s">
        <v>2407</v>
      </c>
      <c r="C980" t="s">
        <v>101</v>
      </c>
      <c r="D980" t="s">
        <v>363</v>
      </c>
      <c r="E980" s="36">
        <v>4000</v>
      </c>
      <c r="F980" s="36">
        <v>4600</v>
      </c>
      <c r="G980" s="36">
        <v>2480</v>
      </c>
      <c r="H980" s="36">
        <v>2852</v>
      </c>
      <c r="I980" s="37">
        <v>0</v>
      </c>
      <c r="J980" s="37">
        <v>0</v>
      </c>
    </row>
    <row r="981" spans="1:10" x14ac:dyDescent="0.25">
      <c r="A981" t="s">
        <v>2408</v>
      </c>
      <c r="B981" t="s">
        <v>2409</v>
      </c>
      <c r="C981" t="s">
        <v>101</v>
      </c>
      <c r="D981" t="s">
        <v>363</v>
      </c>
      <c r="E981" s="36">
        <v>5000</v>
      </c>
      <c r="F981" s="36">
        <v>5750</v>
      </c>
      <c r="G981" s="36">
        <v>3100</v>
      </c>
      <c r="H981" s="36">
        <v>3565</v>
      </c>
      <c r="I981" s="37">
        <v>0</v>
      </c>
      <c r="J981" s="37">
        <v>0</v>
      </c>
    </row>
    <row r="982" spans="1:10" x14ac:dyDescent="0.25">
      <c r="A982" t="s">
        <v>2410</v>
      </c>
      <c r="B982" t="s">
        <v>2411</v>
      </c>
      <c r="C982" t="s">
        <v>101</v>
      </c>
      <c r="D982" t="s">
        <v>363</v>
      </c>
      <c r="E982" s="36">
        <v>6000</v>
      </c>
      <c r="F982" s="36">
        <v>6900</v>
      </c>
      <c r="G982" s="36">
        <v>3720</v>
      </c>
      <c r="H982" s="36">
        <v>4278</v>
      </c>
      <c r="I982" s="37">
        <v>0</v>
      </c>
      <c r="J982" s="37">
        <v>0</v>
      </c>
    </row>
    <row r="983" spans="1:10" x14ac:dyDescent="0.25">
      <c r="A983" t="s">
        <v>2412</v>
      </c>
      <c r="B983" t="s">
        <v>2413</v>
      </c>
      <c r="C983" t="s">
        <v>101</v>
      </c>
      <c r="D983" t="s">
        <v>367</v>
      </c>
      <c r="E983" s="36">
        <v>800</v>
      </c>
      <c r="F983" s="36">
        <v>920</v>
      </c>
      <c r="G983" s="36">
        <v>496</v>
      </c>
      <c r="H983" s="36">
        <v>570</v>
      </c>
      <c r="I983" s="37">
        <v>0</v>
      </c>
      <c r="J983" s="37">
        <v>0</v>
      </c>
    </row>
    <row r="984" spans="1:10" x14ac:dyDescent="0.25">
      <c r="A984" t="s">
        <v>2414</v>
      </c>
      <c r="B984" t="s">
        <v>2415</v>
      </c>
      <c r="C984" t="s">
        <v>101</v>
      </c>
      <c r="D984" t="s">
        <v>367</v>
      </c>
      <c r="E984" s="36">
        <v>1500</v>
      </c>
      <c r="F984" s="36">
        <v>1725</v>
      </c>
      <c r="G984" s="36">
        <v>750</v>
      </c>
      <c r="H984" s="36">
        <v>862</v>
      </c>
      <c r="I984" s="37">
        <v>0</v>
      </c>
      <c r="J984" s="37">
        <v>0</v>
      </c>
    </row>
    <row r="985" spans="1:10" x14ac:dyDescent="0.25">
      <c r="A985" t="s">
        <v>2416</v>
      </c>
      <c r="B985" t="s">
        <v>2417</v>
      </c>
      <c r="C985" t="s">
        <v>101</v>
      </c>
      <c r="D985" t="s">
        <v>367</v>
      </c>
      <c r="E985" s="36">
        <v>7000</v>
      </c>
      <c r="F985" s="36">
        <v>8050</v>
      </c>
      <c r="G985" s="36">
        <v>4340</v>
      </c>
      <c r="H985" s="36">
        <v>4991</v>
      </c>
      <c r="I985" s="37">
        <v>0</v>
      </c>
      <c r="J985" s="37">
        <v>0</v>
      </c>
    </row>
    <row r="986" spans="1:10" x14ac:dyDescent="0.25">
      <c r="A986" t="s">
        <v>2418</v>
      </c>
      <c r="B986" t="s">
        <v>2419</v>
      </c>
      <c r="C986" t="s">
        <v>101</v>
      </c>
      <c r="D986" t="s">
        <v>367</v>
      </c>
      <c r="E986" s="36">
        <v>800</v>
      </c>
      <c r="F986" s="36">
        <v>920</v>
      </c>
      <c r="G986" s="36">
        <v>496</v>
      </c>
      <c r="H986" s="36">
        <v>570</v>
      </c>
      <c r="I986" s="37">
        <v>0</v>
      </c>
      <c r="J986" s="37">
        <v>0</v>
      </c>
    </row>
    <row r="987" spans="1:10" x14ac:dyDescent="0.25">
      <c r="A987" t="s">
        <v>2420</v>
      </c>
      <c r="B987" t="s">
        <v>2421</v>
      </c>
      <c r="C987" t="s">
        <v>229</v>
      </c>
      <c r="D987" t="s">
        <v>363</v>
      </c>
      <c r="E987" s="36">
        <v>360</v>
      </c>
      <c r="F987" s="36">
        <v>432</v>
      </c>
      <c r="G987" s="36">
        <v>180</v>
      </c>
      <c r="H987" s="36">
        <v>207</v>
      </c>
      <c r="I987" s="37">
        <v>0.2</v>
      </c>
      <c r="J987" s="37">
        <v>0.25217391304347841</v>
      </c>
    </row>
    <row r="988" spans="1:10" x14ac:dyDescent="0.25">
      <c r="A988" t="s">
        <v>2422</v>
      </c>
      <c r="B988" t="s">
        <v>2423</v>
      </c>
      <c r="C988" t="s">
        <v>101</v>
      </c>
      <c r="D988" t="s">
        <v>367</v>
      </c>
      <c r="E988" s="36">
        <v>1200</v>
      </c>
      <c r="F988" s="36">
        <v>1380</v>
      </c>
      <c r="G988" s="36">
        <v>744</v>
      </c>
      <c r="H988" s="36">
        <v>856</v>
      </c>
      <c r="I988" s="37">
        <v>0</v>
      </c>
      <c r="J988" s="37">
        <v>0</v>
      </c>
    </row>
    <row r="989" spans="1:10" x14ac:dyDescent="0.25">
      <c r="A989" t="s">
        <v>2424</v>
      </c>
      <c r="B989" t="s">
        <v>2425</v>
      </c>
      <c r="C989" t="s">
        <v>101</v>
      </c>
      <c r="D989" t="s">
        <v>367</v>
      </c>
      <c r="E989" s="36">
        <v>3500</v>
      </c>
      <c r="F989" s="36">
        <v>4025</v>
      </c>
      <c r="G989" s="36">
        <v>2170</v>
      </c>
      <c r="H989" s="36">
        <v>2495</v>
      </c>
      <c r="I989" s="37">
        <v>0</v>
      </c>
      <c r="J989" s="37">
        <v>0</v>
      </c>
    </row>
    <row r="990" spans="1:10" x14ac:dyDescent="0.25">
      <c r="A990" t="s">
        <v>2426</v>
      </c>
      <c r="B990" t="s">
        <v>2427</v>
      </c>
      <c r="C990" t="s">
        <v>2428</v>
      </c>
      <c r="D990" t="s">
        <v>367</v>
      </c>
      <c r="E990" s="36">
        <v>15000</v>
      </c>
      <c r="F990" s="36">
        <v>17250</v>
      </c>
      <c r="G990" s="36">
        <v>9300</v>
      </c>
      <c r="H990" s="36">
        <v>10695</v>
      </c>
      <c r="I990" s="37">
        <v>0</v>
      </c>
      <c r="J990" s="37">
        <v>0</v>
      </c>
    </row>
    <row r="991" spans="1:10" x14ac:dyDescent="0.25">
      <c r="A991" t="s">
        <v>2429</v>
      </c>
      <c r="B991" t="s">
        <v>2430</v>
      </c>
      <c r="C991" t="s">
        <v>1231</v>
      </c>
      <c r="D991" t="s">
        <v>367</v>
      </c>
      <c r="E991" s="36">
        <v>45000</v>
      </c>
      <c r="F991" s="36">
        <v>54000</v>
      </c>
      <c r="G991" s="36">
        <v>27900</v>
      </c>
      <c r="H991" s="36">
        <v>33480</v>
      </c>
      <c r="I991" s="37">
        <v>0</v>
      </c>
      <c r="J991" s="37">
        <v>0</v>
      </c>
    </row>
    <row r="992" spans="1:10" x14ac:dyDescent="0.25">
      <c r="A992" t="s">
        <v>2431</v>
      </c>
      <c r="B992" t="s">
        <v>2432</v>
      </c>
      <c r="C992" t="s">
        <v>101</v>
      </c>
      <c r="D992" t="s">
        <v>367</v>
      </c>
      <c r="E992" s="36">
        <v>1800</v>
      </c>
      <c r="F992" s="36">
        <v>2070</v>
      </c>
      <c r="G992" s="36">
        <v>1116</v>
      </c>
      <c r="H992" s="36">
        <v>1283</v>
      </c>
      <c r="I992" s="37">
        <v>0</v>
      </c>
      <c r="J992" s="37">
        <v>0</v>
      </c>
    </row>
    <row r="993" spans="1:10" x14ac:dyDescent="0.25">
      <c r="A993" t="s">
        <v>2433</v>
      </c>
      <c r="B993" t="s">
        <v>2434</v>
      </c>
      <c r="C993" t="s">
        <v>2435</v>
      </c>
      <c r="D993" t="s">
        <v>367</v>
      </c>
      <c r="E993" s="36">
        <v>1200</v>
      </c>
      <c r="F993" s="36">
        <v>1380</v>
      </c>
      <c r="G993" s="36">
        <v>744</v>
      </c>
      <c r="H993" s="36">
        <v>856</v>
      </c>
      <c r="I993" s="37">
        <v>0</v>
      </c>
      <c r="J993" s="37">
        <v>0</v>
      </c>
    </row>
    <row r="994" spans="1:10" x14ac:dyDescent="0.25">
      <c r="A994" t="s">
        <v>2436</v>
      </c>
      <c r="B994" t="s">
        <v>2437</v>
      </c>
      <c r="C994" t="s">
        <v>101</v>
      </c>
      <c r="D994" t="s">
        <v>367</v>
      </c>
      <c r="E994" s="36">
        <v>900</v>
      </c>
      <c r="F994" s="36">
        <v>1035</v>
      </c>
      <c r="G994" s="36">
        <v>558</v>
      </c>
      <c r="H994" s="36">
        <v>642</v>
      </c>
      <c r="I994" s="37">
        <v>0</v>
      </c>
      <c r="J994" s="37">
        <v>0</v>
      </c>
    </row>
    <row r="995" spans="1:10" x14ac:dyDescent="0.25">
      <c r="A995" t="s">
        <v>2438</v>
      </c>
      <c r="B995" t="s">
        <v>2439</v>
      </c>
      <c r="C995" t="s">
        <v>101</v>
      </c>
      <c r="D995" t="s">
        <v>367</v>
      </c>
      <c r="E995" s="36">
        <v>6000</v>
      </c>
      <c r="F995" s="36">
        <v>6900</v>
      </c>
      <c r="G995" s="36">
        <v>3720</v>
      </c>
      <c r="H995" s="36">
        <v>4278</v>
      </c>
      <c r="I995" s="37">
        <v>0</v>
      </c>
      <c r="J995" s="37">
        <v>0</v>
      </c>
    </row>
    <row r="996" spans="1:10" x14ac:dyDescent="0.25">
      <c r="A996" t="s">
        <v>2440</v>
      </c>
      <c r="B996" t="s">
        <v>2441</v>
      </c>
      <c r="C996" t="s">
        <v>101</v>
      </c>
      <c r="D996" t="s">
        <v>367</v>
      </c>
      <c r="E996" s="36">
        <v>12000</v>
      </c>
      <c r="F996" s="36">
        <v>13800</v>
      </c>
      <c r="G996" s="36">
        <v>7440</v>
      </c>
      <c r="H996" s="36">
        <v>8556</v>
      </c>
      <c r="I996" s="37">
        <v>0</v>
      </c>
      <c r="J996" s="37">
        <v>0</v>
      </c>
    </row>
    <row r="997" spans="1:10" x14ac:dyDescent="0.25">
      <c r="A997" t="s">
        <v>2442</v>
      </c>
      <c r="B997" t="s">
        <v>2443</v>
      </c>
      <c r="C997" t="s">
        <v>89</v>
      </c>
      <c r="D997" t="s">
        <v>347</v>
      </c>
      <c r="E997" s="36">
        <v>351</v>
      </c>
      <c r="F997" s="36">
        <v>420</v>
      </c>
      <c r="G997" s="36">
        <v>186</v>
      </c>
      <c r="H997" s="36">
        <v>214</v>
      </c>
      <c r="I997" s="37">
        <v>0.1699999999999999</v>
      </c>
      <c r="J997" s="37">
        <v>0.21739130434782619</v>
      </c>
    </row>
    <row r="998" spans="1:10" x14ac:dyDescent="0.25">
      <c r="A998" t="s">
        <v>2444</v>
      </c>
      <c r="B998" t="s">
        <v>2445</v>
      </c>
      <c r="C998" t="s">
        <v>101</v>
      </c>
      <c r="D998" t="s">
        <v>367</v>
      </c>
      <c r="E998" s="36">
        <v>2000</v>
      </c>
      <c r="F998" s="36">
        <v>2300</v>
      </c>
      <c r="G998" s="36">
        <v>1240</v>
      </c>
      <c r="H998" s="36">
        <v>1426</v>
      </c>
      <c r="I998" s="37">
        <v>0</v>
      </c>
      <c r="J998" s="37">
        <v>0</v>
      </c>
    </row>
    <row r="999" spans="1:10" x14ac:dyDescent="0.25">
      <c r="A999" t="s">
        <v>2446</v>
      </c>
      <c r="B999" t="s">
        <v>2447</v>
      </c>
      <c r="C999" t="s">
        <v>101</v>
      </c>
      <c r="D999" t="s">
        <v>367</v>
      </c>
      <c r="E999" s="36">
        <v>15000</v>
      </c>
      <c r="F999" s="36">
        <v>18000</v>
      </c>
      <c r="G999" s="36">
        <v>9300</v>
      </c>
      <c r="H999" s="36">
        <v>11160</v>
      </c>
      <c r="I999" s="37">
        <v>0</v>
      </c>
      <c r="J999" s="37">
        <v>0</v>
      </c>
    </row>
    <row r="1000" spans="1:10" x14ac:dyDescent="0.25">
      <c r="A1000" t="s">
        <v>2448</v>
      </c>
      <c r="B1000" t="s">
        <v>2449</v>
      </c>
      <c r="C1000" t="s">
        <v>101</v>
      </c>
      <c r="D1000" t="s">
        <v>367</v>
      </c>
      <c r="E1000" s="36">
        <v>24000</v>
      </c>
      <c r="F1000" s="36">
        <v>28800</v>
      </c>
      <c r="G1000" s="36">
        <v>14880</v>
      </c>
      <c r="H1000" s="36">
        <v>17856</v>
      </c>
      <c r="I1000" s="37">
        <v>0</v>
      </c>
      <c r="J1000" s="37">
        <v>0</v>
      </c>
    </row>
    <row r="1001" spans="1:10" x14ac:dyDescent="0.25">
      <c r="A1001" t="s">
        <v>2450</v>
      </c>
      <c r="B1001" t="s">
        <v>2451</v>
      </c>
      <c r="C1001" t="s">
        <v>101</v>
      </c>
      <c r="D1001" t="s">
        <v>367</v>
      </c>
      <c r="E1001" s="36">
        <v>35000</v>
      </c>
      <c r="F1001" s="36">
        <v>42000</v>
      </c>
      <c r="G1001" s="36">
        <v>21700</v>
      </c>
      <c r="H1001" s="36">
        <v>26040</v>
      </c>
      <c r="I1001" s="37">
        <v>0</v>
      </c>
      <c r="J1001" s="37">
        <v>0</v>
      </c>
    </row>
    <row r="1002" spans="1:10" x14ac:dyDescent="0.25">
      <c r="A1002" t="s">
        <v>2452</v>
      </c>
      <c r="B1002" t="s">
        <v>2453</v>
      </c>
      <c r="C1002" t="s">
        <v>101</v>
      </c>
      <c r="D1002" t="s">
        <v>367</v>
      </c>
      <c r="E1002" s="36">
        <v>21000</v>
      </c>
      <c r="F1002" s="36">
        <v>25200</v>
      </c>
      <c r="G1002" s="36">
        <v>13020</v>
      </c>
      <c r="H1002" s="36">
        <v>15624</v>
      </c>
      <c r="I1002" s="37">
        <v>0</v>
      </c>
      <c r="J1002" s="37">
        <v>0</v>
      </c>
    </row>
    <row r="1003" spans="1:10" x14ac:dyDescent="0.25">
      <c r="A1003" t="s">
        <v>2454</v>
      </c>
      <c r="B1003" t="s">
        <v>2455</v>
      </c>
      <c r="C1003" t="s">
        <v>229</v>
      </c>
      <c r="D1003" t="s">
        <v>367</v>
      </c>
      <c r="E1003" s="36">
        <v>60</v>
      </c>
      <c r="F1003" s="36">
        <v>69</v>
      </c>
      <c r="G1003" s="36">
        <v>37</v>
      </c>
      <c r="H1003" s="36">
        <v>43</v>
      </c>
      <c r="I1003" s="37">
        <v>0</v>
      </c>
      <c r="J1003" s="37">
        <v>0</v>
      </c>
    </row>
    <row r="1004" spans="1:10" x14ac:dyDescent="0.25">
      <c r="A1004" t="s">
        <v>2456</v>
      </c>
      <c r="B1004" t="s">
        <v>2457</v>
      </c>
      <c r="C1004" t="s">
        <v>229</v>
      </c>
      <c r="D1004" t="s">
        <v>367</v>
      </c>
      <c r="E1004" s="36">
        <v>45</v>
      </c>
      <c r="F1004" s="36">
        <v>51.5</v>
      </c>
      <c r="G1004" s="36">
        <v>28</v>
      </c>
      <c r="H1004" s="36">
        <v>32</v>
      </c>
      <c r="I1004" s="37">
        <v>0</v>
      </c>
      <c r="J1004" s="37">
        <v>0</v>
      </c>
    </row>
    <row r="1005" spans="1:10" x14ac:dyDescent="0.25">
      <c r="A1005" t="s">
        <v>2458</v>
      </c>
      <c r="B1005" t="s">
        <v>2459</v>
      </c>
      <c r="C1005" t="s">
        <v>101</v>
      </c>
      <c r="D1005" t="s">
        <v>367</v>
      </c>
      <c r="E1005" s="36">
        <v>3000</v>
      </c>
      <c r="F1005" s="36">
        <v>3450</v>
      </c>
      <c r="G1005" s="36">
        <v>1860</v>
      </c>
      <c r="H1005" s="36">
        <v>2139</v>
      </c>
      <c r="I1005" s="37">
        <v>0</v>
      </c>
      <c r="J1005" s="37">
        <v>0</v>
      </c>
    </row>
    <row r="1006" spans="1:10" x14ac:dyDescent="0.25">
      <c r="A1006" t="s">
        <v>2460</v>
      </c>
      <c r="B1006" t="s">
        <v>2461</v>
      </c>
      <c r="C1006" t="s">
        <v>101</v>
      </c>
      <c r="D1006" t="s">
        <v>367</v>
      </c>
      <c r="E1006" s="36">
        <v>4500</v>
      </c>
      <c r="F1006" s="36">
        <v>5175</v>
      </c>
      <c r="G1006" s="36">
        <v>2790</v>
      </c>
      <c r="H1006" s="36">
        <v>3208</v>
      </c>
      <c r="I1006" s="37">
        <v>0</v>
      </c>
      <c r="J1006" s="37">
        <v>0</v>
      </c>
    </row>
    <row r="1007" spans="1:10" x14ac:dyDescent="0.25">
      <c r="A1007" t="s">
        <v>2462</v>
      </c>
      <c r="B1007" t="s">
        <v>2463</v>
      </c>
      <c r="C1007" t="s">
        <v>101</v>
      </c>
      <c r="D1007" t="s">
        <v>367</v>
      </c>
      <c r="E1007" s="36">
        <v>3500</v>
      </c>
      <c r="F1007" s="36">
        <v>4025</v>
      </c>
      <c r="G1007" s="36">
        <v>2170</v>
      </c>
      <c r="H1007" s="36">
        <v>2495</v>
      </c>
      <c r="I1007" s="37">
        <v>0</v>
      </c>
      <c r="J1007" s="37">
        <v>0</v>
      </c>
    </row>
    <row r="1008" spans="1:10" x14ac:dyDescent="0.25">
      <c r="A1008" t="s">
        <v>2464</v>
      </c>
      <c r="B1008" t="s">
        <v>2465</v>
      </c>
      <c r="C1008" t="s">
        <v>229</v>
      </c>
      <c r="D1008" t="s">
        <v>363</v>
      </c>
      <c r="E1008" s="36">
        <v>1680</v>
      </c>
      <c r="F1008" s="36">
        <v>2016</v>
      </c>
      <c r="G1008" s="36">
        <v>930</v>
      </c>
      <c r="H1008" s="36">
        <v>1069</v>
      </c>
      <c r="I1008" s="37">
        <v>0.12000000000000011</v>
      </c>
      <c r="J1008" s="37">
        <v>0.16869565217391311</v>
      </c>
    </row>
    <row r="1009" spans="1:10" x14ac:dyDescent="0.25">
      <c r="A1009" t="s">
        <v>2466</v>
      </c>
      <c r="B1009" t="s">
        <v>2467</v>
      </c>
      <c r="C1009" t="s">
        <v>229</v>
      </c>
      <c r="D1009" t="s">
        <v>363</v>
      </c>
      <c r="E1009" s="36">
        <v>1020</v>
      </c>
      <c r="F1009" s="36">
        <v>1224</v>
      </c>
      <c r="G1009" s="36">
        <v>527</v>
      </c>
      <c r="H1009" s="36">
        <v>606</v>
      </c>
      <c r="I1009" s="37">
        <v>0.2</v>
      </c>
      <c r="J1009" s="37">
        <v>0.2528147389969293</v>
      </c>
    </row>
    <row r="1010" spans="1:10" x14ac:dyDescent="0.25">
      <c r="A1010" t="s">
        <v>2468</v>
      </c>
      <c r="B1010" t="s">
        <v>2469</v>
      </c>
      <c r="C1010" t="s">
        <v>229</v>
      </c>
      <c r="D1010" t="s">
        <v>367</v>
      </c>
      <c r="E1010" s="36">
        <v>624</v>
      </c>
      <c r="F1010" s="36">
        <v>748</v>
      </c>
      <c r="G1010" s="36">
        <v>341</v>
      </c>
      <c r="H1010" s="36">
        <v>392</v>
      </c>
      <c r="I1010" s="37">
        <v>0.1345454545454545</v>
      </c>
      <c r="J1010" s="37">
        <v>0.18354430379746839</v>
      </c>
    </row>
    <row r="1011" spans="1:10" x14ac:dyDescent="0.25">
      <c r="A1011" t="s">
        <v>2470</v>
      </c>
      <c r="B1011" t="s">
        <v>2471</v>
      </c>
      <c r="C1011" t="s">
        <v>229</v>
      </c>
      <c r="D1011" t="s">
        <v>367</v>
      </c>
      <c r="E1011" s="36">
        <v>680</v>
      </c>
      <c r="F1011" s="36">
        <v>816</v>
      </c>
      <c r="G1011" s="36">
        <v>372</v>
      </c>
      <c r="H1011" s="36">
        <v>428</v>
      </c>
      <c r="I1011" s="37">
        <v>0.1333333333333333</v>
      </c>
      <c r="J1011" s="37">
        <v>0.182608695652174</v>
      </c>
    </row>
    <row r="1012" spans="1:10" x14ac:dyDescent="0.25">
      <c r="A1012" t="s">
        <v>2472</v>
      </c>
      <c r="B1012" t="s">
        <v>2473</v>
      </c>
      <c r="C1012" t="s">
        <v>229</v>
      </c>
      <c r="D1012" t="s">
        <v>367</v>
      </c>
      <c r="E1012" s="36">
        <v>794</v>
      </c>
      <c r="F1012" s="36">
        <v>952</v>
      </c>
      <c r="G1012" s="36">
        <v>434</v>
      </c>
      <c r="H1012" s="36">
        <v>499</v>
      </c>
      <c r="I1012" s="37">
        <v>0.13428571428571431</v>
      </c>
      <c r="J1012" s="37">
        <v>0.182608695652174</v>
      </c>
    </row>
    <row r="1013" spans="1:10" x14ac:dyDescent="0.25">
      <c r="A1013" t="s">
        <v>2474</v>
      </c>
      <c r="B1013" t="s">
        <v>2475</v>
      </c>
      <c r="C1013" t="s">
        <v>229</v>
      </c>
      <c r="D1013" t="s">
        <v>367</v>
      </c>
      <c r="E1013" s="36">
        <v>964</v>
      </c>
      <c r="F1013" s="36">
        <v>1156</v>
      </c>
      <c r="G1013" s="36">
        <v>527</v>
      </c>
      <c r="H1013" s="36">
        <v>606</v>
      </c>
      <c r="I1013" s="37">
        <v>0.13411764705882351</v>
      </c>
      <c r="J1013" s="37">
        <v>0.18321392016376661</v>
      </c>
    </row>
    <row r="1014" spans="1:10" x14ac:dyDescent="0.25">
      <c r="A1014" t="s">
        <v>2476</v>
      </c>
      <c r="B1014" t="s">
        <v>2477</v>
      </c>
      <c r="C1014" t="s">
        <v>229</v>
      </c>
      <c r="D1014" t="s">
        <v>367</v>
      </c>
      <c r="E1014" s="36">
        <v>1078</v>
      </c>
      <c r="F1014" s="36">
        <v>1292</v>
      </c>
      <c r="G1014" s="36">
        <v>589</v>
      </c>
      <c r="H1014" s="36">
        <v>677</v>
      </c>
      <c r="I1014" s="37">
        <v>0.13473684210526329</v>
      </c>
      <c r="J1014" s="37">
        <v>0.18315018315018319</v>
      </c>
    </row>
    <row r="1015" spans="1:10" x14ac:dyDescent="0.25">
      <c r="A1015" t="s">
        <v>2478</v>
      </c>
      <c r="B1015" t="s">
        <v>2479</v>
      </c>
      <c r="C1015" t="s">
        <v>229</v>
      </c>
      <c r="D1015" t="s">
        <v>367</v>
      </c>
      <c r="E1015" s="36">
        <v>1247</v>
      </c>
      <c r="F1015" s="36">
        <v>1496</v>
      </c>
      <c r="G1015" s="36">
        <v>713</v>
      </c>
      <c r="H1015" s="36">
        <v>820</v>
      </c>
      <c r="I1015" s="37">
        <v>8.4347826086956568E-2</v>
      </c>
      <c r="J1015" s="37">
        <v>0.1316187594553706</v>
      </c>
    </row>
    <row r="1016" spans="1:10" x14ac:dyDescent="0.25">
      <c r="A1016" t="s">
        <v>2480</v>
      </c>
      <c r="B1016" t="s">
        <v>2481</v>
      </c>
      <c r="C1016" t="s">
        <v>101</v>
      </c>
      <c r="D1016" t="s">
        <v>367</v>
      </c>
      <c r="E1016" s="36">
        <v>1020</v>
      </c>
      <c r="F1016" s="36">
        <v>1224</v>
      </c>
      <c r="G1016" s="36">
        <v>589</v>
      </c>
      <c r="H1016" s="36">
        <v>677</v>
      </c>
      <c r="I1016" s="37">
        <v>7.3684210526315796E-2</v>
      </c>
      <c r="J1016" s="37">
        <v>0.12087912087912089</v>
      </c>
    </row>
    <row r="1017" spans="1:10" x14ac:dyDescent="0.25">
      <c r="A1017" t="s">
        <v>2482</v>
      </c>
      <c r="B1017" t="s">
        <v>2483</v>
      </c>
      <c r="C1017" t="s">
        <v>229</v>
      </c>
      <c r="D1017" t="s">
        <v>367</v>
      </c>
      <c r="E1017" s="36">
        <v>420</v>
      </c>
      <c r="F1017" s="36">
        <v>483</v>
      </c>
      <c r="G1017" s="36">
        <v>260</v>
      </c>
      <c r="H1017" s="36">
        <v>299</v>
      </c>
      <c r="I1017" s="37">
        <v>0</v>
      </c>
      <c r="J1017" s="37">
        <v>0</v>
      </c>
    </row>
    <row r="1018" spans="1:10" x14ac:dyDescent="0.25">
      <c r="A1018" t="s">
        <v>2484</v>
      </c>
      <c r="B1018" t="s">
        <v>2485</v>
      </c>
      <c r="C1018" t="s">
        <v>229</v>
      </c>
      <c r="D1018" t="s">
        <v>367</v>
      </c>
      <c r="E1018" s="36">
        <v>450</v>
      </c>
      <c r="F1018" s="36">
        <v>518</v>
      </c>
      <c r="G1018" s="36">
        <v>279</v>
      </c>
      <c r="H1018" s="36">
        <v>321</v>
      </c>
      <c r="I1018" s="37">
        <v>0</v>
      </c>
      <c r="J1018" s="37">
        <v>0</v>
      </c>
    </row>
    <row r="1019" spans="1:10" x14ac:dyDescent="0.25">
      <c r="A1019" t="s">
        <v>2486</v>
      </c>
      <c r="B1019" t="s">
        <v>2487</v>
      </c>
      <c r="C1019" t="s">
        <v>229</v>
      </c>
      <c r="D1019" t="s">
        <v>367</v>
      </c>
      <c r="E1019" s="36">
        <v>500</v>
      </c>
      <c r="F1019" s="36">
        <v>575</v>
      </c>
      <c r="G1019" s="36">
        <v>310</v>
      </c>
      <c r="H1019" s="36">
        <v>356</v>
      </c>
      <c r="I1019" s="37">
        <v>0</v>
      </c>
      <c r="J1019" s="37">
        <v>0</v>
      </c>
    </row>
    <row r="1020" spans="1:10" x14ac:dyDescent="0.25">
      <c r="A1020" t="s">
        <v>2488</v>
      </c>
      <c r="B1020" t="s">
        <v>2489</v>
      </c>
      <c r="C1020" t="s">
        <v>229</v>
      </c>
      <c r="D1020" t="s">
        <v>367</v>
      </c>
      <c r="E1020" s="36">
        <v>600</v>
      </c>
      <c r="F1020" s="36">
        <v>690</v>
      </c>
      <c r="G1020" s="36">
        <v>372</v>
      </c>
      <c r="H1020" s="36">
        <v>428</v>
      </c>
      <c r="I1020" s="37">
        <v>0</v>
      </c>
      <c r="J1020" s="37">
        <v>0</v>
      </c>
    </row>
    <row r="1021" spans="1:10" x14ac:dyDescent="0.25">
      <c r="A1021" t="s">
        <v>2490</v>
      </c>
      <c r="B1021" t="s">
        <v>2491</v>
      </c>
      <c r="C1021" t="s">
        <v>229</v>
      </c>
      <c r="D1021" t="s">
        <v>367</v>
      </c>
      <c r="E1021" s="36">
        <v>700</v>
      </c>
      <c r="F1021" s="36">
        <v>805</v>
      </c>
      <c r="G1021" s="36">
        <v>434</v>
      </c>
      <c r="H1021" s="36">
        <v>499</v>
      </c>
      <c r="I1021" s="37">
        <v>0</v>
      </c>
      <c r="J1021" s="37">
        <v>0</v>
      </c>
    </row>
    <row r="1022" spans="1:10" x14ac:dyDescent="0.25">
      <c r="A1022" t="s">
        <v>2492</v>
      </c>
      <c r="B1022" t="s">
        <v>2493</v>
      </c>
      <c r="C1022" t="s">
        <v>229</v>
      </c>
      <c r="D1022" t="s">
        <v>367</v>
      </c>
      <c r="E1022" s="36">
        <v>900</v>
      </c>
      <c r="F1022" s="36">
        <v>1035</v>
      </c>
      <c r="G1022" s="36">
        <v>558</v>
      </c>
      <c r="H1022" s="36">
        <v>642</v>
      </c>
      <c r="I1022" s="37">
        <v>0</v>
      </c>
      <c r="J1022" s="37">
        <v>0</v>
      </c>
    </row>
    <row r="1023" spans="1:10" x14ac:dyDescent="0.25">
      <c r="A1023" t="s">
        <v>2494</v>
      </c>
      <c r="B1023" t="s">
        <v>2495</v>
      </c>
      <c r="C1023" t="s">
        <v>229</v>
      </c>
      <c r="D1023" t="s">
        <v>367</v>
      </c>
      <c r="E1023" s="36">
        <v>1100</v>
      </c>
      <c r="F1023" s="36">
        <v>1265</v>
      </c>
      <c r="G1023" s="36">
        <v>682</v>
      </c>
      <c r="H1023" s="36">
        <v>784</v>
      </c>
      <c r="I1023" s="37">
        <v>0</v>
      </c>
      <c r="J1023" s="37">
        <v>0</v>
      </c>
    </row>
    <row r="1024" spans="1:10" x14ac:dyDescent="0.25">
      <c r="A1024" t="s">
        <v>2496</v>
      </c>
      <c r="B1024" t="s">
        <v>2497</v>
      </c>
      <c r="C1024" t="s">
        <v>229</v>
      </c>
      <c r="D1024" t="s">
        <v>367</v>
      </c>
      <c r="E1024" s="36">
        <v>1100</v>
      </c>
      <c r="F1024" s="36">
        <v>1265</v>
      </c>
      <c r="G1024" s="36">
        <v>682</v>
      </c>
      <c r="H1024" s="36">
        <v>784</v>
      </c>
      <c r="I1024" s="37">
        <v>0</v>
      </c>
      <c r="J1024" s="37">
        <v>0</v>
      </c>
    </row>
    <row r="1025" spans="1:10" x14ac:dyDescent="0.25">
      <c r="A1025" t="s">
        <v>2498</v>
      </c>
      <c r="B1025" t="s">
        <v>2499</v>
      </c>
      <c r="C1025" t="s">
        <v>229</v>
      </c>
      <c r="D1025" t="s">
        <v>367</v>
      </c>
      <c r="E1025" s="36">
        <v>300</v>
      </c>
      <c r="F1025" s="36">
        <v>345</v>
      </c>
      <c r="G1025" s="36">
        <v>186</v>
      </c>
      <c r="H1025" s="36">
        <v>214</v>
      </c>
      <c r="I1025" s="37">
        <v>0</v>
      </c>
      <c r="J1025" s="37">
        <v>0</v>
      </c>
    </row>
    <row r="1026" spans="1:10" x14ac:dyDescent="0.25">
      <c r="A1026" t="s">
        <v>2500</v>
      </c>
      <c r="B1026" t="s">
        <v>2501</v>
      </c>
      <c r="C1026" t="s">
        <v>229</v>
      </c>
      <c r="D1026" t="s">
        <v>367</v>
      </c>
      <c r="E1026" s="36">
        <v>330</v>
      </c>
      <c r="F1026" s="36">
        <v>382</v>
      </c>
      <c r="G1026" s="36">
        <v>205</v>
      </c>
      <c r="H1026" s="36">
        <v>235</v>
      </c>
      <c r="I1026" s="37">
        <v>0</v>
      </c>
      <c r="J1026" s="37">
        <v>7.9155672823219003E-3</v>
      </c>
    </row>
    <row r="1027" spans="1:10" x14ac:dyDescent="0.25">
      <c r="A1027" t="s">
        <v>2502</v>
      </c>
      <c r="B1027" t="s">
        <v>2503</v>
      </c>
      <c r="C1027" t="s">
        <v>229</v>
      </c>
      <c r="D1027" t="s">
        <v>367</v>
      </c>
      <c r="E1027" s="36">
        <v>380</v>
      </c>
      <c r="F1027" s="36">
        <v>437</v>
      </c>
      <c r="G1027" s="36">
        <v>236</v>
      </c>
      <c r="H1027" s="36">
        <v>271</v>
      </c>
      <c r="I1027" s="37">
        <v>0</v>
      </c>
      <c r="J1027" s="37">
        <v>0</v>
      </c>
    </row>
    <row r="1028" spans="1:10" x14ac:dyDescent="0.25">
      <c r="A1028" t="s">
        <v>2504</v>
      </c>
      <c r="B1028" t="s">
        <v>2505</v>
      </c>
      <c r="C1028" t="s">
        <v>229</v>
      </c>
      <c r="D1028" t="s">
        <v>367</v>
      </c>
      <c r="E1028" s="36">
        <v>450</v>
      </c>
      <c r="F1028" s="36">
        <v>518</v>
      </c>
      <c r="G1028" s="36">
        <v>279</v>
      </c>
      <c r="H1028" s="36">
        <v>321</v>
      </c>
      <c r="I1028" s="37">
        <v>0</v>
      </c>
      <c r="J1028" s="37">
        <v>0</v>
      </c>
    </row>
    <row r="1029" spans="1:10" x14ac:dyDescent="0.25">
      <c r="A1029" t="s">
        <v>2506</v>
      </c>
      <c r="B1029" t="s">
        <v>2507</v>
      </c>
      <c r="C1029" t="s">
        <v>229</v>
      </c>
      <c r="D1029" t="s">
        <v>367</v>
      </c>
      <c r="E1029" s="36">
        <v>550</v>
      </c>
      <c r="F1029" s="36">
        <v>632</v>
      </c>
      <c r="G1029" s="36">
        <v>341</v>
      </c>
      <c r="H1029" s="36">
        <v>392</v>
      </c>
      <c r="I1029" s="37">
        <v>0</v>
      </c>
      <c r="J1029" s="37">
        <v>0</v>
      </c>
    </row>
    <row r="1030" spans="1:10" x14ac:dyDescent="0.25">
      <c r="A1030" t="s">
        <v>2508</v>
      </c>
      <c r="B1030" t="s">
        <v>2509</v>
      </c>
      <c r="C1030" t="s">
        <v>229</v>
      </c>
      <c r="D1030" t="s">
        <v>367</v>
      </c>
      <c r="E1030" s="36">
        <v>650</v>
      </c>
      <c r="F1030" s="36">
        <v>748</v>
      </c>
      <c r="G1030" s="36">
        <v>403</v>
      </c>
      <c r="H1030" s="36">
        <v>463</v>
      </c>
      <c r="I1030" s="37">
        <v>0</v>
      </c>
      <c r="J1030" s="37">
        <v>1.3386880856760539E-3</v>
      </c>
    </row>
    <row r="1031" spans="1:10" x14ac:dyDescent="0.25">
      <c r="A1031" t="s">
        <v>2510</v>
      </c>
      <c r="B1031" t="s">
        <v>2511</v>
      </c>
      <c r="C1031" t="s">
        <v>229</v>
      </c>
      <c r="D1031" t="s">
        <v>367</v>
      </c>
      <c r="E1031" s="36">
        <v>780</v>
      </c>
      <c r="F1031" s="36">
        <v>897</v>
      </c>
      <c r="G1031" s="36">
        <v>484</v>
      </c>
      <c r="H1031" s="36">
        <v>556</v>
      </c>
      <c r="I1031" s="37">
        <v>0</v>
      </c>
      <c r="J1031" s="37">
        <v>0</v>
      </c>
    </row>
    <row r="1032" spans="1:10" x14ac:dyDescent="0.25">
      <c r="A1032" t="s">
        <v>2512</v>
      </c>
      <c r="B1032" t="s">
        <v>2513</v>
      </c>
      <c r="C1032" t="s">
        <v>229</v>
      </c>
      <c r="D1032" t="s">
        <v>367</v>
      </c>
      <c r="E1032" s="36">
        <v>900</v>
      </c>
      <c r="F1032" s="36">
        <v>1035</v>
      </c>
      <c r="G1032" s="36">
        <v>558</v>
      </c>
      <c r="H1032" s="36">
        <v>642</v>
      </c>
      <c r="I1032" s="37">
        <v>0</v>
      </c>
      <c r="J1032" s="37">
        <v>0</v>
      </c>
    </row>
    <row r="1033" spans="1:10" x14ac:dyDescent="0.25">
      <c r="A1033" t="s">
        <v>2514</v>
      </c>
      <c r="B1033" t="s">
        <v>2515</v>
      </c>
      <c r="C1033" t="s">
        <v>229</v>
      </c>
      <c r="D1033" t="s">
        <v>367</v>
      </c>
      <c r="E1033" s="36">
        <v>350</v>
      </c>
      <c r="F1033" s="36">
        <v>402</v>
      </c>
      <c r="G1033" s="36">
        <v>217</v>
      </c>
      <c r="H1033" s="36">
        <v>250</v>
      </c>
      <c r="I1033" s="37">
        <v>0</v>
      </c>
      <c r="J1033" s="37">
        <v>0</v>
      </c>
    </row>
    <row r="1034" spans="1:10" x14ac:dyDescent="0.25">
      <c r="A1034" t="s">
        <v>2516</v>
      </c>
      <c r="B1034" t="s">
        <v>2517</v>
      </c>
      <c r="C1034" t="s">
        <v>229</v>
      </c>
      <c r="D1034" t="s">
        <v>367</v>
      </c>
      <c r="E1034" s="36">
        <v>380</v>
      </c>
      <c r="F1034" s="36">
        <v>437</v>
      </c>
      <c r="G1034" s="36">
        <v>236</v>
      </c>
      <c r="H1034" s="36">
        <v>271</v>
      </c>
      <c r="I1034" s="37">
        <v>0</v>
      </c>
      <c r="J1034" s="37">
        <v>0</v>
      </c>
    </row>
    <row r="1035" spans="1:10" x14ac:dyDescent="0.25">
      <c r="A1035" t="s">
        <v>2518</v>
      </c>
      <c r="B1035" t="s">
        <v>2519</v>
      </c>
      <c r="C1035" t="s">
        <v>229</v>
      </c>
      <c r="D1035" t="s">
        <v>367</v>
      </c>
      <c r="E1035" s="36">
        <v>420</v>
      </c>
      <c r="F1035" s="36">
        <v>483</v>
      </c>
      <c r="G1035" s="36">
        <v>260</v>
      </c>
      <c r="H1035" s="36">
        <v>299</v>
      </c>
      <c r="I1035" s="37">
        <v>0</v>
      </c>
      <c r="J1035" s="37">
        <v>0</v>
      </c>
    </row>
    <row r="1036" spans="1:10" x14ac:dyDescent="0.25">
      <c r="A1036" t="s">
        <v>2520</v>
      </c>
      <c r="B1036" t="s">
        <v>2521</v>
      </c>
      <c r="C1036" t="s">
        <v>229</v>
      </c>
      <c r="D1036" t="s">
        <v>367</v>
      </c>
      <c r="E1036" s="36">
        <v>480</v>
      </c>
      <c r="F1036" s="36">
        <v>552</v>
      </c>
      <c r="G1036" s="36">
        <v>298</v>
      </c>
      <c r="H1036" s="36">
        <v>342</v>
      </c>
      <c r="I1036" s="37">
        <v>0</v>
      </c>
      <c r="J1036" s="37">
        <v>0</v>
      </c>
    </row>
    <row r="1037" spans="1:10" x14ac:dyDescent="0.25">
      <c r="A1037" t="s">
        <v>2522</v>
      </c>
      <c r="B1037" t="s">
        <v>2523</v>
      </c>
      <c r="C1037" t="s">
        <v>229</v>
      </c>
      <c r="D1037" t="s">
        <v>367</v>
      </c>
      <c r="E1037" s="36">
        <v>550</v>
      </c>
      <c r="F1037" s="36">
        <v>632</v>
      </c>
      <c r="G1037" s="36">
        <v>341</v>
      </c>
      <c r="H1037" s="36">
        <v>392</v>
      </c>
      <c r="I1037" s="37">
        <v>0</v>
      </c>
      <c r="J1037" s="37">
        <v>0</v>
      </c>
    </row>
    <row r="1038" spans="1:10" x14ac:dyDescent="0.25">
      <c r="A1038" t="s">
        <v>2524</v>
      </c>
      <c r="B1038" t="s">
        <v>2525</v>
      </c>
      <c r="C1038" t="s">
        <v>229</v>
      </c>
      <c r="D1038" t="s">
        <v>367</v>
      </c>
      <c r="E1038" s="36">
        <v>650</v>
      </c>
      <c r="F1038" s="36">
        <v>747</v>
      </c>
      <c r="G1038" s="36">
        <v>403</v>
      </c>
      <c r="H1038" s="36">
        <v>463</v>
      </c>
      <c r="I1038" s="37">
        <v>0</v>
      </c>
      <c r="J1038" s="37">
        <v>0</v>
      </c>
    </row>
    <row r="1039" spans="1:10" x14ac:dyDescent="0.25">
      <c r="A1039" t="s">
        <v>2526</v>
      </c>
      <c r="B1039" t="s">
        <v>2527</v>
      </c>
      <c r="C1039" t="s">
        <v>229</v>
      </c>
      <c r="D1039" t="s">
        <v>367</v>
      </c>
      <c r="E1039" s="36">
        <v>780</v>
      </c>
      <c r="F1039" s="36">
        <v>897</v>
      </c>
      <c r="G1039" s="36">
        <v>484</v>
      </c>
      <c r="H1039" s="36">
        <v>556</v>
      </c>
      <c r="I1039" s="37">
        <v>0</v>
      </c>
      <c r="J1039" s="37">
        <v>0</v>
      </c>
    </row>
    <row r="1040" spans="1:10" x14ac:dyDescent="0.25">
      <c r="A1040" t="s">
        <v>2528</v>
      </c>
      <c r="B1040" t="s">
        <v>2529</v>
      </c>
      <c r="C1040" t="s">
        <v>229</v>
      </c>
      <c r="D1040" t="s">
        <v>367</v>
      </c>
      <c r="E1040" s="36">
        <v>900</v>
      </c>
      <c r="F1040" s="36">
        <v>1035</v>
      </c>
      <c r="G1040" s="36">
        <v>558</v>
      </c>
      <c r="H1040" s="36">
        <v>642</v>
      </c>
      <c r="I1040" s="37">
        <v>0</v>
      </c>
      <c r="J1040" s="37">
        <v>0</v>
      </c>
    </row>
    <row r="1041" spans="1:10" x14ac:dyDescent="0.25">
      <c r="A1041" t="s">
        <v>2530</v>
      </c>
      <c r="B1041" t="s">
        <v>2531</v>
      </c>
      <c r="C1041" t="s">
        <v>101</v>
      </c>
      <c r="D1041" t="s">
        <v>367</v>
      </c>
      <c r="E1041" s="36">
        <v>2000</v>
      </c>
      <c r="F1041" s="36">
        <v>2300</v>
      </c>
      <c r="G1041" s="36">
        <v>1240</v>
      </c>
      <c r="H1041" s="36">
        <v>1426</v>
      </c>
      <c r="I1041" s="37">
        <v>0</v>
      </c>
      <c r="J1041" s="37">
        <v>0</v>
      </c>
    </row>
    <row r="1042" spans="1:10" x14ac:dyDescent="0.25">
      <c r="A1042" t="s">
        <v>2532</v>
      </c>
      <c r="B1042" t="s">
        <v>2533</v>
      </c>
      <c r="C1042" t="s">
        <v>101</v>
      </c>
      <c r="D1042" t="s">
        <v>367</v>
      </c>
      <c r="E1042" s="36">
        <v>700</v>
      </c>
      <c r="F1042" s="36">
        <v>805</v>
      </c>
      <c r="G1042" s="36">
        <v>434</v>
      </c>
      <c r="H1042" s="36">
        <v>499</v>
      </c>
      <c r="I1042" s="37">
        <v>0</v>
      </c>
      <c r="J1042" s="37">
        <v>0</v>
      </c>
    </row>
    <row r="1043" spans="1:10" x14ac:dyDescent="0.25">
      <c r="A1043" t="s">
        <v>2534</v>
      </c>
      <c r="B1043" t="s">
        <v>2535</v>
      </c>
      <c r="C1043" t="s">
        <v>101</v>
      </c>
      <c r="D1043" t="s">
        <v>367</v>
      </c>
      <c r="E1043" s="36">
        <v>1100</v>
      </c>
      <c r="F1043" s="36">
        <v>1265</v>
      </c>
      <c r="G1043" s="36">
        <v>682</v>
      </c>
      <c r="H1043" s="36">
        <v>784</v>
      </c>
      <c r="I1043" s="37">
        <v>0</v>
      </c>
      <c r="J1043" s="37">
        <v>0</v>
      </c>
    </row>
    <row r="1044" spans="1:10" x14ac:dyDescent="0.25">
      <c r="A1044" t="s">
        <v>2536</v>
      </c>
      <c r="B1044" t="s">
        <v>2537</v>
      </c>
      <c r="C1044" t="s">
        <v>101</v>
      </c>
      <c r="D1044" t="s">
        <v>367</v>
      </c>
      <c r="E1044" s="36">
        <v>900</v>
      </c>
      <c r="F1044" s="36">
        <v>1035</v>
      </c>
      <c r="G1044" s="36">
        <v>558</v>
      </c>
      <c r="H1044" s="36">
        <v>642</v>
      </c>
      <c r="I1044" s="37">
        <v>0</v>
      </c>
      <c r="J1044" s="37">
        <v>0</v>
      </c>
    </row>
    <row r="1045" spans="1:10" x14ac:dyDescent="0.25">
      <c r="A1045" t="s">
        <v>2538</v>
      </c>
      <c r="B1045" t="s">
        <v>2539</v>
      </c>
      <c r="C1045" t="s">
        <v>101</v>
      </c>
      <c r="D1045" t="s">
        <v>367</v>
      </c>
      <c r="E1045" s="36">
        <v>1000</v>
      </c>
      <c r="F1045" s="36">
        <v>1150</v>
      </c>
      <c r="G1045" s="36">
        <v>620</v>
      </c>
      <c r="H1045" s="36">
        <v>713</v>
      </c>
      <c r="I1045" s="37">
        <v>0</v>
      </c>
      <c r="J1045" s="37">
        <v>0</v>
      </c>
    </row>
    <row r="1046" spans="1:10" x14ac:dyDescent="0.25">
      <c r="A1046" t="s">
        <v>2540</v>
      </c>
      <c r="B1046" t="s">
        <v>2541</v>
      </c>
      <c r="C1046" t="s">
        <v>101</v>
      </c>
      <c r="D1046" t="s">
        <v>367</v>
      </c>
      <c r="E1046" s="36">
        <v>1200</v>
      </c>
      <c r="F1046" s="36">
        <v>1380</v>
      </c>
      <c r="G1046" s="36">
        <v>744</v>
      </c>
      <c r="H1046" s="36">
        <v>856</v>
      </c>
      <c r="I1046" s="37">
        <v>0</v>
      </c>
      <c r="J1046" s="37">
        <v>0</v>
      </c>
    </row>
    <row r="1047" spans="1:10" x14ac:dyDescent="0.25">
      <c r="A1047" t="s">
        <v>2542</v>
      </c>
      <c r="B1047" t="s">
        <v>2543</v>
      </c>
      <c r="C1047" t="s">
        <v>101</v>
      </c>
      <c r="D1047" t="s">
        <v>367</v>
      </c>
      <c r="E1047" s="36">
        <v>1400</v>
      </c>
      <c r="F1047" s="36">
        <v>1610</v>
      </c>
      <c r="G1047" s="36">
        <v>868</v>
      </c>
      <c r="H1047" s="36">
        <v>998</v>
      </c>
      <c r="I1047" s="37">
        <v>0</v>
      </c>
      <c r="J1047" s="37">
        <v>0</v>
      </c>
    </row>
    <row r="1048" spans="1:10" x14ac:dyDescent="0.25">
      <c r="A1048" t="s">
        <v>2544</v>
      </c>
      <c r="B1048" t="s">
        <v>2545</v>
      </c>
      <c r="C1048" t="s">
        <v>101</v>
      </c>
      <c r="D1048" t="s">
        <v>367</v>
      </c>
      <c r="E1048" s="36">
        <v>1500</v>
      </c>
      <c r="F1048" s="36">
        <v>1725</v>
      </c>
      <c r="G1048" s="36">
        <v>930</v>
      </c>
      <c r="H1048" s="36">
        <v>1069</v>
      </c>
      <c r="I1048" s="37">
        <v>0</v>
      </c>
      <c r="J1048" s="37">
        <v>0</v>
      </c>
    </row>
    <row r="1049" spans="1:10" x14ac:dyDescent="0.25">
      <c r="A1049" t="s">
        <v>2546</v>
      </c>
      <c r="B1049" t="s">
        <v>2547</v>
      </c>
      <c r="C1049" t="s">
        <v>101</v>
      </c>
      <c r="D1049" t="s">
        <v>367</v>
      </c>
      <c r="E1049" s="36">
        <v>800</v>
      </c>
      <c r="F1049" s="36">
        <v>920</v>
      </c>
      <c r="G1049" s="36">
        <v>496</v>
      </c>
      <c r="H1049" s="36">
        <v>570</v>
      </c>
      <c r="I1049" s="37">
        <v>0</v>
      </c>
      <c r="J1049" s="37">
        <v>0</v>
      </c>
    </row>
    <row r="1050" spans="1:10" x14ac:dyDescent="0.25">
      <c r="A1050" t="s">
        <v>2548</v>
      </c>
      <c r="B1050" t="s">
        <v>2549</v>
      </c>
      <c r="C1050" t="s">
        <v>101</v>
      </c>
      <c r="D1050" t="s">
        <v>367</v>
      </c>
      <c r="E1050" s="36">
        <v>1900</v>
      </c>
      <c r="F1050" s="36">
        <v>2185</v>
      </c>
      <c r="G1050" s="36">
        <v>1178</v>
      </c>
      <c r="H1050" s="36">
        <v>1355</v>
      </c>
      <c r="I1050" s="37">
        <v>0</v>
      </c>
      <c r="J1050" s="37">
        <v>0</v>
      </c>
    </row>
    <row r="1051" spans="1:10" x14ac:dyDescent="0.25">
      <c r="A1051" t="s">
        <v>2550</v>
      </c>
      <c r="B1051" t="s">
        <v>2551</v>
      </c>
      <c r="C1051" t="s">
        <v>101</v>
      </c>
      <c r="D1051" t="s">
        <v>367</v>
      </c>
      <c r="E1051" s="36">
        <v>650</v>
      </c>
      <c r="F1051" s="36">
        <v>747</v>
      </c>
      <c r="G1051" s="36">
        <v>403</v>
      </c>
      <c r="H1051" s="36">
        <v>463</v>
      </c>
      <c r="I1051" s="37">
        <v>0</v>
      </c>
      <c r="J1051" s="37">
        <v>0</v>
      </c>
    </row>
    <row r="1052" spans="1:10" x14ac:dyDescent="0.25">
      <c r="A1052" t="s">
        <v>2552</v>
      </c>
      <c r="B1052" t="s">
        <v>2553</v>
      </c>
      <c r="C1052" t="s">
        <v>101</v>
      </c>
      <c r="D1052" t="s">
        <v>367</v>
      </c>
      <c r="E1052" s="36">
        <v>1000</v>
      </c>
      <c r="F1052" s="36">
        <v>1150</v>
      </c>
      <c r="G1052" s="36">
        <v>620</v>
      </c>
      <c r="H1052" s="36">
        <v>713</v>
      </c>
      <c r="I1052" s="37">
        <v>0</v>
      </c>
      <c r="J1052" s="37">
        <v>0</v>
      </c>
    </row>
    <row r="1053" spans="1:10" x14ac:dyDescent="0.25">
      <c r="A1053" t="s">
        <v>2554</v>
      </c>
      <c r="B1053" t="s">
        <v>2555</v>
      </c>
      <c r="C1053" t="s">
        <v>101</v>
      </c>
      <c r="D1053" t="s">
        <v>367</v>
      </c>
      <c r="E1053" s="36">
        <v>2300</v>
      </c>
      <c r="F1053" s="36">
        <v>2645</v>
      </c>
      <c r="G1053" s="36">
        <v>1426</v>
      </c>
      <c r="H1053" s="36">
        <v>1640</v>
      </c>
      <c r="I1053" s="37">
        <v>0</v>
      </c>
      <c r="J1053" s="37">
        <v>0</v>
      </c>
    </row>
    <row r="1054" spans="1:10" x14ac:dyDescent="0.25">
      <c r="A1054" t="s">
        <v>2556</v>
      </c>
      <c r="B1054" t="s">
        <v>2557</v>
      </c>
      <c r="C1054" t="s">
        <v>101</v>
      </c>
      <c r="D1054" t="s">
        <v>367</v>
      </c>
      <c r="E1054" s="36">
        <v>3200</v>
      </c>
      <c r="F1054" s="36">
        <v>3680</v>
      </c>
      <c r="G1054" s="36">
        <v>1984</v>
      </c>
      <c r="H1054" s="36">
        <v>2282</v>
      </c>
      <c r="I1054" s="37">
        <v>0</v>
      </c>
      <c r="J1054" s="37">
        <v>0</v>
      </c>
    </row>
    <row r="1055" spans="1:10" x14ac:dyDescent="0.25">
      <c r="A1055" t="s">
        <v>2558</v>
      </c>
      <c r="B1055" t="s">
        <v>2559</v>
      </c>
      <c r="C1055" t="s">
        <v>101</v>
      </c>
      <c r="D1055" t="s">
        <v>367</v>
      </c>
      <c r="E1055" s="36">
        <v>800</v>
      </c>
      <c r="F1055" s="36">
        <v>920</v>
      </c>
      <c r="G1055" s="36">
        <v>496</v>
      </c>
      <c r="H1055" s="36">
        <v>570</v>
      </c>
      <c r="I1055" s="37">
        <v>0</v>
      </c>
      <c r="J1055" s="37">
        <v>0</v>
      </c>
    </row>
    <row r="1056" spans="1:10" x14ac:dyDescent="0.25">
      <c r="A1056" t="s">
        <v>2560</v>
      </c>
      <c r="B1056" t="s">
        <v>2561</v>
      </c>
      <c r="C1056" t="s">
        <v>101</v>
      </c>
      <c r="D1056" t="s">
        <v>367</v>
      </c>
      <c r="E1056" s="36">
        <v>1300</v>
      </c>
      <c r="F1056" s="36">
        <v>1495</v>
      </c>
      <c r="G1056" s="36">
        <v>806</v>
      </c>
      <c r="H1056" s="36">
        <v>927</v>
      </c>
      <c r="I1056" s="37">
        <v>0</v>
      </c>
      <c r="J1056" s="37">
        <v>0</v>
      </c>
    </row>
    <row r="1057" spans="1:10" x14ac:dyDescent="0.25">
      <c r="A1057" t="s">
        <v>2562</v>
      </c>
      <c r="B1057" t="s">
        <v>2563</v>
      </c>
      <c r="C1057" t="s">
        <v>539</v>
      </c>
      <c r="D1057" t="s">
        <v>363</v>
      </c>
      <c r="E1057" s="36">
        <v>102000</v>
      </c>
      <c r="F1057" s="36">
        <v>122400</v>
      </c>
      <c r="G1057" s="36">
        <v>46500</v>
      </c>
      <c r="H1057" s="36">
        <v>52545</v>
      </c>
      <c r="I1057" s="37">
        <v>0.3600000000000001</v>
      </c>
      <c r="J1057" s="37">
        <v>0.44424778761061939</v>
      </c>
    </row>
    <row r="1058" spans="1:10" x14ac:dyDescent="0.25">
      <c r="A1058" t="s">
        <v>2564</v>
      </c>
      <c r="B1058" t="s">
        <v>2565</v>
      </c>
      <c r="C1058" t="s">
        <v>101</v>
      </c>
      <c r="D1058" t="s">
        <v>367</v>
      </c>
      <c r="E1058" s="36">
        <v>2000</v>
      </c>
      <c r="F1058" s="36">
        <v>2300</v>
      </c>
      <c r="G1058" s="36">
        <v>1240</v>
      </c>
      <c r="H1058" s="36">
        <v>1426</v>
      </c>
      <c r="I1058" s="37">
        <v>0</v>
      </c>
      <c r="J1058" s="37">
        <v>0</v>
      </c>
    </row>
    <row r="1059" spans="1:10" x14ac:dyDescent="0.25">
      <c r="A1059" t="s">
        <v>2566</v>
      </c>
      <c r="B1059" t="s">
        <v>2567</v>
      </c>
      <c r="C1059" t="s">
        <v>101</v>
      </c>
      <c r="D1059" t="s">
        <v>367</v>
      </c>
      <c r="E1059" s="36">
        <v>2200</v>
      </c>
      <c r="F1059" s="36">
        <v>2530</v>
      </c>
      <c r="G1059" s="36">
        <v>1364</v>
      </c>
      <c r="H1059" s="36">
        <v>1569</v>
      </c>
      <c r="I1059" s="37">
        <v>0</v>
      </c>
      <c r="J1059" s="37">
        <v>0</v>
      </c>
    </row>
    <row r="1060" spans="1:10" x14ac:dyDescent="0.25">
      <c r="A1060" t="s">
        <v>2568</v>
      </c>
      <c r="B1060" t="s">
        <v>2569</v>
      </c>
      <c r="C1060" t="s">
        <v>101</v>
      </c>
      <c r="D1060" t="s">
        <v>367</v>
      </c>
      <c r="E1060" s="36">
        <v>5000</v>
      </c>
      <c r="F1060" s="36">
        <v>5750</v>
      </c>
      <c r="G1060" s="36">
        <v>3100</v>
      </c>
      <c r="H1060" s="36">
        <v>3565</v>
      </c>
      <c r="I1060" s="37">
        <v>0</v>
      </c>
      <c r="J1060" s="37">
        <v>0</v>
      </c>
    </row>
    <row r="1061" spans="1:10" x14ac:dyDescent="0.25">
      <c r="A1061" t="s">
        <v>2570</v>
      </c>
      <c r="B1061" t="s">
        <v>2571</v>
      </c>
      <c r="C1061" t="s">
        <v>101</v>
      </c>
      <c r="D1061" t="s">
        <v>367</v>
      </c>
      <c r="E1061" s="36">
        <v>7500</v>
      </c>
      <c r="F1061" s="36">
        <v>8625</v>
      </c>
      <c r="G1061" s="36">
        <v>4650</v>
      </c>
      <c r="H1061" s="36">
        <v>5348</v>
      </c>
      <c r="I1061" s="37">
        <v>0</v>
      </c>
      <c r="J1061" s="37">
        <v>0</v>
      </c>
    </row>
    <row r="1062" spans="1:10" x14ac:dyDescent="0.25">
      <c r="A1062" t="s">
        <v>2572</v>
      </c>
      <c r="B1062" t="s">
        <v>2573</v>
      </c>
      <c r="C1062" t="s">
        <v>101</v>
      </c>
      <c r="D1062" t="s">
        <v>367</v>
      </c>
      <c r="E1062" s="36">
        <v>1500</v>
      </c>
      <c r="F1062" s="36">
        <v>1725</v>
      </c>
      <c r="G1062" s="36">
        <v>930</v>
      </c>
      <c r="H1062" s="36">
        <v>1069</v>
      </c>
      <c r="I1062" s="37">
        <v>0</v>
      </c>
      <c r="J1062" s="37">
        <v>0</v>
      </c>
    </row>
    <row r="1063" spans="1:10" x14ac:dyDescent="0.25">
      <c r="A1063" t="s">
        <v>2574</v>
      </c>
      <c r="B1063" t="s">
        <v>2575</v>
      </c>
      <c r="C1063" t="s">
        <v>101</v>
      </c>
      <c r="D1063" t="s">
        <v>367</v>
      </c>
      <c r="E1063" s="36">
        <v>3000</v>
      </c>
      <c r="F1063" s="36">
        <v>3450</v>
      </c>
      <c r="G1063" s="36">
        <v>1860</v>
      </c>
      <c r="H1063" s="36">
        <v>2139</v>
      </c>
      <c r="I1063" s="37">
        <v>0</v>
      </c>
      <c r="J1063" s="37">
        <v>0</v>
      </c>
    </row>
    <row r="1064" spans="1:10" x14ac:dyDescent="0.25">
      <c r="A1064" t="s">
        <v>2576</v>
      </c>
      <c r="B1064" t="s">
        <v>2577</v>
      </c>
      <c r="C1064" t="s">
        <v>101</v>
      </c>
      <c r="D1064" t="s">
        <v>367</v>
      </c>
      <c r="E1064" s="36">
        <v>4000</v>
      </c>
      <c r="F1064" s="36">
        <v>4600</v>
      </c>
      <c r="G1064" s="36">
        <v>2480</v>
      </c>
      <c r="H1064" s="36">
        <v>2852</v>
      </c>
      <c r="I1064" s="37">
        <v>0</v>
      </c>
      <c r="J1064" s="37">
        <v>0</v>
      </c>
    </row>
    <row r="1065" spans="1:10" x14ac:dyDescent="0.25">
      <c r="A1065" t="s">
        <v>2578</v>
      </c>
      <c r="B1065" t="s">
        <v>2579</v>
      </c>
      <c r="C1065" t="s">
        <v>101</v>
      </c>
      <c r="D1065" t="s">
        <v>363</v>
      </c>
      <c r="E1065" s="36">
        <v>4800</v>
      </c>
      <c r="F1065" s="36">
        <v>5520</v>
      </c>
      <c r="G1065" s="36">
        <v>2976</v>
      </c>
      <c r="H1065" s="36">
        <v>3422</v>
      </c>
      <c r="I1065" s="37">
        <v>0</v>
      </c>
      <c r="J1065" s="37">
        <v>0</v>
      </c>
    </row>
    <row r="1066" spans="1:10" x14ac:dyDescent="0.25">
      <c r="A1066" t="s">
        <v>2580</v>
      </c>
      <c r="B1066" t="s">
        <v>2581</v>
      </c>
      <c r="C1066" t="s">
        <v>101</v>
      </c>
      <c r="D1066" t="s">
        <v>363</v>
      </c>
      <c r="E1066" s="36">
        <v>8000</v>
      </c>
      <c r="F1066" s="36">
        <v>9200</v>
      </c>
      <c r="G1066" s="36">
        <v>4960</v>
      </c>
      <c r="H1066" s="36">
        <v>5704</v>
      </c>
      <c r="I1066" s="37">
        <v>0</v>
      </c>
      <c r="J1066" s="37">
        <v>0</v>
      </c>
    </row>
    <row r="1067" spans="1:10" x14ac:dyDescent="0.25">
      <c r="A1067" t="s">
        <v>2582</v>
      </c>
      <c r="B1067" t="s">
        <v>2583</v>
      </c>
      <c r="C1067" t="s">
        <v>101</v>
      </c>
      <c r="D1067" t="s">
        <v>363</v>
      </c>
      <c r="E1067" s="36">
        <v>2000</v>
      </c>
      <c r="F1067" s="36">
        <v>2300</v>
      </c>
      <c r="G1067" s="36">
        <v>1240</v>
      </c>
      <c r="H1067" s="36">
        <v>1426</v>
      </c>
      <c r="I1067" s="37">
        <v>0</v>
      </c>
      <c r="J1067" s="37">
        <v>0</v>
      </c>
    </row>
    <row r="1068" spans="1:10" x14ac:dyDescent="0.25">
      <c r="A1068" t="s">
        <v>2584</v>
      </c>
      <c r="B1068" t="s">
        <v>2585</v>
      </c>
      <c r="C1068" t="s">
        <v>101</v>
      </c>
      <c r="D1068" t="s">
        <v>363</v>
      </c>
      <c r="E1068" s="36">
        <v>2800</v>
      </c>
      <c r="F1068" s="36">
        <v>3220</v>
      </c>
      <c r="G1068" s="36">
        <v>1736</v>
      </c>
      <c r="H1068" s="36">
        <v>1996</v>
      </c>
      <c r="I1068" s="37">
        <v>0</v>
      </c>
      <c r="J1068" s="37">
        <v>0</v>
      </c>
    </row>
    <row r="1069" spans="1:10" x14ac:dyDescent="0.25">
      <c r="A1069" t="s">
        <v>2586</v>
      </c>
      <c r="B1069" t="s">
        <v>2587</v>
      </c>
      <c r="C1069" t="s">
        <v>101</v>
      </c>
      <c r="D1069" t="s">
        <v>367</v>
      </c>
      <c r="E1069" s="36">
        <v>2000</v>
      </c>
      <c r="F1069" s="36">
        <v>2300</v>
      </c>
      <c r="G1069" s="36">
        <v>1240</v>
      </c>
      <c r="H1069" s="36">
        <v>1426</v>
      </c>
      <c r="I1069" s="37">
        <v>0</v>
      </c>
      <c r="J1069" s="37">
        <v>0</v>
      </c>
    </row>
    <row r="1070" spans="1:10" x14ac:dyDescent="0.25">
      <c r="A1070" t="s">
        <v>2588</v>
      </c>
      <c r="B1070" t="s">
        <v>2589</v>
      </c>
      <c r="C1070" t="s">
        <v>101</v>
      </c>
      <c r="D1070" t="s">
        <v>367</v>
      </c>
      <c r="E1070" s="36">
        <v>1200</v>
      </c>
      <c r="F1070" s="36">
        <v>1380</v>
      </c>
      <c r="G1070" s="36">
        <v>744</v>
      </c>
      <c r="H1070" s="36">
        <v>856</v>
      </c>
      <c r="I1070" s="37">
        <v>0</v>
      </c>
      <c r="J1070" s="37">
        <v>0</v>
      </c>
    </row>
    <row r="1071" spans="1:10" x14ac:dyDescent="0.25">
      <c r="A1071" t="s">
        <v>2590</v>
      </c>
      <c r="B1071" t="s">
        <v>2591</v>
      </c>
      <c r="C1071" t="s">
        <v>101</v>
      </c>
      <c r="D1071" t="s">
        <v>367</v>
      </c>
      <c r="E1071" s="36">
        <v>1100</v>
      </c>
      <c r="F1071" s="36">
        <v>1265</v>
      </c>
      <c r="G1071" s="36">
        <v>682</v>
      </c>
      <c r="H1071" s="36">
        <v>784</v>
      </c>
      <c r="I1071" s="37">
        <v>0</v>
      </c>
      <c r="J1071" s="37">
        <v>0</v>
      </c>
    </row>
    <row r="1072" spans="1:10" x14ac:dyDescent="0.25">
      <c r="A1072" t="s">
        <v>2592</v>
      </c>
      <c r="B1072" t="s">
        <v>2593</v>
      </c>
      <c r="C1072" t="s">
        <v>101</v>
      </c>
      <c r="D1072" t="s">
        <v>367</v>
      </c>
      <c r="E1072" s="36">
        <v>2500</v>
      </c>
      <c r="F1072" s="36">
        <v>2875</v>
      </c>
      <c r="G1072" s="36">
        <v>1550</v>
      </c>
      <c r="H1072" s="36">
        <v>1782</v>
      </c>
      <c r="I1072" s="37">
        <v>0</v>
      </c>
      <c r="J1072" s="37">
        <v>0</v>
      </c>
    </row>
    <row r="1073" spans="1:10" x14ac:dyDescent="0.25">
      <c r="A1073" t="s">
        <v>2594</v>
      </c>
      <c r="B1073" t="s">
        <v>2595</v>
      </c>
      <c r="C1073" t="s">
        <v>101</v>
      </c>
      <c r="D1073" t="s">
        <v>367</v>
      </c>
      <c r="E1073" s="36">
        <v>2500</v>
      </c>
      <c r="F1073" s="36">
        <v>2875</v>
      </c>
      <c r="G1073" s="36">
        <v>1550</v>
      </c>
      <c r="H1073" s="36">
        <v>1782</v>
      </c>
      <c r="I1073" s="37">
        <v>0</v>
      </c>
      <c r="J1073" s="37">
        <v>0</v>
      </c>
    </row>
    <row r="1074" spans="1:10" x14ac:dyDescent="0.25">
      <c r="A1074" t="s">
        <v>2596</v>
      </c>
      <c r="B1074" t="s">
        <v>2597</v>
      </c>
      <c r="C1074" t="s">
        <v>101</v>
      </c>
      <c r="D1074" t="s">
        <v>367</v>
      </c>
      <c r="E1074" s="36">
        <v>6000</v>
      </c>
      <c r="F1074" s="36">
        <v>6900</v>
      </c>
      <c r="G1074" s="36">
        <v>3720</v>
      </c>
      <c r="H1074" s="36">
        <v>4278</v>
      </c>
      <c r="I1074" s="37">
        <v>0</v>
      </c>
      <c r="J1074" s="37">
        <v>0</v>
      </c>
    </row>
    <row r="1075" spans="1:10" x14ac:dyDescent="0.25">
      <c r="A1075" t="s">
        <v>2598</v>
      </c>
      <c r="B1075" t="s">
        <v>2599</v>
      </c>
      <c r="C1075" t="s">
        <v>101</v>
      </c>
      <c r="D1075" t="s">
        <v>367</v>
      </c>
      <c r="E1075" s="36">
        <v>500</v>
      </c>
      <c r="F1075" s="36">
        <v>575</v>
      </c>
      <c r="G1075" s="36">
        <v>310</v>
      </c>
      <c r="H1075" s="36">
        <v>356</v>
      </c>
      <c r="I1075" s="37">
        <v>0</v>
      </c>
      <c r="J1075" s="37">
        <v>0</v>
      </c>
    </row>
    <row r="1076" spans="1:10" x14ac:dyDescent="0.25">
      <c r="A1076" t="s">
        <v>2600</v>
      </c>
      <c r="B1076" t="s">
        <v>2601</v>
      </c>
      <c r="C1076" t="s">
        <v>229</v>
      </c>
      <c r="D1076" t="s">
        <v>367</v>
      </c>
      <c r="E1076" s="36">
        <v>60</v>
      </c>
      <c r="F1076" s="36">
        <v>69</v>
      </c>
      <c r="G1076" s="36">
        <v>37</v>
      </c>
      <c r="H1076" s="36">
        <v>43</v>
      </c>
      <c r="I1076" s="37">
        <v>0</v>
      </c>
      <c r="J1076" s="37">
        <v>0</v>
      </c>
    </row>
    <row r="1077" spans="1:10" x14ac:dyDescent="0.25">
      <c r="A1077" t="s">
        <v>2602</v>
      </c>
      <c r="B1077" t="s">
        <v>2603</v>
      </c>
      <c r="C1077" t="s">
        <v>101</v>
      </c>
      <c r="D1077" t="s">
        <v>367</v>
      </c>
      <c r="E1077" s="36">
        <v>300</v>
      </c>
      <c r="F1077" s="36">
        <v>345</v>
      </c>
      <c r="G1077" s="36">
        <v>186</v>
      </c>
      <c r="H1077" s="36">
        <v>214</v>
      </c>
      <c r="I1077" s="37">
        <v>0</v>
      </c>
      <c r="J1077" s="37">
        <v>0</v>
      </c>
    </row>
    <row r="1078" spans="1:10" x14ac:dyDescent="0.25">
      <c r="A1078" t="s">
        <v>2604</v>
      </c>
      <c r="B1078" t="s">
        <v>2605</v>
      </c>
      <c r="C1078" t="s">
        <v>101</v>
      </c>
      <c r="D1078" t="s">
        <v>367</v>
      </c>
      <c r="E1078" s="36">
        <v>900</v>
      </c>
      <c r="F1078" s="36">
        <v>1035</v>
      </c>
      <c r="G1078" s="36">
        <v>558</v>
      </c>
      <c r="H1078" s="36">
        <v>642</v>
      </c>
      <c r="I1078" s="37">
        <v>0</v>
      </c>
      <c r="J1078" s="37">
        <v>0</v>
      </c>
    </row>
    <row r="1079" spans="1:10" x14ac:dyDescent="0.25">
      <c r="A1079" t="s">
        <v>2606</v>
      </c>
      <c r="B1079" t="s">
        <v>2607</v>
      </c>
      <c r="C1079" t="s">
        <v>101</v>
      </c>
      <c r="D1079" t="s">
        <v>367</v>
      </c>
      <c r="E1079" s="36">
        <v>25000</v>
      </c>
      <c r="F1079" s="36">
        <v>30000</v>
      </c>
      <c r="G1079" s="36">
        <v>15500</v>
      </c>
      <c r="H1079" s="36">
        <v>18600</v>
      </c>
      <c r="I1079" s="37">
        <v>0</v>
      </c>
      <c r="J1079" s="37">
        <v>0</v>
      </c>
    </row>
    <row r="1080" spans="1:10" x14ac:dyDescent="0.25">
      <c r="A1080" t="s">
        <v>2608</v>
      </c>
      <c r="B1080" t="s">
        <v>2609</v>
      </c>
      <c r="C1080" t="s">
        <v>229</v>
      </c>
      <c r="D1080" t="s">
        <v>327</v>
      </c>
      <c r="E1080" s="36">
        <v>120</v>
      </c>
      <c r="F1080" s="36">
        <v>138</v>
      </c>
      <c r="G1080" s="36">
        <v>72</v>
      </c>
      <c r="H1080" s="36">
        <v>83</v>
      </c>
      <c r="I1080" s="37">
        <v>0</v>
      </c>
      <c r="J1080" s="37">
        <v>0</v>
      </c>
    </row>
    <row r="1081" spans="1:10" x14ac:dyDescent="0.25">
      <c r="A1081" t="s">
        <v>2610</v>
      </c>
      <c r="B1081" t="s">
        <v>2611</v>
      </c>
      <c r="C1081" t="s">
        <v>101</v>
      </c>
      <c r="D1081" t="s">
        <v>367</v>
      </c>
      <c r="E1081" s="36">
        <v>900</v>
      </c>
      <c r="F1081" s="36">
        <v>1035</v>
      </c>
      <c r="G1081" s="36">
        <v>558</v>
      </c>
      <c r="H1081" s="36">
        <v>642</v>
      </c>
      <c r="I1081" s="37">
        <v>0</v>
      </c>
      <c r="J1081" s="37">
        <v>0</v>
      </c>
    </row>
    <row r="1082" spans="1:10" x14ac:dyDescent="0.25">
      <c r="A1082" t="s">
        <v>2612</v>
      </c>
      <c r="B1082" t="s">
        <v>2613</v>
      </c>
      <c r="C1082" t="s">
        <v>240</v>
      </c>
      <c r="D1082" t="s">
        <v>367</v>
      </c>
      <c r="E1082" s="36">
        <v>4500</v>
      </c>
      <c r="F1082" s="36">
        <v>5175</v>
      </c>
      <c r="G1082" s="36">
        <v>2790</v>
      </c>
      <c r="H1082" s="36">
        <v>3208</v>
      </c>
      <c r="I1082" s="37">
        <v>0</v>
      </c>
      <c r="J1082" s="37">
        <v>0</v>
      </c>
    </row>
    <row r="1083" spans="1:10" x14ac:dyDescent="0.25">
      <c r="A1083" t="s">
        <v>2614</v>
      </c>
      <c r="B1083" t="s">
        <v>2615</v>
      </c>
      <c r="C1083" t="s">
        <v>101</v>
      </c>
      <c r="D1083" t="s">
        <v>375</v>
      </c>
      <c r="E1083" s="36">
        <v>2500</v>
      </c>
      <c r="F1083" s="36">
        <v>2900</v>
      </c>
      <c r="G1083" s="36">
        <v>1500</v>
      </c>
      <c r="H1083" s="36">
        <v>1740</v>
      </c>
      <c r="I1083" s="37">
        <v>0</v>
      </c>
      <c r="J1083" s="37">
        <v>0</v>
      </c>
    </row>
    <row r="1084" spans="1:10" x14ac:dyDescent="0.25">
      <c r="A1084" t="s">
        <v>2616</v>
      </c>
      <c r="B1084" t="s">
        <v>2617</v>
      </c>
      <c r="C1084" t="s">
        <v>101</v>
      </c>
      <c r="D1084" t="s">
        <v>375</v>
      </c>
      <c r="E1084" s="36">
        <v>3000</v>
      </c>
      <c r="F1084" s="36">
        <v>3500</v>
      </c>
      <c r="G1084" s="36">
        <v>1800</v>
      </c>
      <c r="H1084" s="36">
        <v>2100</v>
      </c>
      <c r="I1084" s="37">
        <v>0</v>
      </c>
      <c r="J1084" s="37">
        <v>0</v>
      </c>
    </row>
    <row r="1085" spans="1:10" x14ac:dyDescent="0.25">
      <c r="A1085" t="s">
        <v>2618</v>
      </c>
      <c r="B1085" t="s">
        <v>2619</v>
      </c>
      <c r="C1085" t="s">
        <v>101</v>
      </c>
      <c r="D1085" t="s">
        <v>375</v>
      </c>
      <c r="E1085" s="36">
        <v>3500</v>
      </c>
      <c r="F1085" s="36">
        <v>4000</v>
      </c>
      <c r="G1085" s="36">
        <v>2100</v>
      </c>
      <c r="H1085" s="36">
        <v>2400</v>
      </c>
      <c r="I1085" s="37">
        <v>0</v>
      </c>
      <c r="J1085" s="37">
        <v>0</v>
      </c>
    </row>
    <row r="1086" spans="1:10" x14ac:dyDescent="0.25">
      <c r="A1086" t="s">
        <v>2620</v>
      </c>
      <c r="B1086" t="s">
        <v>2621</v>
      </c>
      <c r="C1086" t="s">
        <v>101</v>
      </c>
      <c r="D1086" t="s">
        <v>375</v>
      </c>
      <c r="E1086" s="36">
        <v>4000</v>
      </c>
      <c r="F1086" s="36">
        <v>4600</v>
      </c>
      <c r="G1086" s="36">
        <v>2400</v>
      </c>
      <c r="H1086" s="36">
        <v>2760</v>
      </c>
      <c r="I1086" s="37">
        <v>0</v>
      </c>
      <c r="J1086" s="37">
        <v>0</v>
      </c>
    </row>
    <row r="1087" spans="1:10" x14ac:dyDescent="0.25">
      <c r="A1087" t="s">
        <v>2622</v>
      </c>
      <c r="B1087" t="s">
        <v>2623</v>
      </c>
      <c r="C1087" t="s">
        <v>1231</v>
      </c>
      <c r="D1087" t="s">
        <v>371</v>
      </c>
      <c r="E1087" s="36">
        <v>5000</v>
      </c>
      <c r="F1087" s="36">
        <v>6000</v>
      </c>
      <c r="G1087" s="36">
        <v>3000</v>
      </c>
      <c r="H1087" s="36">
        <v>3600</v>
      </c>
      <c r="I1087" s="37">
        <v>0</v>
      </c>
      <c r="J1087" s="37">
        <v>0</v>
      </c>
    </row>
    <row r="1088" spans="1:10" x14ac:dyDescent="0.25">
      <c r="A1088" t="s">
        <v>2624</v>
      </c>
      <c r="B1088" t="s">
        <v>2625</v>
      </c>
      <c r="C1088" t="s">
        <v>1231</v>
      </c>
      <c r="D1088" t="s">
        <v>371</v>
      </c>
      <c r="E1088" s="36">
        <v>8000</v>
      </c>
      <c r="F1088" s="36">
        <v>9500</v>
      </c>
      <c r="G1088" s="36">
        <v>4800</v>
      </c>
      <c r="H1088" s="36">
        <v>5700</v>
      </c>
      <c r="I1088" s="37">
        <v>0</v>
      </c>
      <c r="J1088" s="37">
        <v>0</v>
      </c>
    </row>
    <row r="1089" spans="1:10" x14ac:dyDescent="0.25">
      <c r="A1089" t="s">
        <v>2626</v>
      </c>
      <c r="B1089" t="s">
        <v>2627</v>
      </c>
      <c r="C1089" t="s">
        <v>89</v>
      </c>
      <c r="D1089" t="s">
        <v>371</v>
      </c>
      <c r="E1089" s="36">
        <v>750</v>
      </c>
      <c r="F1089" s="36">
        <v>900</v>
      </c>
      <c r="G1089" s="36">
        <v>450</v>
      </c>
      <c r="H1089" s="36">
        <v>540</v>
      </c>
      <c r="I1089" s="37">
        <v>0</v>
      </c>
      <c r="J1089" s="37">
        <v>0</v>
      </c>
    </row>
    <row r="1090" spans="1:10" x14ac:dyDescent="0.25">
      <c r="A1090" t="s">
        <v>2628</v>
      </c>
      <c r="B1090" t="s">
        <v>2629</v>
      </c>
      <c r="C1090" t="s">
        <v>101</v>
      </c>
      <c r="D1090" t="s">
        <v>375</v>
      </c>
      <c r="E1090" s="36">
        <v>3500</v>
      </c>
      <c r="F1090" s="36">
        <v>4000</v>
      </c>
      <c r="G1090" s="36">
        <v>2100</v>
      </c>
      <c r="H1090" s="36">
        <v>2400</v>
      </c>
      <c r="I1090" s="37">
        <v>0</v>
      </c>
      <c r="J1090" s="37">
        <v>0</v>
      </c>
    </row>
    <row r="1091" spans="1:10" x14ac:dyDescent="0.25">
      <c r="A1091" t="s">
        <v>2630</v>
      </c>
      <c r="B1091" t="s">
        <v>2631</v>
      </c>
      <c r="C1091" t="s">
        <v>101</v>
      </c>
      <c r="D1091" t="s">
        <v>375</v>
      </c>
      <c r="E1091" s="36">
        <v>4000</v>
      </c>
      <c r="F1091" s="36">
        <v>4600</v>
      </c>
      <c r="G1091" s="36">
        <v>2400</v>
      </c>
      <c r="H1091" s="36">
        <v>2760</v>
      </c>
      <c r="I1091" s="37">
        <v>0</v>
      </c>
      <c r="J1091" s="37">
        <v>0</v>
      </c>
    </row>
    <row r="1092" spans="1:10" x14ac:dyDescent="0.25">
      <c r="A1092" t="s">
        <v>2632</v>
      </c>
      <c r="B1092" t="s">
        <v>2633</v>
      </c>
      <c r="C1092" t="s">
        <v>101</v>
      </c>
      <c r="D1092" t="s">
        <v>375</v>
      </c>
      <c r="E1092" s="36">
        <v>4500</v>
      </c>
      <c r="F1092" s="36">
        <v>5200</v>
      </c>
      <c r="G1092" s="36">
        <v>2790</v>
      </c>
      <c r="H1092" s="36">
        <v>3224</v>
      </c>
      <c r="I1092" s="37">
        <v>0</v>
      </c>
      <c r="J1092" s="37">
        <v>0</v>
      </c>
    </row>
    <row r="1093" spans="1:10" x14ac:dyDescent="0.25">
      <c r="A1093" t="s">
        <v>2634</v>
      </c>
      <c r="B1093" t="s">
        <v>2635</v>
      </c>
      <c r="C1093" t="s">
        <v>101</v>
      </c>
      <c r="D1093" t="s">
        <v>375</v>
      </c>
      <c r="E1093" s="36">
        <v>5000</v>
      </c>
      <c r="F1093" s="36">
        <v>5800</v>
      </c>
      <c r="G1093" s="36">
        <v>3100</v>
      </c>
      <c r="H1093" s="36">
        <v>3596</v>
      </c>
      <c r="I1093" s="37">
        <v>0</v>
      </c>
      <c r="J1093" s="37">
        <v>0</v>
      </c>
    </row>
    <row r="1094" spans="1:10" x14ac:dyDescent="0.25">
      <c r="A1094" t="s">
        <v>2636</v>
      </c>
      <c r="B1094" t="s">
        <v>2637</v>
      </c>
      <c r="C1094" t="s">
        <v>101</v>
      </c>
      <c r="D1094" t="s">
        <v>375</v>
      </c>
      <c r="E1094" s="36">
        <v>3000</v>
      </c>
      <c r="F1094" s="36">
        <v>3500</v>
      </c>
      <c r="G1094" s="36">
        <v>1860</v>
      </c>
      <c r="H1094" s="36">
        <v>2170</v>
      </c>
      <c r="I1094" s="37">
        <v>0</v>
      </c>
      <c r="J1094" s="37">
        <v>0</v>
      </c>
    </row>
    <row r="1095" spans="1:10" x14ac:dyDescent="0.25">
      <c r="A1095" t="s">
        <v>2638</v>
      </c>
      <c r="B1095" t="s">
        <v>2639</v>
      </c>
      <c r="C1095" t="s">
        <v>101</v>
      </c>
      <c r="D1095" t="s">
        <v>375</v>
      </c>
      <c r="E1095" s="36">
        <v>2500</v>
      </c>
      <c r="F1095" s="36">
        <v>2900</v>
      </c>
      <c r="G1095" s="36">
        <v>1550</v>
      </c>
      <c r="H1095" s="36">
        <v>1798</v>
      </c>
      <c r="I1095" s="37">
        <v>0</v>
      </c>
      <c r="J1095" s="37">
        <v>0</v>
      </c>
    </row>
    <row r="1096" spans="1:10" x14ac:dyDescent="0.25">
      <c r="A1096" t="s">
        <v>2640</v>
      </c>
      <c r="B1096" t="s">
        <v>2641</v>
      </c>
      <c r="C1096" t="s">
        <v>229</v>
      </c>
      <c r="D1096" t="s">
        <v>371</v>
      </c>
      <c r="E1096" s="36">
        <v>200</v>
      </c>
      <c r="F1096" s="36">
        <v>230</v>
      </c>
      <c r="G1096" s="36">
        <v>120</v>
      </c>
      <c r="H1096" s="36">
        <v>138</v>
      </c>
      <c r="I1096" s="37">
        <v>0</v>
      </c>
      <c r="J1096" s="37">
        <v>0</v>
      </c>
    </row>
    <row r="1097" spans="1:10" x14ac:dyDescent="0.25">
      <c r="A1097" t="s">
        <v>2642</v>
      </c>
      <c r="B1097" t="s">
        <v>2643</v>
      </c>
      <c r="C1097" t="s">
        <v>243</v>
      </c>
      <c r="D1097" t="s">
        <v>371</v>
      </c>
      <c r="E1097" s="36">
        <v>9067</v>
      </c>
      <c r="F1097" s="36">
        <v>10880</v>
      </c>
      <c r="G1097" s="36">
        <v>5400</v>
      </c>
      <c r="H1097" s="36">
        <v>6300</v>
      </c>
      <c r="I1097" s="37">
        <v>7.4444444444443647E-3</v>
      </c>
      <c r="J1097" s="37">
        <v>3.6190476190476113E-2</v>
      </c>
    </row>
    <row r="1098" spans="1:10" x14ac:dyDescent="0.25">
      <c r="A1098" t="s">
        <v>2644</v>
      </c>
      <c r="B1098" t="s">
        <v>2645</v>
      </c>
      <c r="C1098" t="s">
        <v>243</v>
      </c>
      <c r="D1098" t="s">
        <v>371</v>
      </c>
      <c r="E1098" s="36">
        <v>22667</v>
      </c>
      <c r="F1098" s="36">
        <v>27200</v>
      </c>
      <c r="G1098" s="36">
        <v>13200</v>
      </c>
      <c r="H1098" s="36">
        <v>15600</v>
      </c>
      <c r="I1098" s="37">
        <v>3.0318181818181911E-2</v>
      </c>
      <c r="J1098" s="37">
        <v>4.6153846153846212E-2</v>
      </c>
    </row>
    <row r="1099" spans="1:10" x14ac:dyDescent="0.25">
      <c r="A1099" t="s">
        <v>2646</v>
      </c>
      <c r="B1099" t="s">
        <v>2647</v>
      </c>
      <c r="C1099" t="s">
        <v>243</v>
      </c>
      <c r="D1099" t="s">
        <v>371</v>
      </c>
      <c r="E1099" s="36">
        <v>15867</v>
      </c>
      <c r="F1099" s="36">
        <v>19040</v>
      </c>
      <c r="G1099" s="36">
        <v>9000</v>
      </c>
      <c r="H1099" s="36">
        <v>10500</v>
      </c>
      <c r="I1099" s="37">
        <v>5.7800000000000067E-2</v>
      </c>
      <c r="J1099" s="37">
        <v>8.8000000000000078E-2</v>
      </c>
    </row>
    <row r="1100" spans="1:10" x14ac:dyDescent="0.25">
      <c r="A1100" t="s">
        <v>2648</v>
      </c>
      <c r="B1100" t="s">
        <v>2649</v>
      </c>
      <c r="C1100" t="s">
        <v>101</v>
      </c>
      <c r="D1100" t="s">
        <v>375</v>
      </c>
      <c r="E1100" s="36">
        <v>4500</v>
      </c>
      <c r="F1100" s="36">
        <v>5200</v>
      </c>
      <c r="G1100" s="36">
        <v>2790</v>
      </c>
      <c r="H1100" s="36">
        <v>3224</v>
      </c>
      <c r="I1100" s="37">
        <v>0</v>
      </c>
      <c r="J1100" s="37">
        <v>0</v>
      </c>
    </row>
    <row r="1101" spans="1:10" x14ac:dyDescent="0.25">
      <c r="A1101" t="s">
        <v>2650</v>
      </c>
      <c r="B1101" t="s">
        <v>2651</v>
      </c>
      <c r="C1101" t="s">
        <v>101</v>
      </c>
      <c r="D1101" t="s">
        <v>375</v>
      </c>
      <c r="E1101" s="36">
        <v>3500</v>
      </c>
      <c r="F1101" s="36">
        <v>4000</v>
      </c>
      <c r="G1101" s="36">
        <v>2170</v>
      </c>
      <c r="H1101" s="36">
        <v>2480</v>
      </c>
      <c r="I1101" s="37">
        <v>0</v>
      </c>
      <c r="J1101" s="37">
        <v>0</v>
      </c>
    </row>
    <row r="1102" spans="1:10" x14ac:dyDescent="0.25">
      <c r="A1102" t="s">
        <v>2652</v>
      </c>
      <c r="B1102" t="s">
        <v>2653</v>
      </c>
      <c r="C1102" t="s">
        <v>101</v>
      </c>
      <c r="D1102" t="s">
        <v>375</v>
      </c>
      <c r="E1102" s="36">
        <v>4500</v>
      </c>
      <c r="F1102" s="36">
        <v>5200</v>
      </c>
      <c r="G1102" s="36">
        <v>2790</v>
      </c>
      <c r="H1102" s="36">
        <v>3224</v>
      </c>
      <c r="I1102" s="37">
        <v>0</v>
      </c>
      <c r="J1102" s="37">
        <v>0</v>
      </c>
    </row>
    <row r="1103" spans="1:10" x14ac:dyDescent="0.25">
      <c r="A1103" t="s">
        <v>2654</v>
      </c>
      <c r="B1103" t="s">
        <v>2655</v>
      </c>
      <c r="C1103" t="s">
        <v>101</v>
      </c>
      <c r="D1103" t="s">
        <v>375</v>
      </c>
      <c r="E1103" s="36">
        <v>6000</v>
      </c>
      <c r="F1103" s="36">
        <v>6900</v>
      </c>
      <c r="G1103" s="36">
        <v>3720</v>
      </c>
      <c r="H1103" s="36">
        <v>4278</v>
      </c>
      <c r="I1103" s="37">
        <v>0</v>
      </c>
      <c r="J1103" s="37">
        <v>0</v>
      </c>
    </row>
    <row r="1104" spans="1:10" x14ac:dyDescent="0.25">
      <c r="A1104" t="s">
        <v>2656</v>
      </c>
      <c r="B1104" t="s">
        <v>2657</v>
      </c>
      <c r="C1104" t="s">
        <v>229</v>
      </c>
      <c r="D1104" t="s">
        <v>375</v>
      </c>
      <c r="E1104" s="36">
        <v>320</v>
      </c>
      <c r="F1104" s="36">
        <v>384</v>
      </c>
      <c r="G1104" s="36">
        <v>180</v>
      </c>
      <c r="H1104" s="36">
        <v>210</v>
      </c>
      <c r="I1104" s="37">
        <v>6.6666666666666652E-2</v>
      </c>
      <c r="J1104" s="37">
        <v>9.7142857142857197E-2</v>
      </c>
    </row>
    <row r="1105" spans="1:10" x14ac:dyDescent="0.25">
      <c r="A1105" t="s">
        <v>2658</v>
      </c>
      <c r="B1105" t="s">
        <v>2659</v>
      </c>
      <c r="C1105" t="s">
        <v>229</v>
      </c>
      <c r="D1105" t="s">
        <v>375</v>
      </c>
      <c r="E1105" s="36">
        <v>250</v>
      </c>
      <c r="F1105" s="36">
        <v>300</v>
      </c>
      <c r="G1105" s="36">
        <v>150</v>
      </c>
      <c r="H1105" s="36">
        <v>180</v>
      </c>
      <c r="I1105" s="37">
        <v>0</v>
      </c>
      <c r="J1105" s="37">
        <v>0</v>
      </c>
    </row>
    <row r="1106" spans="1:10" x14ac:dyDescent="0.25">
      <c r="A1106" t="s">
        <v>2660</v>
      </c>
      <c r="B1106" t="s">
        <v>2661</v>
      </c>
      <c r="C1106" t="s">
        <v>101</v>
      </c>
      <c r="D1106" t="s">
        <v>375</v>
      </c>
      <c r="E1106" s="36">
        <v>38000</v>
      </c>
      <c r="F1106" s="36">
        <v>44000</v>
      </c>
      <c r="G1106" s="36">
        <v>22800</v>
      </c>
      <c r="H1106" s="36">
        <v>26400</v>
      </c>
      <c r="I1106" s="37">
        <v>0</v>
      </c>
      <c r="J1106" s="37">
        <v>0</v>
      </c>
    </row>
    <row r="1107" spans="1:10" x14ac:dyDescent="0.25">
      <c r="A1107" t="s">
        <v>2662</v>
      </c>
      <c r="B1107" t="s">
        <v>2663</v>
      </c>
      <c r="C1107" t="s">
        <v>101</v>
      </c>
      <c r="D1107" t="s">
        <v>375</v>
      </c>
      <c r="E1107" s="36">
        <v>54000</v>
      </c>
      <c r="F1107" s="36">
        <v>62000</v>
      </c>
      <c r="G1107" s="36">
        <v>32400</v>
      </c>
      <c r="H1107" s="36">
        <v>37200</v>
      </c>
      <c r="I1107" s="37">
        <v>0</v>
      </c>
      <c r="J1107" s="37">
        <v>0</v>
      </c>
    </row>
    <row r="1108" spans="1:10" x14ac:dyDescent="0.25">
      <c r="A1108" t="s">
        <v>2664</v>
      </c>
      <c r="B1108" t="s">
        <v>2665</v>
      </c>
      <c r="C1108" t="s">
        <v>101</v>
      </c>
      <c r="D1108" t="s">
        <v>375</v>
      </c>
      <c r="E1108" s="36">
        <v>70000</v>
      </c>
      <c r="F1108" s="36">
        <v>80000</v>
      </c>
      <c r="G1108" s="36">
        <v>42000</v>
      </c>
      <c r="H1108" s="36">
        <v>48000</v>
      </c>
      <c r="I1108" s="37">
        <v>0</v>
      </c>
      <c r="J1108" s="37">
        <v>0</v>
      </c>
    </row>
    <row r="1109" spans="1:10" x14ac:dyDescent="0.25">
      <c r="A1109" t="s">
        <v>2666</v>
      </c>
      <c r="B1109" t="s">
        <v>2667</v>
      </c>
      <c r="C1109" t="s">
        <v>101</v>
      </c>
      <c r="D1109" t="s">
        <v>375</v>
      </c>
      <c r="E1109" s="36">
        <v>7000</v>
      </c>
      <c r="F1109" s="36">
        <v>8000</v>
      </c>
      <c r="G1109" s="36">
        <v>4340</v>
      </c>
      <c r="H1109" s="36">
        <v>4960</v>
      </c>
      <c r="I1109" s="37">
        <v>0</v>
      </c>
      <c r="J1109" s="37">
        <v>0</v>
      </c>
    </row>
    <row r="1110" spans="1:10" x14ac:dyDescent="0.25">
      <c r="A1110" t="s">
        <v>2668</v>
      </c>
      <c r="B1110" t="s">
        <v>2669</v>
      </c>
      <c r="C1110" t="s">
        <v>101</v>
      </c>
      <c r="D1110" t="s">
        <v>375</v>
      </c>
      <c r="E1110" s="36">
        <v>8500</v>
      </c>
      <c r="F1110" s="36">
        <v>9800</v>
      </c>
      <c r="G1110" s="36">
        <v>5270</v>
      </c>
      <c r="H1110" s="36">
        <v>6076</v>
      </c>
      <c r="I1110" s="37">
        <v>0</v>
      </c>
      <c r="J1110" s="37">
        <v>0</v>
      </c>
    </row>
    <row r="1111" spans="1:10" x14ac:dyDescent="0.25">
      <c r="A1111" t="s">
        <v>2670</v>
      </c>
      <c r="B1111" t="s">
        <v>2671</v>
      </c>
      <c r="C1111" t="s">
        <v>101</v>
      </c>
      <c r="D1111" t="s">
        <v>375</v>
      </c>
      <c r="E1111" s="36">
        <v>11000</v>
      </c>
      <c r="F1111" s="36">
        <v>12500</v>
      </c>
      <c r="G1111" s="36">
        <v>6820</v>
      </c>
      <c r="H1111" s="36">
        <v>7750</v>
      </c>
      <c r="I1111" s="37">
        <v>0</v>
      </c>
      <c r="J1111" s="37">
        <v>0</v>
      </c>
    </row>
    <row r="1112" spans="1:10" x14ac:dyDescent="0.25">
      <c r="A1112" t="s">
        <v>2672</v>
      </c>
      <c r="B1112" t="s">
        <v>2673</v>
      </c>
      <c r="C1112" t="s">
        <v>101</v>
      </c>
      <c r="D1112" t="s">
        <v>371</v>
      </c>
      <c r="E1112" s="36">
        <v>900</v>
      </c>
      <c r="F1112" s="36">
        <v>1000</v>
      </c>
      <c r="G1112" s="36">
        <v>540</v>
      </c>
      <c r="H1112" s="36">
        <v>600</v>
      </c>
      <c r="I1112" s="37">
        <v>0</v>
      </c>
      <c r="J1112" s="37">
        <v>0</v>
      </c>
    </row>
    <row r="1113" spans="1:10" x14ac:dyDescent="0.25">
      <c r="A1113" t="s">
        <v>2674</v>
      </c>
      <c r="B1113" t="s">
        <v>2675</v>
      </c>
      <c r="C1113" t="s">
        <v>101</v>
      </c>
      <c r="D1113" t="s">
        <v>375</v>
      </c>
      <c r="E1113" s="36">
        <v>2500</v>
      </c>
      <c r="F1113" s="36">
        <v>2900</v>
      </c>
      <c r="G1113" s="36">
        <v>1500</v>
      </c>
      <c r="H1113" s="36">
        <v>1740</v>
      </c>
      <c r="I1113" s="37">
        <v>0</v>
      </c>
      <c r="J1113" s="37">
        <v>0</v>
      </c>
    </row>
    <row r="1114" spans="1:10" x14ac:dyDescent="0.25">
      <c r="A1114" t="s">
        <v>2676</v>
      </c>
      <c r="B1114" t="s">
        <v>2677</v>
      </c>
      <c r="C1114" t="s">
        <v>101</v>
      </c>
      <c r="D1114" t="s">
        <v>375</v>
      </c>
      <c r="E1114" s="36">
        <v>2500</v>
      </c>
      <c r="F1114" s="36">
        <v>2900</v>
      </c>
      <c r="G1114" s="36">
        <v>1500</v>
      </c>
      <c r="H1114" s="36">
        <v>1740</v>
      </c>
      <c r="I1114" s="37">
        <v>0</v>
      </c>
      <c r="J1114" s="37">
        <v>0</v>
      </c>
    </row>
    <row r="1115" spans="1:10" x14ac:dyDescent="0.25">
      <c r="A1115" t="s">
        <v>2678</v>
      </c>
      <c r="B1115" t="s">
        <v>2679</v>
      </c>
      <c r="C1115" t="s">
        <v>101</v>
      </c>
      <c r="D1115" t="s">
        <v>371</v>
      </c>
      <c r="E1115" s="36">
        <v>3500</v>
      </c>
      <c r="F1115" s="36">
        <v>4000</v>
      </c>
      <c r="G1115" s="36">
        <v>2100</v>
      </c>
      <c r="H1115" s="36">
        <v>2400</v>
      </c>
      <c r="I1115" s="37">
        <v>0</v>
      </c>
      <c r="J1115" s="37">
        <v>0</v>
      </c>
    </row>
    <row r="1116" spans="1:10" x14ac:dyDescent="0.25">
      <c r="A1116" t="s">
        <v>2680</v>
      </c>
      <c r="B1116" t="s">
        <v>2681</v>
      </c>
      <c r="C1116" t="s">
        <v>101</v>
      </c>
      <c r="D1116" t="s">
        <v>371</v>
      </c>
      <c r="E1116" s="36">
        <v>3500</v>
      </c>
      <c r="F1116" s="36">
        <v>4200</v>
      </c>
      <c r="G1116" s="36">
        <v>2100</v>
      </c>
      <c r="H1116" s="36">
        <v>2520</v>
      </c>
      <c r="I1116" s="37">
        <v>0</v>
      </c>
      <c r="J1116" s="37">
        <v>0</v>
      </c>
    </row>
    <row r="1117" spans="1:10" x14ac:dyDescent="0.25">
      <c r="A1117" t="s">
        <v>2682</v>
      </c>
      <c r="B1117" t="s">
        <v>2683</v>
      </c>
      <c r="C1117" t="s">
        <v>101</v>
      </c>
      <c r="D1117" t="s">
        <v>375</v>
      </c>
      <c r="E1117" s="36">
        <v>1500</v>
      </c>
      <c r="F1117" s="36">
        <v>1700</v>
      </c>
      <c r="G1117" s="36">
        <v>930</v>
      </c>
      <c r="H1117" s="36">
        <v>1054</v>
      </c>
      <c r="I1117" s="37">
        <v>0</v>
      </c>
      <c r="J1117" s="37">
        <v>0</v>
      </c>
    </row>
    <row r="1118" spans="1:10" x14ac:dyDescent="0.25">
      <c r="A1118" t="s">
        <v>2684</v>
      </c>
      <c r="B1118" t="s">
        <v>2685</v>
      </c>
      <c r="C1118" t="s">
        <v>101</v>
      </c>
      <c r="D1118" t="s">
        <v>375</v>
      </c>
      <c r="E1118" s="36">
        <v>2200</v>
      </c>
      <c r="F1118" s="36">
        <v>2600</v>
      </c>
      <c r="G1118" s="36">
        <v>1364</v>
      </c>
      <c r="H1118" s="36">
        <v>1612</v>
      </c>
      <c r="I1118" s="37">
        <v>0</v>
      </c>
      <c r="J1118" s="37">
        <v>0</v>
      </c>
    </row>
    <row r="1119" spans="1:10" x14ac:dyDescent="0.25">
      <c r="A1119" t="s">
        <v>2686</v>
      </c>
      <c r="B1119" t="s">
        <v>2687</v>
      </c>
      <c r="C1119" t="s">
        <v>101</v>
      </c>
      <c r="D1119" t="s">
        <v>375</v>
      </c>
      <c r="E1119" s="36">
        <v>2500</v>
      </c>
      <c r="F1119" s="36">
        <v>3000</v>
      </c>
      <c r="G1119" s="36">
        <v>1500</v>
      </c>
      <c r="H1119" s="36">
        <v>1800</v>
      </c>
      <c r="I1119" s="37">
        <v>0</v>
      </c>
      <c r="J1119" s="37">
        <v>0</v>
      </c>
    </row>
    <row r="1120" spans="1:10" x14ac:dyDescent="0.25">
      <c r="A1120" t="s">
        <v>2688</v>
      </c>
      <c r="B1120" t="s">
        <v>2689</v>
      </c>
      <c r="C1120" t="s">
        <v>101</v>
      </c>
      <c r="D1120" t="s">
        <v>375</v>
      </c>
      <c r="E1120" s="36">
        <v>1500</v>
      </c>
      <c r="F1120" s="36">
        <v>1800</v>
      </c>
      <c r="G1120" s="36">
        <v>900</v>
      </c>
      <c r="H1120" s="36">
        <v>1080</v>
      </c>
      <c r="I1120" s="37">
        <v>0</v>
      </c>
      <c r="J1120" s="37">
        <v>0</v>
      </c>
    </row>
    <row r="1121" spans="1:10" x14ac:dyDescent="0.25">
      <c r="A1121" t="s">
        <v>2690</v>
      </c>
      <c r="B1121" t="s">
        <v>2691</v>
      </c>
      <c r="C1121" t="s">
        <v>89</v>
      </c>
      <c r="D1121" t="s">
        <v>371</v>
      </c>
      <c r="E1121" s="36">
        <v>851</v>
      </c>
      <c r="F1121" s="36">
        <v>1020</v>
      </c>
      <c r="G1121" s="36">
        <v>527</v>
      </c>
      <c r="H1121" s="36">
        <v>589</v>
      </c>
      <c r="I1121" s="37">
        <v>1.1764705882353339E-3</v>
      </c>
      <c r="J1121" s="37">
        <v>7.3684210526315796E-2</v>
      </c>
    </row>
    <row r="1122" spans="1:10" x14ac:dyDescent="0.25">
      <c r="A1122" t="s">
        <v>2692</v>
      </c>
      <c r="B1122" t="s">
        <v>2693</v>
      </c>
      <c r="C1122" t="s">
        <v>89</v>
      </c>
      <c r="D1122" t="s">
        <v>371</v>
      </c>
      <c r="E1122" s="36">
        <v>964</v>
      </c>
      <c r="F1122" s="36">
        <v>1156</v>
      </c>
      <c r="G1122" s="36">
        <v>558</v>
      </c>
      <c r="H1122" s="36">
        <v>620</v>
      </c>
      <c r="I1122" s="37">
        <v>7.1111111111111125E-2</v>
      </c>
      <c r="J1122" s="37">
        <v>0.15599999999999989</v>
      </c>
    </row>
    <row r="1123" spans="1:10" x14ac:dyDescent="0.25">
      <c r="A1123" t="s">
        <v>2694</v>
      </c>
      <c r="B1123" t="s">
        <v>2695</v>
      </c>
      <c r="C1123" t="s">
        <v>89</v>
      </c>
      <c r="D1123" t="s">
        <v>371</v>
      </c>
      <c r="E1123" s="36">
        <v>800</v>
      </c>
      <c r="F1123" s="36">
        <v>952</v>
      </c>
      <c r="G1123" s="36">
        <v>496</v>
      </c>
      <c r="H1123" s="36">
        <v>558</v>
      </c>
      <c r="I1123" s="37">
        <v>0</v>
      </c>
      <c r="J1123" s="37">
        <v>5.7777777777777713E-2</v>
      </c>
    </row>
    <row r="1124" spans="1:10" x14ac:dyDescent="0.25">
      <c r="A1124" t="s">
        <v>2696</v>
      </c>
      <c r="B1124" t="s">
        <v>2697</v>
      </c>
      <c r="C1124" t="s">
        <v>89</v>
      </c>
      <c r="D1124" t="s">
        <v>371</v>
      </c>
      <c r="E1124" s="36">
        <v>800</v>
      </c>
      <c r="F1124" s="36">
        <v>900</v>
      </c>
      <c r="G1124" s="36">
        <v>496</v>
      </c>
      <c r="H1124" s="36">
        <v>558</v>
      </c>
      <c r="I1124" s="37">
        <v>0</v>
      </c>
      <c r="J1124" s="37">
        <v>0</v>
      </c>
    </row>
    <row r="1125" spans="1:10" x14ac:dyDescent="0.25">
      <c r="A1125" t="s">
        <v>2698</v>
      </c>
      <c r="B1125" t="s">
        <v>2699</v>
      </c>
      <c r="C1125" t="s">
        <v>89</v>
      </c>
      <c r="D1125" t="s">
        <v>371</v>
      </c>
      <c r="E1125" s="36">
        <v>780</v>
      </c>
      <c r="F1125" s="36">
        <v>880</v>
      </c>
      <c r="G1125" s="36">
        <v>484</v>
      </c>
      <c r="H1125" s="36">
        <v>546</v>
      </c>
      <c r="I1125" s="37">
        <v>0</v>
      </c>
      <c r="J1125" s="37">
        <v>0</v>
      </c>
    </row>
    <row r="1126" spans="1:10" x14ac:dyDescent="0.25">
      <c r="A1126" t="s">
        <v>2700</v>
      </c>
      <c r="B1126" t="s">
        <v>2701</v>
      </c>
      <c r="C1126" t="s">
        <v>89</v>
      </c>
      <c r="D1126" t="s">
        <v>371</v>
      </c>
      <c r="E1126" s="36">
        <v>850</v>
      </c>
      <c r="F1126" s="36">
        <v>980</v>
      </c>
      <c r="G1126" s="36">
        <v>527</v>
      </c>
      <c r="H1126" s="36">
        <v>608</v>
      </c>
      <c r="I1126" s="37">
        <v>0</v>
      </c>
      <c r="J1126" s="37">
        <v>0</v>
      </c>
    </row>
    <row r="1127" spans="1:10" x14ac:dyDescent="0.25">
      <c r="A1127" t="s">
        <v>2702</v>
      </c>
      <c r="B1127" t="s">
        <v>2703</v>
      </c>
      <c r="C1127" t="s">
        <v>89</v>
      </c>
      <c r="D1127" t="s">
        <v>371</v>
      </c>
      <c r="E1127" s="36">
        <v>850</v>
      </c>
      <c r="F1127" s="36">
        <v>980</v>
      </c>
      <c r="G1127" s="36">
        <v>527</v>
      </c>
      <c r="H1127" s="36">
        <v>608</v>
      </c>
      <c r="I1127" s="37">
        <v>0</v>
      </c>
      <c r="J1127" s="37">
        <v>0</v>
      </c>
    </row>
    <row r="1128" spans="1:10" x14ac:dyDescent="0.25">
      <c r="A1128" t="s">
        <v>2704</v>
      </c>
      <c r="B1128" t="s">
        <v>2705</v>
      </c>
      <c r="C1128" t="s">
        <v>89</v>
      </c>
      <c r="D1128" t="s">
        <v>371</v>
      </c>
      <c r="E1128" s="36">
        <v>1000</v>
      </c>
      <c r="F1128" s="36">
        <v>1150</v>
      </c>
      <c r="G1128" s="36">
        <v>620</v>
      </c>
      <c r="H1128" s="36">
        <v>713</v>
      </c>
      <c r="I1128" s="37">
        <v>0</v>
      </c>
      <c r="J1128" s="37">
        <v>0</v>
      </c>
    </row>
    <row r="1129" spans="1:10" x14ac:dyDescent="0.25">
      <c r="A1129" t="s">
        <v>2706</v>
      </c>
      <c r="B1129" t="s">
        <v>2707</v>
      </c>
      <c r="C1129" t="s">
        <v>89</v>
      </c>
      <c r="D1129" t="s">
        <v>371</v>
      </c>
      <c r="E1129" s="36">
        <v>1000</v>
      </c>
      <c r="F1129" s="36">
        <v>1150</v>
      </c>
      <c r="G1129" s="36">
        <v>620</v>
      </c>
      <c r="H1129" s="36">
        <v>713</v>
      </c>
      <c r="I1129" s="37">
        <v>0</v>
      </c>
      <c r="J1129" s="37">
        <v>0</v>
      </c>
    </row>
    <row r="1130" spans="1:10" x14ac:dyDescent="0.25">
      <c r="A1130" t="s">
        <v>2708</v>
      </c>
      <c r="B1130" t="s">
        <v>2709</v>
      </c>
      <c r="C1130" t="s">
        <v>89</v>
      </c>
      <c r="D1130" t="s">
        <v>371</v>
      </c>
      <c r="E1130" s="36">
        <v>900</v>
      </c>
      <c r="F1130" s="36">
        <v>1050</v>
      </c>
      <c r="G1130" s="36">
        <v>558</v>
      </c>
      <c r="H1130" s="36">
        <v>651</v>
      </c>
      <c r="I1130" s="37">
        <v>0</v>
      </c>
      <c r="J1130" s="37">
        <v>0</v>
      </c>
    </row>
    <row r="1131" spans="1:10" x14ac:dyDescent="0.25">
      <c r="A1131" t="s">
        <v>2710</v>
      </c>
      <c r="B1131" t="s">
        <v>2711</v>
      </c>
      <c r="C1131" t="s">
        <v>89</v>
      </c>
      <c r="D1131" t="s">
        <v>371</v>
      </c>
      <c r="E1131" s="36">
        <v>1100</v>
      </c>
      <c r="F1131" s="36">
        <v>1250</v>
      </c>
      <c r="G1131" s="36">
        <v>682</v>
      </c>
      <c r="H1131" s="36">
        <v>775</v>
      </c>
      <c r="I1131" s="37">
        <v>0</v>
      </c>
      <c r="J1131" s="37">
        <v>0</v>
      </c>
    </row>
    <row r="1132" spans="1:10" x14ac:dyDescent="0.25">
      <c r="A1132" t="s">
        <v>2712</v>
      </c>
      <c r="B1132" t="s">
        <v>2713</v>
      </c>
      <c r="C1132" t="s">
        <v>89</v>
      </c>
      <c r="D1132" t="s">
        <v>371</v>
      </c>
      <c r="E1132" s="36">
        <v>1150</v>
      </c>
      <c r="F1132" s="36">
        <v>1300</v>
      </c>
      <c r="G1132" s="36">
        <v>713</v>
      </c>
      <c r="H1132" s="36">
        <v>806</v>
      </c>
      <c r="I1132" s="37">
        <v>0</v>
      </c>
      <c r="J1132" s="37">
        <v>0</v>
      </c>
    </row>
    <row r="1133" spans="1:10" x14ac:dyDescent="0.25">
      <c r="A1133" t="s">
        <v>2714</v>
      </c>
      <c r="B1133" t="s">
        <v>2715</v>
      </c>
      <c r="C1133" t="s">
        <v>89</v>
      </c>
      <c r="D1133" t="s">
        <v>371</v>
      </c>
      <c r="E1133" s="36">
        <v>1150</v>
      </c>
      <c r="F1133" s="36">
        <v>1360</v>
      </c>
      <c r="G1133" s="36">
        <v>713</v>
      </c>
      <c r="H1133" s="36">
        <v>806</v>
      </c>
      <c r="I1133" s="37">
        <v>0</v>
      </c>
      <c r="J1133" s="37">
        <v>4.6153846153846212E-2</v>
      </c>
    </row>
    <row r="1134" spans="1:10" x14ac:dyDescent="0.25">
      <c r="A1134" t="s">
        <v>2716</v>
      </c>
      <c r="B1134" t="s">
        <v>2717</v>
      </c>
      <c r="C1134" t="s">
        <v>89</v>
      </c>
      <c r="D1134" t="s">
        <v>371</v>
      </c>
      <c r="E1134" s="36">
        <v>1200</v>
      </c>
      <c r="F1134" s="36">
        <v>1428</v>
      </c>
      <c r="G1134" s="36">
        <v>744</v>
      </c>
      <c r="H1134" s="36">
        <v>837</v>
      </c>
      <c r="I1134" s="37">
        <v>0</v>
      </c>
      <c r="J1134" s="37">
        <v>5.7777777777777713E-2</v>
      </c>
    </row>
    <row r="1135" spans="1:10" x14ac:dyDescent="0.25">
      <c r="A1135" t="s">
        <v>2718</v>
      </c>
      <c r="B1135" t="s">
        <v>2719</v>
      </c>
      <c r="C1135" t="s">
        <v>89</v>
      </c>
      <c r="D1135" t="s">
        <v>371</v>
      </c>
      <c r="E1135" s="36">
        <v>1250</v>
      </c>
      <c r="F1135" s="36">
        <v>1496</v>
      </c>
      <c r="G1135" s="36">
        <v>775</v>
      </c>
      <c r="H1135" s="36">
        <v>899</v>
      </c>
      <c r="I1135" s="37">
        <v>0</v>
      </c>
      <c r="J1135" s="37">
        <v>3.1724137931034457E-2</v>
      </c>
    </row>
    <row r="1136" spans="1:10" x14ac:dyDescent="0.25">
      <c r="A1136" t="s">
        <v>2720</v>
      </c>
      <c r="B1136" t="s">
        <v>2721</v>
      </c>
      <c r="C1136" t="s">
        <v>89</v>
      </c>
      <c r="D1136" t="s">
        <v>371</v>
      </c>
      <c r="E1136" s="36">
        <v>1304</v>
      </c>
      <c r="F1136" s="36">
        <v>1564</v>
      </c>
      <c r="G1136" s="36">
        <v>806</v>
      </c>
      <c r="H1136" s="36">
        <v>930</v>
      </c>
      <c r="I1136" s="37">
        <v>3.0769230769229772E-3</v>
      </c>
      <c r="J1136" s="37">
        <v>4.2666666666666631E-2</v>
      </c>
    </row>
    <row r="1137" spans="1:10" x14ac:dyDescent="0.25">
      <c r="A1137" t="s">
        <v>2722</v>
      </c>
      <c r="B1137" t="s">
        <v>2723</v>
      </c>
      <c r="C1137" t="s">
        <v>229</v>
      </c>
      <c r="D1137" t="s">
        <v>375</v>
      </c>
      <c r="E1137" s="36">
        <v>720</v>
      </c>
      <c r="F1137" s="36">
        <v>864</v>
      </c>
      <c r="G1137" s="36">
        <v>434</v>
      </c>
      <c r="H1137" s="36">
        <v>496</v>
      </c>
      <c r="I1137" s="37">
        <v>2.857142857142847E-2</v>
      </c>
      <c r="J1137" s="37">
        <v>8.0000000000000071E-2</v>
      </c>
    </row>
    <row r="1138" spans="1:10" x14ac:dyDescent="0.25">
      <c r="A1138" t="s">
        <v>2724</v>
      </c>
      <c r="B1138" t="s">
        <v>2725</v>
      </c>
      <c r="C1138" t="s">
        <v>229</v>
      </c>
      <c r="D1138" t="s">
        <v>375</v>
      </c>
      <c r="E1138" s="36">
        <v>880</v>
      </c>
      <c r="F1138" s="36">
        <v>1056</v>
      </c>
      <c r="G1138" s="36">
        <v>527</v>
      </c>
      <c r="H1138" s="36">
        <v>620</v>
      </c>
      <c r="I1138" s="37">
        <v>3.529411764705892E-2</v>
      </c>
      <c r="J1138" s="37">
        <v>5.600000000000005E-2</v>
      </c>
    </row>
    <row r="1139" spans="1:10" x14ac:dyDescent="0.25">
      <c r="A1139" t="s">
        <v>2726</v>
      </c>
      <c r="B1139" t="s">
        <v>2727</v>
      </c>
      <c r="C1139" t="s">
        <v>229</v>
      </c>
      <c r="D1139" t="s">
        <v>375</v>
      </c>
      <c r="E1139" s="36">
        <v>1120</v>
      </c>
      <c r="F1139" s="36">
        <v>1344</v>
      </c>
      <c r="G1139" s="36">
        <v>682</v>
      </c>
      <c r="H1139" s="36">
        <v>775</v>
      </c>
      <c r="I1139" s="37">
        <v>1.818181818181808E-2</v>
      </c>
      <c r="J1139" s="37">
        <v>7.5199999999999934E-2</v>
      </c>
    </row>
    <row r="1140" spans="1:10" x14ac:dyDescent="0.25">
      <c r="A1140" t="s">
        <v>2728</v>
      </c>
      <c r="B1140" t="s">
        <v>2729</v>
      </c>
      <c r="C1140" t="s">
        <v>229</v>
      </c>
      <c r="D1140" t="s">
        <v>375</v>
      </c>
      <c r="E1140" s="36">
        <v>1440</v>
      </c>
      <c r="F1140" s="36">
        <v>1728</v>
      </c>
      <c r="G1140" s="36">
        <v>868</v>
      </c>
      <c r="H1140" s="36">
        <v>992</v>
      </c>
      <c r="I1140" s="37">
        <v>2.857142857142847E-2</v>
      </c>
      <c r="J1140" s="37">
        <v>8.0000000000000071E-2</v>
      </c>
    </row>
    <row r="1141" spans="1:10" x14ac:dyDescent="0.25">
      <c r="A1141" t="s">
        <v>2730</v>
      </c>
      <c r="B1141" t="s">
        <v>2731</v>
      </c>
      <c r="C1141" t="s">
        <v>101</v>
      </c>
      <c r="D1141" t="s">
        <v>375</v>
      </c>
      <c r="E1141" s="36">
        <v>2500</v>
      </c>
      <c r="F1141" s="36">
        <v>2900</v>
      </c>
      <c r="G1141" s="36">
        <v>1500</v>
      </c>
      <c r="H1141" s="36">
        <v>1740</v>
      </c>
      <c r="I1141" s="37">
        <v>0</v>
      </c>
      <c r="J1141" s="37">
        <v>0</v>
      </c>
    </row>
    <row r="1142" spans="1:10" x14ac:dyDescent="0.25">
      <c r="A1142" t="s">
        <v>2732</v>
      </c>
      <c r="B1142" t="s">
        <v>2733</v>
      </c>
      <c r="C1142" t="s">
        <v>1231</v>
      </c>
      <c r="D1142" t="s">
        <v>375</v>
      </c>
      <c r="E1142" s="36">
        <v>5000</v>
      </c>
      <c r="F1142" s="36">
        <v>5800</v>
      </c>
      <c r="G1142" s="36">
        <v>3000</v>
      </c>
      <c r="H1142" s="36">
        <v>3480</v>
      </c>
      <c r="I1142" s="37">
        <v>0</v>
      </c>
      <c r="J1142" s="37">
        <v>0</v>
      </c>
    </row>
    <row r="1143" spans="1:10" x14ac:dyDescent="0.25">
      <c r="A1143" t="s">
        <v>2734</v>
      </c>
      <c r="B1143" t="s">
        <v>2735</v>
      </c>
      <c r="C1143" t="s">
        <v>1231</v>
      </c>
      <c r="D1143" t="s">
        <v>375</v>
      </c>
      <c r="E1143" s="36">
        <v>6500</v>
      </c>
      <c r="F1143" s="36">
        <v>7500</v>
      </c>
      <c r="G1143" s="36">
        <v>3900</v>
      </c>
      <c r="H1143" s="36">
        <v>4500</v>
      </c>
      <c r="I1143" s="37">
        <v>0</v>
      </c>
      <c r="J1143" s="37">
        <v>0</v>
      </c>
    </row>
    <row r="1144" spans="1:10" x14ac:dyDescent="0.25">
      <c r="A1144" t="s">
        <v>2736</v>
      </c>
      <c r="B1144" t="s">
        <v>2737</v>
      </c>
      <c r="C1144" t="s">
        <v>1231</v>
      </c>
      <c r="D1144" t="s">
        <v>375</v>
      </c>
      <c r="E1144" s="36">
        <v>8000</v>
      </c>
      <c r="F1144" s="36">
        <v>9200</v>
      </c>
      <c r="G1144" s="36">
        <v>4800</v>
      </c>
      <c r="H1144" s="36">
        <v>5520</v>
      </c>
      <c r="I1144" s="37">
        <v>0</v>
      </c>
      <c r="J1144" s="37">
        <v>0</v>
      </c>
    </row>
    <row r="1145" spans="1:10" x14ac:dyDescent="0.25">
      <c r="A1145" t="s">
        <v>2738</v>
      </c>
      <c r="B1145" t="s">
        <v>2739</v>
      </c>
      <c r="C1145" t="s">
        <v>1231</v>
      </c>
      <c r="D1145" t="s">
        <v>375</v>
      </c>
      <c r="E1145" s="36">
        <v>10000</v>
      </c>
      <c r="F1145" s="36">
        <v>11500</v>
      </c>
      <c r="G1145" s="36">
        <v>6000</v>
      </c>
      <c r="H1145" s="36">
        <v>6900</v>
      </c>
      <c r="I1145" s="37">
        <v>0</v>
      </c>
      <c r="J1145" s="37">
        <v>0</v>
      </c>
    </row>
    <row r="1146" spans="1:10" x14ac:dyDescent="0.25">
      <c r="A1146" t="s">
        <v>2740</v>
      </c>
      <c r="B1146" t="s">
        <v>2741</v>
      </c>
      <c r="C1146" t="s">
        <v>89</v>
      </c>
      <c r="D1146" t="s">
        <v>371</v>
      </c>
      <c r="E1146" s="36">
        <v>180</v>
      </c>
      <c r="F1146" s="36">
        <v>210</v>
      </c>
      <c r="G1146" s="36">
        <v>108</v>
      </c>
      <c r="H1146" s="36">
        <v>126</v>
      </c>
      <c r="I1146" s="37">
        <v>0</v>
      </c>
      <c r="J1146" s="37">
        <v>0</v>
      </c>
    </row>
    <row r="1147" spans="1:10" x14ac:dyDescent="0.25">
      <c r="A1147" t="s">
        <v>2742</v>
      </c>
      <c r="B1147" t="s">
        <v>2743</v>
      </c>
      <c r="C1147" t="s">
        <v>101</v>
      </c>
      <c r="D1147" t="s">
        <v>371</v>
      </c>
      <c r="E1147" s="36">
        <v>2000</v>
      </c>
      <c r="F1147" s="36">
        <v>2300</v>
      </c>
      <c r="G1147" s="36">
        <v>1200</v>
      </c>
      <c r="H1147" s="36">
        <v>1380</v>
      </c>
      <c r="I1147" s="37">
        <v>0</v>
      </c>
      <c r="J1147" s="37">
        <v>0</v>
      </c>
    </row>
    <row r="1148" spans="1:10" x14ac:dyDescent="0.25">
      <c r="A1148" t="s">
        <v>2744</v>
      </c>
      <c r="B1148" t="s">
        <v>2745</v>
      </c>
      <c r="C1148" t="s">
        <v>101</v>
      </c>
      <c r="D1148" t="s">
        <v>371</v>
      </c>
      <c r="E1148" s="36">
        <v>2500</v>
      </c>
      <c r="F1148" s="36">
        <v>2900</v>
      </c>
      <c r="G1148" s="36">
        <v>1500</v>
      </c>
      <c r="H1148" s="36">
        <v>1740</v>
      </c>
      <c r="I1148" s="37">
        <v>0</v>
      </c>
      <c r="J1148" s="37">
        <v>0</v>
      </c>
    </row>
    <row r="1149" spans="1:10" x14ac:dyDescent="0.25">
      <c r="A1149" t="s">
        <v>2746</v>
      </c>
      <c r="B1149" t="s">
        <v>2747</v>
      </c>
      <c r="C1149" t="s">
        <v>101</v>
      </c>
      <c r="D1149" t="s">
        <v>371</v>
      </c>
      <c r="E1149" s="36">
        <v>3000</v>
      </c>
      <c r="F1149" s="36">
        <v>3500</v>
      </c>
      <c r="G1149" s="36">
        <v>1800</v>
      </c>
      <c r="H1149" s="36">
        <v>2100</v>
      </c>
      <c r="I1149" s="37">
        <v>0</v>
      </c>
      <c r="J1149" s="37">
        <v>0</v>
      </c>
    </row>
    <row r="1150" spans="1:10" x14ac:dyDescent="0.25">
      <c r="A1150" t="s">
        <v>2748</v>
      </c>
      <c r="B1150" t="s">
        <v>2749</v>
      </c>
      <c r="C1150" t="s">
        <v>89</v>
      </c>
      <c r="D1150" t="s">
        <v>371</v>
      </c>
      <c r="E1150" s="36">
        <v>500</v>
      </c>
      <c r="F1150" s="36">
        <v>600</v>
      </c>
      <c r="G1150" s="36">
        <v>300</v>
      </c>
      <c r="H1150" s="36">
        <v>360</v>
      </c>
      <c r="I1150" s="37">
        <v>0</v>
      </c>
      <c r="J1150" s="37">
        <v>0</v>
      </c>
    </row>
    <row r="1151" spans="1:10" x14ac:dyDescent="0.25">
      <c r="A1151" t="s">
        <v>2750</v>
      </c>
      <c r="B1151" t="s">
        <v>2751</v>
      </c>
      <c r="C1151" t="s">
        <v>101</v>
      </c>
      <c r="D1151" t="s">
        <v>371</v>
      </c>
      <c r="E1151" s="36">
        <v>15000</v>
      </c>
      <c r="F1151" s="36">
        <v>17500</v>
      </c>
      <c r="G1151" s="36">
        <v>9000</v>
      </c>
      <c r="H1151" s="36">
        <v>10500</v>
      </c>
      <c r="I1151" s="37">
        <v>0</v>
      </c>
      <c r="J1151" s="37">
        <v>0</v>
      </c>
    </row>
    <row r="1152" spans="1:10" x14ac:dyDescent="0.25">
      <c r="A1152" t="s">
        <v>2752</v>
      </c>
      <c r="B1152" t="s">
        <v>2753</v>
      </c>
      <c r="C1152" t="s">
        <v>101</v>
      </c>
      <c r="D1152" t="s">
        <v>375</v>
      </c>
      <c r="E1152" s="36">
        <v>3500</v>
      </c>
      <c r="F1152" s="36">
        <v>4000</v>
      </c>
      <c r="G1152" s="36">
        <v>2100</v>
      </c>
      <c r="H1152" s="36">
        <v>2400</v>
      </c>
      <c r="I1152" s="37">
        <v>0</v>
      </c>
      <c r="J1152" s="37">
        <v>0</v>
      </c>
    </row>
    <row r="1153" spans="1:10" x14ac:dyDescent="0.25">
      <c r="A1153" t="s">
        <v>2754</v>
      </c>
      <c r="B1153" t="s">
        <v>2755</v>
      </c>
      <c r="C1153" t="s">
        <v>101</v>
      </c>
      <c r="D1153" t="s">
        <v>379</v>
      </c>
      <c r="E1153" s="36">
        <v>2400</v>
      </c>
      <c r="F1153" s="36">
        <v>2800</v>
      </c>
      <c r="G1153" s="36">
        <v>1440</v>
      </c>
      <c r="H1153" s="36">
        <v>1680</v>
      </c>
      <c r="I1153" s="37">
        <v>0</v>
      </c>
      <c r="J1153" s="37">
        <v>0</v>
      </c>
    </row>
    <row r="1154" spans="1:10" x14ac:dyDescent="0.25">
      <c r="A1154" t="s">
        <v>2756</v>
      </c>
      <c r="B1154" t="s">
        <v>2757</v>
      </c>
      <c r="C1154" t="s">
        <v>101</v>
      </c>
      <c r="D1154" t="s">
        <v>375</v>
      </c>
      <c r="E1154" s="36">
        <v>5000</v>
      </c>
      <c r="F1154" s="36">
        <v>5800</v>
      </c>
      <c r="G1154" s="36">
        <v>3000</v>
      </c>
      <c r="H1154" s="36">
        <v>3480</v>
      </c>
      <c r="I1154" s="37">
        <v>0</v>
      </c>
      <c r="J1154" s="37">
        <v>0</v>
      </c>
    </row>
    <row r="1155" spans="1:10" x14ac:dyDescent="0.25">
      <c r="A1155" t="s">
        <v>2758</v>
      </c>
      <c r="B1155" t="s">
        <v>2759</v>
      </c>
      <c r="C1155" t="s">
        <v>101</v>
      </c>
      <c r="D1155" t="s">
        <v>367</v>
      </c>
      <c r="E1155" s="36">
        <v>2000</v>
      </c>
      <c r="F1155" s="36">
        <v>2300</v>
      </c>
      <c r="G1155" s="36">
        <v>1240</v>
      </c>
      <c r="H1155" s="36">
        <v>1426</v>
      </c>
      <c r="I1155" s="37">
        <v>0</v>
      </c>
      <c r="J1155" s="37">
        <v>0</v>
      </c>
    </row>
    <row r="1156" spans="1:10" x14ac:dyDescent="0.25">
      <c r="A1156" t="s">
        <v>2760</v>
      </c>
      <c r="B1156" t="s">
        <v>2761</v>
      </c>
      <c r="C1156" t="s">
        <v>101</v>
      </c>
      <c r="D1156" t="s">
        <v>367</v>
      </c>
      <c r="E1156" s="36">
        <v>3000</v>
      </c>
      <c r="F1156" s="36">
        <v>3500</v>
      </c>
      <c r="G1156" s="36">
        <v>1860</v>
      </c>
      <c r="H1156" s="36">
        <v>2170</v>
      </c>
      <c r="I1156" s="37">
        <v>0</v>
      </c>
      <c r="J1156" s="37">
        <v>0</v>
      </c>
    </row>
    <row r="1157" spans="1:10" x14ac:dyDescent="0.25">
      <c r="A1157" t="s">
        <v>2762</v>
      </c>
      <c r="B1157" t="s">
        <v>2763</v>
      </c>
      <c r="C1157" t="s">
        <v>101</v>
      </c>
      <c r="D1157" t="s">
        <v>367</v>
      </c>
      <c r="E1157" s="36">
        <v>3800</v>
      </c>
      <c r="F1157" s="36">
        <v>4400</v>
      </c>
      <c r="G1157" s="36">
        <v>2356</v>
      </c>
      <c r="H1157" s="36">
        <v>2728</v>
      </c>
      <c r="I1157" s="37">
        <v>0</v>
      </c>
      <c r="J1157" s="37">
        <v>0</v>
      </c>
    </row>
    <row r="1158" spans="1:10" x14ac:dyDescent="0.25">
      <c r="A1158" t="s">
        <v>2764</v>
      </c>
      <c r="B1158" t="s">
        <v>2765</v>
      </c>
      <c r="C1158" t="s">
        <v>101</v>
      </c>
      <c r="D1158" t="s">
        <v>371</v>
      </c>
      <c r="E1158" s="36">
        <v>9067</v>
      </c>
      <c r="F1158" s="36">
        <v>10880</v>
      </c>
      <c r="G1158" s="36">
        <v>5400</v>
      </c>
      <c r="H1158" s="36">
        <v>6300</v>
      </c>
      <c r="I1158" s="37">
        <v>7.4444444444443647E-3</v>
      </c>
      <c r="J1158" s="37">
        <v>3.6190476190476113E-2</v>
      </c>
    </row>
    <row r="1159" spans="1:10" x14ac:dyDescent="0.25">
      <c r="A1159" t="s">
        <v>2766</v>
      </c>
      <c r="B1159" t="s">
        <v>2767</v>
      </c>
      <c r="C1159" t="s">
        <v>101</v>
      </c>
      <c r="D1159" t="s">
        <v>371</v>
      </c>
      <c r="E1159" s="36">
        <v>14000</v>
      </c>
      <c r="F1159" s="36">
        <v>16320</v>
      </c>
      <c r="G1159" s="36">
        <v>8400</v>
      </c>
      <c r="H1159" s="36">
        <v>9600</v>
      </c>
      <c r="I1159" s="37">
        <v>0</v>
      </c>
      <c r="J1159" s="37">
        <v>2.0000000000000021E-2</v>
      </c>
    </row>
    <row r="1160" spans="1:10" x14ac:dyDescent="0.25">
      <c r="A1160" t="s">
        <v>2768</v>
      </c>
      <c r="B1160" t="s">
        <v>2769</v>
      </c>
      <c r="C1160" t="s">
        <v>101</v>
      </c>
      <c r="D1160" t="s">
        <v>371</v>
      </c>
      <c r="E1160" s="36">
        <v>20000</v>
      </c>
      <c r="F1160" s="36">
        <v>23120</v>
      </c>
      <c r="G1160" s="36">
        <v>12000</v>
      </c>
      <c r="H1160" s="36">
        <v>13800</v>
      </c>
      <c r="I1160" s="37">
        <v>0</v>
      </c>
      <c r="J1160" s="37">
        <v>5.2173913043478404E-3</v>
      </c>
    </row>
    <row r="1161" spans="1:10" x14ac:dyDescent="0.25">
      <c r="A1161" t="s">
        <v>2770</v>
      </c>
      <c r="B1161" t="s">
        <v>2771</v>
      </c>
      <c r="C1161" t="s">
        <v>101</v>
      </c>
      <c r="D1161" t="s">
        <v>371</v>
      </c>
      <c r="E1161" s="36">
        <v>28000</v>
      </c>
      <c r="F1161" s="36">
        <v>32640</v>
      </c>
      <c r="G1161" s="36">
        <v>16800</v>
      </c>
      <c r="H1161" s="36">
        <v>19200</v>
      </c>
      <c r="I1161" s="37">
        <v>0</v>
      </c>
      <c r="J1161" s="37">
        <v>2.0000000000000021E-2</v>
      </c>
    </row>
    <row r="1162" spans="1:10" x14ac:dyDescent="0.25">
      <c r="A1162" t="s">
        <v>2772</v>
      </c>
      <c r="B1162" t="s">
        <v>2773</v>
      </c>
      <c r="C1162" t="s">
        <v>101</v>
      </c>
      <c r="D1162" t="s">
        <v>371</v>
      </c>
      <c r="E1162" s="36">
        <v>6000</v>
      </c>
      <c r="F1162" s="36">
        <v>7000</v>
      </c>
      <c r="G1162" s="36">
        <v>3600</v>
      </c>
      <c r="H1162" s="36">
        <v>4200</v>
      </c>
      <c r="I1162" s="37">
        <v>0</v>
      </c>
      <c r="J1162" s="37">
        <v>0</v>
      </c>
    </row>
    <row r="1163" spans="1:10" x14ac:dyDescent="0.25">
      <c r="A1163" t="s">
        <v>2774</v>
      </c>
      <c r="B1163" t="s">
        <v>2775</v>
      </c>
      <c r="C1163" t="s">
        <v>101</v>
      </c>
      <c r="D1163" t="s">
        <v>371</v>
      </c>
      <c r="E1163" s="36">
        <v>9067</v>
      </c>
      <c r="F1163" s="36">
        <v>10880</v>
      </c>
      <c r="G1163" s="36">
        <v>5400</v>
      </c>
      <c r="H1163" s="36">
        <v>6300</v>
      </c>
      <c r="I1163" s="37">
        <v>7.4444444444443647E-3</v>
      </c>
      <c r="J1163" s="37">
        <v>3.6190476190476113E-2</v>
      </c>
    </row>
    <row r="1164" spans="1:10" x14ac:dyDescent="0.25">
      <c r="A1164" t="s">
        <v>2776</v>
      </c>
      <c r="B1164" t="s">
        <v>2777</v>
      </c>
      <c r="C1164" t="s">
        <v>101</v>
      </c>
      <c r="D1164" t="s">
        <v>371</v>
      </c>
      <c r="E1164" s="36">
        <v>12000</v>
      </c>
      <c r="F1164" s="36">
        <v>14280</v>
      </c>
      <c r="G1164" s="36">
        <v>7200</v>
      </c>
      <c r="H1164" s="36">
        <v>8400</v>
      </c>
      <c r="I1164" s="37">
        <v>0</v>
      </c>
      <c r="J1164" s="37">
        <v>2.0000000000000021E-2</v>
      </c>
    </row>
    <row r="1165" spans="1:10" x14ac:dyDescent="0.25">
      <c r="A1165" t="s">
        <v>2778</v>
      </c>
      <c r="B1165" t="s">
        <v>2779</v>
      </c>
      <c r="C1165" t="s">
        <v>101</v>
      </c>
      <c r="D1165" t="s">
        <v>371</v>
      </c>
      <c r="E1165" s="36">
        <v>16000</v>
      </c>
      <c r="F1165" s="36">
        <v>19040</v>
      </c>
      <c r="G1165" s="36">
        <v>9600</v>
      </c>
      <c r="H1165" s="36">
        <v>11100</v>
      </c>
      <c r="I1165" s="37">
        <v>0</v>
      </c>
      <c r="J1165" s="37">
        <v>2.918918918918911E-2</v>
      </c>
    </row>
    <row r="1166" spans="1:10" x14ac:dyDescent="0.25">
      <c r="A1166" t="s">
        <v>2780</v>
      </c>
      <c r="B1166" t="s">
        <v>2781</v>
      </c>
      <c r="C1166" t="s">
        <v>101</v>
      </c>
      <c r="D1166" t="s">
        <v>375</v>
      </c>
      <c r="E1166" s="36">
        <v>8000</v>
      </c>
      <c r="F1166" s="36">
        <v>9600</v>
      </c>
      <c r="G1166" s="36">
        <v>4500</v>
      </c>
      <c r="H1166" s="36">
        <v>5160</v>
      </c>
      <c r="I1166" s="37">
        <v>6.6666666666666652E-2</v>
      </c>
      <c r="J1166" s="37">
        <v>0.1162790697674418</v>
      </c>
    </row>
    <row r="1167" spans="1:10" x14ac:dyDescent="0.25">
      <c r="A1167" t="s">
        <v>2782</v>
      </c>
      <c r="B1167" t="s">
        <v>2783</v>
      </c>
      <c r="C1167" t="s">
        <v>101</v>
      </c>
      <c r="D1167" t="s">
        <v>375</v>
      </c>
      <c r="E1167" s="36">
        <v>9600</v>
      </c>
      <c r="F1167" s="36">
        <v>11520</v>
      </c>
      <c r="G1167" s="36">
        <v>5400</v>
      </c>
      <c r="H1167" s="36">
        <v>6180</v>
      </c>
      <c r="I1167" s="37">
        <v>6.6666666666666652E-2</v>
      </c>
      <c r="J1167" s="37">
        <v>0.1184466019417476</v>
      </c>
    </row>
    <row r="1168" spans="1:10" x14ac:dyDescent="0.25">
      <c r="A1168" t="s">
        <v>2784</v>
      </c>
      <c r="B1168" t="s">
        <v>2785</v>
      </c>
      <c r="C1168" t="s">
        <v>101</v>
      </c>
      <c r="D1168" t="s">
        <v>375</v>
      </c>
      <c r="E1168" s="36">
        <v>11200</v>
      </c>
      <c r="F1168" s="36">
        <v>13440</v>
      </c>
      <c r="G1168" s="36">
        <v>6600</v>
      </c>
      <c r="H1168" s="36">
        <v>7560</v>
      </c>
      <c r="I1168" s="37">
        <v>1.818181818181808E-2</v>
      </c>
      <c r="J1168" s="37">
        <v>6.6666666666666652E-2</v>
      </c>
    </row>
    <row r="1169" spans="1:10" x14ac:dyDescent="0.25">
      <c r="A1169" t="s">
        <v>2786</v>
      </c>
      <c r="B1169" t="s">
        <v>2787</v>
      </c>
      <c r="C1169" t="s">
        <v>101</v>
      </c>
      <c r="D1169" t="s">
        <v>375</v>
      </c>
      <c r="E1169" s="36">
        <v>7200</v>
      </c>
      <c r="F1169" s="36">
        <v>8640</v>
      </c>
      <c r="G1169" s="36">
        <v>4200</v>
      </c>
      <c r="H1169" s="36">
        <v>4800</v>
      </c>
      <c r="I1169" s="37">
        <v>2.857142857142847E-2</v>
      </c>
      <c r="J1169" s="37">
        <v>8.0000000000000071E-2</v>
      </c>
    </row>
    <row r="1170" spans="1:10" x14ac:dyDescent="0.25">
      <c r="A1170" t="s">
        <v>2788</v>
      </c>
      <c r="B1170" t="s">
        <v>2789</v>
      </c>
      <c r="C1170" t="s">
        <v>101</v>
      </c>
      <c r="D1170" t="s">
        <v>375</v>
      </c>
      <c r="E1170" s="36">
        <v>8800</v>
      </c>
      <c r="F1170" s="36">
        <v>10560</v>
      </c>
      <c r="G1170" s="36">
        <v>5100</v>
      </c>
      <c r="H1170" s="36">
        <v>5880</v>
      </c>
      <c r="I1170" s="37">
        <v>3.529411764705892E-2</v>
      </c>
      <c r="J1170" s="37">
        <v>7.7551020408163307E-2</v>
      </c>
    </row>
    <row r="1171" spans="1:10" x14ac:dyDescent="0.25">
      <c r="A1171" t="s">
        <v>2790</v>
      </c>
      <c r="B1171" t="s">
        <v>2791</v>
      </c>
      <c r="C1171" t="s">
        <v>101</v>
      </c>
      <c r="D1171" t="s">
        <v>375</v>
      </c>
      <c r="E1171" s="36">
        <v>10400</v>
      </c>
      <c r="F1171" s="36">
        <v>12480</v>
      </c>
      <c r="G1171" s="36">
        <v>6000</v>
      </c>
      <c r="H1171" s="36">
        <v>6900</v>
      </c>
      <c r="I1171" s="37">
        <v>4.0000000000000042E-2</v>
      </c>
      <c r="J1171" s="37">
        <v>8.5217391304347911E-2</v>
      </c>
    </row>
    <row r="1172" spans="1:10" x14ac:dyDescent="0.25">
      <c r="A1172" t="s">
        <v>2792</v>
      </c>
      <c r="B1172" t="s">
        <v>2793</v>
      </c>
      <c r="C1172" t="s">
        <v>101</v>
      </c>
      <c r="D1172" t="s">
        <v>375</v>
      </c>
      <c r="E1172" s="36">
        <v>5600</v>
      </c>
      <c r="F1172" s="36">
        <v>6720</v>
      </c>
      <c r="G1172" s="36">
        <v>3300</v>
      </c>
      <c r="H1172" s="36">
        <v>3780</v>
      </c>
      <c r="I1172" s="37">
        <v>1.818181818181808E-2</v>
      </c>
      <c r="J1172" s="37">
        <v>6.6666666666666652E-2</v>
      </c>
    </row>
    <row r="1173" spans="1:10" x14ac:dyDescent="0.25">
      <c r="A1173" t="s">
        <v>2794</v>
      </c>
      <c r="B1173" t="s">
        <v>2795</v>
      </c>
      <c r="C1173" t="s">
        <v>101</v>
      </c>
      <c r="D1173" t="s">
        <v>375</v>
      </c>
      <c r="E1173" s="36">
        <v>6500</v>
      </c>
      <c r="F1173" s="36">
        <v>7680</v>
      </c>
      <c r="G1173" s="36">
        <v>3900</v>
      </c>
      <c r="H1173" s="36">
        <v>4500</v>
      </c>
      <c r="I1173" s="37">
        <v>0</v>
      </c>
      <c r="J1173" s="37">
        <v>2.4000000000000021E-2</v>
      </c>
    </row>
    <row r="1174" spans="1:10" x14ac:dyDescent="0.25">
      <c r="A1174" t="s">
        <v>2796</v>
      </c>
      <c r="B1174" t="s">
        <v>2797</v>
      </c>
      <c r="C1174" t="s">
        <v>101</v>
      </c>
      <c r="D1174" t="s">
        <v>375</v>
      </c>
      <c r="E1174" s="36">
        <v>8000</v>
      </c>
      <c r="F1174" s="36">
        <v>9600</v>
      </c>
      <c r="G1174" s="36">
        <v>4800</v>
      </c>
      <c r="H1174" s="36">
        <v>5520</v>
      </c>
      <c r="I1174" s="37">
        <v>0</v>
      </c>
      <c r="J1174" s="37">
        <v>4.3478260869565188E-2</v>
      </c>
    </row>
    <row r="1175" spans="1:10" x14ac:dyDescent="0.25">
      <c r="A1175" t="s">
        <v>2798</v>
      </c>
      <c r="B1175" t="s">
        <v>2799</v>
      </c>
      <c r="C1175" t="s">
        <v>101</v>
      </c>
      <c r="D1175" t="s">
        <v>375</v>
      </c>
      <c r="E1175" s="36">
        <v>4800</v>
      </c>
      <c r="F1175" s="36">
        <v>5760</v>
      </c>
      <c r="G1175" s="36">
        <v>2700</v>
      </c>
      <c r="H1175" s="36">
        <v>3120</v>
      </c>
      <c r="I1175" s="37">
        <v>6.6666666666666652E-2</v>
      </c>
      <c r="J1175" s="37">
        <v>0.1076923076923078</v>
      </c>
    </row>
    <row r="1176" spans="1:10" x14ac:dyDescent="0.25">
      <c r="A1176" t="s">
        <v>2800</v>
      </c>
      <c r="B1176" t="s">
        <v>2801</v>
      </c>
      <c r="C1176" t="s">
        <v>101</v>
      </c>
      <c r="D1176" t="s">
        <v>375</v>
      </c>
      <c r="E1176" s="36">
        <v>5600</v>
      </c>
      <c r="F1176" s="36">
        <v>6720</v>
      </c>
      <c r="G1176" s="36">
        <v>3300</v>
      </c>
      <c r="H1176" s="36">
        <v>3780</v>
      </c>
      <c r="I1176" s="37">
        <v>1.818181818181808E-2</v>
      </c>
      <c r="J1176" s="37">
        <v>6.6666666666666652E-2</v>
      </c>
    </row>
    <row r="1177" spans="1:10" x14ac:dyDescent="0.25">
      <c r="A1177" t="s">
        <v>2802</v>
      </c>
      <c r="B1177" t="s">
        <v>2803</v>
      </c>
      <c r="C1177" t="s">
        <v>101</v>
      </c>
      <c r="D1177" t="s">
        <v>375</v>
      </c>
      <c r="E1177" s="36">
        <v>7200</v>
      </c>
      <c r="F1177" s="36">
        <v>8640</v>
      </c>
      <c r="G1177" s="36">
        <v>3900</v>
      </c>
      <c r="H1177" s="36">
        <v>4500</v>
      </c>
      <c r="I1177" s="37">
        <v>0.1076923076923078</v>
      </c>
      <c r="J1177" s="37">
        <v>0.15199999999999991</v>
      </c>
    </row>
    <row r="1178" spans="1:10" x14ac:dyDescent="0.25">
      <c r="A1178" t="s">
        <v>2804</v>
      </c>
      <c r="B1178" t="s">
        <v>2805</v>
      </c>
      <c r="C1178" t="s">
        <v>101</v>
      </c>
      <c r="D1178" t="s">
        <v>371</v>
      </c>
      <c r="E1178" s="36">
        <v>4500</v>
      </c>
      <c r="F1178" s="36">
        <v>5200</v>
      </c>
      <c r="G1178" s="36">
        <v>2790</v>
      </c>
      <c r="H1178" s="36">
        <v>3224</v>
      </c>
      <c r="I1178" s="37">
        <v>0</v>
      </c>
      <c r="J1178" s="37">
        <v>0</v>
      </c>
    </row>
    <row r="1179" spans="1:10" x14ac:dyDescent="0.25">
      <c r="A1179" t="s">
        <v>2806</v>
      </c>
      <c r="B1179" t="s">
        <v>2807</v>
      </c>
      <c r="C1179" t="s">
        <v>101</v>
      </c>
      <c r="D1179" t="s">
        <v>371</v>
      </c>
      <c r="E1179" s="36">
        <v>8000</v>
      </c>
      <c r="F1179" s="36">
        <v>9200</v>
      </c>
      <c r="G1179" s="36">
        <v>4960</v>
      </c>
      <c r="H1179" s="36">
        <v>5704</v>
      </c>
      <c r="I1179" s="37">
        <v>0</v>
      </c>
      <c r="J1179" s="37">
        <v>0</v>
      </c>
    </row>
    <row r="1180" spans="1:10" x14ac:dyDescent="0.25">
      <c r="A1180" t="s">
        <v>2808</v>
      </c>
      <c r="B1180" t="s">
        <v>2809</v>
      </c>
      <c r="C1180" t="s">
        <v>101</v>
      </c>
      <c r="D1180" t="s">
        <v>371</v>
      </c>
      <c r="E1180" s="36">
        <v>11000</v>
      </c>
      <c r="F1180" s="36">
        <v>12600</v>
      </c>
      <c r="G1180" s="36">
        <v>6820</v>
      </c>
      <c r="H1180" s="36">
        <v>7812</v>
      </c>
      <c r="I1180" s="37">
        <v>0</v>
      </c>
      <c r="J1180" s="37">
        <v>0</v>
      </c>
    </row>
    <row r="1181" spans="1:10" x14ac:dyDescent="0.25">
      <c r="A1181" t="s">
        <v>2810</v>
      </c>
      <c r="B1181" t="s">
        <v>2811</v>
      </c>
      <c r="C1181" t="s">
        <v>101</v>
      </c>
      <c r="D1181" t="s">
        <v>371</v>
      </c>
      <c r="E1181" s="36">
        <v>14000</v>
      </c>
      <c r="F1181" s="36">
        <v>16000</v>
      </c>
      <c r="G1181" s="36">
        <v>8680</v>
      </c>
      <c r="H1181" s="36">
        <v>9920</v>
      </c>
      <c r="I1181" s="37">
        <v>0</v>
      </c>
      <c r="J1181" s="37">
        <v>0</v>
      </c>
    </row>
    <row r="1182" spans="1:10" x14ac:dyDescent="0.25">
      <c r="A1182" t="s">
        <v>2812</v>
      </c>
      <c r="B1182" t="s">
        <v>2813</v>
      </c>
      <c r="C1182" t="s">
        <v>101</v>
      </c>
      <c r="D1182" t="s">
        <v>371</v>
      </c>
      <c r="E1182" s="36">
        <v>17000</v>
      </c>
      <c r="F1182" s="36">
        <v>19500</v>
      </c>
      <c r="G1182" s="36">
        <v>10540</v>
      </c>
      <c r="H1182" s="36">
        <v>12090</v>
      </c>
      <c r="I1182" s="37">
        <v>0</v>
      </c>
      <c r="J1182" s="37">
        <v>0</v>
      </c>
    </row>
    <row r="1183" spans="1:10" x14ac:dyDescent="0.25">
      <c r="A1183" t="s">
        <v>2814</v>
      </c>
      <c r="B1183" t="s">
        <v>2815</v>
      </c>
      <c r="C1183" t="s">
        <v>101</v>
      </c>
      <c r="D1183" t="s">
        <v>371</v>
      </c>
      <c r="E1183" s="36">
        <v>1500</v>
      </c>
      <c r="F1183" s="36">
        <v>1750</v>
      </c>
      <c r="G1183" s="36">
        <v>930</v>
      </c>
      <c r="H1183" s="36">
        <v>1085</v>
      </c>
      <c r="I1183" s="37">
        <v>0</v>
      </c>
      <c r="J1183" s="37">
        <v>0</v>
      </c>
    </row>
    <row r="1184" spans="1:10" x14ac:dyDescent="0.25">
      <c r="A1184" t="s">
        <v>2816</v>
      </c>
      <c r="B1184" t="s">
        <v>2817</v>
      </c>
      <c r="C1184" t="s">
        <v>101</v>
      </c>
      <c r="D1184" t="s">
        <v>371</v>
      </c>
      <c r="E1184" s="36">
        <v>2500</v>
      </c>
      <c r="F1184" s="36">
        <v>2900</v>
      </c>
      <c r="G1184" s="36">
        <v>1550</v>
      </c>
      <c r="H1184" s="36">
        <v>1798</v>
      </c>
      <c r="I1184" s="37">
        <v>0</v>
      </c>
      <c r="J1184" s="37">
        <v>0</v>
      </c>
    </row>
    <row r="1185" spans="1:10" x14ac:dyDescent="0.25">
      <c r="A1185" t="s">
        <v>2818</v>
      </c>
      <c r="B1185" t="s">
        <v>2819</v>
      </c>
      <c r="C1185" t="s">
        <v>101</v>
      </c>
      <c r="D1185" t="s">
        <v>371</v>
      </c>
      <c r="E1185" s="36">
        <v>900</v>
      </c>
      <c r="F1185" s="36">
        <v>1050</v>
      </c>
      <c r="G1185" s="36">
        <v>558</v>
      </c>
      <c r="H1185" s="36">
        <v>651</v>
      </c>
      <c r="I1185" s="37">
        <v>0</v>
      </c>
      <c r="J1185" s="37">
        <v>0</v>
      </c>
    </row>
    <row r="1186" spans="1:10" x14ac:dyDescent="0.25">
      <c r="A1186" t="s">
        <v>2820</v>
      </c>
      <c r="B1186" t="s">
        <v>2821</v>
      </c>
      <c r="C1186" t="s">
        <v>101</v>
      </c>
      <c r="D1186" t="s">
        <v>371</v>
      </c>
      <c r="E1186" s="36">
        <v>500</v>
      </c>
      <c r="F1186" s="36">
        <v>600</v>
      </c>
      <c r="G1186" s="36">
        <v>300</v>
      </c>
      <c r="H1186" s="36">
        <v>360</v>
      </c>
      <c r="I1186" s="37">
        <v>0</v>
      </c>
      <c r="J1186" s="37">
        <v>0</v>
      </c>
    </row>
    <row r="1187" spans="1:10" x14ac:dyDescent="0.25">
      <c r="A1187" t="s">
        <v>2822</v>
      </c>
      <c r="B1187" t="s">
        <v>2823</v>
      </c>
      <c r="C1187" t="s">
        <v>101</v>
      </c>
      <c r="D1187" t="s">
        <v>371</v>
      </c>
      <c r="E1187" s="36">
        <v>500</v>
      </c>
      <c r="F1187" s="36">
        <v>600</v>
      </c>
      <c r="G1187" s="36">
        <v>300</v>
      </c>
      <c r="H1187" s="36">
        <v>360</v>
      </c>
      <c r="I1187" s="37">
        <v>0</v>
      </c>
      <c r="J1187" s="37">
        <v>0</v>
      </c>
    </row>
    <row r="1188" spans="1:10" x14ac:dyDescent="0.25">
      <c r="A1188" t="s">
        <v>2824</v>
      </c>
      <c r="B1188" t="s">
        <v>2825</v>
      </c>
      <c r="C1188" t="s">
        <v>89</v>
      </c>
      <c r="D1188" t="s">
        <v>371</v>
      </c>
      <c r="E1188" s="36">
        <v>2834</v>
      </c>
      <c r="F1188" s="36">
        <v>3400</v>
      </c>
      <c r="G1188" s="36">
        <v>1240</v>
      </c>
      <c r="H1188" s="36">
        <v>1426</v>
      </c>
      <c r="I1188" s="37">
        <v>0.41699999999999998</v>
      </c>
      <c r="J1188" s="37">
        <v>0.47826086956521729</v>
      </c>
    </row>
    <row r="1189" spans="1:10" x14ac:dyDescent="0.25">
      <c r="A1189" t="s">
        <v>2826</v>
      </c>
      <c r="B1189" t="s">
        <v>2827</v>
      </c>
      <c r="C1189" t="s">
        <v>101</v>
      </c>
      <c r="D1189" t="s">
        <v>379</v>
      </c>
      <c r="E1189" s="36">
        <v>1000</v>
      </c>
      <c r="F1189" s="36">
        <v>1150</v>
      </c>
      <c r="G1189" s="36">
        <v>600</v>
      </c>
      <c r="H1189" s="36">
        <v>690</v>
      </c>
      <c r="I1189" s="37">
        <v>0</v>
      </c>
      <c r="J1189" s="37">
        <v>0</v>
      </c>
    </row>
    <row r="1190" spans="1:10" x14ac:dyDescent="0.25">
      <c r="A1190" t="s">
        <v>2828</v>
      </c>
      <c r="B1190" t="s">
        <v>2829</v>
      </c>
      <c r="C1190" t="s">
        <v>101</v>
      </c>
      <c r="D1190" t="s">
        <v>371</v>
      </c>
      <c r="E1190" s="36">
        <v>1800</v>
      </c>
      <c r="F1190" s="36">
        <v>2100</v>
      </c>
      <c r="G1190" s="36">
        <v>1116</v>
      </c>
      <c r="H1190" s="36">
        <v>1302</v>
      </c>
      <c r="I1190" s="37">
        <v>0</v>
      </c>
      <c r="J1190" s="37">
        <v>0</v>
      </c>
    </row>
    <row r="1191" spans="1:10" x14ac:dyDescent="0.25">
      <c r="A1191" t="s">
        <v>2830</v>
      </c>
      <c r="B1191" t="s">
        <v>2831</v>
      </c>
      <c r="C1191" t="s">
        <v>101</v>
      </c>
      <c r="D1191" t="s">
        <v>371</v>
      </c>
      <c r="E1191" s="36">
        <v>1000</v>
      </c>
      <c r="F1191" s="36">
        <v>1150</v>
      </c>
      <c r="G1191" s="36">
        <v>620</v>
      </c>
      <c r="H1191" s="36">
        <v>713</v>
      </c>
      <c r="I1191" s="37">
        <v>0</v>
      </c>
      <c r="J1191" s="37">
        <v>0</v>
      </c>
    </row>
    <row r="1192" spans="1:10" x14ac:dyDescent="0.25">
      <c r="A1192" t="s">
        <v>2832</v>
      </c>
      <c r="B1192" t="s">
        <v>2833</v>
      </c>
      <c r="C1192" t="s">
        <v>89</v>
      </c>
      <c r="D1192" t="s">
        <v>371</v>
      </c>
      <c r="E1192" s="36">
        <v>2267</v>
      </c>
      <c r="F1192" s="36">
        <v>2720</v>
      </c>
      <c r="G1192" s="36">
        <v>1116</v>
      </c>
      <c r="H1192" s="36">
        <v>1302</v>
      </c>
      <c r="I1192" s="37">
        <v>0.25944444444444442</v>
      </c>
      <c r="J1192" s="37">
        <v>0.2952380952380953</v>
      </c>
    </row>
    <row r="1193" spans="1:10" x14ac:dyDescent="0.25">
      <c r="A1193" t="s">
        <v>2834</v>
      </c>
      <c r="B1193" t="s">
        <v>2835</v>
      </c>
      <c r="C1193" t="s">
        <v>101</v>
      </c>
      <c r="D1193" t="s">
        <v>371</v>
      </c>
      <c r="E1193" s="36">
        <v>4500</v>
      </c>
      <c r="F1193" s="36">
        <v>5200</v>
      </c>
      <c r="G1193" s="36">
        <v>2790</v>
      </c>
      <c r="H1193" s="36">
        <v>3224</v>
      </c>
      <c r="I1193" s="37">
        <v>0</v>
      </c>
      <c r="J1193" s="37">
        <v>0</v>
      </c>
    </row>
    <row r="1194" spans="1:10" x14ac:dyDescent="0.25">
      <c r="A1194" t="s">
        <v>2836</v>
      </c>
      <c r="B1194" t="s">
        <v>2837</v>
      </c>
      <c r="C1194" t="s">
        <v>101</v>
      </c>
      <c r="D1194" t="s">
        <v>371</v>
      </c>
      <c r="E1194" s="36">
        <v>1500</v>
      </c>
      <c r="F1194" s="36">
        <v>1750</v>
      </c>
      <c r="G1194" s="36">
        <v>930</v>
      </c>
      <c r="H1194" s="36">
        <v>1085</v>
      </c>
      <c r="I1194" s="37">
        <v>0</v>
      </c>
      <c r="J1194" s="37">
        <v>0</v>
      </c>
    </row>
    <row r="1195" spans="1:10" x14ac:dyDescent="0.25">
      <c r="A1195" t="s">
        <v>2838</v>
      </c>
      <c r="B1195" t="s">
        <v>2839</v>
      </c>
      <c r="C1195" t="s">
        <v>101</v>
      </c>
      <c r="D1195" t="s">
        <v>371</v>
      </c>
      <c r="E1195" s="36">
        <v>1500</v>
      </c>
      <c r="F1195" s="36">
        <v>1750</v>
      </c>
      <c r="G1195" s="36">
        <v>930</v>
      </c>
      <c r="H1195" s="36">
        <v>1085</v>
      </c>
      <c r="I1195" s="37">
        <v>0</v>
      </c>
      <c r="J1195" s="37">
        <v>0</v>
      </c>
    </row>
    <row r="1196" spans="1:10" x14ac:dyDescent="0.25">
      <c r="A1196" t="s">
        <v>2840</v>
      </c>
      <c r="B1196" t="s">
        <v>2841</v>
      </c>
      <c r="C1196" t="s">
        <v>101</v>
      </c>
      <c r="D1196" t="s">
        <v>379</v>
      </c>
      <c r="E1196" s="36">
        <v>600</v>
      </c>
      <c r="F1196" s="36">
        <v>700</v>
      </c>
      <c r="G1196" s="36">
        <v>360</v>
      </c>
      <c r="H1196" s="36">
        <v>420</v>
      </c>
      <c r="I1196" s="37">
        <v>0</v>
      </c>
      <c r="J1196" s="37">
        <v>0</v>
      </c>
    </row>
    <row r="1197" spans="1:10" x14ac:dyDescent="0.25">
      <c r="A1197" t="s">
        <v>2842</v>
      </c>
      <c r="B1197" t="s">
        <v>2843</v>
      </c>
      <c r="C1197" t="s">
        <v>101</v>
      </c>
      <c r="D1197" t="s">
        <v>379</v>
      </c>
      <c r="E1197" s="36">
        <v>2000</v>
      </c>
      <c r="F1197" s="36">
        <v>2300</v>
      </c>
      <c r="G1197" s="36">
        <v>1200</v>
      </c>
      <c r="H1197" s="36">
        <v>1380</v>
      </c>
      <c r="I1197" s="37">
        <v>0</v>
      </c>
      <c r="J1197" s="37">
        <v>0</v>
      </c>
    </row>
    <row r="1198" spans="1:10" x14ac:dyDescent="0.25">
      <c r="A1198" t="s">
        <v>2844</v>
      </c>
      <c r="B1198" t="s">
        <v>2845</v>
      </c>
      <c r="C1198" t="s">
        <v>101</v>
      </c>
      <c r="D1198" t="s">
        <v>375</v>
      </c>
      <c r="E1198" s="36">
        <v>4800</v>
      </c>
      <c r="F1198" s="36">
        <v>5760</v>
      </c>
      <c r="G1198" s="36">
        <v>2700</v>
      </c>
      <c r="H1198" s="36">
        <v>3120</v>
      </c>
      <c r="I1198" s="37">
        <v>6.6666666666666652E-2</v>
      </c>
      <c r="J1198" s="37">
        <v>0.1076923076923078</v>
      </c>
    </row>
    <row r="1199" spans="1:10" x14ac:dyDescent="0.25">
      <c r="A1199" t="s">
        <v>2846</v>
      </c>
      <c r="B1199" t="s">
        <v>2847</v>
      </c>
      <c r="C1199" t="s">
        <v>101</v>
      </c>
      <c r="D1199" t="s">
        <v>371</v>
      </c>
      <c r="E1199" s="36">
        <v>15000</v>
      </c>
      <c r="F1199" s="36">
        <v>17500</v>
      </c>
      <c r="G1199" s="36">
        <v>9000</v>
      </c>
      <c r="H1199" s="36">
        <v>10500</v>
      </c>
      <c r="I1199" s="37">
        <v>0</v>
      </c>
      <c r="J1199" s="37">
        <v>0</v>
      </c>
    </row>
    <row r="1200" spans="1:10" x14ac:dyDescent="0.25">
      <c r="A1200" t="s">
        <v>2848</v>
      </c>
      <c r="B1200" t="s">
        <v>2849</v>
      </c>
      <c r="C1200" t="s">
        <v>101</v>
      </c>
      <c r="D1200" t="s">
        <v>371</v>
      </c>
      <c r="E1200" s="36">
        <v>22000</v>
      </c>
      <c r="F1200" s="36">
        <v>25500</v>
      </c>
      <c r="G1200" s="36">
        <v>13200</v>
      </c>
      <c r="H1200" s="36">
        <v>15300</v>
      </c>
      <c r="I1200" s="37">
        <v>0</v>
      </c>
      <c r="J1200" s="37">
        <v>0</v>
      </c>
    </row>
    <row r="1201" spans="1:10" x14ac:dyDescent="0.25">
      <c r="A1201" t="s">
        <v>2850</v>
      </c>
      <c r="B1201" t="s">
        <v>2851</v>
      </c>
      <c r="C1201" t="s">
        <v>101</v>
      </c>
      <c r="D1201" t="s">
        <v>371</v>
      </c>
      <c r="E1201" s="36">
        <v>30000</v>
      </c>
      <c r="F1201" s="36">
        <v>34500</v>
      </c>
      <c r="G1201" s="36">
        <v>18000</v>
      </c>
      <c r="H1201" s="36">
        <v>20700</v>
      </c>
      <c r="I1201" s="37">
        <v>0</v>
      </c>
      <c r="J1201" s="37">
        <v>0</v>
      </c>
    </row>
    <row r="1202" spans="1:10" x14ac:dyDescent="0.25">
      <c r="A1202" t="s">
        <v>2852</v>
      </c>
      <c r="B1202" t="s">
        <v>2853</v>
      </c>
      <c r="C1202" t="s">
        <v>101</v>
      </c>
      <c r="D1202" t="s">
        <v>371</v>
      </c>
      <c r="E1202" s="36">
        <v>38000</v>
      </c>
      <c r="F1202" s="36">
        <v>44000</v>
      </c>
      <c r="G1202" s="36">
        <v>22800</v>
      </c>
      <c r="H1202" s="36">
        <v>26400</v>
      </c>
      <c r="I1202" s="37">
        <v>0</v>
      </c>
      <c r="J1202" s="37">
        <v>0</v>
      </c>
    </row>
    <row r="1203" spans="1:10" x14ac:dyDescent="0.25">
      <c r="A1203" t="s">
        <v>2854</v>
      </c>
      <c r="B1203" t="s">
        <v>2855</v>
      </c>
      <c r="C1203" t="s">
        <v>101</v>
      </c>
      <c r="D1203" t="s">
        <v>371</v>
      </c>
      <c r="E1203" s="36">
        <v>45000</v>
      </c>
      <c r="F1203" s="36">
        <v>52000</v>
      </c>
      <c r="G1203" s="36">
        <v>27000</v>
      </c>
      <c r="H1203" s="36">
        <v>31200</v>
      </c>
      <c r="I1203" s="37">
        <v>0</v>
      </c>
      <c r="J1203" s="37">
        <v>0</v>
      </c>
    </row>
    <row r="1204" spans="1:10" x14ac:dyDescent="0.25">
      <c r="A1204" t="s">
        <v>2856</v>
      </c>
      <c r="B1204" t="s">
        <v>2857</v>
      </c>
      <c r="C1204" t="s">
        <v>101</v>
      </c>
      <c r="D1204" t="s">
        <v>379</v>
      </c>
      <c r="E1204" s="36">
        <v>900</v>
      </c>
      <c r="F1204" s="36">
        <v>1050</v>
      </c>
      <c r="G1204" s="36">
        <v>540</v>
      </c>
      <c r="H1204" s="36">
        <v>630</v>
      </c>
      <c r="I1204" s="37">
        <v>0</v>
      </c>
      <c r="J1204" s="37">
        <v>0</v>
      </c>
    </row>
    <row r="1205" spans="1:10" x14ac:dyDescent="0.25">
      <c r="A1205" t="s">
        <v>2858</v>
      </c>
      <c r="B1205" t="s">
        <v>2859</v>
      </c>
      <c r="C1205" t="s">
        <v>101</v>
      </c>
      <c r="D1205" t="s">
        <v>375</v>
      </c>
      <c r="E1205" s="36">
        <v>3000</v>
      </c>
      <c r="F1205" s="36">
        <v>3500</v>
      </c>
      <c r="G1205" s="36">
        <v>1860</v>
      </c>
      <c r="H1205" s="36">
        <v>2170</v>
      </c>
      <c r="I1205" s="37">
        <v>0</v>
      </c>
      <c r="J1205" s="37">
        <v>0</v>
      </c>
    </row>
    <row r="1206" spans="1:10" x14ac:dyDescent="0.25">
      <c r="A1206" t="s">
        <v>2860</v>
      </c>
      <c r="B1206" t="s">
        <v>2861</v>
      </c>
      <c r="C1206" t="s">
        <v>101</v>
      </c>
      <c r="D1206" t="s">
        <v>375</v>
      </c>
      <c r="E1206" s="36">
        <v>2500</v>
      </c>
      <c r="F1206" s="36">
        <v>2900</v>
      </c>
      <c r="G1206" s="36">
        <v>1550</v>
      </c>
      <c r="H1206" s="36">
        <v>1798</v>
      </c>
      <c r="I1206" s="37">
        <v>0</v>
      </c>
      <c r="J1206" s="37">
        <v>0</v>
      </c>
    </row>
    <row r="1207" spans="1:10" x14ac:dyDescent="0.25">
      <c r="A1207" t="s">
        <v>2862</v>
      </c>
      <c r="B1207" t="s">
        <v>2863</v>
      </c>
      <c r="C1207" t="s">
        <v>101</v>
      </c>
      <c r="D1207" t="s">
        <v>371</v>
      </c>
      <c r="E1207" s="36">
        <v>1500</v>
      </c>
      <c r="F1207" s="36">
        <v>1700</v>
      </c>
      <c r="G1207" s="36">
        <v>900</v>
      </c>
      <c r="H1207" s="36">
        <v>1020</v>
      </c>
      <c r="I1207" s="37">
        <v>0</v>
      </c>
      <c r="J1207" s="37">
        <v>0</v>
      </c>
    </row>
    <row r="1208" spans="1:10" x14ac:dyDescent="0.25">
      <c r="A1208" t="s">
        <v>2864</v>
      </c>
      <c r="B1208" t="s">
        <v>2865</v>
      </c>
      <c r="C1208" t="s">
        <v>101</v>
      </c>
      <c r="D1208" t="s">
        <v>379</v>
      </c>
      <c r="E1208" s="36">
        <v>2000</v>
      </c>
      <c r="F1208" s="36">
        <v>2300</v>
      </c>
      <c r="G1208" s="36">
        <v>1200</v>
      </c>
      <c r="H1208" s="36">
        <v>1380</v>
      </c>
      <c r="I1208" s="37">
        <v>0</v>
      </c>
      <c r="J1208" s="37">
        <v>0</v>
      </c>
    </row>
    <row r="1209" spans="1:10" x14ac:dyDescent="0.25">
      <c r="A1209" t="s">
        <v>2866</v>
      </c>
      <c r="B1209" t="s">
        <v>2867</v>
      </c>
      <c r="C1209" t="s">
        <v>101</v>
      </c>
      <c r="D1209" t="s">
        <v>379</v>
      </c>
      <c r="E1209" s="36">
        <v>2000</v>
      </c>
      <c r="F1209" s="36">
        <v>2300</v>
      </c>
      <c r="G1209" s="36">
        <v>1200</v>
      </c>
      <c r="H1209" s="36">
        <v>1380</v>
      </c>
      <c r="I1209" s="37">
        <v>0</v>
      </c>
      <c r="J1209" s="37">
        <v>0</v>
      </c>
    </row>
    <row r="1210" spans="1:10" x14ac:dyDescent="0.25">
      <c r="A1210" t="s">
        <v>2868</v>
      </c>
      <c r="B1210" t="s">
        <v>2869</v>
      </c>
      <c r="C1210" t="s">
        <v>101</v>
      </c>
      <c r="D1210" t="s">
        <v>371</v>
      </c>
      <c r="E1210" s="36">
        <v>12000</v>
      </c>
      <c r="F1210" s="36">
        <v>14000</v>
      </c>
      <c r="G1210" s="36">
        <v>7200</v>
      </c>
      <c r="H1210" s="36">
        <v>8400</v>
      </c>
      <c r="I1210" s="37">
        <v>0</v>
      </c>
      <c r="J1210" s="37">
        <v>0</v>
      </c>
    </row>
    <row r="1211" spans="1:10" x14ac:dyDescent="0.25">
      <c r="A1211" t="s">
        <v>2870</v>
      </c>
      <c r="B1211" t="s">
        <v>2871</v>
      </c>
      <c r="C1211" t="s">
        <v>101</v>
      </c>
      <c r="D1211" t="s">
        <v>371</v>
      </c>
      <c r="E1211" s="36">
        <v>1200</v>
      </c>
      <c r="F1211" s="36">
        <v>1400</v>
      </c>
      <c r="G1211" s="36">
        <v>744</v>
      </c>
      <c r="H1211" s="36">
        <v>868</v>
      </c>
      <c r="I1211" s="37">
        <v>0</v>
      </c>
      <c r="J1211" s="37">
        <v>0</v>
      </c>
    </row>
    <row r="1212" spans="1:10" x14ac:dyDescent="0.25">
      <c r="A1212" t="s">
        <v>2872</v>
      </c>
      <c r="B1212" t="s">
        <v>2873</v>
      </c>
      <c r="C1212" t="s">
        <v>101</v>
      </c>
      <c r="D1212" t="s">
        <v>371</v>
      </c>
      <c r="E1212" s="36">
        <v>1800</v>
      </c>
      <c r="F1212" s="36">
        <v>2100</v>
      </c>
      <c r="G1212" s="36">
        <v>1116</v>
      </c>
      <c r="H1212" s="36">
        <v>1302</v>
      </c>
      <c r="I1212" s="37">
        <v>0</v>
      </c>
      <c r="J1212" s="37">
        <v>0</v>
      </c>
    </row>
    <row r="1213" spans="1:10" x14ac:dyDescent="0.25">
      <c r="A1213" t="s">
        <v>2874</v>
      </c>
      <c r="B1213" t="s">
        <v>2875</v>
      </c>
      <c r="C1213" t="s">
        <v>101</v>
      </c>
      <c r="D1213" t="s">
        <v>371</v>
      </c>
      <c r="E1213" s="36">
        <v>2400</v>
      </c>
      <c r="F1213" s="36">
        <v>2800</v>
      </c>
      <c r="G1213" s="36">
        <v>1488</v>
      </c>
      <c r="H1213" s="36">
        <v>1736</v>
      </c>
      <c r="I1213" s="37">
        <v>0</v>
      </c>
      <c r="J1213" s="37">
        <v>0</v>
      </c>
    </row>
    <row r="1214" spans="1:10" x14ac:dyDescent="0.25">
      <c r="A1214" t="s">
        <v>2876</v>
      </c>
      <c r="B1214" t="s">
        <v>2877</v>
      </c>
      <c r="C1214" t="s">
        <v>101</v>
      </c>
      <c r="D1214" t="s">
        <v>371</v>
      </c>
      <c r="E1214" s="36">
        <v>3500</v>
      </c>
      <c r="F1214" s="36">
        <v>4000</v>
      </c>
      <c r="G1214" s="36">
        <v>2170</v>
      </c>
      <c r="H1214" s="36">
        <v>2480</v>
      </c>
      <c r="I1214" s="37">
        <v>0</v>
      </c>
      <c r="J1214" s="37">
        <v>0</v>
      </c>
    </row>
    <row r="1215" spans="1:10" x14ac:dyDescent="0.25">
      <c r="A1215" t="s">
        <v>2878</v>
      </c>
      <c r="B1215" t="s">
        <v>2879</v>
      </c>
      <c r="C1215" t="s">
        <v>101</v>
      </c>
      <c r="D1215" t="s">
        <v>371</v>
      </c>
      <c r="E1215" s="36">
        <v>6000</v>
      </c>
      <c r="F1215" s="36">
        <v>6900</v>
      </c>
      <c r="G1215" s="36">
        <v>3720</v>
      </c>
      <c r="H1215" s="36">
        <v>4278</v>
      </c>
      <c r="I1215" s="37">
        <v>0</v>
      </c>
      <c r="J1215" s="37">
        <v>0</v>
      </c>
    </row>
    <row r="1216" spans="1:10" x14ac:dyDescent="0.25">
      <c r="A1216" t="s">
        <v>2880</v>
      </c>
      <c r="B1216" t="s">
        <v>2881</v>
      </c>
      <c r="C1216" t="s">
        <v>101</v>
      </c>
      <c r="D1216" t="s">
        <v>371</v>
      </c>
      <c r="E1216" s="36">
        <v>1500</v>
      </c>
      <c r="F1216" s="36">
        <v>1700</v>
      </c>
      <c r="G1216" s="36">
        <v>900</v>
      </c>
      <c r="H1216" s="36">
        <v>1020</v>
      </c>
      <c r="I1216" s="37">
        <v>0</v>
      </c>
      <c r="J1216" s="37">
        <v>0</v>
      </c>
    </row>
    <row r="1217" spans="1:10" x14ac:dyDescent="0.25">
      <c r="A1217" t="s">
        <v>2882</v>
      </c>
      <c r="B1217" t="s">
        <v>2375</v>
      </c>
      <c r="C1217" t="s">
        <v>101</v>
      </c>
      <c r="D1217" t="s">
        <v>367</v>
      </c>
      <c r="E1217" s="36">
        <v>10000</v>
      </c>
      <c r="F1217" s="36">
        <v>11500</v>
      </c>
      <c r="G1217" s="36">
        <v>6000</v>
      </c>
      <c r="H1217" s="36">
        <v>6900</v>
      </c>
      <c r="I1217" s="37">
        <v>0</v>
      </c>
      <c r="J1217" s="37">
        <v>0</v>
      </c>
    </row>
    <row r="1218" spans="1:10" x14ac:dyDescent="0.25">
      <c r="A1218" t="s">
        <v>2883</v>
      </c>
      <c r="B1218" t="s">
        <v>2884</v>
      </c>
      <c r="C1218" t="s">
        <v>101</v>
      </c>
      <c r="D1218" t="s">
        <v>375</v>
      </c>
      <c r="E1218" s="36">
        <v>24000</v>
      </c>
      <c r="F1218" s="36">
        <v>27500</v>
      </c>
      <c r="G1218" s="36">
        <v>14400</v>
      </c>
      <c r="H1218" s="36">
        <v>16500</v>
      </c>
      <c r="I1218" s="37">
        <v>0</v>
      </c>
      <c r="J1218" s="37">
        <v>0</v>
      </c>
    </row>
    <row r="1219" spans="1:10" x14ac:dyDescent="0.25">
      <c r="A1219" t="s">
        <v>2885</v>
      </c>
      <c r="B1219" t="s">
        <v>2886</v>
      </c>
      <c r="C1219" t="s">
        <v>101</v>
      </c>
      <c r="D1219" t="s">
        <v>375</v>
      </c>
      <c r="E1219" s="36">
        <v>28000</v>
      </c>
      <c r="F1219" s="36">
        <v>32640</v>
      </c>
      <c r="G1219" s="36">
        <v>16800</v>
      </c>
      <c r="H1219" s="36">
        <v>19200</v>
      </c>
      <c r="I1219" s="37">
        <v>0</v>
      </c>
      <c r="J1219" s="37">
        <v>2.0000000000000021E-2</v>
      </c>
    </row>
    <row r="1220" spans="1:10" x14ac:dyDescent="0.25">
      <c r="A1220" t="s">
        <v>2887</v>
      </c>
      <c r="B1220" t="s">
        <v>2888</v>
      </c>
      <c r="C1220" t="s">
        <v>101</v>
      </c>
      <c r="D1220" t="s">
        <v>375</v>
      </c>
      <c r="E1220" s="36">
        <v>35000</v>
      </c>
      <c r="F1220" s="36">
        <v>40320</v>
      </c>
      <c r="G1220" s="36">
        <v>21000</v>
      </c>
      <c r="H1220" s="36">
        <v>24000</v>
      </c>
      <c r="I1220" s="37">
        <v>0</v>
      </c>
      <c r="J1220" s="37">
        <v>8.0000000000000071E-3</v>
      </c>
    </row>
    <row r="1221" spans="1:10" x14ac:dyDescent="0.25">
      <c r="A1221" t="s">
        <v>2889</v>
      </c>
      <c r="B1221" t="s">
        <v>2890</v>
      </c>
      <c r="C1221" t="s">
        <v>101</v>
      </c>
      <c r="D1221" t="s">
        <v>375</v>
      </c>
      <c r="E1221" s="36">
        <v>22000</v>
      </c>
      <c r="F1221" s="36">
        <v>25500</v>
      </c>
      <c r="G1221" s="36">
        <v>13200</v>
      </c>
      <c r="H1221" s="36">
        <v>15300</v>
      </c>
      <c r="I1221" s="37">
        <v>0</v>
      </c>
      <c r="J1221" s="37">
        <v>0</v>
      </c>
    </row>
    <row r="1222" spans="1:10" x14ac:dyDescent="0.25">
      <c r="A1222" t="s">
        <v>2891</v>
      </c>
      <c r="B1222" t="s">
        <v>2892</v>
      </c>
      <c r="C1222" t="s">
        <v>101</v>
      </c>
      <c r="D1222" t="s">
        <v>375</v>
      </c>
      <c r="E1222" s="36">
        <v>26000</v>
      </c>
      <c r="F1222" s="36">
        <v>30000</v>
      </c>
      <c r="G1222" s="36">
        <v>15600</v>
      </c>
      <c r="H1222" s="36">
        <v>18000</v>
      </c>
      <c r="I1222" s="37">
        <v>0</v>
      </c>
      <c r="J1222" s="37">
        <v>0</v>
      </c>
    </row>
    <row r="1223" spans="1:10" x14ac:dyDescent="0.25">
      <c r="A1223" t="s">
        <v>2893</v>
      </c>
      <c r="B1223" t="s">
        <v>2894</v>
      </c>
      <c r="C1223" t="s">
        <v>101</v>
      </c>
      <c r="D1223" t="s">
        <v>375</v>
      </c>
      <c r="E1223" s="36">
        <v>33000</v>
      </c>
      <c r="F1223" s="36">
        <v>38000</v>
      </c>
      <c r="G1223" s="36">
        <v>19800</v>
      </c>
      <c r="H1223" s="36">
        <v>22800</v>
      </c>
      <c r="I1223" s="37">
        <v>0</v>
      </c>
      <c r="J1223" s="37">
        <v>0</v>
      </c>
    </row>
    <row r="1224" spans="1:10" x14ac:dyDescent="0.25">
      <c r="A1224" t="s">
        <v>2895</v>
      </c>
      <c r="B1224" t="s">
        <v>2896</v>
      </c>
      <c r="C1224" t="s">
        <v>101</v>
      </c>
      <c r="D1224" t="s">
        <v>375</v>
      </c>
      <c r="E1224" s="36">
        <v>20000</v>
      </c>
      <c r="F1224" s="36">
        <v>23040</v>
      </c>
      <c r="G1224" s="36">
        <v>12000</v>
      </c>
      <c r="H1224" s="36">
        <v>13800</v>
      </c>
      <c r="I1224" s="37">
        <v>0</v>
      </c>
      <c r="J1224" s="37">
        <v>1.739130434782687E-3</v>
      </c>
    </row>
    <row r="1225" spans="1:10" x14ac:dyDescent="0.25">
      <c r="A1225" t="s">
        <v>2897</v>
      </c>
      <c r="B1225" t="s">
        <v>2898</v>
      </c>
      <c r="C1225" t="s">
        <v>101</v>
      </c>
      <c r="D1225" t="s">
        <v>375</v>
      </c>
      <c r="E1225" s="36">
        <v>24000</v>
      </c>
      <c r="F1225" s="36">
        <v>27500</v>
      </c>
      <c r="G1225" s="36">
        <v>14400</v>
      </c>
      <c r="H1225" s="36">
        <v>16500</v>
      </c>
      <c r="I1225" s="37">
        <v>0</v>
      </c>
      <c r="J1225" s="37">
        <v>0</v>
      </c>
    </row>
    <row r="1226" spans="1:10" x14ac:dyDescent="0.25">
      <c r="A1226" t="s">
        <v>2899</v>
      </c>
      <c r="B1226" t="s">
        <v>2900</v>
      </c>
      <c r="C1226" t="s">
        <v>101</v>
      </c>
      <c r="D1226" t="s">
        <v>375</v>
      </c>
      <c r="E1226" s="36">
        <v>30000</v>
      </c>
      <c r="F1226" s="36">
        <v>34500</v>
      </c>
      <c r="G1226" s="36">
        <v>18000</v>
      </c>
      <c r="H1226" s="36">
        <v>20700</v>
      </c>
      <c r="I1226" s="37">
        <v>0</v>
      </c>
      <c r="J1226" s="37">
        <v>0</v>
      </c>
    </row>
    <row r="1227" spans="1:10" x14ac:dyDescent="0.25">
      <c r="A1227" t="s">
        <v>2901</v>
      </c>
      <c r="B1227" t="s">
        <v>2902</v>
      </c>
      <c r="C1227" t="s">
        <v>101</v>
      </c>
      <c r="D1227" t="s">
        <v>375</v>
      </c>
      <c r="E1227" s="36">
        <v>14400</v>
      </c>
      <c r="F1227" s="36">
        <v>17280</v>
      </c>
      <c r="G1227" s="36">
        <v>8400</v>
      </c>
      <c r="H1227" s="36">
        <v>9600</v>
      </c>
      <c r="I1227" s="37">
        <v>2.857142857142847E-2</v>
      </c>
      <c r="J1227" s="37">
        <v>8.0000000000000071E-2</v>
      </c>
    </row>
    <row r="1228" spans="1:10" x14ac:dyDescent="0.25">
      <c r="A1228" t="s">
        <v>2903</v>
      </c>
      <c r="B1228" t="s">
        <v>2904</v>
      </c>
      <c r="C1228" t="s">
        <v>101</v>
      </c>
      <c r="D1228" t="s">
        <v>375</v>
      </c>
      <c r="E1228" s="36">
        <v>18000</v>
      </c>
      <c r="F1228" s="36">
        <v>21120</v>
      </c>
      <c r="G1228" s="36">
        <v>10800</v>
      </c>
      <c r="H1228" s="36">
        <v>12300</v>
      </c>
      <c r="I1228" s="37">
        <v>0</v>
      </c>
      <c r="J1228" s="37">
        <v>3.0243902439024421E-2</v>
      </c>
    </row>
    <row r="1229" spans="1:10" x14ac:dyDescent="0.25">
      <c r="A1229" t="s">
        <v>2905</v>
      </c>
      <c r="B1229" t="s">
        <v>2906</v>
      </c>
      <c r="C1229" t="s">
        <v>101</v>
      </c>
      <c r="D1229" t="s">
        <v>375</v>
      </c>
      <c r="E1229" s="36">
        <v>23000</v>
      </c>
      <c r="F1229" s="36">
        <v>26880</v>
      </c>
      <c r="G1229" s="36">
        <v>13800</v>
      </c>
      <c r="H1229" s="36">
        <v>15600</v>
      </c>
      <c r="I1229" s="37">
        <v>0</v>
      </c>
      <c r="J1229" s="37">
        <v>3.3846153846153859E-2</v>
      </c>
    </row>
    <row r="1230" spans="1:10" x14ac:dyDescent="0.25">
      <c r="A1230" t="s">
        <v>2907</v>
      </c>
      <c r="B1230" t="s">
        <v>2908</v>
      </c>
      <c r="C1230" t="s">
        <v>101</v>
      </c>
      <c r="D1230" t="s">
        <v>371</v>
      </c>
      <c r="E1230" s="36">
        <v>13000</v>
      </c>
      <c r="F1230" s="36">
        <v>15000</v>
      </c>
      <c r="G1230" s="36">
        <v>7800</v>
      </c>
      <c r="H1230" s="36">
        <v>9000</v>
      </c>
      <c r="I1230" s="37">
        <v>0</v>
      </c>
      <c r="J1230" s="37">
        <v>0</v>
      </c>
    </row>
    <row r="1231" spans="1:10" x14ac:dyDescent="0.25">
      <c r="A1231" t="s">
        <v>2909</v>
      </c>
      <c r="B1231" t="s">
        <v>2910</v>
      </c>
      <c r="C1231" t="s">
        <v>101</v>
      </c>
      <c r="D1231" t="s">
        <v>371</v>
      </c>
      <c r="E1231" s="36">
        <v>15000</v>
      </c>
      <c r="F1231" s="36">
        <v>17500</v>
      </c>
      <c r="G1231" s="36">
        <v>9000</v>
      </c>
      <c r="H1231" s="36">
        <v>10500</v>
      </c>
      <c r="I1231" s="37">
        <v>0</v>
      </c>
      <c r="J1231" s="37">
        <v>0</v>
      </c>
    </row>
    <row r="1232" spans="1:10" x14ac:dyDescent="0.25">
      <c r="A1232" t="s">
        <v>2911</v>
      </c>
      <c r="B1232" t="s">
        <v>2912</v>
      </c>
      <c r="C1232" t="s">
        <v>101</v>
      </c>
      <c r="D1232" t="s">
        <v>371</v>
      </c>
      <c r="E1232" s="36">
        <v>11000</v>
      </c>
      <c r="F1232" s="36">
        <v>12700</v>
      </c>
      <c r="G1232" s="36">
        <v>6600</v>
      </c>
      <c r="H1232" s="36">
        <v>7620</v>
      </c>
      <c r="I1232" s="37">
        <v>0</v>
      </c>
      <c r="J1232" s="37">
        <v>0</v>
      </c>
    </row>
    <row r="1233" spans="1:10" x14ac:dyDescent="0.25">
      <c r="A1233" t="s">
        <v>2913</v>
      </c>
      <c r="B1233" t="s">
        <v>2914</v>
      </c>
      <c r="C1233" t="s">
        <v>101</v>
      </c>
      <c r="D1233" t="s">
        <v>371</v>
      </c>
      <c r="E1233" s="36">
        <v>18000</v>
      </c>
      <c r="F1233" s="36">
        <v>21000</v>
      </c>
      <c r="G1233" s="36">
        <v>10800</v>
      </c>
      <c r="H1233" s="36">
        <v>12600</v>
      </c>
      <c r="I1233" s="37">
        <v>0</v>
      </c>
      <c r="J1233" s="37">
        <v>0</v>
      </c>
    </row>
    <row r="1234" spans="1:10" x14ac:dyDescent="0.25">
      <c r="A1234" t="s">
        <v>2915</v>
      </c>
      <c r="B1234" t="s">
        <v>2916</v>
      </c>
      <c r="C1234" t="s">
        <v>101</v>
      </c>
      <c r="D1234" t="s">
        <v>371</v>
      </c>
      <c r="E1234" s="36">
        <v>7500</v>
      </c>
      <c r="F1234" s="36">
        <v>8500</v>
      </c>
      <c r="G1234" s="36">
        <v>4500</v>
      </c>
      <c r="H1234" s="36">
        <v>5100</v>
      </c>
      <c r="I1234" s="37">
        <v>0</v>
      </c>
      <c r="J1234" s="37">
        <v>0</v>
      </c>
    </row>
    <row r="1235" spans="1:10" x14ac:dyDescent="0.25">
      <c r="A1235" t="s">
        <v>2917</v>
      </c>
      <c r="B1235" t="s">
        <v>2918</v>
      </c>
      <c r="C1235" t="s">
        <v>101</v>
      </c>
      <c r="D1235" t="s">
        <v>371</v>
      </c>
      <c r="E1235" s="36">
        <v>8500</v>
      </c>
      <c r="F1235" s="36">
        <v>9800</v>
      </c>
      <c r="G1235" s="36">
        <v>5100</v>
      </c>
      <c r="H1235" s="36">
        <v>5880</v>
      </c>
      <c r="I1235" s="37">
        <v>0</v>
      </c>
      <c r="J1235" s="37">
        <v>0</v>
      </c>
    </row>
    <row r="1236" spans="1:10" x14ac:dyDescent="0.25">
      <c r="A1236" t="s">
        <v>2919</v>
      </c>
      <c r="B1236" t="s">
        <v>2920</v>
      </c>
      <c r="C1236" t="s">
        <v>101</v>
      </c>
      <c r="D1236" t="s">
        <v>371</v>
      </c>
      <c r="E1236" s="36">
        <v>6000</v>
      </c>
      <c r="F1236" s="36">
        <v>7000</v>
      </c>
      <c r="G1236" s="36">
        <v>3600</v>
      </c>
      <c r="H1236" s="36">
        <v>4200</v>
      </c>
      <c r="I1236" s="37">
        <v>0</v>
      </c>
      <c r="J1236" s="37">
        <v>0</v>
      </c>
    </row>
    <row r="1237" spans="1:10" x14ac:dyDescent="0.25">
      <c r="A1237" t="s">
        <v>2921</v>
      </c>
      <c r="B1237" t="s">
        <v>2922</v>
      </c>
      <c r="C1237" t="s">
        <v>101</v>
      </c>
      <c r="D1237" t="s">
        <v>371</v>
      </c>
      <c r="E1237" s="36">
        <v>11000</v>
      </c>
      <c r="F1237" s="36">
        <v>12700</v>
      </c>
      <c r="G1237" s="36">
        <v>6600</v>
      </c>
      <c r="H1237" s="36">
        <v>7620</v>
      </c>
      <c r="I1237" s="37">
        <v>0</v>
      </c>
      <c r="J1237" s="37">
        <v>0</v>
      </c>
    </row>
    <row r="1238" spans="1:10" x14ac:dyDescent="0.25">
      <c r="A1238" t="s">
        <v>2923</v>
      </c>
      <c r="B1238" t="s">
        <v>2924</v>
      </c>
      <c r="C1238" t="s">
        <v>101</v>
      </c>
      <c r="D1238" t="s">
        <v>371</v>
      </c>
      <c r="E1238" s="36">
        <v>5000</v>
      </c>
      <c r="F1238" s="36">
        <v>5800</v>
      </c>
      <c r="G1238" s="36">
        <v>3000</v>
      </c>
      <c r="H1238" s="36">
        <v>3480</v>
      </c>
      <c r="I1238" s="37">
        <v>0</v>
      </c>
      <c r="J1238" s="37">
        <v>0</v>
      </c>
    </row>
    <row r="1239" spans="1:10" x14ac:dyDescent="0.25">
      <c r="A1239" t="s">
        <v>2925</v>
      </c>
      <c r="B1239" t="s">
        <v>2926</v>
      </c>
      <c r="C1239" t="s">
        <v>101</v>
      </c>
      <c r="D1239" t="s">
        <v>371</v>
      </c>
      <c r="E1239" s="36">
        <v>1500</v>
      </c>
      <c r="F1239" s="36">
        <v>1750</v>
      </c>
      <c r="G1239" s="36">
        <v>930</v>
      </c>
      <c r="H1239" s="36">
        <v>1085</v>
      </c>
      <c r="I1239" s="37">
        <v>0</v>
      </c>
      <c r="J1239" s="37">
        <v>0</v>
      </c>
    </row>
    <row r="1240" spans="1:10" x14ac:dyDescent="0.25">
      <c r="A1240" t="s">
        <v>2927</v>
      </c>
      <c r="B1240" t="s">
        <v>2928</v>
      </c>
      <c r="C1240" t="s">
        <v>101</v>
      </c>
      <c r="D1240" t="s">
        <v>371</v>
      </c>
      <c r="E1240" s="36">
        <v>1300</v>
      </c>
      <c r="F1240" s="36">
        <v>1500</v>
      </c>
      <c r="G1240" s="36">
        <v>806</v>
      </c>
      <c r="H1240" s="36">
        <v>930</v>
      </c>
      <c r="I1240" s="37">
        <v>0</v>
      </c>
      <c r="J1240" s="37">
        <v>0</v>
      </c>
    </row>
    <row r="1241" spans="1:10" x14ac:dyDescent="0.25">
      <c r="A1241" t="s">
        <v>2929</v>
      </c>
      <c r="B1241" t="s">
        <v>2930</v>
      </c>
      <c r="C1241" t="s">
        <v>101</v>
      </c>
      <c r="D1241" t="s">
        <v>371</v>
      </c>
      <c r="E1241" s="36">
        <v>2000</v>
      </c>
      <c r="F1241" s="36">
        <v>2300</v>
      </c>
      <c r="G1241" s="36">
        <v>1240</v>
      </c>
      <c r="H1241" s="36">
        <v>1426</v>
      </c>
      <c r="I1241" s="37">
        <v>0</v>
      </c>
      <c r="J1241" s="37">
        <v>0</v>
      </c>
    </row>
    <row r="1242" spans="1:10" x14ac:dyDescent="0.25">
      <c r="A1242" t="s">
        <v>2931</v>
      </c>
      <c r="B1242" t="s">
        <v>2932</v>
      </c>
      <c r="C1242" t="s">
        <v>101</v>
      </c>
      <c r="D1242" t="s">
        <v>379</v>
      </c>
      <c r="E1242" s="36">
        <v>4000</v>
      </c>
      <c r="F1242" s="36">
        <v>4600</v>
      </c>
      <c r="G1242" s="36">
        <v>2400</v>
      </c>
      <c r="H1242" s="36">
        <v>2760</v>
      </c>
      <c r="I1242" s="37">
        <v>0</v>
      </c>
      <c r="J1242" s="37">
        <v>0</v>
      </c>
    </row>
    <row r="1243" spans="1:10" x14ac:dyDescent="0.25">
      <c r="A1243" t="s">
        <v>2933</v>
      </c>
      <c r="B1243" t="s">
        <v>2934</v>
      </c>
      <c r="C1243" t="s">
        <v>101</v>
      </c>
      <c r="D1243" t="s">
        <v>371</v>
      </c>
      <c r="E1243" s="36">
        <v>2000</v>
      </c>
      <c r="F1243" s="36">
        <v>2300</v>
      </c>
      <c r="G1243" s="36">
        <v>1240</v>
      </c>
      <c r="H1243" s="36">
        <v>1426</v>
      </c>
      <c r="I1243" s="37">
        <v>0</v>
      </c>
      <c r="J1243" s="37">
        <v>0</v>
      </c>
    </row>
    <row r="1244" spans="1:10" x14ac:dyDescent="0.25">
      <c r="A1244" t="s">
        <v>2935</v>
      </c>
      <c r="B1244" t="s">
        <v>2936</v>
      </c>
      <c r="C1244" t="s">
        <v>101</v>
      </c>
      <c r="D1244" t="s">
        <v>371</v>
      </c>
      <c r="E1244" s="36">
        <v>2500</v>
      </c>
      <c r="F1244" s="36">
        <v>2900</v>
      </c>
      <c r="G1244" s="36">
        <v>1550</v>
      </c>
      <c r="H1244" s="36">
        <v>1798</v>
      </c>
      <c r="I1244" s="37">
        <v>0</v>
      </c>
      <c r="J1244" s="37">
        <v>0</v>
      </c>
    </row>
    <row r="1245" spans="1:10" x14ac:dyDescent="0.25">
      <c r="A1245" t="s">
        <v>2937</v>
      </c>
      <c r="B1245" t="s">
        <v>2938</v>
      </c>
      <c r="C1245" t="s">
        <v>101</v>
      </c>
      <c r="D1245" t="s">
        <v>371</v>
      </c>
      <c r="E1245" s="36">
        <v>1500</v>
      </c>
      <c r="F1245" s="36">
        <v>1700</v>
      </c>
      <c r="G1245" s="36">
        <v>930</v>
      </c>
      <c r="H1245" s="36">
        <v>1054</v>
      </c>
      <c r="I1245" s="37">
        <v>0</v>
      </c>
      <c r="J1245" s="37">
        <v>0</v>
      </c>
    </row>
    <row r="1246" spans="1:10" x14ac:dyDescent="0.25">
      <c r="A1246" t="s">
        <v>2939</v>
      </c>
      <c r="B1246" t="s">
        <v>2940</v>
      </c>
      <c r="C1246" t="s">
        <v>101</v>
      </c>
      <c r="D1246" t="s">
        <v>371</v>
      </c>
      <c r="E1246" s="36">
        <v>2000</v>
      </c>
      <c r="F1246" s="36">
        <v>2300</v>
      </c>
      <c r="G1246" s="36">
        <v>1240</v>
      </c>
      <c r="H1246" s="36">
        <v>1426</v>
      </c>
      <c r="I1246" s="37">
        <v>0</v>
      </c>
      <c r="J1246" s="37">
        <v>0</v>
      </c>
    </row>
    <row r="1247" spans="1:10" x14ac:dyDescent="0.25">
      <c r="A1247" t="s">
        <v>2941</v>
      </c>
      <c r="B1247" t="s">
        <v>2942</v>
      </c>
      <c r="C1247" t="s">
        <v>101</v>
      </c>
      <c r="D1247" t="s">
        <v>379</v>
      </c>
      <c r="E1247" s="36">
        <v>12000</v>
      </c>
      <c r="F1247" s="36">
        <v>14000</v>
      </c>
      <c r="G1247" s="36">
        <v>7200</v>
      </c>
      <c r="H1247" s="36">
        <v>8400</v>
      </c>
      <c r="I1247" s="37">
        <v>0</v>
      </c>
      <c r="J1247" s="37">
        <v>0</v>
      </c>
    </row>
    <row r="1248" spans="1:10" x14ac:dyDescent="0.25">
      <c r="A1248" t="s">
        <v>2943</v>
      </c>
      <c r="B1248" t="s">
        <v>2944</v>
      </c>
      <c r="C1248" t="s">
        <v>101</v>
      </c>
      <c r="D1248" t="s">
        <v>371</v>
      </c>
      <c r="E1248" s="36">
        <v>700</v>
      </c>
      <c r="F1248" s="36">
        <v>800</v>
      </c>
      <c r="G1248" s="36">
        <v>434</v>
      </c>
      <c r="H1248" s="36">
        <v>496</v>
      </c>
      <c r="I1248" s="37">
        <v>0</v>
      </c>
      <c r="J1248" s="37">
        <v>0</v>
      </c>
    </row>
    <row r="1249" spans="1:10" x14ac:dyDescent="0.25">
      <c r="A1249" t="s">
        <v>2945</v>
      </c>
      <c r="B1249" t="s">
        <v>2946</v>
      </c>
      <c r="C1249" t="s">
        <v>89</v>
      </c>
      <c r="D1249" t="s">
        <v>371</v>
      </c>
      <c r="E1249" s="36">
        <v>454</v>
      </c>
      <c r="F1249" s="36">
        <v>544</v>
      </c>
      <c r="G1249" s="36">
        <v>270</v>
      </c>
      <c r="H1249" s="36">
        <v>312</v>
      </c>
      <c r="I1249" s="37">
        <v>8.8888888888889461E-3</v>
      </c>
      <c r="J1249" s="37">
        <v>4.6153846153846212E-2</v>
      </c>
    </row>
    <row r="1250" spans="1:10" x14ac:dyDescent="0.25">
      <c r="A1250" t="s">
        <v>2947</v>
      </c>
      <c r="B1250" t="s">
        <v>2948</v>
      </c>
      <c r="C1250" t="s">
        <v>101</v>
      </c>
      <c r="D1250" t="s">
        <v>375</v>
      </c>
      <c r="E1250" s="36">
        <v>1200</v>
      </c>
      <c r="F1250" s="36">
        <v>1400</v>
      </c>
      <c r="G1250" s="36">
        <v>720</v>
      </c>
      <c r="H1250" s="36">
        <v>840</v>
      </c>
      <c r="I1250" s="37">
        <v>0</v>
      </c>
      <c r="J1250" s="37">
        <v>0</v>
      </c>
    </row>
    <row r="1251" spans="1:10" x14ac:dyDescent="0.25">
      <c r="A1251" t="s">
        <v>2949</v>
      </c>
      <c r="B1251" t="s">
        <v>2950</v>
      </c>
      <c r="C1251" t="s">
        <v>2951</v>
      </c>
      <c r="D1251" t="s">
        <v>375</v>
      </c>
      <c r="E1251" s="36">
        <v>250</v>
      </c>
      <c r="F1251" s="36">
        <v>300</v>
      </c>
      <c r="G1251" s="36">
        <v>150</v>
      </c>
      <c r="H1251" s="36">
        <v>180</v>
      </c>
      <c r="I1251" s="37">
        <v>0</v>
      </c>
      <c r="J1251" s="37">
        <v>0</v>
      </c>
    </row>
    <row r="1252" spans="1:10" x14ac:dyDescent="0.25">
      <c r="A1252" t="s">
        <v>2952</v>
      </c>
      <c r="B1252" t="s">
        <v>2953</v>
      </c>
      <c r="C1252" t="s">
        <v>101</v>
      </c>
      <c r="D1252" t="s">
        <v>375</v>
      </c>
      <c r="E1252" s="36">
        <v>1000</v>
      </c>
      <c r="F1252" s="36">
        <v>1150</v>
      </c>
      <c r="G1252" s="36">
        <v>600</v>
      </c>
      <c r="H1252" s="36">
        <v>690</v>
      </c>
      <c r="I1252" s="37">
        <v>0</v>
      </c>
      <c r="J1252" s="37">
        <v>0</v>
      </c>
    </row>
    <row r="1253" spans="1:10" x14ac:dyDescent="0.25">
      <c r="A1253" t="s">
        <v>2954</v>
      </c>
      <c r="B1253" t="s">
        <v>2955</v>
      </c>
      <c r="C1253" t="s">
        <v>101</v>
      </c>
      <c r="D1253" t="s">
        <v>375</v>
      </c>
      <c r="E1253" s="36">
        <v>600</v>
      </c>
      <c r="F1253" s="36">
        <v>700</v>
      </c>
      <c r="G1253" s="36">
        <v>360</v>
      </c>
      <c r="H1253" s="36">
        <v>420</v>
      </c>
      <c r="I1253" s="37">
        <v>0</v>
      </c>
      <c r="J1253" s="37">
        <v>0</v>
      </c>
    </row>
    <row r="1254" spans="1:10" x14ac:dyDescent="0.25">
      <c r="A1254" t="s">
        <v>2956</v>
      </c>
      <c r="B1254" t="s">
        <v>2957</v>
      </c>
      <c r="C1254" t="s">
        <v>101</v>
      </c>
      <c r="D1254" t="s">
        <v>375</v>
      </c>
      <c r="E1254" s="36">
        <v>4500</v>
      </c>
      <c r="F1254" s="36">
        <v>5200</v>
      </c>
      <c r="G1254" s="36">
        <v>2700</v>
      </c>
      <c r="H1254" s="36">
        <v>3120</v>
      </c>
      <c r="I1254" s="37">
        <v>0</v>
      </c>
      <c r="J1254" s="37">
        <v>0</v>
      </c>
    </row>
    <row r="1255" spans="1:10" x14ac:dyDescent="0.25">
      <c r="A1255" t="s">
        <v>2958</v>
      </c>
      <c r="B1255" t="s">
        <v>2959</v>
      </c>
      <c r="C1255" t="s">
        <v>101</v>
      </c>
      <c r="D1255" t="s">
        <v>375</v>
      </c>
      <c r="E1255" s="36">
        <v>6000</v>
      </c>
      <c r="F1255" s="36">
        <v>7000</v>
      </c>
      <c r="G1255" s="36">
        <v>3600</v>
      </c>
      <c r="H1255" s="36">
        <v>4200</v>
      </c>
      <c r="I1255" s="37">
        <v>0</v>
      </c>
      <c r="J1255" s="37">
        <v>0</v>
      </c>
    </row>
    <row r="1256" spans="1:10" x14ac:dyDescent="0.25">
      <c r="A1256" t="s">
        <v>2960</v>
      </c>
      <c r="B1256" t="s">
        <v>2961</v>
      </c>
      <c r="C1256" t="s">
        <v>101</v>
      </c>
      <c r="D1256" t="s">
        <v>375</v>
      </c>
      <c r="E1256" s="36">
        <v>9600</v>
      </c>
      <c r="F1256" s="36">
        <v>11520</v>
      </c>
      <c r="G1256" s="36">
        <v>5400</v>
      </c>
      <c r="H1256" s="36">
        <v>6300</v>
      </c>
      <c r="I1256" s="37">
        <v>6.6666666666666652E-2</v>
      </c>
      <c r="J1256" s="37">
        <v>9.7142857142857197E-2</v>
      </c>
    </row>
    <row r="1257" spans="1:10" x14ac:dyDescent="0.25">
      <c r="A1257" t="s">
        <v>2962</v>
      </c>
      <c r="B1257" t="s">
        <v>2963</v>
      </c>
      <c r="C1257" t="s">
        <v>101</v>
      </c>
      <c r="D1257" t="s">
        <v>371</v>
      </c>
      <c r="E1257" s="36">
        <v>5000</v>
      </c>
      <c r="F1257" s="36">
        <v>6000</v>
      </c>
      <c r="G1257" s="36">
        <v>3000</v>
      </c>
      <c r="H1257" s="36">
        <v>3600</v>
      </c>
      <c r="I1257" s="37">
        <v>0</v>
      </c>
      <c r="J1257" s="37">
        <v>0</v>
      </c>
    </row>
    <row r="1258" spans="1:10" x14ac:dyDescent="0.25">
      <c r="A1258" t="s">
        <v>2964</v>
      </c>
      <c r="B1258" t="s">
        <v>2965</v>
      </c>
      <c r="C1258" t="s">
        <v>101</v>
      </c>
      <c r="D1258" t="s">
        <v>371</v>
      </c>
      <c r="E1258" s="36">
        <v>12000</v>
      </c>
      <c r="F1258" s="36">
        <v>13500</v>
      </c>
      <c r="G1258" s="36">
        <v>7200</v>
      </c>
      <c r="H1258" s="36">
        <v>8100</v>
      </c>
      <c r="I1258" s="37">
        <v>0</v>
      </c>
      <c r="J1258" s="37">
        <v>0</v>
      </c>
    </row>
    <row r="1259" spans="1:10" x14ac:dyDescent="0.25">
      <c r="A1259" t="s">
        <v>2966</v>
      </c>
      <c r="B1259" t="s">
        <v>2967</v>
      </c>
      <c r="C1259" t="s">
        <v>229</v>
      </c>
      <c r="D1259" t="s">
        <v>371</v>
      </c>
      <c r="E1259" s="36">
        <v>284</v>
      </c>
      <c r="F1259" s="36">
        <v>340</v>
      </c>
      <c r="G1259" s="36">
        <v>150</v>
      </c>
      <c r="H1259" s="36">
        <v>180</v>
      </c>
      <c r="I1259" s="37">
        <v>0.1359999999999999</v>
      </c>
      <c r="J1259" s="37">
        <v>0.1333333333333333</v>
      </c>
    </row>
    <row r="1260" spans="1:10" x14ac:dyDescent="0.25">
      <c r="A1260" t="s">
        <v>2968</v>
      </c>
      <c r="B1260" t="s">
        <v>2969</v>
      </c>
      <c r="C1260" t="s">
        <v>101</v>
      </c>
      <c r="D1260" t="s">
        <v>371</v>
      </c>
      <c r="E1260" s="36">
        <v>700</v>
      </c>
      <c r="F1260" s="36">
        <v>800</v>
      </c>
      <c r="G1260" s="36">
        <v>420</v>
      </c>
      <c r="H1260" s="36">
        <v>480</v>
      </c>
      <c r="I1260" s="37">
        <v>0</v>
      </c>
      <c r="J1260" s="37">
        <v>0</v>
      </c>
    </row>
    <row r="1261" spans="1:10" x14ac:dyDescent="0.25">
      <c r="A1261" t="s">
        <v>2970</v>
      </c>
      <c r="B1261" t="s">
        <v>2971</v>
      </c>
      <c r="C1261" t="s">
        <v>101</v>
      </c>
      <c r="D1261" t="s">
        <v>371</v>
      </c>
      <c r="E1261" s="36">
        <v>3500</v>
      </c>
      <c r="F1261" s="36">
        <v>4500</v>
      </c>
      <c r="G1261" s="36">
        <v>2100</v>
      </c>
      <c r="H1261" s="36">
        <v>2700</v>
      </c>
      <c r="I1261" s="37">
        <v>0</v>
      </c>
      <c r="J1261" s="37">
        <v>0</v>
      </c>
    </row>
    <row r="1262" spans="1:10" x14ac:dyDescent="0.25">
      <c r="A1262" t="s">
        <v>2972</v>
      </c>
      <c r="B1262" t="s">
        <v>2973</v>
      </c>
      <c r="C1262" t="s">
        <v>89</v>
      </c>
      <c r="D1262" t="s">
        <v>371</v>
      </c>
      <c r="E1262" s="36">
        <v>600</v>
      </c>
      <c r="F1262" s="36">
        <v>700</v>
      </c>
      <c r="G1262" s="36">
        <v>360</v>
      </c>
      <c r="H1262" s="36">
        <v>420</v>
      </c>
      <c r="I1262" s="37">
        <v>0</v>
      </c>
      <c r="J1262" s="37">
        <v>0</v>
      </c>
    </row>
    <row r="1263" spans="1:10" x14ac:dyDescent="0.25">
      <c r="A1263" t="s">
        <v>2974</v>
      </c>
      <c r="B1263" t="s">
        <v>2975</v>
      </c>
      <c r="C1263" t="s">
        <v>101</v>
      </c>
      <c r="D1263" t="s">
        <v>371</v>
      </c>
      <c r="E1263" s="36">
        <v>5500</v>
      </c>
      <c r="F1263" s="36">
        <v>6000</v>
      </c>
      <c r="G1263" s="36">
        <v>3300</v>
      </c>
      <c r="H1263" s="36">
        <v>3600</v>
      </c>
      <c r="I1263" s="37">
        <v>0</v>
      </c>
      <c r="J1263" s="37">
        <v>0</v>
      </c>
    </row>
    <row r="1264" spans="1:10" x14ac:dyDescent="0.25">
      <c r="A1264" t="s">
        <v>2976</v>
      </c>
      <c r="B1264" t="s">
        <v>2977</v>
      </c>
      <c r="C1264" t="s">
        <v>101</v>
      </c>
      <c r="D1264" t="s">
        <v>371</v>
      </c>
      <c r="E1264" s="36">
        <v>7000</v>
      </c>
      <c r="F1264" s="36">
        <v>7500</v>
      </c>
      <c r="G1264" s="36">
        <v>4200</v>
      </c>
      <c r="H1264" s="36">
        <v>4500</v>
      </c>
      <c r="I1264" s="37">
        <v>0</v>
      </c>
      <c r="J1264" s="37">
        <v>0</v>
      </c>
    </row>
    <row r="1265" spans="1:10" x14ac:dyDescent="0.25">
      <c r="A1265" t="s">
        <v>2978</v>
      </c>
      <c r="B1265" t="s">
        <v>2979</v>
      </c>
      <c r="C1265" t="s">
        <v>101</v>
      </c>
      <c r="D1265" t="s">
        <v>371</v>
      </c>
      <c r="E1265" s="36">
        <v>2500</v>
      </c>
      <c r="F1265" s="36">
        <v>2800</v>
      </c>
      <c r="G1265" s="36">
        <v>1500</v>
      </c>
      <c r="H1265" s="36">
        <v>1680</v>
      </c>
      <c r="I1265" s="37">
        <v>0</v>
      </c>
      <c r="J1265" s="37">
        <v>0</v>
      </c>
    </row>
    <row r="1266" spans="1:10" x14ac:dyDescent="0.25">
      <c r="A1266" t="s">
        <v>2980</v>
      </c>
      <c r="B1266" t="s">
        <v>2981</v>
      </c>
      <c r="C1266" t="s">
        <v>101</v>
      </c>
      <c r="D1266" t="s">
        <v>371</v>
      </c>
      <c r="E1266" s="36">
        <v>2800</v>
      </c>
      <c r="F1266" s="36">
        <v>3200</v>
      </c>
      <c r="G1266" s="36">
        <v>1680</v>
      </c>
      <c r="H1266" s="36">
        <v>1920</v>
      </c>
      <c r="I1266" s="37">
        <v>0</v>
      </c>
      <c r="J1266" s="37">
        <v>0</v>
      </c>
    </row>
    <row r="1267" spans="1:10" x14ac:dyDescent="0.25">
      <c r="A1267" t="s">
        <v>2982</v>
      </c>
      <c r="B1267" t="s">
        <v>2983</v>
      </c>
      <c r="C1267" t="s">
        <v>240</v>
      </c>
      <c r="D1267" t="s">
        <v>371</v>
      </c>
      <c r="E1267" s="36">
        <v>800</v>
      </c>
      <c r="F1267" s="36">
        <v>950</v>
      </c>
      <c r="G1267" s="36">
        <v>480</v>
      </c>
      <c r="H1267" s="36">
        <v>570</v>
      </c>
      <c r="I1267" s="37">
        <v>0</v>
      </c>
      <c r="J1267" s="37">
        <v>0</v>
      </c>
    </row>
    <row r="1268" spans="1:10" x14ac:dyDescent="0.25">
      <c r="A1268" t="s">
        <v>2984</v>
      </c>
      <c r="B1268" t="s">
        <v>2985</v>
      </c>
      <c r="C1268" t="s">
        <v>101</v>
      </c>
      <c r="D1268" t="s">
        <v>375</v>
      </c>
      <c r="E1268" s="36">
        <v>8000</v>
      </c>
      <c r="F1268" s="36">
        <v>9200</v>
      </c>
      <c r="G1268" s="36">
        <v>4800</v>
      </c>
      <c r="H1268" s="36">
        <v>5520</v>
      </c>
      <c r="I1268" s="37">
        <v>0</v>
      </c>
      <c r="J1268" s="37">
        <v>0</v>
      </c>
    </row>
    <row r="1269" spans="1:10" x14ac:dyDescent="0.25">
      <c r="A1269" t="s">
        <v>2986</v>
      </c>
      <c r="B1269" t="s">
        <v>2987</v>
      </c>
      <c r="C1269" t="s">
        <v>101</v>
      </c>
      <c r="D1269" t="s">
        <v>375</v>
      </c>
      <c r="E1269" s="36">
        <v>13000</v>
      </c>
      <c r="F1269" s="36">
        <v>15000</v>
      </c>
      <c r="G1269" s="36">
        <v>7800</v>
      </c>
      <c r="H1269" s="36">
        <v>9000</v>
      </c>
      <c r="I1269" s="37">
        <v>0</v>
      </c>
      <c r="J1269" s="37">
        <v>0</v>
      </c>
    </row>
    <row r="1270" spans="1:10" x14ac:dyDescent="0.25">
      <c r="A1270" t="s">
        <v>2988</v>
      </c>
      <c r="B1270" t="s">
        <v>2989</v>
      </c>
      <c r="C1270" t="s">
        <v>2990</v>
      </c>
      <c r="D1270" t="s">
        <v>383</v>
      </c>
      <c r="E1270" s="36">
        <v>14934</v>
      </c>
      <c r="F1270" s="36">
        <v>17920</v>
      </c>
      <c r="G1270" s="36">
        <v>7200</v>
      </c>
      <c r="H1270" s="36">
        <v>8400</v>
      </c>
      <c r="I1270" s="37">
        <v>0.24449999999999991</v>
      </c>
      <c r="J1270" s="37">
        <v>0.28000000000000003</v>
      </c>
    </row>
    <row r="1271" spans="1:10" x14ac:dyDescent="0.25">
      <c r="A1271" t="s">
        <v>2991</v>
      </c>
      <c r="B1271" t="s">
        <v>2992</v>
      </c>
      <c r="C1271" t="s">
        <v>2990</v>
      </c>
      <c r="D1271" t="s">
        <v>383</v>
      </c>
      <c r="E1271" s="36">
        <v>11200</v>
      </c>
      <c r="F1271" s="36">
        <v>13440</v>
      </c>
      <c r="G1271" s="36">
        <v>4800</v>
      </c>
      <c r="H1271" s="36">
        <v>5700</v>
      </c>
      <c r="I1271" s="37">
        <v>0.39999999999999991</v>
      </c>
      <c r="J1271" s="37">
        <v>0.41473684210526313</v>
      </c>
    </row>
    <row r="1272" spans="1:10" x14ac:dyDescent="0.25">
      <c r="A1272" t="s">
        <v>2993</v>
      </c>
      <c r="B1272" t="s">
        <v>2994</v>
      </c>
      <c r="C1272" t="s">
        <v>101</v>
      </c>
      <c r="D1272" t="s">
        <v>371</v>
      </c>
      <c r="E1272" s="36">
        <v>2000</v>
      </c>
      <c r="F1272" s="36">
        <v>2300</v>
      </c>
      <c r="G1272" s="36">
        <v>1200</v>
      </c>
      <c r="H1272" s="36">
        <v>1380</v>
      </c>
      <c r="I1272" s="37">
        <v>0</v>
      </c>
      <c r="J1272" s="37">
        <v>0</v>
      </c>
    </row>
    <row r="1273" spans="1:10" x14ac:dyDescent="0.25">
      <c r="A1273" t="s">
        <v>2995</v>
      </c>
      <c r="B1273" t="s">
        <v>2996</v>
      </c>
      <c r="C1273" t="s">
        <v>101</v>
      </c>
      <c r="D1273" t="s">
        <v>359</v>
      </c>
      <c r="E1273" s="36">
        <v>9000</v>
      </c>
      <c r="F1273" s="36">
        <v>10500</v>
      </c>
      <c r="G1273" s="36">
        <v>5400</v>
      </c>
      <c r="H1273" s="36">
        <v>6300</v>
      </c>
      <c r="I1273" s="37">
        <v>0</v>
      </c>
      <c r="J1273" s="37">
        <v>0</v>
      </c>
    </row>
    <row r="1274" spans="1:10" x14ac:dyDescent="0.25">
      <c r="A1274" t="s">
        <v>2997</v>
      </c>
      <c r="B1274" t="s">
        <v>2998</v>
      </c>
      <c r="C1274" t="s">
        <v>101</v>
      </c>
      <c r="D1274" t="s">
        <v>375</v>
      </c>
      <c r="E1274" s="36">
        <v>1500</v>
      </c>
      <c r="F1274" s="36">
        <v>1700</v>
      </c>
      <c r="G1274" s="36">
        <v>900</v>
      </c>
      <c r="H1274" s="36">
        <v>1020</v>
      </c>
      <c r="I1274" s="37">
        <v>0</v>
      </c>
      <c r="J1274" s="37">
        <v>0</v>
      </c>
    </row>
    <row r="1275" spans="1:10" x14ac:dyDescent="0.25">
      <c r="A1275" t="s">
        <v>2999</v>
      </c>
      <c r="B1275" t="s">
        <v>3000</v>
      </c>
      <c r="C1275" t="s">
        <v>229</v>
      </c>
      <c r="D1275" t="s">
        <v>375</v>
      </c>
      <c r="E1275" s="36">
        <v>480</v>
      </c>
      <c r="F1275" s="36">
        <v>576</v>
      </c>
      <c r="G1275" s="36">
        <v>270</v>
      </c>
      <c r="H1275" s="36">
        <v>300</v>
      </c>
      <c r="I1275" s="37">
        <v>6.6666666666666652E-2</v>
      </c>
      <c r="J1275" s="37">
        <v>0.15199999999999991</v>
      </c>
    </row>
    <row r="1276" spans="1:10" x14ac:dyDescent="0.25">
      <c r="A1276" t="s">
        <v>3001</v>
      </c>
      <c r="B1276" t="s">
        <v>3002</v>
      </c>
      <c r="C1276" t="s">
        <v>101</v>
      </c>
      <c r="D1276" t="s">
        <v>375</v>
      </c>
      <c r="E1276" s="36">
        <v>2500</v>
      </c>
      <c r="F1276" s="36">
        <v>2900</v>
      </c>
      <c r="G1276" s="36">
        <v>1500</v>
      </c>
      <c r="H1276" s="36">
        <v>1740</v>
      </c>
      <c r="I1276" s="37">
        <v>0</v>
      </c>
      <c r="J1276" s="37">
        <v>0</v>
      </c>
    </row>
    <row r="1277" spans="1:10" x14ac:dyDescent="0.25">
      <c r="A1277" t="s">
        <v>3003</v>
      </c>
      <c r="B1277" t="s">
        <v>3004</v>
      </c>
      <c r="C1277" t="s">
        <v>101</v>
      </c>
      <c r="D1277" t="s">
        <v>375</v>
      </c>
      <c r="E1277" s="36">
        <v>12000</v>
      </c>
      <c r="F1277" s="36">
        <v>14000</v>
      </c>
      <c r="G1277" s="36">
        <v>7200</v>
      </c>
      <c r="H1277" s="36">
        <v>8400</v>
      </c>
      <c r="I1277" s="37">
        <v>0</v>
      </c>
      <c r="J1277" s="37">
        <v>0</v>
      </c>
    </row>
    <row r="1278" spans="1:10" x14ac:dyDescent="0.25">
      <c r="A1278" t="s">
        <v>3005</v>
      </c>
      <c r="B1278" t="s">
        <v>3006</v>
      </c>
      <c r="C1278" t="s">
        <v>101</v>
      </c>
      <c r="D1278" t="s">
        <v>375</v>
      </c>
      <c r="E1278" s="36">
        <v>4000</v>
      </c>
      <c r="F1278" s="36">
        <v>4600</v>
      </c>
      <c r="G1278" s="36">
        <v>2400</v>
      </c>
      <c r="H1278" s="36">
        <v>2760</v>
      </c>
      <c r="I1278" s="37">
        <v>0</v>
      </c>
      <c r="J1278" s="37">
        <v>0</v>
      </c>
    </row>
    <row r="1279" spans="1:10" x14ac:dyDescent="0.25">
      <c r="A1279" t="s">
        <v>3007</v>
      </c>
      <c r="B1279" t="s">
        <v>3008</v>
      </c>
      <c r="C1279" t="s">
        <v>101</v>
      </c>
      <c r="D1279" t="s">
        <v>375</v>
      </c>
      <c r="E1279" s="36">
        <v>6000</v>
      </c>
      <c r="F1279" s="36">
        <v>7000</v>
      </c>
      <c r="G1279" s="36">
        <v>3600</v>
      </c>
      <c r="H1279" s="36">
        <v>4200</v>
      </c>
      <c r="I1279" s="37">
        <v>0</v>
      </c>
      <c r="J1279" s="37">
        <v>0</v>
      </c>
    </row>
    <row r="1280" spans="1:10" x14ac:dyDescent="0.25">
      <c r="A1280" t="s">
        <v>3009</v>
      </c>
      <c r="B1280" t="s">
        <v>3010</v>
      </c>
      <c r="C1280" t="s">
        <v>101</v>
      </c>
      <c r="D1280" t="s">
        <v>375</v>
      </c>
      <c r="E1280" s="36">
        <v>2000</v>
      </c>
      <c r="F1280" s="36">
        <v>2300</v>
      </c>
      <c r="G1280" s="36">
        <v>1200</v>
      </c>
      <c r="H1280" s="36">
        <v>1380</v>
      </c>
      <c r="I1280" s="37">
        <v>0</v>
      </c>
      <c r="J1280" s="37">
        <v>0</v>
      </c>
    </row>
    <row r="1281" spans="1:10" x14ac:dyDescent="0.25">
      <c r="A1281" t="s">
        <v>3011</v>
      </c>
      <c r="B1281" t="s">
        <v>3012</v>
      </c>
      <c r="C1281" t="s">
        <v>229</v>
      </c>
      <c r="D1281" t="s">
        <v>402</v>
      </c>
      <c r="E1281" s="36">
        <v>50</v>
      </c>
      <c r="F1281" s="36">
        <v>60</v>
      </c>
      <c r="G1281" s="36">
        <v>30</v>
      </c>
      <c r="H1281" s="36">
        <v>36</v>
      </c>
      <c r="I1281" s="37">
        <v>0</v>
      </c>
      <c r="J1281" s="37">
        <v>0</v>
      </c>
    </row>
    <row r="1282" spans="1:10" x14ac:dyDescent="0.25">
      <c r="A1282" t="s">
        <v>3013</v>
      </c>
      <c r="B1282" t="s">
        <v>3014</v>
      </c>
      <c r="C1282" t="s">
        <v>101</v>
      </c>
      <c r="D1282" t="s">
        <v>402</v>
      </c>
      <c r="E1282" s="36">
        <v>1200</v>
      </c>
      <c r="F1282" s="36">
        <v>1400</v>
      </c>
      <c r="G1282" s="36">
        <v>720</v>
      </c>
      <c r="H1282" s="36">
        <v>840</v>
      </c>
      <c r="I1282" s="37">
        <v>0</v>
      </c>
      <c r="J1282" s="37">
        <v>0</v>
      </c>
    </row>
    <row r="1283" spans="1:10" x14ac:dyDescent="0.25">
      <c r="A1283" t="s">
        <v>3015</v>
      </c>
      <c r="B1283" t="s">
        <v>3016</v>
      </c>
      <c r="C1283" t="s">
        <v>101</v>
      </c>
      <c r="D1283" t="s">
        <v>379</v>
      </c>
      <c r="E1283" s="36">
        <v>1000</v>
      </c>
      <c r="F1283" s="36">
        <v>1150</v>
      </c>
      <c r="G1283" s="36">
        <v>600</v>
      </c>
      <c r="H1283" s="36">
        <v>690</v>
      </c>
      <c r="I1283" s="37">
        <v>0</v>
      </c>
      <c r="J1283" s="37">
        <v>0</v>
      </c>
    </row>
    <row r="1284" spans="1:10" x14ac:dyDescent="0.25">
      <c r="A1284" t="s">
        <v>3017</v>
      </c>
      <c r="B1284" t="s">
        <v>3018</v>
      </c>
      <c r="C1284" t="s">
        <v>101</v>
      </c>
      <c r="D1284" t="s">
        <v>379</v>
      </c>
      <c r="E1284" s="36">
        <v>2000</v>
      </c>
      <c r="F1284" s="36">
        <v>2400</v>
      </c>
      <c r="G1284" s="36">
        <v>1250</v>
      </c>
      <c r="H1284" s="36">
        <v>1500</v>
      </c>
      <c r="I1284" s="37">
        <v>0</v>
      </c>
      <c r="J1284" s="37">
        <v>0</v>
      </c>
    </row>
    <row r="1285" spans="1:10" x14ac:dyDescent="0.25">
      <c r="A1285" t="s">
        <v>3019</v>
      </c>
      <c r="B1285" t="s">
        <v>3020</v>
      </c>
      <c r="C1285" t="s">
        <v>101</v>
      </c>
      <c r="D1285" t="s">
        <v>379</v>
      </c>
      <c r="E1285" s="36">
        <v>1100</v>
      </c>
      <c r="F1285" s="36">
        <v>1300</v>
      </c>
      <c r="G1285" s="36">
        <v>700</v>
      </c>
      <c r="H1285" s="36">
        <v>820</v>
      </c>
      <c r="I1285" s="37">
        <v>0</v>
      </c>
      <c r="J1285" s="37">
        <v>0</v>
      </c>
    </row>
    <row r="1286" spans="1:10" x14ac:dyDescent="0.25">
      <c r="A1286" t="s">
        <v>3021</v>
      </c>
      <c r="B1286" t="s">
        <v>3022</v>
      </c>
      <c r="C1286" t="s">
        <v>101</v>
      </c>
      <c r="D1286" t="s">
        <v>379</v>
      </c>
      <c r="E1286" s="36">
        <v>3800</v>
      </c>
      <c r="F1286" s="36">
        <v>4500</v>
      </c>
      <c r="G1286" s="36">
        <v>2400</v>
      </c>
      <c r="H1286" s="36">
        <v>2850</v>
      </c>
      <c r="I1286" s="37">
        <v>0</v>
      </c>
      <c r="J1286" s="37">
        <v>0</v>
      </c>
    </row>
    <row r="1287" spans="1:10" x14ac:dyDescent="0.25">
      <c r="A1287" t="s">
        <v>3023</v>
      </c>
      <c r="B1287" t="s">
        <v>3024</v>
      </c>
      <c r="C1287" t="s">
        <v>101</v>
      </c>
      <c r="D1287" t="s">
        <v>379</v>
      </c>
      <c r="E1287" s="36">
        <v>5500</v>
      </c>
      <c r="F1287" s="36">
        <v>6500</v>
      </c>
      <c r="G1287" s="36">
        <v>3500</v>
      </c>
      <c r="H1287" s="36">
        <v>4100</v>
      </c>
      <c r="I1287" s="37">
        <v>0</v>
      </c>
      <c r="J1287" s="37">
        <v>0</v>
      </c>
    </row>
    <row r="1288" spans="1:10" x14ac:dyDescent="0.25">
      <c r="A1288" t="s">
        <v>3025</v>
      </c>
      <c r="B1288" t="s">
        <v>3026</v>
      </c>
      <c r="C1288" t="s">
        <v>101</v>
      </c>
      <c r="D1288" t="s">
        <v>379</v>
      </c>
      <c r="E1288" s="36">
        <v>7500</v>
      </c>
      <c r="F1288" s="36">
        <v>8800</v>
      </c>
      <c r="G1288" s="36">
        <v>4800</v>
      </c>
      <c r="H1288" s="36">
        <v>5600</v>
      </c>
      <c r="I1288" s="37">
        <v>0</v>
      </c>
      <c r="J1288" s="37">
        <v>0</v>
      </c>
    </row>
    <row r="1289" spans="1:10" x14ac:dyDescent="0.25">
      <c r="A1289" t="s">
        <v>3027</v>
      </c>
      <c r="B1289" t="s">
        <v>3028</v>
      </c>
      <c r="C1289" t="s">
        <v>101</v>
      </c>
      <c r="D1289" t="s">
        <v>379</v>
      </c>
      <c r="E1289" s="36">
        <v>3500</v>
      </c>
      <c r="F1289" s="36">
        <v>4100</v>
      </c>
      <c r="G1289" s="36">
        <v>2200</v>
      </c>
      <c r="H1289" s="36">
        <v>2600</v>
      </c>
      <c r="I1289" s="37">
        <v>0</v>
      </c>
      <c r="J1289" s="37">
        <v>0</v>
      </c>
    </row>
    <row r="1290" spans="1:10" x14ac:dyDescent="0.25">
      <c r="A1290" t="s">
        <v>3029</v>
      </c>
      <c r="B1290" t="s">
        <v>3030</v>
      </c>
      <c r="C1290" t="s">
        <v>101</v>
      </c>
      <c r="D1290" t="s">
        <v>379</v>
      </c>
      <c r="E1290" s="36">
        <v>300</v>
      </c>
      <c r="F1290" s="36">
        <v>350</v>
      </c>
      <c r="G1290" s="36">
        <v>180</v>
      </c>
      <c r="H1290" s="36">
        <v>210</v>
      </c>
      <c r="I1290" s="37">
        <v>0</v>
      </c>
      <c r="J1290" s="37">
        <v>0</v>
      </c>
    </row>
    <row r="1291" spans="1:10" x14ac:dyDescent="0.25">
      <c r="A1291" t="s">
        <v>3031</v>
      </c>
      <c r="B1291" t="s">
        <v>3032</v>
      </c>
      <c r="C1291" t="s">
        <v>101</v>
      </c>
      <c r="D1291" t="s">
        <v>379</v>
      </c>
      <c r="E1291" s="36">
        <v>600</v>
      </c>
      <c r="F1291" s="36">
        <v>700</v>
      </c>
      <c r="G1291" s="36">
        <v>380</v>
      </c>
      <c r="H1291" s="36">
        <v>440</v>
      </c>
      <c r="I1291" s="37">
        <v>0</v>
      </c>
      <c r="J1291" s="37">
        <v>0</v>
      </c>
    </row>
    <row r="1292" spans="1:10" x14ac:dyDescent="0.25">
      <c r="A1292" t="s">
        <v>3033</v>
      </c>
      <c r="B1292" t="s">
        <v>3034</v>
      </c>
      <c r="C1292" t="s">
        <v>101</v>
      </c>
      <c r="D1292" t="s">
        <v>379</v>
      </c>
      <c r="E1292" s="36">
        <v>750</v>
      </c>
      <c r="F1292" s="36">
        <v>850</v>
      </c>
      <c r="G1292" s="36">
        <v>470</v>
      </c>
      <c r="H1292" s="36">
        <v>540</v>
      </c>
      <c r="I1292" s="37">
        <v>0</v>
      </c>
      <c r="J1292" s="37">
        <v>0</v>
      </c>
    </row>
    <row r="1293" spans="1:10" x14ac:dyDescent="0.25">
      <c r="A1293" t="s">
        <v>3035</v>
      </c>
      <c r="B1293" t="s">
        <v>3036</v>
      </c>
      <c r="C1293" t="s">
        <v>101</v>
      </c>
      <c r="D1293" t="s">
        <v>379</v>
      </c>
      <c r="E1293" s="36">
        <v>900</v>
      </c>
      <c r="F1293" s="36">
        <v>1050</v>
      </c>
      <c r="G1293" s="36">
        <v>560</v>
      </c>
      <c r="H1293" s="36">
        <v>650</v>
      </c>
      <c r="I1293" s="37">
        <v>0</v>
      </c>
      <c r="J1293" s="37">
        <v>0</v>
      </c>
    </row>
    <row r="1294" spans="1:10" x14ac:dyDescent="0.25">
      <c r="A1294" t="s">
        <v>3037</v>
      </c>
      <c r="B1294" t="s">
        <v>3038</v>
      </c>
      <c r="C1294" t="s">
        <v>101</v>
      </c>
      <c r="D1294" t="s">
        <v>379</v>
      </c>
      <c r="E1294" s="36">
        <v>450</v>
      </c>
      <c r="F1294" s="36">
        <v>520</v>
      </c>
      <c r="G1294" s="36">
        <v>280</v>
      </c>
      <c r="H1294" s="36">
        <v>330</v>
      </c>
      <c r="I1294" s="37">
        <v>0</v>
      </c>
      <c r="J1294" s="37">
        <v>0</v>
      </c>
    </row>
    <row r="1295" spans="1:10" x14ac:dyDescent="0.25">
      <c r="A1295" t="s">
        <v>3039</v>
      </c>
      <c r="B1295" t="s">
        <v>3040</v>
      </c>
      <c r="C1295" t="s">
        <v>101</v>
      </c>
      <c r="D1295" t="s">
        <v>379</v>
      </c>
      <c r="E1295" s="36">
        <v>550</v>
      </c>
      <c r="F1295" s="36">
        <v>650</v>
      </c>
      <c r="G1295" s="36">
        <v>350</v>
      </c>
      <c r="H1295" s="36">
        <v>410</v>
      </c>
      <c r="I1295" s="37">
        <v>0</v>
      </c>
      <c r="J1295" s="37">
        <v>0</v>
      </c>
    </row>
    <row r="1296" spans="1:10" x14ac:dyDescent="0.25">
      <c r="A1296" t="s">
        <v>3041</v>
      </c>
      <c r="B1296" t="s">
        <v>3042</v>
      </c>
      <c r="C1296" t="s">
        <v>101</v>
      </c>
      <c r="D1296" t="s">
        <v>379</v>
      </c>
      <c r="E1296" s="36">
        <v>700</v>
      </c>
      <c r="F1296" s="36">
        <v>820</v>
      </c>
      <c r="G1296" s="36">
        <v>440</v>
      </c>
      <c r="H1296" s="36">
        <v>520</v>
      </c>
      <c r="I1296" s="37">
        <v>0</v>
      </c>
      <c r="J1296" s="37">
        <v>0</v>
      </c>
    </row>
    <row r="1297" spans="1:10" x14ac:dyDescent="0.25">
      <c r="A1297" t="s">
        <v>3043</v>
      </c>
      <c r="B1297" t="s">
        <v>3044</v>
      </c>
      <c r="C1297" t="s">
        <v>101</v>
      </c>
      <c r="D1297" t="s">
        <v>379</v>
      </c>
      <c r="E1297" s="36">
        <v>850</v>
      </c>
      <c r="F1297" s="36">
        <v>1000</v>
      </c>
      <c r="G1297" s="36">
        <v>530</v>
      </c>
      <c r="H1297" s="36">
        <v>630</v>
      </c>
      <c r="I1297" s="37">
        <v>0</v>
      </c>
      <c r="J1297" s="37">
        <v>0</v>
      </c>
    </row>
    <row r="1298" spans="1:10" x14ac:dyDescent="0.25">
      <c r="A1298" t="s">
        <v>3045</v>
      </c>
      <c r="B1298" t="s">
        <v>3046</v>
      </c>
      <c r="C1298" t="s">
        <v>101</v>
      </c>
      <c r="D1298" t="s">
        <v>379</v>
      </c>
      <c r="E1298" s="36">
        <v>1000</v>
      </c>
      <c r="F1298" s="36">
        <v>1200</v>
      </c>
      <c r="G1298" s="36">
        <v>630</v>
      </c>
      <c r="H1298" s="36">
        <v>750</v>
      </c>
      <c r="I1298" s="37">
        <v>0</v>
      </c>
      <c r="J1298" s="37">
        <v>0</v>
      </c>
    </row>
    <row r="1299" spans="1:10" x14ac:dyDescent="0.25">
      <c r="A1299" t="s">
        <v>3047</v>
      </c>
      <c r="B1299" t="s">
        <v>3048</v>
      </c>
      <c r="C1299" t="s">
        <v>101</v>
      </c>
      <c r="D1299" t="s">
        <v>379</v>
      </c>
      <c r="E1299" s="36">
        <v>900</v>
      </c>
      <c r="F1299" s="36">
        <v>1050</v>
      </c>
      <c r="G1299" s="36">
        <v>560</v>
      </c>
      <c r="H1299" s="36">
        <v>650</v>
      </c>
      <c r="I1299" s="37">
        <v>0</v>
      </c>
      <c r="J1299" s="37">
        <v>0</v>
      </c>
    </row>
    <row r="1300" spans="1:10" x14ac:dyDescent="0.25">
      <c r="A1300" t="s">
        <v>3049</v>
      </c>
      <c r="B1300" t="s">
        <v>3050</v>
      </c>
      <c r="C1300" t="s">
        <v>101</v>
      </c>
      <c r="D1300" t="s">
        <v>379</v>
      </c>
      <c r="E1300" s="36">
        <v>900</v>
      </c>
      <c r="F1300" s="36">
        <v>1050</v>
      </c>
      <c r="G1300" s="36">
        <v>560</v>
      </c>
      <c r="H1300" s="36">
        <v>650</v>
      </c>
      <c r="I1300" s="37">
        <v>0</v>
      </c>
      <c r="J1300" s="37">
        <v>0</v>
      </c>
    </row>
    <row r="1301" spans="1:10" x14ac:dyDescent="0.25">
      <c r="A1301" t="s">
        <v>3051</v>
      </c>
      <c r="B1301" t="s">
        <v>3052</v>
      </c>
      <c r="C1301" t="s">
        <v>101</v>
      </c>
      <c r="D1301" t="s">
        <v>379</v>
      </c>
      <c r="E1301" s="36">
        <v>1100</v>
      </c>
      <c r="F1301" s="36">
        <v>1300</v>
      </c>
      <c r="G1301" s="36">
        <v>700</v>
      </c>
      <c r="H1301" s="36">
        <v>820</v>
      </c>
      <c r="I1301" s="37">
        <v>0</v>
      </c>
      <c r="J1301" s="37">
        <v>0</v>
      </c>
    </row>
    <row r="1302" spans="1:10" x14ac:dyDescent="0.25">
      <c r="A1302" t="s">
        <v>3053</v>
      </c>
      <c r="B1302" t="s">
        <v>3054</v>
      </c>
      <c r="C1302" t="s">
        <v>101</v>
      </c>
      <c r="D1302" t="s">
        <v>379</v>
      </c>
      <c r="E1302" s="36">
        <v>2000</v>
      </c>
      <c r="F1302" s="36">
        <v>2400</v>
      </c>
      <c r="G1302" s="36">
        <v>1250</v>
      </c>
      <c r="H1302" s="36">
        <v>1500</v>
      </c>
      <c r="I1302" s="37">
        <v>0</v>
      </c>
      <c r="J1302" s="37">
        <v>0</v>
      </c>
    </row>
    <row r="1303" spans="1:10" x14ac:dyDescent="0.25">
      <c r="A1303" t="s">
        <v>3055</v>
      </c>
      <c r="B1303" t="s">
        <v>3056</v>
      </c>
      <c r="C1303" t="s">
        <v>101</v>
      </c>
      <c r="D1303" t="s">
        <v>379</v>
      </c>
      <c r="E1303" s="36">
        <v>4500</v>
      </c>
      <c r="F1303" s="36">
        <v>5300</v>
      </c>
      <c r="G1303" s="36">
        <v>2800</v>
      </c>
      <c r="H1303" s="36">
        <v>3300</v>
      </c>
      <c r="I1303" s="37">
        <v>0</v>
      </c>
      <c r="J1303" s="37">
        <v>0</v>
      </c>
    </row>
    <row r="1304" spans="1:10" x14ac:dyDescent="0.25">
      <c r="A1304" t="s">
        <v>3057</v>
      </c>
      <c r="B1304" t="s">
        <v>3058</v>
      </c>
      <c r="C1304" t="s">
        <v>101</v>
      </c>
      <c r="D1304" t="s">
        <v>379</v>
      </c>
      <c r="E1304" s="36">
        <v>2500</v>
      </c>
      <c r="F1304" s="36">
        <v>3000</v>
      </c>
      <c r="G1304" s="36">
        <v>1550</v>
      </c>
      <c r="H1304" s="36">
        <v>1850</v>
      </c>
      <c r="I1304" s="37">
        <v>0</v>
      </c>
      <c r="J1304" s="37">
        <v>0</v>
      </c>
    </row>
    <row r="1305" spans="1:10" x14ac:dyDescent="0.25">
      <c r="A1305" t="s">
        <v>3059</v>
      </c>
      <c r="B1305" t="s">
        <v>3060</v>
      </c>
      <c r="C1305" t="s">
        <v>101</v>
      </c>
      <c r="D1305" t="s">
        <v>379</v>
      </c>
      <c r="E1305" s="36">
        <v>800</v>
      </c>
      <c r="F1305" s="36">
        <v>950</v>
      </c>
      <c r="G1305" s="36">
        <v>500</v>
      </c>
      <c r="H1305" s="36">
        <v>590</v>
      </c>
      <c r="I1305" s="37">
        <v>0</v>
      </c>
      <c r="J1305" s="37">
        <v>0</v>
      </c>
    </row>
    <row r="1306" spans="1:10" x14ac:dyDescent="0.25">
      <c r="A1306" t="s">
        <v>3061</v>
      </c>
      <c r="B1306" t="s">
        <v>3062</v>
      </c>
      <c r="C1306" t="s">
        <v>101</v>
      </c>
      <c r="D1306" t="s">
        <v>379</v>
      </c>
      <c r="E1306" s="36">
        <v>1700</v>
      </c>
      <c r="F1306" s="36">
        <v>2000</v>
      </c>
      <c r="G1306" s="36">
        <v>1050</v>
      </c>
      <c r="H1306" s="36">
        <v>1250</v>
      </c>
      <c r="I1306" s="37">
        <v>0</v>
      </c>
      <c r="J1306" s="37">
        <v>0</v>
      </c>
    </row>
    <row r="1307" spans="1:10" x14ac:dyDescent="0.25">
      <c r="A1307" t="s">
        <v>3063</v>
      </c>
      <c r="B1307" t="s">
        <v>3064</v>
      </c>
      <c r="C1307" t="s">
        <v>101</v>
      </c>
      <c r="D1307" t="s">
        <v>379</v>
      </c>
      <c r="E1307" s="36">
        <v>4500</v>
      </c>
      <c r="F1307" s="36">
        <v>5300</v>
      </c>
      <c r="G1307" s="36">
        <v>2800</v>
      </c>
      <c r="H1307" s="36">
        <v>3300</v>
      </c>
      <c r="I1307" s="37">
        <v>0</v>
      </c>
      <c r="J1307" s="37">
        <v>0</v>
      </c>
    </row>
    <row r="1308" spans="1:10" x14ac:dyDescent="0.25">
      <c r="A1308" t="s">
        <v>3065</v>
      </c>
      <c r="B1308" t="s">
        <v>3066</v>
      </c>
      <c r="C1308" t="s">
        <v>101</v>
      </c>
      <c r="D1308" t="s">
        <v>383</v>
      </c>
      <c r="E1308" s="36">
        <v>18667</v>
      </c>
      <c r="F1308" s="36">
        <v>22400</v>
      </c>
      <c r="G1308" s="36">
        <v>9500</v>
      </c>
      <c r="H1308" s="36">
        <v>11000</v>
      </c>
      <c r="I1308" s="37">
        <v>0.24446666666666661</v>
      </c>
      <c r="J1308" s="37">
        <v>0.28000000000000003</v>
      </c>
    </row>
    <row r="1309" spans="1:10" x14ac:dyDescent="0.25">
      <c r="A1309" t="s">
        <v>3067</v>
      </c>
      <c r="B1309" t="s">
        <v>3068</v>
      </c>
      <c r="C1309" t="s">
        <v>101</v>
      </c>
      <c r="D1309" t="s">
        <v>379</v>
      </c>
      <c r="E1309" s="36">
        <v>3500</v>
      </c>
      <c r="F1309" s="36">
        <v>4100</v>
      </c>
      <c r="G1309" s="36">
        <v>2200</v>
      </c>
      <c r="H1309" s="36">
        <v>2600</v>
      </c>
      <c r="I1309" s="37">
        <v>0</v>
      </c>
      <c r="J1309" s="37">
        <v>0</v>
      </c>
    </row>
    <row r="1310" spans="1:10" x14ac:dyDescent="0.25">
      <c r="A1310" t="s">
        <v>3069</v>
      </c>
      <c r="B1310" t="s">
        <v>3070</v>
      </c>
      <c r="C1310" t="s">
        <v>101</v>
      </c>
      <c r="D1310" t="s">
        <v>379</v>
      </c>
      <c r="E1310" s="36">
        <v>2000</v>
      </c>
      <c r="F1310" s="36">
        <v>2400</v>
      </c>
      <c r="G1310" s="36">
        <v>1250</v>
      </c>
      <c r="H1310" s="36">
        <v>1500</v>
      </c>
      <c r="I1310" s="37">
        <v>0</v>
      </c>
      <c r="J1310" s="37">
        <v>0</v>
      </c>
    </row>
    <row r="1311" spans="1:10" x14ac:dyDescent="0.25">
      <c r="A1311" t="s">
        <v>3071</v>
      </c>
      <c r="B1311" t="s">
        <v>3072</v>
      </c>
      <c r="C1311" t="s">
        <v>101</v>
      </c>
      <c r="D1311" t="s">
        <v>379</v>
      </c>
      <c r="E1311" s="36">
        <v>250</v>
      </c>
      <c r="F1311" s="36">
        <v>300</v>
      </c>
      <c r="G1311" s="36">
        <v>155</v>
      </c>
      <c r="H1311" s="36">
        <v>185</v>
      </c>
      <c r="I1311" s="37">
        <v>0</v>
      </c>
      <c r="J1311" s="37">
        <v>0</v>
      </c>
    </row>
    <row r="1312" spans="1:10" x14ac:dyDescent="0.25">
      <c r="A1312" t="s">
        <v>3073</v>
      </c>
      <c r="B1312" t="s">
        <v>3074</v>
      </c>
      <c r="C1312" t="s">
        <v>3075</v>
      </c>
      <c r="D1312" t="s">
        <v>379</v>
      </c>
      <c r="E1312" s="36">
        <v>450</v>
      </c>
      <c r="F1312" s="36">
        <v>520</v>
      </c>
      <c r="G1312" s="36">
        <v>280</v>
      </c>
      <c r="H1312" s="36">
        <v>320</v>
      </c>
      <c r="I1312" s="37">
        <v>0</v>
      </c>
      <c r="J1312" s="37">
        <v>0</v>
      </c>
    </row>
    <row r="1313" spans="1:10" x14ac:dyDescent="0.25">
      <c r="A1313" t="s">
        <v>3076</v>
      </c>
      <c r="B1313" t="s">
        <v>3077</v>
      </c>
      <c r="C1313" t="s">
        <v>101</v>
      </c>
      <c r="D1313" t="s">
        <v>379</v>
      </c>
      <c r="E1313" s="36">
        <v>800</v>
      </c>
      <c r="F1313" s="36">
        <v>950</v>
      </c>
      <c r="G1313" s="36">
        <v>500</v>
      </c>
      <c r="H1313" s="36">
        <v>590</v>
      </c>
      <c r="I1313" s="37">
        <v>0</v>
      </c>
      <c r="J1313" s="37">
        <v>0</v>
      </c>
    </row>
    <row r="1314" spans="1:10" x14ac:dyDescent="0.25">
      <c r="A1314" t="s">
        <v>3078</v>
      </c>
      <c r="B1314" t="s">
        <v>3079</v>
      </c>
      <c r="C1314" t="s">
        <v>101</v>
      </c>
      <c r="D1314" t="s">
        <v>379</v>
      </c>
      <c r="E1314" s="36">
        <v>1200</v>
      </c>
      <c r="F1314" s="36">
        <v>1400</v>
      </c>
      <c r="G1314" s="36">
        <v>750</v>
      </c>
      <c r="H1314" s="36">
        <v>880</v>
      </c>
      <c r="I1314" s="37">
        <v>0</v>
      </c>
      <c r="J1314" s="37">
        <v>0</v>
      </c>
    </row>
    <row r="1315" spans="1:10" x14ac:dyDescent="0.25">
      <c r="A1315" t="s">
        <v>3080</v>
      </c>
      <c r="B1315" t="s">
        <v>3081</v>
      </c>
      <c r="C1315" t="s">
        <v>101</v>
      </c>
      <c r="D1315" t="s">
        <v>379</v>
      </c>
      <c r="E1315" s="36">
        <v>200</v>
      </c>
      <c r="F1315" s="36">
        <v>240</v>
      </c>
      <c r="G1315" s="36">
        <v>125</v>
      </c>
      <c r="H1315" s="36">
        <v>150</v>
      </c>
      <c r="I1315" s="37">
        <v>0</v>
      </c>
      <c r="J1315" s="37">
        <v>0</v>
      </c>
    </row>
    <row r="1316" spans="1:10" x14ac:dyDescent="0.25">
      <c r="A1316" t="s">
        <v>3082</v>
      </c>
      <c r="B1316" t="s">
        <v>3083</v>
      </c>
      <c r="C1316" t="s">
        <v>101</v>
      </c>
      <c r="D1316" t="s">
        <v>379</v>
      </c>
      <c r="E1316" s="36">
        <v>900</v>
      </c>
      <c r="F1316" s="36">
        <v>1050</v>
      </c>
      <c r="G1316" s="36">
        <v>560</v>
      </c>
      <c r="H1316" s="36">
        <v>650</v>
      </c>
      <c r="I1316" s="37">
        <v>0</v>
      </c>
      <c r="J1316" s="37">
        <v>0</v>
      </c>
    </row>
    <row r="1317" spans="1:10" x14ac:dyDescent="0.25">
      <c r="A1317" t="s">
        <v>3084</v>
      </c>
      <c r="B1317" t="s">
        <v>3085</v>
      </c>
      <c r="C1317" t="s">
        <v>3086</v>
      </c>
      <c r="D1317" t="s">
        <v>379</v>
      </c>
      <c r="E1317" s="36">
        <v>2000</v>
      </c>
      <c r="F1317" s="36">
        <v>2400</v>
      </c>
      <c r="G1317" s="36">
        <v>1200</v>
      </c>
      <c r="H1317" s="36">
        <v>1450</v>
      </c>
      <c r="I1317" s="37">
        <v>0</v>
      </c>
      <c r="J1317" s="37">
        <v>0</v>
      </c>
    </row>
    <row r="1318" spans="1:10" x14ac:dyDescent="0.25">
      <c r="A1318" t="s">
        <v>3087</v>
      </c>
      <c r="B1318" t="s">
        <v>3088</v>
      </c>
      <c r="C1318" t="s">
        <v>101</v>
      </c>
      <c r="D1318" t="s">
        <v>379</v>
      </c>
      <c r="E1318" s="36">
        <v>900</v>
      </c>
      <c r="F1318" s="36">
        <v>1050</v>
      </c>
      <c r="G1318" s="36">
        <v>540</v>
      </c>
      <c r="H1318" s="36">
        <v>630</v>
      </c>
      <c r="I1318" s="37">
        <v>0</v>
      </c>
      <c r="J1318" s="37">
        <v>0</v>
      </c>
    </row>
    <row r="1319" spans="1:10" x14ac:dyDescent="0.25">
      <c r="A1319" t="s">
        <v>3089</v>
      </c>
      <c r="B1319" t="s">
        <v>3090</v>
      </c>
      <c r="C1319" t="s">
        <v>229</v>
      </c>
      <c r="D1319" t="s">
        <v>379</v>
      </c>
      <c r="E1319" s="36">
        <v>110</v>
      </c>
      <c r="F1319" s="36">
        <v>130</v>
      </c>
      <c r="G1319" s="36">
        <v>65</v>
      </c>
      <c r="H1319" s="36">
        <v>80</v>
      </c>
      <c r="I1319" s="37">
        <v>0</v>
      </c>
      <c r="J1319" s="37">
        <v>0</v>
      </c>
    </row>
    <row r="1320" spans="1:10" x14ac:dyDescent="0.25">
      <c r="A1320" t="s">
        <v>3091</v>
      </c>
      <c r="B1320" t="s">
        <v>3092</v>
      </c>
      <c r="C1320" t="s">
        <v>229</v>
      </c>
      <c r="D1320" t="s">
        <v>379</v>
      </c>
      <c r="E1320" s="36">
        <v>60</v>
      </c>
      <c r="F1320" s="36">
        <v>70</v>
      </c>
      <c r="G1320" s="36">
        <v>35</v>
      </c>
      <c r="H1320" s="36">
        <v>42</v>
      </c>
      <c r="I1320" s="37">
        <v>0</v>
      </c>
      <c r="J1320" s="37">
        <v>0</v>
      </c>
    </row>
    <row r="1321" spans="1:10" x14ac:dyDescent="0.25">
      <c r="A1321" t="s">
        <v>3093</v>
      </c>
      <c r="B1321" t="s">
        <v>3094</v>
      </c>
      <c r="C1321" t="s">
        <v>229</v>
      </c>
      <c r="D1321" t="s">
        <v>379</v>
      </c>
      <c r="E1321" s="36">
        <v>170</v>
      </c>
      <c r="F1321" s="36">
        <v>200</v>
      </c>
      <c r="G1321" s="36">
        <v>100</v>
      </c>
      <c r="H1321" s="36">
        <v>120</v>
      </c>
      <c r="I1321" s="37">
        <v>0</v>
      </c>
      <c r="J1321" s="37">
        <v>0</v>
      </c>
    </row>
    <row r="1322" spans="1:10" x14ac:dyDescent="0.25">
      <c r="A1322" t="s">
        <v>3095</v>
      </c>
      <c r="B1322" t="s">
        <v>3096</v>
      </c>
      <c r="C1322" t="s">
        <v>229</v>
      </c>
      <c r="D1322" t="s">
        <v>379</v>
      </c>
      <c r="E1322" s="36">
        <v>75</v>
      </c>
      <c r="F1322" s="36">
        <v>90</v>
      </c>
      <c r="G1322" s="36">
        <v>45</v>
      </c>
      <c r="H1322" s="36">
        <v>55</v>
      </c>
      <c r="I1322" s="37">
        <v>0</v>
      </c>
      <c r="J1322" s="37">
        <v>0</v>
      </c>
    </row>
    <row r="1323" spans="1:10" x14ac:dyDescent="0.25">
      <c r="A1323" t="s">
        <v>3097</v>
      </c>
      <c r="B1323" t="s">
        <v>3098</v>
      </c>
      <c r="C1323" t="s">
        <v>229</v>
      </c>
      <c r="D1323" t="s">
        <v>379</v>
      </c>
      <c r="E1323" s="36">
        <v>260</v>
      </c>
      <c r="F1323" s="36">
        <v>310</v>
      </c>
      <c r="G1323" s="36">
        <v>160</v>
      </c>
      <c r="H1323" s="36">
        <v>190</v>
      </c>
      <c r="I1323" s="37">
        <v>0</v>
      </c>
      <c r="J1323" s="37">
        <v>0</v>
      </c>
    </row>
    <row r="1324" spans="1:10" x14ac:dyDescent="0.25">
      <c r="A1324" t="s">
        <v>3099</v>
      </c>
      <c r="B1324" t="s">
        <v>3100</v>
      </c>
      <c r="C1324" t="s">
        <v>229</v>
      </c>
      <c r="D1324" t="s">
        <v>379</v>
      </c>
      <c r="E1324" s="36">
        <v>520</v>
      </c>
      <c r="F1324" s="36">
        <v>620</v>
      </c>
      <c r="G1324" s="36">
        <v>320</v>
      </c>
      <c r="H1324" s="36">
        <v>380</v>
      </c>
      <c r="I1324" s="37">
        <v>0</v>
      </c>
      <c r="J1324" s="37">
        <v>0</v>
      </c>
    </row>
    <row r="1325" spans="1:10" x14ac:dyDescent="0.25">
      <c r="A1325" t="s">
        <v>3101</v>
      </c>
      <c r="B1325" t="s">
        <v>3102</v>
      </c>
      <c r="C1325" t="s">
        <v>229</v>
      </c>
      <c r="D1325" t="s">
        <v>379</v>
      </c>
      <c r="E1325" s="36">
        <v>180</v>
      </c>
      <c r="F1325" s="36">
        <v>210</v>
      </c>
      <c r="G1325" s="36">
        <v>110</v>
      </c>
      <c r="H1325" s="36">
        <v>130</v>
      </c>
      <c r="I1325" s="37">
        <v>0</v>
      </c>
      <c r="J1325" s="37">
        <v>0</v>
      </c>
    </row>
    <row r="1326" spans="1:10" x14ac:dyDescent="0.25">
      <c r="A1326" t="s">
        <v>3103</v>
      </c>
      <c r="B1326" t="s">
        <v>3104</v>
      </c>
      <c r="C1326" t="s">
        <v>229</v>
      </c>
      <c r="D1326" t="s">
        <v>379</v>
      </c>
      <c r="E1326" s="36">
        <v>110</v>
      </c>
      <c r="F1326" s="36">
        <v>125</v>
      </c>
      <c r="G1326" s="36">
        <v>65</v>
      </c>
      <c r="H1326" s="36">
        <v>75</v>
      </c>
      <c r="I1326" s="37">
        <v>0</v>
      </c>
      <c r="J1326" s="37">
        <v>0</v>
      </c>
    </row>
    <row r="1327" spans="1:10" x14ac:dyDescent="0.25">
      <c r="A1327" t="s">
        <v>3105</v>
      </c>
      <c r="B1327" t="s">
        <v>3106</v>
      </c>
      <c r="C1327" t="s">
        <v>229</v>
      </c>
      <c r="D1327" t="s">
        <v>379</v>
      </c>
      <c r="E1327" s="36">
        <v>900</v>
      </c>
      <c r="F1327" s="36">
        <v>1100</v>
      </c>
      <c r="G1327" s="36">
        <v>560</v>
      </c>
      <c r="H1327" s="36">
        <v>680</v>
      </c>
      <c r="I1327" s="37">
        <v>0</v>
      </c>
      <c r="J1327" s="37">
        <v>0</v>
      </c>
    </row>
    <row r="1328" spans="1:10" x14ac:dyDescent="0.25">
      <c r="A1328" t="s">
        <v>3107</v>
      </c>
      <c r="B1328" t="s">
        <v>3108</v>
      </c>
      <c r="C1328" t="s">
        <v>229</v>
      </c>
      <c r="D1328" t="s">
        <v>379</v>
      </c>
      <c r="E1328" s="36">
        <v>260</v>
      </c>
      <c r="F1328" s="36">
        <v>310</v>
      </c>
      <c r="G1328" s="36">
        <v>160</v>
      </c>
      <c r="H1328" s="36">
        <v>190</v>
      </c>
      <c r="I1328" s="37">
        <v>0</v>
      </c>
      <c r="J1328" s="37">
        <v>0</v>
      </c>
    </row>
    <row r="1329" spans="1:10" x14ac:dyDescent="0.25">
      <c r="A1329" t="s">
        <v>3109</v>
      </c>
      <c r="B1329" t="s">
        <v>3110</v>
      </c>
      <c r="C1329" t="s">
        <v>229</v>
      </c>
      <c r="D1329" t="s">
        <v>379</v>
      </c>
      <c r="E1329" s="36">
        <v>1300</v>
      </c>
      <c r="F1329" s="36">
        <v>1550</v>
      </c>
      <c r="G1329" s="36">
        <v>800</v>
      </c>
      <c r="H1329" s="36">
        <v>950</v>
      </c>
      <c r="I1329" s="37">
        <v>0</v>
      </c>
      <c r="J1329" s="37">
        <v>0</v>
      </c>
    </row>
    <row r="1330" spans="1:10" x14ac:dyDescent="0.25">
      <c r="A1330" t="s">
        <v>3111</v>
      </c>
      <c r="B1330" t="s">
        <v>3112</v>
      </c>
      <c r="C1330" t="s">
        <v>229</v>
      </c>
      <c r="D1330" t="s">
        <v>379</v>
      </c>
      <c r="E1330" s="36">
        <v>130</v>
      </c>
      <c r="F1330" s="36">
        <v>150</v>
      </c>
      <c r="G1330" s="36">
        <v>80</v>
      </c>
      <c r="H1330" s="36">
        <v>95</v>
      </c>
      <c r="I1330" s="37">
        <v>0</v>
      </c>
      <c r="J1330" s="37">
        <v>0</v>
      </c>
    </row>
    <row r="1331" spans="1:10" x14ac:dyDescent="0.25">
      <c r="A1331" t="s">
        <v>3113</v>
      </c>
      <c r="B1331" t="s">
        <v>3114</v>
      </c>
      <c r="C1331" t="s">
        <v>229</v>
      </c>
      <c r="D1331" t="s">
        <v>379</v>
      </c>
      <c r="E1331" s="36">
        <v>380</v>
      </c>
      <c r="F1331" s="36">
        <v>450</v>
      </c>
      <c r="G1331" s="36">
        <v>230</v>
      </c>
      <c r="H1331" s="36">
        <v>280</v>
      </c>
      <c r="I1331" s="37">
        <v>0</v>
      </c>
      <c r="J1331" s="37">
        <v>0</v>
      </c>
    </row>
    <row r="1332" spans="1:10" x14ac:dyDescent="0.25">
      <c r="A1332" t="s">
        <v>3115</v>
      </c>
      <c r="B1332" t="s">
        <v>3116</v>
      </c>
      <c r="C1332" t="s">
        <v>229</v>
      </c>
      <c r="D1332" t="s">
        <v>379</v>
      </c>
      <c r="E1332" s="36">
        <v>420</v>
      </c>
      <c r="F1332" s="36">
        <v>500</v>
      </c>
      <c r="G1332" s="36">
        <v>260</v>
      </c>
      <c r="H1332" s="36">
        <v>310</v>
      </c>
      <c r="I1332" s="37">
        <v>0</v>
      </c>
      <c r="J1332" s="37">
        <v>0</v>
      </c>
    </row>
    <row r="1333" spans="1:10" x14ac:dyDescent="0.25">
      <c r="A1333" t="s">
        <v>3117</v>
      </c>
      <c r="B1333" t="s">
        <v>3118</v>
      </c>
      <c r="C1333" t="s">
        <v>229</v>
      </c>
      <c r="D1333" t="s">
        <v>379</v>
      </c>
      <c r="E1333" s="36">
        <v>220</v>
      </c>
      <c r="F1333" s="36">
        <v>260</v>
      </c>
      <c r="G1333" s="36">
        <v>135</v>
      </c>
      <c r="H1333" s="36">
        <v>160</v>
      </c>
      <c r="I1333" s="37">
        <v>0</v>
      </c>
      <c r="J1333" s="37">
        <v>0</v>
      </c>
    </row>
    <row r="1334" spans="1:10" x14ac:dyDescent="0.25">
      <c r="A1334" t="s">
        <v>3119</v>
      </c>
      <c r="B1334" t="s">
        <v>3120</v>
      </c>
      <c r="C1334" t="s">
        <v>229</v>
      </c>
      <c r="D1334" t="s">
        <v>379</v>
      </c>
      <c r="E1334" s="36">
        <v>280</v>
      </c>
      <c r="F1334" s="36">
        <v>330</v>
      </c>
      <c r="G1334" s="36">
        <v>170</v>
      </c>
      <c r="H1334" s="36">
        <v>200</v>
      </c>
      <c r="I1334" s="37">
        <v>0</v>
      </c>
      <c r="J1334" s="37">
        <v>0</v>
      </c>
    </row>
    <row r="1335" spans="1:10" x14ac:dyDescent="0.25">
      <c r="A1335" t="s">
        <v>3121</v>
      </c>
      <c r="B1335" t="s">
        <v>3122</v>
      </c>
      <c r="C1335" t="s">
        <v>101</v>
      </c>
      <c r="D1335" t="s">
        <v>379</v>
      </c>
      <c r="E1335" s="36">
        <v>567</v>
      </c>
      <c r="F1335" s="36">
        <v>680</v>
      </c>
      <c r="G1335" s="36">
        <v>340</v>
      </c>
      <c r="H1335" s="36">
        <v>400</v>
      </c>
      <c r="I1335" s="37">
        <v>3.0909090909091001E-2</v>
      </c>
      <c r="J1335" s="37">
        <v>4.6153846153846212E-2</v>
      </c>
    </row>
    <row r="1336" spans="1:10" x14ac:dyDescent="0.25">
      <c r="A1336" t="s">
        <v>3123</v>
      </c>
      <c r="B1336" t="s">
        <v>3124</v>
      </c>
      <c r="C1336" t="s">
        <v>101</v>
      </c>
      <c r="D1336" t="s">
        <v>379</v>
      </c>
      <c r="E1336" s="36">
        <v>136</v>
      </c>
      <c r="F1336" s="36">
        <v>163</v>
      </c>
      <c r="G1336" s="36">
        <v>80</v>
      </c>
      <c r="H1336" s="36">
        <v>95</v>
      </c>
      <c r="I1336" s="37">
        <v>4.6153846153846212E-2</v>
      </c>
      <c r="J1336" s="37">
        <v>8.666666666666667E-2</v>
      </c>
    </row>
    <row r="1337" spans="1:10" x14ac:dyDescent="0.25">
      <c r="A1337" t="s">
        <v>3125</v>
      </c>
      <c r="B1337" t="s">
        <v>3126</v>
      </c>
      <c r="C1337" t="s">
        <v>101</v>
      </c>
      <c r="D1337" t="s">
        <v>379</v>
      </c>
      <c r="E1337" s="36">
        <v>60</v>
      </c>
      <c r="F1337" s="36">
        <v>70</v>
      </c>
      <c r="G1337" s="36">
        <v>35</v>
      </c>
      <c r="H1337" s="36">
        <v>42</v>
      </c>
      <c r="I1337" s="37">
        <v>0</v>
      </c>
      <c r="J1337" s="37">
        <v>0</v>
      </c>
    </row>
    <row r="1338" spans="1:10" x14ac:dyDescent="0.25">
      <c r="A1338" t="s">
        <v>3127</v>
      </c>
      <c r="B1338" t="s">
        <v>3128</v>
      </c>
      <c r="C1338" t="s">
        <v>101</v>
      </c>
      <c r="D1338" t="s">
        <v>379</v>
      </c>
      <c r="E1338" s="36">
        <v>227</v>
      </c>
      <c r="F1338" s="36">
        <v>272</v>
      </c>
      <c r="G1338" s="36">
        <v>135</v>
      </c>
      <c r="H1338" s="36">
        <v>160</v>
      </c>
      <c r="I1338" s="37">
        <v>3.1818181818181752E-2</v>
      </c>
      <c r="J1338" s="37">
        <v>4.6153846153846212E-2</v>
      </c>
    </row>
    <row r="1339" spans="1:10" x14ac:dyDescent="0.25">
      <c r="A1339" t="s">
        <v>3129</v>
      </c>
      <c r="B1339" t="s">
        <v>3130</v>
      </c>
      <c r="C1339" t="s">
        <v>101</v>
      </c>
      <c r="D1339" t="s">
        <v>379</v>
      </c>
      <c r="E1339" s="36">
        <v>80</v>
      </c>
      <c r="F1339" s="36">
        <v>95</v>
      </c>
      <c r="G1339" s="36">
        <v>50</v>
      </c>
      <c r="H1339" s="36">
        <v>58</v>
      </c>
      <c r="I1339" s="37">
        <v>0</v>
      </c>
      <c r="J1339" s="37">
        <v>0</v>
      </c>
    </row>
    <row r="1340" spans="1:10" x14ac:dyDescent="0.25">
      <c r="A1340" t="s">
        <v>3131</v>
      </c>
      <c r="B1340" t="s">
        <v>3132</v>
      </c>
      <c r="C1340" t="s">
        <v>101</v>
      </c>
      <c r="D1340" t="s">
        <v>379</v>
      </c>
      <c r="E1340" s="36">
        <v>340</v>
      </c>
      <c r="F1340" s="36">
        <v>408</v>
      </c>
      <c r="G1340" s="36">
        <v>200</v>
      </c>
      <c r="H1340" s="36">
        <v>240</v>
      </c>
      <c r="I1340" s="37">
        <v>3.030303030303028E-2</v>
      </c>
      <c r="J1340" s="37">
        <v>4.6153846153846212E-2</v>
      </c>
    </row>
    <row r="1341" spans="1:10" x14ac:dyDescent="0.25">
      <c r="A1341" t="s">
        <v>3133</v>
      </c>
      <c r="B1341" t="s">
        <v>3134</v>
      </c>
      <c r="C1341" t="s">
        <v>101</v>
      </c>
      <c r="D1341" t="s">
        <v>379</v>
      </c>
      <c r="E1341" s="36">
        <v>284</v>
      </c>
      <c r="F1341" s="36">
        <v>340</v>
      </c>
      <c r="G1341" s="36">
        <v>155</v>
      </c>
      <c r="H1341" s="36">
        <v>185</v>
      </c>
      <c r="I1341" s="37">
        <v>0.1359999999999999</v>
      </c>
      <c r="J1341" s="37">
        <v>0.1333333333333333</v>
      </c>
    </row>
    <row r="1342" spans="1:10" x14ac:dyDescent="0.25">
      <c r="A1342" t="s">
        <v>3135</v>
      </c>
      <c r="B1342" t="s">
        <v>3136</v>
      </c>
      <c r="C1342" t="s">
        <v>101</v>
      </c>
      <c r="D1342" t="s">
        <v>379</v>
      </c>
      <c r="E1342" s="36">
        <v>454</v>
      </c>
      <c r="F1342" s="36">
        <v>544</v>
      </c>
      <c r="G1342" s="36">
        <v>280</v>
      </c>
      <c r="H1342" s="36">
        <v>330</v>
      </c>
      <c r="I1342" s="37">
        <v>8.8888888888889461E-3</v>
      </c>
      <c r="J1342" s="37">
        <v>2.6415094339622639E-2</v>
      </c>
    </row>
    <row r="1343" spans="1:10" x14ac:dyDescent="0.25">
      <c r="A1343" t="s">
        <v>3137</v>
      </c>
      <c r="B1343" t="s">
        <v>3138</v>
      </c>
      <c r="C1343" t="s">
        <v>101</v>
      </c>
      <c r="D1343" t="s">
        <v>379</v>
      </c>
      <c r="E1343" s="36">
        <v>300</v>
      </c>
      <c r="F1343" s="36">
        <v>350</v>
      </c>
      <c r="G1343" s="36">
        <v>185</v>
      </c>
      <c r="H1343" s="36">
        <v>220</v>
      </c>
      <c r="I1343" s="37">
        <v>0</v>
      </c>
      <c r="J1343" s="37">
        <v>0</v>
      </c>
    </row>
    <row r="1344" spans="1:10" x14ac:dyDescent="0.25">
      <c r="A1344" t="s">
        <v>3139</v>
      </c>
      <c r="B1344" t="s">
        <v>3140</v>
      </c>
      <c r="C1344" t="s">
        <v>229</v>
      </c>
      <c r="D1344" t="s">
        <v>379</v>
      </c>
      <c r="E1344" s="36">
        <v>450</v>
      </c>
      <c r="F1344" s="36">
        <v>520</v>
      </c>
      <c r="G1344" s="36">
        <v>280</v>
      </c>
      <c r="H1344" s="36">
        <v>320</v>
      </c>
      <c r="I1344" s="37">
        <v>0</v>
      </c>
      <c r="J1344" s="37">
        <v>0</v>
      </c>
    </row>
    <row r="1345" spans="1:10" x14ac:dyDescent="0.25">
      <c r="A1345" t="s">
        <v>3141</v>
      </c>
      <c r="B1345" t="s">
        <v>3142</v>
      </c>
      <c r="C1345" t="s">
        <v>229</v>
      </c>
      <c r="D1345" t="s">
        <v>379</v>
      </c>
      <c r="E1345" s="36">
        <v>500</v>
      </c>
      <c r="F1345" s="36">
        <v>600</v>
      </c>
      <c r="G1345" s="36">
        <v>310</v>
      </c>
      <c r="H1345" s="36">
        <v>370</v>
      </c>
      <c r="I1345" s="37">
        <v>0</v>
      </c>
      <c r="J1345" s="37">
        <v>0</v>
      </c>
    </row>
    <row r="1346" spans="1:10" x14ac:dyDescent="0.25">
      <c r="A1346" t="s">
        <v>3143</v>
      </c>
      <c r="B1346" t="s">
        <v>3144</v>
      </c>
      <c r="C1346" t="s">
        <v>229</v>
      </c>
      <c r="D1346" t="s">
        <v>379</v>
      </c>
      <c r="E1346" s="36">
        <v>700</v>
      </c>
      <c r="F1346" s="36">
        <v>850</v>
      </c>
      <c r="G1346" s="36">
        <v>430</v>
      </c>
      <c r="H1346" s="36">
        <v>520</v>
      </c>
      <c r="I1346" s="37">
        <v>0</v>
      </c>
      <c r="J1346" s="37">
        <v>0</v>
      </c>
    </row>
    <row r="1347" spans="1:10" x14ac:dyDescent="0.25">
      <c r="A1347" t="s">
        <v>3145</v>
      </c>
      <c r="B1347" t="s">
        <v>3146</v>
      </c>
      <c r="C1347" t="s">
        <v>101</v>
      </c>
      <c r="D1347" t="s">
        <v>379</v>
      </c>
      <c r="E1347" s="36">
        <v>150</v>
      </c>
      <c r="F1347" s="36">
        <v>180</v>
      </c>
      <c r="G1347" s="36">
        <v>90</v>
      </c>
      <c r="H1347" s="36">
        <v>110</v>
      </c>
      <c r="I1347" s="37">
        <v>0</v>
      </c>
      <c r="J1347" s="37">
        <v>0</v>
      </c>
    </row>
    <row r="1348" spans="1:10" x14ac:dyDescent="0.25">
      <c r="A1348" t="s">
        <v>3147</v>
      </c>
      <c r="B1348" t="s">
        <v>3148</v>
      </c>
      <c r="C1348" t="s">
        <v>229</v>
      </c>
      <c r="D1348" t="s">
        <v>379</v>
      </c>
      <c r="E1348" s="36">
        <v>700</v>
      </c>
      <c r="F1348" s="36">
        <v>820</v>
      </c>
      <c r="G1348" s="36">
        <v>430</v>
      </c>
      <c r="H1348" s="36">
        <v>510</v>
      </c>
      <c r="I1348" s="37">
        <v>0</v>
      </c>
      <c r="J1348" s="37">
        <v>0</v>
      </c>
    </row>
    <row r="1349" spans="1:10" x14ac:dyDescent="0.25">
      <c r="A1349" t="s">
        <v>3149</v>
      </c>
      <c r="B1349" t="s">
        <v>3150</v>
      </c>
      <c r="C1349" t="s">
        <v>229</v>
      </c>
      <c r="D1349" t="s">
        <v>379</v>
      </c>
      <c r="E1349" s="36">
        <v>400</v>
      </c>
      <c r="F1349" s="36">
        <v>470</v>
      </c>
      <c r="G1349" s="36">
        <v>250</v>
      </c>
      <c r="H1349" s="36">
        <v>290</v>
      </c>
      <c r="I1349" s="37">
        <v>0</v>
      </c>
      <c r="J1349" s="37">
        <v>0</v>
      </c>
    </row>
    <row r="1350" spans="1:10" x14ac:dyDescent="0.25">
      <c r="A1350" t="s">
        <v>3151</v>
      </c>
      <c r="B1350" t="s">
        <v>3152</v>
      </c>
      <c r="C1350" t="s">
        <v>229</v>
      </c>
      <c r="D1350" t="s">
        <v>379</v>
      </c>
      <c r="E1350" s="36">
        <v>280</v>
      </c>
      <c r="F1350" s="36">
        <v>330</v>
      </c>
      <c r="G1350" s="36">
        <v>175</v>
      </c>
      <c r="H1350" s="36">
        <v>205</v>
      </c>
      <c r="I1350" s="37">
        <v>0</v>
      </c>
      <c r="J1350" s="37">
        <v>0</v>
      </c>
    </row>
    <row r="1351" spans="1:10" x14ac:dyDescent="0.25">
      <c r="A1351" t="s">
        <v>3153</v>
      </c>
      <c r="B1351" t="s">
        <v>3154</v>
      </c>
      <c r="C1351" t="s">
        <v>229</v>
      </c>
      <c r="D1351" t="s">
        <v>379</v>
      </c>
      <c r="E1351" s="36">
        <v>330</v>
      </c>
      <c r="F1351" s="36">
        <v>390</v>
      </c>
      <c r="G1351" s="36">
        <v>205</v>
      </c>
      <c r="H1351" s="36">
        <v>240</v>
      </c>
      <c r="I1351" s="37">
        <v>0</v>
      </c>
      <c r="J1351" s="37">
        <v>0</v>
      </c>
    </row>
    <row r="1352" spans="1:10" x14ac:dyDescent="0.25">
      <c r="A1352" t="s">
        <v>3155</v>
      </c>
      <c r="B1352" t="s">
        <v>3156</v>
      </c>
      <c r="C1352" t="s">
        <v>229</v>
      </c>
      <c r="D1352" t="s">
        <v>379</v>
      </c>
      <c r="E1352" s="36">
        <v>400</v>
      </c>
      <c r="F1352" s="36">
        <v>470</v>
      </c>
      <c r="G1352" s="36">
        <v>250</v>
      </c>
      <c r="H1352" s="36">
        <v>290</v>
      </c>
      <c r="I1352" s="37">
        <v>0</v>
      </c>
      <c r="J1352" s="37">
        <v>0</v>
      </c>
    </row>
    <row r="1353" spans="1:10" x14ac:dyDescent="0.25">
      <c r="A1353" t="s">
        <v>3157</v>
      </c>
      <c r="B1353" t="s">
        <v>3158</v>
      </c>
      <c r="C1353" t="s">
        <v>229</v>
      </c>
      <c r="D1353" t="s">
        <v>379</v>
      </c>
      <c r="E1353" s="36">
        <v>204</v>
      </c>
      <c r="F1353" s="36">
        <v>246</v>
      </c>
      <c r="G1353" s="36">
        <v>125</v>
      </c>
      <c r="H1353" s="36">
        <v>150</v>
      </c>
      <c r="I1353" s="37">
        <v>2.0000000000000021E-2</v>
      </c>
      <c r="J1353" s="37">
        <v>2.4999999999999911E-2</v>
      </c>
    </row>
    <row r="1354" spans="1:10" x14ac:dyDescent="0.25">
      <c r="A1354" t="s">
        <v>3159</v>
      </c>
      <c r="B1354" t="s">
        <v>3160</v>
      </c>
      <c r="C1354" t="s">
        <v>229</v>
      </c>
      <c r="D1354" t="s">
        <v>379</v>
      </c>
      <c r="E1354" s="36">
        <v>290</v>
      </c>
      <c r="F1354" s="36">
        <v>340</v>
      </c>
      <c r="G1354" s="36">
        <v>180</v>
      </c>
      <c r="H1354" s="36">
        <v>210</v>
      </c>
      <c r="I1354" s="37">
        <v>0</v>
      </c>
      <c r="J1354" s="37">
        <v>0</v>
      </c>
    </row>
    <row r="1355" spans="1:10" x14ac:dyDescent="0.25">
      <c r="A1355" t="s">
        <v>3161</v>
      </c>
      <c r="B1355" t="s">
        <v>3162</v>
      </c>
      <c r="C1355" t="s">
        <v>229</v>
      </c>
      <c r="D1355" t="s">
        <v>379</v>
      </c>
      <c r="E1355" s="36">
        <v>350</v>
      </c>
      <c r="F1355" s="36">
        <v>410</v>
      </c>
      <c r="G1355" s="36">
        <v>215</v>
      </c>
      <c r="H1355" s="36">
        <v>255</v>
      </c>
      <c r="I1355" s="37">
        <v>0</v>
      </c>
      <c r="J1355" s="37">
        <v>0</v>
      </c>
    </row>
    <row r="1356" spans="1:10" x14ac:dyDescent="0.25">
      <c r="A1356" t="s">
        <v>3163</v>
      </c>
      <c r="B1356" t="s">
        <v>3164</v>
      </c>
      <c r="C1356" t="s">
        <v>229</v>
      </c>
      <c r="D1356" t="s">
        <v>379</v>
      </c>
      <c r="E1356" s="36">
        <v>120</v>
      </c>
      <c r="F1356" s="36">
        <v>140</v>
      </c>
      <c r="G1356" s="36">
        <v>75</v>
      </c>
      <c r="H1356" s="36">
        <v>88</v>
      </c>
      <c r="I1356" s="37">
        <v>0</v>
      </c>
      <c r="J1356" s="37">
        <v>0</v>
      </c>
    </row>
    <row r="1357" spans="1:10" x14ac:dyDescent="0.25">
      <c r="A1357" t="s">
        <v>3165</v>
      </c>
      <c r="B1357" t="s">
        <v>3166</v>
      </c>
      <c r="C1357" t="s">
        <v>229</v>
      </c>
      <c r="D1357" t="s">
        <v>379</v>
      </c>
      <c r="E1357" s="36">
        <v>70</v>
      </c>
      <c r="F1357" s="36">
        <v>80</v>
      </c>
      <c r="G1357" s="36">
        <v>42</v>
      </c>
      <c r="H1357" s="36">
        <v>50</v>
      </c>
      <c r="I1357" s="37">
        <v>0</v>
      </c>
      <c r="J1357" s="37">
        <v>0</v>
      </c>
    </row>
    <row r="1358" spans="1:10" x14ac:dyDescent="0.25">
      <c r="A1358" t="s">
        <v>3167</v>
      </c>
      <c r="B1358" t="s">
        <v>3168</v>
      </c>
      <c r="C1358" t="s">
        <v>229</v>
      </c>
      <c r="D1358" t="s">
        <v>379</v>
      </c>
      <c r="E1358" s="36">
        <v>140</v>
      </c>
      <c r="F1358" s="36">
        <v>165</v>
      </c>
      <c r="G1358" s="36">
        <v>85</v>
      </c>
      <c r="H1358" s="36">
        <v>100</v>
      </c>
      <c r="I1358" s="37">
        <v>0</v>
      </c>
      <c r="J1358" s="37">
        <v>0</v>
      </c>
    </row>
    <row r="1359" spans="1:10" x14ac:dyDescent="0.25">
      <c r="A1359" t="s">
        <v>68</v>
      </c>
      <c r="B1359" t="s">
        <v>3169</v>
      </c>
      <c r="C1359" t="s">
        <v>229</v>
      </c>
      <c r="D1359" t="s">
        <v>379</v>
      </c>
      <c r="E1359" s="36">
        <v>220</v>
      </c>
      <c r="F1359" s="36">
        <v>260</v>
      </c>
      <c r="G1359" s="36">
        <v>135</v>
      </c>
      <c r="H1359" s="36">
        <v>160</v>
      </c>
      <c r="I1359" s="37">
        <v>0</v>
      </c>
      <c r="J1359" s="37">
        <v>0</v>
      </c>
    </row>
    <row r="1360" spans="1:10" x14ac:dyDescent="0.25">
      <c r="A1360" t="s">
        <v>3170</v>
      </c>
      <c r="B1360" t="s">
        <v>3171</v>
      </c>
      <c r="C1360" t="s">
        <v>101</v>
      </c>
      <c r="D1360" t="s">
        <v>379</v>
      </c>
      <c r="E1360" s="36">
        <v>400</v>
      </c>
      <c r="F1360" s="36">
        <v>470</v>
      </c>
      <c r="G1360" s="36">
        <v>250</v>
      </c>
      <c r="H1360" s="36">
        <v>290</v>
      </c>
      <c r="I1360" s="37">
        <v>0</v>
      </c>
      <c r="J1360" s="37">
        <v>0</v>
      </c>
    </row>
    <row r="1361" spans="1:10" x14ac:dyDescent="0.25">
      <c r="A1361" t="s">
        <v>3172</v>
      </c>
      <c r="B1361" t="s">
        <v>3173</v>
      </c>
      <c r="C1361" t="s">
        <v>229</v>
      </c>
      <c r="D1361" t="s">
        <v>379</v>
      </c>
      <c r="E1361" s="36">
        <v>180</v>
      </c>
      <c r="F1361" s="36">
        <v>210</v>
      </c>
      <c r="G1361" s="36">
        <v>110</v>
      </c>
      <c r="H1361" s="36">
        <v>130</v>
      </c>
      <c r="I1361" s="37">
        <v>0</v>
      </c>
      <c r="J1361" s="37">
        <v>0</v>
      </c>
    </row>
    <row r="1362" spans="1:10" x14ac:dyDescent="0.25">
      <c r="A1362" t="s">
        <v>3174</v>
      </c>
      <c r="B1362" t="s">
        <v>3175</v>
      </c>
      <c r="C1362" t="s">
        <v>101</v>
      </c>
      <c r="D1362" t="s">
        <v>379</v>
      </c>
      <c r="E1362" s="36">
        <v>700</v>
      </c>
      <c r="F1362" s="36">
        <v>820</v>
      </c>
      <c r="G1362" s="36">
        <v>430</v>
      </c>
      <c r="H1362" s="36">
        <v>500</v>
      </c>
      <c r="I1362" s="37">
        <v>0</v>
      </c>
      <c r="J1362" s="37">
        <v>0</v>
      </c>
    </row>
    <row r="1363" spans="1:10" x14ac:dyDescent="0.25">
      <c r="A1363" t="s">
        <v>3176</v>
      </c>
      <c r="B1363" t="s">
        <v>3177</v>
      </c>
      <c r="C1363" t="s">
        <v>101</v>
      </c>
      <c r="D1363" t="s">
        <v>379</v>
      </c>
      <c r="E1363" s="36">
        <v>900</v>
      </c>
      <c r="F1363" s="36">
        <v>1050</v>
      </c>
      <c r="G1363" s="36">
        <v>540</v>
      </c>
      <c r="H1363" s="36">
        <v>630</v>
      </c>
      <c r="I1363" s="37">
        <v>0</v>
      </c>
      <c r="J1363" s="37">
        <v>0</v>
      </c>
    </row>
    <row r="1364" spans="1:10" x14ac:dyDescent="0.25">
      <c r="A1364" t="s">
        <v>3178</v>
      </c>
      <c r="B1364" t="s">
        <v>3179</v>
      </c>
      <c r="C1364" t="s">
        <v>229</v>
      </c>
      <c r="D1364" t="s">
        <v>379</v>
      </c>
      <c r="E1364" s="36">
        <v>50</v>
      </c>
      <c r="F1364" s="36">
        <v>60</v>
      </c>
      <c r="G1364" s="36">
        <v>30</v>
      </c>
      <c r="H1364" s="36">
        <v>36</v>
      </c>
      <c r="I1364" s="37">
        <v>0</v>
      </c>
      <c r="J1364" s="37">
        <v>0</v>
      </c>
    </row>
    <row r="1365" spans="1:10" x14ac:dyDescent="0.25">
      <c r="A1365" t="s">
        <v>3180</v>
      </c>
      <c r="B1365" t="s">
        <v>3181</v>
      </c>
      <c r="C1365" t="s">
        <v>101</v>
      </c>
      <c r="D1365" t="s">
        <v>379</v>
      </c>
      <c r="E1365" s="36">
        <v>454</v>
      </c>
      <c r="F1365" s="36">
        <v>544</v>
      </c>
      <c r="G1365" s="36">
        <v>280</v>
      </c>
      <c r="H1365" s="36">
        <v>330</v>
      </c>
      <c r="I1365" s="37">
        <v>8.8888888888889461E-3</v>
      </c>
      <c r="J1365" s="37">
        <v>2.6415094339622639E-2</v>
      </c>
    </row>
    <row r="1366" spans="1:10" x14ac:dyDescent="0.25">
      <c r="A1366" t="s">
        <v>3182</v>
      </c>
      <c r="B1366" t="s">
        <v>3183</v>
      </c>
      <c r="C1366" t="s">
        <v>101</v>
      </c>
      <c r="D1366" t="s">
        <v>379</v>
      </c>
      <c r="E1366" s="36">
        <v>58</v>
      </c>
      <c r="F1366" s="36">
        <v>68</v>
      </c>
      <c r="G1366" s="36">
        <v>30</v>
      </c>
      <c r="H1366" s="36">
        <v>35</v>
      </c>
      <c r="I1366" s="37">
        <v>0.15999999999999989</v>
      </c>
      <c r="J1366" s="37">
        <v>0.1333333333333333</v>
      </c>
    </row>
    <row r="1367" spans="1:10" x14ac:dyDescent="0.25">
      <c r="A1367" t="s">
        <v>3184</v>
      </c>
      <c r="B1367" t="s">
        <v>3185</v>
      </c>
      <c r="C1367" t="s">
        <v>101</v>
      </c>
      <c r="D1367" t="s">
        <v>383</v>
      </c>
      <c r="E1367" s="36">
        <v>2500</v>
      </c>
      <c r="F1367" s="36">
        <v>2900</v>
      </c>
      <c r="G1367" s="36">
        <v>1500</v>
      </c>
      <c r="H1367" s="36">
        <v>1750</v>
      </c>
      <c r="I1367" s="37">
        <v>0</v>
      </c>
      <c r="J1367" s="37">
        <v>0</v>
      </c>
    </row>
    <row r="1368" spans="1:10" x14ac:dyDescent="0.25">
      <c r="A1368" t="s">
        <v>3186</v>
      </c>
      <c r="B1368" t="s">
        <v>3187</v>
      </c>
      <c r="C1368" t="s">
        <v>101</v>
      </c>
      <c r="D1368" t="s">
        <v>383</v>
      </c>
      <c r="E1368" s="36">
        <v>2500</v>
      </c>
      <c r="F1368" s="36">
        <v>2900</v>
      </c>
      <c r="G1368" s="36">
        <v>1500</v>
      </c>
      <c r="H1368" s="36">
        <v>1750</v>
      </c>
      <c r="I1368" s="37">
        <v>0</v>
      </c>
      <c r="J1368" s="37">
        <v>0</v>
      </c>
    </row>
    <row r="1369" spans="1:10" x14ac:dyDescent="0.25">
      <c r="A1369" t="s">
        <v>3188</v>
      </c>
      <c r="B1369" t="s">
        <v>3189</v>
      </c>
      <c r="C1369" t="s">
        <v>101</v>
      </c>
      <c r="D1369" t="s">
        <v>383</v>
      </c>
      <c r="E1369" s="36">
        <v>5000</v>
      </c>
      <c r="F1369" s="36">
        <v>5800</v>
      </c>
      <c r="G1369" s="36">
        <v>3000</v>
      </c>
      <c r="H1369" s="36">
        <v>3500</v>
      </c>
      <c r="I1369" s="37">
        <v>0</v>
      </c>
      <c r="J1369" s="37">
        <v>0</v>
      </c>
    </row>
    <row r="1370" spans="1:10" x14ac:dyDescent="0.25">
      <c r="A1370" t="s">
        <v>3190</v>
      </c>
      <c r="B1370" t="s">
        <v>3191</v>
      </c>
      <c r="C1370" t="s">
        <v>101</v>
      </c>
      <c r="D1370" t="s">
        <v>379</v>
      </c>
      <c r="E1370" s="36">
        <v>1500</v>
      </c>
      <c r="F1370" s="36">
        <v>1750</v>
      </c>
      <c r="G1370" s="36">
        <v>900</v>
      </c>
      <c r="H1370" s="36">
        <v>1050</v>
      </c>
      <c r="I1370" s="37">
        <v>0</v>
      </c>
      <c r="J1370" s="37">
        <v>0</v>
      </c>
    </row>
    <row r="1371" spans="1:10" x14ac:dyDescent="0.25">
      <c r="A1371" t="s">
        <v>3192</v>
      </c>
      <c r="B1371" t="s">
        <v>3193</v>
      </c>
      <c r="C1371" t="s">
        <v>101</v>
      </c>
      <c r="D1371" t="s">
        <v>379</v>
      </c>
      <c r="E1371" s="36">
        <v>700</v>
      </c>
      <c r="F1371" s="36">
        <v>820</v>
      </c>
      <c r="G1371" s="36">
        <v>420</v>
      </c>
      <c r="H1371" s="36">
        <v>500</v>
      </c>
      <c r="I1371" s="37">
        <v>0</v>
      </c>
      <c r="J1371" s="37">
        <v>0</v>
      </c>
    </row>
    <row r="1372" spans="1:10" x14ac:dyDescent="0.25">
      <c r="A1372" t="s">
        <v>3194</v>
      </c>
      <c r="B1372" t="s">
        <v>3195</v>
      </c>
      <c r="C1372" t="s">
        <v>101</v>
      </c>
      <c r="D1372" t="s">
        <v>379</v>
      </c>
      <c r="E1372" s="36">
        <v>800</v>
      </c>
      <c r="F1372" s="36">
        <v>950</v>
      </c>
      <c r="G1372" s="36">
        <v>500</v>
      </c>
      <c r="H1372" s="36">
        <v>580</v>
      </c>
      <c r="I1372" s="37">
        <v>0</v>
      </c>
      <c r="J1372" s="37">
        <v>0</v>
      </c>
    </row>
    <row r="1373" spans="1:10" x14ac:dyDescent="0.25">
      <c r="A1373" t="s">
        <v>3196</v>
      </c>
      <c r="B1373" t="s">
        <v>3197</v>
      </c>
      <c r="C1373" t="s">
        <v>101</v>
      </c>
      <c r="D1373" t="s">
        <v>379</v>
      </c>
      <c r="E1373" s="36">
        <v>700</v>
      </c>
      <c r="F1373" s="36">
        <v>820</v>
      </c>
      <c r="G1373" s="36">
        <v>430</v>
      </c>
      <c r="H1373" s="36">
        <v>500</v>
      </c>
      <c r="I1373" s="37">
        <v>0</v>
      </c>
      <c r="J1373" s="37">
        <v>0</v>
      </c>
    </row>
    <row r="1374" spans="1:10" x14ac:dyDescent="0.25">
      <c r="A1374" t="s">
        <v>3198</v>
      </c>
      <c r="B1374" t="s">
        <v>3199</v>
      </c>
      <c r="C1374" t="s">
        <v>101</v>
      </c>
      <c r="D1374" t="s">
        <v>379</v>
      </c>
      <c r="E1374" s="36">
        <v>420</v>
      </c>
      <c r="F1374" s="36">
        <v>500</v>
      </c>
      <c r="G1374" s="36">
        <v>260</v>
      </c>
      <c r="H1374" s="36">
        <v>310</v>
      </c>
      <c r="I1374" s="37">
        <v>0</v>
      </c>
      <c r="J1374" s="37">
        <v>0</v>
      </c>
    </row>
    <row r="1375" spans="1:10" x14ac:dyDescent="0.25">
      <c r="A1375" t="s">
        <v>3200</v>
      </c>
      <c r="B1375" t="s">
        <v>3201</v>
      </c>
      <c r="C1375" t="s">
        <v>101</v>
      </c>
      <c r="D1375" t="s">
        <v>379</v>
      </c>
      <c r="E1375" s="36">
        <v>454</v>
      </c>
      <c r="F1375" s="36">
        <v>544</v>
      </c>
      <c r="G1375" s="36">
        <v>280</v>
      </c>
      <c r="H1375" s="36">
        <v>330</v>
      </c>
      <c r="I1375" s="37">
        <v>8.8888888888889461E-3</v>
      </c>
      <c r="J1375" s="37">
        <v>2.6415094339622639E-2</v>
      </c>
    </row>
    <row r="1376" spans="1:10" x14ac:dyDescent="0.25">
      <c r="A1376" t="s">
        <v>3202</v>
      </c>
      <c r="B1376" t="s">
        <v>3203</v>
      </c>
      <c r="C1376" t="s">
        <v>101</v>
      </c>
      <c r="D1376" t="s">
        <v>379</v>
      </c>
      <c r="E1376" s="36">
        <v>420</v>
      </c>
      <c r="F1376" s="36">
        <v>500</v>
      </c>
      <c r="G1376" s="36">
        <v>260</v>
      </c>
      <c r="H1376" s="36">
        <v>310</v>
      </c>
      <c r="I1376" s="37">
        <v>0</v>
      </c>
      <c r="J1376" s="37">
        <v>0</v>
      </c>
    </row>
    <row r="1377" spans="1:10" x14ac:dyDescent="0.25">
      <c r="A1377" t="s">
        <v>3204</v>
      </c>
      <c r="B1377" t="s">
        <v>3205</v>
      </c>
      <c r="C1377" t="s">
        <v>101</v>
      </c>
      <c r="D1377" t="s">
        <v>379</v>
      </c>
      <c r="E1377" s="36">
        <v>380</v>
      </c>
      <c r="F1377" s="36">
        <v>450</v>
      </c>
      <c r="G1377" s="36">
        <v>240</v>
      </c>
      <c r="H1377" s="36">
        <v>280</v>
      </c>
      <c r="I1377" s="37">
        <v>0</v>
      </c>
      <c r="J1377" s="37">
        <v>0</v>
      </c>
    </row>
    <row r="1378" spans="1:10" x14ac:dyDescent="0.25">
      <c r="A1378" t="s">
        <v>3206</v>
      </c>
      <c r="B1378" t="s">
        <v>3207</v>
      </c>
      <c r="C1378" t="s">
        <v>101</v>
      </c>
      <c r="D1378" t="s">
        <v>379</v>
      </c>
      <c r="E1378" s="36">
        <v>420</v>
      </c>
      <c r="F1378" s="36">
        <v>500</v>
      </c>
      <c r="G1378" s="36">
        <v>260</v>
      </c>
      <c r="H1378" s="36">
        <v>310</v>
      </c>
      <c r="I1378" s="37">
        <v>0</v>
      </c>
      <c r="J1378" s="37">
        <v>0</v>
      </c>
    </row>
    <row r="1379" spans="1:10" x14ac:dyDescent="0.25">
      <c r="A1379" t="s">
        <v>3208</v>
      </c>
      <c r="B1379" t="s">
        <v>3209</v>
      </c>
      <c r="C1379" t="s">
        <v>101</v>
      </c>
      <c r="D1379" t="s">
        <v>379</v>
      </c>
      <c r="E1379" s="36">
        <v>400</v>
      </c>
      <c r="F1379" s="36">
        <v>470</v>
      </c>
      <c r="G1379" s="36">
        <v>250</v>
      </c>
      <c r="H1379" s="36">
        <v>290</v>
      </c>
      <c r="I1379" s="37">
        <v>0</v>
      </c>
      <c r="J1379" s="37">
        <v>0</v>
      </c>
    </row>
    <row r="1380" spans="1:10" x14ac:dyDescent="0.25">
      <c r="A1380" t="s">
        <v>3210</v>
      </c>
      <c r="B1380" t="s">
        <v>3211</v>
      </c>
      <c r="C1380" t="s">
        <v>101</v>
      </c>
      <c r="D1380" t="s">
        <v>379</v>
      </c>
      <c r="E1380" s="36">
        <v>500</v>
      </c>
      <c r="F1380" s="36">
        <v>600</v>
      </c>
      <c r="G1380" s="36">
        <v>300</v>
      </c>
      <c r="H1380" s="36">
        <v>360</v>
      </c>
      <c r="I1380" s="37">
        <v>0</v>
      </c>
      <c r="J1380" s="37">
        <v>0</v>
      </c>
    </row>
    <row r="1381" spans="1:10" x14ac:dyDescent="0.25">
      <c r="A1381" t="s">
        <v>3212</v>
      </c>
      <c r="B1381" t="s">
        <v>3213</v>
      </c>
      <c r="C1381" t="s">
        <v>101</v>
      </c>
      <c r="D1381" t="s">
        <v>379</v>
      </c>
      <c r="E1381" s="36">
        <v>900</v>
      </c>
      <c r="F1381" s="36">
        <v>1050</v>
      </c>
      <c r="G1381" s="36">
        <v>560</v>
      </c>
      <c r="H1381" s="36">
        <v>650</v>
      </c>
      <c r="I1381" s="37">
        <v>0</v>
      </c>
      <c r="J1381" s="37">
        <v>0</v>
      </c>
    </row>
    <row r="1382" spans="1:10" x14ac:dyDescent="0.25">
      <c r="A1382" t="s">
        <v>3214</v>
      </c>
      <c r="B1382" t="s">
        <v>3215</v>
      </c>
      <c r="C1382" t="s">
        <v>101</v>
      </c>
      <c r="D1382" t="s">
        <v>379</v>
      </c>
      <c r="E1382" s="36">
        <v>400</v>
      </c>
      <c r="F1382" s="36">
        <v>470</v>
      </c>
      <c r="G1382" s="36">
        <v>250</v>
      </c>
      <c r="H1382" s="36">
        <v>290</v>
      </c>
      <c r="I1382" s="37">
        <v>0</v>
      </c>
      <c r="J1382" s="37">
        <v>0</v>
      </c>
    </row>
    <row r="1383" spans="1:10" x14ac:dyDescent="0.25">
      <c r="A1383" t="s">
        <v>3216</v>
      </c>
      <c r="B1383" t="s">
        <v>3217</v>
      </c>
      <c r="C1383" t="s">
        <v>101</v>
      </c>
      <c r="D1383" t="s">
        <v>379</v>
      </c>
      <c r="E1383" s="36">
        <v>900</v>
      </c>
      <c r="F1383" s="36">
        <v>1050</v>
      </c>
      <c r="G1383" s="36">
        <v>560</v>
      </c>
      <c r="H1383" s="36">
        <v>650</v>
      </c>
      <c r="I1383" s="37">
        <v>0</v>
      </c>
      <c r="J1383" s="37">
        <v>0</v>
      </c>
    </row>
    <row r="1384" spans="1:10" x14ac:dyDescent="0.25">
      <c r="A1384" t="s">
        <v>3218</v>
      </c>
      <c r="B1384" t="s">
        <v>3219</v>
      </c>
      <c r="C1384" t="s">
        <v>101</v>
      </c>
      <c r="D1384" t="s">
        <v>379</v>
      </c>
      <c r="E1384" s="36">
        <v>550</v>
      </c>
      <c r="F1384" s="36">
        <v>650</v>
      </c>
      <c r="G1384" s="36">
        <v>340</v>
      </c>
      <c r="H1384" s="36">
        <v>400</v>
      </c>
      <c r="I1384" s="37">
        <v>0</v>
      </c>
      <c r="J1384" s="37">
        <v>0</v>
      </c>
    </row>
    <row r="1385" spans="1:10" x14ac:dyDescent="0.25">
      <c r="A1385" t="s">
        <v>3220</v>
      </c>
      <c r="B1385" t="s">
        <v>3221</v>
      </c>
      <c r="C1385" t="s">
        <v>101</v>
      </c>
      <c r="D1385" t="s">
        <v>379</v>
      </c>
      <c r="E1385" s="36">
        <v>454</v>
      </c>
      <c r="F1385" s="36">
        <v>544</v>
      </c>
      <c r="G1385" s="36">
        <v>280</v>
      </c>
      <c r="H1385" s="36">
        <v>330</v>
      </c>
      <c r="I1385" s="37">
        <v>8.8888888888889461E-3</v>
      </c>
      <c r="J1385" s="37">
        <v>2.6415094339622639E-2</v>
      </c>
    </row>
    <row r="1386" spans="1:10" x14ac:dyDescent="0.25">
      <c r="A1386" t="s">
        <v>234</v>
      </c>
      <c r="B1386" t="s">
        <v>3222</v>
      </c>
      <c r="C1386" t="s">
        <v>101</v>
      </c>
      <c r="D1386" t="s">
        <v>379</v>
      </c>
      <c r="E1386" s="36">
        <v>400</v>
      </c>
      <c r="F1386" s="36">
        <v>476</v>
      </c>
      <c r="G1386" s="36">
        <v>250</v>
      </c>
      <c r="H1386" s="36">
        <v>290</v>
      </c>
      <c r="I1386" s="37">
        <v>0</v>
      </c>
      <c r="J1386" s="37">
        <v>1.276595744680842E-2</v>
      </c>
    </row>
    <row r="1387" spans="1:10" x14ac:dyDescent="0.25">
      <c r="A1387" t="s">
        <v>3223</v>
      </c>
      <c r="B1387" t="s">
        <v>3224</v>
      </c>
      <c r="C1387" t="s">
        <v>101</v>
      </c>
      <c r="D1387" t="s">
        <v>379</v>
      </c>
      <c r="E1387" s="36">
        <v>2200</v>
      </c>
      <c r="F1387" s="36">
        <v>2600</v>
      </c>
      <c r="G1387" s="36">
        <v>1350</v>
      </c>
      <c r="H1387" s="36">
        <v>1600</v>
      </c>
      <c r="I1387" s="37">
        <v>0</v>
      </c>
      <c r="J1387" s="37">
        <v>0</v>
      </c>
    </row>
    <row r="1388" spans="1:10" x14ac:dyDescent="0.25">
      <c r="A1388" t="s">
        <v>3225</v>
      </c>
      <c r="B1388" t="s">
        <v>3226</v>
      </c>
      <c r="C1388" t="s">
        <v>101</v>
      </c>
      <c r="D1388" t="s">
        <v>379</v>
      </c>
      <c r="E1388" s="36">
        <v>900</v>
      </c>
      <c r="F1388" s="36">
        <v>1100</v>
      </c>
      <c r="G1388" s="36">
        <v>550</v>
      </c>
      <c r="H1388" s="36">
        <v>680</v>
      </c>
      <c r="I1388" s="37">
        <v>0</v>
      </c>
      <c r="J1388" s="37">
        <v>0</v>
      </c>
    </row>
    <row r="1389" spans="1:10" x14ac:dyDescent="0.25">
      <c r="A1389" t="s">
        <v>3227</v>
      </c>
      <c r="B1389" t="s">
        <v>3228</v>
      </c>
      <c r="C1389" t="s">
        <v>1231</v>
      </c>
      <c r="D1389" t="s">
        <v>379</v>
      </c>
      <c r="E1389" s="36">
        <v>4000</v>
      </c>
      <c r="F1389" s="36">
        <v>4700</v>
      </c>
      <c r="G1389" s="36">
        <v>2500</v>
      </c>
      <c r="H1389" s="36">
        <v>2900</v>
      </c>
      <c r="I1389" s="37">
        <v>0</v>
      </c>
      <c r="J1389" s="37">
        <v>0</v>
      </c>
    </row>
    <row r="1390" spans="1:10" x14ac:dyDescent="0.25">
      <c r="A1390" t="s">
        <v>3229</v>
      </c>
      <c r="B1390" t="s">
        <v>3230</v>
      </c>
      <c r="C1390" t="s">
        <v>101</v>
      </c>
      <c r="D1390" t="s">
        <v>379</v>
      </c>
      <c r="E1390" s="36">
        <v>8000</v>
      </c>
      <c r="F1390" s="36">
        <v>9300</v>
      </c>
      <c r="G1390" s="36">
        <v>4800</v>
      </c>
      <c r="H1390" s="36">
        <v>5600</v>
      </c>
      <c r="I1390" s="37">
        <v>0</v>
      </c>
      <c r="J1390" s="37">
        <v>0</v>
      </c>
    </row>
    <row r="1391" spans="1:10" x14ac:dyDescent="0.25">
      <c r="A1391" t="s">
        <v>3231</v>
      </c>
      <c r="B1391" t="s">
        <v>3232</v>
      </c>
      <c r="C1391" t="s">
        <v>101</v>
      </c>
      <c r="D1391" t="s">
        <v>379</v>
      </c>
      <c r="E1391" s="36">
        <v>9500</v>
      </c>
      <c r="F1391" s="36">
        <v>11000</v>
      </c>
      <c r="G1391" s="36">
        <v>5700</v>
      </c>
      <c r="H1391" s="36">
        <v>6600</v>
      </c>
      <c r="I1391" s="37">
        <v>0</v>
      </c>
      <c r="J1391" s="37">
        <v>0</v>
      </c>
    </row>
    <row r="1392" spans="1:10" x14ac:dyDescent="0.25">
      <c r="A1392" t="s">
        <v>3233</v>
      </c>
      <c r="B1392" t="s">
        <v>3234</v>
      </c>
      <c r="C1392" t="s">
        <v>101</v>
      </c>
      <c r="D1392" t="s">
        <v>379</v>
      </c>
      <c r="E1392" s="36">
        <v>8000</v>
      </c>
      <c r="F1392" s="36">
        <v>9300</v>
      </c>
      <c r="G1392" s="36">
        <v>4800</v>
      </c>
      <c r="H1392" s="36">
        <v>5600</v>
      </c>
      <c r="I1392" s="37">
        <v>0</v>
      </c>
      <c r="J1392" s="37">
        <v>0</v>
      </c>
    </row>
    <row r="1393" spans="1:10" x14ac:dyDescent="0.25">
      <c r="A1393" t="s">
        <v>3235</v>
      </c>
      <c r="B1393" t="s">
        <v>3236</v>
      </c>
      <c r="C1393" t="s">
        <v>101</v>
      </c>
      <c r="D1393" t="s">
        <v>379</v>
      </c>
      <c r="E1393" s="36">
        <v>3500</v>
      </c>
      <c r="F1393" s="36">
        <v>4100</v>
      </c>
      <c r="G1393" s="36">
        <v>2100</v>
      </c>
      <c r="H1393" s="36">
        <v>2450</v>
      </c>
      <c r="I1393" s="37">
        <v>0</v>
      </c>
      <c r="J1393" s="37">
        <v>0</v>
      </c>
    </row>
    <row r="1394" spans="1:10" x14ac:dyDescent="0.25">
      <c r="A1394" t="s">
        <v>3237</v>
      </c>
      <c r="B1394" t="s">
        <v>3238</v>
      </c>
      <c r="C1394" t="s">
        <v>101</v>
      </c>
      <c r="D1394" t="s">
        <v>379</v>
      </c>
      <c r="E1394" s="36">
        <v>4000</v>
      </c>
      <c r="F1394" s="36">
        <v>4700</v>
      </c>
      <c r="G1394" s="36">
        <v>2400</v>
      </c>
      <c r="H1394" s="36">
        <v>2800</v>
      </c>
      <c r="I1394" s="37">
        <v>0</v>
      </c>
      <c r="J1394" s="37">
        <v>0</v>
      </c>
    </row>
    <row r="1395" spans="1:10" x14ac:dyDescent="0.25">
      <c r="A1395" t="s">
        <v>3239</v>
      </c>
      <c r="B1395" t="s">
        <v>3240</v>
      </c>
      <c r="C1395" t="s">
        <v>101</v>
      </c>
      <c r="D1395" t="s">
        <v>383</v>
      </c>
      <c r="E1395" s="36">
        <v>18667</v>
      </c>
      <c r="F1395" s="36">
        <v>22400</v>
      </c>
      <c r="G1395" s="36">
        <v>11000</v>
      </c>
      <c r="H1395" s="36">
        <v>12800</v>
      </c>
      <c r="I1395" s="37">
        <v>3.7055555555555619E-2</v>
      </c>
      <c r="J1395" s="37">
        <v>6.6666666666666652E-2</v>
      </c>
    </row>
    <row r="1396" spans="1:10" x14ac:dyDescent="0.25">
      <c r="A1396" t="s">
        <v>3241</v>
      </c>
      <c r="B1396" t="s">
        <v>3242</v>
      </c>
      <c r="C1396" t="s">
        <v>101</v>
      </c>
      <c r="D1396" t="s">
        <v>383</v>
      </c>
      <c r="E1396" s="36">
        <v>14934</v>
      </c>
      <c r="F1396" s="36">
        <v>17920</v>
      </c>
      <c r="G1396" s="36">
        <v>7200</v>
      </c>
      <c r="H1396" s="36">
        <v>8400</v>
      </c>
      <c r="I1396" s="37">
        <v>0.24449999999999991</v>
      </c>
      <c r="J1396" s="37">
        <v>0.28000000000000003</v>
      </c>
    </row>
    <row r="1397" spans="1:10" x14ac:dyDescent="0.25">
      <c r="A1397" t="s">
        <v>3243</v>
      </c>
      <c r="B1397" t="s">
        <v>3244</v>
      </c>
      <c r="C1397" t="s">
        <v>101</v>
      </c>
      <c r="D1397" t="s">
        <v>375</v>
      </c>
      <c r="E1397" s="36">
        <v>6000</v>
      </c>
      <c r="F1397" s="36">
        <v>7000</v>
      </c>
      <c r="G1397" s="36">
        <v>3600</v>
      </c>
      <c r="H1397" s="36">
        <v>4200</v>
      </c>
      <c r="I1397" s="37">
        <v>0</v>
      </c>
      <c r="J1397" s="37">
        <v>0</v>
      </c>
    </row>
    <row r="1398" spans="1:10" x14ac:dyDescent="0.25">
      <c r="A1398" t="s">
        <v>3245</v>
      </c>
      <c r="B1398" t="s">
        <v>3246</v>
      </c>
      <c r="C1398" t="s">
        <v>101</v>
      </c>
      <c r="D1398" t="s">
        <v>379</v>
      </c>
      <c r="E1398" s="36">
        <v>2000</v>
      </c>
      <c r="F1398" s="36">
        <v>2300</v>
      </c>
      <c r="G1398" s="36">
        <v>1200</v>
      </c>
      <c r="H1398" s="36">
        <v>1400</v>
      </c>
      <c r="I1398" s="37">
        <v>0</v>
      </c>
      <c r="J1398" s="37">
        <v>0</v>
      </c>
    </row>
    <row r="1399" spans="1:10" x14ac:dyDescent="0.25">
      <c r="A1399" t="s">
        <v>3247</v>
      </c>
      <c r="B1399" t="s">
        <v>3248</v>
      </c>
      <c r="C1399" t="s">
        <v>101</v>
      </c>
      <c r="D1399" t="s">
        <v>383</v>
      </c>
      <c r="E1399" s="36">
        <v>3000</v>
      </c>
      <c r="F1399" s="36">
        <v>3500</v>
      </c>
      <c r="G1399" s="36">
        <v>1800</v>
      </c>
      <c r="H1399" s="36">
        <v>2100</v>
      </c>
      <c r="I1399" s="37">
        <v>0</v>
      </c>
      <c r="J1399" s="37">
        <v>0</v>
      </c>
    </row>
    <row r="1400" spans="1:10" x14ac:dyDescent="0.25">
      <c r="A1400" t="s">
        <v>3249</v>
      </c>
      <c r="B1400" t="s">
        <v>3250</v>
      </c>
      <c r="C1400" t="s">
        <v>101</v>
      </c>
      <c r="D1400" t="s">
        <v>379</v>
      </c>
      <c r="E1400" s="36">
        <v>7000</v>
      </c>
      <c r="F1400" s="36">
        <v>8200</v>
      </c>
      <c r="G1400" s="36">
        <v>4200</v>
      </c>
      <c r="H1400" s="36">
        <v>4900</v>
      </c>
      <c r="I1400" s="37">
        <v>0</v>
      </c>
      <c r="J1400" s="37">
        <v>0</v>
      </c>
    </row>
    <row r="1401" spans="1:10" x14ac:dyDescent="0.25">
      <c r="A1401" t="s">
        <v>3251</v>
      </c>
      <c r="B1401" t="s">
        <v>3252</v>
      </c>
      <c r="C1401" t="s">
        <v>101</v>
      </c>
      <c r="D1401" t="s">
        <v>383</v>
      </c>
      <c r="E1401" s="36">
        <v>3000</v>
      </c>
      <c r="F1401" s="36">
        <v>3500</v>
      </c>
      <c r="G1401" s="36">
        <v>1800</v>
      </c>
      <c r="H1401" s="36">
        <v>2100</v>
      </c>
      <c r="I1401" s="37">
        <v>0</v>
      </c>
      <c r="J1401" s="37">
        <v>0</v>
      </c>
    </row>
    <row r="1402" spans="1:10" x14ac:dyDescent="0.25">
      <c r="A1402" t="s">
        <v>3253</v>
      </c>
      <c r="B1402" t="s">
        <v>3254</v>
      </c>
      <c r="C1402" t="s">
        <v>101</v>
      </c>
      <c r="D1402" t="s">
        <v>379</v>
      </c>
      <c r="E1402" s="36">
        <v>5500</v>
      </c>
      <c r="F1402" s="36">
        <v>6400</v>
      </c>
      <c r="G1402" s="36">
        <v>3300</v>
      </c>
      <c r="H1402" s="36">
        <v>3850</v>
      </c>
      <c r="I1402" s="37">
        <v>0</v>
      </c>
      <c r="J1402" s="37">
        <v>0</v>
      </c>
    </row>
    <row r="1403" spans="1:10" x14ac:dyDescent="0.25">
      <c r="A1403" t="s">
        <v>3255</v>
      </c>
      <c r="B1403" t="s">
        <v>3256</v>
      </c>
      <c r="C1403" t="s">
        <v>101</v>
      </c>
      <c r="D1403" t="s">
        <v>383</v>
      </c>
      <c r="E1403" s="36">
        <v>3000</v>
      </c>
      <c r="F1403" s="36">
        <v>3500</v>
      </c>
      <c r="G1403" s="36">
        <v>1800</v>
      </c>
      <c r="H1403" s="36">
        <v>2100</v>
      </c>
      <c r="I1403" s="37">
        <v>0</v>
      </c>
      <c r="J1403" s="37">
        <v>0</v>
      </c>
    </row>
    <row r="1404" spans="1:10" x14ac:dyDescent="0.25">
      <c r="A1404" t="s">
        <v>3257</v>
      </c>
      <c r="B1404" t="s">
        <v>3258</v>
      </c>
      <c r="C1404" t="s">
        <v>1231</v>
      </c>
      <c r="D1404" t="s">
        <v>383</v>
      </c>
      <c r="E1404" s="36">
        <v>38000</v>
      </c>
      <c r="F1404" s="36">
        <v>32000</v>
      </c>
      <c r="G1404" s="36">
        <v>30000</v>
      </c>
      <c r="H1404" s="36">
        <v>25000</v>
      </c>
      <c r="I1404" s="37">
        <v>0</v>
      </c>
      <c r="J1404" s="37">
        <v>0</v>
      </c>
    </row>
    <row r="1405" spans="1:10" x14ac:dyDescent="0.25">
      <c r="A1405" t="s">
        <v>3259</v>
      </c>
      <c r="B1405" t="s">
        <v>3260</v>
      </c>
      <c r="C1405" t="s">
        <v>1231</v>
      </c>
      <c r="D1405" t="s">
        <v>383</v>
      </c>
      <c r="E1405" s="36">
        <v>32000</v>
      </c>
      <c r="F1405" s="36">
        <v>25000</v>
      </c>
      <c r="G1405" s="36">
        <v>25000</v>
      </c>
      <c r="H1405" s="36">
        <v>20000</v>
      </c>
      <c r="I1405" s="37">
        <v>0</v>
      </c>
      <c r="J1405" s="37">
        <v>0</v>
      </c>
    </row>
    <row r="1406" spans="1:10" x14ac:dyDescent="0.25">
      <c r="A1406" t="s">
        <v>3261</v>
      </c>
      <c r="B1406" t="s">
        <v>3262</v>
      </c>
      <c r="C1406" t="s">
        <v>1231</v>
      </c>
      <c r="D1406" t="s">
        <v>383</v>
      </c>
      <c r="E1406" s="36">
        <v>22000</v>
      </c>
      <c r="F1406" s="36">
        <v>18000</v>
      </c>
      <c r="G1406" s="36">
        <v>17000</v>
      </c>
      <c r="H1406" s="36">
        <v>14000</v>
      </c>
      <c r="I1406" s="37">
        <v>0</v>
      </c>
      <c r="J1406" s="37">
        <v>0</v>
      </c>
    </row>
    <row r="1407" spans="1:10" x14ac:dyDescent="0.25">
      <c r="A1407" t="s">
        <v>3263</v>
      </c>
      <c r="B1407" t="s">
        <v>3264</v>
      </c>
      <c r="C1407" t="s">
        <v>1231</v>
      </c>
      <c r="D1407" t="s">
        <v>383</v>
      </c>
      <c r="E1407" s="36">
        <v>22000</v>
      </c>
      <c r="F1407" s="36">
        <v>14000</v>
      </c>
      <c r="G1407" s="36">
        <v>17000</v>
      </c>
      <c r="H1407" s="36">
        <v>11000</v>
      </c>
      <c r="I1407" s="37">
        <v>0</v>
      </c>
      <c r="J1407" s="37">
        <v>0</v>
      </c>
    </row>
    <row r="1408" spans="1:10" x14ac:dyDescent="0.25">
      <c r="A1408" t="s">
        <v>3265</v>
      </c>
      <c r="B1408" t="s">
        <v>3266</v>
      </c>
      <c r="C1408" t="s">
        <v>1231</v>
      </c>
      <c r="D1408" t="s">
        <v>383</v>
      </c>
      <c r="E1408" s="36">
        <v>28000</v>
      </c>
      <c r="F1408" s="36">
        <v>20000</v>
      </c>
      <c r="G1408" s="36">
        <v>22000</v>
      </c>
      <c r="H1408" s="36">
        <v>16000</v>
      </c>
      <c r="I1408" s="37">
        <v>0</v>
      </c>
      <c r="J1408" s="37">
        <v>0</v>
      </c>
    </row>
    <row r="1409" spans="1:10" x14ac:dyDescent="0.25">
      <c r="A1409" t="s">
        <v>3267</v>
      </c>
      <c r="B1409" t="s">
        <v>3268</v>
      </c>
      <c r="C1409" t="s">
        <v>1231</v>
      </c>
      <c r="D1409" t="s">
        <v>383</v>
      </c>
      <c r="E1409" s="36">
        <v>38000</v>
      </c>
      <c r="F1409" s="36">
        <v>30000</v>
      </c>
      <c r="G1409" s="36">
        <v>30000</v>
      </c>
      <c r="H1409" s="36">
        <v>24000</v>
      </c>
      <c r="I1409" s="37">
        <v>0</v>
      </c>
      <c r="J1409" s="37">
        <v>0</v>
      </c>
    </row>
    <row r="1410" spans="1:10" x14ac:dyDescent="0.25">
      <c r="A1410" t="s">
        <v>3269</v>
      </c>
      <c r="B1410" t="s">
        <v>3270</v>
      </c>
      <c r="C1410" t="s">
        <v>240</v>
      </c>
      <c r="D1410" t="s">
        <v>375</v>
      </c>
      <c r="E1410" s="36">
        <v>9000</v>
      </c>
      <c r="F1410" s="36">
        <v>10500</v>
      </c>
      <c r="G1410" s="36">
        <v>5400</v>
      </c>
      <c r="H1410" s="36">
        <v>6300</v>
      </c>
      <c r="I1410" s="37">
        <v>0</v>
      </c>
      <c r="J1410" s="37">
        <v>0</v>
      </c>
    </row>
    <row r="1411" spans="1:10" x14ac:dyDescent="0.25">
      <c r="A1411" t="s">
        <v>3271</v>
      </c>
      <c r="B1411" t="s">
        <v>3272</v>
      </c>
      <c r="C1411" t="s">
        <v>101</v>
      </c>
      <c r="D1411" t="s">
        <v>379</v>
      </c>
      <c r="E1411" s="36">
        <v>150</v>
      </c>
      <c r="F1411" s="36">
        <v>180</v>
      </c>
      <c r="G1411" s="36">
        <v>90</v>
      </c>
      <c r="H1411" s="36">
        <v>110</v>
      </c>
      <c r="I1411" s="37">
        <v>0</v>
      </c>
      <c r="J1411" s="37">
        <v>0</v>
      </c>
    </row>
    <row r="1412" spans="1:10" x14ac:dyDescent="0.25">
      <c r="A1412" t="s">
        <v>3273</v>
      </c>
      <c r="B1412" t="s">
        <v>3274</v>
      </c>
      <c r="C1412" t="s">
        <v>101</v>
      </c>
      <c r="D1412" t="s">
        <v>379</v>
      </c>
      <c r="E1412" s="36">
        <v>2800</v>
      </c>
      <c r="F1412" s="36">
        <v>3300</v>
      </c>
      <c r="G1412" s="36">
        <v>1700</v>
      </c>
      <c r="H1412" s="36">
        <v>2000</v>
      </c>
      <c r="I1412" s="37">
        <v>0</v>
      </c>
      <c r="J1412" s="37">
        <v>0</v>
      </c>
    </row>
    <row r="1413" spans="1:10" x14ac:dyDescent="0.25">
      <c r="A1413" t="s">
        <v>3275</v>
      </c>
      <c r="B1413" t="s">
        <v>3276</v>
      </c>
      <c r="C1413" t="s">
        <v>101</v>
      </c>
      <c r="D1413" t="s">
        <v>379</v>
      </c>
      <c r="E1413" s="36">
        <v>700</v>
      </c>
      <c r="F1413" s="36">
        <v>820</v>
      </c>
      <c r="G1413" s="36">
        <v>420</v>
      </c>
      <c r="H1413" s="36">
        <v>500</v>
      </c>
      <c r="I1413" s="37">
        <v>0</v>
      </c>
      <c r="J1413" s="37">
        <v>0</v>
      </c>
    </row>
    <row r="1414" spans="1:10" x14ac:dyDescent="0.25">
      <c r="A1414" t="s">
        <v>3277</v>
      </c>
      <c r="B1414" t="s">
        <v>3278</v>
      </c>
      <c r="C1414" t="s">
        <v>101</v>
      </c>
      <c r="D1414" t="s">
        <v>379</v>
      </c>
      <c r="E1414" s="36">
        <v>500</v>
      </c>
      <c r="F1414" s="36">
        <v>600</v>
      </c>
      <c r="G1414" s="36">
        <v>300</v>
      </c>
      <c r="H1414" s="36">
        <v>360</v>
      </c>
      <c r="I1414" s="37">
        <v>0</v>
      </c>
      <c r="J1414" s="37">
        <v>0</v>
      </c>
    </row>
    <row r="1415" spans="1:10" x14ac:dyDescent="0.25">
      <c r="A1415" t="s">
        <v>3279</v>
      </c>
      <c r="B1415" t="s">
        <v>3280</v>
      </c>
      <c r="C1415" t="s">
        <v>101</v>
      </c>
      <c r="D1415" t="s">
        <v>379</v>
      </c>
      <c r="E1415" s="36">
        <v>1000</v>
      </c>
      <c r="F1415" s="36">
        <v>1200</v>
      </c>
      <c r="G1415" s="36">
        <v>600</v>
      </c>
      <c r="H1415" s="36">
        <v>720</v>
      </c>
      <c r="I1415" s="37">
        <v>0</v>
      </c>
      <c r="J1415" s="37">
        <v>0</v>
      </c>
    </row>
    <row r="1416" spans="1:10" x14ac:dyDescent="0.25">
      <c r="A1416" t="s">
        <v>3281</v>
      </c>
      <c r="B1416" t="s">
        <v>3282</v>
      </c>
      <c r="C1416" t="s">
        <v>829</v>
      </c>
      <c r="D1416" t="s">
        <v>379</v>
      </c>
      <c r="E1416" s="36">
        <v>750</v>
      </c>
      <c r="F1416" s="36">
        <v>880</v>
      </c>
      <c r="G1416" s="36">
        <v>450</v>
      </c>
      <c r="H1416" s="36">
        <v>530</v>
      </c>
      <c r="I1416" s="37">
        <v>0</v>
      </c>
      <c r="J1416" s="37">
        <v>0</v>
      </c>
    </row>
    <row r="1417" spans="1:10" x14ac:dyDescent="0.25">
      <c r="A1417" t="s">
        <v>3283</v>
      </c>
      <c r="B1417" t="s">
        <v>3284</v>
      </c>
      <c r="C1417" t="s">
        <v>829</v>
      </c>
      <c r="D1417" t="s">
        <v>379</v>
      </c>
      <c r="E1417" s="36">
        <v>1100</v>
      </c>
      <c r="F1417" s="36">
        <v>1300</v>
      </c>
      <c r="G1417" s="36">
        <v>650</v>
      </c>
      <c r="H1417" s="36">
        <v>780</v>
      </c>
      <c r="I1417" s="37">
        <v>0</v>
      </c>
      <c r="J1417" s="37">
        <v>0</v>
      </c>
    </row>
    <row r="1418" spans="1:10" x14ac:dyDescent="0.25">
      <c r="A1418" t="s">
        <v>3285</v>
      </c>
      <c r="B1418" t="s">
        <v>3286</v>
      </c>
      <c r="C1418" t="s">
        <v>829</v>
      </c>
      <c r="D1418" t="s">
        <v>379</v>
      </c>
      <c r="E1418" s="36">
        <v>120</v>
      </c>
      <c r="F1418" s="36">
        <v>140</v>
      </c>
      <c r="G1418" s="36">
        <v>70</v>
      </c>
      <c r="H1418" s="36">
        <v>85</v>
      </c>
      <c r="I1418" s="37">
        <v>0</v>
      </c>
      <c r="J1418" s="37">
        <v>0</v>
      </c>
    </row>
    <row r="1419" spans="1:10" x14ac:dyDescent="0.25">
      <c r="A1419" t="s">
        <v>3287</v>
      </c>
      <c r="B1419" t="s">
        <v>3288</v>
      </c>
      <c r="C1419" t="s">
        <v>229</v>
      </c>
      <c r="D1419" t="s">
        <v>379</v>
      </c>
      <c r="E1419" s="36">
        <v>650</v>
      </c>
      <c r="F1419" s="36">
        <v>750</v>
      </c>
      <c r="G1419" s="36">
        <v>400</v>
      </c>
      <c r="H1419" s="36">
        <v>460</v>
      </c>
      <c r="I1419" s="37">
        <v>0</v>
      </c>
      <c r="J1419" s="37">
        <v>0</v>
      </c>
    </row>
    <row r="1420" spans="1:10" x14ac:dyDescent="0.25">
      <c r="A1420" t="s">
        <v>3289</v>
      </c>
      <c r="B1420" t="s">
        <v>3290</v>
      </c>
      <c r="C1420" t="s">
        <v>829</v>
      </c>
      <c r="D1420" t="s">
        <v>379</v>
      </c>
      <c r="E1420" s="36">
        <v>1600</v>
      </c>
      <c r="F1420" s="36">
        <v>1900</v>
      </c>
      <c r="G1420" s="36">
        <v>950</v>
      </c>
      <c r="H1420" s="36">
        <v>1150</v>
      </c>
      <c r="I1420" s="37">
        <v>0</v>
      </c>
      <c r="J1420" s="37">
        <v>0</v>
      </c>
    </row>
    <row r="1421" spans="1:10" x14ac:dyDescent="0.25">
      <c r="A1421" t="s">
        <v>3291</v>
      </c>
      <c r="B1421" t="s">
        <v>3292</v>
      </c>
      <c r="C1421" t="s">
        <v>829</v>
      </c>
      <c r="D1421" t="s">
        <v>379</v>
      </c>
      <c r="E1421" s="36">
        <v>700</v>
      </c>
      <c r="F1421" s="36">
        <v>820</v>
      </c>
      <c r="G1421" s="36">
        <v>420</v>
      </c>
      <c r="H1421" s="36">
        <v>500</v>
      </c>
      <c r="I1421" s="37">
        <v>0</v>
      </c>
      <c r="J1421" s="37">
        <v>0</v>
      </c>
    </row>
    <row r="1422" spans="1:10" x14ac:dyDescent="0.25">
      <c r="A1422" t="s">
        <v>3293</v>
      </c>
      <c r="B1422" t="s">
        <v>3294</v>
      </c>
      <c r="C1422" t="s">
        <v>829</v>
      </c>
      <c r="D1422" t="s">
        <v>379</v>
      </c>
      <c r="E1422" s="36">
        <v>6000</v>
      </c>
      <c r="F1422" s="36">
        <v>7000</v>
      </c>
      <c r="G1422" s="36">
        <v>3600</v>
      </c>
      <c r="H1422" s="36">
        <v>4200</v>
      </c>
      <c r="I1422" s="37">
        <v>0</v>
      </c>
      <c r="J1422" s="37">
        <v>0</v>
      </c>
    </row>
    <row r="1423" spans="1:10" x14ac:dyDescent="0.25">
      <c r="A1423" t="s">
        <v>3295</v>
      </c>
      <c r="B1423" t="s">
        <v>3296</v>
      </c>
      <c r="C1423" t="s">
        <v>829</v>
      </c>
      <c r="D1423" t="s">
        <v>379</v>
      </c>
      <c r="E1423" s="36">
        <v>650</v>
      </c>
      <c r="F1423" s="36">
        <v>760</v>
      </c>
      <c r="G1423" s="36">
        <v>390</v>
      </c>
      <c r="H1423" s="36">
        <v>460</v>
      </c>
      <c r="I1423" s="37">
        <v>0</v>
      </c>
      <c r="J1423" s="37">
        <v>0</v>
      </c>
    </row>
    <row r="1424" spans="1:10" x14ac:dyDescent="0.25">
      <c r="A1424" t="s">
        <v>3297</v>
      </c>
      <c r="B1424" t="s">
        <v>3298</v>
      </c>
      <c r="C1424" t="s">
        <v>829</v>
      </c>
      <c r="D1424" t="s">
        <v>379</v>
      </c>
      <c r="E1424" s="36">
        <v>700</v>
      </c>
      <c r="F1424" s="36">
        <v>820</v>
      </c>
      <c r="G1424" s="36">
        <v>420</v>
      </c>
      <c r="H1424" s="36">
        <v>500</v>
      </c>
      <c r="I1424" s="37">
        <v>0</v>
      </c>
      <c r="J1424" s="37">
        <v>0</v>
      </c>
    </row>
    <row r="1425" spans="1:10" x14ac:dyDescent="0.25">
      <c r="A1425" t="s">
        <v>3299</v>
      </c>
      <c r="B1425" t="s">
        <v>3300</v>
      </c>
      <c r="C1425" t="s">
        <v>829</v>
      </c>
      <c r="D1425" t="s">
        <v>379</v>
      </c>
      <c r="E1425" s="36">
        <v>2500</v>
      </c>
      <c r="F1425" s="36">
        <v>2950</v>
      </c>
      <c r="G1425" s="36">
        <v>1500</v>
      </c>
      <c r="H1425" s="36">
        <v>1750</v>
      </c>
      <c r="I1425" s="37">
        <v>0</v>
      </c>
      <c r="J1425" s="37">
        <v>0</v>
      </c>
    </row>
    <row r="1426" spans="1:10" x14ac:dyDescent="0.25">
      <c r="A1426" t="s">
        <v>3301</v>
      </c>
      <c r="B1426" t="s">
        <v>3302</v>
      </c>
      <c r="C1426" t="s">
        <v>101</v>
      </c>
      <c r="D1426" t="s">
        <v>379</v>
      </c>
      <c r="E1426" s="36">
        <v>700</v>
      </c>
      <c r="F1426" s="36">
        <v>820</v>
      </c>
      <c r="G1426" s="36">
        <v>420</v>
      </c>
      <c r="H1426" s="36">
        <v>500</v>
      </c>
      <c r="I1426" s="37">
        <v>0</v>
      </c>
      <c r="J1426" s="37">
        <v>0</v>
      </c>
    </row>
    <row r="1427" spans="1:10" x14ac:dyDescent="0.25">
      <c r="A1427" t="s">
        <v>3303</v>
      </c>
      <c r="B1427" t="s">
        <v>3304</v>
      </c>
      <c r="C1427" t="s">
        <v>829</v>
      </c>
      <c r="D1427" t="s">
        <v>379</v>
      </c>
      <c r="E1427" s="36">
        <v>900</v>
      </c>
      <c r="F1427" s="36">
        <v>1050</v>
      </c>
      <c r="G1427" s="36">
        <v>540</v>
      </c>
      <c r="H1427" s="36">
        <v>630</v>
      </c>
      <c r="I1427" s="37">
        <v>0</v>
      </c>
      <c r="J1427" s="37">
        <v>0</v>
      </c>
    </row>
    <row r="1428" spans="1:10" x14ac:dyDescent="0.25">
      <c r="A1428" t="s">
        <v>3305</v>
      </c>
      <c r="B1428" t="s">
        <v>3306</v>
      </c>
      <c r="C1428" t="s">
        <v>829</v>
      </c>
      <c r="D1428" t="s">
        <v>379</v>
      </c>
      <c r="E1428" s="36">
        <v>400</v>
      </c>
      <c r="F1428" s="36">
        <v>476</v>
      </c>
      <c r="G1428" s="36">
        <v>240</v>
      </c>
      <c r="H1428" s="36">
        <v>280</v>
      </c>
      <c r="I1428" s="37">
        <v>0</v>
      </c>
      <c r="J1428" s="37">
        <v>1.276595744680842E-2</v>
      </c>
    </row>
    <row r="1429" spans="1:10" x14ac:dyDescent="0.25">
      <c r="A1429" t="s">
        <v>3307</v>
      </c>
      <c r="B1429" t="s">
        <v>3308</v>
      </c>
      <c r="C1429" t="s">
        <v>829</v>
      </c>
      <c r="D1429" t="s">
        <v>379</v>
      </c>
      <c r="E1429" s="36">
        <v>900</v>
      </c>
      <c r="F1429" s="36">
        <v>1050</v>
      </c>
      <c r="G1429" s="36">
        <v>540</v>
      </c>
      <c r="H1429" s="36">
        <v>630</v>
      </c>
      <c r="I1429" s="37">
        <v>0</v>
      </c>
      <c r="J1429" s="37">
        <v>0</v>
      </c>
    </row>
    <row r="1430" spans="1:10" x14ac:dyDescent="0.25">
      <c r="A1430" t="s">
        <v>3309</v>
      </c>
      <c r="B1430" t="s">
        <v>3310</v>
      </c>
      <c r="C1430" t="s">
        <v>829</v>
      </c>
      <c r="D1430" t="s">
        <v>379</v>
      </c>
      <c r="E1430" s="36">
        <v>750</v>
      </c>
      <c r="F1430" s="36">
        <v>880</v>
      </c>
      <c r="G1430" s="36">
        <v>450</v>
      </c>
      <c r="H1430" s="36">
        <v>530</v>
      </c>
      <c r="I1430" s="37">
        <v>0</v>
      </c>
      <c r="J1430" s="37">
        <v>0</v>
      </c>
    </row>
    <row r="1431" spans="1:10" x14ac:dyDescent="0.25">
      <c r="A1431" t="s">
        <v>3311</v>
      </c>
      <c r="B1431" t="s">
        <v>3312</v>
      </c>
      <c r="C1431" t="s">
        <v>829</v>
      </c>
      <c r="D1431" t="s">
        <v>379</v>
      </c>
      <c r="E1431" s="36">
        <v>800</v>
      </c>
      <c r="F1431" s="36">
        <v>952</v>
      </c>
      <c r="G1431" s="36">
        <v>480</v>
      </c>
      <c r="H1431" s="36">
        <v>560</v>
      </c>
      <c r="I1431" s="37">
        <v>0</v>
      </c>
      <c r="J1431" s="37">
        <v>1.276595744680842E-2</v>
      </c>
    </row>
    <row r="1432" spans="1:10" x14ac:dyDescent="0.25">
      <c r="A1432" t="s">
        <v>3313</v>
      </c>
      <c r="B1432" t="s">
        <v>3314</v>
      </c>
      <c r="C1432" t="s">
        <v>829</v>
      </c>
      <c r="D1432" t="s">
        <v>379</v>
      </c>
      <c r="E1432" s="36">
        <v>1100</v>
      </c>
      <c r="F1432" s="36">
        <v>1300</v>
      </c>
      <c r="G1432" s="36">
        <v>660</v>
      </c>
      <c r="H1432" s="36">
        <v>780</v>
      </c>
      <c r="I1432" s="37">
        <v>0</v>
      </c>
      <c r="J1432" s="37">
        <v>0</v>
      </c>
    </row>
    <row r="1433" spans="1:10" x14ac:dyDescent="0.25">
      <c r="A1433" t="s">
        <v>3315</v>
      </c>
      <c r="B1433" t="s">
        <v>3316</v>
      </c>
      <c r="C1433" t="s">
        <v>829</v>
      </c>
      <c r="D1433" t="s">
        <v>379</v>
      </c>
      <c r="E1433" s="36">
        <v>1100</v>
      </c>
      <c r="F1433" s="36">
        <v>1300</v>
      </c>
      <c r="G1433" s="36">
        <v>660</v>
      </c>
      <c r="H1433" s="36">
        <v>780</v>
      </c>
      <c r="I1433" s="37">
        <v>0</v>
      </c>
      <c r="J1433" s="37">
        <v>0</v>
      </c>
    </row>
    <row r="1434" spans="1:10" x14ac:dyDescent="0.25">
      <c r="A1434" t="s">
        <v>3317</v>
      </c>
      <c r="B1434" t="s">
        <v>3318</v>
      </c>
      <c r="C1434" t="s">
        <v>829</v>
      </c>
      <c r="D1434" t="s">
        <v>379</v>
      </c>
      <c r="E1434" s="36">
        <v>1200</v>
      </c>
      <c r="F1434" s="36">
        <v>1400</v>
      </c>
      <c r="G1434" s="36">
        <v>720</v>
      </c>
      <c r="H1434" s="36">
        <v>840</v>
      </c>
      <c r="I1434" s="37">
        <v>0</v>
      </c>
      <c r="J1434" s="37">
        <v>0</v>
      </c>
    </row>
    <row r="1435" spans="1:10" x14ac:dyDescent="0.25">
      <c r="A1435" t="s">
        <v>3319</v>
      </c>
      <c r="B1435" t="s">
        <v>3320</v>
      </c>
      <c r="C1435" t="s">
        <v>829</v>
      </c>
      <c r="D1435" t="s">
        <v>379</v>
      </c>
      <c r="E1435" s="36">
        <v>550</v>
      </c>
      <c r="F1435" s="36">
        <v>650</v>
      </c>
      <c r="G1435" s="36">
        <v>330</v>
      </c>
      <c r="H1435" s="36">
        <v>390</v>
      </c>
      <c r="I1435" s="37">
        <v>0</v>
      </c>
      <c r="J1435" s="37">
        <v>0</v>
      </c>
    </row>
    <row r="1436" spans="1:10" x14ac:dyDescent="0.25">
      <c r="A1436" t="s">
        <v>3321</v>
      </c>
      <c r="B1436" t="s">
        <v>3322</v>
      </c>
      <c r="C1436" t="s">
        <v>229</v>
      </c>
      <c r="D1436" t="s">
        <v>379</v>
      </c>
      <c r="E1436" s="36">
        <v>400</v>
      </c>
      <c r="F1436" s="36">
        <v>470</v>
      </c>
      <c r="G1436" s="36">
        <v>240</v>
      </c>
      <c r="H1436" s="36">
        <v>280</v>
      </c>
      <c r="I1436" s="37">
        <v>0</v>
      </c>
      <c r="J1436" s="37">
        <v>0</v>
      </c>
    </row>
    <row r="1437" spans="1:10" x14ac:dyDescent="0.25">
      <c r="A1437" t="s">
        <v>3323</v>
      </c>
      <c r="B1437" t="s">
        <v>3324</v>
      </c>
      <c r="C1437" t="s">
        <v>829</v>
      </c>
      <c r="D1437" t="s">
        <v>379</v>
      </c>
      <c r="E1437" s="36">
        <v>450</v>
      </c>
      <c r="F1437" s="36">
        <v>530</v>
      </c>
      <c r="G1437" s="36">
        <v>270</v>
      </c>
      <c r="H1437" s="36">
        <v>320</v>
      </c>
      <c r="I1437" s="37">
        <v>0</v>
      </c>
      <c r="J1437" s="37">
        <v>0</v>
      </c>
    </row>
    <row r="1438" spans="1:10" x14ac:dyDescent="0.25">
      <c r="A1438" t="s">
        <v>3325</v>
      </c>
      <c r="B1438" t="s">
        <v>3326</v>
      </c>
      <c r="C1438" t="s">
        <v>101</v>
      </c>
      <c r="D1438" t="s">
        <v>379</v>
      </c>
      <c r="E1438" s="36">
        <v>284</v>
      </c>
      <c r="F1438" s="36">
        <v>340</v>
      </c>
      <c r="G1438" s="36">
        <v>155</v>
      </c>
      <c r="H1438" s="36">
        <v>185</v>
      </c>
      <c r="I1438" s="37">
        <v>0.1359999999999999</v>
      </c>
      <c r="J1438" s="37">
        <v>0.1333333333333333</v>
      </c>
    </row>
    <row r="1439" spans="1:10" x14ac:dyDescent="0.25">
      <c r="A1439" t="s">
        <v>3327</v>
      </c>
      <c r="B1439" t="s">
        <v>3328</v>
      </c>
      <c r="C1439" t="s">
        <v>101</v>
      </c>
      <c r="D1439" t="s">
        <v>379</v>
      </c>
      <c r="E1439" s="36">
        <v>907</v>
      </c>
      <c r="F1439" s="36">
        <v>1088</v>
      </c>
      <c r="G1439" s="36">
        <v>540</v>
      </c>
      <c r="H1439" s="36">
        <v>630</v>
      </c>
      <c r="I1439" s="37">
        <v>7.7777777777778834E-3</v>
      </c>
      <c r="J1439" s="37">
        <v>3.6190476190476113E-2</v>
      </c>
    </row>
    <row r="1440" spans="1:10" x14ac:dyDescent="0.25">
      <c r="A1440" t="s">
        <v>3329</v>
      </c>
      <c r="B1440" t="s">
        <v>3330</v>
      </c>
      <c r="C1440" t="s">
        <v>101</v>
      </c>
      <c r="D1440" t="s">
        <v>379</v>
      </c>
      <c r="E1440" s="36">
        <v>1000</v>
      </c>
      <c r="F1440" s="36">
        <v>1200</v>
      </c>
      <c r="G1440" s="36">
        <v>600</v>
      </c>
      <c r="H1440" s="36">
        <v>720</v>
      </c>
      <c r="I1440" s="37">
        <v>0</v>
      </c>
      <c r="J1440" s="37">
        <v>0</v>
      </c>
    </row>
    <row r="1441" spans="1:10" x14ac:dyDescent="0.25">
      <c r="A1441" t="s">
        <v>3331</v>
      </c>
      <c r="B1441" t="s">
        <v>3332</v>
      </c>
      <c r="C1441" t="s">
        <v>101</v>
      </c>
      <c r="D1441" t="s">
        <v>379</v>
      </c>
      <c r="E1441" s="36">
        <v>900</v>
      </c>
      <c r="F1441" s="36">
        <v>1050</v>
      </c>
      <c r="G1441" s="36">
        <v>540</v>
      </c>
      <c r="H1441" s="36">
        <v>630</v>
      </c>
      <c r="I1441" s="37">
        <v>0</v>
      </c>
      <c r="J1441" s="37">
        <v>0</v>
      </c>
    </row>
    <row r="1442" spans="1:10" x14ac:dyDescent="0.25">
      <c r="A1442" t="s">
        <v>3333</v>
      </c>
      <c r="B1442" t="s">
        <v>3334</v>
      </c>
      <c r="C1442" t="s">
        <v>101</v>
      </c>
      <c r="D1442" t="s">
        <v>379</v>
      </c>
      <c r="E1442" s="36">
        <v>2500</v>
      </c>
      <c r="F1442" s="36">
        <v>2950</v>
      </c>
      <c r="G1442" s="36">
        <v>1500</v>
      </c>
      <c r="H1442" s="36">
        <v>1750</v>
      </c>
      <c r="I1442" s="37">
        <v>0</v>
      </c>
      <c r="J1442" s="37">
        <v>0</v>
      </c>
    </row>
    <row r="1443" spans="1:10" x14ac:dyDescent="0.25">
      <c r="A1443" t="s">
        <v>3335</v>
      </c>
      <c r="B1443" t="s">
        <v>3336</v>
      </c>
      <c r="C1443" t="s">
        <v>101</v>
      </c>
      <c r="D1443" t="s">
        <v>379</v>
      </c>
      <c r="E1443" s="36">
        <v>2500</v>
      </c>
      <c r="F1443" s="36">
        <v>2950</v>
      </c>
      <c r="G1443" s="36">
        <v>1500</v>
      </c>
      <c r="H1443" s="36">
        <v>1750</v>
      </c>
      <c r="I1443" s="37">
        <v>0</v>
      </c>
      <c r="J1443" s="37">
        <v>0</v>
      </c>
    </row>
    <row r="1444" spans="1:10" x14ac:dyDescent="0.25">
      <c r="A1444" t="s">
        <v>3337</v>
      </c>
      <c r="B1444" t="s">
        <v>3338</v>
      </c>
      <c r="C1444" t="s">
        <v>229</v>
      </c>
      <c r="D1444" t="s">
        <v>379</v>
      </c>
      <c r="E1444" s="36">
        <v>450</v>
      </c>
      <c r="F1444" s="36">
        <v>530</v>
      </c>
      <c r="G1444" s="36">
        <v>270</v>
      </c>
      <c r="H1444" s="36">
        <v>320</v>
      </c>
      <c r="I1444" s="37">
        <v>0</v>
      </c>
      <c r="J1444" s="37">
        <v>0</v>
      </c>
    </row>
    <row r="1445" spans="1:10" x14ac:dyDescent="0.25">
      <c r="A1445" t="s">
        <v>3339</v>
      </c>
      <c r="B1445" t="s">
        <v>3340</v>
      </c>
      <c r="C1445" t="s">
        <v>101</v>
      </c>
      <c r="D1445" t="s">
        <v>379</v>
      </c>
      <c r="E1445" s="36">
        <v>800</v>
      </c>
      <c r="F1445" s="36">
        <v>950</v>
      </c>
      <c r="G1445" s="36">
        <v>480</v>
      </c>
      <c r="H1445" s="36">
        <v>560</v>
      </c>
      <c r="I1445" s="37">
        <v>0</v>
      </c>
      <c r="J1445" s="37">
        <v>0</v>
      </c>
    </row>
    <row r="1446" spans="1:10" x14ac:dyDescent="0.25">
      <c r="A1446" t="s">
        <v>3341</v>
      </c>
      <c r="B1446" t="s">
        <v>3342</v>
      </c>
      <c r="C1446" t="s">
        <v>101</v>
      </c>
      <c r="D1446" t="s">
        <v>379</v>
      </c>
      <c r="E1446" s="36">
        <v>70</v>
      </c>
      <c r="F1446" s="36">
        <v>80</v>
      </c>
      <c r="G1446" s="36">
        <v>42</v>
      </c>
      <c r="H1446" s="36">
        <v>48</v>
      </c>
      <c r="I1446" s="37">
        <v>0</v>
      </c>
      <c r="J1446" s="37">
        <v>0</v>
      </c>
    </row>
    <row r="1447" spans="1:10" x14ac:dyDescent="0.25">
      <c r="A1447" t="s">
        <v>3343</v>
      </c>
      <c r="B1447" t="s">
        <v>3344</v>
      </c>
      <c r="C1447" t="s">
        <v>101</v>
      </c>
      <c r="D1447" t="s">
        <v>379</v>
      </c>
      <c r="E1447" s="36">
        <v>100</v>
      </c>
      <c r="F1447" s="36">
        <v>115</v>
      </c>
      <c r="G1447" s="36">
        <v>60</v>
      </c>
      <c r="H1447" s="36">
        <v>69</v>
      </c>
      <c r="I1447" s="37">
        <v>0</v>
      </c>
      <c r="J1447" s="37">
        <v>0</v>
      </c>
    </row>
    <row r="1448" spans="1:10" x14ac:dyDescent="0.25">
      <c r="A1448" t="s">
        <v>3345</v>
      </c>
      <c r="B1448" t="s">
        <v>3346</v>
      </c>
      <c r="C1448" t="s">
        <v>101</v>
      </c>
      <c r="D1448" t="s">
        <v>379</v>
      </c>
      <c r="E1448" s="36">
        <v>40</v>
      </c>
      <c r="F1448" s="36">
        <v>45</v>
      </c>
      <c r="G1448" s="36">
        <v>25</v>
      </c>
      <c r="H1448" s="36">
        <v>28.5</v>
      </c>
      <c r="I1448" s="37">
        <v>0</v>
      </c>
      <c r="J1448" s="37">
        <v>0</v>
      </c>
    </row>
    <row r="1449" spans="1:10" x14ac:dyDescent="0.25">
      <c r="A1449" t="s">
        <v>3347</v>
      </c>
      <c r="B1449" t="s">
        <v>3348</v>
      </c>
      <c r="C1449" t="s">
        <v>101</v>
      </c>
      <c r="D1449" t="s">
        <v>379</v>
      </c>
      <c r="E1449" s="36">
        <v>40</v>
      </c>
      <c r="F1449" s="36">
        <v>45</v>
      </c>
      <c r="G1449" s="36">
        <v>25</v>
      </c>
      <c r="H1449" s="36">
        <v>28.5</v>
      </c>
      <c r="I1449" s="37">
        <v>0</v>
      </c>
      <c r="J1449" s="37">
        <v>0</v>
      </c>
    </row>
    <row r="1450" spans="1:10" x14ac:dyDescent="0.25">
      <c r="A1450" t="s">
        <v>3349</v>
      </c>
      <c r="B1450" t="s">
        <v>3350</v>
      </c>
      <c r="C1450" t="s">
        <v>101</v>
      </c>
      <c r="D1450" t="s">
        <v>379</v>
      </c>
      <c r="E1450" s="36">
        <v>70</v>
      </c>
      <c r="F1450" s="36">
        <v>80</v>
      </c>
      <c r="G1450" s="36">
        <v>42</v>
      </c>
      <c r="H1450" s="36">
        <v>48</v>
      </c>
      <c r="I1450" s="37">
        <v>0</v>
      </c>
      <c r="J1450" s="37">
        <v>0</v>
      </c>
    </row>
    <row r="1451" spans="1:10" x14ac:dyDescent="0.25">
      <c r="A1451" t="s">
        <v>3351</v>
      </c>
      <c r="B1451" t="s">
        <v>3352</v>
      </c>
      <c r="C1451" t="s">
        <v>101</v>
      </c>
      <c r="D1451" t="s">
        <v>379</v>
      </c>
      <c r="E1451" s="36">
        <v>100</v>
      </c>
      <c r="F1451" s="36">
        <v>115</v>
      </c>
      <c r="G1451" s="36">
        <v>60</v>
      </c>
      <c r="H1451" s="36">
        <v>69</v>
      </c>
      <c r="I1451" s="37">
        <v>0</v>
      </c>
      <c r="J1451" s="37">
        <v>0</v>
      </c>
    </row>
    <row r="1452" spans="1:10" x14ac:dyDescent="0.25">
      <c r="A1452" t="s">
        <v>3353</v>
      </c>
      <c r="B1452" t="s">
        <v>3354</v>
      </c>
      <c r="C1452" t="s">
        <v>101</v>
      </c>
      <c r="D1452" t="s">
        <v>379</v>
      </c>
      <c r="E1452" s="36">
        <v>100</v>
      </c>
      <c r="F1452" s="36">
        <v>115</v>
      </c>
      <c r="G1452" s="36">
        <v>60</v>
      </c>
      <c r="H1452" s="36">
        <v>69</v>
      </c>
      <c r="I1452" s="37">
        <v>0</v>
      </c>
      <c r="J1452" s="37">
        <v>0</v>
      </c>
    </row>
    <row r="1453" spans="1:10" x14ac:dyDescent="0.25">
      <c r="A1453" t="s">
        <v>3355</v>
      </c>
      <c r="B1453" t="s">
        <v>3356</v>
      </c>
      <c r="C1453" t="s">
        <v>101</v>
      </c>
      <c r="D1453" t="s">
        <v>379</v>
      </c>
      <c r="E1453" s="36">
        <v>100</v>
      </c>
      <c r="F1453" s="36">
        <v>115</v>
      </c>
      <c r="G1453" s="36">
        <v>60</v>
      </c>
      <c r="H1453" s="36">
        <v>69</v>
      </c>
      <c r="I1453" s="37">
        <v>0</v>
      </c>
      <c r="J1453" s="37">
        <v>0</v>
      </c>
    </row>
    <row r="1454" spans="1:10" x14ac:dyDescent="0.25">
      <c r="A1454" t="s">
        <v>3357</v>
      </c>
      <c r="B1454" t="s">
        <v>3358</v>
      </c>
      <c r="C1454" t="s">
        <v>101</v>
      </c>
      <c r="D1454" t="s">
        <v>379</v>
      </c>
      <c r="E1454" s="36">
        <v>70</v>
      </c>
      <c r="F1454" s="36">
        <v>80</v>
      </c>
      <c r="G1454" s="36">
        <v>42</v>
      </c>
      <c r="H1454" s="36">
        <v>48</v>
      </c>
      <c r="I1454" s="37">
        <v>0</v>
      </c>
      <c r="J1454" s="37">
        <v>0</v>
      </c>
    </row>
    <row r="1455" spans="1:10" x14ac:dyDescent="0.25">
      <c r="A1455" t="s">
        <v>3359</v>
      </c>
      <c r="B1455" t="s">
        <v>3360</v>
      </c>
      <c r="C1455" t="s">
        <v>101</v>
      </c>
      <c r="D1455" t="s">
        <v>379</v>
      </c>
      <c r="E1455" s="36">
        <v>70</v>
      </c>
      <c r="F1455" s="36">
        <v>80</v>
      </c>
      <c r="G1455" s="36">
        <v>42</v>
      </c>
      <c r="H1455" s="36">
        <v>48</v>
      </c>
      <c r="I1455" s="37">
        <v>0</v>
      </c>
      <c r="J1455" s="37">
        <v>0</v>
      </c>
    </row>
    <row r="1456" spans="1:10" x14ac:dyDescent="0.25">
      <c r="A1456" t="s">
        <v>3361</v>
      </c>
      <c r="B1456" t="s">
        <v>3362</v>
      </c>
      <c r="C1456" t="s">
        <v>101</v>
      </c>
      <c r="D1456" t="s">
        <v>379</v>
      </c>
      <c r="E1456" s="36">
        <v>70</v>
      </c>
      <c r="F1456" s="36">
        <v>80</v>
      </c>
      <c r="G1456" s="36">
        <v>42</v>
      </c>
      <c r="H1456" s="36">
        <v>48</v>
      </c>
      <c r="I1456" s="37">
        <v>0</v>
      </c>
      <c r="J1456" s="37">
        <v>0</v>
      </c>
    </row>
    <row r="1457" spans="1:10" x14ac:dyDescent="0.25">
      <c r="A1457" t="s">
        <v>3363</v>
      </c>
      <c r="B1457" t="s">
        <v>3364</v>
      </c>
      <c r="C1457" t="s">
        <v>101</v>
      </c>
      <c r="D1457" t="s">
        <v>379</v>
      </c>
      <c r="E1457" s="36">
        <v>70</v>
      </c>
      <c r="F1457" s="36">
        <v>80</v>
      </c>
      <c r="G1457" s="36">
        <v>42</v>
      </c>
      <c r="H1457" s="36">
        <v>48</v>
      </c>
      <c r="I1457" s="37">
        <v>0</v>
      </c>
      <c r="J1457" s="37">
        <v>0</v>
      </c>
    </row>
    <row r="1458" spans="1:10" x14ac:dyDescent="0.25">
      <c r="A1458" t="s">
        <v>3365</v>
      </c>
      <c r="B1458" t="s">
        <v>3366</v>
      </c>
      <c r="C1458" t="s">
        <v>240</v>
      </c>
      <c r="D1458" t="s">
        <v>379</v>
      </c>
      <c r="E1458" s="36">
        <v>1500</v>
      </c>
      <c r="F1458" s="36">
        <v>1750</v>
      </c>
      <c r="G1458" s="36">
        <v>900</v>
      </c>
      <c r="H1458" s="36">
        <v>1050</v>
      </c>
      <c r="I1458" s="37">
        <v>0</v>
      </c>
      <c r="J1458" s="37">
        <v>0</v>
      </c>
    </row>
    <row r="1459" spans="1:10" x14ac:dyDescent="0.25">
      <c r="A1459" t="s">
        <v>3367</v>
      </c>
      <c r="B1459" t="s">
        <v>3368</v>
      </c>
      <c r="C1459" t="s">
        <v>1231</v>
      </c>
      <c r="D1459" t="s">
        <v>1198</v>
      </c>
      <c r="E1459" s="36">
        <v>30000</v>
      </c>
      <c r="F1459" s="36">
        <v>35000</v>
      </c>
      <c r="G1459" s="36">
        <v>23000</v>
      </c>
      <c r="H1459" s="36">
        <v>27000</v>
      </c>
      <c r="I1459" s="37">
        <v>0</v>
      </c>
      <c r="J1459" s="37">
        <v>0</v>
      </c>
    </row>
    <row r="1460" spans="1:10" x14ac:dyDescent="0.25">
      <c r="A1460" t="s">
        <v>3369</v>
      </c>
      <c r="B1460" t="s">
        <v>3370</v>
      </c>
      <c r="C1460" t="s">
        <v>1231</v>
      </c>
      <c r="D1460" t="s">
        <v>1198</v>
      </c>
      <c r="E1460" s="36">
        <v>40000</v>
      </c>
      <c r="F1460" s="36">
        <v>46000</v>
      </c>
      <c r="G1460" s="36">
        <v>30000</v>
      </c>
      <c r="H1460" s="36">
        <v>35000</v>
      </c>
      <c r="I1460" s="37">
        <v>0</v>
      </c>
      <c r="J1460" s="37">
        <v>0</v>
      </c>
    </row>
    <row r="1461" spans="1:10" x14ac:dyDescent="0.25">
      <c r="A1461" t="s">
        <v>3371</v>
      </c>
      <c r="B1461" t="s">
        <v>3372</v>
      </c>
      <c r="C1461" t="s">
        <v>1231</v>
      </c>
      <c r="D1461" t="s">
        <v>1198</v>
      </c>
      <c r="E1461" s="36">
        <v>46000</v>
      </c>
      <c r="F1461" s="36">
        <v>53000</v>
      </c>
      <c r="G1461" s="36">
        <v>35000</v>
      </c>
      <c r="H1461" s="36">
        <v>40000</v>
      </c>
      <c r="I1461" s="37">
        <v>0</v>
      </c>
      <c r="J1461" s="37">
        <v>0</v>
      </c>
    </row>
    <row r="1462" spans="1:10" x14ac:dyDescent="0.25">
      <c r="A1462" t="s">
        <v>3373</v>
      </c>
      <c r="B1462" t="s">
        <v>3374</v>
      </c>
      <c r="C1462" t="s">
        <v>1231</v>
      </c>
      <c r="D1462" t="s">
        <v>383</v>
      </c>
      <c r="E1462" s="36">
        <v>5600</v>
      </c>
      <c r="F1462" s="36">
        <v>6720</v>
      </c>
      <c r="G1462" s="36">
        <v>3000</v>
      </c>
      <c r="H1462" s="36">
        <v>3600</v>
      </c>
      <c r="I1462" s="37">
        <v>0.12000000000000011</v>
      </c>
      <c r="J1462" s="37">
        <v>0.12000000000000011</v>
      </c>
    </row>
    <row r="1463" spans="1:10" x14ac:dyDescent="0.25">
      <c r="A1463" t="s">
        <v>3375</v>
      </c>
      <c r="B1463" t="s">
        <v>3376</v>
      </c>
      <c r="C1463" t="s">
        <v>1231</v>
      </c>
      <c r="D1463" t="s">
        <v>383</v>
      </c>
      <c r="E1463" s="36">
        <v>44800</v>
      </c>
      <c r="F1463" s="36">
        <v>53760</v>
      </c>
      <c r="G1463" s="36">
        <v>18000</v>
      </c>
      <c r="H1463" s="36">
        <v>21500</v>
      </c>
      <c r="I1463" s="37">
        <v>0.4933333333333334</v>
      </c>
      <c r="J1463" s="37">
        <v>0.4933333333333334</v>
      </c>
    </row>
    <row r="1464" spans="1:10" x14ac:dyDescent="0.25">
      <c r="A1464" t="s">
        <v>3377</v>
      </c>
      <c r="B1464" t="s">
        <v>3378</v>
      </c>
      <c r="C1464" t="s">
        <v>101</v>
      </c>
      <c r="D1464" t="s">
        <v>383</v>
      </c>
      <c r="E1464" s="36">
        <v>59734</v>
      </c>
      <c r="F1464" s="36">
        <v>71680</v>
      </c>
      <c r="G1464" s="36">
        <v>25000</v>
      </c>
      <c r="H1464" s="36">
        <v>30000</v>
      </c>
      <c r="I1464" s="37">
        <v>0.4222380952380953</v>
      </c>
      <c r="J1464" s="37">
        <v>0.43359999999999999</v>
      </c>
    </row>
    <row r="1465" spans="1:10" x14ac:dyDescent="0.25">
      <c r="A1465" t="s">
        <v>3379</v>
      </c>
      <c r="B1465" t="s">
        <v>3380</v>
      </c>
      <c r="C1465" t="s">
        <v>101</v>
      </c>
      <c r="D1465" t="s">
        <v>383</v>
      </c>
      <c r="E1465" s="36">
        <v>934</v>
      </c>
      <c r="F1465" s="36">
        <v>1120</v>
      </c>
      <c r="G1465" s="36">
        <v>270</v>
      </c>
      <c r="H1465" s="36">
        <v>330</v>
      </c>
      <c r="I1465" s="37">
        <v>1.0755555555555549</v>
      </c>
      <c r="J1465" s="37">
        <v>1.0363636363636359</v>
      </c>
    </row>
    <row r="1466" spans="1:10" x14ac:dyDescent="0.25">
      <c r="A1466" t="s">
        <v>3381</v>
      </c>
      <c r="B1466" t="s">
        <v>3382</v>
      </c>
      <c r="C1466" t="s">
        <v>229</v>
      </c>
      <c r="D1466" t="s">
        <v>383</v>
      </c>
      <c r="E1466" s="36">
        <v>20</v>
      </c>
      <c r="F1466" s="36">
        <v>24</v>
      </c>
      <c r="G1466" s="36">
        <v>12</v>
      </c>
      <c r="H1466" s="36">
        <v>14.5</v>
      </c>
      <c r="I1466" s="37">
        <v>0</v>
      </c>
      <c r="J1466" s="37">
        <v>0</v>
      </c>
    </row>
    <row r="1467" spans="1:10" x14ac:dyDescent="0.25">
      <c r="A1467" t="s">
        <v>3383</v>
      </c>
      <c r="B1467" t="s">
        <v>3384</v>
      </c>
      <c r="C1467" t="s">
        <v>1231</v>
      </c>
      <c r="D1467" t="s">
        <v>383</v>
      </c>
      <c r="E1467" s="36">
        <v>7467</v>
      </c>
      <c r="F1467" s="36">
        <v>8960</v>
      </c>
      <c r="G1467" s="36">
        <v>3600</v>
      </c>
      <c r="H1467" s="36">
        <v>4200</v>
      </c>
      <c r="I1467" s="37">
        <v>0.24449999999999991</v>
      </c>
      <c r="J1467" s="37">
        <v>0.28000000000000003</v>
      </c>
    </row>
    <row r="1468" spans="1:10" x14ac:dyDescent="0.25">
      <c r="A1468" t="s">
        <v>3385</v>
      </c>
      <c r="B1468" t="s">
        <v>3386</v>
      </c>
      <c r="C1468" t="s">
        <v>1231</v>
      </c>
      <c r="D1468" t="s">
        <v>383</v>
      </c>
      <c r="E1468" s="36">
        <v>8000</v>
      </c>
      <c r="F1468" s="36">
        <v>9500</v>
      </c>
      <c r="G1468" s="36">
        <v>4800</v>
      </c>
      <c r="H1468" s="36">
        <v>5700</v>
      </c>
      <c r="I1468" s="37">
        <v>0</v>
      </c>
      <c r="J1468" s="37">
        <v>0</v>
      </c>
    </row>
    <row r="1469" spans="1:10" x14ac:dyDescent="0.25">
      <c r="A1469" t="s">
        <v>3387</v>
      </c>
      <c r="B1469" t="s">
        <v>3388</v>
      </c>
      <c r="C1469" t="s">
        <v>101</v>
      </c>
      <c r="D1469" t="s">
        <v>383</v>
      </c>
      <c r="E1469" s="36">
        <v>11200</v>
      </c>
      <c r="F1469" s="36">
        <v>13440</v>
      </c>
      <c r="G1469" s="36">
        <v>4800</v>
      </c>
      <c r="H1469" s="36">
        <v>5700</v>
      </c>
      <c r="I1469" s="37">
        <v>0.39999999999999991</v>
      </c>
      <c r="J1469" s="37">
        <v>0.41473684210526313</v>
      </c>
    </row>
    <row r="1470" spans="1:10" x14ac:dyDescent="0.25">
      <c r="A1470" t="s">
        <v>3389</v>
      </c>
      <c r="B1470" t="s">
        <v>3390</v>
      </c>
      <c r="C1470" t="s">
        <v>1231</v>
      </c>
      <c r="D1470" t="s">
        <v>379</v>
      </c>
      <c r="E1470" s="36">
        <v>8000</v>
      </c>
      <c r="F1470" s="36">
        <v>9500</v>
      </c>
      <c r="G1470" s="36">
        <v>4800</v>
      </c>
      <c r="H1470" s="36">
        <v>5700</v>
      </c>
      <c r="I1470" s="37">
        <v>0</v>
      </c>
      <c r="J1470" s="37">
        <v>0</v>
      </c>
    </row>
    <row r="1471" spans="1:10" x14ac:dyDescent="0.25">
      <c r="A1471" t="s">
        <v>3391</v>
      </c>
      <c r="B1471" t="s">
        <v>3392</v>
      </c>
      <c r="C1471" t="s">
        <v>101</v>
      </c>
      <c r="D1471" t="s">
        <v>383</v>
      </c>
      <c r="E1471" s="36">
        <v>1867</v>
      </c>
      <c r="F1471" s="36">
        <v>2240</v>
      </c>
      <c r="G1471" s="36">
        <v>700</v>
      </c>
      <c r="H1471" s="36">
        <v>850</v>
      </c>
      <c r="I1471" s="37">
        <v>0.5558333333333334</v>
      </c>
      <c r="J1471" s="37">
        <v>0.60000000000000009</v>
      </c>
    </row>
    <row r="1472" spans="1:10" x14ac:dyDescent="0.25">
      <c r="A1472" t="s">
        <v>3393</v>
      </c>
      <c r="B1472" t="s">
        <v>3394</v>
      </c>
      <c r="C1472" t="s">
        <v>101</v>
      </c>
      <c r="D1472" t="s">
        <v>383</v>
      </c>
      <c r="E1472" s="36">
        <v>94</v>
      </c>
      <c r="F1472" s="36">
        <v>112</v>
      </c>
      <c r="G1472" s="36">
        <v>24</v>
      </c>
      <c r="H1472" s="36">
        <v>30</v>
      </c>
      <c r="I1472" s="37">
        <v>1.35</v>
      </c>
      <c r="J1472" s="37">
        <v>1.24</v>
      </c>
    </row>
    <row r="1473" spans="1:10" x14ac:dyDescent="0.25">
      <c r="A1473" t="s">
        <v>3395</v>
      </c>
      <c r="B1473" t="s">
        <v>3396</v>
      </c>
      <c r="C1473" t="s">
        <v>229</v>
      </c>
      <c r="D1473" t="s">
        <v>383</v>
      </c>
      <c r="E1473" s="36">
        <v>280</v>
      </c>
      <c r="F1473" s="36">
        <v>336</v>
      </c>
      <c r="G1473" s="36">
        <v>90</v>
      </c>
      <c r="H1473" s="36">
        <v>110</v>
      </c>
      <c r="I1473" s="37">
        <v>0.8666666666666667</v>
      </c>
      <c r="J1473" s="37">
        <v>0.8666666666666667</v>
      </c>
    </row>
    <row r="1474" spans="1:10" x14ac:dyDescent="0.25">
      <c r="A1474" t="s">
        <v>3397</v>
      </c>
      <c r="B1474" t="s">
        <v>3398</v>
      </c>
      <c r="C1474" t="s">
        <v>229</v>
      </c>
      <c r="D1474" t="s">
        <v>383</v>
      </c>
      <c r="E1474" s="36">
        <v>280</v>
      </c>
      <c r="F1474" s="36">
        <v>336</v>
      </c>
      <c r="G1474" s="36">
        <v>90</v>
      </c>
      <c r="H1474" s="36">
        <v>110</v>
      </c>
      <c r="I1474" s="37">
        <v>0.8666666666666667</v>
      </c>
      <c r="J1474" s="37">
        <v>0.8666666666666667</v>
      </c>
    </row>
    <row r="1475" spans="1:10" x14ac:dyDescent="0.25">
      <c r="A1475" t="s">
        <v>3399</v>
      </c>
      <c r="B1475" t="s">
        <v>3400</v>
      </c>
      <c r="C1475" t="s">
        <v>1231</v>
      </c>
      <c r="D1475" t="s">
        <v>379</v>
      </c>
      <c r="E1475" s="36">
        <v>600</v>
      </c>
      <c r="F1475" s="36">
        <v>700</v>
      </c>
      <c r="G1475" s="36">
        <v>360</v>
      </c>
      <c r="H1475" s="36">
        <v>420</v>
      </c>
      <c r="I1475" s="37">
        <v>0</v>
      </c>
      <c r="J1475" s="37">
        <v>0</v>
      </c>
    </row>
    <row r="1476" spans="1:10" x14ac:dyDescent="0.25">
      <c r="A1476" t="s">
        <v>3401</v>
      </c>
      <c r="B1476" t="s">
        <v>3402</v>
      </c>
      <c r="C1476" t="s">
        <v>1231</v>
      </c>
      <c r="D1476" t="s">
        <v>379</v>
      </c>
      <c r="E1476" s="36">
        <v>400</v>
      </c>
      <c r="F1476" s="36">
        <v>470</v>
      </c>
      <c r="G1476" s="36">
        <v>240</v>
      </c>
      <c r="H1476" s="36">
        <v>280</v>
      </c>
      <c r="I1476" s="37">
        <v>0</v>
      </c>
      <c r="J1476" s="37">
        <v>0</v>
      </c>
    </row>
    <row r="1477" spans="1:10" x14ac:dyDescent="0.25">
      <c r="A1477" t="s">
        <v>3403</v>
      </c>
      <c r="B1477" t="s">
        <v>3404</v>
      </c>
      <c r="C1477" t="s">
        <v>229</v>
      </c>
      <c r="D1477" t="s">
        <v>383</v>
      </c>
      <c r="E1477" s="36">
        <v>80</v>
      </c>
      <c r="F1477" s="36">
        <v>95</v>
      </c>
      <c r="G1477" s="36">
        <v>48</v>
      </c>
      <c r="H1477" s="36">
        <v>57</v>
      </c>
      <c r="I1477" s="37">
        <v>0</v>
      </c>
      <c r="J1477" s="37">
        <v>0</v>
      </c>
    </row>
    <row r="1478" spans="1:10" x14ac:dyDescent="0.25">
      <c r="A1478" t="s">
        <v>3405</v>
      </c>
      <c r="B1478" t="s">
        <v>3406</v>
      </c>
      <c r="C1478" t="s">
        <v>1231</v>
      </c>
      <c r="D1478" t="s">
        <v>383</v>
      </c>
      <c r="E1478" s="36">
        <v>5000</v>
      </c>
      <c r="F1478" s="36">
        <v>6000</v>
      </c>
      <c r="G1478" s="36">
        <v>3000</v>
      </c>
      <c r="H1478" s="36">
        <v>3600</v>
      </c>
      <c r="I1478" s="37">
        <v>0</v>
      </c>
      <c r="J1478" s="37">
        <v>0</v>
      </c>
    </row>
    <row r="1479" spans="1:10" x14ac:dyDescent="0.25">
      <c r="A1479" t="s">
        <v>3407</v>
      </c>
      <c r="B1479" t="s">
        <v>3408</v>
      </c>
      <c r="C1479" t="s">
        <v>1231</v>
      </c>
      <c r="D1479" t="s">
        <v>379</v>
      </c>
      <c r="E1479" s="36">
        <v>1800</v>
      </c>
      <c r="F1479" s="36">
        <v>2100</v>
      </c>
      <c r="G1479" s="36">
        <v>1100</v>
      </c>
      <c r="H1479" s="36">
        <v>1300</v>
      </c>
      <c r="I1479" s="37">
        <v>0</v>
      </c>
      <c r="J1479" s="37">
        <v>0</v>
      </c>
    </row>
    <row r="1480" spans="1:10" x14ac:dyDescent="0.25">
      <c r="A1480" t="s">
        <v>3409</v>
      </c>
      <c r="B1480" t="s">
        <v>3410</v>
      </c>
      <c r="C1480" t="s">
        <v>101</v>
      </c>
      <c r="D1480" t="s">
        <v>383</v>
      </c>
      <c r="E1480" s="36">
        <v>1200</v>
      </c>
      <c r="F1480" s="36">
        <v>1400</v>
      </c>
      <c r="G1480" s="36">
        <v>720</v>
      </c>
      <c r="H1480" s="36">
        <v>850</v>
      </c>
      <c r="I1480" s="37">
        <v>0</v>
      </c>
      <c r="J1480" s="37">
        <v>0</v>
      </c>
    </row>
    <row r="1481" spans="1:10" x14ac:dyDescent="0.25">
      <c r="A1481" t="s">
        <v>3411</v>
      </c>
      <c r="B1481" t="s">
        <v>3412</v>
      </c>
      <c r="C1481" t="s">
        <v>101</v>
      </c>
      <c r="D1481" t="s">
        <v>383</v>
      </c>
      <c r="E1481" s="36">
        <v>280</v>
      </c>
      <c r="F1481" s="36">
        <v>336</v>
      </c>
      <c r="G1481" s="36">
        <v>90</v>
      </c>
      <c r="H1481" s="36">
        <v>110</v>
      </c>
      <c r="I1481" s="37">
        <v>0.8666666666666667</v>
      </c>
      <c r="J1481" s="37">
        <v>0.8666666666666667</v>
      </c>
    </row>
    <row r="1482" spans="1:10" x14ac:dyDescent="0.25">
      <c r="A1482" t="s">
        <v>3413</v>
      </c>
      <c r="B1482" t="s">
        <v>3414</v>
      </c>
      <c r="C1482" t="s">
        <v>101</v>
      </c>
      <c r="D1482" t="s">
        <v>383</v>
      </c>
      <c r="E1482" s="36">
        <v>934</v>
      </c>
      <c r="F1482" s="36">
        <v>1120</v>
      </c>
      <c r="G1482" s="36">
        <v>540</v>
      </c>
      <c r="H1482" s="36">
        <v>650</v>
      </c>
      <c r="I1482" s="37">
        <v>3.7777777777777688E-2</v>
      </c>
      <c r="J1482" s="37">
        <v>1.818181818181808E-2</v>
      </c>
    </row>
    <row r="1483" spans="1:10" x14ac:dyDescent="0.25">
      <c r="A1483" t="s">
        <v>3415</v>
      </c>
      <c r="B1483" t="s">
        <v>3416</v>
      </c>
      <c r="C1483" t="s">
        <v>101</v>
      </c>
      <c r="D1483" t="s">
        <v>383</v>
      </c>
      <c r="E1483" s="36">
        <v>3500</v>
      </c>
      <c r="F1483" s="36">
        <v>4100</v>
      </c>
      <c r="G1483" s="36">
        <v>2100</v>
      </c>
      <c r="H1483" s="36">
        <v>2450</v>
      </c>
      <c r="I1483" s="37">
        <v>0</v>
      </c>
      <c r="J1483" s="37">
        <v>0</v>
      </c>
    </row>
    <row r="1484" spans="1:10" x14ac:dyDescent="0.25">
      <c r="A1484" t="s">
        <v>3417</v>
      </c>
      <c r="B1484" t="s">
        <v>3418</v>
      </c>
      <c r="C1484" t="s">
        <v>3086</v>
      </c>
      <c r="D1484" t="s">
        <v>383</v>
      </c>
      <c r="E1484" s="36">
        <v>5600</v>
      </c>
      <c r="F1484" s="36">
        <v>6720</v>
      </c>
      <c r="G1484" s="36">
        <v>2400</v>
      </c>
      <c r="H1484" s="36">
        <v>2800</v>
      </c>
      <c r="I1484" s="37">
        <v>0.39999999999999991</v>
      </c>
      <c r="J1484" s="37">
        <v>0.42978723404255331</v>
      </c>
    </row>
    <row r="1485" spans="1:10" x14ac:dyDescent="0.25">
      <c r="A1485" t="s">
        <v>3419</v>
      </c>
      <c r="B1485" t="s">
        <v>3420</v>
      </c>
      <c r="C1485" t="s">
        <v>3421</v>
      </c>
      <c r="D1485" t="s">
        <v>383</v>
      </c>
      <c r="E1485" s="36">
        <v>467</v>
      </c>
      <c r="F1485" s="36">
        <v>560</v>
      </c>
      <c r="G1485" s="36">
        <v>180</v>
      </c>
      <c r="H1485" s="36">
        <v>210</v>
      </c>
      <c r="I1485" s="37">
        <v>0.55666666666666664</v>
      </c>
      <c r="J1485" s="37">
        <v>0.60000000000000009</v>
      </c>
    </row>
    <row r="1486" spans="1:10" x14ac:dyDescent="0.25">
      <c r="A1486" t="s">
        <v>3422</v>
      </c>
      <c r="B1486" t="s">
        <v>3423</v>
      </c>
      <c r="C1486" t="s">
        <v>101</v>
      </c>
      <c r="D1486" t="s">
        <v>383</v>
      </c>
      <c r="E1486" s="36">
        <v>3734</v>
      </c>
      <c r="F1486" s="36">
        <v>4480</v>
      </c>
      <c r="G1486" s="36">
        <v>1800</v>
      </c>
      <c r="H1486" s="36">
        <v>2100</v>
      </c>
      <c r="I1486" s="37">
        <v>0.24466666666666659</v>
      </c>
      <c r="J1486" s="37">
        <v>0.28000000000000003</v>
      </c>
    </row>
    <row r="1487" spans="1:10" x14ac:dyDescent="0.25">
      <c r="A1487" t="s">
        <v>3424</v>
      </c>
      <c r="B1487" t="s">
        <v>3425</v>
      </c>
      <c r="C1487" t="s">
        <v>243</v>
      </c>
      <c r="D1487" t="s">
        <v>398</v>
      </c>
      <c r="E1487" s="36">
        <v>1360</v>
      </c>
      <c r="F1487" s="36">
        <v>1632</v>
      </c>
      <c r="G1487" s="36">
        <v>500</v>
      </c>
      <c r="H1487" s="36">
        <v>575</v>
      </c>
      <c r="I1487" s="37">
        <v>0.7</v>
      </c>
      <c r="J1487" s="37">
        <v>0.77391304347826084</v>
      </c>
    </row>
    <row r="1488" spans="1:10" x14ac:dyDescent="0.25">
      <c r="A1488" t="s">
        <v>3426</v>
      </c>
      <c r="B1488" t="s">
        <v>3427</v>
      </c>
      <c r="C1488" t="s">
        <v>243</v>
      </c>
      <c r="D1488" t="s">
        <v>398</v>
      </c>
      <c r="E1488" s="36">
        <v>1700</v>
      </c>
      <c r="F1488" s="36">
        <v>2040</v>
      </c>
      <c r="G1488" s="36">
        <v>600</v>
      </c>
      <c r="H1488" s="36">
        <v>690</v>
      </c>
      <c r="I1488" s="37">
        <v>0.78947368421052633</v>
      </c>
      <c r="J1488" s="37">
        <v>0.86813186813186816</v>
      </c>
    </row>
    <row r="1489" spans="1:10" x14ac:dyDescent="0.25">
      <c r="A1489" t="s">
        <v>3428</v>
      </c>
      <c r="B1489" t="s">
        <v>3429</v>
      </c>
      <c r="C1489" t="s">
        <v>243</v>
      </c>
      <c r="D1489" t="s">
        <v>339</v>
      </c>
      <c r="E1489" s="36">
        <v>4267</v>
      </c>
      <c r="F1489" s="36">
        <v>5067</v>
      </c>
      <c r="G1489" s="36">
        <v>2000</v>
      </c>
      <c r="H1489" s="36">
        <v>2300</v>
      </c>
      <c r="I1489" s="37">
        <v>0.33343750000000011</v>
      </c>
      <c r="J1489" s="37">
        <v>0.37690217391304343</v>
      </c>
    </row>
    <row r="1490" spans="1:10" x14ac:dyDescent="0.25">
      <c r="A1490" t="s">
        <v>3430</v>
      </c>
      <c r="B1490" t="s">
        <v>3431</v>
      </c>
      <c r="C1490" t="s">
        <v>3432</v>
      </c>
      <c r="D1490" t="s">
        <v>327</v>
      </c>
      <c r="E1490" s="36">
        <v>450</v>
      </c>
      <c r="F1490" s="36">
        <v>518</v>
      </c>
      <c r="G1490" s="36">
        <v>280</v>
      </c>
      <c r="H1490" s="36">
        <v>322</v>
      </c>
      <c r="I1490" s="37">
        <v>0</v>
      </c>
      <c r="J1490" s="37">
        <v>0</v>
      </c>
    </row>
    <row r="1491" spans="1:10" x14ac:dyDescent="0.25">
      <c r="A1491" t="s">
        <v>3433</v>
      </c>
      <c r="B1491" t="s">
        <v>3434</v>
      </c>
      <c r="C1491" t="s">
        <v>229</v>
      </c>
      <c r="D1491" t="s">
        <v>327</v>
      </c>
      <c r="E1491" s="36">
        <v>300</v>
      </c>
      <c r="F1491" s="36">
        <v>345</v>
      </c>
      <c r="G1491" s="36">
        <v>190</v>
      </c>
      <c r="H1491" s="36">
        <v>218</v>
      </c>
      <c r="I1491" s="37">
        <v>0</v>
      </c>
      <c r="J1491" s="37">
        <v>0</v>
      </c>
    </row>
    <row r="1492" spans="1:10" x14ac:dyDescent="0.25">
      <c r="A1492" t="s">
        <v>3435</v>
      </c>
      <c r="B1492" t="s">
        <v>3436</v>
      </c>
      <c r="C1492" t="s">
        <v>243</v>
      </c>
      <c r="D1492" t="s">
        <v>339</v>
      </c>
      <c r="E1492" s="36">
        <v>14934</v>
      </c>
      <c r="F1492" s="36">
        <v>17734</v>
      </c>
      <c r="G1492" s="36">
        <v>9000</v>
      </c>
      <c r="H1492" s="36">
        <v>10350</v>
      </c>
      <c r="I1492" s="37">
        <v>6.6714285714285726E-2</v>
      </c>
      <c r="J1492" s="37">
        <v>0.10149068322981369</v>
      </c>
    </row>
    <row r="1493" spans="1:10" x14ac:dyDescent="0.25">
      <c r="A1493" t="s">
        <v>3437</v>
      </c>
      <c r="B1493" t="s">
        <v>3438</v>
      </c>
      <c r="C1493" t="s">
        <v>243</v>
      </c>
      <c r="D1493" t="s">
        <v>339</v>
      </c>
      <c r="E1493" s="36">
        <v>42667</v>
      </c>
      <c r="F1493" s="36">
        <v>50667</v>
      </c>
      <c r="G1493" s="36">
        <v>24000</v>
      </c>
      <c r="H1493" s="36">
        <v>27600</v>
      </c>
      <c r="I1493" s="37">
        <v>0.1228157894736841</v>
      </c>
      <c r="J1493" s="37">
        <v>0.15942791762013719</v>
      </c>
    </row>
    <row r="1494" spans="1:10" x14ac:dyDescent="0.25">
      <c r="A1494" t="s">
        <v>3439</v>
      </c>
      <c r="B1494" t="s">
        <v>3440</v>
      </c>
      <c r="C1494" t="s">
        <v>539</v>
      </c>
      <c r="D1494" t="s">
        <v>363</v>
      </c>
      <c r="E1494" s="36">
        <v>110000</v>
      </c>
      <c r="F1494" s="36">
        <v>125400</v>
      </c>
      <c r="G1494" s="36">
        <v>70000</v>
      </c>
      <c r="H1494" s="36">
        <v>79800</v>
      </c>
      <c r="I1494" s="37">
        <v>0</v>
      </c>
      <c r="J1494" s="37">
        <v>0</v>
      </c>
    </row>
    <row r="1495" spans="1:10" x14ac:dyDescent="0.25">
      <c r="A1495" t="s">
        <v>3441</v>
      </c>
      <c r="B1495" t="s">
        <v>3442</v>
      </c>
      <c r="C1495" t="s">
        <v>101</v>
      </c>
      <c r="D1495" t="s">
        <v>398</v>
      </c>
      <c r="E1495" s="36">
        <v>4500</v>
      </c>
      <c r="F1495" s="36">
        <v>5175</v>
      </c>
      <c r="G1495" s="36">
        <v>2800</v>
      </c>
      <c r="H1495" s="36">
        <v>3220</v>
      </c>
      <c r="I1495" s="37">
        <v>0</v>
      </c>
      <c r="J1495" s="37">
        <v>0</v>
      </c>
    </row>
    <row r="1496" spans="1:10" x14ac:dyDescent="0.25">
      <c r="A1496" t="s">
        <v>3443</v>
      </c>
      <c r="B1496" t="s">
        <v>3444</v>
      </c>
      <c r="C1496" t="s">
        <v>101</v>
      </c>
      <c r="D1496" t="s">
        <v>363</v>
      </c>
      <c r="E1496" s="36">
        <v>12000</v>
      </c>
      <c r="F1496" s="36">
        <v>13800</v>
      </c>
      <c r="G1496" s="36">
        <v>7500</v>
      </c>
      <c r="H1496" s="36">
        <v>8625</v>
      </c>
      <c r="I1496" s="37">
        <v>0</v>
      </c>
      <c r="J1496" s="37">
        <v>0</v>
      </c>
    </row>
    <row r="1497" spans="1:10" x14ac:dyDescent="0.25">
      <c r="A1497" t="s">
        <v>3445</v>
      </c>
      <c r="B1497" t="s">
        <v>3446</v>
      </c>
      <c r="C1497" t="s">
        <v>101</v>
      </c>
      <c r="D1497" t="s">
        <v>363</v>
      </c>
      <c r="E1497" s="36">
        <v>8000</v>
      </c>
      <c r="F1497" s="36">
        <v>9200</v>
      </c>
      <c r="G1497" s="36">
        <v>5000</v>
      </c>
      <c r="H1497" s="36">
        <v>5750</v>
      </c>
      <c r="I1497" s="37">
        <v>0</v>
      </c>
      <c r="J1497" s="37">
        <v>0</v>
      </c>
    </row>
    <row r="1498" spans="1:10" x14ac:dyDescent="0.25">
      <c r="A1498" t="s">
        <v>3447</v>
      </c>
      <c r="B1498" t="s">
        <v>3448</v>
      </c>
      <c r="C1498" t="s">
        <v>89</v>
      </c>
      <c r="D1498" t="s">
        <v>398</v>
      </c>
      <c r="E1498" s="36">
        <v>450</v>
      </c>
      <c r="F1498" s="36">
        <v>518</v>
      </c>
      <c r="G1498" s="36">
        <v>280</v>
      </c>
      <c r="H1498" s="36">
        <v>322</v>
      </c>
      <c r="I1498" s="37">
        <v>0</v>
      </c>
      <c r="J1498" s="37">
        <v>0</v>
      </c>
    </row>
    <row r="1499" spans="1:10" x14ac:dyDescent="0.25">
      <c r="A1499" t="s">
        <v>3449</v>
      </c>
      <c r="B1499" t="s">
        <v>3450</v>
      </c>
      <c r="C1499" t="s">
        <v>101</v>
      </c>
      <c r="D1499" t="s">
        <v>367</v>
      </c>
      <c r="E1499" s="36">
        <v>12000</v>
      </c>
      <c r="F1499" s="36">
        <v>13800</v>
      </c>
      <c r="G1499" s="36">
        <v>7500</v>
      </c>
      <c r="H1499" s="36">
        <v>8625</v>
      </c>
      <c r="I1499" s="37">
        <v>0</v>
      </c>
      <c r="J1499" s="37">
        <v>0</v>
      </c>
    </row>
    <row r="1500" spans="1:10" x14ac:dyDescent="0.25">
      <c r="A1500" t="s">
        <v>3451</v>
      </c>
      <c r="B1500" t="s">
        <v>3452</v>
      </c>
      <c r="C1500" t="s">
        <v>101</v>
      </c>
      <c r="D1500" t="s">
        <v>367</v>
      </c>
      <c r="E1500" s="36">
        <v>13500</v>
      </c>
      <c r="F1500" s="36">
        <v>15525</v>
      </c>
      <c r="G1500" s="36">
        <v>8500</v>
      </c>
      <c r="H1500" s="36">
        <v>9775</v>
      </c>
      <c r="I1500" s="37">
        <v>0</v>
      </c>
      <c r="J1500" s="37">
        <v>0</v>
      </c>
    </row>
    <row r="1501" spans="1:10" x14ac:dyDescent="0.25">
      <c r="A1501" t="s">
        <v>3453</v>
      </c>
      <c r="B1501" t="s">
        <v>3454</v>
      </c>
      <c r="C1501" t="s">
        <v>101</v>
      </c>
      <c r="D1501" t="s">
        <v>367</v>
      </c>
      <c r="E1501" s="36">
        <v>16000</v>
      </c>
      <c r="F1501" s="36">
        <v>18400</v>
      </c>
      <c r="G1501" s="36">
        <v>10000</v>
      </c>
      <c r="H1501" s="36">
        <v>11500</v>
      </c>
      <c r="I1501" s="37">
        <v>0</v>
      </c>
      <c r="J1501" s="37">
        <v>0</v>
      </c>
    </row>
    <row r="1502" spans="1:10" x14ac:dyDescent="0.25">
      <c r="A1502" t="s">
        <v>3455</v>
      </c>
      <c r="B1502" t="s">
        <v>3456</v>
      </c>
      <c r="C1502" t="s">
        <v>101</v>
      </c>
      <c r="D1502" t="s">
        <v>367</v>
      </c>
      <c r="E1502" s="36">
        <v>18000</v>
      </c>
      <c r="F1502" s="36">
        <v>20700</v>
      </c>
      <c r="G1502" s="36">
        <v>11500</v>
      </c>
      <c r="H1502" s="36">
        <v>13225</v>
      </c>
      <c r="I1502" s="37">
        <v>0</v>
      </c>
      <c r="J1502" s="37">
        <v>0</v>
      </c>
    </row>
    <row r="1503" spans="1:10" x14ac:dyDescent="0.25">
      <c r="A1503" t="s">
        <v>3457</v>
      </c>
      <c r="B1503" t="s">
        <v>3458</v>
      </c>
      <c r="C1503" t="s">
        <v>243</v>
      </c>
      <c r="D1503" t="s">
        <v>398</v>
      </c>
      <c r="E1503" s="36">
        <v>7934</v>
      </c>
      <c r="F1503" s="36">
        <v>9520</v>
      </c>
      <c r="G1503" s="36">
        <v>4300</v>
      </c>
      <c r="H1503" s="36">
        <v>4945</v>
      </c>
      <c r="I1503" s="37">
        <v>0.13342857142857151</v>
      </c>
      <c r="J1503" s="37">
        <v>0.182608695652174</v>
      </c>
    </row>
    <row r="1504" spans="1:10" x14ac:dyDescent="0.25">
      <c r="A1504" t="s">
        <v>3459</v>
      </c>
      <c r="B1504" t="s">
        <v>3460</v>
      </c>
      <c r="C1504" t="s">
        <v>243</v>
      </c>
      <c r="D1504" t="s">
        <v>398</v>
      </c>
      <c r="E1504" s="36">
        <v>6234</v>
      </c>
      <c r="F1504" s="36">
        <v>7480</v>
      </c>
      <c r="G1504" s="36">
        <v>3400</v>
      </c>
      <c r="H1504" s="36">
        <v>3910</v>
      </c>
      <c r="I1504" s="37">
        <v>0.13345454545454549</v>
      </c>
      <c r="J1504" s="37">
        <v>0.182608695652174</v>
      </c>
    </row>
    <row r="1505" spans="1:10" x14ac:dyDescent="0.25">
      <c r="A1505" t="s">
        <v>3461</v>
      </c>
      <c r="B1505" t="s">
        <v>3462</v>
      </c>
      <c r="C1505" t="s">
        <v>243</v>
      </c>
      <c r="D1505" t="s">
        <v>398</v>
      </c>
      <c r="E1505" s="36">
        <v>10767</v>
      </c>
      <c r="F1505" s="36">
        <v>12920</v>
      </c>
      <c r="G1505" s="36">
        <v>5900</v>
      </c>
      <c r="H1505" s="36">
        <v>6785</v>
      </c>
      <c r="I1505" s="37">
        <v>0.13336842105263161</v>
      </c>
      <c r="J1505" s="37">
        <v>0.182608695652174</v>
      </c>
    </row>
    <row r="1506" spans="1:10" x14ac:dyDescent="0.25">
      <c r="A1506" t="s">
        <v>3463</v>
      </c>
      <c r="B1506" t="s">
        <v>3464</v>
      </c>
      <c r="C1506" t="s">
        <v>243</v>
      </c>
      <c r="D1506" t="s">
        <v>398</v>
      </c>
      <c r="E1506" s="36">
        <v>10200</v>
      </c>
      <c r="F1506" s="36">
        <v>12240</v>
      </c>
      <c r="G1506" s="36">
        <v>5600</v>
      </c>
      <c r="H1506" s="36">
        <v>6440</v>
      </c>
      <c r="I1506" s="37">
        <v>0.1333333333333333</v>
      </c>
      <c r="J1506" s="37">
        <v>0.182608695652174</v>
      </c>
    </row>
    <row r="1507" spans="1:10" x14ac:dyDescent="0.25">
      <c r="A1507" t="s">
        <v>3465</v>
      </c>
      <c r="B1507" t="s">
        <v>3466</v>
      </c>
      <c r="C1507" t="s">
        <v>243</v>
      </c>
      <c r="D1507" t="s">
        <v>398</v>
      </c>
      <c r="E1507" s="36">
        <v>13600</v>
      </c>
      <c r="F1507" s="36">
        <v>16320</v>
      </c>
      <c r="G1507" s="36">
        <v>7400</v>
      </c>
      <c r="H1507" s="36">
        <v>8510</v>
      </c>
      <c r="I1507" s="37">
        <v>0.1333333333333333</v>
      </c>
      <c r="J1507" s="37">
        <v>0.182608695652174</v>
      </c>
    </row>
    <row r="1508" spans="1:10" x14ac:dyDescent="0.25">
      <c r="A1508" t="s">
        <v>3467</v>
      </c>
      <c r="B1508" t="s">
        <v>3468</v>
      </c>
      <c r="C1508" t="s">
        <v>243</v>
      </c>
      <c r="D1508" t="s">
        <v>398</v>
      </c>
      <c r="E1508" s="36">
        <v>7934</v>
      </c>
      <c r="F1508" s="36">
        <v>9520</v>
      </c>
      <c r="G1508" s="36">
        <v>4300</v>
      </c>
      <c r="H1508" s="36">
        <v>4945</v>
      </c>
      <c r="I1508" s="37">
        <v>0.13342857142857151</v>
      </c>
      <c r="J1508" s="37">
        <v>0.182608695652174</v>
      </c>
    </row>
    <row r="1509" spans="1:10" x14ac:dyDescent="0.25">
      <c r="A1509" t="s">
        <v>3469</v>
      </c>
      <c r="B1509" t="s">
        <v>3470</v>
      </c>
      <c r="C1509" t="s">
        <v>243</v>
      </c>
      <c r="D1509" t="s">
        <v>398</v>
      </c>
      <c r="E1509" s="36">
        <v>9067</v>
      </c>
      <c r="F1509" s="36">
        <v>10880</v>
      </c>
      <c r="G1509" s="36">
        <v>5000</v>
      </c>
      <c r="H1509" s="36">
        <v>5750</v>
      </c>
      <c r="I1509" s="37">
        <v>0.13337499999999999</v>
      </c>
      <c r="J1509" s="37">
        <v>0.182608695652174</v>
      </c>
    </row>
    <row r="1510" spans="1:10" x14ac:dyDescent="0.25">
      <c r="A1510" t="s">
        <v>3471</v>
      </c>
      <c r="B1510" t="s">
        <v>3472</v>
      </c>
      <c r="C1510" t="s">
        <v>243</v>
      </c>
      <c r="D1510" t="s">
        <v>398</v>
      </c>
      <c r="E1510" s="36">
        <v>12467</v>
      </c>
      <c r="F1510" s="36">
        <v>14960</v>
      </c>
      <c r="G1510" s="36">
        <v>6800</v>
      </c>
      <c r="H1510" s="36">
        <v>7820</v>
      </c>
      <c r="I1510" s="37">
        <v>0.13336363636363641</v>
      </c>
      <c r="J1510" s="37">
        <v>0.182608695652174</v>
      </c>
    </row>
    <row r="1511" spans="1:10" x14ac:dyDescent="0.25">
      <c r="A1511" t="s">
        <v>3473</v>
      </c>
      <c r="B1511" t="s">
        <v>3474</v>
      </c>
      <c r="C1511" t="s">
        <v>243</v>
      </c>
      <c r="D1511" t="s">
        <v>367</v>
      </c>
      <c r="E1511" s="36">
        <v>31734</v>
      </c>
      <c r="F1511" s="36">
        <v>38080</v>
      </c>
      <c r="G1511" s="36">
        <v>14000</v>
      </c>
      <c r="H1511" s="36">
        <v>16100</v>
      </c>
      <c r="I1511" s="37">
        <v>0.44245454545454538</v>
      </c>
      <c r="J1511" s="37">
        <v>0.50513833992094859</v>
      </c>
    </row>
    <row r="1512" spans="1:10" x14ac:dyDescent="0.25">
      <c r="A1512" t="s">
        <v>3475</v>
      </c>
      <c r="B1512" t="s">
        <v>3476</v>
      </c>
      <c r="C1512" t="s">
        <v>243</v>
      </c>
      <c r="D1512" t="s">
        <v>367</v>
      </c>
      <c r="E1512" s="36">
        <v>15867</v>
      </c>
      <c r="F1512" s="36">
        <v>19040</v>
      </c>
      <c r="G1512" s="36">
        <v>7500</v>
      </c>
      <c r="H1512" s="36">
        <v>8625</v>
      </c>
      <c r="I1512" s="37">
        <v>0.32224999999999993</v>
      </c>
      <c r="J1512" s="37">
        <v>0.37971014492753619</v>
      </c>
    </row>
    <row r="1513" spans="1:10" x14ac:dyDescent="0.25">
      <c r="A1513" t="s">
        <v>3477</v>
      </c>
      <c r="B1513" t="s">
        <v>3478</v>
      </c>
      <c r="C1513" t="s">
        <v>101</v>
      </c>
      <c r="D1513" t="s">
        <v>398</v>
      </c>
      <c r="E1513" s="36">
        <v>2500</v>
      </c>
      <c r="F1513" s="36">
        <v>2875</v>
      </c>
      <c r="G1513" s="36">
        <v>1600</v>
      </c>
      <c r="H1513" s="36">
        <v>1840</v>
      </c>
      <c r="I1513" s="37">
        <v>0</v>
      </c>
      <c r="J1513" s="37">
        <v>0</v>
      </c>
    </row>
    <row r="1514" spans="1:10" x14ac:dyDescent="0.25">
      <c r="A1514" t="s">
        <v>3479</v>
      </c>
      <c r="B1514" t="s">
        <v>3480</v>
      </c>
      <c r="C1514" t="s">
        <v>101</v>
      </c>
      <c r="D1514" t="s">
        <v>398</v>
      </c>
      <c r="E1514" s="36">
        <v>4000</v>
      </c>
      <c r="F1514" s="36">
        <v>4600</v>
      </c>
      <c r="G1514" s="36">
        <v>2500</v>
      </c>
      <c r="H1514" s="36">
        <v>2875</v>
      </c>
      <c r="I1514" s="37">
        <v>0</v>
      </c>
      <c r="J1514" s="37">
        <v>0</v>
      </c>
    </row>
    <row r="1515" spans="1:10" x14ac:dyDescent="0.25">
      <c r="A1515" t="s">
        <v>3481</v>
      </c>
      <c r="B1515" t="s">
        <v>3482</v>
      </c>
      <c r="C1515" t="s">
        <v>101</v>
      </c>
      <c r="D1515" t="s">
        <v>343</v>
      </c>
      <c r="E1515" s="36">
        <v>9500</v>
      </c>
      <c r="F1515" s="36">
        <v>10925</v>
      </c>
      <c r="G1515" s="36">
        <v>6000</v>
      </c>
      <c r="H1515" s="36">
        <v>6900</v>
      </c>
      <c r="I1515" s="37">
        <v>0</v>
      </c>
      <c r="J1515" s="37">
        <v>0</v>
      </c>
    </row>
    <row r="1516" spans="1:10" x14ac:dyDescent="0.25">
      <c r="A1516" t="s">
        <v>3483</v>
      </c>
      <c r="B1516" t="s">
        <v>3484</v>
      </c>
      <c r="C1516" t="s">
        <v>101</v>
      </c>
      <c r="D1516" t="s">
        <v>331</v>
      </c>
      <c r="E1516" s="36">
        <v>4500</v>
      </c>
      <c r="F1516" s="36">
        <v>5175</v>
      </c>
      <c r="G1516" s="36">
        <v>2800</v>
      </c>
      <c r="H1516" s="36">
        <v>3220</v>
      </c>
      <c r="I1516" s="37">
        <v>0</v>
      </c>
      <c r="J1516" s="37">
        <v>0</v>
      </c>
    </row>
    <row r="1517" spans="1:10" x14ac:dyDescent="0.25">
      <c r="A1517" t="s">
        <v>3485</v>
      </c>
      <c r="B1517" t="s">
        <v>3486</v>
      </c>
      <c r="C1517" t="s">
        <v>243</v>
      </c>
      <c r="D1517" t="s">
        <v>327</v>
      </c>
      <c r="E1517" s="36">
        <v>150</v>
      </c>
      <c r="F1517" s="36">
        <v>172</v>
      </c>
      <c r="G1517" s="36">
        <v>90</v>
      </c>
      <c r="H1517" s="36">
        <v>103</v>
      </c>
      <c r="I1517" s="37">
        <v>0</v>
      </c>
      <c r="J1517" s="37">
        <v>0</v>
      </c>
    </row>
    <row r="1518" spans="1:10" x14ac:dyDescent="0.25">
      <c r="A1518" t="s">
        <v>3487</v>
      </c>
      <c r="B1518" t="s">
        <v>3488</v>
      </c>
      <c r="C1518" t="s">
        <v>1231</v>
      </c>
      <c r="D1518" t="s">
        <v>367</v>
      </c>
      <c r="E1518" s="36">
        <v>8000</v>
      </c>
      <c r="F1518" s="36">
        <v>9200</v>
      </c>
      <c r="G1518" s="36">
        <v>5000</v>
      </c>
      <c r="H1518" s="36">
        <v>5750</v>
      </c>
      <c r="I1518" s="37">
        <v>0</v>
      </c>
      <c r="J1518" s="37">
        <v>0</v>
      </c>
    </row>
    <row r="1519" spans="1:10" x14ac:dyDescent="0.25">
      <c r="A1519" t="s">
        <v>3489</v>
      </c>
      <c r="B1519" t="s">
        <v>3490</v>
      </c>
      <c r="C1519" t="s">
        <v>1231</v>
      </c>
      <c r="D1519" t="s">
        <v>367</v>
      </c>
      <c r="E1519" s="36">
        <v>9000</v>
      </c>
      <c r="F1519" s="36">
        <v>10350</v>
      </c>
      <c r="G1519" s="36">
        <v>5500</v>
      </c>
      <c r="H1519" s="36">
        <v>6325</v>
      </c>
      <c r="I1519" s="37">
        <v>0</v>
      </c>
      <c r="J1519" s="37">
        <v>0</v>
      </c>
    </row>
    <row r="1520" spans="1:10" x14ac:dyDescent="0.25">
      <c r="A1520" t="s">
        <v>3491</v>
      </c>
      <c r="B1520" t="s">
        <v>3492</v>
      </c>
      <c r="C1520" t="s">
        <v>89</v>
      </c>
      <c r="D1520" t="s">
        <v>331</v>
      </c>
      <c r="E1520" s="36">
        <v>350</v>
      </c>
      <c r="F1520" s="36">
        <v>402</v>
      </c>
      <c r="G1520" s="36">
        <v>220</v>
      </c>
      <c r="H1520" s="36">
        <v>253</v>
      </c>
      <c r="I1520" s="37">
        <v>0</v>
      </c>
      <c r="J1520" s="37">
        <v>0</v>
      </c>
    </row>
    <row r="1521" spans="1:10" x14ac:dyDescent="0.25">
      <c r="A1521" t="s">
        <v>3493</v>
      </c>
      <c r="B1521" t="s">
        <v>3494</v>
      </c>
      <c r="C1521" t="s">
        <v>3495</v>
      </c>
      <c r="D1521" t="s">
        <v>343</v>
      </c>
      <c r="E1521" s="36">
        <v>900</v>
      </c>
      <c r="F1521" s="36">
        <v>1035</v>
      </c>
      <c r="G1521" s="36">
        <v>550</v>
      </c>
      <c r="H1521" s="36">
        <v>632</v>
      </c>
      <c r="I1521" s="37">
        <v>0</v>
      </c>
      <c r="J1521" s="37">
        <v>0</v>
      </c>
    </row>
    <row r="1522" spans="1:10" x14ac:dyDescent="0.25">
      <c r="A1522" t="s">
        <v>3496</v>
      </c>
      <c r="B1522" t="s">
        <v>3497</v>
      </c>
      <c r="C1522" t="s">
        <v>101</v>
      </c>
      <c r="D1522" t="s">
        <v>398</v>
      </c>
      <c r="E1522" s="36">
        <v>4000</v>
      </c>
      <c r="F1522" s="36">
        <v>4600</v>
      </c>
      <c r="G1522" s="36">
        <v>2500</v>
      </c>
      <c r="H1522" s="36">
        <v>2875</v>
      </c>
      <c r="I1522" s="37">
        <v>0</v>
      </c>
      <c r="J1522" s="37">
        <v>0</v>
      </c>
    </row>
    <row r="1523" spans="1:10" x14ac:dyDescent="0.25">
      <c r="A1523" t="s">
        <v>3498</v>
      </c>
      <c r="B1523" t="s">
        <v>3499</v>
      </c>
      <c r="C1523" t="s">
        <v>101</v>
      </c>
      <c r="D1523" t="s">
        <v>398</v>
      </c>
      <c r="E1523" s="36">
        <v>6000</v>
      </c>
      <c r="F1523" s="36">
        <v>6900</v>
      </c>
      <c r="G1523" s="36">
        <v>3800</v>
      </c>
      <c r="H1523" s="36">
        <v>4370</v>
      </c>
      <c r="I1523" s="37">
        <v>0</v>
      </c>
      <c r="J1523" s="37">
        <v>0</v>
      </c>
    </row>
    <row r="1524" spans="1:10" x14ac:dyDescent="0.25">
      <c r="A1524" t="s">
        <v>3500</v>
      </c>
      <c r="B1524" t="s">
        <v>3501</v>
      </c>
      <c r="C1524" t="s">
        <v>101</v>
      </c>
      <c r="D1524" t="s">
        <v>398</v>
      </c>
      <c r="E1524" s="36">
        <v>8500</v>
      </c>
      <c r="F1524" s="36">
        <v>9775</v>
      </c>
      <c r="G1524" s="36">
        <v>5300</v>
      </c>
      <c r="H1524" s="36">
        <v>6095</v>
      </c>
      <c r="I1524" s="37">
        <v>0</v>
      </c>
      <c r="J1524" s="37">
        <v>0</v>
      </c>
    </row>
    <row r="1525" spans="1:10" x14ac:dyDescent="0.25">
      <c r="A1525" t="s">
        <v>3502</v>
      </c>
      <c r="B1525" t="s">
        <v>3503</v>
      </c>
      <c r="C1525" t="s">
        <v>101</v>
      </c>
      <c r="D1525" t="s">
        <v>398</v>
      </c>
      <c r="E1525" s="36">
        <v>11000</v>
      </c>
      <c r="F1525" s="36">
        <v>12650</v>
      </c>
      <c r="G1525" s="36">
        <v>6800</v>
      </c>
      <c r="H1525" s="36">
        <v>7820</v>
      </c>
      <c r="I1525" s="37">
        <v>0</v>
      </c>
      <c r="J1525" s="37">
        <v>0</v>
      </c>
    </row>
    <row r="1526" spans="1:10" x14ac:dyDescent="0.25">
      <c r="A1526" t="s">
        <v>3504</v>
      </c>
      <c r="B1526" t="s">
        <v>3505</v>
      </c>
      <c r="C1526" t="s">
        <v>101</v>
      </c>
      <c r="D1526" t="s">
        <v>398</v>
      </c>
      <c r="E1526" s="36">
        <v>13500</v>
      </c>
      <c r="F1526" s="36">
        <v>15525</v>
      </c>
      <c r="G1526" s="36">
        <v>8400</v>
      </c>
      <c r="H1526" s="36">
        <v>9660</v>
      </c>
      <c r="I1526" s="37">
        <v>0</v>
      </c>
      <c r="J1526" s="37">
        <v>0</v>
      </c>
    </row>
    <row r="1527" spans="1:10" x14ac:dyDescent="0.25">
      <c r="A1527" t="s">
        <v>3506</v>
      </c>
      <c r="B1527" t="s">
        <v>3507</v>
      </c>
      <c r="C1527" t="s">
        <v>101</v>
      </c>
      <c r="D1527" t="s">
        <v>398</v>
      </c>
      <c r="E1527" s="36">
        <v>28000</v>
      </c>
      <c r="F1527" s="36">
        <v>32200</v>
      </c>
      <c r="G1527" s="36">
        <v>17500</v>
      </c>
      <c r="H1527" s="36">
        <v>20125</v>
      </c>
      <c r="I1527" s="37">
        <v>0</v>
      </c>
      <c r="J1527" s="37">
        <v>0</v>
      </c>
    </row>
    <row r="1528" spans="1:10" x14ac:dyDescent="0.25">
      <c r="A1528" t="s">
        <v>3508</v>
      </c>
      <c r="B1528" t="s">
        <v>3509</v>
      </c>
      <c r="C1528" t="s">
        <v>243</v>
      </c>
      <c r="D1528" t="s">
        <v>398</v>
      </c>
      <c r="E1528" s="36">
        <v>9067</v>
      </c>
      <c r="F1528" s="36">
        <v>10880</v>
      </c>
      <c r="G1528" s="36">
        <v>4700</v>
      </c>
      <c r="H1528" s="36">
        <v>5405</v>
      </c>
      <c r="I1528" s="37">
        <v>0.20893333333333339</v>
      </c>
      <c r="J1528" s="37">
        <v>0.26144927536231882</v>
      </c>
    </row>
    <row r="1529" spans="1:10" x14ac:dyDescent="0.25">
      <c r="A1529" t="s">
        <v>3510</v>
      </c>
      <c r="B1529" t="s">
        <v>3511</v>
      </c>
      <c r="C1529" t="s">
        <v>243</v>
      </c>
      <c r="D1529" t="s">
        <v>398</v>
      </c>
      <c r="E1529" s="36">
        <v>250</v>
      </c>
      <c r="F1529" s="36">
        <v>288</v>
      </c>
      <c r="G1529" s="36">
        <v>150</v>
      </c>
      <c r="H1529" s="36">
        <v>172</v>
      </c>
      <c r="I1529" s="37">
        <v>0</v>
      </c>
      <c r="J1529" s="37">
        <v>0</v>
      </c>
    </row>
    <row r="1530" spans="1:10" x14ac:dyDescent="0.25">
      <c r="A1530" t="s">
        <v>3512</v>
      </c>
      <c r="B1530" t="s">
        <v>3513</v>
      </c>
      <c r="C1530" t="s">
        <v>243</v>
      </c>
      <c r="D1530" t="s">
        <v>398</v>
      </c>
      <c r="E1530" s="36">
        <v>3200</v>
      </c>
      <c r="F1530" s="36">
        <v>3840</v>
      </c>
      <c r="G1530" s="36">
        <v>2200</v>
      </c>
      <c r="H1530" s="36">
        <v>2640</v>
      </c>
      <c r="I1530" s="37">
        <v>0</v>
      </c>
      <c r="J1530" s="37">
        <v>0</v>
      </c>
    </row>
    <row r="1531" spans="1:10" x14ac:dyDescent="0.25">
      <c r="A1531" t="s">
        <v>3514</v>
      </c>
      <c r="B1531" t="s">
        <v>3515</v>
      </c>
      <c r="C1531" t="s">
        <v>229</v>
      </c>
      <c r="D1531" t="s">
        <v>398</v>
      </c>
      <c r="E1531" s="36">
        <v>200</v>
      </c>
      <c r="F1531" s="36">
        <v>240</v>
      </c>
      <c r="G1531" s="36">
        <v>130</v>
      </c>
      <c r="H1531" s="36">
        <v>156</v>
      </c>
      <c r="I1531" s="37">
        <v>0</v>
      </c>
      <c r="J1531" s="37">
        <v>0</v>
      </c>
    </row>
    <row r="1532" spans="1:10" x14ac:dyDescent="0.25">
      <c r="A1532" t="s">
        <v>3516</v>
      </c>
      <c r="B1532" t="s">
        <v>3517</v>
      </c>
      <c r="C1532" t="s">
        <v>229</v>
      </c>
      <c r="D1532" t="s">
        <v>398</v>
      </c>
      <c r="E1532" s="36">
        <v>260</v>
      </c>
      <c r="F1532" s="36">
        <v>312</v>
      </c>
      <c r="G1532" s="36">
        <v>170</v>
      </c>
      <c r="H1532" s="36">
        <v>204</v>
      </c>
      <c r="I1532" s="37">
        <v>0</v>
      </c>
      <c r="J1532" s="37">
        <v>0</v>
      </c>
    </row>
    <row r="1533" spans="1:10" x14ac:dyDescent="0.25">
      <c r="A1533" t="s">
        <v>3518</v>
      </c>
      <c r="B1533" t="s">
        <v>3519</v>
      </c>
      <c r="C1533" t="s">
        <v>229</v>
      </c>
      <c r="D1533" t="s">
        <v>398</v>
      </c>
      <c r="E1533" s="36">
        <v>300</v>
      </c>
      <c r="F1533" s="36">
        <v>360</v>
      </c>
      <c r="G1533" s="36">
        <v>200</v>
      </c>
      <c r="H1533" s="36">
        <v>240</v>
      </c>
      <c r="I1533" s="37">
        <v>0</v>
      </c>
      <c r="J1533" s="37">
        <v>0</v>
      </c>
    </row>
    <row r="1534" spans="1:10" x14ac:dyDescent="0.25">
      <c r="A1534" t="s">
        <v>3520</v>
      </c>
      <c r="B1534" t="s">
        <v>3521</v>
      </c>
      <c r="C1534" t="s">
        <v>1231</v>
      </c>
      <c r="D1534" t="s">
        <v>398</v>
      </c>
      <c r="E1534" s="36">
        <v>15000</v>
      </c>
      <c r="F1534" s="36">
        <v>17250</v>
      </c>
      <c r="G1534" s="36">
        <v>10000</v>
      </c>
      <c r="H1534" s="36">
        <v>11500</v>
      </c>
      <c r="I1534" s="37">
        <v>0</v>
      </c>
      <c r="J1534" s="37">
        <v>0</v>
      </c>
    </row>
    <row r="1535" spans="1:10" x14ac:dyDescent="0.25">
      <c r="A1535" t="s">
        <v>3522</v>
      </c>
      <c r="B1535" t="s">
        <v>3523</v>
      </c>
      <c r="C1535" t="s">
        <v>1231</v>
      </c>
      <c r="D1535" t="s">
        <v>398</v>
      </c>
      <c r="E1535" s="36">
        <v>22000</v>
      </c>
      <c r="F1535" s="36">
        <v>25300</v>
      </c>
      <c r="G1535" s="36">
        <v>14000</v>
      </c>
      <c r="H1535" s="36">
        <v>16100</v>
      </c>
      <c r="I1535" s="37">
        <v>0</v>
      </c>
      <c r="J1535" s="37">
        <v>0</v>
      </c>
    </row>
    <row r="1536" spans="1:10" x14ac:dyDescent="0.25">
      <c r="A1536" t="s">
        <v>3524</v>
      </c>
      <c r="B1536" t="s">
        <v>3525</v>
      </c>
      <c r="C1536" t="s">
        <v>101</v>
      </c>
      <c r="D1536" t="s">
        <v>398</v>
      </c>
      <c r="E1536" s="36">
        <v>3700</v>
      </c>
      <c r="F1536" s="36">
        <v>4255</v>
      </c>
      <c r="G1536" s="36">
        <v>2300</v>
      </c>
      <c r="H1536" s="36">
        <v>2645</v>
      </c>
      <c r="I1536" s="37">
        <v>0</v>
      </c>
      <c r="J1536" s="37">
        <v>0</v>
      </c>
    </row>
    <row r="1537" spans="1:10" x14ac:dyDescent="0.25">
      <c r="A1537" t="s">
        <v>3526</v>
      </c>
      <c r="B1537" t="s">
        <v>3527</v>
      </c>
      <c r="C1537" t="s">
        <v>101</v>
      </c>
      <c r="D1537" t="s">
        <v>398</v>
      </c>
      <c r="E1537" s="36">
        <v>14000</v>
      </c>
      <c r="F1537" s="36">
        <v>16320</v>
      </c>
      <c r="G1537" s="36">
        <v>9000</v>
      </c>
      <c r="H1537" s="36">
        <v>10350</v>
      </c>
      <c r="I1537" s="37">
        <v>0</v>
      </c>
      <c r="J1537" s="37">
        <v>1.366459627329197E-2</v>
      </c>
    </row>
    <row r="1538" spans="1:10" x14ac:dyDescent="0.25">
      <c r="A1538" t="s">
        <v>3528</v>
      </c>
      <c r="B1538" t="s">
        <v>3529</v>
      </c>
      <c r="C1538" t="s">
        <v>101</v>
      </c>
      <c r="D1538" t="s">
        <v>398</v>
      </c>
      <c r="E1538" s="36">
        <v>18000</v>
      </c>
      <c r="F1538" s="36">
        <v>20700</v>
      </c>
      <c r="G1538" s="36">
        <v>11500</v>
      </c>
      <c r="H1538" s="36">
        <v>13225</v>
      </c>
      <c r="I1538" s="37">
        <v>0</v>
      </c>
      <c r="J1538" s="37">
        <v>0</v>
      </c>
    </row>
    <row r="1539" spans="1:10" x14ac:dyDescent="0.25">
      <c r="A1539" t="s">
        <v>3530</v>
      </c>
      <c r="B1539" t="s">
        <v>3531</v>
      </c>
      <c r="C1539" t="s">
        <v>101</v>
      </c>
      <c r="D1539" t="s">
        <v>398</v>
      </c>
      <c r="E1539" s="36">
        <v>15000</v>
      </c>
      <c r="F1539" s="36">
        <v>17680</v>
      </c>
      <c r="G1539" s="36">
        <v>9500</v>
      </c>
      <c r="H1539" s="36">
        <v>10925</v>
      </c>
      <c r="I1539" s="37">
        <v>0</v>
      </c>
      <c r="J1539" s="37">
        <v>2.4927536231884151E-2</v>
      </c>
    </row>
    <row r="1540" spans="1:10" x14ac:dyDescent="0.25">
      <c r="A1540" t="s">
        <v>3532</v>
      </c>
      <c r="B1540" t="s">
        <v>3533</v>
      </c>
      <c r="C1540" t="s">
        <v>101</v>
      </c>
      <c r="D1540" t="s">
        <v>398</v>
      </c>
      <c r="E1540" s="36">
        <v>19000</v>
      </c>
      <c r="F1540" s="36">
        <v>21850</v>
      </c>
      <c r="G1540" s="36">
        <v>12000</v>
      </c>
      <c r="H1540" s="36">
        <v>13800</v>
      </c>
      <c r="I1540" s="37">
        <v>0</v>
      </c>
      <c r="J1540" s="37">
        <v>0</v>
      </c>
    </row>
    <row r="1541" spans="1:10" x14ac:dyDescent="0.25">
      <c r="A1541" t="s">
        <v>3534</v>
      </c>
      <c r="B1541" t="s">
        <v>3535</v>
      </c>
      <c r="C1541" t="s">
        <v>101</v>
      </c>
      <c r="D1541" t="s">
        <v>398</v>
      </c>
      <c r="E1541" s="36">
        <v>7000</v>
      </c>
      <c r="F1541" s="36">
        <v>8160</v>
      </c>
      <c r="G1541" s="36">
        <v>4500</v>
      </c>
      <c r="H1541" s="36">
        <v>5175</v>
      </c>
      <c r="I1541" s="37">
        <v>0</v>
      </c>
      <c r="J1541" s="37">
        <v>1.366459627329197E-2</v>
      </c>
    </row>
    <row r="1542" spans="1:10" x14ac:dyDescent="0.25">
      <c r="A1542" t="s">
        <v>3536</v>
      </c>
      <c r="B1542" t="s">
        <v>3537</v>
      </c>
      <c r="C1542" t="s">
        <v>229</v>
      </c>
      <c r="D1542" t="s">
        <v>398</v>
      </c>
      <c r="E1542" s="36">
        <v>450</v>
      </c>
      <c r="F1542" s="36">
        <v>518</v>
      </c>
      <c r="G1542" s="36">
        <v>290</v>
      </c>
      <c r="H1542" s="36">
        <v>334</v>
      </c>
      <c r="I1542" s="37">
        <v>0</v>
      </c>
      <c r="J1542" s="37">
        <v>0</v>
      </c>
    </row>
    <row r="1543" spans="1:10" x14ac:dyDescent="0.25">
      <c r="A1543" t="s">
        <v>3538</v>
      </c>
      <c r="B1543" t="s">
        <v>3539</v>
      </c>
      <c r="C1543" t="s">
        <v>229</v>
      </c>
      <c r="D1543" t="s">
        <v>398</v>
      </c>
      <c r="E1543" s="36">
        <v>700</v>
      </c>
      <c r="F1543" s="36">
        <v>805</v>
      </c>
      <c r="G1543" s="36">
        <v>440</v>
      </c>
      <c r="H1543" s="36">
        <v>506</v>
      </c>
      <c r="I1543" s="37">
        <v>0</v>
      </c>
      <c r="J1543" s="37">
        <v>0</v>
      </c>
    </row>
    <row r="1544" spans="1:10" x14ac:dyDescent="0.25">
      <c r="A1544" t="s">
        <v>3540</v>
      </c>
      <c r="B1544" t="s">
        <v>3541</v>
      </c>
      <c r="C1544" t="s">
        <v>229</v>
      </c>
      <c r="D1544" t="s">
        <v>398</v>
      </c>
      <c r="E1544" s="36">
        <v>950</v>
      </c>
      <c r="F1544" s="36">
        <v>1092</v>
      </c>
      <c r="G1544" s="36">
        <v>600</v>
      </c>
      <c r="H1544" s="36">
        <v>690</v>
      </c>
      <c r="I1544" s="37">
        <v>0</v>
      </c>
      <c r="J1544" s="37">
        <v>0</v>
      </c>
    </row>
    <row r="1545" spans="1:10" x14ac:dyDescent="0.25">
      <c r="A1545" t="s">
        <v>3542</v>
      </c>
      <c r="B1545" t="s">
        <v>3543</v>
      </c>
      <c r="C1545" t="s">
        <v>243</v>
      </c>
      <c r="D1545" t="s">
        <v>398</v>
      </c>
      <c r="E1545" s="36">
        <v>6800</v>
      </c>
      <c r="F1545" s="36">
        <v>8160</v>
      </c>
      <c r="G1545" s="36">
        <v>4000</v>
      </c>
      <c r="H1545" s="36">
        <v>4600</v>
      </c>
      <c r="I1545" s="37">
        <v>4.6153846153846212E-2</v>
      </c>
      <c r="J1545" s="37">
        <v>9.1638795986622057E-2</v>
      </c>
    </row>
    <row r="1546" spans="1:10" x14ac:dyDescent="0.25">
      <c r="A1546" t="s">
        <v>3544</v>
      </c>
      <c r="B1546" t="s">
        <v>3545</v>
      </c>
      <c r="C1546" t="s">
        <v>229</v>
      </c>
      <c r="D1546" t="s">
        <v>398</v>
      </c>
      <c r="E1546" s="36">
        <v>500</v>
      </c>
      <c r="F1546" s="36">
        <v>575</v>
      </c>
      <c r="G1546" s="36">
        <v>320</v>
      </c>
      <c r="H1546" s="36">
        <v>368</v>
      </c>
      <c r="I1546" s="37">
        <v>0</v>
      </c>
      <c r="J1546" s="37">
        <v>0</v>
      </c>
    </row>
    <row r="1547" spans="1:10" x14ac:dyDescent="0.25">
      <c r="A1547" t="s">
        <v>3546</v>
      </c>
      <c r="B1547" t="s">
        <v>3547</v>
      </c>
      <c r="C1547" t="s">
        <v>229</v>
      </c>
      <c r="D1547" t="s">
        <v>398</v>
      </c>
      <c r="E1547" s="36">
        <v>580</v>
      </c>
      <c r="F1547" s="36">
        <v>667</v>
      </c>
      <c r="G1547" s="36">
        <v>370</v>
      </c>
      <c r="H1547" s="36">
        <v>425</v>
      </c>
      <c r="I1547" s="37">
        <v>0</v>
      </c>
      <c r="J1547" s="37">
        <v>0</v>
      </c>
    </row>
    <row r="1548" spans="1:10" x14ac:dyDescent="0.25">
      <c r="A1548" t="s">
        <v>3548</v>
      </c>
      <c r="B1548" t="s">
        <v>3549</v>
      </c>
      <c r="C1548" t="s">
        <v>229</v>
      </c>
      <c r="D1548" t="s">
        <v>398</v>
      </c>
      <c r="E1548" s="36">
        <v>700</v>
      </c>
      <c r="F1548" s="36">
        <v>805</v>
      </c>
      <c r="G1548" s="36">
        <v>440</v>
      </c>
      <c r="H1548" s="36">
        <v>506</v>
      </c>
      <c r="I1548" s="37">
        <v>0</v>
      </c>
      <c r="J1548" s="37">
        <v>0</v>
      </c>
    </row>
    <row r="1549" spans="1:10" x14ac:dyDescent="0.25">
      <c r="A1549" t="s">
        <v>3550</v>
      </c>
      <c r="B1549" t="s">
        <v>3551</v>
      </c>
      <c r="C1549" t="s">
        <v>229</v>
      </c>
      <c r="D1549" t="s">
        <v>398</v>
      </c>
      <c r="E1549" s="36">
        <v>800</v>
      </c>
      <c r="F1549" s="36">
        <v>920</v>
      </c>
      <c r="G1549" s="36">
        <v>500</v>
      </c>
      <c r="H1549" s="36">
        <v>575</v>
      </c>
      <c r="I1549" s="37">
        <v>0</v>
      </c>
      <c r="J1549" s="37">
        <v>0</v>
      </c>
    </row>
    <row r="1550" spans="1:10" x14ac:dyDescent="0.25">
      <c r="A1550" t="s">
        <v>3552</v>
      </c>
      <c r="B1550" t="s">
        <v>3553</v>
      </c>
      <c r="C1550" t="s">
        <v>243</v>
      </c>
      <c r="D1550" t="s">
        <v>398</v>
      </c>
      <c r="E1550" s="36">
        <v>11334</v>
      </c>
      <c r="F1550" s="36">
        <v>13600</v>
      </c>
      <c r="G1550" s="36">
        <v>5700</v>
      </c>
      <c r="H1550" s="36">
        <v>6555</v>
      </c>
      <c r="I1550" s="37">
        <v>0.25933333333333342</v>
      </c>
      <c r="J1550" s="37">
        <v>0.31400966183574891</v>
      </c>
    </row>
    <row r="1551" spans="1:10" x14ac:dyDescent="0.25">
      <c r="A1551" t="s">
        <v>3554</v>
      </c>
      <c r="B1551" t="s">
        <v>3555</v>
      </c>
      <c r="C1551" t="s">
        <v>243</v>
      </c>
      <c r="D1551" t="s">
        <v>398</v>
      </c>
      <c r="E1551" s="36">
        <v>13600</v>
      </c>
      <c r="F1551" s="36">
        <v>16320</v>
      </c>
      <c r="G1551" s="36">
        <v>7000</v>
      </c>
      <c r="H1551" s="36">
        <v>8050</v>
      </c>
      <c r="I1551" s="37">
        <v>0.2363636363636363</v>
      </c>
      <c r="J1551" s="37">
        <v>0.29011857707509892</v>
      </c>
    </row>
    <row r="1552" spans="1:10" x14ac:dyDescent="0.25">
      <c r="A1552" t="s">
        <v>3556</v>
      </c>
      <c r="B1552" t="s">
        <v>3557</v>
      </c>
      <c r="C1552" t="s">
        <v>101</v>
      </c>
      <c r="D1552" t="s">
        <v>343</v>
      </c>
      <c r="E1552" s="36">
        <v>4500</v>
      </c>
      <c r="F1552" s="36">
        <v>5175</v>
      </c>
      <c r="G1552" s="36">
        <v>2800</v>
      </c>
      <c r="H1552" s="36">
        <v>3220</v>
      </c>
      <c r="I1552" s="37">
        <v>0</v>
      </c>
      <c r="J1552" s="37">
        <v>0</v>
      </c>
    </row>
    <row r="1553" spans="1:10" x14ac:dyDescent="0.25">
      <c r="A1553" t="s">
        <v>3558</v>
      </c>
      <c r="B1553" t="s">
        <v>3559</v>
      </c>
      <c r="C1553" t="s">
        <v>229</v>
      </c>
      <c r="D1553" t="s">
        <v>398</v>
      </c>
      <c r="E1553" s="36">
        <v>420</v>
      </c>
      <c r="F1553" s="36">
        <v>483</v>
      </c>
      <c r="G1553" s="36">
        <v>270</v>
      </c>
      <c r="H1553" s="36">
        <v>310</v>
      </c>
      <c r="I1553" s="37">
        <v>0</v>
      </c>
      <c r="J1553" s="37">
        <v>0</v>
      </c>
    </row>
    <row r="1554" spans="1:10" x14ac:dyDescent="0.25">
      <c r="A1554" t="s">
        <v>3560</v>
      </c>
      <c r="B1554" t="s">
        <v>3561</v>
      </c>
      <c r="C1554" t="s">
        <v>229</v>
      </c>
      <c r="D1554" t="s">
        <v>398</v>
      </c>
      <c r="E1554" s="36">
        <v>650</v>
      </c>
      <c r="F1554" s="36">
        <v>747</v>
      </c>
      <c r="G1554" s="36">
        <v>410</v>
      </c>
      <c r="H1554" s="36">
        <v>471</v>
      </c>
      <c r="I1554" s="37">
        <v>0</v>
      </c>
      <c r="J1554" s="37">
        <v>0</v>
      </c>
    </row>
    <row r="1555" spans="1:10" x14ac:dyDescent="0.25">
      <c r="A1555" t="s">
        <v>3562</v>
      </c>
      <c r="B1555" t="s">
        <v>3563</v>
      </c>
      <c r="C1555" t="s">
        <v>229</v>
      </c>
      <c r="D1555" t="s">
        <v>398</v>
      </c>
      <c r="E1555" s="36">
        <v>900</v>
      </c>
      <c r="F1555" s="36">
        <v>1035</v>
      </c>
      <c r="G1555" s="36">
        <v>570</v>
      </c>
      <c r="H1555" s="36">
        <v>656</v>
      </c>
      <c r="I1555" s="37">
        <v>0</v>
      </c>
      <c r="J1555" s="37">
        <v>0</v>
      </c>
    </row>
    <row r="1556" spans="1:10" x14ac:dyDescent="0.25">
      <c r="A1556" t="s">
        <v>3564</v>
      </c>
      <c r="B1556" t="s">
        <v>3565</v>
      </c>
      <c r="C1556" t="s">
        <v>101</v>
      </c>
      <c r="D1556" t="s">
        <v>398</v>
      </c>
      <c r="E1556" s="36">
        <v>20000</v>
      </c>
      <c r="F1556" s="36">
        <v>23000</v>
      </c>
      <c r="G1556" s="36">
        <v>12500</v>
      </c>
      <c r="H1556" s="36">
        <v>14375</v>
      </c>
      <c r="I1556" s="37">
        <v>0</v>
      </c>
      <c r="J1556" s="37">
        <v>0</v>
      </c>
    </row>
    <row r="1557" spans="1:10" x14ac:dyDescent="0.25">
      <c r="A1557" t="s">
        <v>3566</v>
      </c>
      <c r="B1557" t="s">
        <v>3567</v>
      </c>
      <c r="C1557" t="s">
        <v>101</v>
      </c>
      <c r="D1557" t="s">
        <v>398</v>
      </c>
      <c r="E1557" s="36">
        <v>24000</v>
      </c>
      <c r="F1557" s="36">
        <v>27600</v>
      </c>
      <c r="G1557" s="36">
        <v>15000</v>
      </c>
      <c r="H1557" s="36">
        <v>17250</v>
      </c>
      <c r="I1557" s="37">
        <v>0</v>
      </c>
      <c r="J1557" s="37">
        <v>0</v>
      </c>
    </row>
    <row r="1558" spans="1:10" x14ac:dyDescent="0.25">
      <c r="A1558" t="s">
        <v>3568</v>
      </c>
      <c r="B1558" t="s">
        <v>3569</v>
      </c>
      <c r="C1558" t="s">
        <v>229</v>
      </c>
      <c r="D1558" t="s">
        <v>367</v>
      </c>
      <c r="E1558" s="36">
        <v>250</v>
      </c>
      <c r="F1558" s="36">
        <v>288</v>
      </c>
      <c r="G1558" s="36">
        <v>150</v>
      </c>
      <c r="H1558" s="36">
        <v>172</v>
      </c>
      <c r="I1558" s="37">
        <v>0</v>
      </c>
      <c r="J1558" s="37">
        <v>0</v>
      </c>
    </row>
    <row r="1559" spans="1:10" x14ac:dyDescent="0.25">
      <c r="A1559" t="s">
        <v>3570</v>
      </c>
      <c r="B1559" t="s">
        <v>3571</v>
      </c>
      <c r="C1559" t="s">
        <v>243</v>
      </c>
      <c r="D1559" t="s">
        <v>1198</v>
      </c>
      <c r="E1559" s="36">
        <v>1800</v>
      </c>
      <c r="F1559" s="36">
        <v>2070</v>
      </c>
      <c r="G1559" s="36">
        <v>1200</v>
      </c>
      <c r="H1559" s="36">
        <v>1380</v>
      </c>
      <c r="I1559" s="37">
        <v>0</v>
      </c>
      <c r="J1559" s="37">
        <v>0</v>
      </c>
    </row>
    <row r="1560" spans="1:10" x14ac:dyDescent="0.25">
      <c r="A1560" t="s">
        <v>3572</v>
      </c>
      <c r="B1560" t="s">
        <v>3573</v>
      </c>
      <c r="C1560" t="s">
        <v>101</v>
      </c>
      <c r="D1560" t="s">
        <v>343</v>
      </c>
      <c r="E1560" s="36">
        <v>5000</v>
      </c>
      <c r="F1560" s="36">
        <v>5750</v>
      </c>
      <c r="G1560" s="36">
        <v>3100</v>
      </c>
      <c r="H1560" s="36">
        <v>3565</v>
      </c>
      <c r="I1560" s="37">
        <v>0</v>
      </c>
      <c r="J1560" s="37">
        <v>0</v>
      </c>
    </row>
    <row r="1561" spans="1:10" x14ac:dyDescent="0.25">
      <c r="A1561" t="s">
        <v>3574</v>
      </c>
      <c r="B1561" t="s">
        <v>3575</v>
      </c>
      <c r="C1561" t="s">
        <v>101</v>
      </c>
      <c r="D1561" t="s">
        <v>398</v>
      </c>
      <c r="E1561" s="36">
        <v>5000</v>
      </c>
      <c r="F1561" s="36">
        <v>5750</v>
      </c>
      <c r="G1561" s="36">
        <v>3100</v>
      </c>
      <c r="H1561" s="36">
        <v>3565</v>
      </c>
      <c r="I1561" s="37">
        <v>0</v>
      </c>
      <c r="J1561" s="37">
        <v>0</v>
      </c>
    </row>
    <row r="1562" spans="1:10" x14ac:dyDescent="0.25">
      <c r="A1562" t="s">
        <v>3576</v>
      </c>
      <c r="B1562" t="s">
        <v>3577</v>
      </c>
      <c r="C1562" t="s">
        <v>229</v>
      </c>
      <c r="D1562" t="s">
        <v>335</v>
      </c>
      <c r="E1562" s="36">
        <v>1200</v>
      </c>
      <c r="F1562" s="36">
        <v>1380</v>
      </c>
      <c r="G1562" s="36">
        <v>750</v>
      </c>
      <c r="H1562" s="36">
        <v>862</v>
      </c>
      <c r="I1562" s="37">
        <v>0</v>
      </c>
      <c r="J1562" s="37">
        <v>0</v>
      </c>
    </row>
    <row r="1563" spans="1:10" x14ac:dyDescent="0.25">
      <c r="A1563" t="s">
        <v>3578</v>
      </c>
      <c r="B1563" t="s">
        <v>3579</v>
      </c>
      <c r="C1563" t="s">
        <v>1231</v>
      </c>
      <c r="D1563" t="s">
        <v>398</v>
      </c>
      <c r="E1563" s="36">
        <v>7000</v>
      </c>
      <c r="F1563" s="36">
        <v>8050</v>
      </c>
      <c r="G1563" s="36">
        <v>4300</v>
      </c>
      <c r="H1563" s="36">
        <v>4945</v>
      </c>
      <c r="I1563" s="37">
        <v>0</v>
      </c>
      <c r="J1563" s="37">
        <v>0</v>
      </c>
    </row>
    <row r="1564" spans="1:10" x14ac:dyDescent="0.25">
      <c r="A1564" t="s">
        <v>3580</v>
      </c>
      <c r="B1564" t="s">
        <v>3581</v>
      </c>
      <c r="C1564" t="s">
        <v>101</v>
      </c>
      <c r="D1564" t="s">
        <v>367</v>
      </c>
      <c r="E1564" s="36">
        <v>3500</v>
      </c>
      <c r="F1564" s="36">
        <v>4025</v>
      </c>
      <c r="G1564" s="36">
        <v>2200</v>
      </c>
      <c r="H1564" s="36">
        <v>2530</v>
      </c>
      <c r="I1564" s="37">
        <v>0</v>
      </c>
      <c r="J1564" s="37">
        <v>0</v>
      </c>
    </row>
    <row r="1565" spans="1:10" x14ac:dyDescent="0.25">
      <c r="A1565" t="s">
        <v>3582</v>
      </c>
      <c r="B1565" t="s">
        <v>3583</v>
      </c>
      <c r="C1565" t="s">
        <v>101</v>
      </c>
      <c r="D1565" t="s">
        <v>343</v>
      </c>
      <c r="E1565" s="36">
        <v>2000</v>
      </c>
      <c r="F1565" s="36">
        <v>2300</v>
      </c>
      <c r="G1565" s="36">
        <v>1250</v>
      </c>
      <c r="H1565" s="36">
        <v>1438</v>
      </c>
      <c r="I1565" s="37">
        <v>0</v>
      </c>
      <c r="J1565" s="37">
        <v>0</v>
      </c>
    </row>
    <row r="1566" spans="1:10" x14ac:dyDescent="0.25">
      <c r="A1566" t="s">
        <v>3584</v>
      </c>
      <c r="B1566" t="s">
        <v>3585</v>
      </c>
      <c r="C1566" t="s">
        <v>229</v>
      </c>
      <c r="D1566" t="s">
        <v>367</v>
      </c>
      <c r="E1566" s="36">
        <v>600</v>
      </c>
      <c r="F1566" s="36">
        <v>690</v>
      </c>
      <c r="G1566" s="36">
        <v>380</v>
      </c>
      <c r="H1566" s="36">
        <v>437</v>
      </c>
      <c r="I1566" s="37">
        <v>0</v>
      </c>
      <c r="J1566" s="37">
        <v>0</v>
      </c>
    </row>
    <row r="1567" spans="1:10" x14ac:dyDescent="0.25">
      <c r="A1567" t="s">
        <v>3586</v>
      </c>
      <c r="B1567" t="s">
        <v>3587</v>
      </c>
      <c r="C1567" t="s">
        <v>229</v>
      </c>
      <c r="D1567" t="s">
        <v>367</v>
      </c>
      <c r="E1567" s="36">
        <v>700</v>
      </c>
      <c r="F1567" s="36">
        <v>805</v>
      </c>
      <c r="G1567" s="36">
        <v>440</v>
      </c>
      <c r="H1567" s="36">
        <v>506</v>
      </c>
      <c r="I1567" s="37">
        <v>0</v>
      </c>
      <c r="J1567" s="37">
        <v>0</v>
      </c>
    </row>
    <row r="1568" spans="1:10" x14ac:dyDescent="0.25">
      <c r="A1568" t="s">
        <v>3588</v>
      </c>
      <c r="B1568" t="s">
        <v>3589</v>
      </c>
      <c r="C1568" t="s">
        <v>229</v>
      </c>
      <c r="D1568" t="s">
        <v>367</v>
      </c>
      <c r="E1568" s="36">
        <v>850</v>
      </c>
      <c r="F1568" s="36">
        <v>977</v>
      </c>
      <c r="G1568" s="36">
        <v>530</v>
      </c>
      <c r="H1568" s="36">
        <v>610</v>
      </c>
      <c r="I1568" s="37">
        <v>0</v>
      </c>
      <c r="J1568" s="37">
        <v>0</v>
      </c>
    </row>
    <row r="1569" spans="1:10" x14ac:dyDescent="0.25">
      <c r="A1569" t="s">
        <v>3590</v>
      </c>
      <c r="B1569" t="s">
        <v>3591</v>
      </c>
      <c r="C1569" t="s">
        <v>229</v>
      </c>
      <c r="D1569" t="s">
        <v>367</v>
      </c>
      <c r="E1569" s="36">
        <v>750</v>
      </c>
      <c r="F1569" s="36">
        <v>862</v>
      </c>
      <c r="G1569" s="36">
        <v>470</v>
      </c>
      <c r="H1569" s="36">
        <v>540</v>
      </c>
      <c r="I1569" s="37">
        <v>0</v>
      </c>
      <c r="J1569" s="37">
        <v>0</v>
      </c>
    </row>
    <row r="1570" spans="1:10" x14ac:dyDescent="0.25">
      <c r="A1570" t="s">
        <v>3592</v>
      </c>
      <c r="B1570" t="s">
        <v>3593</v>
      </c>
      <c r="C1570" t="s">
        <v>229</v>
      </c>
      <c r="D1570" t="s">
        <v>367</v>
      </c>
      <c r="E1570" s="36">
        <v>900</v>
      </c>
      <c r="F1570" s="36">
        <v>1035</v>
      </c>
      <c r="G1570" s="36">
        <v>570</v>
      </c>
      <c r="H1570" s="36">
        <v>656</v>
      </c>
      <c r="I1570" s="37">
        <v>0</v>
      </c>
      <c r="J1570" s="37">
        <v>0</v>
      </c>
    </row>
    <row r="1571" spans="1:10" x14ac:dyDescent="0.25">
      <c r="A1571" t="s">
        <v>3594</v>
      </c>
      <c r="B1571" t="s">
        <v>3595</v>
      </c>
      <c r="C1571" t="s">
        <v>229</v>
      </c>
      <c r="D1571" t="s">
        <v>367</v>
      </c>
      <c r="E1571" s="36">
        <v>1100</v>
      </c>
      <c r="F1571" s="36">
        <v>1265</v>
      </c>
      <c r="G1571" s="36">
        <v>690</v>
      </c>
      <c r="H1571" s="36">
        <v>793</v>
      </c>
      <c r="I1571" s="37">
        <v>0</v>
      </c>
      <c r="J1571" s="37">
        <v>0</v>
      </c>
    </row>
    <row r="1572" spans="1:10" x14ac:dyDescent="0.25">
      <c r="A1572" t="s">
        <v>3596</v>
      </c>
      <c r="B1572" t="s">
        <v>3597</v>
      </c>
      <c r="C1572" t="s">
        <v>229</v>
      </c>
      <c r="D1572" t="s">
        <v>367</v>
      </c>
      <c r="E1572" s="36">
        <v>350</v>
      </c>
      <c r="F1572" s="36">
        <v>402</v>
      </c>
      <c r="G1572" s="36">
        <v>220</v>
      </c>
      <c r="H1572" s="36">
        <v>253</v>
      </c>
      <c r="I1572" s="37">
        <v>0</v>
      </c>
      <c r="J1572" s="37">
        <v>0</v>
      </c>
    </row>
    <row r="1573" spans="1:10" x14ac:dyDescent="0.25">
      <c r="A1573" t="s">
        <v>3598</v>
      </c>
      <c r="B1573" t="s">
        <v>3599</v>
      </c>
      <c r="C1573" t="s">
        <v>229</v>
      </c>
      <c r="D1573" t="s">
        <v>367</v>
      </c>
      <c r="E1573" s="36">
        <v>450</v>
      </c>
      <c r="F1573" s="36">
        <v>518</v>
      </c>
      <c r="G1573" s="36">
        <v>280</v>
      </c>
      <c r="H1573" s="36">
        <v>322</v>
      </c>
      <c r="I1573" s="37">
        <v>0</v>
      </c>
      <c r="J1573" s="37">
        <v>0</v>
      </c>
    </row>
    <row r="1574" spans="1:10" x14ac:dyDescent="0.25">
      <c r="A1574" t="s">
        <v>3600</v>
      </c>
      <c r="B1574" t="s">
        <v>3601</v>
      </c>
      <c r="C1574" t="s">
        <v>229</v>
      </c>
      <c r="D1574" t="s">
        <v>367</v>
      </c>
      <c r="E1574" s="36">
        <v>550</v>
      </c>
      <c r="F1574" s="36">
        <v>632</v>
      </c>
      <c r="G1574" s="36">
        <v>350</v>
      </c>
      <c r="H1574" s="36">
        <v>402</v>
      </c>
      <c r="I1574" s="37">
        <v>0</v>
      </c>
      <c r="J1574" s="37">
        <v>0</v>
      </c>
    </row>
    <row r="1575" spans="1:10" x14ac:dyDescent="0.25">
      <c r="A1575" t="s">
        <v>3602</v>
      </c>
      <c r="B1575" t="s">
        <v>3603</v>
      </c>
      <c r="C1575" t="s">
        <v>229</v>
      </c>
      <c r="D1575" t="s">
        <v>367</v>
      </c>
      <c r="E1575" s="36">
        <v>650</v>
      </c>
      <c r="F1575" s="36">
        <v>747</v>
      </c>
      <c r="G1575" s="36">
        <v>410</v>
      </c>
      <c r="H1575" s="36">
        <v>471</v>
      </c>
      <c r="I1575" s="37">
        <v>0</v>
      </c>
      <c r="J1575" s="37">
        <v>0</v>
      </c>
    </row>
    <row r="1576" spans="1:10" x14ac:dyDescent="0.25">
      <c r="A1576" t="s">
        <v>3604</v>
      </c>
      <c r="B1576" t="s">
        <v>3605</v>
      </c>
      <c r="C1576" t="s">
        <v>229</v>
      </c>
      <c r="D1576" t="s">
        <v>367</v>
      </c>
      <c r="E1576" s="36">
        <v>284</v>
      </c>
      <c r="F1576" s="36">
        <v>340</v>
      </c>
      <c r="G1576" s="36">
        <v>175</v>
      </c>
      <c r="H1576" s="36">
        <v>201</v>
      </c>
      <c r="I1576" s="37">
        <v>1.428571428571423E-2</v>
      </c>
      <c r="J1576" s="37">
        <v>5.5900621118012417E-2</v>
      </c>
    </row>
    <row r="1577" spans="1:10" x14ac:dyDescent="0.25">
      <c r="A1577" t="s">
        <v>3606</v>
      </c>
      <c r="B1577" t="s">
        <v>3607</v>
      </c>
      <c r="C1577" t="s">
        <v>229</v>
      </c>
      <c r="D1577" t="s">
        <v>367</v>
      </c>
      <c r="E1577" s="36">
        <v>340</v>
      </c>
      <c r="F1577" s="36">
        <v>408</v>
      </c>
      <c r="G1577" s="36">
        <v>200</v>
      </c>
      <c r="H1577" s="36">
        <v>230</v>
      </c>
      <c r="I1577" s="37">
        <v>6.25E-2</v>
      </c>
      <c r="J1577" s="37">
        <v>0.1086956521739131</v>
      </c>
    </row>
    <row r="1578" spans="1:10" x14ac:dyDescent="0.25">
      <c r="A1578" t="s">
        <v>3608</v>
      </c>
      <c r="B1578" t="s">
        <v>3609</v>
      </c>
      <c r="C1578" t="s">
        <v>101</v>
      </c>
      <c r="D1578" t="s">
        <v>367</v>
      </c>
      <c r="E1578" s="36">
        <v>1200</v>
      </c>
      <c r="F1578" s="36">
        <v>1380</v>
      </c>
      <c r="G1578" s="36">
        <v>750</v>
      </c>
      <c r="H1578" s="36">
        <v>862</v>
      </c>
      <c r="I1578" s="37">
        <v>0</v>
      </c>
      <c r="J1578" s="37">
        <v>0</v>
      </c>
    </row>
    <row r="1579" spans="1:10" x14ac:dyDescent="0.25">
      <c r="A1579" t="s">
        <v>3610</v>
      </c>
      <c r="B1579" t="s">
        <v>3611</v>
      </c>
      <c r="C1579" t="s">
        <v>101</v>
      </c>
      <c r="D1579" t="s">
        <v>367</v>
      </c>
      <c r="E1579" s="36">
        <v>2000</v>
      </c>
      <c r="F1579" s="36">
        <v>2300</v>
      </c>
      <c r="G1579" s="36">
        <v>1250</v>
      </c>
      <c r="H1579" s="36">
        <v>1438</v>
      </c>
      <c r="I1579" s="37">
        <v>0</v>
      </c>
      <c r="J1579" s="37">
        <v>0</v>
      </c>
    </row>
    <row r="1580" spans="1:10" x14ac:dyDescent="0.25">
      <c r="A1580" t="s">
        <v>3612</v>
      </c>
      <c r="B1580" t="s">
        <v>3613</v>
      </c>
      <c r="C1580" t="s">
        <v>101</v>
      </c>
      <c r="D1580" t="s">
        <v>367</v>
      </c>
      <c r="E1580" s="36">
        <v>800</v>
      </c>
      <c r="F1580" s="36">
        <v>920</v>
      </c>
      <c r="G1580" s="36">
        <v>500</v>
      </c>
      <c r="H1580" s="36">
        <v>575</v>
      </c>
      <c r="I1580" s="37">
        <v>0</v>
      </c>
      <c r="J1580" s="37">
        <v>0</v>
      </c>
    </row>
    <row r="1581" spans="1:10" x14ac:dyDescent="0.25">
      <c r="A1581" t="s">
        <v>3614</v>
      </c>
      <c r="B1581" t="s">
        <v>3615</v>
      </c>
      <c r="C1581" t="s">
        <v>101</v>
      </c>
      <c r="D1581" t="s">
        <v>367</v>
      </c>
      <c r="E1581" s="36">
        <v>3500</v>
      </c>
      <c r="F1581" s="36">
        <v>4025</v>
      </c>
      <c r="G1581" s="36">
        <v>2200</v>
      </c>
      <c r="H1581" s="36">
        <v>2530</v>
      </c>
      <c r="I1581" s="37">
        <v>0</v>
      </c>
      <c r="J1581" s="37">
        <v>0</v>
      </c>
    </row>
    <row r="1582" spans="1:10" x14ac:dyDescent="0.25">
      <c r="A1582" t="s">
        <v>3616</v>
      </c>
      <c r="B1582" t="s">
        <v>3617</v>
      </c>
      <c r="C1582" t="s">
        <v>101</v>
      </c>
      <c r="D1582" t="s">
        <v>367</v>
      </c>
      <c r="E1582" s="36">
        <v>2000</v>
      </c>
      <c r="F1582" s="36">
        <v>2300</v>
      </c>
      <c r="G1582" s="36">
        <v>1250</v>
      </c>
      <c r="H1582" s="36">
        <v>1438</v>
      </c>
      <c r="I1582" s="37">
        <v>0</v>
      </c>
      <c r="J1582" s="37">
        <v>0</v>
      </c>
    </row>
    <row r="1583" spans="1:10" x14ac:dyDescent="0.25">
      <c r="A1583" t="s">
        <v>3618</v>
      </c>
      <c r="B1583" t="s">
        <v>3619</v>
      </c>
      <c r="C1583" t="s">
        <v>101</v>
      </c>
      <c r="D1583" t="s">
        <v>367</v>
      </c>
      <c r="E1583" s="36">
        <v>3200</v>
      </c>
      <c r="F1583" s="36">
        <v>3680</v>
      </c>
      <c r="G1583" s="36">
        <v>2000</v>
      </c>
      <c r="H1583" s="36">
        <v>2300</v>
      </c>
      <c r="I1583" s="37">
        <v>0</v>
      </c>
      <c r="J1583" s="37">
        <v>0</v>
      </c>
    </row>
    <row r="1584" spans="1:10" x14ac:dyDescent="0.25">
      <c r="A1584" t="s">
        <v>3620</v>
      </c>
      <c r="B1584" t="s">
        <v>3621</v>
      </c>
      <c r="C1584" t="s">
        <v>101</v>
      </c>
      <c r="D1584" t="s">
        <v>367</v>
      </c>
      <c r="E1584" s="36">
        <v>4500</v>
      </c>
      <c r="F1584" s="36">
        <v>5175</v>
      </c>
      <c r="G1584" s="36">
        <v>2800</v>
      </c>
      <c r="H1584" s="36">
        <v>3220</v>
      </c>
      <c r="I1584" s="37">
        <v>0</v>
      </c>
      <c r="J1584" s="37">
        <v>0</v>
      </c>
    </row>
    <row r="1585" spans="1:10" x14ac:dyDescent="0.25">
      <c r="A1585" t="s">
        <v>3622</v>
      </c>
      <c r="B1585" t="s">
        <v>3623</v>
      </c>
      <c r="C1585" t="s">
        <v>101</v>
      </c>
      <c r="D1585" t="s">
        <v>367</v>
      </c>
      <c r="E1585" s="36">
        <v>2300</v>
      </c>
      <c r="F1585" s="36">
        <v>2645</v>
      </c>
      <c r="G1585" s="36">
        <v>1450</v>
      </c>
      <c r="H1585" s="36">
        <v>1667</v>
      </c>
      <c r="I1585" s="37">
        <v>0</v>
      </c>
      <c r="J1585" s="37">
        <v>0</v>
      </c>
    </row>
    <row r="1586" spans="1:10" x14ac:dyDescent="0.25">
      <c r="A1586" t="s">
        <v>3624</v>
      </c>
      <c r="B1586" t="s">
        <v>3625</v>
      </c>
      <c r="C1586" t="s">
        <v>101</v>
      </c>
      <c r="D1586" t="s">
        <v>367</v>
      </c>
      <c r="E1586" s="36">
        <v>3700</v>
      </c>
      <c r="F1586" s="36">
        <v>4255</v>
      </c>
      <c r="G1586" s="36">
        <v>2300</v>
      </c>
      <c r="H1586" s="36">
        <v>2645</v>
      </c>
      <c r="I1586" s="37">
        <v>0</v>
      </c>
      <c r="J1586" s="37">
        <v>0</v>
      </c>
    </row>
    <row r="1587" spans="1:10" x14ac:dyDescent="0.25">
      <c r="A1587" t="s">
        <v>3626</v>
      </c>
      <c r="B1587" t="s">
        <v>3627</v>
      </c>
      <c r="C1587" t="s">
        <v>101</v>
      </c>
      <c r="D1587" t="s">
        <v>367</v>
      </c>
      <c r="E1587" s="36">
        <v>5200</v>
      </c>
      <c r="F1587" s="36">
        <v>5980</v>
      </c>
      <c r="G1587" s="36">
        <v>3250</v>
      </c>
      <c r="H1587" s="36">
        <v>3737</v>
      </c>
      <c r="I1587" s="37">
        <v>0</v>
      </c>
      <c r="J1587" s="37">
        <v>0</v>
      </c>
    </row>
    <row r="1588" spans="1:10" x14ac:dyDescent="0.25">
      <c r="A1588" t="s">
        <v>3628</v>
      </c>
      <c r="B1588" t="s">
        <v>3629</v>
      </c>
      <c r="C1588" t="s">
        <v>101</v>
      </c>
      <c r="D1588" t="s">
        <v>363</v>
      </c>
      <c r="E1588" s="36">
        <v>720</v>
      </c>
      <c r="F1588" s="36">
        <v>864</v>
      </c>
      <c r="G1588" s="36">
        <v>440</v>
      </c>
      <c r="H1588" s="36">
        <v>506</v>
      </c>
      <c r="I1588" s="37">
        <v>2.857142857142847E-2</v>
      </c>
      <c r="J1588" s="37">
        <v>7.3291925465838403E-2</v>
      </c>
    </row>
    <row r="1589" spans="1:10" x14ac:dyDescent="0.25">
      <c r="A1589" t="s">
        <v>3630</v>
      </c>
      <c r="B1589" t="s">
        <v>3631</v>
      </c>
      <c r="C1589" t="s">
        <v>101</v>
      </c>
      <c r="D1589" t="s">
        <v>363</v>
      </c>
      <c r="E1589" s="36">
        <v>1200</v>
      </c>
      <c r="F1589" s="36">
        <v>1440</v>
      </c>
      <c r="G1589" s="36">
        <v>690</v>
      </c>
      <c r="H1589" s="36">
        <v>793</v>
      </c>
      <c r="I1589" s="37">
        <v>9.0909090909090828E-2</v>
      </c>
      <c r="J1589" s="37">
        <v>0.13833992094861669</v>
      </c>
    </row>
    <row r="1590" spans="1:10" x14ac:dyDescent="0.25">
      <c r="A1590" t="s">
        <v>3632</v>
      </c>
      <c r="B1590" t="s">
        <v>3633</v>
      </c>
      <c r="C1590" t="s">
        <v>101</v>
      </c>
      <c r="D1590" t="s">
        <v>363</v>
      </c>
      <c r="E1590" s="36">
        <v>1680</v>
      </c>
      <c r="F1590" s="36">
        <v>2016</v>
      </c>
      <c r="G1590" s="36">
        <v>940</v>
      </c>
      <c r="H1590" s="36">
        <v>1081</v>
      </c>
      <c r="I1590" s="37">
        <v>0.12000000000000011</v>
      </c>
      <c r="J1590" s="37">
        <v>0.16869565217391311</v>
      </c>
    </row>
    <row r="1591" spans="1:10" x14ac:dyDescent="0.25">
      <c r="A1591" t="s">
        <v>3634</v>
      </c>
      <c r="B1591" t="s">
        <v>3635</v>
      </c>
      <c r="C1591" t="s">
        <v>101</v>
      </c>
      <c r="D1591" t="s">
        <v>367</v>
      </c>
      <c r="E1591" s="36">
        <v>3500</v>
      </c>
      <c r="F1591" s="36">
        <v>4025</v>
      </c>
      <c r="G1591" s="36">
        <v>2200</v>
      </c>
      <c r="H1591" s="36">
        <v>2530</v>
      </c>
      <c r="I1591" s="37">
        <v>0</v>
      </c>
      <c r="J1591" s="37">
        <v>0</v>
      </c>
    </row>
    <row r="1592" spans="1:10" x14ac:dyDescent="0.25">
      <c r="A1592" t="s">
        <v>3636</v>
      </c>
      <c r="B1592" t="s">
        <v>3637</v>
      </c>
      <c r="C1592" t="s">
        <v>101</v>
      </c>
      <c r="D1592" t="s">
        <v>367</v>
      </c>
      <c r="E1592" s="36">
        <v>12000</v>
      </c>
      <c r="F1592" s="36">
        <v>13800</v>
      </c>
      <c r="G1592" s="36">
        <v>7500</v>
      </c>
      <c r="H1592" s="36">
        <v>8625</v>
      </c>
      <c r="I1592" s="37">
        <v>0</v>
      </c>
      <c r="J1592" s="37">
        <v>0</v>
      </c>
    </row>
    <row r="1593" spans="1:10" x14ac:dyDescent="0.25">
      <c r="A1593" t="s">
        <v>3638</v>
      </c>
      <c r="B1593" t="s">
        <v>3639</v>
      </c>
      <c r="C1593" t="s">
        <v>101</v>
      </c>
      <c r="D1593" t="s">
        <v>367</v>
      </c>
      <c r="E1593" s="36">
        <v>4000</v>
      </c>
      <c r="F1593" s="36">
        <v>4600</v>
      </c>
      <c r="G1593" s="36">
        <v>2500</v>
      </c>
      <c r="H1593" s="36">
        <v>2875</v>
      </c>
      <c r="I1593" s="37">
        <v>0</v>
      </c>
      <c r="J1593" s="37">
        <v>0</v>
      </c>
    </row>
    <row r="1594" spans="1:10" x14ac:dyDescent="0.25">
      <c r="A1594" t="s">
        <v>3640</v>
      </c>
      <c r="B1594" t="s">
        <v>3641</v>
      </c>
      <c r="C1594" t="s">
        <v>101</v>
      </c>
      <c r="D1594" t="s">
        <v>367</v>
      </c>
      <c r="E1594" s="36">
        <v>15000</v>
      </c>
      <c r="F1594" s="36">
        <v>17250</v>
      </c>
      <c r="G1594" s="36">
        <v>9500</v>
      </c>
      <c r="H1594" s="36">
        <v>10925</v>
      </c>
      <c r="I1594" s="37">
        <v>0</v>
      </c>
      <c r="J1594" s="37">
        <v>0</v>
      </c>
    </row>
    <row r="1595" spans="1:10" x14ac:dyDescent="0.25">
      <c r="A1595" t="s">
        <v>3642</v>
      </c>
      <c r="B1595" t="s">
        <v>3643</v>
      </c>
      <c r="C1595" t="s">
        <v>229</v>
      </c>
      <c r="D1595" t="s">
        <v>367</v>
      </c>
      <c r="E1595" s="36">
        <v>950</v>
      </c>
      <c r="F1595" s="36">
        <v>1092</v>
      </c>
      <c r="G1595" s="36">
        <v>600</v>
      </c>
      <c r="H1595" s="36">
        <v>690</v>
      </c>
      <c r="I1595" s="37">
        <v>0</v>
      </c>
      <c r="J1595" s="37">
        <v>0</v>
      </c>
    </row>
    <row r="1596" spans="1:10" x14ac:dyDescent="0.25">
      <c r="A1596" t="s">
        <v>3644</v>
      </c>
      <c r="B1596" t="s">
        <v>3645</v>
      </c>
      <c r="C1596" t="s">
        <v>229</v>
      </c>
      <c r="D1596" t="s">
        <v>367</v>
      </c>
      <c r="E1596" s="36">
        <v>1150</v>
      </c>
      <c r="F1596" s="36">
        <v>1322</v>
      </c>
      <c r="G1596" s="36">
        <v>720</v>
      </c>
      <c r="H1596" s="36">
        <v>828</v>
      </c>
      <c r="I1596" s="37">
        <v>0</v>
      </c>
      <c r="J1596" s="37">
        <v>0</v>
      </c>
    </row>
    <row r="1597" spans="1:10" x14ac:dyDescent="0.25">
      <c r="A1597" t="s">
        <v>3646</v>
      </c>
      <c r="B1597" t="s">
        <v>3647</v>
      </c>
      <c r="C1597" t="s">
        <v>229</v>
      </c>
      <c r="D1597" t="s">
        <v>367</v>
      </c>
      <c r="E1597" s="36">
        <v>1350</v>
      </c>
      <c r="F1597" s="36">
        <v>1552</v>
      </c>
      <c r="G1597" s="36">
        <v>850</v>
      </c>
      <c r="H1597" s="36">
        <v>977</v>
      </c>
      <c r="I1597" s="37">
        <v>0</v>
      </c>
      <c r="J1597" s="37">
        <v>0</v>
      </c>
    </row>
    <row r="1598" spans="1:10" x14ac:dyDescent="0.25">
      <c r="A1598" t="s">
        <v>3648</v>
      </c>
      <c r="B1598" t="s">
        <v>3649</v>
      </c>
      <c r="C1598" t="s">
        <v>229</v>
      </c>
      <c r="D1598" t="s">
        <v>367</v>
      </c>
      <c r="E1598" s="36">
        <v>1550</v>
      </c>
      <c r="F1598" s="36">
        <v>1782</v>
      </c>
      <c r="G1598" s="36">
        <v>970</v>
      </c>
      <c r="H1598" s="36">
        <v>1116</v>
      </c>
      <c r="I1598" s="37">
        <v>0</v>
      </c>
      <c r="J1598" s="37">
        <v>0</v>
      </c>
    </row>
    <row r="1599" spans="1:10" x14ac:dyDescent="0.25">
      <c r="A1599" t="s">
        <v>3650</v>
      </c>
      <c r="B1599" t="s">
        <v>3651</v>
      </c>
      <c r="C1599" t="s">
        <v>229</v>
      </c>
      <c r="D1599" t="s">
        <v>367</v>
      </c>
      <c r="E1599" s="36">
        <v>1100</v>
      </c>
      <c r="F1599" s="36">
        <v>1265</v>
      </c>
      <c r="G1599" s="36">
        <v>690</v>
      </c>
      <c r="H1599" s="36">
        <v>793</v>
      </c>
      <c r="I1599" s="37">
        <v>0</v>
      </c>
      <c r="J1599" s="37">
        <v>0</v>
      </c>
    </row>
    <row r="1600" spans="1:10" x14ac:dyDescent="0.25">
      <c r="A1600" t="s">
        <v>3652</v>
      </c>
      <c r="B1600" t="s">
        <v>3653</v>
      </c>
      <c r="C1600" t="s">
        <v>229</v>
      </c>
      <c r="D1600" t="s">
        <v>367</v>
      </c>
      <c r="E1600" s="36">
        <v>1300</v>
      </c>
      <c r="F1600" s="36">
        <v>1495</v>
      </c>
      <c r="G1600" s="36">
        <v>820</v>
      </c>
      <c r="H1600" s="36">
        <v>943</v>
      </c>
      <c r="I1600" s="37">
        <v>0</v>
      </c>
      <c r="J1600" s="37">
        <v>0</v>
      </c>
    </row>
    <row r="1601" spans="1:10" x14ac:dyDescent="0.25">
      <c r="A1601" t="s">
        <v>3654</v>
      </c>
      <c r="B1601" t="s">
        <v>3655</v>
      </c>
      <c r="C1601" t="s">
        <v>229</v>
      </c>
      <c r="D1601" t="s">
        <v>367</v>
      </c>
      <c r="E1601" s="36">
        <v>1500</v>
      </c>
      <c r="F1601" s="36">
        <v>1725</v>
      </c>
      <c r="G1601" s="36">
        <v>950</v>
      </c>
      <c r="H1601" s="36">
        <v>1092</v>
      </c>
      <c r="I1601" s="37">
        <v>0</v>
      </c>
      <c r="J1601" s="37">
        <v>0</v>
      </c>
    </row>
    <row r="1602" spans="1:10" x14ac:dyDescent="0.25">
      <c r="A1602" t="s">
        <v>3656</v>
      </c>
      <c r="B1602" t="s">
        <v>3657</v>
      </c>
      <c r="C1602" t="s">
        <v>229</v>
      </c>
      <c r="D1602" t="s">
        <v>367</v>
      </c>
      <c r="E1602" s="36">
        <v>1750</v>
      </c>
      <c r="F1602" s="36">
        <v>2012</v>
      </c>
      <c r="G1602" s="36">
        <v>1100</v>
      </c>
      <c r="H1602" s="36">
        <v>1265</v>
      </c>
      <c r="I1602" s="37">
        <v>0</v>
      </c>
      <c r="J1602" s="37">
        <v>0</v>
      </c>
    </row>
    <row r="1603" spans="1:10" x14ac:dyDescent="0.25">
      <c r="A1603" t="s">
        <v>3658</v>
      </c>
      <c r="B1603" t="s">
        <v>3659</v>
      </c>
      <c r="C1603" t="s">
        <v>229</v>
      </c>
      <c r="D1603" t="s">
        <v>367</v>
      </c>
      <c r="E1603" s="36">
        <v>1400</v>
      </c>
      <c r="F1603" s="36">
        <v>1610</v>
      </c>
      <c r="G1603" s="36">
        <v>880</v>
      </c>
      <c r="H1603" s="36">
        <v>1012</v>
      </c>
      <c r="I1603" s="37">
        <v>0</v>
      </c>
      <c r="J1603" s="37">
        <v>0</v>
      </c>
    </row>
    <row r="1604" spans="1:10" x14ac:dyDescent="0.25">
      <c r="A1604" t="s">
        <v>3660</v>
      </c>
      <c r="B1604" t="s">
        <v>3661</v>
      </c>
      <c r="C1604" t="s">
        <v>229</v>
      </c>
      <c r="D1604" t="s">
        <v>367</v>
      </c>
      <c r="E1604" s="36">
        <v>1650</v>
      </c>
      <c r="F1604" s="36">
        <v>1897</v>
      </c>
      <c r="G1604" s="36">
        <v>1040</v>
      </c>
      <c r="H1604" s="36">
        <v>1196</v>
      </c>
      <c r="I1604" s="37">
        <v>0</v>
      </c>
      <c r="J1604" s="37">
        <v>0</v>
      </c>
    </row>
    <row r="1605" spans="1:10" x14ac:dyDescent="0.25">
      <c r="A1605" t="s">
        <v>3662</v>
      </c>
      <c r="B1605" t="s">
        <v>3663</v>
      </c>
      <c r="C1605" t="s">
        <v>229</v>
      </c>
      <c r="D1605" t="s">
        <v>367</v>
      </c>
      <c r="E1605" s="36">
        <v>2100</v>
      </c>
      <c r="F1605" s="36">
        <v>2415</v>
      </c>
      <c r="G1605" s="36">
        <v>1320</v>
      </c>
      <c r="H1605" s="36">
        <v>1518</v>
      </c>
      <c r="I1605" s="37">
        <v>0</v>
      </c>
      <c r="J1605" s="37">
        <v>0</v>
      </c>
    </row>
    <row r="1606" spans="1:10" x14ac:dyDescent="0.25">
      <c r="A1606" t="s">
        <v>3664</v>
      </c>
      <c r="B1606" t="s">
        <v>3665</v>
      </c>
      <c r="C1606" t="s">
        <v>229</v>
      </c>
      <c r="D1606" t="s">
        <v>367</v>
      </c>
      <c r="E1606" s="36">
        <v>3000</v>
      </c>
      <c r="F1606" s="36">
        <v>3450</v>
      </c>
      <c r="G1606" s="36">
        <v>1900</v>
      </c>
      <c r="H1606" s="36">
        <v>2185</v>
      </c>
      <c r="I1606" s="37">
        <v>0</v>
      </c>
      <c r="J1606" s="37">
        <v>0</v>
      </c>
    </row>
    <row r="1607" spans="1:10" x14ac:dyDescent="0.25">
      <c r="A1607" t="s">
        <v>3666</v>
      </c>
      <c r="B1607" t="s">
        <v>3667</v>
      </c>
      <c r="C1607" t="s">
        <v>229</v>
      </c>
      <c r="D1607" t="s">
        <v>367</v>
      </c>
      <c r="E1607" s="36">
        <v>3400</v>
      </c>
      <c r="F1607" s="36">
        <v>3910</v>
      </c>
      <c r="G1607" s="36">
        <v>2150</v>
      </c>
      <c r="H1607" s="36">
        <v>2472</v>
      </c>
      <c r="I1607" s="37">
        <v>0</v>
      </c>
      <c r="J1607" s="37">
        <v>0</v>
      </c>
    </row>
    <row r="1608" spans="1:10" x14ac:dyDescent="0.25">
      <c r="A1608" t="s">
        <v>3668</v>
      </c>
      <c r="B1608" t="s">
        <v>3669</v>
      </c>
      <c r="C1608" t="s">
        <v>229</v>
      </c>
      <c r="D1608" t="s">
        <v>367</v>
      </c>
      <c r="E1608" s="36">
        <v>4100</v>
      </c>
      <c r="F1608" s="36">
        <v>4715</v>
      </c>
      <c r="G1608" s="36">
        <v>2600</v>
      </c>
      <c r="H1608" s="36">
        <v>2990</v>
      </c>
      <c r="I1608" s="37">
        <v>0</v>
      </c>
      <c r="J1608" s="37">
        <v>0</v>
      </c>
    </row>
    <row r="1609" spans="1:10" x14ac:dyDescent="0.25">
      <c r="A1609" t="s">
        <v>3670</v>
      </c>
      <c r="B1609" t="s">
        <v>3671</v>
      </c>
      <c r="C1609" t="s">
        <v>101</v>
      </c>
      <c r="D1609" t="s">
        <v>367</v>
      </c>
      <c r="E1609" s="36">
        <v>4500</v>
      </c>
      <c r="F1609" s="36">
        <v>5175</v>
      </c>
      <c r="G1609" s="36">
        <v>2800</v>
      </c>
      <c r="H1609" s="36">
        <v>3220</v>
      </c>
      <c r="I1609" s="37">
        <v>0</v>
      </c>
      <c r="J1609" s="37">
        <v>0</v>
      </c>
    </row>
    <row r="1610" spans="1:10" x14ac:dyDescent="0.25">
      <c r="A1610" t="s">
        <v>3672</v>
      </c>
      <c r="B1610" t="s">
        <v>3673</v>
      </c>
      <c r="C1610" t="s">
        <v>101</v>
      </c>
      <c r="D1610" t="s">
        <v>367</v>
      </c>
      <c r="E1610" s="36">
        <v>5300</v>
      </c>
      <c r="F1610" s="36">
        <v>6095</v>
      </c>
      <c r="G1610" s="36">
        <v>3300</v>
      </c>
      <c r="H1610" s="36">
        <v>3795</v>
      </c>
      <c r="I1610" s="37">
        <v>0</v>
      </c>
      <c r="J1610" s="37">
        <v>0</v>
      </c>
    </row>
    <row r="1611" spans="1:10" x14ac:dyDescent="0.25">
      <c r="A1611" t="s">
        <v>3674</v>
      </c>
      <c r="B1611" t="s">
        <v>3675</v>
      </c>
      <c r="C1611" t="s">
        <v>101</v>
      </c>
      <c r="D1611" t="s">
        <v>367</v>
      </c>
      <c r="E1611" s="36">
        <v>7500</v>
      </c>
      <c r="F1611" s="36">
        <v>8625</v>
      </c>
      <c r="G1611" s="36">
        <v>4700</v>
      </c>
      <c r="H1611" s="36">
        <v>5405</v>
      </c>
      <c r="I1611" s="37">
        <v>0</v>
      </c>
      <c r="J1611" s="37">
        <v>0</v>
      </c>
    </row>
    <row r="1612" spans="1:10" x14ac:dyDescent="0.25">
      <c r="A1612" t="s">
        <v>3676</v>
      </c>
      <c r="B1612" t="s">
        <v>3677</v>
      </c>
      <c r="C1612" t="s">
        <v>101</v>
      </c>
      <c r="D1612" t="s">
        <v>367</v>
      </c>
      <c r="E1612" s="36">
        <v>1000</v>
      </c>
      <c r="F1612" s="36">
        <v>1150</v>
      </c>
      <c r="G1612" s="36">
        <v>630</v>
      </c>
      <c r="H1612" s="36">
        <v>724</v>
      </c>
      <c r="I1612" s="37">
        <v>0</v>
      </c>
      <c r="J1612" s="37">
        <v>0</v>
      </c>
    </row>
    <row r="1613" spans="1:10" x14ac:dyDescent="0.25">
      <c r="A1613" t="s">
        <v>3678</v>
      </c>
      <c r="B1613" t="s">
        <v>3679</v>
      </c>
      <c r="C1613" t="s">
        <v>101</v>
      </c>
      <c r="D1613" t="s">
        <v>367</v>
      </c>
      <c r="E1613" s="36">
        <v>7000</v>
      </c>
      <c r="F1613" s="36">
        <v>8050</v>
      </c>
      <c r="G1613" s="36">
        <v>4400</v>
      </c>
      <c r="H1613" s="36">
        <v>5060</v>
      </c>
      <c r="I1613" s="37">
        <v>0</v>
      </c>
      <c r="J1613" s="37">
        <v>0</v>
      </c>
    </row>
    <row r="1614" spans="1:10" x14ac:dyDescent="0.25">
      <c r="A1614" t="s">
        <v>3680</v>
      </c>
      <c r="B1614" t="s">
        <v>3681</v>
      </c>
      <c r="C1614" t="s">
        <v>101</v>
      </c>
      <c r="D1614" t="s">
        <v>363</v>
      </c>
      <c r="E1614" s="36">
        <v>720</v>
      </c>
      <c r="F1614" s="36">
        <v>864</v>
      </c>
      <c r="G1614" s="36">
        <v>440</v>
      </c>
      <c r="H1614" s="36">
        <v>506</v>
      </c>
      <c r="I1614" s="37">
        <v>2.857142857142847E-2</v>
      </c>
      <c r="J1614" s="37">
        <v>7.3291925465838403E-2</v>
      </c>
    </row>
    <row r="1615" spans="1:10" x14ac:dyDescent="0.25">
      <c r="A1615" t="s">
        <v>3682</v>
      </c>
      <c r="B1615" t="s">
        <v>3683</v>
      </c>
      <c r="C1615" t="s">
        <v>101</v>
      </c>
      <c r="D1615" t="s">
        <v>363</v>
      </c>
      <c r="E1615" s="36">
        <v>1200</v>
      </c>
      <c r="F1615" s="36">
        <v>1440</v>
      </c>
      <c r="G1615" s="36">
        <v>690</v>
      </c>
      <c r="H1615" s="36">
        <v>793</v>
      </c>
      <c r="I1615" s="37">
        <v>9.0909090909090828E-2</v>
      </c>
      <c r="J1615" s="37">
        <v>0.13833992094861669</v>
      </c>
    </row>
    <row r="1616" spans="1:10" x14ac:dyDescent="0.25">
      <c r="A1616" t="s">
        <v>3684</v>
      </c>
      <c r="B1616" t="s">
        <v>3685</v>
      </c>
      <c r="C1616" t="s">
        <v>101</v>
      </c>
      <c r="D1616" t="s">
        <v>367</v>
      </c>
      <c r="E1616" s="36">
        <v>680</v>
      </c>
      <c r="F1616" s="36">
        <v>816</v>
      </c>
      <c r="G1616" s="36">
        <v>400</v>
      </c>
      <c r="H1616" s="36">
        <v>460</v>
      </c>
      <c r="I1616" s="37">
        <v>4.6153846153846212E-2</v>
      </c>
      <c r="J1616" s="37">
        <v>9.2369477911646625E-2</v>
      </c>
    </row>
    <row r="1617" spans="1:10" x14ac:dyDescent="0.25">
      <c r="A1617" t="s">
        <v>3686</v>
      </c>
      <c r="B1617" t="s">
        <v>3687</v>
      </c>
      <c r="C1617" t="s">
        <v>3495</v>
      </c>
      <c r="D1617" t="s">
        <v>367</v>
      </c>
      <c r="E1617" s="36">
        <v>2800</v>
      </c>
      <c r="F1617" s="36">
        <v>3220</v>
      </c>
      <c r="G1617" s="36">
        <v>1750</v>
      </c>
      <c r="H1617" s="36">
        <v>2012</v>
      </c>
      <c r="I1617" s="37">
        <v>0</v>
      </c>
      <c r="J1617" s="37">
        <v>0</v>
      </c>
    </row>
    <row r="1618" spans="1:10" x14ac:dyDescent="0.25">
      <c r="A1618" t="s">
        <v>3688</v>
      </c>
      <c r="B1618" t="s">
        <v>3689</v>
      </c>
      <c r="C1618" t="s">
        <v>89</v>
      </c>
      <c r="D1618" t="s">
        <v>367</v>
      </c>
      <c r="E1618" s="36">
        <v>907</v>
      </c>
      <c r="F1618" s="36">
        <v>1088</v>
      </c>
      <c r="G1618" s="36">
        <v>560</v>
      </c>
      <c r="H1618" s="36">
        <v>644</v>
      </c>
      <c r="I1618" s="37">
        <v>7.7777777777778834E-3</v>
      </c>
      <c r="J1618" s="37">
        <v>5.1207729468599077E-2</v>
      </c>
    </row>
    <row r="1619" spans="1:10" x14ac:dyDescent="0.25">
      <c r="A1619" t="s">
        <v>3690</v>
      </c>
      <c r="B1619" t="s">
        <v>3691</v>
      </c>
      <c r="C1619" t="s">
        <v>1231</v>
      </c>
      <c r="D1619" t="s">
        <v>367</v>
      </c>
      <c r="E1619" s="36">
        <v>9000</v>
      </c>
      <c r="F1619" s="36">
        <v>10350</v>
      </c>
      <c r="G1619" s="36">
        <v>5500</v>
      </c>
      <c r="H1619" s="36">
        <v>6325</v>
      </c>
      <c r="I1619" s="37">
        <v>0</v>
      </c>
      <c r="J1619" s="37">
        <v>0</v>
      </c>
    </row>
    <row r="1620" spans="1:10" x14ac:dyDescent="0.25">
      <c r="A1620" t="s">
        <v>3692</v>
      </c>
      <c r="B1620" t="s">
        <v>3693</v>
      </c>
      <c r="C1620" t="s">
        <v>89</v>
      </c>
      <c r="D1620" t="s">
        <v>335</v>
      </c>
      <c r="E1620" s="36">
        <v>8</v>
      </c>
      <c r="F1620" s="36">
        <v>9</v>
      </c>
      <c r="G1620" s="36">
        <v>5</v>
      </c>
      <c r="H1620" s="36">
        <v>6</v>
      </c>
      <c r="I1620" s="37">
        <v>0</v>
      </c>
      <c r="J1620" s="37">
        <v>0</v>
      </c>
    </row>
    <row r="1621" spans="1:10" x14ac:dyDescent="0.25">
      <c r="A1621" t="s">
        <v>3694</v>
      </c>
      <c r="B1621" t="s">
        <v>1311</v>
      </c>
      <c r="C1621" t="s">
        <v>243</v>
      </c>
      <c r="D1621" t="s">
        <v>331</v>
      </c>
      <c r="E1621" s="36">
        <v>800</v>
      </c>
      <c r="F1621" s="36">
        <v>920</v>
      </c>
      <c r="G1621" s="36">
        <v>500</v>
      </c>
      <c r="H1621" s="36">
        <v>575</v>
      </c>
      <c r="I1621" s="37">
        <v>0</v>
      </c>
      <c r="J1621" s="37">
        <v>0</v>
      </c>
    </row>
    <row r="1622" spans="1:10" x14ac:dyDescent="0.25">
      <c r="A1622" t="s">
        <v>3695</v>
      </c>
      <c r="B1622" t="s">
        <v>3696</v>
      </c>
      <c r="C1622" t="s">
        <v>101</v>
      </c>
      <c r="D1622" t="s">
        <v>331</v>
      </c>
      <c r="E1622" s="36">
        <v>70</v>
      </c>
      <c r="F1622" s="36">
        <v>80.5</v>
      </c>
      <c r="G1622" s="36">
        <v>45</v>
      </c>
      <c r="H1622" s="36">
        <v>51.5</v>
      </c>
      <c r="I1622" s="37">
        <v>0</v>
      </c>
      <c r="J1622" s="37">
        <v>0</v>
      </c>
    </row>
    <row r="1623" spans="1:10" x14ac:dyDescent="0.25">
      <c r="A1623" t="s">
        <v>3697</v>
      </c>
      <c r="B1623" t="s">
        <v>3698</v>
      </c>
      <c r="C1623" t="s">
        <v>101</v>
      </c>
      <c r="D1623" t="s">
        <v>331</v>
      </c>
      <c r="E1623" s="36">
        <v>450</v>
      </c>
      <c r="F1623" s="36">
        <v>518</v>
      </c>
      <c r="G1623" s="36">
        <v>280</v>
      </c>
      <c r="H1623" s="36">
        <v>322</v>
      </c>
      <c r="I1623" s="37">
        <v>0</v>
      </c>
      <c r="J1623" s="37">
        <v>0</v>
      </c>
    </row>
    <row r="1624" spans="1:10" x14ac:dyDescent="0.25">
      <c r="A1624" t="s">
        <v>3699</v>
      </c>
      <c r="B1624" t="s">
        <v>3700</v>
      </c>
      <c r="C1624" t="s">
        <v>101</v>
      </c>
      <c r="D1624" t="s">
        <v>331</v>
      </c>
      <c r="E1624" s="36">
        <v>650</v>
      </c>
      <c r="F1624" s="36">
        <v>747</v>
      </c>
      <c r="G1624" s="36">
        <v>400</v>
      </c>
      <c r="H1624" s="36">
        <v>460</v>
      </c>
      <c r="I1624" s="37">
        <v>0</v>
      </c>
      <c r="J1624" s="37">
        <v>0</v>
      </c>
    </row>
    <row r="1625" spans="1:10" x14ac:dyDescent="0.25">
      <c r="A1625" t="s">
        <v>3701</v>
      </c>
      <c r="B1625" t="s">
        <v>3702</v>
      </c>
      <c r="C1625" t="s">
        <v>229</v>
      </c>
      <c r="D1625" t="s">
        <v>335</v>
      </c>
      <c r="E1625" s="36">
        <v>1000</v>
      </c>
      <c r="F1625" s="36">
        <v>1150</v>
      </c>
      <c r="G1625" s="36">
        <v>650</v>
      </c>
      <c r="H1625" s="36">
        <v>747</v>
      </c>
      <c r="I1625" s="37">
        <v>0</v>
      </c>
      <c r="J1625" s="37">
        <v>0</v>
      </c>
    </row>
    <row r="1626" spans="1:10" x14ac:dyDescent="0.25">
      <c r="A1626" t="s">
        <v>3703</v>
      </c>
      <c r="B1626" t="s">
        <v>3704</v>
      </c>
      <c r="C1626" t="s">
        <v>229</v>
      </c>
      <c r="D1626" t="s">
        <v>335</v>
      </c>
      <c r="E1626" s="36">
        <v>2600</v>
      </c>
      <c r="F1626" s="36">
        <v>2990</v>
      </c>
      <c r="G1626" s="36">
        <v>1700</v>
      </c>
      <c r="H1626" s="36">
        <v>1955</v>
      </c>
      <c r="I1626" s="37">
        <v>0</v>
      </c>
      <c r="J1626" s="37">
        <v>0</v>
      </c>
    </row>
    <row r="1627" spans="1:10" x14ac:dyDescent="0.25">
      <c r="A1627" t="s">
        <v>3705</v>
      </c>
      <c r="B1627" t="s">
        <v>3706</v>
      </c>
      <c r="C1627" t="s">
        <v>539</v>
      </c>
      <c r="D1627" t="s">
        <v>363</v>
      </c>
      <c r="E1627" s="36">
        <v>96000</v>
      </c>
      <c r="F1627" s="36">
        <v>115200</v>
      </c>
      <c r="G1627" s="36">
        <v>60000</v>
      </c>
      <c r="H1627" s="36">
        <v>69000</v>
      </c>
      <c r="I1627" s="37">
        <v>1.052631578947372E-2</v>
      </c>
      <c r="J1627" s="37">
        <v>5.4462242562929093E-2</v>
      </c>
    </row>
    <row r="1628" spans="1:10" x14ac:dyDescent="0.25">
      <c r="A1628" t="s">
        <v>3707</v>
      </c>
      <c r="B1628" t="s">
        <v>3708</v>
      </c>
      <c r="C1628" t="s">
        <v>89</v>
      </c>
      <c r="D1628" t="s">
        <v>335</v>
      </c>
      <c r="E1628" s="36">
        <v>3600</v>
      </c>
      <c r="F1628" s="36">
        <v>4140</v>
      </c>
      <c r="G1628" s="36">
        <v>2200</v>
      </c>
      <c r="H1628" s="36">
        <v>2530</v>
      </c>
      <c r="I1628" s="37">
        <v>0</v>
      </c>
      <c r="J1628" s="37">
        <v>0</v>
      </c>
    </row>
    <row r="1629" spans="1:10" x14ac:dyDescent="0.25">
      <c r="A1629" t="s">
        <v>3709</v>
      </c>
      <c r="B1629" t="s">
        <v>3710</v>
      </c>
      <c r="C1629" t="s">
        <v>89</v>
      </c>
      <c r="D1629" t="s">
        <v>335</v>
      </c>
      <c r="E1629" s="36">
        <v>25</v>
      </c>
      <c r="F1629" s="36">
        <v>28.5</v>
      </c>
      <c r="G1629" s="36">
        <v>15</v>
      </c>
      <c r="H1629" s="36">
        <v>17</v>
      </c>
      <c r="I1629" s="37">
        <v>0</v>
      </c>
      <c r="J1629" s="37">
        <v>0</v>
      </c>
    </row>
    <row r="1630" spans="1:10" x14ac:dyDescent="0.25">
      <c r="A1630" t="s">
        <v>3711</v>
      </c>
      <c r="B1630" t="s">
        <v>3712</v>
      </c>
      <c r="C1630" t="s">
        <v>89</v>
      </c>
      <c r="D1630" t="s">
        <v>335</v>
      </c>
      <c r="E1630" s="36">
        <v>22</v>
      </c>
      <c r="F1630" s="36">
        <v>25.5</v>
      </c>
      <c r="G1630" s="36">
        <v>14</v>
      </c>
      <c r="H1630" s="36">
        <v>16</v>
      </c>
      <c r="I1630" s="37">
        <v>0</v>
      </c>
      <c r="J1630" s="37">
        <v>0</v>
      </c>
    </row>
    <row r="1631" spans="1:10" x14ac:dyDescent="0.25">
      <c r="A1631" t="s">
        <v>3713</v>
      </c>
      <c r="B1631" t="s">
        <v>3714</v>
      </c>
      <c r="C1631" t="s">
        <v>89</v>
      </c>
      <c r="D1631" t="s">
        <v>335</v>
      </c>
      <c r="E1631" s="36">
        <v>60</v>
      </c>
      <c r="F1631" s="36">
        <v>69</v>
      </c>
      <c r="G1631" s="36">
        <v>38</v>
      </c>
      <c r="H1631" s="36">
        <v>43.5</v>
      </c>
      <c r="I1631" s="37">
        <v>0</v>
      </c>
      <c r="J1631" s="37">
        <v>0</v>
      </c>
    </row>
    <row r="1632" spans="1:10" x14ac:dyDescent="0.25">
      <c r="A1632" t="s">
        <v>3715</v>
      </c>
      <c r="B1632" t="s">
        <v>3716</v>
      </c>
      <c r="C1632" t="s">
        <v>89</v>
      </c>
      <c r="D1632" t="s">
        <v>335</v>
      </c>
      <c r="E1632" s="36">
        <v>20</v>
      </c>
      <c r="F1632" s="36">
        <v>23</v>
      </c>
      <c r="G1632" s="36">
        <v>12</v>
      </c>
      <c r="H1632" s="36">
        <v>14</v>
      </c>
      <c r="I1632" s="37">
        <v>0</v>
      </c>
      <c r="J1632" s="37">
        <v>0</v>
      </c>
    </row>
    <row r="1633" spans="1:10" x14ac:dyDescent="0.25">
      <c r="A1633" t="s">
        <v>3717</v>
      </c>
      <c r="B1633" t="s">
        <v>3718</v>
      </c>
      <c r="C1633" t="s">
        <v>89</v>
      </c>
      <c r="D1633" t="s">
        <v>335</v>
      </c>
      <c r="E1633" s="36">
        <v>250</v>
      </c>
      <c r="F1633" s="36">
        <v>288</v>
      </c>
      <c r="G1633" s="36">
        <v>150</v>
      </c>
      <c r="H1633" s="36">
        <v>172</v>
      </c>
      <c r="I1633" s="37">
        <v>0</v>
      </c>
      <c r="J1633" s="37">
        <v>0</v>
      </c>
    </row>
    <row r="1634" spans="1:10" x14ac:dyDescent="0.25">
      <c r="A1634" t="s">
        <v>3719</v>
      </c>
      <c r="B1634" t="s">
        <v>3720</v>
      </c>
      <c r="C1634" t="s">
        <v>89</v>
      </c>
      <c r="D1634" t="s">
        <v>335</v>
      </c>
      <c r="E1634" s="36">
        <v>694</v>
      </c>
      <c r="F1634" s="36">
        <v>832</v>
      </c>
      <c r="G1634" s="36">
        <v>380</v>
      </c>
      <c r="H1634" s="36">
        <v>437</v>
      </c>
      <c r="I1634" s="37">
        <v>0.1566666666666667</v>
      </c>
      <c r="J1634" s="37">
        <v>0.2057971014492754</v>
      </c>
    </row>
    <row r="1635" spans="1:10" x14ac:dyDescent="0.25">
      <c r="A1635" t="s">
        <v>3721</v>
      </c>
      <c r="B1635" t="s">
        <v>3722</v>
      </c>
      <c r="C1635" t="s">
        <v>229</v>
      </c>
      <c r="D1635" t="s">
        <v>335</v>
      </c>
      <c r="E1635" s="36">
        <v>200</v>
      </c>
      <c r="F1635" s="36">
        <v>230</v>
      </c>
      <c r="G1635" s="36">
        <v>120</v>
      </c>
      <c r="H1635" s="36">
        <v>138</v>
      </c>
      <c r="I1635" s="37">
        <v>0</v>
      </c>
      <c r="J1635" s="37">
        <v>0</v>
      </c>
    </row>
    <row r="1636" spans="1:10" x14ac:dyDescent="0.25">
      <c r="A1636" t="s">
        <v>3723</v>
      </c>
      <c r="B1636" t="s">
        <v>3724</v>
      </c>
      <c r="C1636" t="s">
        <v>89</v>
      </c>
      <c r="D1636" t="s">
        <v>347</v>
      </c>
      <c r="E1636" s="36">
        <v>280</v>
      </c>
      <c r="F1636" s="36">
        <v>322</v>
      </c>
      <c r="G1636" s="36">
        <v>170</v>
      </c>
      <c r="H1636" s="36">
        <v>195</v>
      </c>
      <c r="I1636" s="37">
        <v>0</v>
      </c>
      <c r="J1636" s="37">
        <v>0</v>
      </c>
    </row>
    <row r="1637" spans="1:10" x14ac:dyDescent="0.25">
      <c r="A1637" t="s">
        <v>3725</v>
      </c>
      <c r="B1637" t="s">
        <v>3726</v>
      </c>
      <c r="C1637" t="s">
        <v>89</v>
      </c>
      <c r="D1637" t="s">
        <v>347</v>
      </c>
      <c r="E1637" s="36">
        <v>380</v>
      </c>
      <c r="F1637" s="36">
        <v>437</v>
      </c>
      <c r="G1637" s="36">
        <v>230</v>
      </c>
      <c r="H1637" s="36">
        <v>264</v>
      </c>
      <c r="I1637" s="37">
        <v>0</v>
      </c>
      <c r="J1637" s="37">
        <v>0</v>
      </c>
    </row>
    <row r="1638" spans="1:10" x14ac:dyDescent="0.25">
      <c r="A1638" t="s">
        <v>3727</v>
      </c>
      <c r="B1638" t="s">
        <v>3728</v>
      </c>
      <c r="C1638" t="s">
        <v>89</v>
      </c>
      <c r="D1638" t="s">
        <v>327</v>
      </c>
      <c r="E1638" s="36">
        <v>30</v>
      </c>
      <c r="F1638" s="36">
        <v>34.5</v>
      </c>
      <c r="G1638" s="36">
        <v>18</v>
      </c>
      <c r="H1638" s="36">
        <v>20.5</v>
      </c>
      <c r="I1638" s="37">
        <v>0</v>
      </c>
      <c r="J1638" s="37">
        <v>0</v>
      </c>
    </row>
    <row r="1639" spans="1:10" x14ac:dyDescent="0.25">
      <c r="A1639" t="s">
        <v>3729</v>
      </c>
      <c r="B1639" t="s">
        <v>3730</v>
      </c>
      <c r="C1639" t="s">
        <v>89</v>
      </c>
      <c r="D1639" t="s">
        <v>331</v>
      </c>
      <c r="E1639" s="36">
        <v>70</v>
      </c>
      <c r="F1639" s="36">
        <v>80.5</v>
      </c>
      <c r="G1639" s="36">
        <v>45</v>
      </c>
      <c r="H1639" s="36">
        <v>51.5</v>
      </c>
      <c r="I1639" s="37">
        <v>0</v>
      </c>
      <c r="J1639" s="37">
        <v>0</v>
      </c>
    </row>
    <row r="1640" spans="1:10" x14ac:dyDescent="0.25">
      <c r="A1640" t="s">
        <v>3731</v>
      </c>
      <c r="B1640" t="s">
        <v>3732</v>
      </c>
      <c r="C1640" t="s">
        <v>89</v>
      </c>
      <c r="D1640" t="s">
        <v>335</v>
      </c>
      <c r="E1640" s="36">
        <v>550</v>
      </c>
      <c r="F1640" s="36">
        <v>632</v>
      </c>
      <c r="G1640" s="36">
        <v>350</v>
      </c>
      <c r="H1640" s="36">
        <v>402</v>
      </c>
      <c r="I1640" s="37">
        <v>0</v>
      </c>
      <c r="J1640" s="37">
        <v>0</v>
      </c>
    </row>
    <row r="1641" spans="1:10" x14ac:dyDescent="0.25">
      <c r="A1641" t="s">
        <v>3733</v>
      </c>
      <c r="B1641" t="s">
        <v>3734</v>
      </c>
      <c r="C1641" t="s">
        <v>89</v>
      </c>
      <c r="D1641" t="s">
        <v>331</v>
      </c>
      <c r="E1641" s="36">
        <v>110</v>
      </c>
      <c r="F1641" s="36">
        <v>126</v>
      </c>
      <c r="G1641" s="36">
        <v>70</v>
      </c>
      <c r="H1641" s="36">
        <v>80.5</v>
      </c>
      <c r="I1641" s="37">
        <v>0</v>
      </c>
      <c r="J1641" s="37">
        <v>0</v>
      </c>
    </row>
    <row r="1642" spans="1:10" x14ac:dyDescent="0.25">
      <c r="A1642" t="s">
        <v>3735</v>
      </c>
      <c r="B1642" t="s">
        <v>3736</v>
      </c>
      <c r="C1642" t="s">
        <v>89</v>
      </c>
      <c r="D1642" t="s">
        <v>335</v>
      </c>
      <c r="E1642" s="36">
        <v>350</v>
      </c>
      <c r="F1642" s="36">
        <v>416</v>
      </c>
      <c r="G1642" s="36">
        <v>220</v>
      </c>
      <c r="H1642" s="36">
        <v>253</v>
      </c>
      <c r="I1642" s="37">
        <v>0</v>
      </c>
      <c r="J1642" s="37">
        <v>3.4825870646766122E-2</v>
      </c>
    </row>
    <row r="1643" spans="1:10" x14ac:dyDescent="0.25">
      <c r="A1643" t="s">
        <v>3737</v>
      </c>
      <c r="B1643" t="s">
        <v>3738</v>
      </c>
      <c r="C1643" t="s">
        <v>89</v>
      </c>
      <c r="D1643" t="s">
        <v>335</v>
      </c>
      <c r="E1643" s="36">
        <v>35</v>
      </c>
      <c r="F1643" s="36">
        <v>40</v>
      </c>
      <c r="G1643" s="36">
        <v>22</v>
      </c>
      <c r="H1643" s="36">
        <v>25.5</v>
      </c>
      <c r="I1643" s="37">
        <v>0</v>
      </c>
      <c r="J1643" s="37">
        <v>0</v>
      </c>
    </row>
    <row r="1644" spans="1:10" x14ac:dyDescent="0.25">
      <c r="A1644" t="s">
        <v>3739</v>
      </c>
      <c r="B1644" t="s">
        <v>3740</v>
      </c>
      <c r="C1644" t="s">
        <v>89</v>
      </c>
      <c r="D1644" t="s">
        <v>335</v>
      </c>
      <c r="E1644" s="36">
        <v>104</v>
      </c>
      <c r="F1644" s="36">
        <v>126</v>
      </c>
      <c r="G1644" s="36">
        <v>60</v>
      </c>
      <c r="H1644" s="36">
        <v>69</v>
      </c>
      <c r="I1644" s="37">
        <v>4.0000000000000042E-2</v>
      </c>
      <c r="J1644" s="37">
        <v>9.565217391304337E-2</v>
      </c>
    </row>
    <row r="1645" spans="1:10" x14ac:dyDescent="0.25">
      <c r="A1645" t="s">
        <v>3741</v>
      </c>
      <c r="B1645" t="s">
        <v>3742</v>
      </c>
      <c r="C1645" t="s">
        <v>89</v>
      </c>
      <c r="D1645" t="s">
        <v>335</v>
      </c>
      <c r="E1645" s="36">
        <v>391</v>
      </c>
      <c r="F1645" s="36">
        <v>468</v>
      </c>
      <c r="G1645" s="36">
        <v>190</v>
      </c>
      <c r="H1645" s="36">
        <v>218</v>
      </c>
      <c r="I1645" s="37">
        <v>0.30333333333333318</v>
      </c>
      <c r="J1645" s="37">
        <v>0.35652173913043472</v>
      </c>
    </row>
    <row r="1646" spans="1:10" x14ac:dyDescent="0.25">
      <c r="A1646" t="s">
        <v>3743</v>
      </c>
      <c r="B1646" t="s">
        <v>3744</v>
      </c>
      <c r="C1646" t="s">
        <v>89</v>
      </c>
      <c r="D1646" t="s">
        <v>335</v>
      </c>
      <c r="E1646" s="36">
        <v>150</v>
      </c>
      <c r="F1646" s="36">
        <v>172</v>
      </c>
      <c r="G1646" s="36">
        <v>95</v>
      </c>
      <c r="H1646" s="36">
        <v>109</v>
      </c>
      <c r="I1646" s="37">
        <v>0</v>
      </c>
      <c r="J1646" s="37">
        <v>0</v>
      </c>
    </row>
    <row r="1647" spans="1:10" x14ac:dyDescent="0.25">
      <c r="A1647" t="s">
        <v>3745</v>
      </c>
      <c r="B1647" t="s">
        <v>3746</v>
      </c>
      <c r="C1647" t="s">
        <v>101</v>
      </c>
      <c r="D1647" t="s">
        <v>335</v>
      </c>
      <c r="E1647" s="36">
        <v>218</v>
      </c>
      <c r="F1647" s="36">
        <v>260</v>
      </c>
      <c r="G1647" s="36">
        <v>120</v>
      </c>
      <c r="H1647" s="36">
        <v>138</v>
      </c>
      <c r="I1647" s="37">
        <v>9.000000000000008E-2</v>
      </c>
      <c r="J1647" s="37">
        <v>0.13043478260869559</v>
      </c>
    </row>
    <row r="1648" spans="1:10" x14ac:dyDescent="0.25">
      <c r="A1648" t="s">
        <v>3747</v>
      </c>
      <c r="B1648" t="s">
        <v>3748</v>
      </c>
      <c r="C1648" t="s">
        <v>101</v>
      </c>
      <c r="D1648" t="s">
        <v>335</v>
      </c>
      <c r="E1648" s="36">
        <v>1300</v>
      </c>
      <c r="F1648" s="36">
        <v>1560</v>
      </c>
      <c r="G1648" s="36">
        <v>550</v>
      </c>
      <c r="H1648" s="36">
        <v>632</v>
      </c>
      <c r="I1648" s="37">
        <v>0.44444444444444442</v>
      </c>
      <c r="J1648" s="37">
        <v>0.50724637681159424</v>
      </c>
    </row>
    <row r="1649" spans="1:10" x14ac:dyDescent="0.25">
      <c r="A1649" t="s">
        <v>3749</v>
      </c>
      <c r="B1649" t="s">
        <v>3750</v>
      </c>
      <c r="C1649" t="s">
        <v>101</v>
      </c>
      <c r="D1649" t="s">
        <v>335</v>
      </c>
      <c r="E1649" s="36">
        <v>1907</v>
      </c>
      <c r="F1649" s="36">
        <v>2288</v>
      </c>
      <c r="G1649" s="36">
        <v>800</v>
      </c>
      <c r="H1649" s="36">
        <v>920</v>
      </c>
      <c r="I1649" s="37">
        <v>0.466923076923077</v>
      </c>
      <c r="J1649" s="37">
        <v>0.5304347826086957</v>
      </c>
    </row>
    <row r="1650" spans="1:10" x14ac:dyDescent="0.25">
      <c r="A1650" t="s">
        <v>3751</v>
      </c>
      <c r="B1650" t="s">
        <v>3752</v>
      </c>
      <c r="C1650" t="s">
        <v>101</v>
      </c>
      <c r="D1650" t="s">
        <v>335</v>
      </c>
      <c r="E1650" s="36">
        <v>260</v>
      </c>
      <c r="F1650" s="36">
        <v>312</v>
      </c>
      <c r="G1650" s="36">
        <v>150</v>
      </c>
      <c r="H1650" s="36">
        <v>172</v>
      </c>
      <c r="I1650" s="37">
        <v>4.0000000000000042E-2</v>
      </c>
      <c r="J1650" s="37">
        <v>8.3333333333333259E-2</v>
      </c>
    </row>
    <row r="1651" spans="1:10" x14ac:dyDescent="0.25">
      <c r="A1651" t="s">
        <v>3753</v>
      </c>
      <c r="B1651" t="s">
        <v>3754</v>
      </c>
      <c r="C1651" t="s">
        <v>89</v>
      </c>
      <c r="D1651" t="s">
        <v>335</v>
      </c>
      <c r="E1651" s="36">
        <v>304</v>
      </c>
      <c r="F1651" s="36">
        <v>364</v>
      </c>
      <c r="G1651" s="36">
        <v>190</v>
      </c>
      <c r="H1651" s="36">
        <v>218</v>
      </c>
      <c r="I1651" s="37">
        <v>1.3333333333333419E-2</v>
      </c>
      <c r="J1651" s="37">
        <v>5.507246376811592E-2</v>
      </c>
    </row>
    <row r="1652" spans="1:10" x14ac:dyDescent="0.25">
      <c r="A1652" t="s">
        <v>3755</v>
      </c>
      <c r="B1652" t="s">
        <v>3756</v>
      </c>
      <c r="C1652" t="s">
        <v>89</v>
      </c>
      <c r="D1652" t="s">
        <v>347</v>
      </c>
      <c r="E1652" s="36">
        <v>351</v>
      </c>
      <c r="F1652" s="36">
        <v>420</v>
      </c>
      <c r="G1652" s="36">
        <v>210</v>
      </c>
      <c r="H1652" s="36">
        <v>241</v>
      </c>
      <c r="I1652" s="37">
        <v>2.857142857142891E-3</v>
      </c>
      <c r="J1652" s="37">
        <v>4.4776119402984982E-2</v>
      </c>
    </row>
    <row r="1653" spans="1:10" x14ac:dyDescent="0.25">
      <c r="A1653" t="s">
        <v>3757</v>
      </c>
      <c r="B1653" t="s">
        <v>3758</v>
      </c>
      <c r="C1653" t="s">
        <v>101</v>
      </c>
      <c r="D1653" t="s">
        <v>335</v>
      </c>
      <c r="E1653" s="36">
        <v>800</v>
      </c>
      <c r="F1653" s="36">
        <v>920</v>
      </c>
      <c r="G1653" s="36">
        <v>500</v>
      </c>
      <c r="H1653" s="36">
        <v>575</v>
      </c>
      <c r="I1653" s="37">
        <v>0</v>
      </c>
      <c r="J1653" s="37">
        <v>0</v>
      </c>
    </row>
    <row r="1654" spans="1:10" x14ac:dyDescent="0.25">
      <c r="A1654" t="s">
        <v>3759</v>
      </c>
      <c r="B1654" t="s">
        <v>3760</v>
      </c>
      <c r="C1654" t="s">
        <v>101</v>
      </c>
      <c r="D1654" t="s">
        <v>335</v>
      </c>
      <c r="E1654" s="36">
        <v>650</v>
      </c>
      <c r="F1654" s="36">
        <v>747</v>
      </c>
      <c r="G1654" s="36">
        <v>400</v>
      </c>
      <c r="H1654" s="36">
        <v>460</v>
      </c>
      <c r="I1654" s="37">
        <v>0</v>
      </c>
      <c r="J1654" s="37">
        <v>0</v>
      </c>
    </row>
    <row r="1655" spans="1:10" x14ac:dyDescent="0.25">
      <c r="A1655" t="s">
        <v>3761</v>
      </c>
      <c r="B1655" t="s">
        <v>3762</v>
      </c>
      <c r="C1655" t="s">
        <v>101</v>
      </c>
      <c r="D1655" t="s">
        <v>335</v>
      </c>
      <c r="E1655" s="36">
        <v>15</v>
      </c>
      <c r="F1655" s="36">
        <v>17</v>
      </c>
      <c r="G1655" s="36">
        <v>9</v>
      </c>
      <c r="H1655" s="36">
        <v>10.5</v>
      </c>
      <c r="I1655" s="37">
        <v>0</v>
      </c>
      <c r="J1655" s="37">
        <v>0</v>
      </c>
    </row>
    <row r="1656" spans="1:10" x14ac:dyDescent="0.25">
      <c r="A1656" t="s">
        <v>3763</v>
      </c>
      <c r="B1656" t="s">
        <v>3764</v>
      </c>
      <c r="C1656" t="s">
        <v>101</v>
      </c>
      <c r="D1656" t="s">
        <v>335</v>
      </c>
      <c r="E1656" s="36">
        <v>35</v>
      </c>
      <c r="F1656" s="36">
        <v>40</v>
      </c>
      <c r="G1656" s="36">
        <v>22</v>
      </c>
      <c r="H1656" s="36">
        <v>25.5</v>
      </c>
      <c r="I1656" s="37">
        <v>0</v>
      </c>
      <c r="J1656" s="37">
        <v>0</v>
      </c>
    </row>
    <row r="1657" spans="1:10" x14ac:dyDescent="0.25">
      <c r="A1657" t="s">
        <v>3765</v>
      </c>
      <c r="B1657" t="s">
        <v>3766</v>
      </c>
      <c r="C1657" t="s">
        <v>89</v>
      </c>
      <c r="D1657" t="s">
        <v>335</v>
      </c>
      <c r="E1657" s="36">
        <v>70</v>
      </c>
      <c r="F1657" s="36">
        <v>80.5</v>
      </c>
      <c r="G1657" s="36">
        <v>40</v>
      </c>
      <c r="H1657" s="36">
        <v>46</v>
      </c>
      <c r="I1657" s="37">
        <v>0</v>
      </c>
      <c r="J1657" s="37">
        <v>0</v>
      </c>
    </row>
    <row r="1658" spans="1:10" x14ac:dyDescent="0.25">
      <c r="A1658" t="s">
        <v>3767</v>
      </c>
      <c r="B1658" t="s">
        <v>3768</v>
      </c>
      <c r="C1658" t="s">
        <v>89</v>
      </c>
      <c r="D1658" t="s">
        <v>335</v>
      </c>
      <c r="E1658" s="36">
        <v>15</v>
      </c>
      <c r="F1658" s="36">
        <v>17</v>
      </c>
      <c r="G1658" s="36">
        <v>9</v>
      </c>
      <c r="H1658" s="36">
        <v>10.5</v>
      </c>
      <c r="I1658" s="37">
        <v>0</v>
      </c>
      <c r="J1658" s="37">
        <v>0</v>
      </c>
    </row>
    <row r="1659" spans="1:10" x14ac:dyDescent="0.25">
      <c r="A1659" t="s">
        <v>3769</v>
      </c>
      <c r="B1659" t="s">
        <v>3770</v>
      </c>
      <c r="C1659" t="s">
        <v>243</v>
      </c>
      <c r="D1659" t="s">
        <v>327</v>
      </c>
      <c r="E1659" s="36">
        <v>3667</v>
      </c>
      <c r="F1659" s="36">
        <v>4400</v>
      </c>
      <c r="G1659" s="36">
        <v>2200</v>
      </c>
      <c r="H1659" s="36">
        <v>2530</v>
      </c>
      <c r="I1659" s="37">
        <v>4.771428571428582E-2</v>
      </c>
      <c r="J1659" s="37">
        <v>9.3167701863354102E-2</v>
      </c>
    </row>
    <row r="1660" spans="1:10" x14ac:dyDescent="0.25">
      <c r="A1660" t="s">
        <v>3771</v>
      </c>
      <c r="B1660" t="s">
        <v>3772</v>
      </c>
      <c r="C1660" t="s">
        <v>89</v>
      </c>
      <c r="D1660" t="s">
        <v>335</v>
      </c>
      <c r="E1660" s="36">
        <v>350</v>
      </c>
      <c r="F1660" s="36">
        <v>416</v>
      </c>
      <c r="G1660" s="36">
        <v>220</v>
      </c>
      <c r="H1660" s="36">
        <v>253</v>
      </c>
      <c r="I1660" s="37">
        <v>0</v>
      </c>
      <c r="J1660" s="37">
        <v>3.4825870646766122E-2</v>
      </c>
    </row>
    <row r="1661" spans="1:10" x14ac:dyDescent="0.25">
      <c r="A1661" t="s">
        <v>3773</v>
      </c>
      <c r="B1661" t="s">
        <v>3774</v>
      </c>
      <c r="C1661" t="s">
        <v>89</v>
      </c>
      <c r="D1661" t="s">
        <v>335</v>
      </c>
      <c r="E1661" s="36">
        <v>250</v>
      </c>
      <c r="F1661" s="36">
        <v>288</v>
      </c>
      <c r="G1661" s="36">
        <v>160</v>
      </c>
      <c r="H1661" s="36">
        <v>184</v>
      </c>
      <c r="I1661" s="37">
        <v>0</v>
      </c>
      <c r="J1661" s="37">
        <v>0</v>
      </c>
    </row>
    <row r="1662" spans="1:10" x14ac:dyDescent="0.25">
      <c r="A1662" t="s">
        <v>3775</v>
      </c>
      <c r="B1662" t="s">
        <v>3776</v>
      </c>
      <c r="C1662" t="s">
        <v>3777</v>
      </c>
      <c r="D1662" t="s">
        <v>335</v>
      </c>
      <c r="E1662" s="36">
        <v>12000</v>
      </c>
      <c r="F1662" s="36">
        <v>13800</v>
      </c>
      <c r="G1662" s="36">
        <v>7500</v>
      </c>
      <c r="H1662" s="36">
        <v>8625</v>
      </c>
      <c r="I1662" s="37">
        <v>0</v>
      </c>
      <c r="J1662" s="37">
        <v>0</v>
      </c>
    </row>
    <row r="1663" spans="1:10" x14ac:dyDescent="0.25">
      <c r="A1663" t="s">
        <v>3778</v>
      </c>
      <c r="B1663" t="s">
        <v>3779</v>
      </c>
      <c r="C1663" t="s">
        <v>3777</v>
      </c>
      <c r="D1663" t="s">
        <v>335</v>
      </c>
      <c r="E1663" s="36">
        <v>60000</v>
      </c>
      <c r="F1663" s="36">
        <v>69000</v>
      </c>
      <c r="G1663" s="36">
        <v>38000</v>
      </c>
      <c r="H1663" s="36">
        <v>43700</v>
      </c>
      <c r="I1663" s="37">
        <v>0</v>
      </c>
      <c r="J1663" s="37">
        <v>0</v>
      </c>
    </row>
    <row r="1664" spans="1:10" x14ac:dyDescent="0.25">
      <c r="A1664" t="s">
        <v>3780</v>
      </c>
      <c r="B1664" t="s">
        <v>3781</v>
      </c>
      <c r="C1664" t="s">
        <v>243</v>
      </c>
      <c r="D1664" t="s">
        <v>1198</v>
      </c>
      <c r="E1664" s="36">
        <v>180</v>
      </c>
      <c r="F1664" s="36">
        <v>207</v>
      </c>
      <c r="G1664" s="36">
        <v>120</v>
      </c>
      <c r="H1664" s="36">
        <v>138</v>
      </c>
      <c r="I1664" s="37">
        <v>0</v>
      </c>
      <c r="J1664" s="37">
        <v>0</v>
      </c>
    </row>
    <row r="1665" spans="1:10" x14ac:dyDescent="0.25">
      <c r="A1665" t="s">
        <v>3782</v>
      </c>
      <c r="B1665" t="s">
        <v>1323</v>
      </c>
      <c r="C1665" t="s">
        <v>243</v>
      </c>
      <c r="D1665" t="s">
        <v>331</v>
      </c>
      <c r="E1665" s="36">
        <v>1467</v>
      </c>
      <c r="F1665" s="36">
        <v>1760</v>
      </c>
      <c r="G1665" s="36">
        <v>900</v>
      </c>
      <c r="H1665" s="36">
        <v>1035</v>
      </c>
      <c r="I1665" s="37">
        <v>4.785714285714282E-2</v>
      </c>
      <c r="J1665" s="37">
        <v>9.3167701863354102E-2</v>
      </c>
    </row>
    <row r="1666" spans="1:10" x14ac:dyDescent="0.25">
      <c r="A1666" t="s">
        <v>3783</v>
      </c>
      <c r="B1666" t="s">
        <v>3784</v>
      </c>
      <c r="C1666" t="s">
        <v>229</v>
      </c>
      <c r="D1666" t="s">
        <v>335</v>
      </c>
      <c r="E1666" s="36">
        <v>200</v>
      </c>
      <c r="F1666" s="36">
        <v>230</v>
      </c>
      <c r="G1666" s="36">
        <v>120</v>
      </c>
      <c r="H1666" s="36">
        <v>138</v>
      </c>
      <c r="I1666" s="37">
        <v>0</v>
      </c>
      <c r="J1666" s="37">
        <v>0</v>
      </c>
    </row>
    <row r="1667" spans="1:10" x14ac:dyDescent="0.25">
      <c r="A1667" t="s">
        <v>3785</v>
      </c>
      <c r="B1667" t="s">
        <v>3786</v>
      </c>
      <c r="C1667" t="s">
        <v>89</v>
      </c>
      <c r="D1667" t="s">
        <v>335</v>
      </c>
      <c r="E1667" s="36">
        <v>700</v>
      </c>
      <c r="F1667" s="36">
        <v>805</v>
      </c>
      <c r="G1667" s="36">
        <v>450</v>
      </c>
      <c r="H1667" s="36">
        <v>518</v>
      </c>
      <c r="I1667" s="37">
        <v>0</v>
      </c>
      <c r="J1667" s="37">
        <v>0</v>
      </c>
    </row>
    <row r="1668" spans="1:10" x14ac:dyDescent="0.25">
      <c r="A1668" t="s">
        <v>3787</v>
      </c>
      <c r="B1668" t="s">
        <v>3788</v>
      </c>
      <c r="C1668" t="s">
        <v>89</v>
      </c>
      <c r="D1668" t="s">
        <v>335</v>
      </c>
      <c r="E1668" s="36">
        <v>500</v>
      </c>
      <c r="F1668" s="36">
        <v>575</v>
      </c>
      <c r="G1668" s="36">
        <v>320</v>
      </c>
      <c r="H1668" s="36">
        <v>368</v>
      </c>
      <c r="I1668" s="37">
        <v>0</v>
      </c>
      <c r="J1668" s="37">
        <v>0</v>
      </c>
    </row>
    <row r="1669" spans="1:10" x14ac:dyDescent="0.25">
      <c r="A1669" t="s">
        <v>3789</v>
      </c>
      <c r="B1669" t="s">
        <v>3790</v>
      </c>
      <c r="C1669" t="s">
        <v>229</v>
      </c>
      <c r="D1669" t="s">
        <v>363</v>
      </c>
      <c r="E1669" s="36">
        <v>1800</v>
      </c>
      <c r="F1669" s="36">
        <v>2160</v>
      </c>
      <c r="G1669" s="36">
        <v>1000</v>
      </c>
      <c r="H1669" s="36">
        <v>1150</v>
      </c>
      <c r="I1669" s="37">
        <v>0.125</v>
      </c>
      <c r="J1669" s="37">
        <v>0.173913043478261</v>
      </c>
    </row>
    <row r="1670" spans="1:10" x14ac:dyDescent="0.25">
      <c r="A1670" t="s">
        <v>3791</v>
      </c>
      <c r="B1670" t="s">
        <v>3792</v>
      </c>
      <c r="C1670" t="s">
        <v>539</v>
      </c>
      <c r="D1670" t="s">
        <v>335</v>
      </c>
      <c r="E1670" s="36">
        <v>5200</v>
      </c>
      <c r="F1670" s="36">
        <v>6240</v>
      </c>
      <c r="G1670" s="36">
        <v>2200</v>
      </c>
      <c r="H1670" s="36">
        <v>2530</v>
      </c>
      <c r="I1670" s="37">
        <v>0.48571428571428582</v>
      </c>
      <c r="J1670" s="37">
        <v>0.55031055900621118</v>
      </c>
    </row>
    <row r="1671" spans="1:10" x14ac:dyDescent="0.25">
      <c r="A1671" t="s">
        <v>3793</v>
      </c>
      <c r="B1671" t="s">
        <v>3794</v>
      </c>
      <c r="C1671" t="s">
        <v>89</v>
      </c>
      <c r="D1671" t="s">
        <v>335</v>
      </c>
      <c r="E1671" s="36">
        <v>6</v>
      </c>
      <c r="F1671" s="36">
        <v>7</v>
      </c>
      <c r="G1671" s="36">
        <v>4</v>
      </c>
      <c r="H1671" s="36">
        <v>4.5</v>
      </c>
      <c r="I1671" s="37">
        <v>0</v>
      </c>
      <c r="J1671" s="37">
        <v>0</v>
      </c>
    </row>
    <row r="1672" spans="1:10" x14ac:dyDescent="0.25">
      <c r="A1672" t="s">
        <v>3795</v>
      </c>
      <c r="B1672" t="s">
        <v>3796</v>
      </c>
      <c r="C1672" t="s">
        <v>229</v>
      </c>
      <c r="D1672" t="s">
        <v>363</v>
      </c>
      <c r="E1672" s="36">
        <v>720</v>
      </c>
      <c r="F1672" s="36">
        <v>864</v>
      </c>
      <c r="G1672" s="36">
        <v>400</v>
      </c>
      <c r="H1672" s="36">
        <v>460</v>
      </c>
      <c r="I1672" s="37">
        <v>0.1076923076923078</v>
      </c>
      <c r="J1672" s="37">
        <v>0.15662650602409631</v>
      </c>
    </row>
    <row r="1673" spans="1:10" x14ac:dyDescent="0.25">
      <c r="A1673" t="s">
        <v>3797</v>
      </c>
      <c r="B1673" t="s">
        <v>3798</v>
      </c>
      <c r="C1673" t="s">
        <v>89</v>
      </c>
      <c r="D1673" t="s">
        <v>335</v>
      </c>
      <c r="E1673" s="36">
        <v>45</v>
      </c>
      <c r="F1673" s="36">
        <v>51.5</v>
      </c>
      <c r="G1673" s="36">
        <v>28</v>
      </c>
      <c r="H1673" s="36">
        <v>32</v>
      </c>
      <c r="I1673" s="37">
        <v>0</v>
      </c>
      <c r="J1673" s="37">
        <v>0</v>
      </c>
    </row>
    <row r="1674" spans="1:10" x14ac:dyDescent="0.25">
      <c r="A1674" t="s">
        <v>3799</v>
      </c>
      <c r="B1674" t="s">
        <v>3800</v>
      </c>
      <c r="C1674" t="s">
        <v>89</v>
      </c>
      <c r="D1674" t="s">
        <v>351</v>
      </c>
      <c r="E1674" s="36">
        <v>1500</v>
      </c>
      <c r="F1674" s="36">
        <v>1728</v>
      </c>
      <c r="G1674" s="36">
        <v>950</v>
      </c>
      <c r="H1674" s="36">
        <v>1092</v>
      </c>
      <c r="I1674" s="37">
        <v>0</v>
      </c>
      <c r="J1674" s="37">
        <v>1.739130434782687E-3</v>
      </c>
    </row>
    <row r="1675" spans="1:10" x14ac:dyDescent="0.25">
      <c r="A1675" t="s">
        <v>3801</v>
      </c>
      <c r="B1675" t="s">
        <v>1327</v>
      </c>
      <c r="C1675" t="s">
        <v>243</v>
      </c>
      <c r="D1675" t="s">
        <v>331</v>
      </c>
      <c r="E1675" s="36">
        <v>184</v>
      </c>
      <c r="F1675" s="36">
        <v>220</v>
      </c>
      <c r="G1675" s="36">
        <v>110</v>
      </c>
      <c r="H1675" s="36">
        <v>126</v>
      </c>
      <c r="I1675" s="37">
        <v>2.222222222222214E-2</v>
      </c>
      <c r="J1675" s="37">
        <v>6.2801932367149815E-2</v>
      </c>
    </row>
    <row r="1676" spans="1:10" x14ac:dyDescent="0.25">
      <c r="A1676" t="s">
        <v>3802</v>
      </c>
      <c r="B1676" t="s">
        <v>3803</v>
      </c>
      <c r="C1676" t="s">
        <v>243</v>
      </c>
      <c r="D1676" t="s">
        <v>1198</v>
      </c>
      <c r="E1676" s="36">
        <v>70</v>
      </c>
      <c r="F1676" s="36">
        <v>80.5</v>
      </c>
      <c r="G1676" s="36">
        <v>45</v>
      </c>
      <c r="H1676" s="36">
        <v>51.5</v>
      </c>
      <c r="I1676" s="37">
        <v>0</v>
      </c>
      <c r="J1676" s="37">
        <v>0</v>
      </c>
    </row>
    <row r="1677" spans="1:10" x14ac:dyDescent="0.25">
      <c r="A1677" t="s">
        <v>3804</v>
      </c>
      <c r="B1677" t="s">
        <v>3805</v>
      </c>
      <c r="C1677" t="s">
        <v>229</v>
      </c>
      <c r="D1677" t="s">
        <v>335</v>
      </c>
      <c r="E1677" s="36">
        <v>550</v>
      </c>
      <c r="F1677" s="36">
        <v>632</v>
      </c>
      <c r="G1677" s="36">
        <v>350</v>
      </c>
      <c r="H1677" s="36">
        <v>402</v>
      </c>
      <c r="I1677" s="37">
        <v>0</v>
      </c>
      <c r="J1677" s="37">
        <v>0</v>
      </c>
    </row>
    <row r="1678" spans="1:10" x14ac:dyDescent="0.25">
      <c r="A1678" t="s">
        <v>3806</v>
      </c>
      <c r="B1678" t="s">
        <v>3807</v>
      </c>
      <c r="C1678" t="s">
        <v>101</v>
      </c>
      <c r="D1678" t="s">
        <v>335</v>
      </c>
      <c r="E1678" s="36">
        <v>3000</v>
      </c>
      <c r="F1678" s="36">
        <v>3450</v>
      </c>
      <c r="G1678" s="36">
        <v>1900</v>
      </c>
      <c r="H1678" s="36">
        <v>2185</v>
      </c>
      <c r="I1678" s="37">
        <v>0</v>
      </c>
      <c r="J1678" s="37">
        <v>0</v>
      </c>
    </row>
    <row r="1679" spans="1:10" x14ac:dyDescent="0.25">
      <c r="A1679" t="s">
        <v>3808</v>
      </c>
      <c r="B1679" t="s">
        <v>3809</v>
      </c>
      <c r="C1679" t="s">
        <v>101</v>
      </c>
      <c r="D1679" t="s">
        <v>335</v>
      </c>
      <c r="E1679" s="36">
        <v>35000</v>
      </c>
      <c r="F1679" s="36">
        <v>40250</v>
      </c>
      <c r="G1679" s="36">
        <v>22000</v>
      </c>
      <c r="H1679" s="36">
        <v>25300</v>
      </c>
      <c r="I1679" s="37">
        <v>0</v>
      </c>
      <c r="J1679" s="37">
        <v>0</v>
      </c>
    </row>
    <row r="1680" spans="1:10" x14ac:dyDescent="0.25">
      <c r="A1680" t="s">
        <v>3810</v>
      </c>
      <c r="B1680" t="s">
        <v>3811</v>
      </c>
      <c r="C1680" t="s">
        <v>101</v>
      </c>
      <c r="D1680" t="s">
        <v>335</v>
      </c>
      <c r="E1680" s="36">
        <v>25000</v>
      </c>
      <c r="F1680" s="36">
        <v>28750</v>
      </c>
      <c r="G1680" s="36">
        <v>16000</v>
      </c>
      <c r="H1680" s="36">
        <v>18400</v>
      </c>
      <c r="I1680" s="37">
        <v>0</v>
      </c>
      <c r="J1680" s="37">
        <v>0</v>
      </c>
    </row>
    <row r="1681" spans="1:10" x14ac:dyDescent="0.25">
      <c r="A1681" t="s">
        <v>3812</v>
      </c>
      <c r="B1681" t="s">
        <v>3813</v>
      </c>
      <c r="C1681" t="s">
        <v>101</v>
      </c>
      <c r="D1681" t="s">
        <v>335</v>
      </c>
      <c r="E1681" s="36">
        <v>3500</v>
      </c>
      <c r="F1681" s="36">
        <v>4025</v>
      </c>
      <c r="G1681" s="36">
        <v>2200</v>
      </c>
      <c r="H1681" s="36">
        <v>2530</v>
      </c>
      <c r="I1681" s="37">
        <v>0</v>
      </c>
      <c r="J1681" s="37">
        <v>0</v>
      </c>
    </row>
    <row r="1682" spans="1:10" x14ac:dyDescent="0.25">
      <c r="A1682" t="s">
        <v>3814</v>
      </c>
      <c r="B1682" t="s">
        <v>3815</v>
      </c>
      <c r="C1682" t="s">
        <v>101</v>
      </c>
      <c r="D1682" t="s">
        <v>335</v>
      </c>
      <c r="E1682" s="36">
        <v>4800</v>
      </c>
      <c r="F1682" s="36">
        <v>5520</v>
      </c>
      <c r="G1682" s="36">
        <v>3000</v>
      </c>
      <c r="H1682" s="36">
        <v>3450</v>
      </c>
      <c r="I1682" s="37">
        <v>0</v>
      </c>
      <c r="J1682" s="37">
        <v>0</v>
      </c>
    </row>
    <row r="1683" spans="1:10" x14ac:dyDescent="0.25">
      <c r="A1683" t="s">
        <v>3816</v>
      </c>
      <c r="B1683" t="s">
        <v>3817</v>
      </c>
      <c r="C1683" t="s">
        <v>101</v>
      </c>
      <c r="D1683" t="s">
        <v>335</v>
      </c>
      <c r="E1683" s="36">
        <v>1200</v>
      </c>
      <c r="F1683" s="36">
        <v>1380</v>
      </c>
      <c r="G1683" s="36">
        <v>750</v>
      </c>
      <c r="H1683" s="36">
        <v>862</v>
      </c>
      <c r="I1683" s="37">
        <v>0</v>
      </c>
      <c r="J1683" s="37">
        <v>0</v>
      </c>
    </row>
    <row r="1684" spans="1:10" x14ac:dyDescent="0.25">
      <c r="A1684" t="s">
        <v>3818</v>
      </c>
      <c r="B1684" t="s">
        <v>3819</v>
      </c>
      <c r="C1684" t="s">
        <v>101</v>
      </c>
      <c r="D1684" t="s">
        <v>335</v>
      </c>
      <c r="E1684" s="36">
        <v>2500</v>
      </c>
      <c r="F1684" s="36">
        <v>2875</v>
      </c>
      <c r="G1684" s="36">
        <v>1600</v>
      </c>
      <c r="H1684" s="36">
        <v>1840</v>
      </c>
      <c r="I1684" s="37">
        <v>0</v>
      </c>
      <c r="J1684" s="37">
        <v>0</v>
      </c>
    </row>
    <row r="1685" spans="1:10" x14ac:dyDescent="0.25">
      <c r="A1685" t="s">
        <v>3820</v>
      </c>
      <c r="B1685" t="s">
        <v>3821</v>
      </c>
      <c r="C1685" t="s">
        <v>229</v>
      </c>
      <c r="D1685" t="s">
        <v>335</v>
      </c>
      <c r="E1685" s="36">
        <v>350</v>
      </c>
      <c r="F1685" s="36">
        <v>402</v>
      </c>
      <c r="G1685" s="36">
        <v>220</v>
      </c>
      <c r="H1685" s="36">
        <v>253</v>
      </c>
      <c r="I1685" s="37">
        <v>0</v>
      </c>
      <c r="J1685" s="37">
        <v>0</v>
      </c>
    </row>
    <row r="1686" spans="1:10" x14ac:dyDescent="0.25">
      <c r="A1686" t="s">
        <v>3822</v>
      </c>
      <c r="B1686" t="s">
        <v>3823</v>
      </c>
      <c r="C1686" t="s">
        <v>101</v>
      </c>
      <c r="D1686" t="s">
        <v>335</v>
      </c>
      <c r="E1686" s="36">
        <v>2500</v>
      </c>
      <c r="F1686" s="36">
        <v>2875</v>
      </c>
      <c r="G1686" s="36">
        <v>1600</v>
      </c>
      <c r="H1686" s="36">
        <v>1840</v>
      </c>
      <c r="I1686" s="37">
        <v>0</v>
      </c>
      <c r="J1686" s="37">
        <v>0</v>
      </c>
    </row>
    <row r="1687" spans="1:10" x14ac:dyDescent="0.25">
      <c r="A1687" t="s">
        <v>3824</v>
      </c>
      <c r="B1687" t="s">
        <v>3825</v>
      </c>
      <c r="C1687" t="s">
        <v>101</v>
      </c>
      <c r="D1687" t="s">
        <v>335</v>
      </c>
      <c r="E1687" s="36">
        <v>3500</v>
      </c>
      <c r="F1687" s="36">
        <v>4025</v>
      </c>
      <c r="G1687" s="36">
        <v>2200</v>
      </c>
      <c r="H1687" s="36">
        <v>2530</v>
      </c>
      <c r="I1687" s="37">
        <v>0</v>
      </c>
      <c r="J1687" s="37">
        <v>0</v>
      </c>
    </row>
    <row r="1688" spans="1:10" x14ac:dyDescent="0.25">
      <c r="A1688" t="s">
        <v>3826</v>
      </c>
      <c r="B1688" t="s">
        <v>3827</v>
      </c>
      <c r="C1688" t="s">
        <v>101</v>
      </c>
      <c r="D1688" t="s">
        <v>335</v>
      </c>
      <c r="E1688" s="36">
        <v>1000</v>
      </c>
      <c r="F1688" s="36">
        <v>1150</v>
      </c>
      <c r="G1688" s="36">
        <v>600</v>
      </c>
      <c r="H1688" s="36">
        <v>690</v>
      </c>
      <c r="I1688" s="37">
        <v>0</v>
      </c>
      <c r="J1688" s="37">
        <v>0</v>
      </c>
    </row>
    <row r="1689" spans="1:10" x14ac:dyDescent="0.25">
      <c r="A1689" t="s">
        <v>3828</v>
      </c>
      <c r="B1689" t="s">
        <v>3829</v>
      </c>
      <c r="C1689" t="s">
        <v>101</v>
      </c>
      <c r="D1689" t="s">
        <v>335</v>
      </c>
      <c r="E1689" s="36">
        <v>1000</v>
      </c>
      <c r="F1689" s="36">
        <v>1150</v>
      </c>
      <c r="G1689" s="36">
        <v>650</v>
      </c>
      <c r="H1689" s="36">
        <v>747</v>
      </c>
      <c r="I1689" s="37">
        <v>0</v>
      </c>
      <c r="J1689" s="37">
        <v>0</v>
      </c>
    </row>
    <row r="1690" spans="1:10" x14ac:dyDescent="0.25">
      <c r="A1690" t="s">
        <v>3830</v>
      </c>
      <c r="B1690" t="s">
        <v>3831</v>
      </c>
      <c r="C1690" t="s">
        <v>101</v>
      </c>
      <c r="D1690" t="s">
        <v>335</v>
      </c>
      <c r="E1690" s="36">
        <v>1500</v>
      </c>
      <c r="F1690" s="36">
        <v>1725</v>
      </c>
      <c r="G1690" s="36">
        <v>950</v>
      </c>
      <c r="H1690" s="36">
        <v>1092</v>
      </c>
      <c r="I1690" s="37">
        <v>0</v>
      </c>
      <c r="J1690" s="37">
        <v>0</v>
      </c>
    </row>
    <row r="1691" spans="1:10" x14ac:dyDescent="0.25">
      <c r="A1691" t="s">
        <v>3832</v>
      </c>
      <c r="B1691" t="s">
        <v>3833</v>
      </c>
      <c r="C1691" t="s">
        <v>89</v>
      </c>
      <c r="D1691" t="s">
        <v>335</v>
      </c>
      <c r="E1691" s="36">
        <v>450</v>
      </c>
      <c r="F1691" s="36">
        <v>518</v>
      </c>
      <c r="G1691" s="36">
        <v>280</v>
      </c>
      <c r="H1691" s="36">
        <v>322</v>
      </c>
      <c r="I1691" s="37">
        <v>0</v>
      </c>
      <c r="J1691" s="37">
        <v>0</v>
      </c>
    </row>
    <row r="1692" spans="1:10" x14ac:dyDescent="0.25">
      <c r="A1692" t="s">
        <v>3834</v>
      </c>
      <c r="B1692" t="s">
        <v>3835</v>
      </c>
      <c r="C1692" t="s">
        <v>89</v>
      </c>
      <c r="D1692" t="s">
        <v>335</v>
      </c>
      <c r="E1692" s="36">
        <v>300</v>
      </c>
      <c r="F1692" s="36">
        <v>345</v>
      </c>
      <c r="G1692" s="36">
        <v>190</v>
      </c>
      <c r="H1692" s="36">
        <v>218</v>
      </c>
      <c r="I1692" s="37">
        <v>0</v>
      </c>
      <c r="J1692" s="37">
        <v>0</v>
      </c>
    </row>
    <row r="1693" spans="1:10" x14ac:dyDescent="0.25">
      <c r="A1693" t="s">
        <v>3836</v>
      </c>
      <c r="B1693" t="s">
        <v>3837</v>
      </c>
      <c r="C1693" t="s">
        <v>89</v>
      </c>
      <c r="D1693" t="s">
        <v>335</v>
      </c>
      <c r="E1693" s="36">
        <v>150</v>
      </c>
      <c r="F1693" s="36">
        <v>172</v>
      </c>
      <c r="G1693" s="36">
        <v>90</v>
      </c>
      <c r="H1693" s="36">
        <v>103</v>
      </c>
      <c r="I1693" s="37">
        <v>0</v>
      </c>
      <c r="J1693" s="37">
        <v>0</v>
      </c>
    </row>
    <row r="1694" spans="1:10" x14ac:dyDescent="0.25">
      <c r="A1694" t="s">
        <v>3838</v>
      </c>
      <c r="B1694" t="s">
        <v>3839</v>
      </c>
      <c r="C1694" t="s">
        <v>229</v>
      </c>
      <c r="D1694" t="s">
        <v>335</v>
      </c>
      <c r="E1694" s="36">
        <v>1100</v>
      </c>
      <c r="F1694" s="36">
        <v>1265</v>
      </c>
      <c r="G1694" s="36">
        <v>700</v>
      </c>
      <c r="H1694" s="36">
        <v>805</v>
      </c>
      <c r="I1694" s="37">
        <v>0</v>
      </c>
      <c r="J1694" s="37">
        <v>0</v>
      </c>
    </row>
    <row r="1695" spans="1:10" x14ac:dyDescent="0.25">
      <c r="A1695" t="s">
        <v>3840</v>
      </c>
      <c r="B1695" t="s">
        <v>3841</v>
      </c>
      <c r="C1695" t="s">
        <v>89</v>
      </c>
      <c r="D1695" t="s">
        <v>335</v>
      </c>
      <c r="E1695" s="36">
        <v>320</v>
      </c>
      <c r="F1695" s="36">
        <v>368</v>
      </c>
      <c r="G1695" s="36">
        <v>200</v>
      </c>
      <c r="H1695" s="36">
        <v>230</v>
      </c>
      <c r="I1695" s="37">
        <v>0</v>
      </c>
      <c r="J1695" s="37">
        <v>0</v>
      </c>
    </row>
    <row r="1696" spans="1:10" x14ac:dyDescent="0.25">
      <c r="A1696" t="s">
        <v>3842</v>
      </c>
      <c r="B1696" t="s">
        <v>3843</v>
      </c>
      <c r="C1696" t="s">
        <v>89</v>
      </c>
      <c r="D1696" t="s">
        <v>335</v>
      </c>
      <c r="E1696" s="36">
        <v>250</v>
      </c>
      <c r="F1696" s="36">
        <v>288</v>
      </c>
      <c r="G1696" s="36">
        <v>160</v>
      </c>
      <c r="H1696" s="36">
        <v>184</v>
      </c>
      <c r="I1696" s="37">
        <v>0</v>
      </c>
      <c r="J1696" s="37">
        <v>0</v>
      </c>
    </row>
    <row r="1697" spans="1:10" x14ac:dyDescent="0.25">
      <c r="A1697" t="s">
        <v>3844</v>
      </c>
      <c r="B1697" t="s">
        <v>3845</v>
      </c>
      <c r="C1697" t="s">
        <v>243</v>
      </c>
      <c r="D1697" t="s">
        <v>335</v>
      </c>
      <c r="E1697" s="36">
        <v>694</v>
      </c>
      <c r="F1697" s="36">
        <v>832</v>
      </c>
      <c r="G1697" s="36">
        <v>400</v>
      </c>
      <c r="H1697" s="36">
        <v>460</v>
      </c>
      <c r="I1697" s="37">
        <v>6.7692307692307718E-2</v>
      </c>
      <c r="J1697" s="37">
        <v>0.1137884872824633</v>
      </c>
    </row>
    <row r="1698" spans="1:10" x14ac:dyDescent="0.25">
      <c r="A1698" t="s">
        <v>3846</v>
      </c>
      <c r="B1698" t="s">
        <v>3847</v>
      </c>
      <c r="C1698" t="s">
        <v>243</v>
      </c>
      <c r="D1698" t="s">
        <v>335</v>
      </c>
      <c r="E1698" s="36">
        <v>607</v>
      </c>
      <c r="F1698" s="36">
        <v>728</v>
      </c>
      <c r="G1698" s="36">
        <v>350</v>
      </c>
      <c r="H1698" s="36">
        <v>402</v>
      </c>
      <c r="I1698" s="37">
        <v>0.1036363636363635</v>
      </c>
      <c r="J1698" s="37">
        <v>0.15189873417721511</v>
      </c>
    </row>
    <row r="1699" spans="1:10" x14ac:dyDescent="0.25">
      <c r="A1699" t="s">
        <v>3848</v>
      </c>
      <c r="B1699" t="s">
        <v>3849</v>
      </c>
      <c r="C1699" t="s">
        <v>243</v>
      </c>
      <c r="D1699" t="s">
        <v>335</v>
      </c>
      <c r="E1699" s="36">
        <v>780</v>
      </c>
      <c r="F1699" s="36">
        <v>936</v>
      </c>
      <c r="G1699" s="36">
        <v>470</v>
      </c>
      <c r="H1699" s="36">
        <v>540</v>
      </c>
      <c r="I1699" s="37">
        <v>4.0000000000000042E-2</v>
      </c>
      <c r="J1699" s="37">
        <v>8.5846867749419964E-2</v>
      </c>
    </row>
    <row r="1700" spans="1:10" x14ac:dyDescent="0.25">
      <c r="A1700" t="s">
        <v>3850</v>
      </c>
      <c r="B1700" t="s">
        <v>3851</v>
      </c>
      <c r="C1700" t="s">
        <v>89</v>
      </c>
      <c r="D1700" t="s">
        <v>339</v>
      </c>
      <c r="E1700" s="36">
        <v>380</v>
      </c>
      <c r="F1700" s="36">
        <v>437</v>
      </c>
      <c r="G1700" s="36">
        <v>240</v>
      </c>
      <c r="H1700" s="36">
        <v>276</v>
      </c>
      <c r="I1700" s="37">
        <v>0</v>
      </c>
      <c r="J1700" s="37">
        <v>0</v>
      </c>
    </row>
    <row r="1701" spans="1:10" x14ac:dyDescent="0.25">
      <c r="A1701" t="s">
        <v>3852</v>
      </c>
      <c r="B1701" t="s">
        <v>3853</v>
      </c>
      <c r="C1701" t="s">
        <v>89</v>
      </c>
      <c r="D1701" t="s">
        <v>351</v>
      </c>
      <c r="E1701" s="36">
        <v>2200</v>
      </c>
      <c r="F1701" s="36">
        <v>2592</v>
      </c>
      <c r="G1701" s="36">
        <v>1400</v>
      </c>
      <c r="H1701" s="36">
        <v>1610</v>
      </c>
      <c r="I1701" s="37">
        <v>0</v>
      </c>
      <c r="J1701" s="37">
        <v>2.4505928853755021E-2</v>
      </c>
    </row>
    <row r="1702" spans="1:10" x14ac:dyDescent="0.25">
      <c r="A1702" t="s">
        <v>3854</v>
      </c>
      <c r="B1702" t="s">
        <v>3855</v>
      </c>
      <c r="C1702" t="s">
        <v>89</v>
      </c>
      <c r="D1702" t="s">
        <v>351</v>
      </c>
      <c r="E1702" s="36">
        <v>1920</v>
      </c>
      <c r="F1702" s="36">
        <v>2304</v>
      </c>
      <c r="G1702" s="36">
        <v>1200</v>
      </c>
      <c r="H1702" s="36">
        <v>1380</v>
      </c>
      <c r="I1702" s="37">
        <v>1.052631578947372E-2</v>
      </c>
      <c r="J1702" s="37">
        <v>5.4462242562929093E-2</v>
      </c>
    </row>
    <row r="1703" spans="1:10" x14ac:dyDescent="0.25">
      <c r="A1703" t="s">
        <v>3856</v>
      </c>
      <c r="B1703" t="s">
        <v>3857</v>
      </c>
      <c r="C1703" t="s">
        <v>89</v>
      </c>
      <c r="D1703" t="s">
        <v>351</v>
      </c>
      <c r="E1703" s="36">
        <v>1680</v>
      </c>
      <c r="F1703" s="36">
        <v>2016</v>
      </c>
      <c r="G1703" s="36">
        <v>1000</v>
      </c>
      <c r="H1703" s="36">
        <v>1150</v>
      </c>
      <c r="I1703" s="37">
        <v>5.0000000000000037E-2</v>
      </c>
      <c r="J1703" s="37">
        <v>9.565217391304337E-2</v>
      </c>
    </row>
    <row r="1704" spans="1:10" x14ac:dyDescent="0.25">
      <c r="A1704" t="s">
        <v>3858</v>
      </c>
      <c r="B1704" t="s">
        <v>3859</v>
      </c>
      <c r="C1704" t="s">
        <v>89</v>
      </c>
      <c r="D1704" t="s">
        <v>351</v>
      </c>
      <c r="E1704" s="36">
        <v>1200</v>
      </c>
      <c r="F1704" s="36">
        <v>1440</v>
      </c>
      <c r="G1704" s="36">
        <v>700</v>
      </c>
      <c r="H1704" s="36">
        <v>805</v>
      </c>
      <c r="I1704" s="37">
        <v>9.0909090909090828E-2</v>
      </c>
      <c r="J1704" s="37">
        <v>0.13833992094861669</v>
      </c>
    </row>
    <row r="1705" spans="1:10" x14ac:dyDescent="0.25">
      <c r="A1705" t="s">
        <v>3860</v>
      </c>
      <c r="B1705" t="s">
        <v>3861</v>
      </c>
      <c r="C1705" t="s">
        <v>89</v>
      </c>
      <c r="D1705" t="s">
        <v>335</v>
      </c>
      <c r="E1705" s="36">
        <v>220</v>
      </c>
      <c r="F1705" s="36">
        <v>253</v>
      </c>
      <c r="G1705" s="36">
        <v>140</v>
      </c>
      <c r="H1705" s="36">
        <v>161</v>
      </c>
      <c r="I1705" s="37">
        <v>0</v>
      </c>
      <c r="J1705" s="37">
        <v>0</v>
      </c>
    </row>
    <row r="1706" spans="1:10" x14ac:dyDescent="0.25">
      <c r="A1706" t="s">
        <v>3862</v>
      </c>
      <c r="B1706" t="s">
        <v>3863</v>
      </c>
      <c r="C1706" t="s">
        <v>89</v>
      </c>
      <c r="D1706" t="s">
        <v>335</v>
      </c>
      <c r="E1706" s="36">
        <v>350</v>
      </c>
      <c r="F1706" s="36">
        <v>402</v>
      </c>
      <c r="G1706" s="36">
        <v>220</v>
      </c>
      <c r="H1706" s="36">
        <v>253</v>
      </c>
      <c r="I1706" s="37">
        <v>0</v>
      </c>
      <c r="J1706" s="37">
        <v>0</v>
      </c>
    </row>
    <row r="1707" spans="1:10" x14ac:dyDescent="0.25">
      <c r="A1707" t="s">
        <v>3864</v>
      </c>
      <c r="B1707" t="s">
        <v>3865</v>
      </c>
      <c r="C1707" t="s">
        <v>89</v>
      </c>
      <c r="D1707" t="s">
        <v>335</v>
      </c>
      <c r="E1707" s="36">
        <v>340</v>
      </c>
      <c r="F1707" s="36">
        <v>391</v>
      </c>
      <c r="G1707" s="36">
        <v>210</v>
      </c>
      <c r="H1707" s="36">
        <v>241</v>
      </c>
      <c r="I1707" s="37">
        <v>0</v>
      </c>
      <c r="J1707" s="37">
        <v>0</v>
      </c>
    </row>
    <row r="1708" spans="1:10" x14ac:dyDescent="0.25">
      <c r="A1708" t="s">
        <v>3866</v>
      </c>
      <c r="B1708" t="s">
        <v>3867</v>
      </c>
      <c r="C1708" t="s">
        <v>89</v>
      </c>
      <c r="D1708" t="s">
        <v>335</v>
      </c>
      <c r="E1708" s="36">
        <v>45</v>
      </c>
      <c r="F1708" s="36">
        <v>51.5</v>
      </c>
      <c r="G1708" s="36">
        <v>28</v>
      </c>
      <c r="H1708" s="36">
        <v>32</v>
      </c>
      <c r="I1708" s="37">
        <v>0</v>
      </c>
      <c r="J1708" s="37">
        <v>0</v>
      </c>
    </row>
    <row r="1709" spans="1:10" x14ac:dyDescent="0.25">
      <c r="A1709" t="s">
        <v>3868</v>
      </c>
      <c r="B1709" t="s">
        <v>3869</v>
      </c>
      <c r="C1709" t="s">
        <v>89</v>
      </c>
      <c r="D1709" t="s">
        <v>335</v>
      </c>
      <c r="E1709" s="36">
        <v>867</v>
      </c>
      <c r="F1709" s="36">
        <v>1040</v>
      </c>
      <c r="G1709" s="36">
        <v>550</v>
      </c>
      <c r="H1709" s="36">
        <v>632</v>
      </c>
      <c r="I1709" s="37">
        <v>2.0000000000000021E-2</v>
      </c>
      <c r="J1709" s="37">
        <v>6.4483111566018492E-2</v>
      </c>
    </row>
    <row r="1710" spans="1:10" x14ac:dyDescent="0.25">
      <c r="A1710" t="s">
        <v>3870</v>
      </c>
      <c r="B1710" t="s">
        <v>3871</v>
      </c>
      <c r="C1710" t="s">
        <v>89</v>
      </c>
      <c r="D1710" t="s">
        <v>335</v>
      </c>
      <c r="E1710" s="36">
        <v>260</v>
      </c>
      <c r="F1710" s="36">
        <v>312</v>
      </c>
      <c r="G1710" s="36">
        <v>160</v>
      </c>
      <c r="H1710" s="36">
        <v>184</v>
      </c>
      <c r="I1710" s="37">
        <v>4.0000000000000042E-2</v>
      </c>
      <c r="J1710" s="37">
        <v>8.3333333333333259E-2</v>
      </c>
    </row>
    <row r="1711" spans="1:10" x14ac:dyDescent="0.25">
      <c r="A1711" t="s">
        <v>3872</v>
      </c>
      <c r="B1711" t="s">
        <v>3873</v>
      </c>
      <c r="C1711" t="s">
        <v>89</v>
      </c>
      <c r="D1711" t="s">
        <v>1198</v>
      </c>
      <c r="E1711" s="36">
        <v>150</v>
      </c>
      <c r="F1711" s="36">
        <v>172</v>
      </c>
      <c r="G1711" s="36">
        <v>100</v>
      </c>
      <c r="H1711" s="36">
        <v>115</v>
      </c>
      <c r="I1711" s="37">
        <v>0</v>
      </c>
      <c r="J1711" s="37">
        <v>0</v>
      </c>
    </row>
    <row r="1712" spans="1:10" x14ac:dyDescent="0.25">
      <c r="A1712" t="s">
        <v>3874</v>
      </c>
      <c r="B1712" t="s">
        <v>3875</v>
      </c>
      <c r="C1712" t="s">
        <v>229</v>
      </c>
      <c r="D1712" t="s">
        <v>335</v>
      </c>
      <c r="E1712" s="36">
        <v>218</v>
      </c>
      <c r="F1712" s="36">
        <v>260</v>
      </c>
      <c r="G1712" s="36">
        <v>110</v>
      </c>
      <c r="H1712" s="36">
        <v>126</v>
      </c>
      <c r="I1712" s="37">
        <v>0.211111111111111</v>
      </c>
      <c r="J1712" s="37">
        <v>0.2560386473429952</v>
      </c>
    </row>
    <row r="1713" spans="1:10" x14ac:dyDescent="0.25">
      <c r="A1713" t="s">
        <v>3876</v>
      </c>
      <c r="B1713" t="s">
        <v>3877</v>
      </c>
      <c r="C1713" t="s">
        <v>89</v>
      </c>
      <c r="D1713" t="s">
        <v>351</v>
      </c>
      <c r="E1713" s="36">
        <v>420</v>
      </c>
      <c r="F1713" s="36">
        <v>504</v>
      </c>
      <c r="G1713" s="36">
        <v>220</v>
      </c>
      <c r="H1713" s="36">
        <v>253</v>
      </c>
      <c r="I1713" s="37">
        <v>0.2</v>
      </c>
      <c r="J1713" s="37">
        <v>0.25373134328358221</v>
      </c>
    </row>
    <row r="1714" spans="1:10" x14ac:dyDescent="0.25">
      <c r="A1714" t="s">
        <v>3878</v>
      </c>
      <c r="B1714" t="s">
        <v>3879</v>
      </c>
      <c r="C1714" t="s">
        <v>89</v>
      </c>
      <c r="D1714" t="s">
        <v>351</v>
      </c>
      <c r="E1714" s="36">
        <v>1680</v>
      </c>
      <c r="F1714" s="36">
        <v>2016</v>
      </c>
      <c r="G1714" s="36">
        <v>1000</v>
      </c>
      <c r="H1714" s="36">
        <v>1150</v>
      </c>
      <c r="I1714" s="37">
        <v>5.0000000000000037E-2</v>
      </c>
      <c r="J1714" s="37">
        <v>9.565217391304337E-2</v>
      </c>
    </row>
    <row r="1715" spans="1:10" x14ac:dyDescent="0.25">
      <c r="A1715" t="s">
        <v>3880</v>
      </c>
      <c r="B1715" t="s">
        <v>3881</v>
      </c>
      <c r="C1715" t="s">
        <v>229</v>
      </c>
      <c r="D1715" t="s">
        <v>335</v>
      </c>
      <c r="E1715" s="36">
        <v>90</v>
      </c>
      <c r="F1715" s="36">
        <v>103</v>
      </c>
      <c r="G1715" s="36">
        <v>55</v>
      </c>
      <c r="H1715" s="36">
        <v>63</v>
      </c>
      <c r="I1715" s="37">
        <v>0</v>
      </c>
      <c r="J1715" s="37">
        <v>0</v>
      </c>
    </row>
    <row r="1716" spans="1:10" x14ac:dyDescent="0.25">
      <c r="A1716" t="s">
        <v>3882</v>
      </c>
      <c r="B1716" t="s">
        <v>3883</v>
      </c>
      <c r="C1716" t="s">
        <v>101</v>
      </c>
      <c r="D1716" t="s">
        <v>335</v>
      </c>
      <c r="E1716" s="36">
        <v>600</v>
      </c>
      <c r="F1716" s="36">
        <v>690</v>
      </c>
      <c r="G1716" s="36">
        <v>380</v>
      </c>
      <c r="H1716" s="36">
        <v>437</v>
      </c>
      <c r="I1716" s="37">
        <v>0</v>
      </c>
      <c r="J1716" s="37">
        <v>0</v>
      </c>
    </row>
    <row r="1717" spans="1:10" x14ac:dyDescent="0.25">
      <c r="A1717" t="s">
        <v>3884</v>
      </c>
      <c r="B1717" t="s">
        <v>3885</v>
      </c>
      <c r="C1717" t="s">
        <v>101</v>
      </c>
      <c r="D1717" t="s">
        <v>335</v>
      </c>
      <c r="E1717" s="36">
        <v>750</v>
      </c>
      <c r="F1717" s="36">
        <v>862</v>
      </c>
      <c r="G1717" s="36">
        <v>470</v>
      </c>
      <c r="H1717" s="36">
        <v>540</v>
      </c>
      <c r="I1717" s="37">
        <v>0</v>
      </c>
      <c r="J1717" s="37">
        <v>0</v>
      </c>
    </row>
    <row r="1718" spans="1:10" x14ac:dyDescent="0.25">
      <c r="A1718" t="s">
        <v>3886</v>
      </c>
      <c r="B1718" t="s">
        <v>3887</v>
      </c>
      <c r="C1718" t="s">
        <v>89</v>
      </c>
      <c r="D1718" t="s">
        <v>335</v>
      </c>
      <c r="E1718" s="36">
        <v>600</v>
      </c>
      <c r="F1718" s="36">
        <v>690</v>
      </c>
      <c r="G1718" s="36">
        <v>380</v>
      </c>
      <c r="H1718" s="36">
        <v>437</v>
      </c>
      <c r="I1718" s="37">
        <v>0</v>
      </c>
      <c r="J1718" s="37">
        <v>0</v>
      </c>
    </row>
    <row r="1719" spans="1:10" x14ac:dyDescent="0.25">
      <c r="A1719" t="s">
        <v>3888</v>
      </c>
      <c r="B1719" t="s">
        <v>3889</v>
      </c>
      <c r="C1719" t="s">
        <v>1578</v>
      </c>
      <c r="D1719" t="s">
        <v>335</v>
      </c>
      <c r="E1719" s="36">
        <v>350</v>
      </c>
      <c r="F1719" s="36">
        <v>402</v>
      </c>
      <c r="G1719" s="36">
        <v>220</v>
      </c>
      <c r="H1719" s="36">
        <v>253</v>
      </c>
      <c r="I1719" s="37">
        <v>0</v>
      </c>
      <c r="J1719" s="37">
        <v>0</v>
      </c>
    </row>
    <row r="1720" spans="1:10" x14ac:dyDescent="0.25">
      <c r="A1720" t="s">
        <v>3890</v>
      </c>
      <c r="B1720" t="s">
        <v>3891</v>
      </c>
      <c r="C1720" t="s">
        <v>229</v>
      </c>
      <c r="D1720" t="s">
        <v>335</v>
      </c>
      <c r="E1720" s="36">
        <v>100</v>
      </c>
      <c r="F1720" s="36">
        <v>115</v>
      </c>
      <c r="G1720" s="36">
        <v>60</v>
      </c>
      <c r="H1720" s="36">
        <v>69</v>
      </c>
      <c r="I1720" s="37">
        <v>0</v>
      </c>
      <c r="J1720" s="37">
        <v>0</v>
      </c>
    </row>
    <row r="1721" spans="1:10" x14ac:dyDescent="0.25">
      <c r="A1721" t="s">
        <v>3892</v>
      </c>
      <c r="B1721" t="s">
        <v>3893</v>
      </c>
      <c r="C1721" t="s">
        <v>243</v>
      </c>
      <c r="D1721" t="s">
        <v>335</v>
      </c>
      <c r="E1721" s="36">
        <v>1040</v>
      </c>
      <c r="F1721" s="36">
        <v>1248</v>
      </c>
      <c r="G1721" s="36">
        <v>560</v>
      </c>
      <c r="H1721" s="36">
        <v>644</v>
      </c>
      <c r="I1721" s="37">
        <v>0.15555555555555539</v>
      </c>
      <c r="J1721" s="37">
        <v>0.2057971014492754</v>
      </c>
    </row>
    <row r="1722" spans="1:10" x14ac:dyDescent="0.25">
      <c r="A1722" t="s">
        <v>3894</v>
      </c>
      <c r="B1722" t="s">
        <v>3895</v>
      </c>
      <c r="C1722" t="s">
        <v>243</v>
      </c>
      <c r="D1722" t="s">
        <v>1198</v>
      </c>
      <c r="E1722" s="36">
        <v>550</v>
      </c>
      <c r="F1722" s="36">
        <v>632</v>
      </c>
      <c r="G1722" s="36">
        <v>400</v>
      </c>
      <c r="H1722" s="36">
        <v>460</v>
      </c>
      <c r="I1722" s="37">
        <v>0</v>
      </c>
      <c r="J1722" s="37">
        <v>0</v>
      </c>
    </row>
    <row r="1723" spans="1:10" x14ac:dyDescent="0.25">
      <c r="A1723" t="s">
        <v>3896</v>
      </c>
      <c r="B1723" t="s">
        <v>3897</v>
      </c>
      <c r="C1723" t="s">
        <v>3898</v>
      </c>
      <c r="D1723" t="s">
        <v>1198</v>
      </c>
      <c r="E1723" s="36">
        <v>3000</v>
      </c>
      <c r="F1723" s="36">
        <v>3450</v>
      </c>
      <c r="G1723" s="36">
        <v>2300</v>
      </c>
      <c r="H1723" s="36">
        <v>2645</v>
      </c>
      <c r="I1723" s="37">
        <v>0</v>
      </c>
      <c r="J1723" s="37">
        <v>0</v>
      </c>
    </row>
    <row r="1724" spans="1:10" x14ac:dyDescent="0.25">
      <c r="A1724" t="s">
        <v>3899</v>
      </c>
      <c r="B1724" t="s">
        <v>3900</v>
      </c>
      <c r="C1724" t="s">
        <v>3898</v>
      </c>
      <c r="D1724" t="s">
        <v>1198</v>
      </c>
      <c r="E1724" s="36">
        <v>2500</v>
      </c>
      <c r="F1724" s="36">
        <v>2875</v>
      </c>
      <c r="G1724" s="36">
        <v>1900</v>
      </c>
      <c r="H1724" s="36">
        <v>2185</v>
      </c>
      <c r="I1724" s="37">
        <v>0</v>
      </c>
      <c r="J1724" s="37">
        <v>0</v>
      </c>
    </row>
    <row r="1725" spans="1:10" x14ac:dyDescent="0.25">
      <c r="A1725" t="s">
        <v>3901</v>
      </c>
      <c r="B1725" t="s">
        <v>3902</v>
      </c>
      <c r="C1725" t="s">
        <v>101</v>
      </c>
      <c r="D1725" t="s">
        <v>335</v>
      </c>
      <c r="E1725" s="36">
        <v>900</v>
      </c>
      <c r="F1725" s="36">
        <v>1035</v>
      </c>
      <c r="G1725" s="36">
        <v>550</v>
      </c>
      <c r="H1725" s="36">
        <v>632</v>
      </c>
      <c r="I1725" s="37">
        <v>0</v>
      </c>
      <c r="J1725" s="37">
        <v>0</v>
      </c>
    </row>
    <row r="1726" spans="1:10" x14ac:dyDescent="0.25">
      <c r="A1726" t="s">
        <v>3903</v>
      </c>
      <c r="B1726" t="s">
        <v>3904</v>
      </c>
      <c r="C1726" t="s">
        <v>539</v>
      </c>
      <c r="D1726" t="s">
        <v>363</v>
      </c>
      <c r="E1726" s="36">
        <v>90000</v>
      </c>
      <c r="F1726" s="36">
        <v>108000</v>
      </c>
      <c r="G1726" s="36">
        <v>58000</v>
      </c>
      <c r="H1726" s="36">
        <v>66700</v>
      </c>
      <c r="I1726" s="37">
        <v>0</v>
      </c>
      <c r="J1726" s="37">
        <v>4.3478260869565188E-2</v>
      </c>
    </row>
    <row r="1727" spans="1:10" x14ac:dyDescent="0.25">
      <c r="A1727" t="s">
        <v>3905</v>
      </c>
      <c r="B1727" t="s">
        <v>3906</v>
      </c>
      <c r="C1727" t="s">
        <v>101</v>
      </c>
      <c r="D1727" t="s">
        <v>335</v>
      </c>
      <c r="E1727" s="36">
        <v>120</v>
      </c>
      <c r="F1727" s="36">
        <v>138</v>
      </c>
      <c r="G1727" s="36">
        <v>75</v>
      </c>
      <c r="H1727" s="36">
        <v>86</v>
      </c>
      <c r="I1727" s="37">
        <v>0</v>
      </c>
      <c r="J1727" s="37">
        <v>0</v>
      </c>
    </row>
    <row r="1728" spans="1:10" x14ac:dyDescent="0.25">
      <c r="A1728" t="s">
        <v>3907</v>
      </c>
      <c r="B1728" t="s">
        <v>3908</v>
      </c>
      <c r="C1728" t="s">
        <v>89</v>
      </c>
      <c r="D1728" t="s">
        <v>347</v>
      </c>
      <c r="E1728" s="36">
        <v>51</v>
      </c>
      <c r="F1728" s="36">
        <v>60</v>
      </c>
      <c r="G1728" s="36">
        <v>30</v>
      </c>
      <c r="H1728" s="36">
        <v>34.5</v>
      </c>
      <c r="I1728" s="37">
        <v>2.0000000000000021E-2</v>
      </c>
      <c r="J1728" s="37">
        <v>4.3478260869565188E-2</v>
      </c>
    </row>
    <row r="1729" spans="1:10" x14ac:dyDescent="0.25">
      <c r="A1729" t="s">
        <v>3909</v>
      </c>
      <c r="B1729" t="s">
        <v>3910</v>
      </c>
      <c r="C1729" t="s">
        <v>89</v>
      </c>
      <c r="D1729" t="s">
        <v>363</v>
      </c>
      <c r="E1729" s="36">
        <v>600</v>
      </c>
      <c r="F1729" s="36">
        <v>720</v>
      </c>
      <c r="G1729" s="36">
        <v>350</v>
      </c>
      <c r="H1729" s="36">
        <v>402</v>
      </c>
      <c r="I1729" s="37">
        <v>9.0909090909090828E-2</v>
      </c>
      <c r="J1729" s="37">
        <v>0.139240506329114</v>
      </c>
    </row>
    <row r="1730" spans="1:10" x14ac:dyDescent="0.25">
      <c r="A1730" t="s">
        <v>3911</v>
      </c>
      <c r="B1730" t="s">
        <v>1497</v>
      </c>
      <c r="C1730" t="s">
        <v>89</v>
      </c>
      <c r="D1730" t="s">
        <v>355</v>
      </c>
      <c r="E1730" s="36">
        <v>350</v>
      </c>
      <c r="F1730" s="36">
        <v>402</v>
      </c>
      <c r="G1730" s="36">
        <v>220</v>
      </c>
      <c r="H1730" s="36">
        <v>253</v>
      </c>
      <c r="I1730" s="37">
        <v>0</v>
      </c>
      <c r="J1730" s="37">
        <v>0</v>
      </c>
    </row>
    <row r="1731" spans="1:10" x14ac:dyDescent="0.25">
      <c r="A1731" t="s">
        <v>3912</v>
      </c>
      <c r="B1731" t="s">
        <v>3913</v>
      </c>
      <c r="C1731" t="s">
        <v>89</v>
      </c>
      <c r="D1731" t="s">
        <v>347</v>
      </c>
      <c r="E1731" s="36">
        <v>80</v>
      </c>
      <c r="F1731" s="36">
        <v>96</v>
      </c>
      <c r="G1731" s="36">
        <v>50</v>
      </c>
      <c r="H1731" s="36">
        <v>57.5</v>
      </c>
      <c r="I1731" s="37">
        <v>0</v>
      </c>
      <c r="J1731" s="37">
        <v>4.3478260869565188E-2</v>
      </c>
    </row>
    <row r="1732" spans="1:10" x14ac:dyDescent="0.25">
      <c r="A1732" t="s">
        <v>3914</v>
      </c>
      <c r="B1732" t="s">
        <v>3915</v>
      </c>
      <c r="C1732" t="s">
        <v>89</v>
      </c>
      <c r="D1732" t="s">
        <v>347</v>
      </c>
      <c r="E1732" s="36">
        <v>151</v>
      </c>
      <c r="F1732" s="36">
        <v>180</v>
      </c>
      <c r="G1732" s="36">
        <v>95</v>
      </c>
      <c r="H1732" s="36">
        <v>109</v>
      </c>
      <c r="I1732" s="37">
        <v>6.6666666666665986E-3</v>
      </c>
      <c r="J1732" s="37">
        <v>4.6511627906976827E-2</v>
      </c>
    </row>
    <row r="1733" spans="1:10" x14ac:dyDescent="0.25">
      <c r="A1733" t="s">
        <v>3916</v>
      </c>
      <c r="B1733" t="s">
        <v>1450</v>
      </c>
      <c r="C1733" t="s">
        <v>89</v>
      </c>
      <c r="D1733" t="s">
        <v>347</v>
      </c>
      <c r="E1733" s="36">
        <v>200</v>
      </c>
      <c r="F1733" s="36">
        <v>240</v>
      </c>
      <c r="G1733" s="36">
        <v>95</v>
      </c>
      <c r="H1733" s="36">
        <v>109</v>
      </c>
      <c r="I1733" s="37">
        <v>0.33333333333333331</v>
      </c>
      <c r="J1733" s="37">
        <v>0.39534883720930242</v>
      </c>
    </row>
    <row r="1734" spans="1:10" x14ac:dyDescent="0.25">
      <c r="A1734" t="s">
        <v>3917</v>
      </c>
      <c r="B1734" t="s">
        <v>3918</v>
      </c>
      <c r="C1734" t="s">
        <v>101</v>
      </c>
      <c r="D1734" t="s">
        <v>327</v>
      </c>
      <c r="E1734" s="36">
        <v>1000</v>
      </c>
      <c r="F1734" s="36">
        <v>1150</v>
      </c>
      <c r="G1734" s="36">
        <v>600</v>
      </c>
      <c r="H1734" s="36">
        <v>690</v>
      </c>
      <c r="I1734" s="37">
        <v>0</v>
      </c>
      <c r="J1734" s="37">
        <v>0</v>
      </c>
    </row>
    <row r="1735" spans="1:10" x14ac:dyDescent="0.25">
      <c r="A1735" t="s">
        <v>3919</v>
      </c>
      <c r="B1735" t="s">
        <v>3920</v>
      </c>
      <c r="C1735" t="s">
        <v>229</v>
      </c>
      <c r="D1735" t="s">
        <v>363</v>
      </c>
      <c r="E1735" s="36">
        <v>100</v>
      </c>
      <c r="F1735" s="36">
        <v>115</v>
      </c>
      <c r="G1735" s="36">
        <v>60</v>
      </c>
      <c r="H1735" s="36">
        <v>69</v>
      </c>
      <c r="I1735" s="37">
        <v>0</v>
      </c>
      <c r="J1735" s="37">
        <v>0</v>
      </c>
    </row>
    <row r="1736" spans="1:10" x14ac:dyDescent="0.25">
      <c r="A1736" t="s">
        <v>3921</v>
      </c>
      <c r="B1736" t="s">
        <v>3922</v>
      </c>
      <c r="C1736" t="s">
        <v>1428</v>
      </c>
      <c r="D1736" t="s">
        <v>363</v>
      </c>
      <c r="E1736" s="36">
        <v>1700</v>
      </c>
      <c r="F1736" s="36">
        <v>1955</v>
      </c>
      <c r="G1736" s="36">
        <v>1050</v>
      </c>
      <c r="H1736" s="36">
        <v>1208</v>
      </c>
      <c r="I1736" s="37">
        <v>0</v>
      </c>
      <c r="J1736" s="37">
        <v>0</v>
      </c>
    </row>
    <row r="1737" spans="1:10" x14ac:dyDescent="0.25">
      <c r="A1737" t="s">
        <v>3923</v>
      </c>
      <c r="B1737" t="s">
        <v>3924</v>
      </c>
      <c r="C1737" t="s">
        <v>101</v>
      </c>
      <c r="D1737" t="s">
        <v>363</v>
      </c>
      <c r="E1737" s="36">
        <v>600</v>
      </c>
      <c r="F1737" s="36">
        <v>720</v>
      </c>
      <c r="G1737" s="36">
        <v>380</v>
      </c>
      <c r="H1737" s="36">
        <v>437</v>
      </c>
      <c r="I1737" s="37">
        <v>0</v>
      </c>
      <c r="J1737" s="37">
        <v>4.3478260869565188E-2</v>
      </c>
    </row>
    <row r="1738" spans="1:10" x14ac:dyDescent="0.25">
      <c r="A1738" t="s">
        <v>3925</v>
      </c>
      <c r="B1738" t="s">
        <v>3926</v>
      </c>
      <c r="C1738" t="s">
        <v>101</v>
      </c>
      <c r="D1738" t="s">
        <v>363</v>
      </c>
      <c r="E1738" s="36">
        <v>600</v>
      </c>
      <c r="F1738" s="36">
        <v>720</v>
      </c>
      <c r="G1738" s="36">
        <v>380</v>
      </c>
      <c r="H1738" s="36">
        <v>437</v>
      </c>
      <c r="I1738" s="37">
        <v>0</v>
      </c>
      <c r="J1738" s="37">
        <v>4.3478260869565188E-2</v>
      </c>
    </row>
    <row r="1739" spans="1:10" x14ac:dyDescent="0.25">
      <c r="A1739" t="s">
        <v>3927</v>
      </c>
      <c r="B1739" t="s">
        <v>3928</v>
      </c>
      <c r="C1739" t="s">
        <v>101</v>
      </c>
      <c r="D1739" t="s">
        <v>363</v>
      </c>
      <c r="E1739" s="36">
        <v>720</v>
      </c>
      <c r="F1739" s="36">
        <v>864</v>
      </c>
      <c r="G1739" s="36">
        <v>440</v>
      </c>
      <c r="H1739" s="36">
        <v>506</v>
      </c>
      <c r="I1739" s="37">
        <v>2.857142857142847E-2</v>
      </c>
      <c r="J1739" s="37">
        <v>7.3291925465838403E-2</v>
      </c>
    </row>
    <row r="1740" spans="1:10" x14ac:dyDescent="0.25">
      <c r="A1740" t="s">
        <v>3929</v>
      </c>
      <c r="B1740" t="s">
        <v>3930</v>
      </c>
      <c r="C1740" t="s">
        <v>89</v>
      </c>
      <c r="D1740" t="s">
        <v>339</v>
      </c>
      <c r="E1740" s="36">
        <v>960</v>
      </c>
      <c r="F1740" s="36">
        <v>1140</v>
      </c>
      <c r="G1740" s="36">
        <v>560</v>
      </c>
      <c r="H1740" s="36">
        <v>644</v>
      </c>
      <c r="I1740" s="37">
        <v>6.6666666666666652E-2</v>
      </c>
      <c r="J1740" s="37">
        <v>0.10144927536231881</v>
      </c>
    </row>
    <row r="1741" spans="1:10" x14ac:dyDescent="0.25">
      <c r="A1741" t="s">
        <v>3931</v>
      </c>
      <c r="B1741" t="s">
        <v>3932</v>
      </c>
      <c r="C1741" t="s">
        <v>460</v>
      </c>
      <c r="D1741" t="s">
        <v>363</v>
      </c>
      <c r="E1741" s="36">
        <v>30000</v>
      </c>
      <c r="F1741" s="36">
        <v>36000</v>
      </c>
      <c r="G1741" s="36">
        <v>11000</v>
      </c>
      <c r="H1741" s="36">
        <v>12650</v>
      </c>
      <c r="I1741" s="37">
        <v>0.66666666666666674</v>
      </c>
      <c r="J1741" s="37">
        <v>0.73913043478260865</v>
      </c>
    </row>
    <row r="1742" spans="1:10" x14ac:dyDescent="0.25">
      <c r="A1742" t="s">
        <v>3933</v>
      </c>
      <c r="B1742" t="s">
        <v>3934</v>
      </c>
      <c r="C1742" t="s">
        <v>101</v>
      </c>
      <c r="D1742" t="s">
        <v>363</v>
      </c>
      <c r="E1742" s="36">
        <v>1200</v>
      </c>
      <c r="F1742" s="36">
        <v>1440</v>
      </c>
      <c r="G1742" s="36">
        <v>750</v>
      </c>
      <c r="H1742" s="36">
        <v>862</v>
      </c>
      <c r="I1742" s="37">
        <v>0</v>
      </c>
      <c r="J1742" s="37">
        <v>4.3478260869565188E-2</v>
      </c>
    </row>
    <row r="1743" spans="1:10" x14ac:dyDescent="0.25">
      <c r="A1743" t="s">
        <v>3935</v>
      </c>
      <c r="B1743" t="s">
        <v>3936</v>
      </c>
      <c r="C1743" t="s">
        <v>101</v>
      </c>
      <c r="D1743" t="s">
        <v>379</v>
      </c>
      <c r="E1743" s="36">
        <v>3000</v>
      </c>
      <c r="F1743" s="36">
        <v>3450</v>
      </c>
      <c r="G1743" s="36">
        <v>1900</v>
      </c>
      <c r="H1743" s="36">
        <v>2185</v>
      </c>
      <c r="I1743" s="37">
        <v>0</v>
      </c>
      <c r="J1743" s="37">
        <v>0</v>
      </c>
    </row>
    <row r="1744" spans="1:10" x14ac:dyDescent="0.25">
      <c r="A1744" t="s">
        <v>3937</v>
      </c>
      <c r="B1744" t="s">
        <v>3938</v>
      </c>
      <c r="C1744" t="s">
        <v>101</v>
      </c>
      <c r="D1744" t="s">
        <v>379</v>
      </c>
      <c r="E1744" s="36">
        <v>800</v>
      </c>
      <c r="F1744" s="36">
        <v>920</v>
      </c>
      <c r="G1744" s="36">
        <v>500</v>
      </c>
      <c r="H1744" s="36">
        <v>575</v>
      </c>
      <c r="I1744" s="37">
        <v>0</v>
      </c>
      <c r="J1744" s="37">
        <v>0</v>
      </c>
    </row>
    <row r="1745" spans="1:10" x14ac:dyDescent="0.25">
      <c r="A1745" t="s">
        <v>3939</v>
      </c>
      <c r="B1745" t="s">
        <v>3940</v>
      </c>
      <c r="C1745" t="s">
        <v>101</v>
      </c>
      <c r="D1745" t="s">
        <v>379</v>
      </c>
      <c r="E1745" s="36">
        <v>1800</v>
      </c>
      <c r="F1745" s="36">
        <v>2070</v>
      </c>
      <c r="G1745" s="36">
        <v>1100</v>
      </c>
      <c r="H1745" s="36">
        <v>1265</v>
      </c>
      <c r="I1745" s="37">
        <v>0</v>
      </c>
      <c r="J1745" s="37">
        <v>0</v>
      </c>
    </row>
    <row r="1746" spans="1:10" x14ac:dyDescent="0.25">
      <c r="A1746" t="s">
        <v>3941</v>
      </c>
      <c r="B1746" t="s">
        <v>3942</v>
      </c>
      <c r="C1746" t="s">
        <v>3943</v>
      </c>
      <c r="D1746" t="s">
        <v>383</v>
      </c>
      <c r="E1746" s="36">
        <v>45000</v>
      </c>
      <c r="F1746" s="36">
        <v>54000</v>
      </c>
      <c r="G1746" s="36">
        <v>25000</v>
      </c>
      <c r="H1746" s="36">
        <v>30000</v>
      </c>
      <c r="I1746" s="37">
        <v>0</v>
      </c>
      <c r="J1746" s="37">
        <v>0</v>
      </c>
    </row>
    <row r="1747" spans="1:10" x14ac:dyDescent="0.25">
      <c r="A1747" t="s">
        <v>3944</v>
      </c>
      <c r="B1747" t="s">
        <v>3945</v>
      </c>
      <c r="C1747" t="s">
        <v>229</v>
      </c>
      <c r="D1747" t="s">
        <v>379</v>
      </c>
      <c r="E1747" s="36">
        <v>90</v>
      </c>
      <c r="F1747" s="36">
        <v>103</v>
      </c>
      <c r="G1747" s="36">
        <v>55</v>
      </c>
      <c r="H1747" s="36">
        <v>63</v>
      </c>
      <c r="I1747" s="37">
        <v>0</v>
      </c>
      <c r="J1747" s="37">
        <v>0</v>
      </c>
    </row>
    <row r="1748" spans="1:10" x14ac:dyDescent="0.25">
      <c r="A1748" t="s">
        <v>3946</v>
      </c>
      <c r="B1748" t="s">
        <v>3947</v>
      </c>
      <c r="C1748" t="s">
        <v>1428</v>
      </c>
      <c r="D1748" t="s">
        <v>379</v>
      </c>
      <c r="E1748" s="36">
        <v>1500</v>
      </c>
      <c r="F1748" s="36">
        <v>1725</v>
      </c>
      <c r="G1748" s="36">
        <v>950</v>
      </c>
      <c r="H1748" s="36">
        <v>1092</v>
      </c>
      <c r="I1748" s="37">
        <v>0</v>
      </c>
      <c r="J1748" s="37">
        <v>0</v>
      </c>
    </row>
    <row r="1749" spans="1:10" x14ac:dyDescent="0.25">
      <c r="A1749" t="s">
        <v>3948</v>
      </c>
      <c r="B1749" t="s">
        <v>3949</v>
      </c>
      <c r="C1749" t="s">
        <v>101</v>
      </c>
      <c r="D1749" t="s">
        <v>379</v>
      </c>
      <c r="E1749" s="36">
        <v>550</v>
      </c>
      <c r="F1749" s="36">
        <v>632</v>
      </c>
      <c r="G1749" s="36">
        <v>350</v>
      </c>
      <c r="H1749" s="36">
        <v>402</v>
      </c>
      <c r="I1749" s="37">
        <v>0</v>
      </c>
      <c r="J1749" s="37">
        <v>0</v>
      </c>
    </row>
    <row r="1750" spans="1:10" x14ac:dyDescent="0.25">
      <c r="A1750" t="s">
        <v>3950</v>
      </c>
      <c r="B1750" t="s">
        <v>3951</v>
      </c>
      <c r="C1750" t="s">
        <v>101</v>
      </c>
      <c r="D1750" t="s">
        <v>379</v>
      </c>
      <c r="E1750" s="36">
        <v>35</v>
      </c>
      <c r="F1750" s="36">
        <v>42</v>
      </c>
      <c r="G1750" s="36">
        <v>18</v>
      </c>
      <c r="H1750" s="36">
        <v>20.5</v>
      </c>
      <c r="I1750" s="37">
        <v>0.16666666666666671</v>
      </c>
      <c r="J1750" s="37">
        <v>0.21739130434782619</v>
      </c>
    </row>
    <row r="1751" spans="1:10" x14ac:dyDescent="0.25">
      <c r="A1751" t="s">
        <v>3952</v>
      </c>
      <c r="B1751" t="s">
        <v>3953</v>
      </c>
      <c r="C1751" t="s">
        <v>89</v>
      </c>
      <c r="D1751" t="s">
        <v>402</v>
      </c>
      <c r="E1751" s="36">
        <v>25</v>
      </c>
      <c r="F1751" s="36">
        <v>27.5</v>
      </c>
      <c r="G1751" s="36">
        <v>15</v>
      </c>
      <c r="H1751" s="36">
        <v>16.5</v>
      </c>
      <c r="I1751" s="37">
        <v>0</v>
      </c>
      <c r="J1751" s="37">
        <v>0</v>
      </c>
    </row>
    <row r="1752" spans="1:10" x14ac:dyDescent="0.25">
      <c r="A1752" t="s">
        <v>3954</v>
      </c>
      <c r="B1752" t="s">
        <v>3955</v>
      </c>
      <c r="C1752" t="s">
        <v>2428</v>
      </c>
      <c r="D1752" t="s">
        <v>383</v>
      </c>
      <c r="E1752" s="36">
        <v>11200</v>
      </c>
      <c r="F1752" s="36">
        <v>13440</v>
      </c>
      <c r="G1752" s="36">
        <v>5500</v>
      </c>
      <c r="H1752" s="36">
        <v>6325</v>
      </c>
      <c r="I1752" s="37">
        <v>0.24444444444444449</v>
      </c>
      <c r="J1752" s="37">
        <v>0.29855072463768112</v>
      </c>
    </row>
    <row r="1753" spans="1:10" x14ac:dyDescent="0.25">
      <c r="A1753" t="s">
        <v>3956</v>
      </c>
      <c r="B1753" t="s">
        <v>3957</v>
      </c>
      <c r="C1753" t="s">
        <v>229</v>
      </c>
      <c r="D1753" t="s">
        <v>379</v>
      </c>
      <c r="E1753" s="36">
        <v>40</v>
      </c>
      <c r="F1753" s="36">
        <v>46</v>
      </c>
      <c r="G1753" s="36">
        <v>25</v>
      </c>
      <c r="H1753" s="36">
        <v>28.5</v>
      </c>
      <c r="I1753" s="37">
        <v>0</v>
      </c>
      <c r="J1753" s="37">
        <v>0</v>
      </c>
    </row>
    <row r="1754" spans="1:10" x14ac:dyDescent="0.25">
      <c r="A1754" t="s">
        <v>3958</v>
      </c>
      <c r="B1754" t="s">
        <v>3959</v>
      </c>
      <c r="C1754" t="s">
        <v>101</v>
      </c>
      <c r="D1754" t="s">
        <v>402</v>
      </c>
      <c r="E1754" s="36">
        <v>250</v>
      </c>
      <c r="F1754" s="36">
        <v>288</v>
      </c>
      <c r="G1754" s="36">
        <v>150</v>
      </c>
      <c r="H1754" s="36">
        <v>172</v>
      </c>
      <c r="I1754" s="37">
        <v>0</v>
      </c>
      <c r="J1754" s="37">
        <v>0</v>
      </c>
    </row>
    <row r="1755" spans="1:10" x14ac:dyDescent="0.25">
      <c r="A1755" t="s">
        <v>3960</v>
      </c>
      <c r="B1755" t="s">
        <v>3961</v>
      </c>
      <c r="C1755" t="s">
        <v>101</v>
      </c>
      <c r="D1755" t="s">
        <v>402</v>
      </c>
      <c r="E1755" s="36">
        <v>150</v>
      </c>
      <c r="F1755" s="36">
        <v>172</v>
      </c>
      <c r="G1755" s="36">
        <v>90</v>
      </c>
      <c r="H1755" s="36">
        <v>103</v>
      </c>
      <c r="I1755" s="37">
        <v>0</v>
      </c>
      <c r="J1755" s="37">
        <v>0</v>
      </c>
    </row>
    <row r="1756" spans="1:10" x14ac:dyDescent="0.25">
      <c r="A1756" t="s">
        <v>3962</v>
      </c>
      <c r="B1756" t="s">
        <v>3963</v>
      </c>
      <c r="C1756" t="s">
        <v>101</v>
      </c>
      <c r="D1756" t="s">
        <v>386</v>
      </c>
      <c r="E1756" s="36">
        <v>1500</v>
      </c>
      <c r="F1756" s="36">
        <v>1725</v>
      </c>
      <c r="G1756" s="36">
        <v>930</v>
      </c>
      <c r="H1756" s="36">
        <v>1069</v>
      </c>
      <c r="I1756" s="37">
        <v>0</v>
      </c>
      <c r="J1756" s="37">
        <v>0</v>
      </c>
    </row>
    <row r="1757" spans="1:10" x14ac:dyDescent="0.25">
      <c r="A1757" t="s">
        <v>3964</v>
      </c>
      <c r="B1757" t="s">
        <v>3965</v>
      </c>
      <c r="C1757" t="s">
        <v>101</v>
      </c>
      <c r="D1757" t="s">
        <v>386</v>
      </c>
      <c r="E1757" s="36">
        <v>1700</v>
      </c>
      <c r="F1757" s="36">
        <v>1955</v>
      </c>
      <c r="G1757" s="36">
        <v>1054</v>
      </c>
      <c r="H1757" s="36">
        <v>1212</v>
      </c>
      <c r="I1757" s="37">
        <v>0</v>
      </c>
      <c r="J1757" s="37">
        <v>0</v>
      </c>
    </row>
    <row r="1758" spans="1:10" x14ac:dyDescent="0.25">
      <c r="A1758" t="s">
        <v>3966</v>
      </c>
      <c r="B1758" t="s">
        <v>3967</v>
      </c>
      <c r="C1758" t="s">
        <v>101</v>
      </c>
      <c r="D1758" t="s">
        <v>390</v>
      </c>
      <c r="E1758" s="36">
        <v>4500</v>
      </c>
      <c r="F1758" s="36">
        <v>5175</v>
      </c>
      <c r="G1758" s="36">
        <v>2700</v>
      </c>
      <c r="H1758" s="36">
        <v>3105</v>
      </c>
      <c r="I1758" s="37">
        <v>0</v>
      </c>
      <c r="J1758" s="37">
        <v>0</v>
      </c>
    </row>
    <row r="1759" spans="1:10" x14ac:dyDescent="0.25">
      <c r="A1759" t="s">
        <v>3968</v>
      </c>
      <c r="B1759" t="s">
        <v>3969</v>
      </c>
      <c r="C1759" t="s">
        <v>89</v>
      </c>
      <c r="D1759" t="s">
        <v>386</v>
      </c>
      <c r="E1759" s="36">
        <v>4000</v>
      </c>
      <c r="F1759" s="36">
        <v>4600</v>
      </c>
      <c r="G1759" s="36">
        <v>2480</v>
      </c>
      <c r="H1759" s="36">
        <v>2852</v>
      </c>
      <c r="I1759" s="37">
        <v>0</v>
      </c>
      <c r="J1759" s="37">
        <v>0</v>
      </c>
    </row>
    <row r="1760" spans="1:10" x14ac:dyDescent="0.25">
      <c r="A1760" t="s">
        <v>3970</v>
      </c>
      <c r="B1760" t="s">
        <v>3971</v>
      </c>
      <c r="C1760" t="s">
        <v>101</v>
      </c>
      <c r="D1760" t="s">
        <v>386</v>
      </c>
      <c r="E1760" s="36">
        <v>2000</v>
      </c>
      <c r="F1760" s="36">
        <v>2300</v>
      </c>
      <c r="G1760" s="36">
        <v>1240</v>
      </c>
      <c r="H1760" s="36">
        <v>1426</v>
      </c>
      <c r="I1760" s="37">
        <v>0</v>
      </c>
      <c r="J1760" s="37">
        <v>0</v>
      </c>
    </row>
    <row r="1761" spans="1:10" x14ac:dyDescent="0.25">
      <c r="A1761" t="s">
        <v>3972</v>
      </c>
      <c r="B1761" t="s">
        <v>3973</v>
      </c>
      <c r="C1761" t="s">
        <v>101</v>
      </c>
      <c r="D1761" t="s">
        <v>390</v>
      </c>
      <c r="E1761" s="36">
        <v>3500</v>
      </c>
      <c r="F1761" s="36">
        <v>4025</v>
      </c>
      <c r="G1761" s="36">
        <v>2100</v>
      </c>
      <c r="H1761" s="36">
        <v>2415</v>
      </c>
      <c r="I1761" s="37">
        <v>0</v>
      </c>
      <c r="J1761" s="37">
        <v>0</v>
      </c>
    </row>
    <row r="1762" spans="1:10" x14ac:dyDescent="0.25">
      <c r="A1762" t="s">
        <v>3974</v>
      </c>
      <c r="B1762" t="s">
        <v>3975</v>
      </c>
      <c r="C1762" t="s">
        <v>101</v>
      </c>
      <c r="D1762" t="s">
        <v>390</v>
      </c>
      <c r="E1762" s="36">
        <v>2500</v>
      </c>
      <c r="F1762" s="36">
        <v>2875</v>
      </c>
      <c r="G1762" s="36">
        <v>1500</v>
      </c>
      <c r="H1762" s="36">
        <v>1725</v>
      </c>
      <c r="I1762" s="37">
        <v>0</v>
      </c>
      <c r="J1762" s="37">
        <v>0</v>
      </c>
    </row>
    <row r="1763" spans="1:10" x14ac:dyDescent="0.25">
      <c r="A1763" t="s">
        <v>3976</v>
      </c>
      <c r="B1763" t="s">
        <v>3977</v>
      </c>
      <c r="C1763" t="s">
        <v>101</v>
      </c>
      <c r="D1763" t="s">
        <v>390</v>
      </c>
      <c r="E1763" s="36">
        <v>1600</v>
      </c>
      <c r="F1763" s="36">
        <v>1840</v>
      </c>
      <c r="G1763" s="36">
        <v>960</v>
      </c>
      <c r="H1763" s="36">
        <v>1104</v>
      </c>
      <c r="I1763" s="37">
        <v>0</v>
      </c>
      <c r="J1763" s="37">
        <v>0</v>
      </c>
    </row>
    <row r="1764" spans="1:10" x14ac:dyDescent="0.25">
      <c r="A1764" t="s">
        <v>3978</v>
      </c>
      <c r="B1764" t="s">
        <v>3979</v>
      </c>
      <c r="C1764" t="s">
        <v>101</v>
      </c>
      <c r="D1764" t="s">
        <v>390</v>
      </c>
      <c r="E1764" s="36">
        <v>1800</v>
      </c>
      <c r="F1764" s="36">
        <v>2070</v>
      </c>
      <c r="G1764" s="36">
        <v>1080</v>
      </c>
      <c r="H1764" s="36">
        <v>1242</v>
      </c>
      <c r="I1764" s="37">
        <v>0</v>
      </c>
      <c r="J1764" s="37">
        <v>0</v>
      </c>
    </row>
    <row r="1765" spans="1:10" x14ac:dyDescent="0.25">
      <c r="A1765" t="s">
        <v>3980</v>
      </c>
      <c r="B1765" t="s">
        <v>3981</v>
      </c>
      <c r="C1765" t="s">
        <v>101</v>
      </c>
      <c r="D1765" t="s">
        <v>386</v>
      </c>
      <c r="E1765" s="36">
        <v>500</v>
      </c>
      <c r="F1765" s="36">
        <v>575</v>
      </c>
      <c r="G1765" s="36">
        <v>310</v>
      </c>
      <c r="H1765" s="36">
        <v>356</v>
      </c>
      <c r="I1765" s="37">
        <v>0</v>
      </c>
      <c r="J1765" s="37">
        <v>0</v>
      </c>
    </row>
    <row r="1766" spans="1:10" x14ac:dyDescent="0.25">
      <c r="A1766" t="s">
        <v>3982</v>
      </c>
      <c r="B1766" t="s">
        <v>3983</v>
      </c>
      <c r="C1766" t="s">
        <v>101</v>
      </c>
      <c r="D1766" t="s">
        <v>390</v>
      </c>
      <c r="E1766" s="36">
        <v>2500</v>
      </c>
      <c r="F1766" s="36">
        <v>2875</v>
      </c>
      <c r="G1766" s="36">
        <v>1500</v>
      </c>
      <c r="H1766" s="36">
        <v>1725</v>
      </c>
      <c r="I1766" s="37">
        <v>0</v>
      </c>
      <c r="J1766" s="37">
        <v>0</v>
      </c>
    </row>
    <row r="1767" spans="1:10" x14ac:dyDescent="0.25">
      <c r="A1767" t="s">
        <v>3984</v>
      </c>
      <c r="B1767" t="s">
        <v>3985</v>
      </c>
      <c r="C1767" t="s">
        <v>101</v>
      </c>
      <c r="D1767" t="s">
        <v>390</v>
      </c>
      <c r="E1767" s="36">
        <v>5500</v>
      </c>
      <c r="F1767" s="36">
        <v>6325</v>
      </c>
      <c r="G1767" s="36">
        <v>3300</v>
      </c>
      <c r="H1767" s="36">
        <v>3795</v>
      </c>
      <c r="I1767" s="37">
        <v>0</v>
      </c>
      <c r="J1767" s="37">
        <v>0</v>
      </c>
    </row>
    <row r="1768" spans="1:10" x14ac:dyDescent="0.25">
      <c r="A1768" t="s">
        <v>3986</v>
      </c>
      <c r="B1768" t="s">
        <v>3987</v>
      </c>
      <c r="C1768" t="s">
        <v>101</v>
      </c>
      <c r="D1768" t="s">
        <v>390</v>
      </c>
      <c r="E1768" s="36">
        <v>2800</v>
      </c>
      <c r="F1768" s="36">
        <v>3220</v>
      </c>
      <c r="G1768" s="36">
        <v>1680</v>
      </c>
      <c r="H1768" s="36">
        <v>1932</v>
      </c>
      <c r="I1768" s="37">
        <v>0</v>
      </c>
      <c r="J1768" s="37">
        <v>0</v>
      </c>
    </row>
    <row r="1769" spans="1:10" x14ac:dyDescent="0.25">
      <c r="A1769" t="s">
        <v>3988</v>
      </c>
      <c r="B1769" t="s">
        <v>3989</v>
      </c>
      <c r="C1769" t="s">
        <v>101</v>
      </c>
      <c r="D1769" t="s">
        <v>390</v>
      </c>
      <c r="E1769" s="36">
        <v>2800</v>
      </c>
      <c r="F1769" s="36">
        <v>3220</v>
      </c>
      <c r="G1769" s="36">
        <v>1680</v>
      </c>
      <c r="H1769" s="36">
        <v>1932</v>
      </c>
      <c r="I1769" s="37">
        <v>0</v>
      </c>
      <c r="J1769" s="37">
        <v>0</v>
      </c>
    </row>
    <row r="1770" spans="1:10" x14ac:dyDescent="0.25">
      <c r="A1770" t="s">
        <v>3990</v>
      </c>
      <c r="B1770" t="s">
        <v>3991</v>
      </c>
      <c r="C1770" t="s">
        <v>229</v>
      </c>
      <c r="D1770" t="s">
        <v>386</v>
      </c>
      <c r="E1770" s="36">
        <v>600</v>
      </c>
      <c r="F1770" s="36">
        <v>690</v>
      </c>
      <c r="G1770" s="36">
        <v>372</v>
      </c>
      <c r="H1770" s="36">
        <v>428</v>
      </c>
      <c r="I1770" s="37">
        <v>0</v>
      </c>
      <c r="J1770" s="37">
        <v>0</v>
      </c>
    </row>
    <row r="1771" spans="1:10" x14ac:dyDescent="0.25">
      <c r="A1771" t="s">
        <v>3992</v>
      </c>
      <c r="B1771" t="s">
        <v>3993</v>
      </c>
      <c r="C1771" t="s">
        <v>229</v>
      </c>
      <c r="D1771" t="s">
        <v>386</v>
      </c>
      <c r="E1771" s="36">
        <v>600</v>
      </c>
      <c r="F1771" s="36">
        <v>690</v>
      </c>
      <c r="G1771" s="36">
        <v>372</v>
      </c>
      <c r="H1771" s="36">
        <v>428</v>
      </c>
      <c r="I1771" s="37">
        <v>0</v>
      </c>
      <c r="J1771" s="37">
        <v>0</v>
      </c>
    </row>
    <row r="1772" spans="1:10" x14ac:dyDescent="0.25">
      <c r="A1772" t="s">
        <v>3994</v>
      </c>
      <c r="B1772" t="s">
        <v>3995</v>
      </c>
      <c r="C1772" t="s">
        <v>101</v>
      </c>
      <c r="D1772" t="s">
        <v>390</v>
      </c>
      <c r="E1772" s="36">
        <v>3200</v>
      </c>
      <c r="F1772" s="36">
        <v>3840</v>
      </c>
      <c r="G1772" s="36">
        <v>1800</v>
      </c>
      <c r="H1772" s="36">
        <v>2070</v>
      </c>
      <c r="I1772" s="37">
        <v>6.6666666666666652E-2</v>
      </c>
      <c r="J1772" s="37">
        <v>0.11304347826086961</v>
      </c>
    </row>
    <row r="1773" spans="1:10" x14ac:dyDescent="0.25">
      <c r="A1773" t="s">
        <v>3996</v>
      </c>
      <c r="B1773" t="s">
        <v>3997</v>
      </c>
      <c r="C1773" t="s">
        <v>101</v>
      </c>
      <c r="D1773" t="s">
        <v>390</v>
      </c>
      <c r="E1773" s="36">
        <v>24000</v>
      </c>
      <c r="F1773" s="36">
        <v>27600</v>
      </c>
      <c r="G1773" s="36">
        <v>14400</v>
      </c>
      <c r="H1773" s="36">
        <v>16560</v>
      </c>
      <c r="I1773" s="37">
        <v>0</v>
      </c>
      <c r="J1773" s="37">
        <v>0</v>
      </c>
    </row>
    <row r="1774" spans="1:10" x14ac:dyDescent="0.25">
      <c r="A1774" t="s">
        <v>3998</v>
      </c>
      <c r="B1774" t="s">
        <v>3999</v>
      </c>
      <c r="C1774" t="s">
        <v>101</v>
      </c>
      <c r="D1774" t="s">
        <v>390</v>
      </c>
      <c r="E1774" s="36">
        <v>2500</v>
      </c>
      <c r="F1774" s="36">
        <v>2875</v>
      </c>
      <c r="G1774" s="36">
        <v>1500</v>
      </c>
      <c r="H1774" s="36">
        <v>1725</v>
      </c>
      <c r="I1774" s="37">
        <v>0</v>
      </c>
      <c r="J1774" s="37">
        <v>0</v>
      </c>
    </row>
    <row r="1775" spans="1:10" x14ac:dyDescent="0.25">
      <c r="A1775" t="s">
        <v>4000</v>
      </c>
      <c r="B1775" t="s">
        <v>4001</v>
      </c>
      <c r="C1775" t="s">
        <v>101</v>
      </c>
      <c r="D1775" t="s">
        <v>390</v>
      </c>
      <c r="E1775" s="36">
        <v>3000</v>
      </c>
      <c r="F1775" s="36">
        <v>3450</v>
      </c>
      <c r="G1775" s="36">
        <v>1800</v>
      </c>
      <c r="H1775" s="36">
        <v>2070</v>
      </c>
      <c r="I1775" s="37">
        <v>0</v>
      </c>
      <c r="J1775" s="37">
        <v>0</v>
      </c>
    </row>
    <row r="1776" spans="1:10" x14ac:dyDescent="0.25">
      <c r="A1776" t="s">
        <v>4002</v>
      </c>
      <c r="B1776" t="s">
        <v>4003</v>
      </c>
      <c r="C1776" t="s">
        <v>101</v>
      </c>
      <c r="D1776" t="s">
        <v>386</v>
      </c>
      <c r="E1776" s="36">
        <v>1500</v>
      </c>
      <c r="F1776" s="36">
        <v>1725</v>
      </c>
      <c r="G1776" s="36">
        <v>930</v>
      </c>
      <c r="H1776" s="36">
        <v>1069</v>
      </c>
      <c r="I1776" s="37">
        <v>0</v>
      </c>
      <c r="J1776" s="37">
        <v>0</v>
      </c>
    </row>
    <row r="1777" spans="1:10" x14ac:dyDescent="0.25">
      <c r="A1777" t="s">
        <v>4004</v>
      </c>
      <c r="B1777" t="s">
        <v>4005</v>
      </c>
      <c r="C1777" t="s">
        <v>101</v>
      </c>
      <c r="D1777" t="s">
        <v>390</v>
      </c>
      <c r="E1777" s="36">
        <v>4000</v>
      </c>
      <c r="F1777" s="36">
        <v>4600</v>
      </c>
      <c r="G1777" s="36">
        <v>2400</v>
      </c>
      <c r="H1777" s="36">
        <v>2760</v>
      </c>
      <c r="I1777" s="37">
        <v>0</v>
      </c>
      <c r="J1777" s="37">
        <v>0</v>
      </c>
    </row>
    <row r="1778" spans="1:10" x14ac:dyDescent="0.25">
      <c r="A1778" t="s">
        <v>4006</v>
      </c>
      <c r="B1778" t="s">
        <v>4007</v>
      </c>
      <c r="C1778" t="s">
        <v>101</v>
      </c>
      <c r="D1778" t="s">
        <v>390</v>
      </c>
      <c r="E1778" s="36">
        <v>1500</v>
      </c>
      <c r="F1778" s="36">
        <v>1725</v>
      </c>
      <c r="G1778" s="36">
        <v>900</v>
      </c>
      <c r="H1778" s="36">
        <v>1035</v>
      </c>
      <c r="I1778" s="37">
        <v>0</v>
      </c>
      <c r="J1778" s="37">
        <v>0</v>
      </c>
    </row>
    <row r="1779" spans="1:10" x14ac:dyDescent="0.25">
      <c r="A1779" t="s">
        <v>4008</v>
      </c>
      <c r="B1779" t="s">
        <v>4009</v>
      </c>
      <c r="C1779" t="s">
        <v>101</v>
      </c>
      <c r="D1779" t="s">
        <v>386</v>
      </c>
      <c r="E1779" s="36">
        <v>1200</v>
      </c>
      <c r="F1779" s="36">
        <v>1380</v>
      </c>
      <c r="G1779" s="36">
        <v>744</v>
      </c>
      <c r="H1779" s="36">
        <v>856</v>
      </c>
      <c r="I1779" s="37">
        <v>0</v>
      </c>
      <c r="J1779" s="37">
        <v>0</v>
      </c>
    </row>
    <row r="1780" spans="1:10" x14ac:dyDescent="0.25">
      <c r="A1780" t="s">
        <v>4010</v>
      </c>
      <c r="B1780" t="s">
        <v>4011</v>
      </c>
      <c r="C1780" t="s">
        <v>101</v>
      </c>
      <c r="D1780" t="s">
        <v>390</v>
      </c>
      <c r="E1780" s="36">
        <v>3500</v>
      </c>
      <c r="F1780" s="36">
        <v>4025</v>
      </c>
      <c r="G1780" s="36">
        <v>2100</v>
      </c>
      <c r="H1780" s="36">
        <v>2415</v>
      </c>
      <c r="I1780" s="37">
        <v>0</v>
      </c>
      <c r="J1780" s="37">
        <v>0</v>
      </c>
    </row>
    <row r="1781" spans="1:10" x14ac:dyDescent="0.25">
      <c r="A1781" t="s">
        <v>4012</v>
      </c>
      <c r="B1781" t="s">
        <v>4013</v>
      </c>
      <c r="C1781" t="s">
        <v>101</v>
      </c>
      <c r="D1781" t="s">
        <v>390</v>
      </c>
      <c r="E1781" s="36">
        <v>3000</v>
      </c>
      <c r="F1781" s="36">
        <v>3450</v>
      </c>
      <c r="G1781" s="36">
        <v>1800</v>
      </c>
      <c r="H1781" s="36">
        <v>2070</v>
      </c>
      <c r="I1781" s="37">
        <v>0</v>
      </c>
      <c r="J1781" s="37">
        <v>0</v>
      </c>
    </row>
    <row r="1782" spans="1:10" x14ac:dyDescent="0.25">
      <c r="A1782" t="s">
        <v>4014</v>
      </c>
      <c r="B1782" t="s">
        <v>4015</v>
      </c>
      <c r="C1782" t="s">
        <v>101</v>
      </c>
      <c r="D1782" t="s">
        <v>390</v>
      </c>
      <c r="E1782" s="36">
        <v>4000</v>
      </c>
      <c r="F1782" s="36">
        <v>4600</v>
      </c>
      <c r="G1782" s="36">
        <v>2400</v>
      </c>
      <c r="H1782" s="36">
        <v>2760</v>
      </c>
      <c r="I1782" s="37">
        <v>0</v>
      </c>
      <c r="J1782" s="37">
        <v>0</v>
      </c>
    </row>
    <row r="1783" spans="1:10" x14ac:dyDescent="0.25">
      <c r="A1783" t="s">
        <v>4016</v>
      </c>
      <c r="B1783" t="s">
        <v>4017</v>
      </c>
      <c r="C1783" t="s">
        <v>101</v>
      </c>
      <c r="D1783" t="s">
        <v>390</v>
      </c>
      <c r="E1783" s="36">
        <v>2500</v>
      </c>
      <c r="F1783" s="36">
        <v>2875</v>
      </c>
      <c r="G1783" s="36">
        <v>1500</v>
      </c>
      <c r="H1783" s="36">
        <v>1725</v>
      </c>
      <c r="I1783" s="37">
        <v>0</v>
      </c>
      <c r="J1783" s="37">
        <v>0</v>
      </c>
    </row>
    <row r="1784" spans="1:10" x14ac:dyDescent="0.25">
      <c r="A1784" t="s">
        <v>4018</v>
      </c>
      <c r="B1784" t="s">
        <v>4019</v>
      </c>
      <c r="C1784" t="s">
        <v>89</v>
      </c>
      <c r="D1784" t="s">
        <v>386</v>
      </c>
      <c r="E1784" s="36">
        <v>2000</v>
      </c>
      <c r="F1784" s="36">
        <v>2300</v>
      </c>
      <c r="G1784" s="36">
        <v>1240</v>
      </c>
      <c r="H1784" s="36">
        <v>1426</v>
      </c>
      <c r="I1784" s="37">
        <v>0</v>
      </c>
      <c r="J1784" s="37">
        <v>0</v>
      </c>
    </row>
    <row r="1785" spans="1:10" x14ac:dyDescent="0.25">
      <c r="A1785" t="s">
        <v>4020</v>
      </c>
      <c r="B1785" t="s">
        <v>4021</v>
      </c>
      <c r="C1785" t="s">
        <v>89</v>
      </c>
      <c r="D1785" t="s">
        <v>386</v>
      </c>
      <c r="E1785" s="36">
        <v>2200</v>
      </c>
      <c r="F1785" s="36">
        <v>2530</v>
      </c>
      <c r="G1785" s="36">
        <v>1364</v>
      </c>
      <c r="H1785" s="36">
        <v>1569</v>
      </c>
      <c r="I1785" s="37">
        <v>0</v>
      </c>
      <c r="J1785" s="37">
        <v>0</v>
      </c>
    </row>
    <row r="1786" spans="1:10" x14ac:dyDescent="0.25">
      <c r="A1786" t="s">
        <v>4022</v>
      </c>
      <c r="B1786" t="s">
        <v>4023</v>
      </c>
      <c r="C1786" t="s">
        <v>101</v>
      </c>
      <c r="D1786" t="s">
        <v>390</v>
      </c>
      <c r="E1786" s="36">
        <v>3500</v>
      </c>
      <c r="F1786" s="36">
        <v>4025</v>
      </c>
      <c r="G1786" s="36">
        <v>2100</v>
      </c>
      <c r="H1786" s="36">
        <v>2415</v>
      </c>
      <c r="I1786" s="37">
        <v>0</v>
      </c>
      <c r="J1786" s="37">
        <v>0</v>
      </c>
    </row>
    <row r="1787" spans="1:10" x14ac:dyDescent="0.25">
      <c r="A1787" t="s">
        <v>4024</v>
      </c>
      <c r="B1787" t="s">
        <v>4025</v>
      </c>
      <c r="C1787" t="s">
        <v>101</v>
      </c>
      <c r="D1787" t="s">
        <v>390</v>
      </c>
      <c r="E1787" s="36">
        <v>3000</v>
      </c>
      <c r="F1787" s="36">
        <v>3450</v>
      </c>
      <c r="G1787" s="36">
        <v>1800</v>
      </c>
      <c r="H1787" s="36">
        <v>2070</v>
      </c>
      <c r="I1787" s="37">
        <v>0</v>
      </c>
      <c r="J1787" s="37">
        <v>0</v>
      </c>
    </row>
    <row r="1788" spans="1:10" x14ac:dyDescent="0.25">
      <c r="A1788" t="s">
        <v>4026</v>
      </c>
      <c r="B1788" t="s">
        <v>4027</v>
      </c>
      <c r="C1788" t="s">
        <v>101</v>
      </c>
      <c r="D1788" t="s">
        <v>390</v>
      </c>
      <c r="E1788" s="36">
        <v>3500</v>
      </c>
      <c r="F1788" s="36">
        <v>4025</v>
      </c>
      <c r="G1788" s="36">
        <v>2100</v>
      </c>
      <c r="H1788" s="36">
        <v>2415</v>
      </c>
      <c r="I1788" s="37">
        <v>0</v>
      </c>
      <c r="J1788" s="37">
        <v>0</v>
      </c>
    </row>
    <row r="1789" spans="1:10" x14ac:dyDescent="0.25">
      <c r="A1789" t="s">
        <v>4028</v>
      </c>
      <c r="B1789" t="s">
        <v>4029</v>
      </c>
      <c r="C1789" t="s">
        <v>101</v>
      </c>
      <c r="D1789" t="s">
        <v>390</v>
      </c>
      <c r="E1789" s="36">
        <v>4000</v>
      </c>
      <c r="F1789" s="36">
        <v>4600</v>
      </c>
      <c r="G1789" s="36">
        <v>2400</v>
      </c>
      <c r="H1789" s="36">
        <v>2760</v>
      </c>
      <c r="I1789" s="37">
        <v>0</v>
      </c>
      <c r="J1789" s="37">
        <v>0</v>
      </c>
    </row>
    <row r="1790" spans="1:10" x14ac:dyDescent="0.25">
      <c r="A1790" t="s">
        <v>4030</v>
      </c>
      <c r="B1790" t="s">
        <v>4031</v>
      </c>
      <c r="C1790" t="s">
        <v>101</v>
      </c>
      <c r="D1790" t="s">
        <v>390</v>
      </c>
      <c r="E1790" s="36">
        <v>3500</v>
      </c>
      <c r="F1790" s="36">
        <v>4025</v>
      </c>
      <c r="G1790" s="36">
        <v>2100</v>
      </c>
      <c r="H1790" s="36">
        <v>2415</v>
      </c>
      <c r="I1790" s="37">
        <v>0</v>
      </c>
      <c r="J1790" s="37">
        <v>0</v>
      </c>
    </row>
    <row r="1791" spans="1:10" x14ac:dyDescent="0.25">
      <c r="A1791" t="s">
        <v>4032</v>
      </c>
      <c r="B1791" t="s">
        <v>4033</v>
      </c>
      <c r="C1791" t="s">
        <v>101</v>
      </c>
      <c r="D1791" t="s">
        <v>390</v>
      </c>
      <c r="E1791" s="36">
        <v>32000</v>
      </c>
      <c r="F1791" s="36">
        <v>36800</v>
      </c>
      <c r="G1791" s="36">
        <v>19200</v>
      </c>
      <c r="H1791" s="36">
        <v>22080</v>
      </c>
      <c r="I1791" s="37">
        <v>0</v>
      </c>
      <c r="J1791" s="37">
        <v>0</v>
      </c>
    </row>
    <row r="1792" spans="1:10" x14ac:dyDescent="0.25">
      <c r="A1792" t="s">
        <v>4034</v>
      </c>
      <c r="B1792" t="s">
        <v>4035</v>
      </c>
      <c r="C1792" t="s">
        <v>101</v>
      </c>
      <c r="D1792" t="s">
        <v>390</v>
      </c>
      <c r="E1792" s="36">
        <v>34000</v>
      </c>
      <c r="F1792" s="36">
        <v>39100</v>
      </c>
      <c r="G1792" s="36">
        <v>20400</v>
      </c>
      <c r="H1792" s="36">
        <v>23460</v>
      </c>
      <c r="I1792" s="37">
        <v>0</v>
      </c>
      <c r="J1792" s="37">
        <v>0</v>
      </c>
    </row>
    <row r="1793" spans="1:10" x14ac:dyDescent="0.25">
      <c r="A1793" t="s">
        <v>4036</v>
      </c>
      <c r="B1793" t="s">
        <v>4037</v>
      </c>
      <c r="C1793" t="s">
        <v>101</v>
      </c>
      <c r="D1793" t="s">
        <v>390</v>
      </c>
      <c r="E1793" s="36">
        <v>30000</v>
      </c>
      <c r="F1793" s="36">
        <v>34500</v>
      </c>
      <c r="G1793" s="36">
        <v>18000</v>
      </c>
      <c r="H1793" s="36">
        <v>20700</v>
      </c>
      <c r="I1793" s="37">
        <v>0</v>
      </c>
      <c r="J1793" s="37">
        <v>0</v>
      </c>
    </row>
    <row r="1794" spans="1:10" x14ac:dyDescent="0.25">
      <c r="A1794" t="s">
        <v>4038</v>
      </c>
      <c r="B1794" t="s">
        <v>4039</v>
      </c>
      <c r="C1794" t="s">
        <v>101</v>
      </c>
      <c r="D1794" t="s">
        <v>390</v>
      </c>
      <c r="E1794" s="36">
        <v>27000</v>
      </c>
      <c r="F1794" s="36">
        <v>31050</v>
      </c>
      <c r="G1794" s="36">
        <v>16200</v>
      </c>
      <c r="H1794" s="36">
        <v>18630</v>
      </c>
      <c r="I1794" s="37">
        <v>0</v>
      </c>
      <c r="J1794" s="37">
        <v>0</v>
      </c>
    </row>
    <row r="1795" spans="1:10" x14ac:dyDescent="0.25">
      <c r="A1795" t="s">
        <v>4040</v>
      </c>
      <c r="B1795" t="s">
        <v>4041</v>
      </c>
      <c r="C1795" t="s">
        <v>101</v>
      </c>
      <c r="D1795" t="s">
        <v>390</v>
      </c>
      <c r="E1795" s="36">
        <v>38000</v>
      </c>
      <c r="F1795" s="36">
        <v>43700</v>
      </c>
      <c r="G1795" s="36">
        <v>22800</v>
      </c>
      <c r="H1795" s="36">
        <v>26220</v>
      </c>
      <c r="I1795" s="37">
        <v>0</v>
      </c>
      <c r="J1795" s="37">
        <v>0</v>
      </c>
    </row>
    <row r="1796" spans="1:10" x14ac:dyDescent="0.25">
      <c r="A1796" t="s">
        <v>4042</v>
      </c>
      <c r="B1796" t="s">
        <v>4043</v>
      </c>
      <c r="C1796" t="s">
        <v>101</v>
      </c>
      <c r="D1796" t="s">
        <v>390</v>
      </c>
      <c r="E1796" s="36">
        <v>42000</v>
      </c>
      <c r="F1796" s="36">
        <v>48300</v>
      </c>
      <c r="G1796" s="36">
        <v>25200</v>
      </c>
      <c r="H1796" s="36">
        <v>28980</v>
      </c>
      <c r="I1796" s="37">
        <v>0</v>
      </c>
      <c r="J1796" s="37">
        <v>0</v>
      </c>
    </row>
    <row r="1797" spans="1:10" x14ac:dyDescent="0.25">
      <c r="A1797" t="s">
        <v>4044</v>
      </c>
      <c r="B1797" t="s">
        <v>4045</v>
      </c>
      <c r="C1797" t="s">
        <v>89</v>
      </c>
      <c r="D1797" t="s">
        <v>386</v>
      </c>
      <c r="E1797" s="36">
        <v>3200</v>
      </c>
      <c r="F1797" s="36">
        <v>3800</v>
      </c>
      <c r="G1797" s="36">
        <v>1984</v>
      </c>
      <c r="H1797" s="36">
        <v>2282</v>
      </c>
      <c r="I1797" s="37">
        <v>0</v>
      </c>
      <c r="J1797" s="37">
        <v>3.2608695652173843E-2</v>
      </c>
    </row>
    <row r="1798" spans="1:10" x14ac:dyDescent="0.25">
      <c r="A1798" t="s">
        <v>4046</v>
      </c>
      <c r="B1798" t="s">
        <v>4047</v>
      </c>
      <c r="C1798" t="s">
        <v>101</v>
      </c>
      <c r="D1798" t="s">
        <v>386</v>
      </c>
      <c r="E1798" s="36">
        <v>2000</v>
      </c>
      <c r="F1798" s="36">
        <v>2300</v>
      </c>
      <c r="G1798" s="36">
        <v>1240</v>
      </c>
      <c r="H1798" s="36">
        <v>1426</v>
      </c>
      <c r="I1798" s="37">
        <v>0</v>
      </c>
      <c r="J1798" s="37">
        <v>0</v>
      </c>
    </row>
    <row r="1799" spans="1:10" x14ac:dyDescent="0.25">
      <c r="A1799" t="s">
        <v>4048</v>
      </c>
      <c r="B1799" t="s">
        <v>4049</v>
      </c>
      <c r="C1799" t="s">
        <v>89</v>
      </c>
      <c r="D1799" t="s">
        <v>386</v>
      </c>
      <c r="E1799" s="36">
        <v>3200</v>
      </c>
      <c r="F1799" s="36">
        <v>3800</v>
      </c>
      <c r="G1799" s="36">
        <v>1860</v>
      </c>
      <c r="H1799" s="36">
        <v>2139</v>
      </c>
      <c r="I1799" s="37">
        <v>6.6666666666666652E-2</v>
      </c>
      <c r="J1799" s="37">
        <v>0.10144927536231881</v>
      </c>
    </row>
    <row r="1800" spans="1:10" x14ac:dyDescent="0.25">
      <c r="A1800" t="s">
        <v>4050</v>
      </c>
      <c r="B1800" t="s">
        <v>4051</v>
      </c>
      <c r="C1800" t="s">
        <v>101</v>
      </c>
      <c r="D1800" t="s">
        <v>390</v>
      </c>
      <c r="E1800" s="36">
        <v>2000</v>
      </c>
      <c r="F1800" s="36">
        <v>2300</v>
      </c>
      <c r="G1800" s="36">
        <v>1200</v>
      </c>
      <c r="H1800" s="36">
        <v>1380</v>
      </c>
      <c r="I1800" s="37">
        <v>0</v>
      </c>
      <c r="J1800" s="37">
        <v>0</v>
      </c>
    </row>
    <row r="1801" spans="1:10" x14ac:dyDescent="0.25">
      <c r="A1801" t="s">
        <v>4052</v>
      </c>
      <c r="B1801" t="s">
        <v>4053</v>
      </c>
      <c r="C1801" t="s">
        <v>101</v>
      </c>
      <c r="D1801" t="s">
        <v>390</v>
      </c>
      <c r="E1801" s="36">
        <v>2500</v>
      </c>
      <c r="F1801" s="36">
        <v>2875</v>
      </c>
      <c r="G1801" s="36">
        <v>1500</v>
      </c>
      <c r="H1801" s="36">
        <v>1725</v>
      </c>
      <c r="I1801" s="37">
        <v>0</v>
      </c>
      <c r="J1801" s="37">
        <v>0</v>
      </c>
    </row>
    <row r="1802" spans="1:10" x14ac:dyDescent="0.25">
      <c r="A1802" t="s">
        <v>4054</v>
      </c>
      <c r="B1802" t="s">
        <v>4055</v>
      </c>
      <c r="C1802" t="s">
        <v>89</v>
      </c>
      <c r="D1802" t="s">
        <v>347</v>
      </c>
      <c r="E1802" s="36">
        <v>900</v>
      </c>
      <c r="F1802" s="36">
        <v>1035</v>
      </c>
      <c r="G1802" s="36">
        <v>567</v>
      </c>
      <c r="H1802" s="36">
        <v>652</v>
      </c>
      <c r="I1802" s="37">
        <v>0</v>
      </c>
      <c r="J1802" s="37">
        <v>0</v>
      </c>
    </row>
    <row r="1803" spans="1:10" x14ac:dyDescent="0.25">
      <c r="A1803" t="s">
        <v>4056</v>
      </c>
      <c r="B1803" t="s">
        <v>4057</v>
      </c>
      <c r="C1803" t="s">
        <v>101</v>
      </c>
      <c r="D1803" t="s">
        <v>347</v>
      </c>
      <c r="E1803" s="36">
        <v>1000</v>
      </c>
      <c r="F1803" s="36">
        <v>1150</v>
      </c>
      <c r="G1803" s="36">
        <v>630</v>
      </c>
      <c r="H1803" s="36">
        <v>724</v>
      </c>
      <c r="I1803" s="37">
        <v>0</v>
      </c>
      <c r="J1803" s="37">
        <v>0</v>
      </c>
    </row>
    <row r="1804" spans="1:10" x14ac:dyDescent="0.25">
      <c r="A1804" t="s">
        <v>4058</v>
      </c>
      <c r="B1804" t="s">
        <v>4059</v>
      </c>
      <c r="C1804" t="s">
        <v>101</v>
      </c>
      <c r="D1804" t="s">
        <v>347</v>
      </c>
      <c r="E1804" s="36">
        <v>900</v>
      </c>
      <c r="F1804" s="36">
        <v>1035</v>
      </c>
      <c r="G1804" s="36">
        <v>567</v>
      </c>
      <c r="H1804" s="36">
        <v>652</v>
      </c>
      <c r="I1804" s="37">
        <v>0</v>
      </c>
      <c r="J1804" s="37">
        <v>0</v>
      </c>
    </row>
    <row r="1805" spans="1:10" x14ac:dyDescent="0.25">
      <c r="A1805" t="s">
        <v>4060</v>
      </c>
      <c r="B1805" t="s">
        <v>4061</v>
      </c>
      <c r="C1805" t="s">
        <v>101</v>
      </c>
      <c r="D1805" t="s">
        <v>386</v>
      </c>
      <c r="E1805" s="36">
        <v>1200</v>
      </c>
      <c r="F1805" s="36">
        <v>1380</v>
      </c>
      <c r="G1805" s="36">
        <v>744</v>
      </c>
      <c r="H1805" s="36">
        <v>856</v>
      </c>
      <c r="I1805" s="37">
        <v>0</v>
      </c>
      <c r="J1805" s="37">
        <v>0</v>
      </c>
    </row>
    <row r="1806" spans="1:10" x14ac:dyDescent="0.25">
      <c r="A1806" t="s">
        <v>4062</v>
      </c>
      <c r="B1806" t="s">
        <v>4063</v>
      </c>
      <c r="C1806" t="s">
        <v>101</v>
      </c>
      <c r="D1806" t="s">
        <v>390</v>
      </c>
      <c r="E1806" s="36">
        <v>4500</v>
      </c>
      <c r="F1806" s="36">
        <v>5175</v>
      </c>
      <c r="G1806" s="36">
        <v>2700</v>
      </c>
      <c r="H1806" s="36">
        <v>3105</v>
      </c>
      <c r="I1806" s="37">
        <v>0</v>
      </c>
      <c r="J1806" s="37">
        <v>0</v>
      </c>
    </row>
    <row r="1807" spans="1:10" x14ac:dyDescent="0.25">
      <c r="A1807" t="s">
        <v>4064</v>
      </c>
      <c r="B1807" t="s">
        <v>4065</v>
      </c>
      <c r="C1807" t="s">
        <v>1231</v>
      </c>
      <c r="D1807" t="s">
        <v>390</v>
      </c>
      <c r="E1807" s="36">
        <v>6500</v>
      </c>
      <c r="F1807" s="36">
        <v>7475</v>
      </c>
      <c r="G1807" s="36">
        <v>3900</v>
      </c>
      <c r="H1807" s="36">
        <v>4485</v>
      </c>
      <c r="I1807" s="37">
        <v>0</v>
      </c>
      <c r="J1807" s="37">
        <v>0</v>
      </c>
    </row>
    <row r="1808" spans="1:10" x14ac:dyDescent="0.25">
      <c r="A1808" t="s">
        <v>4066</v>
      </c>
      <c r="B1808" t="s">
        <v>4067</v>
      </c>
      <c r="C1808" t="s">
        <v>101</v>
      </c>
      <c r="D1808" t="s">
        <v>390</v>
      </c>
      <c r="E1808" s="36">
        <v>3000</v>
      </c>
      <c r="F1808" s="36">
        <v>3450</v>
      </c>
      <c r="G1808" s="36">
        <v>1800</v>
      </c>
      <c r="H1808" s="36">
        <v>2070</v>
      </c>
      <c r="I1808" s="37">
        <v>0</v>
      </c>
      <c r="J1808" s="37">
        <v>0</v>
      </c>
    </row>
    <row r="1809" spans="1:10" x14ac:dyDescent="0.25">
      <c r="A1809" t="s">
        <v>4068</v>
      </c>
      <c r="B1809" t="s">
        <v>4069</v>
      </c>
      <c r="C1809" t="s">
        <v>101</v>
      </c>
      <c r="D1809" t="s">
        <v>386</v>
      </c>
      <c r="E1809" s="36">
        <v>1800</v>
      </c>
      <c r="F1809" s="36">
        <v>2070</v>
      </c>
      <c r="G1809" s="36">
        <v>1116</v>
      </c>
      <c r="H1809" s="36">
        <v>1283</v>
      </c>
      <c r="I1809" s="37">
        <v>0</v>
      </c>
      <c r="J1809" s="37">
        <v>0</v>
      </c>
    </row>
    <row r="1810" spans="1:10" x14ac:dyDescent="0.25">
      <c r="A1810" t="s">
        <v>4070</v>
      </c>
      <c r="B1810" t="s">
        <v>4071</v>
      </c>
      <c r="C1810" t="s">
        <v>101</v>
      </c>
      <c r="D1810" t="s">
        <v>386</v>
      </c>
      <c r="E1810" s="36">
        <v>2200</v>
      </c>
      <c r="F1810" s="36">
        <v>2530</v>
      </c>
      <c r="G1810" s="36">
        <v>1364</v>
      </c>
      <c r="H1810" s="36">
        <v>1569</v>
      </c>
      <c r="I1810" s="37">
        <v>0</v>
      </c>
      <c r="J1810" s="37">
        <v>0</v>
      </c>
    </row>
    <row r="1811" spans="1:10" x14ac:dyDescent="0.25">
      <c r="A1811" t="s">
        <v>4072</v>
      </c>
      <c r="B1811" t="s">
        <v>4073</v>
      </c>
      <c r="C1811" t="s">
        <v>101</v>
      </c>
      <c r="D1811" t="s">
        <v>386</v>
      </c>
      <c r="E1811" s="36">
        <v>1500</v>
      </c>
      <c r="F1811" s="36">
        <v>1725</v>
      </c>
      <c r="G1811" s="36">
        <v>930</v>
      </c>
      <c r="H1811" s="36">
        <v>1069</v>
      </c>
      <c r="I1811" s="37">
        <v>0</v>
      </c>
      <c r="J1811" s="37">
        <v>0</v>
      </c>
    </row>
    <row r="1812" spans="1:10" x14ac:dyDescent="0.25">
      <c r="A1812" t="s">
        <v>4074</v>
      </c>
      <c r="B1812" t="s">
        <v>4075</v>
      </c>
      <c r="C1812" t="s">
        <v>101</v>
      </c>
      <c r="D1812" t="s">
        <v>386</v>
      </c>
      <c r="E1812" s="36">
        <v>1000</v>
      </c>
      <c r="F1812" s="36">
        <v>1150</v>
      </c>
      <c r="G1812" s="36">
        <v>620</v>
      </c>
      <c r="H1812" s="36">
        <v>713</v>
      </c>
      <c r="I1812" s="37">
        <v>0</v>
      </c>
      <c r="J1812" s="37">
        <v>0</v>
      </c>
    </row>
    <row r="1813" spans="1:10" x14ac:dyDescent="0.25">
      <c r="A1813" t="s">
        <v>4076</v>
      </c>
      <c r="B1813" t="s">
        <v>4077</v>
      </c>
      <c r="C1813" t="s">
        <v>101</v>
      </c>
      <c r="D1813" t="s">
        <v>386</v>
      </c>
      <c r="E1813" s="36">
        <v>900</v>
      </c>
      <c r="F1813" s="36">
        <v>1035</v>
      </c>
      <c r="G1813" s="36">
        <v>558</v>
      </c>
      <c r="H1813" s="36">
        <v>642</v>
      </c>
      <c r="I1813" s="37">
        <v>0</v>
      </c>
      <c r="J1813" s="37">
        <v>0</v>
      </c>
    </row>
    <row r="1814" spans="1:10" x14ac:dyDescent="0.25">
      <c r="A1814" t="s">
        <v>4078</v>
      </c>
      <c r="B1814" t="s">
        <v>4079</v>
      </c>
      <c r="C1814" t="s">
        <v>101</v>
      </c>
      <c r="D1814" t="s">
        <v>386</v>
      </c>
      <c r="E1814" s="36">
        <v>800</v>
      </c>
      <c r="F1814" s="36">
        <v>920</v>
      </c>
      <c r="G1814" s="36">
        <v>496</v>
      </c>
      <c r="H1814" s="36">
        <v>570</v>
      </c>
      <c r="I1814" s="37">
        <v>0</v>
      </c>
      <c r="J1814" s="37">
        <v>0</v>
      </c>
    </row>
    <row r="1815" spans="1:10" x14ac:dyDescent="0.25">
      <c r="A1815" t="s">
        <v>4080</v>
      </c>
      <c r="B1815" t="s">
        <v>4081</v>
      </c>
      <c r="C1815" t="s">
        <v>101</v>
      </c>
      <c r="D1815" t="s">
        <v>390</v>
      </c>
      <c r="E1815" s="36">
        <v>3500</v>
      </c>
      <c r="F1815" s="36">
        <v>4025</v>
      </c>
      <c r="G1815" s="36">
        <v>2100</v>
      </c>
      <c r="H1815" s="36">
        <v>2415</v>
      </c>
      <c r="I1815" s="37">
        <v>0</v>
      </c>
      <c r="J1815" s="37">
        <v>0</v>
      </c>
    </row>
    <row r="1816" spans="1:10" x14ac:dyDescent="0.25">
      <c r="A1816" t="s">
        <v>4082</v>
      </c>
      <c r="B1816" t="s">
        <v>4083</v>
      </c>
      <c r="C1816" t="s">
        <v>89</v>
      </c>
      <c r="D1816" t="s">
        <v>386</v>
      </c>
      <c r="E1816" s="36">
        <v>1800</v>
      </c>
      <c r="F1816" s="36">
        <v>2070</v>
      </c>
      <c r="G1816" s="36">
        <v>1116</v>
      </c>
      <c r="H1816" s="36">
        <v>1283</v>
      </c>
      <c r="I1816" s="37">
        <v>0</v>
      </c>
      <c r="J1816" s="37">
        <v>0</v>
      </c>
    </row>
    <row r="1817" spans="1:10" x14ac:dyDescent="0.25">
      <c r="A1817" t="s">
        <v>4084</v>
      </c>
      <c r="B1817" t="s">
        <v>4085</v>
      </c>
      <c r="C1817" t="s">
        <v>101</v>
      </c>
      <c r="D1817" t="s">
        <v>390</v>
      </c>
      <c r="E1817" s="36">
        <v>1500</v>
      </c>
      <c r="F1817" s="36">
        <v>1725</v>
      </c>
      <c r="G1817" s="36">
        <v>900</v>
      </c>
      <c r="H1817" s="36">
        <v>1035</v>
      </c>
      <c r="I1817" s="37">
        <v>0</v>
      </c>
      <c r="J1817" s="37">
        <v>0</v>
      </c>
    </row>
    <row r="1818" spans="1:10" x14ac:dyDescent="0.25">
      <c r="A1818" t="s">
        <v>4086</v>
      </c>
      <c r="B1818" t="s">
        <v>4087</v>
      </c>
      <c r="C1818" t="s">
        <v>101</v>
      </c>
      <c r="D1818" t="s">
        <v>379</v>
      </c>
      <c r="E1818" s="36">
        <v>5500</v>
      </c>
      <c r="F1818" s="36">
        <v>6325</v>
      </c>
      <c r="G1818" s="36">
        <v>3410</v>
      </c>
      <c r="H1818" s="36">
        <v>3921</v>
      </c>
      <c r="I1818" s="37">
        <v>0</v>
      </c>
      <c r="J1818" s="37">
        <v>0</v>
      </c>
    </row>
    <row r="1819" spans="1:10" x14ac:dyDescent="0.25">
      <c r="A1819" t="s">
        <v>4088</v>
      </c>
      <c r="B1819" t="s">
        <v>4089</v>
      </c>
      <c r="C1819" t="s">
        <v>101</v>
      </c>
      <c r="D1819" t="s">
        <v>390</v>
      </c>
      <c r="E1819" s="36">
        <v>5000</v>
      </c>
      <c r="F1819" s="36">
        <v>5760</v>
      </c>
      <c r="G1819" s="36">
        <v>3000</v>
      </c>
      <c r="H1819" s="36">
        <v>3450</v>
      </c>
      <c r="I1819" s="37">
        <v>0</v>
      </c>
      <c r="J1819" s="37">
        <v>1.739130434782687E-3</v>
      </c>
    </row>
    <row r="1820" spans="1:10" x14ac:dyDescent="0.25">
      <c r="A1820" t="s">
        <v>4090</v>
      </c>
      <c r="B1820" t="s">
        <v>4091</v>
      </c>
      <c r="C1820" t="s">
        <v>101</v>
      </c>
      <c r="D1820" t="s">
        <v>390</v>
      </c>
      <c r="E1820" s="36">
        <v>4800</v>
      </c>
      <c r="F1820" s="36">
        <v>5760</v>
      </c>
      <c r="G1820" s="36">
        <v>2700</v>
      </c>
      <c r="H1820" s="36">
        <v>3105</v>
      </c>
      <c r="I1820" s="37">
        <v>6.6666666666666652E-2</v>
      </c>
      <c r="J1820" s="37">
        <v>0.11304347826086961</v>
      </c>
    </row>
    <row r="1821" spans="1:10" x14ac:dyDescent="0.25">
      <c r="A1821" t="s">
        <v>4092</v>
      </c>
      <c r="B1821" t="s">
        <v>4093</v>
      </c>
      <c r="C1821" t="s">
        <v>101</v>
      </c>
      <c r="D1821" t="s">
        <v>390</v>
      </c>
      <c r="E1821" s="36">
        <v>2500</v>
      </c>
      <c r="F1821" s="36">
        <v>2875</v>
      </c>
      <c r="G1821" s="36">
        <v>1500</v>
      </c>
      <c r="H1821" s="36">
        <v>1725</v>
      </c>
      <c r="I1821" s="37">
        <v>0</v>
      </c>
      <c r="J1821" s="37">
        <v>0</v>
      </c>
    </row>
    <row r="1822" spans="1:10" x14ac:dyDescent="0.25">
      <c r="A1822" t="s">
        <v>4094</v>
      </c>
      <c r="B1822" t="s">
        <v>4095</v>
      </c>
      <c r="C1822" t="s">
        <v>101</v>
      </c>
      <c r="D1822" t="s">
        <v>390</v>
      </c>
      <c r="E1822" s="36">
        <v>1800</v>
      </c>
      <c r="F1822" s="36">
        <v>2070</v>
      </c>
      <c r="G1822" s="36">
        <v>1080</v>
      </c>
      <c r="H1822" s="36">
        <v>1242</v>
      </c>
      <c r="I1822" s="37">
        <v>0</v>
      </c>
      <c r="J1822" s="37">
        <v>0</v>
      </c>
    </row>
    <row r="1823" spans="1:10" x14ac:dyDescent="0.25">
      <c r="A1823" t="s">
        <v>4096</v>
      </c>
      <c r="B1823" t="s">
        <v>4097</v>
      </c>
      <c r="C1823" t="s">
        <v>101</v>
      </c>
      <c r="D1823" t="s">
        <v>327</v>
      </c>
      <c r="E1823" s="36">
        <v>2500</v>
      </c>
      <c r="F1823" s="36">
        <v>2875</v>
      </c>
      <c r="G1823" s="36">
        <v>1625</v>
      </c>
      <c r="H1823" s="36">
        <v>1869</v>
      </c>
      <c r="I1823" s="37">
        <v>0</v>
      </c>
      <c r="J1823" s="37">
        <v>0</v>
      </c>
    </row>
    <row r="1824" spans="1:10" x14ac:dyDescent="0.25">
      <c r="A1824" t="s">
        <v>4098</v>
      </c>
      <c r="B1824" t="s">
        <v>4099</v>
      </c>
      <c r="C1824" t="s">
        <v>101</v>
      </c>
      <c r="D1824" t="s">
        <v>327</v>
      </c>
      <c r="E1824" s="36">
        <v>2200</v>
      </c>
      <c r="F1824" s="36">
        <v>2530</v>
      </c>
      <c r="G1824" s="36">
        <v>1430</v>
      </c>
      <c r="H1824" s="36">
        <v>1644</v>
      </c>
      <c r="I1824" s="37">
        <v>0</v>
      </c>
      <c r="J1824" s="37">
        <v>0</v>
      </c>
    </row>
    <row r="1825" spans="1:10" x14ac:dyDescent="0.25">
      <c r="A1825" t="s">
        <v>4100</v>
      </c>
      <c r="B1825" t="s">
        <v>4101</v>
      </c>
      <c r="C1825" t="s">
        <v>101</v>
      </c>
      <c r="D1825" t="s">
        <v>390</v>
      </c>
      <c r="E1825" s="36">
        <v>12800</v>
      </c>
      <c r="F1825" s="36">
        <v>15360</v>
      </c>
      <c r="G1825" s="36">
        <v>7200</v>
      </c>
      <c r="H1825" s="36">
        <v>8280</v>
      </c>
      <c r="I1825" s="37">
        <v>6.6666666666666652E-2</v>
      </c>
      <c r="J1825" s="37">
        <v>0.11304347826086961</v>
      </c>
    </row>
    <row r="1826" spans="1:10" x14ac:dyDescent="0.25">
      <c r="A1826" t="s">
        <v>4102</v>
      </c>
      <c r="B1826" t="s">
        <v>4103</v>
      </c>
      <c r="C1826" t="s">
        <v>1231</v>
      </c>
      <c r="D1826" t="s">
        <v>390</v>
      </c>
      <c r="E1826" s="36">
        <v>4500</v>
      </c>
      <c r="F1826" s="36">
        <v>5175</v>
      </c>
      <c r="G1826" s="36">
        <v>2700</v>
      </c>
      <c r="H1826" s="36">
        <v>3105</v>
      </c>
      <c r="I1826" s="37">
        <v>0</v>
      </c>
      <c r="J1826" s="37">
        <v>0</v>
      </c>
    </row>
    <row r="1827" spans="1:10" x14ac:dyDescent="0.25">
      <c r="A1827" t="s">
        <v>4104</v>
      </c>
      <c r="B1827" t="s">
        <v>4105</v>
      </c>
      <c r="C1827" t="s">
        <v>101</v>
      </c>
      <c r="D1827" t="s">
        <v>390</v>
      </c>
      <c r="E1827" s="36">
        <v>1800</v>
      </c>
      <c r="F1827" s="36">
        <v>2070</v>
      </c>
      <c r="G1827" s="36">
        <v>1080</v>
      </c>
      <c r="H1827" s="36">
        <v>1242</v>
      </c>
      <c r="I1827" s="37">
        <v>0</v>
      </c>
      <c r="J1827" s="37">
        <v>0</v>
      </c>
    </row>
    <row r="1828" spans="1:10" x14ac:dyDescent="0.25">
      <c r="A1828" t="s">
        <v>4106</v>
      </c>
      <c r="B1828" t="s">
        <v>4107</v>
      </c>
      <c r="C1828" t="s">
        <v>229</v>
      </c>
      <c r="D1828" t="s">
        <v>386</v>
      </c>
      <c r="E1828" s="36">
        <v>250</v>
      </c>
      <c r="F1828" s="36">
        <v>288</v>
      </c>
      <c r="G1828" s="36">
        <v>155</v>
      </c>
      <c r="H1828" s="36">
        <v>178</v>
      </c>
      <c r="I1828" s="37">
        <v>0</v>
      </c>
      <c r="J1828" s="37">
        <v>0</v>
      </c>
    </row>
    <row r="1829" spans="1:10" x14ac:dyDescent="0.25">
      <c r="A1829" t="s">
        <v>4108</v>
      </c>
      <c r="B1829" t="s">
        <v>4109</v>
      </c>
      <c r="C1829" t="s">
        <v>101</v>
      </c>
      <c r="D1829" t="s">
        <v>390</v>
      </c>
      <c r="E1829" s="36">
        <v>2500</v>
      </c>
      <c r="F1829" s="36">
        <v>2875</v>
      </c>
      <c r="G1829" s="36">
        <v>1500</v>
      </c>
      <c r="H1829" s="36">
        <v>1725</v>
      </c>
      <c r="I1829" s="37">
        <v>0</v>
      </c>
      <c r="J1829" s="37">
        <v>0</v>
      </c>
    </row>
    <row r="1830" spans="1:10" x14ac:dyDescent="0.25">
      <c r="A1830" t="s">
        <v>4110</v>
      </c>
      <c r="B1830" t="s">
        <v>4111</v>
      </c>
      <c r="C1830" t="s">
        <v>101</v>
      </c>
      <c r="D1830" t="s">
        <v>386</v>
      </c>
      <c r="E1830" s="36">
        <v>2000</v>
      </c>
      <c r="F1830" s="36">
        <v>2300</v>
      </c>
      <c r="G1830" s="36">
        <v>1240</v>
      </c>
      <c r="H1830" s="36">
        <v>1426</v>
      </c>
      <c r="I1830" s="37">
        <v>0</v>
      </c>
      <c r="J1830" s="37">
        <v>0</v>
      </c>
    </row>
    <row r="1831" spans="1:10" x14ac:dyDescent="0.25">
      <c r="A1831" t="s">
        <v>4112</v>
      </c>
      <c r="B1831" t="s">
        <v>4113</v>
      </c>
      <c r="C1831" t="s">
        <v>89</v>
      </c>
      <c r="D1831" t="s">
        <v>359</v>
      </c>
      <c r="E1831" s="36">
        <v>5134</v>
      </c>
      <c r="F1831" s="36">
        <v>6067</v>
      </c>
      <c r="G1831" s="36">
        <v>2170</v>
      </c>
      <c r="H1831" s="36">
        <v>2495</v>
      </c>
      <c r="I1831" s="37">
        <v>0.46685714285714291</v>
      </c>
      <c r="J1831" s="37">
        <v>0.50732919254658393</v>
      </c>
    </row>
    <row r="1832" spans="1:10" x14ac:dyDescent="0.25">
      <c r="A1832" t="s">
        <v>4114</v>
      </c>
      <c r="B1832" t="s">
        <v>4115</v>
      </c>
      <c r="C1832" t="s">
        <v>89</v>
      </c>
      <c r="D1832" t="s">
        <v>386</v>
      </c>
      <c r="E1832" s="36">
        <v>2987</v>
      </c>
      <c r="F1832" s="36">
        <v>3547</v>
      </c>
      <c r="G1832" s="36">
        <v>1736</v>
      </c>
      <c r="H1832" s="36">
        <v>1996</v>
      </c>
      <c r="I1832" s="37">
        <v>6.6785714285714226E-2</v>
      </c>
      <c r="J1832" s="37">
        <v>0.10155279503105601</v>
      </c>
    </row>
    <row r="1833" spans="1:10" x14ac:dyDescent="0.25">
      <c r="A1833" t="s">
        <v>4116</v>
      </c>
      <c r="B1833" t="s">
        <v>4117</v>
      </c>
      <c r="C1833" t="s">
        <v>89</v>
      </c>
      <c r="D1833" t="s">
        <v>386</v>
      </c>
      <c r="E1833" s="36">
        <v>3200</v>
      </c>
      <c r="F1833" s="36">
        <v>3800</v>
      </c>
      <c r="G1833" s="36">
        <v>1984</v>
      </c>
      <c r="H1833" s="36">
        <v>2282</v>
      </c>
      <c r="I1833" s="37">
        <v>0</v>
      </c>
      <c r="J1833" s="37">
        <v>3.2608695652173843E-2</v>
      </c>
    </row>
    <row r="1834" spans="1:10" x14ac:dyDescent="0.25">
      <c r="A1834" t="s">
        <v>4118</v>
      </c>
      <c r="B1834" t="s">
        <v>4119</v>
      </c>
      <c r="C1834" t="s">
        <v>89</v>
      </c>
      <c r="D1834" t="s">
        <v>386</v>
      </c>
      <c r="E1834" s="36">
        <v>3414</v>
      </c>
      <c r="F1834" s="36">
        <v>4054</v>
      </c>
      <c r="G1834" s="36">
        <v>1860</v>
      </c>
      <c r="H1834" s="36">
        <v>2139</v>
      </c>
      <c r="I1834" s="37">
        <v>0.1379999999999999</v>
      </c>
      <c r="J1834" s="37">
        <v>0.175072463768116</v>
      </c>
    </row>
    <row r="1835" spans="1:10" x14ac:dyDescent="0.25">
      <c r="A1835" t="s">
        <v>4120</v>
      </c>
      <c r="B1835" t="s">
        <v>4121</v>
      </c>
      <c r="C1835" t="s">
        <v>89</v>
      </c>
      <c r="D1835" t="s">
        <v>386</v>
      </c>
      <c r="E1835" s="36">
        <v>3414</v>
      </c>
      <c r="F1835" s="36">
        <v>4054</v>
      </c>
      <c r="G1835" s="36">
        <v>1798</v>
      </c>
      <c r="H1835" s="36">
        <v>2068</v>
      </c>
      <c r="I1835" s="37">
        <v>0.17724137931034489</v>
      </c>
      <c r="J1835" s="37">
        <v>0.21559220389805089</v>
      </c>
    </row>
    <row r="1836" spans="1:10" x14ac:dyDescent="0.25">
      <c r="A1836" t="s">
        <v>4122</v>
      </c>
      <c r="B1836" t="s">
        <v>4123</v>
      </c>
      <c r="C1836" t="s">
        <v>89</v>
      </c>
      <c r="D1836" t="s">
        <v>347</v>
      </c>
      <c r="E1836" s="36">
        <v>900</v>
      </c>
      <c r="F1836" s="36">
        <v>1035</v>
      </c>
      <c r="G1836" s="36">
        <v>567</v>
      </c>
      <c r="H1836" s="36">
        <v>652</v>
      </c>
      <c r="I1836" s="37">
        <v>0</v>
      </c>
      <c r="J1836" s="37">
        <v>0</v>
      </c>
    </row>
    <row r="1837" spans="1:10" x14ac:dyDescent="0.25">
      <c r="A1837" t="s">
        <v>4124</v>
      </c>
      <c r="B1837" t="s">
        <v>4125</v>
      </c>
      <c r="C1837" t="s">
        <v>89</v>
      </c>
      <c r="D1837" t="s">
        <v>347</v>
      </c>
      <c r="E1837" s="36">
        <v>850</v>
      </c>
      <c r="F1837" s="36">
        <v>977</v>
      </c>
      <c r="G1837" s="36">
        <v>536</v>
      </c>
      <c r="H1837" s="36">
        <v>616</v>
      </c>
      <c r="I1837" s="37">
        <v>0</v>
      </c>
      <c r="J1837" s="37">
        <v>0</v>
      </c>
    </row>
    <row r="1838" spans="1:10" x14ac:dyDescent="0.25">
      <c r="A1838" t="s">
        <v>4126</v>
      </c>
      <c r="B1838" t="s">
        <v>4127</v>
      </c>
      <c r="C1838" t="s">
        <v>89</v>
      </c>
      <c r="D1838" t="s">
        <v>347</v>
      </c>
      <c r="E1838" s="36">
        <v>750</v>
      </c>
      <c r="F1838" s="36">
        <v>862</v>
      </c>
      <c r="G1838" s="36">
        <v>472</v>
      </c>
      <c r="H1838" s="36">
        <v>543</v>
      </c>
      <c r="I1838" s="37">
        <v>0</v>
      </c>
      <c r="J1838" s="37">
        <v>0</v>
      </c>
    </row>
    <row r="1839" spans="1:10" x14ac:dyDescent="0.25">
      <c r="A1839" t="s">
        <v>4128</v>
      </c>
      <c r="B1839" t="s">
        <v>4129</v>
      </c>
      <c r="C1839" t="s">
        <v>89</v>
      </c>
      <c r="D1839" t="s">
        <v>386</v>
      </c>
      <c r="E1839" s="36">
        <v>2000</v>
      </c>
      <c r="F1839" s="36">
        <v>2300</v>
      </c>
      <c r="G1839" s="36">
        <v>1240</v>
      </c>
      <c r="H1839" s="36">
        <v>1426</v>
      </c>
      <c r="I1839" s="37">
        <v>0</v>
      </c>
      <c r="J1839" s="37">
        <v>0</v>
      </c>
    </row>
    <row r="1840" spans="1:10" x14ac:dyDescent="0.25">
      <c r="A1840" t="s">
        <v>4130</v>
      </c>
      <c r="B1840" t="s">
        <v>4131</v>
      </c>
      <c r="C1840" t="s">
        <v>89</v>
      </c>
      <c r="D1840" t="s">
        <v>386</v>
      </c>
      <c r="E1840" s="36">
        <v>2500</v>
      </c>
      <c r="F1840" s="36">
        <v>2875</v>
      </c>
      <c r="G1840" s="36">
        <v>1550</v>
      </c>
      <c r="H1840" s="36">
        <v>1782</v>
      </c>
      <c r="I1840" s="37">
        <v>0</v>
      </c>
      <c r="J1840" s="37">
        <v>0</v>
      </c>
    </row>
    <row r="1841" spans="1:10" x14ac:dyDescent="0.25">
      <c r="A1841" t="s">
        <v>4132</v>
      </c>
      <c r="B1841" t="s">
        <v>4133</v>
      </c>
      <c r="C1841" t="s">
        <v>89</v>
      </c>
      <c r="D1841" t="s">
        <v>386</v>
      </c>
      <c r="E1841" s="36">
        <v>1500</v>
      </c>
      <c r="F1841" s="36">
        <v>1725</v>
      </c>
      <c r="G1841" s="36">
        <v>930</v>
      </c>
      <c r="H1841" s="36">
        <v>1069</v>
      </c>
      <c r="I1841" s="37">
        <v>0</v>
      </c>
      <c r="J1841" s="37">
        <v>0</v>
      </c>
    </row>
    <row r="1842" spans="1:10" x14ac:dyDescent="0.25">
      <c r="A1842" t="s">
        <v>4134</v>
      </c>
      <c r="B1842" t="s">
        <v>4135</v>
      </c>
      <c r="C1842" t="s">
        <v>101</v>
      </c>
      <c r="D1842" t="s">
        <v>386</v>
      </c>
      <c r="E1842" s="36">
        <v>800</v>
      </c>
      <c r="F1842" s="36">
        <v>920</v>
      </c>
      <c r="G1842" s="36">
        <v>496</v>
      </c>
      <c r="H1842" s="36">
        <v>570</v>
      </c>
      <c r="I1842" s="37">
        <v>0</v>
      </c>
      <c r="J1842" s="37">
        <v>0</v>
      </c>
    </row>
    <row r="1843" spans="1:10" x14ac:dyDescent="0.25">
      <c r="A1843" t="s">
        <v>4136</v>
      </c>
      <c r="B1843" t="s">
        <v>4137</v>
      </c>
      <c r="C1843" t="s">
        <v>89</v>
      </c>
      <c r="D1843" t="s">
        <v>386</v>
      </c>
      <c r="E1843" s="36">
        <v>1494</v>
      </c>
      <c r="F1843" s="36">
        <v>1774</v>
      </c>
      <c r="G1843" s="36">
        <v>868</v>
      </c>
      <c r="H1843" s="36">
        <v>998</v>
      </c>
      <c r="I1843" s="37">
        <v>6.7142857142857171E-2</v>
      </c>
      <c r="J1843" s="37">
        <v>0.1018633540372671</v>
      </c>
    </row>
    <row r="1844" spans="1:10" x14ac:dyDescent="0.25">
      <c r="A1844" t="s">
        <v>4138</v>
      </c>
      <c r="B1844" t="s">
        <v>4139</v>
      </c>
      <c r="C1844" t="s">
        <v>89</v>
      </c>
      <c r="D1844" t="s">
        <v>386</v>
      </c>
      <c r="E1844" s="36">
        <v>1920</v>
      </c>
      <c r="F1844" s="36">
        <v>2280</v>
      </c>
      <c r="G1844" s="36">
        <v>1178</v>
      </c>
      <c r="H1844" s="36">
        <v>1355</v>
      </c>
      <c r="I1844" s="37">
        <v>1.052631578947372E-2</v>
      </c>
      <c r="J1844" s="37">
        <v>4.3478260869565188E-2</v>
      </c>
    </row>
    <row r="1845" spans="1:10" x14ac:dyDescent="0.25">
      <c r="A1845" t="s">
        <v>4140</v>
      </c>
      <c r="B1845" t="s">
        <v>4141</v>
      </c>
      <c r="C1845" t="s">
        <v>89</v>
      </c>
      <c r="D1845" t="s">
        <v>386</v>
      </c>
      <c r="E1845" s="36">
        <v>1707</v>
      </c>
      <c r="F1845" s="36">
        <v>2027</v>
      </c>
      <c r="G1845" s="36">
        <v>1054</v>
      </c>
      <c r="H1845" s="36">
        <v>1212</v>
      </c>
      <c r="I1845" s="37">
        <v>4.1176470588235592E-3</v>
      </c>
      <c r="J1845" s="37">
        <v>3.6828644501278873E-2</v>
      </c>
    </row>
    <row r="1846" spans="1:10" x14ac:dyDescent="0.25">
      <c r="A1846" t="s">
        <v>4142</v>
      </c>
      <c r="B1846" t="s">
        <v>4143</v>
      </c>
      <c r="C1846" t="s">
        <v>89</v>
      </c>
      <c r="D1846" t="s">
        <v>386</v>
      </c>
      <c r="E1846" s="36">
        <v>1814</v>
      </c>
      <c r="F1846" s="36">
        <v>2154</v>
      </c>
      <c r="G1846" s="36">
        <v>1116</v>
      </c>
      <c r="H1846" s="36">
        <v>1283</v>
      </c>
      <c r="I1846" s="37">
        <v>7.7777777777778834E-3</v>
      </c>
      <c r="J1846" s="37">
        <v>4.057971014492745E-2</v>
      </c>
    </row>
    <row r="1847" spans="1:10" x14ac:dyDescent="0.25">
      <c r="A1847" t="s">
        <v>4144</v>
      </c>
      <c r="B1847" t="s">
        <v>4145</v>
      </c>
      <c r="C1847" t="s">
        <v>89</v>
      </c>
      <c r="D1847" t="s">
        <v>386</v>
      </c>
      <c r="E1847" s="36">
        <v>1650</v>
      </c>
      <c r="F1847" s="36">
        <v>1900</v>
      </c>
      <c r="G1847" s="36">
        <v>1023</v>
      </c>
      <c r="H1847" s="36">
        <v>1176</v>
      </c>
      <c r="I1847" s="37">
        <v>0</v>
      </c>
      <c r="J1847" s="37">
        <v>1.581444385872377E-3</v>
      </c>
    </row>
    <row r="1848" spans="1:10" x14ac:dyDescent="0.25">
      <c r="A1848" t="s">
        <v>4146</v>
      </c>
      <c r="B1848" t="s">
        <v>4147</v>
      </c>
      <c r="C1848" t="s">
        <v>89</v>
      </c>
      <c r="D1848" t="s">
        <v>386</v>
      </c>
      <c r="E1848" s="36">
        <v>2134</v>
      </c>
      <c r="F1848" s="36">
        <v>2534</v>
      </c>
      <c r="G1848" s="36">
        <v>1302</v>
      </c>
      <c r="H1848" s="36">
        <v>1497</v>
      </c>
      <c r="I1848" s="37">
        <v>1.6190476190476089E-2</v>
      </c>
      <c r="J1848" s="37">
        <v>4.9275362318840672E-2</v>
      </c>
    </row>
    <row r="1849" spans="1:10" x14ac:dyDescent="0.25">
      <c r="A1849" t="s">
        <v>4148</v>
      </c>
      <c r="B1849" t="s">
        <v>4149</v>
      </c>
      <c r="C1849" t="s">
        <v>89</v>
      </c>
      <c r="D1849" t="s">
        <v>386</v>
      </c>
      <c r="E1849" s="36">
        <v>2347</v>
      </c>
      <c r="F1849" s="36">
        <v>2787</v>
      </c>
      <c r="G1849" s="36">
        <v>1426</v>
      </c>
      <c r="H1849" s="36">
        <v>1640</v>
      </c>
      <c r="I1849" s="37">
        <v>2.043478260869569E-2</v>
      </c>
      <c r="J1849" s="37">
        <v>5.3686200378071813E-2</v>
      </c>
    </row>
    <row r="1850" spans="1:10" x14ac:dyDescent="0.25">
      <c r="A1850" t="s">
        <v>4150</v>
      </c>
      <c r="B1850" t="s">
        <v>4151</v>
      </c>
      <c r="C1850" t="s">
        <v>229</v>
      </c>
      <c r="D1850" t="s">
        <v>386</v>
      </c>
      <c r="E1850" s="36">
        <v>700</v>
      </c>
      <c r="F1850" s="36">
        <v>805</v>
      </c>
      <c r="G1850" s="36">
        <v>434</v>
      </c>
      <c r="H1850" s="36">
        <v>499</v>
      </c>
      <c r="I1850" s="37">
        <v>0</v>
      </c>
      <c r="J1850" s="37">
        <v>0</v>
      </c>
    </row>
    <row r="1851" spans="1:10" x14ac:dyDescent="0.25">
      <c r="A1851" t="s">
        <v>4152</v>
      </c>
      <c r="B1851" t="s">
        <v>4153</v>
      </c>
      <c r="C1851" t="s">
        <v>229</v>
      </c>
      <c r="D1851" t="s">
        <v>386</v>
      </c>
      <c r="E1851" s="36">
        <v>800</v>
      </c>
      <c r="F1851" s="36">
        <v>920</v>
      </c>
      <c r="G1851" s="36">
        <v>496</v>
      </c>
      <c r="H1851" s="36">
        <v>570</v>
      </c>
      <c r="I1851" s="37">
        <v>0</v>
      </c>
      <c r="J1851" s="37">
        <v>0</v>
      </c>
    </row>
    <row r="1852" spans="1:10" x14ac:dyDescent="0.25">
      <c r="A1852" t="s">
        <v>4154</v>
      </c>
      <c r="B1852" t="s">
        <v>4155</v>
      </c>
      <c r="C1852" t="s">
        <v>229</v>
      </c>
      <c r="D1852" t="s">
        <v>386</v>
      </c>
      <c r="E1852" s="36">
        <v>700</v>
      </c>
      <c r="F1852" s="36">
        <v>805</v>
      </c>
      <c r="G1852" s="36">
        <v>434</v>
      </c>
      <c r="H1852" s="36">
        <v>499</v>
      </c>
      <c r="I1852" s="37">
        <v>0</v>
      </c>
      <c r="J1852" s="37">
        <v>0</v>
      </c>
    </row>
    <row r="1853" spans="1:10" x14ac:dyDescent="0.25">
      <c r="A1853" t="s">
        <v>4156</v>
      </c>
      <c r="B1853" t="s">
        <v>4157</v>
      </c>
      <c r="C1853" t="s">
        <v>101</v>
      </c>
      <c r="D1853" t="s">
        <v>386</v>
      </c>
      <c r="E1853" s="36">
        <v>400</v>
      </c>
      <c r="F1853" s="36">
        <v>460</v>
      </c>
      <c r="G1853" s="36">
        <v>248</v>
      </c>
      <c r="H1853" s="36">
        <v>285</v>
      </c>
      <c r="I1853" s="37">
        <v>0</v>
      </c>
      <c r="J1853" s="37">
        <v>0</v>
      </c>
    </row>
    <row r="1854" spans="1:10" x14ac:dyDescent="0.25">
      <c r="A1854" t="s">
        <v>4158</v>
      </c>
      <c r="B1854" t="s">
        <v>4159</v>
      </c>
      <c r="C1854" t="s">
        <v>229</v>
      </c>
      <c r="D1854" t="s">
        <v>386</v>
      </c>
      <c r="E1854" s="36">
        <v>150</v>
      </c>
      <c r="F1854" s="36">
        <v>172</v>
      </c>
      <c r="G1854" s="36">
        <v>93</v>
      </c>
      <c r="H1854" s="36">
        <v>107</v>
      </c>
      <c r="I1854" s="37">
        <v>0</v>
      </c>
      <c r="J1854" s="37">
        <v>0</v>
      </c>
    </row>
    <row r="1855" spans="1:10" x14ac:dyDescent="0.25">
      <c r="A1855" t="s">
        <v>4160</v>
      </c>
      <c r="B1855" t="s">
        <v>4161</v>
      </c>
      <c r="C1855" t="s">
        <v>89</v>
      </c>
      <c r="D1855" t="s">
        <v>386</v>
      </c>
      <c r="E1855" s="36">
        <v>3200</v>
      </c>
      <c r="F1855" s="36">
        <v>3800</v>
      </c>
      <c r="G1855" s="36">
        <v>1984</v>
      </c>
      <c r="H1855" s="36">
        <v>2282</v>
      </c>
      <c r="I1855" s="37">
        <v>0</v>
      </c>
      <c r="J1855" s="37">
        <v>3.2608695652173843E-2</v>
      </c>
    </row>
    <row r="1856" spans="1:10" x14ac:dyDescent="0.25">
      <c r="A1856" t="s">
        <v>4162</v>
      </c>
      <c r="B1856" t="s">
        <v>4163</v>
      </c>
      <c r="C1856" t="s">
        <v>89</v>
      </c>
      <c r="D1856" t="s">
        <v>386</v>
      </c>
      <c r="E1856" s="36">
        <v>2200</v>
      </c>
      <c r="F1856" s="36">
        <v>2534</v>
      </c>
      <c r="G1856" s="36">
        <v>1364</v>
      </c>
      <c r="H1856" s="36">
        <v>1569</v>
      </c>
      <c r="I1856" s="37">
        <v>0</v>
      </c>
      <c r="J1856" s="37">
        <v>1.581027667984181E-3</v>
      </c>
    </row>
    <row r="1857" spans="1:10" x14ac:dyDescent="0.25">
      <c r="A1857" t="s">
        <v>4164</v>
      </c>
      <c r="B1857" t="s">
        <v>4165</v>
      </c>
      <c r="C1857" t="s">
        <v>89</v>
      </c>
      <c r="D1857" t="s">
        <v>327</v>
      </c>
      <c r="E1857" s="36">
        <v>600</v>
      </c>
      <c r="F1857" s="36">
        <v>690</v>
      </c>
      <c r="G1857" s="36">
        <v>390</v>
      </c>
      <c r="H1857" s="36">
        <v>448</v>
      </c>
      <c r="I1857" s="37">
        <v>0</v>
      </c>
      <c r="J1857" s="37">
        <v>0</v>
      </c>
    </row>
    <row r="1858" spans="1:10" x14ac:dyDescent="0.25">
      <c r="A1858" t="s">
        <v>4166</v>
      </c>
      <c r="B1858" t="s">
        <v>4167</v>
      </c>
      <c r="C1858" t="s">
        <v>101</v>
      </c>
      <c r="D1858" t="s">
        <v>386</v>
      </c>
      <c r="E1858" s="36">
        <v>500</v>
      </c>
      <c r="F1858" s="36">
        <v>575</v>
      </c>
      <c r="G1858" s="36">
        <v>310</v>
      </c>
      <c r="H1858" s="36">
        <v>356</v>
      </c>
      <c r="I1858" s="37">
        <v>0</v>
      </c>
      <c r="J1858" s="37">
        <v>0</v>
      </c>
    </row>
    <row r="1859" spans="1:10" x14ac:dyDescent="0.25">
      <c r="A1859" t="s">
        <v>4168</v>
      </c>
      <c r="B1859" t="s">
        <v>4169</v>
      </c>
      <c r="C1859" t="s">
        <v>229</v>
      </c>
      <c r="D1859" t="s">
        <v>386</v>
      </c>
      <c r="E1859" s="36">
        <v>180</v>
      </c>
      <c r="F1859" s="36">
        <v>207</v>
      </c>
      <c r="G1859" s="36">
        <v>112</v>
      </c>
      <c r="H1859" s="36">
        <v>128</v>
      </c>
      <c r="I1859" s="37">
        <v>0</v>
      </c>
      <c r="J1859" s="37">
        <v>0</v>
      </c>
    </row>
    <row r="1860" spans="1:10" x14ac:dyDescent="0.25">
      <c r="A1860" t="s">
        <v>4170</v>
      </c>
      <c r="B1860" t="s">
        <v>4171</v>
      </c>
      <c r="C1860" t="s">
        <v>89</v>
      </c>
      <c r="D1860" t="s">
        <v>386</v>
      </c>
      <c r="E1860" s="36">
        <v>2200</v>
      </c>
      <c r="F1860" s="36">
        <v>2530</v>
      </c>
      <c r="G1860" s="36">
        <v>1364</v>
      </c>
      <c r="H1860" s="36">
        <v>1569</v>
      </c>
      <c r="I1860" s="37">
        <v>0</v>
      </c>
      <c r="J1860" s="37">
        <v>0</v>
      </c>
    </row>
    <row r="1861" spans="1:10" x14ac:dyDescent="0.25">
      <c r="A1861" t="s">
        <v>4172</v>
      </c>
      <c r="B1861" t="s">
        <v>4173</v>
      </c>
      <c r="C1861" t="s">
        <v>229</v>
      </c>
      <c r="D1861" t="s">
        <v>386</v>
      </c>
      <c r="E1861" s="36">
        <v>900</v>
      </c>
      <c r="F1861" s="36">
        <v>1035</v>
      </c>
      <c r="G1861" s="36">
        <v>558</v>
      </c>
      <c r="H1861" s="36">
        <v>642</v>
      </c>
      <c r="I1861" s="37">
        <v>0</v>
      </c>
      <c r="J1861" s="37">
        <v>0</v>
      </c>
    </row>
    <row r="1862" spans="1:10" x14ac:dyDescent="0.25">
      <c r="A1862" t="s">
        <v>4174</v>
      </c>
      <c r="B1862" t="s">
        <v>4175</v>
      </c>
      <c r="C1862" t="s">
        <v>229</v>
      </c>
      <c r="D1862" t="s">
        <v>386</v>
      </c>
      <c r="E1862" s="36">
        <v>450</v>
      </c>
      <c r="F1862" s="36">
        <v>518</v>
      </c>
      <c r="G1862" s="36">
        <v>279</v>
      </c>
      <c r="H1862" s="36">
        <v>321</v>
      </c>
      <c r="I1862" s="37">
        <v>0</v>
      </c>
      <c r="J1862" s="37">
        <v>0</v>
      </c>
    </row>
    <row r="1863" spans="1:10" x14ac:dyDescent="0.25">
      <c r="A1863" t="s">
        <v>4176</v>
      </c>
      <c r="B1863" t="s">
        <v>4177</v>
      </c>
      <c r="C1863" t="s">
        <v>89</v>
      </c>
      <c r="D1863" t="s">
        <v>347</v>
      </c>
      <c r="E1863" s="36">
        <v>600</v>
      </c>
      <c r="F1863" s="36">
        <v>690</v>
      </c>
      <c r="G1863" s="36">
        <v>378</v>
      </c>
      <c r="H1863" s="36">
        <v>435</v>
      </c>
      <c r="I1863" s="37">
        <v>0</v>
      </c>
      <c r="J1863" s="37">
        <v>0</v>
      </c>
    </row>
    <row r="1864" spans="1:10" x14ac:dyDescent="0.25">
      <c r="A1864" t="s">
        <v>4178</v>
      </c>
      <c r="B1864" t="s">
        <v>4179</v>
      </c>
      <c r="C1864" t="s">
        <v>101</v>
      </c>
      <c r="D1864" t="s">
        <v>347</v>
      </c>
      <c r="E1864" s="36">
        <v>250</v>
      </c>
      <c r="F1864" s="36">
        <v>288</v>
      </c>
      <c r="G1864" s="36">
        <v>158</v>
      </c>
      <c r="H1864" s="36">
        <v>181</v>
      </c>
      <c r="I1864" s="37">
        <v>0</v>
      </c>
      <c r="J1864" s="37">
        <v>0</v>
      </c>
    </row>
    <row r="1865" spans="1:10" x14ac:dyDescent="0.25">
      <c r="A1865" t="s">
        <v>4180</v>
      </c>
      <c r="B1865" t="s">
        <v>4181</v>
      </c>
      <c r="C1865" t="s">
        <v>101</v>
      </c>
      <c r="D1865" t="s">
        <v>386</v>
      </c>
      <c r="E1865" s="36">
        <v>900</v>
      </c>
      <c r="F1865" s="36">
        <v>1035</v>
      </c>
      <c r="G1865" s="36">
        <v>558</v>
      </c>
      <c r="H1865" s="36">
        <v>642</v>
      </c>
      <c r="I1865" s="37">
        <v>0</v>
      </c>
      <c r="J1865" s="37">
        <v>0</v>
      </c>
    </row>
    <row r="1866" spans="1:10" x14ac:dyDescent="0.25">
      <c r="A1866" t="s">
        <v>4182</v>
      </c>
      <c r="B1866" t="s">
        <v>4183</v>
      </c>
      <c r="C1866" t="s">
        <v>101</v>
      </c>
      <c r="D1866" t="s">
        <v>386</v>
      </c>
      <c r="E1866" s="36">
        <v>1200</v>
      </c>
      <c r="F1866" s="36">
        <v>1380</v>
      </c>
      <c r="G1866" s="36">
        <v>744</v>
      </c>
      <c r="H1866" s="36">
        <v>856</v>
      </c>
      <c r="I1866" s="37">
        <v>0</v>
      </c>
      <c r="J1866" s="37">
        <v>0</v>
      </c>
    </row>
    <row r="1867" spans="1:10" x14ac:dyDescent="0.25">
      <c r="A1867" t="s">
        <v>4184</v>
      </c>
      <c r="B1867" t="s">
        <v>4185</v>
      </c>
      <c r="C1867" t="s">
        <v>101</v>
      </c>
      <c r="D1867" t="s">
        <v>363</v>
      </c>
      <c r="E1867" s="36">
        <v>2800</v>
      </c>
      <c r="F1867" s="36">
        <v>3220</v>
      </c>
      <c r="G1867" s="36">
        <v>1736</v>
      </c>
      <c r="H1867" s="36">
        <v>1996</v>
      </c>
      <c r="I1867" s="37">
        <v>0</v>
      </c>
      <c r="J1867" s="37">
        <v>0</v>
      </c>
    </row>
    <row r="1868" spans="1:10" x14ac:dyDescent="0.25">
      <c r="A1868" t="s">
        <v>4186</v>
      </c>
      <c r="B1868" t="s">
        <v>4187</v>
      </c>
      <c r="C1868" t="s">
        <v>101</v>
      </c>
      <c r="D1868" t="s">
        <v>386</v>
      </c>
      <c r="E1868" s="36">
        <v>1300</v>
      </c>
      <c r="F1868" s="36">
        <v>1495</v>
      </c>
      <c r="G1868" s="36">
        <v>806</v>
      </c>
      <c r="H1868" s="36">
        <v>927</v>
      </c>
      <c r="I1868" s="37">
        <v>0</v>
      </c>
      <c r="J1868" s="37">
        <v>0</v>
      </c>
    </row>
    <row r="1869" spans="1:10" x14ac:dyDescent="0.25">
      <c r="A1869" t="s">
        <v>4188</v>
      </c>
      <c r="B1869" t="s">
        <v>4189</v>
      </c>
      <c r="C1869" t="s">
        <v>101</v>
      </c>
      <c r="D1869" t="s">
        <v>386</v>
      </c>
      <c r="E1869" s="36">
        <v>800</v>
      </c>
      <c r="F1869" s="36">
        <v>920</v>
      </c>
      <c r="G1869" s="36">
        <v>496</v>
      </c>
      <c r="H1869" s="36">
        <v>570</v>
      </c>
      <c r="I1869" s="37">
        <v>0</v>
      </c>
      <c r="J1869" s="37">
        <v>0</v>
      </c>
    </row>
    <row r="1870" spans="1:10" x14ac:dyDescent="0.25">
      <c r="A1870" t="s">
        <v>4190</v>
      </c>
      <c r="B1870" t="s">
        <v>4191</v>
      </c>
      <c r="C1870" t="s">
        <v>101</v>
      </c>
      <c r="D1870" t="s">
        <v>386</v>
      </c>
      <c r="E1870" s="36">
        <v>2000</v>
      </c>
      <c r="F1870" s="36">
        <v>2300</v>
      </c>
      <c r="G1870" s="36">
        <v>1240</v>
      </c>
      <c r="H1870" s="36">
        <v>1426</v>
      </c>
      <c r="I1870" s="37">
        <v>0</v>
      </c>
      <c r="J1870" s="37">
        <v>0</v>
      </c>
    </row>
    <row r="1871" spans="1:10" x14ac:dyDescent="0.25">
      <c r="A1871" t="s">
        <v>4192</v>
      </c>
      <c r="B1871" t="s">
        <v>4193</v>
      </c>
      <c r="C1871" t="s">
        <v>101</v>
      </c>
      <c r="D1871" t="s">
        <v>386</v>
      </c>
      <c r="E1871" s="36">
        <v>2000</v>
      </c>
      <c r="F1871" s="36">
        <v>2300</v>
      </c>
      <c r="G1871" s="36">
        <v>1240</v>
      </c>
      <c r="H1871" s="36">
        <v>1426</v>
      </c>
      <c r="I1871" s="37">
        <v>0</v>
      </c>
      <c r="J1871" s="37">
        <v>0</v>
      </c>
    </row>
    <row r="1872" spans="1:10" x14ac:dyDescent="0.25">
      <c r="A1872" t="s">
        <v>4194</v>
      </c>
      <c r="B1872" t="s">
        <v>4195</v>
      </c>
      <c r="C1872" t="s">
        <v>101</v>
      </c>
      <c r="D1872" t="s">
        <v>386</v>
      </c>
      <c r="E1872" s="36">
        <v>700</v>
      </c>
      <c r="F1872" s="36">
        <v>805</v>
      </c>
      <c r="G1872" s="36">
        <v>434</v>
      </c>
      <c r="H1872" s="36">
        <v>499</v>
      </c>
      <c r="I1872" s="37">
        <v>0</v>
      </c>
      <c r="J1872" s="37">
        <v>0</v>
      </c>
    </row>
    <row r="1873" spans="1:10" x14ac:dyDescent="0.25">
      <c r="A1873" t="s">
        <v>4196</v>
      </c>
      <c r="B1873" t="s">
        <v>4197</v>
      </c>
      <c r="C1873" t="s">
        <v>101</v>
      </c>
      <c r="D1873" t="s">
        <v>386</v>
      </c>
      <c r="E1873" s="36">
        <v>2500</v>
      </c>
      <c r="F1873" s="36">
        <v>2875</v>
      </c>
      <c r="G1873" s="36">
        <v>1550</v>
      </c>
      <c r="H1873" s="36">
        <v>1782</v>
      </c>
      <c r="I1873" s="37">
        <v>0</v>
      </c>
      <c r="J1873" s="37">
        <v>0</v>
      </c>
    </row>
    <row r="1874" spans="1:10" x14ac:dyDescent="0.25">
      <c r="A1874" t="s">
        <v>4198</v>
      </c>
      <c r="B1874" t="s">
        <v>4199</v>
      </c>
      <c r="C1874" t="s">
        <v>101</v>
      </c>
      <c r="D1874" t="s">
        <v>386</v>
      </c>
      <c r="E1874" s="36">
        <v>1800</v>
      </c>
      <c r="F1874" s="36">
        <v>2070</v>
      </c>
      <c r="G1874" s="36">
        <v>1116</v>
      </c>
      <c r="H1874" s="36">
        <v>1283</v>
      </c>
      <c r="I1874" s="37">
        <v>0</v>
      </c>
      <c r="J1874" s="37">
        <v>0</v>
      </c>
    </row>
    <row r="1875" spans="1:10" x14ac:dyDescent="0.25">
      <c r="A1875" t="s">
        <v>4200</v>
      </c>
      <c r="B1875" t="s">
        <v>4201</v>
      </c>
      <c r="C1875" t="s">
        <v>101</v>
      </c>
      <c r="D1875" t="s">
        <v>386</v>
      </c>
      <c r="E1875" s="36">
        <v>1800</v>
      </c>
      <c r="F1875" s="36">
        <v>2070</v>
      </c>
      <c r="G1875" s="36">
        <v>1116</v>
      </c>
      <c r="H1875" s="36">
        <v>1283</v>
      </c>
      <c r="I1875" s="37">
        <v>0</v>
      </c>
      <c r="J1875" s="37">
        <v>0</v>
      </c>
    </row>
    <row r="1876" spans="1:10" x14ac:dyDescent="0.25">
      <c r="A1876" t="s">
        <v>4202</v>
      </c>
      <c r="B1876" t="s">
        <v>4203</v>
      </c>
      <c r="C1876" t="s">
        <v>101</v>
      </c>
      <c r="D1876" t="s">
        <v>386</v>
      </c>
      <c r="E1876" s="36">
        <v>700</v>
      </c>
      <c r="F1876" s="36">
        <v>805</v>
      </c>
      <c r="G1876" s="36">
        <v>434</v>
      </c>
      <c r="H1876" s="36">
        <v>499</v>
      </c>
      <c r="I1876" s="37">
        <v>0</v>
      </c>
      <c r="J1876" s="37">
        <v>0</v>
      </c>
    </row>
    <row r="1877" spans="1:10" x14ac:dyDescent="0.25">
      <c r="A1877" t="s">
        <v>4204</v>
      </c>
      <c r="B1877" t="s">
        <v>4205</v>
      </c>
      <c r="C1877" t="s">
        <v>101</v>
      </c>
      <c r="D1877" t="s">
        <v>386</v>
      </c>
      <c r="E1877" s="36">
        <v>3000</v>
      </c>
      <c r="F1877" s="36">
        <v>3450</v>
      </c>
      <c r="G1877" s="36">
        <v>1860</v>
      </c>
      <c r="H1877" s="36">
        <v>2139</v>
      </c>
      <c r="I1877" s="37">
        <v>0</v>
      </c>
      <c r="J1877" s="37">
        <v>0</v>
      </c>
    </row>
    <row r="1878" spans="1:10" x14ac:dyDescent="0.25">
      <c r="A1878" t="s">
        <v>4206</v>
      </c>
      <c r="B1878" t="s">
        <v>4207</v>
      </c>
      <c r="C1878" t="s">
        <v>101</v>
      </c>
      <c r="D1878" t="s">
        <v>386</v>
      </c>
      <c r="E1878" s="36">
        <v>2000</v>
      </c>
      <c r="F1878" s="36">
        <v>2300</v>
      </c>
      <c r="G1878" s="36">
        <v>1240</v>
      </c>
      <c r="H1878" s="36">
        <v>1426</v>
      </c>
      <c r="I1878" s="37">
        <v>0</v>
      </c>
      <c r="J1878" s="37">
        <v>0</v>
      </c>
    </row>
    <row r="1879" spans="1:10" x14ac:dyDescent="0.25">
      <c r="A1879" t="s">
        <v>4208</v>
      </c>
      <c r="B1879" t="s">
        <v>4209</v>
      </c>
      <c r="C1879" t="s">
        <v>101</v>
      </c>
      <c r="D1879" t="s">
        <v>386</v>
      </c>
      <c r="E1879" s="36">
        <v>900</v>
      </c>
      <c r="F1879" s="36">
        <v>1035</v>
      </c>
      <c r="G1879" s="36">
        <v>558</v>
      </c>
      <c r="H1879" s="36">
        <v>642</v>
      </c>
      <c r="I1879" s="37">
        <v>0</v>
      </c>
      <c r="J1879" s="37">
        <v>0</v>
      </c>
    </row>
    <row r="1880" spans="1:10" x14ac:dyDescent="0.25">
      <c r="A1880" t="s">
        <v>4210</v>
      </c>
      <c r="B1880" t="s">
        <v>4211</v>
      </c>
      <c r="C1880" t="s">
        <v>101</v>
      </c>
      <c r="D1880" t="s">
        <v>386</v>
      </c>
      <c r="E1880" s="36">
        <v>1800</v>
      </c>
      <c r="F1880" s="36">
        <v>2070</v>
      </c>
      <c r="G1880" s="36">
        <v>1116</v>
      </c>
      <c r="H1880" s="36">
        <v>1283</v>
      </c>
      <c r="I1880" s="37">
        <v>0</v>
      </c>
      <c r="J1880" s="37">
        <v>0</v>
      </c>
    </row>
    <row r="1881" spans="1:10" x14ac:dyDescent="0.25">
      <c r="A1881" t="s">
        <v>4212</v>
      </c>
      <c r="B1881" t="s">
        <v>4213</v>
      </c>
      <c r="C1881" t="s">
        <v>101</v>
      </c>
      <c r="D1881" t="s">
        <v>386</v>
      </c>
      <c r="E1881" s="36">
        <v>900</v>
      </c>
      <c r="F1881" s="36">
        <v>1035</v>
      </c>
      <c r="G1881" s="36">
        <v>558</v>
      </c>
      <c r="H1881" s="36">
        <v>642</v>
      </c>
      <c r="I1881" s="37">
        <v>0</v>
      </c>
      <c r="J1881" s="37">
        <v>0</v>
      </c>
    </row>
    <row r="1882" spans="1:10" x14ac:dyDescent="0.25">
      <c r="A1882" t="s">
        <v>4214</v>
      </c>
      <c r="B1882" t="s">
        <v>4215</v>
      </c>
      <c r="C1882" t="s">
        <v>101</v>
      </c>
      <c r="D1882" t="s">
        <v>386</v>
      </c>
      <c r="E1882" s="36">
        <v>600</v>
      </c>
      <c r="F1882" s="36">
        <v>690</v>
      </c>
      <c r="G1882" s="36">
        <v>372</v>
      </c>
      <c r="H1882" s="36">
        <v>428</v>
      </c>
      <c r="I1882" s="37">
        <v>0</v>
      </c>
      <c r="J1882" s="37">
        <v>0</v>
      </c>
    </row>
    <row r="1883" spans="1:10" x14ac:dyDescent="0.25">
      <c r="A1883" t="s">
        <v>4216</v>
      </c>
      <c r="B1883" t="s">
        <v>4217</v>
      </c>
      <c r="C1883" t="s">
        <v>101</v>
      </c>
      <c r="D1883" t="s">
        <v>386</v>
      </c>
      <c r="E1883" s="36">
        <v>1800</v>
      </c>
      <c r="F1883" s="36">
        <v>2070</v>
      </c>
      <c r="G1883" s="36">
        <v>1116</v>
      </c>
      <c r="H1883" s="36">
        <v>1283</v>
      </c>
      <c r="I1883" s="37">
        <v>0</v>
      </c>
      <c r="J1883" s="37">
        <v>0</v>
      </c>
    </row>
    <row r="1884" spans="1:10" x14ac:dyDescent="0.25">
      <c r="A1884" t="s">
        <v>4218</v>
      </c>
      <c r="B1884" t="s">
        <v>4219</v>
      </c>
      <c r="C1884" t="s">
        <v>101</v>
      </c>
      <c r="D1884" t="s">
        <v>386</v>
      </c>
      <c r="E1884" s="36">
        <v>900</v>
      </c>
      <c r="F1884" s="36">
        <v>1035</v>
      </c>
      <c r="G1884" s="36">
        <v>558</v>
      </c>
      <c r="H1884" s="36">
        <v>642</v>
      </c>
      <c r="I1884" s="37">
        <v>0</v>
      </c>
      <c r="J1884" s="37">
        <v>0</v>
      </c>
    </row>
    <row r="1885" spans="1:10" x14ac:dyDescent="0.25">
      <c r="A1885" t="s">
        <v>4220</v>
      </c>
      <c r="B1885" t="s">
        <v>4221</v>
      </c>
      <c r="C1885" t="s">
        <v>101</v>
      </c>
      <c r="D1885" t="s">
        <v>386</v>
      </c>
      <c r="E1885" s="36">
        <v>1800</v>
      </c>
      <c r="F1885" s="36">
        <v>2070</v>
      </c>
      <c r="G1885" s="36">
        <v>1116</v>
      </c>
      <c r="H1885" s="36">
        <v>1283</v>
      </c>
      <c r="I1885" s="37">
        <v>0</v>
      </c>
      <c r="J1885" s="37">
        <v>0</v>
      </c>
    </row>
    <row r="1886" spans="1:10" x14ac:dyDescent="0.25">
      <c r="A1886" t="s">
        <v>4222</v>
      </c>
      <c r="B1886" t="s">
        <v>4223</v>
      </c>
      <c r="C1886" t="s">
        <v>101</v>
      </c>
      <c r="D1886" t="s">
        <v>386</v>
      </c>
      <c r="E1886" s="36">
        <v>6500</v>
      </c>
      <c r="F1886" s="36">
        <v>7475</v>
      </c>
      <c r="G1886" s="36">
        <v>4030</v>
      </c>
      <c r="H1886" s="36">
        <v>4634</v>
      </c>
      <c r="I1886" s="37">
        <v>0</v>
      </c>
      <c r="J1886" s="37">
        <v>0</v>
      </c>
    </row>
    <row r="1887" spans="1:10" x14ac:dyDescent="0.25">
      <c r="A1887" t="s">
        <v>4224</v>
      </c>
      <c r="B1887" t="s">
        <v>4225</v>
      </c>
      <c r="C1887" t="s">
        <v>89</v>
      </c>
      <c r="D1887" t="s">
        <v>386</v>
      </c>
      <c r="E1887" s="36">
        <v>3200</v>
      </c>
      <c r="F1887" s="36">
        <v>3680</v>
      </c>
      <c r="G1887" s="36">
        <v>1984</v>
      </c>
      <c r="H1887" s="36">
        <v>2282</v>
      </c>
      <c r="I1887" s="37">
        <v>0</v>
      </c>
      <c r="J1887" s="37">
        <v>0</v>
      </c>
    </row>
    <row r="1888" spans="1:10" x14ac:dyDescent="0.25">
      <c r="A1888" t="s">
        <v>4226</v>
      </c>
      <c r="B1888" t="s">
        <v>4227</v>
      </c>
      <c r="C1888" t="s">
        <v>101</v>
      </c>
      <c r="D1888" t="s">
        <v>386</v>
      </c>
      <c r="E1888" s="36">
        <v>13000</v>
      </c>
      <c r="F1888" s="36">
        <v>14950</v>
      </c>
      <c r="G1888" s="36">
        <v>8060</v>
      </c>
      <c r="H1888" s="36">
        <v>9269</v>
      </c>
      <c r="I1888" s="37">
        <v>0</v>
      </c>
      <c r="J1888" s="37">
        <v>0</v>
      </c>
    </row>
    <row r="1889" spans="1:10" x14ac:dyDescent="0.25">
      <c r="A1889" t="s">
        <v>4228</v>
      </c>
      <c r="B1889" t="s">
        <v>4229</v>
      </c>
      <c r="C1889" t="s">
        <v>101</v>
      </c>
      <c r="D1889" t="s">
        <v>386</v>
      </c>
      <c r="E1889" s="36">
        <v>9500</v>
      </c>
      <c r="F1889" s="36">
        <v>10925</v>
      </c>
      <c r="G1889" s="36">
        <v>5890</v>
      </c>
      <c r="H1889" s="36">
        <v>6774</v>
      </c>
      <c r="I1889" s="37">
        <v>0</v>
      </c>
      <c r="J1889" s="37">
        <v>0</v>
      </c>
    </row>
    <row r="1890" spans="1:10" x14ac:dyDescent="0.25">
      <c r="A1890" t="s">
        <v>4230</v>
      </c>
      <c r="B1890" t="s">
        <v>4231</v>
      </c>
      <c r="C1890" t="s">
        <v>89</v>
      </c>
      <c r="D1890" t="s">
        <v>386</v>
      </c>
      <c r="E1890" s="36">
        <v>2500</v>
      </c>
      <c r="F1890" s="36">
        <v>2875</v>
      </c>
      <c r="G1890" s="36">
        <v>1550</v>
      </c>
      <c r="H1890" s="36">
        <v>1782</v>
      </c>
      <c r="I1890" s="37">
        <v>0</v>
      </c>
      <c r="J1890" s="37">
        <v>0</v>
      </c>
    </row>
    <row r="1891" spans="1:10" x14ac:dyDescent="0.25">
      <c r="A1891" t="s">
        <v>4232</v>
      </c>
      <c r="B1891" t="s">
        <v>4233</v>
      </c>
      <c r="C1891" t="s">
        <v>89</v>
      </c>
      <c r="D1891" t="s">
        <v>363</v>
      </c>
      <c r="E1891" s="36">
        <v>3500</v>
      </c>
      <c r="F1891" s="36">
        <v>4025</v>
      </c>
      <c r="G1891" s="36">
        <v>2170</v>
      </c>
      <c r="H1891" s="36">
        <v>2495</v>
      </c>
      <c r="I1891" s="37">
        <v>0</v>
      </c>
      <c r="J1891" s="37">
        <v>0</v>
      </c>
    </row>
    <row r="1892" spans="1:10" x14ac:dyDescent="0.25">
      <c r="A1892" t="s">
        <v>4234</v>
      </c>
      <c r="B1892" t="s">
        <v>4235</v>
      </c>
      <c r="C1892" t="s">
        <v>89</v>
      </c>
      <c r="D1892" t="s">
        <v>363</v>
      </c>
      <c r="E1892" s="36">
        <v>3700</v>
      </c>
      <c r="F1892" s="36">
        <v>4255</v>
      </c>
      <c r="G1892" s="36">
        <v>2294</v>
      </c>
      <c r="H1892" s="36">
        <v>2638</v>
      </c>
      <c r="I1892" s="37">
        <v>0</v>
      </c>
      <c r="J1892" s="37">
        <v>0</v>
      </c>
    </row>
    <row r="1893" spans="1:10" x14ac:dyDescent="0.25">
      <c r="A1893" t="s">
        <v>4236</v>
      </c>
      <c r="B1893" t="s">
        <v>4237</v>
      </c>
      <c r="C1893" t="s">
        <v>89</v>
      </c>
      <c r="D1893" t="s">
        <v>363</v>
      </c>
      <c r="E1893" s="36">
        <v>4300</v>
      </c>
      <c r="F1893" s="36">
        <v>4945</v>
      </c>
      <c r="G1893" s="36">
        <v>2666</v>
      </c>
      <c r="H1893" s="36">
        <v>3066</v>
      </c>
      <c r="I1893" s="37">
        <v>0</v>
      </c>
      <c r="J1893" s="37">
        <v>0</v>
      </c>
    </row>
    <row r="1894" spans="1:10" x14ac:dyDescent="0.25">
      <c r="A1894" t="s">
        <v>4238</v>
      </c>
      <c r="B1894" t="s">
        <v>4239</v>
      </c>
      <c r="C1894" t="s">
        <v>89</v>
      </c>
      <c r="D1894" t="s">
        <v>363</v>
      </c>
      <c r="E1894" s="36">
        <v>4500</v>
      </c>
      <c r="F1894" s="36">
        <v>5175</v>
      </c>
      <c r="G1894" s="36">
        <v>2790</v>
      </c>
      <c r="H1894" s="36">
        <v>3208</v>
      </c>
      <c r="I1894" s="37">
        <v>0</v>
      </c>
      <c r="J1894" s="37">
        <v>0</v>
      </c>
    </row>
    <row r="1895" spans="1:10" x14ac:dyDescent="0.25">
      <c r="A1895" t="s">
        <v>4240</v>
      </c>
      <c r="B1895" t="s">
        <v>4241</v>
      </c>
      <c r="C1895" t="s">
        <v>101</v>
      </c>
      <c r="D1895" t="s">
        <v>327</v>
      </c>
      <c r="E1895" s="36">
        <v>4000</v>
      </c>
      <c r="F1895" s="36">
        <v>4600</v>
      </c>
      <c r="G1895" s="36">
        <v>2600</v>
      </c>
      <c r="H1895" s="36">
        <v>2990</v>
      </c>
      <c r="I1895" s="37">
        <v>0</v>
      </c>
      <c r="J1895" s="37">
        <v>0</v>
      </c>
    </row>
    <row r="1896" spans="1:10" x14ac:dyDescent="0.25">
      <c r="A1896" t="s">
        <v>4242</v>
      </c>
      <c r="B1896" t="s">
        <v>4243</v>
      </c>
      <c r="C1896" t="s">
        <v>229</v>
      </c>
      <c r="D1896" t="s">
        <v>386</v>
      </c>
      <c r="E1896" s="36">
        <v>250</v>
      </c>
      <c r="F1896" s="36">
        <v>288</v>
      </c>
      <c r="G1896" s="36">
        <v>155</v>
      </c>
      <c r="H1896" s="36">
        <v>178</v>
      </c>
      <c r="I1896" s="37">
        <v>0</v>
      </c>
      <c r="J1896" s="37">
        <v>0</v>
      </c>
    </row>
    <row r="1897" spans="1:10" x14ac:dyDescent="0.25">
      <c r="A1897" t="s">
        <v>4244</v>
      </c>
      <c r="B1897" t="s">
        <v>4245</v>
      </c>
      <c r="C1897" t="s">
        <v>101</v>
      </c>
      <c r="D1897" t="s">
        <v>386</v>
      </c>
      <c r="E1897" s="36">
        <v>7500</v>
      </c>
      <c r="F1897" s="36">
        <v>8625</v>
      </c>
      <c r="G1897" s="36">
        <v>4650</v>
      </c>
      <c r="H1897" s="36">
        <v>5348</v>
      </c>
      <c r="I1897" s="37">
        <v>0</v>
      </c>
      <c r="J1897" s="37">
        <v>0</v>
      </c>
    </row>
    <row r="1898" spans="1:10" x14ac:dyDescent="0.25">
      <c r="A1898" t="s">
        <v>4246</v>
      </c>
      <c r="B1898" t="s">
        <v>4247</v>
      </c>
      <c r="C1898" t="s">
        <v>101</v>
      </c>
      <c r="D1898" t="s">
        <v>379</v>
      </c>
      <c r="E1898" s="36">
        <v>2200</v>
      </c>
      <c r="F1898" s="36">
        <v>2530</v>
      </c>
      <c r="G1898" s="36">
        <v>1364</v>
      </c>
      <c r="H1898" s="36">
        <v>1569</v>
      </c>
      <c r="I1898" s="37">
        <v>0</v>
      </c>
      <c r="J1898" s="37">
        <v>0</v>
      </c>
    </row>
    <row r="1899" spans="1:10" x14ac:dyDescent="0.25">
      <c r="A1899" t="s">
        <v>4248</v>
      </c>
      <c r="B1899" t="s">
        <v>4249</v>
      </c>
      <c r="C1899" t="s">
        <v>101</v>
      </c>
      <c r="D1899" t="s">
        <v>379</v>
      </c>
      <c r="E1899" s="36">
        <v>3500</v>
      </c>
      <c r="F1899" s="36">
        <v>4025</v>
      </c>
      <c r="G1899" s="36">
        <v>2170</v>
      </c>
      <c r="H1899" s="36">
        <v>2495</v>
      </c>
      <c r="I1899" s="37">
        <v>0</v>
      </c>
      <c r="J1899" s="37">
        <v>0</v>
      </c>
    </row>
    <row r="1900" spans="1:10" x14ac:dyDescent="0.25">
      <c r="A1900" t="s">
        <v>4250</v>
      </c>
      <c r="B1900" t="s">
        <v>4251</v>
      </c>
      <c r="C1900" t="s">
        <v>229</v>
      </c>
      <c r="D1900" t="s">
        <v>386</v>
      </c>
      <c r="E1900" s="36">
        <v>400</v>
      </c>
      <c r="F1900" s="36">
        <v>460</v>
      </c>
      <c r="G1900" s="36">
        <v>248</v>
      </c>
      <c r="H1900" s="36">
        <v>285</v>
      </c>
      <c r="I1900" s="37">
        <v>0</v>
      </c>
      <c r="J1900" s="37">
        <v>0</v>
      </c>
    </row>
    <row r="1901" spans="1:10" x14ac:dyDescent="0.25">
      <c r="A1901" t="s">
        <v>4252</v>
      </c>
      <c r="B1901" t="s">
        <v>4253</v>
      </c>
      <c r="C1901" t="s">
        <v>101</v>
      </c>
      <c r="D1901" t="s">
        <v>386</v>
      </c>
      <c r="E1901" s="36">
        <v>1500</v>
      </c>
      <c r="F1901" s="36">
        <v>1725</v>
      </c>
      <c r="G1901" s="36">
        <v>930</v>
      </c>
      <c r="H1901" s="36">
        <v>1069</v>
      </c>
      <c r="I1901" s="37">
        <v>0</v>
      </c>
      <c r="J1901" s="37">
        <v>0</v>
      </c>
    </row>
    <row r="1902" spans="1:10" x14ac:dyDescent="0.25">
      <c r="A1902" t="s">
        <v>4254</v>
      </c>
      <c r="B1902" t="s">
        <v>1427</v>
      </c>
      <c r="C1902" t="s">
        <v>1428</v>
      </c>
      <c r="D1902" t="s">
        <v>363</v>
      </c>
      <c r="E1902" s="36">
        <v>1800</v>
      </c>
      <c r="F1902" s="36">
        <v>2070</v>
      </c>
      <c r="G1902" s="36">
        <v>1116</v>
      </c>
      <c r="H1902" s="36">
        <v>1283</v>
      </c>
      <c r="I1902" s="37">
        <v>0</v>
      </c>
      <c r="J1902" s="37">
        <v>0</v>
      </c>
    </row>
    <row r="1903" spans="1:10" x14ac:dyDescent="0.25">
      <c r="A1903" t="s">
        <v>4255</v>
      </c>
      <c r="B1903" t="s">
        <v>4256</v>
      </c>
      <c r="C1903" t="s">
        <v>89</v>
      </c>
      <c r="D1903" t="s">
        <v>363</v>
      </c>
      <c r="E1903" s="36">
        <v>1200</v>
      </c>
      <c r="F1903" s="36">
        <v>1440</v>
      </c>
      <c r="G1903" s="36">
        <v>744</v>
      </c>
      <c r="H1903" s="36">
        <v>856</v>
      </c>
      <c r="I1903" s="37">
        <v>0</v>
      </c>
      <c r="J1903" s="37">
        <v>4.3478260869565188E-2</v>
      </c>
    </row>
    <row r="1904" spans="1:10" x14ac:dyDescent="0.25">
      <c r="A1904" t="s">
        <v>4257</v>
      </c>
      <c r="B1904" t="s">
        <v>4258</v>
      </c>
      <c r="C1904" t="s">
        <v>101</v>
      </c>
      <c r="D1904" t="s">
        <v>363</v>
      </c>
      <c r="E1904" s="36">
        <v>1500</v>
      </c>
      <c r="F1904" s="36">
        <v>1725</v>
      </c>
      <c r="G1904" s="36">
        <v>930</v>
      </c>
      <c r="H1904" s="36">
        <v>1069</v>
      </c>
      <c r="I1904" s="37">
        <v>0</v>
      </c>
      <c r="J1904" s="37">
        <v>0</v>
      </c>
    </row>
    <row r="1905" spans="1:10" x14ac:dyDescent="0.25">
      <c r="A1905" t="s">
        <v>4259</v>
      </c>
      <c r="B1905" t="s">
        <v>4260</v>
      </c>
      <c r="C1905" t="s">
        <v>539</v>
      </c>
      <c r="D1905" t="s">
        <v>363</v>
      </c>
      <c r="E1905" s="36">
        <v>70000</v>
      </c>
      <c r="F1905" s="36">
        <v>80500</v>
      </c>
      <c r="G1905" s="36">
        <v>43400</v>
      </c>
      <c r="H1905" s="36">
        <v>49910</v>
      </c>
      <c r="I1905" s="37">
        <v>0</v>
      </c>
      <c r="J1905" s="37">
        <v>0</v>
      </c>
    </row>
    <row r="1906" spans="1:10" x14ac:dyDescent="0.25">
      <c r="A1906" t="s">
        <v>4261</v>
      </c>
      <c r="B1906" t="s">
        <v>4262</v>
      </c>
      <c r="C1906" t="s">
        <v>89</v>
      </c>
      <c r="D1906" t="s">
        <v>363</v>
      </c>
      <c r="E1906" s="36">
        <v>1800</v>
      </c>
      <c r="F1906" s="36">
        <v>2160</v>
      </c>
      <c r="G1906" s="36">
        <v>930</v>
      </c>
      <c r="H1906" s="36">
        <v>1069</v>
      </c>
      <c r="I1906" s="37">
        <v>0.2</v>
      </c>
      <c r="J1906" s="37">
        <v>0.25217391304347841</v>
      </c>
    </row>
    <row r="1907" spans="1:10" x14ac:dyDescent="0.25">
      <c r="A1907" t="s">
        <v>4263</v>
      </c>
      <c r="B1907" t="s">
        <v>4264</v>
      </c>
      <c r="C1907" t="s">
        <v>101</v>
      </c>
      <c r="D1907" t="s">
        <v>363</v>
      </c>
      <c r="E1907" s="36">
        <v>1500</v>
      </c>
      <c r="F1907" s="36">
        <v>1725</v>
      </c>
      <c r="G1907" s="36">
        <v>930</v>
      </c>
      <c r="H1907" s="36">
        <v>1069</v>
      </c>
      <c r="I1907" s="37">
        <v>0</v>
      </c>
      <c r="J1907" s="37">
        <v>0</v>
      </c>
    </row>
    <row r="1908" spans="1:10" x14ac:dyDescent="0.25">
      <c r="A1908" t="s">
        <v>4265</v>
      </c>
      <c r="B1908" t="s">
        <v>4266</v>
      </c>
      <c r="C1908" t="s">
        <v>101</v>
      </c>
      <c r="D1908" t="s">
        <v>386</v>
      </c>
      <c r="E1908" s="36">
        <v>1200</v>
      </c>
      <c r="F1908" s="36">
        <v>1380</v>
      </c>
      <c r="G1908" s="36">
        <v>744</v>
      </c>
      <c r="H1908" s="36">
        <v>856</v>
      </c>
      <c r="I1908" s="37">
        <v>0</v>
      </c>
      <c r="J1908" s="37">
        <v>0</v>
      </c>
    </row>
    <row r="1909" spans="1:10" x14ac:dyDescent="0.25">
      <c r="A1909" t="s">
        <v>4267</v>
      </c>
      <c r="B1909" t="s">
        <v>4268</v>
      </c>
      <c r="C1909" t="s">
        <v>101</v>
      </c>
      <c r="D1909" t="s">
        <v>363</v>
      </c>
      <c r="E1909" s="36">
        <v>1500</v>
      </c>
      <c r="F1909" s="36">
        <v>1725</v>
      </c>
      <c r="G1909" s="36">
        <v>930</v>
      </c>
      <c r="H1909" s="36">
        <v>1069</v>
      </c>
      <c r="I1909" s="37">
        <v>0</v>
      </c>
      <c r="J1909" s="37">
        <v>0</v>
      </c>
    </row>
    <row r="1910" spans="1:10" x14ac:dyDescent="0.25">
      <c r="A1910" t="s">
        <v>4269</v>
      </c>
      <c r="B1910" t="s">
        <v>4270</v>
      </c>
      <c r="C1910" t="s">
        <v>101</v>
      </c>
      <c r="D1910" t="s">
        <v>363</v>
      </c>
      <c r="E1910" s="36">
        <v>2000</v>
      </c>
      <c r="F1910" s="36">
        <v>2300</v>
      </c>
      <c r="G1910" s="36">
        <v>1240</v>
      </c>
      <c r="H1910" s="36">
        <v>1426</v>
      </c>
      <c r="I1910" s="37">
        <v>0</v>
      </c>
      <c r="J1910" s="37">
        <v>0</v>
      </c>
    </row>
    <row r="1911" spans="1:10" x14ac:dyDescent="0.25">
      <c r="A1911" t="s">
        <v>4271</v>
      </c>
      <c r="B1911" t="s">
        <v>4272</v>
      </c>
      <c r="C1911" t="s">
        <v>101</v>
      </c>
      <c r="D1911" t="s">
        <v>379</v>
      </c>
      <c r="E1911" s="36">
        <v>2500</v>
      </c>
      <c r="F1911" s="36">
        <v>2875</v>
      </c>
      <c r="G1911" s="36">
        <v>1550</v>
      </c>
      <c r="H1911" s="36">
        <v>1782</v>
      </c>
      <c r="I1911" s="37">
        <v>0</v>
      </c>
      <c r="J1911" s="37">
        <v>0</v>
      </c>
    </row>
    <row r="1912" spans="1:10" x14ac:dyDescent="0.25">
      <c r="A1912" t="s">
        <v>4273</v>
      </c>
      <c r="B1912" t="s">
        <v>4274</v>
      </c>
      <c r="C1912" t="s">
        <v>89</v>
      </c>
      <c r="D1912" t="s">
        <v>363</v>
      </c>
      <c r="E1912" s="36">
        <v>600</v>
      </c>
      <c r="F1912" s="36">
        <v>720</v>
      </c>
      <c r="G1912" s="36">
        <v>310</v>
      </c>
      <c r="H1912" s="36">
        <v>356</v>
      </c>
      <c r="I1912" s="37">
        <v>0.2</v>
      </c>
      <c r="J1912" s="37">
        <v>0.25217391304347841</v>
      </c>
    </row>
    <row r="1913" spans="1:10" x14ac:dyDescent="0.25">
      <c r="A1913" t="s">
        <v>4275</v>
      </c>
      <c r="B1913" t="s">
        <v>4276</v>
      </c>
      <c r="C1913" t="s">
        <v>89</v>
      </c>
      <c r="D1913" t="s">
        <v>347</v>
      </c>
      <c r="E1913" s="36">
        <v>450</v>
      </c>
      <c r="F1913" s="36">
        <v>518</v>
      </c>
      <c r="G1913" s="36">
        <v>284</v>
      </c>
      <c r="H1913" s="36">
        <v>326</v>
      </c>
      <c r="I1913" s="37">
        <v>0</v>
      </c>
      <c r="J1913" s="37">
        <v>0</v>
      </c>
    </row>
    <row r="1914" spans="1:10" x14ac:dyDescent="0.25">
      <c r="A1914" t="s">
        <v>4277</v>
      </c>
      <c r="B1914" t="s">
        <v>4278</v>
      </c>
      <c r="C1914" t="s">
        <v>101</v>
      </c>
      <c r="D1914" t="s">
        <v>390</v>
      </c>
      <c r="E1914" s="36">
        <v>2500</v>
      </c>
      <c r="F1914" s="36">
        <v>2880</v>
      </c>
      <c r="G1914" s="36">
        <v>1500</v>
      </c>
      <c r="H1914" s="36">
        <v>1725</v>
      </c>
      <c r="I1914" s="37">
        <v>0</v>
      </c>
      <c r="J1914" s="37">
        <v>1.739130434782687E-3</v>
      </c>
    </row>
    <row r="1915" spans="1:10" x14ac:dyDescent="0.25">
      <c r="A1915" t="s">
        <v>4279</v>
      </c>
      <c r="B1915" t="s">
        <v>4280</v>
      </c>
      <c r="C1915" t="s">
        <v>101</v>
      </c>
      <c r="D1915" t="s">
        <v>390</v>
      </c>
      <c r="E1915" s="36">
        <v>4000</v>
      </c>
      <c r="F1915" s="36">
        <v>4800</v>
      </c>
      <c r="G1915" s="36">
        <v>2400</v>
      </c>
      <c r="H1915" s="36">
        <v>2760</v>
      </c>
      <c r="I1915" s="37">
        <v>0</v>
      </c>
      <c r="J1915" s="37">
        <v>4.3478260869565188E-2</v>
      </c>
    </row>
    <row r="1916" spans="1:10" x14ac:dyDescent="0.25">
      <c r="A1916" t="s">
        <v>4281</v>
      </c>
      <c r="B1916" t="s">
        <v>4282</v>
      </c>
      <c r="C1916" t="s">
        <v>101</v>
      </c>
      <c r="D1916" t="s">
        <v>390</v>
      </c>
      <c r="E1916" s="36">
        <v>3000</v>
      </c>
      <c r="F1916" s="36">
        <v>3450</v>
      </c>
      <c r="G1916" s="36">
        <v>1800</v>
      </c>
      <c r="H1916" s="36">
        <v>2070</v>
      </c>
      <c r="I1916" s="37">
        <v>0</v>
      </c>
      <c r="J1916" s="37">
        <v>0</v>
      </c>
    </row>
    <row r="1917" spans="1:10" x14ac:dyDescent="0.25">
      <c r="A1917" t="s">
        <v>4283</v>
      </c>
      <c r="B1917" t="s">
        <v>4284</v>
      </c>
      <c r="C1917" t="s">
        <v>101</v>
      </c>
      <c r="D1917" t="s">
        <v>390</v>
      </c>
      <c r="E1917" s="36">
        <v>2500</v>
      </c>
      <c r="F1917" s="36">
        <v>2875</v>
      </c>
      <c r="G1917" s="36">
        <v>1500</v>
      </c>
      <c r="H1917" s="36">
        <v>1725</v>
      </c>
      <c r="I1917" s="37">
        <v>0</v>
      </c>
      <c r="J1917" s="37">
        <v>0</v>
      </c>
    </row>
    <row r="1918" spans="1:10" x14ac:dyDescent="0.25">
      <c r="A1918" t="s">
        <v>4285</v>
      </c>
      <c r="B1918" t="s">
        <v>4286</v>
      </c>
      <c r="C1918" t="s">
        <v>101</v>
      </c>
      <c r="D1918" t="s">
        <v>390</v>
      </c>
      <c r="E1918" s="36">
        <v>3500</v>
      </c>
      <c r="F1918" s="36">
        <v>4025</v>
      </c>
      <c r="G1918" s="36">
        <v>2100</v>
      </c>
      <c r="H1918" s="36">
        <v>2415</v>
      </c>
      <c r="I1918" s="37">
        <v>0</v>
      </c>
      <c r="J1918" s="37">
        <v>0</v>
      </c>
    </row>
    <row r="1919" spans="1:10" x14ac:dyDescent="0.25">
      <c r="A1919" t="s">
        <v>4287</v>
      </c>
      <c r="B1919" t="s">
        <v>4288</v>
      </c>
      <c r="C1919" t="s">
        <v>101</v>
      </c>
      <c r="D1919" t="s">
        <v>390</v>
      </c>
      <c r="E1919" s="36">
        <v>3000</v>
      </c>
      <c r="F1919" s="36">
        <v>3450</v>
      </c>
      <c r="G1919" s="36">
        <v>1800</v>
      </c>
      <c r="H1919" s="36">
        <v>2070</v>
      </c>
      <c r="I1919" s="37">
        <v>0</v>
      </c>
      <c r="J1919" s="37">
        <v>0</v>
      </c>
    </row>
    <row r="1920" spans="1:10" x14ac:dyDescent="0.25">
      <c r="A1920" t="s">
        <v>4289</v>
      </c>
      <c r="B1920" t="s">
        <v>4290</v>
      </c>
      <c r="C1920" t="s">
        <v>101</v>
      </c>
      <c r="D1920" t="s">
        <v>390</v>
      </c>
      <c r="E1920" s="36">
        <v>2000</v>
      </c>
      <c r="F1920" s="36">
        <v>2300</v>
      </c>
      <c r="G1920" s="36">
        <v>1200</v>
      </c>
      <c r="H1920" s="36">
        <v>1380</v>
      </c>
      <c r="I1920" s="37">
        <v>0</v>
      </c>
      <c r="J1920" s="37">
        <v>0</v>
      </c>
    </row>
    <row r="1921" spans="1:10" x14ac:dyDescent="0.25">
      <c r="A1921" t="s">
        <v>4291</v>
      </c>
      <c r="B1921" t="s">
        <v>4292</v>
      </c>
      <c r="C1921" t="s">
        <v>101</v>
      </c>
      <c r="D1921" t="s">
        <v>390</v>
      </c>
      <c r="E1921" s="36">
        <v>2500</v>
      </c>
      <c r="F1921" s="36">
        <v>2875</v>
      </c>
      <c r="G1921" s="36">
        <v>1500</v>
      </c>
      <c r="H1921" s="36">
        <v>1725</v>
      </c>
      <c r="I1921" s="37">
        <v>0</v>
      </c>
      <c r="J1921" s="37">
        <v>0</v>
      </c>
    </row>
    <row r="1922" spans="1:10" x14ac:dyDescent="0.25">
      <c r="A1922" t="s">
        <v>4293</v>
      </c>
      <c r="B1922" t="s">
        <v>4294</v>
      </c>
      <c r="C1922" t="s">
        <v>101</v>
      </c>
      <c r="D1922" t="s">
        <v>390</v>
      </c>
      <c r="E1922" s="36">
        <v>3000</v>
      </c>
      <c r="F1922" s="36">
        <v>3450</v>
      </c>
      <c r="G1922" s="36">
        <v>1800</v>
      </c>
      <c r="H1922" s="36">
        <v>2070</v>
      </c>
      <c r="I1922" s="37">
        <v>0</v>
      </c>
      <c r="J1922" s="37">
        <v>0</v>
      </c>
    </row>
    <row r="1923" spans="1:10" x14ac:dyDescent="0.25">
      <c r="A1923" t="s">
        <v>4295</v>
      </c>
      <c r="B1923" t="s">
        <v>4296</v>
      </c>
      <c r="C1923" t="s">
        <v>101</v>
      </c>
      <c r="D1923" t="s">
        <v>390</v>
      </c>
      <c r="E1923" s="36">
        <v>2000</v>
      </c>
      <c r="F1923" s="36">
        <v>2300</v>
      </c>
      <c r="G1923" s="36">
        <v>1200</v>
      </c>
      <c r="H1923" s="36">
        <v>1380</v>
      </c>
      <c r="I1923" s="37">
        <v>0</v>
      </c>
      <c r="J1923" s="37">
        <v>0</v>
      </c>
    </row>
    <row r="1924" spans="1:10" x14ac:dyDescent="0.25">
      <c r="A1924" t="s">
        <v>4297</v>
      </c>
      <c r="B1924" t="s">
        <v>4298</v>
      </c>
      <c r="C1924" t="s">
        <v>101</v>
      </c>
      <c r="D1924" t="s">
        <v>390</v>
      </c>
      <c r="E1924" s="36">
        <v>2500</v>
      </c>
      <c r="F1924" s="36">
        <v>2875</v>
      </c>
      <c r="G1924" s="36">
        <v>1500</v>
      </c>
      <c r="H1924" s="36">
        <v>1725</v>
      </c>
      <c r="I1924" s="37">
        <v>0</v>
      </c>
      <c r="J1924" s="37">
        <v>0</v>
      </c>
    </row>
    <row r="1925" spans="1:10" x14ac:dyDescent="0.25">
      <c r="A1925" t="s">
        <v>4299</v>
      </c>
      <c r="B1925" t="s">
        <v>4300</v>
      </c>
      <c r="C1925" t="s">
        <v>101</v>
      </c>
      <c r="D1925" t="s">
        <v>390</v>
      </c>
      <c r="E1925" s="36">
        <v>3000</v>
      </c>
      <c r="F1925" s="36">
        <v>3450</v>
      </c>
      <c r="G1925" s="36">
        <v>1800</v>
      </c>
      <c r="H1925" s="36">
        <v>2070</v>
      </c>
      <c r="I1925" s="37">
        <v>0</v>
      </c>
      <c r="J1925" s="37">
        <v>0</v>
      </c>
    </row>
    <row r="1926" spans="1:10" x14ac:dyDescent="0.25">
      <c r="A1926" t="s">
        <v>4301</v>
      </c>
      <c r="B1926" t="s">
        <v>4302</v>
      </c>
      <c r="C1926" t="s">
        <v>101</v>
      </c>
      <c r="D1926" t="s">
        <v>390</v>
      </c>
      <c r="E1926" s="36">
        <v>900</v>
      </c>
      <c r="F1926" s="36">
        <v>1035</v>
      </c>
      <c r="G1926" s="36">
        <v>540</v>
      </c>
      <c r="H1926" s="36">
        <v>621</v>
      </c>
      <c r="I1926" s="37">
        <v>0</v>
      </c>
      <c r="J1926" s="37">
        <v>0</v>
      </c>
    </row>
    <row r="1927" spans="1:10" x14ac:dyDescent="0.25">
      <c r="A1927" t="s">
        <v>4303</v>
      </c>
      <c r="B1927" t="s">
        <v>4304</v>
      </c>
      <c r="C1927" t="s">
        <v>101</v>
      </c>
      <c r="D1927" t="s">
        <v>390</v>
      </c>
      <c r="E1927" s="36">
        <v>4000</v>
      </c>
      <c r="F1927" s="36">
        <v>4600</v>
      </c>
      <c r="G1927" s="36">
        <v>2400</v>
      </c>
      <c r="H1927" s="36">
        <v>2760</v>
      </c>
      <c r="I1927" s="37">
        <v>0</v>
      </c>
      <c r="J1927" s="37">
        <v>0</v>
      </c>
    </row>
    <row r="1928" spans="1:10" x14ac:dyDescent="0.25">
      <c r="A1928" t="s">
        <v>4305</v>
      </c>
      <c r="B1928" t="s">
        <v>4306</v>
      </c>
      <c r="C1928" t="s">
        <v>101</v>
      </c>
      <c r="D1928" t="s">
        <v>390</v>
      </c>
      <c r="E1928" s="36">
        <v>6000</v>
      </c>
      <c r="F1928" s="36">
        <v>6900</v>
      </c>
      <c r="G1928" s="36">
        <v>3600</v>
      </c>
      <c r="H1928" s="36">
        <v>4140</v>
      </c>
      <c r="I1928" s="37">
        <v>0</v>
      </c>
      <c r="J1928" s="37">
        <v>0</v>
      </c>
    </row>
    <row r="1929" spans="1:10" x14ac:dyDescent="0.25">
      <c r="A1929" t="s">
        <v>4307</v>
      </c>
      <c r="B1929" t="s">
        <v>4308</v>
      </c>
      <c r="C1929" t="s">
        <v>101</v>
      </c>
      <c r="D1929" t="s">
        <v>390</v>
      </c>
      <c r="E1929" s="36">
        <v>700</v>
      </c>
      <c r="F1929" s="36">
        <v>805</v>
      </c>
      <c r="G1929" s="36">
        <v>420</v>
      </c>
      <c r="H1929" s="36">
        <v>483</v>
      </c>
      <c r="I1929" s="37">
        <v>0</v>
      </c>
      <c r="J1929" s="37">
        <v>0</v>
      </c>
    </row>
    <row r="1930" spans="1:10" x14ac:dyDescent="0.25">
      <c r="A1930" t="s">
        <v>4309</v>
      </c>
      <c r="B1930" t="s">
        <v>4310</v>
      </c>
      <c r="C1930" t="s">
        <v>101</v>
      </c>
      <c r="D1930" t="s">
        <v>390</v>
      </c>
      <c r="E1930" s="36">
        <v>1800</v>
      </c>
      <c r="F1930" s="36">
        <v>2070</v>
      </c>
      <c r="G1930" s="36">
        <v>1080</v>
      </c>
      <c r="H1930" s="36">
        <v>1242</v>
      </c>
      <c r="I1930" s="37">
        <v>0</v>
      </c>
      <c r="J1930" s="37">
        <v>0</v>
      </c>
    </row>
    <row r="1931" spans="1:10" x14ac:dyDescent="0.25">
      <c r="A1931" t="s">
        <v>4311</v>
      </c>
      <c r="B1931" t="s">
        <v>4312</v>
      </c>
      <c r="C1931" t="s">
        <v>101</v>
      </c>
      <c r="D1931" t="s">
        <v>390</v>
      </c>
      <c r="E1931" s="36">
        <v>2500</v>
      </c>
      <c r="F1931" s="36">
        <v>2880</v>
      </c>
      <c r="G1931" s="36">
        <v>1500</v>
      </c>
      <c r="H1931" s="36">
        <v>1725</v>
      </c>
      <c r="I1931" s="37">
        <v>0</v>
      </c>
      <c r="J1931" s="37">
        <v>1.739130434782687E-3</v>
      </c>
    </row>
    <row r="1932" spans="1:10" x14ac:dyDescent="0.25">
      <c r="A1932" t="s">
        <v>4313</v>
      </c>
      <c r="B1932" t="s">
        <v>4314</v>
      </c>
      <c r="C1932" t="s">
        <v>101</v>
      </c>
      <c r="D1932" t="s">
        <v>390</v>
      </c>
      <c r="E1932" s="36">
        <v>3500</v>
      </c>
      <c r="F1932" s="36">
        <v>4025</v>
      </c>
      <c r="G1932" s="36">
        <v>2100</v>
      </c>
      <c r="H1932" s="36">
        <v>2415</v>
      </c>
      <c r="I1932" s="37">
        <v>0</v>
      </c>
      <c r="J1932" s="37">
        <v>0</v>
      </c>
    </row>
    <row r="1933" spans="1:10" x14ac:dyDescent="0.25">
      <c r="A1933" t="s">
        <v>4315</v>
      </c>
      <c r="B1933" t="s">
        <v>4316</v>
      </c>
      <c r="C1933" t="s">
        <v>101</v>
      </c>
      <c r="D1933" t="s">
        <v>390</v>
      </c>
      <c r="E1933" s="36">
        <v>3500</v>
      </c>
      <c r="F1933" s="36">
        <v>4025</v>
      </c>
      <c r="G1933" s="36">
        <v>2100</v>
      </c>
      <c r="H1933" s="36">
        <v>2415</v>
      </c>
      <c r="I1933" s="37">
        <v>0</v>
      </c>
      <c r="J1933" s="37">
        <v>0</v>
      </c>
    </row>
    <row r="1934" spans="1:10" x14ac:dyDescent="0.25">
      <c r="A1934" t="s">
        <v>4317</v>
      </c>
      <c r="B1934" t="s">
        <v>4318</v>
      </c>
      <c r="C1934" t="s">
        <v>101</v>
      </c>
      <c r="D1934" t="s">
        <v>390</v>
      </c>
      <c r="E1934" s="36">
        <v>240</v>
      </c>
      <c r="F1934" s="36">
        <v>288</v>
      </c>
      <c r="G1934" s="36">
        <v>120</v>
      </c>
      <c r="H1934" s="36">
        <v>138</v>
      </c>
      <c r="I1934" s="37">
        <v>0.2</v>
      </c>
      <c r="J1934" s="37">
        <v>0.25217391304347841</v>
      </c>
    </row>
    <row r="1935" spans="1:10" x14ac:dyDescent="0.25">
      <c r="A1935" t="s">
        <v>4319</v>
      </c>
      <c r="B1935" t="s">
        <v>4320</v>
      </c>
      <c r="C1935" t="s">
        <v>229</v>
      </c>
      <c r="D1935" t="s">
        <v>390</v>
      </c>
      <c r="E1935" s="36">
        <v>320</v>
      </c>
      <c r="F1935" s="36">
        <v>384</v>
      </c>
      <c r="G1935" s="36">
        <v>150</v>
      </c>
      <c r="H1935" s="36">
        <v>172</v>
      </c>
      <c r="I1935" s="37">
        <v>0.28000000000000003</v>
      </c>
      <c r="J1935" s="37">
        <v>0.33333333333333331</v>
      </c>
    </row>
    <row r="1936" spans="1:10" x14ac:dyDescent="0.25">
      <c r="A1936" t="s">
        <v>4321</v>
      </c>
      <c r="B1936" t="s">
        <v>4322</v>
      </c>
      <c r="C1936" t="s">
        <v>101</v>
      </c>
      <c r="D1936" t="s">
        <v>390</v>
      </c>
      <c r="E1936" s="36">
        <v>1800</v>
      </c>
      <c r="F1936" s="36">
        <v>2070</v>
      </c>
      <c r="G1936" s="36">
        <v>1080</v>
      </c>
      <c r="H1936" s="36">
        <v>1242</v>
      </c>
      <c r="I1936" s="37">
        <v>0</v>
      </c>
      <c r="J1936" s="37">
        <v>0</v>
      </c>
    </row>
    <row r="1937" spans="1:10" x14ac:dyDescent="0.25">
      <c r="A1937" t="s">
        <v>4323</v>
      </c>
      <c r="B1937" t="s">
        <v>4324</v>
      </c>
      <c r="C1937" t="s">
        <v>101</v>
      </c>
      <c r="D1937" t="s">
        <v>390</v>
      </c>
      <c r="E1937" s="36">
        <v>2100</v>
      </c>
      <c r="F1937" s="36">
        <v>2415</v>
      </c>
      <c r="G1937" s="36">
        <v>1260</v>
      </c>
      <c r="H1937" s="36">
        <v>1449</v>
      </c>
      <c r="I1937" s="37">
        <v>0</v>
      </c>
      <c r="J1937" s="37">
        <v>0</v>
      </c>
    </row>
    <row r="1938" spans="1:10" x14ac:dyDescent="0.25">
      <c r="A1938" t="s">
        <v>4325</v>
      </c>
      <c r="B1938" t="s">
        <v>4326</v>
      </c>
      <c r="C1938" t="s">
        <v>101</v>
      </c>
      <c r="D1938" t="s">
        <v>390</v>
      </c>
      <c r="E1938" s="36">
        <v>2500</v>
      </c>
      <c r="F1938" s="36">
        <v>2880</v>
      </c>
      <c r="G1938" s="36">
        <v>1500</v>
      </c>
      <c r="H1938" s="36">
        <v>1725</v>
      </c>
      <c r="I1938" s="37">
        <v>0</v>
      </c>
      <c r="J1938" s="37">
        <v>1.739130434782687E-3</v>
      </c>
    </row>
    <row r="1939" spans="1:10" x14ac:dyDescent="0.25">
      <c r="A1939" t="s">
        <v>4327</v>
      </c>
      <c r="B1939" t="s">
        <v>4328</v>
      </c>
      <c r="C1939" t="s">
        <v>101</v>
      </c>
      <c r="D1939" t="s">
        <v>390</v>
      </c>
      <c r="E1939" s="36">
        <v>1800</v>
      </c>
      <c r="F1939" s="36">
        <v>2070</v>
      </c>
      <c r="G1939" s="36">
        <v>1080</v>
      </c>
      <c r="H1939" s="36">
        <v>1242</v>
      </c>
      <c r="I1939" s="37">
        <v>0</v>
      </c>
      <c r="J1939" s="37">
        <v>0</v>
      </c>
    </row>
    <row r="1940" spans="1:10" x14ac:dyDescent="0.25">
      <c r="A1940" t="s">
        <v>4329</v>
      </c>
      <c r="B1940" t="s">
        <v>4330</v>
      </c>
      <c r="C1940" t="s">
        <v>101</v>
      </c>
      <c r="D1940" t="s">
        <v>390</v>
      </c>
      <c r="E1940" s="36">
        <v>1000</v>
      </c>
      <c r="F1940" s="36">
        <v>1152</v>
      </c>
      <c r="G1940" s="36">
        <v>600</v>
      </c>
      <c r="H1940" s="36">
        <v>690</v>
      </c>
      <c r="I1940" s="37">
        <v>0</v>
      </c>
      <c r="J1940" s="37">
        <v>1.739130434782687E-3</v>
      </c>
    </row>
    <row r="1941" spans="1:10" x14ac:dyDescent="0.25">
      <c r="A1941" t="s">
        <v>4331</v>
      </c>
      <c r="B1941" t="s">
        <v>4332</v>
      </c>
      <c r="C1941" t="s">
        <v>101</v>
      </c>
      <c r="D1941" t="s">
        <v>390</v>
      </c>
      <c r="E1941" s="36">
        <v>5500</v>
      </c>
      <c r="F1941" s="36">
        <v>6325</v>
      </c>
      <c r="G1941" s="36">
        <v>3300</v>
      </c>
      <c r="H1941" s="36">
        <v>3795</v>
      </c>
      <c r="I1941" s="37">
        <v>0</v>
      </c>
      <c r="J1941" s="37">
        <v>0</v>
      </c>
    </row>
    <row r="1942" spans="1:10" x14ac:dyDescent="0.25">
      <c r="A1942" t="s">
        <v>4333</v>
      </c>
      <c r="B1942" t="s">
        <v>4334</v>
      </c>
      <c r="C1942" t="s">
        <v>101</v>
      </c>
      <c r="D1942" t="s">
        <v>390</v>
      </c>
      <c r="E1942" s="36">
        <v>5500</v>
      </c>
      <c r="F1942" s="36">
        <v>6325</v>
      </c>
      <c r="G1942" s="36">
        <v>3300</v>
      </c>
      <c r="H1942" s="36">
        <v>3795</v>
      </c>
      <c r="I1942" s="37">
        <v>0</v>
      </c>
      <c r="J1942" s="37">
        <v>0</v>
      </c>
    </row>
    <row r="1943" spans="1:10" x14ac:dyDescent="0.25">
      <c r="A1943" t="s">
        <v>4335</v>
      </c>
      <c r="B1943" t="s">
        <v>4336</v>
      </c>
      <c r="C1943" t="s">
        <v>101</v>
      </c>
      <c r="D1943" t="s">
        <v>390</v>
      </c>
      <c r="E1943" s="36">
        <v>5500</v>
      </c>
      <c r="F1943" s="36">
        <v>6325</v>
      </c>
      <c r="G1943" s="36">
        <v>3300</v>
      </c>
      <c r="H1943" s="36">
        <v>3795</v>
      </c>
      <c r="I1943" s="37">
        <v>0</v>
      </c>
      <c r="J1943" s="37">
        <v>0</v>
      </c>
    </row>
    <row r="1944" spans="1:10" x14ac:dyDescent="0.25">
      <c r="A1944" t="s">
        <v>4337</v>
      </c>
      <c r="B1944" t="s">
        <v>4338</v>
      </c>
      <c r="C1944" t="s">
        <v>101</v>
      </c>
      <c r="D1944" t="s">
        <v>390</v>
      </c>
      <c r="E1944" s="36">
        <v>7000</v>
      </c>
      <c r="F1944" s="36">
        <v>8050</v>
      </c>
      <c r="G1944" s="36">
        <v>4200</v>
      </c>
      <c r="H1944" s="36">
        <v>4830</v>
      </c>
      <c r="I1944" s="37">
        <v>0</v>
      </c>
      <c r="J1944" s="37">
        <v>0</v>
      </c>
    </row>
    <row r="1945" spans="1:10" x14ac:dyDescent="0.25">
      <c r="A1945" t="s">
        <v>4339</v>
      </c>
      <c r="B1945" t="s">
        <v>4340</v>
      </c>
      <c r="C1945" t="s">
        <v>101</v>
      </c>
      <c r="D1945" t="s">
        <v>390</v>
      </c>
      <c r="E1945" s="36">
        <v>6000</v>
      </c>
      <c r="F1945" s="36">
        <v>6900</v>
      </c>
      <c r="G1945" s="36">
        <v>3600</v>
      </c>
      <c r="H1945" s="36">
        <v>4140</v>
      </c>
      <c r="I1945" s="37">
        <v>0</v>
      </c>
      <c r="J1945" s="37">
        <v>0</v>
      </c>
    </row>
    <row r="1946" spans="1:10" x14ac:dyDescent="0.25">
      <c r="A1946" t="s">
        <v>4341</v>
      </c>
      <c r="B1946" t="s">
        <v>4342</v>
      </c>
      <c r="C1946" t="s">
        <v>229</v>
      </c>
      <c r="D1946" t="s">
        <v>390</v>
      </c>
      <c r="E1946" s="36">
        <v>400</v>
      </c>
      <c r="F1946" s="36">
        <v>480</v>
      </c>
      <c r="G1946" s="36">
        <v>180</v>
      </c>
      <c r="H1946" s="36">
        <v>207</v>
      </c>
      <c r="I1946" s="37">
        <v>0.33333333333333331</v>
      </c>
      <c r="J1946" s="37">
        <v>0.39130434782608692</v>
      </c>
    </row>
    <row r="1947" spans="1:10" x14ac:dyDescent="0.25">
      <c r="A1947" t="s">
        <v>4343</v>
      </c>
      <c r="B1947" t="s">
        <v>4344</v>
      </c>
      <c r="C1947" t="s">
        <v>229</v>
      </c>
      <c r="D1947" t="s">
        <v>390</v>
      </c>
      <c r="E1947" s="36">
        <v>400</v>
      </c>
      <c r="F1947" s="36">
        <v>480</v>
      </c>
      <c r="G1947" s="36">
        <v>180</v>
      </c>
      <c r="H1947" s="36">
        <v>207</v>
      </c>
      <c r="I1947" s="37">
        <v>0.33333333333333331</v>
      </c>
      <c r="J1947" s="37">
        <v>0.39130434782608692</v>
      </c>
    </row>
    <row r="1948" spans="1:10" x14ac:dyDescent="0.25">
      <c r="A1948" t="s">
        <v>4345</v>
      </c>
      <c r="B1948" t="s">
        <v>4346</v>
      </c>
      <c r="C1948" t="s">
        <v>229</v>
      </c>
      <c r="D1948" t="s">
        <v>390</v>
      </c>
      <c r="E1948" s="36">
        <v>400</v>
      </c>
      <c r="F1948" s="36">
        <v>480</v>
      </c>
      <c r="G1948" s="36">
        <v>180</v>
      </c>
      <c r="H1948" s="36">
        <v>207</v>
      </c>
      <c r="I1948" s="37">
        <v>0.33333333333333331</v>
      </c>
      <c r="J1948" s="37">
        <v>0.39130434782608692</v>
      </c>
    </row>
    <row r="1949" spans="1:10" x14ac:dyDescent="0.25">
      <c r="A1949" t="s">
        <v>4347</v>
      </c>
      <c r="B1949" t="s">
        <v>4348</v>
      </c>
      <c r="C1949" t="s">
        <v>89</v>
      </c>
      <c r="D1949" t="s">
        <v>390</v>
      </c>
      <c r="E1949" s="36">
        <v>2400</v>
      </c>
      <c r="F1949" s="36">
        <v>2880</v>
      </c>
      <c r="G1949" s="36">
        <v>900</v>
      </c>
      <c r="H1949" s="36">
        <v>1035</v>
      </c>
      <c r="I1949" s="37">
        <v>0.60000000000000009</v>
      </c>
      <c r="J1949" s="37">
        <v>0.66956521739130426</v>
      </c>
    </row>
    <row r="1950" spans="1:10" x14ac:dyDescent="0.25">
      <c r="A1950" t="s">
        <v>4349</v>
      </c>
      <c r="B1950" t="s">
        <v>4350</v>
      </c>
      <c r="C1950" t="s">
        <v>101</v>
      </c>
      <c r="D1950" t="s">
        <v>390</v>
      </c>
      <c r="E1950" s="36">
        <v>2500</v>
      </c>
      <c r="F1950" s="36">
        <v>2880</v>
      </c>
      <c r="G1950" s="36">
        <v>1500</v>
      </c>
      <c r="H1950" s="36">
        <v>1725</v>
      </c>
      <c r="I1950" s="37">
        <v>0</v>
      </c>
      <c r="J1950" s="37">
        <v>1.739130434782687E-3</v>
      </c>
    </row>
    <row r="1951" spans="1:10" x14ac:dyDescent="0.25">
      <c r="A1951" t="s">
        <v>4351</v>
      </c>
      <c r="B1951" t="s">
        <v>4352</v>
      </c>
      <c r="C1951" t="s">
        <v>101</v>
      </c>
      <c r="D1951" t="s">
        <v>390</v>
      </c>
      <c r="E1951" s="36">
        <v>800</v>
      </c>
      <c r="F1951" s="36">
        <v>960</v>
      </c>
      <c r="G1951" s="36">
        <v>480</v>
      </c>
      <c r="H1951" s="36">
        <v>552</v>
      </c>
      <c r="I1951" s="37">
        <v>0</v>
      </c>
      <c r="J1951" s="37">
        <v>4.3478260869565188E-2</v>
      </c>
    </row>
    <row r="1952" spans="1:10" x14ac:dyDescent="0.25">
      <c r="A1952" t="s">
        <v>4353</v>
      </c>
      <c r="B1952" t="s">
        <v>4354</v>
      </c>
      <c r="C1952" t="s">
        <v>101</v>
      </c>
      <c r="D1952" t="s">
        <v>390</v>
      </c>
      <c r="E1952" s="36">
        <v>500</v>
      </c>
      <c r="F1952" s="36">
        <v>576</v>
      </c>
      <c r="G1952" s="36">
        <v>300</v>
      </c>
      <c r="H1952" s="36">
        <v>345</v>
      </c>
      <c r="I1952" s="37">
        <v>0</v>
      </c>
      <c r="J1952" s="37">
        <v>1.739130434782687E-3</v>
      </c>
    </row>
    <row r="1953" spans="1:10" x14ac:dyDescent="0.25">
      <c r="A1953" t="s">
        <v>4355</v>
      </c>
      <c r="B1953" t="s">
        <v>4356</v>
      </c>
      <c r="C1953" t="s">
        <v>101</v>
      </c>
      <c r="D1953" t="s">
        <v>390</v>
      </c>
      <c r="E1953" s="36">
        <v>6000</v>
      </c>
      <c r="F1953" s="36">
        <v>6900</v>
      </c>
      <c r="G1953" s="36">
        <v>3600</v>
      </c>
      <c r="H1953" s="36">
        <v>4140</v>
      </c>
      <c r="I1953" s="37">
        <v>0</v>
      </c>
      <c r="J1953" s="37">
        <v>0</v>
      </c>
    </row>
    <row r="1954" spans="1:10" x14ac:dyDescent="0.25">
      <c r="A1954" t="s">
        <v>4357</v>
      </c>
      <c r="B1954" t="s">
        <v>4358</v>
      </c>
      <c r="C1954" t="s">
        <v>101</v>
      </c>
      <c r="D1954" t="s">
        <v>379</v>
      </c>
      <c r="E1954" s="36">
        <v>2000</v>
      </c>
      <c r="F1954" s="36">
        <v>2300</v>
      </c>
      <c r="G1954" s="36">
        <v>1240</v>
      </c>
      <c r="H1954" s="36">
        <v>1426</v>
      </c>
      <c r="I1954" s="37">
        <v>0</v>
      </c>
      <c r="J1954" s="37">
        <v>0</v>
      </c>
    </row>
    <row r="1955" spans="1:10" x14ac:dyDescent="0.25">
      <c r="A1955" t="s">
        <v>4359</v>
      </c>
      <c r="B1955" t="s">
        <v>4360</v>
      </c>
      <c r="C1955" t="s">
        <v>101</v>
      </c>
      <c r="D1955" t="s">
        <v>390</v>
      </c>
      <c r="E1955" s="36">
        <v>1800</v>
      </c>
      <c r="F1955" s="36">
        <v>2070</v>
      </c>
      <c r="G1955" s="36">
        <v>1080</v>
      </c>
      <c r="H1955" s="36">
        <v>1242</v>
      </c>
      <c r="I1955" s="37">
        <v>0</v>
      </c>
      <c r="J1955" s="37">
        <v>0</v>
      </c>
    </row>
    <row r="1956" spans="1:10" x14ac:dyDescent="0.25">
      <c r="A1956" t="s">
        <v>4361</v>
      </c>
      <c r="B1956" t="s">
        <v>4362</v>
      </c>
      <c r="C1956" t="s">
        <v>101</v>
      </c>
      <c r="D1956" t="s">
        <v>390</v>
      </c>
      <c r="E1956" s="36">
        <v>1500</v>
      </c>
      <c r="F1956" s="36">
        <v>1725</v>
      </c>
      <c r="G1956" s="36">
        <v>900</v>
      </c>
      <c r="H1956" s="36">
        <v>1035</v>
      </c>
      <c r="I1956" s="37">
        <v>0</v>
      </c>
      <c r="J1956" s="37">
        <v>0</v>
      </c>
    </row>
    <row r="1957" spans="1:10" x14ac:dyDescent="0.25">
      <c r="A1957" t="s">
        <v>4363</v>
      </c>
      <c r="B1957" t="s">
        <v>4364</v>
      </c>
      <c r="C1957" t="s">
        <v>101</v>
      </c>
      <c r="D1957" t="s">
        <v>390</v>
      </c>
      <c r="E1957" s="36">
        <v>2000</v>
      </c>
      <c r="F1957" s="36">
        <v>2300</v>
      </c>
      <c r="G1957" s="36">
        <v>1200</v>
      </c>
      <c r="H1957" s="36">
        <v>1380</v>
      </c>
      <c r="I1957" s="37">
        <v>0</v>
      </c>
      <c r="J1957" s="37">
        <v>0</v>
      </c>
    </row>
    <row r="1958" spans="1:10" x14ac:dyDescent="0.25">
      <c r="A1958" t="s">
        <v>4365</v>
      </c>
      <c r="B1958" t="s">
        <v>4366</v>
      </c>
      <c r="C1958" t="s">
        <v>101</v>
      </c>
      <c r="D1958" t="s">
        <v>363</v>
      </c>
      <c r="E1958" s="36">
        <v>2500</v>
      </c>
      <c r="F1958" s="36">
        <v>2875</v>
      </c>
      <c r="G1958" s="36">
        <v>1550</v>
      </c>
      <c r="H1958" s="36">
        <v>1782</v>
      </c>
      <c r="I1958" s="37">
        <v>0</v>
      </c>
      <c r="J1958" s="37">
        <v>0</v>
      </c>
    </row>
    <row r="1959" spans="1:10" x14ac:dyDescent="0.25">
      <c r="A1959" t="s">
        <v>4367</v>
      </c>
      <c r="B1959" t="s">
        <v>4368</v>
      </c>
      <c r="C1959" t="s">
        <v>101</v>
      </c>
      <c r="D1959" t="s">
        <v>390</v>
      </c>
      <c r="E1959" s="36">
        <v>3500</v>
      </c>
      <c r="F1959" s="36">
        <v>4025</v>
      </c>
      <c r="G1959" s="36">
        <v>2100</v>
      </c>
      <c r="H1959" s="36">
        <v>2415</v>
      </c>
      <c r="I1959" s="37">
        <v>0</v>
      </c>
      <c r="J1959" s="37">
        <v>0</v>
      </c>
    </row>
    <row r="1960" spans="1:10" x14ac:dyDescent="0.25">
      <c r="A1960" t="s">
        <v>4369</v>
      </c>
      <c r="B1960" t="s">
        <v>4370</v>
      </c>
      <c r="C1960" t="s">
        <v>101</v>
      </c>
      <c r="D1960" t="s">
        <v>390</v>
      </c>
      <c r="E1960" s="36">
        <v>8000</v>
      </c>
      <c r="F1960" s="36">
        <v>9600</v>
      </c>
      <c r="G1960" s="36">
        <v>4800</v>
      </c>
      <c r="H1960" s="36">
        <v>5520</v>
      </c>
      <c r="I1960" s="37">
        <v>0</v>
      </c>
      <c r="J1960" s="37">
        <v>4.3478260869565188E-2</v>
      </c>
    </row>
    <row r="1961" spans="1:10" x14ac:dyDescent="0.25">
      <c r="A1961" t="s">
        <v>4371</v>
      </c>
      <c r="B1961" t="s">
        <v>4372</v>
      </c>
      <c r="C1961" t="s">
        <v>101</v>
      </c>
      <c r="D1961" t="s">
        <v>390</v>
      </c>
      <c r="E1961" s="36">
        <v>1000</v>
      </c>
      <c r="F1961" s="36">
        <v>1152</v>
      </c>
      <c r="G1961" s="36">
        <v>600</v>
      </c>
      <c r="H1961" s="36">
        <v>690</v>
      </c>
      <c r="I1961" s="37">
        <v>0</v>
      </c>
      <c r="J1961" s="37">
        <v>1.739130434782687E-3</v>
      </c>
    </row>
    <row r="1962" spans="1:10" x14ac:dyDescent="0.25">
      <c r="A1962" t="s">
        <v>4373</v>
      </c>
      <c r="B1962" t="s">
        <v>4374</v>
      </c>
      <c r="C1962" t="s">
        <v>101</v>
      </c>
      <c r="D1962" t="s">
        <v>390</v>
      </c>
      <c r="E1962" s="36">
        <v>3000</v>
      </c>
      <c r="F1962" s="36">
        <v>3450</v>
      </c>
      <c r="G1962" s="36">
        <v>1800</v>
      </c>
      <c r="H1962" s="36">
        <v>2070</v>
      </c>
      <c r="I1962" s="37">
        <v>0</v>
      </c>
      <c r="J1962" s="37">
        <v>0</v>
      </c>
    </row>
    <row r="1963" spans="1:10" x14ac:dyDescent="0.25">
      <c r="A1963" t="s">
        <v>4375</v>
      </c>
      <c r="B1963" t="s">
        <v>4376</v>
      </c>
      <c r="C1963" t="s">
        <v>101</v>
      </c>
      <c r="D1963" t="s">
        <v>390</v>
      </c>
      <c r="E1963" s="36">
        <v>3000</v>
      </c>
      <c r="F1963" s="36">
        <v>3450</v>
      </c>
      <c r="G1963" s="36">
        <v>1800</v>
      </c>
      <c r="H1963" s="36">
        <v>2070</v>
      </c>
      <c r="I1963" s="37">
        <v>0</v>
      </c>
      <c r="J1963" s="37">
        <v>0</v>
      </c>
    </row>
    <row r="1964" spans="1:10" x14ac:dyDescent="0.25">
      <c r="A1964" t="s">
        <v>4377</v>
      </c>
      <c r="B1964" t="s">
        <v>4378</v>
      </c>
      <c r="C1964" t="s">
        <v>101</v>
      </c>
      <c r="D1964" t="s">
        <v>390</v>
      </c>
      <c r="E1964" s="36">
        <v>2000</v>
      </c>
      <c r="F1964" s="36">
        <v>2304</v>
      </c>
      <c r="G1964" s="36">
        <v>1200</v>
      </c>
      <c r="H1964" s="36">
        <v>1380</v>
      </c>
      <c r="I1964" s="37">
        <v>0</v>
      </c>
      <c r="J1964" s="37">
        <v>1.739130434782687E-3</v>
      </c>
    </row>
    <row r="1965" spans="1:10" x14ac:dyDescent="0.25">
      <c r="A1965" t="s">
        <v>4379</v>
      </c>
      <c r="B1965" t="s">
        <v>4380</v>
      </c>
      <c r="C1965" t="s">
        <v>101</v>
      </c>
      <c r="D1965" t="s">
        <v>390</v>
      </c>
      <c r="E1965" s="36">
        <v>2000</v>
      </c>
      <c r="F1965" s="36">
        <v>2300</v>
      </c>
      <c r="G1965" s="36">
        <v>1200</v>
      </c>
      <c r="H1965" s="36">
        <v>1380</v>
      </c>
      <c r="I1965" s="37">
        <v>0</v>
      </c>
      <c r="J1965" s="37">
        <v>0</v>
      </c>
    </row>
    <row r="1966" spans="1:10" x14ac:dyDescent="0.25">
      <c r="A1966" t="s">
        <v>4381</v>
      </c>
      <c r="B1966" t="s">
        <v>4382</v>
      </c>
      <c r="C1966" t="s">
        <v>101</v>
      </c>
      <c r="D1966" t="s">
        <v>390</v>
      </c>
      <c r="E1966" s="36">
        <v>2000</v>
      </c>
      <c r="F1966" s="36">
        <v>2300</v>
      </c>
      <c r="G1966" s="36">
        <v>1200</v>
      </c>
      <c r="H1966" s="36">
        <v>1380</v>
      </c>
      <c r="I1966" s="37">
        <v>0</v>
      </c>
      <c r="J1966" s="37">
        <v>0</v>
      </c>
    </row>
    <row r="1967" spans="1:10" x14ac:dyDescent="0.25">
      <c r="A1967" t="s">
        <v>4383</v>
      </c>
      <c r="B1967" t="s">
        <v>4384</v>
      </c>
      <c r="C1967" t="s">
        <v>101</v>
      </c>
      <c r="D1967" t="s">
        <v>390</v>
      </c>
      <c r="E1967" s="36">
        <v>1800</v>
      </c>
      <c r="F1967" s="36">
        <v>2070</v>
      </c>
      <c r="G1967" s="36">
        <v>1080</v>
      </c>
      <c r="H1967" s="36">
        <v>1242</v>
      </c>
      <c r="I1967" s="37">
        <v>0</v>
      </c>
      <c r="J1967" s="37">
        <v>0</v>
      </c>
    </row>
    <row r="1968" spans="1:10" x14ac:dyDescent="0.25">
      <c r="A1968" t="s">
        <v>4385</v>
      </c>
      <c r="B1968" t="s">
        <v>4386</v>
      </c>
      <c r="C1968" t="s">
        <v>101</v>
      </c>
      <c r="D1968" t="s">
        <v>390</v>
      </c>
      <c r="E1968" s="36">
        <v>1800</v>
      </c>
      <c r="F1968" s="36">
        <v>2070</v>
      </c>
      <c r="G1968" s="36">
        <v>1080</v>
      </c>
      <c r="H1968" s="36">
        <v>1242</v>
      </c>
      <c r="I1968" s="37">
        <v>0</v>
      </c>
      <c r="J1968" s="37">
        <v>0</v>
      </c>
    </row>
    <row r="1969" spans="1:10" x14ac:dyDescent="0.25">
      <c r="A1969" t="s">
        <v>4387</v>
      </c>
      <c r="B1969" t="s">
        <v>4388</v>
      </c>
      <c r="C1969" t="s">
        <v>101</v>
      </c>
      <c r="D1969" t="s">
        <v>390</v>
      </c>
      <c r="E1969" s="36">
        <v>4000</v>
      </c>
      <c r="F1969" s="36">
        <v>4600</v>
      </c>
      <c r="G1969" s="36">
        <v>2400</v>
      </c>
      <c r="H1969" s="36">
        <v>2760</v>
      </c>
      <c r="I1969" s="37">
        <v>0</v>
      </c>
      <c r="J1969" s="37">
        <v>0</v>
      </c>
    </row>
    <row r="1970" spans="1:10" x14ac:dyDescent="0.25">
      <c r="A1970" t="s">
        <v>4389</v>
      </c>
      <c r="B1970" t="s">
        <v>4390</v>
      </c>
      <c r="C1970" t="s">
        <v>101</v>
      </c>
      <c r="D1970" t="s">
        <v>390</v>
      </c>
      <c r="E1970" s="36">
        <v>700</v>
      </c>
      <c r="F1970" s="36">
        <v>805</v>
      </c>
      <c r="G1970" s="36">
        <v>420</v>
      </c>
      <c r="H1970" s="36">
        <v>483</v>
      </c>
      <c r="I1970" s="37">
        <v>0</v>
      </c>
      <c r="J1970" s="37">
        <v>0</v>
      </c>
    </row>
    <row r="1971" spans="1:10" x14ac:dyDescent="0.25">
      <c r="A1971" t="s">
        <v>4391</v>
      </c>
      <c r="B1971" t="s">
        <v>4392</v>
      </c>
      <c r="C1971" t="s">
        <v>229</v>
      </c>
      <c r="D1971" t="s">
        <v>390</v>
      </c>
      <c r="E1971" s="36">
        <v>800</v>
      </c>
      <c r="F1971" s="36">
        <v>960</v>
      </c>
      <c r="G1971" s="36">
        <v>420</v>
      </c>
      <c r="H1971" s="36">
        <v>483</v>
      </c>
      <c r="I1971" s="37">
        <v>0.14285714285714279</v>
      </c>
      <c r="J1971" s="37">
        <v>0.19254658385093171</v>
      </c>
    </row>
    <row r="1972" spans="1:10" x14ac:dyDescent="0.25">
      <c r="A1972" t="s">
        <v>4393</v>
      </c>
      <c r="B1972" t="s">
        <v>4394</v>
      </c>
      <c r="C1972" t="s">
        <v>101</v>
      </c>
      <c r="D1972" t="s">
        <v>390</v>
      </c>
      <c r="E1972" s="36">
        <v>2000</v>
      </c>
      <c r="F1972" s="36">
        <v>2300</v>
      </c>
      <c r="G1972" s="36">
        <v>1200</v>
      </c>
      <c r="H1972" s="36">
        <v>1380</v>
      </c>
      <c r="I1972" s="37">
        <v>0</v>
      </c>
      <c r="J1972" s="37">
        <v>0</v>
      </c>
    </row>
    <row r="1973" spans="1:10" x14ac:dyDescent="0.25">
      <c r="A1973" t="s">
        <v>4395</v>
      </c>
      <c r="B1973" t="s">
        <v>4396</v>
      </c>
      <c r="C1973" t="s">
        <v>101</v>
      </c>
      <c r="D1973" t="s">
        <v>390</v>
      </c>
      <c r="E1973" s="36">
        <v>2000</v>
      </c>
      <c r="F1973" s="36">
        <v>2300</v>
      </c>
      <c r="G1973" s="36">
        <v>1200</v>
      </c>
      <c r="H1973" s="36">
        <v>1380</v>
      </c>
      <c r="I1973" s="37">
        <v>0</v>
      </c>
      <c r="J1973" s="37">
        <v>0</v>
      </c>
    </row>
    <row r="1974" spans="1:10" x14ac:dyDescent="0.25">
      <c r="A1974" t="s">
        <v>4397</v>
      </c>
      <c r="B1974" t="s">
        <v>4398</v>
      </c>
      <c r="C1974" t="s">
        <v>101</v>
      </c>
      <c r="D1974" t="s">
        <v>390</v>
      </c>
      <c r="E1974" s="36">
        <v>900</v>
      </c>
      <c r="F1974" s="36">
        <v>1035</v>
      </c>
      <c r="G1974" s="36">
        <v>540</v>
      </c>
      <c r="H1974" s="36">
        <v>621</v>
      </c>
      <c r="I1974" s="37">
        <v>0</v>
      </c>
      <c r="J1974" s="37">
        <v>0</v>
      </c>
    </row>
    <row r="1975" spans="1:10" x14ac:dyDescent="0.25">
      <c r="A1975" t="s">
        <v>4399</v>
      </c>
      <c r="B1975" t="s">
        <v>4400</v>
      </c>
      <c r="C1975" t="s">
        <v>101</v>
      </c>
      <c r="D1975" t="s">
        <v>390</v>
      </c>
      <c r="E1975" s="36">
        <v>1000</v>
      </c>
      <c r="F1975" s="36">
        <v>1152</v>
      </c>
      <c r="G1975" s="36">
        <v>600</v>
      </c>
      <c r="H1975" s="36">
        <v>690</v>
      </c>
      <c r="I1975" s="37">
        <v>0</v>
      </c>
      <c r="J1975" s="37">
        <v>1.739130434782687E-3</v>
      </c>
    </row>
    <row r="1976" spans="1:10" x14ac:dyDescent="0.25">
      <c r="A1976" t="s">
        <v>4401</v>
      </c>
      <c r="B1976" t="s">
        <v>4402</v>
      </c>
      <c r="C1976" t="s">
        <v>101</v>
      </c>
      <c r="D1976" t="s">
        <v>390</v>
      </c>
      <c r="E1976" s="36">
        <v>3500</v>
      </c>
      <c r="F1976" s="36">
        <v>4025</v>
      </c>
      <c r="G1976" s="36">
        <v>2100</v>
      </c>
      <c r="H1976" s="36">
        <v>2415</v>
      </c>
      <c r="I1976" s="37">
        <v>0</v>
      </c>
      <c r="J1976" s="37">
        <v>0</v>
      </c>
    </row>
    <row r="1977" spans="1:10" x14ac:dyDescent="0.25">
      <c r="A1977" t="s">
        <v>4403</v>
      </c>
      <c r="B1977" t="s">
        <v>4404</v>
      </c>
      <c r="C1977" t="s">
        <v>89</v>
      </c>
      <c r="D1977" t="s">
        <v>363</v>
      </c>
      <c r="E1977" s="36">
        <v>600</v>
      </c>
      <c r="F1977" s="36">
        <v>720</v>
      </c>
      <c r="G1977" s="36">
        <v>372</v>
      </c>
      <c r="H1977" s="36">
        <v>428</v>
      </c>
      <c r="I1977" s="37">
        <v>0</v>
      </c>
      <c r="J1977" s="37">
        <v>4.3478260869565188E-2</v>
      </c>
    </row>
    <row r="1978" spans="1:10" x14ac:dyDescent="0.25">
      <c r="A1978" t="s">
        <v>4405</v>
      </c>
      <c r="B1978" t="s">
        <v>4406</v>
      </c>
      <c r="C1978" t="s">
        <v>101</v>
      </c>
      <c r="D1978" t="s">
        <v>390</v>
      </c>
      <c r="E1978" s="36">
        <v>5000</v>
      </c>
      <c r="F1978" s="36">
        <v>5760</v>
      </c>
      <c r="G1978" s="36">
        <v>3000</v>
      </c>
      <c r="H1978" s="36">
        <v>3450</v>
      </c>
      <c r="I1978" s="37">
        <v>0</v>
      </c>
      <c r="J1978" s="37">
        <v>1.739130434782687E-3</v>
      </c>
    </row>
    <row r="1979" spans="1:10" x14ac:dyDescent="0.25">
      <c r="A1979" t="s">
        <v>4407</v>
      </c>
      <c r="B1979" t="s">
        <v>4408</v>
      </c>
      <c r="C1979" t="s">
        <v>101</v>
      </c>
      <c r="D1979" t="s">
        <v>390</v>
      </c>
      <c r="E1979" s="36">
        <v>1000</v>
      </c>
      <c r="F1979" s="36">
        <v>1152</v>
      </c>
      <c r="G1979" s="36">
        <v>600</v>
      </c>
      <c r="H1979" s="36">
        <v>690</v>
      </c>
      <c r="I1979" s="37">
        <v>0</v>
      </c>
      <c r="J1979" s="37">
        <v>1.739130434782687E-3</v>
      </c>
    </row>
    <row r="1980" spans="1:10" x14ac:dyDescent="0.25">
      <c r="A1980" t="s">
        <v>4409</v>
      </c>
      <c r="B1980" t="s">
        <v>4410</v>
      </c>
      <c r="C1980" t="s">
        <v>101</v>
      </c>
      <c r="D1980" t="s">
        <v>390</v>
      </c>
      <c r="E1980" s="36">
        <v>1300</v>
      </c>
      <c r="F1980" s="36">
        <v>1536</v>
      </c>
      <c r="G1980" s="36">
        <v>780</v>
      </c>
      <c r="H1980" s="36">
        <v>897</v>
      </c>
      <c r="I1980" s="37">
        <v>0</v>
      </c>
      <c r="J1980" s="37">
        <v>2.7424749163879492E-2</v>
      </c>
    </row>
    <row r="1981" spans="1:10" x14ac:dyDescent="0.25">
      <c r="A1981" t="s">
        <v>4411</v>
      </c>
      <c r="B1981" t="s">
        <v>4412</v>
      </c>
      <c r="C1981" t="s">
        <v>101</v>
      </c>
      <c r="D1981" t="s">
        <v>390</v>
      </c>
      <c r="E1981" s="36">
        <v>2000</v>
      </c>
      <c r="F1981" s="36">
        <v>2300</v>
      </c>
      <c r="G1981" s="36">
        <v>1200</v>
      </c>
      <c r="H1981" s="36">
        <v>1380</v>
      </c>
      <c r="I1981" s="37">
        <v>0</v>
      </c>
      <c r="J1981" s="37">
        <v>0</v>
      </c>
    </row>
    <row r="1982" spans="1:10" x14ac:dyDescent="0.25">
      <c r="A1982" t="s">
        <v>4413</v>
      </c>
      <c r="B1982" t="s">
        <v>4414</v>
      </c>
      <c r="C1982" t="s">
        <v>101</v>
      </c>
      <c r="D1982" t="s">
        <v>390</v>
      </c>
      <c r="E1982" s="36">
        <v>2200</v>
      </c>
      <c r="F1982" s="36">
        <v>2530</v>
      </c>
      <c r="G1982" s="36">
        <v>1320</v>
      </c>
      <c r="H1982" s="36">
        <v>1518</v>
      </c>
      <c r="I1982" s="37">
        <v>0</v>
      </c>
      <c r="J1982" s="37">
        <v>0</v>
      </c>
    </row>
    <row r="1983" spans="1:10" x14ac:dyDescent="0.25">
      <c r="A1983" t="s">
        <v>4415</v>
      </c>
      <c r="B1983" t="s">
        <v>4416</v>
      </c>
      <c r="C1983" t="s">
        <v>101</v>
      </c>
      <c r="D1983" t="s">
        <v>390</v>
      </c>
      <c r="E1983" s="36">
        <v>1300</v>
      </c>
      <c r="F1983" s="36">
        <v>1536</v>
      </c>
      <c r="G1983" s="36">
        <v>780</v>
      </c>
      <c r="H1983" s="36">
        <v>897</v>
      </c>
      <c r="I1983" s="37">
        <v>0</v>
      </c>
      <c r="J1983" s="37">
        <v>2.7424749163879492E-2</v>
      </c>
    </row>
    <row r="1984" spans="1:10" x14ac:dyDescent="0.25">
      <c r="A1984" t="s">
        <v>4417</v>
      </c>
      <c r="B1984" t="s">
        <v>4418</v>
      </c>
      <c r="C1984" t="s">
        <v>101</v>
      </c>
      <c r="D1984" t="s">
        <v>390</v>
      </c>
      <c r="E1984" s="36">
        <v>6500</v>
      </c>
      <c r="F1984" s="36">
        <v>7475</v>
      </c>
      <c r="G1984" s="36">
        <v>3900</v>
      </c>
      <c r="H1984" s="36">
        <v>4485</v>
      </c>
      <c r="I1984" s="37">
        <v>0</v>
      </c>
      <c r="J1984" s="37">
        <v>0</v>
      </c>
    </row>
    <row r="1985" spans="1:10" x14ac:dyDescent="0.25">
      <c r="A1985" t="s">
        <v>4419</v>
      </c>
      <c r="B1985" t="s">
        <v>4420</v>
      </c>
      <c r="C1985" t="s">
        <v>101</v>
      </c>
      <c r="D1985" t="s">
        <v>390</v>
      </c>
      <c r="E1985" s="36">
        <v>1500</v>
      </c>
      <c r="F1985" s="36">
        <v>1725</v>
      </c>
      <c r="G1985" s="36">
        <v>900</v>
      </c>
      <c r="H1985" s="36">
        <v>1035</v>
      </c>
      <c r="I1985" s="37">
        <v>0</v>
      </c>
      <c r="J1985" s="37">
        <v>0</v>
      </c>
    </row>
    <row r="1986" spans="1:10" x14ac:dyDescent="0.25">
      <c r="A1986" t="s">
        <v>4421</v>
      </c>
      <c r="B1986" t="s">
        <v>4422</v>
      </c>
      <c r="C1986" t="s">
        <v>101</v>
      </c>
      <c r="D1986" t="s">
        <v>390</v>
      </c>
      <c r="E1986" s="36">
        <v>500</v>
      </c>
      <c r="F1986" s="36">
        <v>576</v>
      </c>
      <c r="G1986" s="36">
        <v>300</v>
      </c>
      <c r="H1986" s="36">
        <v>345</v>
      </c>
      <c r="I1986" s="37">
        <v>0</v>
      </c>
      <c r="J1986" s="37">
        <v>1.739130434782687E-3</v>
      </c>
    </row>
    <row r="1987" spans="1:10" x14ac:dyDescent="0.25">
      <c r="A1987" t="s">
        <v>4423</v>
      </c>
      <c r="B1987" t="s">
        <v>4424</v>
      </c>
      <c r="C1987" t="s">
        <v>101</v>
      </c>
      <c r="D1987" t="s">
        <v>390</v>
      </c>
      <c r="E1987" s="36">
        <v>3500</v>
      </c>
      <c r="F1987" s="36">
        <v>4025</v>
      </c>
      <c r="G1987" s="36">
        <v>2100</v>
      </c>
      <c r="H1987" s="36">
        <v>2415</v>
      </c>
      <c r="I1987" s="37">
        <v>0</v>
      </c>
      <c r="J1987" s="37">
        <v>0</v>
      </c>
    </row>
    <row r="1988" spans="1:10" x14ac:dyDescent="0.25">
      <c r="A1988" t="s">
        <v>4425</v>
      </c>
      <c r="B1988" t="s">
        <v>4426</v>
      </c>
      <c r="C1988" t="s">
        <v>89</v>
      </c>
      <c r="D1988" t="s">
        <v>386</v>
      </c>
      <c r="E1988" s="36">
        <v>1800</v>
      </c>
      <c r="F1988" s="36">
        <v>2070</v>
      </c>
      <c r="G1988" s="36">
        <v>1116</v>
      </c>
      <c r="H1988" s="36">
        <v>1283</v>
      </c>
      <c r="I1988" s="37">
        <v>0</v>
      </c>
      <c r="J1988" s="37">
        <v>0</v>
      </c>
    </row>
    <row r="1989" spans="1:10" x14ac:dyDescent="0.25">
      <c r="A1989" t="s">
        <v>4427</v>
      </c>
      <c r="B1989" t="s">
        <v>4428</v>
      </c>
      <c r="C1989" t="s">
        <v>101</v>
      </c>
      <c r="D1989" t="s">
        <v>390</v>
      </c>
      <c r="E1989" s="36">
        <v>4500</v>
      </c>
      <c r="F1989" s="36">
        <v>5175</v>
      </c>
      <c r="G1989" s="36">
        <v>2700</v>
      </c>
      <c r="H1989" s="36">
        <v>3105</v>
      </c>
      <c r="I1989" s="37">
        <v>0</v>
      </c>
      <c r="J1989" s="37">
        <v>0</v>
      </c>
    </row>
    <row r="1990" spans="1:10" x14ac:dyDescent="0.25">
      <c r="A1990" t="s">
        <v>4429</v>
      </c>
      <c r="B1990" t="s">
        <v>4430</v>
      </c>
      <c r="C1990" t="s">
        <v>101</v>
      </c>
      <c r="D1990" t="s">
        <v>390</v>
      </c>
      <c r="E1990" s="36">
        <v>2500</v>
      </c>
      <c r="F1990" s="36">
        <v>2875</v>
      </c>
      <c r="G1990" s="36">
        <v>1500</v>
      </c>
      <c r="H1990" s="36">
        <v>1725</v>
      </c>
      <c r="I1990" s="37">
        <v>0</v>
      </c>
      <c r="J1990" s="37">
        <v>0</v>
      </c>
    </row>
    <row r="1991" spans="1:10" x14ac:dyDescent="0.25">
      <c r="A1991" t="s">
        <v>4431</v>
      </c>
      <c r="B1991" t="s">
        <v>4432</v>
      </c>
      <c r="C1991" t="s">
        <v>101</v>
      </c>
      <c r="D1991" t="s">
        <v>390</v>
      </c>
      <c r="E1991" s="36">
        <v>2500</v>
      </c>
      <c r="F1991" s="36">
        <v>2875</v>
      </c>
      <c r="G1991" s="36">
        <v>1500</v>
      </c>
      <c r="H1991" s="36">
        <v>1725</v>
      </c>
      <c r="I1991" s="37">
        <v>0</v>
      </c>
      <c r="J1991" s="37">
        <v>0</v>
      </c>
    </row>
    <row r="1992" spans="1:10" x14ac:dyDescent="0.25">
      <c r="A1992" t="s">
        <v>4433</v>
      </c>
      <c r="B1992" t="s">
        <v>4434</v>
      </c>
      <c r="C1992" t="s">
        <v>101</v>
      </c>
      <c r="D1992" t="s">
        <v>390</v>
      </c>
      <c r="E1992" s="36">
        <v>500</v>
      </c>
      <c r="F1992" s="36">
        <v>576</v>
      </c>
      <c r="G1992" s="36">
        <v>300</v>
      </c>
      <c r="H1992" s="36">
        <v>345</v>
      </c>
      <c r="I1992" s="37">
        <v>0</v>
      </c>
      <c r="J1992" s="37">
        <v>1.739130434782687E-3</v>
      </c>
    </row>
    <row r="1993" spans="1:10" x14ac:dyDescent="0.25">
      <c r="A1993" t="s">
        <v>4435</v>
      </c>
      <c r="B1993" t="s">
        <v>4436</v>
      </c>
      <c r="C1993" t="s">
        <v>89</v>
      </c>
      <c r="D1993" t="s">
        <v>390</v>
      </c>
      <c r="E1993" s="36">
        <v>2400</v>
      </c>
      <c r="F1993" s="36">
        <v>2880</v>
      </c>
      <c r="G1993" s="36">
        <v>960</v>
      </c>
      <c r="H1993" s="36">
        <v>1104</v>
      </c>
      <c r="I1993" s="37">
        <v>0.5</v>
      </c>
      <c r="J1993" s="37">
        <v>0.56521739130434789</v>
      </c>
    </row>
    <row r="1994" spans="1:10" x14ac:dyDescent="0.25">
      <c r="A1994" t="s">
        <v>4437</v>
      </c>
      <c r="B1994" t="s">
        <v>4438</v>
      </c>
      <c r="C1994" t="s">
        <v>101</v>
      </c>
      <c r="D1994" t="s">
        <v>390</v>
      </c>
      <c r="E1994" s="36">
        <v>600</v>
      </c>
      <c r="F1994" s="36">
        <v>690</v>
      </c>
      <c r="G1994" s="36">
        <v>360</v>
      </c>
      <c r="H1994" s="36">
        <v>414</v>
      </c>
      <c r="I1994" s="37">
        <v>0</v>
      </c>
      <c r="J1994" s="37">
        <v>0</v>
      </c>
    </row>
    <row r="1995" spans="1:10" x14ac:dyDescent="0.25">
      <c r="A1995" t="s">
        <v>4439</v>
      </c>
      <c r="B1995" t="s">
        <v>4440</v>
      </c>
      <c r="C1995" t="s">
        <v>101</v>
      </c>
      <c r="D1995" t="s">
        <v>390</v>
      </c>
      <c r="E1995" s="36">
        <v>700</v>
      </c>
      <c r="F1995" s="36">
        <v>805</v>
      </c>
      <c r="G1995" s="36">
        <v>420</v>
      </c>
      <c r="H1995" s="36">
        <v>483</v>
      </c>
      <c r="I1995" s="37">
        <v>0</v>
      </c>
      <c r="J1995" s="37">
        <v>0</v>
      </c>
    </row>
    <row r="1996" spans="1:10" x14ac:dyDescent="0.25">
      <c r="A1996" t="s">
        <v>4441</v>
      </c>
      <c r="B1996" t="s">
        <v>4442</v>
      </c>
      <c r="C1996" t="s">
        <v>101</v>
      </c>
      <c r="D1996" t="s">
        <v>390</v>
      </c>
      <c r="E1996" s="36">
        <v>600</v>
      </c>
      <c r="F1996" s="36">
        <v>690</v>
      </c>
      <c r="G1996" s="36">
        <v>360</v>
      </c>
      <c r="H1996" s="36">
        <v>414</v>
      </c>
      <c r="I1996" s="37">
        <v>0</v>
      </c>
      <c r="J1996" s="37">
        <v>0</v>
      </c>
    </row>
    <row r="1997" spans="1:10" x14ac:dyDescent="0.25">
      <c r="A1997" t="s">
        <v>4443</v>
      </c>
      <c r="B1997" t="s">
        <v>4444</v>
      </c>
      <c r="C1997" t="s">
        <v>101</v>
      </c>
      <c r="D1997" t="s">
        <v>390</v>
      </c>
      <c r="E1997" s="36">
        <v>4000</v>
      </c>
      <c r="F1997" s="36">
        <v>4600</v>
      </c>
      <c r="G1997" s="36">
        <v>2400</v>
      </c>
      <c r="H1997" s="36">
        <v>2760</v>
      </c>
      <c r="I1997" s="37">
        <v>0</v>
      </c>
      <c r="J1997" s="37">
        <v>0</v>
      </c>
    </row>
    <row r="1998" spans="1:10" x14ac:dyDescent="0.25">
      <c r="A1998" t="s">
        <v>4445</v>
      </c>
      <c r="B1998" t="s">
        <v>4446</v>
      </c>
      <c r="C1998" t="s">
        <v>101</v>
      </c>
      <c r="D1998" t="s">
        <v>390</v>
      </c>
      <c r="E1998" s="36">
        <v>1800</v>
      </c>
      <c r="F1998" s="36">
        <v>2070</v>
      </c>
      <c r="G1998" s="36">
        <v>1080</v>
      </c>
      <c r="H1998" s="36">
        <v>1242</v>
      </c>
      <c r="I1998" s="37">
        <v>0</v>
      </c>
      <c r="J1998" s="37">
        <v>0</v>
      </c>
    </row>
    <row r="1999" spans="1:10" x14ac:dyDescent="0.25">
      <c r="A1999" t="s">
        <v>4447</v>
      </c>
      <c r="B1999" t="s">
        <v>4448</v>
      </c>
      <c r="C1999" t="s">
        <v>101</v>
      </c>
      <c r="D1999" t="s">
        <v>363</v>
      </c>
      <c r="E1999" s="36">
        <v>2000</v>
      </c>
      <c r="F1999" s="36">
        <v>2300</v>
      </c>
      <c r="G1999" s="36">
        <v>1240</v>
      </c>
      <c r="H1999" s="36">
        <v>1426</v>
      </c>
      <c r="I1999" s="37">
        <v>0</v>
      </c>
      <c r="J1999" s="37">
        <v>0</v>
      </c>
    </row>
    <row r="2000" spans="1:10" x14ac:dyDescent="0.25">
      <c r="A2000" t="s">
        <v>4449</v>
      </c>
      <c r="B2000" t="s">
        <v>4450</v>
      </c>
      <c r="C2000" t="s">
        <v>101</v>
      </c>
      <c r="D2000" t="s">
        <v>390</v>
      </c>
      <c r="E2000" s="36">
        <v>500</v>
      </c>
      <c r="F2000" s="36">
        <v>576</v>
      </c>
      <c r="G2000" s="36">
        <v>300</v>
      </c>
      <c r="H2000" s="36">
        <v>345</v>
      </c>
      <c r="I2000" s="37">
        <v>0</v>
      </c>
      <c r="J2000" s="37">
        <v>1.739130434782687E-3</v>
      </c>
    </row>
    <row r="2001" spans="1:10" x14ac:dyDescent="0.25">
      <c r="A2001" t="s">
        <v>4451</v>
      </c>
      <c r="B2001" t="s">
        <v>4452</v>
      </c>
      <c r="C2001" t="s">
        <v>101</v>
      </c>
      <c r="D2001" t="s">
        <v>390</v>
      </c>
      <c r="E2001" s="36">
        <v>2200</v>
      </c>
      <c r="F2001" s="36">
        <v>2530</v>
      </c>
      <c r="G2001" s="36">
        <v>1320</v>
      </c>
      <c r="H2001" s="36">
        <v>1518</v>
      </c>
      <c r="I2001" s="37">
        <v>0</v>
      </c>
      <c r="J2001" s="37">
        <v>0</v>
      </c>
    </row>
    <row r="2002" spans="1:10" x14ac:dyDescent="0.25">
      <c r="A2002" t="s">
        <v>4453</v>
      </c>
      <c r="B2002" t="s">
        <v>4454</v>
      </c>
      <c r="C2002" t="s">
        <v>101</v>
      </c>
      <c r="D2002" t="s">
        <v>390</v>
      </c>
      <c r="E2002" s="36">
        <v>3000</v>
      </c>
      <c r="F2002" s="36">
        <v>3450</v>
      </c>
      <c r="G2002" s="36">
        <v>1800</v>
      </c>
      <c r="H2002" s="36">
        <v>2070</v>
      </c>
      <c r="I2002" s="37">
        <v>0</v>
      </c>
      <c r="J2002" s="37">
        <v>0</v>
      </c>
    </row>
    <row r="2003" spans="1:10" x14ac:dyDescent="0.25">
      <c r="A2003" t="s">
        <v>4455</v>
      </c>
      <c r="B2003" t="s">
        <v>4456</v>
      </c>
      <c r="C2003" t="s">
        <v>101</v>
      </c>
      <c r="D2003" t="s">
        <v>390</v>
      </c>
      <c r="E2003" s="36">
        <v>1000</v>
      </c>
      <c r="F2003" s="36">
        <v>1152</v>
      </c>
      <c r="G2003" s="36">
        <v>600</v>
      </c>
      <c r="H2003" s="36">
        <v>690</v>
      </c>
      <c r="I2003" s="37">
        <v>0</v>
      </c>
      <c r="J2003" s="37">
        <v>1.739130434782687E-3</v>
      </c>
    </row>
    <row r="2004" spans="1:10" x14ac:dyDescent="0.25">
      <c r="A2004" t="s">
        <v>4457</v>
      </c>
      <c r="B2004" t="s">
        <v>4458</v>
      </c>
      <c r="C2004" t="s">
        <v>229</v>
      </c>
      <c r="D2004" t="s">
        <v>390</v>
      </c>
      <c r="E2004" s="36">
        <v>250</v>
      </c>
      <c r="F2004" s="36">
        <v>288</v>
      </c>
      <c r="G2004" s="36">
        <v>150</v>
      </c>
      <c r="H2004" s="36">
        <v>172</v>
      </c>
      <c r="I2004" s="37">
        <v>0</v>
      </c>
      <c r="J2004" s="37">
        <v>0</v>
      </c>
    </row>
    <row r="2005" spans="1:10" x14ac:dyDescent="0.25">
      <c r="A2005" t="s">
        <v>4459</v>
      </c>
      <c r="B2005" t="s">
        <v>4460</v>
      </c>
      <c r="C2005" t="s">
        <v>229</v>
      </c>
      <c r="D2005" t="s">
        <v>390</v>
      </c>
      <c r="E2005" s="36">
        <v>250</v>
      </c>
      <c r="F2005" s="36">
        <v>288</v>
      </c>
      <c r="G2005" s="36">
        <v>150</v>
      </c>
      <c r="H2005" s="36">
        <v>172</v>
      </c>
      <c r="I2005" s="37">
        <v>0</v>
      </c>
      <c r="J2005" s="37">
        <v>0</v>
      </c>
    </row>
    <row r="2006" spans="1:10" x14ac:dyDescent="0.25">
      <c r="A2006" t="s">
        <v>4461</v>
      </c>
      <c r="B2006" t="s">
        <v>4462</v>
      </c>
      <c r="C2006" t="s">
        <v>101</v>
      </c>
      <c r="D2006" t="s">
        <v>390</v>
      </c>
      <c r="E2006" s="36">
        <v>5000</v>
      </c>
      <c r="F2006" s="36">
        <v>5750</v>
      </c>
      <c r="G2006" s="36">
        <v>3000</v>
      </c>
      <c r="H2006" s="36">
        <v>3450</v>
      </c>
      <c r="I2006" s="37">
        <v>0</v>
      </c>
      <c r="J2006" s="37">
        <v>0</v>
      </c>
    </row>
    <row r="2007" spans="1:10" x14ac:dyDescent="0.25">
      <c r="A2007" t="s">
        <v>4463</v>
      </c>
      <c r="B2007" t="s">
        <v>4464</v>
      </c>
      <c r="C2007" t="s">
        <v>101</v>
      </c>
      <c r="D2007" t="s">
        <v>390</v>
      </c>
      <c r="E2007" s="36">
        <v>4500</v>
      </c>
      <c r="F2007" s="36">
        <v>5175</v>
      </c>
      <c r="G2007" s="36">
        <v>2700</v>
      </c>
      <c r="H2007" s="36">
        <v>3105</v>
      </c>
      <c r="I2007" s="37">
        <v>0</v>
      </c>
      <c r="J2007" s="37">
        <v>0</v>
      </c>
    </row>
    <row r="2008" spans="1:10" x14ac:dyDescent="0.25">
      <c r="A2008" t="s">
        <v>4465</v>
      </c>
      <c r="B2008" t="s">
        <v>4466</v>
      </c>
      <c r="C2008" t="s">
        <v>101</v>
      </c>
      <c r="D2008" t="s">
        <v>390</v>
      </c>
      <c r="E2008" s="36">
        <v>3500</v>
      </c>
      <c r="F2008" s="36">
        <v>4025</v>
      </c>
      <c r="G2008" s="36">
        <v>2100</v>
      </c>
      <c r="H2008" s="36">
        <v>2415</v>
      </c>
      <c r="I2008" s="37">
        <v>0</v>
      </c>
      <c r="J2008" s="37">
        <v>0</v>
      </c>
    </row>
    <row r="2009" spans="1:10" x14ac:dyDescent="0.25">
      <c r="A2009" t="s">
        <v>4467</v>
      </c>
      <c r="B2009" t="s">
        <v>4468</v>
      </c>
      <c r="C2009" t="s">
        <v>101</v>
      </c>
      <c r="D2009" t="s">
        <v>390</v>
      </c>
      <c r="E2009" s="36">
        <v>6400</v>
      </c>
      <c r="F2009" s="36">
        <v>7680</v>
      </c>
      <c r="G2009" s="36">
        <v>3600</v>
      </c>
      <c r="H2009" s="36">
        <v>4140</v>
      </c>
      <c r="I2009" s="37">
        <v>6.6666666666666652E-2</v>
      </c>
      <c r="J2009" s="37">
        <v>0.11304347826086961</v>
      </c>
    </row>
    <row r="2010" spans="1:10" x14ac:dyDescent="0.25">
      <c r="A2010" t="s">
        <v>4469</v>
      </c>
      <c r="B2010" t="s">
        <v>4470</v>
      </c>
      <c r="C2010" t="s">
        <v>101</v>
      </c>
      <c r="D2010" t="s">
        <v>390</v>
      </c>
      <c r="E2010" s="36">
        <v>8000</v>
      </c>
      <c r="F2010" s="36">
        <v>9600</v>
      </c>
      <c r="G2010" s="36">
        <v>4500</v>
      </c>
      <c r="H2010" s="36">
        <v>5175</v>
      </c>
      <c r="I2010" s="37">
        <v>6.6666666666666652E-2</v>
      </c>
      <c r="J2010" s="37">
        <v>0.11304347826086961</v>
      </c>
    </row>
    <row r="2011" spans="1:10" x14ac:dyDescent="0.25">
      <c r="A2011" t="s">
        <v>4471</v>
      </c>
      <c r="B2011" t="s">
        <v>4472</v>
      </c>
      <c r="C2011" t="s">
        <v>101</v>
      </c>
      <c r="D2011" t="s">
        <v>390</v>
      </c>
      <c r="E2011" s="36">
        <v>4800</v>
      </c>
      <c r="F2011" s="36">
        <v>5760</v>
      </c>
      <c r="G2011" s="36">
        <v>2700</v>
      </c>
      <c r="H2011" s="36">
        <v>3105</v>
      </c>
      <c r="I2011" s="37">
        <v>6.6666666666666652E-2</v>
      </c>
      <c r="J2011" s="37">
        <v>0.11304347826086961</v>
      </c>
    </row>
    <row r="2012" spans="1:10" x14ac:dyDescent="0.25">
      <c r="A2012" t="s">
        <v>4473</v>
      </c>
      <c r="B2012" t="s">
        <v>4474</v>
      </c>
      <c r="C2012" t="s">
        <v>101</v>
      </c>
      <c r="D2012" t="s">
        <v>390</v>
      </c>
      <c r="E2012" s="36">
        <v>9600</v>
      </c>
      <c r="F2012" s="36">
        <v>11520</v>
      </c>
      <c r="G2012" s="36">
        <v>5400</v>
      </c>
      <c r="H2012" s="36">
        <v>6210</v>
      </c>
      <c r="I2012" s="37">
        <v>6.6666666666666652E-2</v>
      </c>
      <c r="J2012" s="37">
        <v>0.11304347826086961</v>
      </c>
    </row>
    <row r="2013" spans="1:10" x14ac:dyDescent="0.25">
      <c r="A2013" t="s">
        <v>4475</v>
      </c>
      <c r="B2013" t="s">
        <v>4476</v>
      </c>
      <c r="C2013" t="s">
        <v>101</v>
      </c>
      <c r="D2013" t="s">
        <v>386</v>
      </c>
      <c r="E2013" s="36">
        <v>900</v>
      </c>
      <c r="F2013" s="36">
        <v>1035</v>
      </c>
      <c r="G2013" s="36">
        <v>558</v>
      </c>
      <c r="H2013" s="36">
        <v>642</v>
      </c>
      <c r="I2013" s="37">
        <v>0</v>
      </c>
      <c r="J2013" s="37">
        <v>0</v>
      </c>
    </row>
    <row r="2014" spans="1:10" x14ac:dyDescent="0.25">
      <c r="A2014" t="s">
        <v>4477</v>
      </c>
      <c r="B2014" t="s">
        <v>4478</v>
      </c>
      <c r="C2014" t="s">
        <v>101</v>
      </c>
      <c r="D2014" t="s">
        <v>390</v>
      </c>
      <c r="E2014" s="36">
        <v>1000</v>
      </c>
      <c r="F2014" s="36">
        <v>1152</v>
      </c>
      <c r="G2014" s="36">
        <v>600</v>
      </c>
      <c r="H2014" s="36">
        <v>690</v>
      </c>
      <c r="I2014" s="37">
        <v>0</v>
      </c>
      <c r="J2014" s="37">
        <v>1.739130434782687E-3</v>
      </c>
    </row>
    <row r="2015" spans="1:10" x14ac:dyDescent="0.25">
      <c r="A2015" t="s">
        <v>4479</v>
      </c>
      <c r="B2015" t="s">
        <v>4480</v>
      </c>
      <c r="C2015" t="s">
        <v>101</v>
      </c>
      <c r="D2015" t="s">
        <v>390</v>
      </c>
      <c r="E2015" s="36">
        <v>5000</v>
      </c>
      <c r="F2015" s="36">
        <v>5750</v>
      </c>
      <c r="G2015" s="36">
        <v>3000</v>
      </c>
      <c r="H2015" s="36">
        <v>3450</v>
      </c>
      <c r="I2015" s="37">
        <v>0</v>
      </c>
      <c r="J2015" s="37">
        <v>0</v>
      </c>
    </row>
    <row r="2016" spans="1:10" x14ac:dyDescent="0.25">
      <c r="A2016" t="s">
        <v>4481</v>
      </c>
      <c r="B2016" t="s">
        <v>4478</v>
      </c>
      <c r="C2016" t="s">
        <v>101</v>
      </c>
      <c r="D2016" t="s">
        <v>390</v>
      </c>
      <c r="E2016" s="36">
        <v>1000</v>
      </c>
      <c r="F2016" s="36">
        <v>1152</v>
      </c>
      <c r="G2016" s="36">
        <v>600</v>
      </c>
      <c r="H2016" s="36">
        <v>690</v>
      </c>
      <c r="I2016" s="37">
        <v>0</v>
      </c>
      <c r="J2016" s="37">
        <v>1.739130434782687E-3</v>
      </c>
    </row>
    <row r="2017" spans="1:10" x14ac:dyDescent="0.25">
      <c r="A2017" t="s">
        <v>4482</v>
      </c>
      <c r="B2017" t="s">
        <v>4483</v>
      </c>
      <c r="C2017" t="s">
        <v>101</v>
      </c>
      <c r="D2017" t="s">
        <v>390</v>
      </c>
      <c r="E2017" s="36">
        <v>18000</v>
      </c>
      <c r="F2017" s="36">
        <v>20700</v>
      </c>
      <c r="G2017" s="36">
        <v>10800</v>
      </c>
      <c r="H2017" s="36">
        <v>12420</v>
      </c>
      <c r="I2017" s="37">
        <v>0</v>
      </c>
      <c r="J2017" s="37">
        <v>0</v>
      </c>
    </row>
    <row r="2018" spans="1:10" x14ac:dyDescent="0.25">
      <c r="A2018" t="s">
        <v>4484</v>
      </c>
      <c r="B2018" t="s">
        <v>4485</v>
      </c>
      <c r="C2018" t="s">
        <v>101</v>
      </c>
      <c r="D2018" t="s">
        <v>390</v>
      </c>
      <c r="E2018" s="36">
        <v>18000</v>
      </c>
      <c r="F2018" s="36">
        <v>20700</v>
      </c>
      <c r="G2018" s="36">
        <v>10800</v>
      </c>
      <c r="H2018" s="36">
        <v>12420</v>
      </c>
      <c r="I2018" s="37">
        <v>0</v>
      </c>
      <c r="J2018" s="37">
        <v>0</v>
      </c>
    </row>
    <row r="2019" spans="1:10" x14ac:dyDescent="0.25">
      <c r="A2019" t="s">
        <v>4486</v>
      </c>
      <c r="B2019" t="s">
        <v>4487</v>
      </c>
      <c r="C2019" t="s">
        <v>1231</v>
      </c>
      <c r="D2019" t="s">
        <v>390</v>
      </c>
      <c r="E2019" s="36">
        <v>5000</v>
      </c>
      <c r="F2019" s="36">
        <v>5750</v>
      </c>
      <c r="G2019" s="36">
        <v>3000</v>
      </c>
      <c r="H2019" s="36">
        <v>3450</v>
      </c>
      <c r="I2019" s="37">
        <v>0</v>
      </c>
      <c r="J2019" s="37">
        <v>0</v>
      </c>
    </row>
    <row r="2020" spans="1:10" x14ac:dyDescent="0.25">
      <c r="A2020" t="s">
        <v>4488</v>
      </c>
      <c r="B2020" t="s">
        <v>4489</v>
      </c>
      <c r="C2020" t="s">
        <v>1231</v>
      </c>
      <c r="D2020" t="s">
        <v>390</v>
      </c>
      <c r="E2020" s="36">
        <v>4000</v>
      </c>
      <c r="F2020" s="36">
        <v>4600</v>
      </c>
      <c r="G2020" s="36">
        <v>2400</v>
      </c>
      <c r="H2020" s="36">
        <v>2760</v>
      </c>
      <c r="I2020" s="37">
        <v>0</v>
      </c>
      <c r="J2020" s="37">
        <v>0</v>
      </c>
    </row>
    <row r="2021" spans="1:10" x14ac:dyDescent="0.25">
      <c r="A2021" t="s">
        <v>4490</v>
      </c>
      <c r="B2021" t="s">
        <v>4491</v>
      </c>
      <c r="C2021" t="s">
        <v>101</v>
      </c>
      <c r="D2021" t="s">
        <v>390</v>
      </c>
      <c r="E2021" s="36">
        <v>9600</v>
      </c>
      <c r="F2021" s="36">
        <v>11520</v>
      </c>
      <c r="G2021" s="36">
        <v>3000</v>
      </c>
      <c r="H2021" s="36">
        <v>3450</v>
      </c>
      <c r="I2021" s="37">
        <v>0.91999999999999993</v>
      </c>
      <c r="J2021" s="37">
        <v>1.0034782608695649</v>
      </c>
    </row>
    <row r="2022" spans="1:10" x14ac:dyDescent="0.25">
      <c r="A2022" t="s">
        <v>4492</v>
      </c>
      <c r="B2022" t="s">
        <v>4493</v>
      </c>
      <c r="C2022" t="s">
        <v>101</v>
      </c>
      <c r="D2022" t="s">
        <v>390</v>
      </c>
      <c r="E2022" s="36">
        <v>3000</v>
      </c>
      <c r="F2022" s="36">
        <v>3450</v>
      </c>
      <c r="G2022" s="36">
        <v>1800</v>
      </c>
      <c r="H2022" s="36">
        <v>2070</v>
      </c>
      <c r="I2022" s="37">
        <v>0</v>
      </c>
      <c r="J2022" s="37">
        <v>0</v>
      </c>
    </row>
    <row r="2023" spans="1:10" x14ac:dyDescent="0.25">
      <c r="A2023" t="s">
        <v>4494</v>
      </c>
      <c r="B2023" t="s">
        <v>4495</v>
      </c>
      <c r="C2023" t="s">
        <v>101</v>
      </c>
      <c r="D2023" t="s">
        <v>390</v>
      </c>
      <c r="E2023" s="36">
        <v>3500</v>
      </c>
      <c r="F2023" s="36">
        <v>4025</v>
      </c>
      <c r="G2023" s="36">
        <v>2100</v>
      </c>
      <c r="H2023" s="36">
        <v>2415</v>
      </c>
      <c r="I2023" s="37">
        <v>0</v>
      </c>
      <c r="J2023" s="37">
        <v>0</v>
      </c>
    </row>
    <row r="2024" spans="1:10" x14ac:dyDescent="0.25">
      <c r="A2024" t="s">
        <v>4496</v>
      </c>
      <c r="B2024" t="s">
        <v>4497</v>
      </c>
      <c r="C2024" t="s">
        <v>1231</v>
      </c>
      <c r="D2024" t="s">
        <v>390</v>
      </c>
      <c r="E2024" s="36">
        <v>3500</v>
      </c>
      <c r="F2024" s="36">
        <v>4025</v>
      </c>
      <c r="G2024" s="36">
        <v>2100</v>
      </c>
      <c r="H2024" s="36">
        <v>2415</v>
      </c>
      <c r="I2024" s="37">
        <v>0</v>
      </c>
      <c r="J2024" s="37">
        <v>0</v>
      </c>
    </row>
    <row r="2025" spans="1:10" x14ac:dyDescent="0.25">
      <c r="A2025" t="s">
        <v>4498</v>
      </c>
      <c r="B2025" t="s">
        <v>4499</v>
      </c>
      <c r="C2025" t="s">
        <v>101</v>
      </c>
      <c r="D2025" t="s">
        <v>390</v>
      </c>
      <c r="E2025" s="36">
        <v>3200</v>
      </c>
      <c r="F2025" s="36">
        <v>3840</v>
      </c>
      <c r="G2025" s="36">
        <v>1800</v>
      </c>
      <c r="H2025" s="36">
        <v>2070</v>
      </c>
      <c r="I2025" s="37">
        <v>6.6666666666666652E-2</v>
      </c>
      <c r="J2025" s="37">
        <v>0.11304347826086961</v>
      </c>
    </row>
    <row r="2026" spans="1:10" x14ac:dyDescent="0.25">
      <c r="A2026" t="s">
        <v>4500</v>
      </c>
      <c r="B2026" t="s">
        <v>4501</v>
      </c>
      <c r="C2026" t="s">
        <v>101</v>
      </c>
      <c r="D2026" t="s">
        <v>390</v>
      </c>
      <c r="E2026" s="36">
        <v>1500</v>
      </c>
      <c r="F2026" s="36">
        <v>1725</v>
      </c>
      <c r="G2026" s="36">
        <v>900</v>
      </c>
      <c r="H2026" s="36">
        <v>1035</v>
      </c>
      <c r="I2026" s="37">
        <v>0</v>
      </c>
      <c r="J2026" s="37">
        <v>0</v>
      </c>
    </row>
    <row r="2027" spans="1:10" x14ac:dyDescent="0.25">
      <c r="A2027" t="s">
        <v>4502</v>
      </c>
      <c r="B2027" t="s">
        <v>4503</v>
      </c>
      <c r="C2027" t="s">
        <v>101</v>
      </c>
      <c r="D2027" t="s">
        <v>390</v>
      </c>
      <c r="E2027" s="36">
        <v>30000</v>
      </c>
      <c r="F2027" s="36">
        <v>34500</v>
      </c>
      <c r="G2027" s="36">
        <v>18000</v>
      </c>
      <c r="H2027" s="36">
        <v>20700</v>
      </c>
      <c r="I2027" s="37">
        <v>0</v>
      </c>
      <c r="J2027" s="37">
        <v>0</v>
      </c>
    </row>
    <row r="2028" spans="1:10" x14ac:dyDescent="0.25">
      <c r="A2028" t="s">
        <v>4504</v>
      </c>
      <c r="B2028" t="s">
        <v>4505</v>
      </c>
      <c r="C2028" t="s">
        <v>101</v>
      </c>
      <c r="D2028" t="s">
        <v>390</v>
      </c>
      <c r="E2028" s="36">
        <v>1500</v>
      </c>
      <c r="F2028" s="36">
        <v>1725</v>
      </c>
      <c r="G2028" s="36">
        <v>900</v>
      </c>
      <c r="H2028" s="36">
        <v>1035</v>
      </c>
      <c r="I2028" s="37">
        <v>0</v>
      </c>
      <c r="J2028" s="37">
        <v>0</v>
      </c>
    </row>
    <row r="2029" spans="1:10" x14ac:dyDescent="0.25">
      <c r="A2029" t="s">
        <v>4506</v>
      </c>
      <c r="B2029" t="s">
        <v>4507</v>
      </c>
      <c r="C2029" t="s">
        <v>101</v>
      </c>
      <c r="D2029" t="s">
        <v>390</v>
      </c>
      <c r="E2029" s="36">
        <v>500</v>
      </c>
      <c r="F2029" s="36">
        <v>576</v>
      </c>
      <c r="G2029" s="36">
        <v>300</v>
      </c>
      <c r="H2029" s="36">
        <v>345</v>
      </c>
      <c r="I2029" s="37">
        <v>0</v>
      </c>
      <c r="J2029" s="37">
        <v>1.739130434782687E-3</v>
      </c>
    </row>
    <row r="2030" spans="1:10" x14ac:dyDescent="0.25">
      <c r="A2030" t="s">
        <v>4508</v>
      </c>
      <c r="B2030" t="s">
        <v>4509</v>
      </c>
      <c r="C2030" t="s">
        <v>101</v>
      </c>
      <c r="D2030" t="s">
        <v>390</v>
      </c>
      <c r="E2030" s="36">
        <v>400</v>
      </c>
      <c r="F2030" s="36">
        <v>460</v>
      </c>
      <c r="G2030" s="36">
        <v>240</v>
      </c>
      <c r="H2030" s="36">
        <v>276</v>
      </c>
      <c r="I2030" s="37">
        <v>0</v>
      </c>
      <c r="J2030" s="37">
        <v>0</v>
      </c>
    </row>
    <row r="2031" spans="1:10" x14ac:dyDescent="0.25">
      <c r="A2031" t="s">
        <v>4510</v>
      </c>
      <c r="B2031" t="s">
        <v>4511</v>
      </c>
      <c r="C2031" t="s">
        <v>101</v>
      </c>
      <c r="D2031" t="s">
        <v>390</v>
      </c>
      <c r="E2031" s="36">
        <v>1800</v>
      </c>
      <c r="F2031" s="36">
        <v>2070</v>
      </c>
      <c r="G2031" s="36">
        <v>1080</v>
      </c>
      <c r="H2031" s="36">
        <v>1242</v>
      </c>
      <c r="I2031" s="37">
        <v>0</v>
      </c>
      <c r="J2031" s="37">
        <v>0</v>
      </c>
    </row>
    <row r="2032" spans="1:10" x14ac:dyDescent="0.25">
      <c r="A2032" t="s">
        <v>4512</v>
      </c>
      <c r="B2032" t="s">
        <v>4513</v>
      </c>
      <c r="C2032" t="s">
        <v>101</v>
      </c>
      <c r="D2032" t="s">
        <v>390</v>
      </c>
      <c r="E2032" s="36">
        <v>1800</v>
      </c>
      <c r="F2032" s="36">
        <v>2070</v>
      </c>
      <c r="G2032" s="36">
        <v>1080</v>
      </c>
      <c r="H2032" s="36">
        <v>1242</v>
      </c>
      <c r="I2032" s="37">
        <v>0</v>
      </c>
      <c r="J2032" s="37">
        <v>0</v>
      </c>
    </row>
    <row r="2033" spans="1:10" x14ac:dyDescent="0.25">
      <c r="A2033" t="s">
        <v>4514</v>
      </c>
      <c r="B2033" t="s">
        <v>4515</v>
      </c>
      <c r="C2033" t="s">
        <v>101</v>
      </c>
      <c r="D2033" t="s">
        <v>390</v>
      </c>
      <c r="E2033" s="36">
        <v>250</v>
      </c>
      <c r="F2033" s="36">
        <v>288</v>
      </c>
      <c r="G2033" s="36">
        <v>150</v>
      </c>
      <c r="H2033" s="36">
        <v>172</v>
      </c>
      <c r="I2033" s="37">
        <v>0</v>
      </c>
      <c r="J2033" s="37">
        <v>0</v>
      </c>
    </row>
    <row r="2034" spans="1:10" x14ac:dyDescent="0.25">
      <c r="A2034" t="s">
        <v>4516</v>
      </c>
      <c r="B2034" t="s">
        <v>4517</v>
      </c>
      <c r="C2034" t="s">
        <v>101</v>
      </c>
      <c r="D2034" t="s">
        <v>390</v>
      </c>
      <c r="E2034" s="36">
        <v>350</v>
      </c>
      <c r="F2034" s="36">
        <v>402</v>
      </c>
      <c r="G2034" s="36">
        <v>210</v>
      </c>
      <c r="H2034" s="36">
        <v>241</v>
      </c>
      <c r="I2034" s="37">
        <v>0</v>
      </c>
      <c r="J2034" s="37">
        <v>0</v>
      </c>
    </row>
    <row r="2035" spans="1:10" x14ac:dyDescent="0.25">
      <c r="A2035" t="s">
        <v>4518</v>
      </c>
      <c r="B2035" t="s">
        <v>4519</v>
      </c>
      <c r="C2035" t="s">
        <v>101</v>
      </c>
      <c r="D2035" t="s">
        <v>390</v>
      </c>
      <c r="E2035" s="36">
        <v>5000</v>
      </c>
      <c r="F2035" s="36">
        <v>5760</v>
      </c>
      <c r="G2035" s="36">
        <v>3000</v>
      </c>
      <c r="H2035" s="36">
        <v>3450</v>
      </c>
      <c r="I2035" s="37">
        <v>0</v>
      </c>
      <c r="J2035" s="37">
        <v>1.739130434782687E-3</v>
      </c>
    </row>
    <row r="2036" spans="1:10" x14ac:dyDescent="0.25">
      <c r="A2036" t="s">
        <v>4520</v>
      </c>
      <c r="B2036" t="s">
        <v>4521</v>
      </c>
      <c r="C2036" t="s">
        <v>101</v>
      </c>
      <c r="D2036" t="s">
        <v>390</v>
      </c>
      <c r="E2036" s="36">
        <v>2500</v>
      </c>
      <c r="F2036" s="36">
        <v>2880</v>
      </c>
      <c r="G2036" s="36">
        <v>1500</v>
      </c>
      <c r="H2036" s="36">
        <v>1725</v>
      </c>
      <c r="I2036" s="37">
        <v>0</v>
      </c>
      <c r="J2036" s="37">
        <v>1.739130434782687E-3</v>
      </c>
    </row>
    <row r="2037" spans="1:10" x14ac:dyDescent="0.25">
      <c r="A2037" t="s">
        <v>4522</v>
      </c>
      <c r="B2037" t="s">
        <v>4523</v>
      </c>
      <c r="C2037" t="s">
        <v>101</v>
      </c>
      <c r="D2037" t="s">
        <v>390</v>
      </c>
      <c r="E2037" s="36">
        <v>2500</v>
      </c>
      <c r="F2037" s="36">
        <v>2880</v>
      </c>
      <c r="G2037" s="36">
        <v>1500</v>
      </c>
      <c r="H2037" s="36">
        <v>1725</v>
      </c>
      <c r="I2037" s="37">
        <v>0</v>
      </c>
      <c r="J2037" s="37">
        <v>1.739130434782687E-3</v>
      </c>
    </row>
    <row r="2038" spans="1:10" x14ac:dyDescent="0.25">
      <c r="A2038" t="s">
        <v>4524</v>
      </c>
      <c r="B2038" t="s">
        <v>4525</v>
      </c>
      <c r="C2038" t="s">
        <v>101</v>
      </c>
      <c r="D2038" t="s">
        <v>390</v>
      </c>
      <c r="E2038" s="36">
        <v>1800</v>
      </c>
      <c r="F2038" s="36">
        <v>2070</v>
      </c>
      <c r="G2038" s="36">
        <v>1080</v>
      </c>
      <c r="H2038" s="36">
        <v>1242</v>
      </c>
      <c r="I2038" s="37">
        <v>0</v>
      </c>
      <c r="J2038" s="37">
        <v>0</v>
      </c>
    </row>
    <row r="2039" spans="1:10" x14ac:dyDescent="0.25">
      <c r="A2039" t="s">
        <v>4526</v>
      </c>
      <c r="B2039" t="s">
        <v>4527</v>
      </c>
      <c r="C2039" t="s">
        <v>101</v>
      </c>
      <c r="D2039" t="s">
        <v>390</v>
      </c>
      <c r="E2039" s="36">
        <v>1600</v>
      </c>
      <c r="F2039" s="36">
        <v>1920</v>
      </c>
      <c r="G2039" s="36">
        <v>960</v>
      </c>
      <c r="H2039" s="36">
        <v>1104</v>
      </c>
      <c r="I2039" s="37">
        <v>0</v>
      </c>
      <c r="J2039" s="37">
        <v>4.3478260869565188E-2</v>
      </c>
    </row>
    <row r="2040" spans="1:10" x14ac:dyDescent="0.25">
      <c r="A2040" t="s">
        <v>4528</v>
      </c>
      <c r="B2040" t="s">
        <v>4529</v>
      </c>
      <c r="C2040" t="s">
        <v>101</v>
      </c>
      <c r="D2040" t="s">
        <v>390</v>
      </c>
      <c r="E2040" s="36">
        <v>500</v>
      </c>
      <c r="F2040" s="36">
        <v>576</v>
      </c>
      <c r="G2040" s="36">
        <v>300</v>
      </c>
      <c r="H2040" s="36">
        <v>345</v>
      </c>
      <c r="I2040" s="37">
        <v>0</v>
      </c>
      <c r="J2040" s="37">
        <v>1.739130434782687E-3</v>
      </c>
    </row>
    <row r="2041" spans="1:10" x14ac:dyDescent="0.25">
      <c r="A2041" t="s">
        <v>4530</v>
      </c>
      <c r="B2041" t="s">
        <v>4531</v>
      </c>
      <c r="C2041" t="s">
        <v>101</v>
      </c>
      <c r="D2041" t="s">
        <v>390</v>
      </c>
      <c r="E2041" s="36">
        <v>900</v>
      </c>
      <c r="F2041" s="36">
        <v>1035</v>
      </c>
      <c r="G2041" s="36">
        <v>540</v>
      </c>
      <c r="H2041" s="36">
        <v>621</v>
      </c>
      <c r="I2041" s="37">
        <v>0</v>
      </c>
      <c r="J2041" s="37">
        <v>0</v>
      </c>
    </row>
    <row r="2042" spans="1:10" x14ac:dyDescent="0.25">
      <c r="A2042" t="s">
        <v>4532</v>
      </c>
      <c r="B2042" t="s">
        <v>4533</v>
      </c>
      <c r="C2042" t="s">
        <v>101</v>
      </c>
      <c r="D2042" t="s">
        <v>390</v>
      </c>
      <c r="E2042" s="36">
        <v>1000</v>
      </c>
      <c r="F2042" s="36">
        <v>1152</v>
      </c>
      <c r="G2042" s="36">
        <v>600</v>
      </c>
      <c r="H2042" s="36">
        <v>690</v>
      </c>
      <c r="I2042" s="37">
        <v>0</v>
      </c>
      <c r="J2042" s="37">
        <v>1.739130434782687E-3</v>
      </c>
    </row>
    <row r="2043" spans="1:10" x14ac:dyDescent="0.25">
      <c r="A2043" t="s">
        <v>4534</v>
      </c>
      <c r="B2043" t="s">
        <v>4535</v>
      </c>
      <c r="C2043" t="s">
        <v>101</v>
      </c>
      <c r="D2043" t="s">
        <v>390</v>
      </c>
      <c r="E2043" s="36">
        <v>1600</v>
      </c>
      <c r="F2043" s="36">
        <v>1920</v>
      </c>
      <c r="G2043" s="36">
        <v>900</v>
      </c>
      <c r="H2043" s="36">
        <v>1035</v>
      </c>
      <c r="I2043" s="37">
        <v>6.6666666666666652E-2</v>
      </c>
      <c r="J2043" s="37">
        <v>0.11304347826086961</v>
      </c>
    </row>
    <row r="2044" spans="1:10" x14ac:dyDescent="0.25">
      <c r="A2044" t="s">
        <v>4536</v>
      </c>
      <c r="B2044" t="s">
        <v>4537</v>
      </c>
      <c r="C2044" t="s">
        <v>101</v>
      </c>
      <c r="D2044" t="s">
        <v>390</v>
      </c>
      <c r="E2044" s="36">
        <v>500</v>
      </c>
      <c r="F2044" s="36">
        <v>576</v>
      </c>
      <c r="G2044" s="36">
        <v>300</v>
      </c>
      <c r="H2044" s="36">
        <v>345</v>
      </c>
      <c r="I2044" s="37">
        <v>0</v>
      </c>
      <c r="J2044" s="37">
        <v>1.739130434782687E-3</v>
      </c>
    </row>
    <row r="2045" spans="1:10" x14ac:dyDescent="0.25">
      <c r="A2045" t="s">
        <v>4538</v>
      </c>
      <c r="B2045" t="s">
        <v>4539</v>
      </c>
      <c r="C2045" t="s">
        <v>101</v>
      </c>
      <c r="D2045" t="s">
        <v>390</v>
      </c>
      <c r="E2045" s="36">
        <v>1600</v>
      </c>
      <c r="F2045" s="36">
        <v>1920</v>
      </c>
      <c r="G2045" s="36">
        <v>900</v>
      </c>
      <c r="H2045" s="36">
        <v>1035</v>
      </c>
      <c r="I2045" s="37">
        <v>6.6666666666666652E-2</v>
      </c>
      <c r="J2045" s="37">
        <v>0.11304347826086961</v>
      </c>
    </row>
    <row r="2046" spans="1:10" x14ac:dyDescent="0.25">
      <c r="A2046" t="s">
        <v>4540</v>
      </c>
      <c r="B2046" t="s">
        <v>4541</v>
      </c>
      <c r="C2046" t="s">
        <v>101</v>
      </c>
      <c r="D2046" t="s">
        <v>390</v>
      </c>
      <c r="E2046" s="36">
        <v>700</v>
      </c>
      <c r="F2046" s="36">
        <v>805</v>
      </c>
      <c r="G2046" s="36">
        <v>420</v>
      </c>
      <c r="H2046" s="36">
        <v>483</v>
      </c>
      <c r="I2046" s="37">
        <v>0</v>
      </c>
      <c r="J2046" s="37">
        <v>0</v>
      </c>
    </row>
    <row r="2047" spans="1:10" x14ac:dyDescent="0.25">
      <c r="A2047" t="s">
        <v>4542</v>
      </c>
      <c r="B2047" t="s">
        <v>4543</v>
      </c>
      <c r="C2047" t="s">
        <v>101</v>
      </c>
      <c r="D2047" t="s">
        <v>390</v>
      </c>
      <c r="E2047" s="36">
        <v>2500</v>
      </c>
      <c r="F2047" s="36">
        <v>2880</v>
      </c>
      <c r="G2047" s="36">
        <v>1500</v>
      </c>
      <c r="H2047" s="36">
        <v>1725</v>
      </c>
      <c r="I2047" s="37">
        <v>0</v>
      </c>
      <c r="J2047" s="37">
        <v>1.739130434782687E-3</v>
      </c>
    </row>
    <row r="2048" spans="1:10" x14ac:dyDescent="0.25">
      <c r="A2048" t="s">
        <v>4544</v>
      </c>
      <c r="B2048" t="s">
        <v>4545</v>
      </c>
      <c r="C2048" t="s">
        <v>101</v>
      </c>
      <c r="D2048" t="s">
        <v>390</v>
      </c>
      <c r="E2048" s="36">
        <v>800</v>
      </c>
      <c r="F2048" s="36">
        <v>960</v>
      </c>
      <c r="G2048" s="36">
        <v>480</v>
      </c>
      <c r="H2048" s="36">
        <v>552</v>
      </c>
      <c r="I2048" s="37">
        <v>0</v>
      </c>
      <c r="J2048" s="37">
        <v>4.3478260869565188E-2</v>
      </c>
    </row>
    <row r="2049" spans="1:10" x14ac:dyDescent="0.25">
      <c r="A2049" t="s">
        <v>4546</v>
      </c>
      <c r="B2049" t="s">
        <v>4547</v>
      </c>
      <c r="C2049" t="s">
        <v>101</v>
      </c>
      <c r="D2049" t="s">
        <v>390</v>
      </c>
      <c r="E2049" s="36">
        <v>800</v>
      </c>
      <c r="F2049" s="36">
        <v>960</v>
      </c>
      <c r="G2049" s="36">
        <v>480</v>
      </c>
      <c r="H2049" s="36">
        <v>552</v>
      </c>
      <c r="I2049" s="37">
        <v>0</v>
      </c>
      <c r="J2049" s="37">
        <v>4.3478260869565188E-2</v>
      </c>
    </row>
    <row r="2050" spans="1:10" x14ac:dyDescent="0.25">
      <c r="A2050" t="s">
        <v>4548</v>
      </c>
      <c r="B2050" t="s">
        <v>4549</v>
      </c>
      <c r="C2050" t="s">
        <v>101</v>
      </c>
      <c r="D2050" t="s">
        <v>390</v>
      </c>
      <c r="E2050" s="36">
        <v>2500</v>
      </c>
      <c r="F2050" s="36">
        <v>2880</v>
      </c>
      <c r="G2050" s="36">
        <v>1500</v>
      </c>
      <c r="H2050" s="36">
        <v>1725</v>
      </c>
      <c r="I2050" s="37">
        <v>0</v>
      </c>
      <c r="J2050" s="37">
        <v>1.739130434782687E-3</v>
      </c>
    </row>
    <row r="2051" spans="1:10" x14ac:dyDescent="0.25">
      <c r="A2051" t="s">
        <v>4550</v>
      </c>
      <c r="B2051" t="s">
        <v>4551</v>
      </c>
      <c r="C2051" t="s">
        <v>89</v>
      </c>
      <c r="D2051" t="s">
        <v>390</v>
      </c>
      <c r="E2051" s="36">
        <v>1280</v>
      </c>
      <c r="F2051" s="36">
        <v>1536</v>
      </c>
      <c r="G2051" s="36">
        <v>480</v>
      </c>
      <c r="H2051" s="36">
        <v>552</v>
      </c>
      <c r="I2051" s="37">
        <v>0.60000000000000009</v>
      </c>
      <c r="J2051" s="37">
        <v>0.66956521739130426</v>
      </c>
    </row>
    <row r="2052" spans="1:10" x14ac:dyDescent="0.25">
      <c r="A2052" t="s">
        <v>4552</v>
      </c>
      <c r="B2052" t="s">
        <v>4553</v>
      </c>
      <c r="C2052" t="s">
        <v>89</v>
      </c>
      <c r="D2052" t="s">
        <v>327</v>
      </c>
      <c r="E2052" s="36">
        <v>250</v>
      </c>
      <c r="F2052" s="36">
        <v>288</v>
      </c>
      <c r="G2052" s="36">
        <v>162</v>
      </c>
      <c r="H2052" s="36">
        <v>187</v>
      </c>
      <c r="I2052" s="37">
        <v>0</v>
      </c>
      <c r="J2052" s="37">
        <v>0</v>
      </c>
    </row>
    <row r="2053" spans="1:10" x14ac:dyDescent="0.25">
      <c r="A2053" t="s">
        <v>4554</v>
      </c>
      <c r="B2053" t="s">
        <v>4555</v>
      </c>
      <c r="C2053" t="s">
        <v>101</v>
      </c>
      <c r="D2053" t="s">
        <v>386</v>
      </c>
      <c r="E2053" s="36">
        <v>1200</v>
      </c>
      <c r="F2053" s="36">
        <v>1380</v>
      </c>
      <c r="G2053" s="36">
        <v>744</v>
      </c>
      <c r="H2053" s="36">
        <v>856</v>
      </c>
      <c r="I2053" s="37">
        <v>0</v>
      </c>
      <c r="J2053" s="37">
        <v>0</v>
      </c>
    </row>
    <row r="2054" spans="1:10" x14ac:dyDescent="0.25">
      <c r="A2054" t="s">
        <v>4556</v>
      </c>
      <c r="B2054" t="s">
        <v>4557</v>
      </c>
      <c r="C2054" t="s">
        <v>101</v>
      </c>
      <c r="D2054" t="s">
        <v>386</v>
      </c>
      <c r="E2054" s="36">
        <v>400</v>
      </c>
      <c r="F2054" s="36">
        <v>460</v>
      </c>
      <c r="G2054" s="36">
        <v>248</v>
      </c>
      <c r="H2054" s="36">
        <v>285</v>
      </c>
      <c r="I2054" s="37">
        <v>0</v>
      </c>
      <c r="J2054" s="37">
        <v>0</v>
      </c>
    </row>
    <row r="2055" spans="1:10" x14ac:dyDescent="0.25">
      <c r="A2055" t="s">
        <v>4558</v>
      </c>
      <c r="B2055" t="s">
        <v>4559</v>
      </c>
      <c r="C2055" t="s">
        <v>101</v>
      </c>
      <c r="D2055" t="s">
        <v>386</v>
      </c>
      <c r="E2055" s="36">
        <v>400</v>
      </c>
      <c r="F2055" s="36">
        <v>460</v>
      </c>
      <c r="G2055" s="36">
        <v>248</v>
      </c>
      <c r="H2055" s="36">
        <v>285</v>
      </c>
      <c r="I2055" s="37">
        <v>0</v>
      </c>
      <c r="J2055" s="37">
        <v>0</v>
      </c>
    </row>
    <row r="2056" spans="1:10" x14ac:dyDescent="0.25">
      <c r="A2056" t="s">
        <v>4560</v>
      </c>
      <c r="B2056" t="s">
        <v>4561</v>
      </c>
      <c r="C2056" t="s">
        <v>101</v>
      </c>
      <c r="D2056" t="s">
        <v>386</v>
      </c>
      <c r="E2056" s="36">
        <v>600</v>
      </c>
      <c r="F2056" s="36">
        <v>690</v>
      </c>
      <c r="G2056" s="36">
        <v>372</v>
      </c>
      <c r="H2056" s="36">
        <v>428</v>
      </c>
      <c r="I2056" s="37">
        <v>0</v>
      </c>
      <c r="J2056" s="37">
        <v>0</v>
      </c>
    </row>
    <row r="2057" spans="1:10" x14ac:dyDescent="0.25">
      <c r="A2057" t="s">
        <v>4562</v>
      </c>
      <c r="B2057" t="s">
        <v>4563</v>
      </c>
      <c r="C2057" t="s">
        <v>101</v>
      </c>
      <c r="D2057" t="s">
        <v>386</v>
      </c>
      <c r="E2057" s="36">
        <v>600</v>
      </c>
      <c r="F2057" s="36">
        <v>690</v>
      </c>
      <c r="G2057" s="36">
        <v>372</v>
      </c>
      <c r="H2057" s="36">
        <v>428</v>
      </c>
      <c r="I2057" s="37">
        <v>0</v>
      </c>
      <c r="J2057" s="37">
        <v>0</v>
      </c>
    </row>
    <row r="2058" spans="1:10" x14ac:dyDescent="0.25">
      <c r="A2058" t="s">
        <v>4564</v>
      </c>
      <c r="B2058" t="s">
        <v>4565</v>
      </c>
      <c r="C2058" t="s">
        <v>101</v>
      </c>
      <c r="D2058" t="s">
        <v>386</v>
      </c>
      <c r="E2058" s="36">
        <v>600</v>
      </c>
      <c r="F2058" s="36">
        <v>690</v>
      </c>
      <c r="G2058" s="36">
        <v>372</v>
      </c>
      <c r="H2058" s="36">
        <v>428</v>
      </c>
      <c r="I2058" s="37">
        <v>0</v>
      </c>
      <c r="J2058" s="37">
        <v>0</v>
      </c>
    </row>
    <row r="2059" spans="1:10" x14ac:dyDescent="0.25">
      <c r="A2059" t="s">
        <v>4566</v>
      </c>
      <c r="B2059" t="s">
        <v>4567</v>
      </c>
      <c r="C2059" t="s">
        <v>101</v>
      </c>
      <c r="D2059" t="s">
        <v>386</v>
      </c>
      <c r="E2059" s="36">
        <v>900</v>
      </c>
      <c r="F2059" s="36">
        <v>1035</v>
      </c>
      <c r="G2059" s="36">
        <v>558</v>
      </c>
      <c r="H2059" s="36">
        <v>642</v>
      </c>
      <c r="I2059" s="37">
        <v>0</v>
      </c>
      <c r="J2059" s="37">
        <v>0</v>
      </c>
    </row>
    <row r="2060" spans="1:10" x14ac:dyDescent="0.25">
      <c r="A2060" t="s">
        <v>4568</v>
      </c>
      <c r="B2060" t="s">
        <v>4569</v>
      </c>
      <c r="C2060" t="s">
        <v>89</v>
      </c>
      <c r="D2060" t="s">
        <v>386</v>
      </c>
      <c r="E2060" s="36">
        <v>1300</v>
      </c>
      <c r="F2060" s="36">
        <v>1520</v>
      </c>
      <c r="G2060" s="36">
        <v>806</v>
      </c>
      <c r="H2060" s="36">
        <v>927</v>
      </c>
      <c r="I2060" s="37">
        <v>0</v>
      </c>
      <c r="J2060" s="37">
        <v>1.6722408026755842E-2</v>
      </c>
    </row>
    <row r="2061" spans="1:10" x14ac:dyDescent="0.25">
      <c r="A2061" t="s">
        <v>4570</v>
      </c>
      <c r="B2061" t="s">
        <v>4571</v>
      </c>
      <c r="C2061" t="s">
        <v>89</v>
      </c>
      <c r="D2061" t="s">
        <v>386</v>
      </c>
      <c r="E2061" s="36">
        <v>2000</v>
      </c>
      <c r="F2061" s="36">
        <v>2300</v>
      </c>
      <c r="G2061" s="36">
        <v>1240</v>
      </c>
      <c r="H2061" s="36">
        <v>1426</v>
      </c>
      <c r="I2061" s="37">
        <v>0</v>
      </c>
      <c r="J2061" s="37">
        <v>0</v>
      </c>
    </row>
    <row r="2062" spans="1:10" x14ac:dyDescent="0.25">
      <c r="A2062" t="s">
        <v>4572</v>
      </c>
      <c r="B2062" t="s">
        <v>4573</v>
      </c>
      <c r="C2062" t="s">
        <v>89</v>
      </c>
      <c r="D2062" t="s">
        <v>386</v>
      </c>
      <c r="E2062" s="36">
        <v>1900</v>
      </c>
      <c r="F2062" s="36">
        <v>2185</v>
      </c>
      <c r="G2062" s="36">
        <v>1178</v>
      </c>
      <c r="H2062" s="36">
        <v>1355</v>
      </c>
      <c r="I2062" s="37">
        <v>0</v>
      </c>
      <c r="J2062" s="37">
        <v>0</v>
      </c>
    </row>
    <row r="2063" spans="1:10" x14ac:dyDescent="0.25">
      <c r="A2063" t="s">
        <v>4574</v>
      </c>
      <c r="B2063" t="s">
        <v>4575</v>
      </c>
      <c r="C2063" t="s">
        <v>89</v>
      </c>
      <c r="D2063" t="s">
        <v>386</v>
      </c>
      <c r="E2063" s="36">
        <v>1200</v>
      </c>
      <c r="F2063" s="36">
        <v>1394</v>
      </c>
      <c r="G2063" s="36">
        <v>744</v>
      </c>
      <c r="H2063" s="36">
        <v>856</v>
      </c>
      <c r="I2063" s="37">
        <v>0</v>
      </c>
      <c r="J2063" s="37">
        <v>1.014492753623197E-2</v>
      </c>
    </row>
    <row r="2064" spans="1:10" x14ac:dyDescent="0.25">
      <c r="A2064" t="s">
        <v>4576</v>
      </c>
      <c r="B2064" t="s">
        <v>4577</v>
      </c>
      <c r="C2064" t="s">
        <v>89</v>
      </c>
      <c r="D2064" t="s">
        <v>386</v>
      </c>
      <c r="E2064" s="36">
        <v>1300</v>
      </c>
      <c r="F2064" s="36">
        <v>1520</v>
      </c>
      <c r="G2064" s="36">
        <v>806</v>
      </c>
      <c r="H2064" s="36">
        <v>927</v>
      </c>
      <c r="I2064" s="37">
        <v>0</v>
      </c>
      <c r="J2064" s="37">
        <v>1.6722408026755842E-2</v>
      </c>
    </row>
    <row r="2065" spans="1:10" x14ac:dyDescent="0.25">
      <c r="A2065" t="s">
        <v>4578</v>
      </c>
      <c r="B2065" t="s">
        <v>4579</v>
      </c>
      <c r="C2065" t="s">
        <v>89</v>
      </c>
      <c r="D2065" t="s">
        <v>386</v>
      </c>
      <c r="E2065" s="36">
        <v>2000</v>
      </c>
      <c r="F2065" s="36">
        <v>2300</v>
      </c>
      <c r="G2065" s="36">
        <v>1240</v>
      </c>
      <c r="H2065" s="36">
        <v>1426</v>
      </c>
      <c r="I2065" s="37">
        <v>0</v>
      </c>
      <c r="J2065" s="37">
        <v>0</v>
      </c>
    </row>
    <row r="2066" spans="1:10" x14ac:dyDescent="0.25">
      <c r="A2066" t="s">
        <v>4580</v>
      </c>
      <c r="B2066" t="s">
        <v>4581</v>
      </c>
      <c r="C2066" t="s">
        <v>89</v>
      </c>
      <c r="D2066" t="s">
        <v>386</v>
      </c>
      <c r="E2066" s="36">
        <v>1200</v>
      </c>
      <c r="F2066" s="36">
        <v>1394</v>
      </c>
      <c r="G2066" s="36">
        <v>744</v>
      </c>
      <c r="H2066" s="36">
        <v>856</v>
      </c>
      <c r="I2066" s="37">
        <v>0</v>
      </c>
      <c r="J2066" s="37">
        <v>1.014492753623197E-2</v>
      </c>
    </row>
    <row r="2067" spans="1:10" x14ac:dyDescent="0.25">
      <c r="A2067" t="s">
        <v>4582</v>
      </c>
      <c r="B2067" t="s">
        <v>4583</v>
      </c>
      <c r="C2067" t="s">
        <v>89</v>
      </c>
      <c r="D2067" t="s">
        <v>386</v>
      </c>
      <c r="E2067" s="36">
        <v>1900</v>
      </c>
      <c r="F2067" s="36">
        <v>2185</v>
      </c>
      <c r="G2067" s="36">
        <v>1178</v>
      </c>
      <c r="H2067" s="36">
        <v>1355</v>
      </c>
      <c r="I2067" s="37">
        <v>0</v>
      </c>
      <c r="J2067" s="37">
        <v>0</v>
      </c>
    </row>
    <row r="2068" spans="1:10" x14ac:dyDescent="0.25">
      <c r="A2068" t="s">
        <v>4584</v>
      </c>
      <c r="B2068" t="s">
        <v>4585</v>
      </c>
      <c r="C2068" t="s">
        <v>229</v>
      </c>
      <c r="D2068" t="s">
        <v>386</v>
      </c>
      <c r="E2068" s="36">
        <v>150</v>
      </c>
      <c r="F2068" s="36">
        <v>172</v>
      </c>
      <c r="G2068" s="36">
        <v>93</v>
      </c>
      <c r="H2068" s="36">
        <v>107</v>
      </c>
      <c r="I2068" s="37">
        <v>0</v>
      </c>
      <c r="J2068" s="37">
        <v>0</v>
      </c>
    </row>
    <row r="2069" spans="1:10" x14ac:dyDescent="0.25">
      <c r="A2069" t="s">
        <v>4586</v>
      </c>
      <c r="B2069" t="s">
        <v>4587</v>
      </c>
      <c r="C2069" t="s">
        <v>101</v>
      </c>
      <c r="D2069" t="s">
        <v>386</v>
      </c>
      <c r="E2069" s="36">
        <v>350</v>
      </c>
      <c r="F2069" s="36">
        <v>402</v>
      </c>
      <c r="G2069" s="36">
        <v>217</v>
      </c>
      <c r="H2069" s="36">
        <v>250</v>
      </c>
      <c r="I2069" s="37">
        <v>0</v>
      </c>
      <c r="J2069" s="37">
        <v>0</v>
      </c>
    </row>
    <row r="2070" spans="1:10" x14ac:dyDescent="0.25">
      <c r="A2070" t="s">
        <v>4588</v>
      </c>
      <c r="B2070" t="s">
        <v>4589</v>
      </c>
      <c r="C2070" t="s">
        <v>101</v>
      </c>
      <c r="D2070" t="s">
        <v>386</v>
      </c>
      <c r="E2070" s="36">
        <v>600</v>
      </c>
      <c r="F2070" s="36">
        <v>690</v>
      </c>
      <c r="G2070" s="36">
        <v>372</v>
      </c>
      <c r="H2070" s="36">
        <v>428</v>
      </c>
      <c r="I2070" s="37">
        <v>0</v>
      </c>
      <c r="J2070" s="37">
        <v>0</v>
      </c>
    </row>
    <row r="2071" spans="1:10" x14ac:dyDescent="0.25">
      <c r="A2071" t="s">
        <v>4590</v>
      </c>
      <c r="B2071" t="s">
        <v>4591</v>
      </c>
      <c r="C2071" t="s">
        <v>101</v>
      </c>
      <c r="D2071" t="s">
        <v>386</v>
      </c>
      <c r="E2071" s="36">
        <v>1200</v>
      </c>
      <c r="F2071" s="36">
        <v>1380</v>
      </c>
      <c r="G2071" s="36">
        <v>744</v>
      </c>
      <c r="H2071" s="36">
        <v>856</v>
      </c>
      <c r="I2071" s="37">
        <v>0</v>
      </c>
      <c r="J2071" s="37">
        <v>0</v>
      </c>
    </row>
    <row r="2072" spans="1:10" x14ac:dyDescent="0.25">
      <c r="A2072" t="s">
        <v>4592</v>
      </c>
      <c r="B2072" t="s">
        <v>4593</v>
      </c>
      <c r="C2072" t="s">
        <v>101</v>
      </c>
      <c r="D2072" t="s">
        <v>386</v>
      </c>
      <c r="E2072" s="36">
        <v>1500</v>
      </c>
      <c r="F2072" s="36">
        <v>1725</v>
      </c>
      <c r="G2072" s="36">
        <v>930</v>
      </c>
      <c r="H2072" s="36">
        <v>1069</v>
      </c>
      <c r="I2072" s="37">
        <v>0</v>
      </c>
      <c r="J2072" s="37">
        <v>0</v>
      </c>
    </row>
    <row r="2073" spans="1:10" x14ac:dyDescent="0.25">
      <c r="A2073" t="s">
        <v>4594</v>
      </c>
      <c r="B2073" t="s">
        <v>4595</v>
      </c>
      <c r="C2073" t="s">
        <v>101</v>
      </c>
      <c r="D2073" t="s">
        <v>327</v>
      </c>
      <c r="E2073" s="36">
        <v>1000</v>
      </c>
      <c r="F2073" s="36">
        <v>1150</v>
      </c>
      <c r="G2073" s="36">
        <v>650</v>
      </c>
      <c r="H2073" s="36">
        <v>748</v>
      </c>
      <c r="I2073" s="37">
        <v>0</v>
      </c>
      <c r="J2073" s="37">
        <v>0</v>
      </c>
    </row>
    <row r="2074" spans="1:10" x14ac:dyDescent="0.25">
      <c r="A2074" t="s">
        <v>4596</v>
      </c>
      <c r="B2074" t="s">
        <v>4597</v>
      </c>
      <c r="C2074" t="s">
        <v>101</v>
      </c>
      <c r="D2074" t="s">
        <v>386</v>
      </c>
      <c r="E2074" s="36">
        <v>1000</v>
      </c>
      <c r="F2074" s="36">
        <v>1150</v>
      </c>
      <c r="G2074" s="36">
        <v>620</v>
      </c>
      <c r="H2074" s="36">
        <v>713</v>
      </c>
      <c r="I2074" s="37">
        <v>0</v>
      </c>
      <c r="J2074" s="37">
        <v>0</v>
      </c>
    </row>
    <row r="2075" spans="1:10" x14ac:dyDescent="0.25">
      <c r="A2075" t="s">
        <v>4598</v>
      </c>
      <c r="B2075" t="s">
        <v>4599</v>
      </c>
      <c r="C2075" t="s">
        <v>101</v>
      </c>
      <c r="D2075" t="s">
        <v>386</v>
      </c>
      <c r="E2075" s="36">
        <v>5000</v>
      </c>
      <c r="F2075" s="36">
        <v>5750</v>
      </c>
      <c r="G2075" s="36">
        <v>3100</v>
      </c>
      <c r="H2075" s="36">
        <v>3565</v>
      </c>
      <c r="I2075" s="37">
        <v>0</v>
      </c>
      <c r="J2075" s="37">
        <v>0</v>
      </c>
    </row>
    <row r="2076" spans="1:10" x14ac:dyDescent="0.25">
      <c r="A2076" t="s">
        <v>4600</v>
      </c>
      <c r="B2076" t="s">
        <v>4601</v>
      </c>
      <c r="C2076" t="s">
        <v>101</v>
      </c>
      <c r="D2076" t="s">
        <v>386</v>
      </c>
      <c r="E2076" s="36">
        <v>700</v>
      </c>
      <c r="F2076" s="36">
        <v>805</v>
      </c>
      <c r="G2076" s="36">
        <v>434</v>
      </c>
      <c r="H2076" s="36">
        <v>499</v>
      </c>
      <c r="I2076" s="37">
        <v>0</v>
      </c>
      <c r="J2076" s="37">
        <v>0</v>
      </c>
    </row>
    <row r="2077" spans="1:10" x14ac:dyDescent="0.25">
      <c r="A2077" t="s">
        <v>4602</v>
      </c>
      <c r="B2077" t="s">
        <v>4603</v>
      </c>
      <c r="C2077" t="s">
        <v>101</v>
      </c>
      <c r="D2077" t="s">
        <v>386</v>
      </c>
      <c r="E2077" s="36">
        <v>300</v>
      </c>
      <c r="F2077" s="36">
        <v>345</v>
      </c>
      <c r="G2077" s="36">
        <v>186</v>
      </c>
      <c r="H2077" s="36">
        <v>214</v>
      </c>
      <c r="I2077" s="37">
        <v>0</v>
      </c>
      <c r="J2077" s="37">
        <v>0</v>
      </c>
    </row>
    <row r="2078" spans="1:10" x14ac:dyDescent="0.25">
      <c r="A2078" t="s">
        <v>4604</v>
      </c>
      <c r="B2078" t="s">
        <v>4605</v>
      </c>
      <c r="C2078" t="s">
        <v>3943</v>
      </c>
      <c r="D2078" t="s">
        <v>394</v>
      </c>
      <c r="E2078" s="36">
        <v>5000</v>
      </c>
      <c r="F2078" s="36">
        <v>6000</v>
      </c>
      <c r="G2078" s="36">
        <v>3000</v>
      </c>
      <c r="H2078" s="36">
        <v>3600</v>
      </c>
      <c r="I2078" s="37">
        <v>0</v>
      </c>
      <c r="J2078" s="37">
        <v>0</v>
      </c>
    </row>
    <row r="2079" spans="1:10" x14ac:dyDescent="0.25">
      <c r="A2079" t="s">
        <v>4606</v>
      </c>
      <c r="B2079" t="s">
        <v>4607</v>
      </c>
      <c r="C2079" t="s">
        <v>3943</v>
      </c>
      <c r="D2079" t="s">
        <v>394</v>
      </c>
      <c r="E2079" s="36">
        <v>6500</v>
      </c>
      <c r="F2079" s="36">
        <v>7500</v>
      </c>
      <c r="G2079" s="36">
        <v>3850</v>
      </c>
      <c r="H2079" s="36">
        <v>4450</v>
      </c>
      <c r="I2079" s="37">
        <v>0</v>
      </c>
      <c r="J2079" s="37">
        <v>0</v>
      </c>
    </row>
    <row r="2080" spans="1:10" x14ac:dyDescent="0.25">
      <c r="A2080" t="s">
        <v>4608</v>
      </c>
      <c r="B2080" t="s">
        <v>4609</v>
      </c>
      <c r="C2080" t="s">
        <v>3943</v>
      </c>
      <c r="D2080" t="s">
        <v>394</v>
      </c>
      <c r="E2080" s="36">
        <v>3000</v>
      </c>
      <c r="F2080" s="36">
        <v>3500</v>
      </c>
      <c r="G2080" s="36">
        <v>1800</v>
      </c>
      <c r="H2080" s="36">
        <v>2050</v>
      </c>
      <c r="I2080" s="37">
        <v>0</v>
      </c>
      <c r="J2080" s="37">
        <v>0</v>
      </c>
    </row>
    <row r="2081" spans="1:10" x14ac:dyDescent="0.25">
      <c r="A2081" t="s">
        <v>4610</v>
      </c>
      <c r="B2081" t="s">
        <v>4611</v>
      </c>
      <c r="C2081" t="s">
        <v>3943</v>
      </c>
      <c r="D2081" t="s">
        <v>394</v>
      </c>
      <c r="E2081" s="36">
        <v>40</v>
      </c>
      <c r="F2081" s="36">
        <v>48</v>
      </c>
      <c r="G2081" s="36">
        <v>30</v>
      </c>
      <c r="H2081" s="36">
        <v>30</v>
      </c>
      <c r="I2081" s="37">
        <v>0</v>
      </c>
      <c r="J2081" s="37">
        <v>6.6666666666666652E-2</v>
      </c>
    </row>
    <row r="2082" spans="1:10" x14ac:dyDescent="0.25">
      <c r="A2082" t="s">
        <v>4612</v>
      </c>
      <c r="B2082" t="s">
        <v>4613</v>
      </c>
      <c r="C2082" t="s">
        <v>101</v>
      </c>
      <c r="D2082" t="s">
        <v>394</v>
      </c>
      <c r="E2082" s="36">
        <v>3000</v>
      </c>
      <c r="F2082" s="36">
        <v>3500</v>
      </c>
      <c r="G2082" s="36">
        <v>1800</v>
      </c>
      <c r="H2082" s="36">
        <v>2050</v>
      </c>
      <c r="I2082" s="37">
        <v>0</v>
      </c>
      <c r="J2082" s="37">
        <v>0</v>
      </c>
    </row>
    <row r="2083" spans="1:10" x14ac:dyDescent="0.25">
      <c r="A2083" t="s">
        <v>4614</v>
      </c>
      <c r="B2083" t="s">
        <v>4615</v>
      </c>
      <c r="C2083" t="s">
        <v>243</v>
      </c>
      <c r="D2083" t="s">
        <v>327</v>
      </c>
      <c r="E2083" s="36">
        <v>9000</v>
      </c>
      <c r="F2083" s="36">
        <v>10500</v>
      </c>
      <c r="G2083" s="36">
        <v>6000</v>
      </c>
      <c r="H2083" s="36">
        <v>6950</v>
      </c>
      <c r="I2083" s="37">
        <v>0</v>
      </c>
      <c r="J2083" s="37">
        <v>0</v>
      </c>
    </row>
    <row r="2084" spans="1:10" x14ac:dyDescent="0.25">
      <c r="A2084" t="s">
        <v>4616</v>
      </c>
      <c r="B2084" t="s">
        <v>4617</v>
      </c>
      <c r="C2084" t="s">
        <v>89</v>
      </c>
      <c r="D2084" t="s">
        <v>402</v>
      </c>
      <c r="E2084" s="36">
        <v>60</v>
      </c>
      <c r="F2084" s="36">
        <v>70</v>
      </c>
      <c r="G2084" s="36">
        <v>36</v>
      </c>
      <c r="H2084" s="36">
        <v>42</v>
      </c>
      <c r="I2084" s="37">
        <v>0</v>
      </c>
      <c r="J2084" s="37">
        <v>0</v>
      </c>
    </row>
    <row r="2085" spans="1:10" x14ac:dyDescent="0.25">
      <c r="A2085" t="s">
        <v>4618</v>
      </c>
      <c r="B2085" t="s">
        <v>4619</v>
      </c>
      <c r="C2085" t="s">
        <v>243</v>
      </c>
      <c r="D2085" t="s">
        <v>327</v>
      </c>
      <c r="E2085" s="36">
        <v>800</v>
      </c>
      <c r="F2085" s="36">
        <v>950</v>
      </c>
      <c r="G2085" s="36">
        <v>540</v>
      </c>
      <c r="H2085" s="36">
        <v>600</v>
      </c>
      <c r="I2085" s="37">
        <v>0</v>
      </c>
      <c r="J2085" s="37">
        <v>0</v>
      </c>
    </row>
    <row r="2086" spans="1:10" x14ac:dyDescent="0.25">
      <c r="A2086" t="s">
        <v>4620</v>
      </c>
      <c r="B2086" t="s">
        <v>4621</v>
      </c>
      <c r="C2086" t="s">
        <v>101</v>
      </c>
      <c r="D2086" t="s">
        <v>394</v>
      </c>
      <c r="E2086" s="36">
        <v>4500</v>
      </c>
      <c r="F2086" s="36">
        <v>5200</v>
      </c>
      <c r="G2086" s="36">
        <v>2500</v>
      </c>
      <c r="H2086" s="36">
        <v>2900</v>
      </c>
      <c r="I2086" s="37">
        <v>0</v>
      </c>
      <c r="J2086" s="37">
        <v>0</v>
      </c>
    </row>
    <row r="2087" spans="1:10" x14ac:dyDescent="0.25">
      <c r="A2087" t="s">
        <v>4622</v>
      </c>
      <c r="B2087" t="s">
        <v>4623</v>
      </c>
      <c r="C2087" t="s">
        <v>101</v>
      </c>
      <c r="D2087" t="s">
        <v>327</v>
      </c>
      <c r="E2087" s="36">
        <v>1800</v>
      </c>
      <c r="F2087" s="36">
        <v>2000</v>
      </c>
      <c r="G2087" s="36">
        <v>1300</v>
      </c>
      <c r="H2087" s="36">
        <v>1500</v>
      </c>
      <c r="I2087" s="37">
        <v>0</v>
      </c>
      <c r="J2087" s="37">
        <v>0</v>
      </c>
    </row>
    <row r="2088" spans="1:10" x14ac:dyDescent="0.25">
      <c r="A2088" t="s">
        <v>4624</v>
      </c>
      <c r="B2088" t="s">
        <v>4625</v>
      </c>
      <c r="C2088" t="s">
        <v>101</v>
      </c>
      <c r="D2088" t="s">
        <v>394</v>
      </c>
      <c r="E2088" s="36">
        <v>1500</v>
      </c>
      <c r="F2088" s="36">
        <v>1750</v>
      </c>
      <c r="G2088" s="36">
        <v>840</v>
      </c>
      <c r="H2088" s="36">
        <v>960</v>
      </c>
      <c r="I2088" s="37">
        <v>0</v>
      </c>
      <c r="J2088" s="37">
        <v>0</v>
      </c>
    </row>
    <row r="2089" spans="1:10" x14ac:dyDescent="0.25">
      <c r="A2089" t="s">
        <v>4626</v>
      </c>
      <c r="B2089" t="s">
        <v>4627</v>
      </c>
      <c r="C2089" t="s">
        <v>101</v>
      </c>
      <c r="D2089" t="s">
        <v>394</v>
      </c>
      <c r="E2089" s="36">
        <v>2200</v>
      </c>
      <c r="F2089" s="36">
        <v>2600</v>
      </c>
      <c r="G2089" s="36">
        <v>1250</v>
      </c>
      <c r="H2089" s="36">
        <v>1450</v>
      </c>
      <c r="I2089" s="37">
        <v>0</v>
      </c>
      <c r="J2089" s="37">
        <v>0</v>
      </c>
    </row>
    <row r="2090" spans="1:10" x14ac:dyDescent="0.25">
      <c r="A2090" t="s">
        <v>4628</v>
      </c>
      <c r="B2090" t="s">
        <v>4629</v>
      </c>
      <c r="C2090" t="s">
        <v>101</v>
      </c>
      <c r="D2090" t="s">
        <v>394</v>
      </c>
      <c r="E2090" s="36">
        <v>2800</v>
      </c>
      <c r="F2090" s="36">
        <v>3300</v>
      </c>
      <c r="G2090" s="36">
        <v>1700</v>
      </c>
      <c r="H2090" s="36">
        <v>1900</v>
      </c>
      <c r="I2090" s="37">
        <v>0</v>
      </c>
      <c r="J2090" s="37">
        <v>0</v>
      </c>
    </row>
    <row r="2091" spans="1:10" x14ac:dyDescent="0.25">
      <c r="A2091" t="s">
        <v>4630</v>
      </c>
      <c r="B2091" t="s">
        <v>4631</v>
      </c>
      <c r="C2091" t="s">
        <v>101</v>
      </c>
      <c r="D2091" t="s">
        <v>394</v>
      </c>
      <c r="E2091" s="36">
        <v>2800</v>
      </c>
      <c r="F2091" s="36">
        <v>3300</v>
      </c>
      <c r="G2091" s="36">
        <v>1700</v>
      </c>
      <c r="H2091" s="36">
        <v>1900</v>
      </c>
      <c r="I2091" s="37">
        <v>0</v>
      </c>
      <c r="J2091" s="37">
        <v>0</v>
      </c>
    </row>
    <row r="2092" spans="1:10" x14ac:dyDescent="0.25">
      <c r="A2092" t="s">
        <v>4632</v>
      </c>
      <c r="B2092" t="s">
        <v>4633</v>
      </c>
      <c r="C2092" t="s">
        <v>101</v>
      </c>
      <c r="D2092" t="s">
        <v>394</v>
      </c>
      <c r="E2092" s="36">
        <v>2200</v>
      </c>
      <c r="F2092" s="36">
        <v>2600</v>
      </c>
      <c r="G2092" s="36">
        <v>1250</v>
      </c>
      <c r="H2092" s="36">
        <v>1450</v>
      </c>
      <c r="I2092" s="37">
        <v>0</v>
      </c>
      <c r="J2092" s="37">
        <v>0</v>
      </c>
    </row>
    <row r="2093" spans="1:10" x14ac:dyDescent="0.25">
      <c r="A2093" t="s">
        <v>4634</v>
      </c>
      <c r="B2093" t="s">
        <v>4635</v>
      </c>
      <c r="C2093" t="s">
        <v>101</v>
      </c>
      <c r="D2093" t="s">
        <v>394</v>
      </c>
      <c r="E2093" s="36">
        <v>2200</v>
      </c>
      <c r="F2093" s="36">
        <v>2600</v>
      </c>
      <c r="G2093" s="36">
        <v>1250</v>
      </c>
      <c r="H2093" s="36">
        <v>1450</v>
      </c>
      <c r="I2093" s="37">
        <v>0</v>
      </c>
      <c r="J2093" s="37">
        <v>0</v>
      </c>
    </row>
    <row r="2094" spans="1:10" x14ac:dyDescent="0.25">
      <c r="A2094" t="s">
        <v>4636</v>
      </c>
      <c r="B2094" t="s">
        <v>4637</v>
      </c>
      <c r="C2094" t="s">
        <v>101</v>
      </c>
      <c r="D2094" t="s">
        <v>394</v>
      </c>
      <c r="E2094" s="36">
        <v>1500</v>
      </c>
      <c r="F2094" s="36">
        <v>1750</v>
      </c>
      <c r="G2094" s="36">
        <v>840</v>
      </c>
      <c r="H2094" s="36">
        <v>960</v>
      </c>
      <c r="I2094" s="37">
        <v>0</v>
      </c>
      <c r="J2094" s="37">
        <v>0</v>
      </c>
    </row>
    <row r="2095" spans="1:10" x14ac:dyDescent="0.25">
      <c r="A2095" t="s">
        <v>4638</v>
      </c>
      <c r="B2095" t="s">
        <v>4639</v>
      </c>
      <c r="C2095" t="s">
        <v>101</v>
      </c>
      <c r="D2095" t="s">
        <v>394</v>
      </c>
      <c r="E2095" s="36">
        <v>900</v>
      </c>
      <c r="F2095" s="36">
        <v>1050</v>
      </c>
      <c r="G2095" s="36">
        <v>500</v>
      </c>
      <c r="H2095" s="36">
        <v>580</v>
      </c>
      <c r="I2095" s="37">
        <v>0</v>
      </c>
      <c r="J2095" s="37">
        <v>0</v>
      </c>
    </row>
    <row r="2096" spans="1:10" x14ac:dyDescent="0.25">
      <c r="A2096" t="s">
        <v>4640</v>
      </c>
      <c r="B2096" t="s">
        <v>4641</v>
      </c>
      <c r="C2096" t="s">
        <v>101</v>
      </c>
      <c r="D2096" t="s">
        <v>394</v>
      </c>
      <c r="E2096" s="36">
        <v>1200</v>
      </c>
      <c r="F2096" s="36">
        <v>1400</v>
      </c>
      <c r="G2096" s="36">
        <v>670</v>
      </c>
      <c r="H2096" s="36">
        <v>780</v>
      </c>
      <c r="I2096" s="37">
        <v>0</v>
      </c>
      <c r="J2096" s="37">
        <v>0</v>
      </c>
    </row>
    <row r="2097" spans="1:10" x14ac:dyDescent="0.25">
      <c r="A2097" t="s">
        <v>4642</v>
      </c>
      <c r="B2097" t="s">
        <v>4643</v>
      </c>
      <c r="C2097" t="s">
        <v>101</v>
      </c>
      <c r="D2097" t="s">
        <v>394</v>
      </c>
      <c r="E2097" s="36">
        <v>1700</v>
      </c>
      <c r="F2097" s="36">
        <v>2000</v>
      </c>
      <c r="G2097" s="36">
        <v>1000</v>
      </c>
      <c r="H2097" s="36">
        <v>1150</v>
      </c>
      <c r="I2097" s="37">
        <v>0</v>
      </c>
      <c r="J2097" s="37">
        <v>0</v>
      </c>
    </row>
    <row r="2098" spans="1:10" x14ac:dyDescent="0.25">
      <c r="A2098" t="s">
        <v>4644</v>
      </c>
      <c r="B2098" t="s">
        <v>4645</v>
      </c>
      <c r="C2098" t="s">
        <v>101</v>
      </c>
      <c r="D2098" t="s">
        <v>394</v>
      </c>
      <c r="E2098" s="36">
        <v>2300</v>
      </c>
      <c r="F2098" s="36">
        <v>2700</v>
      </c>
      <c r="G2098" s="36">
        <v>1300</v>
      </c>
      <c r="H2098" s="36">
        <v>1550</v>
      </c>
      <c r="I2098" s="37">
        <v>0</v>
      </c>
      <c r="J2098" s="37">
        <v>0</v>
      </c>
    </row>
    <row r="2099" spans="1:10" x14ac:dyDescent="0.25">
      <c r="A2099" t="s">
        <v>4646</v>
      </c>
      <c r="B2099" t="s">
        <v>4647</v>
      </c>
      <c r="C2099" t="s">
        <v>101</v>
      </c>
      <c r="D2099" t="s">
        <v>394</v>
      </c>
      <c r="E2099" s="36">
        <v>4500</v>
      </c>
      <c r="F2099" s="36">
        <v>5200</v>
      </c>
      <c r="G2099" s="36">
        <v>2650</v>
      </c>
      <c r="H2099" s="36">
        <v>3000</v>
      </c>
      <c r="I2099" s="37">
        <v>0</v>
      </c>
      <c r="J2099" s="37">
        <v>0</v>
      </c>
    </row>
    <row r="2100" spans="1:10" x14ac:dyDescent="0.25">
      <c r="A2100" t="s">
        <v>4648</v>
      </c>
      <c r="B2100" t="s">
        <v>4649</v>
      </c>
      <c r="C2100" t="s">
        <v>101</v>
      </c>
      <c r="D2100" t="s">
        <v>394</v>
      </c>
      <c r="E2100" s="36">
        <v>3600</v>
      </c>
      <c r="F2100" s="36">
        <v>4200</v>
      </c>
      <c r="G2100" s="36">
        <v>2050</v>
      </c>
      <c r="H2100" s="36">
        <v>2400</v>
      </c>
      <c r="I2100" s="37">
        <v>0</v>
      </c>
      <c r="J2100" s="37">
        <v>0</v>
      </c>
    </row>
    <row r="2101" spans="1:10" x14ac:dyDescent="0.25">
      <c r="A2101" t="s">
        <v>4650</v>
      </c>
      <c r="B2101" t="s">
        <v>4651</v>
      </c>
      <c r="C2101" t="s">
        <v>101</v>
      </c>
      <c r="D2101" t="s">
        <v>394</v>
      </c>
      <c r="E2101" s="36">
        <v>4500</v>
      </c>
      <c r="F2101" s="36">
        <v>5200</v>
      </c>
      <c r="G2101" s="36">
        <v>2650</v>
      </c>
      <c r="H2101" s="36">
        <v>3000</v>
      </c>
      <c r="I2101" s="37">
        <v>0</v>
      </c>
      <c r="J2101" s="37">
        <v>0</v>
      </c>
    </row>
    <row r="2102" spans="1:10" x14ac:dyDescent="0.25">
      <c r="A2102" t="s">
        <v>4652</v>
      </c>
      <c r="B2102" t="s">
        <v>4653</v>
      </c>
      <c r="C2102" t="s">
        <v>101</v>
      </c>
      <c r="D2102" t="s">
        <v>394</v>
      </c>
      <c r="E2102" s="36">
        <v>1800</v>
      </c>
      <c r="F2102" s="36">
        <v>2100</v>
      </c>
      <c r="G2102" s="36">
        <v>1000</v>
      </c>
      <c r="H2102" s="36">
        <v>1200</v>
      </c>
      <c r="I2102" s="37">
        <v>0</v>
      </c>
      <c r="J2102" s="37">
        <v>0</v>
      </c>
    </row>
    <row r="2103" spans="1:10" x14ac:dyDescent="0.25">
      <c r="A2103" t="s">
        <v>4654</v>
      </c>
      <c r="B2103" t="s">
        <v>4655</v>
      </c>
      <c r="C2103" t="s">
        <v>101</v>
      </c>
      <c r="D2103" t="s">
        <v>394</v>
      </c>
      <c r="E2103" s="36">
        <v>4500</v>
      </c>
      <c r="F2103" s="36">
        <v>5200</v>
      </c>
      <c r="G2103" s="36">
        <v>2650</v>
      </c>
      <c r="H2103" s="36">
        <v>3000</v>
      </c>
      <c r="I2103" s="37">
        <v>0</v>
      </c>
      <c r="J2103" s="37">
        <v>0</v>
      </c>
    </row>
    <row r="2104" spans="1:10" x14ac:dyDescent="0.25">
      <c r="A2104" t="s">
        <v>4656</v>
      </c>
      <c r="B2104" t="s">
        <v>4657</v>
      </c>
      <c r="C2104" t="s">
        <v>101</v>
      </c>
      <c r="D2104" t="s">
        <v>394</v>
      </c>
      <c r="E2104" s="36">
        <v>4500</v>
      </c>
      <c r="F2104" s="36">
        <v>5200</v>
      </c>
      <c r="G2104" s="36">
        <v>2650</v>
      </c>
      <c r="H2104" s="36">
        <v>3000</v>
      </c>
      <c r="I2104" s="37">
        <v>0</v>
      </c>
      <c r="J2104" s="37">
        <v>0</v>
      </c>
    </row>
    <row r="2105" spans="1:10" x14ac:dyDescent="0.25">
      <c r="A2105" t="s">
        <v>4658</v>
      </c>
      <c r="B2105" t="s">
        <v>4659</v>
      </c>
      <c r="C2105" t="s">
        <v>101</v>
      </c>
      <c r="D2105" t="s">
        <v>394</v>
      </c>
      <c r="E2105" s="36">
        <v>2200</v>
      </c>
      <c r="F2105" s="36">
        <v>2600</v>
      </c>
      <c r="G2105" s="36">
        <v>1250</v>
      </c>
      <c r="H2105" s="36">
        <v>1450</v>
      </c>
      <c r="I2105" s="37">
        <v>0</v>
      </c>
      <c r="J2105" s="37">
        <v>0</v>
      </c>
    </row>
    <row r="2106" spans="1:10" x14ac:dyDescent="0.25">
      <c r="A2106" t="s">
        <v>4660</v>
      </c>
      <c r="B2106" t="s">
        <v>4661</v>
      </c>
      <c r="C2106" t="s">
        <v>101</v>
      </c>
      <c r="D2106" t="s">
        <v>394</v>
      </c>
      <c r="E2106" s="36">
        <v>2200</v>
      </c>
      <c r="F2106" s="36">
        <v>2600</v>
      </c>
      <c r="G2106" s="36">
        <v>1250</v>
      </c>
      <c r="H2106" s="36">
        <v>1450</v>
      </c>
      <c r="I2106" s="37">
        <v>0</v>
      </c>
      <c r="J2106" s="37">
        <v>0</v>
      </c>
    </row>
    <row r="2107" spans="1:10" x14ac:dyDescent="0.25">
      <c r="A2107" t="s">
        <v>4662</v>
      </c>
      <c r="B2107" t="s">
        <v>4663</v>
      </c>
      <c r="C2107" t="s">
        <v>101</v>
      </c>
      <c r="D2107" t="s">
        <v>394</v>
      </c>
      <c r="E2107" s="36">
        <v>1800</v>
      </c>
      <c r="F2107" s="36">
        <v>2100</v>
      </c>
      <c r="G2107" s="36">
        <v>1000</v>
      </c>
      <c r="H2107" s="36">
        <v>1200</v>
      </c>
      <c r="I2107" s="37">
        <v>0</v>
      </c>
      <c r="J2107" s="37">
        <v>0</v>
      </c>
    </row>
    <row r="2108" spans="1:10" x14ac:dyDescent="0.25">
      <c r="A2108" t="s">
        <v>4664</v>
      </c>
      <c r="B2108" t="s">
        <v>4665</v>
      </c>
      <c r="C2108" t="s">
        <v>101</v>
      </c>
      <c r="D2108" t="s">
        <v>394</v>
      </c>
      <c r="E2108" s="36">
        <v>1800</v>
      </c>
      <c r="F2108" s="36">
        <v>2100</v>
      </c>
      <c r="G2108" s="36">
        <v>1000</v>
      </c>
      <c r="H2108" s="36">
        <v>1200</v>
      </c>
      <c r="I2108" s="37">
        <v>0</v>
      </c>
      <c r="J2108" s="37">
        <v>0</v>
      </c>
    </row>
    <row r="2109" spans="1:10" x14ac:dyDescent="0.25">
      <c r="A2109" t="s">
        <v>4666</v>
      </c>
      <c r="B2109" t="s">
        <v>4667</v>
      </c>
      <c r="C2109" t="s">
        <v>101</v>
      </c>
      <c r="D2109" t="s">
        <v>394</v>
      </c>
      <c r="E2109" s="36">
        <v>16000</v>
      </c>
      <c r="F2109" s="36">
        <v>18500</v>
      </c>
      <c r="G2109" s="36">
        <v>9600</v>
      </c>
      <c r="H2109" s="36">
        <v>11050</v>
      </c>
      <c r="I2109" s="37">
        <v>0</v>
      </c>
      <c r="J2109" s="37">
        <v>0</v>
      </c>
    </row>
    <row r="2110" spans="1:10" x14ac:dyDescent="0.25">
      <c r="A2110" t="s">
        <v>4668</v>
      </c>
      <c r="B2110" t="s">
        <v>4669</v>
      </c>
      <c r="C2110" t="s">
        <v>101</v>
      </c>
      <c r="D2110" t="s">
        <v>394</v>
      </c>
      <c r="E2110" s="36">
        <v>14000</v>
      </c>
      <c r="F2110" s="36">
        <v>16000</v>
      </c>
      <c r="G2110" s="36">
        <v>8400</v>
      </c>
      <c r="H2110" s="36">
        <v>9600</v>
      </c>
      <c r="I2110" s="37">
        <v>0</v>
      </c>
      <c r="J2110" s="37">
        <v>0</v>
      </c>
    </row>
    <row r="2111" spans="1:10" x14ac:dyDescent="0.25">
      <c r="A2111" t="s">
        <v>4670</v>
      </c>
      <c r="B2111" t="s">
        <v>4671</v>
      </c>
      <c r="C2111" t="s">
        <v>101</v>
      </c>
      <c r="D2111" t="s">
        <v>394</v>
      </c>
      <c r="E2111" s="36">
        <v>2500</v>
      </c>
      <c r="F2111" s="36">
        <v>2900</v>
      </c>
      <c r="G2111" s="36">
        <v>1300</v>
      </c>
      <c r="H2111" s="36">
        <v>1500</v>
      </c>
      <c r="I2111" s="37">
        <v>0</v>
      </c>
      <c r="J2111" s="37">
        <v>0</v>
      </c>
    </row>
    <row r="2112" spans="1:10" x14ac:dyDescent="0.25">
      <c r="A2112" t="s">
        <v>4672</v>
      </c>
      <c r="B2112" t="s">
        <v>4673</v>
      </c>
      <c r="C2112" t="s">
        <v>101</v>
      </c>
      <c r="D2112" t="s">
        <v>394</v>
      </c>
      <c r="E2112" s="36">
        <v>3000</v>
      </c>
      <c r="F2112" s="36">
        <v>3500</v>
      </c>
      <c r="G2112" s="36">
        <v>1700</v>
      </c>
      <c r="H2112" s="36">
        <v>1900</v>
      </c>
      <c r="I2112" s="37">
        <v>0</v>
      </c>
      <c r="J2112" s="37">
        <v>0</v>
      </c>
    </row>
    <row r="2113" spans="1:10" x14ac:dyDescent="0.25">
      <c r="A2113" t="s">
        <v>4674</v>
      </c>
      <c r="B2113" t="s">
        <v>4675</v>
      </c>
      <c r="C2113" t="s">
        <v>101</v>
      </c>
      <c r="D2113" t="s">
        <v>394</v>
      </c>
      <c r="E2113" s="36">
        <v>1000</v>
      </c>
      <c r="F2113" s="36">
        <v>1150</v>
      </c>
      <c r="G2113" s="36">
        <v>540</v>
      </c>
      <c r="H2113" s="36">
        <v>600</v>
      </c>
      <c r="I2113" s="37">
        <v>0</v>
      </c>
      <c r="J2113" s="37">
        <v>0</v>
      </c>
    </row>
    <row r="2114" spans="1:10" x14ac:dyDescent="0.25">
      <c r="A2114" t="s">
        <v>4676</v>
      </c>
      <c r="B2114" t="s">
        <v>4677</v>
      </c>
      <c r="C2114" t="s">
        <v>101</v>
      </c>
      <c r="D2114" t="s">
        <v>394</v>
      </c>
      <c r="E2114" s="36">
        <v>4000</v>
      </c>
      <c r="F2114" s="36">
        <v>4600</v>
      </c>
      <c r="G2114" s="36">
        <v>2400</v>
      </c>
      <c r="H2114" s="36">
        <v>2750</v>
      </c>
      <c r="I2114" s="37">
        <v>0</v>
      </c>
      <c r="J2114" s="37">
        <v>0</v>
      </c>
    </row>
    <row r="2115" spans="1:10" x14ac:dyDescent="0.25">
      <c r="A2115" t="s">
        <v>4678</v>
      </c>
      <c r="B2115" t="s">
        <v>4679</v>
      </c>
      <c r="C2115" t="s">
        <v>101</v>
      </c>
      <c r="D2115" t="s">
        <v>394</v>
      </c>
      <c r="E2115" s="36">
        <v>8000</v>
      </c>
      <c r="F2115" s="36">
        <v>9200</v>
      </c>
      <c r="G2115" s="36">
        <v>4800</v>
      </c>
      <c r="H2115" s="36">
        <v>5500</v>
      </c>
      <c r="I2115" s="37">
        <v>0</v>
      </c>
      <c r="J2115" s="37">
        <v>0</v>
      </c>
    </row>
    <row r="2116" spans="1:10" x14ac:dyDescent="0.25">
      <c r="A2116" t="s">
        <v>4680</v>
      </c>
      <c r="B2116" t="s">
        <v>4681</v>
      </c>
      <c r="C2116" t="s">
        <v>101</v>
      </c>
      <c r="D2116" t="s">
        <v>394</v>
      </c>
      <c r="E2116" s="36">
        <v>7000</v>
      </c>
      <c r="F2116" s="36">
        <v>8000</v>
      </c>
      <c r="G2116" s="36">
        <v>4200</v>
      </c>
      <c r="H2116" s="36">
        <v>4800</v>
      </c>
      <c r="I2116" s="37">
        <v>0</v>
      </c>
      <c r="J2116" s="37">
        <v>0</v>
      </c>
    </row>
    <row r="2117" spans="1:10" x14ac:dyDescent="0.25">
      <c r="A2117" t="s">
        <v>4682</v>
      </c>
      <c r="B2117" t="s">
        <v>4683</v>
      </c>
      <c r="C2117" t="s">
        <v>101</v>
      </c>
      <c r="D2117" t="s">
        <v>394</v>
      </c>
      <c r="E2117" s="36">
        <v>2200</v>
      </c>
      <c r="F2117" s="36">
        <v>2600</v>
      </c>
      <c r="G2117" s="36">
        <v>1250</v>
      </c>
      <c r="H2117" s="36">
        <v>1450</v>
      </c>
      <c r="I2117" s="37">
        <v>0</v>
      </c>
      <c r="J2117" s="37">
        <v>0</v>
      </c>
    </row>
    <row r="2118" spans="1:10" x14ac:dyDescent="0.25">
      <c r="A2118" t="s">
        <v>4684</v>
      </c>
      <c r="B2118" t="s">
        <v>4685</v>
      </c>
      <c r="C2118" t="s">
        <v>101</v>
      </c>
      <c r="D2118" t="s">
        <v>394</v>
      </c>
      <c r="E2118" s="36">
        <v>2200</v>
      </c>
      <c r="F2118" s="36">
        <v>2600</v>
      </c>
      <c r="G2118" s="36">
        <v>1250</v>
      </c>
      <c r="H2118" s="36">
        <v>1450</v>
      </c>
      <c r="I2118" s="37">
        <v>0</v>
      </c>
      <c r="J2118" s="37">
        <v>0</v>
      </c>
    </row>
    <row r="2119" spans="1:10" x14ac:dyDescent="0.25">
      <c r="A2119" t="s">
        <v>4686</v>
      </c>
      <c r="B2119" t="s">
        <v>4687</v>
      </c>
      <c r="C2119" t="s">
        <v>101</v>
      </c>
      <c r="D2119" t="s">
        <v>394</v>
      </c>
      <c r="E2119" s="36">
        <v>5500</v>
      </c>
      <c r="F2119" s="36">
        <v>6300</v>
      </c>
      <c r="G2119" s="36">
        <v>3350</v>
      </c>
      <c r="H2119" s="36">
        <v>3850</v>
      </c>
      <c r="I2119" s="37">
        <v>0</v>
      </c>
      <c r="J2119" s="37">
        <v>0</v>
      </c>
    </row>
    <row r="2120" spans="1:10" x14ac:dyDescent="0.25">
      <c r="A2120" t="s">
        <v>4688</v>
      </c>
      <c r="B2120" t="s">
        <v>4689</v>
      </c>
      <c r="C2120" t="s">
        <v>101</v>
      </c>
      <c r="D2120" t="s">
        <v>394</v>
      </c>
      <c r="E2120" s="36">
        <v>13000</v>
      </c>
      <c r="F2120" s="36">
        <v>15000</v>
      </c>
      <c r="G2120" s="36">
        <v>7800</v>
      </c>
      <c r="H2120" s="36">
        <v>9000</v>
      </c>
      <c r="I2120" s="37">
        <v>0</v>
      </c>
      <c r="J2120" s="37">
        <v>0</v>
      </c>
    </row>
    <row r="2121" spans="1:10" x14ac:dyDescent="0.25">
      <c r="A2121" t="s">
        <v>4690</v>
      </c>
      <c r="B2121" t="s">
        <v>4691</v>
      </c>
      <c r="C2121" t="s">
        <v>101</v>
      </c>
      <c r="D2121" t="s">
        <v>394</v>
      </c>
      <c r="E2121" s="36">
        <v>15000</v>
      </c>
      <c r="F2121" s="36">
        <v>17500</v>
      </c>
      <c r="G2121" s="36">
        <v>9000</v>
      </c>
      <c r="H2121" s="36">
        <v>10450</v>
      </c>
      <c r="I2121" s="37">
        <v>0</v>
      </c>
      <c r="J2121" s="37">
        <v>0</v>
      </c>
    </row>
    <row r="2122" spans="1:10" x14ac:dyDescent="0.25">
      <c r="A2122" t="s">
        <v>4692</v>
      </c>
      <c r="B2122" t="s">
        <v>4693</v>
      </c>
      <c r="C2122" t="s">
        <v>101</v>
      </c>
      <c r="D2122" t="s">
        <v>394</v>
      </c>
      <c r="E2122" s="36">
        <v>15000</v>
      </c>
      <c r="F2122" s="36">
        <v>17500</v>
      </c>
      <c r="G2122" s="36">
        <v>9000</v>
      </c>
      <c r="H2122" s="36">
        <v>10450</v>
      </c>
      <c r="I2122" s="37">
        <v>0</v>
      </c>
      <c r="J2122" s="37">
        <v>0</v>
      </c>
    </row>
    <row r="2123" spans="1:10" x14ac:dyDescent="0.25">
      <c r="A2123" t="s">
        <v>4694</v>
      </c>
      <c r="B2123" t="s">
        <v>4695</v>
      </c>
      <c r="C2123" t="s">
        <v>101</v>
      </c>
      <c r="D2123" t="s">
        <v>394</v>
      </c>
      <c r="E2123" s="36">
        <v>17500</v>
      </c>
      <c r="F2123" s="36">
        <v>20000</v>
      </c>
      <c r="G2123" s="36">
        <v>10450</v>
      </c>
      <c r="H2123" s="36">
        <v>12000</v>
      </c>
      <c r="I2123" s="37">
        <v>0</v>
      </c>
      <c r="J2123" s="37">
        <v>0</v>
      </c>
    </row>
    <row r="2124" spans="1:10" x14ac:dyDescent="0.25">
      <c r="A2124" t="s">
        <v>4696</v>
      </c>
      <c r="B2124" t="s">
        <v>4697</v>
      </c>
      <c r="C2124" t="s">
        <v>101</v>
      </c>
      <c r="D2124" t="s">
        <v>394</v>
      </c>
      <c r="E2124" s="36">
        <v>20000</v>
      </c>
      <c r="F2124" s="36">
        <v>23000</v>
      </c>
      <c r="G2124" s="36">
        <v>12000</v>
      </c>
      <c r="H2124" s="36">
        <v>13800</v>
      </c>
      <c r="I2124" s="37">
        <v>0</v>
      </c>
      <c r="J2124" s="37">
        <v>0</v>
      </c>
    </row>
    <row r="2125" spans="1:10" x14ac:dyDescent="0.25">
      <c r="A2125" t="s">
        <v>4698</v>
      </c>
      <c r="B2125" t="s">
        <v>4699</v>
      </c>
      <c r="C2125" t="s">
        <v>101</v>
      </c>
      <c r="D2125" t="s">
        <v>394</v>
      </c>
      <c r="E2125" s="36">
        <v>23000</v>
      </c>
      <c r="F2125" s="36">
        <v>26500</v>
      </c>
      <c r="G2125" s="36">
        <v>13800</v>
      </c>
      <c r="H2125" s="36">
        <v>15850</v>
      </c>
      <c r="I2125" s="37">
        <v>0</v>
      </c>
      <c r="J2125" s="37">
        <v>0</v>
      </c>
    </row>
    <row r="2126" spans="1:10" x14ac:dyDescent="0.25">
      <c r="A2126" t="s">
        <v>4700</v>
      </c>
      <c r="B2126" t="s">
        <v>4701</v>
      </c>
      <c r="C2126" t="s">
        <v>101</v>
      </c>
      <c r="D2126" t="s">
        <v>394</v>
      </c>
      <c r="E2126" s="36">
        <v>3500</v>
      </c>
      <c r="F2126" s="36">
        <v>4500</v>
      </c>
      <c r="G2126" s="36">
        <v>1800</v>
      </c>
      <c r="H2126" s="36">
        <v>2150</v>
      </c>
      <c r="I2126" s="37">
        <v>0</v>
      </c>
      <c r="J2126" s="37">
        <v>0</v>
      </c>
    </row>
    <row r="2127" spans="1:10" x14ac:dyDescent="0.25">
      <c r="A2127" t="s">
        <v>4702</v>
      </c>
      <c r="B2127" t="s">
        <v>4703</v>
      </c>
      <c r="C2127" t="s">
        <v>101</v>
      </c>
      <c r="D2127" t="s">
        <v>394</v>
      </c>
      <c r="E2127" s="36">
        <v>4500</v>
      </c>
      <c r="F2127" s="36">
        <v>5200</v>
      </c>
      <c r="G2127" s="36">
        <v>2500</v>
      </c>
      <c r="H2127" s="36">
        <v>2900</v>
      </c>
      <c r="I2127" s="37">
        <v>0</v>
      </c>
      <c r="J2127" s="37">
        <v>0</v>
      </c>
    </row>
    <row r="2128" spans="1:10" x14ac:dyDescent="0.25">
      <c r="A2128" t="s">
        <v>4704</v>
      </c>
      <c r="B2128" t="s">
        <v>4705</v>
      </c>
      <c r="C2128" t="s">
        <v>101</v>
      </c>
      <c r="D2128" t="s">
        <v>394</v>
      </c>
      <c r="E2128" s="36">
        <v>3000</v>
      </c>
      <c r="F2128" s="36">
        <v>3500</v>
      </c>
      <c r="G2128" s="36">
        <v>1700</v>
      </c>
      <c r="H2128" s="36">
        <v>1900</v>
      </c>
      <c r="I2128" s="37">
        <v>0</v>
      </c>
      <c r="J2128" s="37">
        <v>0</v>
      </c>
    </row>
    <row r="2129" spans="1:10" x14ac:dyDescent="0.25">
      <c r="A2129" t="s">
        <v>4706</v>
      </c>
      <c r="B2129" t="s">
        <v>4707</v>
      </c>
      <c r="C2129" t="s">
        <v>101</v>
      </c>
      <c r="D2129" t="s">
        <v>394</v>
      </c>
      <c r="E2129" s="36">
        <v>8000</v>
      </c>
      <c r="F2129" s="36">
        <v>10000</v>
      </c>
      <c r="G2129" s="36">
        <v>4800</v>
      </c>
      <c r="H2129" s="36">
        <v>5750</v>
      </c>
      <c r="I2129" s="37">
        <v>0</v>
      </c>
      <c r="J2129" s="37">
        <v>0</v>
      </c>
    </row>
    <row r="2130" spans="1:10" x14ac:dyDescent="0.25">
      <c r="A2130" t="s">
        <v>4708</v>
      </c>
      <c r="B2130" t="s">
        <v>4709</v>
      </c>
      <c r="C2130" t="s">
        <v>101</v>
      </c>
      <c r="D2130" t="s">
        <v>394</v>
      </c>
      <c r="E2130" s="36">
        <v>5500</v>
      </c>
      <c r="F2130" s="36">
        <v>6500</v>
      </c>
      <c r="G2130" s="36">
        <v>3350</v>
      </c>
      <c r="H2130" s="36">
        <v>3850</v>
      </c>
      <c r="I2130" s="37">
        <v>0</v>
      </c>
      <c r="J2130" s="37">
        <v>0</v>
      </c>
    </row>
    <row r="2131" spans="1:10" x14ac:dyDescent="0.25">
      <c r="A2131" t="s">
        <v>4710</v>
      </c>
      <c r="B2131" t="s">
        <v>4711</v>
      </c>
      <c r="C2131" t="s">
        <v>101</v>
      </c>
      <c r="D2131" t="s">
        <v>394</v>
      </c>
      <c r="E2131" s="36">
        <v>8000</v>
      </c>
      <c r="F2131" s="36">
        <v>9500</v>
      </c>
      <c r="G2131" s="36">
        <v>4800</v>
      </c>
      <c r="H2131" s="36">
        <v>5500</v>
      </c>
      <c r="I2131" s="37">
        <v>0</v>
      </c>
      <c r="J2131" s="37">
        <v>0</v>
      </c>
    </row>
    <row r="2132" spans="1:10" x14ac:dyDescent="0.25">
      <c r="A2132" t="s">
        <v>4712</v>
      </c>
      <c r="B2132" t="s">
        <v>4713</v>
      </c>
      <c r="C2132" t="s">
        <v>101</v>
      </c>
      <c r="D2132" t="s">
        <v>394</v>
      </c>
      <c r="E2132" s="36">
        <v>22000</v>
      </c>
      <c r="F2132" s="36">
        <v>27000</v>
      </c>
      <c r="G2132" s="36">
        <v>13200</v>
      </c>
      <c r="H2132" s="36">
        <v>15600</v>
      </c>
      <c r="I2132" s="37">
        <v>0</v>
      </c>
      <c r="J2132" s="37">
        <v>0</v>
      </c>
    </row>
    <row r="2133" spans="1:10" x14ac:dyDescent="0.25">
      <c r="A2133" t="s">
        <v>4714</v>
      </c>
      <c r="B2133" t="s">
        <v>4715</v>
      </c>
      <c r="C2133" t="s">
        <v>101</v>
      </c>
      <c r="D2133" t="s">
        <v>394</v>
      </c>
      <c r="E2133" s="36">
        <v>3000</v>
      </c>
      <c r="F2133" s="36">
        <v>3500</v>
      </c>
      <c r="G2133" s="36">
        <v>1700</v>
      </c>
      <c r="H2133" s="36">
        <v>1900</v>
      </c>
      <c r="I2133" s="37">
        <v>0</v>
      </c>
      <c r="J2133" s="37">
        <v>0</v>
      </c>
    </row>
    <row r="2134" spans="1:10" x14ac:dyDescent="0.25">
      <c r="A2134" t="s">
        <v>4716</v>
      </c>
      <c r="B2134" t="s">
        <v>4717</v>
      </c>
      <c r="C2134" t="s">
        <v>101</v>
      </c>
      <c r="D2134" t="s">
        <v>394</v>
      </c>
      <c r="E2134" s="36">
        <v>3000</v>
      </c>
      <c r="F2134" s="36">
        <v>3500</v>
      </c>
      <c r="G2134" s="36">
        <v>1700</v>
      </c>
      <c r="H2134" s="36">
        <v>1900</v>
      </c>
      <c r="I2134" s="37">
        <v>0</v>
      </c>
      <c r="J2134" s="37">
        <v>0</v>
      </c>
    </row>
    <row r="2135" spans="1:10" x14ac:dyDescent="0.25">
      <c r="A2135" t="s">
        <v>4718</v>
      </c>
      <c r="B2135" t="s">
        <v>4719</v>
      </c>
      <c r="C2135" t="s">
        <v>101</v>
      </c>
      <c r="D2135" t="s">
        <v>394</v>
      </c>
      <c r="E2135" s="36">
        <v>4000</v>
      </c>
      <c r="F2135" s="36">
        <v>4600</v>
      </c>
      <c r="G2135" s="36">
        <v>2400</v>
      </c>
      <c r="H2135" s="36">
        <v>2750</v>
      </c>
      <c r="I2135" s="37">
        <v>0</v>
      </c>
      <c r="J2135" s="37">
        <v>0</v>
      </c>
    </row>
    <row r="2136" spans="1:10" x14ac:dyDescent="0.25">
      <c r="A2136" t="s">
        <v>4720</v>
      </c>
      <c r="B2136" t="s">
        <v>4721</v>
      </c>
      <c r="C2136" t="s">
        <v>101</v>
      </c>
      <c r="D2136" t="s">
        <v>394</v>
      </c>
      <c r="E2136" s="36">
        <v>4500</v>
      </c>
      <c r="F2136" s="36">
        <v>5400</v>
      </c>
      <c r="G2136" s="36">
        <v>2500</v>
      </c>
      <c r="H2136" s="36">
        <v>3000</v>
      </c>
      <c r="I2136" s="37">
        <v>0</v>
      </c>
      <c r="J2136" s="37">
        <v>0</v>
      </c>
    </row>
    <row r="2137" spans="1:10" x14ac:dyDescent="0.25">
      <c r="A2137" t="s">
        <v>4722</v>
      </c>
      <c r="B2137" t="s">
        <v>4723</v>
      </c>
      <c r="C2137" t="s">
        <v>101</v>
      </c>
      <c r="D2137" t="s">
        <v>394</v>
      </c>
      <c r="E2137" s="36">
        <v>5500</v>
      </c>
      <c r="F2137" s="36">
        <v>6500</v>
      </c>
      <c r="G2137" s="36">
        <v>3350</v>
      </c>
      <c r="H2137" s="36">
        <v>3850</v>
      </c>
      <c r="I2137" s="37">
        <v>0</v>
      </c>
      <c r="J2137" s="37">
        <v>0</v>
      </c>
    </row>
    <row r="2138" spans="1:10" x14ac:dyDescent="0.25">
      <c r="A2138" t="s">
        <v>4724</v>
      </c>
      <c r="B2138" t="s">
        <v>4725</v>
      </c>
      <c r="C2138" t="s">
        <v>101</v>
      </c>
      <c r="D2138" t="s">
        <v>394</v>
      </c>
      <c r="E2138" s="36">
        <v>1200</v>
      </c>
      <c r="F2138" s="36">
        <v>1400</v>
      </c>
      <c r="G2138" s="36">
        <v>670</v>
      </c>
      <c r="H2138" s="36">
        <v>780</v>
      </c>
      <c r="I2138" s="37">
        <v>0</v>
      </c>
      <c r="J2138" s="37">
        <v>0</v>
      </c>
    </row>
    <row r="2139" spans="1:10" x14ac:dyDescent="0.25">
      <c r="A2139" t="s">
        <v>4726</v>
      </c>
      <c r="B2139" t="s">
        <v>4727</v>
      </c>
      <c r="C2139" t="s">
        <v>101</v>
      </c>
      <c r="D2139" t="s">
        <v>394</v>
      </c>
      <c r="E2139" s="36">
        <v>11000</v>
      </c>
      <c r="F2139" s="36">
        <v>12500</v>
      </c>
      <c r="G2139" s="36">
        <v>6600</v>
      </c>
      <c r="H2139" s="36">
        <v>7550</v>
      </c>
      <c r="I2139" s="37">
        <v>0</v>
      </c>
      <c r="J2139" s="37">
        <v>0</v>
      </c>
    </row>
    <row r="2140" spans="1:10" x14ac:dyDescent="0.25">
      <c r="A2140" t="s">
        <v>4728</v>
      </c>
      <c r="B2140" t="s">
        <v>4729</v>
      </c>
      <c r="C2140" t="s">
        <v>101</v>
      </c>
      <c r="D2140" t="s">
        <v>394</v>
      </c>
      <c r="E2140" s="36">
        <v>3000</v>
      </c>
      <c r="F2140" s="36">
        <v>3500</v>
      </c>
      <c r="G2140" s="36">
        <v>1700</v>
      </c>
      <c r="H2140" s="36">
        <v>1900</v>
      </c>
      <c r="I2140" s="37">
        <v>0</v>
      </c>
      <c r="J2140" s="37">
        <v>0</v>
      </c>
    </row>
    <row r="2141" spans="1:10" x14ac:dyDescent="0.25">
      <c r="A2141" t="s">
        <v>4730</v>
      </c>
      <c r="B2141" t="s">
        <v>4731</v>
      </c>
      <c r="C2141" t="s">
        <v>101</v>
      </c>
      <c r="D2141" t="s">
        <v>394</v>
      </c>
      <c r="E2141" s="36">
        <v>3000</v>
      </c>
      <c r="F2141" s="36">
        <v>3500</v>
      </c>
      <c r="G2141" s="36">
        <v>1700</v>
      </c>
      <c r="H2141" s="36">
        <v>1900</v>
      </c>
      <c r="I2141" s="37">
        <v>0</v>
      </c>
      <c r="J2141" s="37">
        <v>0</v>
      </c>
    </row>
    <row r="2142" spans="1:10" x14ac:dyDescent="0.25">
      <c r="A2142" t="s">
        <v>4732</v>
      </c>
      <c r="B2142" t="s">
        <v>4733</v>
      </c>
      <c r="C2142" t="s">
        <v>101</v>
      </c>
      <c r="D2142" t="s">
        <v>394</v>
      </c>
      <c r="E2142" s="36">
        <v>40000</v>
      </c>
      <c r="F2142" s="36">
        <v>46000</v>
      </c>
      <c r="G2142" s="36">
        <v>24000</v>
      </c>
      <c r="H2142" s="36">
        <v>27600</v>
      </c>
      <c r="I2142" s="37">
        <v>0</v>
      </c>
      <c r="J2142" s="37">
        <v>0</v>
      </c>
    </row>
    <row r="2143" spans="1:10" x14ac:dyDescent="0.25">
      <c r="A2143" t="s">
        <v>4734</v>
      </c>
      <c r="B2143" t="s">
        <v>4735</v>
      </c>
      <c r="C2143" t="s">
        <v>101</v>
      </c>
      <c r="D2143" t="s">
        <v>394</v>
      </c>
      <c r="E2143" s="36">
        <v>8500</v>
      </c>
      <c r="F2143" s="36">
        <v>9800</v>
      </c>
      <c r="G2143" s="36">
        <v>5050</v>
      </c>
      <c r="H2143" s="36">
        <v>5750</v>
      </c>
      <c r="I2143" s="37">
        <v>0</v>
      </c>
      <c r="J2143" s="37">
        <v>0</v>
      </c>
    </row>
    <row r="2144" spans="1:10" x14ac:dyDescent="0.25">
      <c r="A2144" t="s">
        <v>4736</v>
      </c>
      <c r="B2144" t="s">
        <v>4737</v>
      </c>
      <c r="C2144" t="s">
        <v>101</v>
      </c>
      <c r="D2144" t="s">
        <v>394</v>
      </c>
      <c r="E2144" s="36">
        <v>8500</v>
      </c>
      <c r="F2144" s="36">
        <v>10500</v>
      </c>
      <c r="G2144" s="36">
        <v>4200</v>
      </c>
      <c r="H2144" s="36">
        <v>5050</v>
      </c>
      <c r="I2144" s="37">
        <v>0</v>
      </c>
      <c r="J2144" s="37">
        <v>0</v>
      </c>
    </row>
    <row r="2145" spans="1:10" x14ac:dyDescent="0.25">
      <c r="A2145" t="s">
        <v>4738</v>
      </c>
      <c r="B2145" t="s">
        <v>4739</v>
      </c>
      <c r="C2145" t="s">
        <v>101</v>
      </c>
      <c r="D2145" t="s">
        <v>394</v>
      </c>
      <c r="E2145" s="36">
        <v>4000</v>
      </c>
      <c r="F2145" s="36">
        <v>4600</v>
      </c>
      <c r="G2145" s="36">
        <v>2400</v>
      </c>
      <c r="H2145" s="36">
        <v>2750</v>
      </c>
      <c r="I2145" s="37">
        <v>0</v>
      </c>
      <c r="J2145" s="37">
        <v>0</v>
      </c>
    </row>
    <row r="2146" spans="1:10" x14ac:dyDescent="0.25">
      <c r="A2146" t="s">
        <v>4740</v>
      </c>
      <c r="B2146" t="s">
        <v>4741</v>
      </c>
      <c r="C2146" t="s">
        <v>101</v>
      </c>
      <c r="D2146" t="s">
        <v>394</v>
      </c>
      <c r="E2146" s="36">
        <v>3000</v>
      </c>
      <c r="F2146" s="36">
        <v>3500</v>
      </c>
      <c r="G2146" s="36">
        <v>1700</v>
      </c>
      <c r="H2146" s="36">
        <v>1900</v>
      </c>
      <c r="I2146" s="37">
        <v>0</v>
      </c>
      <c r="J2146" s="37">
        <v>0</v>
      </c>
    </row>
    <row r="2147" spans="1:10" x14ac:dyDescent="0.25">
      <c r="A2147" t="s">
        <v>4742</v>
      </c>
      <c r="B2147" t="s">
        <v>4743</v>
      </c>
      <c r="C2147" t="s">
        <v>101</v>
      </c>
      <c r="D2147" t="s">
        <v>394</v>
      </c>
      <c r="E2147" s="36">
        <v>300</v>
      </c>
      <c r="F2147" s="36">
        <v>350</v>
      </c>
      <c r="G2147" s="36">
        <v>180</v>
      </c>
      <c r="H2147" s="36">
        <v>200</v>
      </c>
      <c r="I2147" s="37">
        <v>0</v>
      </c>
      <c r="J2147" s="37">
        <v>0</v>
      </c>
    </row>
    <row r="2148" spans="1:10" x14ac:dyDescent="0.25">
      <c r="A2148" t="s">
        <v>4744</v>
      </c>
      <c r="B2148" t="s">
        <v>4745</v>
      </c>
      <c r="C2148" t="s">
        <v>101</v>
      </c>
      <c r="D2148" t="s">
        <v>394</v>
      </c>
      <c r="E2148" s="36">
        <v>8500</v>
      </c>
      <c r="F2148" s="36">
        <v>10000</v>
      </c>
      <c r="G2148" s="36">
        <v>5050</v>
      </c>
      <c r="H2148" s="36">
        <v>5750</v>
      </c>
      <c r="I2148" s="37">
        <v>0</v>
      </c>
      <c r="J2148" s="37">
        <v>0</v>
      </c>
    </row>
    <row r="2149" spans="1:10" x14ac:dyDescent="0.25">
      <c r="A2149" t="s">
        <v>4746</v>
      </c>
      <c r="B2149" t="s">
        <v>4747</v>
      </c>
      <c r="C2149" t="s">
        <v>101</v>
      </c>
      <c r="D2149" t="s">
        <v>394</v>
      </c>
      <c r="E2149" s="36">
        <v>1500</v>
      </c>
      <c r="F2149" s="36">
        <v>1750</v>
      </c>
      <c r="G2149" s="36">
        <v>840</v>
      </c>
      <c r="H2149" s="36">
        <v>960</v>
      </c>
      <c r="I2149" s="37">
        <v>0</v>
      </c>
      <c r="J2149" s="37">
        <v>0</v>
      </c>
    </row>
    <row r="2150" spans="1:10" x14ac:dyDescent="0.25">
      <c r="A2150" t="s">
        <v>4748</v>
      </c>
      <c r="B2150" t="s">
        <v>4749</v>
      </c>
      <c r="C2150" t="s">
        <v>101</v>
      </c>
      <c r="D2150" t="s">
        <v>394</v>
      </c>
      <c r="E2150" s="36">
        <v>16000</v>
      </c>
      <c r="F2150" s="36">
        <v>21000</v>
      </c>
      <c r="G2150" s="36">
        <v>8400</v>
      </c>
      <c r="H2150" s="36">
        <v>10200</v>
      </c>
      <c r="I2150" s="37">
        <v>0</v>
      </c>
      <c r="J2150" s="37">
        <v>0</v>
      </c>
    </row>
    <row r="2151" spans="1:10" x14ac:dyDescent="0.25">
      <c r="A2151" t="s">
        <v>4750</v>
      </c>
      <c r="B2151" t="s">
        <v>4751</v>
      </c>
      <c r="C2151" t="s">
        <v>101</v>
      </c>
      <c r="D2151" t="s">
        <v>394</v>
      </c>
      <c r="E2151" s="36">
        <v>22000</v>
      </c>
      <c r="F2151" s="36">
        <v>26000</v>
      </c>
      <c r="G2151" s="36">
        <v>12000</v>
      </c>
      <c r="H2151" s="36">
        <v>14400</v>
      </c>
      <c r="I2151" s="37">
        <v>0</v>
      </c>
      <c r="J2151" s="37">
        <v>0</v>
      </c>
    </row>
    <row r="2152" spans="1:10" x14ac:dyDescent="0.25">
      <c r="A2152" t="s">
        <v>4752</v>
      </c>
      <c r="B2152" t="s">
        <v>4753</v>
      </c>
      <c r="C2152" t="s">
        <v>101</v>
      </c>
      <c r="D2152" t="s">
        <v>394</v>
      </c>
      <c r="E2152" s="36">
        <v>8500</v>
      </c>
      <c r="F2152" s="36">
        <v>10000</v>
      </c>
      <c r="G2152" s="36">
        <v>5050</v>
      </c>
      <c r="H2152" s="36">
        <v>5750</v>
      </c>
      <c r="I2152" s="37">
        <v>0</v>
      </c>
      <c r="J2152" s="37">
        <v>0</v>
      </c>
    </row>
    <row r="2153" spans="1:10" x14ac:dyDescent="0.25">
      <c r="A2153" t="s">
        <v>4754</v>
      </c>
      <c r="B2153" t="s">
        <v>4755</v>
      </c>
      <c r="C2153" t="s">
        <v>101</v>
      </c>
      <c r="D2153" t="s">
        <v>394</v>
      </c>
      <c r="E2153" s="36">
        <v>3500</v>
      </c>
      <c r="F2153" s="36">
        <v>4200</v>
      </c>
      <c r="G2153" s="36">
        <v>1800</v>
      </c>
      <c r="H2153" s="36">
        <v>2150</v>
      </c>
      <c r="I2153" s="37">
        <v>0</v>
      </c>
      <c r="J2153" s="37">
        <v>0</v>
      </c>
    </row>
    <row r="2154" spans="1:10" x14ac:dyDescent="0.25">
      <c r="A2154" t="s">
        <v>4756</v>
      </c>
      <c r="B2154" t="s">
        <v>4757</v>
      </c>
      <c r="C2154" t="s">
        <v>101</v>
      </c>
      <c r="D2154" t="s">
        <v>394</v>
      </c>
      <c r="E2154" s="36">
        <v>2500</v>
      </c>
      <c r="F2154" s="36">
        <v>2900</v>
      </c>
      <c r="G2154" s="36">
        <v>1300</v>
      </c>
      <c r="H2154" s="36">
        <v>1550</v>
      </c>
      <c r="I2154" s="37">
        <v>0</v>
      </c>
      <c r="J2154" s="37">
        <v>0</v>
      </c>
    </row>
    <row r="2155" spans="1:10" x14ac:dyDescent="0.25">
      <c r="A2155" t="s">
        <v>4758</v>
      </c>
      <c r="B2155" t="s">
        <v>4759</v>
      </c>
      <c r="C2155" t="s">
        <v>101</v>
      </c>
      <c r="D2155" t="s">
        <v>394</v>
      </c>
      <c r="E2155" s="36">
        <v>1500</v>
      </c>
      <c r="F2155" s="36">
        <v>1750</v>
      </c>
      <c r="G2155" s="36">
        <v>840</v>
      </c>
      <c r="H2155" s="36">
        <v>960</v>
      </c>
      <c r="I2155" s="37">
        <v>0</v>
      </c>
      <c r="J2155" s="37">
        <v>0</v>
      </c>
    </row>
    <row r="2156" spans="1:10" x14ac:dyDescent="0.25">
      <c r="A2156" t="s">
        <v>4760</v>
      </c>
      <c r="B2156" t="s">
        <v>4761</v>
      </c>
      <c r="C2156" t="s">
        <v>101</v>
      </c>
      <c r="D2156" t="s">
        <v>394</v>
      </c>
      <c r="E2156" s="36">
        <v>2200</v>
      </c>
      <c r="F2156" s="36">
        <v>2600</v>
      </c>
      <c r="G2156" s="36">
        <v>1250</v>
      </c>
      <c r="H2156" s="36">
        <v>1450</v>
      </c>
      <c r="I2156" s="37">
        <v>0</v>
      </c>
      <c r="J2156" s="37">
        <v>0</v>
      </c>
    </row>
    <row r="2157" spans="1:10" x14ac:dyDescent="0.25">
      <c r="A2157" t="s">
        <v>4762</v>
      </c>
      <c r="B2157" t="s">
        <v>4763</v>
      </c>
      <c r="C2157" t="s">
        <v>101</v>
      </c>
      <c r="D2157" t="s">
        <v>394</v>
      </c>
      <c r="E2157" s="36">
        <v>16000</v>
      </c>
      <c r="F2157" s="36">
        <v>19000</v>
      </c>
      <c r="G2157" s="36">
        <v>9600</v>
      </c>
      <c r="H2157" s="36">
        <v>11050</v>
      </c>
      <c r="I2157" s="37">
        <v>0</v>
      </c>
      <c r="J2157" s="37">
        <v>0</v>
      </c>
    </row>
    <row r="2158" spans="1:10" x14ac:dyDescent="0.25">
      <c r="A2158" t="s">
        <v>4764</v>
      </c>
      <c r="B2158" t="s">
        <v>4765</v>
      </c>
      <c r="C2158" t="s">
        <v>101</v>
      </c>
      <c r="D2158" t="s">
        <v>394</v>
      </c>
      <c r="E2158" s="36">
        <v>14000</v>
      </c>
      <c r="F2158" s="36">
        <v>16000</v>
      </c>
      <c r="G2158" s="36">
        <v>8400</v>
      </c>
      <c r="H2158" s="36">
        <v>9600</v>
      </c>
      <c r="I2158" s="37">
        <v>0</v>
      </c>
      <c r="J2158" s="37">
        <v>0</v>
      </c>
    </row>
    <row r="2159" spans="1:10" x14ac:dyDescent="0.25">
      <c r="A2159" t="s">
        <v>4766</v>
      </c>
      <c r="B2159" t="s">
        <v>4767</v>
      </c>
      <c r="C2159" t="s">
        <v>101</v>
      </c>
      <c r="D2159" t="s">
        <v>394</v>
      </c>
      <c r="E2159" s="36">
        <v>7000</v>
      </c>
      <c r="F2159" s="36">
        <v>8500</v>
      </c>
      <c r="G2159" s="36">
        <v>4200</v>
      </c>
      <c r="H2159" s="36">
        <v>4800</v>
      </c>
      <c r="I2159" s="37">
        <v>0</v>
      </c>
      <c r="J2159" s="37">
        <v>0</v>
      </c>
    </row>
    <row r="2160" spans="1:10" x14ac:dyDescent="0.25">
      <c r="A2160" t="s">
        <v>4768</v>
      </c>
      <c r="B2160" t="s">
        <v>4769</v>
      </c>
      <c r="C2160" t="s">
        <v>101</v>
      </c>
      <c r="D2160" t="s">
        <v>394</v>
      </c>
      <c r="E2160" s="36">
        <v>1000</v>
      </c>
      <c r="F2160" s="36">
        <v>1150</v>
      </c>
      <c r="G2160" s="36">
        <v>540</v>
      </c>
      <c r="H2160" s="36">
        <v>600</v>
      </c>
      <c r="I2160" s="37">
        <v>0</v>
      </c>
      <c r="J2160" s="37">
        <v>0</v>
      </c>
    </row>
    <row r="2161" spans="1:10" x14ac:dyDescent="0.25">
      <c r="A2161" t="s">
        <v>4770</v>
      </c>
      <c r="B2161" t="s">
        <v>4771</v>
      </c>
      <c r="C2161" t="s">
        <v>101</v>
      </c>
      <c r="D2161" t="s">
        <v>394</v>
      </c>
      <c r="E2161" s="36">
        <v>1200</v>
      </c>
      <c r="F2161" s="36">
        <v>1400</v>
      </c>
      <c r="G2161" s="36">
        <v>670</v>
      </c>
      <c r="H2161" s="36">
        <v>780</v>
      </c>
      <c r="I2161" s="37">
        <v>0</v>
      </c>
      <c r="J2161" s="37">
        <v>0</v>
      </c>
    </row>
    <row r="2162" spans="1:10" x14ac:dyDescent="0.25">
      <c r="A2162" t="s">
        <v>4772</v>
      </c>
      <c r="B2162" t="s">
        <v>4773</v>
      </c>
      <c r="C2162" t="s">
        <v>101</v>
      </c>
      <c r="D2162" t="s">
        <v>394</v>
      </c>
      <c r="E2162" s="36">
        <v>12000</v>
      </c>
      <c r="F2162" s="36">
        <v>15000</v>
      </c>
      <c r="G2162" s="36">
        <v>6600</v>
      </c>
      <c r="H2162" s="36">
        <v>7800</v>
      </c>
      <c r="I2162" s="37">
        <v>0</v>
      </c>
      <c r="J2162" s="37">
        <v>0</v>
      </c>
    </row>
    <row r="2163" spans="1:10" x14ac:dyDescent="0.25">
      <c r="A2163" t="s">
        <v>4774</v>
      </c>
      <c r="B2163" t="s">
        <v>4775</v>
      </c>
      <c r="C2163" t="s">
        <v>101</v>
      </c>
      <c r="D2163" t="s">
        <v>394</v>
      </c>
      <c r="E2163" s="36">
        <v>10000</v>
      </c>
      <c r="F2163" s="36">
        <v>12000</v>
      </c>
      <c r="G2163" s="36">
        <v>6000</v>
      </c>
      <c r="H2163" s="36">
        <v>6950</v>
      </c>
      <c r="I2163" s="37">
        <v>0</v>
      </c>
      <c r="J2163" s="37">
        <v>0</v>
      </c>
    </row>
    <row r="2164" spans="1:10" x14ac:dyDescent="0.25">
      <c r="A2164" t="s">
        <v>4776</v>
      </c>
      <c r="B2164" t="s">
        <v>4777</v>
      </c>
      <c r="C2164" t="s">
        <v>101</v>
      </c>
      <c r="D2164" t="s">
        <v>363</v>
      </c>
      <c r="E2164" s="36">
        <v>3000</v>
      </c>
      <c r="F2164" s="36">
        <v>3500</v>
      </c>
      <c r="G2164" s="36">
        <v>1700</v>
      </c>
      <c r="H2164" s="36">
        <v>1900</v>
      </c>
      <c r="I2164" s="37">
        <v>0</v>
      </c>
      <c r="J2164" s="37">
        <v>0</v>
      </c>
    </row>
    <row r="2165" spans="1:10" x14ac:dyDescent="0.25">
      <c r="A2165" t="s">
        <v>4778</v>
      </c>
      <c r="B2165" t="s">
        <v>4779</v>
      </c>
      <c r="C2165" t="s">
        <v>101</v>
      </c>
      <c r="D2165" t="s">
        <v>394</v>
      </c>
      <c r="E2165" s="36">
        <v>1500</v>
      </c>
      <c r="F2165" s="36">
        <v>1750</v>
      </c>
      <c r="G2165" s="36">
        <v>840</v>
      </c>
      <c r="H2165" s="36">
        <v>960</v>
      </c>
      <c r="I2165" s="37">
        <v>0</v>
      </c>
      <c r="J2165" s="37">
        <v>0</v>
      </c>
    </row>
    <row r="2166" spans="1:10" x14ac:dyDescent="0.25">
      <c r="A2166" t="s">
        <v>4780</v>
      </c>
      <c r="B2166" t="s">
        <v>4781</v>
      </c>
      <c r="C2166" t="s">
        <v>101</v>
      </c>
      <c r="D2166" t="s">
        <v>394</v>
      </c>
      <c r="E2166" s="36">
        <v>2200</v>
      </c>
      <c r="F2166" s="36">
        <v>2600</v>
      </c>
      <c r="G2166" s="36">
        <v>1250</v>
      </c>
      <c r="H2166" s="36">
        <v>1450</v>
      </c>
      <c r="I2166" s="37">
        <v>0</v>
      </c>
      <c r="J2166" s="37">
        <v>0</v>
      </c>
    </row>
    <row r="2167" spans="1:10" x14ac:dyDescent="0.25">
      <c r="A2167" t="s">
        <v>4782</v>
      </c>
      <c r="B2167" t="s">
        <v>4783</v>
      </c>
      <c r="C2167" t="s">
        <v>101</v>
      </c>
      <c r="D2167" t="s">
        <v>394</v>
      </c>
      <c r="E2167" s="36">
        <v>3000</v>
      </c>
      <c r="F2167" s="36">
        <v>3500</v>
      </c>
      <c r="G2167" s="36">
        <v>1700</v>
      </c>
      <c r="H2167" s="36">
        <v>1900</v>
      </c>
      <c r="I2167" s="37">
        <v>0</v>
      </c>
      <c r="J2167" s="37">
        <v>0</v>
      </c>
    </row>
    <row r="2168" spans="1:10" x14ac:dyDescent="0.25">
      <c r="A2168" t="s">
        <v>4784</v>
      </c>
      <c r="B2168" t="s">
        <v>4785</v>
      </c>
      <c r="C2168" t="s">
        <v>101</v>
      </c>
      <c r="D2168" t="s">
        <v>363</v>
      </c>
      <c r="E2168" s="36">
        <v>9000</v>
      </c>
      <c r="F2168" s="36">
        <v>10500</v>
      </c>
      <c r="G2168" s="36">
        <v>5050</v>
      </c>
      <c r="H2168" s="36">
        <v>5900</v>
      </c>
      <c r="I2168" s="37">
        <v>0</v>
      </c>
      <c r="J2168" s="37">
        <v>0</v>
      </c>
    </row>
    <row r="2169" spans="1:10" x14ac:dyDescent="0.25">
      <c r="A2169" t="s">
        <v>4786</v>
      </c>
      <c r="B2169" t="s">
        <v>4787</v>
      </c>
      <c r="C2169" t="s">
        <v>101</v>
      </c>
      <c r="D2169" t="s">
        <v>363</v>
      </c>
      <c r="E2169" s="36">
        <v>11500</v>
      </c>
      <c r="F2169" s="36">
        <v>13500</v>
      </c>
      <c r="G2169" s="36">
        <v>6600</v>
      </c>
      <c r="H2169" s="36">
        <v>7550</v>
      </c>
      <c r="I2169" s="37">
        <v>0</v>
      </c>
      <c r="J2169" s="37">
        <v>0</v>
      </c>
    </row>
    <row r="2170" spans="1:10" x14ac:dyDescent="0.25">
      <c r="A2170" t="s">
        <v>4788</v>
      </c>
      <c r="B2170" t="s">
        <v>4789</v>
      </c>
      <c r="C2170" t="s">
        <v>101</v>
      </c>
      <c r="D2170" t="s">
        <v>394</v>
      </c>
      <c r="E2170" s="36">
        <v>3500</v>
      </c>
      <c r="F2170" s="36">
        <v>4000</v>
      </c>
      <c r="G2170" s="36">
        <v>1800</v>
      </c>
      <c r="H2170" s="36">
        <v>2050</v>
      </c>
      <c r="I2170" s="37">
        <v>0</v>
      </c>
      <c r="J2170" s="37">
        <v>0</v>
      </c>
    </row>
    <row r="2171" spans="1:10" x14ac:dyDescent="0.25">
      <c r="A2171" t="s">
        <v>4790</v>
      </c>
      <c r="B2171" t="s">
        <v>4791</v>
      </c>
      <c r="C2171" t="s">
        <v>101</v>
      </c>
      <c r="D2171" t="s">
        <v>394</v>
      </c>
      <c r="E2171" s="36">
        <v>11000</v>
      </c>
      <c r="F2171" s="36">
        <v>13000</v>
      </c>
      <c r="G2171" s="36">
        <v>6600</v>
      </c>
      <c r="H2171" s="36">
        <v>7550</v>
      </c>
      <c r="I2171" s="37">
        <v>0</v>
      </c>
      <c r="J2171" s="37">
        <v>0</v>
      </c>
    </row>
    <row r="2172" spans="1:10" x14ac:dyDescent="0.25">
      <c r="A2172" t="s">
        <v>4792</v>
      </c>
      <c r="B2172" t="s">
        <v>4793</v>
      </c>
      <c r="C2172" t="s">
        <v>101</v>
      </c>
      <c r="D2172" t="s">
        <v>394</v>
      </c>
      <c r="E2172" s="36">
        <v>22000</v>
      </c>
      <c r="F2172" s="36">
        <v>26500</v>
      </c>
      <c r="G2172" s="36">
        <v>13200</v>
      </c>
      <c r="H2172" s="36">
        <v>15600</v>
      </c>
      <c r="I2172" s="37">
        <v>0</v>
      </c>
      <c r="J2172" s="37">
        <v>0</v>
      </c>
    </row>
    <row r="2173" spans="1:10" x14ac:dyDescent="0.25">
      <c r="A2173" t="s">
        <v>4794</v>
      </c>
      <c r="B2173" t="s">
        <v>4795</v>
      </c>
      <c r="C2173" t="s">
        <v>101</v>
      </c>
      <c r="D2173" t="s">
        <v>394</v>
      </c>
      <c r="E2173" s="36">
        <v>42000</v>
      </c>
      <c r="F2173" s="36">
        <v>48000</v>
      </c>
      <c r="G2173" s="36">
        <v>31500</v>
      </c>
      <c r="H2173" s="36">
        <v>36000</v>
      </c>
      <c r="I2173" s="37">
        <v>0</v>
      </c>
      <c r="J2173" s="37">
        <v>0</v>
      </c>
    </row>
    <row r="2174" spans="1:10" x14ac:dyDescent="0.25">
      <c r="A2174" t="s">
        <v>4796</v>
      </c>
      <c r="B2174" t="s">
        <v>4797</v>
      </c>
      <c r="C2174" t="s">
        <v>101</v>
      </c>
      <c r="D2174" t="s">
        <v>394</v>
      </c>
      <c r="E2174" s="36">
        <v>50000</v>
      </c>
      <c r="F2174" s="36">
        <v>57000</v>
      </c>
      <c r="G2174" s="36">
        <v>37500</v>
      </c>
      <c r="H2174" s="36">
        <v>42750</v>
      </c>
      <c r="I2174" s="37">
        <v>0</v>
      </c>
      <c r="J2174" s="37">
        <v>0</v>
      </c>
    </row>
    <row r="2175" spans="1:10" x14ac:dyDescent="0.25">
      <c r="A2175" t="s">
        <v>4798</v>
      </c>
      <c r="B2175" t="s">
        <v>4799</v>
      </c>
      <c r="C2175" t="s">
        <v>101</v>
      </c>
      <c r="D2175" t="s">
        <v>363</v>
      </c>
      <c r="E2175" s="36">
        <v>25000</v>
      </c>
      <c r="F2175" s="36">
        <v>29000</v>
      </c>
      <c r="G2175" s="36">
        <v>15000</v>
      </c>
      <c r="H2175" s="36">
        <v>17400</v>
      </c>
      <c r="I2175" s="37">
        <v>0</v>
      </c>
      <c r="J2175" s="37">
        <v>0</v>
      </c>
    </row>
    <row r="2176" spans="1:10" x14ac:dyDescent="0.25">
      <c r="A2176" t="s">
        <v>4800</v>
      </c>
      <c r="B2176" t="s">
        <v>4801</v>
      </c>
      <c r="C2176" t="s">
        <v>101</v>
      </c>
      <c r="D2176" t="s">
        <v>394</v>
      </c>
      <c r="E2176" s="36">
        <v>11000</v>
      </c>
      <c r="F2176" s="36">
        <v>12500</v>
      </c>
      <c r="G2176" s="36">
        <v>6600</v>
      </c>
      <c r="H2176" s="36">
        <v>7550</v>
      </c>
      <c r="I2176" s="37">
        <v>0</v>
      </c>
      <c r="J2176" s="37">
        <v>0</v>
      </c>
    </row>
    <row r="2177" spans="1:10" x14ac:dyDescent="0.25">
      <c r="A2177" t="s">
        <v>4802</v>
      </c>
      <c r="B2177" t="s">
        <v>4803</v>
      </c>
      <c r="C2177" t="s">
        <v>101</v>
      </c>
      <c r="D2177" t="s">
        <v>363</v>
      </c>
      <c r="E2177" s="36">
        <v>21000</v>
      </c>
      <c r="F2177" s="36">
        <v>24000</v>
      </c>
      <c r="G2177" s="36">
        <v>12600</v>
      </c>
      <c r="H2177" s="36">
        <v>14400</v>
      </c>
      <c r="I2177" s="37">
        <v>0</v>
      </c>
      <c r="J2177" s="37">
        <v>0</v>
      </c>
    </row>
    <row r="2178" spans="1:10" x14ac:dyDescent="0.25">
      <c r="A2178" t="s">
        <v>4804</v>
      </c>
      <c r="B2178" t="s">
        <v>4805</v>
      </c>
      <c r="C2178" t="s">
        <v>101</v>
      </c>
      <c r="D2178" t="s">
        <v>363</v>
      </c>
      <c r="E2178" s="36">
        <v>7000</v>
      </c>
      <c r="F2178" s="36">
        <v>8000</v>
      </c>
      <c r="G2178" s="36">
        <v>4200</v>
      </c>
      <c r="H2178" s="36">
        <v>4800</v>
      </c>
      <c r="I2178" s="37">
        <v>0</v>
      </c>
      <c r="J2178" s="37">
        <v>0</v>
      </c>
    </row>
    <row r="2179" spans="1:10" x14ac:dyDescent="0.25">
      <c r="A2179" t="s">
        <v>4806</v>
      </c>
      <c r="B2179" t="s">
        <v>4807</v>
      </c>
      <c r="C2179" t="s">
        <v>101</v>
      </c>
      <c r="D2179" t="s">
        <v>394</v>
      </c>
      <c r="E2179" s="36">
        <v>40000</v>
      </c>
      <c r="F2179" s="36">
        <v>46000</v>
      </c>
      <c r="G2179" s="36">
        <v>24000</v>
      </c>
      <c r="H2179" s="36">
        <v>27600</v>
      </c>
      <c r="I2179" s="37">
        <v>0</v>
      </c>
      <c r="J2179" s="37">
        <v>0</v>
      </c>
    </row>
    <row r="2180" spans="1:10" x14ac:dyDescent="0.25">
      <c r="A2180" t="s">
        <v>4808</v>
      </c>
      <c r="B2180" t="s">
        <v>4809</v>
      </c>
      <c r="C2180" t="s">
        <v>101</v>
      </c>
      <c r="D2180" t="s">
        <v>363</v>
      </c>
      <c r="E2180" s="36">
        <v>55000</v>
      </c>
      <c r="F2180" s="36">
        <v>63000</v>
      </c>
      <c r="G2180" s="36">
        <v>33600</v>
      </c>
      <c r="H2180" s="36">
        <v>38400</v>
      </c>
      <c r="I2180" s="37">
        <v>0</v>
      </c>
      <c r="J2180" s="37">
        <v>0</v>
      </c>
    </row>
    <row r="2181" spans="1:10" x14ac:dyDescent="0.25">
      <c r="A2181" t="s">
        <v>4810</v>
      </c>
      <c r="B2181" t="s">
        <v>4811</v>
      </c>
      <c r="C2181" t="s">
        <v>101</v>
      </c>
      <c r="D2181" t="s">
        <v>379</v>
      </c>
      <c r="E2181" s="36">
        <v>1200</v>
      </c>
      <c r="F2181" s="36">
        <v>1400</v>
      </c>
      <c r="G2181" s="36">
        <v>720</v>
      </c>
      <c r="H2181" s="36">
        <v>840</v>
      </c>
      <c r="I2181" s="37">
        <v>0</v>
      </c>
      <c r="J2181" s="37">
        <v>0</v>
      </c>
    </row>
    <row r="2182" spans="1:10" x14ac:dyDescent="0.25">
      <c r="A2182" t="s">
        <v>4812</v>
      </c>
      <c r="B2182" t="s">
        <v>4813</v>
      </c>
      <c r="C2182" t="s">
        <v>4814</v>
      </c>
      <c r="D2182" t="s">
        <v>394</v>
      </c>
      <c r="E2182" s="36">
        <v>9000</v>
      </c>
      <c r="F2182" s="36">
        <v>11000</v>
      </c>
      <c r="G2182" s="36">
        <v>5400</v>
      </c>
      <c r="H2182" s="36">
        <v>6600</v>
      </c>
      <c r="I2182" s="37">
        <v>0</v>
      </c>
      <c r="J2182" s="37">
        <v>0</v>
      </c>
    </row>
    <row r="2183" spans="1:10" x14ac:dyDescent="0.25">
      <c r="A2183" t="s">
        <v>4815</v>
      </c>
      <c r="B2183" t="s">
        <v>4816</v>
      </c>
      <c r="C2183" t="s">
        <v>101</v>
      </c>
      <c r="D2183" t="s">
        <v>394</v>
      </c>
      <c r="E2183" s="36">
        <v>25000</v>
      </c>
      <c r="F2183" s="36">
        <v>30000</v>
      </c>
      <c r="G2183" s="36">
        <v>14400</v>
      </c>
      <c r="H2183" s="36">
        <v>17400</v>
      </c>
      <c r="I2183" s="37">
        <v>0</v>
      </c>
      <c r="J2183" s="37">
        <v>0</v>
      </c>
    </row>
    <row r="2184" spans="1:10" x14ac:dyDescent="0.25">
      <c r="A2184" t="s">
        <v>4817</v>
      </c>
      <c r="B2184" t="s">
        <v>4818</v>
      </c>
      <c r="C2184" t="s">
        <v>101</v>
      </c>
      <c r="D2184" t="s">
        <v>394</v>
      </c>
      <c r="E2184" s="36">
        <v>5500</v>
      </c>
      <c r="F2184" s="36">
        <v>6500</v>
      </c>
      <c r="G2184" s="36">
        <v>3250</v>
      </c>
      <c r="H2184" s="36">
        <v>3700</v>
      </c>
      <c r="I2184" s="37">
        <v>0</v>
      </c>
      <c r="J2184" s="37">
        <v>0</v>
      </c>
    </row>
    <row r="2185" spans="1:10" x14ac:dyDescent="0.25">
      <c r="A2185" t="s">
        <v>4819</v>
      </c>
      <c r="B2185" t="s">
        <v>4820</v>
      </c>
      <c r="C2185" t="s">
        <v>240</v>
      </c>
      <c r="D2185" t="s">
        <v>394</v>
      </c>
      <c r="E2185" s="36">
        <v>18000</v>
      </c>
      <c r="F2185" s="36">
        <v>21000</v>
      </c>
      <c r="G2185" s="36">
        <v>10200</v>
      </c>
      <c r="H2185" s="36">
        <v>12000</v>
      </c>
      <c r="I2185" s="37">
        <v>0</v>
      </c>
      <c r="J2185" s="37">
        <v>0</v>
      </c>
    </row>
    <row r="2186" spans="1:10" x14ac:dyDescent="0.25">
      <c r="A2186" t="s">
        <v>4821</v>
      </c>
      <c r="B2186" t="s">
        <v>4822</v>
      </c>
      <c r="C2186" t="s">
        <v>101</v>
      </c>
      <c r="D2186" t="s">
        <v>394</v>
      </c>
      <c r="E2186" s="36">
        <v>3500</v>
      </c>
      <c r="F2186" s="36">
        <v>4000</v>
      </c>
      <c r="G2186" s="36">
        <v>1800</v>
      </c>
      <c r="H2186" s="36">
        <v>2050</v>
      </c>
      <c r="I2186" s="37">
        <v>0</v>
      </c>
      <c r="J2186" s="37">
        <v>0</v>
      </c>
    </row>
    <row r="2187" spans="1:10" x14ac:dyDescent="0.25">
      <c r="A2187" t="s">
        <v>4823</v>
      </c>
      <c r="B2187" t="s">
        <v>4824</v>
      </c>
      <c r="C2187" t="s">
        <v>240</v>
      </c>
      <c r="D2187" t="s">
        <v>394</v>
      </c>
      <c r="E2187" s="36">
        <v>16000</v>
      </c>
      <c r="F2187" s="36">
        <v>20000</v>
      </c>
      <c r="G2187" s="36">
        <v>9600</v>
      </c>
      <c r="H2187" s="36">
        <v>11400</v>
      </c>
      <c r="I2187" s="37">
        <v>0</v>
      </c>
      <c r="J2187" s="37">
        <v>0</v>
      </c>
    </row>
    <row r="2188" spans="1:10" x14ac:dyDescent="0.25">
      <c r="A2188" t="s">
        <v>4825</v>
      </c>
      <c r="B2188" t="s">
        <v>4826</v>
      </c>
      <c r="C2188" t="s">
        <v>1428</v>
      </c>
      <c r="D2188" t="s">
        <v>394</v>
      </c>
      <c r="E2188" s="36">
        <v>3000</v>
      </c>
      <c r="F2188" s="36">
        <v>3500</v>
      </c>
      <c r="G2188" s="36">
        <v>1700</v>
      </c>
      <c r="H2188" s="36">
        <v>1900</v>
      </c>
      <c r="I2188" s="37">
        <v>0</v>
      </c>
      <c r="J2188" s="37">
        <v>0</v>
      </c>
    </row>
    <row r="2189" spans="1:10" x14ac:dyDescent="0.25">
      <c r="A2189" t="s">
        <v>4827</v>
      </c>
      <c r="B2189" t="s">
        <v>4828</v>
      </c>
      <c r="C2189" t="s">
        <v>101</v>
      </c>
      <c r="D2189" t="s">
        <v>394</v>
      </c>
      <c r="E2189" s="36">
        <v>11000</v>
      </c>
      <c r="F2189" s="36">
        <v>12500</v>
      </c>
      <c r="G2189" s="36">
        <v>6600</v>
      </c>
      <c r="H2189" s="36">
        <v>7550</v>
      </c>
      <c r="I2189" s="37">
        <v>0</v>
      </c>
      <c r="J2189" s="37">
        <v>0</v>
      </c>
    </row>
    <row r="2190" spans="1:10" x14ac:dyDescent="0.25">
      <c r="A2190" t="s">
        <v>4829</v>
      </c>
      <c r="B2190" t="s">
        <v>4830</v>
      </c>
      <c r="C2190" t="s">
        <v>101</v>
      </c>
      <c r="D2190" t="s">
        <v>383</v>
      </c>
      <c r="E2190" s="36">
        <v>4500</v>
      </c>
      <c r="F2190" s="36">
        <v>5500</v>
      </c>
      <c r="G2190" s="36">
        <v>2400</v>
      </c>
      <c r="H2190" s="36">
        <v>2900</v>
      </c>
      <c r="I2190" s="37">
        <v>0</v>
      </c>
      <c r="J2190" s="37">
        <v>0</v>
      </c>
    </row>
    <row r="2191" spans="1:10" x14ac:dyDescent="0.25">
      <c r="A2191" t="s">
        <v>4831</v>
      </c>
      <c r="B2191" t="s">
        <v>4832</v>
      </c>
      <c r="C2191" t="s">
        <v>101</v>
      </c>
      <c r="D2191" t="s">
        <v>394</v>
      </c>
      <c r="E2191" s="36">
        <v>6000</v>
      </c>
      <c r="F2191" s="36">
        <v>7000</v>
      </c>
      <c r="G2191" s="36">
        <v>3600</v>
      </c>
      <c r="H2191" s="36">
        <v>4200</v>
      </c>
      <c r="I2191" s="37">
        <v>0</v>
      </c>
      <c r="J2191" s="37">
        <v>0</v>
      </c>
    </row>
    <row r="2192" spans="1:10" x14ac:dyDescent="0.25">
      <c r="A2192" t="s">
        <v>4833</v>
      </c>
      <c r="B2192" t="s">
        <v>4834</v>
      </c>
      <c r="C2192" t="s">
        <v>3943</v>
      </c>
      <c r="D2192" t="s">
        <v>394</v>
      </c>
      <c r="E2192" s="36">
        <v>5000</v>
      </c>
      <c r="F2192" s="36">
        <v>6000</v>
      </c>
      <c r="G2192" s="36">
        <v>3000</v>
      </c>
      <c r="H2192" s="36">
        <v>3600</v>
      </c>
      <c r="I2192" s="37">
        <v>0</v>
      </c>
      <c r="J2192" s="37">
        <v>0</v>
      </c>
    </row>
    <row r="2193" spans="1:10" x14ac:dyDescent="0.25">
      <c r="A2193" t="s">
        <v>4835</v>
      </c>
      <c r="B2193" t="s">
        <v>4836</v>
      </c>
      <c r="C2193" t="s">
        <v>3943</v>
      </c>
      <c r="D2193" t="s">
        <v>394</v>
      </c>
      <c r="E2193" s="36">
        <v>6500</v>
      </c>
      <c r="F2193" s="36">
        <v>7500</v>
      </c>
      <c r="G2193" s="36">
        <v>3850</v>
      </c>
      <c r="H2193" s="36">
        <v>4450</v>
      </c>
      <c r="I2193" s="37">
        <v>0</v>
      </c>
      <c r="J2193" s="37">
        <v>0</v>
      </c>
    </row>
    <row r="2194" spans="1:10" x14ac:dyDescent="0.25">
      <c r="A2194" t="s">
        <v>4837</v>
      </c>
      <c r="B2194" t="s">
        <v>4838</v>
      </c>
      <c r="C2194" t="s">
        <v>3943</v>
      </c>
      <c r="D2194" t="s">
        <v>394</v>
      </c>
      <c r="E2194" s="36">
        <v>3000</v>
      </c>
      <c r="F2194" s="36">
        <v>3500</v>
      </c>
      <c r="G2194" s="36">
        <v>1800</v>
      </c>
      <c r="H2194" s="36">
        <v>2050</v>
      </c>
      <c r="I2194" s="37">
        <v>0</v>
      </c>
      <c r="J2194" s="37">
        <v>0</v>
      </c>
    </row>
    <row r="2195" spans="1:10" x14ac:dyDescent="0.25">
      <c r="A2195" t="s">
        <v>4839</v>
      </c>
      <c r="B2195" t="s">
        <v>4840</v>
      </c>
      <c r="C2195" t="s">
        <v>3943</v>
      </c>
      <c r="D2195" t="s">
        <v>394</v>
      </c>
      <c r="E2195" s="36">
        <v>40</v>
      </c>
      <c r="F2195" s="36">
        <v>48</v>
      </c>
      <c r="G2195" s="36">
        <v>30</v>
      </c>
      <c r="H2195" s="36">
        <v>30</v>
      </c>
      <c r="I2195" s="37">
        <v>0</v>
      </c>
      <c r="J2195" s="37">
        <v>6.6666666666666652E-2</v>
      </c>
    </row>
    <row r="2196" spans="1:10" x14ac:dyDescent="0.25">
      <c r="A2196" t="s">
        <v>4841</v>
      </c>
      <c r="B2196" t="s">
        <v>4842</v>
      </c>
      <c r="C2196" t="s">
        <v>101</v>
      </c>
      <c r="D2196" t="s">
        <v>394</v>
      </c>
      <c r="E2196" s="36">
        <v>4000</v>
      </c>
      <c r="F2196" s="36">
        <v>4600</v>
      </c>
      <c r="G2196" s="36">
        <v>2400</v>
      </c>
      <c r="H2196" s="36">
        <v>2750</v>
      </c>
      <c r="I2196" s="37">
        <v>0</v>
      </c>
      <c r="J2196" s="37">
        <v>0</v>
      </c>
    </row>
    <row r="2197" spans="1:10" x14ac:dyDescent="0.25">
      <c r="A2197" t="s">
        <v>4843</v>
      </c>
      <c r="B2197" t="s">
        <v>4627</v>
      </c>
      <c r="C2197" t="s">
        <v>101</v>
      </c>
      <c r="D2197" t="s">
        <v>394</v>
      </c>
      <c r="E2197" s="36">
        <v>2200</v>
      </c>
      <c r="F2197" s="36">
        <v>2600</v>
      </c>
      <c r="G2197" s="36">
        <v>1250</v>
      </c>
      <c r="H2197" s="36">
        <v>1450</v>
      </c>
      <c r="I2197" s="37">
        <v>0</v>
      </c>
      <c r="J2197" s="37">
        <v>0</v>
      </c>
    </row>
    <row r="2198" spans="1:10" x14ac:dyDescent="0.25">
      <c r="A2198" t="s">
        <v>4844</v>
      </c>
      <c r="B2198" t="s">
        <v>4641</v>
      </c>
      <c r="C2198" t="s">
        <v>101</v>
      </c>
      <c r="D2198" t="s">
        <v>394</v>
      </c>
      <c r="E2198" s="36">
        <v>1500</v>
      </c>
      <c r="F2198" s="36">
        <v>1750</v>
      </c>
      <c r="G2198" s="36">
        <v>840</v>
      </c>
      <c r="H2198" s="36">
        <v>960</v>
      </c>
      <c r="I2198" s="37">
        <v>0</v>
      </c>
      <c r="J2198" s="37">
        <v>0</v>
      </c>
    </row>
    <row r="2199" spans="1:10" x14ac:dyDescent="0.25">
      <c r="A2199" t="s">
        <v>4845</v>
      </c>
      <c r="B2199" t="s">
        <v>4643</v>
      </c>
      <c r="C2199" t="s">
        <v>101</v>
      </c>
      <c r="D2199" t="s">
        <v>394</v>
      </c>
      <c r="E2199" s="36">
        <v>1700</v>
      </c>
      <c r="F2199" s="36">
        <v>2000</v>
      </c>
      <c r="G2199" s="36">
        <v>1000</v>
      </c>
      <c r="H2199" s="36">
        <v>1150</v>
      </c>
      <c r="I2199" s="37">
        <v>0</v>
      </c>
      <c r="J2199" s="37">
        <v>0</v>
      </c>
    </row>
    <row r="2200" spans="1:10" x14ac:dyDescent="0.25">
      <c r="A2200" t="s">
        <v>4846</v>
      </c>
      <c r="B2200" t="s">
        <v>4647</v>
      </c>
      <c r="C2200" t="s">
        <v>101</v>
      </c>
      <c r="D2200" t="s">
        <v>394</v>
      </c>
      <c r="E2200" s="36">
        <v>3600</v>
      </c>
      <c r="F2200" s="36">
        <v>4200</v>
      </c>
      <c r="G2200" s="36">
        <v>2050</v>
      </c>
      <c r="H2200" s="36">
        <v>2400</v>
      </c>
      <c r="I2200" s="37">
        <v>0</v>
      </c>
      <c r="J2200" s="37">
        <v>0</v>
      </c>
    </row>
    <row r="2201" spans="1:10" x14ac:dyDescent="0.25">
      <c r="A2201" t="s">
        <v>4847</v>
      </c>
      <c r="B2201" t="s">
        <v>4651</v>
      </c>
      <c r="C2201" t="s">
        <v>101</v>
      </c>
      <c r="D2201" t="s">
        <v>394</v>
      </c>
      <c r="E2201" s="36">
        <v>3600</v>
      </c>
      <c r="F2201" s="36">
        <v>4200</v>
      </c>
      <c r="G2201" s="36">
        <v>2050</v>
      </c>
      <c r="H2201" s="36">
        <v>2400</v>
      </c>
      <c r="I2201" s="37">
        <v>0</v>
      </c>
      <c r="J2201" s="37">
        <v>0</v>
      </c>
    </row>
    <row r="2202" spans="1:10" x14ac:dyDescent="0.25">
      <c r="A2202" t="s">
        <v>4848</v>
      </c>
      <c r="B2202" t="s">
        <v>4849</v>
      </c>
      <c r="C2202" t="s">
        <v>229</v>
      </c>
      <c r="D2202" t="s">
        <v>394</v>
      </c>
      <c r="E2202" s="36">
        <v>450</v>
      </c>
      <c r="F2202" s="36">
        <v>520</v>
      </c>
      <c r="G2202" s="36">
        <v>260</v>
      </c>
      <c r="H2202" s="36">
        <v>300</v>
      </c>
      <c r="I2202" s="37">
        <v>0</v>
      </c>
      <c r="J2202" s="37">
        <v>0</v>
      </c>
    </row>
    <row r="2203" spans="1:10" x14ac:dyDescent="0.25">
      <c r="A2203" t="s">
        <v>4850</v>
      </c>
      <c r="B2203" t="s">
        <v>4671</v>
      </c>
      <c r="C2203" t="s">
        <v>101</v>
      </c>
      <c r="D2203" t="s">
        <v>394</v>
      </c>
      <c r="E2203" s="36">
        <v>2500</v>
      </c>
      <c r="F2203" s="36">
        <v>2900</v>
      </c>
      <c r="G2203" s="36">
        <v>1300</v>
      </c>
      <c r="H2203" s="36">
        <v>1500</v>
      </c>
      <c r="I2203" s="37">
        <v>0</v>
      </c>
      <c r="J2203" s="37">
        <v>0</v>
      </c>
    </row>
    <row r="2204" spans="1:10" x14ac:dyDescent="0.25">
      <c r="A2204" t="s">
        <v>4851</v>
      </c>
      <c r="B2204" t="s">
        <v>4673</v>
      </c>
      <c r="C2204" t="s">
        <v>101</v>
      </c>
      <c r="D2204" t="s">
        <v>394</v>
      </c>
      <c r="E2204" s="36">
        <v>3000</v>
      </c>
      <c r="F2204" s="36">
        <v>3500</v>
      </c>
      <c r="G2204" s="36">
        <v>1700</v>
      </c>
      <c r="H2204" s="36">
        <v>1900</v>
      </c>
      <c r="I2204" s="37">
        <v>0</v>
      </c>
      <c r="J2204" s="37">
        <v>0</v>
      </c>
    </row>
    <row r="2205" spans="1:10" x14ac:dyDescent="0.25">
      <c r="A2205" t="s">
        <v>4852</v>
      </c>
      <c r="B2205" t="s">
        <v>4675</v>
      </c>
      <c r="C2205" t="s">
        <v>101</v>
      </c>
      <c r="D2205" t="s">
        <v>394</v>
      </c>
      <c r="E2205" s="36">
        <v>1000</v>
      </c>
      <c r="F2205" s="36">
        <v>1150</v>
      </c>
      <c r="G2205" s="36">
        <v>540</v>
      </c>
      <c r="H2205" s="36">
        <v>600</v>
      </c>
      <c r="I2205" s="37">
        <v>0</v>
      </c>
      <c r="J2205" s="37">
        <v>0</v>
      </c>
    </row>
    <row r="2206" spans="1:10" x14ac:dyDescent="0.25">
      <c r="A2206" t="s">
        <v>4853</v>
      </c>
      <c r="B2206" t="s">
        <v>4679</v>
      </c>
      <c r="C2206" t="s">
        <v>101</v>
      </c>
      <c r="D2206" t="s">
        <v>394</v>
      </c>
      <c r="E2206" s="36">
        <v>5500</v>
      </c>
      <c r="F2206" s="36">
        <v>6300</v>
      </c>
      <c r="G2206" s="36">
        <v>3350</v>
      </c>
      <c r="H2206" s="36">
        <v>3850</v>
      </c>
      <c r="I2206" s="37">
        <v>0</v>
      </c>
      <c r="J2206" s="37">
        <v>0</v>
      </c>
    </row>
    <row r="2207" spans="1:10" x14ac:dyDescent="0.25">
      <c r="A2207" t="s">
        <v>4854</v>
      </c>
      <c r="B2207" t="s">
        <v>4717</v>
      </c>
      <c r="C2207" t="s">
        <v>101</v>
      </c>
      <c r="D2207" t="s">
        <v>394</v>
      </c>
      <c r="E2207" s="36">
        <v>3000</v>
      </c>
      <c r="F2207" s="36">
        <v>3500</v>
      </c>
      <c r="G2207" s="36">
        <v>1700</v>
      </c>
      <c r="H2207" s="36">
        <v>1900</v>
      </c>
      <c r="I2207" s="37">
        <v>0</v>
      </c>
      <c r="J2207" s="37">
        <v>0</v>
      </c>
    </row>
    <row r="2208" spans="1:10" x14ac:dyDescent="0.25">
      <c r="A2208" t="s">
        <v>4855</v>
      </c>
      <c r="B2208" t="s">
        <v>4719</v>
      </c>
      <c r="C2208" t="s">
        <v>101</v>
      </c>
      <c r="D2208" t="s">
        <v>394</v>
      </c>
      <c r="E2208" s="36">
        <v>4000</v>
      </c>
      <c r="F2208" s="36">
        <v>4600</v>
      </c>
      <c r="G2208" s="36">
        <v>2400</v>
      </c>
      <c r="H2208" s="36">
        <v>2750</v>
      </c>
      <c r="I2208" s="37">
        <v>0</v>
      </c>
      <c r="J2208" s="37">
        <v>0</v>
      </c>
    </row>
    <row r="2209" spans="1:10" x14ac:dyDescent="0.25">
      <c r="A2209" t="s">
        <v>4856</v>
      </c>
      <c r="B2209" t="s">
        <v>4725</v>
      </c>
      <c r="C2209" t="s">
        <v>101</v>
      </c>
      <c r="D2209" t="s">
        <v>394</v>
      </c>
      <c r="E2209" s="36">
        <v>1200</v>
      </c>
      <c r="F2209" s="36">
        <v>1400</v>
      </c>
      <c r="G2209" s="36">
        <v>670</v>
      </c>
      <c r="H2209" s="36">
        <v>780</v>
      </c>
      <c r="I2209" s="37">
        <v>0</v>
      </c>
      <c r="J2209" s="37">
        <v>0</v>
      </c>
    </row>
    <row r="2210" spans="1:10" x14ac:dyDescent="0.25">
      <c r="A2210" t="s">
        <v>4857</v>
      </c>
      <c r="B2210" t="s">
        <v>4731</v>
      </c>
      <c r="C2210" t="s">
        <v>101</v>
      </c>
      <c r="D2210" t="s">
        <v>394</v>
      </c>
      <c r="E2210" s="36">
        <v>2200</v>
      </c>
      <c r="F2210" s="36">
        <v>2600</v>
      </c>
      <c r="G2210" s="36">
        <v>1250</v>
      </c>
      <c r="H2210" s="36">
        <v>1450</v>
      </c>
      <c r="I2210" s="37">
        <v>0</v>
      </c>
      <c r="J2210" s="37">
        <v>0</v>
      </c>
    </row>
    <row r="2211" spans="1:10" x14ac:dyDescent="0.25">
      <c r="A2211" t="s">
        <v>4858</v>
      </c>
      <c r="B2211" t="s">
        <v>4859</v>
      </c>
      <c r="C2211" t="s">
        <v>101</v>
      </c>
      <c r="D2211" t="s">
        <v>394</v>
      </c>
      <c r="E2211" s="36">
        <v>6000</v>
      </c>
      <c r="F2211" s="36">
        <v>7000</v>
      </c>
      <c r="G2211" s="36">
        <v>3350</v>
      </c>
      <c r="H2211" s="36">
        <v>3950</v>
      </c>
      <c r="I2211" s="37">
        <v>0</v>
      </c>
      <c r="J2211" s="37">
        <v>0</v>
      </c>
    </row>
    <row r="2212" spans="1:10" x14ac:dyDescent="0.25">
      <c r="A2212" t="s">
        <v>4860</v>
      </c>
      <c r="B2212" t="s">
        <v>4739</v>
      </c>
      <c r="C2212" t="s">
        <v>101</v>
      </c>
      <c r="D2212" t="s">
        <v>394</v>
      </c>
      <c r="E2212" s="36">
        <v>3000</v>
      </c>
      <c r="F2212" s="36">
        <v>3500</v>
      </c>
      <c r="G2212" s="36">
        <v>1700</v>
      </c>
      <c r="H2212" s="36">
        <v>1900</v>
      </c>
      <c r="I2212" s="37">
        <v>0</v>
      </c>
      <c r="J2212" s="37">
        <v>0</v>
      </c>
    </row>
    <row r="2213" spans="1:10" x14ac:dyDescent="0.25">
      <c r="A2213" t="s">
        <v>4861</v>
      </c>
      <c r="B2213" t="s">
        <v>4741</v>
      </c>
      <c r="C2213" t="s">
        <v>101</v>
      </c>
      <c r="D2213" t="s">
        <v>394</v>
      </c>
      <c r="E2213" s="36">
        <v>2200</v>
      </c>
      <c r="F2213" s="36">
        <v>2600</v>
      </c>
      <c r="G2213" s="36">
        <v>1250</v>
      </c>
      <c r="H2213" s="36">
        <v>1450</v>
      </c>
      <c r="I2213" s="37">
        <v>0</v>
      </c>
      <c r="J2213" s="37">
        <v>0</v>
      </c>
    </row>
    <row r="2214" spans="1:10" x14ac:dyDescent="0.25">
      <c r="A2214" t="s">
        <v>4862</v>
      </c>
      <c r="B2214" t="s">
        <v>4743</v>
      </c>
      <c r="C2214" t="s">
        <v>101</v>
      </c>
      <c r="D2214" t="s">
        <v>394</v>
      </c>
      <c r="E2214" s="36">
        <v>300</v>
      </c>
      <c r="F2214" s="36">
        <v>350</v>
      </c>
      <c r="G2214" s="36">
        <v>180</v>
      </c>
      <c r="H2214" s="36">
        <v>200</v>
      </c>
      <c r="I2214" s="37">
        <v>0</v>
      </c>
      <c r="J2214" s="37">
        <v>0</v>
      </c>
    </row>
    <row r="2215" spans="1:10" x14ac:dyDescent="0.25">
      <c r="A2215" t="s">
        <v>4863</v>
      </c>
      <c r="B2215" t="s">
        <v>4864</v>
      </c>
      <c r="C2215" t="s">
        <v>101</v>
      </c>
      <c r="D2215" t="s">
        <v>394</v>
      </c>
      <c r="E2215" s="36">
        <v>1500</v>
      </c>
      <c r="F2215" s="36">
        <v>1750</v>
      </c>
      <c r="G2215" s="36">
        <v>840</v>
      </c>
      <c r="H2215" s="36">
        <v>960</v>
      </c>
      <c r="I2215" s="37">
        <v>0</v>
      </c>
      <c r="J2215" s="37">
        <v>0</v>
      </c>
    </row>
    <row r="2216" spans="1:10" x14ac:dyDescent="0.25">
      <c r="A2216" t="s">
        <v>4865</v>
      </c>
      <c r="B2216" t="s">
        <v>4866</v>
      </c>
      <c r="C2216" t="s">
        <v>101</v>
      </c>
      <c r="D2216" t="s">
        <v>394</v>
      </c>
      <c r="E2216" s="36">
        <v>14000</v>
      </c>
      <c r="F2216" s="36">
        <v>17000</v>
      </c>
      <c r="G2216" s="36">
        <v>8400</v>
      </c>
      <c r="H2216" s="36">
        <v>9600</v>
      </c>
      <c r="I2216" s="37">
        <v>0</v>
      </c>
      <c r="J2216" s="37">
        <v>0</v>
      </c>
    </row>
    <row r="2217" spans="1:10" x14ac:dyDescent="0.25">
      <c r="A2217" t="s">
        <v>4867</v>
      </c>
      <c r="B2217" t="s">
        <v>4753</v>
      </c>
      <c r="C2217" t="s">
        <v>101</v>
      </c>
      <c r="D2217" t="s">
        <v>394</v>
      </c>
      <c r="E2217" s="36">
        <v>7500</v>
      </c>
      <c r="F2217" s="36">
        <v>8700</v>
      </c>
      <c r="G2217" s="36">
        <v>4200</v>
      </c>
      <c r="H2217" s="36">
        <v>4800</v>
      </c>
      <c r="I2217" s="37">
        <v>0</v>
      </c>
      <c r="J2217" s="37">
        <v>0</v>
      </c>
    </row>
    <row r="2218" spans="1:10" x14ac:dyDescent="0.25">
      <c r="A2218" t="s">
        <v>4868</v>
      </c>
      <c r="B2218" t="s">
        <v>4755</v>
      </c>
      <c r="C2218" t="s">
        <v>101</v>
      </c>
      <c r="D2218" t="s">
        <v>394</v>
      </c>
      <c r="E2218" s="36">
        <v>3000</v>
      </c>
      <c r="F2218" s="36">
        <v>3500</v>
      </c>
      <c r="G2218" s="36">
        <v>1550</v>
      </c>
      <c r="H2218" s="36">
        <v>1800</v>
      </c>
      <c r="I2218" s="37">
        <v>0</v>
      </c>
      <c r="J2218" s="37">
        <v>0</v>
      </c>
    </row>
    <row r="2219" spans="1:10" x14ac:dyDescent="0.25">
      <c r="A2219" t="s">
        <v>4869</v>
      </c>
      <c r="B2219" t="s">
        <v>4757</v>
      </c>
      <c r="C2219" t="s">
        <v>101</v>
      </c>
      <c r="D2219" t="s">
        <v>394</v>
      </c>
      <c r="E2219" s="36">
        <v>2500</v>
      </c>
      <c r="F2219" s="36">
        <v>2900</v>
      </c>
      <c r="G2219" s="36">
        <v>1300</v>
      </c>
      <c r="H2219" s="36">
        <v>1550</v>
      </c>
      <c r="I2219" s="37">
        <v>0</v>
      </c>
      <c r="J2219" s="37">
        <v>0</v>
      </c>
    </row>
    <row r="2220" spans="1:10" x14ac:dyDescent="0.25">
      <c r="A2220" t="s">
        <v>4870</v>
      </c>
      <c r="B2220" t="s">
        <v>4871</v>
      </c>
      <c r="C2220" t="s">
        <v>101</v>
      </c>
      <c r="D2220" t="s">
        <v>394</v>
      </c>
      <c r="E2220" s="36">
        <v>1500</v>
      </c>
      <c r="F2220" s="36">
        <v>1750</v>
      </c>
      <c r="G2220" s="36">
        <v>840</v>
      </c>
      <c r="H2220" s="36">
        <v>960</v>
      </c>
      <c r="I2220" s="37">
        <v>0</v>
      </c>
      <c r="J2220" s="37">
        <v>0</v>
      </c>
    </row>
    <row r="2221" spans="1:10" x14ac:dyDescent="0.25">
      <c r="A2221" t="s">
        <v>4872</v>
      </c>
      <c r="B2221" t="s">
        <v>4761</v>
      </c>
      <c r="C2221" t="s">
        <v>101</v>
      </c>
      <c r="D2221" t="s">
        <v>394</v>
      </c>
      <c r="E2221" s="36">
        <v>2200</v>
      </c>
      <c r="F2221" s="36">
        <v>2600</v>
      </c>
      <c r="G2221" s="36">
        <v>1250</v>
      </c>
      <c r="H2221" s="36">
        <v>1450</v>
      </c>
      <c r="I2221" s="37">
        <v>0</v>
      </c>
      <c r="J2221" s="37">
        <v>0</v>
      </c>
    </row>
    <row r="2222" spans="1:10" x14ac:dyDescent="0.25">
      <c r="A2222" t="s">
        <v>4873</v>
      </c>
      <c r="B2222" t="s">
        <v>4763</v>
      </c>
      <c r="C2222" t="s">
        <v>101</v>
      </c>
      <c r="D2222" t="s">
        <v>394</v>
      </c>
      <c r="E2222" s="36">
        <v>14000</v>
      </c>
      <c r="F2222" s="36">
        <v>16000</v>
      </c>
      <c r="G2222" s="36">
        <v>8400</v>
      </c>
      <c r="H2222" s="36">
        <v>9600</v>
      </c>
      <c r="I2222" s="37">
        <v>0</v>
      </c>
      <c r="J2222" s="37">
        <v>0</v>
      </c>
    </row>
    <row r="2223" spans="1:10" x14ac:dyDescent="0.25">
      <c r="A2223" t="s">
        <v>4874</v>
      </c>
      <c r="B2223" t="s">
        <v>4875</v>
      </c>
      <c r="C2223" t="s">
        <v>101</v>
      </c>
      <c r="D2223" t="s">
        <v>394</v>
      </c>
      <c r="E2223" s="36">
        <v>6000</v>
      </c>
      <c r="F2223" s="36">
        <v>7000</v>
      </c>
      <c r="G2223" s="36">
        <v>3600</v>
      </c>
      <c r="H2223" s="36">
        <v>4100</v>
      </c>
      <c r="I2223" s="37">
        <v>0</v>
      </c>
      <c r="J2223" s="37">
        <v>0</v>
      </c>
    </row>
    <row r="2224" spans="1:10" x14ac:dyDescent="0.25">
      <c r="A2224" t="s">
        <v>4876</v>
      </c>
      <c r="B2224" t="s">
        <v>4877</v>
      </c>
      <c r="C2224" t="s">
        <v>101</v>
      </c>
      <c r="D2224" t="s">
        <v>394</v>
      </c>
      <c r="E2224" s="36">
        <v>1200</v>
      </c>
      <c r="F2224" s="36">
        <v>1400</v>
      </c>
      <c r="G2224" s="36">
        <v>670</v>
      </c>
      <c r="H2224" s="36">
        <v>780</v>
      </c>
      <c r="I2224" s="37">
        <v>0</v>
      </c>
      <c r="J2224" s="37">
        <v>0</v>
      </c>
    </row>
    <row r="2225" spans="1:10" x14ac:dyDescent="0.25">
      <c r="A2225" t="s">
        <v>4878</v>
      </c>
      <c r="B2225" t="s">
        <v>4879</v>
      </c>
      <c r="C2225" t="s">
        <v>101</v>
      </c>
      <c r="D2225" t="s">
        <v>394</v>
      </c>
      <c r="E2225" s="36">
        <v>10000</v>
      </c>
      <c r="F2225" s="36">
        <v>12000</v>
      </c>
      <c r="G2225" s="36">
        <v>6000</v>
      </c>
      <c r="H2225" s="36">
        <v>6950</v>
      </c>
      <c r="I2225" s="37">
        <v>0</v>
      </c>
      <c r="J2225" s="37">
        <v>0</v>
      </c>
    </row>
    <row r="2226" spans="1:10" x14ac:dyDescent="0.25">
      <c r="A2226" t="s">
        <v>4880</v>
      </c>
      <c r="B2226" t="s">
        <v>4881</v>
      </c>
      <c r="C2226" t="s">
        <v>101</v>
      </c>
      <c r="D2226" t="s">
        <v>394</v>
      </c>
      <c r="E2226" s="36">
        <v>2200</v>
      </c>
      <c r="F2226" s="36">
        <v>2600</v>
      </c>
      <c r="G2226" s="36">
        <v>1250</v>
      </c>
      <c r="H2226" s="36">
        <v>1450</v>
      </c>
      <c r="I2226" s="37">
        <v>0</v>
      </c>
      <c r="J2226" s="37">
        <v>0</v>
      </c>
    </row>
    <row r="2227" spans="1:10" x14ac:dyDescent="0.25">
      <c r="A2227" t="s">
        <v>4882</v>
      </c>
      <c r="B2227" t="s">
        <v>4883</v>
      </c>
      <c r="C2227" t="s">
        <v>101</v>
      </c>
      <c r="D2227" t="s">
        <v>363</v>
      </c>
      <c r="E2227" s="36">
        <v>9000</v>
      </c>
      <c r="F2227" s="36">
        <v>10500</v>
      </c>
      <c r="G2227" s="36">
        <v>5050</v>
      </c>
      <c r="H2227" s="36">
        <v>5900</v>
      </c>
      <c r="I2227" s="37">
        <v>0</v>
      </c>
      <c r="J2227" s="37">
        <v>0</v>
      </c>
    </row>
    <row r="2228" spans="1:10" x14ac:dyDescent="0.25">
      <c r="A2228" t="s">
        <v>4884</v>
      </c>
      <c r="B2228" t="s">
        <v>4885</v>
      </c>
      <c r="C2228" t="s">
        <v>101</v>
      </c>
      <c r="D2228" t="s">
        <v>363</v>
      </c>
      <c r="E2228" s="36">
        <v>11500</v>
      </c>
      <c r="F2228" s="36">
        <v>13500</v>
      </c>
      <c r="G2228" s="36">
        <v>6600</v>
      </c>
      <c r="H2228" s="36">
        <v>7550</v>
      </c>
      <c r="I2228" s="37">
        <v>0</v>
      </c>
      <c r="J2228" s="37">
        <v>0</v>
      </c>
    </row>
    <row r="2229" spans="1:10" x14ac:dyDescent="0.25">
      <c r="A2229" t="s">
        <v>4886</v>
      </c>
      <c r="B2229" t="s">
        <v>4887</v>
      </c>
      <c r="C2229" t="s">
        <v>101</v>
      </c>
      <c r="D2229" t="s">
        <v>394</v>
      </c>
      <c r="E2229" s="36">
        <v>20000</v>
      </c>
      <c r="F2229" s="36">
        <v>24000</v>
      </c>
      <c r="G2229" s="36">
        <v>12000</v>
      </c>
      <c r="H2229" s="36">
        <v>14400</v>
      </c>
      <c r="I2229" s="37">
        <v>0</v>
      </c>
      <c r="J2229" s="37">
        <v>0</v>
      </c>
    </row>
    <row r="2230" spans="1:10" x14ac:dyDescent="0.25">
      <c r="A2230" t="s">
        <v>4888</v>
      </c>
      <c r="B2230" t="s">
        <v>4795</v>
      </c>
      <c r="C2230" t="s">
        <v>101</v>
      </c>
      <c r="D2230" t="s">
        <v>394</v>
      </c>
      <c r="E2230" s="36">
        <v>42000</v>
      </c>
      <c r="F2230" s="36">
        <v>48000</v>
      </c>
      <c r="G2230" s="36">
        <v>31500</v>
      </c>
      <c r="H2230" s="36">
        <v>36000</v>
      </c>
      <c r="I2230" s="37">
        <v>0</v>
      </c>
      <c r="J2230" s="37">
        <v>0</v>
      </c>
    </row>
    <row r="2231" spans="1:10" x14ac:dyDescent="0.25">
      <c r="A2231" t="s">
        <v>4889</v>
      </c>
      <c r="B2231" t="s">
        <v>4890</v>
      </c>
      <c r="C2231" t="s">
        <v>101</v>
      </c>
      <c r="D2231" t="s">
        <v>394</v>
      </c>
      <c r="E2231" s="36">
        <v>4500</v>
      </c>
      <c r="F2231" s="36">
        <v>5200</v>
      </c>
      <c r="G2231" s="36">
        <v>2500</v>
      </c>
      <c r="H2231" s="36">
        <v>2900</v>
      </c>
      <c r="I2231" s="37">
        <v>0</v>
      </c>
      <c r="J2231" s="37">
        <v>0</v>
      </c>
    </row>
    <row r="2232" spans="1:10" x14ac:dyDescent="0.25">
      <c r="A2232" t="s">
        <v>4891</v>
      </c>
      <c r="B2232" t="s">
        <v>4892</v>
      </c>
      <c r="C2232" t="s">
        <v>101</v>
      </c>
      <c r="D2232" t="s">
        <v>394</v>
      </c>
      <c r="E2232" s="36">
        <v>3600</v>
      </c>
      <c r="F2232" s="36">
        <v>4200</v>
      </c>
      <c r="G2232" s="36">
        <v>2050</v>
      </c>
      <c r="H2232" s="36">
        <v>2400</v>
      </c>
      <c r="I2232" s="37">
        <v>0</v>
      </c>
      <c r="J2232" s="37">
        <v>0</v>
      </c>
    </row>
    <row r="2233" spans="1:10" x14ac:dyDescent="0.25">
      <c r="A2233" t="s">
        <v>4893</v>
      </c>
      <c r="B2233" t="s">
        <v>4797</v>
      </c>
      <c r="C2233" t="s">
        <v>101</v>
      </c>
      <c r="D2233" t="s">
        <v>394</v>
      </c>
      <c r="E2233" s="36">
        <v>50000</v>
      </c>
      <c r="F2233" s="36">
        <v>57000</v>
      </c>
      <c r="G2233" s="36">
        <v>37500</v>
      </c>
      <c r="H2233" s="36">
        <v>42750</v>
      </c>
      <c r="I2233" s="37">
        <v>0</v>
      </c>
      <c r="J2233" s="37">
        <v>0</v>
      </c>
    </row>
    <row r="2234" spans="1:10" x14ac:dyDescent="0.25">
      <c r="A2234" t="s">
        <v>4894</v>
      </c>
      <c r="B2234" t="s">
        <v>4895</v>
      </c>
      <c r="C2234" t="s">
        <v>101</v>
      </c>
      <c r="D2234" t="s">
        <v>394</v>
      </c>
      <c r="E2234" s="36">
        <v>16000</v>
      </c>
      <c r="F2234" s="36">
        <v>18500</v>
      </c>
      <c r="G2234" s="36">
        <v>9600</v>
      </c>
      <c r="H2234" s="36">
        <v>11050</v>
      </c>
      <c r="I2234" s="37">
        <v>0</v>
      </c>
      <c r="J2234" s="37">
        <v>0</v>
      </c>
    </row>
    <row r="2235" spans="1:10" x14ac:dyDescent="0.25">
      <c r="A2235" t="s">
        <v>4896</v>
      </c>
      <c r="B2235" t="s">
        <v>4897</v>
      </c>
      <c r="C2235" t="s">
        <v>101</v>
      </c>
      <c r="D2235" t="s">
        <v>394</v>
      </c>
      <c r="E2235" s="36">
        <v>900</v>
      </c>
      <c r="F2235" s="36">
        <v>1050</v>
      </c>
      <c r="G2235" s="36">
        <v>500</v>
      </c>
      <c r="H2235" s="36">
        <v>580</v>
      </c>
      <c r="I2235" s="37">
        <v>0</v>
      </c>
      <c r="J2235" s="37">
        <v>0</v>
      </c>
    </row>
    <row r="2236" spans="1:10" x14ac:dyDescent="0.25">
      <c r="A2236" t="s">
        <v>4898</v>
      </c>
      <c r="B2236" t="s">
        <v>4899</v>
      </c>
      <c r="C2236" t="s">
        <v>101</v>
      </c>
      <c r="D2236" t="s">
        <v>394</v>
      </c>
      <c r="E2236" s="36">
        <v>3000</v>
      </c>
      <c r="F2236" s="36">
        <v>3500</v>
      </c>
      <c r="G2236" s="36">
        <v>1700</v>
      </c>
      <c r="H2236" s="36">
        <v>1900</v>
      </c>
      <c r="I2236" s="37">
        <v>0</v>
      </c>
      <c r="J2236" s="37">
        <v>0</v>
      </c>
    </row>
    <row r="2237" spans="1:10" x14ac:dyDescent="0.25">
      <c r="A2237" t="s">
        <v>4900</v>
      </c>
      <c r="B2237" t="s">
        <v>4901</v>
      </c>
      <c r="C2237" t="s">
        <v>101</v>
      </c>
      <c r="D2237" t="s">
        <v>394</v>
      </c>
      <c r="E2237" s="36">
        <v>1500</v>
      </c>
      <c r="F2237" s="36">
        <v>1750</v>
      </c>
      <c r="G2237" s="36">
        <v>840</v>
      </c>
      <c r="H2237" s="36">
        <v>960</v>
      </c>
      <c r="I2237" s="37">
        <v>0</v>
      </c>
      <c r="J2237" s="37">
        <v>0</v>
      </c>
    </row>
    <row r="2238" spans="1:10" x14ac:dyDescent="0.25">
      <c r="A2238" t="s">
        <v>4902</v>
      </c>
      <c r="B2238" t="s">
        <v>4903</v>
      </c>
      <c r="C2238" t="s">
        <v>101</v>
      </c>
      <c r="D2238" t="s">
        <v>394</v>
      </c>
      <c r="E2238" s="36">
        <v>3000</v>
      </c>
      <c r="F2238" s="36">
        <v>3500</v>
      </c>
      <c r="G2238" s="36">
        <v>1700</v>
      </c>
      <c r="H2238" s="36">
        <v>1900</v>
      </c>
      <c r="I2238" s="37">
        <v>0</v>
      </c>
      <c r="J2238" s="37">
        <v>0</v>
      </c>
    </row>
    <row r="2239" spans="1:10" x14ac:dyDescent="0.25">
      <c r="A2239" t="s">
        <v>4904</v>
      </c>
      <c r="B2239" t="s">
        <v>4905</v>
      </c>
      <c r="C2239" t="s">
        <v>101</v>
      </c>
      <c r="D2239" t="s">
        <v>394</v>
      </c>
      <c r="E2239" s="36">
        <v>900</v>
      </c>
      <c r="F2239" s="36">
        <v>1050</v>
      </c>
      <c r="G2239" s="36">
        <v>500</v>
      </c>
      <c r="H2239" s="36">
        <v>580</v>
      </c>
      <c r="I2239" s="37">
        <v>0</v>
      </c>
      <c r="J2239" s="37">
        <v>0</v>
      </c>
    </row>
    <row r="2240" spans="1:10" x14ac:dyDescent="0.25">
      <c r="A2240" t="s">
        <v>4906</v>
      </c>
      <c r="B2240" t="s">
        <v>4907</v>
      </c>
      <c r="C2240" t="s">
        <v>101</v>
      </c>
      <c r="D2240" t="s">
        <v>394</v>
      </c>
      <c r="E2240" s="36">
        <v>1500</v>
      </c>
      <c r="F2240" s="36">
        <v>1750</v>
      </c>
      <c r="G2240" s="36">
        <v>840</v>
      </c>
      <c r="H2240" s="36">
        <v>960</v>
      </c>
      <c r="I2240" s="37">
        <v>0</v>
      </c>
      <c r="J2240" s="37">
        <v>0</v>
      </c>
    </row>
    <row r="2241" spans="1:10" x14ac:dyDescent="0.25">
      <c r="A2241" t="s">
        <v>4908</v>
      </c>
      <c r="B2241" t="s">
        <v>4909</v>
      </c>
      <c r="C2241" t="s">
        <v>101</v>
      </c>
      <c r="D2241" t="s">
        <v>394</v>
      </c>
      <c r="E2241" s="36">
        <v>1500</v>
      </c>
      <c r="F2241" s="36">
        <v>1750</v>
      </c>
      <c r="G2241" s="36">
        <v>840</v>
      </c>
      <c r="H2241" s="36">
        <v>960</v>
      </c>
      <c r="I2241" s="37">
        <v>0</v>
      </c>
      <c r="J2241" s="37">
        <v>0</v>
      </c>
    </row>
    <row r="2242" spans="1:10" x14ac:dyDescent="0.25">
      <c r="A2242" t="s">
        <v>4910</v>
      </c>
      <c r="B2242" t="s">
        <v>4911</v>
      </c>
      <c r="C2242" t="s">
        <v>101</v>
      </c>
      <c r="D2242" t="s">
        <v>394</v>
      </c>
      <c r="E2242" s="36">
        <v>7500</v>
      </c>
      <c r="F2242" s="36">
        <v>8700</v>
      </c>
      <c r="G2242" s="36">
        <v>4200</v>
      </c>
      <c r="H2242" s="36">
        <v>4800</v>
      </c>
      <c r="I2242" s="37">
        <v>0</v>
      </c>
      <c r="J2242" s="37">
        <v>0</v>
      </c>
    </row>
    <row r="2243" spans="1:10" x14ac:dyDescent="0.25">
      <c r="A2243" t="s">
        <v>4912</v>
      </c>
      <c r="B2243" t="s">
        <v>4913</v>
      </c>
      <c r="C2243" t="s">
        <v>101</v>
      </c>
      <c r="D2243" t="s">
        <v>394</v>
      </c>
      <c r="E2243" s="36">
        <v>2200</v>
      </c>
      <c r="F2243" s="36">
        <v>2600</v>
      </c>
      <c r="G2243" s="36">
        <v>1250</v>
      </c>
      <c r="H2243" s="36">
        <v>1450</v>
      </c>
      <c r="I2243" s="37">
        <v>0</v>
      </c>
      <c r="J2243" s="37">
        <v>0</v>
      </c>
    </row>
    <row r="2244" spans="1:10" x14ac:dyDescent="0.25">
      <c r="A2244" t="s">
        <v>4914</v>
      </c>
      <c r="B2244" t="s">
        <v>4915</v>
      </c>
      <c r="C2244" t="s">
        <v>101</v>
      </c>
      <c r="D2244" t="s">
        <v>363</v>
      </c>
      <c r="E2244" s="36">
        <v>14000</v>
      </c>
      <c r="F2244" s="36">
        <v>16000</v>
      </c>
      <c r="G2244" s="36">
        <v>7800</v>
      </c>
      <c r="H2244" s="36">
        <v>9000</v>
      </c>
      <c r="I2244" s="37">
        <v>0</v>
      </c>
      <c r="J2244" s="37">
        <v>0</v>
      </c>
    </row>
    <row r="2245" spans="1:10" x14ac:dyDescent="0.25">
      <c r="A2245" t="s">
        <v>4916</v>
      </c>
      <c r="B2245" t="s">
        <v>4917</v>
      </c>
      <c r="C2245" t="s">
        <v>101</v>
      </c>
      <c r="D2245" t="s">
        <v>394</v>
      </c>
      <c r="E2245" s="36">
        <v>7500</v>
      </c>
      <c r="F2245" s="36">
        <v>8700</v>
      </c>
      <c r="G2245" s="36">
        <v>4200</v>
      </c>
      <c r="H2245" s="36">
        <v>4800</v>
      </c>
      <c r="I2245" s="37">
        <v>0</v>
      </c>
      <c r="J2245" s="37">
        <v>0</v>
      </c>
    </row>
    <row r="2246" spans="1:10" x14ac:dyDescent="0.25">
      <c r="A2246" t="s">
        <v>4918</v>
      </c>
      <c r="B2246" t="s">
        <v>4919</v>
      </c>
      <c r="C2246" t="s">
        <v>101</v>
      </c>
      <c r="D2246" t="s">
        <v>394</v>
      </c>
      <c r="E2246" s="36">
        <v>14000</v>
      </c>
      <c r="F2246" s="36">
        <v>17000</v>
      </c>
      <c r="G2246" s="36">
        <v>8400</v>
      </c>
      <c r="H2246" s="36">
        <v>9600</v>
      </c>
      <c r="I2246" s="37">
        <v>0</v>
      </c>
      <c r="J2246" s="37">
        <v>0</v>
      </c>
    </row>
    <row r="2247" spans="1:10" x14ac:dyDescent="0.25">
      <c r="A2247" t="s">
        <v>4920</v>
      </c>
      <c r="B2247" t="s">
        <v>4921</v>
      </c>
      <c r="C2247" t="s">
        <v>101</v>
      </c>
      <c r="D2247" t="s">
        <v>394</v>
      </c>
      <c r="E2247" s="36">
        <v>16000</v>
      </c>
      <c r="F2247" s="36">
        <v>18500</v>
      </c>
      <c r="G2247" s="36">
        <v>9600</v>
      </c>
      <c r="H2247" s="36">
        <v>11050</v>
      </c>
      <c r="I2247" s="37">
        <v>0</v>
      </c>
      <c r="J2247" s="37">
        <v>0</v>
      </c>
    </row>
    <row r="2248" spans="1:10" x14ac:dyDescent="0.25">
      <c r="A2248" t="s">
        <v>4922</v>
      </c>
      <c r="B2248" t="s">
        <v>4923</v>
      </c>
      <c r="C2248" t="s">
        <v>101</v>
      </c>
      <c r="D2248" t="s">
        <v>394</v>
      </c>
      <c r="E2248" s="36">
        <v>2500</v>
      </c>
      <c r="F2248" s="36">
        <v>3000</v>
      </c>
      <c r="G2248" s="36">
        <v>1800</v>
      </c>
      <c r="H2248" s="36">
        <v>2150</v>
      </c>
      <c r="I2248" s="37">
        <v>0</v>
      </c>
      <c r="J2248" s="37">
        <v>0</v>
      </c>
    </row>
    <row r="2249" spans="1:10" x14ac:dyDescent="0.25">
      <c r="A2249" t="s">
        <v>4924</v>
      </c>
      <c r="B2249" t="s">
        <v>4925</v>
      </c>
      <c r="C2249" t="s">
        <v>101</v>
      </c>
      <c r="D2249" t="s">
        <v>394</v>
      </c>
      <c r="E2249" s="36">
        <v>3000</v>
      </c>
      <c r="F2249" s="36">
        <v>3500</v>
      </c>
      <c r="G2249" s="36">
        <v>1700</v>
      </c>
      <c r="H2249" s="36">
        <v>1900</v>
      </c>
      <c r="I2249" s="37">
        <v>0</v>
      </c>
      <c r="J2249" s="37">
        <v>0</v>
      </c>
    </row>
    <row r="2250" spans="1:10" x14ac:dyDescent="0.25">
      <c r="A2250" t="s">
        <v>4926</v>
      </c>
      <c r="B2250" t="s">
        <v>4927</v>
      </c>
      <c r="C2250" t="s">
        <v>101</v>
      </c>
      <c r="D2250" t="s">
        <v>394</v>
      </c>
      <c r="E2250" s="36">
        <v>2500</v>
      </c>
      <c r="F2250" s="36">
        <v>2900</v>
      </c>
      <c r="G2250" s="36">
        <v>1300</v>
      </c>
      <c r="H2250" s="36">
        <v>1550</v>
      </c>
      <c r="I2250" s="37">
        <v>0</v>
      </c>
      <c r="J2250" s="37">
        <v>0</v>
      </c>
    </row>
    <row r="2251" spans="1:10" x14ac:dyDescent="0.25">
      <c r="A2251" t="s">
        <v>4928</v>
      </c>
      <c r="B2251" t="s">
        <v>4929</v>
      </c>
      <c r="C2251" t="s">
        <v>101</v>
      </c>
      <c r="D2251" t="s">
        <v>394</v>
      </c>
      <c r="E2251" s="36">
        <v>8500</v>
      </c>
      <c r="F2251" s="36">
        <v>10000</v>
      </c>
      <c r="G2251" s="36">
        <v>5050</v>
      </c>
      <c r="H2251" s="36">
        <v>5750</v>
      </c>
      <c r="I2251" s="37">
        <v>0</v>
      </c>
      <c r="J2251" s="37">
        <v>0</v>
      </c>
    </row>
    <row r="2252" spans="1:10" x14ac:dyDescent="0.25">
      <c r="A2252" t="s">
        <v>4930</v>
      </c>
      <c r="B2252" t="s">
        <v>4931</v>
      </c>
      <c r="C2252" t="s">
        <v>101</v>
      </c>
      <c r="D2252" t="s">
        <v>394</v>
      </c>
      <c r="E2252" s="36">
        <v>2500</v>
      </c>
      <c r="F2252" s="36">
        <v>2900</v>
      </c>
      <c r="G2252" s="36">
        <v>1300</v>
      </c>
      <c r="H2252" s="36">
        <v>1500</v>
      </c>
      <c r="I2252" s="37">
        <v>0</v>
      </c>
      <c r="J2252" s="37">
        <v>0</v>
      </c>
    </row>
    <row r="2253" spans="1:10" x14ac:dyDescent="0.25">
      <c r="A2253" t="s">
        <v>4932</v>
      </c>
      <c r="B2253" t="s">
        <v>4933</v>
      </c>
      <c r="C2253" t="s">
        <v>101</v>
      </c>
      <c r="D2253" t="s">
        <v>394</v>
      </c>
      <c r="E2253" s="36">
        <v>2800</v>
      </c>
      <c r="F2253" s="36">
        <v>3300</v>
      </c>
      <c r="G2253" s="36">
        <v>1700</v>
      </c>
      <c r="H2253" s="36">
        <v>1900</v>
      </c>
      <c r="I2253" s="37">
        <v>0</v>
      </c>
      <c r="J2253" s="37">
        <v>0</v>
      </c>
    </row>
    <row r="2254" spans="1:10" x14ac:dyDescent="0.25">
      <c r="A2254" t="s">
        <v>4934</v>
      </c>
      <c r="B2254" t="s">
        <v>4935</v>
      </c>
      <c r="C2254" t="s">
        <v>101</v>
      </c>
      <c r="D2254" t="s">
        <v>394</v>
      </c>
      <c r="E2254" s="36">
        <v>6000</v>
      </c>
      <c r="F2254" s="36">
        <v>7000</v>
      </c>
      <c r="G2254" s="36">
        <v>3350</v>
      </c>
      <c r="H2254" s="36">
        <v>3850</v>
      </c>
      <c r="I2254" s="37">
        <v>0</v>
      </c>
      <c r="J2254" s="37">
        <v>0</v>
      </c>
    </row>
    <row r="2255" spans="1:10" x14ac:dyDescent="0.25">
      <c r="A2255" t="s">
        <v>4936</v>
      </c>
      <c r="B2255" t="s">
        <v>4937</v>
      </c>
      <c r="C2255" t="s">
        <v>101</v>
      </c>
      <c r="D2255" t="s">
        <v>394</v>
      </c>
      <c r="E2255" s="36">
        <v>4500</v>
      </c>
      <c r="F2255" s="36">
        <v>5200</v>
      </c>
      <c r="G2255" s="36">
        <v>2500</v>
      </c>
      <c r="H2255" s="36">
        <v>2900</v>
      </c>
      <c r="I2255" s="37">
        <v>0</v>
      </c>
      <c r="J2255" s="37">
        <v>0</v>
      </c>
    </row>
    <row r="2256" spans="1:10" x14ac:dyDescent="0.25">
      <c r="A2256" t="s">
        <v>4938</v>
      </c>
      <c r="B2256" t="s">
        <v>4939</v>
      </c>
      <c r="C2256" t="s">
        <v>101</v>
      </c>
      <c r="D2256" t="s">
        <v>394</v>
      </c>
      <c r="E2256" s="36">
        <v>900</v>
      </c>
      <c r="F2256" s="36">
        <v>1050</v>
      </c>
      <c r="G2256" s="36">
        <v>500</v>
      </c>
      <c r="H2256" s="36">
        <v>580</v>
      </c>
      <c r="I2256" s="37">
        <v>0</v>
      </c>
      <c r="J2256" s="37">
        <v>0</v>
      </c>
    </row>
    <row r="2257" spans="1:10" x14ac:dyDescent="0.25">
      <c r="A2257" t="s">
        <v>4940</v>
      </c>
      <c r="B2257" t="s">
        <v>4941</v>
      </c>
      <c r="C2257" t="s">
        <v>101</v>
      </c>
      <c r="D2257" t="s">
        <v>394</v>
      </c>
      <c r="E2257" s="36">
        <v>8500</v>
      </c>
      <c r="F2257" s="36">
        <v>10000</v>
      </c>
      <c r="G2257" s="36">
        <v>5050</v>
      </c>
      <c r="H2257" s="36">
        <v>5750</v>
      </c>
      <c r="I2257" s="37">
        <v>0</v>
      </c>
      <c r="J2257" s="37">
        <v>0</v>
      </c>
    </row>
    <row r="2258" spans="1:10" x14ac:dyDescent="0.25">
      <c r="A2258" t="s">
        <v>4942</v>
      </c>
      <c r="B2258" t="s">
        <v>4943</v>
      </c>
      <c r="C2258" t="s">
        <v>101</v>
      </c>
      <c r="D2258" t="s">
        <v>394</v>
      </c>
      <c r="E2258" s="36">
        <v>8000</v>
      </c>
      <c r="F2258" s="36">
        <v>9500</v>
      </c>
      <c r="G2258" s="36">
        <v>4800</v>
      </c>
      <c r="H2258" s="36">
        <v>5500</v>
      </c>
      <c r="I2258" s="37">
        <v>0</v>
      </c>
      <c r="J2258" s="37">
        <v>0</v>
      </c>
    </row>
    <row r="2259" spans="1:10" x14ac:dyDescent="0.25">
      <c r="A2259" t="s">
        <v>4944</v>
      </c>
      <c r="B2259" t="s">
        <v>4945</v>
      </c>
      <c r="C2259" t="s">
        <v>101</v>
      </c>
      <c r="D2259" t="s">
        <v>363</v>
      </c>
      <c r="E2259" s="36">
        <v>9000</v>
      </c>
      <c r="F2259" s="36">
        <v>10500</v>
      </c>
      <c r="G2259" s="36">
        <v>5050</v>
      </c>
      <c r="H2259" s="36">
        <v>5900</v>
      </c>
      <c r="I2259" s="37">
        <v>0</v>
      </c>
      <c r="J2259" s="37">
        <v>0</v>
      </c>
    </row>
    <row r="2260" spans="1:10" x14ac:dyDescent="0.25">
      <c r="A2260" t="s">
        <v>4946</v>
      </c>
      <c r="B2260" t="s">
        <v>4947</v>
      </c>
      <c r="C2260" t="s">
        <v>101</v>
      </c>
      <c r="D2260" t="s">
        <v>394</v>
      </c>
      <c r="E2260" s="36">
        <v>4500</v>
      </c>
      <c r="F2260" s="36">
        <v>5200</v>
      </c>
      <c r="G2260" s="36">
        <v>2500</v>
      </c>
      <c r="H2260" s="36">
        <v>2900</v>
      </c>
      <c r="I2260" s="37">
        <v>0</v>
      </c>
      <c r="J2260" s="37">
        <v>0</v>
      </c>
    </row>
    <row r="2261" spans="1:10" x14ac:dyDescent="0.25">
      <c r="A2261" t="s">
        <v>4948</v>
      </c>
      <c r="B2261" t="s">
        <v>4949</v>
      </c>
      <c r="C2261" t="s">
        <v>101</v>
      </c>
      <c r="D2261" t="s">
        <v>394</v>
      </c>
      <c r="E2261" s="36">
        <v>3000</v>
      </c>
      <c r="F2261" s="36">
        <v>3500</v>
      </c>
      <c r="G2261" s="36">
        <v>1700</v>
      </c>
      <c r="H2261" s="36">
        <v>1900</v>
      </c>
      <c r="I2261" s="37">
        <v>0</v>
      </c>
      <c r="J2261" s="37">
        <v>0</v>
      </c>
    </row>
    <row r="2262" spans="1:10" x14ac:dyDescent="0.25">
      <c r="A2262" t="s">
        <v>4950</v>
      </c>
      <c r="B2262" t="s">
        <v>4951</v>
      </c>
      <c r="C2262" t="s">
        <v>101</v>
      </c>
      <c r="D2262" t="s">
        <v>394</v>
      </c>
      <c r="E2262" s="36">
        <v>2500</v>
      </c>
      <c r="F2262" s="36">
        <v>2900</v>
      </c>
      <c r="G2262" s="36">
        <v>1300</v>
      </c>
      <c r="H2262" s="36">
        <v>1500</v>
      </c>
      <c r="I2262" s="37">
        <v>0</v>
      </c>
      <c r="J2262" s="37">
        <v>0</v>
      </c>
    </row>
    <row r="2263" spans="1:10" x14ac:dyDescent="0.25">
      <c r="A2263" t="s">
        <v>4952</v>
      </c>
      <c r="B2263" t="s">
        <v>4953</v>
      </c>
      <c r="C2263" t="s">
        <v>101</v>
      </c>
      <c r="D2263" t="s">
        <v>394</v>
      </c>
      <c r="E2263" s="36">
        <v>900</v>
      </c>
      <c r="F2263" s="36">
        <v>1050</v>
      </c>
      <c r="G2263" s="36">
        <v>500</v>
      </c>
      <c r="H2263" s="36">
        <v>580</v>
      </c>
      <c r="I2263" s="37">
        <v>0</v>
      </c>
      <c r="J2263" s="37">
        <v>0</v>
      </c>
    </row>
    <row r="2264" spans="1:10" x14ac:dyDescent="0.25">
      <c r="A2264" t="s">
        <v>4954</v>
      </c>
      <c r="B2264" t="s">
        <v>4955</v>
      </c>
      <c r="C2264" t="s">
        <v>101</v>
      </c>
      <c r="D2264" t="s">
        <v>394</v>
      </c>
      <c r="E2264" s="36">
        <v>8500</v>
      </c>
      <c r="F2264" s="36">
        <v>10000</v>
      </c>
      <c r="G2264" s="36">
        <v>5050</v>
      </c>
      <c r="H2264" s="36">
        <v>5750</v>
      </c>
      <c r="I2264" s="37">
        <v>0</v>
      </c>
      <c r="J2264" s="37">
        <v>0</v>
      </c>
    </row>
    <row r="2265" spans="1:10" x14ac:dyDescent="0.25">
      <c r="A2265" t="s">
        <v>4956</v>
      </c>
      <c r="B2265" t="s">
        <v>4957</v>
      </c>
      <c r="C2265" t="s">
        <v>101</v>
      </c>
      <c r="D2265" t="s">
        <v>394</v>
      </c>
      <c r="E2265" s="36">
        <v>1500</v>
      </c>
      <c r="F2265" s="36">
        <v>1750</v>
      </c>
      <c r="G2265" s="36">
        <v>840</v>
      </c>
      <c r="H2265" s="36">
        <v>960</v>
      </c>
      <c r="I2265" s="37">
        <v>0</v>
      </c>
      <c r="J2265" s="37">
        <v>0</v>
      </c>
    </row>
    <row r="2266" spans="1:10" x14ac:dyDescent="0.25">
      <c r="A2266" t="s">
        <v>4958</v>
      </c>
      <c r="B2266" t="s">
        <v>4959</v>
      </c>
      <c r="C2266" t="s">
        <v>101</v>
      </c>
      <c r="D2266" t="s">
        <v>394</v>
      </c>
      <c r="E2266" s="36">
        <v>1000</v>
      </c>
      <c r="F2266" s="36">
        <v>1150</v>
      </c>
      <c r="G2266" s="36">
        <v>540</v>
      </c>
      <c r="H2266" s="36">
        <v>600</v>
      </c>
      <c r="I2266" s="37">
        <v>0</v>
      </c>
      <c r="J2266" s="37">
        <v>0</v>
      </c>
    </row>
    <row r="2267" spans="1:10" x14ac:dyDescent="0.25">
      <c r="A2267" t="s">
        <v>4960</v>
      </c>
      <c r="B2267" t="s">
        <v>4961</v>
      </c>
      <c r="C2267" t="s">
        <v>101</v>
      </c>
      <c r="D2267" t="s">
        <v>394</v>
      </c>
      <c r="E2267" s="36">
        <v>25000</v>
      </c>
      <c r="F2267" s="36">
        <v>30000</v>
      </c>
      <c r="G2267" s="36">
        <v>15000</v>
      </c>
      <c r="H2267" s="36">
        <v>18000</v>
      </c>
      <c r="I2267" s="37">
        <v>0</v>
      </c>
      <c r="J2267" s="37">
        <v>0</v>
      </c>
    </row>
    <row r="2268" spans="1:10" x14ac:dyDescent="0.25">
      <c r="A2268" t="s">
        <v>4962</v>
      </c>
      <c r="B2268" t="s">
        <v>4963</v>
      </c>
      <c r="C2268" t="s">
        <v>101</v>
      </c>
      <c r="D2268" t="s">
        <v>363</v>
      </c>
      <c r="E2268" s="36">
        <v>9000</v>
      </c>
      <c r="F2268" s="36">
        <v>10500</v>
      </c>
      <c r="G2268" s="36">
        <v>5050</v>
      </c>
      <c r="H2268" s="36">
        <v>5900</v>
      </c>
      <c r="I2268" s="37">
        <v>0</v>
      </c>
      <c r="J2268" s="37">
        <v>0</v>
      </c>
    </row>
    <row r="2269" spans="1:10" x14ac:dyDescent="0.25">
      <c r="A2269" t="s">
        <v>4964</v>
      </c>
      <c r="B2269" t="s">
        <v>4965</v>
      </c>
      <c r="C2269" t="s">
        <v>101</v>
      </c>
      <c r="D2269" t="s">
        <v>394</v>
      </c>
      <c r="E2269" s="36">
        <v>7000</v>
      </c>
      <c r="F2269" s="36">
        <v>8500</v>
      </c>
      <c r="G2269" s="36">
        <v>4200</v>
      </c>
      <c r="H2269" s="36">
        <v>4800</v>
      </c>
      <c r="I2269" s="37">
        <v>0</v>
      </c>
      <c r="J2269" s="37">
        <v>0</v>
      </c>
    </row>
    <row r="2270" spans="1:10" x14ac:dyDescent="0.25">
      <c r="A2270" t="s">
        <v>4966</v>
      </c>
      <c r="B2270" t="s">
        <v>4967</v>
      </c>
      <c r="C2270" t="s">
        <v>101</v>
      </c>
      <c r="D2270" t="s">
        <v>394</v>
      </c>
      <c r="E2270" s="36">
        <v>1200</v>
      </c>
      <c r="F2270" s="36">
        <v>1400</v>
      </c>
      <c r="G2270" s="36">
        <v>670</v>
      </c>
      <c r="H2270" s="36">
        <v>780</v>
      </c>
      <c r="I2270" s="37">
        <v>0</v>
      </c>
      <c r="J2270" s="37">
        <v>0</v>
      </c>
    </row>
    <row r="2271" spans="1:10" x14ac:dyDescent="0.25">
      <c r="A2271" t="s">
        <v>4968</v>
      </c>
      <c r="B2271" t="s">
        <v>4969</v>
      </c>
      <c r="C2271" t="s">
        <v>101</v>
      </c>
      <c r="D2271" t="s">
        <v>394</v>
      </c>
      <c r="E2271" s="36">
        <v>4500</v>
      </c>
      <c r="F2271" s="36">
        <v>5200</v>
      </c>
      <c r="G2271" s="36">
        <v>2500</v>
      </c>
      <c r="H2271" s="36">
        <v>2900</v>
      </c>
      <c r="I2271" s="37">
        <v>0</v>
      </c>
      <c r="J2271" s="37">
        <v>0</v>
      </c>
    </row>
    <row r="2272" spans="1:10" x14ac:dyDescent="0.25">
      <c r="A2272" t="s">
        <v>4970</v>
      </c>
      <c r="B2272" t="s">
        <v>4971</v>
      </c>
      <c r="C2272" t="s">
        <v>4814</v>
      </c>
      <c r="D2272" t="s">
        <v>394</v>
      </c>
      <c r="E2272" s="36">
        <v>5500</v>
      </c>
      <c r="F2272" s="36">
        <v>6500</v>
      </c>
      <c r="G2272" s="36">
        <v>3350</v>
      </c>
      <c r="H2272" s="36">
        <v>3850</v>
      </c>
      <c r="I2272" s="37">
        <v>0</v>
      </c>
      <c r="J2272" s="37">
        <v>0</v>
      </c>
    </row>
    <row r="2273" spans="1:10" x14ac:dyDescent="0.25">
      <c r="A2273" t="s">
        <v>4972</v>
      </c>
      <c r="B2273" t="s">
        <v>4973</v>
      </c>
      <c r="C2273" t="s">
        <v>101</v>
      </c>
      <c r="D2273" t="s">
        <v>394</v>
      </c>
      <c r="E2273" s="36">
        <v>1500</v>
      </c>
      <c r="F2273" s="36">
        <v>1750</v>
      </c>
      <c r="G2273" s="36">
        <v>840</v>
      </c>
      <c r="H2273" s="36">
        <v>960</v>
      </c>
      <c r="I2273" s="37">
        <v>0</v>
      </c>
      <c r="J2273" s="37">
        <v>0</v>
      </c>
    </row>
    <row r="2274" spans="1:10" x14ac:dyDescent="0.25">
      <c r="A2274" t="s">
        <v>4974</v>
      </c>
      <c r="B2274" t="s">
        <v>4975</v>
      </c>
      <c r="C2274" t="s">
        <v>240</v>
      </c>
      <c r="D2274" t="s">
        <v>394</v>
      </c>
      <c r="E2274" s="36">
        <v>11000</v>
      </c>
      <c r="F2274" s="36">
        <v>12500</v>
      </c>
      <c r="G2274" s="36">
        <v>6600</v>
      </c>
      <c r="H2274" s="36">
        <v>7550</v>
      </c>
      <c r="I2274" s="37">
        <v>0</v>
      </c>
      <c r="J2274" s="37">
        <v>0</v>
      </c>
    </row>
    <row r="2275" spans="1:10" x14ac:dyDescent="0.25">
      <c r="A2275" t="s">
        <v>4976</v>
      </c>
      <c r="B2275" t="s">
        <v>4977</v>
      </c>
      <c r="C2275" t="s">
        <v>1428</v>
      </c>
      <c r="D2275" t="s">
        <v>394</v>
      </c>
      <c r="E2275" s="36">
        <v>3000</v>
      </c>
      <c r="F2275" s="36">
        <v>3500</v>
      </c>
      <c r="G2275" s="36">
        <v>1700</v>
      </c>
      <c r="H2275" s="36">
        <v>1900</v>
      </c>
      <c r="I2275" s="37">
        <v>0</v>
      </c>
      <c r="J2275" s="37">
        <v>0</v>
      </c>
    </row>
    <row r="2276" spans="1:10" x14ac:dyDescent="0.25">
      <c r="A2276" t="s">
        <v>4978</v>
      </c>
      <c r="B2276" t="s">
        <v>4979</v>
      </c>
      <c r="C2276" t="s">
        <v>101</v>
      </c>
      <c r="D2276" t="s">
        <v>394</v>
      </c>
      <c r="E2276" s="36">
        <v>4500</v>
      </c>
      <c r="F2276" s="36">
        <v>5200</v>
      </c>
      <c r="G2276" s="36">
        <v>2650</v>
      </c>
      <c r="H2276" s="36">
        <v>3000</v>
      </c>
      <c r="I2276" s="37">
        <v>0</v>
      </c>
      <c r="J2276" s="37">
        <v>0</v>
      </c>
    </row>
    <row r="2277" spans="1:10" x14ac:dyDescent="0.25">
      <c r="A2277" t="s">
        <v>4980</v>
      </c>
      <c r="B2277" t="s">
        <v>4981</v>
      </c>
      <c r="C2277" t="s">
        <v>101</v>
      </c>
      <c r="D2277" t="s">
        <v>371</v>
      </c>
      <c r="E2277" s="36">
        <v>8000</v>
      </c>
      <c r="F2277" s="36">
        <v>10000</v>
      </c>
      <c r="G2277" s="36">
        <v>5400</v>
      </c>
      <c r="H2277" s="36">
        <v>6600</v>
      </c>
      <c r="I2277" s="37">
        <v>0</v>
      </c>
      <c r="J2277" s="37">
        <v>0</v>
      </c>
    </row>
    <row r="2278" spans="1:10" x14ac:dyDescent="0.25">
      <c r="A2278" t="s">
        <v>4982</v>
      </c>
      <c r="B2278" t="s">
        <v>4983</v>
      </c>
      <c r="C2278" t="s">
        <v>101</v>
      </c>
      <c r="D2278" t="s">
        <v>371</v>
      </c>
      <c r="E2278" s="36">
        <v>2500</v>
      </c>
      <c r="F2278" s="36">
        <v>3000</v>
      </c>
      <c r="G2278" s="36">
        <v>1550</v>
      </c>
      <c r="H2278" s="36">
        <v>1800</v>
      </c>
      <c r="I2278" s="37">
        <v>0</v>
      </c>
      <c r="J2278" s="37">
        <v>0</v>
      </c>
    </row>
    <row r="2279" spans="1:10" x14ac:dyDescent="0.25">
      <c r="A2279" t="s">
        <v>4984</v>
      </c>
      <c r="B2279" t="s">
        <v>4985</v>
      </c>
      <c r="C2279" t="s">
        <v>4986</v>
      </c>
      <c r="D2279" t="s">
        <v>371</v>
      </c>
      <c r="E2279" s="36">
        <v>18000</v>
      </c>
      <c r="F2279" s="36">
        <v>22000</v>
      </c>
      <c r="G2279" s="36">
        <v>11400</v>
      </c>
      <c r="H2279" s="36">
        <v>13800</v>
      </c>
      <c r="I2279" s="37">
        <v>0</v>
      </c>
      <c r="J2279" s="37">
        <v>0</v>
      </c>
    </row>
    <row r="2280" spans="1:10" x14ac:dyDescent="0.25">
      <c r="A2280" t="s">
        <v>4987</v>
      </c>
      <c r="B2280" t="s">
        <v>4988</v>
      </c>
      <c r="C2280" t="s">
        <v>4986</v>
      </c>
      <c r="D2280" t="s">
        <v>371</v>
      </c>
      <c r="E2280" s="36">
        <v>12000</v>
      </c>
      <c r="F2280" s="36">
        <v>14500</v>
      </c>
      <c r="G2280" s="36">
        <v>7800</v>
      </c>
      <c r="H2280" s="36">
        <v>9000</v>
      </c>
      <c r="I2280" s="37">
        <v>0</v>
      </c>
      <c r="J2280" s="37">
        <v>0</v>
      </c>
    </row>
    <row r="2281" spans="1:10" x14ac:dyDescent="0.25">
      <c r="A2281" t="s">
        <v>4989</v>
      </c>
      <c r="B2281" t="s">
        <v>4990</v>
      </c>
      <c r="C2281" t="s">
        <v>4991</v>
      </c>
      <c r="D2281" t="s">
        <v>367</v>
      </c>
      <c r="E2281" s="36">
        <v>10000</v>
      </c>
      <c r="F2281" s="36">
        <v>12000</v>
      </c>
      <c r="G2281" s="36">
        <v>6000</v>
      </c>
      <c r="H2281" s="36">
        <v>7200</v>
      </c>
      <c r="I2281" s="37">
        <v>0</v>
      </c>
      <c r="J2281" s="37">
        <v>0</v>
      </c>
    </row>
    <row r="2282" spans="1:10" x14ac:dyDescent="0.25">
      <c r="A2282" t="s">
        <v>4992</v>
      </c>
      <c r="B2282" t="s">
        <v>4993</v>
      </c>
      <c r="C2282" t="s">
        <v>101</v>
      </c>
      <c r="D2282" t="s">
        <v>367</v>
      </c>
      <c r="E2282" s="36">
        <v>4000</v>
      </c>
      <c r="F2282" s="36">
        <v>4800</v>
      </c>
      <c r="G2282" s="36">
        <v>2400</v>
      </c>
      <c r="H2282" s="36">
        <v>2900</v>
      </c>
      <c r="I2282" s="37">
        <v>0</v>
      </c>
      <c r="J2282" s="37">
        <v>0</v>
      </c>
    </row>
    <row r="2283" spans="1:10" x14ac:dyDescent="0.25">
      <c r="A2283" t="s">
        <v>4994</v>
      </c>
      <c r="B2283" t="s">
        <v>4995</v>
      </c>
      <c r="C2283" t="s">
        <v>101</v>
      </c>
      <c r="D2283" t="s">
        <v>383</v>
      </c>
      <c r="E2283" s="36">
        <v>14934</v>
      </c>
      <c r="F2283" s="36">
        <v>17920</v>
      </c>
      <c r="G2283" s="36">
        <v>7200</v>
      </c>
      <c r="H2283" s="36">
        <v>8650</v>
      </c>
      <c r="I2283" s="37">
        <v>0.24449999999999991</v>
      </c>
      <c r="J2283" s="37">
        <v>0.23586206896551731</v>
      </c>
    </row>
    <row r="2284" spans="1:10" x14ac:dyDescent="0.25">
      <c r="A2284" t="s">
        <v>4996</v>
      </c>
      <c r="B2284" t="s">
        <v>4997</v>
      </c>
      <c r="C2284" t="s">
        <v>101</v>
      </c>
      <c r="D2284" t="s">
        <v>367</v>
      </c>
      <c r="E2284" s="36">
        <v>10000</v>
      </c>
      <c r="F2284" s="36">
        <v>12000</v>
      </c>
      <c r="G2284" s="36">
        <v>6000</v>
      </c>
      <c r="H2284" s="36">
        <v>7200</v>
      </c>
      <c r="I2284" s="37">
        <v>0</v>
      </c>
      <c r="J2284" s="37">
        <v>0</v>
      </c>
    </row>
    <row r="2285" spans="1:10" x14ac:dyDescent="0.25">
      <c r="A2285" t="s">
        <v>4998</v>
      </c>
      <c r="B2285" t="s">
        <v>4999</v>
      </c>
      <c r="C2285" t="s">
        <v>1231</v>
      </c>
      <c r="D2285" t="s">
        <v>367</v>
      </c>
      <c r="E2285" s="36">
        <v>150000</v>
      </c>
      <c r="F2285" s="36">
        <v>180000</v>
      </c>
      <c r="G2285" s="36">
        <v>90000</v>
      </c>
      <c r="H2285" s="36">
        <v>108000</v>
      </c>
      <c r="I2285" s="37">
        <v>0</v>
      </c>
      <c r="J2285" s="37">
        <v>0</v>
      </c>
    </row>
    <row r="2286" spans="1:10" x14ac:dyDescent="0.25">
      <c r="A2286" t="s">
        <v>5000</v>
      </c>
      <c r="B2286" t="s">
        <v>5001</v>
      </c>
      <c r="C2286" t="s">
        <v>1231</v>
      </c>
      <c r="D2286" t="s">
        <v>383</v>
      </c>
      <c r="E2286" s="36">
        <v>35000</v>
      </c>
      <c r="F2286" s="36">
        <v>42000</v>
      </c>
      <c r="G2286" s="36">
        <v>20400</v>
      </c>
      <c r="H2286" s="36">
        <v>24000</v>
      </c>
      <c r="I2286" s="37">
        <v>0</v>
      </c>
      <c r="J2286" s="37">
        <v>0</v>
      </c>
    </row>
    <row r="2287" spans="1:10" x14ac:dyDescent="0.25">
      <c r="A2287" t="s">
        <v>5002</v>
      </c>
      <c r="B2287" t="s">
        <v>5003</v>
      </c>
      <c r="C2287" t="s">
        <v>1231</v>
      </c>
      <c r="D2287" t="s">
        <v>383</v>
      </c>
      <c r="E2287" s="36">
        <v>90000</v>
      </c>
      <c r="F2287" s="36">
        <v>110000</v>
      </c>
      <c r="G2287" s="36">
        <v>54000</v>
      </c>
      <c r="H2287" s="36">
        <v>66000</v>
      </c>
      <c r="I2287" s="37">
        <v>0</v>
      </c>
      <c r="J2287" s="37">
        <v>0</v>
      </c>
    </row>
    <row r="2288" spans="1:10" x14ac:dyDescent="0.25">
      <c r="A2288" t="s">
        <v>5004</v>
      </c>
      <c r="B2288" t="s">
        <v>5005</v>
      </c>
      <c r="C2288" t="s">
        <v>1231</v>
      </c>
      <c r="D2288" t="s">
        <v>383</v>
      </c>
      <c r="E2288" s="36">
        <v>55000</v>
      </c>
      <c r="F2288" s="36">
        <v>65000</v>
      </c>
      <c r="G2288" s="36">
        <v>33600</v>
      </c>
      <c r="H2288" s="36">
        <v>39600</v>
      </c>
      <c r="I2288" s="37">
        <v>0</v>
      </c>
      <c r="J2288" s="37">
        <v>0</v>
      </c>
    </row>
    <row r="2289" spans="1:10" x14ac:dyDescent="0.25">
      <c r="A2289" t="s">
        <v>5006</v>
      </c>
      <c r="B2289" t="s">
        <v>5007</v>
      </c>
      <c r="C2289" t="s">
        <v>101</v>
      </c>
      <c r="D2289" t="s">
        <v>383</v>
      </c>
      <c r="E2289" s="36">
        <v>3000</v>
      </c>
      <c r="F2289" s="36">
        <v>3500</v>
      </c>
      <c r="G2289" s="36">
        <v>1800</v>
      </c>
      <c r="H2289" s="36">
        <v>2150</v>
      </c>
      <c r="I2289" s="37">
        <v>0</v>
      </c>
      <c r="J2289" s="37">
        <v>0</v>
      </c>
    </row>
    <row r="2290" spans="1:10" x14ac:dyDescent="0.25">
      <c r="A2290" t="s">
        <v>5008</v>
      </c>
      <c r="B2290" t="s">
        <v>5009</v>
      </c>
      <c r="C2290" t="s">
        <v>2428</v>
      </c>
      <c r="D2290" t="s">
        <v>371</v>
      </c>
      <c r="E2290" s="36">
        <v>25000</v>
      </c>
      <c r="F2290" s="36">
        <v>30000</v>
      </c>
      <c r="G2290" s="36">
        <v>15000</v>
      </c>
      <c r="H2290" s="36">
        <v>18000</v>
      </c>
      <c r="I2290" s="37">
        <v>0</v>
      </c>
      <c r="J2290" s="37">
        <v>0</v>
      </c>
    </row>
    <row r="2291" spans="1:10" x14ac:dyDescent="0.25">
      <c r="A2291" t="s">
        <v>5010</v>
      </c>
      <c r="B2291" t="s">
        <v>5011</v>
      </c>
      <c r="C2291" t="s">
        <v>2428</v>
      </c>
      <c r="D2291" t="s">
        <v>371</v>
      </c>
      <c r="E2291" s="36">
        <v>15000</v>
      </c>
      <c r="F2291" s="36">
        <v>18000</v>
      </c>
      <c r="G2291" s="36">
        <v>9000</v>
      </c>
      <c r="H2291" s="36">
        <v>10800</v>
      </c>
      <c r="I2291" s="37">
        <v>0</v>
      </c>
      <c r="J2291" s="37">
        <v>0</v>
      </c>
    </row>
    <row r="2292" spans="1:10" x14ac:dyDescent="0.25">
      <c r="A2292" t="s">
        <v>5012</v>
      </c>
      <c r="B2292" t="s">
        <v>5013</v>
      </c>
      <c r="C2292" t="s">
        <v>101</v>
      </c>
      <c r="D2292" t="s">
        <v>375</v>
      </c>
      <c r="E2292" s="36">
        <v>3500</v>
      </c>
      <c r="F2292" s="36">
        <v>4000</v>
      </c>
      <c r="G2292" s="36">
        <v>1900</v>
      </c>
      <c r="H2292" s="36">
        <v>2300</v>
      </c>
      <c r="I2292" s="37">
        <v>0</v>
      </c>
      <c r="J2292" s="37">
        <v>0</v>
      </c>
    </row>
    <row r="2293" spans="1:10" x14ac:dyDescent="0.25">
      <c r="A2293" t="s">
        <v>5014</v>
      </c>
      <c r="B2293" t="s">
        <v>5015</v>
      </c>
      <c r="C2293" t="s">
        <v>2428</v>
      </c>
      <c r="D2293" t="s">
        <v>371</v>
      </c>
      <c r="E2293" s="36">
        <v>18000</v>
      </c>
      <c r="F2293" s="36">
        <v>22000</v>
      </c>
      <c r="G2293" s="36">
        <v>10800</v>
      </c>
      <c r="H2293" s="36">
        <v>13200</v>
      </c>
      <c r="I2293" s="37">
        <v>0</v>
      </c>
      <c r="J2293" s="37">
        <v>0</v>
      </c>
    </row>
    <row r="2294" spans="1:10" x14ac:dyDescent="0.25">
      <c r="A2294" t="s">
        <v>5016</v>
      </c>
      <c r="B2294" t="s">
        <v>5017</v>
      </c>
      <c r="C2294" t="s">
        <v>101</v>
      </c>
      <c r="D2294" t="s">
        <v>371</v>
      </c>
      <c r="E2294" s="36">
        <v>4500</v>
      </c>
      <c r="F2294" s="36">
        <v>5500</v>
      </c>
      <c r="G2294" s="36">
        <v>2650</v>
      </c>
      <c r="H2294" s="36">
        <v>3100</v>
      </c>
      <c r="I2294" s="37">
        <v>0</v>
      </c>
      <c r="J2294" s="37">
        <v>0</v>
      </c>
    </row>
    <row r="2295" spans="1:10" x14ac:dyDescent="0.25">
      <c r="A2295" t="s">
        <v>5018</v>
      </c>
      <c r="B2295" t="s">
        <v>5019</v>
      </c>
      <c r="C2295" t="s">
        <v>101</v>
      </c>
      <c r="D2295" t="s">
        <v>367</v>
      </c>
      <c r="E2295" s="36">
        <v>15000</v>
      </c>
      <c r="F2295" s="36">
        <v>18000</v>
      </c>
      <c r="G2295" s="36">
        <v>9000</v>
      </c>
      <c r="H2295" s="36">
        <v>10800</v>
      </c>
      <c r="I2295" s="37">
        <v>0</v>
      </c>
      <c r="J2295" s="37">
        <v>0</v>
      </c>
    </row>
    <row r="2296" spans="1:10" x14ac:dyDescent="0.25">
      <c r="A2296" t="s">
        <v>5020</v>
      </c>
      <c r="B2296" t="s">
        <v>5021</v>
      </c>
      <c r="C2296" t="s">
        <v>101</v>
      </c>
      <c r="D2296" t="s">
        <v>383</v>
      </c>
      <c r="E2296" s="36">
        <v>10000</v>
      </c>
      <c r="F2296" s="36">
        <v>12000</v>
      </c>
      <c r="G2296" s="36">
        <v>6000</v>
      </c>
      <c r="H2296" s="36">
        <v>7200</v>
      </c>
      <c r="I2296" s="37">
        <v>0</v>
      </c>
      <c r="J2296" s="37">
        <v>0</v>
      </c>
    </row>
    <row r="2297" spans="1:10" x14ac:dyDescent="0.25">
      <c r="A2297" t="s">
        <v>5022</v>
      </c>
      <c r="B2297" t="s">
        <v>5023</v>
      </c>
      <c r="C2297" t="s">
        <v>2428</v>
      </c>
      <c r="D2297" t="s">
        <v>367</v>
      </c>
      <c r="E2297" s="36">
        <v>12000</v>
      </c>
      <c r="F2297" s="36">
        <v>14000</v>
      </c>
      <c r="G2297" s="36">
        <v>7200</v>
      </c>
      <c r="H2297" s="36">
        <v>8400</v>
      </c>
      <c r="I2297" s="37">
        <v>0</v>
      </c>
      <c r="J2297" s="37">
        <v>0</v>
      </c>
    </row>
    <row r="2298" spans="1:10" x14ac:dyDescent="0.25">
      <c r="A2298" t="s">
        <v>5024</v>
      </c>
      <c r="B2298" t="s">
        <v>5025</v>
      </c>
      <c r="C2298" t="s">
        <v>5026</v>
      </c>
      <c r="D2298" t="s">
        <v>390</v>
      </c>
      <c r="E2298" s="36">
        <v>500</v>
      </c>
      <c r="F2298" s="36">
        <v>600</v>
      </c>
      <c r="G2298" s="36">
        <v>300</v>
      </c>
      <c r="H2298" s="36">
        <v>360</v>
      </c>
      <c r="I2298" s="37">
        <v>0</v>
      </c>
      <c r="J2298" s="37">
        <v>0</v>
      </c>
    </row>
    <row r="2299" spans="1:10" x14ac:dyDescent="0.25">
      <c r="A2299" t="s">
        <v>5027</v>
      </c>
      <c r="B2299" t="s">
        <v>5028</v>
      </c>
      <c r="C2299" t="s">
        <v>5026</v>
      </c>
      <c r="D2299" t="s">
        <v>390</v>
      </c>
      <c r="E2299" s="36">
        <v>11000</v>
      </c>
      <c r="F2299" s="36">
        <v>13000</v>
      </c>
      <c r="G2299" s="36">
        <v>7200</v>
      </c>
      <c r="H2299" s="36">
        <v>8400</v>
      </c>
      <c r="I2299" s="37">
        <v>0</v>
      </c>
      <c r="J2299" s="37">
        <v>0</v>
      </c>
    </row>
    <row r="2300" spans="1:10" x14ac:dyDescent="0.25">
      <c r="A2300" t="s">
        <v>5029</v>
      </c>
      <c r="B2300" t="s">
        <v>5030</v>
      </c>
      <c r="C2300" t="s">
        <v>5026</v>
      </c>
      <c r="D2300" t="s">
        <v>390</v>
      </c>
      <c r="E2300" s="36">
        <v>10000</v>
      </c>
      <c r="F2300" s="36">
        <v>12000</v>
      </c>
      <c r="G2300" s="36">
        <v>6600</v>
      </c>
      <c r="H2300" s="36">
        <v>7800</v>
      </c>
      <c r="I2300" s="37">
        <v>0</v>
      </c>
      <c r="J2300" s="37">
        <v>0</v>
      </c>
    </row>
    <row r="2301" spans="1:10" x14ac:dyDescent="0.25">
      <c r="A2301" t="s">
        <v>5031</v>
      </c>
      <c r="B2301" t="s">
        <v>5032</v>
      </c>
      <c r="C2301" t="s">
        <v>5026</v>
      </c>
      <c r="D2301" t="s">
        <v>390</v>
      </c>
      <c r="E2301" s="36">
        <v>800</v>
      </c>
      <c r="F2301" s="36">
        <v>950</v>
      </c>
      <c r="G2301" s="36">
        <v>480</v>
      </c>
      <c r="H2301" s="36">
        <v>540</v>
      </c>
      <c r="I2301" s="37">
        <v>0</v>
      </c>
      <c r="J2301" s="37">
        <v>0</v>
      </c>
    </row>
    <row r="2302" spans="1:10" x14ac:dyDescent="0.25">
      <c r="A2302" t="s">
        <v>5033</v>
      </c>
      <c r="B2302" t="s">
        <v>5034</v>
      </c>
      <c r="C2302" t="s">
        <v>5026</v>
      </c>
      <c r="D2302" t="s">
        <v>390</v>
      </c>
      <c r="E2302" s="36">
        <v>800</v>
      </c>
      <c r="F2302" s="36">
        <v>950</v>
      </c>
      <c r="G2302" s="36">
        <v>480</v>
      </c>
      <c r="H2302" s="36">
        <v>540</v>
      </c>
      <c r="I2302" s="37">
        <v>0</v>
      </c>
      <c r="J2302" s="37">
        <v>0</v>
      </c>
    </row>
    <row r="2303" spans="1:10" x14ac:dyDescent="0.25">
      <c r="A2303" t="s">
        <v>5035</v>
      </c>
      <c r="B2303" t="s">
        <v>5036</v>
      </c>
      <c r="C2303" t="s">
        <v>5026</v>
      </c>
      <c r="D2303" t="s">
        <v>390</v>
      </c>
      <c r="E2303" s="36">
        <v>600</v>
      </c>
      <c r="F2303" s="36">
        <v>700</v>
      </c>
      <c r="G2303" s="36">
        <v>360</v>
      </c>
      <c r="H2303" s="36">
        <v>420</v>
      </c>
      <c r="I2303" s="37">
        <v>0</v>
      </c>
      <c r="J2303" s="37">
        <v>0</v>
      </c>
    </row>
    <row r="2304" spans="1:10" x14ac:dyDescent="0.25">
      <c r="A2304" t="s">
        <v>5037</v>
      </c>
      <c r="B2304" t="s">
        <v>5038</v>
      </c>
      <c r="C2304" t="s">
        <v>5026</v>
      </c>
      <c r="D2304" t="s">
        <v>390</v>
      </c>
      <c r="E2304" s="36">
        <v>1500</v>
      </c>
      <c r="F2304" s="36">
        <v>1750</v>
      </c>
      <c r="G2304" s="36">
        <v>840</v>
      </c>
      <c r="H2304" s="36">
        <v>960</v>
      </c>
      <c r="I2304" s="37">
        <v>0</v>
      </c>
      <c r="J2304" s="37">
        <v>0</v>
      </c>
    </row>
    <row r="2305" spans="1:10" x14ac:dyDescent="0.25">
      <c r="A2305" t="s">
        <v>5039</v>
      </c>
      <c r="B2305" t="s">
        <v>5040</v>
      </c>
      <c r="C2305" t="s">
        <v>5026</v>
      </c>
      <c r="D2305" t="s">
        <v>390</v>
      </c>
      <c r="E2305" s="36">
        <v>2500</v>
      </c>
      <c r="F2305" s="36">
        <v>3000</v>
      </c>
      <c r="G2305" s="36">
        <v>1550</v>
      </c>
      <c r="H2305" s="36">
        <v>1800</v>
      </c>
      <c r="I2305" s="37">
        <v>0</v>
      </c>
      <c r="J2305" s="37">
        <v>0</v>
      </c>
    </row>
    <row r="2306" spans="1:10" x14ac:dyDescent="0.25">
      <c r="A2306" t="s">
        <v>5041</v>
      </c>
      <c r="B2306" t="s">
        <v>5042</v>
      </c>
      <c r="C2306" t="s">
        <v>5026</v>
      </c>
      <c r="D2306" t="s">
        <v>390</v>
      </c>
      <c r="E2306" s="36">
        <v>500</v>
      </c>
      <c r="F2306" s="36">
        <v>600</v>
      </c>
      <c r="G2306" s="36">
        <v>300</v>
      </c>
      <c r="H2306" s="36">
        <v>360</v>
      </c>
      <c r="I2306" s="37">
        <v>0</v>
      </c>
      <c r="J2306" s="37">
        <v>0</v>
      </c>
    </row>
    <row r="2307" spans="1:10" x14ac:dyDescent="0.25">
      <c r="A2307" t="s">
        <v>5043</v>
      </c>
      <c r="B2307" t="s">
        <v>5044</v>
      </c>
      <c r="C2307" t="s">
        <v>5026</v>
      </c>
      <c r="D2307" t="s">
        <v>390</v>
      </c>
      <c r="E2307" s="36">
        <v>800</v>
      </c>
      <c r="F2307" s="36">
        <v>900</v>
      </c>
      <c r="G2307" s="36">
        <v>480</v>
      </c>
      <c r="H2307" s="36">
        <v>540</v>
      </c>
      <c r="I2307" s="37">
        <v>0</v>
      </c>
      <c r="J2307" s="37">
        <v>0</v>
      </c>
    </row>
    <row r="2308" spans="1:10" x14ac:dyDescent="0.25">
      <c r="A2308" t="s">
        <v>5045</v>
      </c>
      <c r="B2308" t="s">
        <v>5046</v>
      </c>
      <c r="C2308" t="s">
        <v>5026</v>
      </c>
      <c r="D2308" t="s">
        <v>390</v>
      </c>
      <c r="E2308" s="36">
        <v>800</v>
      </c>
      <c r="F2308" s="36">
        <v>900</v>
      </c>
      <c r="G2308" s="36">
        <v>480</v>
      </c>
      <c r="H2308" s="36">
        <v>540</v>
      </c>
      <c r="I2308" s="37">
        <v>0</v>
      </c>
      <c r="J2308" s="37">
        <v>0</v>
      </c>
    </row>
    <row r="2309" spans="1:10" x14ac:dyDescent="0.25">
      <c r="A2309" t="s">
        <v>5047</v>
      </c>
      <c r="B2309" t="s">
        <v>5048</v>
      </c>
      <c r="C2309" t="s">
        <v>5026</v>
      </c>
      <c r="D2309" t="s">
        <v>390</v>
      </c>
      <c r="E2309" s="36">
        <v>2000</v>
      </c>
      <c r="F2309" s="36">
        <v>2400</v>
      </c>
      <c r="G2309" s="36">
        <v>1200</v>
      </c>
      <c r="H2309" s="36">
        <v>1450</v>
      </c>
      <c r="I2309" s="37">
        <v>0</v>
      </c>
      <c r="J2309" s="37">
        <v>0</v>
      </c>
    </row>
    <row r="2310" spans="1:10" x14ac:dyDescent="0.25">
      <c r="A2310" t="s">
        <v>5049</v>
      </c>
      <c r="B2310" t="s">
        <v>5050</v>
      </c>
      <c r="C2310" t="s">
        <v>5026</v>
      </c>
      <c r="D2310" t="s">
        <v>390</v>
      </c>
      <c r="E2310" s="36">
        <v>3000</v>
      </c>
      <c r="F2310" s="36">
        <v>3500</v>
      </c>
      <c r="G2310" s="36">
        <v>1700</v>
      </c>
      <c r="H2310" s="36">
        <v>1900</v>
      </c>
      <c r="I2310" s="37">
        <v>0</v>
      </c>
      <c r="J2310" s="37">
        <v>0</v>
      </c>
    </row>
    <row r="2311" spans="1:10" x14ac:dyDescent="0.25">
      <c r="A2311" t="s">
        <v>5051</v>
      </c>
      <c r="B2311" t="s">
        <v>5052</v>
      </c>
      <c r="C2311" t="s">
        <v>5026</v>
      </c>
      <c r="D2311" t="s">
        <v>390</v>
      </c>
      <c r="E2311" s="36">
        <v>4500</v>
      </c>
      <c r="F2311" s="36">
        <v>5000</v>
      </c>
      <c r="G2311" s="36">
        <v>2650</v>
      </c>
      <c r="H2311" s="36">
        <v>3000</v>
      </c>
      <c r="I2311" s="37">
        <v>0</v>
      </c>
      <c r="J2311" s="37">
        <v>0</v>
      </c>
    </row>
    <row r="2312" spans="1:10" x14ac:dyDescent="0.25">
      <c r="A2312" t="s">
        <v>5053</v>
      </c>
      <c r="B2312" t="s">
        <v>5054</v>
      </c>
      <c r="C2312" t="s">
        <v>5026</v>
      </c>
      <c r="D2312" t="s">
        <v>390</v>
      </c>
      <c r="E2312" s="36">
        <v>4500</v>
      </c>
      <c r="F2312" s="36">
        <v>5000</v>
      </c>
      <c r="G2312" s="36">
        <v>2650</v>
      </c>
      <c r="H2312" s="36">
        <v>3000</v>
      </c>
      <c r="I2312" s="37">
        <v>0</v>
      </c>
      <c r="J2312" s="37">
        <v>0</v>
      </c>
    </row>
    <row r="2313" spans="1:10" x14ac:dyDescent="0.25">
      <c r="A2313" t="s">
        <v>5055</v>
      </c>
      <c r="B2313" t="s">
        <v>5056</v>
      </c>
      <c r="C2313" t="s">
        <v>5026</v>
      </c>
      <c r="D2313" t="s">
        <v>390</v>
      </c>
      <c r="E2313" s="36">
        <v>6000</v>
      </c>
      <c r="F2313" s="36">
        <v>7000</v>
      </c>
      <c r="G2313" s="36">
        <v>3600</v>
      </c>
      <c r="H2313" s="36">
        <v>4200</v>
      </c>
      <c r="I2313" s="37">
        <v>0</v>
      </c>
      <c r="J2313" s="37">
        <v>0</v>
      </c>
    </row>
    <row r="2314" spans="1:10" x14ac:dyDescent="0.25">
      <c r="A2314" t="s">
        <v>5057</v>
      </c>
      <c r="B2314" t="s">
        <v>5058</v>
      </c>
      <c r="C2314" t="s">
        <v>5026</v>
      </c>
      <c r="D2314" t="s">
        <v>390</v>
      </c>
      <c r="E2314" s="36">
        <v>3500</v>
      </c>
      <c r="F2314" s="36">
        <v>4000</v>
      </c>
      <c r="G2314" s="36">
        <v>2150</v>
      </c>
      <c r="H2314" s="36">
        <v>2400</v>
      </c>
      <c r="I2314" s="37">
        <v>0</v>
      </c>
      <c r="J2314" s="37">
        <v>0</v>
      </c>
    </row>
    <row r="2315" spans="1:10" x14ac:dyDescent="0.25">
      <c r="A2315" t="s">
        <v>5059</v>
      </c>
      <c r="B2315" t="s">
        <v>5060</v>
      </c>
      <c r="C2315" t="s">
        <v>5026</v>
      </c>
      <c r="D2315" t="s">
        <v>390</v>
      </c>
      <c r="E2315" s="36">
        <v>1200</v>
      </c>
      <c r="F2315" s="36">
        <v>1400</v>
      </c>
      <c r="G2315" s="36">
        <v>720</v>
      </c>
      <c r="H2315" s="36">
        <v>840</v>
      </c>
      <c r="I2315" s="37">
        <v>0</v>
      </c>
      <c r="J2315" s="37">
        <v>0</v>
      </c>
    </row>
    <row r="2316" spans="1:10" x14ac:dyDescent="0.25">
      <c r="A2316" t="s">
        <v>5061</v>
      </c>
      <c r="B2316" t="s">
        <v>5062</v>
      </c>
      <c r="C2316" t="s">
        <v>5026</v>
      </c>
      <c r="D2316" t="s">
        <v>390</v>
      </c>
      <c r="E2316" s="36">
        <v>1800</v>
      </c>
      <c r="F2316" s="36">
        <v>2100</v>
      </c>
      <c r="G2316" s="36">
        <v>1100</v>
      </c>
      <c r="H2316" s="36">
        <v>1250</v>
      </c>
      <c r="I2316" s="37">
        <v>0</v>
      </c>
      <c r="J2316" s="37">
        <v>0</v>
      </c>
    </row>
    <row r="2317" spans="1:10" x14ac:dyDescent="0.25">
      <c r="A2317" t="s">
        <v>5063</v>
      </c>
      <c r="B2317" t="s">
        <v>5064</v>
      </c>
      <c r="C2317" t="s">
        <v>5026</v>
      </c>
      <c r="D2317" t="s">
        <v>390</v>
      </c>
      <c r="E2317" s="36">
        <v>2500</v>
      </c>
      <c r="F2317" s="36">
        <v>3000</v>
      </c>
      <c r="G2317" s="36">
        <v>1550</v>
      </c>
      <c r="H2317" s="36">
        <v>1800</v>
      </c>
      <c r="I2317" s="37">
        <v>0</v>
      </c>
      <c r="J2317" s="37">
        <v>0</v>
      </c>
    </row>
    <row r="2318" spans="1:10" x14ac:dyDescent="0.25">
      <c r="A2318" t="s">
        <v>5065</v>
      </c>
      <c r="B2318" t="s">
        <v>5066</v>
      </c>
      <c r="C2318" t="s">
        <v>5026</v>
      </c>
      <c r="D2318" t="s">
        <v>390</v>
      </c>
      <c r="E2318" s="36">
        <v>500</v>
      </c>
      <c r="F2318" s="36">
        <v>600</v>
      </c>
      <c r="G2318" s="36">
        <v>300</v>
      </c>
      <c r="H2318" s="36">
        <v>360</v>
      </c>
      <c r="I2318" s="37">
        <v>0</v>
      </c>
      <c r="J2318" s="37">
        <v>0</v>
      </c>
    </row>
    <row r="2319" spans="1:10" x14ac:dyDescent="0.25">
      <c r="A2319" t="s">
        <v>5067</v>
      </c>
      <c r="B2319" t="s">
        <v>5068</v>
      </c>
      <c r="C2319" t="s">
        <v>5026</v>
      </c>
      <c r="D2319" t="s">
        <v>390</v>
      </c>
      <c r="E2319" s="36">
        <v>1200</v>
      </c>
      <c r="F2319" s="36">
        <v>1400</v>
      </c>
      <c r="G2319" s="36">
        <v>720</v>
      </c>
      <c r="H2319" s="36">
        <v>840</v>
      </c>
      <c r="I2319" s="37">
        <v>0</v>
      </c>
      <c r="J2319" s="37">
        <v>0</v>
      </c>
    </row>
    <row r="2320" spans="1:10" x14ac:dyDescent="0.25">
      <c r="A2320" t="s">
        <v>5069</v>
      </c>
      <c r="B2320" t="s">
        <v>5070</v>
      </c>
      <c r="C2320" t="s">
        <v>5026</v>
      </c>
      <c r="D2320" t="s">
        <v>390</v>
      </c>
      <c r="E2320" s="36">
        <v>1200</v>
      </c>
      <c r="F2320" s="36">
        <v>1400</v>
      </c>
      <c r="G2320" s="36">
        <v>720</v>
      </c>
      <c r="H2320" s="36">
        <v>840</v>
      </c>
      <c r="I2320" s="37">
        <v>0</v>
      </c>
      <c r="J2320" s="37">
        <v>0</v>
      </c>
    </row>
    <row r="2321" spans="1:10" x14ac:dyDescent="0.25">
      <c r="A2321" t="s">
        <v>5071</v>
      </c>
      <c r="B2321" t="s">
        <v>5072</v>
      </c>
      <c r="C2321" t="s">
        <v>5026</v>
      </c>
      <c r="D2321" t="s">
        <v>390</v>
      </c>
      <c r="E2321" s="36">
        <v>1000</v>
      </c>
      <c r="F2321" s="36">
        <v>1150</v>
      </c>
      <c r="G2321" s="36">
        <v>600</v>
      </c>
      <c r="H2321" s="36">
        <v>660</v>
      </c>
      <c r="I2321" s="37">
        <v>0</v>
      </c>
      <c r="J2321" s="37">
        <v>0</v>
      </c>
    </row>
    <row r="2322" spans="1:10" x14ac:dyDescent="0.25">
      <c r="A2322" t="s">
        <v>5073</v>
      </c>
      <c r="B2322" t="s">
        <v>5074</v>
      </c>
      <c r="C2322" t="s">
        <v>5026</v>
      </c>
      <c r="D2322" t="s">
        <v>390</v>
      </c>
      <c r="E2322" s="36">
        <v>2000</v>
      </c>
      <c r="F2322" s="36">
        <v>2400</v>
      </c>
      <c r="G2322" s="36">
        <v>1100</v>
      </c>
      <c r="H2322" s="36">
        <v>1250</v>
      </c>
      <c r="I2322" s="37">
        <v>0.1111111111111112</v>
      </c>
      <c r="J2322" s="37">
        <v>0.14285714285714279</v>
      </c>
    </row>
    <row r="2323" spans="1:10" x14ac:dyDescent="0.25">
      <c r="A2323" t="s">
        <v>5075</v>
      </c>
      <c r="B2323" t="s">
        <v>5076</v>
      </c>
      <c r="C2323" t="s">
        <v>5026</v>
      </c>
      <c r="D2323" t="s">
        <v>390</v>
      </c>
      <c r="E2323" s="36">
        <v>2500</v>
      </c>
      <c r="F2323" s="36">
        <v>3000</v>
      </c>
      <c r="G2323" s="36">
        <v>1550</v>
      </c>
      <c r="H2323" s="36">
        <v>1800</v>
      </c>
      <c r="I2323" s="37">
        <v>0</v>
      </c>
      <c r="J2323" s="37">
        <v>0</v>
      </c>
    </row>
    <row r="2324" spans="1:10" x14ac:dyDescent="0.25">
      <c r="A2324" t="s">
        <v>5077</v>
      </c>
      <c r="B2324" t="s">
        <v>5078</v>
      </c>
      <c r="C2324" t="s">
        <v>5026</v>
      </c>
      <c r="D2324" t="s">
        <v>390</v>
      </c>
      <c r="E2324" s="36">
        <v>1800</v>
      </c>
      <c r="F2324" s="36">
        <v>2100</v>
      </c>
      <c r="G2324" s="36">
        <v>1100</v>
      </c>
      <c r="H2324" s="36">
        <v>1250</v>
      </c>
      <c r="I2324" s="37">
        <v>0</v>
      </c>
      <c r="J2324" s="37">
        <v>0</v>
      </c>
    </row>
    <row r="2325" spans="1:10" x14ac:dyDescent="0.25">
      <c r="A2325" t="s">
        <v>5079</v>
      </c>
      <c r="B2325" t="s">
        <v>5080</v>
      </c>
      <c r="C2325" t="s">
        <v>5026</v>
      </c>
      <c r="D2325" t="s">
        <v>390</v>
      </c>
      <c r="E2325" s="36">
        <v>500</v>
      </c>
      <c r="F2325" s="36">
        <v>600</v>
      </c>
      <c r="G2325" s="36">
        <v>300</v>
      </c>
      <c r="H2325" s="36">
        <v>360</v>
      </c>
      <c r="I2325" s="37">
        <v>0</v>
      </c>
      <c r="J2325" s="37">
        <v>0</v>
      </c>
    </row>
    <row r="2326" spans="1:10" x14ac:dyDescent="0.25">
      <c r="A2326" t="s">
        <v>5081</v>
      </c>
      <c r="B2326" t="s">
        <v>5082</v>
      </c>
      <c r="C2326" t="s">
        <v>5026</v>
      </c>
      <c r="D2326" t="s">
        <v>390</v>
      </c>
      <c r="E2326" s="36">
        <v>900</v>
      </c>
      <c r="F2326" s="36">
        <v>1050</v>
      </c>
      <c r="G2326" s="36">
        <v>540</v>
      </c>
      <c r="H2326" s="36">
        <v>600</v>
      </c>
      <c r="I2326" s="37">
        <v>0</v>
      </c>
      <c r="J2326" s="37">
        <v>0</v>
      </c>
    </row>
    <row r="2327" spans="1:10" x14ac:dyDescent="0.25">
      <c r="A2327" t="s">
        <v>5083</v>
      </c>
      <c r="B2327" t="s">
        <v>5084</v>
      </c>
      <c r="C2327" t="s">
        <v>5026</v>
      </c>
      <c r="D2327" t="s">
        <v>390</v>
      </c>
      <c r="E2327" s="36">
        <v>500</v>
      </c>
      <c r="F2327" s="36">
        <v>600</v>
      </c>
      <c r="G2327" s="36">
        <v>300</v>
      </c>
      <c r="H2327" s="36">
        <v>360</v>
      </c>
      <c r="I2327" s="37">
        <v>0</v>
      </c>
      <c r="J2327" s="37">
        <v>0</v>
      </c>
    </row>
    <row r="2328" spans="1:10" x14ac:dyDescent="0.25">
      <c r="A2328" t="s">
        <v>5085</v>
      </c>
      <c r="B2328" t="s">
        <v>5086</v>
      </c>
      <c r="C2328" t="s">
        <v>5026</v>
      </c>
      <c r="D2328" t="s">
        <v>390</v>
      </c>
      <c r="E2328" s="36">
        <v>9000</v>
      </c>
      <c r="F2328" s="36">
        <v>10000</v>
      </c>
      <c r="G2328" s="36">
        <v>5400</v>
      </c>
      <c r="H2328" s="36">
        <v>6000</v>
      </c>
      <c r="I2328" s="37">
        <v>0</v>
      </c>
      <c r="J2328" s="37">
        <v>0</v>
      </c>
    </row>
    <row r="2329" spans="1:10" x14ac:dyDescent="0.25">
      <c r="A2329" t="s">
        <v>5087</v>
      </c>
      <c r="B2329" t="s">
        <v>5088</v>
      </c>
      <c r="C2329" t="s">
        <v>5026</v>
      </c>
      <c r="D2329" t="s">
        <v>390</v>
      </c>
      <c r="E2329" s="36">
        <v>9000</v>
      </c>
      <c r="F2329" s="36">
        <v>10000</v>
      </c>
      <c r="G2329" s="36">
        <v>5400</v>
      </c>
      <c r="H2329" s="36">
        <v>6000</v>
      </c>
      <c r="I2329" s="37">
        <v>0</v>
      </c>
      <c r="J2329" s="37">
        <v>0</v>
      </c>
    </row>
    <row r="2330" spans="1:10" x14ac:dyDescent="0.25">
      <c r="A2330" t="s">
        <v>5089</v>
      </c>
      <c r="B2330" t="s">
        <v>5090</v>
      </c>
      <c r="C2330" t="s">
        <v>5026</v>
      </c>
      <c r="D2330" t="s">
        <v>390</v>
      </c>
      <c r="E2330" s="36">
        <v>4000</v>
      </c>
      <c r="F2330" s="36">
        <v>4500</v>
      </c>
      <c r="G2330" s="36">
        <v>2400</v>
      </c>
      <c r="H2330" s="36">
        <v>2650</v>
      </c>
      <c r="I2330" s="37">
        <v>0</v>
      </c>
      <c r="J2330" s="37">
        <v>0</v>
      </c>
    </row>
    <row r="2331" spans="1:10" x14ac:dyDescent="0.25">
      <c r="A2331" t="s">
        <v>5091</v>
      </c>
      <c r="B2331" t="s">
        <v>5092</v>
      </c>
      <c r="C2331" t="s">
        <v>5026</v>
      </c>
      <c r="D2331" t="s">
        <v>390</v>
      </c>
      <c r="E2331" s="36">
        <v>4500</v>
      </c>
      <c r="F2331" s="36">
        <v>5000</v>
      </c>
      <c r="G2331" s="36">
        <v>2650</v>
      </c>
      <c r="H2331" s="36">
        <v>3000</v>
      </c>
      <c r="I2331" s="37">
        <v>0</v>
      </c>
      <c r="J2331" s="37">
        <v>0</v>
      </c>
    </row>
    <row r="2332" spans="1:10" x14ac:dyDescent="0.25">
      <c r="A2332" t="s">
        <v>5093</v>
      </c>
      <c r="B2332" t="s">
        <v>5094</v>
      </c>
      <c r="C2332" t="s">
        <v>5026</v>
      </c>
      <c r="D2332" t="s">
        <v>390</v>
      </c>
      <c r="E2332" s="36">
        <v>4500</v>
      </c>
      <c r="F2332" s="36">
        <v>5000</v>
      </c>
      <c r="G2332" s="36">
        <v>2650</v>
      </c>
      <c r="H2332" s="36">
        <v>3000</v>
      </c>
      <c r="I2332" s="37">
        <v>0</v>
      </c>
      <c r="J2332" s="37">
        <v>0</v>
      </c>
    </row>
    <row r="2333" spans="1:10" x14ac:dyDescent="0.25">
      <c r="A2333" t="s">
        <v>5095</v>
      </c>
      <c r="B2333" t="s">
        <v>5096</v>
      </c>
      <c r="C2333" t="s">
        <v>5026</v>
      </c>
      <c r="D2333" t="s">
        <v>390</v>
      </c>
      <c r="E2333" s="36">
        <v>500</v>
      </c>
      <c r="F2333" s="36">
        <v>600</v>
      </c>
      <c r="G2333" s="36">
        <v>300</v>
      </c>
      <c r="H2333" s="36">
        <v>360</v>
      </c>
      <c r="I2333" s="37">
        <v>0</v>
      </c>
      <c r="J2333" s="37">
        <v>0</v>
      </c>
    </row>
    <row r="2334" spans="1:10" x14ac:dyDescent="0.25">
      <c r="A2334" t="s">
        <v>5097</v>
      </c>
      <c r="B2334" t="s">
        <v>5098</v>
      </c>
      <c r="C2334" t="s">
        <v>5026</v>
      </c>
      <c r="D2334" t="s">
        <v>390</v>
      </c>
      <c r="E2334" s="36">
        <v>6500</v>
      </c>
      <c r="F2334" s="36">
        <v>8000</v>
      </c>
      <c r="G2334" s="36">
        <v>3600</v>
      </c>
      <c r="H2334" s="36">
        <v>4300</v>
      </c>
      <c r="I2334" s="37">
        <v>0</v>
      </c>
      <c r="J2334" s="37">
        <v>0</v>
      </c>
    </row>
    <row r="2335" spans="1:10" x14ac:dyDescent="0.25">
      <c r="A2335" t="s">
        <v>5099</v>
      </c>
      <c r="B2335" t="s">
        <v>5100</v>
      </c>
      <c r="C2335" t="s">
        <v>5026</v>
      </c>
      <c r="D2335" t="s">
        <v>390</v>
      </c>
      <c r="E2335" s="36">
        <v>6500</v>
      </c>
      <c r="F2335" s="36">
        <v>8000</v>
      </c>
      <c r="G2335" s="36">
        <v>3600</v>
      </c>
      <c r="H2335" s="36">
        <v>4300</v>
      </c>
      <c r="I2335" s="37">
        <v>0</v>
      </c>
      <c r="J2335" s="37">
        <v>0</v>
      </c>
    </row>
    <row r="2336" spans="1:10" x14ac:dyDescent="0.25">
      <c r="A2336" t="s">
        <v>5101</v>
      </c>
      <c r="B2336" t="s">
        <v>5102</v>
      </c>
      <c r="C2336" t="s">
        <v>5026</v>
      </c>
      <c r="D2336" t="s">
        <v>390</v>
      </c>
      <c r="E2336" s="36">
        <v>11000</v>
      </c>
      <c r="F2336" s="36">
        <v>14000</v>
      </c>
      <c r="G2336" s="36">
        <v>6600</v>
      </c>
      <c r="H2336" s="36">
        <v>7800</v>
      </c>
      <c r="I2336" s="37">
        <v>0</v>
      </c>
      <c r="J2336" s="37">
        <v>0</v>
      </c>
    </row>
    <row r="2337" spans="1:10" x14ac:dyDescent="0.25">
      <c r="A2337" t="s">
        <v>5103</v>
      </c>
      <c r="B2337" t="s">
        <v>5104</v>
      </c>
      <c r="C2337" t="s">
        <v>5026</v>
      </c>
      <c r="D2337" t="s">
        <v>394</v>
      </c>
      <c r="E2337" s="36">
        <v>14000</v>
      </c>
      <c r="F2337" s="36">
        <v>17000</v>
      </c>
      <c r="G2337" s="36">
        <v>8400</v>
      </c>
      <c r="H2337" s="36">
        <v>9600</v>
      </c>
      <c r="I2337" s="37">
        <v>0</v>
      </c>
      <c r="J2337" s="37">
        <v>0</v>
      </c>
    </row>
    <row r="2338" spans="1:10" x14ac:dyDescent="0.25">
      <c r="A2338" t="s">
        <v>5105</v>
      </c>
      <c r="B2338" t="s">
        <v>5106</v>
      </c>
      <c r="C2338" t="s">
        <v>5026</v>
      </c>
      <c r="D2338" t="s">
        <v>394</v>
      </c>
      <c r="E2338" s="36">
        <v>10000</v>
      </c>
      <c r="F2338" s="36">
        <v>12000</v>
      </c>
      <c r="G2338" s="36">
        <v>6000</v>
      </c>
      <c r="H2338" s="36">
        <v>6950</v>
      </c>
      <c r="I2338" s="37">
        <v>0</v>
      </c>
      <c r="J2338" s="37">
        <v>0</v>
      </c>
    </row>
    <row r="2339" spans="1:10" x14ac:dyDescent="0.25">
      <c r="A2339" t="s">
        <v>5107</v>
      </c>
      <c r="B2339" t="s">
        <v>5108</v>
      </c>
      <c r="C2339" t="s">
        <v>5026</v>
      </c>
      <c r="D2339" t="s">
        <v>394</v>
      </c>
      <c r="E2339" s="36">
        <v>4000</v>
      </c>
      <c r="F2339" s="36">
        <v>4600</v>
      </c>
      <c r="G2339" s="36">
        <v>2400</v>
      </c>
      <c r="H2339" s="36">
        <v>2750</v>
      </c>
      <c r="I2339" s="37">
        <v>0</v>
      </c>
      <c r="J2339" s="37">
        <v>0</v>
      </c>
    </row>
    <row r="2340" spans="1:10" x14ac:dyDescent="0.25">
      <c r="A2340" t="s">
        <v>5109</v>
      </c>
      <c r="B2340" t="s">
        <v>5110</v>
      </c>
      <c r="C2340" t="s">
        <v>5026</v>
      </c>
      <c r="D2340" t="s">
        <v>394</v>
      </c>
      <c r="E2340" s="36">
        <v>3500</v>
      </c>
      <c r="F2340" s="36">
        <v>4200</v>
      </c>
      <c r="G2340" s="36">
        <v>1800</v>
      </c>
      <c r="H2340" s="36">
        <v>2150</v>
      </c>
      <c r="I2340" s="37">
        <v>0</v>
      </c>
      <c r="J2340" s="37">
        <v>0</v>
      </c>
    </row>
    <row r="2341" spans="1:10" x14ac:dyDescent="0.25">
      <c r="A2341" t="s">
        <v>5111</v>
      </c>
      <c r="B2341" t="s">
        <v>5112</v>
      </c>
      <c r="C2341" t="s">
        <v>5026</v>
      </c>
      <c r="D2341" t="s">
        <v>390</v>
      </c>
      <c r="E2341" s="36">
        <v>600</v>
      </c>
      <c r="F2341" s="36">
        <v>700</v>
      </c>
      <c r="G2341" s="36">
        <v>360</v>
      </c>
      <c r="H2341" s="36">
        <v>420</v>
      </c>
      <c r="I2341" s="37">
        <v>0</v>
      </c>
      <c r="J2341" s="37">
        <v>0</v>
      </c>
    </row>
    <row r="2342" spans="1:10" x14ac:dyDescent="0.25">
      <c r="A2342" t="s">
        <v>5113</v>
      </c>
      <c r="B2342" t="s">
        <v>5114</v>
      </c>
      <c r="C2342" t="s">
        <v>5026</v>
      </c>
      <c r="D2342" t="s">
        <v>390</v>
      </c>
      <c r="E2342" s="36">
        <v>400</v>
      </c>
      <c r="F2342" s="36">
        <v>500</v>
      </c>
      <c r="G2342" s="36">
        <v>240</v>
      </c>
      <c r="H2342" s="36">
        <v>300</v>
      </c>
      <c r="I2342" s="37">
        <v>0</v>
      </c>
      <c r="J2342" s="37">
        <v>0</v>
      </c>
    </row>
    <row r="2343" spans="1:10" x14ac:dyDescent="0.25">
      <c r="A2343" t="s">
        <v>5115</v>
      </c>
      <c r="B2343" t="s">
        <v>5116</v>
      </c>
      <c r="C2343" t="s">
        <v>5026</v>
      </c>
      <c r="D2343" t="s">
        <v>390</v>
      </c>
      <c r="E2343" s="36">
        <v>4000</v>
      </c>
      <c r="F2343" s="36">
        <v>4500</v>
      </c>
      <c r="G2343" s="36">
        <v>2400</v>
      </c>
      <c r="H2343" s="36">
        <v>2750</v>
      </c>
      <c r="I2343" s="37">
        <v>0</v>
      </c>
      <c r="J2343" s="37">
        <v>0</v>
      </c>
    </row>
    <row r="2344" spans="1:10" x14ac:dyDescent="0.25">
      <c r="A2344" t="s">
        <v>5117</v>
      </c>
      <c r="B2344" t="s">
        <v>5118</v>
      </c>
      <c r="C2344" t="s">
        <v>101</v>
      </c>
      <c r="D2344" t="s">
        <v>394</v>
      </c>
      <c r="E2344" s="36">
        <v>3500</v>
      </c>
      <c r="F2344" s="36">
        <v>4200</v>
      </c>
      <c r="G2344" s="36">
        <v>2050</v>
      </c>
      <c r="H2344" s="36">
        <v>2400</v>
      </c>
      <c r="I2344" s="37">
        <v>0</v>
      </c>
      <c r="J2344" s="37">
        <v>0</v>
      </c>
    </row>
    <row r="2345" spans="1:10" x14ac:dyDescent="0.25">
      <c r="A2345" t="s">
        <v>5119</v>
      </c>
      <c r="B2345" t="s">
        <v>5120</v>
      </c>
      <c r="C2345" t="s">
        <v>101</v>
      </c>
      <c r="D2345" t="s">
        <v>390</v>
      </c>
      <c r="E2345" s="36">
        <v>3500</v>
      </c>
      <c r="F2345" s="36">
        <v>4200</v>
      </c>
      <c r="G2345" s="36">
        <v>2050</v>
      </c>
      <c r="H2345" s="36">
        <v>2400</v>
      </c>
      <c r="I2345" s="37">
        <v>0</v>
      </c>
      <c r="J2345" s="37">
        <v>0</v>
      </c>
    </row>
    <row r="2346" spans="1:10" x14ac:dyDescent="0.25">
      <c r="A2346" t="s">
        <v>5121</v>
      </c>
      <c r="B2346" t="s">
        <v>5122</v>
      </c>
      <c r="C2346" t="s">
        <v>101</v>
      </c>
      <c r="D2346" t="s">
        <v>390</v>
      </c>
      <c r="E2346" s="36">
        <v>1200</v>
      </c>
      <c r="F2346" s="36">
        <v>1400</v>
      </c>
      <c r="G2346" s="36">
        <v>720</v>
      </c>
      <c r="H2346" s="36">
        <v>840</v>
      </c>
      <c r="I2346" s="37">
        <v>0</v>
      </c>
      <c r="J2346" s="37">
        <v>0</v>
      </c>
    </row>
    <row r="2347" spans="1:10" x14ac:dyDescent="0.25">
      <c r="A2347" t="s">
        <v>5123</v>
      </c>
      <c r="B2347" t="s">
        <v>5124</v>
      </c>
      <c r="C2347" t="s">
        <v>101</v>
      </c>
      <c r="D2347" t="s">
        <v>394</v>
      </c>
      <c r="E2347" s="36">
        <v>22000</v>
      </c>
      <c r="F2347" s="36">
        <v>26000</v>
      </c>
      <c r="G2347" s="36">
        <v>13200</v>
      </c>
      <c r="H2347" s="36">
        <v>15600</v>
      </c>
      <c r="I2347" s="37">
        <v>0</v>
      </c>
      <c r="J2347" s="37">
        <v>0</v>
      </c>
    </row>
    <row r="2348" spans="1:10" x14ac:dyDescent="0.25">
      <c r="A2348" t="s">
        <v>5125</v>
      </c>
      <c r="B2348" t="s">
        <v>5126</v>
      </c>
      <c r="C2348" t="s">
        <v>240</v>
      </c>
      <c r="D2348" t="s">
        <v>394</v>
      </c>
      <c r="E2348" s="36">
        <v>11000</v>
      </c>
      <c r="F2348" s="36">
        <v>13000</v>
      </c>
      <c r="G2348" s="36">
        <v>6600</v>
      </c>
      <c r="H2348" s="36">
        <v>7550</v>
      </c>
      <c r="I2348" s="37">
        <v>0</v>
      </c>
      <c r="J2348" s="37">
        <v>0</v>
      </c>
    </row>
    <row r="2349" spans="1:10" x14ac:dyDescent="0.25">
      <c r="A2349" t="s">
        <v>5127</v>
      </c>
      <c r="B2349" t="s">
        <v>5128</v>
      </c>
      <c r="C2349" t="s">
        <v>240</v>
      </c>
      <c r="D2349" t="s">
        <v>390</v>
      </c>
      <c r="E2349" s="36">
        <v>10000</v>
      </c>
      <c r="F2349" s="36">
        <v>12000</v>
      </c>
      <c r="G2349" s="36">
        <v>6000</v>
      </c>
      <c r="H2349" s="36">
        <v>6950</v>
      </c>
      <c r="I2349" s="37">
        <v>0</v>
      </c>
      <c r="J2349" s="37">
        <v>0</v>
      </c>
    </row>
    <row r="2350" spans="1:10" x14ac:dyDescent="0.25">
      <c r="A2350" t="s">
        <v>5129</v>
      </c>
      <c r="B2350" t="s">
        <v>5130</v>
      </c>
      <c r="C2350" t="s">
        <v>101</v>
      </c>
      <c r="D2350" t="s">
        <v>394</v>
      </c>
      <c r="E2350" s="36">
        <v>9000</v>
      </c>
      <c r="F2350" s="36">
        <v>11000</v>
      </c>
      <c r="G2350" s="36">
        <v>5400</v>
      </c>
      <c r="H2350" s="36">
        <v>6350</v>
      </c>
      <c r="I2350" s="37">
        <v>0</v>
      </c>
      <c r="J2350" s="37">
        <v>0</v>
      </c>
    </row>
    <row r="2351" spans="1:10" x14ac:dyDescent="0.25">
      <c r="A2351" t="s">
        <v>5131</v>
      </c>
      <c r="B2351" t="s">
        <v>5132</v>
      </c>
      <c r="C2351" t="s">
        <v>101</v>
      </c>
      <c r="D2351" t="s">
        <v>394</v>
      </c>
      <c r="E2351" s="36">
        <v>4500</v>
      </c>
      <c r="F2351" s="36">
        <v>5500</v>
      </c>
      <c r="G2351" s="36">
        <v>2650</v>
      </c>
      <c r="H2351" s="36">
        <v>3100</v>
      </c>
      <c r="I2351" s="37">
        <v>0</v>
      </c>
      <c r="J2351" s="37">
        <v>0</v>
      </c>
    </row>
    <row r="2352" spans="1:10" x14ac:dyDescent="0.25">
      <c r="A2352" t="s">
        <v>5133</v>
      </c>
      <c r="B2352" t="s">
        <v>5134</v>
      </c>
      <c r="C2352" t="s">
        <v>101</v>
      </c>
      <c r="D2352" t="s">
        <v>390</v>
      </c>
      <c r="E2352" s="36">
        <v>2500</v>
      </c>
      <c r="F2352" s="36">
        <v>3000</v>
      </c>
      <c r="G2352" s="36">
        <v>1550</v>
      </c>
      <c r="H2352" s="36">
        <v>1800</v>
      </c>
      <c r="I2352" s="37">
        <v>0</v>
      </c>
      <c r="J2352" s="37">
        <v>0</v>
      </c>
    </row>
    <row r="2353" spans="1:10" x14ac:dyDescent="0.25">
      <c r="A2353" t="s">
        <v>5135</v>
      </c>
      <c r="B2353" t="s">
        <v>5136</v>
      </c>
      <c r="C2353" t="s">
        <v>101</v>
      </c>
      <c r="D2353" t="s">
        <v>390</v>
      </c>
      <c r="E2353" s="36">
        <v>6000</v>
      </c>
      <c r="F2353" s="36">
        <v>7000</v>
      </c>
      <c r="G2353" s="36">
        <v>3600</v>
      </c>
      <c r="H2353" s="36">
        <v>4200</v>
      </c>
      <c r="I2353" s="37">
        <v>0</v>
      </c>
      <c r="J2353" s="37">
        <v>0</v>
      </c>
    </row>
    <row r="2354" spans="1:10" x14ac:dyDescent="0.25">
      <c r="A2354" t="s">
        <v>5137</v>
      </c>
      <c r="B2354" t="s">
        <v>5138</v>
      </c>
      <c r="C2354" t="s">
        <v>1428</v>
      </c>
      <c r="D2354" t="s">
        <v>390</v>
      </c>
      <c r="E2354" s="36">
        <v>2800</v>
      </c>
      <c r="F2354" s="36">
        <v>3300</v>
      </c>
      <c r="G2354" s="36">
        <v>1550</v>
      </c>
      <c r="H2354" s="36">
        <v>1800</v>
      </c>
      <c r="I2354" s="37">
        <v>0</v>
      </c>
      <c r="J2354" s="37">
        <v>0</v>
      </c>
    </row>
    <row r="2355" spans="1:10" x14ac:dyDescent="0.25">
      <c r="A2355" t="s">
        <v>5139</v>
      </c>
      <c r="B2355" t="s">
        <v>5140</v>
      </c>
      <c r="C2355" t="s">
        <v>101</v>
      </c>
      <c r="D2355" t="s">
        <v>363</v>
      </c>
      <c r="E2355" s="36">
        <v>12000</v>
      </c>
      <c r="F2355" s="36">
        <v>14000</v>
      </c>
      <c r="G2355" s="36">
        <v>7200</v>
      </c>
      <c r="H2355" s="36">
        <v>8400</v>
      </c>
      <c r="I2355" s="37">
        <v>0</v>
      </c>
      <c r="J2355" s="37">
        <v>0</v>
      </c>
    </row>
    <row r="2356" spans="1:10" x14ac:dyDescent="0.25">
      <c r="A2356" t="s">
        <v>5141</v>
      </c>
      <c r="B2356" t="s">
        <v>4493</v>
      </c>
      <c r="C2356" t="s">
        <v>5142</v>
      </c>
      <c r="D2356" t="s">
        <v>390</v>
      </c>
      <c r="E2356" s="36">
        <v>5000</v>
      </c>
      <c r="F2356" s="36">
        <v>6000</v>
      </c>
      <c r="G2356" s="36">
        <v>2650</v>
      </c>
      <c r="H2356" s="36">
        <v>3100</v>
      </c>
      <c r="I2356" s="37">
        <v>0</v>
      </c>
      <c r="J2356" s="37">
        <v>0</v>
      </c>
    </row>
  </sheetData>
  <autoFilter ref="A4:J2356"/>
  <mergeCells count="1">
    <mergeCell ref="A2: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Как считать</vt:lpstr>
      <vt:lpstr>Калькулятор</vt:lpstr>
      <vt:lpstr>Комплекты материалов</vt:lpstr>
      <vt:lpstr>Категории и наценки</vt:lpstr>
      <vt:lpstr>Расходники к работам</vt:lpstr>
      <vt:lpstr>Тип тендера</vt:lpstr>
      <vt:lpstr>Параметры</vt:lpstr>
      <vt:lpstr>Тарификатор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Администратор</cp:lastModifiedBy>
  <dcterms:created xsi:type="dcterms:W3CDTF">2026-10-23T12:39:06Z</dcterms:created>
  <dcterms:modified xsi:type="dcterms:W3CDTF">2026-10-23T12:39:08Z</dcterms:modified>
</cp:coreProperties>
</file>